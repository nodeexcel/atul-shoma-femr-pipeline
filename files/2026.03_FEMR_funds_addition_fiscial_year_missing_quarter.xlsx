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MR Funds" sheetId="1" r:id="rId5"/>
    <sheet state="visible" name="Output" sheetId="2" r:id="rId6"/>
    <sheet state="hidden" name="SF270 CA2 Source Data" sheetId="3" r:id="rId7"/>
  </sheets>
  <definedNames>
    <definedName hidden="1" localSheetId="1" name="_xlnm._FilterDatabase">Output!$A$1:$D$16081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1">
      <text>
        <t xml:space="preserve">[Threaded comment]
Your version of Excel allows you to read this threaded comment; however, any edits to it will get removed if the file is opened in a newer version of Excel. Learn more: https://go.microsoft.com/fwlink/?linkid=870924
Comment:
    2024.10.17 submission recalled. Total amount revised due to DFAS unobligated funds on ADP83, ACRN DV</t>
      </text>
    </comment>
    <comment authorId="0" ref="AL14">
      <text>
        <t xml:space="preserve">[Threaded comment]
Your version of Excel allows you to read this threaded comment; however, any edits to it will get removed if the file is opened in a newer version of Excel. Learn more: https://go.microsoft.com/fwlink/?linkid=870924
Comment:
    This is a resubmission due to ACRN variance with DCMA &amp; rejected BVN0018 on 2/2/24.
See file 2024.01Lifer 270 recon to DCMA for details</t>
      </text>
    </comment>
    <comment authorId="0" ref="AN14">
      <text>
        <t xml:space="preserve">[Threaded comment]
Your version of Excel allows you to read this threaded comment; however, any edits to it will get removed if the file is opened in a newer version of Excel. Learn more: https://go.microsoft.com/fwlink/?linkid=870924
Comment:
    BVN0021 submitted on 7/25/24 recalled 8/1/24 due to DFAS error in obligated funds on ACRN DW </t>
      </text>
    </comment>
    <comment authorId="0" ref="I23">
      <text>
        <t xml:space="preserve">[Threaded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04/30/27</t>
      </text>
    </comment>
    <comment authorId="0" ref="I24">
      <text>
        <t xml:space="preserve">[Threaded comment]
Your version of Excel allows you to read this threaded comment; however, any edits to it will get removed if the file is opened in a newer version of Excel. Learn more: https://go.microsoft.com/fwlink/?linkid=870924
Comment:
    - Initial end date - 06/30/24
- NCE to 01/205
- 2024.12.02 NCE granted
</t>
      </text>
    </comment>
    <comment authorId="0" ref="I25">
      <text>
        <t xml:space="preserve">[Threaded comment]
Your version of Excel allows you to read this threaded comment; however, any edits to it will get removed if the file is opened in a newer version of Excel. Learn more: https://go.microsoft.com/fwlink/?linkid=870924
Comment:
    Extended from 12/31/24 to 06/30/25
</t>
      </text>
    </comment>
    <comment authorId="0" ref="W27">
      <text>
        <t xml:space="preserve">[Threaded comment]
Your version of Excel allows you to read this threaded comment; however, any edits to it will get removed if the file is opened in a newer version of Excel. Learn more: https://go.microsoft.com/fwlink/?linkid=870924
Comment:
    PAYMENT RECVD 12/6/2021
____________________________________
Per DFAS 8/9/21 - AQ will be short paid by $11,522 due to problems appropriating funds. They will process the balance once resolved. Nothing to be done from our end.
Contact DFAS if the balance is not received within 10days after the receipt of BVN0007.
9/29/21 Bobbie Medina (DFAS team Lead)
Input error in WAWF not resolved.
AZ entered with wrong fuding year. Correction escalated to Branch Chief. Bobbie will revert back to me in a week. System down due to maintenance.
10/6/21 Adjustment is still in process. Code #55 - DFAS created a dummy ACRN to pay amount due.
10/13/21 Brian - he will speak to Bobbie on status. Will aim to get the refund entered in the system by Friday 10/15. Advise to call back then.
10/19/21 Alf - Being handled by Bobbie Medina (Team Lead). Call on 10/20 to get status.
10/20 Jay - will get Bobbie to call me back.</t>
      </text>
    </comment>
    <comment authorId="0" ref="I33">
      <text>
        <t xml:space="preserve">[Threaded comment]
Your version of Excel allows you to read this threaded comment; however, any edits to it will get removed if the file is opened in a newer version of Excel. Learn more: https://go.microsoft.com/fwlink/?linkid=870924
Comment:
    Original end date - 09/2024
2024.08.24 NCE granted
Reply:
    NCE from 9/2025 to 6/2026</t>
      </text>
    </comment>
    <comment authorId="0" ref="I37">
      <text>
        <t xml:space="preserve">[Threaded comment]
Your version of Excel allows you to read this threaded comment; however, any edits to it will get removed if the file is opened in a newer version of Excel. Learn more: https://go.microsoft.com/fwlink/?linkid=870924
Comment:
    Extended from 03/31/25 to 09/30/25
</t>
      </text>
    </comment>
    <comment authorId="0" ref="AD37">
      <text>
        <t xml:space="preserve">[Threaded comment]
Your version of Excel allows you to read this threaded comment; however, any edits to it will get removed if the file is opened in a newer version of Excel. Learn more: https://go.microsoft.com/fwlink/?linkid=870924
Comment:
    For some reason this was not funded. 
Reply:
    Re-submit on BVN0013</t>
      </text>
    </comment>
    <comment authorId="0" ref="I4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9/2021.  The Oct 9, 2024 NEC extended end date from 03/31/24 to 03/31/25
</t>
      </text>
    </comment>
    <comment authorId="0" ref="I41">
      <text>
        <t xml:space="preserve">[Threaded comment]
Your version of Excel allows you to read this threaded comment; however, any edits to it will get removed if the file is opened in a newer version of Excel. Learn more: https://go.microsoft.com/fwlink/?linkid=870924
Comment:
    Extended from 08/31/24 to 04/30/25
</t>
      </text>
    </comment>
    <comment authorId="0" ref="I42">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03/2022.  The Oct 9, 2024 NEC extended end date from 03/31/24 to 03/31/25
</t>
      </text>
    </comment>
    <comment authorId="0" ref="AB47">
      <text>
        <t xml:space="preserve">[Threaded comment]
Your version of Excel allows you to read this threaded comment; however, any edits to it will get removed if the file is opened in a newer version of Excel. Learn more: https://go.microsoft.com/fwlink/?linkid=870924
Comment:
    Calls To DFAS
8/9/22 @ 12:23pm Ryan - underpaid by $85K due to over-billing on ACRN
8/10/22 @ 9:47am Annette - MLR explained the the error in the MOD that ACRN BG &amp; BH for ADP30 is fully funded with a total of $3,515,000 but the amount listed in the ACRN detail page is short by $500K. However, the total of all ACRNs includes the $500K.
Annette will work with the Contracts Dept to locate what happened to the missing $500K as it appears ti be an inout error in their system. MLR advised to follow up with DFAS in 4-5 biz days.
Reply:
    8/25 @ 9:11am Kevin - enquiry still with contracts. MLR idetified where the error is in the MOD. Advised to contact ACO, David O'Brien to submit a Recon Form 1797. NextFlex to resubmit a voucher for the $85K under ACRN BH</t>
      </text>
    </comment>
    <comment authorId="0" ref="AD47">
      <text>
        <t xml:space="preserve">[Threaded comment]
Your version of Excel allows you to read this threaded comment; however, any edits to it will get removed if the file is opened in a newer version of Excel. Learn more: https://go.microsoft.com/fwlink/?linkid=870924
Comment:
    Resubmit request of $85K under ACRN BH</t>
      </text>
    </comment>
    <comment authorId="0" ref="I50">
      <text>
        <t xml:space="preserve">[Threaded comment]
Your version of Excel allows you to read this threaded comment; however, any edits to it will get removed if the file is opened in a newer version of Excel. Learn more: https://go.microsoft.com/fwlink/?linkid=870924
Comment:
    - Initial end date - 11/2024
- 2024.12.02 NCE granted</t>
      </text>
    </comment>
    <comment authorId="0" ref="I51">
      <text>
        <t xml:space="preserve">[Threaded comment]
Your version of Excel allows you to read this threaded comment; however, any edits to it will get removed if the file is opened in a newer version of Excel. Learn more: https://go.microsoft.com/fwlink/?linkid=870924
Comment:
    - Initial end date - 11/2024
- 2024.12.02 NCE granted
Reply:
    NCE from 5/2025 to 9/2026</t>
      </text>
    </comment>
    <comment authorId="0" ref="I52">
      <text>
        <t xml:space="preserve">[Threaded comment]
Your version of Excel allows you to read this threaded comment; however, any edits to it will get removed if the file is opened in a newer version of Excel. Learn more: https://go.microsoft.com/fwlink/?linkid=870924
Comment:
    NCE from 12/31/25 to 04/30/27</t>
      </text>
    </comment>
    <comment authorId="0" ref="I54">
      <text>
        <t xml:space="preserve">[Threaded comment]
Your version of Excel allows you to read this threaded comment; however, any edits to it will get removed if the file is opened in a newer version of Excel. Learn more: https://go.microsoft.com/fwlink/?linkid=870924
Comment:
    NCE from 4/30/25 to 9/30/25
Reply:
    NCE from 9/2025 to 12/2025</t>
      </text>
    </comment>
    <comment authorId="0" ref="I55">
      <text>
        <t xml:space="preserve">[Threaded comment]
Your version of Excel allows you to read this threaded comment; however, any edits to it will get removed if the file is opened in a newer version of Excel. Learn more: https://go.microsoft.com/fwlink/?linkid=870924
Comment:
    - Initial end date - 12/2024
- 2024.12.02 NCE granted</t>
      </text>
    </comment>
    <comment authorId="0" ref="J56">
      <text>
        <t xml:space="preserve">[Threaded comment]
Your version of Excel allows you to read this threaded comment; however, any edits to it will get removed if the file is opened in a newer version of Excel. Learn more: https://go.microsoft.com/fwlink/?linkid=870924
Comment:
    Original ACRN was BJ, per the award. See award for CA2 ADP34. ACRN revised to BL</t>
      </text>
    </comment>
    <comment authorId="0" ref="I71">
      <text>
        <t xml:space="preserve">[Threaded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10/31/25
Reply:
    NCE 10/2025 to 3/2026</t>
      </text>
    </comment>
    <comment authorId="0" ref="I80">
      <text>
        <t xml:space="preserve">[Threaded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authorId="0" ref="I81">
      <text>
        <t xml:space="preserve">[Threaded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authorId="0" ref="I83">
      <text>
        <t xml:space="preserve">[Threaded comment]
Your version of Excel allows you to read this threaded comment; however, any edits to it will get removed if the file is opened in a newer version of Excel. Learn more: https://go.microsoft.com/fwlink/?linkid=870924
Comment:
    NCE from 12/31/25 to 04/30/27</t>
      </text>
    </comment>
    <comment authorId="0" ref="I84">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authorId="0" ref="I85">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authorId="0" ref="I86">
      <text>
        <t xml:space="preserve">[Threaded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authorId="0" ref="I87">
      <text>
        <t xml:space="preserve">[Threaded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authorId="0" ref="I88">
      <text>
        <t xml:space="preserve">[Threaded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authorId="0" ref="I89">
      <text>
        <t xml:space="preserve">[Threaded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authorId="0" ref="I91">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authorId="0" ref="I92">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authorId="0" ref="J92">
      <text>
        <t xml:space="preserve">[Threaded comment]
Your version of Excel allows you to read this threaded comment; however, any edits to it will get removed if the file is opened in a newer version of Excel. Learn more: https://go.microsoft.com/fwlink/?linkid=870924
Comment:
    Cumulative schedule on pg 4 assigned ACRN CX</t>
      </text>
    </comment>
    <comment authorId="0" ref="L92">
      <text>
        <t xml:space="preserve">[Threaded comment]
Your version of Excel allows you to read this threaded comment; however, any edits to it will get removed if the file is opened in a newer version of Excel. Learn more: https://go.microsoft.com/fwlink/?linkid=870924
Comment:
    Detailed ACRN schedule on pg 7 states $13,800.000 for CZ</t>
      </text>
    </comment>
    <comment authorId="0" ref="I93">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authorId="0" ref="I95">
      <text>
        <t xml:space="preserve">[Threaded comment]
Your version of Excel allows you to read this threaded comment; however, any edits to it will get removed if the file is opened in a newer version of Excel. Learn more: https://go.microsoft.com/fwlink/?linkid=870924
Comment:
    NCE from 06/30/26 to 12/31/26</t>
      </text>
    </comment>
    <comment authorId="0" ref="I96">
      <text>
        <t xml:space="preserve">[Threaded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authorId="0" ref="I97">
      <text>
        <t xml:space="preserve">[Threaded comment]
Your version of Excel allows you to read this threaded comment; however, any edits to it will get removed if the file is opened in a newer version of Excel. Learn more: https://go.microsoft.com/fwlink/?linkid=870924
Comment:
    Extended from 12/31/24 to 05/31/25
</t>
      </text>
    </comment>
    <comment authorId="0" ref="I98">
      <text>
        <t xml:space="preserve">[Threaded comment]
Your version of Excel allows you to read this threaded comment; however, any edits to it will get removed if the file is opened in a newer version of Excel. Learn more: https://go.microsoft.com/fwlink/?linkid=870924
Comment:
    - Initial end date - 01/2025
- 2024.12.02 NCE granted</t>
      </text>
    </comment>
    <comment authorId="0" ref="I104">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authorId="0" ref="I105">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authorId="0" ref="C115">
      <text>
        <t xml:space="preserve">[Threaded comment]
Your version of Excel allows you to read this threaded comment; however, any edits to it will get removed if the file is opened in a newer version of Excel. Learn more: https://go.microsoft.com/fwlink/?linkid=870924
Comment:
    Executed version not on file. Requested from Contracts 11/19/24</t>
      </text>
    </comment>
    <comment authorId="0" ref="I12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authorId="0" ref="I121">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authorId="0" ref="I122">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authorId="0" ref="I123">
      <text>
        <t xml:space="preserve">[Threaded comment]
Your version of Excel allows you to read this threaded comment; however, any edits to it will get removed if the file is opened in a newer version of Excel. Learn more: https://go.microsoft.com/fwlink/?linkid=870924
Comment:
    Initial end date - 11/2024
2024.08.24 NCE granted
Reply:
    NCE from 01/2026 to 12/2026</t>
      </text>
    </comment>
    <comment authorId="0" ref="I125">
      <text>
        <t xml:space="preserve">[Threaded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authorId="0" ref="I126">
      <text>
        <t xml:space="preserve">[Threaded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authorId="0" ref="N126">
      <text>
        <t xml:space="preserve">[Threaded comment]
Your version of Excel allows you to read this threaded comment; however, any edits to it will get removed if the file is opened in a newer version of Excel. Learn more: https://go.microsoft.com/fwlink/?linkid=870924
Comment:
    $157K not obligated by DFAS in error. Raelanka submitted form 1797 to DFAS on 7/31/24 for correction.</t>
      </text>
    </comment>
    <comment authorId="0" ref="I127">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authorId="0" ref="I128">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authorId="0" ref="I129">
      <text>
        <t xml:space="preserve">[Threaded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authorId="0" ref="I130">
      <text>
        <t xml:space="preserve">[Threaded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authorId="0" ref="I131">
      <text>
        <t xml:space="preserve">[Threaded comment]
Your version of Excel allows you to read this threaded comment; however, any edits to it will get removed if the file is opened in a newer version of Excel. Learn more: https://go.microsoft.com/fwlink/?linkid=870924
Comment:
    Extended from 11/30/24 to 3/31/25
</t>
      </text>
    </comment>
    <comment authorId="0" ref="I132">
      <text>
        <t xml:space="preserve">[Threaded comment]
Your version of Excel allows you to read this threaded comment; however, any edits to it will get removed if the file is opened in a newer version of Excel. Learn more: https://go.microsoft.com/fwlink/?linkid=870924
Comment:
    NCE from 03/31/26 to 04/30/27</t>
      </text>
    </comment>
    <comment authorId="0" ref="AQ132">
      <text>
        <t xml:space="preserve">[Threaded comment]
Your version of Excel allows you to read this threaded comment; however, any edits to it will get removed if the file is opened in a newer version of Excel. Learn more: https://go.microsoft.com/fwlink/?linkid=870924
Comment:
    DCMA email 10/24/24 - amount revised to zero due to unobligated funds by DFAS.</t>
      </text>
    </comment>
    <comment authorId="0" ref="F133">
      <text>
        <t xml:space="preserve">[Threaded comment]
Your version of Excel allows you to read this threaded comment; however, any edits to it will get removed if the file is opened in a newer version of Excel. Learn more: https://go.microsoft.com/fwlink/?linkid=870924
Comment:
    For Gov't reporting - this award amt is to be categorized as fully Core.
For Financial Reporting
Core = $775,073.28
PC9 = $515,300</t>
      </text>
    </comment>
    <comment authorId="0" ref="I134">
      <text>
        <t xml:space="preserve">[Threaded comment]
Your version of Excel allows you to read this threaded comment; however, any edits to it will get removed if the file is opened in a newer version of Excel. Learn more: https://go.microsoft.com/fwlink/?linkid=870924
Comment:
    NCE from 04/30/26 to 04/30/27</t>
      </text>
    </comment>
    <comment authorId="0" ref="AQ134">
      <text>
        <t xml:space="preserve">[Threaded comment]
Your version of Excel allows you to read this threaded comment; however, any edits to it will get removed if the file is opened in a newer version of Excel. Learn more: https://go.microsoft.com/fwlink/?linkid=870924
Comment:
    Per DCMA email 10/24/24 - 
Revised original amount submitted from $500,000 for $664,226.72 due to unobligated funds on ADP83. 
See tab ACRN DV Recon</t>
      </text>
    </comment>
    <comment authorId="0" ref="I135">
      <text>
        <t xml:space="preserve">[Threaded comment]
Your version of Excel allows you to read this threaded comment; however, any edits to it will get removed if the file is opened in a newer version of Excel. Learn more: https://go.microsoft.com/fwlink/?linkid=870924
Comment:
    NCE 03/2025 to 02/2026</t>
      </text>
    </comment>
    <comment authorId="0" ref="I138">
      <text>
        <t xml:space="preserve">[Threaded comment]
Your version of Excel allows you to read this threaded comment; however, any edits to it will get removed if the file is opened in a newer version of Excel. Learn more: https://go.microsoft.com/fwlink/?linkid=870924
Comment:
    NCE from 4/2025 to 5/2026</t>
      </text>
    </comment>
    <comment authorId="0" ref="I139">
      <text>
        <t xml:space="preserve">[Threaded comment]
Your version of Excel allows you to read this threaded comment; however, any edits to it will get removed if the file is opened in a newer version of Excel. Learn more: https://go.microsoft.com/fwlink/?linkid=870924
Comment:
    NCE from 04/30/25 to 08/31/25</t>
      </text>
    </comment>
    <comment authorId="0" ref="I147">
      <text>
        <t xml:space="preserve">[Threaded comment]
Your version of Excel allows you to read this threaded comment; however, any edits to it will get removed if the file is opened in a newer version of Excel. Learn more: https://go.microsoft.com/fwlink/?linkid=870924
Comment:
    NCE from 07/31/25 to 03/31/26</t>
      </text>
    </comment>
    <comment authorId="0" ref="I148">
      <text>
        <t xml:space="preserve">[Threaded comment]
Your version of Excel allows you to read this threaded comment; however, any edits to it will get removed if the file is opened in a newer version of Excel. Learn more: https://go.microsoft.com/fwlink/?linkid=870924
Comment:
    NCE from 07/31/25 to 03/31/26</t>
      </text>
    </comment>
    <comment authorId="0" ref="I149">
      <text>
        <t xml:space="preserve">[Threaded comment]
Your version of Excel allows you to read this threaded comment; however, any edits to it will get removed if the file is opened in a newer version of Excel. Learn more: https://go.microsoft.com/fwlink/?linkid=870924
Comment:
    NCE from 07/31/25 to 03/31/26</t>
      </text>
    </comment>
    <comment authorId="0" ref="I150">
      <text>
        <t xml:space="preserve">[Threaded comment]
Your version of Excel allows you to read this threaded comment; however, any edits to it will get removed if the file is opened in a newer version of Excel. Learn more: https://go.microsoft.com/fwlink/?linkid=870924
Comment:
    NCE from 07/31/25 to 03/31/26</t>
      </text>
    </comment>
    <comment authorId="0" ref="A151">
      <text>
        <t xml:space="preserve">[Threaded comment]
Your version of Excel allows you to read this threaded comment; however, any edits to it will get removed if the file is opened in a newer version of Excel. Learn more: https://go.microsoft.com/fwlink/?linkid=870924
Comment:
    9/10 call to DFAS - MOD not logged in their system. Kevin submitted a request. Advised to call back on 9/13.
Reply:
    9/12 call to DFAS, Brian - MOD is now updated and funds available for SF270</t>
      </text>
    </comment>
    <comment authorId="0" ref="I154">
      <text>
        <t xml:space="preserve">[Threaded comment]
Your version of Excel allows you to read this threaded comment; however, any edits to it will get removed if the file is opened in a newer version of Excel. Learn more: https://go.microsoft.com/fwlink/?linkid=870924
Comment:
    NCE from 12/31/26 to 01/31/27</t>
      </text>
    </comment>
    <comment authorId="0" ref="I155">
      <text>
        <t xml:space="preserve">[Threaded comment]
Your version of Excel allows you to read this threaded comment; however, any edits to it will get removed if the file is opened in a newer version of Excel. Learn more: https://go.microsoft.com/fwlink/?linkid=870924
Comment:
    NCE from 12/31/26 to 01/31/27</t>
      </text>
    </comment>
    <comment authorId="0" ref="I159">
      <text>
        <t xml:space="preserve">[Threaded comment]
Your version of Excel allows you to read this threaded comment; however, any edits to it will get removed if the file is opened in a newer version of Excel. Learn more: https://go.microsoft.com/fwlink/?linkid=870924
Comment:
    NCE from 09/28/25 to 01/31/26
Reply:
    NCE from 01/2026 to 10/3026</t>
      </text>
    </comment>
    <comment authorId="0" ref="I163">
      <text>
        <t xml:space="preserve">[Threaded comment]
Your version of Excel allows you to read this threaded comment; however, any edits to it will get removed if the file is opened in a newer version of Excel. Learn more: https://go.microsoft.com/fwlink/?linkid=870924
Comment:
    NCE from 09/30/26 to 04/30/27</t>
      </text>
    </comment>
    <comment authorId="0" ref="D178">
      <text>
        <t xml:space="preserve">[Threaded comment]
Your version of Excel allows you to read this threaded comment; however, any edits to it will get removed if the file is opened in a newer version of Excel. Learn more: https://go.microsoft.com/fwlink/?linkid=870924
Comment:
    6/16/25 Final correction on MOD P00152
6/12/25 DFAS sent corrective action request for a revised MOD to Contracts on 6/9/25.
Page 2 says ACRN FX
Page 6 &amp; 13 states ACRN FY
All ACRNs must agree in the MOD.
6/4/25 DFAS - not loaded in MOCAS
Request submitted to Contracts Input.
Will take 5-7 days to load.</t>
      </text>
    </comment>
    <comment authorId="0" ref="J178">
      <text>
        <t xml:space="preserve">[Threaded comment]
Your version of Excel allows you to read this threaded comment; however, any edits to it will get removed if the file is opened in a newer version of Excel. Learn more: https://go.microsoft.com/fwlink/?linkid=870924
Comment:
    ACRN FX in MOD - typo. 
Should be FY. 
Final correction done in MOD P00152 dated 6/16/25</t>
      </text>
    </comment>
    <comment authorId="0" ref="E193">
      <text>
        <t xml:space="preserve">[Threaded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authorId="0" ref="E194">
      <text>
        <t xml:space="preserve">[Threaded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authorId="0" ref="D204">
      <text>
        <t xml:space="preserve">[Threaded comment]
Your version of Excel allows you to read this threaded comment; however, any edits to it will get removed if the file is opened in a newer version of Excel. Learn more: https://go.microsoft.com/fwlink/?linkid=870924
Comment:
    1/16/25 spoke to Ryan, DFAS - confirmed logged in MOCAS
1/13/25  spoke to Carmen, DFAS - will request for Contracts Input to load the MOD in MOCAS. Takes 3-5 business days to refresh.</t>
      </text>
    </comment>
    <comment authorId="0" ref="E207">
      <text>
        <t xml:space="preserve">[Threaded comment]
Your version of Excel allows you to read this threaded comment; however, any edits to it will get removed if the file is opened in a newer version of Excel. Learn more: https://go.microsoft.com/fwlink/?linkid=870924
Comment:
    Correction MOD P00168 - ACRN GW De-Obligated
MOD P00167 Error! See Lifer schedule on pg5 ACRN GW</t>
      </text>
    </comment>
  </commentList>
</comments>
</file>

<file path=xl/sharedStrings.xml><?xml version="1.0" encoding="utf-8"?>
<sst xmlns="http://schemas.openxmlformats.org/spreadsheetml/2006/main" count="35099" uniqueCount="1096">
  <si>
    <t>NF C6</t>
  </si>
  <si>
    <t>CA2 Lifer Funding</t>
  </si>
  <si>
    <t>as of 03/31/2026</t>
  </si>
  <si>
    <t>FY20 Q3</t>
  </si>
  <si>
    <t>FY20 Q4</t>
  </si>
  <si>
    <t>FY21 Q1</t>
  </si>
  <si>
    <t>FY21 Q2</t>
  </si>
  <si>
    <t>FY21 Q3</t>
  </si>
  <si>
    <t>FY21 Q4</t>
  </si>
  <si>
    <t>FY22 Q1</t>
  </si>
  <si>
    <t>FY22 Q2</t>
  </si>
  <si>
    <t>FY22 Q3</t>
  </si>
  <si>
    <t>FY22 Q4</t>
  </si>
  <si>
    <t>FY23 Q1</t>
  </si>
  <si>
    <t>FY23 Q2</t>
  </si>
  <si>
    <t>FY23 Q3</t>
  </si>
  <si>
    <t>FY23 Q4</t>
  </si>
  <si>
    <t>FY24 Q2</t>
  </si>
  <si>
    <t>FY24 Q3</t>
  </si>
  <si>
    <t>FY24 Q4</t>
  </si>
  <si>
    <t>FY25 Q1</t>
  </si>
  <si>
    <t>FY25 Q3</t>
  </si>
  <si>
    <t>FY25 Q4</t>
  </si>
  <si>
    <t>FY26 Q1</t>
  </si>
  <si>
    <t>FY26 Q2</t>
  </si>
  <si>
    <t>FY26 Q3</t>
  </si>
  <si>
    <t>FY26 Q4</t>
  </si>
  <si>
    <t>FY27 Q1</t>
  </si>
  <si>
    <t>FY27 Q2</t>
  </si>
  <si>
    <t>FY27 Q3</t>
  </si>
  <si>
    <t>FY27 Q4</t>
  </si>
  <si>
    <t>QE 6/30/20</t>
  </si>
  <si>
    <t>QE 9/30/20</t>
  </si>
  <si>
    <t>FY20 Total</t>
  </si>
  <si>
    <t>QE 12/31/20</t>
  </si>
  <si>
    <t>QE 3/30/21</t>
  </si>
  <si>
    <t>QE 6/30/21</t>
  </si>
  <si>
    <t>QE 9/30/21</t>
  </si>
  <si>
    <t>FY21 Total</t>
  </si>
  <si>
    <t>QE 12/31/21</t>
  </si>
  <si>
    <t>QE 3/30/22</t>
  </si>
  <si>
    <t>QE 6/30/22</t>
  </si>
  <si>
    <t>QE 9/30/22</t>
  </si>
  <si>
    <t>FY22 Total</t>
  </si>
  <si>
    <t>QE 12/31/22</t>
  </si>
  <si>
    <t>QE 3/30/23</t>
  </si>
  <si>
    <t>QE 6/30/23</t>
  </si>
  <si>
    <t>QE 9/30/23</t>
  </si>
  <si>
    <t>FY23 Total</t>
  </si>
  <si>
    <t>QE 3/30/24</t>
  </si>
  <si>
    <t>QE 6/30/24</t>
  </si>
  <si>
    <t>QE 9/30/24</t>
  </si>
  <si>
    <t>FY24 Total</t>
  </si>
  <si>
    <t>QE 12/31/24</t>
  </si>
  <si>
    <t>QE 6/30/25</t>
  </si>
  <si>
    <t>QE 9/30/25</t>
  </si>
  <si>
    <t>FY25 Total</t>
  </si>
  <si>
    <t>QE 12/31/25</t>
  </si>
  <si>
    <t>QE 3/30/26</t>
  </si>
  <si>
    <t>QE 6/30/26</t>
  </si>
  <si>
    <t>QE 9/30/26</t>
  </si>
  <si>
    <t>FY26 Total</t>
  </si>
  <si>
    <t>QE 12/31/26</t>
  </si>
  <si>
    <t>QE 3/30/27</t>
  </si>
  <si>
    <t>QE 6/30/27</t>
  </si>
  <si>
    <t>QE 9/30/27</t>
  </si>
  <si>
    <t>Total</t>
  </si>
  <si>
    <t>COMMITTED</t>
  </si>
  <si>
    <t>OBLIGATED</t>
  </si>
  <si>
    <t>Expended</t>
  </si>
  <si>
    <t>Effective Date</t>
  </si>
  <si>
    <t>Govt P# (Mod)</t>
  </si>
  <si>
    <t>Project #</t>
  </si>
  <si>
    <t>Sequence</t>
  </si>
  <si>
    <t>Legal Name</t>
  </si>
  <si>
    <t>POP</t>
  </si>
  <si>
    <t>Fiscal Year</t>
  </si>
  <si>
    <t>Award Amount</t>
  </si>
  <si>
    <t>Obligated</t>
  </si>
  <si>
    <t>Cash Collected</t>
  </si>
  <si>
    <t>Remaining Funds</t>
  </si>
  <si>
    <t>P00001</t>
  </si>
  <si>
    <t xml:space="preserve">CA2 ADP1 </t>
  </si>
  <si>
    <t xml:space="preserve">2ADP001 </t>
  </si>
  <si>
    <t>Project 1 - Strategic Innovation Project PH2 - BMNT</t>
  </si>
  <si>
    <t>08/2020 - 07/2021</t>
  </si>
  <si>
    <t>P00002</t>
  </si>
  <si>
    <t xml:space="preserve">CA2 ADP2 </t>
  </si>
  <si>
    <t xml:space="preserve">2ADP002 </t>
  </si>
  <si>
    <t>Project 2 - Civil Military Collaboration Initiative PH2  - BMNT</t>
  </si>
  <si>
    <t>P00003</t>
  </si>
  <si>
    <t>CA2 ADP3</t>
  </si>
  <si>
    <t>2ADP003</t>
  </si>
  <si>
    <t>Project 3 - Development &amp; Assessment of Novel Advanced Hybrid Electronics for Weapons &amp; Armaments</t>
  </si>
  <si>
    <t>08/2020 - 12/2024</t>
  </si>
  <si>
    <t>P00004</t>
  </si>
  <si>
    <t>CA2 ADP4</t>
  </si>
  <si>
    <t>2ADP004</t>
  </si>
  <si>
    <t>Project 4 - OUSD(RE) Mantech Flexible X-Ray Imager Digital Detector Arrays (DDA) Phase II</t>
  </si>
  <si>
    <t>12/2020 - 12/2023</t>
  </si>
  <si>
    <t>P00005</t>
  </si>
  <si>
    <t>CA2 ADP5</t>
  </si>
  <si>
    <t>2ADP005</t>
  </si>
  <si>
    <t>Project 5 - Viral Deactivation Surface Treatments to Reduce Covid-19 Spread in Healthcare Settings</t>
  </si>
  <si>
    <t>P00006</t>
  </si>
  <si>
    <t>CA2 ADP6</t>
  </si>
  <si>
    <t>2ADP006</t>
  </si>
  <si>
    <t>Project 6 - Follow-on Development &amp; Assessment of Novel Advanced HyBrid Elecetroncs for Weapons &amp; Armaments</t>
  </si>
  <si>
    <t>09/2020 - 03/2022</t>
  </si>
  <si>
    <t>P00007</t>
  </si>
  <si>
    <t>CA2 ADP7</t>
  </si>
  <si>
    <t>2ADP007</t>
  </si>
  <si>
    <t>Project 7 - FIPS Certification of WCS for Confined Space Monitoring developed under CA1 ADP35</t>
  </si>
  <si>
    <t>09/2020 - 08/2021</t>
  </si>
  <si>
    <t>P00008</t>
  </si>
  <si>
    <t>CA2 ADP8</t>
  </si>
  <si>
    <t>2ADP008</t>
  </si>
  <si>
    <t>Project 8 (Follow-on ADP 2) - Civil Military Collaboration Initiative PH2 Continuation - BMNT</t>
  </si>
  <si>
    <t>P00009</t>
  </si>
  <si>
    <t>CA2 ADP9</t>
  </si>
  <si>
    <t>2ADP009</t>
  </si>
  <si>
    <t>Project 9 - NextFlex CII FHE Ecosystem Enhancement</t>
  </si>
  <si>
    <t>08/2020 - 04/2025</t>
  </si>
  <si>
    <t>P00010</t>
  </si>
  <si>
    <t>CA2 ADP10</t>
  </si>
  <si>
    <t>2ADP010</t>
  </si>
  <si>
    <t>Project 10 - Digital Manufacturing Process Development</t>
  </si>
  <si>
    <t>09/2020 - 05/2025</t>
  </si>
  <si>
    <t>P00029</t>
  </si>
  <si>
    <t>CA2 ADP11</t>
  </si>
  <si>
    <t>2ADP011</t>
  </si>
  <si>
    <t>Project 11 - DESCOPE</t>
  </si>
  <si>
    <t>P00011</t>
  </si>
  <si>
    <t>Project 11 - OUSD (RE) Education Workforce Development - Regionalism: Real Time Labor Mkt Data &amp; Institute Jumpstart Projects</t>
  </si>
  <si>
    <t>08/2020 - 06/2025</t>
  </si>
  <si>
    <t>P00012</t>
  </si>
  <si>
    <t>CA2 ADP12</t>
  </si>
  <si>
    <t>2ADP012</t>
  </si>
  <si>
    <t>Project 12 - AJ-GPS ADP Follow On</t>
  </si>
  <si>
    <t>10/2020 - 03/2021</t>
  </si>
  <si>
    <t>P00013</t>
  </si>
  <si>
    <t>CA2 ADP13</t>
  </si>
  <si>
    <t>2ADP013</t>
  </si>
  <si>
    <t>Project 13 - Advanced Manufacturing Assessent &amp; Devlopment of 40MM Pilot Line</t>
  </si>
  <si>
    <t>09/2020 - 09/2021</t>
  </si>
  <si>
    <t>P00014</t>
  </si>
  <si>
    <t>CA2 ADP14</t>
  </si>
  <si>
    <t>2ADP014</t>
  </si>
  <si>
    <t>Project 14 - Development &amp; Assessment of Affordably Mass Production if Flexible RF Countermeasure Materials</t>
  </si>
  <si>
    <t>10/2020 - 12/2024</t>
  </si>
  <si>
    <t>P00015</t>
  </si>
  <si>
    <t>CA2 ADP15</t>
  </si>
  <si>
    <t>2ADP015</t>
  </si>
  <si>
    <t>Project 15 - NASIC Civilian Program in FME Technology - BMNT</t>
  </si>
  <si>
    <t>10/2020 - 09/2021</t>
  </si>
  <si>
    <t>P00016</t>
  </si>
  <si>
    <t>CA2 ADP16</t>
  </si>
  <si>
    <t>2ADP016</t>
  </si>
  <si>
    <t>Project 16 - OUSD(RE) Education Workforce Development - Regionalism: Real Time</t>
  </si>
  <si>
    <t>01/2021- 03/2024</t>
  </si>
  <si>
    <t>P00017</t>
  </si>
  <si>
    <t>CA2 ADP17</t>
  </si>
  <si>
    <t>2ADP017</t>
  </si>
  <si>
    <t>Project 17 - Advanced Hybrid Electronics, Packaging &amp; Thermal MGT: follow on (MINSEC)</t>
  </si>
  <si>
    <t>10/2020 - 06/2026</t>
  </si>
  <si>
    <t>P00018</t>
  </si>
  <si>
    <t>CA2 ADP18</t>
  </si>
  <si>
    <t>2ADP018</t>
  </si>
  <si>
    <t>Project 18 - NSIN Civil-Military Collaboration Initiative Phase III - BMNT</t>
  </si>
  <si>
    <t>11/2020 - 01/2021</t>
  </si>
  <si>
    <t>P00019</t>
  </si>
  <si>
    <t>CA2 ADP19</t>
  </si>
  <si>
    <t>2ADP019</t>
  </si>
  <si>
    <t>Project 19 - NASIC Global Exploitation Squadron (GXF) T-2 Program 12/11/2020 - BMNT</t>
  </si>
  <si>
    <t>12/2020 - 06/2021</t>
  </si>
  <si>
    <t>P00020</t>
  </si>
  <si>
    <t>CA2 ADP20</t>
  </si>
  <si>
    <t>2ADP020</t>
  </si>
  <si>
    <t>Project 20 - NextFlex CII FHE Low Cost Sensors</t>
  </si>
  <si>
    <t>01/2021- 09/2025</t>
  </si>
  <si>
    <t>P00021</t>
  </si>
  <si>
    <t>CA2 ADP21</t>
  </si>
  <si>
    <t>2ADP021</t>
  </si>
  <si>
    <t xml:space="preserve">Project 21 -FY21 Soldier Authentication Project Prototype D </t>
  </si>
  <si>
    <t>02/2021 - 09/2022</t>
  </si>
  <si>
    <t>P00022</t>
  </si>
  <si>
    <t>CA2 ADP22</t>
  </si>
  <si>
    <t>2ADP022</t>
  </si>
  <si>
    <t>Project 22 - TRADOC AI Derived Organizational Insights - BMNT</t>
  </si>
  <si>
    <t>02/2021 - 08/2021</t>
  </si>
  <si>
    <t>P00023</t>
  </si>
  <si>
    <t>CA2 ADP23</t>
  </si>
  <si>
    <t>2ADP023</t>
  </si>
  <si>
    <t>Project 23 - Civil-Military Collaboration Initiative Phase III - BMNT</t>
  </si>
  <si>
    <t>04/2021 - 03/2025</t>
  </si>
  <si>
    <t>P00024</t>
  </si>
  <si>
    <t>CA2 ADP24</t>
  </si>
  <si>
    <t>2ADP024</t>
  </si>
  <si>
    <t>Project 24 - DTRA Follow-on to Drive Manufacturing Development for Fully Flexible High Performance Electronics</t>
  </si>
  <si>
    <t>04/2021 - 04/2025</t>
  </si>
  <si>
    <t>P00025</t>
  </si>
  <si>
    <t>CA2 ADP25</t>
  </si>
  <si>
    <t>2ADP025</t>
  </si>
  <si>
    <t>Project 25 - NASIC Global Exploitation Squadron (GXF) T-2 Program PHII</t>
  </si>
  <si>
    <t>P00026</t>
  </si>
  <si>
    <t>CA2 ADP26</t>
  </si>
  <si>
    <t>2ADP026</t>
  </si>
  <si>
    <t>Project 26 - ARFL Aircrew Flight Equipment-Compatible EOG Monitoring Capability</t>
  </si>
  <si>
    <t>04/2021 - 12/2021</t>
  </si>
  <si>
    <t>P00027</t>
  </si>
  <si>
    <t>CA2 ADP27</t>
  </si>
  <si>
    <t>2ADP027</t>
  </si>
  <si>
    <t>Project 27 - OUSD(RE) Mantech Flexible X-ray Imager Digital Detector Arrasys (DDA) Phase III</t>
  </si>
  <si>
    <t>05/2021 - 04/2022</t>
  </si>
  <si>
    <t>P00028</t>
  </si>
  <si>
    <t xml:space="preserve">CA2 ADP28 </t>
  </si>
  <si>
    <t xml:space="preserve">2ADP028 </t>
  </si>
  <si>
    <t xml:space="preserve">Project 28 - FY21 Soldier Authentication Project Prototype D-Supplement </t>
  </si>
  <si>
    <t>11/2020 - 06/2022</t>
  </si>
  <si>
    <t>P00030</t>
  </si>
  <si>
    <t>CA2 ADP29</t>
  </si>
  <si>
    <t>2ADP029</t>
  </si>
  <si>
    <t>Project 29 - OSI Civilian Training - BMNT</t>
  </si>
  <si>
    <t>08/2021 - 08/2024</t>
  </si>
  <si>
    <t>P00031</t>
  </si>
  <si>
    <t>CA2 ADP30</t>
  </si>
  <si>
    <t>2ADP030</t>
  </si>
  <si>
    <t>Project 30 - 2D Inks for Advanced Manufacturing of Hybrid Integrated Silicon Photonics</t>
  </si>
  <si>
    <t>08/2021 - 03/2024</t>
  </si>
  <si>
    <t>P00032</t>
  </si>
  <si>
    <t>CA2 ADP31</t>
  </si>
  <si>
    <t>2ADP031</t>
  </si>
  <si>
    <t>Project 31 - Civil-Military Collaboration Initiative Phase IV - BMNT</t>
  </si>
  <si>
    <t>08/2021 - 07/2022</t>
  </si>
  <si>
    <t>P00033</t>
  </si>
  <si>
    <t>CA2 ADP32</t>
  </si>
  <si>
    <t>2ADP032</t>
  </si>
  <si>
    <t>Project 32 - Flight Suit Based Physiological Monitoring Garment: Generation II Low-Rate Initial Production</t>
  </si>
  <si>
    <t>08/2021 - 05/2025</t>
  </si>
  <si>
    <t>08/2021 - 09/2026</t>
  </si>
  <si>
    <t>P00034</t>
  </si>
  <si>
    <t>CA2 ADP33</t>
  </si>
  <si>
    <t>2ADP033</t>
  </si>
  <si>
    <t>Project 33 - OSD CII FHE ECOSYSTEM PHII</t>
  </si>
  <si>
    <t>10/2021 - 12/2025</t>
  </si>
  <si>
    <t>10/2021 - 04/2027</t>
  </si>
  <si>
    <t>P00035</t>
  </si>
  <si>
    <t>CA2 ADP34</t>
  </si>
  <si>
    <t>2ADP034</t>
  </si>
  <si>
    <t>Project 34 - Novel Advanced Hybrid Electronics for FHE-Dual Manufacturing Convergence</t>
  </si>
  <si>
    <t>09/2021 - 12/2025</t>
  </si>
  <si>
    <t>P00037</t>
  </si>
  <si>
    <t>CA2 ADP35</t>
  </si>
  <si>
    <t>2ADP035</t>
  </si>
  <si>
    <t>Digital Framework for Collaboration Between Interdisciplinary Mfg Teams</t>
  </si>
  <si>
    <t>04/2021 - 06/2025</t>
  </si>
  <si>
    <t>P00038</t>
  </si>
  <si>
    <t>CA2 ADP36</t>
  </si>
  <si>
    <t>2ADP036</t>
  </si>
  <si>
    <t>Project 36 - Innovation Capacity Building for TSA</t>
  </si>
  <si>
    <t>10/2021 - 03/2022</t>
  </si>
  <si>
    <t>P00039</t>
  </si>
  <si>
    <t>CA2 ADP37</t>
  </si>
  <si>
    <t>2ADP037</t>
  </si>
  <si>
    <t>Project 37 - Civil-Military Collaboration Initiative Phase V - BMNT</t>
  </si>
  <si>
    <t>12/2021 - 11/2022</t>
  </si>
  <si>
    <t>P00040</t>
  </si>
  <si>
    <t>CA2 ADP38</t>
  </si>
  <si>
    <t>2ADP038</t>
  </si>
  <si>
    <t xml:space="preserve">Project 38 - Continuous Non-Invasive Blood Pressure Monitor for En Route Care </t>
  </si>
  <si>
    <t>01/2022 - 06/2024</t>
  </si>
  <si>
    <t>P00041</t>
  </si>
  <si>
    <t>CA2 ADP39</t>
  </si>
  <si>
    <t>2ADP039</t>
  </si>
  <si>
    <t>Project 39 - NASIC T-2 Program PhII</t>
  </si>
  <si>
    <t>02/2022 - 02/2023</t>
  </si>
  <si>
    <t>P00042</t>
  </si>
  <si>
    <t>CA2 ADP40</t>
  </si>
  <si>
    <t>2ADP040</t>
  </si>
  <si>
    <t>Project 40 - Large Area Additive Mfg for Conformal Apertures (LAAMCA)</t>
  </si>
  <si>
    <t>04/2022 - 12/2023</t>
  </si>
  <si>
    <t>P00044</t>
  </si>
  <si>
    <t>CA2 ADP41</t>
  </si>
  <si>
    <t>2ADP041</t>
  </si>
  <si>
    <t>Project 41 - Capacity Building for Advanced Mfg Hybrid Integrated Silicon Photonics</t>
  </si>
  <si>
    <t>05/2022 - 09/2024</t>
  </si>
  <si>
    <t>P00045</t>
  </si>
  <si>
    <t>CA2 ADP42</t>
  </si>
  <si>
    <t>2ADP042</t>
  </si>
  <si>
    <t>Project 42 - DTRA Funded Optimized Electronics for Fully Flex High Performance Electronics</t>
  </si>
  <si>
    <t>05/2022 - 04/2024</t>
  </si>
  <si>
    <t>P00046</t>
  </si>
  <si>
    <t>CA2 ADP43</t>
  </si>
  <si>
    <t>2ADP043</t>
  </si>
  <si>
    <t>Project 43 - Innovation Capacity Building for TSA</t>
  </si>
  <si>
    <t>05/2022 - 11/2023</t>
  </si>
  <si>
    <t>P00047</t>
  </si>
  <si>
    <t>CA2 ADP44</t>
  </si>
  <si>
    <t>2ADP044</t>
  </si>
  <si>
    <t>Project 44 -FHE Conversion of a Demonstrated Wearable Deep Tissue Oxygenation Patch for Casualty Tracking &amp; Monitoring</t>
  </si>
  <si>
    <t>06/2022 - 03/2024</t>
  </si>
  <si>
    <t>P00048</t>
  </si>
  <si>
    <t>CA2 ADP45</t>
  </si>
  <si>
    <t>2ADP045</t>
  </si>
  <si>
    <t>Project 45 - NSIN hacking for Defense FY2022 Q3 PT3</t>
  </si>
  <si>
    <t>P00049</t>
  </si>
  <si>
    <t>CA2 ADP46</t>
  </si>
  <si>
    <t>2ADP046</t>
  </si>
  <si>
    <t>Project 46 - NASIC Global Exploitation Squadron (GXF) T-2 Program PhIII</t>
  </si>
  <si>
    <t>05/2022 - 05/2023</t>
  </si>
  <si>
    <t>05/2022 - 05/2024</t>
  </si>
  <si>
    <t>P00050</t>
  </si>
  <si>
    <t>CA2 ADP47</t>
  </si>
  <si>
    <t>2ADP047</t>
  </si>
  <si>
    <t>Project 47 - Novel Adv Hybrid Electronics for Weapons &amp; Armaments Mfg Convergence</t>
  </si>
  <si>
    <t>06/2022 - 03/2026</t>
  </si>
  <si>
    <t>P00051</t>
  </si>
  <si>
    <t>CA2 ADP48</t>
  </si>
  <si>
    <t>2ADP048</t>
  </si>
  <si>
    <t>Project 48 - NSIN Hacking for Defense FY2022 Q3 PT4</t>
  </si>
  <si>
    <t>08/2022 - 03/2023</t>
  </si>
  <si>
    <t>P00052</t>
  </si>
  <si>
    <t>CA2 ADP49</t>
  </si>
  <si>
    <t>2ADP049</t>
  </si>
  <si>
    <t>Project 49 - OUSD (R&amp;E) M-EWD-MII Diversity, Equity, Inclusion and Accessibility (DEIA)</t>
  </si>
  <si>
    <t>09/2022 - 12/2025</t>
  </si>
  <si>
    <t>P00061</t>
  </si>
  <si>
    <t>CA2 ADP50</t>
  </si>
  <si>
    <t>2ADP050</t>
  </si>
  <si>
    <t>Project 50 - Large Area Additive Manufacturing for Conformal Apertures (LAAMCA)</t>
  </si>
  <si>
    <t>09/2022 - 09/2024</t>
  </si>
  <si>
    <t>P00053</t>
  </si>
  <si>
    <t>04/2023 - 09/2024</t>
  </si>
  <si>
    <t>P00054</t>
  </si>
  <si>
    <t>CA2 ADP51</t>
  </si>
  <si>
    <t>2ADP051</t>
  </si>
  <si>
    <t>Project 51 - Materials Enablers for Advanced Manufacturing of Attritable Fuel Cells</t>
  </si>
  <si>
    <t>09/2022 - 06/2024</t>
  </si>
  <si>
    <t>P00055</t>
  </si>
  <si>
    <t>CA2 ADP52</t>
  </si>
  <si>
    <t>2ADP052</t>
  </si>
  <si>
    <t>Project 52 - Innovation Capacity Building for TSA PH4</t>
  </si>
  <si>
    <t>09/2022 - 12/2023</t>
  </si>
  <si>
    <t>P00057</t>
  </si>
  <si>
    <t>CA2 ADP53</t>
  </si>
  <si>
    <t>2ADP053</t>
  </si>
  <si>
    <t>Project 53 - FY22 Soldier Authentication Project Prototype D Serial Update</t>
  </si>
  <si>
    <t>10/2022 - 04/2024</t>
  </si>
  <si>
    <t>P00058</t>
  </si>
  <si>
    <t>CA2 ADP54</t>
  </si>
  <si>
    <t>2ADP054</t>
  </si>
  <si>
    <t>Project 54 - Printed Electronics, Energetics, Materials and Sensors (PEEMS)</t>
  </si>
  <si>
    <t>10/2022 - 08/2024</t>
  </si>
  <si>
    <t>P00059</t>
  </si>
  <si>
    <t>CA2 ADP55</t>
  </si>
  <si>
    <t>2ADP055</t>
  </si>
  <si>
    <t>Project 55 - NASIC T-2 Program Part IV</t>
  </si>
  <si>
    <t>11/2022 - 12/2025</t>
  </si>
  <si>
    <t>P00060|P00063</t>
  </si>
  <si>
    <t>CA2 ADP56</t>
  </si>
  <si>
    <t>2ADP056</t>
  </si>
  <si>
    <t>Project 56 - Integrated Head Protection System (IHPS) Railink Infrastructure</t>
  </si>
  <si>
    <t>11/2022 - 04/2024</t>
  </si>
  <si>
    <t>P00062</t>
  </si>
  <si>
    <t>CA2 ADP57</t>
  </si>
  <si>
    <t>2ADP057</t>
  </si>
  <si>
    <t>Project 57 - FHE To Mitigate Climate Change</t>
  </si>
  <si>
    <t>06/2023 - 04/2025</t>
  </si>
  <si>
    <t>P00064</t>
  </si>
  <si>
    <t>CA2 ADP58</t>
  </si>
  <si>
    <t>2ADP058</t>
  </si>
  <si>
    <t>Project 58 - Education &amp; Workforce Development MII Network-OUSD(R&amp;E) Manufacturing Tech Program Office|MFG-Education Workforce Develop|Defense Manufacturing Innovation Institute Workforce &amp; Network Evaluation Program</t>
  </si>
  <si>
    <t>01/2023 - 12/2025</t>
  </si>
  <si>
    <t>P00065</t>
  </si>
  <si>
    <t>CA2 ADP59</t>
  </si>
  <si>
    <t>2ADP059</t>
  </si>
  <si>
    <t>Project 59 - Building the Defense Innovation - Base's Advance Manufacturing Workforce Program (OSD EWD Phase II)</t>
  </si>
  <si>
    <t>04/2023 - 06/2025</t>
  </si>
  <si>
    <t>P00066</t>
  </si>
  <si>
    <t>CA2 ADP60</t>
  </si>
  <si>
    <t>2ADP060</t>
  </si>
  <si>
    <t>Project 60 - High Temperature CMOS Signal Electronics</t>
  </si>
  <si>
    <t>03/2023 - 01/2025</t>
  </si>
  <si>
    <t>P00067</t>
  </si>
  <si>
    <t>CA2 ADP61</t>
  </si>
  <si>
    <t>2ADP061</t>
  </si>
  <si>
    <t>Project 61 - Prototype Enablement [SEMI]</t>
  </si>
  <si>
    <t>04/2023 - 07/2026</t>
  </si>
  <si>
    <t>P00070</t>
  </si>
  <si>
    <t>CA2 ADP62</t>
  </si>
  <si>
    <t>2ADP062</t>
  </si>
  <si>
    <t>Project 62 - Building The Defense Innovation - Base's Advanced Mfg Workforce program (OSD EWD Phase III)</t>
  </si>
  <si>
    <t>06/2023 - 03/2026</t>
  </si>
  <si>
    <t>P00072</t>
  </si>
  <si>
    <t>CA2 ADP63</t>
  </si>
  <si>
    <t>2ADP063</t>
  </si>
  <si>
    <t>Project 63 - Austere NField Repair</t>
  </si>
  <si>
    <t>06/2023 - 05/2024</t>
  </si>
  <si>
    <t>P00074</t>
  </si>
  <si>
    <t>CA2 ADP64</t>
  </si>
  <si>
    <t>2ADP064</t>
  </si>
  <si>
    <t>Project 64 - OSD Hybrid Electronic CII FY23</t>
  </si>
  <si>
    <t>07/2023 - 06/2026</t>
  </si>
  <si>
    <t>P00075</t>
  </si>
  <si>
    <t>CA2 ADP65</t>
  </si>
  <si>
    <t>2ADP065</t>
  </si>
  <si>
    <t>Project 65 - NSIN Hacking for Defense FY2023</t>
  </si>
  <si>
    <t>06/2023 - 03/2025</t>
  </si>
  <si>
    <t>P00076</t>
  </si>
  <si>
    <t>CA2 ADP66</t>
  </si>
  <si>
    <t>2ADP066</t>
  </si>
  <si>
    <t>Project 66 - DTRA Funded Flexible XRay Imager</t>
  </si>
  <si>
    <t>07/2023 - 05/2025</t>
  </si>
  <si>
    <t>P00071</t>
  </si>
  <si>
    <t>CA2 ADP67</t>
  </si>
  <si>
    <t>2ADP067</t>
  </si>
  <si>
    <t>Project 67 - Domestic Advancement of Smart Textiles Manufacturing</t>
  </si>
  <si>
    <t>06/2023 - 05/2025</t>
  </si>
  <si>
    <t>P00078|P00082</t>
  </si>
  <si>
    <t>CA2 ADP68</t>
  </si>
  <si>
    <t>2ADP068</t>
  </si>
  <si>
    <t>Project 68 - NASIC T-2 Program FY23</t>
  </si>
  <si>
    <t>07/2023 - 03/2025</t>
  </si>
  <si>
    <t>P00077</t>
  </si>
  <si>
    <t>CA2 ADP69</t>
  </si>
  <si>
    <t>2ADP069</t>
  </si>
  <si>
    <t>Project 69 - Flexible/Conformable Data Acquisition Integration for On Board Recorder (OBR)</t>
  </si>
  <si>
    <t>08/2023 - 07/2025</t>
  </si>
  <si>
    <t>P00079</t>
  </si>
  <si>
    <t>CA2 ADP70</t>
  </si>
  <si>
    <t>2ADP070</t>
  </si>
  <si>
    <t>Project 70 - Army-SC MDO Project PT2 FY23</t>
  </si>
  <si>
    <t>P00080</t>
  </si>
  <si>
    <t>CA2 ADP71</t>
  </si>
  <si>
    <t>2ADP071</t>
  </si>
  <si>
    <t>Project 71 - 2D/3D Heterogeneous &amp; Monolithic Integration via MOCVD of 2D Transition Metal Dichalcogenides on 3D Semiconductors</t>
  </si>
  <si>
    <t>08/2023 - 08/2025</t>
  </si>
  <si>
    <t>P00081</t>
  </si>
  <si>
    <t>CA2 ADP72</t>
  </si>
  <si>
    <t>2ADP072</t>
  </si>
  <si>
    <t>Project 72 - Innovation Capacity Building</t>
  </si>
  <si>
    <t>08/2023 - 12/2024</t>
  </si>
  <si>
    <t>P00083</t>
  </si>
  <si>
    <t>CA2 ADP73</t>
  </si>
  <si>
    <t>2ADP073</t>
  </si>
  <si>
    <t>Project 73 - Study of Direct Planar Attachment of Mid-Band Radiators</t>
  </si>
  <si>
    <t>08/2023 - 03/2025</t>
  </si>
  <si>
    <t>P00088</t>
  </si>
  <si>
    <t>CA2 ADP74</t>
  </si>
  <si>
    <t>2ADP074</t>
  </si>
  <si>
    <t>Project 74 - Army Hybrid Electronics Project Collaboration with SEMI</t>
  </si>
  <si>
    <t>11/2023 - 12/2026</t>
  </si>
  <si>
    <t>FY24 Q1</t>
  </si>
  <si>
    <t>P00085</t>
  </si>
  <si>
    <t>CA2 ADP75</t>
  </si>
  <si>
    <t>2ADP075</t>
  </si>
  <si>
    <t>Project 75 - Attritable Midwave Infrared Cameras for UAVs</t>
  </si>
  <si>
    <t>11/2023 - 11/2026</t>
  </si>
  <si>
    <t>P00089</t>
  </si>
  <si>
    <t>P00099</t>
  </si>
  <si>
    <t>P00111/P00112 DoDAAC</t>
  </si>
  <si>
    <t>P00121</t>
  </si>
  <si>
    <t>P00123</t>
  </si>
  <si>
    <t>P00124</t>
  </si>
  <si>
    <t>P00133</t>
  </si>
  <si>
    <t>P00151</t>
  </si>
  <si>
    <t>P00165</t>
  </si>
  <si>
    <t>P00178</t>
  </si>
  <si>
    <t>P00086</t>
  </si>
  <si>
    <t>CA2 ADP76</t>
  </si>
  <si>
    <t>2ADP076</t>
  </si>
  <si>
    <t>Project 76 - Intellectual Property Education Partnership</t>
  </si>
  <si>
    <t>10/2023 - 05/2025</t>
  </si>
  <si>
    <t>P00092</t>
  </si>
  <si>
    <t>P00087</t>
  </si>
  <si>
    <t>CA2 ADP77</t>
  </si>
  <si>
    <t>2ADP077</t>
  </si>
  <si>
    <t>Project 77 - Next Generation Small Satellite</t>
  </si>
  <si>
    <t>12/2023 - 12/2026</t>
  </si>
  <si>
    <t>P00090</t>
  </si>
  <si>
    <t>CA2 ADP78</t>
  </si>
  <si>
    <t>2ADP078</t>
  </si>
  <si>
    <t>Project 78 - Force Improvements from Resiienr Electronics Systems Phse 1 (FIRES1)</t>
  </si>
  <si>
    <t>12/2023 - 10/2025</t>
  </si>
  <si>
    <t>P00094</t>
  </si>
  <si>
    <t>CA2 ADP79</t>
  </si>
  <si>
    <t>2ADP079</t>
  </si>
  <si>
    <t>Project 79 - Resilient Electronics for Demanding Environments (RED-E) Phase 1</t>
  </si>
  <si>
    <t>02/2024 - 06/2025</t>
  </si>
  <si>
    <t>P00095</t>
  </si>
  <si>
    <t>CA2 ADP80</t>
  </si>
  <si>
    <t>2ADP080</t>
  </si>
  <si>
    <t>Project 80 - NASIC T2 Program FY23 #2</t>
  </si>
  <si>
    <t>02/2024 - 04/2026</t>
  </si>
  <si>
    <t>P00102</t>
  </si>
  <si>
    <t>CA2 ADP81</t>
  </si>
  <si>
    <t>2ADP081</t>
  </si>
  <si>
    <t>Project 81 - Compact Wide-band Frequency Agile Microwave Filters for WARCHAMP Phase 1</t>
  </si>
  <si>
    <t>03/2024 - 06/2025</t>
  </si>
  <si>
    <t>P00098</t>
  </si>
  <si>
    <t>CA2 ADP82</t>
  </si>
  <si>
    <t>2ADP082</t>
  </si>
  <si>
    <t>Project 82 - Adding Rheoencephalography to Wearable Multimodal Cerebrophysiological Monitor for Continuous Aircrew State Assessment</t>
  </si>
  <si>
    <t>02/2024 - 03/2025</t>
  </si>
  <si>
    <t>P00097</t>
  </si>
  <si>
    <t>CA2 ADP83</t>
  </si>
  <si>
    <t>2ADP083</t>
  </si>
  <si>
    <t>Project 83 - OSD Strategic Investment for Heterogeneous Integration (OSD)</t>
  </si>
  <si>
    <t>02/2024 - 04/2027</t>
  </si>
  <si>
    <t>02/2024 - 03/2026</t>
  </si>
  <si>
    <t>P00100</t>
  </si>
  <si>
    <t>CA2 ADP84</t>
  </si>
  <si>
    <t>2ADP084</t>
  </si>
  <si>
    <t>Project 84 - FHE to Mitigate Climate Change</t>
  </si>
  <si>
    <t>03/2024 - 04/2027</t>
  </si>
  <si>
    <t>P00101</t>
  </si>
  <si>
    <t>CA2 ADP85</t>
  </si>
  <si>
    <t>2ADP085</t>
  </si>
  <si>
    <t>Project 85 - OSD High Temperature CMOS Signal Electronics</t>
  </si>
  <si>
    <t>03/2024 - 02/2026</t>
  </si>
  <si>
    <t>P00107</t>
  </si>
  <si>
    <t>CA2 ADP86</t>
  </si>
  <si>
    <t>2ADP086</t>
  </si>
  <si>
    <t>Project 86 - MECAMIC (Metal Embedded Chiplet Assembly) Heterogeneous Integration Advancement</t>
  </si>
  <si>
    <t>05/2024 - 07/2026</t>
  </si>
  <si>
    <t>waiting for MOD</t>
  </si>
  <si>
    <t>P00103</t>
  </si>
  <si>
    <t>CA2 ADP87</t>
  </si>
  <si>
    <t>2ADP087</t>
  </si>
  <si>
    <t>Project 87 - Large Area Additive Manufacturing For Confirmal Apertures (LAAMCA)</t>
  </si>
  <si>
    <t>04/2024 - 05/2026</t>
  </si>
  <si>
    <t>P00104</t>
  </si>
  <si>
    <t>CA2 ADP88</t>
  </si>
  <si>
    <t>2ADP088</t>
  </si>
  <si>
    <t>Project 88 - Analog Neuromorphic Front-End Preprocessor for WARCHAMP Phase 1</t>
  </si>
  <si>
    <t>04/2024 - 08/2025</t>
  </si>
  <si>
    <t>P00106</t>
  </si>
  <si>
    <t>CA2 ADP89</t>
  </si>
  <si>
    <t>2ADP089</t>
  </si>
  <si>
    <t>Project 89 - Equipping The Advanced Mfg Ecosystem to Deepen Diversity, Equity, Inclucion and Accessibility (DEIA) Workforce Integration</t>
  </si>
  <si>
    <t>04/2024 - 10/2026</t>
  </si>
  <si>
    <t>P00135</t>
  </si>
  <si>
    <t>P00136</t>
  </si>
  <si>
    <t>P00137</t>
  </si>
  <si>
    <t>P00108</t>
  </si>
  <si>
    <t>CA2 ADP90</t>
  </si>
  <si>
    <t>2ADP090</t>
  </si>
  <si>
    <t>Project 90 - T-2 Program FY24</t>
  </si>
  <si>
    <t>06/2024 - 03/2026</t>
  </si>
  <si>
    <t>P00109/P00112 DoDAAC</t>
  </si>
  <si>
    <t>CA2 ADP91</t>
  </si>
  <si>
    <t>2ADP091</t>
  </si>
  <si>
    <t>Project 91 - FY23 Domestic Advancement of Smart Textiles Manufacturing Bridge to AFFOA-2 CA - Part 1</t>
  </si>
  <si>
    <t>06/2024 - 12/2025</t>
  </si>
  <si>
    <t>P00113</t>
  </si>
  <si>
    <t>CA2 ADP92</t>
  </si>
  <si>
    <t>2ADP092</t>
  </si>
  <si>
    <t>Project 92 - OIB Modernization Challenge: Cybersecure Data Compliance for Integrated Sensors &amp; Shop Floor Digitization</t>
  </si>
  <si>
    <t>08/2024 - 03/2025</t>
  </si>
  <si>
    <t>P00120</t>
  </si>
  <si>
    <t>CA2 ADP93</t>
  </si>
  <si>
    <t>2ADP093</t>
  </si>
  <si>
    <t>Project 93 - Acceleration Factors &amp; Life Models for Sustainable non-PFAS Packaging Materials &amp; Processes</t>
  </si>
  <si>
    <t>09/2024 - 01/2027</t>
  </si>
  <si>
    <t>P00146</t>
  </si>
  <si>
    <t>CA2 ADP94</t>
  </si>
  <si>
    <t>2ADP094</t>
  </si>
  <si>
    <t>Project 94 - ONR Attritable Fuel Cells for Navy</t>
  </si>
  <si>
    <t>05/2025 - 05/2026</t>
  </si>
  <si>
    <t>P00118</t>
  </si>
  <si>
    <t>CA2 ADP95</t>
  </si>
  <si>
    <t>2ADP095</t>
  </si>
  <si>
    <t>Project 95 - NSIN Hacking for Defense FY2024</t>
  </si>
  <si>
    <t>09/2024 - 09/2025</t>
  </si>
  <si>
    <t>P00122</t>
  </si>
  <si>
    <t>CA2 ADP96</t>
  </si>
  <si>
    <t>2ADP096</t>
  </si>
  <si>
    <t>Project 96 - Innovation Services</t>
  </si>
  <si>
    <t>10/2024 - 10/2026</t>
  </si>
  <si>
    <t>P00116</t>
  </si>
  <si>
    <t>CA2 ADP97</t>
  </si>
  <si>
    <t>2ADP097</t>
  </si>
  <si>
    <t>Project 97 - FY24 Hacking for Manufacturing (H4M)</t>
  </si>
  <si>
    <t>08/2024 - 01/2026</t>
  </si>
  <si>
    <t>P00117</t>
  </si>
  <si>
    <t>CA2 ADP98</t>
  </si>
  <si>
    <t>2ADP098</t>
  </si>
  <si>
    <t>Project 98 - OSD Hybrid Electronic CII FY24</t>
  </si>
  <si>
    <t>09/2024 - 09/2027</t>
  </si>
  <si>
    <t>P00125</t>
  </si>
  <si>
    <t>CA2 ADP100</t>
  </si>
  <si>
    <t>2ADP100</t>
  </si>
  <si>
    <t>Project 100 - DFO2 Array development</t>
  </si>
  <si>
    <t>11/2024 - 11/2025</t>
  </si>
  <si>
    <t>P00134</t>
  </si>
  <si>
    <t>CA2 ADP102</t>
  </si>
  <si>
    <t>2ADP102</t>
  </si>
  <si>
    <t>Project 102 - Maturation of Graphene Optoelectronic Coatings</t>
  </si>
  <si>
    <t>03/2025 - 04/2027</t>
  </si>
  <si>
    <t>FY25 Q2</t>
  </si>
  <si>
    <t>P00127</t>
  </si>
  <si>
    <t>CA2 ADP103</t>
  </si>
  <si>
    <t>2ADP103</t>
  </si>
  <si>
    <t>Project 103 - Printed Electronics For Waepons &amp; Armament Components</t>
  </si>
  <si>
    <t>12/2024 - 12/2026</t>
  </si>
  <si>
    <t>P00132</t>
  </si>
  <si>
    <t>CA2 ADP104</t>
  </si>
  <si>
    <t>2ADP104</t>
  </si>
  <si>
    <t>Project 104 - Combat Regeneration for Operational Sustainment &amp; Support of Forces in Intense Training (Crossfit)</t>
  </si>
  <si>
    <t>02/2025 - 12/2025</t>
  </si>
  <si>
    <t>P00129</t>
  </si>
  <si>
    <t>CA2 ADP106</t>
  </si>
  <si>
    <t>2ADP106</t>
  </si>
  <si>
    <t>Project 106 - Mixed Dimensional Quantum Materials for Vertical &amp; Lateral Heterostructures Based Devices</t>
  </si>
  <si>
    <t>01/2025 - 05/2027</t>
  </si>
  <si>
    <t>P00130</t>
  </si>
  <si>
    <t>CA2 ADP107</t>
  </si>
  <si>
    <t>2ADP107</t>
  </si>
  <si>
    <t>Project 107 - Innovation Services FY25</t>
  </si>
  <si>
    <t>01/2025 - 05/2025</t>
  </si>
  <si>
    <t>P00131</t>
  </si>
  <si>
    <t>CA2 ADP109</t>
  </si>
  <si>
    <t>2ADP109</t>
  </si>
  <si>
    <t>Project 109 - Resilient Electronics for Demanding Environments Red-E Phase 2</t>
  </si>
  <si>
    <t>01/2025 - 01/2026</t>
  </si>
  <si>
    <t>P00128</t>
  </si>
  <si>
    <t>CA2 ADP110</t>
  </si>
  <si>
    <t>2ADP110</t>
  </si>
  <si>
    <t>Project 110 - Intellectual Property Education Partnership</t>
  </si>
  <si>
    <t>P00139</t>
  </si>
  <si>
    <t>CA2 ADP112</t>
  </si>
  <si>
    <t>2ADP112</t>
  </si>
  <si>
    <t>Project 112 - Compact Wide-Band Frequency Agile Microwave Filters for Warchamp Phase 2</t>
  </si>
  <si>
    <t>04/2025 - 04/2026</t>
  </si>
  <si>
    <t>P00141</t>
  </si>
  <si>
    <t>CA2 ADP113</t>
  </si>
  <si>
    <t>2ADP113</t>
  </si>
  <si>
    <t>Project 113 - Analog Neuromorphic Front-End Preprocessor for Warchamp Phase 2</t>
  </si>
  <si>
    <t>P00144</t>
  </si>
  <si>
    <t>CA2 ADP114</t>
  </si>
  <si>
    <t>2ADP114</t>
  </si>
  <si>
    <t>Project 114 - Navy Launch - Commercial Acceleration of Deprtment of the Navy (DON) SBIR Awardees</t>
  </si>
  <si>
    <t>P00138</t>
  </si>
  <si>
    <t>CA2 ADP115</t>
  </si>
  <si>
    <t>2ADP115</t>
  </si>
  <si>
    <t>Project 115 - Resilient Extreme Environment Materials: Flexible Variable Emissivity Films</t>
  </si>
  <si>
    <t>03/2025 - 02/2026</t>
  </si>
  <si>
    <t>P00149</t>
  </si>
  <si>
    <t>CA2 ADP116</t>
  </si>
  <si>
    <t>2ADP116</t>
  </si>
  <si>
    <t>Project 116 - Heated Hardware for Combat Aircrew Environmental Protection</t>
  </si>
  <si>
    <t>06/2025 - 12/2025</t>
  </si>
  <si>
    <t>P00145</t>
  </si>
  <si>
    <t>CA2 ADP117</t>
  </si>
  <si>
    <t>2ADP117</t>
  </si>
  <si>
    <t>Project 117 - Innovation Services PHASE II</t>
  </si>
  <si>
    <t>05/2025 - 09/2025</t>
  </si>
  <si>
    <t>P00147/P00152 Correct'n</t>
  </si>
  <si>
    <t>CA2 ADP118</t>
  </si>
  <si>
    <t>2ADP118</t>
  </si>
  <si>
    <t>Project 118 - T2 Program FY25</t>
  </si>
  <si>
    <t>P00147</t>
  </si>
  <si>
    <t>P00159</t>
  </si>
  <si>
    <t>CA2 ADP119</t>
  </si>
  <si>
    <t>2ADP119</t>
  </si>
  <si>
    <t>Project 119 - US Army Hybird Electronics Collaboration Project</t>
  </si>
  <si>
    <t>09/2025 - 10/2027</t>
  </si>
  <si>
    <t>P00148</t>
  </si>
  <si>
    <t>CA2 ADP120</t>
  </si>
  <si>
    <t>2ADP120</t>
  </si>
  <si>
    <t>Project 120 - DIU Hacking for Defense Spring 2025 Phase 2</t>
  </si>
  <si>
    <t>05/2025 - 10/2025</t>
  </si>
  <si>
    <t>P00150</t>
  </si>
  <si>
    <t>CA2 ADP121</t>
  </si>
  <si>
    <t>2ADP121</t>
  </si>
  <si>
    <t>Project 121 - Large Area Additive Manufacturing For Conformal Apertures (LAAMCA)</t>
  </si>
  <si>
    <t>06/2025 - 07/2026</t>
  </si>
  <si>
    <t>P00153</t>
  </si>
  <si>
    <t>CA2 ADP122</t>
  </si>
  <si>
    <t>2ADP122</t>
  </si>
  <si>
    <t>Project 122 - High Temperature CMOS Signal Electronics</t>
  </si>
  <si>
    <t>06/2025 - 08/2026</t>
  </si>
  <si>
    <t>P00154</t>
  </si>
  <si>
    <t>CA2 ADP123</t>
  </si>
  <si>
    <t>2ADP123</t>
  </si>
  <si>
    <t>Project 123 - Innovation Services</t>
  </si>
  <si>
    <t>07/2025 - 09/2025</t>
  </si>
  <si>
    <t>P00155</t>
  </si>
  <si>
    <t>CA2 ADP124</t>
  </si>
  <si>
    <t>2ADP124</t>
  </si>
  <si>
    <t>Project 124 - Hacking for Manufacturing (H4M) Pilot Program</t>
  </si>
  <si>
    <t>08/2025 - 08/2026</t>
  </si>
  <si>
    <t>P00156</t>
  </si>
  <si>
    <t>CA2 ADP125</t>
  </si>
  <si>
    <t>2ADP125</t>
  </si>
  <si>
    <t>Project 125 - Using FHE for Installation Resiliency and Efficiency</t>
  </si>
  <si>
    <t>08/2025 - 08/2027</t>
  </si>
  <si>
    <t>P00157</t>
  </si>
  <si>
    <t>CA2 ADP126</t>
  </si>
  <si>
    <t>2ADP126</t>
  </si>
  <si>
    <t>Project 126 - Skywalker ROIC Yield Improvement</t>
  </si>
  <si>
    <t>08/2025 - 09/2026</t>
  </si>
  <si>
    <t>P00163</t>
  </si>
  <si>
    <t>P00158</t>
  </si>
  <si>
    <t>CA2 ADP127</t>
  </si>
  <si>
    <t>2ADP127</t>
  </si>
  <si>
    <t>Project 127 - DIU Innovation &amp; Entrepreneurship Program FY2026 H4D</t>
  </si>
  <si>
    <t>09/2025 - 09/2026</t>
  </si>
  <si>
    <t>P00166</t>
  </si>
  <si>
    <t>CA2 ADP128</t>
  </si>
  <si>
    <t>2ADP128</t>
  </si>
  <si>
    <t>Project 128 - Navy Launch Commercial Acceleration of Dept of the Navy (SON) SBIR Awardees</t>
  </si>
  <si>
    <t>12/2025 - 01/2027</t>
  </si>
  <si>
    <t>P00160 | P00161</t>
  </si>
  <si>
    <t>CA2 ADP129</t>
  </si>
  <si>
    <t>2ADP129</t>
  </si>
  <si>
    <t>Project 129 - T-2 Program FY24 Phase 2</t>
  </si>
  <si>
    <t>10/2025 - 09/2026</t>
  </si>
  <si>
    <t>P00169</t>
  </si>
  <si>
    <t>CA2 ADP131</t>
  </si>
  <si>
    <t>2ADP131</t>
  </si>
  <si>
    <t>Project 131 - Extreme Environment Devices for IoT to Address Casting &amp; Forging Supply</t>
  </si>
  <si>
    <t>01/2026 - 01/2027</t>
  </si>
  <si>
    <t>P00170</t>
  </si>
  <si>
    <t>CA2 ADP132</t>
  </si>
  <si>
    <t>2ADP132</t>
  </si>
  <si>
    <t>Project 132 - Using FHE for Installation Resiliency &amp; Efficiency</t>
  </si>
  <si>
    <t>01/2026 - 02/2028</t>
  </si>
  <si>
    <t>P00172</t>
  </si>
  <si>
    <t>CA2 ADP133</t>
  </si>
  <si>
    <t>2ADP133</t>
  </si>
  <si>
    <t>Project 133 - TechFlex Careers Training Program Phase 1</t>
  </si>
  <si>
    <t>P00175</t>
  </si>
  <si>
    <t>CA2 ADP134</t>
  </si>
  <si>
    <t>2ADP134</t>
  </si>
  <si>
    <t>Project 134 - Large Area Additive Manufacturing For Confirmal Apertures (LAAMCA) Yr 5</t>
  </si>
  <si>
    <t>03/2026 - 12/2027</t>
  </si>
  <si>
    <t>P00174</t>
  </si>
  <si>
    <t>CA2 ADP137</t>
  </si>
  <si>
    <t>2ADP137</t>
  </si>
  <si>
    <t>Project 137 - Electronics for UxS</t>
  </si>
  <si>
    <t>02/2026 - 09/2027</t>
  </si>
  <si>
    <t>P00173</t>
  </si>
  <si>
    <t>CA2 ADP138</t>
  </si>
  <si>
    <t>2ADP138</t>
  </si>
  <si>
    <t>Project 138 - Integration of FHE with Advanced Robotics for Manufacturing</t>
  </si>
  <si>
    <t>01/2026 - 06/2027</t>
  </si>
  <si>
    <t>P00176</t>
  </si>
  <si>
    <t>CA2 ADP140</t>
  </si>
  <si>
    <t>2ADP140</t>
  </si>
  <si>
    <t>Project 140 - Compact Wide-band Frequency Agile Microwave Filters for WARCHAMP Phase III</t>
  </si>
  <si>
    <t>02/2026 - 02/2027</t>
  </si>
  <si>
    <t>P00119</t>
  </si>
  <si>
    <t>CA2 ADP99</t>
  </si>
  <si>
    <t>2ADP099</t>
  </si>
  <si>
    <t>Project 99 - OSD Strategic Investment CII FY24</t>
  </si>
  <si>
    <t>09/2024 - 11/2024</t>
  </si>
  <si>
    <t>P00126</t>
  </si>
  <si>
    <t>CA2 ADP101</t>
  </si>
  <si>
    <t>2ADP101</t>
  </si>
  <si>
    <t>Project 101 - OSD Hybrid Electronic CII FY25</t>
  </si>
  <si>
    <t>11/2024 - 11/2027</t>
  </si>
  <si>
    <t>P00164</t>
  </si>
  <si>
    <t>P00167 - P00168</t>
  </si>
  <si>
    <t>CA2 ADP130</t>
  </si>
  <si>
    <t>2ADP130</t>
  </si>
  <si>
    <t xml:space="preserve">Project 130 - OSD HE Strategic Investment </t>
  </si>
  <si>
    <t>01/2026 - 01/2028</t>
  </si>
  <si>
    <t>Totals</t>
  </si>
  <si>
    <t>Crossck to SF270</t>
  </si>
  <si>
    <t>diff is core funds</t>
  </si>
  <si>
    <t>Bible</t>
  </si>
  <si>
    <t>Diff</t>
  </si>
  <si>
    <t>Qtr Date</t>
  </si>
  <si>
    <t>Type</t>
  </si>
  <si>
    <t>Amount</t>
  </si>
  <si>
    <t>2ADP001</t>
  </si>
  <si>
    <t>Committed</t>
  </si>
  <si>
    <t>2ADP002</t>
  </si>
  <si>
    <t>2ADP028</t>
  </si>
  <si>
    <t>Remaining Cash</t>
  </si>
  <si>
    <t>NOT core</t>
  </si>
  <si>
    <t>ADP75</t>
  </si>
  <si>
    <t>Incremental Bal to Fund</t>
  </si>
  <si>
    <t>ADP126</t>
  </si>
  <si>
    <t>Core for PMR reports</t>
  </si>
  <si>
    <t>C- CORE FUNDS</t>
  </si>
  <si>
    <t>Core</t>
  </si>
  <si>
    <t>ADP Core</t>
  </si>
  <si>
    <t>ADP core</t>
  </si>
  <si>
    <t>Proj Setup Pending</t>
  </si>
  <si>
    <t>Total Core</t>
  </si>
  <si>
    <t>Pay Office - HQ0339</t>
  </si>
  <si>
    <t xml:space="preserve">D- Descope </t>
  </si>
  <si>
    <t>ADP</t>
  </si>
  <si>
    <t>DoDAAC - FA2394</t>
  </si>
  <si>
    <t>DFAS DoDAAC  Issue</t>
  </si>
  <si>
    <t>MOCAS - Payment System</t>
  </si>
  <si>
    <t>W- WFD</t>
  </si>
  <si>
    <t>EDA - Contracts System</t>
  </si>
  <si>
    <t>Date Filed</t>
  </si>
  <si>
    <t>CHARLOTTE AWARDS</t>
  </si>
  <si>
    <t>BVN Date</t>
  </si>
  <si>
    <t>??</t>
  </si>
  <si>
    <t>Cash Recv'd Date</t>
  </si>
  <si>
    <t>Sequence #</t>
  </si>
  <si>
    <t xml:space="preserve">ETA in MOCAS </t>
  </si>
  <si>
    <t>Project Description</t>
  </si>
  <si>
    <t xml:space="preserve">Follow-on </t>
  </si>
  <si>
    <t>ACRN</t>
  </si>
  <si>
    <t>Govt Agency</t>
  </si>
  <si>
    <t>Cost Share</t>
  </si>
  <si>
    <t>Value</t>
  </si>
  <si>
    <t>HQ/Core</t>
  </si>
  <si>
    <t>BVN0001</t>
  </si>
  <si>
    <t>BVN0004</t>
  </si>
  <si>
    <t>BVN0005</t>
  </si>
  <si>
    <t>BVN0006</t>
  </si>
  <si>
    <t>BVN0007</t>
  </si>
  <si>
    <t>Total 2021 Funding</t>
  </si>
  <si>
    <t>BVN0008</t>
  </si>
  <si>
    <t>BVN0009</t>
  </si>
  <si>
    <t>BVN0010</t>
  </si>
  <si>
    <t>BVN0011</t>
  </si>
  <si>
    <t>Total 2022 Funding</t>
  </si>
  <si>
    <t>BVN0012</t>
  </si>
  <si>
    <t>BVN0013</t>
  </si>
  <si>
    <t>BVN0014</t>
  </si>
  <si>
    <t>BVN0015</t>
  </si>
  <si>
    <t>BVN0016</t>
  </si>
  <si>
    <t>Total 2023 Funding</t>
  </si>
  <si>
    <t>BVN0017</t>
  </si>
  <si>
    <t>Adj Per DCMA</t>
  </si>
  <si>
    <t>BVN0019</t>
  </si>
  <si>
    <t>BVN0020</t>
  </si>
  <si>
    <t>BVN0021</t>
  </si>
  <si>
    <t>BVN0022</t>
  </si>
  <si>
    <t>Total 2024 Funding</t>
  </si>
  <si>
    <t>BVN0023</t>
  </si>
  <si>
    <t>BVN0024</t>
  </si>
  <si>
    <t>BVN0025</t>
  </si>
  <si>
    <t>BVN0026</t>
  </si>
  <si>
    <t>BVN0027</t>
  </si>
  <si>
    <t>BVN0028</t>
  </si>
  <si>
    <t>BVN0029</t>
  </si>
  <si>
    <t>Total 2025 Funding</t>
  </si>
  <si>
    <t>BVN0030</t>
  </si>
  <si>
    <t>Total 2026 Funding</t>
  </si>
  <si>
    <t>Total Invoiced</t>
  </si>
  <si>
    <t>Bal to Invoice</t>
  </si>
  <si>
    <t>AC</t>
  </si>
  <si>
    <t>Other DOD</t>
  </si>
  <si>
    <t>AE</t>
  </si>
  <si>
    <t>AF</t>
  </si>
  <si>
    <t>ARMY</t>
  </si>
  <si>
    <t>AR</t>
  </si>
  <si>
    <t>AD</t>
  </si>
  <si>
    <t>AJ</t>
  </si>
  <si>
    <t>9/2020 - 08/2021</t>
  </si>
  <si>
    <t>AK</t>
  </si>
  <si>
    <t>Air Force</t>
  </si>
  <si>
    <t>AB</t>
  </si>
  <si>
    <t>AG</t>
  </si>
  <si>
    <t>11 - W</t>
  </si>
  <si>
    <t>11 - D</t>
  </si>
  <si>
    <t>AQ</t>
  </si>
  <si>
    <t>AH</t>
  </si>
  <si>
    <t>AL</t>
  </si>
  <si>
    <t>AM</t>
  </si>
  <si>
    <t>16 - W</t>
  </si>
  <si>
    <t>AA</t>
  </si>
  <si>
    <t>AN</t>
  </si>
  <si>
    <t>AP</t>
  </si>
  <si>
    <t>AS</t>
  </si>
  <si>
    <t>AT</t>
  </si>
  <si>
    <t>AU</t>
  </si>
  <si>
    <t>AV</t>
  </si>
  <si>
    <t>AW</t>
  </si>
  <si>
    <t>AZ</t>
  </si>
  <si>
    <t>AY</t>
  </si>
  <si>
    <t>BA</t>
  </si>
  <si>
    <t>BB</t>
  </si>
  <si>
    <t>BC</t>
  </si>
  <si>
    <t>BG</t>
  </si>
  <si>
    <t>BH</t>
  </si>
  <si>
    <t>BD</t>
  </si>
  <si>
    <t>BE</t>
  </si>
  <si>
    <t>BF</t>
  </si>
  <si>
    <t>33 - W</t>
  </si>
  <si>
    <t>AX</t>
  </si>
  <si>
    <t>33 - C</t>
  </si>
  <si>
    <t>BK</t>
  </si>
  <si>
    <t xml:space="preserve">BL </t>
  </si>
  <si>
    <t>Other Gov</t>
  </si>
  <si>
    <t>BM</t>
  </si>
  <si>
    <t>BP</t>
  </si>
  <si>
    <t>BQ</t>
  </si>
  <si>
    <t>BR</t>
  </si>
  <si>
    <t>BS</t>
  </si>
  <si>
    <t>BT</t>
  </si>
  <si>
    <t>BU</t>
  </si>
  <si>
    <t>BV</t>
  </si>
  <si>
    <t>BW</t>
  </si>
  <si>
    <t>BZ</t>
  </si>
  <si>
    <t>BX</t>
  </si>
  <si>
    <t>BY</t>
  </si>
  <si>
    <t>CA</t>
  </si>
  <si>
    <t>49 - W</t>
  </si>
  <si>
    <t>CB</t>
  </si>
  <si>
    <t>CE</t>
  </si>
  <si>
    <t>CF</t>
  </si>
  <si>
    <t>CL</t>
  </si>
  <si>
    <t>Navy</t>
  </si>
  <si>
    <t>CC</t>
  </si>
  <si>
    <t>CD</t>
  </si>
  <si>
    <t>CG</t>
  </si>
  <si>
    <t>CH</t>
  </si>
  <si>
    <t>CJ</t>
  </si>
  <si>
    <t>CK</t>
  </si>
  <si>
    <t>CV</t>
  </si>
  <si>
    <t>58 - W</t>
  </si>
  <si>
    <t>CN</t>
  </si>
  <si>
    <t>CP</t>
  </si>
  <si>
    <t>59 - W</t>
  </si>
  <si>
    <t>CR</t>
  </si>
  <si>
    <t>CS</t>
  </si>
  <si>
    <t>CT</t>
  </si>
  <si>
    <t>CM</t>
  </si>
  <si>
    <t>CU</t>
  </si>
  <si>
    <t>62 - W</t>
  </si>
  <si>
    <t>CY</t>
  </si>
  <si>
    <t>CZ</t>
  </si>
  <si>
    <t>DA</t>
  </si>
  <si>
    <t>CX</t>
  </si>
  <si>
    <t>DB</t>
  </si>
  <si>
    <t>DC</t>
  </si>
  <si>
    <t>DD</t>
  </si>
  <si>
    <t>CW</t>
  </si>
  <si>
    <t>DF</t>
  </si>
  <si>
    <t>DG</t>
  </si>
  <si>
    <t>DE</t>
  </si>
  <si>
    <t>DH</t>
  </si>
  <si>
    <t>DJ</t>
  </si>
  <si>
    <t>DK</t>
  </si>
  <si>
    <t>DL</t>
  </si>
  <si>
    <t>DM</t>
  </si>
  <si>
    <t>DR</t>
  </si>
  <si>
    <t>DN</t>
  </si>
  <si>
    <t>DS</t>
  </si>
  <si>
    <t>EP</t>
  </si>
  <si>
    <t>EX</t>
  </si>
  <si>
    <t>EZ</t>
  </si>
  <si>
    <t>FA</t>
  </si>
  <si>
    <t>FB</t>
  </si>
  <si>
    <t>FP</t>
  </si>
  <si>
    <t>GD</t>
  </si>
  <si>
    <t>GU</t>
  </si>
  <si>
    <t>HE</t>
  </si>
  <si>
    <t>DP</t>
  </si>
  <si>
    <t>2ADP105</t>
  </si>
  <si>
    <t>DU</t>
  </si>
  <si>
    <t>DQ</t>
  </si>
  <si>
    <t>2ADP108</t>
  </si>
  <si>
    <t>DT</t>
  </si>
  <si>
    <t>DW</t>
  </si>
  <si>
    <t>2ADP111</t>
  </si>
  <si>
    <t>DX</t>
  </si>
  <si>
    <t>DY</t>
  </si>
  <si>
    <t>EA</t>
  </si>
  <si>
    <t>EB</t>
  </si>
  <si>
    <t>DV</t>
  </si>
  <si>
    <t>83 - C</t>
  </si>
  <si>
    <t>DZ</t>
  </si>
  <si>
    <t>EG</t>
  </si>
  <si>
    <t>86 - D</t>
  </si>
  <si>
    <t>-</t>
  </si>
  <si>
    <t>EC</t>
  </si>
  <si>
    <t>ED</t>
  </si>
  <si>
    <t>89 - W</t>
  </si>
  <si>
    <t>EE</t>
  </si>
  <si>
    <t>89 D Error</t>
  </si>
  <si>
    <t>89 D Rev</t>
  </si>
  <si>
    <t>EF</t>
  </si>
  <si>
    <t>EK</t>
  </si>
  <si>
    <t>EL</t>
  </si>
  <si>
    <t>EM</t>
  </si>
  <si>
    <t>EN</t>
  </si>
  <si>
    <t>EH</t>
  </si>
  <si>
    <t>EJ</t>
  </si>
  <si>
    <t>EQ</t>
  </si>
  <si>
    <t>EV</t>
  </si>
  <si>
    <t>EW</t>
  </si>
  <si>
    <t>FX</t>
  </si>
  <si>
    <t>ET</t>
  </si>
  <si>
    <t>EY</t>
  </si>
  <si>
    <t>ER</t>
  </si>
  <si>
    <t>ES</t>
  </si>
  <si>
    <t>FC</t>
  </si>
  <si>
    <t>FD</t>
  </si>
  <si>
    <t>FQ</t>
  </si>
  <si>
    <t>FG</t>
  </si>
  <si>
    <t>Army</t>
  </si>
  <si>
    <t>FN</t>
  </si>
  <si>
    <t>FK</t>
  </si>
  <si>
    <t>FL</t>
  </si>
  <si>
    <t>FM</t>
  </si>
  <si>
    <t>FH</t>
  </si>
  <si>
    <t>FJ</t>
  </si>
  <si>
    <t>FS</t>
  </si>
  <si>
    <t>FT</t>
  </si>
  <si>
    <t>FU</t>
  </si>
  <si>
    <t>FV</t>
  </si>
  <si>
    <t>FR</t>
  </si>
  <si>
    <t>GB</t>
  </si>
  <si>
    <t>FW</t>
  </si>
  <si>
    <t>FY</t>
  </si>
  <si>
    <t>FZ</t>
  </si>
  <si>
    <t xml:space="preserve">GN </t>
  </si>
  <si>
    <t>GA</t>
  </si>
  <si>
    <t>GC</t>
  </si>
  <si>
    <t>GE</t>
  </si>
  <si>
    <t>GF</t>
  </si>
  <si>
    <t>GG</t>
  </si>
  <si>
    <t>GH</t>
  </si>
  <si>
    <t>GJ</t>
  </si>
  <si>
    <t>GK</t>
  </si>
  <si>
    <t>GS</t>
  </si>
  <si>
    <t>GL</t>
  </si>
  <si>
    <t>GM</t>
  </si>
  <si>
    <t>GV</t>
  </si>
  <si>
    <t>GP</t>
  </si>
  <si>
    <t>GQ</t>
  </si>
  <si>
    <t>GX</t>
  </si>
  <si>
    <t>GY</t>
  </si>
  <si>
    <t>GZ</t>
  </si>
  <si>
    <t>HC</t>
  </si>
  <si>
    <t>HB</t>
  </si>
  <si>
    <t>HA</t>
  </si>
  <si>
    <t>HD</t>
  </si>
  <si>
    <t>99 - C</t>
  </si>
  <si>
    <t>EU</t>
  </si>
  <si>
    <t>101 - NOT Core</t>
  </si>
  <si>
    <t>FE</t>
  </si>
  <si>
    <t>101-C</t>
  </si>
  <si>
    <t>FF</t>
  </si>
  <si>
    <t>GT</t>
  </si>
  <si>
    <t>130-C</t>
  </si>
  <si>
    <t>GR</t>
  </si>
  <si>
    <t>C</t>
  </si>
  <si>
    <t>CA2 Core</t>
  </si>
  <si>
    <t>Core Funding (Basic Effort)</t>
  </si>
  <si>
    <t>7 years</t>
  </si>
  <si>
    <t>Core Funding</t>
  </si>
  <si>
    <t>BN</t>
  </si>
  <si>
    <t>P00036</t>
  </si>
  <si>
    <t>Cost Share Modification</t>
  </si>
  <si>
    <t>Core CS Only</t>
  </si>
  <si>
    <t>P00056</t>
  </si>
  <si>
    <t>P00068</t>
  </si>
  <si>
    <t>CQ</t>
  </si>
  <si>
    <t>P00093</t>
  </si>
  <si>
    <t>Total CA2 Funding</t>
  </si>
  <si>
    <t>Total on BVN</t>
  </si>
  <si>
    <t>check</t>
  </si>
  <si>
    <t>Recv'd from DFAS</t>
  </si>
  <si>
    <t>Less: Core Funds</t>
  </si>
  <si>
    <t>Shortpay BG</t>
  </si>
  <si>
    <t>Shortpay AT  762,800</t>
  </si>
  <si>
    <t>unobligated</t>
  </si>
  <si>
    <t>Paid 11/17/22</t>
  </si>
  <si>
    <t>re-submit BVN0013</t>
  </si>
  <si>
    <t>ADP Awards</t>
  </si>
  <si>
    <t>HQ+Core</t>
  </si>
  <si>
    <t>HQ</t>
  </si>
  <si>
    <t>Amount per bible</t>
  </si>
  <si>
    <t xml:space="preserve">Diff </t>
  </si>
  <si>
    <t>NF Funds</t>
  </si>
  <si>
    <t>CA2 original</t>
  </si>
  <si>
    <t>CA2 Increase</t>
  </si>
  <si>
    <t>P00114</t>
  </si>
  <si>
    <t>AR Gov adp</t>
  </si>
  <si>
    <t>remaining</t>
  </si>
  <si>
    <t>AR Gov core</t>
  </si>
  <si>
    <t xml:space="preserve">       Def Rev adp</t>
  </si>
  <si>
    <t xml:space="preserve">       Def Rev Core</t>
  </si>
  <si>
    <t>$ Com Data</t>
  </si>
  <si>
    <t>Other Govt</t>
  </si>
  <si>
    <t>Def Rev adp</t>
  </si>
  <si>
    <t>Other DoD</t>
  </si>
  <si>
    <t xml:space="preserve">      ADP cost rev</t>
  </si>
  <si>
    <t xml:space="preserve">Def Rev core </t>
  </si>
  <si>
    <t xml:space="preserve">      Core cost rev</t>
  </si>
  <si>
    <t xml:space="preserve">      Core rev</t>
  </si>
  <si>
    <t>HQ core</t>
  </si>
  <si>
    <t>UNBILLED Gov</t>
  </si>
  <si>
    <t xml:space="preserve">        Core cost rev</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</si>
</sst>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_(* #,##0.00_);_(* \(#,##0.00\);_(* \-??_);_(@_)"/>
    <numFmt numFmtId="166" formatCode="mm/dd/yyyy"/>
    <numFmt numFmtId="167" formatCode="_(\$* #,##0.00_);_(\$* \(#,##0.00\);_(\$* \-??_);_(@_)"/>
    <numFmt numFmtId="168" formatCode="m/d/yyyy"/>
    <numFmt numFmtId="169" formatCode="_(* #,##0_);_(* \(#,##0\);_(* \-??_);_(@_)"/>
  </numFmts>
  <fonts count="38">
    <font>
      <sz val="11.0"/>
      <color theme="1"/>
      <name val="Calibri"/>
      <scheme val="minor"/>
    </font>
    <font>
      <b/>
      <sz val="10.0"/>
      <color theme="1"/>
      <name val="Calibri"/>
    </font>
    <font>
      <sz val="10.0"/>
      <color theme="1"/>
      <name val="Calibri"/>
    </font>
    <font>
      <b/>
      <i/>
      <sz val="10.0"/>
      <color theme="1"/>
      <name val="Calibri"/>
    </font>
    <font/>
    <font>
      <i/>
      <sz val="10.0"/>
      <color theme="1"/>
      <name val="Calibri"/>
    </font>
    <font>
      <sz val="11.0"/>
      <color theme="1"/>
      <name val="Calibri"/>
    </font>
    <font>
      <b/>
      <sz val="11.0"/>
      <color theme="1"/>
      <name val="Calibri"/>
    </font>
    <font>
      <color theme="1"/>
      <name val="Calibri"/>
      <scheme val="minor"/>
    </font>
    <font>
      <sz val="10.0"/>
      <color rgb="FF0000FF"/>
      <name val="Calibri"/>
    </font>
    <font>
      <sz val="10.0"/>
      <color theme="1"/>
      <name val="Sverige"/>
    </font>
    <font>
      <b/>
      <u/>
      <sz val="10.0"/>
      <color theme="1"/>
      <name val="Calibri"/>
    </font>
    <font>
      <u/>
      <sz val="10.0"/>
      <color theme="1"/>
      <name val="Calibri"/>
    </font>
    <font>
      <b/>
      <sz val="10.0"/>
      <color rgb="FFFF0000"/>
      <name val="Calibri"/>
    </font>
    <font>
      <u/>
      <sz val="10.0"/>
      <color theme="1"/>
      <name val="Calibri"/>
    </font>
    <font>
      <sz val="9.0"/>
      <color theme="1"/>
      <name val="Calibri"/>
    </font>
    <font>
      <b/>
      <sz val="9.0"/>
      <color theme="1"/>
      <name val="Calibri"/>
    </font>
    <font>
      <b/>
      <sz val="9.0"/>
      <color rgb="FF0000FF"/>
      <name val="Calibri"/>
    </font>
    <font>
      <b/>
      <i/>
      <sz val="9.0"/>
      <color theme="1"/>
      <name val="Calibri"/>
    </font>
    <font>
      <b/>
      <sz val="10.0"/>
      <color rgb="FFFFFF00"/>
      <name val="Calibri"/>
    </font>
    <font>
      <b/>
      <u/>
      <sz val="10.0"/>
      <color theme="1"/>
      <name val="Calibri"/>
    </font>
    <font>
      <b/>
      <u/>
      <sz val="10.0"/>
      <color theme="1"/>
      <name val="Calibri"/>
    </font>
    <font>
      <b/>
      <u/>
      <sz val="10.0"/>
      <color theme="1"/>
      <name val="Calibri"/>
    </font>
    <font>
      <b/>
      <u/>
      <sz val="10.0"/>
      <color theme="1"/>
      <name val="Calibri"/>
    </font>
    <font>
      <b/>
      <u/>
      <sz val="10.0"/>
      <color theme="1"/>
      <name val="Calibri"/>
    </font>
    <font>
      <b/>
      <u/>
      <sz val="10.0"/>
      <color rgb="FF0000FF"/>
      <name val="Calibri"/>
    </font>
    <font>
      <b/>
      <u/>
      <sz val="10.0"/>
      <color theme="1"/>
      <name val="Calibri"/>
    </font>
    <font>
      <sz val="10.0"/>
      <color rgb="FFFF0000"/>
      <name val="Calibri"/>
    </font>
    <font>
      <i/>
      <sz val="9.0"/>
      <color theme="1"/>
      <name val="Calibri"/>
    </font>
    <font>
      <b/>
      <i/>
      <sz val="10.0"/>
      <color rgb="FF0000FF"/>
      <name val="Calibri"/>
    </font>
    <font>
      <i/>
      <sz val="10.0"/>
      <color rgb="FFFF0000"/>
      <name val="Calibri"/>
    </font>
    <font>
      <b/>
      <sz val="10.0"/>
      <color rgb="FF0000FF"/>
      <name val="Calibri"/>
    </font>
    <font>
      <i/>
      <u/>
      <sz val="10.0"/>
      <color theme="1"/>
      <name val="Calibri"/>
    </font>
    <font>
      <i/>
      <u/>
      <sz val="10.0"/>
      <color theme="1"/>
      <name val="Calibri"/>
    </font>
    <font>
      <i/>
      <u/>
      <sz val="10.0"/>
      <color theme="1"/>
      <name val="Calibri"/>
    </font>
    <font>
      <b/>
      <u/>
      <sz val="10.0"/>
      <color theme="1"/>
      <name val="Calibri"/>
    </font>
    <font>
      <u/>
      <sz val="10.0"/>
      <color theme="1"/>
      <name val="Calibri"/>
    </font>
    <font>
      <b/>
      <u/>
      <sz val="10.0"/>
      <color theme="1"/>
      <name val="Calibri"/>
    </font>
  </fonts>
  <fills count="18">
    <fill>
      <patternFill patternType="none"/>
    </fill>
    <fill>
      <patternFill patternType="lightGray"/>
    </fill>
    <fill>
      <patternFill patternType="solid">
        <fgColor rgb="FFF7CAAC"/>
        <bgColor rgb="FFF7CAAC"/>
      </patternFill>
    </fill>
    <fill>
      <patternFill patternType="solid">
        <fgColor rgb="FFFBE4D5"/>
        <bgColor rgb="FFFBE4D5"/>
      </patternFill>
    </fill>
    <fill>
      <patternFill patternType="solid">
        <fgColor rgb="FFC0C0C0"/>
        <bgColor rgb="FFC0C0C0"/>
      </patternFill>
    </fill>
    <fill>
      <patternFill patternType="solid">
        <fgColor rgb="FFE2EFD9"/>
        <bgColor rgb="FFE2EFD9"/>
      </patternFill>
    </fill>
    <fill>
      <patternFill patternType="solid">
        <fgColor rgb="FFE7E6E6"/>
        <bgColor rgb="FFE7E6E6"/>
      </patternFill>
    </fill>
    <fill>
      <patternFill patternType="solid">
        <fgColor rgb="FFFFC000"/>
        <bgColor rgb="FFFFC000"/>
      </patternFill>
    </fill>
    <fill>
      <patternFill patternType="solid">
        <fgColor rgb="FFFFFF00"/>
        <bgColor rgb="FFFFFF00"/>
      </patternFill>
    </fill>
    <fill>
      <patternFill patternType="solid">
        <fgColor rgb="FFF2F2F2"/>
        <bgColor rgb="FFF2F2F2"/>
      </patternFill>
    </fill>
    <fill>
      <patternFill patternType="solid">
        <fgColor rgb="FFDEEAF6"/>
        <bgColor rgb="FFDEEAF6"/>
      </patternFill>
    </fill>
    <fill>
      <patternFill patternType="solid">
        <fgColor rgb="FFA5A5A5"/>
        <bgColor rgb="FFA5A5A5"/>
      </patternFill>
    </fill>
    <fill>
      <patternFill patternType="solid">
        <fgColor rgb="FFFFF2CB"/>
        <bgColor rgb="FFFFF2CB"/>
      </patternFill>
    </fill>
    <fill>
      <patternFill patternType="solid">
        <fgColor rgb="FF7F7F7F"/>
        <bgColor rgb="FF7F7F7F"/>
      </patternFill>
    </fill>
    <fill>
      <patternFill patternType="solid">
        <fgColor rgb="FFC5E0B3"/>
        <bgColor rgb="FFC5E0B3"/>
      </patternFill>
    </fill>
    <fill>
      <patternFill patternType="solid">
        <fgColor rgb="FFAEABAB"/>
        <bgColor rgb="FFAEABAB"/>
      </patternFill>
    </fill>
    <fill>
      <patternFill patternType="solid">
        <fgColor rgb="FFFFE598"/>
        <bgColor rgb="FFFFE598"/>
      </patternFill>
    </fill>
    <fill>
      <patternFill patternType="solid">
        <fgColor rgb="FF73B04A"/>
        <bgColor rgb="FF73B04A"/>
      </patternFill>
    </fill>
  </fills>
  <borders count="27">
    <border/>
    <border>
      <left/>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medium">
        <color rgb="FF000000"/>
      </bottom>
    </border>
    <border>
      <left/>
      <right/>
      <top/>
      <bottom style="medium">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top/>
      <bottom/>
    </border>
    <border>
      <top/>
      <bottom/>
    </border>
    <border>
      <right/>
      <top/>
      <bottom/>
    </border>
    <border>
      <left style="thin">
        <color rgb="FF000000"/>
      </left>
      <right style="thin">
        <color rgb="FF000000"/>
      </right>
      <bottom style="thin">
        <color rgb="FF000000"/>
      </bottom>
    </border>
    <border>
      <left style="thin">
        <color rgb="FF000000"/>
      </left>
      <right style="thin">
        <color rgb="FF000000"/>
      </right>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bottom/>
    </border>
    <border>
      <left style="medium">
        <color rgb="FF000000"/>
      </left>
      <right style="medium">
        <color rgb="FF000000"/>
      </right>
      <top/>
      <bottom/>
    </border>
    <border>
      <left style="thin">
        <color rgb="FF000000"/>
      </left>
      <right/>
      <top/>
      <bottom/>
    </border>
    <border>
      <left/>
      <right style="thin">
        <color rgb="FF000000"/>
      </right>
      <top/>
      <bottom/>
    </border>
    <border>
      <top style="thin">
        <color rgb="FF000000"/>
      </top>
      <bottom style="double">
        <color rgb="FF000000"/>
      </bottom>
    </border>
    <border>
      <left style="thin">
        <color rgb="FF000000"/>
      </left>
      <right style="thin">
        <color rgb="FF000000"/>
      </right>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double">
        <color rgb="FF000000"/>
      </bottom>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2" numFmtId="0" xfId="0" applyAlignment="1" applyFont="1">
      <alignment vertical="bottom"/>
    </xf>
    <xf borderId="1" fillId="2" fontId="1" numFmtId="0" xfId="0" applyAlignment="1" applyBorder="1" applyFill="1" applyFont="1">
      <alignment horizontal="left" vertical="bottom"/>
    </xf>
    <xf borderId="0" fillId="0" fontId="2" numFmtId="164" xfId="0" applyAlignment="1" applyFont="1" applyNumberFormat="1">
      <alignment vertical="bottom"/>
    </xf>
    <xf borderId="0" fillId="0" fontId="2" numFmtId="165" xfId="0" applyAlignment="1" applyFont="1" applyNumberFormat="1">
      <alignment horizontal="right" vertical="bottom"/>
    </xf>
    <xf borderId="0" fillId="0" fontId="2" numFmtId="165" xfId="0" applyAlignment="1" applyFont="1" applyNumberFormat="1">
      <alignment vertical="bottom"/>
    </xf>
    <xf borderId="0" fillId="0" fontId="3" numFmtId="165" xfId="0" applyAlignment="1" applyFont="1" applyNumberFormat="1">
      <alignment horizontal="right" vertical="bottom"/>
    </xf>
    <xf borderId="0" fillId="0" fontId="3" numFmtId="165" xfId="0" applyAlignment="1" applyFont="1" applyNumberFormat="1">
      <alignment horizontal="left" vertical="bottom"/>
    </xf>
    <xf borderId="2" fillId="0" fontId="2" numFmtId="165" xfId="0" applyAlignment="1" applyBorder="1" applyFont="1" applyNumberFormat="1">
      <alignment horizontal="center" vertical="bottom"/>
    </xf>
    <xf borderId="2" fillId="0" fontId="4" numFmtId="0" xfId="0" applyBorder="1" applyFont="1"/>
    <xf borderId="0" fillId="0" fontId="2" numFmtId="164" xfId="0" applyAlignment="1" applyFont="1" applyNumberFormat="1">
      <alignment horizontal="center" vertical="bottom"/>
    </xf>
    <xf borderId="3" fillId="3" fontId="2" numFmtId="165" xfId="0" applyAlignment="1" applyBorder="1" applyFill="1" applyFont="1" applyNumberFormat="1">
      <alignment horizontal="center" vertical="bottom"/>
    </xf>
    <xf borderId="4" fillId="0" fontId="4" numFmtId="0" xfId="0" applyBorder="1" applyFont="1"/>
    <xf borderId="5" fillId="0" fontId="4" numFmtId="0" xfId="0" applyBorder="1" applyFont="1"/>
    <xf borderId="3" fillId="4" fontId="2" numFmtId="165" xfId="0" applyAlignment="1" applyBorder="1" applyFill="1" applyFont="1" applyNumberFormat="1">
      <alignment horizontal="center" vertical="bottom"/>
    </xf>
    <xf borderId="3" fillId="5" fontId="2" numFmtId="165" xfId="0" applyAlignment="1" applyBorder="1" applyFill="1" applyFont="1" applyNumberFormat="1">
      <alignment horizontal="center" vertical="bottom"/>
    </xf>
    <xf borderId="3" fillId="2" fontId="2" numFmtId="165" xfId="0" applyAlignment="1" applyBorder="1" applyFont="1" applyNumberFormat="1">
      <alignment horizontal="center" vertical="bottom"/>
    </xf>
    <xf borderId="3" fillId="6" fontId="2" numFmtId="165" xfId="0" applyAlignment="1" applyBorder="1" applyFill="1" applyFont="1" applyNumberFormat="1">
      <alignment horizontal="center" vertical="bottom"/>
    </xf>
    <xf borderId="1" fillId="2" fontId="2" numFmtId="0" xfId="0" applyAlignment="1" applyBorder="1" applyFont="1">
      <alignment vertical="bottom"/>
    </xf>
    <xf borderId="0" fillId="0" fontId="1" numFmtId="165" xfId="0" applyAlignment="1" applyFont="1" applyNumberFormat="1">
      <alignment horizontal="center" vertical="bottom"/>
    </xf>
    <xf borderId="6" fillId="0" fontId="1" numFmtId="164" xfId="0" applyAlignment="1" applyBorder="1" applyFont="1" applyNumberFormat="1">
      <alignment horizontal="center" shrinkToFit="0" vertical="center" wrapText="1"/>
    </xf>
    <xf borderId="6" fillId="0" fontId="1" numFmtId="0" xfId="0" applyAlignment="1" applyBorder="1" applyFont="1">
      <alignment horizontal="center" shrinkToFit="0" vertical="center" wrapText="1"/>
    </xf>
    <xf borderId="6" fillId="0" fontId="1" numFmtId="0" xfId="0" applyAlignment="1" applyBorder="1" applyFont="1">
      <alignment shrinkToFit="0" vertical="center" wrapText="1"/>
    </xf>
    <xf borderId="7" fillId="2" fontId="1" numFmtId="0" xfId="0" applyAlignment="1" applyBorder="1" applyFont="1">
      <alignment shrinkToFit="0" vertical="center" wrapText="1"/>
    </xf>
    <xf borderId="6" fillId="0" fontId="1" numFmtId="164" xfId="0" applyAlignment="1" applyBorder="1" applyFont="1" applyNumberFormat="1">
      <alignment horizontal="center" vertical="center"/>
    </xf>
    <xf borderId="6" fillId="0" fontId="1" numFmtId="165" xfId="0" applyAlignment="1" applyBorder="1" applyFont="1" applyNumberFormat="1">
      <alignment horizontal="center" vertical="center"/>
    </xf>
    <xf borderId="6" fillId="0" fontId="1" numFmtId="165" xfId="0" applyAlignment="1" applyBorder="1" applyFont="1" applyNumberFormat="1">
      <alignment horizontal="center" shrinkToFit="0" vertical="center" wrapText="1"/>
    </xf>
    <xf borderId="0" fillId="0" fontId="1" numFmtId="0" xfId="0" applyAlignment="1" applyFont="1">
      <alignment vertical="bottom"/>
    </xf>
    <xf borderId="1" fillId="2" fontId="2" numFmtId="0" xfId="0" applyAlignment="1" applyBorder="1" applyFont="1">
      <alignment horizontal="left" vertical="bottom"/>
    </xf>
    <xf borderId="0" fillId="0" fontId="2" numFmtId="164" xfId="0" applyAlignment="1" applyFont="1" applyNumberFormat="1">
      <alignment horizontal="center" shrinkToFit="0" vertical="bottom" wrapText="1"/>
    </xf>
    <xf borderId="0" fillId="0" fontId="2" numFmtId="0" xfId="0" applyAlignment="1" applyFont="1">
      <alignment shrinkToFit="0" vertical="bottom" wrapText="1"/>
    </xf>
    <xf borderId="0" fillId="0" fontId="2"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vertical="center"/>
    </xf>
    <xf borderId="0" fillId="0" fontId="2" numFmtId="164" xfId="0" applyAlignment="1" applyFont="1" applyNumberFormat="1">
      <alignment horizontal="center" vertical="center"/>
    </xf>
    <xf borderId="0" fillId="0" fontId="5" numFmtId="165" xfId="0" applyAlignment="1" applyFont="1" applyNumberFormat="1">
      <alignment horizontal="right" vertical="bottom"/>
    </xf>
    <xf borderId="0" fillId="0" fontId="2" numFmtId="166" xfId="0" applyAlignment="1" applyFont="1" applyNumberFormat="1">
      <alignment horizontal="left" vertical="bottom"/>
    </xf>
    <xf borderId="0" fillId="0" fontId="1" numFmtId="164" xfId="0" applyAlignment="1" applyFont="1" applyNumberFormat="1">
      <alignment horizontal="center"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6" numFmtId="0" xfId="0" applyAlignment="1" applyFont="1">
      <alignment vertical="bottom"/>
    </xf>
    <xf borderId="0" fillId="0" fontId="5" numFmtId="0" xfId="0" applyAlignment="1" applyFont="1">
      <alignment horizontal="left" vertical="bottom"/>
    </xf>
    <xf borderId="0" fillId="0" fontId="5" numFmtId="0" xfId="0" applyAlignment="1" applyFont="1">
      <alignment vertical="bottom"/>
    </xf>
    <xf borderId="1" fillId="2" fontId="5" numFmtId="0" xfId="0" applyAlignment="1" applyBorder="1" applyFont="1">
      <alignment horizontal="left" vertical="bottom"/>
    </xf>
    <xf borderId="0" fillId="0" fontId="5" numFmtId="164" xfId="0" applyAlignment="1" applyFont="1" applyNumberFormat="1">
      <alignment horizontal="center" vertical="bottom"/>
    </xf>
    <xf borderId="0" fillId="0" fontId="5" numFmtId="165" xfId="0" applyAlignment="1" applyFont="1" applyNumberFormat="1">
      <alignment vertical="bottom"/>
    </xf>
    <xf borderId="1" fillId="4" fontId="5" numFmtId="167" xfId="0" applyAlignment="1" applyBorder="1" applyFont="1" applyNumberFormat="1">
      <alignment vertical="bottom"/>
    </xf>
    <xf borderId="8" fillId="0" fontId="7" numFmtId="0" xfId="0" applyAlignment="1" applyBorder="1" applyFont="1">
      <alignment horizontal="center" vertical="top"/>
    </xf>
    <xf borderId="0" fillId="0" fontId="6" numFmtId="0" xfId="0" applyAlignment="1" applyFont="1">
      <alignment horizontal="center" vertical="top"/>
    </xf>
    <xf borderId="0" fillId="0" fontId="6" numFmtId="14" xfId="0" applyAlignment="1" applyFont="1" applyNumberFormat="1">
      <alignment horizontal="center" vertical="top"/>
    </xf>
    <xf borderId="0" fillId="0" fontId="8" numFmtId="0" xfId="0" applyFont="1"/>
    <xf borderId="0" fillId="0" fontId="6" numFmtId="14" xfId="0" applyFont="1" applyNumberFormat="1"/>
    <xf borderId="0" fillId="0" fontId="1" numFmtId="164" xfId="0" applyAlignment="1" applyFont="1" applyNumberFormat="1">
      <alignment horizontal="left" vertical="bottom"/>
    </xf>
    <xf borderId="0" fillId="0" fontId="2" numFmtId="0" xfId="0" applyAlignment="1" applyFont="1">
      <alignment horizontal="center" vertical="bottom"/>
    </xf>
    <xf borderId="1" fillId="7" fontId="2" numFmtId="165" xfId="0" applyAlignment="1" applyBorder="1" applyFill="1" applyFont="1" applyNumberFormat="1">
      <alignment horizontal="right" vertical="bottom"/>
    </xf>
    <xf borderId="0" fillId="0" fontId="9" numFmtId="0" xfId="0" applyAlignment="1" applyFont="1">
      <alignment vertical="bottom"/>
    </xf>
    <xf borderId="0" fillId="0" fontId="10" numFmtId="165" xfId="0" applyAlignment="1" applyFont="1" applyNumberFormat="1">
      <alignment vertical="bottom"/>
    </xf>
    <xf borderId="0" fillId="0" fontId="1" numFmtId="165" xfId="0" applyAlignment="1" applyFont="1" applyNumberFormat="1">
      <alignment vertical="bottom"/>
    </xf>
    <xf borderId="1" fillId="8" fontId="3" numFmtId="165" xfId="0" applyAlignment="1" applyBorder="1" applyFill="1" applyFont="1" applyNumberFormat="1">
      <alignment horizontal="right" vertical="bottom"/>
    </xf>
    <xf borderId="1" fillId="8" fontId="3" numFmtId="167" xfId="0" applyAlignment="1" applyBorder="1" applyFont="1" applyNumberFormat="1">
      <alignment horizontal="right" vertical="bottom"/>
    </xf>
    <xf borderId="1" fillId="8" fontId="3" numFmtId="165" xfId="0" applyAlignment="1" applyBorder="1" applyFont="1" applyNumberFormat="1">
      <alignment horizontal="left" vertical="bottom"/>
    </xf>
    <xf borderId="0" fillId="0" fontId="2" numFmtId="165" xfId="0" applyAlignment="1" applyFont="1" applyNumberFormat="1">
      <alignment horizontal="left" vertical="bottom"/>
    </xf>
    <xf borderId="9" fillId="9" fontId="1" numFmtId="0" xfId="0" applyAlignment="1" applyBorder="1" applyFill="1" applyFont="1">
      <alignment horizontal="center" vertical="bottom"/>
    </xf>
    <xf borderId="10" fillId="0" fontId="4" numFmtId="0" xfId="0" applyBorder="1" applyFont="1"/>
    <xf borderId="1" fillId="5" fontId="1" numFmtId="0" xfId="0" applyAlignment="1" applyBorder="1" applyFont="1">
      <alignment vertical="bottom"/>
    </xf>
    <xf borderId="1" fillId="5" fontId="1" numFmtId="165" xfId="0" applyAlignment="1" applyBorder="1" applyFont="1" applyNumberFormat="1">
      <alignment horizontal="center" vertical="bottom"/>
    </xf>
    <xf borderId="1" fillId="5" fontId="1" numFmtId="165" xfId="0" applyAlignment="1" applyBorder="1" applyFont="1" applyNumberFormat="1">
      <alignment vertical="bottom"/>
    </xf>
    <xf borderId="1" fillId="10" fontId="1" numFmtId="0" xfId="0" applyAlignment="1" applyBorder="1" applyFill="1" applyFont="1">
      <alignment vertical="bottom"/>
    </xf>
    <xf borderId="1" fillId="10" fontId="11" numFmtId="165" xfId="0" applyAlignment="1" applyBorder="1" applyFont="1" applyNumberFormat="1">
      <alignment horizontal="center" vertical="bottom"/>
    </xf>
    <xf borderId="1" fillId="10" fontId="1" numFmtId="165" xfId="0" applyAlignment="1" applyBorder="1" applyFont="1" applyNumberFormat="1">
      <alignment vertical="bottom"/>
    </xf>
    <xf borderId="0" fillId="0" fontId="2" numFmtId="0" xfId="0" applyAlignment="1" applyFont="1">
      <alignment horizontal="left" vertical="bottom"/>
    </xf>
    <xf borderId="1" fillId="3" fontId="1" numFmtId="0" xfId="0" applyAlignment="1" applyBorder="1" applyFont="1">
      <alignment vertical="bottom"/>
    </xf>
    <xf borderId="0" fillId="0" fontId="12" numFmtId="165" xfId="0" applyAlignment="1" applyFont="1" applyNumberFormat="1">
      <alignment horizontal="right" vertical="bottom"/>
    </xf>
    <xf borderId="1" fillId="5" fontId="2" numFmtId="165" xfId="0" applyAlignment="1" applyBorder="1" applyFont="1" applyNumberFormat="1">
      <alignment horizontal="center" vertical="bottom"/>
    </xf>
    <xf borderId="1" fillId="5" fontId="2" numFmtId="165" xfId="0" applyAlignment="1" applyBorder="1" applyFont="1" applyNumberFormat="1">
      <alignment vertical="bottom"/>
    </xf>
    <xf borderId="0" fillId="0" fontId="13" numFmtId="0" xfId="0" applyAlignment="1" applyFont="1">
      <alignment vertical="bottom"/>
    </xf>
    <xf borderId="0" fillId="0" fontId="3" numFmtId="0" xfId="0" applyAlignment="1" applyFont="1">
      <alignment horizontal="left" vertical="bottom"/>
    </xf>
    <xf borderId="1" fillId="9" fontId="1" numFmtId="0" xfId="0" applyAlignment="1" applyBorder="1" applyFont="1">
      <alignment vertical="bottom"/>
    </xf>
    <xf borderId="0" fillId="0" fontId="14" numFmtId="164" xfId="0" applyAlignment="1" applyFont="1" applyNumberFormat="1">
      <alignment horizontal="center" vertical="bottom"/>
    </xf>
    <xf borderId="0" fillId="0" fontId="2" numFmtId="165" xfId="0" applyAlignment="1" applyFont="1" applyNumberFormat="1">
      <alignment horizontal="center" vertical="center"/>
    </xf>
    <xf borderId="0" fillId="0" fontId="15" numFmtId="0" xfId="0" applyAlignment="1" applyFont="1">
      <alignment horizontal="left" vertical="bottom"/>
    </xf>
    <xf borderId="0" fillId="0" fontId="15" numFmtId="164" xfId="0" applyAlignment="1" applyFont="1" applyNumberFormat="1">
      <alignment vertical="bottom"/>
    </xf>
    <xf borderId="0" fillId="0" fontId="15" numFmtId="165" xfId="0" applyAlignment="1" applyFont="1" applyNumberFormat="1">
      <alignment vertical="bottom"/>
    </xf>
    <xf borderId="0" fillId="0" fontId="15" numFmtId="0" xfId="0" applyAlignment="1" applyFont="1">
      <alignment vertical="bottom"/>
    </xf>
    <xf borderId="0" fillId="0" fontId="15" numFmtId="0" xfId="0" applyAlignment="1" applyFont="1">
      <alignment horizontal="center" vertical="bottom"/>
    </xf>
    <xf borderId="0" fillId="0" fontId="15" numFmtId="165" xfId="0" applyAlignment="1" applyFont="1" applyNumberFormat="1">
      <alignment horizontal="right" vertical="bottom"/>
    </xf>
    <xf borderId="8" fillId="0" fontId="16" numFmtId="0" xfId="0" applyAlignment="1" applyBorder="1" applyFont="1">
      <alignment horizontal="right" vertical="bottom"/>
    </xf>
    <xf borderId="8" fillId="0" fontId="16" numFmtId="166" xfId="0" applyAlignment="1" applyBorder="1" applyFont="1" applyNumberFormat="1">
      <alignment horizontal="center" vertical="bottom"/>
    </xf>
    <xf borderId="0" fillId="0" fontId="16" numFmtId="0" xfId="0" applyAlignment="1" applyFont="1">
      <alignment horizontal="right" vertical="bottom"/>
    </xf>
    <xf borderId="8" fillId="0" fontId="17" numFmtId="166" xfId="0" applyAlignment="1" applyBorder="1" applyFont="1" applyNumberFormat="1">
      <alignment horizontal="center" vertical="bottom"/>
    </xf>
    <xf borderId="1" fillId="11" fontId="15" numFmtId="0" xfId="0" applyAlignment="1" applyBorder="1" applyFill="1" applyFont="1">
      <alignment vertical="bottom"/>
    </xf>
    <xf borderId="0" fillId="0" fontId="16" numFmtId="165" xfId="0" applyAlignment="1" applyFont="1" applyNumberFormat="1">
      <alignment vertical="bottom"/>
    </xf>
    <xf borderId="0" fillId="0" fontId="16" numFmtId="0" xfId="0" applyAlignment="1" applyFont="1">
      <alignment horizontal="left" vertical="bottom"/>
    </xf>
    <xf borderId="0" fillId="0" fontId="16" numFmtId="164" xfId="0" applyAlignment="1" applyFont="1" applyNumberFormat="1">
      <alignment vertical="bottom"/>
    </xf>
    <xf borderId="0" fillId="0" fontId="18" numFmtId="164" xfId="0" applyAlignment="1" applyFont="1" applyNumberFormat="1">
      <alignment vertical="bottom"/>
    </xf>
    <xf borderId="0" fillId="0" fontId="16" numFmtId="0" xfId="0" applyAlignment="1" applyFont="1">
      <alignment vertical="bottom"/>
    </xf>
    <xf borderId="0" fillId="0" fontId="16" numFmtId="0" xfId="0" applyAlignment="1" applyFont="1">
      <alignment horizontal="center" vertical="bottom"/>
    </xf>
    <xf borderId="0" fillId="0" fontId="15" numFmtId="0" xfId="0" applyAlignment="1" applyFont="1">
      <alignment horizontal="right" vertical="bottom"/>
    </xf>
    <xf borderId="11" fillId="12" fontId="16" numFmtId="165" xfId="0" applyAlignment="1" applyBorder="1" applyFill="1" applyFont="1" applyNumberFormat="1">
      <alignment horizontal="center" vertical="bottom"/>
    </xf>
    <xf borderId="12" fillId="0" fontId="4" numFmtId="0" xfId="0" applyBorder="1" applyFont="1"/>
    <xf borderId="13" fillId="0" fontId="4" numFmtId="0" xfId="0" applyBorder="1" applyFont="1"/>
    <xf borderId="0" fillId="0" fontId="16" numFmtId="165" xfId="0" applyAlignment="1" applyFont="1" applyNumberFormat="1">
      <alignment horizontal="right" vertical="bottom"/>
    </xf>
    <xf borderId="5" fillId="0" fontId="16" numFmtId="166" xfId="0" applyAlignment="1" applyBorder="1" applyFont="1" applyNumberFormat="1">
      <alignment horizontal="center" vertical="bottom"/>
    </xf>
    <xf borderId="1" fillId="11" fontId="16" numFmtId="0" xfId="0" applyAlignment="1" applyBorder="1" applyFont="1">
      <alignment vertical="bottom"/>
    </xf>
    <xf borderId="0" fillId="0" fontId="16" numFmtId="164" xfId="0" applyAlignment="1" applyFont="1" applyNumberFormat="1">
      <alignment horizontal="right" vertical="bottom"/>
    </xf>
    <xf borderId="14" fillId="0" fontId="16" numFmtId="0" xfId="0" applyAlignment="1" applyBorder="1" applyFont="1">
      <alignment horizontal="right" vertical="bottom"/>
    </xf>
    <xf borderId="1" fillId="11" fontId="16" numFmtId="0" xfId="0" applyAlignment="1" applyBorder="1" applyFont="1">
      <alignment horizontal="right" vertical="bottom"/>
    </xf>
    <xf borderId="0" fillId="0" fontId="1" numFmtId="0" xfId="0" applyAlignment="1" applyFont="1">
      <alignment horizontal="left" shrinkToFit="0" vertical="center" wrapText="1"/>
    </xf>
    <xf borderId="1" fillId="13" fontId="19" numFmtId="0" xfId="0" applyAlignment="1" applyBorder="1" applyFill="1" applyFont="1">
      <alignment horizontal="left" shrinkToFit="0" vertical="center" wrapText="1"/>
    </xf>
    <xf borderId="6" fillId="0" fontId="20" numFmtId="164" xfId="0" applyAlignment="1" applyBorder="1" applyFont="1" applyNumberFormat="1">
      <alignment horizontal="center" shrinkToFit="0" vertical="center" wrapText="1"/>
    </xf>
    <xf borderId="7" fillId="9" fontId="21" numFmtId="164" xfId="0" applyAlignment="1" applyBorder="1" applyFont="1" applyNumberFormat="1">
      <alignment horizontal="center" shrinkToFit="0" vertical="center" wrapText="1"/>
    </xf>
    <xf borderId="6" fillId="0" fontId="22" numFmtId="0" xfId="0" applyAlignment="1" applyBorder="1" applyFont="1">
      <alignment horizontal="center" shrinkToFit="0" vertical="center" wrapText="1"/>
    </xf>
    <xf borderId="6" fillId="0" fontId="23" numFmtId="0" xfId="0" applyAlignment="1" applyBorder="1" applyFont="1">
      <alignment shrinkToFit="0" vertical="center" wrapText="1"/>
    </xf>
    <xf borderId="6" fillId="0" fontId="24" numFmtId="165" xfId="0" applyAlignment="1" applyBorder="1" applyFont="1" applyNumberFormat="1">
      <alignment horizontal="center" shrinkToFit="0" vertical="center" wrapText="1"/>
    </xf>
    <xf borderId="15" fillId="14" fontId="1" numFmtId="165" xfId="0" applyAlignment="1" applyBorder="1" applyFill="1" applyFont="1" applyNumberFormat="1">
      <alignment horizontal="center" shrinkToFit="0" vertical="center" wrapText="1"/>
    </xf>
    <xf borderId="6" fillId="0" fontId="25" numFmtId="0" xfId="0" applyAlignment="1" applyBorder="1" applyFont="1">
      <alignment horizontal="center" shrinkToFit="0" vertical="center" wrapText="1"/>
    </xf>
    <xf borderId="7" fillId="11" fontId="1" numFmtId="0" xfId="0" applyAlignment="1" applyBorder="1" applyFont="1">
      <alignment shrinkToFit="0" vertical="center" wrapText="1"/>
    </xf>
    <xf borderId="16" fillId="12" fontId="26" numFmtId="165" xfId="0" applyAlignment="1" applyBorder="1" applyFont="1" applyNumberFormat="1">
      <alignment horizontal="center" shrinkToFit="0" vertical="center" wrapText="1"/>
    </xf>
    <xf borderId="0" fillId="0" fontId="1" numFmtId="165" xfId="0" applyAlignment="1" applyFont="1" applyNumberFormat="1">
      <alignment shrinkToFit="0" vertical="center" wrapText="1"/>
    </xf>
    <xf borderId="0" fillId="0" fontId="1" numFmtId="0" xfId="0" applyAlignment="1" applyFont="1">
      <alignment shrinkToFit="0" vertical="center" wrapText="1"/>
    </xf>
    <xf borderId="17" fillId="14" fontId="2" numFmtId="165" xfId="0" applyAlignment="1" applyBorder="1" applyFont="1" applyNumberFormat="1">
      <alignment vertical="bottom"/>
    </xf>
    <xf borderId="0" fillId="0" fontId="9" numFmtId="165" xfId="0" applyAlignment="1" applyFont="1" applyNumberFormat="1">
      <alignment vertical="bottom"/>
    </xf>
    <xf borderId="1" fillId="11" fontId="2" numFmtId="165" xfId="0" applyAlignment="1" applyBorder="1" applyFont="1" applyNumberFormat="1">
      <alignment vertical="bottom"/>
    </xf>
    <xf borderId="18" fillId="12" fontId="1" numFmtId="165" xfId="0" applyAlignment="1" applyBorder="1" applyFont="1" applyNumberFormat="1">
      <alignment vertical="bottom"/>
    </xf>
    <xf borderId="0" fillId="0" fontId="2" numFmtId="165" xfId="0" applyAlignment="1" applyFont="1" applyNumberFormat="1">
      <alignment shrinkToFit="0" vertical="bottom" wrapText="1"/>
    </xf>
    <xf borderId="0" fillId="0" fontId="2" numFmtId="0" xfId="0" applyAlignment="1" applyFont="1">
      <alignment horizontal="left" shrinkToFit="0" vertical="bottom" wrapText="1"/>
    </xf>
    <xf borderId="0" fillId="0" fontId="2" numFmtId="0" xfId="0" applyAlignment="1" applyFont="1">
      <alignment horizontal="center" shrinkToFit="0" vertical="bottom" wrapText="1"/>
    </xf>
    <xf borderId="0" fillId="0" fontId="1" numFmtId="165" xfId="0" applyAlignment="1" applyFont="1" applyNumberFormat="1">
      <alignment horizontal="right" shrinkToFit="0" vertical="bottom" wrapText="1"/>
    </xf>
    <xf borderId="0" fillId="0" fontId="2" numFmtId="165" xfId="0" applyAlignment="1" applyFont="1" applyNumberFormat="1">
      <alignment horizontal="right" shrinkToFit="0" vertical="bottom" wrapText="1"/>
    </xf>
    <xf borderId="0" fillId="0" fontId="9" numFmtId="165" xfId="0" applyAlignment="1" applyFont="1" applyNumberFormat="1">
      <alignment shrinkToFit="0" vertical="bottom" wrapText="1"/>
    </xf>
    <xf borderId="1" fillId="11" fontId="2" numFmtId="165" xfId="0" applyAlignment="1" applyBorder="1" applyFont="1" applyNumberFormat="1">
      <alignment shrinkToFit="0" vertical="bottom" wrapText="1"/>
    </xf>
    <xf borderId="0" fillId="0" fontId="27" numFmtId="0" xfId="0" applyAlignment="1" applyFont="1">
      <alignment horizontal="left" shrinkToFit="0" vertical="bottom" wrapText="1"/>
    </xf>
    <xf borderId="0" fillId="0" fontId="27" numFmtId="164" xfId="0" applyAlignment="1" applyFont="1" applyNumberFormat="1">
      <alignment horizontal="center" shrinkToFit="0" vertical="bottom" wrapText="1"/>
    </xf>
    <xf borderId="0" fillId="0" fontId="27" numFmtId="0" xfId="0" applyAlignment="1" applyFont="1">
      <alignment shrinkToFit="0" vertical="bottom" wrapText="1"/>
    </xf>
    <xf borderId="0" fillId="0" fontId="27" numFmtId="0" xfId="0" applyAlignment="1" applyFont="1">
      <alignment vertical="bottom"/>
    </xf>
    <xf borderId="0" fillId="0" fontId="27" numFmtId="0" xfId="0" applyAlignment="1" applyFont="1">
      <alignment horizontal="center" vertical="bottom"/>
    </xf>
    <xf borderId="0" fillId="0" fontId="27" numFmtId="0" xfId="0" applyAlignment="1" applyFont="1">
      <alignment horizontal="center" shrinkToFit="0" vertical="bottom" wrapText="1"/>
    </xf>
    <xf borderId="0" fillId="0" fontId="13" numFmtId="165" xfId="0" applyAlignment="1" applyFont="1" applyNumberFormat="1">
      <alignment horizontal="right" shrinkToFit="0" vertical="bottom" wrapText="1"/>
    </xf>
    <xf borderId="0" fillId="0" fontId="27" numFmtId="165" xfId="0" applyAlignment="1" applyFont="1" applyNumberFormat="1">
      <alignment horizontal="right" shrinkToFit="0" vertical="bottom" wrapText="1"/>
    </xf>
    <xf borderId="0" fillId="0" fontId="27" numFmtId="165" xfId="0" applyAlignment="1" applyFont="1" applyNumberFormat="1">
      <alignment shrinkToFit="0" vertical="bottom" wrapText="1"/>
    </xf>
    <xf borderId="0" fillId="0" fontId="27" numFmtId="165" xfId="0" applyAlignment="1" applyFont="1" applyNumberFormat="1">
      <alignment vertical="bottom"/>
    </xf>
    <xf borderId="17" fillId="14" fontId="27" numFmtId="165" xfId="0" applyAlignment="1" applyBorder="1" applyFont="1" applyNumberFormat="1">
      <alignment vertical="bottom"/>
    </xf>
    <xf borderId="1" fillId="11" fontId="27" numFmtId="165" xfId="0" applyAlignment="1" applyBorder="1" applyFont="1" applyNumberFormat="1">
      <alignment shrinkToFit="0" vertical="bottom" wrapText="1"/>
    </xf>
    <xf borderId="1" fillId="8" fontId="13" numFmtId="165" xfId="0" applyAlignment="1" applyBorder="1" applyFont="1" applyNumberFormat="1">
      <alignment vertical="bottom"/>
    </xf>
    <xf borderId="0" fillId="0" fontId="3" numFmtId="165" xfId="0" applyAlignment="1" applyFont="1" applyNumberFormat="1">
      <alignment vertical="bottom"/>
    </xf>
    <xf borderId="1" fillId="12" fontId="2" numFmtId="165" xfId="0" applyAlignment="1" applyBorder="1" applyFont="1" applyNumberFormat="1">
      <alignment vertical="bottom"/>
    </xf>
    <xf borderId="1" fillId="10" fontId="2" numFmtId="0" xfId="0" applyAlignment="1" applyBorder="1" applyFont="1">
      <alignment horizontal="left" vertical="bottom"/>
    </xf>
    <xf borderId="1" fillId="10" fontId="2" numFmtId="164" xfId="0" applyAlignment="1" applyBorder="1" applyFont="1" applyNumberFormat="1">
      <alignment horizontal="center" vertical="bottom"/>
    </xf>
    <xf borderId="1" fillId="10" fontId="2" numFmtId="0" xfId="0" applyAlignment="1" applyBorder="1" applyFont="1">
      <alignment vertical="bottom"/>
    </xf>
    <xf borderId="1" fillId="10" fontId="2" numFmtId="0" xfId="0" applyAlignment="1" applyBorder="1" applyFont="1">
      <alignment horizontal="center" vertical="bottom"/>
    </xf>
    <xf borderId="1" fillId="10" fontId="2" numFmtId="164" xfId="0" applyAlignment="1" applyBorder="1" applyFont="1" applyNumberFormat="1">
      <alignment horizontal="center" shrinkToFit="0" vertical="bottom" wrapText="1"/>
    </xf>
    <xf borderId="1" fillId="10" fontId="1" numFmtId="165" xfId="0" applyAlignment="1" applyBorder="1" applyFont="1" applyNumberFormat="1">
      <alignment horizontal="right" vertical="bottom"/>
    </xf>
    <xf borderId="1" fillId="10" fontId="2" numFmtId="165" xfId="0" applyAlignment="1" applyBorder="1" applyFont="1" applyNumberFormat="1">
      <alignment horizontal="right" vertical="bottom"/>
    </xf>
    <xf borderId="1" fillId="10" fontId="2" numFmtId="165" xfId="0" applyAlignment="1" applyBorder="1" applyFont="1" applyNumberFormat="1">
      <alignment vertical="bottom"/>
    </xf>
    <xf borderId="0" fillId="0" fontId="6" numFmtId="0" xfId="0" applyAlignment="1" applyFont="1">
      <alignment horizontal="center" vertical="bottom"/>
    </xf>
    <xf borderId="1" fillId="15" fontId="2" numFmtId="165" xfId="0" applyAlignment="1" applyBorder="1" applyFill="1" applyFont="1" applyNumberFormat="1">
      <alignment vertical="bottom"/>
    </xf>
    <xf borderId="0" fillId="0" fontId="2" numFmtId="0" xfId="0" applyAlignment="1" applyFont="1">
      <alignment horizontal="center" vertical="center"/>
    </xf>
    <xf borderId="0" fillId="0" fontId="27" numFmtId="0" xfId="0" applyAlignment="1" applyFont="1">
      <alignment horizontal="left" vertical="bottom"/>
    </xf>
    <xf borderId="0" fillId="0" fontId="27" numFmtId="164" xfId="0" applyAlignment="1" applyFont="1" applyNumberFormat="1">
      <alignment horizontal="center" vertical="bottom"/>
    </xf>
    <xf borderId="0" fillId="0" fontId="27" numFmtId="164" xfId="0" applyAlignment="1" applyFont="1" applyNumberFormat="1">
      <alignment vertical="bottom"/>
    </xf>
    <xf borderId="0" fillId="0" fontId="27" numFmtId="166" xfId="0" applyAlignment="1" applyFont="1" applyNumberFormat="1">
      <alignment horizontal="left" vertical="bottom"/>
    </xf>
    <xf borderId="0" fillId="0" fontId="13" numFmtId="165" xfId="0" applyAlignment="1" applyFont="1" applyNumberFormat="1">
      <alignment horizontal="right" vertical="bottom"/>
    </xf>
    <xf borderId="0" fillId="0" fontId="27" numFmtId="165" xfId="0" applyAlignment="1" applyFont="1" applyNumberFormat="1">
      <alignment horizontal="right" vertical="bottom"/>
    </xf>
    <xf borderId="1" fillId="11" fontId="27" numFmtId="165" xfId="0" applyAlignment="1" applyBorder="1" applyFont="1" applyNumberFormat="1">
      <alignment vertical="bottom"/>
    </xf>
    <xf borderId="1" fillId="16" fontId="2" numFmtId="0" xfId="0" applyAlignment="1" applyBorder="1" applyFill="1" applyFont="1">
      <alignment horizontal="left" vertical="bottom"/>
    </xf>
    <xf borderId="1" fillId="16" fontId="1" numFmtId="165" xfId="0" applyAlignment="1" applyBorder="1" applyFont="1" applyNumberFormat="1">
      <alignment horizontal="right" vertical="bottom"/>
    </xf>
    <xf borderId="1" fillId="16" fontId="27" numFmtId="0" xfId="0" applyAlignment="1" applyBorder="1" applyFont="1">
      <alignment horizontal="left" vertical="bottom"/>
    </xf>
    <xf borderId="1" fillId="16" fontId="13" numFmtId="165" xfId="0" applyAlignment="1" applyBorder="1" applyFont="1" applyNumberFormat="1">
      <alignment horizontal="right" vertical="bottom"/>
    </xf>
    <xf borderId="1" fillId="8" fontId="2" numFmtId="165" xfId="0" applyAlignment="1" applyBorder="1" applyFont="1" applyNumberFormat="1">
      <alignment horizontal="right" vertical="bottom"/>
    </xf>
    <xf borderId="1" fillId="5" fontId="9" numFmtId="165" xfId="0" applyAlignment="1" applyBorder="1" applyFont="1" applyNumberFormat="1">
      <alignment vertical="bottom"/>
    </xf>
    <xf borderId="1" fillId="7" fontId="2" numFmtId="0" xfId="0" applyAlignment="1" applyBorder="1" applyFont="1">
      <alignment horizontal="left" vertical="bottom"/>
    </xf>
    <xf borderId="1" fillId="7" fontId="2" numFmtId="164" xfId="0" applyAlignment="1" applyBorder="1" applyFont="1" applyNumberFormat="1">
      <alignment horizontal="center" vertical="bottom"/>
    </xf>
    <xf borderId="1" fillId="7" fontId="2" numFmtId="0" xfId="0" applyAlignment="1" applyBorder="1" applyFont="1">
      <alignment vertical="bottom"/>
    </xf>
    <xf borderId="1" fillId="7" fontId="2" numFmtId="0" xfId="0" applyAlignment="1" applyBorder="1" applyFont="1">
      <alignment horizontal="center" vertical="bottom"/>
    </xf>
    <xf borderId="1" fillId="7" fontId="2" numFmtId="164" xfId="0" applyAlignment="1" applyBorder="1" applyFont="1" applyNumberFormat="1">
      <alignment horizontal="center" shrinkToFit="0" vertical="bottom" wrapText="1"/>
    </xf>
    <xf borderId="1" fillId="7" fontId="2" numFmtId="165" xfId="0" applyAlignment="1" applyBorder="1" applyFont="1" applyNumberFormat="1">
      <alignment vertical="bottom"/>
    </xf>
    <xf borderId="17" fillId="7" fontId="2" numFmtId="165" xfId="0" applyAlignment="1" applyBorder="1" applyFont="1" applyNumberFormat="1">
      <alignment vertical="bottom"/>
    </xf>
    <xf borderId="19" fillId="7" fontId="2" numFmtId="165" xfId="0" applyAlignment="1" applyBorder="1" applyFont="1" applyNumberFormat="1">
      <alignment vertical="bottom"/>
    </xf>
    <xf borderId="20" fillId="7" fontId="2" numFmtId="165" xfId="0" applyAlignment="1" applyBorder="1" applyFont="1" applyNumberFormat="1">
      <alignment vertical="bottom"/>
    </xf>
    <xf borderId="1" fillId="10" fontId="3" numFmtId="165" xfId="0" applyAlignment="1" applyBorder="1" applyFont="1" applyNumberFormat="1">
      <alignment horizontal="right" vertical="bottom"/>
    </xf>
    <xf borderId="1" fillId="5" fontId="2" numFmtId="0" xfId="0" applyAlignment="1" applyBorder="1" applyFont="1">
      <alignment horizontal="left" vertical="bottom"/>
    </xf>
    <xf borderId="1" fillId="5" fontId="2" numFmtId="164" xfId="0" applyAlignment="1" applyBorder="1" applyFont="1" applyNumberFormat="1">
      <alignment horizontal="center" vertical="bottom"/>
    </xf>
    <xf borderId="1" fillId="5" fontId="2" numFmtId="0" xfId="0" applyAlignment="1" applyBorder="1" applyFont="1">
      <alignment vertical="bottom"/>
    </xf>
    <xf borderId="1" fillId="5" fontId="2" numFmtId="0" xfId="0" applyAlignment="1" applyBorder="1" applyFont="1">
      <alignment horizontal="center" vertical="bottom"/>
    </xf>
    <xf borderId="1" fillId="5" fontId="2" numFmtId="165" xfId="0" applyAlignment="1" applyBorder="1" applyFont="1" applyNumberFormat="1">
      <alignment horizontal="right" vertical="bottom"/>
    </xf>
    <xf borderId="1" fillId="5" fontId="2" numFmtId="164" xfId="0" applyAlignment="1" applyBorder="1" applyFont="1" applyNumberFormat="1">
      <alignment horizontal="center" shrinkToFit="0" vertical="bottom" wrapText="1"/>
    </xf>
    <xf borderId="21" fillId="0" fontId="1" numFmtId="165" xfId="0" applyAlignment="1" applyBorder="1" applyFont="1" applyNumberFormat="1">
      <alignment horizontal="right" vertical="bottom"/>
    </xf>
    <xf borderId="21" fillId="0" fontId="2" numFmtId="165" xfId="0" applyAlignment="1" applyBorder="1" applyFont="1" applyNumberFormat="1">
      <alignment horizontal="right" vertical="bottom"/>
    </xf>
    <xf borderId="21" fillId="0" fontId="2" numFmtId="165" xfId="0" applyAlignment="1" applyBorder="1" applyFont="1" applyNumberFormat="1">
      <alignment vertical="bottom"/>
    </xf>
    <xf borderId="22" fillId="14" fontId="2" numFmtId="165" xfId="0" applyAlignment="1" applyBorder="1" applyFont="1" applyNumberFormat="1">
      <alignment vertical="bottom"/>
    </xf>
    <xf borderId="23" fillId="0" fontId="2" numFmtId="165" xfId="0" applyAlignment="1" applyBorder="1" applyFont="1" applyNumberFormat="1">
      <alignment vertical="bottom"/>
    </xf>
    <xf borderId="24" fillId="0" fontId="2" numFmtId="165" xfId="0" applyAlignment="1" applyBorder="1" applyFont="1" applyNumberFormat="1">
      <alignment vertical="bottom"/>
    </xf>
    <xf borderId="21" fillId="0" fontId="9" numFmtId="165" xfId="0" applyAlignment="1" applyBorder="1" applyFont="1" applyNumberFormat="1">
      <alignment vertical="bottom"/>
    </xf>
    <xf borderId="25" fillId="12" fontId="1" numFmtId="165" xfId="0" applyAlignment="1" applyBorder="1" applyFont="1" applyNumberFormat="1">
      <alignment vertical="bottom"/>
    </xf>
    <xf borderId="0" fillId="0" fontId="2" numFmtId="165" xfId="0" applyAlignment="1" applyFont="1" applyNumberFormat="1">
      <alignment horizontal="center" vertical="bottom"/>
    </xf>
    <xf borderId="17" fillId="14" fontId="2" numFmtId="165" xfId="0" applyAlignment="1" applyBorder="1" applyFont="1" applyNumberFormat="1">
      <alignment horizontal="center" vertical="bottom"/>
    </xf>
    <xf borderId="0" fillId="0" fontId="28" numFmtId="165" xfId="0" applyAlignment="1" applyFont="1" applyNumberFormat="1">
      <alignment horizontal="left" vertical="bottom"/>
    </xf>
    <xf borderId="0" fillId="0" fontId="9" numFmtId="165" xfId="0" applyAlignment="1" applyFont="1" applyNumberFormat="1">
      <alignment horizontal="right" vertical="bottom"/>
    </xf>
    <xf borderId="0" fillId="0" fontId="29" numFmtId="168" xfId="0" applyAlignment="1" applyFont="1" applyNumberFormat="1">
      <alignment horizontal="left" vertical="bottom"/>
    </xf>
    <xf borderId="0" fillId="0" fontId="2" numFmtId="0" xfId="0" applyAlignment="1" applyFont="1">
      <alignment horizontal="right" vertical="bottom"/>
    </xf>
    <xf borderId="1" fillId="8" fontId="18" numFmtId="165" xfId="0" applyAlignment="1" applyBorder="1" applyFont="1" applyNumberFormat="1">
      <alignment horizontal="right" vertical="bottom"/>
    </xf>
    <xf borderId="1" fillId="12" fontId="18" numFmtId="165" xfId="0" applyAlignment="1" applyBorder="1" applyFont="1" applyNumberFormat="1">
      <alignment vertical="bottom"/>
    </xf>
    <xf borderId="0" fillId="0" fontId="2" numFmtId="4" xfId="0" applyAlignment="1" applyFont="1" applyNumberFormat="1">
      <alignment horizontal="left" vertical="bottom"/>
    </xf>
    <xf borderId="0" fillId="0" fontId="30" numFmtId="165" xfId="0" applyAlignment="1" applyFont="1" applyNumberFormat="1">
      <alignment horizontal="right" vertical="bottom"/>
    </xf>
    <xf borderId="0" fillId="0" fontId="1" numFmtId="0" xfId="0" applyAlignment="1" applyFont="1">
      <alignment horizontal="right" vertical="bottom"/>
    </xf>
    <xf borderId="0" fillId="0" fontId="28" numFmtId="165" xfId="0" applyAlignment="1" applyFont="1" applyNumberFormat="1">
      <alignment horizontal="center" vertical="bottom"/>
    </xf>
    <xf borderId="1" fillId="8" fontId="28" numFmtId="165" xfId="0" applyAlignment="1" applyBorder="1" applyFont="1" applyNumberFormat="1">
      <alignment horizontal="right" vertical="bottom"/>
    </xf>
    <xf borderId="0" fillId="0" fontId="5" numFmtId="164" xfId="0" applyAlignment="1" applyFont="1" applyNumberFormat="1">
      <alignment vertical="bottom"/>
    </xf>
    <xf borderId="0" fillId="0" fontId="2" numFmtId="4" xfId="0" applyAlignment="1" applyFont="1" applyNumberFormat="1">
      <alignment horizontal="right" vertical="bottom"/>
    </xf>
    <xf borderId="26" fillId="14" fontId="2" numFmtId="165" xfId="0" applyAlignment="1" applyBorder="1" applyFont="1" applyNumberFormat="1">
      <alignment vertical="bottom"/>
    </xf>
    <xf borderId="1" fillId="17" fontId="2" numFmtId="167" xfId="0" applyAlignment="1" applyBorder="1" applyFill="1" applyFont="1" applyNumberFormat="1">
      <alignment vertical="bottom"/>
    </xf>
    <xf borderId="0" fillId="0" fontId="2" numFmtId="4" xfId="0" applyAlignment="1" applyFont="1" applyNumberFormat="1">
      <alignment vertical="bottom"/>
    </xf>
    <xf borderId="0" fillId="0" fontId="9" numFmtId="4" xfId="0" applyAlignment="1" applyFont="1" applyNumberFormat="1">
      <alignment vertical="bottom"/>
    </xf>
    <xf borderId="0" fillId="0" fontId="5" numFmtId="165" xfId="0" applyAlignment="1" applyFont="1" applyNumberFormat="1">
      <alignment horizontal="center" vertical="bottom"/>
    </xf>
    <xf borderId="0" fillId="0" fontId="5" numFmtId="0" xfId="0" applyAlignment="1" applyFont="1">
      <alignment horizontal="right" vertical="bottom"/>
    </xf>
    <xf borderId="0" fillId="0" fontId="5" numFmtId="0" xfId="0" applyAlignment="1" applyFont="1">
      <alignment horizontal="center" vertical="bottom"/>
    </xf>
    <xf borderId="0" fillId="0" fontId="5" numFmtId="169" xfId="0" applyAlignment="1" applyFont="1" applyNumberFormat="1">
      <alignment vertical="bottom"/>
    </xf>
    <xf borderId="0" fillId="0" fontId="5" numFmtId="165" xfId="0" applyAlignment="1" applyFont="1" applyNumberFormat="1">
      <alignment horizontal="left" vertical="bottom"/>
    </xf>
    <xf borderId="0" fillId="0" fontId="9" numFmtId="165" xfId="0" applyAlignment="1" applyFont="1" applyNumberFormat="1">
      <alignment horizontal="left" vertical="bottom"/>
    </xf>
    <xf borderId="0" fillId="0" fontId="31" numFmtId="165" xfId="0" applyAlignment="1" applyFont="1" applyNumberFormat="1">
      <alignment horizontal="right" vertical="bottom"/>
    </xf>
    <xf borderId="0" fillId="0" fontId="32" numFmtId="165" xfId="0" applyAlignment="1" applyFont="1" applyNumberFormat="1">
      <alignment vertical="bottom"/>
    </xf>
    <xf borderId="0" fillId="0" fontId="33" numFmtId="164" xfId="0" applyAlignment="1" applyFont="1" applyNumberFormat="1">
      <alignment vertical="bottom"/>
    </xf>
    <xf borderId="0" fillId="0" fontId="34" numFmtId="169" xfId="0" applyAlignment="1" applyFont="1" applyNumberFormat="1">
      <alignment vertical="bottom"/>
    </xf>
    <xf borderId="0" fillId="0" fontId="3" numFmtId="164" xfId="0" applyAlignment="1" applyFont="1" applyNumberFormat="1">
      <alignment vertical="bottom"/>
    </xf>
    <xf borderId="0" fillId="0" fontId="3" numFmtId="169" xfId="0" applyAlignment="1" applyFont="1" applyNumberFormat="1">
      <alignment vertical="bottom"/>
    </xf>
    <xf borderId="0" fillId="0" fontId="3" numFmtId="0" xfId="0" applyAlignment="1" applyFont="1">
      <alignment vertical="bottom"/>
    </xf>
    <xf borderId="0" fillId="0" fontId="3" numFmtId="165" xfId="0" applyAlignment="1" applyFont="1" applyNumberFormat="1">
      <alignment horizontal="center" vertical="bottom"/>
    </xf>
    <xf borderId="0" fillId="0" fontId="3" numFmtId="164" xfId="0" applyAlignment="1" applyFont="1" applyNumberFormat="1">
      <alignment horizontal="center" vertical="bottom"/>
    </xf>
    <xf borderId="0" fillId="0" fontId="3" numFmtId="0" xfId="0" applyAlignment="1" applyFont="1">
      <alignment horizontal="right" vertical="bottom"/>
    </xf>
    <xf borderId="0" fillId="0" fontId="3" numFmtId="4" xfId="0" applyAlignment="1" applyFont="1" applyNumberFormat="1">
      <alignment vertical="bottom"/>
    </xf>
    <xf borderId="0" fillId="0" fontId="29" numFmtId="4" xfId="0" applyAlignment="1" applyFont="1" applyNumberFormat="1">
      <alignment vertical="bottom"/>
    </xf>
    <xf borderId="0" fillId="0" fontId="35" numFmtId="164" xfId="0" applyAlignment="1" applyFont="1" applyNumberFormat="1">
      <alignment horizontal="center" vertical="bottom"/>
    </xf>
    <xf borderId="0" fillId="0" fontId="36" numFmtId="165" xfId="0" applyAlignment="1" applyFont="1" applyNumberFormat="1">
      <alignment vertical="bottom"/>
    </xf>
    <xf borderId="0" fillId="0" fontId="37" numFmtId="165" xfId="0" applyAlignment="1" applyFont="1" applyNumberFormat="1">
      <alignment vertical="bottom"/>
    </xf>
    <xf borderId="0" fillId="0" fontId="5"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6.0" topLeftCell="J7" activePane="bottomRight" state="frozen"/>
      <selection activeCell="J1" sqref="J1" pane="topRight"/>
      <selection activeCell="A7" sqref="A7" pane="bottomLeft"/>
      <selection activeCell="J7" sqref="J7" pane="bottomRight"/>
    </sheetView>
  </sheetViews>
  <sheetFormatPr customHeight="1" defaultColWidth="14.43" defaultRowHeight="15.0" outlineLevelCol="1"/>
  <cols>
    <col customWidth="1" min="1" max="1" width="12.0"/>
    <col customWidth="1" min="2" max="2" width="12.71"/>
    <col customWidth="1" min="3" max="3" width="10.57"/>
    <col customWidth="1" min="4" max="4" width="8.57"/>
    <col customWidth="1" hidden="1" min="5" max="5" width="113.71" outlineLevel="1"/>
    <col customWidth="1" min="6" max="6" width="16.0"/>
    <col customWidth="1" min="7" max="7" width="9.0"/>
    <col customWidth="1" min="8" max="8" width="15.29"/>
    <col customWidth="1" min="9" max="9" width="14.57"/>
    <col customWidth="1" min="10" max="10" width="13.86" outlineLevel="1"/>
    <col customWidth="1" min="11" max="11" width="12.57" outlineLevel="1"/>
    <col customWidth="1" min="12" max="15" width="13.57" outlineLevel="1"/>
    <col customWidth="1" min="16" max="17" width="14.43"/>
    <col customWidth="1" min="18" max="18" width="15.71"/>
    <col customWidth="1" min="19" max="19" width="13.86" outlineLevel="1"/>
    <col customWidth="1" min="20" max="20" width="13.29" outlineLevel="1"/>
    <col customWidth="1" min="21" max="21" width="15.71" outlineLevel="1"/>
    <col customWidth="1" min="22" max="22" width="13.86" outlineLevel="1"/>
    <col customWidth="1" min="23" max="23" width="13.29" outlineLevel="1"/>
    <col customWidth="1" min="24" max="24" width="15.71" outlineLevel="1"/>
    <col customWidth="1" min="25" max="26" width="14.29" outlineLevel="1"/>
    <col customWidth="1" min="27" max="27" width="15.71" outlineLevel="1"/>
    <col customWidth="1" min="28" max="28" width="13.86" outlineLevel="1"/>
    <col customWidth="1" min="29" max="29" width="13.29" outlineLevel="1"/>
    <col customWidth="1" min="30" max="30" width="15.71" outlineLevel="1"/>
    <col customWidth="1" min="31" max="32" width="14.29"/>
    <col customWidth="1" min="33" max="33" width="15.71"/>
    <col customWidth="1" min="34" max="34" width="14.29" outlineLevel="1"/>
    <col customWidth="1" min="35" max="35" width="13.57" outlineLevel="1"/>
    <col customWidth="1" min="36" max="36" width="15.71" outlineLevel="1"/>
    <col customWidth="1" min="37" max="37" width="13.86" outlineLevel="1"/>
    <col customWidth="1" min="38" max="38" width="12.57" outlineLevel="1"/>
    <col customWidth="1" min="39" max="39" width="15.71" outlineLevel="1"/>
    <col customWidth="1" min="40" max="40" width="14.29" outlineLevel="1"/>
    <col customWidth="1" min="41" max="41" width="13.57" outlineLevel="1"/>
    <col customWidth="1" min="42" max="42" width="15.71" outlineLevel="1"/>
    <col customWidth="1" min="43" max="43" width="13.86" outlineLevel="1"/>
    <col customWidth="1" min="44" max="44" width="13.29" outlineLevel="1"/>
    <col customWidth="1" min="45" max="45" width="15.71" outlineLevel="1"/>
    <col customWidth="1" min="46" max="47" width="14.29"/>
    <col customWidth="1" min="48" max="48" width="15.71"/>
    <col customWidth="1" min="49" max="49" width="13.86" outlineLevel="1"/>
    <col customWidth="1" min="50" max="50" width="13.29" outlineLevel="1"/>
    <col customWidth="1" min="51" max="51" width="15.71" outlineLevel="1"/>
    <col customWidth="1" min="52" max="52" width="13.86" outlineLevel="1"/>
    <col customWidth="1" min="53" max="53" width="13.29" outlineLevel="1"/>
    <col customWidth="1" min="54" max="54" width="15.71" outlineLevel="1"/>
    <col customWidth="1" min="55" max="56" width="14.29" outlineLevel="1"/>
    <col customWidth="1" min="57" max="57" width="15.71" outlineLevel="1"/>
    <col customWidth="1" min="58" max="59" width="14.29" outlineLevel="1"/>
    <col customWidth="1" min="60" max="60" width="15.71" outlineLevel="1"/>
    <col customWidth="1" min="61" max="62" width="14.29"/>
    <col customWidth="1" min="63" max="63" width="15.71"/>
    <col customWidth="1" min="64" max="64" width="13.86" outlineLevel="1"/>
    <col customWidth="1" min="65" max="65" width="13.29" outlineLevel="1"/>
    <col customWidth="1" min="66" max="66" width="15.71" outlineLevel="1"/>
    <col customWidth="1" min="67" max="68" width="14.0" outlineLevel="1"/>
    <col customWidth="1" min="69" max="69" width="15.71" outlineLevel="1"/>
    <col customWidth="1" min="70" max="71" width="14.29" outlineLevel="1"/>
    <col customWidth="1" min="72" max="72" width="15.71" outlineLevel="1"/>
    <col customWidth="1" min="73" max="74" width="14.43"/>
    <col customWidth="1" min="75" max="75" width="15.71"/>
    <col customWidth="1" min="76" max="76" width="13.86" outlineLevel="1"/>
    <col customWidth="1" min="77" max="77" width="13.29" outlineLevel="1"/>
    <col customWidth="1" min="78" max="78" width="15.71" outlineLevel="1"/>
    <col customWidth="1" min="79" max="80" width="14.29" outlineLevel="1"/>
    <col customWidth="1" min="81" max="81" width="15.71" outlineLevel="1"/>
    <col customWidth="1" min="82" max="83" width="14.29" outlineLevel="1"/>
    <col customWidth="1" min="84" max="84" width="15.71" outlineLevel="1"/>
    <col customWidth="1" min="85" max="86" width="14.29"/>
    <col customWidth="1" min="87" max="87" width="15.71"/>
    <col customWidth="1" min="88" max="88" width="13.86" outlineLevel="1"/>
    <col customWidth="1" min="89" max="89" width="13.29" outlineLevel="1"/>
    <col customWidth="1" min="90" max="90" width="15.71" outlineLevel="1"/>
    <col customWidth="1" min="91" max="91" width="13.86" outlineLevel="1"/>
    <col customWidth="1" min="92" max="92" width="13.29" outlineLevel="1"/>
    <col customWidth="1" min="93" max="93" width="15.71" outlineLevel="1"/>
    <col customWidth="1" min="94" max="94" width="13.86" outlineLevel="1"/>
    <col customWidth="1" min="95" max="95" width="12.57" outlineLevel="1"/>
    <col customWidth="1" min="96" max="96" width="15.71" outlineLevel="1"/>
    <col customWidth="1" min="97" max="97" width="13.86" outlineLevel="1"/>
    <col customWidth="1" min="98" max="98" width="12.57" outlineLevel="1"/>
    <col customWidth="1" min="99" max="99" width="15.71" outlineLevel="1"/>
    <col customWidth="1" min="100" max="100" width="13.86"/>
    <col customWidth="1" min="101" max="101" width="13.43"/>
    <col customWidth="1" min="102" max="102" width="15.71"/>
    <col customWidth="1" min="103" max="103" width="13.86"/>
    <col customWidth="1" min="104" max="104" width="13.29"/>
    <col customWidth="1" min="105" max="105" width="15.71"/>
    <col customWidth="1" min="106" max="106" width="13.86"/>
    <col customWidth="1" min="107" max="107" width="13.29"/>
    <col customWidth="1" min="108" max="108" width="15.71"/>
    <col customWidth="1" min="109" max="109" width="13.86"/>
    <col customWidth="1" min="110" max="110" width="12.57"/>
    <col customWidth="1" min="111" max="111" width="15.71"/>
    <col customWidth="1" min="112" max="112" width="13.86"/>
    <col customWidth="1" min="113" max="113" width="12.57"/>
    <col customWidth="1" min="114" max="114" width="15.71"/>
    <col customWidth="1" min="115" max="115" width="13.86"/>
    <col customWidth="1" min="116" max="116" width="13.43"/>
    <col customWidth="1" min="117" max="117" width="15.71"/>
    <col customWidth="1" min="118" max="118" width="15.29"/>
    <col customWidth="1" min="119" max="119" width="14.71"/>
    <col customWidth="1" min="120" max="120" width="15.71"/>
    <col customWidth="1" min="121" max="121" width="15.29"/>
    <col customWidth="1" min="122" max="124" width="9.14"/>
  </cols>
  <sheetData>
    <row r="1" ht="13.5" customHeight="1">
      <c r="A1" s="1" t="s">
        <v>0</v>
      </c>
      <c r="B1" s="2"/>
      <c r="C1" s="2"/>
      <c r="D1" s="3"/>
      <c r="E1" s="2"/>
      <c r="F1" s="4"/>
      <c r="G1" s="4"/>
      <c r="H1" s="5"/>
      <c r="I1" s="5"/>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2"/>
      <c r="DO1" s="2"/>
      <c r="DP1" s="2"/>
      <c r="DQ1" s="2"/>
    </row>
    <row r="2" ht="13.5" customHeight="1">
      <c r="A2" s="1" t="s">
        <v>1</v>
      </c>
      <c r="B2" s="2"/>
      <c r="C2" s="2"/>
      <c r="D2" s="3"/>
      <c r="E2" s="2"/>
      <c r="F2" s="4"/>
      <c r="G2" s="4"/>
      <c r="H2" s="7"/>
      <c r="I2" s="8"/>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2"/>
      <c r="DO2" s="2"/>
      <c r="DP2" s="2"/>
      <c r="DQ2" s="2"/>
    </row>
    <row r="3" ht="13.5" customHeight="1">
      <c r="A3" s="1" t="s">
        <v>2</v>
      </c>
      <c r="B3" s="2"/>
      <c r="C3" s="2"/>
      <c r="D3" s="3"/>
      <c r="E3" s="2"/>
      <c r="F3" s="4"/>
      <c r="G3" s="4"/>
      <c r="H3" s="7"/>
      <c r="I3" s="8"/>
      <c r="J3" s="9" t="s">
        <v>3</v>
      </c>
      <c r="K3" s="10"/>
      <c r="L3" s="10"/>
      <c r="M3" s="9" t="s">
        <v>4</v>
      </c>
      <c r="N3" s="10"/>
      <c r="O3" s="10"/>
      <c r="P3" s="9"/>
      <c r="Q3" s="10"/>
      <c r="R3" s="10"/>
      <c r="S3" s="9" t="s">
        <v>5</v>
      </c>
      <c r="T3" s="10"/>
      <c r="U3" s="10"/>
      <c r="V3" s="9" t="s">
        <v>6</v>
      </c>
      <c r="W3" s="10"/>
      <c r="X3" s="10"/>
      <c r="Y3" s="9" t="s">
        <v>7</v>
      </c>
      <c r="Z3" s="10"/>
      <c r="AA3" s="10"/>
      <c r="AB3" s="9" t="s">
        <v>8</v>
      </c>
      <c r="AC3" s="10"/>
      <c r="AD3" s="10"/>
      <c r="AE3" s="9"/>
      <c r="AF3" s="10"/>
      <c r="AG3" s="10"/>
      <c r="AH3" s="9" t="s">
        <v>9</v>
      </c>
      <c r="AI3" s="10"/>
      <c r="AJ3" s="10"/>
      <c r="AK3" s="9" t="s">
        <v>10</v>
      </c>
      <c r="AL3" s="10"/>
      <c r="AM3" s="10"/>
      <c r="AN3" s="9" t="s">
        <v>11</v>
      </c>
      <c r="AO3" s="10"/>
      <c r="AP3" s="10"/>
      <c r="AQ3" s="9" t="s">
        <v>12</v>
      </c>
      <c r="AR3" s="10"/>
      <c r="AS3" s="10"/>
      <c r="AT3" s="9"/>
      <c r="AU3" s="10"/>
      <c r="AV3" s="10"/>
      <c r="AW3" s="9" t="s">
        <v>13</v>
      </c>
      <c r="AX3" s="10"/>
      <c r="AY3" s="10"/>
      <c r="AZ3" s="9" t="s">
        <v>14</v>
      </c>
      <c r="BA3" s="10"/>
      <c r="BB3" s="10"/>
      <c r="BC3" s="9" t="s">
        <v>15</v>
      </c>
      <c r="BD3" s="10"/>
      <c r="BE3" s="10"/>
      <c r="BF3" s="9" t="s">
        <v>16</v>
      </c>
      <c r="BG3" s="10"/>
      <c r="BH3" s="10"/>
      <c r="BI3" s="9"/>
      <c r="BJ3" s="10"/>
      <c r="BK3" s="10"/>
      <c r="BL3" s="9" t="s">
        <v>17</v>
      </c>
      <c r="BM3" s="10"/>
      <c r="BN3" s="10"/>
      <c r="BO3" s="9" t="s">
        <v>18</v>
      </c>
      <c r="BP3" s="10"/>
      <c r="BQ3" s="10"/>
      <c r="BR3" s="9" t="s">
        <v>19</v>
      </c>
      <c r="BS3" s="10"/>
      <c r="BT3" s="10"/>
      <c r="BU3" s="9"/>
      <c r="BV3" s="10"/>
      <c r="BW3" s="10"/>
      <c r="BX3" s="9" t="s">
        <v>20</v>
      </c>
      <c r="BY3" s="10"/>
      <c r="BZ3" s="10"/>
      <c r="CA3" s="9" t="s">
        <v>21</v>
      </c>
      <c r="CB3" s="10"/>
      <c r="CC3" s="10"/>
      <c r="CD3" s="9" t="s">
        <v>22</v>
      </c>
      <c r="CE3" s="10"/>
      <c r="CF3" s="10"/>
      <c r="CG3" s="9"/>
      <c r="CH3" s="10"/>
      <c r="CI3" s="10"/>
      <c r="CJ3" s="9" t="s">
        <v>23</v>
      </c>
      <c r="CK3" s="10"/>
      <c r="CL3" s="10"/>
      <c r="CM3" s="9" t="s">
        <v>24</v>
      </c>
      <c r="CN3" s="10"/>
      <c r="CO3" s="10"/>
      <c r="CP3" s="9" t="s">
        <v>25</v>
      </c>
      <c r="CQ3" s="10"/>
      <c r="CR3" s="10"/>
      <c r="CS3" s="9" t="s">
        <v>26</v>
      </c>
      <c r="CT3" s="10"/>
      <c r="CU3" s="10"/>
      <c r="CV3" s="9"/>
      <c r="CW3" s="10"/>
      <c r="CX3" s="10"/>
      <c r="CY3" s="9" t="s">
        <v>27</v>
      </c>
      <c r="CZ3" s="10"/>
      <c r="DA3" s="10"/>
      <c r="DB3" s="9" t="s">
        <v>28</v>
      </c>
      <c r="DC3" s="10"/>
      <c r="DD3" s="10"/>
      <c r="DE3" s="9" t="s">
        <v>29</v>
      </c>
      <c r="DF3" s="10"/>
      <c r="DG3" s="10"/>
      <c r="DH3" s="9" t="s">
        <v>30</v>
      </c>
      <c r="DI3" s="10"/>
      <c r="DJ3" s="10"/>
      <c r="DK3" s="9"/>
      <c r="DL3" s="10"/>
      <c r="DM3" s="10"/>
      <c r="DN3" s="2"/>
      <c r="DO3" s="2"/>
      <c r="DP3" s="2"/>
      <c r="DQ3" s="2"/>
    </row>
    <row r="4" ht="13.5" customHeight="1">
      <c r="A4" s="11"/>
      <c r="B4" s="2"/>
      <c r="C4" s="2"/>
      <c r="D4" s="3"/>
      <c r="E4" s="2"/>
      <c r="F4" s="4"/>
      <c r="G4" s="4"/>
      <c r="H4" s="7"/>
      <c r="I4" s="8"/>
      <c r="J4" s="12" t="s">
        <v>31</v>
      </c>
      <c r="K4" s="13"/>
      <c r="L4" s="14"/>
      <c r="M4" s="12" t="s">
        <v>32</v>
      </c>
      <c r="N4" s="13"/>
      <c r="O4" s="14"/>
      <c r="P4" s="15" t="s">
        <v>33</v>
      </c>
      <c r="Q4" s="13"/>
      <c r="R4" s="14"/>
      <c r="S4" s="16" t="s">
        <v>34</v>
      </c>
      <c r="T4" s="13"/>
      <c r="U4" s="14"/>
      <c r="V4" s="16" t="s">
        <v>35</v>
      </c>
      <c r="W4" s="13"/>
      <c r="X4" s="14"/>
      <c r="Y4" s="16" t="s">
        <v>36</v>
      </c>
      <c r="Z4" s="13"/>
      <c r="AA4" s="14"/>
      <c r="AB4" s="16" t="s">
        <v>37</v>
      </c>
      <c r="AC4" s="13"/>
      <c r="AD4" s="14"/>
      <c r="AE4" s="15" t="s">
        <v>38</v>
      </c>
      <c r="AF4" s="13"/>
      <c r="AG4" s="14"/>
      <c r="AH4" s="12" t="s">
        <v>39</v>
      </c>
      <c r="AI4" s="13"/>
      <c r="AJ4" s="14"/>
      <c r="AK4" s="12" t="s">
        <v>40</v>
      </c>
      <c r="AL4" s="13"/>
      <c r="AM4" s="14"/>
      <c r="AN4" s="12" t="s">
        <v>41</v>
      </c>
      <c r="AO4" s="13"/>
      <c r="AP4" s="14"/>
      <c r="AQ4" s="12" t="s">
        <v>42</v>
      </c>
      <c r="AR4" s="13"/>
      <c r="AS4" s="14"/>
      <c r="AT4" s="15" t="s">
        <v>43</v>
      </c>
      <c r="AU4" s="13"/>
      <c r="AV4" s="14"/>
      <c r="AW4" s="16" t="s">
        <v>44</v>
      </c>
      <c r="AX4" s="13"/>
      <c r="AY4" s="14"/>
      <c r="AZ4" s="16" t="s">
        <v>45</v>
      </c>
      <c r="BA4" s="13"/>
      <c r="BB4" s="14"/>
      <c r="BC4" s="16" t="s">
        <v>46</v>
      </c>
      <c r="BD4" s="13"/>
      <c r="BE4" s="14"/>
      <c r="BF4" s="16" t="s">
        <v>47</v>
      </c>
      <c r="BG4" s="13"/>
      <c r="BH4" s="14"/>
      <c r="BI4" s="15" t="s">
        <v>48</v>
      </c>
      <c r="BJ4" s="13"/>
      <c r="BK4" s="14"/>
      <c r="BL4" s="12" t="s">
        <v>49</v>
      </c>
      <c r="BM4" s="13"/>
      <c r="BN4" s="14"/>
      <c r="BO4" s="12" t="s">
        <v>50</v>
      </c>
      <c r="BP4" s="13"/>
      <c r="BQ4" s="14"/>
      <c r="BR4" s="12" t="s">
        <v>51</v>
      </c>
      <c r="BS4" s="13"/>
      <c r="BT4" s="14"/>
      <c r="BU4" s="15" t="s">
        <v>52</v>
      </c>
      <c r="BV4" s="13"/>
      <c r="BW4" s="14"/>
      <c r="BX4" s="17" t="s">
        <v>53</v>
      </c>
      <c r="BY4" s="13"/>
      <c r="BZ4" s="14"/>
      <c r="CA4" s="16" t="s">
        <v>54</v>
      </c>
      <c r="CB4" s="13"/>
      <c r="CC4" s="14"/>
      <c r="CD4" s="16" t="s">
        <v>55</v>
      </c>
      <c r="CE4" s="13"/>
      <c r="CF4" s="14"/>
      <c r="CG4" s="15" t="s">
        <v>56</v>
      </c>
      <c r="CH4" s="13"/>
      <c r="CI4" s="14"/>
      <c r="CJ4" s="12" t="s">
        <v>57</v>
      </c>
      <c r="CK4" s="13"/>
      <c r="CL4" s="14"/>
      <c r="CM4" s="12" t="s">
        <v>58</v>
      </c>
      <c r="CN4" s="13"/>
      <c r="CO4" s="14"/>
      <c r="CP4" s="12" t="s">
        <v>59</v>
      </c>
      <c r="CQ4" s="13"/>
      <c r="CR4" s="14"/>
      <c r="CS4" s="12" t="s">
        <v>60</v>
      </c>
      <c r="CT4" s="13"/>
      <c r="CU4" s="14"/>
      <c r="CV4" s="15" t="s">
        <v>61</v>
      </c>
      <c r="CW4" s="13"/>
      <c r="CX4" s="14"/>
      <c r="CY4" s="12" t="s">
        <v>62</v>
      </c>
      <c r="CZ4" s="13"/>
      <c r="DA4" s="14"/>
      <c r="DB4" s="12" t="s">
        <v>63</v>
      </c>
      <c r="DC4" s="13"/>
      <c r="DD4" s="14"/>
      <c r="DE4" s="12" t="s">
        <v>64</v>
      </c>
      <c r="DF4" s="13"/>
      <c r="DG4" s="14"/>
      <c r="DH4" s="12" t="s">
        <v>65</v>
      </c>
      <c r="DI4" s="13"/>
      <c r="DJ4" s="14"/>
      <c r="DK4" s="15" t="s">
        <v>61</v>
      </c>
      <c r="DL4" s="13"/>
      <c r="DM4" s="14"/>
      <c r="DN4" s="18" t="s">
        <v>66</v>
      </c>
      <c r="DO4" s="13"/>
      <c r="DP4" s="14"/>
      <c r="DQ4" s="2"/>
    </row>
    <row r="5" ht="13.5" customHeight="1">
      <c r="A5" s="2"/>
      <c r="B5" s="2"/>
      <c r="C5" s="2"/>
      <c r="D5" s="19"/>
      <c r="E5" s="2"/>
      <c r="F5" s="2"/>
      <c r="G5" s="2"/>
      <c r="H5" s="20" t="s">
        <v>67</v>
      </c>
      <c r="I5" s="20" t="s">
        <v>68</v>
      </c>
      <c r="J5" s="20" t="s">
        <v>67</v>
      </c>
      <c r="K5" s="20" t="s">
        <v>68</v>
      </c>
      <c r="L5" s="20" t="s">
        <v>69</v>
      </c>
      <c r="M5" s="20" t="s">
        <v>67</v>
      </c>
      <c r="N5" s="20" t="s">
        <v>68</v>
      </c>
      <c r="O5" s="20" t="s">
        <v>69</v>
      </c>
      <c r="P5" s="20" t="s">
        <v>67</v>
      </c>
      <c r="Q5" s="20" t="s">
        <v>68</v>
      </c>
      <c r="R5" s="20" t="s">
        <v>69</v>
      </c>
      <c r="S5" s="20" t="s">
        <v>67</v>
      </c>
      <c r="T5" s="20" t="s">
        <v>68</v>
      </c>
      <c r="U5" s="20" t="s">
        <v>69</v>
      </c>
      <c r="V5" s="20" t="s">
        <v>67</v>
      </c>
      <c r="W5" s="20" t="s">
        <v>68</v>
      </c>
      <c r="X5" s="20" t="s">
        <v>69</v>
      </c>
      <c r="Y5" s="20" t="s">
        <v>67</v>
      </c>
      <c r="Z5" s="20" t="s">
        <v>68</v>
      </c>
      <c r="AA5" s="20" t="s">
        <v>69</v>
      </c>
      <c r="AB5" s="20" t="s">
        <v>67</v>
      </c>
      <c r="AC5" s="20" t="s">
        <v>68</v>
      </c>
      <c r="AD5" s="20" t="s">
        <v>69</v>
      </c>
      <c r="AE5" s="20" t="s">
        <v>67</v>
      </c>
      <c r="AF5" s="20" t="s">
        <v>68</v>
      </c>
      <c r="AG5" s="20" t="s">
        <v>69</v>
      </c>
      <c r="AH5" s="20" t="s">
        <v>67</v>
      </c>
      <c r="AI5" s="20" t="s">
        <v>68</v>
      </c>
      <c r="AJ5" s="20" t="s">
        <v>69</v>
      </c>
      <c r="AK5" s="20" t="s">
        <v>67</v>
      </c>
      <c r="AL5" s="20" t="s">
        <v>68</v>
      </c>
      <c r="AM5" s="20" t="s">
        <v>69</v>
      </c>
      <c r="AN5" s="20" t="s">
        <v>67</v>
      </c>
      <c r="AO5" s="20" t="s">
        <v>68</v>
      </c>
      <c r="AP5" s="20" t="s">
        <v>69</v>
      </c>
      <c r="AQ5" s="20" t="s">
        <v>67</v>
      </c>
      <c r="AR5" s="20" t="s">
        <v>68</v>
      </c>
      <c r="AS5" s="20" t="s">
        <v>69</v>
      </c>
      <c r="AT5" s="20" t="s">
        <v>67</v>
      </c>
      <c r="AU5" s="20" t="s">
        <v>68</v>
      </c>
      <c r="AV5" s="20" t="s">
        <v>69</v>
      </c>
      <c r="AW5" s="20" t="s">
        <v>67</v>
      </c>
      <c r="AX5" s="20" t="s">
        <v>68</v>
      </c>
      <c r="AY5" s="20" t="s">
        <v>69</v>
      </c>
      <c r="AZ5" s="20" t="s">
        <v>67</v>
      </c>
      <c r="BA5" s="20" t="s">
        <v>68</v>
      </c>
      <c r="BB5" s="20" t="s">
        <v>69</v>
      </c>
      <c r="BC5" s="20" t="s">
        <v>67</v>
      </c>
      <c r="BD5" s="20" t="s">
        <v>68</v>
      </c>
      <c r="BE5" s="20" t="s">
        <v>69</v>
      </c>
      <c r="BF5" s="20" t="s">
        <v>67</v>
      </c>
      <c r="BG5" s="20" t="s">
        <v>68</v>
      </c>
      <c r="BH5" s="20" t="s">
        <v>69</v>
      </c>
      <c r="BI5" s="20" t="s">
        <v>67</v>
      </c>
      <c r="BJ5" s="20" t="s">
        <v>68</v>
      </c>
      <c r="BK5" s="20" t="s">
        <v>69</v>
      </c>
      <c r="BL5" s="20" t="s">
        <v>67</v>
      </c>
      <c r="BM5" s="20" t="s">
        <v>68</v>
      </c>
      <c r="BN5" s="20" t="s">
        <v>69</v>
      </c>
      <c r="BO5" s="20" t="s">
        <v>67</v>
      </c>
      <c r="BP5" s="20" t="s">
        <v>68</v>
      </c>
      <c r="BQ5" s="20" t="s">
        <v>69</v>
      </c>
      <c r="BR5" s="20" t="s">
        <v>67</v>
      </c>
      <c r="BS5" s="20" t="s">
        <v>68</v>
      </c>
      <c r="BT5" s="20" t="s">
        <v>69</v>
      </c>
      <c r="BU5" s="20" t="s">
        <v>67</v>
      </c>
      <c r="BV5" s="20" t="s">
        <v>68</v>
      </c>
      <c r="BW5" s="20" t="s">
        <v>69</v>
      </c>
      <c r="BX5" s="20" t="s">
        <v>67</v>
      </c>
      <c r="BY5" s="20" t="s">
        <v>68</v>
      </c>
      <c r="BZ5" s="20" t="s">
        <v>69</v>
      </c>
      <c r="CA5" s="20" t="s">
        <v>67</v>
      </c>
      <c r="CB5" s="20" t="s">
        <v>68</v>
      </c>
      <c r="CC5" s="20" t="s">
        <v>69</v>
      </c>
      <c r="CD5" s="20" t="s">
        <v>67</v>
      </c>
      <c r="CE5" s="20" t="s">
        <v>68</v>
      </c>
      <c r="CF5" s="20" t="s">
        <v>69</v>
      </c>
      <c r="CG5" s="20" t="s">
        <v>67</v>
      </c>
      <c r="CH5" s="20" t="s">
        <v>68</v>
      </c>
      <c r="CI5" s="20" t="s">
        <v>69</v>
      </c>
      <c r="CJ5" s="20" t="s">
        <v>67</v>
      </c>
      <c r="CK5" s="20" t="s">
        <v>68</v>
      </c>
      <c r="CL5" s="20" t="s">
        <v>69</v>
      </c>
      <c r="CM5" s="20" t="s">
        <v>67</v>
      </c>
      <c r="CN5" s="20" t="s">
        <v>68</v>
      </c>
      <c r="CO5" s="20" t="s">
        <v>69</v>
      </c>
      <c r="CP5" s="20" t="s">
        <v>67</v>
      </c>
      <c r="CQ5" s="20" t="s">
        <v>68</v>
      </c>
      <c r="CR5" s="20" t="s">
        <v>69</v>
      </c>
      <c r="CS5" s="20" t="s">
        <v>67</v>
      </c>
      <c r="CT5" s="20" t="s">
        <v>68</v>
      </c>
      <c r="CU5" s="20" t="s">
        <v>69</v>
      </c>
      <c r="CV5" s="20" t="s">
        <v>67</v>
      </c>
      <c r="CW5" s="20" t="s">
        <v>68</v>
      </c>
      <c r="CX5" s="20" t="s">
        <v>69</v>
      </c>
      <c r="CY5" s="20" t="s">
        <v>67</v>
      </c>
      <c r="CZ5" s="20" t="s">
        <v>68</v>
      </c>
      <c r="DA5" s="20" t="s">
        <v>69</v>
      </c>
      <c r="DB5" s="20" t="s">
        <v>67</v>
      </c>
      <c r="DC5" s="20" t="s">
        <v>68</v>
      </c>
      <c r="DD5" s="20" t="s">
        <v>69</v>
      </c>
      <c r="DE5" s="20" t="s">
        <v>67</v>
      </c>
      <c r="DF5" s="20" t="s">
        <v>68</v>
      </c>
      <c r="DG5" s="20" t="s">
        <v>69</v>
      </c>
      <c r="DH5" s="20" t="s">
        <v>67</v>
      </c>
      <c r="DI5" s="20" t="s">
        <v>68</v>
      </c>
      <c r="DJ5" s="20" t="s">
        <v>69</v>
      </c>
      <c r="DK5" s="20" t="s">
        <v>67</v>
      </c>
      <c r="DL5" s="20" t="s">
        <v>68</v>
      </c>
      <c r="DM5" s="20" t="s">
        <v>69</v>
      </c>
      <c r="DN5" s="20" t="s">
        <v>67</v>
      </c>
      <c r="DO5" s="20" t="s">
        <v>68</v>
      </c>
      <c r="DP5" s="20" t="s">
        <v>69</v>
      </c>
      <c r="DQ5" s="2"/>
    </row>
    <row r="6" ht="13.5" customHeight="1">
      <c r="A6" s="21" t="s">
        <v>70</v>
      </c>
      <c r="B6" s="22" t="s">
        <v>71</v>
      </c>
      <c r="C6" s="23" t="s">
        <v>72</v>
      </c>
      <c r="D6" s="24" t="s">
        <v>73</v>
      </c>
      <c r="E6" s="23" t="s">
        <v>74</v>
      </c>
      <c r="F6" s="25" t="s">
        <v>75</v>
      </c>
      <c r="G6" s="25" t="s">
        <v>76</v>
      </c>
      <c r="H6" s="26" t="s">
        <v>77</v>
      </c>
      <c r="I6" s="26" t="s">
        <v>78</v>
      </c>
      <c r="J6" s="27" t="s">
        <v>77</v>
      </c>
      <c r="K6" s="27" t="s">
        <v>78</v>
      </c>
      <c r="L6" s="26" t="s">
        <v>79</v>
      </c>
      <c r="M6" s="27" t="s">
        <v>77</v>
      </c>
      <c r="N6" s="27" t="s">
        <v>78</v>
      </c>
      <c r="O6" s="26" t="s">
        <v>79</v>
      </c>
      <c r="P6" s="27" t="s">
        <v>77</v>
      </c>
      <c r="Q6" s="27" t="s">
        <v>78</v>
      </c>
      <c r="R6" s="26" t="s">
        <v>79</v>
      </c>
      <c r="S6" s="27" t="s">
        <v>77</v>
      </c>
      <c r="T6" s="27" t="s">
        <v>78</v>
      </c>
      <c r="U6" s="26" t="s">
        <v>79</v>
      </c>
      <c r="V6" s="27" t="s">
        <v>77</v>
      </c>
      <c r="W6" s="27" t="s">
        <v>78</v>
      </c>
      <c r="X6" s="26" t="s">
        <v>79</v>
      </c>
      <c r="Y6" s="27" t="s">
        <v>77</v>
      </c>
      <c r="Z6" s="27" t="s">
        <v>78</v>
      </c>
      <c r="AA6" s="26" t="s">
        <v>79</v>
      </c>
      <c r="AB6" s="27" t="s">
        <v>77</v>
      </c>
      <c r="AC6" s="27" t="s">
        <v>78</v>
      </c>
      <c r="AD6" s="26" t="s">
        <v>79</v>
      </c>
      <c r="AE6" s="27" t="s">
        <v>77</v>
      </c>
      <c r="AF6" s="27" t="s">
        <v>78</v>
      </c>
      <c r="AG6" s="26" t="s">
        <v>79</v>
      </c>
      <c r="AH6" s="27" t="s">
        <v>77</v>
      </c>
      <c r="AI6" s="27" t="s">
        <v>78</v>
      </c>
      <c r="AJ6" s="26" t="s">
        <v>79</v>
      </c>
      <c r="AK6" s="27" t="s">
        <v>77</v>
      </c>
      <c r="AL6" s="27" t="s">
        <v>78</v>
      </c>
      <c r="AM6" s="26" t="s">
        <v>79</v>
      </c>
      <c r="AN6" s="27" t="s">
        <v>77</v>
      </c>
      <c r="AO6" s="27" t="s">
        <v>78</v>
      </c>
      <c r="AP6" s="26" t="s">
        <v>79</v>
      </c>
      <c r="AQ6" s="27" t="s">
        <v>77</v>
      </c>
      <c r="AR6" s="27" t="s">
        <v>78</v>
      </c>
      <c r="AS6" s="26" t="s">
        <v>79</v>
      </c>
      <c r="AT6" s="27" t="s">
        <v>77</v>
      </c>
      <c r="AU6" s="27" t="s">
        <v>78</v>
      </c>
      <c r="AV6" s="26" t="s">
        <v>79</v>
      </c>
      <c r="AW6" s="27" t="s">
        <v>77</v>
      </c>
      <c r="AX6" s="27" t="s">
        <v>78</v>
      </c>
      <c r="AY6" s="26" t="s">
        <v>79</v>
      </c>
      <c r="AZ6" s="27" t="s">
        <v>77</v>
      </c>
      <c r="BA6" s="27" t="s">
        <v>78</v>
      </c>
      <c r="BB6" s="26" t="s">
        <v>79</v>
      </c>
      <c r="BC6" s="27" t="s">
        <v>77</v>
      </c>
      <c r="BD6" s="27" t="s">
        <v>78</v>
      </c>
      <c r="BE6" s="26" t="s">
        <v>79</v>
      </c>
      <c r="BF6" s="27" t="s">
        <v>77</v>
      </c>
      <c r="BG6" s="27" t="s">
        <v>78</v>
      </c>
      <c r="BH6" s="26" t="s">
        <v>79</v>
      </c>
      <c r="BI6" s="27" t="s">
        <v>77</v>
      </c>
      <c r="BJ6" s="27" t="s">
        <v>78</v>
      </c>
      <c r="BK6" s="26" t="s">
        <v>79</v>
      </c>
      <c r="BL6" s="27" t="s">
        <v>77</v>
      </c>
      <c r="BM6" s="27" t="s">
        <v>78</v>
      </c>
      <c r="BN6" s="26" t="s">
        <v>79</v>
      </c>
      <c r="BO6" s="27" t="s">
        <v>77</v>
      </c>
      <c r="BP6" s="27" t="s">
        <v>78</v>
      </c>
      <c r="BQ6" s="26" t="s">
        <v>79</v>
      </c>
      <c r="BR6" s="27" t="s">
        <v>77</v>
      </c>
      <c r="BS6" s="27" t="s">
        <v>78</v>
      </c>
      <c r="BT6" s="26" t="s">
        <v>79</v>
      </c>
      <c r="BU6" s="27" t="s">
        <v>77</v>
      </c>
      <c r="BV6" s="27" t="s">
        <v>78</v>
      </c>
      <c r="BW6" s="26" t="s">
        <v>79</v>
      </c>
      <c r="BX6" s="27" t="s">
        <v>77</v>
      </c>
      <c r="BY6" s="27" t="s">
        <v>78</v>
      </c>
      <c r="BZ6" s="26" t="s">
        <v>79</v>
      </c>
      <c r="CA6" s="27" t="s">
        <v>77</v>
      </c>
      <c r="CB6" s="27" t="s">
        <v>78</v>
      </c>
      <c r="CC6" s="26" t="s">
        <v>79</v>
      </c>
      <c r="CD6" s="27" t="s">
        <v>77</v>
      </c>
      <c r="CE6" s="27" t="s">
        <v>78</v>
      </c>
      <c r="CF6" s="26" t="s">
        <v>79</v>
      </c>
      <c r="CG6" s="27" t="s">
        <v>77</v>
      </c>
      <c r="CH6" s="27" t="s">
        <v>78</v>
      </c>
      <c r="CI6" s="26" t="s">
        <v>79</v>
      </c>
      <c r="CJ6" s="27" t="s">
        <v>77</v>
      </c>
      <c r="CK6" s="27" t="s">
        <v>78</v>
      </c>
      <c r="CL6" s="26" t="s">
        <v>79</v>
      </c>
      <c r="CM6" s="27" t="s">
        <v>77</v>
      </c>
      <c r="CN6" s="27" t="s">
        <v>78</v>
      </c>
      <c r="CO6" s="26" t="s">
        <v>79</v>
      </c>
      <c r="CP6" s="27" t="s">
        <v>77</v>
      </c>
      <c r="CQ6" s="27" t="s">
        <v>78</v>
      </c>
      <c r="CR6" s="26" t="s">
        <v>79</v>
      </c>
      <c r="CS6" s="27" t="s">
        <v>77</v>
      </c>
      <c r="CT6" s="27" t="s">
        <v>78</v>
      </c>
      <c r="CU6" s="26" t="s">
        <v>79</v>
      </c>
      <c r="CV6" s="27" t="s">
        <v>77</v>
      </c>
      <c r="CW6" s="27" t="s">
        <v>78</v>
      </c>
      <c r="CX6" s="26" t="s">
        <v>79</v>
      </c>
      <c r="CY6" s="27" t="s">
        <v>77</v>
      </c>
      <c r="CZ6" s="27" t="s">
        <v>78</v>
      </c>
      <c r="DA6" s="26" t="s">
        <v>79</v>
      </c>
      <c r="DB6" s="27" t="s">
        <v>77</v>
      </c>
      <c r="DC6" s="27" t="s">
        <v>78</v>
      </c>
      <c r="DD6" s="26" t="s">
        <v>79</v>
      </c>
      <c r="DE6" s="27" t="s">
        <v>77</v>
      </c>
      <c r="DF6" s="27" t="s">
        <v>78</v>
      </c>
      <c r="DG6" s="26" t="s">
        <v>79</v>
      </c>
      <c r="DH6" s="27" t="s">
        <v>77</v>
      </c>
      <c r="DI6" s="27" t="s">
        <v>78</v>
      </c>
      <c r="DJ6" s="26" t="s">
        <v>79</v>
      </c>
      <c r="DK6" s="27" t="s">
        <v>77</v>
      </c>
      <c r="DL6" s="27" t="s">
        <v>78</v>
      </c>
      <c r="DM6" s="26" t="s">
        <v>79</v>
      </c>
      <c r="DN6" s="27" t="s">
        <v>77</v>
      </c>
      <c r="DO6" s="27" t="s">
        <v>78</v>
      </c>
      <c r="DP6" s="26" t="s">
        <v>79</v>
      </c>
      <c r="DQ6" s="28" t="s">
        <v>80</v>
      </c>
    </row>
    <row r="7" ht="13.5" customHeight="1">
      <c r="A7" s="11">
        <v>44022.0</v>
      </c>
      <c r="B7" s="2" t="s">
        <v>81</v>
      </c>
      <c r="C7" s="2" t="s">
        <v>82</v>
      </c>
      <c r="D7" s="29" t="s">
        <v>83</v>
      </c>
      <c r="E7" s="2" t="s">
        <v>84</v>
      </c>
      <c r="F7" s="11" t="s">
        <v>85</v>
      </c>
      <c r="G7" s="11" t="s">
        <v>4</v>
      </c>
      <c r="H7" s="5">
        <v>2.71E7</v>
      </c>
      <c r="I7" s="5">
        <v>2.71E7</v>
      </c>
      <c r="J7" s="6">
        <v>0.0</v>
      </c>
      <c r="K7" s="6">
        <v>0.0</v>
      </c>
      <c r="L7" s="6">
        <v>0.0</v>
      </c>
      <c r="M7" s="5">
        <v>2.71E7</v>
      </c>
      <c r="N7" s="5">
        <v>2.71E7</v>
      </c>
      <c r="O7" s="6">
        <v>0.0</v>
      </c>
      <c r="P7" s="6">
        <f t="shared" ref="P7:R7" si="1">+J7+M7</f>
        <v>27100000</v>
      </c>
      <c r="Q7" s="6">
        <f t="shared" si="1"/>
        <v>27100000</v>
      </c>
      <c r="R7" s="6">
        <f t="shared" si="1"/>
        <v>0</v>
      </c>
      <c r="S7" s="6">
        <v>0.0</v>
      </c>
      <c r="T7" s="6">
        <v>0.0</v>
      </c>
      <c r="U7" s="6">
        <v>5500000.0</v>
      </c>
      <c r="V7" s="6">
        <v>0.0</v>
      </c>
      <c r="W7" s="6">
        <v>0.0</v>
      </c>
      <c r="X7" s="6">
        <v>2.16E7</v>
      </c>
      <c r="Y7" s="6">
        <v>0.0</v>
      </c>
      <c r="Z7" s="6">
        <v>0.0</v>
      </c>
      <c r="AA7" s="6">
        <v>0.0</v>
      </c>
      <c r="AB7" s="6">
        <v>0.0</v>
      </c>
      <c r="AC7" s="6">
        <v>0.0</v>
      </c>
      <c r="AD7" s="6">
        <v>0.0</v>
      </c>
      <c r="AE7" s="6">
        <f t="shared" ref="AE7:AG7" si="2">+Y7+AB7+S7+V7</f>
        <v>0</v>
      </c>
      <c r="AF7" s="6">
        <f t="shared" si="2"/>
        <v>0</v>
      </c>
      <c r="AG7" s="6">
        <f t="shared" si="2"/>
        <v>27100000</v>
      </c>
      <c r="AH7" s="6">
        <v>0.0</v>
      </c>
      <c r="AI7" s="6">
        <v>0.0</v>
      </c>
      <c r="AJ7" s="6">
        <v>0.0</v>
      </c>
      <c r="AK7" s="6">
        <v>0.0</v>
      </c>
      <c r="AL7" s="6">
        <v>0.0</v>
      </c>
      <c r="AM7" s="6">
        <v>0.0</v>
      </c>
      <c r="AN7" s="6">
        <v>0.0</v>
      </c>
      <c r="AO7" s="6">
        <v>0.0</v>
      </c>
      <c r="AP7" s="6">
        <v>0.0</v>
      </c>
      <c r="AQ7" s="6">
        <v>0.0</v>
      </c>
      <c r="AR7" s="6">
        <v>0.0</v>
      </c>
      <c r="AS7" s="6">
        <v>0.0</v>
      </c>
      <c r="AT7" s="6">
        <f t="shared" ref="AT7:AV7" si="3">+AN7+AQ7+AH7+AK7</f>
        <v>0</v>
      </c>
      <c r="AU7" s="6">
        <f t="shared" si="3"/>
        <v>0</v>
      </c>
      <c r="AV7" s="6">
        <f t="shared" si="3"/>
        <v>0</v>
      </c>
      <c r="AW7" s="6">
        <v>0.0</v>
      </c>
      <c r="AX7" s="6">
        <v>0.0</v>
      </c>
      <c r="AY7" s="6">
        <v>0.0</v>
      </c>
      <c r="AZ7" s="6">
        <v>0.0</v>
      </c>
      <c r="BA7" s="6">
        <v>0.0</v>
      </c>
      <c r="BB7" s="6">
        <v>0.0</v>
      </c>
      <c r="BC7" s="6">
        <v>0.0</v>
      </c>
      <c r="BD7" s="6">
        <v>0.0</v>
      </c>
      <c r="BE7" s="6">
        <v>0.0</v>
      </c>
      <c r="BF7" s="6">
        <v>0.0</v>
      </c>
      <c r="BG7" s="6">
        <v>0.0</v>
      </c>
      <c r="BH7" s="6">
        <v>0.0</v>
      </c>
      <c r="BI7" s="6">
        <f t="shared" ref="BI7:BK7" si="4">+BC7+BF7+AW7+AZ7</f>
        <v>0</v>
      </c>
      <c r="BJ7" s="6">
        <f t="shared" si="4"/>
        <v>0</v>
      </c>
      <c r="BK7" s="6">
        <f t="shared" si="4"/>
        <v>0</v>
      </c>
      <c r="BL7" s="6">
        <v>0.0</v>
      </c>
      <c r="BM7" s="6">
        <v>0.0</v>
      </c>
      <c r="BN7" s="6">
        <v>0.0</v>
      </c>
      <c r="BO7" s="6">
        <v>0.0</v>
      </c>
      <c r="BP7" s="6">
        <v>0.0</v>
      </c>
      <c r="BQ7" s="6">
        <v>0.0</v>
      </c>
      <c r="BR7" s="6">
        <v>0.0</v>
      </c>
      <c r="BS7" s="6">
        <v>0.0</v>
      </c>
      <c r="BT7" s="6">
        <v>0.0</v>
      </c>
      <c r="BU7" s="6" t="str">
        <f t="shared" ref="BU7:BW7" si="5">+BO7+BR7+#REF!+BL7</f>
        <v>#REF!</v>
      </c>
      <c r="BV7" s="6" t="str">
        <f t="shared" si="5"/>
        <v>#REF!</v>
      </c>
      <c r="BW7" s="6" t="str">
        <f t="shared" si="5"/>
        <v>#REF!</v>
      </c>
      <c r="BX7" s="6">
        <v>0.0</v>
      </c>
      <c r="BY7" s="6">
        <v>0.0</v>
      </c>
      <c r="BZ7" s="6">
        <v>0.0</v>
      </c>
      <c r="CA7" s="6">
        <v>0.0</v>
      </c>
      <c r="CB7" s="6">
        <v>0.0</v>
      </c>
      <c r="CC7" s="6">
        <v>0.0</v>
      </c>
      <c r="CD7" s="6">
        <v>0.0</v>
      </c>
      <c r="CE7" s="6">
        <v>0.0</v>
      </c>
      <c r="CF7" s="6">
        <v>0.0</v>
      </c>
      <c r="CG7" s="6" t="str">
        <f t="shared" ref="CG7:CI7" si="6">+CA7+CD7+BX7+#REF!</f>
        <v>#REF!</v>
      </c>
      <c r="CH7" s="6" t="str">
        <f t="shared" si="6"/>
        <v>#REF!</v>
      </c>
      <c r="CI7" s="6" t="str">
        <f t="shared" si="6"/>
        <v>#REF!</v>
      </c>
      <c r="CJ7" s="6">
        <v>0.0</v>
      </c>
      <c r="CK7" s="6">
        <v>0.0</v>
      </c>
      <c r="CL7" s="6">
        <v>0.0</v>
      </c>
      <c r="CM7" s="6">
        <v>0.0</v>
      </c>
      <c r="CN7" s="6">
        <v>0.0</v>
      </c>
      <c r="CO7" s="6">
        <v>0.0</v>
      </c>
      <c r="CP7" s="6">
        <v>0.0</v>
      </c>
      <c r="CQ7" s="6">
        <v>0.0</v>
      </c>
      <c r="CR7" s="6">
        <v>0.0</v>
      </c>
      <c r="CS7" s="6">
        <v>0.0</v>
      </c>
      <c r="CT7" s="6">
        <v>0.0</v>
      </c>
      <c r="CU7" s="6">
        <v>0.0</v>
      </c>
      <c r="CV7" s="6">
        <f t="shared" ref="CV7:CX7" si="7">+CP7+CS7+CJ7+CM7</f>
        <v>0</v>
      </c>
      <c r="CW7" s="6">
        <f t="shared" si="7"/>
        <v>0</v>
      </c>
      <c r="CX7" s="6">
        <f t="shared" si="7"/>
        <v>0</v>
      </c>
      <c r="CY7" s="6">
        <v>0.0</v>
      </c>
      <c r="CZ7" s="6">
        <v>0.0</v>
      </c>
      <c r="DA7" s="6">
        <v>0.0</v>
      </c>
      <c r="DB7" s="6">
        <v>0.0</v>
      </c>
      <c r="DC7" s="6">
        <v>0.0</v>
      </c>
      <c r="DD7" s="6">
        <v>0.0</v>
      </c>
      <c r="DE7" s="6">
        <v>0.0</v>
      </c>
      <c r="DF7" s="6">
        <v>0.0</v>
      </c>
      <c r="DG7" s="6">
        <v>0.0</v>
      </c>
      <c r="DH7" s="6">
        <v>0.0</v>
      </c>
      <c r="DI7" s="6">
        <v>0.0</v>
      </c>
      <c r="DJ7" s="6">
        <v>0.0</v>
      </c>
      <c r="DK7" s="6">
        <f t="shared" ref="DK7:DM7" si="8">+DE7+DH7+CY7+DB7</f>
        <v>0</v>
      </c>
      <c r="DL7" s="6">
        <f t="shared" si="8"/>
        <v>0</v>
      </c>
      <c r="DM7" s="6">
        <f t="shared" si="8"/>
        <v>0</v>
      </c>
      <c r="DN7" s="6" t="str">
        <f t="shared" ref="DN7:DP7" si="9">+P7+AE7+AT7+BI7+BU7+CG7+CV7</f>
        <v>#REF!</v>
      </c>
      <c r="DO7" s="6" t="str">
        <f t="shared" si="9"/>
        <v>#REF!</v>
      </c>
      <c r="DP7" s="6" t="str">
        <f t="shared" si="9"/>
        <v>#REF!</v>
      </c>
      <c r="DQ7" s="6" t="str">
        <f t="shared" ref="DQ7:DQ198" si="19">+DO7-DP7</f>
        <v>#REF!</v>
      </c>
    </row>
    <row r="8" ht="13.5" customHeight="1">
      <c r="A8" s="11">
        <v>44028.0</v>
      </c>
      <c r="B8" s="2" t="s">
        <v>86</v>
      </c>
      <c r="C8" s="2" t="s">
        <v>87</v>
      </c>
      <c r="D8" s="29" t="s">
        <v>88</v>
      </c>
      <c r="E8" s="2" t="s">
        <v>89</v>
      </c>
      <c r="F8" s="11" t="s">
        <v>85</v>
      </c>
      <c r="G8" s="11" t="s">
        <v>4</v>
      </c>
      <c r="H8" s="5">
        <v>900000.0</v>
      </c>
      <c r="I8" s="5">
        <v>900000.0</v>
      </c>
      <c r="J8" s="6">
        <v>0.0</v>
      </c>
      <c r="K8" s="6">
        <v>0.0</v>
      </c>
      <c r="L8" s="6">
        <v>0.0</v>
      </c>
      <c r="M8" s="5">
        <v>900000.0</v>
      </c>
      <c r="N8" s="5">
        <v>900000.0</v>
      </c>
      <c r="O8" s="6">
        <v>0.0</v>
      </c>
      <c r="P8" s="6">
        <f t="shared" ref="P8:R8" si="10">+J8+M8</f>
        <v>900000</v>
      </c>
      <c r="Q8" s="6">
        <f t="shared" si="10"/>
        <v>900000</v>
      </c>
      <c r="R8" s="6">
        <f t="shared" si="10"/>
        <v>0</v>
      </c>
      <c r="S8" s="6">
        <v>0.0</v>
      </c>
      <c r="T8" s="6">
        <v>0.0</v>
      </c>
      <c r="U8" s="6">
        <v>200000.0</v>
      </c>
      <c r="V8" s="6">
        <v>0.0</v>
      </c>
      <c r="W8" s="6">
        <v>0.0</v>
      </c>
      <c r="X8" s="6">
        <v>700000.0</v>
      </c>
      <c r="Y8" s="6">
        <v>0.0</v>
      </c>
      <c r="Z8" s="6">
        <v>0.0</v>
      </c>
      <c r="AA8" s="6">
        <v>0.0</v>
      </c>
      <c r="AB8" s="6">
        <v>0.0</v>
      </c>
      <c r="AC8" s="6">
        <v>0.0</v>
      </c>
      <c r="AD8" s="6">
        <v>0.0</v>
      </c>
      <c r="AE8" s="6">
        <f t="shared" ref="AE8:AG8" si="11">+Y8+AB8+S8+V8</f>
        <v>0</v>
      </c>
      <c r="AF8" s="6">
        <f t="shared" si="11"/>
        <v>0</v>
      </c>
      <c r="AG8" s="6">
        <f t="shared" si="11"/>
        <v>900000</v>
      </c>
      <c r="AH8" s="6">
        <v>0.0</v>
      </c>
      <c r="AI8" s="6">
        <v>0.0</v>
      </c>
      <c r="AJ8" s="6">
        <v>0.0</v>
      </c>
      <c r="AK8" s="6">
        <v>0.0</v>
      </c>
      <c r="AL8" s="6">
        <v>0.0</v>
      </c>
      <c r="AM8" s="6">
        <v>0.0</v>
      </c>
      <c r="AN8" s="6">
        <v>0.0</v>
      </c>
      <c r="AO8" s="6">
        <v>0.0</v>
      </c>
      <c r="AP8" s="6">
        <v>0.0</v>
      </c>
      <c r="AQ8" s="6">
        <v>0.0</v>
      </c>
      <c r="AR8" s="6">
        <v>0.0</v>
      </c>
      <c r="AS8" s="6">
        <v>0.0</v>
      </c>
      <c r="AT8" s="6">
        <f t="shared" ref="AT8:AV8" si="12">+AN8+AQ8+AH8+AK8</f>
        <v>0</v>
      </c>
      <c r="AU8" s="6">
        <f t="shared" si="12"/>
        <v>0</v>
      </c>
      <c r="AV8" s="6">
        <f t="shared" si="12"/>
        <v>0</v>
      </c>
      <c r="AW8" s="6">
        <v>0.0</v>
      </c>
      <c r="AX8" s="6">
        <v>0.0</v>
      </c>
      <c r="AY8" s="6">
        <v>0.0</v>
      </c>
      <c r="AZ8" s="6">
        <v>0.0</v>
      </c>
      <c r="BA8" s="6">
        <v>0.0</v>
      </c>
      <c r="BB8" s="6">
        <v>0.0</v>
      </c>
      <c r="BC8" s="6">
        <v>0.0</v>
      </c>
      <c r="BD8" s="6">
        <v>0.0</v>
      </c>
      <c r="BE8" s="6">
        <v>0.0</v>
      </c>
      <c r="BF8" s="6">
        <v>0.0</v>
      </c>
      <c r="BG8" s="6">
        <v>0.0</v>
      </c>
      <c r="BH8" s="6">
        <v>0.0</v>
      </c>
      <c r="BI8" s="6">
        <f t="shared" ref="BI8:BK8" si="13">+BC8+BF8+AW8+AZ8</f>
        <v>0</v>
      </c>
      <c r="BJ8" s="6">
        <f t="shared" si="13"/>
        <v>0</v>
      </c>
      <c r="BK8" s="6">
        <f t="shared" si="13"/>
        <v>0</v>
      </c>
      <c r="BL8" s="6">
        <v>0.0</v>
      </c>
      <c r="BM8" s="6">
        <v>0.0</v>
      </c>
      <c r="BN8" s="6">
        <v>0.0</v>
      </c>
      <c r="BO8" s="6">
        <v>0.0</v>
      </c>
      <c r="BP8" s="6">
        <v>0.0</v>
      </c>
      <c r="BQ8" s="6">
        <v>0.0</v>
      </c>
      <c r="BR8" s="6">
        <v>0.0</v>
      </c>
      <c r="BS8" s="6">
        <v>0.0</v>
      </c>
      <c r="BT8" s="6">
        <v>0.0</v>
      </c>
      <c r="BU8" s="6" t="str">
        <f t="shared" ref="BU8:BW8" si="14">+BO8+BR8+#REF!+BL8</f>
        <v>#REF!</v>
      </c>
      <c r="BV8" s="6" t="str">
        <f t="shared" si="14"/>
        <v>#REF!</v>
      </c>
      <c r="BW8" s="6" t="str">
        <f t="shared" si="14"/>
        <v>#REF!</v>
      </c>
      <c r="BX8" s="6">
        <v>0.0</v>
      </c>
      <c r="BY8" s="6">
        <v>0.0</v>
      </c>
      <c r="BZ8" s="6">
        <v>0.0</v>
      </c>
      <c r="CA8" s="6">
        <v>0.0</v>
      </c>
      <c r="CB8" s="6">
        <v>0.0</v>
      </c>
      <c r="CC8" s="6">
        <v>0.0</v>
      </c>
      <c r="CD8" s="6">
        <v>0.0</v>
      </c>
      <c r="CE8" s="6">
        <v>0.0</v>
      </c>
      <c r="CF8" s="6">
        <v>0.0</v>
      </c>
      <c r="CG8" s="6" t="str">
        <f t="shared" ref="CG8:CI8" si="15">+CA8+CD8+BX8+#REF!</f>
        <v>#REF!</v>
      </c>
      <c r="CH8" s="6" t="str">
        <f t="shared" si="15"/>
        <v>#REF!</v>
      </c>
      <c r="CI8" s="6" t="str">
        <f t="shared" si="15"/>
        <v>#REF!</v>
      </c>
      <c r="CJ8" s="6">
        <v>0.0</v>
      </c>
      <c r="CK8" s="6">
        <v>0.0</v>
      </c>
      <c r="CL8" s="6">
        <v>0.0</v>
      </c>
      <c r="CM8" s="6">
        <v>0.0</v>
      </c>
      <c r="CN8" s="6">
        <v>0.0</v>
      </c>
      <c r="CO8" s="6">
        <v>0.0</v>
      </c>
      <c r="CP8" s="6">
        <v>0.0</v>
      </c>
      <c r="CQ8" s="6">
        <v>0.0</v>
      </c>
      <c r="CR8" s="6">
        <v>0.0</v>
      </c>
      <c r="CS8" s="6">
        <v>0.0</v>
      </c>
      <c r="CT8" s="6">
        <v>0.0</v>
      </c>
      <c r="CU8" s="6">
        <v>0.0</v>
      </c>
      <c r="CV8" s="6">
        <f t="shared" ref="CV8:CX8" si="16">+CP8+CS8+CJ8+CM8</f>
        <v>0</v>
      </c>
      <c r="CW8" s="6">
        <f t="shared" si="16"/>
        <v>0</v>
      </c>
      <c r="CX8" s="6">
        <f t="shared" si="16"/>
        <v>0</v>
      </c>
      <c r="CY8" s="6">
        <v>0.0</v>
      </c>
      <c r="CZ8" s="6">
        <v>0.0</v>
      </c>
      <c r="DA8" s="6">
        <v>0.0</v>
      </c>
      <c r="DB8" s="6">
        <v>0.0</v>
      </c>
      <c r="DC8" s="6">
        <v>0.0</v>
      </c>
      <c r="DD8" s="6">
        <v>0.0</v>
      </c>
      <c r="DE8" s="6">
        <v>0.0</v>
      </c>
      <c r="DF8" s="6">
        <v>0.0</v>
      </c>
      <c r="DG8" s="6">
        <v>0.0</v>
      </c>
      <c r="DH8" s="6">
        <v>0.0</v>
      </c>
      <c r="DI8" s="6">
        <v>0.0</v>
      </c>
      <c r="DJ8" s="6">
        <v>0.0</v>
      </c>
      <c r="DK8" s="6">
        <f t="shared" ref="DK8:DM8" si="17">+DE8+DH8+CY8+DB8</f>
        <v>0</v>
      </c>
      <c r="DL8" s="6">
        <f t="shared" si="17"/>
        <v>0</v>
      </c>
      <c r="DM8" s="6">
        <f t="shared" si="17"/>
        <v>0</v>
      </c>
      <c r="DN8" s="6" t="str">
        <f t="shared" ref="DN8:DP8" si="18">+P8+AE8+AT8+BI8+BU8+CG8+CV8</f>
        <v>#REF!</v>
      </c>
      <c r="DO8" s="6" t="str">
        <f t="shared" si="18"/>
        <v>#REF!</v>
      </c>
      <c r="DP8" s="6" t="str">
        <f t="shared" si="18"/>
        <v>#REF!</v>
      </c>
      <c r="DQ8" s="6" t="str">
        <f t="shared" si="19"/>
        <v>#REF!</v>
      </c>
    </row>
    <row r="9" ht="13.5" customHeight="1">
      <c r="A9" s="11">
        <v>44068.0</v>
      </c>
      <c r="B9" s="2" t="s">
        <v>90</v>
      </c>
      <c r="C9" s="2" t="s">
        <v>91</v>
      </c>
      <c r="D9" s="29" t="s">
        <v>92</v>
      </c>
      <c r="E9" s="2" t="s">
        <v>93</v>
      </c>
      <c r="F9" s="11" t="s">
        <v>94</v>
      </c>
      <c r="G9" s="11" t="s">
        <v>4</v>
      </c>
      <c r="H9" s="5">
        <v>5651000.0</v>
      </c>
      <c r="I9" s="5">
        <v>5651000.0</v>
      </c>
      <c r="J9" s="6">
        <v>0.0</v>
      </c>
      <c r="K9" s="6">
        <v>0.0</v>
      </c>
      <c r="L9" s="6">
        <v>0.0</v>
      </c>
      <c r="M9" s="5">
        <v>5651000.0</v>
      </c>
      <c r="N9" s="5">
        <v>5651000.0</v>
      </c>
      <c r="O9" s="6">
        <v>0.0</v>
      </c>
      <c r="P9" s="6">
        <f t="shared" ref="P9:R9" si="20">+J9+M9</f>
        <v>5651000</v>
      </c>
      <c r="Q9" s="6">
        <f t="shared" si="20"/>
        <v>5651000</v>
      </c>
      <c r="R9" s="6">
        <f t="shared" si="20"/>
        <v>0</v>
      </c>
      <c r="S9" s="6">
        <v>0.0</v>
      </c>
      <c r="T9" s="6">
        <v>0.0</v>
      </c>
      <c r="U9" s="6">
        <v>900000.0</v>
      </c>
      <c r="V9" s="6">
        <v>0.0</v>
      </c>
      <c r="W9" s="6">
        <v>0.0</v>
      </c>
      <c r="X9" s="6">
        <v>1900000.0</v>
      </c>
      <c r="Y9" s="6">
        <v>0.0</v>
      </c>
      <c r="Z9" s="6">
        <v>0.0</v>
      </c>
      <c r="AA9" s="6">
        <v>0.0</v>
      </c>
      <c r="AB9" s="6">
        <v>0.0</v>
      </c>
      <c r="AC9" s="6">
        <v>0.0</v>
      </c>
      <c r="AD9" s="6">
        <v>1500000.0</v>
      </c>
      <c r="AE9" s="6">
        <f t="shared" ref="AE9:AG9" si="21">+Y9+AB9+S9+V9</f>
        <v>0</v>
      </c>
      <c r="AF9" s="6">
        <f t="shared" si="21"/>
        <v>0</v>
      </c>
      <c r="AG9" s="6">
        <f t="shared" si="21"/>
        <v>4300000</v>
      </c>
      <c r="AH9" s="6">
        <v>0.0</v>
      </c>
      <c r="AI9" s="6">
        <v>0.0</v>
      </c>
      <c r="AJ9" s="6">
        <v>1351000.0</v>
      </c>
      <c r="AK9" s="6">
        <v>0.0</v>
      </c>
      <c r="AL9" s="6">
        <v>0.0</v>
      </c>
      <c r="AM9" s="6">
        <v>0.0</v>
      </c>
      <c r="AN9" s="6">
        <v>0.0</v>
      </c>
      <c r="AO9" s="6">
        <v>0.0</v>
      </c>
      <c r="AP9" s="6">
        <v>0.0</v>
      </c>
      <c r="AQ9" s="6">
        <v>0.0</v>
      </c>
      <c r="AR9" s="6">
        <v>0.0</v>
      </c>
      <c r="AS9" s="6">
        <v>0.0</v>
      </c>
      <c r="AT9" s="6">
        <f t="shared" ref="AT9:AV9" si="22">+AN9+AQ9+AH9+AK9</f>
        <v>0</v>
      </c>
      <c r="AU9" s="6">
        <f t="shared" si="22"/>
        <v>0</v>
      </c>
      <c r="AV9" s="6">
        <f t="shared" si="22"/>
        <v>1351000</v>
      </c>
      <c r="AW9" s="6">
        <v>0.0</v>
      </c>
      <c r="AX9" s="6">
        <v>0.0</v>
      </c>
      <c r="AY9" s="6">
        <v>0.0</v>
      </c>
      <c r="AZ9" s="6">
        <v>0.0</v>
      </c>
      <c r="BA9" s="6">
        <v>0.0</v>
      </c>
      <c r="BB9" s="6">
        <v>0.0</v>
      </c>
      <c r="BC9" s="6">
        <v>0.0</v>
      </c>
      <c r="BD9" s="6">
        <v>0.0</v>
      </c>
      <c r="BE9" s="6">
        <v>0.0</v>
      </c>
      <c r="BF9" s="6">
        <v>0.0</v>
      </c>
      <c r="BG9" s="6">
        <v>0.0</v>
      </c>
      <c r="BH9" s="6">
        <v>0.0</v>
      </c>
      <c r="BI9" s="6">
        <f t="shared" ref="BI9:BK9" si="23">+BC9+BF9+AW9+AZ9</f>
        <v>0</v>
      </c>
      <c r="BJ9" s="6">
        <f t="shared" si="23"/>
        <v>0</v>
      </c>
      <c r="BK9" s="6">
        <f t="shared" si="23"/>
        <v>0</v>
      </c>
      <c r="BL9" s="6">
        <v>0.0</v>
      </c>
      <c r="BM9" s="6">
        <v>0.0</v>
      </c>
      <c r="BN9" s="6">
        <v>0.0</v>
      </c>
      <c r="BO9" s="6">
        <v>0.0</v>
      </c>
      <c r="BP9" s="6">
        <v>0.0</v>
      </c>
      <c r="BQ9" s="6">
        <v>0.0</v>
      </c>
      <c r="BR9" s="6">
        <v>0.0</v>
      </c>
      <c r="BS9" s="6">
        <v>0.0</v>
      </c>
      <c r="BT9" s="6">
        <v>0.0</v>
      </c>
      <c r="BU9" s="6" t="str">
        <f t="shared" ref="BU9:BW9" si="24">+BO9+BR9+#REF!+BL9</f>
        <v>#REF!</v>
      </c>
      <c r="BV9" s="6" t="str">
        <f t="shared" si="24"/>
        <v>#REF!</v>
      </c>
      <c r="BW9" s="6" t="str">
        <f t="shared" si="24"/>
        <v>#REF!</v>
      </c>
      <c r="BX9" s="6">
        <v>0.0</v>
      </c>
      <c r="BY9" s="6">
        <v>0.0</v>
      </c>
      <c r="BZ9" s="6">
        <v>0.0</v>
      </c>
      <c r="CA9" s="6">
        <v>0.0</v>
      </c>
      <c r="CB9" s="6">
        <v>0.0</v>
      </c>
      <c r="CC9" s="6">
        <v>0.0</v>
      </c>
      <c r="CD9" s="6">
        <v>0.0</v>
      </c>
      <c r="CE9" s="6">
        <v>0.0</v>
      </c>
      <c r="CF9" s="6">
        <v>0.0</v>
      </c>
      <c r="CG9" s="6" t="str">
        <f t="shared" ref="CG9:CI9" si="25">+CA9+CD9+BX9+#REF!</f>
        <v>#REF!</v>
      </c>
      <c r="CH9" s="6" t="str">
        <f t="shared" si="25"/>
        <v>#REF!</v>
      </c>
      <c r="CI9" s="6" t="str">
        <f t="shared" si="25"/>
        <v>#REF!</v>
      </c>
      <c r="CJ9" s="6">
        <v>0.0</v>
      </c>
      <c r="CK9" s="6">
        <v>0.0</v>
      </c>
      <c r="CL9" s="6">
        <v>0.0</v>
      </c>
      <c r="CM9" s="6">
        <v>0.0</v>
      </c>
      <c r="CN9" s="6">
        <v>0.0</v>
      </c>
      <c r="CO9" s="6">
        <v>0.0</v>
      </c>
      <c r="CP9" s="6">
        <v>0.0</v>
      </c>
      <c r="CQ9" s="6">
        <v>0.0</v>
      </c>
      <c r="CR9" s="6">
        <v>0.0</v>
      </c>
      <c r="CS9" s="6">
        <v>0.0</v>
      </c>
      <c r="CT9" s="6">
        <v>0.0</v>
      </c>
      <c r="CU9" s="6">
        <v>0.0</v>
      </c>
      <c r="CV9" s="6">
        <f t="shared" ref="CV9:CX9" si="26">+CP9+CS9+CJ9+CM9</f>
        <v>0</v>
      </c>
      <c r="CW9" s="6">
        <f t="shared" si="26"/>
        <v>0</v>
      </c>
      <c r="CX9" s="6">
        <f t="shared" si="26"/>
        <v>0</v>
      </c>
      <c r="CY9" s="6">
        <v>0.0</v>
      </c>
      <c r="CZ9" s="6">
        <v>0.0</v>
      </c>
      <c r="DA9" s="6">
        <v>0.0</v>
      </c>
      <c r="DB9" s="6">
        <v>0.0</v>
      </c>
      <c r="DC9" s="6">
        <v>0.0</v>
      </c>
      <c r="DD9" s="6">
        <v>0.0</v>
      </c>
      <c r="DE9" s="6">
        <v>0.0</v>
      </c>
      <c r="DF9" s="6">
        <v>0.0</v>
      </c>
      <c r="DG9" s="6">
        <v>0.0</v>
      </c>
      <c r="DH9" s="6">
        <v>0.0</v>
      </c>
      <c r="DI9" s="6">
        <v>0.0</v>
      </c>
      <c r="DJ9" s="6">
        <v>0.0</v>
      </c>
      <c r="DK9" s="6">
        <f t="shared" ref="DK9:DM9" si="27">+DE9+DH9+CY9+DB9</f>
        <v>0</v>
      </c>
      <c r="DL9" s="6">
        <f t="shared" si="27"/>
        <v>0</v>
      </c>
      <c r="DM9" s="6">
        <f t="shared" si="27"/>
        <v>0</v>
      </c>
      <c r="DN9" s="6" t="str">
        <f t="shared" ref="DN9:DP9" si="28">+P9+AE9+AT9+BI9+BU9+CG9+CV9</f>
        <v>#REF!</v>
      </c>
      <c r="DO9" s="6" t="str">
        <f t="shared" si="28"/>
        <v>#REF!</v>
      </c>
      <c r="DP9" s="6" t="str">
        <f t="shared" si="28"/>
        <v>#REF!</v>
      </c>
      <c r="DQ9" s="6" t="str">
        <f t="shared" si="19"/>
        <v>#REF!</v>
      </c>
    </row>
    <row r="10" ht="13.5" customHeight="1">
      <c r="A10" s="11">
        <v>44186.0</v>
      </c>
      <c r="B10" s="2" t="s">
        <v>95</v>
      </c>
      <c r="C10" s="2" t="s">
        <v>96</v>
      </c>
      <c r="D10" s="29" t="s">
        <v>97</v>
      </c>
      <c r="E10" s="2" t="s">
        <v>98</v>
      </c>
      <c r="F10" s="11" t="s">
        <v>99</v>
      </c>
      <c r="G10" s="11" t="s">
        <v>5</v>
      </c>
      <c r="H10" s="5">
        <v>1100000.0</v>
      </c>
      <c r="I10" s="5">
        <v>1100000.0</v>
      </c>
      <c r="J10" s="6">
        <v>0.0</v>
      </c>
      <c r="K10" s="6">
        <v>0.0</v>
      </c>
      <c r="L10" s="6">
        <v>0.0</v>
      </c>
      <c r="M10" s="6">
        <v>0.0</v>
      </c>
      <c r="N10" s="6">
        <v>0.0</v>
      </c>
      <c r="O10" s="6">
        <v>0.0</v>
      </c>
      <c r="P10" s="6">
        <f t="shared" ref="P10:R10" si="29">+J10+M10</f>
        <v>0</v>
      </c>
      <c r="Q10" s="6">
        <f t="shared" si="29"/>
        <v>0</v>
      </c>
      <c r="R10" s="6">
        <f t="shared" si="29"/>
        <v>0</v>
      </c>
      <c r="S10" s="5">
        <v>1100000.0</v>
      </c>
      <c r="T10" s="5">
        <v>1100000.0</v>
      </c>
      <c r="U10" s="6">
        <v>0.0</v>
      </c>
      <c r="V10" s="6">
        <v>0.0</v>
      </c>
      <c r="W10" s="6">
        <v>0.0</v>
      </c>
      <c r="X10" s="6">
        <v>500000.0</v>
      </c>
      <c r="Y10" s="6">
        <v>0.0</v>
      </c>
      <c r="Z10" s="6">
        <v>0.0</v>
      </c>
      <c r="AA10" s="6">
        <v>0.0</v>
      </c>
      <c r="AB10" s="6">
        <v>0.0</v>
      </c>
      <c r="AC10" s="6">
        <v>0.0</v>
      </c>
      <c r="AD10" s="6">
        <v>600000.0</v>
      </c>
      <c r="AE10" s="6">
        <f t="shared" ref="AE10:AG10" si="30">+Y10+AB10+S10+V10</f>
        <v>1100000</v>
      </c>
      <c r="AF10" s="6">
        <f t="shared" si="30"/>
        <v>1100000</v>
      </c>
      <c r="AG10" s="6">
        <f t="shared" si="30"/>
        <v>1100000</v>
      </c>
      <c r="AH10" s="6">
        <v>0.0</v>
      </c>
      <c r="AI10" s="6">
        <v>0.0</v>
      </c>
      <c r="AJ10" s="6">
        <v>0.0</v>
      </c>
      <c r="AK10" s="6">
        <v>0.0</v>
      </c>
      <c r="AL10" s="6">
        <v>0.0</v>
      </c>
      <c r="AM10" s="6">
        <v>0.0</v>
      </c>
      <c r="AN10" s="6">
        <v>0.0</v>
      </c>
      <c r="AO10" s="6">
        <v>0.0</v>
      </c>
      <c r="AP10" s="6">
        <v>0.0</v>
      </c>
      <c r="AQ10" s="6">
        <v>0.0</v>
      </c>
      <c r="AR10" s="6">
        <v>0.0</v>
      </c>
      <c r="AS10" s="6">
        <v>0.0</v>
      </c>
      <c r="AT10" s="6">
        <f t="shared" ref="AT10:AV10" si="31">+AN10+AQ10+AH10+AK10</f>
        <v>0</v>
      </c>
      <c r="AU10" s="6">
        <f t="shared" si="31"/>
        <v>0</v>
      </c>
      <c r="AV10" s="6">
        <f t="shared" si="31"/>
        <v>0</v>
      </c>
      <c r="AW10" s="6">
        <v>0.0</v>
      </c>
      <c r="AX10" s="6">
        <v>0.0</v>
      </c>
      <c r="AY10" s="6">
        <v>0.0</v>
      </c>
      <c r="AZ10" s="6">
        <v>0.0</v>
      </c>
      <c r="BA10" s="6">
        <v>0.0</v>
      </c>
      <c r="BB10" s="6">
        <v>0.0</v>
      </c>
      <c r="BC10" s="6">
        <v>0.0</v>
      </c>
      <c r="BD10" s="6">
        <v>0.0</v>
      </c>
      <c r="BE10" s="6">
        <v>0.0</v>
      </c>
      <c r="BF10" s="6">
        <v>0.0</v>
      </c>
      <c r="BG10" s="6">
        <v>0.0</v>
      </c>
      <c r="BH10" s="6">
        <v>0.0</v>
      </c>
      <c r="BI10" s="6">
        <f t="shared" ref="BI10:BK10" si="32">+BC10+BF10+AW10+AZ10</f>
        <v>0</v>
      </c>
      <c r="BJ10" s="6">
        <f t="shared" si="32"/>
        <v>0</v>
      </c>
      <c r="BK10" s="6">
        <f t="shared" si="32"/>
        <v>0</v>
      </c>
      <c r="BL10" s="6">
        <v>0.0</v>
      </c>
      <c r="BM10" s="6">
        <v>0.0</v>
      </c>
      <c r="BN10" s="6">
        <v>0.0</v>
      </c>
      <c r="BO10" s="6">
        <v>0.0</v>
      </c>
      <c r="BP10" s="6">
        <v>0.0</v>
      </c>
      <c r="BQ10" s="6">
        <v>0.0</v>
      </c>
      <c r="BR10" s="6">
        <v>0.0</v>
      </c>
      <c r="BS10" s="6">
        <v>0.0</v>
      </c>
      <c r="BT10" s="6">
        <v>0.0</v>
      </c>
      <c r="BU10" s="6" t="str">
        <f t="shared" ref="BU10:BW10" si="33">+BO10+BR10+#REF!+BL10</f>
        <v>#REF!</v>
      </c>
      <c r="BV10" s="6" t="str">
        <f t="shared" si="33"/>
        <v>#REF!</v>
      </c>
      <c r="BW10" s="6" t="str">
        <f t="shared" si="33"/>
        <v>#REF!</v>
      </c>
      <c r="BX10" s="6">
        <v>0.0</v>
      </c>
      <c r="BY10" s="6">
        <v>0.0</v>
      </c>
      <c r="BZ10" s="6">
        <v>0.0</v>
      </c>
      <c r="CA10" s="6">
        <v>0.0</v>
      </c>
      <c r="CB10" s="6">
        <v>0.0</v>
      </c>
      <c r="CC10" s="6">
        <v>0.0</v>
      </c>
      <c r="CD10" s="6">
        <v>0.0</v>
      </c>
      <c r="CE10" s="6">
        <v>0.0</v>
      </c>
      <c r="CF10" s="6">
        <v>0.0</v>
      </c>
      <c r="CG10" s="6" t="str">
        <f t="shared" ref="CG10:CI10" si="34">+CA10+CD10+BX10+#REF!</f>
        <v>#REF!</v>
      </c>
      <c r="CH10" s="6" t="str">
        <f t="shared" si="34"/>
        <v>#REF!</v>
      </c>
      <c r="CI10" s="6" t="str">
        <f t="shared" si="34"/>
        <v>#REF!</v>
      </c>
      <c r="CJ10" s="6">
        <v>0.0</v>
      </c>
      <c r="CK10" s="6">
        <v>0.0</v>
      </c>
      <c r="CL10" s="6">
        <v>0.0</v>
      </c>
      <c r="CM10" s="6">
        <v>0.0</v>
      </c>
      <c r="CN10" s="6">
        <v>0.0</v>
      </c>
      <c r="CO10" s="6">
        <v>0.0</v>
      </c>
      <c r="CP10" s="6">
        <v>0.0</v>
      </c>
      <c r="CQ10" s="6">
        <v>0.0</v>
      </c>
      <c r="CR10" s="6">
        <v>0.0</v>
      </c>
      <c r="CS10" s="6">
        <v>0.0</v>
      </c>
      <c r="CT10" s="6">
        <v>0.0</v>
      </c>
      <c r="CU10" s="6">
        <v>0.0</v>
      </c>
      <c r="CV10" s="6">
        <f t="shared" ref="CV10:CX10" si="35">+CP10+CS10+CJ10+CM10</f>
        <v>0</v>
      </c>
      <c r="CW10" s="6">
        <f t="shared" si="35"/>
        <v>0</v>
      </c>
      <c r="CX10" s="6">
        <f t="shared" si="35"/>
        <v>0</v>
      </c>
      <c r="CY10" s="6">
        <v>0.0</v>
      </c>
      <c r="CZ10" s="6">
        <v>0.0</v>
      </c>
      <c r="DA10" s="6">
        <v>0.0</v>
      </c>
      <c r="DB10" s="6">
        <v>0.0</v>
      </c>
      <c r="DC10" s="6">
        <v>0.0</v>
      </c>
      <c r="DD10" s="6">
        <v>0.0</v>
      </c>
      <c r="DE10" s="6">
        <v>0.0</v>
      </c>
      <c r="DF10" s="6">
        <v>0.0</v>
      </c>
      <c r="DG10" s="6">
        <v>0.0</v>
      </c>
      <c r="DH10" s="6">
        <v>0.0</v>
      </c>
      <c r="DI10" s="6">
        <v>0.0</v>
      </c>
      <c r="DJ10" s="6">
        <v>0.0</v>
      </c>
      <c r="DK10" s="6">
        <f t="shared" ref="DK10:DM10" si="36">+DE10+DH10+CY10+DB10</f>
        <v>0</v>
      </c>
      <c r="DL10" s="6">
        <f t="shared" si="36"/>
        <v>0</v>
      </c>
      <c r="DM10" s="6">
        <f t="shared" si="36"/>
        <v>0</v>
      </c>
      <c r="DN10" s="6" t="str">
        <f t="shared" ref="DN10:DP10" si="37">+P10+AE10+AT10+BI10+BU10+CG10+CV10</f>
        <v>#REF!</v>
      </c>
      <c r="DO10" s="6" t="str">
        <f t="shared" si="37"/>
        <v>#REF!</v>
      </c>
      <c r="DP10" s="6" t="str">
        <f t="shared" si="37"/>
        <v>#REF!</v>
      </c>
      <c r="DQ10" s="6" t="str">
        <f t="shared" si="19"/>
        <v>#REF!</v>
      </c>
    </row>
    <row r="11" ht="13.5" customHeight="1">
      <c r="A11" s="11">
        <v>44022.0</v>
      </c>
      <c r="B11" s="2" t="s">
        <v>100</v>
      </c>
      <c r="C11" s="2" t="s">
        <v>101</v>
      </c>
      <c r="D11" s="29" t="s">
        <v>102</v>
      </c>
      <c r="E11" s="2" t="s">
        <v>103</v>
      </c>
      <c r="F11" s="11" t="s">
        <v>85</v>
      </c>
      <c r="G11" s="11" t="s">
        <v>4</v>
      </c>
      <c r="H11" s="5">
        <v>1000000.0</v>
      </c>
      <c r="I11" s="5">
        <v>1000000.0</v>
      </c>
      <c r="J11" s="6">
        <v>0.0</v>
      </c>
      <c r="K11" s="6">
        <v>0.0</v>
      </c>
      <c r="L11" s="6">
        <v>0.0</v>
      </c>
      <c r="M11" s="5">
        <v>1000000.0</v>
      </c>
      <c r="N11" s="5">
        <v>1000000.0</v>
      </c>
      <c r="O11" s="6">
        <v>0.0</v>
      </c>
      <c r="P11" s="6">
        <f t="shared" ref="P11:R11" si="38">+J11+M11</f>
        <v>1000000</v>
      </c>
      <c r="Q11" s="6">
        <f t="shared" si="38"/>
        <v>1000000</v>
      </c>
      <c r="R11" s="6">
        <f t="shared" si="38"/>
        <v>0</v>
      </c>
      <c r="S11" s="6">
        <v>0.0</v>
      </c>
      <c r="T11" s="6">
        <v>0.0</v>
      </c>
      <c r="U11" s="6">
        <v>750000.0</v>
      </c>
      <c r="V11" s="6">
        <v>0.0</v>
      </c>
      <c r="W11" s="6">
        <v>0.0</v>
      </c>
      <c r="X11" s="6">
        <v>250000.0</v>
      </c>
      <c r="Y11" s="6">
        <v>0.0</v>
      </c>
      <c r="Z11" s="6">
        <v>0.0</v>
      </c>
      <c r="AA11" s="6">
        <v>0.0</v>
      </c>
      <c r="AB11" s="6">
        <v>0.0</v>
      </c>
      <c r="AC11" s="6">
        <v>0.0</v>
      </c>
      <c r="AD11" s="6">
        <v>0.0</v>
      </c>
      <c r="AE11" s="6">
        <f t="shared" ref="AE11:AG11" si="39">+Y11+AB11+S11+V11</f>
        <v>0</v>
      </c>
      <c r="AF11" s="6">
        <f t="shared" si="39"/>
        <v>0</v>
      </c>
      <c r="AG11" s="6">
        <f t="shared" si="39"/>
        <v>1000000</v>
      </c>
      <c r="AH11" s="6">
        <v>0.0</v>
      </c>
      <c r="AI11" s="6">
        <v>0.0</v>
      </c>
      <c r="AJ11" s="6">
        <v>0.0</v>
      </c>
      <c r="AK11" s="6">
        <v>0.0</v>
      </c>
      <c r="AL11" s="6">
        <v>0.0</v>
      </c>
      <c r="AM11" s="6">
        <v>0.0</v>
      </c>
      <c r="AN11" s="6">
        <v>0.0</v>
      </c>
      <c r="AO11" s="6">
        <v>0.0</v>
      </c>
      <c r="AP11" s="6">
        <v>0.0</v>
      </c>
      <c r="AQ11" s="6">
        <v>0.0</v>
      </c>
      <c r="AR11" s="6">
        <v>0.0</v>
      </c>
      <c r="AS11" s="6">
        <v>0.0</v>
      </c>
      <c r="AT11" s="6">
        <f t="shared" ref="AT11:AV11" si="40">+AN11+AQ11+AH11+AK11</f>
        <v>0</v>
      </c>
      <c r="AU11" s="6">
        <f t="shared" si="40"/>
        <v>0</v>
      </c>
      <c r="AV11" s="6">
        <f t="shared" si="40"/>
        <v>0</v>
      </c>
      <c r="AW11" s="6">
        <v>0.0</v>
      </c>
      <c r="AX11" s="6">
        <v>0.0</v>
      </c>
      <c r="AY11" s="6">
        <v>0.0</v>
      </c>
      <c r="AZ11" s="6">
        <v>0.0</v>
      </c>
      <c r="BA11" s="6">
        <v>0.0</v>
      </c>
      <c r="BB11" s="6">
        <v>0.0</v>
      </c>
      <c r="BC11" s="6">
        <v>0.0</v>
      </c>
      <c r="BD11" s="6">
        <v>0.0</v>
      </c>
      <c r="BE11" s="6">
        <v>0.0</v>
      </c>
      <c r="BF11" s="6">
        <v>0.0</v>
      </c>
      <c r="BG11" s="6">
        <v>0.0</v>
      </c>
      <c r="BH11" s="6">
        <v>0.0</v>
      </c>
      <c r="BI11" s="6">
        <f t="shared" ref="BI11:BK11" si="41">+BC11+BF11+AW11+AZ11</f>
        <v>0</v>
      </c>
      <c r="BJ11" s="6">
        <f t="shared" si="41"/>
        <v>0</v>
      </c>
      <c r="BK11" s="6">
        <f t="shared" si="41"/>
        <v>0</v>
      </c>
      <c r="BL11" s="6">
        <v>0.0</v>
      </c>
      <c r="BM11" s="6">
        <v>0.0</v>
      </c>
      <c r="BN11" s="6">
        <v>0.0</v>
      </c>
      <c r="BO11" s="6">
        <v>0.0</v>
      </c>
      <c r="BP11" s="6">
        <v>0.0</v>
      </c>
      <c r="BQ11" s="6">
        <v>0.0</v>
      </c>
      <c r="BR11" s="6">
        <v>0.0</v>
      </c>
      <c r="BS11" s="6">
        <v>0.0</v>
      </c>
      <c r="BT11" s="6">
        <v>0.0</v>
      </c>
      <c r="BU11" s="6" t="str">
        <f t="shared" ref="BU11:BW11" si="42">+BO11+BR11+#REF!+BL11</f>
        <v>#REF!</v>
      </c>
      <c r="BV11" s="6" t="str">
        <f t="shared" si="42"/>
        <v>#REF!</v>
      </c>
      <c r="BW11" s="6" t="str">
        <f t="shared" si="42"/>
        <v>#REF!</v>
      </c>
      <c r="BX11" s="6">
        <v>0.0</v>
      </c>
      <c r="BY11" s="6">
        <v>0.0</v>
      </c>
      <c r="BZ11" s="6">
        <v>0.0</v>
      </c>
      <c r="CA11" s="6">
        <v>0.0</v>
      </c>
      <c r="CB11" s="6">
        <v>0.0</v>
      </c>
      <c r="CC11" s="6">
        <v>0.0</v>
      </c>
      <c r="CD11" s="6">
        <v>0.0</v>
      </c>
      <c r="CE11" s="6">
        <v>0.0</v>
      </c>
      <c r="CF11" s="6">
        <v>0.0</v>
      </c>
      <c r="CG11" s="6" t="str">
        <f t="shared" ref="CG11:CI11" si="43">+CA11+CD11+BX11+#REF!</f>
        <v>#REF!</v>
      </c>
      <c r="CH11" s="6" t="str">
        <f t="shared" si="43"/>
        <v>#REF!</v>
      </c>
      <c r="CI11" s="6" t="str">
        <f t="shared" si="43"/>
        <v>#REF!</v>
      </c>
      <c r="CJ11" s="6">
        <v>0.0</v>
      </c>
      <c r="CK11" s="6">
        <v>0.0</v>
      </c>
      <c r="CL11" s="6">
        <v>0.0</v>
      </c>
      <c r="CM11" s="6">
        <v>0.0</v>
      </c>
      <c r="CN11" s="6">
        <v>0.0</v>
      </c>
      <c r="CO11" s="6">
        <v>0.0</v>
      </c>
      <c r="CP11" s="6">
        <v>0.0</v>
      </c>
      <c r="CQ11" s="6">
        <v>0.0</v>
      </c>
      <c r="CR11" s="6">
        <v>0.0</v>
      </c>
      <c r="CS11" s="6">
        <v>0.0</v>
      </c>
      <c r="CT11" s="6">
        <v>0.0</v>
      </c>
      <c r="CU11" s="6">
        <v>0.0</v>
      </c>
      <c r="CV11" s="6">
        <f t="shared" ref="CV11:CX11" si="44">+CP11+CS11+CJ11+CM11</f>
        <v>0</v>
      </c>
      <c r="CW11" s="6">
        <f t="shared" si="44"/>
        <v>0</v>
      </c>
      <c r="CX11" s="6">
        <f t="shared" si="44"/>
        <v>0</v>
      </c>
      <c r="CY11" s="6">
        <v>0.0</v>
      </c>
      <c r="CZ11" s="6">
        <v>0.0</v>
      </c>
      <c r="DA11" s="6">
        <v>0.0</v>
      </c>
      <c r="DB11" s="6">
        <v>0.0</v>
      </c>
      <c r="DC11" s="6">
        <v>0.0</v>
      </c>
      <c r="DD11" s="6">
        <v>0.0</v>
      </c>
      <c r="DE11" s="6">
        <v>0.0</v>
      </c>
      <c r="DF11" s="6">
        <v>0.0</v>
      </c>
      <c r="DG11" s="6">
        <v>0.0</v>
      </c>
      <c r="DH11" s="6">
        <v>0.0</v>
      </c>
      <c r="DI11" s="6">
        <v>0.0</v>
      </c>
      <c r="DJ11" s="6">
        <v>0.0</v>
      </c>
      <c r="DK11" s="6">
        <f t="shared" ref="DK11:DM11" si="45">+DE11+DH11+CY11+DB11</f>
        <v>0</v>
      </c>
      <c r="DL11" s="6">
        <f t="shared" si="45"/>
        <v>0</v>
      </c>
      <c r="DM11" s="6">
        <f t="shared" si="45"/>
        <v>0</v>
      </c>
      <c r="DN11" s="6" t="str">
        <f t="shared" ref="DN11:DP11" si="46">+P11+AE11+AT11+BI11+BU11+CG11+CV11</f>
        <v>#REF!</v>
      </c>
      <c r="DO11" s="6" t="str">
        <f t="shared" si="46"/>
        <v>#REF!</v>
      </c>
      <c r="DP11" s="6" t="str">
        <f t="shared" si="46"/>
        <v>#REF!</v>
      </c>
      <c r="DQ11" s="6" t="str">
        <f t="shared" si="19"/>
        <v>#REF!</v>
      </c>
    </row>
    <row r="12" ht="13.5" customHeight="1">
      <c r="A12" s="11">
        <v>44091.0</v>
      </c>
      <c r="B12" s="2" t="s">
        <v>104</v>
      </c>
      <c r="C12" s="2" t="s">
        <v>105</v>
      </c>
      <c r="D12" s="29" t="s">
        <v>106</v>
      </c>
      <c r="E12" s="2" t="s">
        <v>107</v>
      </c>
      <c r="F12" s="11" t="s">
        <v>108</v>
      </c>
      <c r="G12" s="11" t="s">
        <v>4</v>
      </c>
      <c r="H12" s="5">
        <v>1849000.0</v>
      </c>
      <c r="I12" s="5">
        <v>1849000.0</v>
      </c>
      <c r="J12" s="6">
        <v>0.0</v>
      </c>
      <c r="K12" s="6">
        <v>0.0</v>
      </c>
      <c r="L12" s="6">
        <v>0.0</v>
      </c>
      <c r="M12" s="5">
        <v>1849000.0</v>
      </c>
      <c r="N12" s="5">
        <v>1849000.0</v>
      </c>
      <c r="O12" s="6">
        <v>0.0</v>
      </c>
      <c r="P12" s="6">
        <f t="shared" ref="P12:R12" si="47">+J12+M12</f>
        <v>1849000</v>
      </c>
      <c r="Q12" s="6">
        <f t="shared" si="47"/>
        <v>1849000</v>
      </c>
      <c r="R12" s="6">
        <f t="shared" si="47"/>
        <v>0</v>
      </c>
      <c r="S12" s="6">
        <v>0.0</v>
      </c>
      <c r="T12" s="6">
        <v>0.0</v>
      </c>
      <c r="U12" s="6">
        <v>0.0</v>
      </c>
      <c r="V12" s="6">
        <v>0.0</v>
      </c>
      <c r="W12" s="6">
        <v>0.0</v>
      </c>
      <c r="X12" s="6">
        <v>481000.0</v>
      </c>
      <c r="Y12" s="6">
        <v>0.0</v>
      </c>
      <c r="Z12" s="6">
        <v>0.0</v>
      </c>
      <c r="AA12" s="6">
        <v>0.0</v>
      </c>
      <c r="AB12" s="6">
        <v>0.0</v>
      </c>
      <c r="AC12" s="6">
        <v>0.0</v>
      </c>
      <c r="AD12" s="6">
        <v>0.0</v>
      </c>
      <c r="AE12" s="6">
        <f t="shared" ref="AE12:AG12" si="48">+Y12+AB12+S12+V12</f>
        <v>0</v>
      </c>
      <c r="AF12" s="6">
        <f t="shared" si="48"/>
        <v>0</v>
      </c>
      <c r="AG12" s="6">
        <f t="shared" si="48"/>
        <v>481000</v>
      </c>
      <c r="AH12" s="6">
        <v>0.0</v>
      </c>
      <c r="AI12" s="6">
        <v>0.0</v>
      </c>
      <c r="AJ12" s="6">
        <v>0.0</v>
      </c>
      <c r="AK12" s="6">
        <v>0.0</v>
      </c>
      <c r="AL12" s="6">
        <v>0.0</v>
      </c>
      <c r="AM12" s="6">
        <v>200000.0</v>
      </c>
      <c r="AN12" s="6">
        <v>0.0</v>
      </c>
      <c r="AO12" s="6">
        <v>0.0</v>
      </c>
      <c r="AP12" s="6">
        <v>250000.0</v>
      </c>
      <c r="AQ12" s="6">
        <v>0.0</v>
      </c>
      <c r="AR12" s="6">
        <v>0.0</v>
      </c>
      <c r="AS12" s="6">
        <v>918000.0</v>
      </c>
      <c r="AT12" s="6">
        <f t="shared" ref="AT12:AV12" si="49">+AN12+AQ12+AH12+AK12</f>
        <v>0</v>
      </c>
      <c r="AU12" s="6">
        <f t="shared" si="49"/>
        <v>0</v>
      </c>
      <c r="AV12" s="6">
        <f t="shared" si="49"/>
        <v>1368000</v>
      </c>
      <c r="AW12" s="6">
        <v>0.0</v>
      </c>
      <c r="AX12" s="6">
        <v>0.0</v>
      </c>
      <c r="AY12" s="6">
        <v>0.0</v>
      </c>
      <c r="AZ12" s="6">
        <v>0.0</v>
      </c>
      <c r="BA12" s="6">
        <v>0.0</v>
      </c>
      <c r="BB12" s="6">
        <v>0.0</v>
      </c>
      <c r="BC12" s="6">
        <v>0.0</v>
      </c>
      <c r="BD12" s="6">
        <v>0.0</v>
      </c>
      <c r="BE12" s="6">
        <v>0.0</v>
      </c>
      <c r="BF12" s="6">
        <v>0.0</v>
      </c>
      <c r="BG12" s="6">
        <v>0.0</v>
      </c>
      <c r="BH12" s="6">
        <v>0.0</v>
      </c>
      <c r="BI12" s="6">
        <f t="shared" ref="BI12:BK12" si="50">+BC12+BF12+AW12+AZ12</f>
        <v>0</v>
      </c>
      <c r="BJ12" s="6">
        <f t="shared" si="50"/>
        <v>0</v>
      </c>
      <c r="BK12" s="6">
        <f t="shared" si="50"/>
        <v>0</v>
      </c>
      <c r="BL12" s="6">
        <v>0.0</v>
      </c>
      <c r="BM12" s="6">
        <v>0.0</v>
      </c>
      <c r="BN12" s="6">
        <v>0.0</v>
      </c>
      <c r="BO12" s="6">
        <v>0.0</v>
      </c>
      <c r="BP12" s="6">
        <v>0.0</v>
      </c>
      <c r="BQ12" s="6">
        <v>0.0</v>
      </c>
      <c r="BR12" s="6">
        <v>0.0</v>
      </c>
      <c r="BS12" s="6">
        <v>0.0</v>
      </c>
      <c r="BT12" s="6">
        <v>0.0</v>
      </c>
      <c r="BU12" s="6" t="str">
        <f t="shared" ref="BU12:BW12" si="51">+BO12+BR12+#REF!+BL12</f>
        <v>#REF!</v>
      </c>
      <c r="BV12" s="6" t="str">
        <f t="shared" si="51"/>
        <v>#REF!</v>
      </c>
      <c r="BW12" s="6" t="str">
        <f t="shared" si="51"/>
        <v>#REF!</v>
      </c>
      <c r="BX12" s="6">
        <v>0.0</v>
      </c>
      <c r="BY12" s="6">
        <v>0.0</v>
      </c>
      <c r="BZ12" s="6">
        <v>0.0</v>
      </c>
      <c r="CA12" s="6">
        <v>0.0</v>
      </c>
      <c r="CB12" s="6">
        <v>0.0</v>
      </c>
      <c r="CC12" s="6">
        <v>0.0</v>
      </c>
      <c r="CD12" s="6">
        <v>0.0</v>
      </c>
      <c r="CE12" s="6">
        <v>0.0</v>
      </c>
      <c r="CF12" s="6">
        <v>0.0</v>
      </c>
      <c r="CG12" s="6" t="str">
        <f t="shared" ref="CG12:CI12" si="52">+CA12+CD12+BX12+#REF!</f>
        <v>#REF!</v>
      </c>
      <c r="CH12" s="6" t="str">
        <f t="shared" si="52"/>
        <v>#REF!</v>
      </c>
      <c r="CI12" s="6" t="str">
        <f t="shared" si="52"/>
        <v>#REF!</v>
      </c>
      <c r="CJ12" s="6">
        <v>0.0</v>
      </c>
      <c r="CK12" s="6">
        <v>0.0</v>
      </c>
      <c r="CL12" s="6">
        <v>0.0</v>
      </c>
      <c r="CM12" s="6">
        <v>0.0</v>
      </c>
      <c r="CN12" s="6">
        <v>0.0</v>
      </c>
      <c r="CO12" s="6">
        <v>0.0</v>
      </c>
      <c r="CP12" s="6">
        <v>0.0</v>
      </c>
      <c r="CQ12" s="6">
        <v>0.0</v>
      </c>
      <c r="CR12" s="6">
        <v>0.0</v>
      </c>
      <c r="CS12" s="6">
        <v>0.0</v>
      </c>
      <c r="CT12" s="6">
        <v>0.0</v>
      </c>
      <c r="CU12" s="6">
        <v>0.0</v>
      </c>
      <c r="CV12" s="6">
        <f t="shared" ref="CV12:CX12" si="53">+CP12+CS12+CJ12+CM12</f>
        <v>0</v>
      </c>
      <c r="CW12" s="6">
        <f t="shared" si="53"/>
        <v>0</v>
      </c>
      <c r="CX12" s="6">
        <f t="shared" si="53"/>
        <v>0</v>
      </c>
      <c r="CY12" s="6">
        <v>0.0</v>
      </c>
      <c r="CZ12" s="6">
        <v>0.0</v>
      </c>
      <c r="DA12" s="6">
        <v>0.0</v>
      </c>
      <c r="DB12" s="6">
        <v>0.0</v>
      </c>
      <c r="DC12" s="6">
        <v>0.0</v>
      </c>
      <c r="DD12" s="6">
        <v>0.0</v>
      </c>
      <c r="DE12" s="6">
        <v>0.0</v>
      </c>
      <c r="DF12" s="6">
        <v>0.0</v>
      </c>
      <c r="DG12" s="6">
        <v>0.0</v>
      </c>
      <c r="DH12" s="6">
        <v>0.0</v>
      </c>
      <c r="DI12" s="6">
        <v>0.0</v>
      </c>
      <c r="DJ12" s="6">
        <v>0.0</v>
      </c>
      <c r="DK12" s="6">
        <f t="shared" ref="DK12:DM12" si="54">+DE12+DH12+CY12+DB12</f>
        <v>0</v>
      </c>
      <c r="DL12" s="6">
        <f t="shared" si="54"/>
        <v>0</v>
      </c>
      <c r="DM12" s="6">
        <f t="shared" si="54"/>
        <v>0</v>
      </c>
      <c r="DN12" s="6" t="str">
        <f t="shared" ref="DN12:DP12" si="55">+P12+AE12+AT12+BI12+BU12+CG12+CV12</f>
        <v>#REF!</v>
      </c>
      <c r="DO12" s="6" t="str">
        <f t="shared" si="55"/>
        <v>#REF!</v>
      </c>
      <c r="DP12" s="6" t="str">
        <f t="shared" si="55"/>
        <v>#REF!</v>
      </c>
      <c r="DQ12" s="6" t="str">
        <f t="shared" si="19"/>
        <v>#REF!</v>
      </c>
    </row>
    <row r="13" ht="13.5" customHeight="1">
      <c r="A13" s="11">
        <v>44111.0</v>
      </c>
      <c r="B13" s="2" t="s">
        <v>109</v>
      </c>
      <c r="C13" s="2" t="s">
        <v>110</v>
      </c>
      <c r="D13" s="29" t="s">
        <v>111</v>
      </c>
      <c r="E13" s="2" t="s">
        <v>112</v>
      </c>
      <c r="F13" s="11" t="s">
        <v>113</v>
      </c>
      <c r="G13" s="11" t="s">
        <v>4</v>
      </c>
      <c r="H13" s="5">
        <v>180000.0</v>
      </c>
      <c r="I13" s="5">
        <v>180000.0</v>
      </c>
      <c r="J13" s="6">
        <v>0.0</v>
      </c>
      <c r="K13" s="6">
        <v>0.0</v>
      </c>
      <c r="L13" s="6">
        <v>0.0</v>
      </c>
      <c r="M13" s="5">
        <v>180000.0</v>
      </c>
      <c r="N13" s="5">
        <v>180000.0</v>
      </c>
      <c r="O13" s="6">
        <v>0.0</v>
      </c>
      <c r="P13" s="6">
        <f t="shared" ref="P13:R13" si="56">+J13+M13</f>
        <v>180000</v>
      </c>
      <c r="Q13" s="6">
        <f t="shared" si="56"/>
        <v>180000</v>
      </c>
      <c r="R13" s="6">
        <f t="shared" si="56"/>
        <v>0</v>
      </c>
      <c r="S13" s="6">
        <v>0.0</v>
      </c>
      <c r="T13" s="6">
        <v>0.0</v>
      </c>
      <c r="U13" s="6">
        <v>0.0</v>
      </c>
      <c r="V13" s="6">
        <v>0.0</v>
      </c>
      <c r="W13" s="6">
        <v>0.0</v>
      </c>
      <c r="X13" s="6">
        <v>180000.0</v>
      </c>
      <c r="Y13" s="6">
        <v>0.0</v>
      </c>
      <c r="Z13" s="6">
        <v>0.0</v>
      </c>
      <c r="AA13" s="6">
        <v>0.0</v>
      </c>
      <c r="AB13" s="6">
        <v>0.0</v>
      </c>
      <c r="AC13" s="6">
        <v>0.0</v>
      </c>
      <c r="AD13" s="6">
        <v>0.0</v>
      </c>
      <c r="AE13" s="6">
        <f t="shared" ref="AE13:AG13" si="57">+Y13+AB13+S13+V13</f>
        <v>0</v>
      </c>
      <c r="AF13" s="6">
        <f t="shared" si="57"/>
        <v>0</v>
      </c>
      <c r="AG13" s="6">
        <f t="shared" si="57"/>
        <v>180000</v>
      </c>
      <c r="AH13" s="6">
        <v>0.0</v>
      </c>
      <c r="AI13" s="6">
        <v>0.0</v>
      </c>
      <c r="AJ13" s="6">
        <v>0.0</v>
      </c>
      <c r="AK13" s="6">
        <v>0.0</v>
      </c>
      <c r="AL13" s="6">
        <v>0.0</v>
      </c>
      <c r="AM13" s="6">
        <v>0.0</v>
      </c>
      <c r="AN13" s="6">
        <v>0.0</v>
      </c>
      <c r="AO13" s="6">
        <v>0.0</v>
      </c>
      <c r="AP13" s="6">
        <v>0.0</v>
      </c>
      <c r="AQ13" s="6">
        <v>0.0</v>
      </c>
      <c r="AR13" s="6">
        <v>0.0</v>
      </c>
      <c r="AS13" s="6">
        <v>0.0</v>
      </c>
      <c r="AT13" s="6">
        <f t="shared" ref="AT13:AV13" si="58">+AN13+AQ13+AH13+AK13</f>
        <v>0</v>
      </c>
      <c r="AU13" s="6">
        <f t="shared" si="58"/>
        <v>0</v>
      </c>
      <c r="AV13" s="6">
        <f t="shared" si="58"/>
        <v>0</v>
      </c>
      <c r="AW13" s="6">
        <v>0.0</v>
      </c>
      <c r="AX13" s="6">
        <v>0.0</v>
      </c>
      <c r="AY13" s="6">
        <v>0.0</v>
      </c>
      <c r="AZ13" s="6">
        <v>0.0</v>
      </c>
      <c r="BA13" s="6">
        <v>0.0</v>
      </c>
      <c r="BB13" s="6">
        <v>0.0</v>
      </c>
      <c r="BC13" s="6">
        <v>0.0</v>
      </c>
      <c r="BD13" s="6">
        <v>0.0</v>
      </c>
      <c r="BE13" s="6">
        <v>0.0</v>
      </c>
      <c r="BF13" s="6">
        <v>0.0</v>
      </c>
      <c r="BG13" s="6">
        <v>0.0</v>
      </c>
      <c r="BH13" s="6">
        <v>0.0</v>
      </c>
      <c r="BI13" s="6">
        <f t="shared" ref="BI13:BK13" si="59">+BC13+BF13+AW13+AZ13</f>
        <v>0</v>
      </c>
      <c r="BJ13" s="6">
        <f t="shared" si="59"/>
        <v>0</v>
      </c>
      <c r="BK13" s="6">
        <f t="shared" si="59"/>
        <v>0</v>
      </c>
      <c r="BL13" s="6">
        <v>0.0</v>
      </c>
      <c r="BM13" s="6">
        <v>0.0</v>
      </c>
      <c r="BN13" s="6">
        <v>0.0</v>
      </c>
      <c r="BO13" s="6">
        <v>0.0</v>
      </c>
      <c r="BP13" s="6">
        <v>0.0</v>
      </c>
      <c r="BQ13" s="6">
        <v>0.0</v>
      </c>
      <c r="BR13" s="6">
        <v>0.0</v>
      </c>
      <c r="BS13" s="6">
        <v>0.0</v>
      </c>
      <c r="BT13" s="6">
        <v>0.0</v>
      </c>
      <c r="BU13" s="6" t="str">
        <f t="shared" ref="BU13:BW13" si="60">+BO13+BR13+#REF!+BL13</f>
        <v>#REF!</v>
      </c>
      <c r="BV13" s="6" t="str">
        <f t="shared" si="60"/>
        <v>#REF!</v>
      </c>
      <c r="BW13" s="6" t="str">
        <f t="shared" si="60"/>
        <v>#REF!</v>
      </c>
      <c r="BX13" s="6">
        <v>0.0</v>
      </c>
      <c r="BY13" s="6">
        <v>0.0</v>
      </c>
      <c r="BZ13" s="6">
        <v>0.0</v>
      </c>
      <c r="CA13" s="6">
        <v>0.0</v>
      </c>
      <c r="CB13" s="6">
        <v>0.0</v>
      </c>
      <c r="CC13" s="6">
        <v>0.0</v>
      </c>
      <c r="CD13" s="6">
        <v>0.0</v>
      </c>
      <c r="CE13" s="6">
        <v>0.0</v>
      </c>
      <c r="CF13" s="6">
        <v>0.0</v>
      </c>
      <c r="CG13" s="6" t="str">
        <f t="shared" ref="CG13:CI13" si="61">+CA13+CD13+BX13+#REF!</f>
        <v>#REF!</v>
      </c>
      <c r="CH13" s="6" t="str">
        <f t="shared" si="61"/>
        <v>#REF!</v>
      </c>
      <c r="CI13" s="6" t="str">
        <f t="shared" si="61"/>
        <v>#REF!</v>
      </c>
      <c r="CJ13" s="6">
        <v>0.0</v>
      </c>
      <c r="CK13" s="6">
        <v>0.0</v>
      </c>
      <c r="CL13" s="6">
        <v>0.0</v>
      </c>
      <c r="CM13" s="6">
        <v>0.0</v>
      </c>
      <c r="CN13" s="6">
        <v>0.0</v>
      </c>
      <c r="CO13" s="6">
        <v>0.0</v>
      </c>
      <c r="CP13" s="6">
        <v>0.0</v>
      </c>
      <c r="CQ13" s="6">
        <v>0.0</v>
      </c>
      <c r="CR13" s="6">
        <v>0.0</v>
      </c>
      <c r="CS13" s="6">
        <v>0.0</v>
      </c>
      <c r="CT13" s="6">
        <v>0.0</v>
      </c>
      <c r="CU13" s="6">
        <v>0.0</v>
      </c>
      <c r="CV13" s="6">
        <f t="shared" ref="CV13:CX13" si="62">+CP13+CS13+CJ13+CM13</f>
        <v>0</v>
      </c>
      <c r="CW13" s="6">
        <f t="shared" si="62"/>
        <v>0</v>
      </c>
      <c r="CX13" s="6">
        <f t="shared" si="62"/>
        <v>0</v>
      </c>
      <c r="CY13" s="6">
        <v>0.0</v>
      </c>
      <c r="CZ13" s="6">
        <v>0.0</v>
      </c>
      <c r="DA13" s="6">
        <v>0.0</v>
      </c>
      <c r="DB13" s="6">
        <v>0.0</v>
      </c>
      <c r="DC13" s="6">
        <v>0.0</v>
      </c>
      <c r="DD13" s="6">
        <v>0.0</v>
      </c>
      <c r="DE13" s="6">
        <v>0.0</v>
      </c>
      <c r="DF13" s="6">
        <v>0.0</v>
      </c>
      <c r="DG13" s="6">
        <v>0.0</v>
      </c>
      <c r="DH13" s="6">
        <v>0.0</v>
      </c>
      <c r="DI13" s="6">
        <v>0.0</v>
      </c>
      <c r="DJ13" s="6">
        <v>0.0</v>
      </c>
      <c r="DK13" s="6">
        <f t="shared" ref="DK13:DM13" si="63">+DE13+DH13+CY13+DB13</f>
        <v>0</v>
      </c>
      <c r="DL13" s="6">
        <f t="shared" si="63"/>
        <v>0</v>
      </c>
      <c r="DM13" s="6">
        <f t="shared" si="63"/>
        <v>0</v>
      </c>
      <c r="DN13" s="6" t="str">
        <f t="shared" ref="DN13:DP13" si="64">+P13+AE13+AT13+BI13+BU13+CG13+CV13</f>
        <v>#REF!</v>
      </c>
      <c r="DO13" s="6" t="str">
        <f t="shared" si="64"/>
        <v>#REF!</v>
      </c>
      <c r="DP13" s="6" t="str">
        <f t="shared" si="64"/>
        <v>#REF!</v>
      </c>
      <c r="DQ13" s="6" t="str">
        <f t="shared" si="19"/>
        <v>#REF!</v>
      </c>
    </row>
    <row r="14" ht="13.5" customHeight="1">
      <c r="A14" s="11">
        <v>44048.0</v>
      </c>
      <c r="B14" s="2" t="s">
        <v>114</v>
      </c>
      <c r="C14" s="2" t="s">
        <v>115</v>
      </c>
      <c r="D14" s="29" t="s">
        <v>116</v>
      </c>
      <c r="E14" s="2" t="s">
        <v>117</v>
      </c>
      <c r="F14" s="11" t="s">
        <v>85</v>
      </c>
      <c r="G14" s="11" t="s">
        <v>4</v>
      </c>
      <c r="H14" s="5">
        <v>800000.0</v>
      </c>
      <c r="I14" s="5">
        <v>800000.0</v>
      </c>
      <c r="J14" s="6">
        <v>0.0</v>
      </c>
      <c r="K14" s="6">
        <v>0.0</v>
      </c>
      <c r="L14" s="6">
        <v>0.0</v>
      </c>
      <c r="M14" s="5">
        <v>800000.0</v>
      </c>
      <c r="N14" s="5">
        <v>800000.0</v>
      </c>
      <c r="O14" s="6">
        <v>0.0</v>
      </c>
      <c r="P14" s="6">
        <f t="shared" ref="P14:R14" si="65">+J14+M14</f>
        <v>800000</v>
      </c>
      <c r="Q14" s="6">
        <f t="shared" si="65"/>
        <v>800000</v>
      </c>
      <c r="R14" s="6">
        <f t="shared" si="65"/>
        <v>0</v>
      </c>
      <c r="S14" s="6">
        <v>0.0</v>
      </c>
      <c r="T14" s="6">
        <v>0.0</v>
      </c>
      <c r="U14" s="6">
        <v>0.0</v>
      </c>
      <c r="V14" s="6">
        <v>0.0</v>
      </c>
      <c r="W14" s="6">
        <v>0.0</v>
      </c>
      <c r="X14" s="6">
        <v>800000.0</v>
      </c>
      <c r="Y14" s="6">
        <v>0.0</v>
      </c>
      <c r="Z14" s="6">
        <v>0.0</v>
      </c>
      <c r="AA14" s="6">
        <v>0.0</v>
      </c>
      <c r="AB14" s="6">
        <v>0.0</v>
      </c>
      <c r="AC14" s="6">
        <v>0.0</v>
      </c>
      <c r="AD14" s="6">
        <v>0.0</v>
      </c>
      <c r="AE14" s="6">
        <f t="shared" ref="AE14:AG14" si="66">+Y14+AB14+S14+V14</f>
        <v>0</v>
      </c>
      <c r="AF14" s="6">
        <f t="shared" si="66"/>
        <v>0</v>
      </c>
      <c r="AG14" s="6">
        <f t="shared" si="66"/>
        <v>800000</v>
      </c>
      <c r="AH14" s="6">
        <v>0.0</v>
      </c>
      <c r="AI14" s="6">
        <v>0.0</v>
      </c>
      <c r="AJ14" s="6">
        <v>0.0</v>
      </c>
      <c r="AK14" s="6">
        <v>0.0</v>
      </c>
      <c r="AL14" s="6">
        <v>0.0</v>
      </c>
      <c r="AM14" s="6">
        <v>0.0</v>
      </c>
      <c r="AN14" s="6">
        <v>0.0</v>
      </c>
      <c r="AO14" s="6">
        <v>0.0</v>
      </c>
      <c r="AP14" s="6">
        <v>0.0</v>
      </c>
      <c r="AQ14" s="6">
        <v>0.0</v>
      </c>
      <c r="AR14" s="6">
        <v>0.0</v>
      </c>
      <c r="AS14" s="6">
        <v>0.0</v>
      </c>
      <c r="AT14" s="6">
        <f t="shared" ref="AT14:AV14" si="67">+AN14+AQ14+AH14+AK14</f>
        <v>0</v>
      </c>
      <c r="AU14" s="6">
        <f t="shared" si="67"/>
        <v>0</v>
      </c>
      <c r="AV14" s="6">
        <f t="shared" si="67"/>
        <v>0</v>
      </c>
      <c r="AW14" s="6">
        <v>0.0</v>
      </c>
      <c r="AX14" s="6">
        <v>0.0</v>
      </c>
      <c r="AY14" s="6">
        <v>0.0</v>
      </c>
      <c r="AZ14" s="6">
        <v>0.0</v>
      </c>
      <c r="BA14" s="6">
        <v>0.0</v>
      </c>
      <c r="BB14" s="6">
        <v>0.0</v>
      </c>
      <c r="BC14" s="6">
        <v>0.0</v>
      </c>
      <c r="BD14" s="6">
        <v>0.0</v>
      </c>
      <c r="BE14" s="6">
        <v>0.0</v>
      </c>
      <c r="BF14" s="6">
        <v>0.0</v>
      </c>
      <c r="BG14" s="6">
        <v>0.0</v>
      </c>
      <c r="BH14" s="6">
        <v>0.0</v>
      </c>
      <c r="BI14" s="6">
        <f t="shared" ref="BI14:BK14" si="68">+BC14+BF14+AW14+AZ14</f>
        <v>0</v>
      </c>
      <c r="BJ14" s="6">
        <f t="shared" si="68"/>
        <v>0</v>
      </c>
      <c r="BK14" s="6">
        <f t="shared" si="68"/>
        <v>0</v>
      </c>
      <c r="BL14" s="6">
        <v>0.0</v>
      </c>
      <c r="BM14" s="6">
        <v>0.0</v>
      </c>
      <c r="BN14" s="6">
        <v>0.0</v>
      </c>
      <c r="BO14" s="6">
        <v>0.0</v>
      </c>
      <c r="BP14" s="6">
        <v>0.0</v>
      </c>
      <c r="BQ14" s="6">
        <v>0.0</v>
      </c>
      <c r="BR14" s="6">
        <v>0.0</v>
      </c>
      <c r="BS14" s="6">
        <v>0.0</v>
      </c>
      <c r="BT14" s="6">
        <v>0.0</v>
      </c>
      <c r="BU14" s="6" t="str">
        <f t="shared" ref="BU14:BW14" si="69">+BO14+BR14+#REF!+BL14</f>
        <v>#REF!</v>
      </c>
      <c r="BV14" s="6" t="str">
        <f t="shared" si="69"/>
        <v>#REF!</v>
      </c>
      <c r="BW14" s="6" t="str">
        <f t="shared" si="69"/>
        <v>#REF!</v>
      </c>
      <c r="BX14" s="6">
        <v>0.0</v>
      </c>
      <c r="BY14" s="6">
        <v>0.0</v>
      </c>
      <c r="BZ14" s="6">
        <v>0.0</v>
      </c>
      <c r="CA14" s="6">
        <v>0.0</v>
      </c>
      <c r="CB14" s="6">
        <v>0.0</v>
      </c>
      <c r="CC14" s="6">
        <v>0.0</v>
      </c>
      <c r="CD14" s="6">
        <v>0.0</v>
      </c>
      <c r="CE14" s="6">
        <v>0.0</v>
      </c>
      <c r="CF14" s="6">
        <v>0.0</v>
      </c>
      <c r="CG14" s="6" t="str">
        <f t="shared" ref="CG14:CI14" si="70">+CA14+CD14+BX14+#REF!</f>
        <v>#REF!</v>
      </c>
      <c r="CH14" s="6" t="str">
        <f t="shared" si="70"/>
        <v>#REF!</v>
      </c>
      <c r="CI14" s="6" t="str">
        <f t="shared" si="70"/>
        <v>#REF!</v>
      </c>
      <c r="CJ14" s="6">
        <v>0.0</v>
      </c>
      <c r="CK14" s="6">
        <v>0.0</v>
      </c>
      <c r="CL14" s="6">
        <v>0.0</v>
      </c>
      <c r="CM14" s="6">
        <v>0.0</v>
      </c>
      <c r="CN14" s="6">
        <v>0.0</v>
      </c>
      <c r="CO14" s="6">
        <v>0.0</v>
      </c>
      <c r="CP14" s="6">
        <v>0.0</v>
      </c>
      <c r="CQ14" s="6">
        <v>0.0</v>
      </c>
      <c r="CR14" s="6">
        <v>0.0</v>
      </c>
      <c r="CS14" s="6">
        <v>0.0</v>
      </c>
      <c r="CT14" s="6">
        <v>0.0</v>
      </c>
      <c r="CU14" s="6">
        <v>0.0</v>
      </c>
      <c r="CV14" s="6">
        <f t="shared" ref="CV14:CX14" si="71">+CP14+CS14+CJ14+CM14</f>
        <v>0</v>
      </c>
      <c r="CW14" s="6">
        <f t="shared" si="71"/>
        <v>0</v>
      </c>
      <c r="CX14" s="6">
        <f t="shared" si="71"/>
        <v>0</v>
      </c>
      <c r="CY14" s="6">
        <v>0.0</v>
      </c>
      <c r="CZ14" s="6">
        <v>0.0</v>
      </c>
      <c r="DA14" s="6">
        <v>0.0</v>
      </c>
      <c r="DB14" s="6">
        <v>0.0</v>
      </c>
      <c r="DC14" s="6">
        <v>0.0</v>
      </c>
      <c r="DD14" s="6">
        <v>0.0</v>
      </c>
      <c r="DE14" s="6">
        <v>0.0</v>
      </c>
      <c r="DF14" s="6">
        <v>0.0</v>
      </c>
      <c r="DG14" s="6">
        <v>0.0</v>
      </c>
      <c r="DH14" s="6">
        <v>0.0</v>
      </c>
      <c r="DI14" s="6">
        <v>0.0</v>
      </c>
      <c r="DJ14" s="6">
        <v>0.0</v>
      </c>
      <c r="DK14" s="6">
        <f t="shared" ref="DK14:DM14" si="72">+DE14+DH14+CY14+DB14</f>
        <v>0</v>
      </c>
      <c r="DL14" s="6">
        <f t="shared" si="72"/>
        <v>0</v>
      </c>
      <c r="DM14" s="6">
        <f t="shared" si="72"/>
        <v>0</v>
      </c>
      <c r="DN14" s="6" t="str">
        <f t="shared" ref="DN14:DP14" si="73">+P14+AE14+AT14+BI14+BU14+CG14+CV14</f>
        <v>#REF!</v>
      </c>
      <c r="DO14" s="6" t="str">
        <f t="shared" si="73"/>
        <v>#REF!</v>
      </c>
      <c r="DP14" s="6" t="str">
        <f t="shared" si="73"/>
        <v>#REF!</v>
      </c>
      <c r="DQ14" s="6" t="str">
        <f t="shared" si="19"/>
        <v>#REF!</v>
      </c>
    </row>
    <row r="15" ht="13.5" customHeight="1">
      <c r="A15" s="11">
        <v>44039.0</v>
      </c>
      <c r="B15" s="2" t="s">
        <v>118</v>
      </c>
      <c r="C15" s="2" t="s">
        <v>119</v>
      </c>
      <c r="D15" s="29" t="s">
        <v>120</v>
      </c>
      <c r="E15" s="2" t="s">
        <v>121</v>
      </c>
      <c r="F15" s="11" t="s">
        <v>122</v>
      </c>
      <c r="G15" s="11" t="s">
        <v>4</v>
      </c>
      <c r="H15" s="5">
        <v>9391000.0</v>
      </c>
      <c r="I15" s="5">
        <v>9391000.0</v>
      </c>
      <c r="J15" s="6">
        <v>0.0</v>
      </c>
      <c r="K15" s="6">
        <v>0.0</v>
      </c>
      <c r="L15" s="6">
        <v>0.0</v>
      </c>
      <c r="M15" s="5">
        <v>9391000.0</v>
      </c>
      <c r="N15" s="5">
        <v>9391000.0</v>
      </c>
      <c r="O15" s="6">
        <v>0.0</v>
      </c>
      <c r="P15" s="6">
        <f t="shared" ref="P15:R15" si="74">+J15+M15</f>
        <v>9391000</v>
      </c>
      <c r="Q15" s="6">
        <f t="shared" si="74"/>
        <v>9391000</v>
      </c>
      <c r="R15" s="6">
        <f t="shared" si="74"/>
        <v>0</v>
      </c>
      <c r="S15" s="6">
        <v>0.0</v>
      </c>
      <c r="T15" s="6">
        <v>0.0</v>
      </c>
      <c r="U15" s="6">
        <v>350000.0</v>
      </c>
      <c r="V15" s="6">
        <v>0.0</v>
      </c>
      <c r="W15" s="6">
        <v>0.0</v>
      </c>
      <c r="X15" s="6">
        <v>250000.0</v>
      </c>
      <c r="Y15" s="6">
        <v>0.0</v>
      </c>
      <c r="Z15" s="6">
        <v>0.0</v>
      </c>
      <c r="AA15" s="6">
        <v>0.0</v>
      </c>
      <c r="AB15" s="6">
        <v>0.0</v>
      </c>
      <c r="AC15" s="6">
        <v>0.0</v>
      </c>
      <c r="AD15" s="6">
        <v>1200000.0</v>
      </c>
      <c r="AE15" s="6">
        <f t="shared" ref="AE15:AG15" si="75">+Y15+AB15+S15+V15</f>
        <v>0</v>
      </c>
      <c r="AF15" s="6">
        <f t="shared" si="75"/>
        <v>0</v>
      </c>
      <c r="AG15" s="6">
        <f t="shared" si="75"/>
        <v>1800000</v>
      </c>
      <c r="AH15" s="6">
        <v>0.0</v>
      </c>
      <c r="AI15" s="6">
        <v>0.0</v>
      </c>
      <c r="AJ15" s="6">
        <v>1200000.0</v>
      </c>
      <c r="AK15" s="6">
        <v>0.0</v>
      </c>
      <c r="AL15" s="6">
        <v>0.0</v>
      </c>
      <c r="AM15" s="6">
        <v>1065166.67</v>
      </c>
      <c r="AN15" s="6">
        <v>0.0</v>
      </c>
      <c r="AO15" s="6">
        <v>0.0</v>
      </c>
      <c r="AP15" s="6">
        <v>3000000.0</v>
      </c>
      <c r="AQ15" s="6">
        <v>0.0</v>
      </c>
      <c r="AR15" s="6">
        <v>0.0</v>
      </c>
      <c r="AS15" s="6">
        <v>590000.0</v>
      </c>
      <c r="AT15" s="6">
        <f t="shared" ref="AT15:AV15" si="76">+AN15+AQ15+AH15+AK15</f>
        <v>0</v>
      </c>
      <c r="AU15" s="6">
        <f t="shared" si="76"/>
        <v>0</v>
      </c>
      <c r="AV15" s="6">
        <f t="shared" si="76"/>
        <v>5855166.67</v>
      </c>
      <c r="AW15" s="6">
        <v>0.0</v>
      </c>
      <c r="AX15" s="6">
        <v>0.0</v>
      </c>
      <c r="AY15" s="6">
        <v>578611.11</v>
      </c>
      <c r="AZ15" s="6">
        <v>0.0</v>
      </c>
      <c r="BA15" s="6">
        <v>0.0</v>
      </c>
      <c r="BB15" s="6">
        <v>1157222.22</v>
      </c>
      <c r="BC15" s="6">
        <v>0.0</v>
      </c>
      <c r="BD15" s="6">
        <v>0.0</v>
      </c>
      <c r="BE15" s="6">
        <v>0.0</v>
      </c>
      <c r="BF15" s="6">
        <v>0.0</v>
      </c>
      <c r="BG15" s="6">
        <v>0.0</v>
      </c>
      <c r="BH15" s="6">
        <v>0.0</v>
      </c>
      <c r="BI15" s="6">
        <f t="shared" ref="BI15:BK15" si="77">+BC15+BF15+AW15+AZ15</f>
        <v>0</v>
      </c>
      <c r="BJ15" s="6">
        <f t="shared" si="77"/>
        <v>0</v>
      </c>
      <c r="BK15" s="6">
        <f t="shared" si="77"/>
        <v>1735833.33</v>
      </c>
      <c r="BL15" s="6">
        <v>0.0</v>
      </c>
      <c r="BM15" s="6">
        <v>0.0</v>
      </c>
      <c r="BN15" s="6">
        <v>0.0</v>
      </c>
      <c r="BO15" s="6">
        <v>0.0</v>
      </c>
      <c r="BP15" s="6">
        <v>0.0</v>
      </c>
      <c r="BQ15" s="6">
        <v>0.0</v>
      </c>
      <c r="BR15" s="6">
        <v>0.0</v>
      </c>
      <c r="BS15" s="6">
        <v>0.0</v>
      </c>
      <c r="BT15" s="6">
        <v>0.0</v>
      </c>
      <c r="BU15" s="6" t="str">
        <f t="shared" ref="BU15:BW15" si="78">+BO15+BR15+#REF!+BL15</f>
        <v>#REF!</v>
      </c>
      <c r="BV15" s="6" t="str">
        <f t="shared" si="78"/>
        <v>#REF!</v>
      </c>
      <c r="BW15" s="6" t="str">
        <f t="shared" si="78"/>
        <v>#REF!</v>
      </c>
      <c r="BX15" s="6">
        <v>0.0</v>
      </c>
      <c r="BY15" s="6">
        <v>0.0</v>
      </c>
      <c r="BZ15" s="6">
        <v>0.0</v>
      </c>
      <c r="CA15" s="6">
        <v>0.0</v>
      </c>
      <c r="CB15" s="6">
        <v>0.0</v>
      </c>
      <c r="CC15" s="6">
        <v>0.0</v>
      </c>
      <c r="CD15" s="6">
        <v>0.0</v>
      </c>
      <c r="CE15" s="6">
        <v>0.0</v>
      </c>
      <c r="CF15" s="6">
        <v>0.0</v>
      </c>
      <c r="CG15" s="6" t="str">
        <f t="shared" ref="CG15:CI15" si="79">+CA15+CD15+BX15+#REF!</f>
        <v>#REF!</v>
      </c>
      <c r="CH15" s="6" t="str">
        <f t="shared" si="79"/>
        <v>#REF!</v>
      </c>
      <c r="CI15" s="6" t="str">
        <f t="shared" si="79"/>
        <v>#REF!</v>
      </c>
      <c r="CJ15" s="6">
        <v>0.0</v>
      </c>
      <c r="CK15" s="6">
        <v>0.0</v>
      </c>
      <c r="CL15" s="6">
        <v>0.0</v>
      </c>
      <c r="CM15" s="6">
        <v>0.0</v>
      </c>
      <c r="CN15" s="6">
        <v>0.0</v>
      </c>
      <c r="CO15" s="6">
        <v>0.0</v>
      </c>
      <c r="CP15" s="6">
        <v>0.0</v>
      </c>
      <c r="CQ15" s="6">
        <v>0.0</v>
      </c>
      <c r="CR15" s="6">
        <v>0.0</v>
      </c>
      <c r="CS15" s="6">
        <v>0.0</v>
      </c>
      <c r="CT15" s="6">
        <v>0.0</v>
      </c>
      <c r="CU15" s="6">
        <v>0.0</v>
      </c>
      <c r="CV15" s="6">
        <f t="shared" ref="CV15:CX15" si="80">+CP15+CS15+CJ15+CM15</f>
        <v>0</v>
      </c>
      <c r="CW15" s="6">
        <f t="shared" si="80"/>
        <v>0</v>
      </c>
      <c r="CX15" s="6">
        <f t="shared" si="80"/>
        <v>0</v>
      </c>
      <c r="CY15" s="6">
        <v>0.0</v>
      </c>
      <c r="CZ15" s="6">
        <v>0.0</v>
      </c>
      <c r="DA15" s="6">
        <v>0.0</v>
      </c>
      <c r="DB15" s="6">
        <v>0.0</v>
      </c>
      <c r="DC15" s="6">
        <v>0.0</v>
      </c>
      <c r="DD15" s="6">
        <v>0.0</v>
      </c>
      <c r="DE15" s="6">
        <v>0.0</v>
      </c>
      <c r="DF15" s="6">
        <v>0.0</v>
      </c>
      <c r="DG15" s="6">
        <v>0.0</v>
      </c>
      <c r="DH15" s="6">
        <v>0.0</v>
      </c>
      <c r="DI15" s="6">
        <v>0.0</v>
      </c>
      <c r="DJ15" s="6">
        <v>0.0</v>
      </c>
      <c r="DK15" s="6">
        <f t="shared" ref="DK15:DM15" si="81">+DE15+DH15+CY15+DB15</f>
        <v>0</v>
      </c>
      <c r="DL15" s="6">
        <f t="shared" si="81"/>
        <v>0</v>
      </c>
      <c r="DM15" s="6">
        <f t="shared" si="81"/>
        <v>0</v>
      </c>
      <c r="DN15" s="6" t="str">
        <f t="shared" ref="DN15:DP15" si="82">+P15+AE15+AT15+BI15+BU15+CG15+CV15</f>
        <v>#REF!</v>
      </c>
      <c r="DO15" s="6" t="str">
        <f t="shared" si="82"/>
        <v>#REF!</v>
      </c>
      <c r="DP15" s="6" t="str">
        <f t="shared" si="82"/>
        <v>#REF!</v>
      </c>
      <c r="DQ15" s="6" t="str">
        <f t="shared" si="19"/>
        <v>#REF!</v>
      </c>
    </row>
    <row r="16" ht="13.5" customHeight="1">
      <c r="A16" s="11">
        <v>44075.0</v>
      </c>
      <c r="B16" s="2" t="s">
        <v>123</v>
      </c>
      <c r="C16" s="2" t="s">
        <v>124</v>
      </c>
      <c r="D16" s="29" t="s">
        <v>125</v>
      </c>
      <c r="E16" s="2" t="s">
        <v>126</v>
      </c>
      <c r="F16" s="11" t="s">
        <v>127</v>
      </c>
      <c r="G16" s="11" t="s">
        <v>4</v>
      </c>
      <c r="H16" s="5">
        <v>695780.0</v>
      </c>
      <c r="I16" s="5">
        <v>695780.0</v>
      </c>
      <c r="J16" s="6">
        <v>0.0</v>
      </c>
      <c r="K16" s="6">
        <v>0.0</v>
      </c>
      <c r="L16" s="6">
        <v>0.0</v>
      </c>
      <c r="M16" s="5">
        <v>695780.0</v>
      </c>
      <c r="N16" s="5">
        <v>695780.0</v>
      </c>
      <c r="O16" s="6">
        <v>0.0</v>
      </c>
      <c r="P16" s="6">
        <f t="shared" ref="P16:R16" si="83">+J16+M16</f>
        <v>695780</v>
      </c>
      <c r="Q16" s="6">
        <f t="shared" si="83"/>
        <v>695780</v>
      </c>
      <c r="R16" s="6">
        <f t="shared" si="83"/>
        <v>0</v>
      </c>
      <c r="S16" s="6">
        <v>0.0</v>
      </c>
      <c r="T16" s="6">
        <v>0.0</v>
      </c>
      <c r="U16" s="6">
        <v>120000.0</v>
      </c>
      <c r="V16" s="6">
        <v>0.0</v>
      </c>
      <c r="W16" s="6">
        <v>0.0</v>
      </c>
      <c r="X16" s="6">
        <v>200000.0</v>
      </c>
      <c r="Y16" s="6">
        <v>0.0</v>
      </c>
      <c r="Z16" s="6">
        <v>0.0</v>
      </c>
      <c r="AA16" s="6">
        <v>0.0</v>
      </c>
      <c r="AB16" s="6">
        <v>0.0</v>
      </c>
      <c r="AC16" s="6">
        <v>0.0</v>
      </c>
      <c r="AD16" s="6">
        <v>0.0</v>
      </c>
      <c r="AE16" s="6">
        <f t="shared" ref="AE16:AG16" si="84">+Y16+AB16+S16+V16</f>
        <v>0</v>
      </c>
      <c r="AF16" s="6">
        <f t="shared" si="84"/>
        <v>0</v>
      </c>
      <c r="AG16" s="6">
        <f t="shared" si="84"/>
        <v>320000</v>
      </c>
      <c r="AH16" s="6">
        <v>0.0</v>
      </c>
      <c r="AI16" s="6">
        <v>0.0</v>
      </c>
      <c r="AJ16" s="6">
        <v>200000.0</v>
      </c>
      <c r="AK16" s="6">
        <v>0.0</v>
      </c>
      <c r="AL16" s="6">
        <v>0.0</v>
      </c>
      <c r="AM16" s="6">
        <v>175780.0</v>
      </c>
      <c r="AN16" s="6">
        <v>0.0</v>
      </c>
      <c r="AO16" s="6">
        <v>0.0</v>
      </c>
      <c r="AP16" s="6">
        <v>0.0</v>
      </c>
      <c r="AQ16" s="6">
        <v>0.0</v>
      </c>
      <c r="AR16" s="6">
        <v>0.0</v>
      </c>
      <c r="AS16" s="6">
        <v>0.0</v>
      </c>
      <c r="AT16" s="6">
        <f t="shared" ref="AT16:AV16" si="85">+AN16+AQ16+AH16+AK16</f>
        <v>0</v>
      </c>
      <c r="AU16" s="6">
        <f t="shared" si="85"/>
        <v>0</v>
      </c>
      <c r="AV16" s="6">
        <f t="shared" si="85"/>
        <v>375780</v>
      </c>
      <c r="AW16" s="6">
        <v>0.0</v>
      </c>
      <c r="AX16" s="6">
        <v>0.0</v>
      </c>
      <c r="AY16" s="6">
        <v>0.0</v>
      </c>
      <c r="AZ16" s="6">
        <v>0.0</v>
      </c>
      <c r="BA16" s="6">
        <v>0.0</v>
      </c>
      <c r="BB16" s="6">
        <v>0.0</v>
      </c>
      <c r="BC16" s="6">
        <v>0.0</v>
      </c>
      <c r="BD16" s="6">
        <v>0.0</v>
      </c>
      <c r="BE16" s="6">
        <v>0.0</v>
      </c>
      <c r="BF16" s="6">
        <v>0.0</v>
      </c>
      <c r="BG16" s="6">
        <v>0.0</v>
      </c>
      <c r="BH16" s="6">
        <v>0.0</v>
      </c>
      <c r="BI16" s="6">
        <f t="shared" ref="BI16:BK16" si="86">+BC16+BF16+AW16+AZ16</f>
        <v>0</v>
      </c>
      <c r="BJ16" s="6">
        <f t="shared" si="86"/>
        <v>0</v>
      </c>
      <c r="BK16" s="6">
        <f t="shared" si="86"/>
        <v>0</v>
      </c>
      <c r="BL16" s="6">
        <v>0.0</v>
      </c>
      <c r="BM16" s="6">
        <v>0.0</v>
      </c>
      <c r="BN16" s="6">
        <v>0.0</v>
      </c>
      <c r="BO16" s="6">
        <v>0.0</v>
      </c>
      <c r="BP16" s="6">
        <v>0.0</v>
      </c>
      <c r="BQ16" s="6">
        <v>0.0</v>
      </c>
      <c r="BR16" s="6">
        <v>0.0</v>
      </c>
      <c r="BS16" s="6">
        <v>0.0</v>
      </c>
      <c r="BT16" s="6">
        <v>0.0</v>
      </c>
      <c r="BU16" s="6" t="str">
        <f t="shared" ref="BU16:BW16" si="87">+BO16+BR16+#REF!+BL16</f>
        <v>#REF!</v>
      </c>
      <c r="BV16" s="6" t="str">
        <f t="shared" si="87"/>
        <v>#REF!</v>
      </c>
      <c r="BW16" s="6" t="str">
        <f t="shared" si="87"/>
        <v>#REF!</v>
      </c>
      <c r="BX16" s="6">
        <v>0.0</v>
      </c>
      <c r="BY16" s="6">
        <v>0.0</v>
      </c>
      <c r="BZ16" s="6">
        <v>0.0</v>
      </c>
      <c r="CA16" s="6">
        <v>0.0</v>
      </c>
      <c r="CB16" s="6">
        <v>0.0</v>
      </c>
      <c r="CC16" s="6">
        <v>0.0</v>
      </c>
      <c r="CD16" s="6">
        <v>0.0</v>
      </c>
      <c r="CE16" s="6">
        <v>0.0</v>
      </c>
      <c r="CF16" s="6">
        <v>0.0</v>
      </c>
      <c r="CG16" s="6" t="str">
        <f t="shared" ref="CG16:CI16" si="88">+CA16+CD16+BX16+#REF!</f>
        <v>#REF!</v>
      </c>
      <c r="CH16" s="6" t="str">
        <f t="shared" si="88"/>
        <v>#REF!</v>
      </c>
      <c r="CI16" s="6" t="str">
        <f t="shared" si="88"/>
        <v>#REF!</v>
      </c>
      <c r="CJ16" s="6">
        <v>0.0</v>
      </c>
      <c r="CK16" s="6">
        <v>0.0</v>
      </c>
      <c r="CL16" s="6">
        <v>0.0</v>
      </c>
      <c r="CM16" s="6">
        <v>0.0</v>
      </c>
      <c r="CN16" s="6">
        <v>0.0</v>
      </c>
      <c r="CO16" s="6">
        <v>0.0</v>
      </c>
      <c r="CP16" s="6">
        <v>0.0</v>
      </c>
      <c r="CQ16" s="6">
        <v>0.0</v>
      </c>
      <c r="CR16" s="6">
        <v>0.0</v>
      </c>
      <c r="CS16" s="6">
        <v>0.0</v>
      </c>
      <c r="CT16" s="6">
        <v>0.0</v>
      </c>
      <c r="CU16" s="6">
        <v>0.0</v>
      </c>
      <c r="CV16" s="6">
        <f t="shared" ref="CV16:CX16" si="89">+CP16+CS16+CJ16+CM16</f>
        <v>0</v>
      </c>
      <c r="CW16" s="6">
        <f t="shared" si="89"/>
        <v>0</v>
      </c>
      <c r="CX16" s="6">
        <f t="shared" si="89"/>
        <v>0</v>
      </c>
      <c r="CY16" s="6">
        <v>0.0</v>
      </c>
      <c r="CZ16" s="6">
        <v>0.0</v>
      </c>
      <c r="DA16" s="6">
        <v>0.0</v>
      </c>
      <c r="DB16" s="6">
        <v>0.0</v>
      </c>
      <c r="DC16" s="6">
        <v>0.0</v>
      </c>
      <c r="DD16" s="6">
        <v>0.0</v>
      </c>
      <c r="DE16" s="6">
        <v>0.0</v>
      </c>
      <c r="DF16" s="6">
        <v>0.0</v>
      </c>
      <c r="DG16" s="6">
        <v>0.0</v>
      </c>
      <c r="DH16" s="6">
        <v>0.0</v>
      </c>
      <c r="DI16" s="6">
        <v>0.0</v>
      </c>
      <c r="DJ16" s="6">
        <v>0.0</v>
      </c>
      <c r="DK16" s="6">
        <f t="shared" ref="DK16:DM16" si="90">+DE16+DH16+CY16+DB16</f>
        <v>0</v>
      </c>
      <c r="DL16" s="6">
        <f t="shared" si="90"/>
        <v>0</v>
      </c>
      <c r="DM16" s="6">
        <f t="shared" si="90"/>
        <v>0</v>
      </c>
      <c r="DN16" s="6" t="str">
        <f t="shared" ref="DN16:DP16" si="91">+P16+AE16+AT16+BI16+BU16+CG16+CV16</f>
        <v>#REF!</v>
      </c>
      <c r="DO16" s="6" t="str">
        <f t="shared" si="91"/>
        <v>#REF!</v>
      </c>
      <c r="DP16" s="6" t="str">
        <f t="shared" si="91"/>
        <v>#REF!</v>
      </c>
      <c r="DQ16" s="6" t="str">
        <f t="shared" si="19"/>
        <v>#REF!</v>
      </c>
    </row>
    <row r="17" ht="13.5" customHeight="1">
      <c r="A17" s="30">
        <v>44376.0</v>
      </c>
      <c r="B17" s="31" t="s">
        <v>128</v>
      </c>
      <c r="C17" s="31" t="s">
        <v>129</v>
      </c>
      <c r="D17" s="29" t="s">
        <v>130</v>
      </c>
      <c r="E17" s="2" t="s">
        <v>131</v>
      </c>
      <c r="F17" s="11" t="s">
        <v>94</v>
      </c>
      <c r="G17" s="11" t="s">
        <v>4</v>
      </c>
      <c r="H17" s="5">
        <v>-837974.0</v>
      </c>
      <c r="I17" s="5">
        <v>-837974.0</v>
      </c>
      <c r="J17" s="6">
        <v>0.0</v>
      </c>
      <c r="K17" s="6">
        <v>0.0</v>
      </c>
      <c r="L17" s="6">
        <v>0.0</v>
      </c>
      <c r="M17" s="5">
        <v>-837974.0</v>
      </c>
      <c r="N17" s="5">
        <v>-837974.0</v>
      </c>
      <c r="O17" s="6">
        <v>0.0</v>
      </c>
      <c r="P17" s="6">
        <f t="shared" ref="P17:R17" si="92">+J17+M17</f>
        <v>-837974</v>
      </c>
      <c r="Q17" s="6">
        <f t="shared" si="92"/>
        <v>-837974</v>
      </c>
      <c r="R17" s="6">
        <f t="shared" si="92"/>
        <v>0</v>
      </c>
      <c r="S17" s="6">
        <v>0.0</v>
      </c>
      <c r="T17" s="6">
        <v>0.0</v>
      </c>
      <c r="U17" s="6">
        <v>0.0</v>
      </c>
      <c r="V17" s="6">
        <v>0.0</v>
      </c>
      <c r="W17" s="6">
        <v>0.0</v>
      </c>
      <c r="X17" s="6">
        <v>714249.0</v>
      </c>
      <c r="Y17" s="6">
        <v>0.0</v>
      </c>
      <c r="Z17" s="6">
        <v>0.0</v>
      </c>
      <c r="AA17" s="6">
        <v>0.0</v>
      </c>
      <c r="AB17" s="6">
        <v>0.0</v>
      </c>
      <c r="AC17" s="6">
        <v>0.0</v>
      </c>
      <c r="AD17" s="6">
        <v>200000.0</v>
      </c>
      <c r="AE17" s="6">
        <f t="shared" ref="AE17:AG17" si="93">+Y17+AB17+S17+V17</f>
        <v>0</v>
      </c>
      <c r="AF17" s="6">
        <f t="shared" si="93"/>
        <v>0</v>
      </c>
      <c r="AG17" s="6">
        <f t="shared" si="93"/>
        <v>914249</v>
      </c>
      <c r="AH17" s="6">
        <v>0.0</v>
      </c>
      <c r="AI17" s="6">
        <v>0.0</v>
      </c>
      <c r="AJ17" s="6">
        <v>700000.0</v>
      </c>
      <c r="AK17" s="6">
        <v>0.0</v>
      </c>
      <c r="AL17" s="6">
        <v>0.0</v>
      </c>
      <c r="AM17" s="6">
        <v>180919.25</v>
      </c>
      <c r="AN17" s="6">
        <v>0.0</v>
      </c>
      <c r="AO17" s="6">
        <v>0.0</v>
      </c>
      <c r="AP17" s="6">
        <v>0.0</v>
      </c>
      <c r="AQ17" s="6">
        <v>0.0</v>
      </c>
      <c r="AR17" s="6">
        <v>0.0</v>
      </c>
      <c r="AS17" s="6">
        <v>542757.75</v>
      </c>
      <c r="AT17" s="6">
        <f t="shared" ref="AT17:AV17" si="94">+AN17+AQ17+AH17+AK17</f>
        <v>0</v>
      </c>
      <c r="AU17" s="6">
        <f t="shared" si="94"/>
        <v>0</v>
      </c>
      <c r="AV17" s="6">
        <f t="shared" si="94"/>
        <v>1423677</v>
      </c>
      <c r="AW17" s="6">
        <v>0.0</v>
      </c>
      <c r="AX17" s="6">
        <v>0.0</v>
      </c>
      <c r="AY17" s="6">
        <v>0.0</v>
      </c>
      <c r="AZ17" s="6">
        <v>0.0</v>
      </c>
      <c r="BA17" s="6">
        <v>0.0</v>
      </c>
      <c r="BB17" s="6">
        <v>0.0</v>
      </c>
      <c r="BC17" s="6">
        <v>0.0</v>
      </c>
      <c r="BD17" s="6">
        <v>0.0</v>
      </c>
      <c r="BE17" s="6">
        <v>0.0</v>
      </c>
      <c r="BF17" s="6">
        <v>0.0</v>
      </c>
      <c r="BG17" s="6">
        <v>0.0</v>
      </c>
      <c r="BH17" s="6">
        <v>0.0</v>
      </c>
      <c r="BI17" s="6">
        <f t="shared" ref="BI17:BK17" si="95">+BC17+BF17+AW17+AZ17</f>
        <v>0</v>
      </c>
      <c r="BJ17" s="6">
        <f t="shared" si="95"/>
        <v>0</v>
      </c>
      <c r="BK17" s="6">
        <f t="shared" si="95"/>
        <v>0</v>
      </c>
      <c r="BL17" s="6">
        <v>0.0</v>
      </c>
      <c r="BM17" s="6">
        <v>0.0</v>
      </c>
      <c r="BN17" s="6">
        <v>0.0</v>
      </c>
      <c r="BO17" s="6">
        <v>0.0</v>
      </c>
      <c r="BP17" s="6">
        <v>0.0</v>
      </c>
      <c r="BQ17" s="6">
        <v>0.0</v>
      </c>
      <c r="BR17" s="6">
        <v>0.0</v>
      </c>
      <c r="BS17" s="6">
        <v>0.0</v>
      </c>
      <c r="BT17" s="6">
        <v>0.0</v>
      </c>
      <c r="BU17" s="6" t="str">
        <f t="shared" ref="BU17:BW17" si="96">+BO17+BR17+#REF!+BL17</f>
        <v>#REF!</v>
      </c>
      <c r="BV17" s="6" t="str">
        <f t="shared" si="96"/>
        <v>#REF!</v>
      </c>
      <c r="BW17" s="6" t="str">
        <f t="shared" si="96"/>
        <v>#REF!</v>
      </c>
      <c r="BX17" s="6">
        <v>0.0</v>
      </c>
      <c r="BY17" s="6">
        <v>0.0</v>
      </c>
      <c r="BZ17" s="6">
        <v>0.0</v>
      </c>
      <c r="CA17" s="6">
        <v>0.0</v>
      </c>
      <c r="CB17" s="6">
        <v>0.0</v>
      </c>
      <c r="CC17" s="6">
        <v>0.0</v>
      </c>
      <c r="CD17" s="6">
        <v>0.0</v>
      </c>
      <c r="CE17" s="6">
        <v>0.0</v>
      </c>
      <c r="CF17" s="6">
        <v>0.0</v>
      </c>
      <c r="CG17" s="6" t="str">
        <f t="shared" ref="CG17:CI17" si="97">+CA17+CD17+BX17+#REF!</f>
        <v>#REF!</v>
      </c>
      <c r="CH17" s="6" t="str">
        <f t="shared" si="97"/>
        <v>#REF!</v>
      </c>
      <c r="CI17" s="6" t="str">
        <f t="shared" si="97"/>
        <v>#REF!</v>
      </c>
      <c r="CJ17" s="6">
        <v>0.0</v>
      </c>
      <c r="CK17" s="6">
        <v>0.0</v>
      </c>
      <c r="CL17" s="6">
        <v>0.0</v>
      </c>
      <c r="CM17" s="6">
        <v>0.0</v>
      </c>
      <c r="CN17" s="6">
        <v>0.0</v>
      </c>
      <c r="CO17" s="6">
        <v>0.0</v>
      </c>
      <c r="CP17" s="6">
        <v>0.0</v>
      </c>
      <c r="CQ17" s="6">
        <v>0.0</v>
      </c>
      <c r="CR17" s="6">
        <v>0.0</v>
      </c>
      <c r="CS17" s="6">
        <v>0.0</v>
      </c>
      <c r="CT17" s="6">
        <v>0.0</v>
      </c>
      <c r="CU17" s="6">
        <v>0.0</v>
      </c>
      <c r="CV17" s="6">
        <f t="shared" ref="CV17:CX17" si="98">+CP17+CS17+CJ17+CM17</f>
        <v>0</v>
      </c>
      <c r="CW17" s="6">
        <f t="shared" si="98"/>
        <v>0</v>
      </c>
      <c r="CX17" s="6">
        <f t="shared" si="98"/>
        <v>0</v>
      </c>
      <c r="CY17" s="6">
        <v>0.0</v>
      </c>
      <c r="CZ17" s="6">
        <v>0.0</v>
      </c>
      <c r="DA17" s="6">
        <v>0.0</v>
      </c>
      <c r="DB17" s="6">
        <v>0.0</v>
      </c>
      <c r="DC17" s="6">
        <v>0.0</v>
      </c>
      <c r="DD17" s="6">
        <v>0.0</v>
      </c>
      <c r="DE17" s="6">
        <v>0.0</v>
      </c>
      <c r="DF17" s="6">
        <v>0.0</v>
      </c>
      <c r="DG17" s="6">
        <v>0.0</v>
      </c>
      <c r="DH17" s="6">
        <v>0.0</v>
      </c>
      <c r="DI17" s="6">
        <v>0.0</v>
      </c>
      <c r="DJ17" s="6">
        <v>0.0</v>
      </c>
      <c r="DK17" s="6">
        <f t="shared" ref="DK17:DM17" si="99">+DE17+DH17+CY17+DB17</f>
        <v>0</v>
      </c>
      <c r="DL17" s="6">
        <f t="shared" si="99"/>
        <v>0</v>
      </c>
      <c r="DM17" s="6">
        <f t="shared" si="99"/>
        <v>0</v>
      </c>
      <c r="DN17" s="6" t="str">
        <f t="shared" ref="DN17:DP17" si="100">+P17+AE17+AT17+BI17+BU17+CG17+CV17</f>
        <v>#REF!</v>
      </c>
      <c r="DO17" s="6" t="str">
        <f t="shared" si="100"/>
        <v>#REF!</v>
      </c>
      <c r="DP17" s="6" t="str">
        <f t="shared" si="100"/>
        <v>#REF!</v>
      </c>
      <c r="DQ17" s="6" t="str">
        <f t="shared" si="19"/>
        <v>#REF!</v>
      </c>
    </row>
    <row r="18" ht="13.5" customHeight="1">
      <c r="A18" s="30">
        <v>44076.0</v>
      </c>
      <c r="B18" s="31" t="s">
        <v>132</v>
      </c>
      <c r="C18" s="31" t="s">
        <v>129</v>
      </c>
      <c r="D18" s="29" t="s">
        <v>130</v>
      </c>
      <c r="E18" s="2" t="s">
        <v>133</v>
      </c>
      <c r="F18" s="11" t="s">
        <v>134</v>
      </c>
      <c r="G18" s="11" t="s">
        <v>4</v>
      </c>
      <c r="H18" s="5">
        <v>3175900.0</v>
      </c>
      <c r="I18" s="5">
        <v>3175900.0</v>
      </c>
      <c r="J18" s="6">
        <v>0.0</v>
      </c>
      <c r="K18" s="6">
        <v>0.0</v>
      </c>
      <c r="L18" s="6">
        <v>0.0</v>
      </c>
      <c r="M18" s="5">
        <v>3175900.0</v>
      </c>
      <c r="N18" s="5">
        <v>3175900.0</v>
      </c>
      <c r="O18" s="6">
        <v>0.0</v>
      </c>
      <c r="P18" s="6">
        <f t="shared" ref="P18:R18" si="101">+J18+M18</f>
        <v>3175900</v>
      </c>
      <c r="Q18" s="6">
        <f t="shared" si="101"/>
        <v>3175900</v>
      </c>
      <c r="R18" s="6">
        <f t="shared" si="101"/>
        <v>0</v>
      </c>
      <c r="S18" s="6">
        <v>0.0</v>
      </c>
      <c r="T18" s="6">
        <v>0.0</v>
      </c>
      <c r="U18" s="6">
        <v>0.0</v>
      </c>
      <c r="V18" s="6">
        <v>0.0</v>
      </c>
      <c r="W18" s="6">
        <v>0.0</v>
      </c>
      <c r="X18" s="6">
        <v>0.0</v>
      </c>
      <c r="Y18" s="6">
        <v>0.0</v>
      </c>
      <c r="Z18" s="6">
        <v>0.0</v>
      </c>
      <c r="AA18" s="6">
        <v>0.0</v>
      </c>
      <c r="AB18" s="6">
        <v>0.0</v>
      </c>
      <c r="AC18" s="6">
        <v>0.0</v>
      </c>
      <c r="AD18" s="6">
        <v>0.0</v>
      </c>
      <c r="AE18" s="6">
        <f t="shared" ref="AE18:AG18" si="102">+Y18+AB18+S18+V18</f>
        <v>0</v>
      </c>
      <c r="AF18" s="6">
        <f t="shared" si="102"/>
        <v>0</v>
      </c>
      <c r="AG18" s="6">
        <f t="shared" si="102"/>
        <v>0</v>
      </c>
      <c r="AH18" s="6">
        <v>0.0</v>
      </c>
      <c r="AI18" s="6">
        <v>0.0</v>
      </c>
      <c r="AJ18" s="6">
        <v>0.0</v>
      </c>
      <c r="AK18" s="6">
        <v>0.0</v>
      </c>
      <c r="AL18" s="6">
        <v>0.0</v>
      </c>
      <c r="AM18" s="6">
        <v>0.0</v>
      </c>
      <c r="AN18" s="6">
        <v>0.0</v>
      </c>
      <c r="AO18" s="6">
        <v>0.0</v>
      </c>
      <c r="AP18" s="6">
        <v>0.0</v>
      </c>
      <c r="AQ18" s="6">
        <v>0.0</v>
      </c>
      <c r="AR18" s="6">
        <v>0.0</v>
      </c>
      <c r="AS18" s="6">
        <v>0.0</v>
      </c>
      <c r="AT18" s="6">
        <f t="shared" ref="AT18:AV18" si="103">+AN18+AQ18+AH18+AK18</f>
        <v>0</v>
      </c>
      <c r="AU18" s="6">
        <f t="shared" si="103"/>
        <v>0</v>
      </c>
      <c r="AV18" s="6">
        <f t="shared" si="103"/>
        <v>0</v>
      </c>
      <c r="AW18" s="6">
        <v>0.0</v>
      </c>
      <c r="AX18" s="6">
        <v>0.0</v>
      </c>
      <c r="AY18" s="6">
        <v>0.0</v>
      </c>
      <c r="AZ18" s="6">
        <v>0.0</v>
      </c>
      <c r="BA18" s="6">
        <v>0.0</v>
      </c>
      <c r="BB18" s="6">
        <v>0.0</v>
      </c>
      <c r="BC18" s="6">
        <v>0.0</v>
      </c>
      <c r="BD18" s="6">
        <v>0.0</v>
      </c>
      <c r="BE18" s="6">
        <v>0.0</v>
      </c>
      <c r="BF18" s="6">
        <v>0.0</v>
      </c>
      <c r="BG18" s="6">
        <v>0.0</v>
      </c>
      <c r="BH18" s="6">
        <v>0.0</v>
      </c>
      <c r="BI18" s="6">
        <f t="shared" ref="BI18:BK18" si="104">+BC18+BF18+AW18+AZ18</f>
        <v>0</v>
      </c>
      <c r="BJ18" s="6">
        <f t="shared" si="104"/>
        <v>0</v>
      </c>
      <c r="BK18" s="6">
        <f t="shared" si="104"/>
        <v>0</v>
      </c>
      <c r="BL18" s="6">
        <v>0.0</v>
      </c>
      <c r="BM18" s="6">
        <v>0.0</v>
      </c>
      <c r="BN18" s="6">
        <v>0.0</v>
      </c>
      <c r="BO18" s="6">
        <v>0.0</v>
      </c>
      <c r="BP18" s="6">
        <v>0.0</v>
      </c>
      <c r="BQ18" s="6">
        <v>0.0</v>
      </c>
      <c r="BR18" s="6">
        <v>0.0</v>
      </c>
      <c r="BS18" s="6">
        <v>0.0</v>
      </c>
      <c r="BT18" s="6">
        <v>0.0</v>
      </c>
      <c r="BU18" s="6" t="str">
        <f t="shared" ref="BU18:BW18" si="105">+BO18+BR18+#REF!+BL18</f>
        <v>#REF!</v>
      </c>
      <c r="BV18" s="6" t="str">
        <f t="shared" si="105"/>
        <v>#REF!</v>
      </c>
      <c r="BW18" s="6" t="str">
        <f t="shared" si="105"/>
        <v>#REF!</v>
      </c>
      <c r="BX18" s="6">
        <v>0.0</v>
      </c>
      <c r="BY18" s="6">
        <v>0.0</v>
      </c>
      <c r="BZ18" s="6">
        <v>0.0</v>
      </c>
      <c r="CA18" s="6">
        <v>0.0</v>
      </c>
      <c r="CB18" s="6">
        <v>0.0</v>
      </c>
      <c r="CC18" s="6">
        <v>0.0</v>
      </c>
      <c r="CD18" s="6">
        <v>0.0</v>
      </c>
      <c r="CE18" s="6">
        <v>0.0</v>
      </c>
      <c r="CF18" s="6">
        <v>0.0</v>
      </c>
      <c r="CG18" s="6" t="str">
        <f t="shared" ref="CG18:CI18" si="106">+CA18+CD18+BX18+#REF!</f>
        <v>#REF!</v>
      </c>
      <c r="CH18" s="6" t="str">
        <f t="shared" si="106"/>
        <v>#REF!</v>
      </c>
      <c r="CI18" s="6" t="str">
        <f t="shared" si="106"/>
        <v>#REF!</v>
      </c>
      <c r="CJ18" s="6">
        <v>0.0</v>
      </c>
      <c r="CK18" s="6">
        <v>0.0</v>
      </c>
      <c r="CL18" s="6">
        <v>0.0</v>
      </c>
      <c r="CM18" s="6">
        <v>0.0</v>
      </c>
      <c r="CN18" s="6">
        <v>0.0</v>
      </c>
      <c r="CO18" s="6">
        <v>0.0</v>
      </c>
      <c r="CP18" s="6">
        <v>0.0</v>
      </c>
      <c r="CQ18" s="6">
        <v>0.0</v>
      </c>
      <c r="CR18" s="6">
        <v>0.0</v>
      </c>
      <c r="CS18" s="6">
        <v>0.0</v>
      </c>
      <c r="CT18" s="6">
        <v>0.0</v>
      </c>
      <c r="CU18" s="6">
        <v>0.0</v>
      </c>
      <c r="CV18" s="6">
        <f t="shared" ref="CV18:CX18" si="107">+CP18+CS18+CJ18+CM18</f>
        <v>0</v>
      </c>
      <c r="CW18" s="6">
        <f t="shared" si="107"/>
        <v>0</v>
      </c>
      <c r="CX18" s="6">
        <f t="shared" si="107"/>
        <v>0</v>
      </c>
      <c r="CY18" s="6">
        <v>0.0</v>
      </c>
      <c r="CZ18" s="6">
        <v>0.0</v>
      </c>
      <c r="DA18" s="6">
        <v>0.0</v>
      </c>
      <c r="DB18" s="6">
        <v>0.0</v>
      </c>
      <c r="DC18" s="6">
        <v>0.0</v>
      </c>
      <c r="DD18" s="6">
        <v>0.0</v>
      </c>
      <c r="DE18" s="6">
        <v>0.0</v>
      </c>
      <c r="DF18" s="6">
        <v>0.0</v>
      </c>
      <c r="DG18" s="6">
        <v>0.0</v>
      </c>
      <c r="DH18" s="6">
        <v>0.0</v>
      </c>
      <c r="DI18" s="6">
        <v>0.0</v>
      </c>
      <c r="DJ18" s="6">
        <v>0.0</v>
      </c>
      <c r="DK18" s="6">
        <f t="shared" ref="DK18:DM18" si="108">+DE18+DH18+CY18+DB18</f>
        <v>0</v>
      </c>
      <c r="DL18" s="6">
        <f t="shared" si="108"/>
        <v>0</v>
      </c>
      <c r="DM18" s="6">
        <f t="shared" si="108"/>
        <v>0</v>
      </c>
      <c r="DN18" s="6" t="str">
        <f t="shared" ref="DN18:DP18" si="109">+P18+AE18+AT18+BI18+BU18+CG18+CV18</f>
        <v>#REF!</v>
      </c>
      <c r="DO18" s="6" t="str">
        <f t="shared" si="109"/>
        <v>#REF!</v>
      </c>
      <c r="DP18" s="6" t="str">
        <f t="shared" si="109"/>
        <v>#REF!</v>
      </c>
      <c r="DQ18" s="6" t="str">
        <f t="shared" si="19"/>
        <v>#REF!</v>
      </c>
    </row>
    <row r="19" ht="13.5" customHeight="1">
      <c r="A19" s="11">
        <v>44172.0</v>
      </c>
      <c r="B19" s="2" t="s">
        <v>135</v>
      </c>
      <c r="C19" s="2" t="s">
        <v>136</v>
      </c>
      <c r="D19" s="29" t="s">
        <v>137</v>
      </c>
      <c r="E19" s="2" t="s">
        <v>138</v>
      </c>
      <c r="F19" s="11" t="s">
        <v>139</v>
      </c>
      <c r="G19" s="11" t="s">
        <v>5</v>
      </c>
      <c r="H19" s="5">
        <v>368522.0</v>
      </c>
      <c r="I19" s="5">
        <v>368522.0</v>
      </c>
      <c r="J19" s="6">
        <v>0.0</v>
      </c>
      <c r="K19" s="6">
        <v>0.0</v>
      </c>
      <c r="L19" s="6">
        <v>0.0</v>
      </c>
      <c r="M19" s="6">
        <v>0.0</v>
      </c>
      <c r="N19" s="6">
        <v>0.0</v>
      </c>
      <c r="O19" s="6">
        <v>0.0</v>
      </c>
      <c r="P19" s="6">
        <f t="shared" ref="P19:R19" si="110">+J19+M19</f>
        <v>0</v>
      </c>
      <c r="Q19" s="6">
        <f t="shared" si="110"/>
        <v>0</v>
      </c>
      <c r="R19" s="6">
        <f t="shared" si="110"/>
        <v>0</v>
      </c>
      <c r="S19" s="5">
        <v>368522.0</v>
      </c>
      <c r="T19" s="5">
        <v>368522.0</v>
      </c>
      <c r="U19" s="6">
        <v>0.0</v>
      </c>
      <c r="V19" s="6">
        <v>0.0</v>
      </c>
      <c r="W19" s="6">
        <v>0.0</v>
      </c>
      <c r="X19" s="6">
        <v>357000.0</v>
      </c>
      <c r="Y19" s="6">
        <v>0.0</v>
      </c>
      <c r="Z19" s="6">
        <v>0.0</v>
      </c>
      <c r="AA19" s="6">
        <v>0.0</v>
      </c>
      <c r="AB19" s="6">
        <v>0.0</v>
      </c>
      <c r="AC19" s="6">
        <v>0.0</v>
      </c>
      <c r="AD19" s="6">
        <v>11522.0</v>
      </c>
      <c r="AE19" s="6">
        <f t="shared" ref="AE19:AG19" si="111">+Y19+AB19+S19+V19</f>
        <v>368522</v>
      </c>
      <c r="AF19" s="6">
        <f t="shared" si="111"/>
        <v>368522</v>
      </c>
      <c r="AG19" s="6">
        <f t="shared" si="111"/>
        <v>368522</v>
      </c>
      <c r="AH19" s="6">
        <v>0.0</v>
      </c>
      <c r="AI19" s="6">
        <v>0.0</v>
      </c>
      <c r="AJ19" s="6">
        <v>0.0</v>
      </c>
      <c r="AK19" s="6">
        <v>0.0</v>
      </c>
      <c r="AL19" s="6">
        <v>0.0</v>
      </c>
      <c r="AM19" s="6">
        <v>0.0</v>
      </c>
      <c r="AN19" s="6">
        <v>0.0</v>
      </c>
      <c r="AO19" s="6">
        <v>0.0</v>
      </c>
      <c r="AP19" s="6">
        <v>0.0</v>
      </c>
      <c r="AQ19" s="6">
        <v>0.0</v>
      </c>
      <c r="AR19" s="6">
        <v>0.0</v>
      </c>
      <c r="AS19" s="6">
        <v>0.0</v>
      </c>
      <c r="AT19" s="6">
        <f t="shared" ref="AT19:AV19" si="112">+AN19+AQ19+AH19+AK19</f>
        <v>0</v>
      </c>
      <c r="AU19" s="6">
        <f t="shared" si="112"/>
        <v>0</v>
      </c>
      <c r="AV19" s="6">
        <f t="shared" si="112"/>
        <v>0</v>
      </c>
      <c r="AW19" s="6">
        <v>0.0</v>
      </c>
      <c r="AX19" s="6">
        <v>0.0</v>
      </c>
      <c r="AY19" s="6">
        <v>0.0</v>
      </c>
      <c r="AZ19" s="6">
        <v>0.0</v>
      </c>
      <c r="BA19" s="6">
        <v>0.0</v>
      </c>
      <c r="BB19" s="6">
        <v>0.0</v>
      </c>
      <c r="BC19" s="6">
        <v>0.0</v>
      </c>
      <c r="BD19" s="6">
        <v>0.0</v>
      </c>
      <c r="BE19" s="6">
        <v>0.0</v>
      </c>
      <c r="BF19" s="6">
        <v>0.0</v>
      </c>
      <c r="BG19" s="6">
        <v>0.0</v>
      </c>
      <c r="BH19" s="6">
        <v>0.0</v>
      </c>
      <c r="BI19" s="6">
        <f t="shared" ref="BI19:BK19" si="113">+BC19+BF19+AW19+AZ19</f>
        <v>0</v>
      </c>
      <c r="BJ19" s="6">
        <f t="shared" si="113"/>
        <v>0</v>
      </c>
      <c r="BK19" s="6">
        <f t="shared" si="113"/>
        <v>0</v>
      </c>
      <c r="BL19" s="6">
        <v>0.0</v>
      </c>
      <c r="BM19" s="6">
        <v>0.0</v>
      </c>
      <c r="BN19" s="6">
        <v>0.0</v>
      </c>
      <c r="BO19" s="6">
        <v>0.0</v>
      </c>
      <c r="BP19" s="6">
        <v>0.0</v>
      </c>
      <c r="BQ19" s="6">
        <v>0.0</v>
      </c>
      <c r="BR19" s="6">
        <v>0.0</v>
      </c>
      <c r="BS19" s="6">
        <v>0.0</v>
      </c>
      <c r="BT19" s="6">
        <v>0.0</v>
      </c>
      <c r="BU19" s="6" t="str">
        <f t="shared" ref="BU19:BW19" si="114">+BO19+BR19+#REF!+BL19</f>
        <v>#REF!</v>
      </c>
      <c r="BV19" s="6" t="str">
        <f t="shared" si="114"/>
        <v>#REF!</v>
      </c>
      <c r="BW19" s="6" t="str">
        <f t="shared" si="114"/>
        <v>#REF!</v>
      </c>
      <c r="BX19" s="6">
        <v>0.0</v>
      </c>
      <c r="BY19" s="6">
        <v>0.0</v>
      </c>
      <c r="BZ19" s="6">
        <v>0.0</v>
      </c>
      <c r="CA19" s="6">
        <v>0.0</v>
      </c>
      <c r="CB19" s="6">
        <v>0.0</v>
      </c>
      <c r="CC19" s="6">
        <v>0.0</v>
      </c>
      <c r="CD19" s="6">
        <v>0.0</v>
      </c>
      <c r="CE19" s="6">
        <v>0.0</v>
      </c>
      <c r="CF19" s="6">
        <v>0.0</v>
      </c>
      <c r="CG19" s="6" t="str">
        <f t="shared" ref="CG19:CI19" si="115">+CA19+CD19+BX19+#REF!</f>
        <v>#REF!</v>
      </c>
      <c r="CH19" s="6" t="str">
        <f t="shared" si="115"/>
        <v>#REF!</v>
      </c>
      <c r="CI19" s="6" t="str">
        <f t="shared" si="115"/>
        <v>#REF!</v>
      </c>
      <c r="CJ19" s="6">
        <v>0.0</v>
      </c>
      <c r="CK19" s="6">
        <v>0.0</v>
      </c>
      <c r="CL19" s="6">
        <v>0.0</v>
      </c>
      <c r="CM19" s="6">
        <v>0.0</v>
      </c>
      <c r="CN19" s="6">
        <v>0.0</v>
      </c>
      <c r="CO19" s="6">
        <v>0.0</v>
      </c>
      <c r="CP19" s="6">
        <v>0.0</v>
      </c>
      <c r="CQ19" s="6">
        <v>0.0</v>
      </c>
      <c r="CR19" s="6">
        <v>0.0</v>
      </c>
      <c r="CS19" s="6">
        <v>0.0</v>
      </c>
      <c r="CT19" s="6">
        <v>0.0</v>
      </c>
      <c r="CU19" s="6">
        <v>0.0</v>
      </c>
      <c r="CV19" s="6">
        <f t="shared" ref="CV19:CX19" si="116">+CP19+CS19+CJ19+CM19</f>
        <v>0</v>
      </c>
      <c r="CW19" s="6">
        <f t="shared" si="116"/>
        <v>0</v>
      </c>
      <c r="CX19" s="6">
        <f t="shared" si="116"/>
        <v>0</v>
      </c>
      <c r="CY19" s="6">
        <v>0.0</v>
      </c>
      <c r="CZ19" s="6">
        <v>0.0</v>
      </c>
      <c r="DA19" s="6">
        <v>0.0</v>
      </c>
      <c r="DB19" s="6">
        <v>0.0</v>
      </c>
      <c r="DC19" s="6">
        <v>0.0</v>
      </c>
      <c r="DD19" s="6">
        <v>0.0</v>
      </c>
      <c r="DE19" s="6">
        <v>0.0</v>
      </c>
      <c r="DF19" s="6">
        <v>0.0</v>
      </c>
      <c r="DG19" s="6">
        <v>0.0</v>
      </c>
      <c r="DH19" s="6">
        <v>0.0</v>
      </c>
      <c r="DI19" s="6">
        <v>0.0</v>
      </c>
      <c r="DJ19" s="6">
        <v>0.0</v>
      </c>
      <c r="DK19" s="6">
        <f t="shared" ref="DK19:DM19" si="117">+DE19+DH19+CY19+DB19</f>
        <v>0</v>
      </c>
      <c r="DL19" s="6">
        <f t="shared" si="117"/>
        <v>0</v>
      </c>
      <c r="DM19" s="6">
        <f t="shared" si="117"/>
        <v>0</v>
      </c>
      <c r="DN19" s="6" t="str">
        <f t="shared" ref="DN19:DP19" si="118">+P19+AE19+AT19+BI19+BU19+CG19+CV19</f>
        <v>#REF!</v>
      </c>
      <c r="DO19" s="6" t="str">
        <f t="shared" si="118"/>
        <v>#REF!</v>
      </c>
      <c r="DP19" s="6" t="str">
        <f t="shared" si="118"/>
        <v>#REF!</v>
      </c>
      <c r="DQ19" s="6" t="str">
        <f t="shared" si="19"/>
        <v>#REF!</v>
      </c>
    </row>
    <row r="20" ht="13.5" customHeight="1">
      <c r="A20" s="11">
        <v>44084.0</v>
      </c>
      <c r="B20" s="2" t="s">
        <v>140</v>
      </c>
      <c r="C20" s="2" t="s">
        <v>141</v>
      </c>
      <c r="D20" s="29" t="s">
        <v>142</v>
      </c>
      <c r="E20" s="2" t="s">
        <v>143</v>
      </c>
      <c r="F20" s="11" t="s">
        <v>144</v>
      </c>
      <c r="G20" s="11" t="s">
        <v>4</v>
      </c>
      <c r="H20" s="5">
        <v>500000.0</v>
      </c>
      <c r="I20" s="5">
        <v>500000.0</v>
      </c>
      <c r="J20" s="6">
        <v>0.0</v>
      </c>
      <c r="K20" s="6">
        <v>0.0</v>
      </c>
      <c r="L20" s="6">
        <v>0.0</v>
      </c>
      <c r="M20" s="5">
        <v>500000.0</v>
      </c>
      <c r="N20" s="5">
        <v>500000.0</v>
      </c>
      <c r="O20" s="6">
        <v>0.0</v>
      </c>
      <c r="P20" s="6">
        <f t="shared" ref="P20:R20" si="119">+J20+M20</f>
        <v>500000</v>
      </c>
      <c r="Q20" s="6">
        <f t="shared" si="119"/>
        <v>500000</v>
      </c>
      <c r="R20" s="6">
        <f t="shared" si="119"/>
        <v>0</v>
      </c>
      <c r="S20" s="6">
        <v>0.0</v>
      </c>
      <c r="T20" s="6">
        <v>0.0</v>
      </c>
      <c r="U20" s="6">
        <v>0.0</v>
      </c>
      <c r="V20" s="6">
        <v>0.0</v>
      </c>
      <c r="W20" s="6">
        <v>0.0</v>
      </c>
      <c r="X20" s="6">
        <v>500000.0</v>
      </c>
      <c r="Y20" s="6">
        <v>0.0</v>
      </c>
      <c r="Z20" s="6">
        <v>0.0</v>
      </c>
      <c r="AA20" s="6">
        <v>0.0</v>
      </c>
      <c r="AB20" s="6">
        <v>0.0</v>
      </c>
      <c r="AC20" s="6">
        <v>0.0</v>
      </c>
      <c r="AD20" s="6">
        <v>0.0</v>
      </c>
      <c r="AE20" s="6">
        <f t="shared" ref="AE20:AG20" si="120">+Y20+AB20+S20+V20</f>
        <v>0</v>
      </c>
      <c r="AF20" s="6">
        <f t="shared" si="120"/>
        <v>0</v>
      </c>
      <c r="AG20" s="6">
        <f t="shared" si="120"/>
        <v>500000</v>
      </c>
      <c r="AH20" s="6">
        <v>0.0</v>
      </c>
      <c r="AI20" s="6">
        <v>0.0</v>
      </c>
      <c r="AJ20" s="6">
        <v>0.0</v>
      </c>
      <c r="AK20" s="6">
        <v>0.0</v>
      </c>
      <c r="AL20" s="6">
        <v>0.0</v>
      </c>
      <c r="AM20" s="6">
        <v>0.0</v>
      </c>
      <c r="AN20" s="6">
        <v>0.0</v>
      </c>
      <c r="AO20" s="6">
        <v>0.0</v>
      </c>
      <c r="AP20" s="6">
        <v>0.0</v>
      </c>
      <c r="AQ20" s="6">
        <v>0.0</v>
      </c>
      <c r="AR20" s="6">
        <v>0.0</v>
      </c>
      <c r="AS20" s="6">
        <v>0.0</v>
      </c>
      <c r="AT20" s="6">
        <f t="shared" ref="AT20:AV20" si="121">+AN20+AQ20+AH20+AK20</f>
        <v>0</v>
      </c>
      <c r="AU20" s="6">
        <f t="shared" si="121"/>
        <v>0</v>
      </c>
      <c r="AV20" s="6">
        <f t="shared" si="121"/>
        <v>0</v>
      </c>
      <c r="AW20" s="6">
        <v>0.0</v>
      </c>
      <c r="AX20" s="6">
        <v>0.0</v>
      </c>
      <c r="AY20" s="6">
        <v>0.0</v>
      </c>
      <c r="AZ20" s="6">
        <v>0.0</v>
      </c>
      <c r="BA20" s="6">
        <v>0.0</v>
      </c>
      <c r="BB20" s="6">
        <v>0.0</v>
      </c>
      <c r="BC20" s="6">
        <v>0.0</v>
      </c>
      <c r="BD20" s="6">
        <v>0.0</v>
      </c>
      <c r="BE20" s="6">
        <v>0.0</v>
      </c>
      <c r="BF20" s="6">
        <v>0.0</v>
      </c>
      <c r="BG20" s="6">
        <v>0.0</v>
      </c>
      <c r="BH20" s="6">
        <v>0.0</v>
      </c>
      <c r="BI20" s="6">
        <f t="shared" ref="BI20:BK20" si="122">+BC20+BF20+AW20+AZ20</f>
        <v>0</v>
      </c>
      <c r="BJ20" s="6">
        <f t="shared" si="122"/>
        <v>0</v>
      </c>
      <c r="BK20" s="6">
        <f t="shared" si="122"/>
        <v>0</v>
      </c>
      <c r="BL20" s="6">
        <v>0.0</v>
      </c>
      <c r="BM20" s="6">
        <v>0.0</v>
      </c>
      <c r="BN20" s="6">
        <v>0.0</v>
      </c>
      <c r="BO20" s="6">
        <v>0.0</v>
      </c>
      <c r="BP20" s="6">
        <v>0.0</v>
      </c>
      <c r="BQ20" s="6">
        <v>0.0</v>
      </c>
      <c r="BR20" s="6">
        <v>0.0</v>
      </c>
      <c r="BS20" s="6">
        <v>0.0</v>
      </c>
      <c r="BT20" s="6">
        <v>0.0</v>
      </c>
      <c r="BU20" s="6" t="str">
        <f t="shared" ref="BU20:BW20" si="123">+BO20+BR20+#REF!+BL20</f>
        <v>#REF!</v>
      </c>
      <c r="BV20" s="6" t="str">
        <f t="shared" si="123"/>
        <v>#REF!</v>
      </c>
      <c r="BW20" s="6" t="str">
        <f t="shared" si="123"/>
        <v>#REF!</v>
      </c>
      <c r="BX20" s="6">
        <v>0.0</v>
      </c>
      <c r="BY20" s="6">
        <v>0.0</v>
      </c>
      <c r="BZ20" s="6">
        <v>0.0</v>
      </c>
      <c r="CA20" s="6">
        <v>0.0</v>
      </c>
      <c r="CB20" s="6">
        <v>0.0</v>
      </c>
      <c r="CC20" s="6">
        <v>0.0</v>
      </c>
      <c r="CD20" s="6">
        <v>0.0</v>
      </c>
      <c r="CE20" s="6">
        <v>0.0</v>
      </c>
      <c r="CF20" s="6">
        <v>0.0</v>
      </c>
      <c r="CG20" s="6" t="str">
        <f t="shared" ref="CG20:CI20" si="124">+CA20+CD20+BX20+#REF!</f>
        <v>#REF!</v>
      </c>
      <c r="CH20" s="6" t="str">
        <f t="shared" si="124"/>
        <v>#REF!</v>
      </c>
      <c r="CI20" s="6" t="str">
        <f t="shared" si="124"/>
        <v>#REF!</v>
      </c>
      <c r="CJ20" s="6">
        <v>0.0</v>
      </c>
      <c r="CK20" s="6">
        <v>0.0</v>
      </c>
      <c r="CL20" s="6">
        <v>0.0</v>
      </c>
      <c r="CM20" s="6">
        <v>0.0</v>
      </c>
      <c r="CN20" s="6">
        <v>0.0</v>
      </c>
      <c r="CO20" s="6">
        <v>0.0</v>
      </c>
      <c r="CP20" s="6">
        <v>0.0</v>
      </c>
      <c r="CQ20" s="6">
        <v>0.0</v>
      </c>
      <c r="CR20" s="6">
        <v>0.0</v>
      </c>
      <c r="CS20" s="6">
        <v>0.0</v>
      </c>
      <c r="CT20" s="6">
        <v>0.0</v>
      </c>
      <c r="CU20" s="6">
        <v>0.0</v>
      </c>
      <c r="CV20" s="6">
        <f t="shared" ref="CV20:CX20" si="125">+CP20+CS20+CJ20+CM20</f>
        <v>0</v>
      </c>
      <c r="CW20" s="6">
        <f t="shared" si="125"/>
        <v>0</v>
      </c>
      <c r="CX20" s="6">
        <f t="shared" si="125"/>
        <v>0</v>
      </c>
      <c r="CY20" s="6">
        <v>0.0</v>
      </c>
      <c r="CZ20" s="6">
        <v>0.0</v>
      </c>
      <c r="DA20" s="6">
        <v>0.0</v>
      </c>
      <c r="DB20" s="6">
        <v>0.0</v>
      </c>
      <c r="DC20" s="6">
        <v>0.0</v>
      </c>
      <c r="DD20" s="6">
        <v>0.0</v>
      </c>
      <c r="DE20" s="6">
        <v>0.0</v>
      </c>
      <c r="DF20" s="6">
        <v>0.0</v>
      </c>
      <c r="DG20" s="6">
        <v>0.0</v>
      </c>
      <c r="DH20" s="6">
        <v>0.0</v>
      </c>
      <c r="DI20" s="6">
        <v>0.0</v>
      </c>
      <c r="DJ20" s="6">
        <v>0.0</v>
      </c>
      <c r="DK20" s="6">
        <f t="shared" ref="DK20:DM20" si="126">+DE20+DH20+CY20+DB20</f>
        <v>0</v>
      </c>
      <c r="DL20" s="6">
        <f t="shared" si="126"/>
        <v>0</v>
      </c>
      <c r="DM20" s="6">
        <f t="shared" si="126"/>
        <v>0</v>
      </c>
      <c r="DN20" s="6" t="str">
        <f t="shared" ref="DN20:DP20" si="127">+P20+AE20+AT20+BI20+BU20+CG20+CV20</f>
        <v>#REF!</v>
      </c>
      <c r="DO20" s="6" t="str">
        <f t="shared" si="127"/>
        <v>#REF!</v>
      </c>
      <c r="DP20" s="6" t="str">
        <f t="shared" si="127"/>
        <v>#REF!</v>
      </c>
      <c r="DQ20" s="6" t="str">
        <f t="shared" si="19"/>
        <v>#REF!</v>
      </c>
    </row>
    <row r="21" ht="13.5" customHeight="1">
      <c r="A21" s="11">
        <v>44130.0</v>
      </c>
      <c r="B21" s="2" t="s">
        <v>145</v>
      </c>
      <c r="C21" s="2" t="s">
        <v>146</v>
      </c>
      <c r="D21" s="29" t="s">
        <v>147</v>
      </c>
      <c r="E21" s="2" t="s">
        <v>148</v>
      </c>
      <c r="F21" s="11" t="s">
        <v>149</v>
      </c>
      <c r="G21" s="11" t="s">
        <v>5</v>
      </c>
      <c r="H21" s="5">
        <v>506000.0</v>
      </c>
      <c r="I21" s="5">
        <v>506000.0</v>
      </c>
      <c r="J21" s="6">
        <v>0.0</v>
      </c>
      <c r="K21" s="6">
        <v>0.0</v>
      </c>
      <c r="L21" s="6">
        <v>0.0</v>
      </c>
      <c r="M21" s="6">
        <v>0.0</v>
      </c>
      <c r="N21" s="6">
        <v>0.0</v>
      </c>
      <c r="O21" s="6">
        <v>0.0</v>
      </c>
      <c r="P21" s="6">
        <f t="shared" ref="P21:R21" si="128">+J21+M21</f>
        <v>0</v>
      </c>
      <c r="Q21" s="6">
        <f t="shared" si="128"/>
        <v>0</v>
      </c>
      <c r="R21" s="6">
        <f t="shared" si="128"/>
        <v>0</v>
      </c>
      <c r="S21" s="5">
        <v>506000.0</v>
      </c>
      <c r="T21" s="5">
        <v>506000.0</v>
      </c>
      <c r="U21" s="6">
        <v>0.0</v>
      </c>
      <c r="V21" s="6">
        <v>0.0</v>
      </c>
      <c r="W21" s="6">
        <v>0.0</v>
      </c>
      <c r="X21" s="6">
        <v>50000.0</v>
      </c>
      <c r="Y21" s="6">
        <v>0.0</v>
      </c>
      <c r="Z21" s="6">
        <v>0.0</v>
      </c>
      <c r="AA21" s="6">
        <v>0.0</v>
      </c>
      <c r="AB21" s="6">
        <v>0.0</v>
      </c>
      <c r="AC21" s="6">
        <v>0.0</v>
      </c>
      <c r="AD21" s="6">
        <v>200000.0</v>
      </c>
      <c r="AE21" s="6">
        <f t="shared" ref="AE21:AG21" si="129">+Y21+AB21+S21+V21</f>
        <v>506000</v>
      </c>
      <c r="AF21" s="6">
        <f t="shared" si="129"/>
        <v>506000</v>
      </c>
      <c r="AG21" s="6">
        <f t="shared" si="129"/>
        <v>250000</v>
      </c>
      <c r="AH21" s="6">
        <v>0.0</v>
      </c>
      <c r="AI21" s="6">
        <v>0.0</v>
      </c>
      <c r="AJ21" s="6">
        <v>0.0</v>
      </c>
      <c r="AK21" s="6">
        <v>0.0</v>
      </c>
      <c r="AL21" s="6">
        <v>0.0</v>
      </c>
      <c r="AM21" s="6">
        <v>128000.0</v>
      </c>
      <c r="AN21" s="6">
        <v>0.0</v>
      </c>
      <c r="AO21" s="6">
        <v>0.0</v>
      </c>
      <c r="AP21" s="6">
        <v>128000.0</v>
      </c>
      <c r="AQ21" s="6">
        <v>0.0</v>
      </c>
      <c r="AR21" s="6">
        <v>0.0</v>
      </c>
      <c r="AS21" s="6">
        <v>0.0</v>
      </c>
      <c r="AT21" s="6">
        <f t="shared" ref="AT21:AV21" si="130">+AN21+AQ21+AH21+AK21</f>
        <v>0</v>
      </c>
      <c r="AU21" s="6">
        <f t="shared" si="130"/>
        <v>0</v>
      </c>
      <c r="AV21" s="6">
        <f t="shared" si="130"/>
        <v>256000</v>
      </c>
      <c r="AW21" s="6">
        <v>0.0</v>
      </c>
      <c r="AX21" s="6">
        <v>0.0</v>
      </c>
      <c r="AY21" s="6">
        <v>0.0</v>
      </c>
      <c r="AZ21" s="6">
        <v>0.0</v>
      </c>
      <c r="BA21" s="6">
        <v>0.0</v>
      </c>
      <c r="BB21" s="6">
        <v>0.0</v>
      </c>
      <c r="BC21" s="6">
        <v>0.0</v>
      </c>
      <c r="BD21" s="6">
        <v>0.0</v>
      </c>
      <c r="BE21" s="6">
        <v>0.0</v>
      </c>
      <c r="BF21" s="6">
        <v>0.0</v>
      </c>
      <c r="BG21" s="6">
        <v>0.0</v>
      </c>
      <c r="BH21" s="6">
        <v>0.0</v>
      </c>
      <c r="BI21" s="6">
        <f t="shared" ref="BI21:BK21" si="131">+BC21+BF21+AW21+AZ21</f>
        <v>0</v>
      </c>
      <c r="BJ21" s="6">
        <f t="shared" si="131"/>
        <v>0</v>
      </c>
      <c r="BK21" s="6">
        <f t="shared" si="131"/>
        <v>0</v>
      </c>
      <c r="BL21" s="6">
        <v>0.0</v>
      </c>
      <c r="BM21" s="6">
        <v>0.0</v>
      </c>
      <c r="BN21" s="6">
        <v>0.0</v>
      </c>
      <c r="BO21" s="6">
        <v>0.0</v>
      </c>
      <c r="BP21" s="6">
        <v>0.0</v>
      </c>
      <c r="BQ21" s="6">
        <v>0.0</v>
      </c>
      <c r="BR21" s="6">
        <v>0.0</v>
      </c>
      <c r="BS21" s="6">
        <v>0.0</v>
      </c>
      <c r="BT21" s="6">
        <v>0.0</v>
      </c>
      <c r="BU21" s="6" t="str">
        <f t="shared" ref="BU21:BW21" si="132">+BO21+BR21+#REF!+BL21</f>
        <v>#REF!</v>
      </c>
      <c r="BV21" s="6" t="str">
        <f t="shared" si="132"/>
        <v>#REF!</v>
      </c>
      <c r="BW21" s="6" t="str">
        <f t="shared" si="132"/>
        <v>#REF!</v>
      </c>
      <c r="BX21" s="6">
        <v>0.0</v>
      </c>
      <c r="BY21" s="6">
        <v>0.0</v>
      </c>
      <c r="BZ21" s="6">
        <v>0.0</v>
      </c>
      <c r="CA21" s="6">
        <v>0.0</v>
      </c>
      <c r="CB21" s="6">
        <v>0.0</v>
      </c>
      <c r="CC21" s="6">
        <v>0.0</v>
      </c>
      <c r="CD21" s="6">
        <v>0.0</v>
      </c>
      <c r="CE21" s="6">
        <v>0.0</v>
      </c>
      <c r="CF21" s="6">
        <v>0.0</v>
      </c>
      <c r="CG21" s="6" t="str">
        <f t="shared" ref="CG21:CI21" si="133">+CA21+CD21+BX21+#REF!</f>
        <v>#REF!</v>
      </c>
      <c r="CH21" s="6" t="str">
        <f t="shared" si="133"/>
        <v>#REF!</v>
      </c>
      <c r="CI21" s="6" t="str">
        <f t="shared" si="133"/>
        <v>#REF!</v>
      </c>
      <c r="CJ21" s="6">
        <v>0.0</v>
      </c>
      <c r="CK21" s="6">
        <v>0.0</v>
      </c>
      <c r="CL21" s="6">
        <v>0.0</v>
      </c>
      <c r="CM21" s="6">
        <v>0.0</v>
      </c>
      <c r="CN21" s="6">
        <v>0.0</v>
      </c>
      <c r="CO21" s="6">
        <v>0.0</v>
      </c>
      <c r="CP21" s="6">
        <v>0.0</v>
      </c>
      <c r="CQ21" s="6">
        <v>0.0</v>
      </c>
      <c r="CR21" s="6">
        <v>0.0</v>
      </c>
      <c r="CS21" s="6">
        <v>0.0</v>
      </c>
      <c r="CT21" s="6">
        <v>0.0</v>
      </c>
      <c r="CU21" s="6">
        <v>0.0</v>
      </c>
      <c r="CV21" s="6">
        <f t="shared" ref="CV21:CX21" si="134">+CP21+CS21+CJ21+CM21</f>
        <v>0</v>
      </c>
      <c r="CW21" s="6">
        <f t="shared" si="134"/>
        <v>0</v>
      </c>
      <c r="CX21" s="6">
        <f t="shared" si="134"/>
        <v>0</v>
      </c>
      <c r="CY21" s="6">
        <v>0.0</v>
      </c>
      <c r="CZ21" s="6">
        <v>0.0</v>
      </c>
      <c r="DA21" s="6">
        <v>0.0</v>
      </c>
      <c r="DB21" s="6">
        <v>0.0</v>
      </c>
      <c r="DC21" s="6">
        <v>0.0</v>
      </c>
      <c r="DD21" s="6">
        <v>0.0</v>
      </c>
      <c r="DE21" s="6">
        <v>0.0</v>
      </c>
      <c r="DF21" s="6">
        <v>0.0</v>
      </c>
      <c r="DG21" s="6">
        <v>0.0</v>
      </c>
      <c r="DH21" s="6">
        <v>0.0</v>
      </c>
      <c r="DI21" s="6">
        <v>0.0</v>
      </c>
      <c r="DJ21" s="6">
        <v>0.0</v>
      </c>
      <c r="DK21" s="6">
        <f t="shared" ref="DK21:DM21" si="135">+DE21+DH21+CY21+DB21</f>
        <v>0</v>
      </c>
      <c r="DL21" s="6">
        <f t="shared" si="135"/>
        <v>0</v>
      </c>
      <c r="DM21" s="6">
        <f t="shared" si="135"/>
        <v>0</v>
      </c>
      <c r="DN21" s="6" t="str">
        <f t="shared" ref="DN21:DP21" si="136">+P21+AE21+AT21+BI21+BU21+CG21+CV21</f>
        <v>#REF!</v>
      </c>
      <c r="DO21" s="6" t="str">
        <f t="shared" si="136"/>
        <v>#REF!</v>
      </c>
      <c r="DP21" s="6" t="str">
        <f t="shared" si="136"/>
        <v>#REF!</v>
      </c>
      <c r="DQ21" s="6" t="str">
        <f t="shared" si="19"/>
        <v>#REF!</v>
      </c>
    </row>
    <row r="22" ht="13.5" customHeight="1">
      <c r="A22" s="11">
        <v>44134.0</v>
      </c>
      <c r="B22" s="2" t="s">
        <v>150</v>
      </c>
      <c r="C22" s="2" t="s">
        <v>151</v>
      </c>
      <c r="D22" s="29" t="s">
        <v>152</v>
      </c>
      <c r="E22" s="2" t="s">
        <v>153</v>
      </c>
      <c r="F22" s="11" t="s">
        <v>154</v>
      </c>
      <c r="G22" s="11" t="s">
        <v>5</v>
      </c>
      <c r="H22" s="5">
        <v>217425.0</v>
      </c>
      <c r="I22" s="5">
        <v>11425.0</v>
      </c>
      <c r="J22" s="6">
        <v>0.0</v>
      </c>
      <c r="K22" s="6">
        <v>0.0</v>
      </c>
      <c r="L22" s="6">
        <v>0.0</v>
      </c>
      <c r="M22" s="6">
        <v>0.0</v>
      </c>
      <c r="N22" s="6">
        <v>0.0</v>
      </c>
      <c r="O22" s="6">
        <v>0.0</v>
      </c>
      <c r="P22" s="6">
        <f t="shared" ref="P22:R22" si="137">+J22+M22</f>
        <v>0</v>
      </c>
      <c r="Q22" s="6">
        <f t="shared" si="137"/>
        <v>0</v>
      </c>
      <c r="R22" s="6">
        <f t="shared" si="137"/>
        <v>0</v>
      </c>
      <c r="S22" s="5">
        <v>217425.0</v>
      </c>
      <c r="T22" s="5">
        <v>11425.0</v>
      </c>
      <c r="U22" s="6">
        <v>0.0</v>
      </c>
      <c r="V22" s="6">
        <v>0.0</v>
      </c>
      <c r="W22" s="6">
        <v>0.0</v>
      </c>
      <c r="X22" s="6">
        <v>11425.0</v>
      </c>
      <c r="Y22" s="6">
        <v>0.0</v>
      </c>
      <c r="Z22" s="6">
        <v>0.0</v>
      </c>
      <c r="AA22" s="6">
        <v>0.0</v>
      </c>
      <c r="AB22" s="6">
        <v>0.0</v>
      </c>
      <c r="AC22" s="6">
        <v>0.0</v>
      </c>
      <c r="AD22" s="6">
        <v>0.0</v>
      </c>
      <c r="AE22" s="6">
        <f t="shared" ref="AE22:AG22" si="138">+Y22+AB22+S22+V22</f>
        <v>217425</v>
      </c>
      <c r="AF22" s="6">
        <f t="shared" si="138"/>
        <v>11425</v>
      </c>
      <c r="AG22" s="6">
        <f t="shared" si="138"/>
        <v>11425</v>
      </c>
      <c r="AH22" s="6">
        <v>0.0</v>
      </c>
      <c r="AI22" s="6">
        <v>0.0</v>
      </c>
      <c r="AJ22" s="6">
        <v>0.0</v>
      </c>
      <c r="AK22" s="6">
        <v>0.0</v>
      </c>
      <c r="AL22" s="6">
        <v>0.0</v>
      </c>
      <c r="AM22" s="6">
        <v>0.0</v>
      </c>
      <c r="AN22" s="6">
        <v>0.0</v>
      </c>
      <c r="AO22" s="6">
        <v>0.0</v>
      </c>
      <c r="AP22" s="6">
        <v>0.0</v>
      </c>
      <c r="AQ22" s="6">
        <v>0.0</v>
      </c>
      <c r="AR22" s="6">
        <v>0.0</v>
      </c>
      <c r="AS22" s="6">
        <v>0.0</v>
      </c>
      <c r="AT22" s="6">
        <f t="shared" ref="AT22:AV22" si="139">+AN22+AQ22+AH22+AK22</f>
        <v>0</v>
      </c>
      <c r="AU22" s="6">
        <f t="shared" si="139"/>
        <v>0</v>
      </c>
      <c r="AV22" s="6">
        <f t="shared" si="139"/>
        <v>0</v>
      </c>
      <c r="AW22" s="6">
        <v>0.0</v>
      </c>
      <c r="AX22" s="6">
        <v>0.0</v>
      </c>
      <c r="AY22" s="6">
        <v>0.0</v>
      </c>
      <c r="AZ22" s="6">
        <v>0.0</v>
      </c>
      <c r="BA22" s="6">
        <v>0.0</v>
      </c>
      <c r="BB22" s="6">
        <v>0.0</v>
      </c>
      <c r="BC22" s="6">
        <v>0.0</v>
      </c>
      <c r="BD22" s="6">
        <v>0.0</v>
      </c>
      <c r="BE22" s="6">
        <v>0.0</v>
      </c>
      <c r="BF22" s="6">
        <v>0.0</v>
      </c>
      <c r="BG22" s="6">
        <v>0.0</v>
      </c>
      <c r="BH22" s="6">
        <v>0.0</v>
      </c>
      <c r="BI22" s="6">
        <f t="shared" ref="BI22:BK22" si="140">+BC22+BF22+AW22+AZ22</f>
        <v>0</v>
      </c>
      <c r="BJ22" s="6">
        <f t="shared" si="140"/>
        <v>0</v>
      </c>
      <c r="BK22" s="6">
        <f t="shared" si="140"/>
        <v>0</v>
      </c>
      <c r="BL22" s="6">
        <v>0.0</v>
      </c>
      <c r="BM22" s="6">
        <v>0.0</v>
      </c>
      <c r="BN22" s="6">
        <v>0.0</v>
      </c>
      <c r="BO22" s="6">
        <v>0.0</v>
      </c>
      <c r="BP22" s="6">
        <v>0.0</v>
      </c>
      <c r="BQ22" s="6">
        <v>0.0</v>
      </c>
      <c r="BR22" s="6">
        <v>0.0</v>
      </c>
      <c r="BS22" s="6">
        <v>0.0</v>
      </c>
      <c r="BT22" s="6">
        <v>0.0</v>
      </c>
      <c r="BU22" s="6" t="str">
        <f t="shared" ref="BU22:BW22" si="141">+BO22+BR22+#REF!+BL22</f>
        <v>#REF!</v>
      </c>
      <c r="BV22" s="6" t="str">
        <f t="shared" si="141"/>
        <v>#REF!</v>
      </c>
      <c r="BW22" s="6" t="str">
        <f t="shared" si="141"/>
        <v>#REF!</v>
      </c>
      <c r="BX22" s="6">
        <v>0.0</v>
      </c>
      <c r="BY22" s="6">
        <v>0.0</v>
      </c>
      <c r="BZ22" s="6">
        <v>0.0</v>
      </c>
      <c r="CA22" s="6">
        <v>0.0</v>
      </c>
      <c r="CB22" s="6">
        <v>0.0</v>
      </c>
      <c r="CC22" s="6">
        <v>0.0</v>
      </c>
      <c r="CD22" s="6">
        <v>0.0</v>
      </c>
      <c r="CE22" s="6">
        <v>0.0</v>
      </c>
      <c r="CF22" s="6">
        <v>0.0</v>
      </c>
      <c r="CG22" s="6" t="str">
        <f t="shared" ref="CG22:CI22" si="142">+CA22+CD22+BX22+#REF!</f>
        <v>#REF!</v>
      </c>
      <c r="CH22" s="6" t="str">
        <f t="shared" si="142"/>
        <v>#REF!</v>
      </c>
      <c r="CI22" s="6" t="str">
        <f t="shared" si="142"/>
        <v>#REF!</v>
      </c>
      <c r="CJ22" s="6">
        <v>0.0</v>
      </c>
      <c r="CK22" s="6">
        <v>0.0</v>
      </c>
      <c r="CL22" s="6">
        <v>0.0</v>
      </c>
      <c r="CM22" s="6">
        <v>0.0</v>
      </c>
      <c r="CN22" s="6">
        <v>0.0</v>
      </c>
      <c r="CO22" s="6">
        <v>0.0</v>
      </c>
      <c r="CP22" s="6">
        <v>0.0</v>
      </c>
      <c r="CQ22" s="6">
        <v>0.0</v>
      </c>
      <c r="CR22" s="6">
        <v>0.0</v>
      </c>
      <c r="CS22" s="6">
        <v>0.0</v>
      </c>
      <c r="CT22" s="6">
        <v>0.0</v>
      </c>
      <c r="CU22" s="6">
        <v>0.0</v>
      </c>
      <c r="CV22" s="6">
        <f t="shared" ref="CV22:CX22" si="143">+CP22+CS22+CJ22+CM22</f>
        <v>0</v>
      </c>
      <c r="CW22" s="6">
        <f t="shared" si="143"/>
        <v>0</v>
      </c>
      <c r="CX22" s="6">
        <f t="shared" si="143"/>
        <v>0</v>
      </c>
      <c r="CY22" s="6">
        <v>0.0</v>
      </c>
      <c r="CZ22" s="6">
        <v>0.0</v>
      </c>
      <c r="DA22" s="6">
        <v>0.0</v>
      </c>
      <c r="DB22" s="6">
        <v>0.0</v>
      </c>
      <c r="DC22" s="6">
        <v>0.0</v>
      </c>
      <c r="DD22" s="6">
        <v>0.0</v>
      </c>
      <c r="DE22" s="6">
        <v>0.0</v>
      </c>
      <c r="DF22" s="6">
        <v>0.0</v>
      </c>
      <c r="DG22" s="6">
        <v>0.0</v>
      </c>
      <c r="DH22" s="6">
        <v>0.0</v>
      </c>
      <c r="DI22" s="6">
        <v>0.0</v>
      </c>
      <c r="DJ22" s="6">
        <v>0.0</v>
      </c>
      <c r="DK22" s="6">
        <f t="shared" ref="DK22:DM22" si="144">+DE22+DH22+CY22+DB22</f>
        <v>0</v>
      </c>
      <c r="DL22" s="6">
        <f t="shared" si="144"/>
        <v>0</v>
      </c>
      <c r="DM22" s="6">
        <f t="shared" si="144"/>
        <v>0</v>
      </c>
      <c r="DN22" s="6" t="str">
        <f t="shared" ref="DN22:DP22" si="145">+P22+AE22+AT22+BI22+BU22+CG22+CV22</f>
        <v>#REF!</v>
      </c>
      <c r="DO22" s="6" t="str">
        <f t="shared" si="145"/>
        <v>#REF!</v>
      </c>
      <c r="DP22" s="6" t="str">
        <f t="shared" si="145"/>
        <v>#REF!</v>
      </c>
      <c r="DQ22" s="6" t="str">
        <f t="shared" si="19"/>
        <v>#REF!</v>
      </c>
    </row>
    <row r="23" ht="13.5" customHeight="1">
      <c r="A23" s="11">
        <v>44134.0</v>
      </c>
      <c r="B23" s="2" t="s">
        <v>150</v>
      </c>
      <c r="C23" s="2" t="s">
        <v>151</v>
      </c>
      <c r="D23" s="29" t="s">
        <v>152</v>
      </c>
      <c r="E23" s="2" t="s">
        <v>153</v>
      </c>
      <c r="F23" s="11" t="s">
        <v>154</v>
      </c>
      <c r="G23" s="11" t="s">
        <v>5</v>
      </c>
      <c r="H23" s="5"/>
      <c r="I23" s="5">
        <v>206000.0</v>
      </c>
      <c r="J23" s="6">
        <v>0.0</v>
      </c>
      <c r="K23" s="6">
        <v>0.0</v>
      </c>
      <c r="L23" s="6">
        <v>0.0</v>
      </c>
      <c r="M23" s="6">
        <v>0.0</v>
      </c>
      <c r="N23" s="6">
        <v>0.0</v>
      </c>
      <c r="O23" s="6">
        <v>0.0</v>
      </c>
      <c r="P23" s="6">
        <f t="shared" ref="P23:R23" si="146">+J23+M23</f>
        <v>0</v>
      </c>
      <c r="Q23" s="6">
        <f t="shared" si="146"/>
        <v>0</v>
      </c>
      <c r="R23" s="6">
        <f t="shared" si="146"/>
        <v>0</v>
      </c>
      <c r="S23" s="5">
        <v>0.0</v>
      </c>
      <c r="T23" s="5">
        <v>206000.0</v>
      </c>
      <c r="U23" s="6">
        <v>0.0</v>
      </c>
      <c r="V23" s="6">
        <v>0.0</v>
      </c>
      <c r="W23" s="6">
        <v>0.0</v>
      </c>
      <c r="X23" s="6">
        <v>206000.0</v>
      </c>
      <c r="Y23" s="6">
        <v>0.0</v>
      </c>
      <c r="Z23" s="6">
        <v>0.0</v>
      </c>
      <c r="AA23" s="6">
        <v>0.0</v>
      </c>
      <c r="AB23" s="6">
        <v>0.0</v>
      </c>
      <c r="AC23" s="6">
        <v>0.0</v>
      </c>
      <c r="AD23" s="6">
        <v>0.0</v>
      </c>
      <c r="AE23" s="6">
        <f t="shared" ref="AE23:AG23" si="147">+Y23+AB23+S23+V23</f>
        <v>0</v>
      </c>
      <c r="AF23" s="6">
        <f t="shared" si="147"/>
        <v>206000</v>
      </c>
      <c r="AG23" s="6">
        <f t="shared" si="147"/>
        <v>206000</v>
      </c>
      <c r="AH23" s="6">
        <v>0.0</v>
      </c>
      <c r="AI23" s="6">
        <v>0.0</v>
      </c>
      <c r="AJ23" s="6">
        <v>0.0</v>
      </c>
      <c r="AK23" s="6">
        <v>0.0</v>
      </c>
      <c r="AL23" s="6">
        <v>0.0</v>
      </c>
      <c r="AM23" s="6">
        <v>0.0</v>
      </c>
      <c r="AN23" s="6">
        <v>0.0</v>
      </c>
      <c r="AO23" s="6">
        <v>0.0</v>
      </c>
      <c r="AP23" s="6">
        <v>0.0</v>
      </c>
      <c r="AQ23" s="6">
        <v>0.0</v>
      </c>
      <c r="AR23" s="6">
        <v>0.0</v>
      </c>
      <c r="AS23" s="6">
        <v>0.0</v>
      </c>
      <c r="AT23" s="6">
        <f t="shared" ref="AT23:AV23" si="148">+AN23+AQ23+AH23+AK23</f>
        <v>0</v>
      </c>
      <c r="AU23" s="6">
        <f t="shared" si="148"/>
        <v>0</v>
      </c>
      <c r="AV23" s="6">
        <f t="shared" si="148"/>
        <v>0</v>
      </c>
      <c r="AW23" s="6">
        <v>0.0</v>
      </c>
      <c r="AX23" s="6">
        <v>0.0</v>
      </c>
      <c r="AY23" s="6">
        <v>0.0</v>
      </c>
      <c r="AZ23" s="6">
        <v>0.0</v>
      </c>
      <c r="BA23" s="6">
        <v>0.0</v>
      </c>
      <c r="BB23" s="6">
        <v>0.0</v>
      </c>
      <c r="BC23" s="6">
        <v>0.0</v>
      </c>
      <c r="BD23" s="6">
        <v>0.0</v>
      </c>
      <c r="BE23" s="6">
        <v>0.0</v>
      </c>
      <c r="BF23" s="6">
        <v>0.0</v>
      </c>
      <c r="BG23" s="6">
        <v>0.0</v>
      </c>
      <c r="BH23" s="6">
        <v>0.0</v>
      </c>
      <c r="BI23" s="6">
        <f t="shared" ref="BI23:BK23" si="149">+BC23+BF23+AW23+AZ23</f>
        <v>0</v>
      </c>
      <c r="BJ23" s="6">
        <f t="shared" si="149"/>
        <v>0</v>
      </c>
      <c r="BK23" s="6">
        <f t="shared" si="149"/>
        <v>0</v>
      </c>
      <c r="BL23" s="6">
        <v>0.0</v>
      </c>
      <c r="BM23" s="6">
        <v>0.0</v>
      </c>
      <c r="BN23" s="6">
        <v>0.0</v>
      </c>
      <c r="BO23" s="6">
        <v>0.0</v>
      </c>
      <c r="BP23" s="6">
        <v>0.0</v>
      </c>
      <c r="BQ23" s="6">
        <v>0.0</v>
      </c>
      <c r="BR23" s="6">
        <v>0.0</v>
      </c>
      <c r="BS23" s="6">
        <v>0.0</v>
      </c>
      <c r="BT23" s="6">
        <v>0.0</v>
      </c>
      <c r="BU23" s="6" t="str">
        <f t="shared" ref="BU23:BW23" si="150">+BO23+BR23+#REF!+BL23</f>
        <v>#REF!</v>
      </c>
      <c r="BV23" s="6" t="str">
        <f t="shared" si="150"/>
        <v>#REF!</v>
      </c>
      <c r="BW23" s="6" t="str">
        <f t="shared" si="150"/>
        <v>#REF!</v>
      </c>
      <c r="BX23" s="6">
        <v>0.0</v>
      </c>
      <c r="BY23" s="6">
        <v>0.0</v>
      </c>
      <c r="BZ23" s="6">
        <v>0.0</v>
      </c>
      <c r="CA23" s="6">
        <v>0.0</v>
      </c>
      <c r="CB23" s="6">
        <v>0.0</v>
      </c>
      <c r="CC23" s="6">
        <v>0.0</v>
      </c>
      <c r="CD23" s="6">
        <v>0.0</v>
      </c>
      <c r="CE23" s="6">
        <v>0.0</v>
      </c>
      <c r="CF23" s="6">
        <v>0.0</v>
      </c>
      <c r="CG23" s="6" t="str">
        <f t="shared" ref="CG23:CI23" si="151">+CA23+CD23+BX23+#REF!</f>
        <v>#REF!</v>
      </c>
      <c r="CH23" s="6" t="str">
        <f t="shared" si="151"/>
        <v>#REF!</v>
      </c>
      <c r="CI23" s="6" t="str">
        <f t="shared" si="151"/>
        <v>#REF!</v>
      </c>
      <c r="CJ23" s="6">
        <v>0.0</v>
      </c>
      <c r="CK23" s="6">
        <v>0.0</v>
      </c>
      <c r="CL23" s="6">
        <v>0.0</v>
      </c>
      <c r="CM23" s="6">
        <v>0.0</v>
      </c>
      <c r="CN23" s="6">
        <v>0.0</v>
      </c>
      <c r="CO23" s="6">
        <v>0.0</v>
      </c>
      <c r="CP23" s="6">
        <v>0.0</v>
      </c>
      <c r="CQ23" s="6">
        <v>0.0</v>
      </c>
      <c r="CR23" s="6">
        <v>0.0</v>
      </c>
      <c r="CS23" s="6">
        <v>0.0</v>
      </c>
      <c r="CT23" s="6">
        <v>0.0</v>
      </c>
      <c r="CU23" s="6">
        <v>0.0</v>
      </c>
      <c r="CV23" s="6">
        <f t="shared" ref="CV23:CX23" si="152">+CP23+CS23+CJ23+CM23</f>
        <v>0</v>
      </c>
      <c r="CW23" s="6">
        <f t="shared" si="152"/>
        <v>0</v>
      </c>
      <c r="CX23" s="6">
        <f t="shared" si="152"/>
        <v>0</v>
      </c>
      <c r="CY23" s="6">
        <v>0.0</v>
      </c>
      <c r="CZ23" s="6">
        <v>0.0</v>
      </c>
      <c r="DA23" s="6">
        <v>0.0</v>
      </c>
      <c r="DB23" s="6">
        <v>0.0</v>
      </c>
      <c r="DC23" s="6">
        <v>0.0</v>
      </c>
      <c r="DD23" s="6">
        <v>0.0</v>
      </c>
      <c r="DE23" s="6">
        <v>0.0</v>
      </c>
      <c r="DF23" s="6">
        <v>0.0</v>
      </c>
      <c r="DG23" s="6">
        <v>0.0</v>
      </c>
      <c r="DH23" s="6">
        <v>0.0</v>
      </c>
      <c r="DI23" s="6">
        <v>0.0</v>
      </c>
      <c r="DJ23" s="6">
        <v>0.0</v>
      </c>
      <c r="DK23" s="6">
        <f t="shared" ref="DK23:DM23" si="153">+DE23+DH23+CY23+DB23</f>
        <v>0</v>
      </c>
      <c r="DL23" s="6">
        <f t="shared" si="153"/>
        <v>0</v>
      </c>
      <c r="DM23" s="6">
        <f t="shared" si="153"/>
        <v>0</v>
      </c>
      <c r="DN23" s="6" t="str">
        <f t="shared" ref="DN23:DP23" si="154">+P23+AE23+AT23+BI23+BU23+CG23+CV23</f>
        <v>#REF!</v>
      </c>
      <c r="DO23" s="6" t="str">
        <f t="shared" si="154"/>
        <v>#REF!</v>
      </c>
      <c r="DP23" s="6" t="str">
        <f t="shared" si="154"/>
        <v>#REF!</v>
      </c>
      <c r="DQ23" s="6" t="str">
        <f t="shared" si="19"/>
        <v>#REF!</v>
      </c>
    </row>
    <row r="24" ht="13.5" customHeight="1">
      <c r="A24" s="11">
        <v>44235.0</v>
      </c>
      <c r="B24" s="2" t="s">
        <v>155</v>
      </c>
      <c r="C24" s="2" t="s">
        <v>156</v>
      </c>
      <c r="D24" s="29" t="s">
        <v>157</v>
      </c>
      <c r="E24" s="2" t="s">
        <v>158</v>
      </c>
      <c r="F24" s="11" t="s">
        <v>159</v>
      </c>
      <c r="G24" s="11" t="s">
        <v>6</v>
      </c>
      <c r="H24" s="5">
        <v>175000.0</v>
      </c>
      <c r="I24" s="5">
        <v>175000.0</v>
      </c>
      <c r="J24" s="6">
        <v>0.0</v>
      </c>
      <c r="K24" s="6">
        <v>0.0</v>
      </c>
      <c r="L24" s="6">
        <v>0.0</v>
      </c>
      <c r="M24" s="6">
        <v>0.0</v>
      </c>
      <c r="N24" s="6">
        <v>0.0</v>
      </c>
      <c r="O24" s="6">
        <v>0.0</v>
      </c>
      <c r="P24" s="6">
        <f t="shared" ref="P24:R24" si="155">+J24+M24</f>
        <v>0</v>
      </c>
      <c r="Q24" s="6">
        <f t="shared" si="155"/>
        <v>0</v>
      </c>
      <c r="R24" s="6">
        <f t="shared" si="155"/>
        <v>0</v>
      </c>
      <c r="S24" s="6">
        <v>0.0</v>
      </c>
      <c r="T24" s="6">
        <v>0.0</v>
      </c>
      <c r="U24" s="6">
        <v>0.0</v>
      </c>
      <c r="V24" s="5">
        <v>175000.0</v>
      </c>
      <c r="W24" s="5">
        <v>175000.0</v>
      </c>
      <c r="X24" s="6">
        <v>50000.0</v>
      </c>
      <c r="Y24" s="6">
        <v>0.0</v>
      </c>
      <c r="Z24" s="6">
        <v>0.0</v>
      </c>
      <c r="AA24" s="6">
        <v>0.0</v>
      </c>
      <c r="AB24" s="6">
        <v>0.0</v>
      </c>
      <c r="AC24" s="6">
        <v>0.0</v>
      </c>
      <c r="AD24" s="6">
        <v>0.0</v>
      </c>
      <c r="AE24" s="6">
        <f t="shared" ref="AE24:AG24" si="156">+Y24+AB24+S24+V24</f>
        <v>175000</v>
      </c>
      <c r="AF24" s="6">
        <f t="shared" si="156"/>
        <v>175000</v>
      </c>
      <c r="AG24" s="6">
        <f t="shared" si="156"/>
        <v>50000</v>
      </c>
      <c r="AH24" s="6">
        <v>0.0</v>
      </c>
      <c r="AI24" s="6">
        <v>0.0</v>
      </c>
      <c r="AJ24" s="6">
        <v>0.0</v>
      </c>
      <c r="AK24" s="6">
        <v>0.0</v>
      </c>
      <c r="AL24" s="6">
        <v>0.0</v>
      </c>
      <c r="AM24" s="6">
        <v>50000.0</v>
      </c>
      <c r="AN24" s="6">
        <v>0.0</v>
      </c>
      <c r="AO24" s="6">
        <v>0.0</v>
      </c>
      <c r="AP24" s="6">
        <v>75000.0</v>
      </c>
      <c r="AQ24" s="6">
        <v>0.0</v>
      </c>
      <c r="AR24" s="6">
        <v>0.0</v>
      </c>
      <c r="AS24" s="6">
        <v>0.0</v>
      </c>
      <c r="AT24" s="6">
        <f t="shared" ref="AT24:AV24" si="157">+AN24+AQ24+AH24+AK24</f>
        <v>0</v>
      </c>
      <c r="AU24" s="6">
        <f t="shared" si="157"/>
        <v>0</v>
      </c>
      <c r="AV24" s="6">
        <f t="shared" si="157"/>
        <v>125000</v>
      </c>
      <c r="AW24" s="6">
        <v>0.0</v>
      </c>
      <c r="AX24" s="6">
        <v>0.0</v>
      </c>
      <c r="AY24" s="6">
        <v>0.0</v>
      </c>
      <c r="AZ24" s="6">
        <v>0.0</v>
      </c>
      <c r="BA24" s="6">
        <v>0.0</v>
      </c>
      <c r="BB24" s="6">
        <v>0.0</v>
      </c>
      <c r="BC24" s="6">
        <v>0.0</v>
      </c>
      <c r="BD24" s="6">
        <v>0.0</v>
      </c>
      <c r="BE24" s="6">
        <v>0.0</v>
      </c>
      <c r="BF24" s="6">
        <v>0.0</v>
      </c>
      <c r="BG24" s="6">
        <v>0.0</v>
      </c>
      <c r="BH24" s="6">
        <v>0.0</v>
      </c>
      <c r="BI24" s="6">
        <f t="shared" ref="BI24:BK24" si="158">+BC24+BF24+AW24+AZ24</f>
        <v>0</v>
      </c>
      <c r="BJ24" s="6">
        <f t="shared" si="158"/>
        <v>0</v>
      </c>
      <c r="BK24" s="6">
        <f t="shared" si="158"/>
        <v>0</v>
      </c>
      <c r="BL24" s="6">
        <v>0.0</v>
      </c>
      <c r="BM24" s="6">
        <v>0.0</v>
      </c>
      <c r="BN24" s="6">
        <v>0.0</v>
      </c>
      <c r="BO24" s="6">
        <v>0.0</v>
      </c>
      <c r="BP24" s="6">
        <v>0.0</v>
      </c>
      <c r="BQ24" s="6">
        <v>0.0</v>
      </c>
      <c r="BR24" s="6">
        <v>0.0</v>
      </c>
      <c r="BS24" s="6">
        <v>0.0</v>
      </c>
      <c r="BT24" s="6">
        <v>0.0</v>
      </c>
      <c r="BU24" s="6" t="str">
        <f t="shared" ref="BU24:BW24" si="159">+BO24+BR24+#REF!+BL24</f>
        <v>#REF!</v>
      </c>
      <c r="BV24" s="6" t="str">
        <f t="shared" si="159"/>
        <v>#REF!</v>
      </c>
      <c r="BW24" s="6" t="str">
        <f t="shared" si="159"/>
        <v>#REF!</v>
      </c>
      <c r="BX24" s="6">
        <v>0.0</v>
      </c>
      <c r="BY24" s="6">
        <v>0.0</v>
      </c>
      <c r="BZ24" s="6">
        <v>0.0</v>
      </c>
      <c r="CA24" s="6">
        <v>0.0</v>
      </c>
      <c r="CB24" s="6">
        <v>0.0</v>
      </c>
      <c r="CC24" s="6">
        <v>0.0</v>
      </c>
      <c r="CD24" s="6">
        <v>0.0</v>
      </c>
      <c r="CE24" s="6">
        <v>0.0</v>
      </c>
      <c r="CF24" s="6">
        <v>0.0</v>
      </c>
      <c r="CG24" s="6" t="str">
        <f t="shared" ref="CG24:CI24" si="160">+CA24+CD24+BX24+#REF!</f>
        <v>#REF!</v>
      </c>
      <c r="CH24" s="6" t="str">
        <f t="shared" si="160"/>
        <v>#REF!</v>
      </c>
      <c r="CI24" s="6" t="str">
        <f t="shared" si="160"/>
        <v>#REF!</v>
      </c>
      <c r="CJ24" s="6">
        <v>0.0</v>
      </c>
      <c r="CK24" s="6">
        <v>0.0</v>
      </c>
      <c r="CL24" s="6">
        <v>0.0</v>
      </c>
      <c r="CM24" s="6">
        <v>0.0</v>
      </c>
      <c r="CN24" s="6">
        <v>0.0</v>
      </c>
      <c r="CO24" s="6">
        <v>0.0</v>
      </c>
      <c r="CP24" s="6">
        <v>0.0</v>
      </c>
      <c r="CQ24" s="6">
        <v>0.0</v>
      </c>
      <c r="CR24" s="6">
        <v>0.0</v>
      </c>
      <c r="CS24" s="6">
        <v>0.0</v>
      </c>
      <c r="CT24" s="6">
        <v>0.0</v>
      </c>
      <c r="CU24" s="6">
        <v>0.0</v>
      </c>
      <c r="CV24" s="6">
        <f t="shared" ref="CV24:CX24" si="161">+CP24+CS24+CJ24+CM24</f>
        <v>0</v>
      </c>
      <c r="CW24" s="6">
        <f t="shared" si="161"/>
        <v>0</v>
      </c>
      <c r="CX24" s="6">
        <f t="shared" si="161"/>
        <v>0</v>
      </c>
      <c r="CY24" s="6">
        <v>0.0</v>
      </c>
      <c r="CZ24" s="6">
        <v>0.0</v>
      </c>
      <c r="DA24" s="6">
        <v>0.0</v>
      </c>
      <c r="DB24" s="6">
        <v>0.0</v>
      </c>
      <c r="DC24" s="6">
        <v>0.0</v>
      </c>
      <c r="DD24" s="6">
        <v>0.0</v>
      </c>
      <c r="DE24" s="6">
        <v>0.0</v>
      </c>
      <c r="DF24" s="6">
        <v>0.0</v>
      </c>
      <c r="DG24" s="6">
        <v>0.0</v>
      </c>
      <c r="DH24" s="6">
        <v>0.0</v>
      </c>
      <c r="DI24" s="6">
        <v>0.0</v>
      </c>
      <c r="DJ24" s="6">
        <v>0.0</v>
      </c>
      <c r="DK24" s="6">
        <f t="shared" ref="DK24:DM24" si="162">+DE24+DH24+CY24+DB24</f>
        <v>0</v>
      </c>
      <c r="DL24" s="6">
        <f t="shared" si="162"/>
        <v>0</v>
      </c>
      <c r="DM24" s="6">
        <f t="shared" si="162"/>
        <v>0</v>
      </c>
      <c r="DN24" s="6" t="str">
        <f t="shared" ref="DN24:DP24" si="163">+P24+AE24+AT24+BI24+BU24+CG24+CV24</f>
        <v>#REF!</v>
      </c>
      <c r="DO24" s="6" t="str">
        <f t="shared" si="163"/>
        <v>#REF!</v>
      </c>
      <c r="DP24" s="6" t="str">
        <f t="shared" si="163"/>
        <v>#REF!</v>
      </c>
      <c r="DQ24" s="6" t="str">
        <f t="shared" si="19"/>
        <v>#REF!</v>
      </c>
    </row>
    <row r="25" ht="13.5" customHeight="1">
      <c r="A25" s="11">
        <v>44098.0</v>
      </c>
      <c r="B25" s="2" t="s">
        <v>160</v>
      </c>
      <c r="C25" s="2" t="s">
        <v>161</v>
      </c>
      <c r="D25" s="29" t="s">
        <v>162</v>
      </c>
      <c r="E25" s="2" t="s">
        <v>163</v>
      </c>
      <c r="F25" s="11" t="s">
        <v>164</v>
      </c>
      <c r="G25" s="11" t="s">
        <v>5</v>
      </c>
      <c r="H25" s="5">
        <v>5314000.0</v>
      </c>
      <c r="I25" s="5">
        <v>5314000.0</v>
      </c>
      <c r="J25" s="6">
        <v>0.0</v>
      </c>
      <c r="K25" s="6">
        <v>0.0</v>
      </c>
      <c r="L25" s="6">
        <v>0.0</v>
      </c>
      <c r="M25" s="6">
        <v>0.0</v>
      </c>
      <c r="N25" s="6">
        <v>0.0</v>
      </c>
      <c r="O25" s="6">
        <v>0.0</v>
      </c>
      <c r="P25" s="6">
        <f t="shared" ref="P25:R25" si="164">+J25+M25</f>
        <v>0</v>
      </c>
      <c r="Q25" s="6">
        <f t="shared" si="164"/>
        <v>0</v>
      </c>
      <c r="R25" s="6">
        <f t="shared" si="164"/>
        <v>0</v>
      </c>
      <c r="S25" s="5">
        <v>5314000.0</v>
      </c>
      <c r="T25" s="5">
        <v>5314000.0</v>
      </c>
      <c r="U25" s="6">
        <v>0.0</v>
      </c>
      <c r="V25" s="6">
        <v>0.0</v>
      </c>
      <c r="W25" s="6">
        <v>0.0</v>
      </c>
      <c r="X25" s="6">
        <v>961000.0</v>
      </c>
      <c r="Y25" s="6">
        <v>0.0</v>
      </c>
      <c r="Z25" s="6">
        <v>0.0</v>
      </c>
      <c r="AA25" s="6">
        <v>0.0</v>
      </c>
      <c r="AB25" s="6">
        <v>0.0</v>
      </c>
      <c r="AC25" s="6">
        <v>0.0</v>
      </c>
      <c r="AD25" s="6">
        <v>1500000.0</v>
      </c>
      <c r="AE25" s="6">
        <f t="shared" ref="AE25:AG25" si="165">+Y25+AB25+S25+V25</f>
        <v>5314000</v>
      </c>
      <c r="AF25" s="6">
        <f t="shared" si="165"/>
        <v>5314000</v>
      </c>
      <c r="AG25" s="6">
        <f t="shared" si="165"/>
        <v>2461000</v>
      </c>
      <c r="AH25" s="6">
        <v>0.0</v>
      </c>
      <c r="AI25" s="6">
        <v>0.0</v>
      </c>
      <c r="AJ25" s="6">
        <v>0.0</v>
      </c>
      <c r="AK25" s="6">
        <v>0.0</v>
      </c>
      <c r="AL25" s="6">
        <v>0.0</v>
      </c>
      <c r="AM25" s="6">
        <v>713250.0</v>
      </c>
      <c r="AN25" s="6">
        <v>0.0</v>
      </c>
      <c r="AO25" s="6">
        <v>0.0</v>
      </c>
      <c r="AP25" s="6">
        <v>0.0</v>
      </c>
      <c r="AQ25" s="6">
        <v>0.0</v>
      </c>
      <c r="AR25" s="6">
        <v>0.0</v>
      </c>
      <c r="AS25" s="6">
        <v>715000.0</v>
      </c>
      <c r="AT25" s="6">
        <f t="shared" ref="AT25:AV25" si="166">+AN25+AQ25+AH25+AK25</f>
        <v>0</v>
      </c>
      <c r="AU25" s="6">
        <f t="shared" si="166"/>
        <v>0</v>
      </c>
      <c r="AV25" s="6">
        <f t="shared" si="166"/>
        <v>1428250</v>
      </c>
      <c r="AW25" s="6">
        <v>0.0</v>
      </c>
      <c r="AX25" s="6">
        <v>0.0</v>
      </c>
      <c r="AY25" s="6">
        <v>712375.0</v>
      </c>
      <c r="AZ25" s="6">
        <v>0.0</v>
      </c>
      <c r="BA25" s="6">
        <v>0.0</v>
      </c>
      <c r="BB25" s="6">
        <v>712375.0</v>
      </c>
      <c r="BC25" s="6">
        <v>0.0</v>
      </c>
      <c r="BD25" s="6">
        <v>0.0</v>
      </c>
      <c r="BE25" s="6">
        <v>0.0</v>
      </c>
      <c r="BF25" s="6">
        <v>0.0</v>
      </c>
      <c r="BG25" s="6">
        <v>0.0</v>
      </c>
      <c r="BH25" s="6">
        <v>0.0</v>
      </c>
      <c r="BI25" s="6">
        <f t="shared" ref="BI25:BK25" si="167">+BC25+BF25+AW25+AZ25</f>
        <v>0</v>
      </c>
      <c r="BJ25" s="6">
        <f t="shared" si="167"/>
        <v>0</v>
      </c>
      <c r="BK25" s="6">
        <f t="shared" si="167"/>
        <v>1424750</v>
      </c>
      <c r="BL25" s="6">
        <v>0.0</v>
      </c>
      <c r="BM25" s="6">
        <v>0.0</v>
      </c>
      <c r="BN25" s="6">
        <v>0.0</v>
      </c>
      <c r="BO25" s="6">
        <v>0.0</v>
      </c>
      <c r="BP25" s="6">
        <v>0.0</v>
      </c>
      <c r="BQ25" s="6">
        <v>0.0</v>
      </c>
      <c r="BR25" s="6">
        <v>0.0</v>
      </c>
      <c r="BS25" s="6">
        <v>0.0</v>
      </c>
      <c r="BT25" s="6">
        <v>0.0</v>
      </c>
      <c r="BU25" s="6" t="str">
        <f t="shared" ref="BU25:BW25" si="168">+BO25+BR25+#REF!+BL25</f>
        <v>#REF!</v>
      </c>
      <c r="BV25" s="6" t="str">
        <f t="shared" si="168"/>
        <v>#REF!</v>
      </c>
      <c r="BW25" s="6" t="str">
        <f t="shared" si="168"/>
        <v>#REF!</v>
      </c>
      <c r="BX25" s="6">
        <v>0.0</v>
      </c>
      <c r="BY25" s="6">
        <v>0.0</v>
      </c>
      <c r="BZ25" s="6">
        <v>0.0</v>
      </c>
      <c r="CA25" s="6">
        <v>0.0</v>
      </c>
      <c r="CB25" s="6">
        <v>0.0</v>
      </c>
      <c r="CC25" s="6">
        <v>0.0</v>
      </c>
      <c r="CD25" s="6">
        <v>0.0</v>
      </c>
      <c r="CE25" s="6">
        <v>0.0</v>
      </c>
      <c r="CF25" s="6">
        <v>0.0</v>
      </c>
      <c r="CG25" s="6" t="str">
        <f t="shared" ref="CG25:CI25" si="169">+CA25+CD25+BX25+#REF!</f>
        <v>#REF!</v>
      </c>
      <c r="CH25" s="6" t="str">
        <f t="shared" si="169"/>
        <v>#REF!</v>
      </c>
      <c r="CI25" s="6" t="str">
        <f t="shared" si="169"/>
        <v>#REF!</v>
      </c>
      <c r="CJ25" s="6">
        <v>0.0</v>
      </c>
      <c r="CK25" s="6">
        <v>0.0</v>
      </c>
      <c r="CL25" s="6">
        <v>0.0</v>
      </c>
      <c r="CM25" s="6">
        <v>0.0</v>
      </c>
      <c r="CN25" s="6">
        <v>0.0</v>
      </c>
      <c r="CO25" s="6">
        <v>0.0</v>
      </c>
      <c r="CP25" s="6">
        <v>0.0</v>
      </c>
      <c r="CQ25" s="6">
        <v>0.0</v>
      </c>
      <c r="CR25" s="6">
        <v>0.0</v>
      </c>
      <c r="CS25" s="6">
        <v>0.0</v>
      </c>
      <c r="CT25" s="6">
        <v>0.0</v>
      </c>
      <c r="CU25" s="6">
        <v>0.0</v>
      </c>
      <c r="CV25" s="6">
        <f t="shared" ref="CV25:CX25" si="170">+CP25+CS25+CJ25+CM25</f>
        <v>0</v>
      </c>
      <c r="CW25" s="6">
        <f t="shared" si="170"/>
        <v>0</v>
      </c>
      <c r="CX25" s="6">
        <f t="shared" si="170"/>
        <v>0</v>
      </c>
      <c r="CY25" s="6">
        <v>0.0</v>
      </c>
      <c r="CZ25" s="6">
        <v>0.0</v>
      </c>
      <c r="DA25" s="6">
        <v>0.0</v>
      </c>
      <c r="DB25" s="6">
        <v>0.0</v>
      </c>
      <c r="DC25" s="6">
        <v>0.0</v>
      </c>
      <c r="DD25" s="6">
        <v>0.0</v>
      </c>
      <c r="DE25" s="6">
        <v>0.0</v>
      </c>
      <c r="DF25" s="6">
        <v>0.0</v>
      </c>
      <c r="DG25" s="6">
        <v>0.0</v>
      </c>
      <c r="DH25" s="6">
        <v>0.0</v>
      </c>
      <c r="DI25" s="6">
        <v>0.0</v>
      </c>
      <c r="DJ25" s="6">
        <v>0.0</v>
      </c>
      <c r="DK25" s="6">
        <f t="shared" ref="DK25:DM25" si="171">+DE25+DH25+CY25+DB25</f>
        <v>0</v>
      </c>
      <c r="DL25" s="6">
        <f t="shared" si="171"/>
        <v>0</v>
      </c>
      <c r="DM25" s="6">
        <f t="shared" si="171"/>
        <v>0</v>
      </c>
      <c r="DN25" s="6" t="str">
        <f t="shared" ref="DN25:DP25" si="172">+P25+AE25+AT25+BI25+BU25+CG25+CV25</f>
        <v>#REF!</v>
      </c>
      <c r="DO25" s="6" t="str">
        <f t="shared" si="172"/>
        <v>#REF!</v>
      </c>
      <c r="DP25" s="6" t="str">
        <f t="shared" si="172"/>
        <v>#REF!</v>
      </c>
      <c r="DQ25" s="6" t="str">
        <f t="shared" si="19"/>
        <v>#REF!</v>
      </c>
    </row>
    <row r="26" ht="13.5" customHeight="1">
      <c r="A26" s="11">
        <v>44154.0</v>
      </c>
      <c r="B26" s="2" t="s">
        <v>165</v>
      </c>
      <c r="C26" s="2" t="s">
        <v>166</v>
      </c>
      <c r="D26" s="29" t="s">
        <v>167</v>
      </c>
      <c r="E26" s="2" t="s">
        <v>168</v>
      </c>
      <c r="F26" s="11" t="s">
        <v>169</v>
      </c>
      <c r="G26" s="11" t="s">
        <v>5</v>
      </c>
      <c r="H26" s="5">
        <v>1750000.0</v>
      </c>
      <c r="I26" s="5">
        <v>875000.0</v>
      </c>
      <c r="J26" s="6">
        <v>0.0</v>
      </c>
      <c r="K26" s="6">
        <v>0.0</v>
      </c>
      <c r="L26" s="6">
        <v>0.0</v>
      </c>
      <c r="M26" s="6">
        <v>0.0</v>
      </c>
      <c r="N26" s="6">
        <v>0.0</v>
      </c>
      <c r="O26" s="6">
        <v>0.0</v>
      </c>
      <c r="P26" s="6">
        <f t="shared" ref="P26:R26" si="173">+J26+M26</f>
        <v>0</v>
      </c>
      <c r="Q26" s="6">
        <f t="shared" si="173"/>
        <v>0</v>
      </c>
      <c r="R26" s="6">
        <f t="shared" si="173"/>
        <v>0</v>
      </c>
      <c r="S26" s="5">
        <v>1750000.0</v>
      </c>
      <c r="T26" s="5">
        <v>875000.0</v>
      </c>
      <c r="U26" s="6">
        <v>0.0</v>
      </c>
      <c r="V26" s="6">
        <v>0.0</v>
      </c>
      <c r="W26" s="6">
        <v>0.0</v>
      </c>
      <c r="X26" s="6">
        <v>875000.0</v>
      </c>
      <c r="Y26" s="6">
        <v>0.0</v>
      </c>
      <c r="Z26" s="6">
        <v>0.0</v>
      </c>
      <c r="AA26" s="6">
        <v>0.0</v>
      </c>
      <c r="AB26" s="6">
        <v>0.0</v>
      </c>
      <c r="AC26" s="6">
        <v>0.0</v>
      </c>
      <c r="AD26" s="6">
        <v>0.0</v>
      </c>
      <c r="AE26" s="6">
        <f t="shared" ref="AE26:AG26" si="174">+Y26+AB26+S26+V26</f>
        <v>1750000</v>
      </c>
      <c r="AF26" s="6">
        <f t="shared" si="174"/>
        <v>875000</v>
      </c>
      <c r="AG26" s="6">
        <f t="shared" si="174"/>
        <v>875000</v>
      </c>
      <c r="AH26" s="6">
        <v>0.0</v>
      </c>
      <c r="AI26" s="6">
        <v>0.0</v>
      </c>
      <c r="AJ26" s="6">
        <v>0.0</v>
      </c>
      <c r="AK26" s="6">
        <v>0.0</v>
      </c>
      <c r="AL26" s="6">
        <v>0.0</v>
      </c>
      <c r="AM26" s="6">
        <v>0.0</v>
      </c>
      <c r="AN26" s="6">
        <v>0.0</v>
      </c>
      <c r="AO26" s="6">
        <v>0.0</v>
      </c>
      <c r="AP26" s="6">
        <v>0.0</v>
      </c>
      <c r="AQ26" s="6">
        <v>0.0</v>
      </c>
      <c r="AR26" s="6">
        <v>0.0</v>
      </c>
      <c r="AS26" s="6">
        <v>0.0</v>
      </c>
      <c r="AT26" s="6">
        <f t="shared" ref="AT26:AV26" si="175">+AN26+AQ26+AH26+AK26</f>
        <v>0</v>
      </c>
      <c r="AU26" s="6">
        <f t="shared" si="175"/>
        <v>0</v>
      </c>
      <c r="AV26" s="6">
        <f t="shared" si="175"/>
        <v>0</v>
      </c>
      <c r="AW26" s="6">
        <v>0.0</v>
      </c>
      <c r="AX26" s="6">
        <v>0.0</v>
      </c>
      <c r="AY26" s="6">
        <v>0.0</v>
      </c>
      <c r="AZ26" s="6">
        <v>0.0</v>
      </c>
      <c r="BA26" s="6">
        <v>0.0</v>
      </c>
      <c r="BB26" s="6">
        <v>0.0</v>
      </c>
      <c r="BC26" s="6">
        <v>0.0</v>
      </c>
      <c r="BD26" s="6">
        <v>0.0</v>
      </c>
      <c r="BE26" s="6">
        <v>0.0</v>
      </c>
      <c r="BF26" s="6">
        <v>0.0</v>
      </c>
      <c r="BG26" s="6">
        <v>0.0</v>
      </c>
      <c r="BH26" s="6">
        <v>0.0</v>
      </c>
      <c r="BI26" s="6">
        <f t="shared" ref="BI26:BK26" si="176">+BC26+BF26+AW26+AZ26</f>
        <v>0</v>
      </c>
      <c r="BJ26" s="6">
        <f t="shared" si="176"/>
        <v>0</v>
      </c>
      <c r="BK26" s="6">
        <f t="shared" si="176"/>
        <v>0</v>
      </c>
      <c r="BL26" s="6">
        <v>0.0</v>
      </c>
      <c r="BM26" s="6">
        <v>0.0</v>
      </c>
      <c r="BN26" s="6">
        <v>0.0</v>
      </c>
      <c r="BO26" s="6">
        <v>0.0</v>
      </c>
      <c r="BP26" s="6">
        <v>0.0</v>
      </c>
      <c r="BQ26" s="6">
        <v>0.0</v>
      </c>
      <c r="BR26" s="6">
        <v>0.0</v>
      </c>
      <c r="BS26" s="6">
        <v>0.0</v>
      </c>
      <c r="BT26" s="6">
        <v>0.0</v>
      </c>
      <c r="BU26" s="6" t="str">
        <f t="shared" ref="BU26:BW26" si="177">+BO26+BR26+#REF!+BL26</f>
        <v>#REF!</v>
      </c>
      <c r="BV26" s="6" t="str">
        <f t="shared" si="177"/>
        <v>#REF!</v>
      </c>
      <c r="BW26" s="6" t="str">
        <f t="shared" si="177"/>
        <v>#REF!</v>
      </c>
      <c r="BX26" s="6">
        <v>0.0</v>
      </c>
      <c r="BY26" s="6">
        <v>0.0</v>
      </c>
      <c r="BZ26" s="6">
        <v>0.0</v>
      </c>
      <c r="CA26" s="6">
        <v>0.0</v>
      </c>
      <c r="CB26" s="6">
        <v>0.0</v>
      </c>
      <c r="CC26" s="6">
        <v>0.0</v>
      </c>
      <c r="CD26" s="6">
        <v>0.0</v>
      </c>
      <c r="CE26" s="6">
        <v>0.0</v>
      </c>
      <c r="CF26" s="6">
        <v>0.0</v>
      </c>
      <c r="CG26" s="6" t="str">
        <f t="shared" ref="CG26:CI26" si="178">+CA26+CD26+BX26+#REF!</f>
        <v>#REF!</v>
      </c>
      <c r="CH26" s="6" t="str">
        <f t="shared" si="178"/>
        <v>#REF!</v>
      </c>
      <c r="CI26" s="6" t="str">
        <f t="shared" si="178"/>
        <v>#REF!</v>
      </c>
      <c r="CJ26" s="6">
        <v>0.0</v>
      </c>
      <c r="CK26" s="6">
        <v>0.0</v>
      </c>
      <c r="CL26" s="6">
        <v>0.0</v>
      </c>
      <c r="CM26" s="6">
        <v>0.0</v>
      </c>
      <c r="CN26" s="6">
        <v>0.0</v>
      </c>
      <c r="CO26" s="6">
        <v>0.0</v>
      </c>
      <c r="CP26" s="6">
        <v>0.0</v>
      </c>
      <c r="CQ26" s="6">
        <v>0.0</v>
      </c>
      <c r="CR26" s="6">
        <v>0.0</v>
      </c>
      <c r="CS26" s="6">
        <v>0.0</v>
      </c>
      <c r="CT26" s="6">
        <v>0.0</v>
      </c>
      <c r="CU26" s="6">
        <v>0.0</v>
      </c>
      <c r="CV26" s="6">
        <f t="shared" ref="CV26:CX26" si="179">+CP26+CS26+CJ26+CM26</f>
        <v>0</v>
      </c>
      <c r="CW26" s="6">
        <f t="shared" si="179"/>
        <v>0</v>
      </c>
      <c r="CX26" s="6">
        <f t="shared" si="179"/>
        <v>0</v>
      </c>
      <c r="CY26" s="6">
        <v>0.0</v>
      </c>
      <c r="CZ26" s="6">
        <v>0.0</v>
      </c>
      <c r="DA26" s="6">
        <v>0.0</v>
      </c>
      <c r="DB26" s="6">
        <v>0.0</v>
      </c>
      <c r="DC26" s="6">
        <v>0.0</v>
      </c>
      <c r="DD26" s="6">
        <v>0.0</v>
      </c>
      <c r="DE26" s="6">
        <v>0.0</v>
      </c>
      <c r="DF26" s="6">
        <v>0.0</v>
      </c>
      <c r="DG26" s="6">
        <v>0.0</v>
      </c>
      <c r="DH26" s="6">
        <v>0.0</v>
      </c>
      <c r="DI26" s="6">
        <v>0.0</v>
      </c>
      <c r="DJ26" s="6">
        <v>0.0</v>
      </c>
      <c r="DK26" s="6">
        <f t="shared" ref="DK26:DM26" si="180">+DE26+DH26+CY26+DB26</f>
        <v>0</v>
      </c>
      <c r="DL26" s="6">
        <f t="shared" si="180"/>
        <v>0</v>
      </c>
      <c r="DM26" s="6">
        <f t="shared" si="180"/>
        <v>0</v>
      </c>
      <c r="DN26" s="6" t="str">
        <f t="shared" ref="DN26:DP26" si="181">+P26+AE26+AT26+BI26+BU26+CG26+CV26</f>
        <v>#REF!</v>
      </c>
      <c r="DO26" s="6" t="str">
        <f t="shared" si="181"/>
        <v>#REF!</v>
      </c>
      <c r="DP26" s="6" t="str">
        <f t="shared" si="181"/>
        <v>#REF!</v>
      </c>
      <c r="DQ26" s="6" t="str">
        <f t="shared" si="19"/>
        <v>#REF!</v>
      </c>
    </row>
    <row r="27" ht="13.5" customHeight="1">
      <c r="A27" s="11">
        <v>44154.0</v>
      </c>
      <c r="B27" s="2" t="s">
        <v>165</v>
      </c>
      <c r="C27" s="2" t="s">
        <v>166</v>
      </c>
      <c r="D27" s="29" t="s">
        <v>167</v>
      </c>
      <c r="E27" s="2" t="s">
        <v>168</v>
      </c>
      <c r="F27" s="11" t="s">
        <v>169</v>
      </c>
      <c r="G27" s="11" t="s">
        <v>5</v>
      </c>
      <c r="H27" s="5"/>
      <c r="I27" s="5">
        <v>875000.0</v>
      </c>
      <c r="J27" s="6">
        <v>0.0</v>
      </c>
      <c r="K27" s="6">
        <v>0.0</v>
      </c>
      <c r="L27" s="6">
        <v>0.0</v>
      </c>
      <c r="M27" s="6">
        <v>0.0</v>
      </c>
      <c r="N27" s="6">
        <v>0.0</v>
      </c>
      <c r="O27" s="6">
        <v>0.0</v>
      </c>
      <c r="P27" s="6">
        <f t="shared" ref="P27:R27" si="182">+J27+M27</f>
        <v>0</v>
      </c>
      <c r="Q27" s="6">
        <f t="shared" si="182"/>
        <v>0</v>
      </c>
      <c r="R27" s="6">
        <f t="shared" si="182"/>
        <v>0</v>
      </c>
      <c r="S27" s="5">
        <v>0.0</v>
      </c>
      <c r="T27" s="5">
        <v>875000.0</v>
      </c>
      <c r="U27" s="6">
        <v>0.0</v>
      </c>
      <c r="V27" s="6">
        <v>0.0</v>
      </c>
      <c r="W27" s="6">
        <v>0.0</v>
      </c>
      <c r="X27" s="6">
        <v>875000.0</v>
      </c>
      <c r="Y27" s="6">
        <v>0.0</v>
      </c>
      <c r="Z27" s="6">
        <v>0.0</v>
      </c>
      <c r="AA27" s="6">
        <v>0.0</v>
      </c>
      <c r="AB27" s="6">
        <v>0.0</v>
      </c>
      <c r="AC27" s="6">
        <v>0.0</v>
      </c>
      <c r="AD27" s="6">
        <v>0.0</v>
      </c>
      <c r="AE27" s="6">
        <f t="shared" ref="AE27:AG27" si="183">+Y27+AB27+S27+V27</f>
        <v>0</v>
      </c>
      <c r="AF27" s="6">
        <f t="shared" si="183"/>
        <v>875000</v>
      </c>
      <c r="AG27" s="6">
        <f t="shared" si="183"/>
        <v>875000</v>
      </c>
      <c r="AH27" s="6">
        <v>0.0</v>
      </c>
      <c r="AI27" s="6">
        <v>0.0</v>
      </c>
      <c r="AJ27" s="6">
        <v>0.0</v>
      </c>
      <c r="AK27" s="6">
        <v>0.0</v>
      </c>
      <c r="AL27" s="6">
        <v>0.0</v>
      </c>
      <c r="AM27" s="6">
        <v>0.0</v>
      </c>
      <c r="AN27" s="6">
        <v>0.0</v>
      </c>
      <c r="AO27" s="6">
        <v>0.0</v>
      </c>
      <c r="AP27" s="6">
        <v>0.0</v>
      </c>
      <c r="AQ27" s="6">
        <v>0.0</v>
      </c>
      <c r="AR27" s="6">
        <v>0.0</v>
      </c>
      <c r="AS27" s="6">
        <v>0.0</v>
      </c>
      <c r="AT27" s="6">
        <f t="shared" ref="AT27:AV27" si="184">+AN27+AQ27+AH27+AK27</f>
        <v>0</v>
      </c>
      <c r="AU27" s="6">
        <f t="shared" si="184"/>
        <v>0</v>
      </c>
      <c r="AV27" s="6">
        <f t="shared" si="184"/>
        <v>0</v>
      </c>
      <c r="AW27" s="6">
        <v>0.0</v>
      </c>
      <c r="AX27" s="6">
        <v>0.0</v>
      </c>
      <c r="AY27" s="6">
        <v>0.0</v>
      </c>
      <c r="AZ27" s="6">
        <v>0.0</v>
      </c>
      <c r="BA27" s="6">
        <v>0.0</v>
      </c>
      <c r="BB27" s="6">
        <v>0.0</v>
      </c>
      <c r="BC27" s="6">
        <v>0.0</v>
      </c>
      <c r="BD27" s="6">
        <v>0.0</v>
      </c>
      <c r="BE27" s="6">
        <v>0.0</v>
      </c>
      <c r="BF27" s="6">
        <v>0.0</v>
      </c>
      <c r="BG27" s="6">
        <v>0.0</v>
      </c>
      <c r="BH27" s="6">
        <v>0.0</v>
      </c>
      <c r="BI27" s="6">
        <f t="shared" ref="BI27:BK27" si="185">+BC27+BF27+AW27+AZ27</f>
        <v>0</v>
      </c>
      <c r="BJ27" s="6">
        <f t="shared" si="185"/>
        <v>0</v>
      </c>
      <c r="BK27" s="6">
        <f t="shared" si="185"/>
        <v>0</v>
      </c>
      <c r="BL27" s="6">
        <v>0.0</v>
      </c>
      <c r="BM27" s="6">
        <v>0.0</v>
      </c>
      <c r="BN27" s="6">
        <v>0.0</v>
      </c>
      <c r="BO27" s="6">
        <v>0.0</v>
      </c>
      <c r="BP27" s="6">
        <v>0.0</v>
      </c>
      <c r="BQ27" s="6">
        <v>0.0</v>
      </c>
      <c r="BR27" s="6">
        <v>0.0</v>
      </c>
      <c r="BS27" s="6">
        <v>0.0</v>
      </c>
      <c r="BT27" s="6">
        <v>0.0</v>
      </c>
      <c r="BU27" s="6" t="str">
        <f t="shared" ref="BU27:BW27" si="186">+BO27+BR27+#REF!+BL27</f>
        <v>#REF!</v>
      </c>
      <c r="BV27" s="6" t="str">
        <f t="shared" si="186"/>
        <v>#REF!</v>
      </c>
      <c r="BW27" s="6" t="str">
        <f t="shared" si="186"/>
        <v>#REF!</v>
      </c>
      <c r="BX27" s="6">
        <v>0.0</v>
      </c>
      <c r="BY27" s="6">
        <v>0.0</v>
      </c>
      <c r="BZ27" s="6">
        <v>0.0</v>
      </c>
      <c r="CA27" s="6">
        <v>0.0</v>
      </c>
      <c r="CB27" s="6">
        <v>0.0</v>
      </c>
      <c r="CC27" s="6">
        <v>0.0</v>
      </c>
      <c r="CD27" s="6">
        <v>0.0</v>
      </c>
      <c r="CE27" s="6">
        <v>0.0</v>
      </c>
      <c r="CF27" s="6">
        <v>0.0</v>
      </c>
      <c r="CG27" s="6" t="str">
        <f t="shared" ref="CG27:CI27" si="187">+CA27+CD27+BX27+#REF!</f>
        <v>#REF!</v>
      </c>
      <c r="CH27" s="6" t="str">
        <f t="shared" si="187"/>
        <v>#REF!</v>
      </c>
      <c r="CI27" s="6" t="str">
        <f t="shared" si="187"/>
        <v>#REF!</v>
      </c>
      <c r="CJ27" s="6">
        <v>0.0</v>
      </c>
      <c r="CK27" s="6">
        <v>0.0</v>
      </c>
      <c r="CL27" s="6">
        <v>0.0</v>
      </c>
      <c r="CM27" s="6">
        <v>0.0</v>
      </c>
      <c r="CN27" s="6">
        <v>0.0</v>
      </c>
      <c r="CO27" s="6">
        <v>0.0</v>
      </c>
      <c r="CP27" s="6">
        <v>0.0</v>
      </c>
      <c r="CQ27" s="6">
        <v>0.0</v>
      </c>
      <c r="CR27" s="6">
        <v>0.0</v>
      </c>
      <c r="CS27" s="6">
        <v>0.0</v>
      </c>
      <c r="CT27" s="6">
        <v>0.0</v>
      </c>
      <c r="CU27" s="6">
        <v>0.0</v>
      </c>
      <c r="CV27" s="6">
        <f t="shared" ref="CV27:CX27" si="188">+CP27+CS27+CJ27+CM27</f>
        <v>0</v>
      </c>
      <c r="CW27" s="6">
        <f t="shared" si="188"/>
        <v>0</v>
      </c>
      <c r="CX27" s="6">
        <f t="shared" si="188"/>
        <v>0</v>
      </c>
      <c r="CY27" s="6">
        <v>0.0</v>
      </c>
      <c r="CZ27" s="6">
        <v>0.0</v>
      </c>
      <c r="DA27" s="6">
        <v>0.0</v>
      </c>
      <c r="DB27" s="6">
        <v>0.0</v>
      </c>
      <c r="DC27" s="6">
        <v>0.0</v>
      </c>
      <c r="DD27" s="6">
        <v>0.0</v>
      </c>
      <c r="DE27" s="6">
        <v>0.0</v>
      </c>
      <c r="DF27" s="6">
        <v>0.0</v>
      </c>
      <c r="DG27" s="6">
        <v>0.0</v>
      </c>
      <c r="DH27" s="6">
        <v>0.0</v>
      </c>
      <c r="DI27" s="6">
        <v>0.0</v>
      </c>
      <c r="DJ27" s="6">
        <v>0.0</v>
      </c>
      <c r="DK27" s="6">
        <f t="shared" ref="DK27:DM27" si="189">+DE27+DH27+CY27+DB27</f>
        <v>0</v>
      </c>
      <c r="DL27" s="6">
        <f t="shared" si="189"/>
        <v>0</v>
      </c>
      <c r="DM27" s="6">
        <f t="shared" si="189"/>
        <v>0</v>
      </c>
      <c r="DN27" s="6" t="str">
        <f t="shared" ref="DN27:DP27" si="190">+P27+AE27+AT27+BI27+BU27+CG27+CV27</f>
        <v>#REF!</v>
      </c>
      <c r="DO27" s="6" t="str">
        <f t="shared" si="190"/>
        <v>#REF!</v>
      </c>
      <c r="DP27" s="6" t="str">
        <f t="shared" si="190"/>
        <v>#REF!</v>
      </c>
      <c r="DQ27" s="6" t="str">
        <f t="shared" si="19"/>
        <v>#REF!</v>
      </c>
    </row>
    <row r="28" ht="13.5" customHeight="1">
      <c r="A28" s="11">
        <v>44187.0</v>
      </c>
      <c r="B28" s="2" t="s">
        <v>170</v>
      </c>
      <c r="C28" s="2" t="s">
        <v>171</v>
      </c>
      <c r="D28" s="29" t="s">
        <v>172</v>
      </c>
      <c r="E28" s="2" t="s">
        <v>173</v>
      </c>
      <c r="F28" s="11" t="s">
        <v>174</v>
      </c>
      <c r="G28" s="11" t="s">
        <v>5</v>
      </c>
      <c r="H28" s="5">
        <v>596160.0</v>
      </c>
      <c r="I28" s="5">
        <v>596160.0</v>
      </c>
      <c r="J28" s="6">
        <v>0.0</v>
      </c>
      <c r="K28" s="6">
        <v>0.0</v>
      </c>
      <c r="L28" s="6">
        <v>0.0</v>
      </c>
      <c r="M28" s="6">
        <v>0.0</v>
      </c>
      <c r="N28" s="6">
        <v>0.0</v>
      </c>
      <c r="O28" s="6">
        <v>0.0</v>
      </c>
      <c r="P28" s="6">
        <f t="shared" ref="P28:R28" si="191">+J28+M28</f>
        <v>0</v>
      </c>
      <c r="Q28" s="6">
        <f t="shared" si="191"/>
        <v>0</v>
      </c>
      <c r="R28" s="6">
        <f t="shared" si="191"/>
        <v>0</v>
      </c>
      <c r="S28" s="5">
        <v>596160.0</v>
      </c>
      <c r="T28" s="5">
        <v>596160.0</v>
      </c>
      <c r="U28" s="6">
        <v>0.0</v>
      </c>
      <c r="V28" s="6">
        <v>0.0</v>
      </c>
      <c r="W28" s="6">
        <v>0.0</v>
      </c>
      <c r="X28" s="6">
        <v>370000.0</v>
      </c>
      <c r="Y28" s="6">
        <v>0.0</v>
      </c>
      <c r="Z28" s="6">
        <v>0.0</v>
      </c>
      <c r="AA28" s="6">
        <v>0.0</v>
      </c>
      <c r="AB28" s="6">
        <v>0.0</v>
      </c>
      <c r="AC28" s="6">
        <v>0.0</v>
      </c>
      <c r="AD28" s="6">
        <v>226160.0</v>
      </c>
      <c r="AE28" s="6">
        <f t="shared" ref="AE28:AG28" si="192">+Y28+AB28+S28+V28</f>
        <v>596160</v>
      </c>
      <c r="AF28" s="6">
        <f t="shared" si="192"/>
        <v>596160</v>
      </c>
      <c r="AG28" s="6">
        <f t="shared" si="192"/>
        <v>596160</v>
      </c>
      <c r="AH28" s="6">
        <v>0.0</v>
      </c>
      <c r="AI28" s="6">
        <v>0.0</v>
      </c>
      <c r="AJ28" s="6">
        <v>0.0</v>
      </c>
      <c r="AK28" s="6">
        <v>0.0</v>
      </c>
      <c r="AL28" s="6">
        <v>0.0</v>
      </c>
      <c r="AM28" s="6">
        <v>0.0</v>
      </c>
      <c r="AN28" s="6">
        <v>0.0</v>
      </c>
      <c r="AO28" s="6">
        <v>0.0</v>
      </c>
      <c r="AP28" s="6">
        <v>0.0</v>
      </c>
      <c r="AQ28" s="6">
        <v>0.0</v>
      </c>
      <c r="AR28" s="6">
        <v>0.0</v>
      </c>
      <c r="AS28" s="6">
        <v>0.0</v>
      </c>
      <c r="AT28" s="6">
        <f t="shared" ref="AT28:AV28" si="193">+AN28+AQ28+AH28+AK28</f>
        <v>0</v>
      </c>
      <c r="AU28" s="6">
        <f t="shared" si="193"/>
        <v>0</v>
      </c>
      <c r="AV28" s="6">
        <f t="shared" si="193"/>
        <v>0</v>
      </c>
      <c r="AW28" s="6">
        <v>0.0</v>
      </c>
      <c r="AX28" s="6">
        <v>0.0</v>
      </c>
      <c r="AY28" s="6">
        <v>0.0</v>
      </c>
      <c r="AZ28" s="6">
        <v>0.0</v>
      </c>
      <c r="BA28" s="6">
        <v>0.0</v>
      </c>
      <c r="BB28" s="6">
        <v>0.0</v>
      </c>
      <c r="BC28" s="6">
        <v>0.0</v>
      </c>
      <c r="BD28" s="6">
        <v>0.0</v>
      </c>
      <c r="BE28" s="6">
        <v>0.0</v>
      </c>
      <c r="BF28" s="6">
        <v>0.0</v>
      </c>
      <c r="BG28" s="6">
        <v>0.0</v>
      </c>
      <c r="BH28" s="6">
        <v>0.0</v>
      </c>
      <c r="BI28" s="6">
        <f t="shared" ref="BI28:BK28" si="194">+BC28+BF28+AW28+AZ28</f>
        <v>0</v>
      </c>
      <c r="BJ28" s="6">
        <f t="shared" si="194"/>
        <v>0</v>
      </c>
      <c r="BK28" s="6">
        <f t="shared" si="194"/>
        <v>0</v>
      </c>
      <c r="BL28" s="6">
        <v>0.0</v>
      </c>
      <c r="BM28" s="6">
        <v>0.0</v>
      </c>
      <c r="BN28" s="6">
        <v>0.0</v>
      </c>
      <c r="BO28" s="6">
        <v>0.0</v>
      </c>
      <c r="BP28" s="6">
        <v>0.0</v>
      </c>
      <c r="BQ28" s="6">
        <v>0.0</v>
      </c>
      <c r="BR28" s="6">
        <v>0.0</v>
      </c>
      <c r="BS28" s="6">
        <v>0.0</v>
      </c>
      <c r="BT28" s="6">
        <v>0.0</v>
      </c>
      <c r="BU28" s="6" t="str">
        <f t="shared" ref="BU28:BW28" si="195">+BO28+BR28+#REF!+BL28</f>
        <v>#REF!</v>
      </c>
      <c r="BV28" s="6" t="str">
        <f t="shared" si="195"/>
        <v>#REF!</v>
      </c>
      <c r="BW28" s="6" t="str">
        <f t="shared" si="195"/>
        <v>#REF!</v>
      </c>
      <c r="BX28" s="6">
        <v>0.0</v>
      </c>
      <c r="BY28" s="6">
        <v>0.0</v>
      </c>
      <c r="BZ28" s="6">
        <v>0.0</v>
      </c>
      <c r="CA28" s="6">
        <v>0.0</v>
      </c>
      <c r="CB28" s="6">
        <v>0.0</v>
      </c>
      <c r="CC28" s="6">
        <v>0.0</v>
      </c>
      <c r="CD28" s="6">
        <v>0.0</v>
      </c>
      <c r="CE28" s="6">
        <v>0.0</v>
      </c>
      <c r="CF28" s="6">
        <v>0.0</v>
      </c>
      <c r="CG28" s="6" t="str">
        <f t="shared" ref="CG28:CI28" si="196">+CA28+CD28+BX28+#REF!</f>
        <v>#REF!</v>
      </c>
      <c r="CH28" s="6" t="str">
        <f t="shared" si="196"/>
        <v>#REF!</v>
      </c>
      <c r="CI28" s="6" t="str">
        <f t="shared" si="196"/>
        <v>#REF!</v>
      </c>
      <c r="CJ28" s="6">
        <v>0.0</v>
      </c>
      <c r="CK28" s="6">
        <v>0.0</v>
      </c>
      <c r="CL28" s="6">
        <v>0.0</v>
      </c>
      <c r="CM28" s="6">
        <v>0.0</v>
      </c>
      <c r="CN28" s="6">
        <v>0.0</v>
      </c>
      <c r="CO28" s="6">
        <v>0.0</v>
      </c>
      <c r="CP28" s="6">
        <v>0.0</v>
      </c>
      <c r="CQ28" s="6">
        <v>0.0</v>
      </c>
      <c r="CR28" s="6">
        <v>0.0</v>
      </c>
      <c r="CS28" s="6">
        <v>0.0</v>
      </c>
      <c r="CT28" s="6">
        <v>0.0</v>
      </c>
      <c r="CU28" s="6">
        <v>0.0</v>
      </c>
      <c r="CV28" s="6">
        <f t="shared" ref="CV28:CX28" si="197">+CP28+CS28+CJ28+CM28</f>
        <v>0</v>
      </c>
      <c r="CW28" s="6">
        <f t="shared" si="197"/>
        <v>0</v>
      </c>
      <c r="CX28" s="6">
        <f t="shared" si="197"/>
        <v>0</v>
      </c>
      <c r="CY28" s="6">
        <v>0.0</v>
      </c>
      <c r="CZ28" s="6">
        <v>0.0</v>
      </c>
      <c r="DA28" s="6">
        <v>0.0</v>
      </c>
      <c r="DB28" s="6">
        <v>0.0</v>
      </c>
      <c r="DC28" s="6">
        <v>0.0</v>
      </c>
      <c r="DD28" s="6">
        <v>0.0</v>
      </c>
      <c r="DE28" s="6">
        <v>0.0</v>
      </c>
      <c r="DF28" s="6">
        <v>0.0</v>
      </c>
      <c r="DG28" s="6">
        <v>0.0</v>
      </c>
      <c r="DH28" s="6">
        <v>0.0</v>
      </c>
      <c r="DI28" s="6">
        <v>0.0</v>
      </c>
      <c r="DJ28" s="6">
        <v>0.0</v>
      </c>
      <c r="DK28" s="6">
        <f t="shared" ref="DK28:DM28" si="198">+DE28+DH28+CY28+DB28</f>
        <v>0</v>
      </c>
      <c r="DL28" s="6">
        <f t="shared" si="198"/>
        <v>0</v>
      </c>
      <c r="DM28" s="6">
        <f t="shared" si="198"/>
        <v>0</v>
      </c>
      <c r="DN28" s="6" t="str">
        <f t="shared" ref="DN28:DP28" si="199">+P28+AE28+AT28+BI28+BU28+CG28+CV28</f>
        <v>#REF!</v>
      </c>
      <c r="DO28" s="6" t="str">
        <f t="shared" si="199"/>
        <v>#REF!</v>
      </c>
      <c r="DP28" s="6" t="str">
        <f t="shared" si="199"/>
        <v>#REF!</v>
      </c>
      <c r="DQ28" s="6" t="str">
        <f t="shared" si="19"/>
        <v>#REF!</v>
      </c>
    </row>
    <row r="29" ht="13.5" customHeight="1">
      <c r="A29" s="11">
        <v>44237.0</v>
      </c>
      <c r="B29" s="2" t="s">
        <v>175</v>
      </c>
      <c r="C29" s="2" t="s">
        <v>176</v>
      </c>
      <c r="D29" s="29" t="s">
        <v>177</v>
      </c>
      <c r="E29" s="2" t="s">
        <v>178</v>
      </c>
      <c r="F29" s="11" t="s">
        <v>179</v>
      </c>
      <c r="G29" s="11" t="s">
        <v>6</v>
      </c>
      <c r="H29" s="5">
        <v>4388400.0</v>
      </c>
      <c r="I29" s="5">
        <v>4388400.0</v>
      </c>
      <c r="J29" s="6">
        <v>0.0</v>
      </c>
      <c r="K29" s="6">
        <v>0.0</v>
      </c>
      <c r="L29" s="6">
        <v>0.0</v>
      </c>
      <c r="M29" s="6">
        <v>0.0</v>
      </c>
      <c r="N29" s="6">
        <v>0.0</v>
      </c>
      <c r="O29" s="6">
        <v>0.0</v>
      </c>
      <c r="P29" s="6">
        <f t="shared" ref="P29:R29" si="200">+J29+M29</f>
        <v>0</v>
      </c>
      <c r="Q29" s="6">
        <f t="shared" si="200"/>
        <v>0</v>
      </c>
      <c r="R29" s="6">
        <f t="shared" si="200"/>
        <v>0</v>
      </c>
      <c r="S29" s="6">
        <v>0.0</v>
      </c>
      <c r="T29" s="6">
        <v>0.0</v>
      </c>
      <c r="U29" s="6">
        <v>0.0</v>
      </c>
      <c r="V29" s="5">
        <v>4388400.0</v>
      </c>
      <c r="W29" s="5">
        <v>4388400.0</v>
      </c>
      <c r="X29" s="6">
        <v>100000.0</v>
      </c>
      <c r="Y29" s="6">
        <v>0.0</v>
      </c>
      <c r="Z29" s="6">
        <v>0.0</v>
      </c>
      <c r="AA29" s="6">
        <v>0.0</v>
      </c>
      <c r="AB29" s="6">
        <v>0.0</v>
      </c>
      <c r="AC29" s="6">
        <v>0.0</v>
      </c>
      <c r="AD29" s="6">
        <v>500000.0</v>
      </c>
      <c r="AE29" s="6">
        <f t="shared" ref="AE29:AG29" si="201">+Y29+AB29+S29+V29</f>
        <v>4388400</v>
      </c>
      <c r="AF29" s="6">
        <f t="shared" si="201"/>
        <v>4388400</v>
      </c>
      <c r="AG29" s="6">
        <f t="shared" si="201"/>
        <v>600000</v>
      </c>
      <c r="AH29" s="6">
        <v>0.0</v>
      </c>
      <c r="AI29" s="6">
        <v>0.0</v>
      </c>
      <c r="AJ29" s="6">
        <v>150000.0</v>
      </c>
      <c r="AK29" s="6">
        <v>0.0</v>
      </c>
      <c r="AL29" s="6">
        <v>0.0</v>
      </c>
      <c r="AM29" s="6">
        <v>600000.0</v>
      </c>
      <c r="AN29" s="6">
        <v>0.0</v>
      </c>
      <c r="AO29" s="6">
        <v>0.0</v>
      </c>
      <c r="AP29" s="6">
        <v>0.0</v>
      </c>
      <c r="AQ29" s="6">
        <v>0.0</v>
      </c>
      <c r="AR29" s="6">
        <v>0.0</v>
      </c>
      <c r="AS29" s="6">
        <v>750000.0</v>
      </c>
      <c r="AT29" s="6">
        <f t="shared" ref="AT29:AV29" si="202">+AN29+AQ29+AH29+AK29</f>
        <v>0</v>
      </c>
      <c r="AU29" s="6">
        <f t="shared" si="202"/>
        <v>0</v>
      </c>
      <c r="AV29" s="6">
        <f t="shared" si="202"/>
        <v>1500000</v>
      </c>
      <c r="AW29" s="6">
        <v>0.0</v>
      </c>
      <c r="AX29" s="6">
        <v>0.0</v>
      </c>
      <c r="AY29" s="6">
        <v>0.0</v>
      </c>
      <c r="AZ29" s="6">
        <v>0.0</v>
      </c>
      <c r="BA29" s="6">
        <v>0.0</v>
      </c>
      <c r="BB29" s="6">
        <v>1525600.0</v>
      </c>
      <c r="BC29" s="6">
        <v>0.0</v>
      </c>
      <c r="BD29" s="6">
        <v>0.0</v>
      </c>
      <c r="BE29" s="6">
        <v>400000.0</v>
      </c>
      <c r="BF29" s="6">
        <v>0.0</v>
      </c>
      <c r="BG29" s="6">
        <v>0.0</v>
      </c>
      <c r="BH29" s="6">
        <v>362800.0</v>
      </c>
      <c r="BI29" s="6">
        <f t="shared" ref="BI29:BK29" si="203">+BC29+BF29+AW29+AZ29</f>
        <v>0</v>
      </c>
      <c r="BJ29" s="6">
        <f t="shared" si="203"/>
        <v>0</v>
      </c>
      <c r="BK29" s="6">
        <f t="shared" si="203"/>
        <v>2288400</v>
      </c>
      <c r="BL29" s="6">
        <v>0.0</v>
      </c>
      <c r="BM29" s="6">
        <v>0.0</v>
      </c>
      <c r="BN29" s="6">
        <v>0.0</v>
      </c>
      <c r="BO29" s="6">
        <v>0.0</v>
      </c>
      <c r="BP29" s="6">
        <v>0.0</v>
      </c>
      <c r="BQ29" s="6">
        <v>0.0</v>
      </c>
      <c r="BR29" s="6">
        <v>0.0</v>
      </c>
      <c r="BS29" s="6">
        <v>0.0</v>
      </c>
      <c r="BT29" s="6">
        <v>0.0</v>
      </c>
      <c r="BU29" s="6" t="str">
        <f t="shared" ref="BU29:BW29" si="204">+BO29+BR29+#REF!+BL29</f>
        <v>#REF!</v>
      </c>
      <c r="BV29" s="6" t="str">
        <f t="shared" si="204"/>
        <v>#REF!</v>
      </c>
      <c r="BW29" s="6" t="str">
        <f t="shared" si="204"/>
        <v>#REF!</v>
      </c>
      <c r="BX29" s="6">
        <v>0.0</v>
      </c>
      <c r="BY29" s="6">
        <v>0.0</v>
      </c>
      <c r="BZ29" s="6">
        <v>0.0</v>
      </c>
      <c r="CA29" s="6">
        <v>0.0</v>
      </c>
      <c r="CB29" s="6">
        <v>0.0</v>
      </c>
      <c r="CC29" s="6">
        <v>0.0</v>
      </c>
      <c r="CD29" s="6">
        <v>0.0</v>
      </c>
      <c r="CE29" s="6">
        <v>0.0</v>
      </c>
      <c r="CF29" s="6">
        <v>0.0</v>
      </c>
      <c r="CG29" s="6" t="str">
        <f t="shared" ref="CG29:CI29" si="205">+CA29+CD29+BX29+#REF!</f>
        <v>#REF!</v>
      </c>
      <c r="CH29" s="6" t="str">
        <f t="shared" si="205"/>
        <v>#REF!</v>
      </c>
      <c r="CI29" s="6" t="str">
        <f t="shared" si="205"/>
        <v>#REF!</v>
      </c>
      <c r="CJ29" s="6">
        <v>0.0</v>
      </c>
      <c r="CK29" s="6">
        <v>0.0</v>
      </c>
      <c r="CL29" s="6">
        <v>0.0</v>
      </c>
      <c r="CM29" s="6">
        <v>0.0</v>
      </c>
      <c r="CN29" s="6">
        <v>0.0</v>
      </c>
      <c r="CO29" s="6">
        <v>0.0</v>
      </c>
      <c r="CP29" s="6">
        <v>0.0</v>
      </c>
      <c r="CQ29" s="6">
        <v>0.0</v>
      </c>
      <c r="CR29" s="6">
        <v>0.0</v>
      </c>
      <c r="CS29" s="6">
        <v>0.0</v>
      </c>
      <c r="CT29" s="6">
        <v>0.0</v>
      </c>
      <c r="CU29" s="6">
        <v>0.0</v>
      </c>
      <c r="CV29" s="6">
        <f t="shared" ref="CV29:CX29" si="206">+CP29+CS29+CJ29+CM29</f>
        <v>0</v>
      </c>
      <c r="CW29" s="6">
        <f t="shared" si="206"/>
        <v>0</v>
      </c>
      <c r="CX29" s="6">
        <f t="shared" si="206"/>
        <v>0</v>
      </c>
      <c r="CY29" s="6">
        <v>0.0</v>
      </c>
      <c r="CZ29" s="6">
        <v>0.0</v>
      </c>
      <c r="DA29" s="6">
        <v>0.0</v>
      </c>
      <c r="DB29" s="6">
        <v>0.0</v>
      </c>
      <c r="DC29" s="6">
        <v>0.0</v>
      </c>
      <c r="DD29" s="6">
        <v>0.0</v>
      </c>
      <c r="DE29" s="6">
        <v>0.0</v>
      </c>
      <c r="DF29" s="6">
        <v>0.0</v>
      </c>
      <c r="DG29" s="6">
        <v>0.0</v>
      </c>
      <c r="DH29" s="6">
        <v>0.0</v>
      </c>
      <c r="DI29" s="6">
        <v>0.0</v>
      </c>
      <c r="DJ29" s="6">
        <v>0.0</v>
      </c>
      <c r="DK29" s="6">
        <f t="shared" ref="DK29:DM29" si="207">+DE29+DH29+CY29+DB29</f>
        <v>0</v>
      </c>
      <c r="DL29" s="6">
        <f t="shared" si="207"/>
        <v>0</v>
      </c>
      <c r="DM29" s="6">
        <f t="shared" si="207"/>
        <v>0</v>
      </c>
      <c r="DN29" s="6" t="str">
        <f t="shared" ref="DN29:DP29" si="208">+P29+AE29+AT29+BI29+BU29+CG29+CV29</f>
        <v>#REF!</v>
      </c>
      <c r="DO29" s="6" t="str">
        <f t="shared" si="208"/>
        <v>#REF!</v>
      </c>
      <c r="DP29" s="6" t="str">
        <f t="shared" si="208"/>
        <v>#REF!</v>
      </c>
      <c r="DQ29" s="6" t="str">
        <f t="shared" si="19"/>
        <v>#REF!</v>
      </c>
    </row>
    <row r="30" ht="13.5" customHeight="1">
      <c r="A30" s="11">
        <v>44244.0</v>
      </c>
      <c r="B30" s="2" t="s">
        <v>180</v>
      </c>
      <c r="C30" s="2" t="s">
        <v>181</v>
      </c>
      <c r="D30" s="29" t="s">
        <v>182</v>
      </c>
      <c r="E30" s="2" t="s">
        <v>183</v>
      </c>
      <c r="F30" s="11" t="s">
        <v>184</v>
      </c>
      <c r="G30" s="11" t="s">
        <v>6</v>
      </c>
      <c r="H30" s="5">
        <v>700000.0</v>
      </c>
      <c r="I30" s="5">
        <v>700000.0</v>
      </c>
      <c r="J30" s="6">
        <v>0.0</v>
      </c>
      <c r="K30" s="6">
        <v>0.0</v>
      </c>
      <c r="L30" s="6">
        <v>0.0</v>
      </c>
      <c r="M30" s="6">
        <v>0.0</v>
      </c>
      <c r="N30" s="6">
        <v>0.0</v>
      </c>
      <c r="O30" s="6">
        <v>0.0</v>
      </c>
      <c r="P30" s="6">
        <f t="shared" ref="P30:R30" si="209">+J30+M30</f>
        <v>0</v>
      </c>
      <c r="Q30" s="6">
        <f t="shared" si="209"/>
        <v>0</v>
      </c>
      <c r="R30" s="6">
        <f t="shared" si="209"/>
        <v>0</v>
      </c>
      <c r="S30" s="6">
        <v>0.0</v>
      </c>
      <c r="T30" s="6">
        <v>0.0</v>
      </c>
      <c r="U30" s="6">
        <v>0.0</v>
      </c>
      <c r="V30" s="5">
        <v>700000.0</v>
      </c>
      <c r="W30" s="5">
        <v>700000.0</v>
      </c>
      <c r="X30" s="6">
        <v>250000.0</v>
      </c>
      <c r="Y30" s="6">
        <v>0.0</v>
      </c>
      <c r="Z30" s="6">
        <v>0.0</v>
      </c>
      <c r="AA30" s="6">
        <v>0.0</v>
      </c>
      <c r="AB30" s="6">
        <v>0.0</v>
      </c>
      <c r="AC30" s="6">
        <v>0.0</v>
      </c>
      <c r="AD30" s="6">
        <v>100000.0</v>
      </c>
      <c r="AE30" s="6">
        <f t="shared" ref="AE30:AG30" si="210">+Y30+AB30+S30+V30</f>
        <v>700000</v>
      </c>
      <c r="AF30" s="6">
        <f t="shared" si="210"/>
        <v>700000</v>
      </c>
      <c r="AG30" s="6">
        <f t="shared" si="210"/>
        <v>350000</v>
      </c>
      <c r="AH30" s="6">
        <v>0.0</v>
      </c>
      <c r="AI30" s="6">
        <v>0.0</v>
      </c>
      <c r="AJ30" s="6">
        <v>250000.0</v>
      </c>
      <c r="AK30" s="6">
        <v>0.0</v>
      </c>
      <c r="AL30" s="6">
        <v>0.0</v>
      </c>
      <c r="AM30" s="6">
        <v>33333.33</v>
      </c>
      <c r="AN30" s="6">
        <v>0.0</v>
      </c>
      <c r="AO30" s="6">
        <v>0.0</v>
      </c>
      <c r="AP30" s="6">
        <v>66666.67</v>
      </c>
      <c r="AQ30" s="6">
        <v>0.0</v>
      </c>
      <c r="AR30" s="6">
        <v>0.0</v>
      </c>
      <c r="AS30" s="6">
        <v>0.0</v>
      </c>
      <c r="AT30" s="6">
        <f t="shared" ref="AT30:AV30" si="211">+AN30+AQ30+AH30+AK30</f>
        <v>0</v>
      </c>
      <c r="AU30" s="6">
        <f t="shared" si="211"/>
        <v>0</v>
      </c>
      <c r="AV30" s="6">
        <f t="shared" si="211"/>
        <v>350000</v>
      </c>
      <c r="AW30" s="6">
        <v>0.0</v>
      </c>
      <c r="AX30" s="6">
        <v>0.0</v>
      </c>
      <c r="AY30" s="6">
        <v>0.0</v>
      </c>
      <c r="AZ30" s="6">
        <v>0.0</v>
      </c>
      <c r="BA30" s="6">
        <v>0.0</v>
      </c>
      <c r="BB30" s="6">
        <v>0.0</v>
      </c>
      <c r="BC30" s="6">
        <v>0.0</v>
      </c>
      <c r="BD30" s="6">
        <v>0.0</v>
      </c>
      <c r="BE30" s="6">
        <v>0.0</v>
      </c>
      <c r="BF30" s="6">
        <v>0.0</v>
      </c>
      <c r="BG30" s="6">
        <v>0.0</v>
      </c>
      <c r="BH30" s="6">
        <v>0.0</v>
      </c>
      <c r="BI30" s="6">
        <f t="shared" ref="BI30:BK30" si="212">+BC30+BF30+AW30+AZ30</f>
        <v>0</v>
      </c>
      <c r="BJ30" s="6">
        <f t="shared" si="212"/>
        <v>0</v>
      </c>
      <c r="BK30" s="6">
        <f t="shared" si="212"/>
        <v>0</v>
      </c>
      <c r="BL30" s="6">
        <v>0.0</v>
      </c>
      <c r="BM30" s="6">
        <v>0.0</v>
      </c>
      <c r="BN30" s="6">
        <v>0.0</v>
      </c>
      <c r="BO30" s="6">
        <v>0.0</v>
      </c>
      <c r="BP30" s="6">
        <v>0.0</v>
      </c>
      <c r="BQ30" s="6">
        <v>0.0</v>
      </c>
      <c r="BR30" s="6">
        <v>0.0</v>
      </c>
      <c r="BS30" s="6">
        <v>0.0</v>
      </c>
      <c r="BT30" s="6">
        <v>0.0</v>
      </c>
      <c r="BU30" s="6" t="str">
        <f t="shared" ref="BU30:BW30" si="213">+BO30+BR30+#REF!+BL30</f>
        <v>#REF!</v>
      </c>
      <c r="BV30" s="6" t="str">
        <f t="shared" si="213"/>
        <v>#REF!</v>
      </c>
      <c r="BW30" s="6" t="str">
        <f t="shared" si="213"/>
        <v>#REF!</v>
      </c>
      <c r="BX30" s="6">
        <v>0.0</v>
      </c>
      <c r="BY30" s="6">
        <v>0.0</v>
      </c>
      <c r="BZ30" s="6">
        <v>0.0</v>
      </c>
      <c r="CA30" s="6">
        <v>0.0</v>
      </c>
      <c r="CB30" s="6">
        <v>0.0</v>
      </c>
      <c r="CC30" s="6">
        <v>0.0</v>
      </c>
      <c r="CD30" s="6">
        <v>0.0</v>
      </c>
      <c r="CE30" s="6">
        <v>0.0</v>
      </c>
      <c r="CF30" s="6">
        <v>0.0</v>
      </c>
      <c r="CG30" s="6" t="str">
        <f t="shared" ref="CG30:CI30" si="214">+CA30+CD30+BX30+#REF!</f>
        <v>#REF!</v>
      </c>
      <c r="CH30" s="6" t="str">
        <f t="shared" si="214"/>
        <v>#REF!</v>
      </c>
      <c r="CI30" s="6" t="str">
        <f t="shared" si="214"/>
        <v>#REF!</v>
      </c>
      <c r="CJ30" s="6">
        <v>0.0</v>
      </c>
      <c r="CK30" s="6">
        <v>0.0</v>
      </c>
      <c r="CL30" s="6">
        <v>0.0</v>
      </c>
      <c r="CM30" s="6">
        <v>0.0</v>
      </c>
      <c r="CN30" s="6">
        <v>0.0</v>
      </c>
      <c r="CO30" s="6">
        <v>0.0</v>
      </c>
      <c r="CP30" s="6">
        <v>0.0</v>
      </c>
      <c r="CQ30" s="6">
        <v>0.0</v>
      </c>
      <c r="CR30" s="6">
        <v>0.0</v>
      </c>
      <c r="CS30" s="6">
        <v>0.0</v>
      </c>
      <c r="CT30" s="6">
        <v>0.0</v>
      </c>
      <c r="CU30" s="6">
        <v>0.0</v>
      </c>
      <c r="CV30" s="6">
        <f t="shared" ref="CV30:CX30" si="215">+CP30+CS30+CJ30+CM30</f>
        <v>0</v>
      </c>
      <c r="CW30" s="6">
        <f t="shared" si="215"/>
        <v>0</v>
      </c>
      <c r="CX30" s="6">
        <f t="shared" si="215"/>
        <v>0</v>
      </c>
      <c r="CY30" s="6">
        <v>0.0</v>
      </c>
      <c r="CZ30" s="6">
        <v>0.0</v>
      </c>
      <c r="DA30" s="6">
        <v>0.0</v>
      </c>
      <c r="DB30" s="6">
        <v>0.0</v>
      </c>
      <c r="DC30" s="6">
        <v>0.0</v>
      </c>
      <c r="DD30" s="6">
        <v>0.0</v>
      </c>
      <c r="DE30" s="6">
        <v>0.0</v>
      </c>
      <c r="DF30" s="6">
        <v>0.0</v>
      </c>
      <c r="DG30" s="6">
        <v>0.0</v>
      </c>
      <c r="DH30" s="6">
        <v>0.0</v>
      </c>
      <c r="DI30" s="6">
        <v>0.0</v>
      </c>
      <c r="DJ30" s="6">
        <v>0.0</v>
      </c>
      <c r="DK30" s="6">
        <f t="shared" ref="DK30:DM30" si="216">+DE30+DH30+CY30+DB30</f>
        <v>0</v>
      </c>
      <c r="DL30" s="6">
        <f t="shared" si="216"/>
        <v>0</v>
      </c>
      <c r="DM30" s="6">
        <f t="shared" si="216"/>
        <v>0</v>
      </c>
      <c r="DN30" s="6" t="str">
        <f t="shared" ref="DN30:DP30" si="217">+P30+AE30+AT30+BI30+BU30+CG30+CV30</f>
        <v>#REF!</v>
      </c>
      <c r="DO30" s="6" t="str">
        <f t="shared" si="217"/>
        <v>#REF!</v>
      </c>
      <c r="DP30" s="6" t="str">
        <f t="shared" si="217"/>
        <v>#REF!</v>
      </c>
      <c r="DQ30" s="6" t="str">
        <f t="shared" si="19"/>
        <v>#REF!</v>
      </c>
    </row>
    <row r="31" ht="13.5" customHeight="1">
      <c r="A31" s="11">
        <v>44264.0</v>
      </c>
      <c r="B31" s="2" t="s">
        <v>185</v>
      </c>
      <c r="C31" s="2" t="s">
        <v>186</v>
      </c>
      <c r="D31" s="29" t="s">
        <v>187</v>
      </c>
      <c r="E31" s="2" t="s">
        <v>188</v>
      </c>
      <c r="F31" s="11" t="s">
        <v>189</v>
      </c>
      <c r="G31" s="11" t="s">
        <v>6</v>
      </c>
      <c r="H31" s="5">
        <v>165000.0</v>
      </c>
      <c r="I31" s="5">
        <v>165000.0</v>
      </c>
      <c r="J31" s="6">
        <v>0.0</v>
      </c>
      <c r="K31" s="6">
        <v>0.0</v>
      </c>
      <c r="L31" s="6">
        <v>0.0</v>
      </c>
      <c r="M31" s="6">
        <v>0.0</v>
      </c>
      <c r="N31" s="6">
        <v>0.0</v>
      </c>
      <c r="O31" s="6">
        <v>0.0</v>
      </c>
      <c r="P31" s="6">
        <f t="shared" ref="P31:R31" si="218">+J31+M31</f>
        <v>0</v>
      </c>
      <c r="Q31" s="6">
        <f t="shared" si="218"/>
        <v>0</v>
      </c>
      <c r="R31" s="6">
        <f t="shared" si="218"/>
        <v>0</v>
      </c>
      <c r="S31" s="6">
        <v>0.0</v>
      </c>
      <c r="T31" s="6">
        <v>0.0</v>
      </c>
      <c r="U31" s="6">
        <v>0.0</v>
      </c>
      <c r="V31" s="5">
        <v>165000.0</v>
      </c>
      <c r="W31" s="5">
        <v>165000.0</v>
      </c>
      <c r="X31" s="6">
        <v>0.0</v>
      </c>
      <c r="Y31" s="6">
        <v>0.0</v>
      </c>
      <c r="Z31" s="6">
        <v>0.0</v>
      </c>
      <c r="AA31" s="6">
        <v>0.0</v>
      </c>
      <c r="AB31" s="6">
        <v>0.0</v>
      </c>
      <c r="AC31" s="6">
        <v>0.0</v>
      </c>
      <c r="AD31" s="6">
        <v>165000.0</v>
      </c>
      <c r="AE31" s="6">
        <f t="shared" ref="AE31:AG31" si="219">+Y31+AB31+S31+V31</f>
        <v>165000</v>
      </c>
      <c r="AF31" s="6">
        <f t="shared" si="219"/>
        <v>165000</v>
      </c>
      <c r="AG31" s="6">
        <f t="shared" si="219"/>
        <v>165000</v>
      </c>
      <c r="AH31" s="6">
        <v>0.0</v>
      </c>
      <c r="AI31" s="6">
        <v>0.0</v>
      </c>
      <c r="AJ31" s="6">
        <v>0.0</v>
      </c>
      <c r="AK31" s="6">
        <v>0.0</v>
      </c>
      <c r="AL31" s="6">
        <v>0.0</v>
      </c>
      <c r="AM31" s="6">
        <v>0.0</v>
      </c>
      <c r="AN31" s="6">
        <v>0.0</v>
      </c>
      <c r="AO31" s="6">
        <v>0.0</v>
      </c>
      <c r="AP31" s="6">
        <v>0.0</v>
      </c>
      <c r="AQ31" s="6">
        <v>0.0</v>
      </c>
      <c r="AR31" s="6">
        <v>0.0</v>
      </c>
      <c r="AS31" s="6">
        <v>0.0</v>
      </c>
      <c r="AT31" s="6">
        <f t="shared" ref="AT31:AV31" si="220">+AN31+AQ31+AH31+AK31</f>
        <v>0</v>
      </c>
      <c r="AU31" s="6">
        <f t="shared" si="220"/>
        <v>0</v>
      </c>
      <c r="AV31" s="6">
        <f t="shared" si="220"/>
        <v>0</v>
      </c>
      <c r="AW31" s="6">
        <v>0.0</v>
      </c>
      <c r="AX31" s="6">
        <v>0.0</v>
      </c>
      <c r="AY31" s="6">
        <v>0.0</v>
      </c>
      <c r="AZ31" s="6">
        <v>0.0</v>
      </c>
      <c r="BA31" s="6">
        <v>0.0</v>
      </c>
      <c r="BB31" s="6">
        <v>0.0</v>
      </c>
      <c r="BC31" s="6">
        <v>0.0</v>
      </c>
      <c r="BD31" s="6">
        <v>0.0</v>
      </c>
      <c r="BE31" s="6">
        <v>0.0</v>
      </c>
      <c r="BF31" s="6">
        <v>0.0</v>
      </c>
      <c r="BG31" s="6">
        <v>0.0</v>
      </c>
      <c r="BH31" s="6">
        <v>0.0</v>
      </c>
      <c r="BI31" s="6">
        <f t="shared" ref="BI31:BK31" si="221">+BC31+BF31+AW31+AZ31</f>
        <v>0</v>
      </c>
      <c r="BJ31" s="6">
        <f t="shared" si="221"/>
        <v>0</v>
      </c>
      <c r="BK31" s="6">
        <f t="shared" si="221"/>
        <v>0</v>
      </c>
      <c r="BL31" s="6">
        <v>0.0</v>
      </c>
      <c r="BM31" s="6">
        <v>0.0</v>
      </c>
      <c r="BN31" s="6">
        <v>0.0</v>
      </c>
      <c r="BO31" s="6">
        <v>0.0</v>
      </c>
      <c r="BP31" s="6">
        <v>0.0</v>
      </c>
      <c r="BQ31" s="6">
        <v>0.0</v>
      </c>
      <c r="BR31" s="6">
        <v>0.0</v>
      </c>
      <c r="BS31" s="6">
        <v>0.0</v>
      </c>
      <c r="BT31" s="6">
        <v>0.0</v>
      </c>
      <c r="BU31" s="6" t="str">
        <f t="shared" ref="BU31:BW31" si="222">+BO31+BR31+#REF!+BL31</f>
        <v>#REF!</v>
      </c>
      <c r="BV31" s="6" t="str">
        <f t="shared" si="222"/>
        <v>#REF!</v>
      </c>
      <c r="BW31" s="6" t="str">
        <f t="shared" si="222"/>
        <v>#REF!</v>
      </c>
      <c r="BX31" s="6">
        <v>0.0</v>
      </c>
      <c r="BY31" s="6">
        <v>0.0</v>
      </c>
      <c r="BZ31" s="6">
        <v>0.0</v>
      </c>
      <c r="CA31" s="6">
        <v>0.0</v>
      </c>
      <c r="CB31" s="6">
        <v>0.0</v>
      </c>
      <c r="CC31" s="6">
        <v>0.0</v>
      </c>
      <c r="CD31" s="6">
        <v>0.0</v>
      </c>
      <c r="CE31" s="6">
        <v>0.0</v>
      </c>
      <c r="CF31" s="6">
        <v>0.0</v>
      </c>
      <c r="CG31" s="6" t="str">
        <f t="shared" ref="CG31:CI31" si="223">+CA31+CD31+BX31+#REF!</f>
        <v>#REF!</v>
      </c>
      <c r="CH31" s="6" t="str">
        <f t="shared" si="223"/>
        <v>#REF!</v>
      </c>
      <c r="CI31" s="6" t="str">
        <f t="shared" si="223"/>
        <v>#REF!</v>
      </c>
      <c r="CJ31" s="6">
        <v>0.0</v>
      </c>
      <c r="CK31" s="6">
        <v>0.0</v>
      </c>
      <c r="CL31" s="6">
        <v>0.0</v>
      </c>
      <c r="CM31" s="6">
        <v>0.0</v>
      </c>
      <c r="CN31" s="6">
        <v>0.0</v>
      </c>
      <c r="CO31" s="6">
        <v>0.0</v>
      </c>
      <c r="CP31" s="6">
        <v>0.0</v>
      </c>
      <c r="CQ31" s="6">
        <v>0.0</v>
      </c>
      <c r="CR31" s="6">
        <v>0.0</v>
      </c>
      <c r="CS31" s="6">
        <v>0.0</v>
      </c>
      <c r="CT31" s="6">
        <v>0.0</v>
      </c>
      <c r="CU31" s="6">
        <v>0.0</v>
      </c>
      <c r="CV31" s="6">
        <f t="shared" ref="CV31:CX31" si="224">+CP31+CS31+CJ31+CM31</f>
        <v>0</v>
      </c>
      <c r="CW31" s="6">
        <f t="shared" si="224"/>
        <v>0</v>
      </c>
      <c r="CX31" s="6">
        <f t="shared" si="224"/>
        <v>0</v>
      </c>
      <c r="CY31" s="6">
        <v>0.0</v>
      </c>
      <c r="CZ31" s="6">
        <v>0.0</v>
      </c>
      <c r="DA31" s="6">
        <v>0.0</v>
      </c>
      <c r="DB31" s="6">
        <v>0.0</v>
      </c>
      <c r="DC31" s="6">
        <v>0.0</v>
      </c>
      <c r="DD31" s="6">
        <v>0.0</v>
      </c>
      <c r="DE31" s="6">
        <v>0.0</v>
      </c>
      <c r="DF31" s="6">
        <v>0.0</v>
      </c>
      <c r="DG31" s="6">
        <v>0.0</v>
      </c>
      <c r="DH31" s="6">
        <v>0.0</v>
      </c>
      <c r="DI31" s="6">
        <v>0.0</v>
      </c>
      <c r="DJ31" s="6">
        <v>0.0</v>
      </c>
      <c r="DK31" s="6">
        <f t="shared" ref="DK31:DM31" si="225">+DE31+DH31+CY31+DB31</f>
        <v>0</v>
      </c>
      <c r="DL31" s="6">
        <f t="shared" si="225"/>
        <v>0</v>
      </c>
      <c r="DM31" s="6">
        <f t="shared" si="225"/>
        <v>0</v>
      </c>
      <c r="DN31" s="6" t="str">
        <f t="shared" ref="DN31:DP31" si="226">+P31+AE31+AT31+BI31+BU31+CG31+CV31</f>
        <v>#REF!</v>
      </c>
      <c r="DO31" s="6" t="str">
        <f t="shared" si="226"/>
        <v>#REF!</v>
      </c>
      <c r="DP31" s="6" t="str">
        <f t="shared" si="226"/>
        <v>#REF!</v>
      </c>
      <c r="DQ31" s="6" t="str">
        <f t="shared" si="19"/>
        <v>#REF!</v>
      </c>
    </row>
    <row r="32" ht="13.5" customHeight="1">
      <c r="A32" s="11">
        <v>44294.0</v>
      </c>
      <c r="B32" s="2" t="s">
        <v>190</v>
      </c>
      <c r="C32" s="2" t="s">
        <v>191</v>
      </c>
      <c r="D32" s="29" t="s">
        <v>192</v>
      </c>
      <c r="E32" s="2" t="s">
        <v>193</v>
      </c>
      <c r="F32" s="11" t="s">
        <v>194</v>
      </c>
      <c r="G32" s="11" t="s">
        <v>7</v>
      </c>
      <c r="H32" s="5">
        <v>4125000.0</v>
      </c>
      <c r="I32" s="5">
        <v>4125000.0</v>
      </c>
      <c r="J32" s="6">
        <v>0.0</v>
      </c>
      <c r="K32" s="6">
        <v>0.0</v>
      </c>
      <c r="L32" s="6">
        <v>0.0</v>
      </c>
      <c r="M32" s="6">
        <v>0.0</v>
      </c>
      <c r="N32" s="6">
        <v>0.0</v>
      </c>
      <c r="O32" s="6">
        <v>0.0</v>
      </c>
      <c r="P32" s="6">
        <f t="shared" ref="P32:R32" si="227">+J32+M32</f>
        <v>0</v>
      </c>
      <c r="Q32" s="6">
        <f t="shared" si="227"/>
        <v>0</v>
      </c>
      <c r="R32" s="6">
        <f t="shared" si="227"/>
        <v>0</v>
      </c>
      <c r="S32" s="6">
        <v>0.0</v>
      </c>
      <c r="T32" s="6">
        <v>0.0</v>
      </c>
      <c r="U32" s="6">
        <v>0.0</v>
      </c>
      <c r="V32" s="6">
        <v>0.0</v>
      </c>
      <c r="W32" s="6">
        <v>0.0</v>
      </c>
      <c r="X32" s="6">
        <v>0.0</v>
      </c>
      <c r="Y32" s="5">
        <v>4125000.0</v>
      </c>
      <c r="Z32" s="5">
        <v>4125000.0</v>
      </c>
      <c r="AA32" s="6">
        <v>0.0</v>
      </c>
      <c r="AB32" s="6">
        <v>0.0</v>
      </c>
      <c r="AC32" s="6">
        <v>0.0</v>
      </c>
      <c r="AD32" s="6">
        <v>4125000.0</v>
      </c>
      <c r="AE32" s="6">
        <f t="shared" ref="AE32:AG32" si="228">+Y32+AB32+S32+V32</f>
        <v>4125000</v>
      </c>
      <c r="AF32" s="6">
        <f t="shared" si="228"/>
        <v>4125000</v>
      </c>
      <c r="AG32" s="6">
        <f t="shared" si="228"/>
        <v>4125000</v>
      </c>
      <c r="AH32" s="6">
        <v>0.0</v>
      </c>
      <c r="AI32" s="6">
        <v>0.0</v>
      </c>
      <c r="AJ32" s="6">
        <v>0.0</v>
      </c>
      <c r="AK32" s="6">
        <v>0.0</v>
      </c>
      <c r="AL32" s="6">
        <v>0.0</v>
      </c>
      <c r="AM32" s="6">
        <v>0.0</v>
      </c>
      <c r="AN32" s="6">
        <v>0.0</v>
      </c>
      <c r="AO32" s="6">
        <v>0.0</v>
      </c>
      <c r="AP32" s="6">
        <v>0.0</v>
      </c>
      <c r="AQ32" s="6">
        <v>0.0</v>
      </c>
      <c r="AR32" s="6">
        <v>0.0</v>
      </c>
      <c r="AS32" s="6">
        <v>0.0</v>
      </c>
      <c r="AT32" s="6">
        <f t="shared" ref="AT32:AV32" si="229">+AN32+AQ32+AH32+AK32</f>
        <v>0</v>
      </c>
      <c r="AU32" s="6">
        <f t="shared" si="229"/>
        <v>0</v>
      </c>
      <c r="AV32" s="6">
        <f t="shared" si="229"/>
        <v>0</v>
      </c>
      <c r="AW32" s="6">
        <v>0.0</v>
      </c>
      <c r="AX32" s="6">
        <v>0.0</v>
      </c>
      <c r="AY32" s="6">
        <v>0.0</v>
      </c>
      <c r="AZ32" s="6">
        <v>0.0</v>
      </c>
      <c r="BA32" s="6">
        <v>0.0</v>
      </c>
      <c r="BB32" s="6">
        <v>0.0</v>
      </c>
      <c r="BC32" s="6">
        <v>0.0</v>
      </c>
      <c r="BD32" s="6">
        <v>0.0</v>
      </c>
      <c r="BE32" s="6">
        <v>0.0</v>
      </c>
      <c r="BF32" s="6">
        <v>0.0</v>
      </c>
      <c r="BG32" s="6">
        <v>0.0</v>
      </c>
      <c r="BH32" s="6">
        <v>0.0</v>
      </c>
      <c r="BI32" s="6">
        <f t="shared" ref="BI32:BK32" si="230">+BC32+BF32+AW32+AZ32</f>
        <v>0</v>
      </c>
      <c r="BJ32" s="6">
        <f t="shared" si="230"/>
        <v>0</v>
      </c>
      <c r="BK32" s="6">
        <f t="shared" si="230"/>
        <v>0</v>
      </c>
      <c r="BL32" s="6">
        <v>0.0</v>
      </c>
      <c r="BM32" s="6">
        <v>0.0</v>
      </c>
      <c r="BN32" s="6">
        <v>0.0</v>
      </c>
      <c r="BO32" s="6">
        <v>0.0</v>
      </c>
      <c r="BP32" s="6">
        <v>0.0</v>
      </c>
      <c r="BQ32" s="6">
        <v>0.0</v>
      </c>
      <c r="BR32" s="6">
        <v>0.0</v>
      </c>
      <c r="BS32" s="6">
        <v>0.0</v>
      </c>
      <c r="BT32" s="6">
        <v>0.0</v>
      </c>
      <c r="BU32" s="6" t="str">
        <f t="shared" ref="BU32:BW32" si="231">+BO32+BR32+#REF!+BL32</f>
        <v>#REF!</v>
      </c>
      <c r="BV32" s="6" t="str">
        <f t="shared" si="231"/>
        <v>#REF!</v>
      </c>
      <c r="BW32" s="6" t="str">
        <f t="shared" si="231"/>
        <v>#REF!</v>
      </c>
      <c r="BX32" s="6">
        <v>0.0</v>
      </c>
      <c r="BY32" s="6">
        <v>0.0</v>
      </c>
      <c r="BZ32" s="6">
        <v>0.0</v>
      </c>
      <c r="CA32" s="6">
        <v>0.0</v>
      </c>
      <c r="CB32" s="6">
        <v>0.0</v>
      </c>
      <c r="CC32" s="6">
        <v>0.0</v>
      </c>
      <c r="CD32" s="6">
        <v>0.0</v>
      </c>
      <c r="CE32" s="6">
        <v>0.0</v>
      </c>
      <c r="CF32" s="6">
        <v>0.0</v>
      </c>
      <c r="CG32" s="6" t="str">
        <f t="shared" ref="CG32:CI32" si="232">+CA32+CD32+BX32+#REF!</f>
        <v>#REF!</v>
      </c>
      <c r="CH32" s="6" t="str">
        <f t="shared" si="232"/>
        <v>#REF!</v>
      </c>
      <c r="CI32" s="6" t="str">
        <f t="shared" si="232"/>
        <v>#REF!</v>
      </c>
      <c r="CJ32" s="6">
        <v>0.0</v>
      </c>
      <c r="CK32" s="6">
        <v>0.0</v>
      </c>
      <c r="CL32" s="6">
        <v>0.0</v>
      </c>
      <c r="CM32" s="6">
        <v>0.0</v>
      </c>
      <c r="CN32" s="6">
        <v>0.0</v>
      </c>
      <c r="CO32" s="6">
        <v>0.0</v>
      </c>
      <c r="CP32" s="6">
        <v>0.0</v>
      </c>
      <c r="CQ32" s="6">
        <v>0.0</v>
      </c>
      <c r="CR32" s="6">
        <v>0.0</v>
      </c>
      <c r="CS32" s="6">
        <v>0.0</v>
      </c>
      <c r="CT32" s="6">
        <v>0.0</v>
      </c>
      <c r="CU32" s="6">
        <v>0.0</v>
      </c>
      <c r="CV32" s="6">
        <f t="shared" ref="CV32:CX32" si="233">+CP32+CS32+CJ32+CM32</f>
        <v>0</v>
      </c>
      <c r="CW32" s="6">
        <f t="shared" si="233"/>
        <v>0</v>
      </c>
      <c r="CX32" s="6">
        <f t="shared" si="233"/>
        <v>0</v>
      </c>
      <c r="CY32" s="6">
        <v>0.0</v>
      </c>
      <c r="CZ32" s="6">
        <v>0.0</v>
      </c>
      <c r="DA32" s="6">
        <v>0.0</v>
      </c>
      <c r="DB32" s="6">
        <v>0.0</v>
      </c>
      <c r="DC32" s="6">
        <v>0.0</v>
      </c>
      <c r="DD32" s="6">
        <v>0.0</v>
      </c>
      <c r="DE32" s="6">
        <v>0.0</v>
      </c>
      <c r="DF32" s="6">
        <v>0.0</v>
      </c>
      <c r="DG32" s="6">
        <v>0.0</v>
      </c>
      <c r="DH32" s="6">
        <v>0.0</v>
      </c>
      <c r="DI32" s="6">
        <v>0.0</v>
      </c>
      <c r="DJ32" s="6">
        <v>0.0</v>
      </c>
      <c r="DK32" s="6">
        <f t="shared" ref="DK32:DM32" si="234">+DE32+DH32+CY32+DB32</f>
        <v>0</v>
      </c>
      <c r="DL32" s="6">
        <f t="shared" si="234"/>
        <v>0</v>
      </c>
      <c r="DM32" s="6">
        <f t="shared" si="234"/>
        <v>0</v>
      </c>
      <c r="DN32" s="6" t="str">
        <f t="shared" ref="DN32:DP32" si="235">+P32+AE32+AT32+BI32+BU32+CG32+CV32</f>
        <v>#REF!</v>
      </c>
      <c r="DO32" s="6" t="str">
        <f t="shared" si="235"/>
        <v>#REF!</v>
      </c>
      <c r="DP32" s="6" t="str">
        <f t="shared" si="235"/>
        <v>#REF!</v>
      </c>
      <c r="DQ32" s="6" t="str">
        <f t="shared" si="19"/>
        <v>#REF!</v>
      </c>
    </row>
    <row r="33" ht="13.5" customHeight="1">
      <c r="A33" s="11">
        <v>44327.0</v>
      </c>
      <c r="B33" s="2" t="s">
        <v>195</v>
      </c>
      <c r="C33" s="2" t="s">
        <v>196</v>
      </c>
      <c r="D33" s="29" t="s">
        <v>197</v>
      </c>
      <c r="E33" s="2" t="s">
        <v>198</v>
      </c>
      <c r="F33" s="11" t="s">
        <v>199</v>
      </c>
      <c r="G33" s="11" t="s">
        <v>7</v>
      </c>
      <c r="H33" s="5">
        <v>630924.61</v>
      </c>
      <c r="I33" s="5">
        <v>630924.61</v>
      </c>
      <c r="J33" s="6">
        <v>0.0</v>
      </c>
      <c r="K33" s="6">
        <v>0.0</v>
      </c>
      <c r="L33" s="6">
        <v>0.0</v>
      </c>
      <c r="M33" s="6">
        <v>0.0</v>
      </c>
      <c r="N33" s="6">
        <v>0.0</v>
      </c>
      <c r="O33" s="6">
        <v>0.0</v>
      </c>
      <c r="P33" s="6">
        <f t="shared" ref="P33:R33" si="236">+J33+M33</f>
        <v>0</v>
      </c>
      <c r="Q33" s="6">
        <f t="shared" si="236"/>
        <v>0</v>
      </c>
      <c r="R33" s="6">
        <f t="shared" si="236"/>
        <v>0</v>
      </c>
      <c r="S33" s="6">
        <v>0.0</v>
      </c>
      <c r="T33" s="6">
        <v>0.0</v>
      </c>
      <c r="U33" s="6">
        <v>0.0</v>
      </c>
      <c r="V33" s="6">
        <v>0.0</v>
      </c>
      <c r="W33" s="6">
        <v>0.0</v>
      </c>
      <c r="X33" s="6">
        <v>0.0</v>
      </c>
      <c r="Y33" s="5">
        <v>630924.61</v>
      </c>
      <c r="Z33" s="5">
        <v>630924.61</v>
      </c>
      <c r="AA33" s="6">
        <v>0.0</v>
      </c>
      <c r="AB33" s="6">
        <v>0.0</v>
      </c>
      <c r="AC33" s="6">
        <v>0.0</v>
      </c>
      <c r="AD33" s="6">
        <v>200000.0</v>
      </c>
      <c r="AE33" s="6">
        <f t="shared" ref="AE33:AG33" si="237">+Y33+AB33+S33+V33</f>
        <v>630924.61</v>
      </c>
      <c r="AF33" s="6">
        <f t="shared" si="237"/>
        <v>630924.61</v>
      </c>
      <c r="AG33" s="6">
        <f t="shared" si="237"/>
        <v>200000</v>
      </c>
      <c r="AH33" s="6">
        <v>0.0</v>
      </c>
      <c r="AI33" s="6">
        <v>0.0</v>
      </c>
      <c r="AJ33" s="6">
        <v>100000.0</v>
      </c>
      <c r="AK33" s="6">
        <v>0.0</v>
      </c>
      <c r="AL33" s="6">
        <v>0.0</v>
      </c>
      <c r="AM33" s="6">
        <v>330924.61</v>
      </c>
      <c r="AN33" s="6">
        <v>0.0</v>
      </c>
      <c r="AO33" s="6">
        <v>0.0</v>
      </c>
      <c r="AP33" s="6">
        <v>0.0</v>
      </c>
      <c r="AQ33" s="6">
        <v>0.0</v>
      </c>
      <c r="AR33" s="6">
        <v>0.0</v>
      </c>
      <c r="AS33" s="6">
        <v>0.0</v>
      </c>
      <c r="AT33" s="6">
        <f t="shared" ref="AT33:AV33" si="238">+AN33+AQ33+AH33+AK33</f>
        <v>0</v>
      </c>
      <c r="AU33" s="6">
        <f t="shared" si="238"/>
        <v>0</v>
      </c>
      <c r="AV33" s="6">
        <f t="shared" si="238"/>
        <v>430924.61</v>
      </c>
      <c r="AW33" s="6">
        <v>0.0</v>
      </c>
      <c r="AX33" s="6">
        <v>0.0</v>
      </c>
      <c r="AY33" s="6">
        <v>0.0</v>
      </c>
      <c r="AZ33" s="6">
        <v>0.0</v>
      </c>
      <c r="BA33" s="6">
        <v>0.0</v>
      </c>
      <c r="BB33" s="6">
        <v>0.0</v>
      </c>
      <c r="BC33" s="6">
        <v>0.0</v>
      </c>
      <c r="BD33" s="6">
        <v>0.0</v>
      </c>
      <c r="BE33" s="6">
        <v>0.0</v>
      </c>
      <c r="BF33" s="6">
        <v>0.0</v>
      </c>
      <c r="BG33" s="6">
        <v>0.0</v>
      </c>
      <c r="BH33" s="6">
        <v>0.0</v>
      </c>
      <c r="BI33" s="6">
        <f t="shared" ref="BI33:BK33" si="239">+BC33+BF33+AW33+AZ33</f>
        <v>0</v>
      </c>
      <c r="BJ33" s="6">
        <f t="shared" si="239"/>
        <v>0</v>
      </c>
      <c r="BK33" s="6">
        <f t="shared" si="239"/>
        <v>0</v>
      </c>
      <c r="BL33" s="6">
        <v>0.0</v>
      </c>
      <c r="BM33" s="6">
        <v>0.0</v>
      </c>
      <c r="BN33" s="6">
        <v>0.0</v>
      </c>
      <c r="BO33" s="6">
        <v>0.0</v>
      </c>
      <c r="BP33" s="6">
        <v>0.0</v>
      </c>
      <c r="BQ33" s="6">
        <v>0.0</v>
      </c>
      <c r="BR33" s="6">
        <v>0.0</v>
      </c>
      <c r="BS33" s="6">
        <v>0.0</v>
      </c>
      <c r="BT33" s="6">
        <v>0.0</v>
      </c>
      <c r="BU33" s="6" t="str">
        <f t="shared" ref="BU33:BW33" si="240">+BO33+BR33+#REF!+BL33</f>
        <v>#REF!</v>
      </c>
      <c r="BV33" s="6" t="str">
        <f t="shared" si="240"/>
        <v>#REF!</v>
      </c>
      <c r="BW33" s="6" t="str">
        <f t="shared" si="240"/>
        <v>#REF!</v>
      </c>
      <c r="BX33" s="6">
        <v>0.0</v>
      </c>
      <c r="BY33" s="6">
        <v>0.0</v>
      </c>
      <c r="BZ33" s="6">
        <v>0.0</v>
      </c>
      <c r="CA33" s="6">
        <v>0.0</v>
      </c>
      <c r="CB33" s="6">
        <v>0.0</v>
      </c>
      <c r="CC33" s="6">
        <v>0.0</v>
      </c>
      <c r="CD33" s="6">
        <v>0.0</v>
      </c>
      <c r="CE33" s="6">
        <v>0.0</v>
      </c>
      <c r="CF33" s="6">
        <v>0.0</v>
      </c>
      <c r="CG33" s="6" t="str">
        <f t="shared" ref="CG33:CI33" si="241">+CA33+CD33+BX33+#REF!</f>
        <v>#REF!</v>
      </c>
      <c r="CH33" s="6" t="str">
        <f t="shared" si="241"/>
        <v>#REF!</v>
      </c>
      <c r="CI33" s="6" t="str">
        <f t="shared" si="241"/>
        <v>#REF!</v>
      </c>
      <c r="CJ33" s="6">
        <v>0.0</v>
      </c>
      <c r="CK33" s="6">
        <v>0.0</v>
      </c>
      <c r="CL33" s="6">
        <v>0.0</v>
      </c>
      <c r="CM33" s="6">
        <v>0.0</v>
      </c>
      <c r="CN33" s="6">
        <v>0.0</v>
      </c>
      <c r="CO33" s="6">
        <v>0.0</v>
      </c>
      <c r="CP33" s="6">
        <v>0.0</v>
      </c>
      <c r="CQ33" s="6">
        <v>0.0</v>
      </c>
      <c r="CR33" s="6">
        <v>0.0</v>
      </c>
      <c r="CS33" s="6">
        <v>0.0</v>
      </c>
      <c r="CT33" s="6">
        <v>0.0</v>
      </c>
      <c r="CU33" s="6">
        <v>0.0</v>
      </c>
      <c r="CV33" s="6">
        <f t="shared" ref="CV33:CX33" si="242">+CP33+CS33+CJ33+CM33</f>
        <v>0</v>
      </c>
      <c r="CW33" s="6">
        <f t="shared" si="242"/>
        <v>0</v>
      </c>
      <c r="CX33" s="6">
        <f t="shared" si="242"/>
        <v>0</v>
      </c>
      <c r="CY33" s="6">
        <v>0.0</v>
      </c>
      <c r="CZ33" s="6">
        <v>0.0</v>
      </c>
      <c r="DA33" s="6">
        <v>0.0</v>
      </c>
      <c r="DB33" s="6">
        <v>0.0</v>
      </c>
      <c r="DC33" s="6">
        <v>0.0</v>
      </c>
      <c r="DD33" s="6">
        <v>0.0</v>
      </c>
      <c r="DE33" s="6">
        <v>0.0</v>
      </c>
      <c r="DF33" s="6">
        <v>0.0</v>
      </c>
      <c r="DG33" s="6">
        <v>0.0</v>
      </c>
      <c r="DH33" s="6">
        <v>0.0</v>
      </c>
      <c r="DI33" s="6">
        <v>0.0</v>
      </c>
      <c r="DJ33" s="6">
        <v>0.0</v>
      </c>
      <c r="DK33" s="6">
        <f t="shared" ref="DK33:DM33" si="243">+DE33+DH33+CY33+DB33</f>
        <v>0</v>
      </c>
      <c r="DL33" s="6">
        <f t="shared" si="243"/>
        <v>0</v>
      </c>
      <c r="DM33" s="6">
        <f t="shared" si="243"/>
        <v>0</v>
      </c>
      <c r="DN33" s="6" t="str">
        <f t="shared" ref="DN33:DP33" si="244">+P33+AE33+AT33+BI33+BU33+CG33+CV33</f>
        <v>#REF!</v>
      </c>
      <c r="DO33" s="6" t="str">
        <f t="shared" si="244"/>
        <v>#REF!</v>
      </c>
      <c r="DP33" s="6" t="str">
        <f t="shared" si="244"/>
        <v>#REF!</v>
      </c>
      <c r="DQ33" s="6" t="str">
        <f t="shared" si="19"/>
        <v>#REF!</v>
      </c>
    </row>
    <row r="34" ht="13.5" customHeight="1">
      <c r="A34" s="11">
        <v>44316.0</v>
      </c>
      <c r="B34" s="2" t="s">
        <v>200</v>
      </c>
      <c r="C34" s="2" t="s">
        <v>201</v>
      </c>
      <c r="D34" s="29" t="s">
        <v>202</v>
      </c>
      <c r="E34" s="2" t="s">
        <v>203</v>
      </c>
      <c r="F34" s="11" t="s">
        <v>194</v>
      </c>
      <c r="G34" s="11" t="s">
        <v>7</v>
      </c>
      <c r="H34" s="5">
        <v>3788001.31</v>
      </c>
      <c r="I34" s="5">
        <v>3788001.31</v>
      </c>
      <c r="J34" s="6">
        <v>0.0</v>
      </c>
      <c r="K34" s="6">
        <v>0.0</v>
      </c>
      <c r="L34" s="6">
        <v>0.0</v>
      </c>
      <c r="M34" s="6">
        <v>0.0</v>
      </c>
      <c r="N34" s="6">
        <v>0.0</v>
      </c>
      <c r="O34" s="6">
        <v>0.0</v>
      </c>
      <c r="P34" s="6">
        <f t="shared" ref="P34:R34" si="245">+J34+M34</f>
        <v>0</v>
      </c>
      <c r="Q34" s="6">
        <f t="shared" si="245"/>
        <v>0</v>
      </c>
      <c r="R34" s="6">
        <f t="shared" si="245"/>
        <v>0</v>
      </c>
      <c r="S34" s="6">
        <v>0.0</v>
      </c>
      <c r="T34" s="6">
        <v>0.0</v>
      </c>
      <c r="U34" s="6">
        <v>0.0</v>
      </c>
      <c r="V34" s="6">
        <v>0.0</v>
      </c>
      <c r="W34" s="6">
        <v>0.0</v>
      </c>
      <c r="X34" s="6">
        <v>0.0</v>
      </c>
      <c r="Y34" s="5">
        <v>3788001.31</v>
      </c>
      <c r="Z34" s="5">
        <v>3788001.31</v>
      </c>
      <c r="AA34" s="6">
        <v>0.0</v>
      </c>
      <c r="AB34" s="6">
        <v>0.0</v>
      </c>
      <c r="AC34" s="6">
        <v>0.0</v>
      </c>
      <c r="AD34" s="6">
        <v>1770000.0</v>
      </c>
      <c r="AE34" s="6">
        <f t="shared" ref="AE34:AG34" si="246">+Y34+AB34+S34+V34</f>
        <v>3788001.31</v>
      </c>
      <c r="AF34" s="6">
        <f t="shared" si="246"/>
        <v>3788001.31</v>
      </c>
      <c r="AG34" s="6">
        <f t="shared" si="246"/>
        <v>1770000</v>
      </c>
      <c r="AH34" s="6">
        <v>0.0</v>
      </c>
      <c r="AI34" s="6">
        <v>0.0</v>
      </c>
      <c r="AJ34" s="6">
        <v>1500000.0</v>
      </c>
      <c r="AK34" s="6">
        <v>0.0</v>
      </c>
      <c r="AL34" s="6">
        <v>0.0</v>
      </c>
      <c r="AM34" s="6">
        <v>518001.31</v>
      </c>
      <c r="AN34" s="6">
        <v>0.0</v>
      </c>
      <c r="AO34" s="6">
        <v>0.0</v>
      </c>
      <c r="AP34" s="6">
        <v>0.0</v>
      </c>
      <c r="AQ34" s="6">
        <v>0.0</v>
      </c>
      <c r="AR34" s="6">
        <v>0.0</v>
      </c>
      <c r="AS34" s="6">
        <v>0.0</v>
      </c>
      <c r="AT34" s="6">
        <f t="shared" ref="AT34:AV34" si="247">+AN34+AQ34+AH34+AK34</f>
        <v>0</v>
      </c>
      <c r="AU34" s="6">
        <f t="shared" si="247"/>
        <v>0</v>
      </c>
      <c r="AV34" s="6">
        <f t="shared" si="247"/>
        <v>2018001.31</v>
      </c>
      <c r="AW34" s="6">
        <v>0.0</v>
      </c>
      <c r="AX34" s="6">
        <v>0.0</v>
      </c>
      <c r="AY34" s="6">
        <v>0.0</v>
      </c>
      <c r="AZ34" s="6">
        <v>0.0</v>
      </c>
      <c r="BA34" s="6">
        <v>0.0</v>
      </c>
      <c r="BB34" s="6">
        <v>0.0</v>
      </c>
      <c r="BC34" s="6">
        <v>0.0</v>
      </c>
      <c r="BD34" s="6">
        <v>0.0</v>
      </c>
      <c r="BE34" s="6">
        <v>0.0</v>
      </c>
      <c r="BF34" s="6">
        <v>0.0</v>
      </c>
      <c r="BG34" s="6">
        <v>0.0</v>
      </c>
      <c r="BH34" s="6">
        <v>0.0</v>
      </c>
      <c r="BI34" s="6">
        <f t="shared" ref="BI34:BK34" si="248">+BC34+BF34+AW34+AZ34</f>
        <v>0</v>
      </c>
      <c r="BJ34" s="6">
        <f t="shared" si="248"/>
        <v>0</v>
      </c>
      <c r="BK34" s="6">
        <f t="shared" si="248"/>
        <v>0</v>
      </c>
      <c r="BL34" s="6">
        <v>0.0</v>
      </c>
      <c r="BM34" s="6">
        <v>0.0</v>
      </c>
      <c r="BN34" s="6">
        <v>0.0</v>
      </c>
      <c r="BO34" s="6">
        <v>0.0</v>
      </c>
      <c r="BP34" s="6">
        <v>0.0</v>
      </c>
      <c r="BQ34" s="6">
        <v>0.0</v>
      </c>
      <c r="BR34" s="6">
        <v>0.0</v>
      </c>
      <c r="BS34" s="6">
        <v>0.0</v>
      </c>
      <c r="BT34" s="6">
        <v>0.0</v>
      </c>
      <c r="BU34" s="6" t="str">
        <f t="shared" ref="BU34:BW34" si="249">+BO34+BR34+#REF!+BL34</f>
        <v>#REF!</v>
      </c>
      <c r="BV34" s="6" t="str">
        <f t="shared" si="249"/>
        <v>#REF!</v>
      </c>
      <c r="BW34" s="6" t="str">
        <f t="shared" si="249"/>
        <v>#REF!</v>
      </c>
      <c r="BX34" s="6">
        <v>0.0</v>
      </c>
      <c r="BY34" s="6">
        <v>0.0</v>
      </c>
      <c r="BZ34" s="6">
        <v>0.0</v>
      </c>
      <c r="CA34" s="6">
        <v>0.0</v>
      </c>
      <c r="CB34" s="6">
        <v>0.0</v>
      </c>
      <c r="CC34" s="6">
        <v>0.0</v>
      </c>
      <c r="CD34" s="6">
        <v>0.0</v>
      </c>
      <c r="CE34" s="6">
        <v>0.0</v>
      </c>
      <c r="CF34" s="6">
        <v>0.0</v>
      </c>
      <c r="CG34" s="6" t="str">
        <f t="shared" ref="CG34:CI34" si="250">+CA34+CD34+BX34+#REF!</f>
        <v>#REF!</v>
      </c>
      <c r="CH34" s="6" t="str">
        <f t="shared" si="250"/>
        <v>#REF!</v>
      </c>
      <c r="CI34" s="6" t="str">
        <f t="shared" si="250"/>
        <v>#REF!</v>
      </c>
      <c r="CJ34" s="6">
        <v>0.0</v>
      </c>
      <c r="CK34" s="6">
        <v>0.0</v>
      </c>
      <c r="CL34" s="6">
        <v>0.0</v>
      </c>
      <c r="CM34" s="6">
        <v>0.0</v>
      </c>
      <c r="CN34" s="6">
        <v>0.0</v>
      </c>
      <c r="CO34" s="6">
        <v>0.0</v>
      </c>
      <c r="CP34" s="6">
        <v>0.0</v>
      </c>
      <c r="CQ34" s="6">
        <v>0.0</v>
      </c>
      <c r="CR34" s="6">
        <v>0.0</v>
      </c>
      <c r="CS34" s="6">
        <v>0.0</v>
      </c>
      <c r="CT34" s="6">
        <v>0.0</v>
      </c>
      <c r="CU34" s="6">
        <v>0.0</v>
      </c>
      <c r="CV34" s="6">
        <f t="shared" ref="CV34:CX34" si="251">+CP34+CS34+CJ34+CM34</f>
        <v>0</v>
      </c>
      <c r="CW34" s="6">
        <f t="shared" si="251"/>
        <v>0</v>
      </c>
      <c r="CX34" s="6">
        <f t="shared" si="251"/>
        <v>0</v>
      </c>
      <c r="CY34" s="6">
        <v>0.0</v>
      </c>
      <c r="CZ34" s="6">
        <v>0.0</v>
      </c>
      <c r="DA34" s="6">
        <v>0.0</v>
      </c>
      <c r="DB34" s="6">
        <v>0.0</v>
      </c>
      <c r="DC34" s="6">
        <v>0.0</v>
      </c>
      <c r="DD34" s="6">
        <v>0.0</v>
      </c>
      <c r="DE34" s="6">
        <v>0.0</v>
      </c>
      <c r="DF34" s="6">
        <v>0.0</v>
      </c>
      <c r="DG34" s="6">
        <v>0.0</v>
      </c>
      <c r="DH34" s="6">
        <v>0.0</v>
      </c>
      <c r="DI34" s="6">
        <v>0.0</v>
      </c>
      <c r="DJ34" s="6">
        <v>0.0</v>
      </c>
      <c r="DK34" s="6">
        <f t="shared" ref="DK34:DM34" si="252">+DE34+DH34+CY34+DB34</f>
        <v>0</v>
      </c>
      <c r="DL34" s="6">
        <f t="shared" si="252"/>
        <v>0</v>
      </c>
      <c r="DM34" s="6">
        <f t="shared" si="252"/>
        <v>0</v>
      </c>
      <c r="DN34" s="6" t="str">
        <f t="shared" ref="DN34:DP34" si="253">+P34+AE34+AT34+BI34+BU34+CG34+CV34</f>
        <v>#REF!</v>
      </c>
      <c r="DO34" s="6" t="str">
        <f t="shared" si="253"/>
        <v>#REF!</v>
      </c>
      <c r="DP34" s="6" t="str">
        <f t="shared" si="253"/>
        <v>#REF!</v>
      </c>
      <c r="DQ34" s="6" t="str">
        <f t="shared" si="19"/>
        <v>#REF!</v>
      </c>
    </row>
    <row r="35" ht="13.5" customHeight="1">
      <c r="A35" s="11">
        <v>44335.0</v>
      </c>
      <c r="B35" s="2" t="s">
        <v>204</v>
      </c>
      <c r="C35" s="2" t="s">
        <v>205</v>
      </c>
      <c r="D35" s="29" t="s">
        <v>206</v>
      </c>
      <c r="E35" s="2" t="s">
        <v>207</v>
      </c>
      <c r="F35" s="11" t="s">
        <v>208</v>
      </c>
      <c r="G35" s="11" t="s">
        <v>7</v>
      </c>
      <c r="H35" s="5">
        <v>110000.0</v>
      </c>
      <c r="I35" s="5">
        <v>110000.0</v>
      </c>
      <c r="J35" s="6">
        <v>0.0</v>
      </c>
      <c r="K35" s="6">
        <v>0.0</v>
      </c>
      <c r="L35" s="6">
        <v>0.0</v>
      </c>
      <c r="M35" s="6">
        <v>0.0</v>
      </c>
      <c r="N35" s="6">
        <v>0.0</v>
      </c>
      <c r="O35" s="6">
        <v>0.0</v>
      </c>
      <c r="P35" s="6">
        <f t="shared" ref="P35:R35" si="254">+J35+M35</f>
        <v>0</v>
      </c>
      <c r="Q35" s="6">
        <f t="shared" si="254"/>
        <v>0</v>
      </c>
      <c r="R35" s="6">
        <f t="shared" si="254"/>
        <v>0</v>
      </c>
      <c r="S35" s="6">
        <v>0.0</v>
      </c>
      <c r="T35" s="6">
        <v>0.0</v>
      </c>
      <c r="U35" s="6">
        <v>0.0</v>
      </c>
      <c r="V35" s="6">
        <v>0.0</v>
      </c>
      <c r="W35" s="6">
        <v>0.0</v>
      </c>
      <c r="X35" s="6">
        <v>0.0</v>
      </c>
      <c r="Y35" s="5">
        <v>110000.0</v>
      </c>
      <c r="Z35" s="5">
        <v>110000.0</v>
      </c>
      <c r="AA35" s="6">
        <v>0.0</v>
      </c>
      <c r="AB35" s="6">
        <v>0.0</v>
      </c>
      <c r="AC35" s="6">
        <v>0.0</v>
      </c>
      <c r="AD35" s="6">
        <v>90000.0</v>
      </c>
      <c r="AE35" s="6">
        <f t="shared" ref="AE35:AG35" si="255">+Y35+AB35+S35+V35</f>
        <v>110000</v>
      </c>
      <c r="AF35" s="6">
        <f t="shared" si="255"/>
        <v>110000</v>
      </c>
      <c r="AG35" s="6">
        <f t="shared" si="255"/>
        <v>90000</v>
      </c>
      <c r="AH35" s="6">
        <v>0.0</v>
      </c>
      <c r="AI35" s="6">
        <v>0.0</v>
      </c>
      <c r="AJ35" s="6">
        <v>20000.0</v>
      </c>
      <c r="AK35" s="6">
        <v>0.0</v>
      </c>
      <c r="AL35" s="6">
        <v>0.0</v>
      </c>
      <c r="AM35" s="6">
        <v>0.0</v>
      </c>
      <c r="AN35" s="6">
        <v>0.0</v>
      </c>
      <c r="AO35" s="6">
        <v>0.0</v>
      </c>
      <c r="AP35" s="6">
        <v>0.0</v>
      </c>
      <c r="AQ35" s="6">
        <v>0.0</v>
      </c>
      <c r="AR35" s="6">
        <v>0.0</v>
      </c>
      <c r="AS35" s="6">
        <v>0.0</v>
      </c>
      <c r="AT35" s="6">
        <f t="shared" ref="AT35:AV35" si="256">+AN35+AQ35+AH35+AK35</f>
        <v>0</v>
      </c>
      <c r="AU35" s="6">
        <f t="shared" si="256"/>
        <v>0</v>
      </c>
      <c r="AV35" s="6">
        <f t="shared" si="256"/>
        <v>20000</v>
      </c>
      <c r="AW35" s="6">
        <v>0.0</v>
      </c>
      <c r="AX35" s="6">
        <v>0.0</v>
      </c>
      <c r="AY35" s="6">
        <v>0.0</v>
      </c>
      <c r="AZ35" s="6">
        <v>0.0</v>
      </c>
      <c r="BA35" s="6">
        <v>0.0</v>
      </c>
      <c r="BB35" s="6">
        <v>0.0</v>
      </c>
      <c r="BC35" s="6">
        <v>0.0</v>
      </c>
      <c r="BD35" s="6">
        <v>0.0</v>
      </c>
      <c r="BE35" s="6">
        <v>0.0</v>
      </c>
      <c r="BF35" s="6">
        <v>0.0</v>
      </c>
      <c r="BG35" s="6">
        <v>0.0</v>
      </c>
      <c r="BH35" s="6">
        <v>0.0</v>
      </c>
      <c r="BI35" s="6">
        <f t="shared" ref="BI35:BK35" si="257">+BC35+BF35+AW35+AZ35</f>
        <v>0</v>
      </c>
      <c r="BJ35" s="6">
        <f t="shared" si="257"/>
        <v>0</v>
      </c>
      <c r="BK35" s="6">
        <f t="shared" si="257"/>
        <v>0</v>
      </c>
      <c r="BL35" s="6">
        <v>0.0</v>
      </c>
      <c r="BM35" s="6">
        <v>0.0</v>
      </c>
      <c r="BN35" s="6">
        <v>0.0</v>
      </c>
      <c r="BO35" s="6">
        <v>0.0</v>
      </c>
      <c r="BP35" s="6">
        <v>0.0</v>
      </c>
      <c r="BQ35" s="6">
        <v>0.0</v>
      </c>
      <c r="BR35" s="6">
        <v>0.0</v>
      </c>
      <c r="BS35" s="6">
        <v>0.0</v>
      </c>
      <c r="BT35" s="6">
        <v>0.0</v>
      </c>
      <c r="BU35" s="6" t="str">
        <f t="shared" ref="BU35:BW35" si="258">+BO35+BR35+#REF!+BL35</f>
        <v>#REF!</v>
      </c>
      <c r="BV35" s="6" t="str">
        <f t="shared" si="258"/>
        <v>#REF!</v>
      </c>
      <c r="BW35" s="6" t="str">
        <f t="shared" si="258"/>
        <v>#REF!</v>
      </c>
      <c r="BX35" s="6">
        <v>0.0</v>
      </c>
      <c r="BY35" s="6">
        <v>0.0</v>
      </c>
      <c r="BZ35" s="6">
        <v>0.0</v>
      </c>
      <c r="CA35" s="6">
        <v>0.0</v>
      </c>
      <c r="CB35" s="6">
        <v>0.0</v>
      </c>
      <c r="CC35" s="6">
        <v>0.0</v>
      </c>
      <c r="CD35" s="6">
        <v>0.0</v>
      </c>
      <c r="CE35" s="6">
        <v>0.0</v>
      </c>
      <c r="CF35" s="6">
        <v>0.0</v>
      </c>
      <c r="CG35" s="6" t="str">
        <f t="shared" ref="CG35:CI35" si="259">+CA35+CD35+BX35+#REF!</f>
        <v>#REF!</v>
      </c>
      <c r="CH35" s="6" t="str">
        <f t="shared" si="259"/>
        <v>#REF!</v>
      </c>
      <c r="CI35" s="6" t="str">
        <f t="shared" si="259"/>
        <v>#REF!</v>
      </c>
      <c r="CJ35" s="6">
        <v>0.0</v>
      </c>
      <c r="CK35" s="6">
        <v>0.0</v>
      </c>
      <c r="CL35" s="6">
        <v>0.0</v>
      </c>
      <c r="CM35" s="6">
        <v>0.0</v>
      </c>
      <c r="CN35" s="6">
        <v>0.0</v>
      </c>
      <c r="CO35" s="6">
        <v>0.0</v>
      </c>
      <c r="CP35" s="6">
        <v>0.0</v>
      </c>
      <c r="CQ35" s="6">
        <v>0.0</v>
      </c>
      <c r="CR35" s="6">
        <v>0.0</v>
      </c>
      <c r="CS35" s="6">
        <v>0.0</v>
      </c>
      <c r="CT35" s="6">
        <v>0.0</v>
      </c>
      <c r="CU35" s="6">
        <v>0.0</v>
      </c>
      <c r="CV35" s="6">
        <f t="shared" ref="CV35:CX35" si="260">+CP35+CS35+CJ35+CM35</f>
        <v>0</v>
      </c>
      <c r="CW35" s="6">
        <f t="shared" si="260"/>
        <v>0</v>
      </c>
      <c r="CX35" s="6">
        <f t="shared" si="260"/>
        <v>0</v>
      </c>
      <c r="CY35" s="6">
        <v>0.0</v>
      </c>
      <c r="CZ35" s="6">
        <v>0.0</v>
      </c>
      <c r="DA35" s="6">
        <v>0.0</v>
      </c>
      <c r="DB35" s="6">
        <v>0.0</v>
      </c>
      <c r="DC35" s="6">
        <v>0.0</v>
      </c>
      <c r="DD35" s="6">
        <v>0.0</v>
      </c>
      <c r="DE35" s="6">
        <v>0.0</v>
      </c>
      <c r="DF35" s="6">
        <v>0.0</v>
      </c>
      <c r="DG35" s="6">
        <v>0.0</v>
      </c>
      <c r="DH35" s="6">
        <v>0.0</v>
      </c>
      <c r="DI35" s="6">
        <v>0.0</v>
      </c>
      <c r="DJ35" s="6">
        <v>0.0</v>
      </c>
      <c r="DK35" s="6">
        <f t="shared" ref="DK35:DM35" si="261">+DE35+DH35+CY35+DB35</f>
        <v>0</v>
      </c>
      <c r="DL35" s="6">
        <f t="shared" si="261"/>
        <v>0</v>
      </c>
      <c r="DM35" s="6">
        <f t="shared" si="261"/>
        <v>0</v>
      </c>
      <c r="DN35" s="6" t="str">
        <f t="shared" ref="DN35:DP35" si="262">+P35+AE35+AT35+BI35+BU35+CG35+CV35</f>
        <v>#REF!</v>
      </c>
      <c r="DO35" s="6" t="str">
        <f t="shared" si="262"/>
        <v>#REF!</v>
      </c>
      <c r="DP35" s="6" t="str">
        <f t="shared" si="262"/>
        <v>#REF!</v>
      </c>
      <c r="DQ35" s="6" t="str">
        <f t="shared" si="19"/>
        <v>#REF!</v>
      </c>
    </row>
    <row r="36" ht="13.5" customHeight="1">
      <c r="A36" s="11">
        <v>44377.0</v>
      </c>
      <c r="B36" s="2" t="s">
        <v>209</v>
      </c>
      <c r="C36" s="2" t="s">
        <v>210</v>
      </c>
      <c r="D36" s="29" t="s">
        <v>211</v>
      </c>
      <c r="E36" s="2" t="s">
        <v>212</v>
      </c>
      <c r="F36" s="11" t="s">
        <v>213</v>
      </c>
      <c r="G36" s="11" t="s">
        <v>7</v>
      </c>
      <c r="H36" s="5">
        <v>750000.0</v>
      </c>
      <c r="I36" s="5">
        <v>750000.0</v>
      </c>
      <c r="J36" s="6">
        <v>0.0</v>
      </c>
      <c r="K36" s="6">
        <v>0.0</v>
      </c>
      <c r="L36" s="6">
        <v>0.0</v>
      </c>
      <c r="M36" s="6">
        <v>0.0</v>
      </c>
      <c r="N36" s="6">
        <v>0.0</v>
      </c>
      <c r="O36" s="6">
        <v>0.0</v>
      </c>
      <c r="P36" s="6">
        <f t="shared" ref="P36:R36" si="263">+J36+M36</f>
        <v>0</v>
      </c>
      <c r="Q36" s="6">
        <f t="shared" si="263"/>
        <v>0</v>
      </c>
      <c r="R36" s="6">
        <f t="shared" si="263"/>
        <v>0</v>
      </c>
      <c r="S36" s="6">
        <v>0.0</v>
      </c>
      <c r="T36" s="6">
        <v>0.0</v>
      </c>
      <c r="U36" s="6">
        <v>0.0</v>
      </c>
      <c r="V36" s="6">
        <v>0.0</v>
      </c>
      <c r="W36" s="6">
        <v>0.0</v>
      </c>
      <c r="X36" s="6">
        <v>0.0</v>
      </c>
      <c r="Y36" s="5">
        <v>750000.0</v>
      </c>
      <c r="Z36" s="5">
        <v>750000.0</v>
      </c>
      <c r="AA36" s="6">
        <v>0.0</v>
      </c>
      <c r="AB36" s="6">
        <v>0.0</v>
      </c>
      <c r="AC36" s="6">
        <v>0.0</v>
      </c>
      <c r="AD36" s="6">
        <v>0.0</v>
      </c>
      <c r="AE36" s="6">
        <f t="shared" ref="AE36:AG36" si="264">+Y36+AB36+S36+V36</f>
        <v>750000</v>
      </c>
      <c r="AF36" s="6">
        <f t="shared" si="264"/>
        <v>750000</v>
      </c>
      <c r="AG36" s="6">
        <f t="shared" si="264"/>
        <v>0</v>
      </c>
      <c r="AH36" s="6">
        <v>0.0</v>
      </c>
      <c r="AI36" s="6">
        <v>0.0</v>
      </c>
      <c r="AJ36" s="6">
        <v>600000.0</v>
      </c>
      <c r="AK36" s="6">
        <v>0.0</v>
      </c>
      <c r="AL36" s="6">
        <v>0.0</v>
      </c>
      <c r="AM36" s="6">
        <v>150000.0</v>
      </c>
      <c r="AN36" s="6">
        <v>0.0</v>
      </c>
      <c r="AO36" s="6">
        <v>0.0</v>
      </c>
      <c r="AP36" s="6">
        <v>0.0</v>
      </c>
      <c r="AQ36" s="6">
        <v>0.0</v>
      </c>
      <c r="AR36" s="6">
        <v>0.0</v>
      </c>
      <c r="AS36" s="6">
        <v>0.0</v>
      </c>
      <c r="AT36" s="6">
        <f t="shared" ref="AT36:AV36" si="265">+AN36+AQ36+AH36+AK36</f>
        <v>0</v>
      </c>
      <c r="AU36" s="6">
        <f t="shared" si="265"/>
        <v>0</v>
      </c>
      <c r="AV36" s="6">
        <f t="shared" si="265"/>
        <v>750000</v>
      </c>
      <c r="AW36" s="6">
        <v>0.0</v>
      </c>
      <c r="AX36" s="6">
        <v>0.0</v>
      </c>
      <c r="AY36" s="6">
        <v>0.0</v>
      </c>
      <c r="AZ36" s="6">
        <v>0.0</v>
      </c>
      <c r="BA36" s="6">
        <v>0.0</v>
      </c>
      <c r="BB36" s="6">
        <v>0.0</v>
      </c>
      <c r="BC36" s="6">
        <v>0.0</v>
      </c>
      <c r="BD36" s="6">
        <v>0.0</v>
      </c>
      <c r="BE36" s="6">
        <v>0.0</v>
      </c>
      <c r="BF36" s="6">
        <v>0.0</v>
      </c>
      <c r="BG36" s="6">
        <v>0.0</v>
      </c>
      <c r="BH36" s="6">
        <v>0.0</v>
      </c>
      <c r="BI36" s="6">
        <f t="shared" ref="BI36:BK36" si="266">+BC36+BF36+AW36+AZ36</f>
        <v>0</v>
      </c>
      <c r="BJ36" s="6">
        <f t="shared" si="266"/>
        <v>0</v>
      </c>
      <c r="BK36" s="6">
        <f t="shared" si="266"/>
        <v>0</v>
      </c>
      <c r="BL36" s="6">
        <v>0.0</v>
      </c>
      <c r="BM36" s="6">
        <v>0.0</v>
      </c>
      <c r="BN36" s="6">
        <v>0.0</v>
      </c>
      <c r="BO36" s="6">
        <v>0.0</v>
      </c>
      <c r="BP36" s="6">
        <v>0.0</v>
      </c>
      <c r="BQ36" s="6">
        <v>0.0</v>
      </c>
      <c r="BR36" s="6">
        <v>0.0</v>
      </c>
      <c r="BS36" s="6">
        <v>0.0</v>
      </c>
      <c r="BT36" s="6">
        <v>0.0</v>
      </c>
      <c r="BU36" s="6" t="str">
        <f t="shared" ref="BU36:BW36" si="267">+BO36+BR36+#REF!+BL36</f>
        <v>#REF!</v>
      </c>
      <c r="BV36" s="6" t="str">
        <f t="shared" si="267"/>
        <v>#REF!</v>
      </c>
      <c r="BW36" s="6" t="str">
        <f t="shared" si="267"/>
        <v>#REF!</v>
      </c>
      <c r="BX36" s="6">
        <v>0.0</v>
      </c>
      <c r="BY36" s="6">
        <v>0.0</v>
      </c>
      <c r="BZ36" s="6">
        <v>0.0</v>
      </c>
      <c r="CA36" s="6">
        <v>0.0</v>
      </c>
      <c r="CB36" s="6">
        <v>0.0</v>
      </c>
      <c r="CC36" s="6">
        <v>0.0</v>
      </c>
      <c r="CD36" s="6">
        <v>0.0</v>
      </c>
      <c r="CE36" s="6">
        <v>0.0</v>
      </c>
      <c r="CF36" s="6">
        <v>0.0</v>
      </c>
      <c r="CG36" s="6" t="str">
        <f t="shared" ref="CG36:CI36" si="268">+CA36+CD36+BX36+#REF!</f>
        <v>#REF!</v>
      </c>
      <c r="CH36" s="6" t="str">
        <f t="shared" si="268"/>
        <v>#REF!</v>
      </c>
      <c r="CI36" s="6" t="str">
        <f t="shared" si="268"/>
        <v>#REF!</v>
      </c>
      <c r="CJ36" s="6">
        <v>0.0</v>
      </c>
      <c r="CK36" s="6">
        <v>0.0</v>
      </c>
      <c r="CL36" s="6">
        <v>0.0</v>
      </c>
      <c r="CM36" s="6">
        <v>0.0</v>
      </c>
      <c r="CN36" s="6">
        <v>0.0</v>
      </c>
      <c r="CO36" s="6">
        <v>0.0</v>
      </c>
      <c r="CP36" s="6">
        <v>0.0</v>
      </c>
      <c r="CQ36" s="6">
        <v>0.0</v>
      </c>
      <c r="CR36" s="6">
        <v>0.0</v>
      </c>
      <c r="CS36" s="6">
        <v>0.0</v>
      </c>
      <c r="CT36" s="6">
        <v>0.0</v>
      </c>
      <c r="CU36" s="6">
        <v>0.0</v>
      </c>
      <c r="CV36" s="6">
        <f t="shared" ref="CV36:CX36" si="269">+CP36+CS36+CJ36+CM36</f>
        <v>0</v>
      </c>
      <c r="CW36" s="6">
        <f t="shared" si="269"/>
        <v>0</v>
      </c>
      <c r="CX36" s="6">
        <f t="shared" si="269"/>
        <v>0</v>
      </c>
      <c r="CY36" s="6">
        <v>0.0</v>
      </c>
      <c r="CZ36" s="6">
        <v>0.0</v>
      </c>
      <c r="DA36" s="6">
        <v>0.0</v>
      </c>
      <c r="DB36" s="6">
        <v>0.0</v>
      </c>
      <c r="DC36" s="6">
        <v>0.0</v>
      </c>
      <c r="DD36" s="6">
        <v>0.0</v>
      </c>
      <c r="DE36" s="6">
        <v>0.0</v>
      </c>
      <c r="DF36" s="6">
        <v>0.0</v>
      </c>
      <c r="DG36" s="6">
        <v>0.0</v>
      </c>
      <c r="DH36" s="6">
        <v>0.0</v>
      </c>
      <c r="DI36" s="6">
        <v>0.0</v>
      </c>
      <c r="DJ36" s="6">
        <v>0.0</v>
      </c>
      <c r="DK36" s="6">
        <f t="shared" ref="DK36:DM36" si="270">+DE36+DH36+CY36+DB36</f>
        <v>0</v>
      </c>
      <c r="DL36" s="6">
        <f t="shared" si="270"/>
        <v>0</v>
      </c>
      <c r="DM36" s="6">
        <f t="shared" si="270"/>
        <v>0</v>
      </c>
      <c r="DN36" s="6" t="str">
        <f t="shared" ref="DN36:DP36" si="271">+P36+AE36+AT36+BI36+BU36+CG36+CV36</f>
        <v>#REF!</v>
      </c>
      <c r="DO36" s="6" t="str">
        <f t="shared" si="271"/>
        <v>#REF!</v>
      </c>
      <c r="DP36" s="6" t="str">
        <f t="shared" si="271"/>
        <v>#REF!</v>
      </c>
      <c r="DQ36" s="6" t="str">
        <f t="shared" si="19"/>
        <v>#REF!</v>
      </c>
    </row>
    <row r="37" ht="13.5" customHeight="1">
      <c r="A37" s="11">
        <v>44355.0</v>
      </c>
      <c r="B37" s="2" t="s">
        <v>214</v>
      </c>
      <c r="C37" s="2" t="s">
        <v>215</v>
      </c>
      <c r="D37" s="29" t="s">
        <v>216</v>
      </c>
      <c r="E37" s="2" t="s">
        <v>217</v>
      </c>
      <c r="F37" s="11" t="s">
        <v>218</v>
      </c>
      <c r="G37" s="11" t="s">
        <v>5</v>
      </c>
      <c r="H37" s="5">
        <v>100000.0</v>
      </c>
      <c r="I37" s="5">
        <v>100000.0</v>
      </c>
      <c r="J37" s="6">
        <v>0.0</v>
      </c>
      <c r="K37" s="6">
        <v>0.0</v>
      </c>
      <c r="L37" s="6">
        <v>0.0</v>
      </c>
      <c r="M37" s="6">
        <v>0.0</v>
      </c>
      <c r="N37" s="6">
        <v>0.0</v>
      </c>
      <c r="O37" s="6">
        <v>0.0</v>
      </c>
      <c r="P37" s="6">
        <f t="shared" ref="P37:R37" si="272">+J37+M37</f>
        <v>0</v>
      </c>
      <c r="Q37" s="6">
        <f t="shared" si="272"/>
        <v>0</v>
      </c>
      <c r="R37" s="6">
        <f t="shared" si="272"/>
        <v>0</v>
      </c>
      <c r="S37" s="5">
        <v>100000.0</v>
      </c>
      <c r="T37" s="5">
        <v>100000.0</v>
      </c>
      <c r="U37" s="6">
        <v>0.0</v>
      </c>
      <c r="V37" s="6">
        <v>0.0</v>
      </c>
      <c r="W37" s="6">
        <v>0.0</v>
      </c>
      <c r="X37" s="6">
        <v>0.0</v>
      </c>
      <c r="Y37" s="6">
        <v>0.0</v>
      </c>
      <c r="Z37" s="6">
        <v>0.0</v>
      </c>
      <c r="AA37" s="6">
        <v>0.0</v>
      </c>
      <c r="AB37" s="6">
        <v>0.0</v>
      </c>
      <c r="AC37" s="6">
        <v>0.0</v>
      </c>
      <c r="AD37" s="6">
        <v>50000.0</v>
      </c>
      <c r="AE37" s="6">
        <f t="shared" ref="AE37:AG37" si="273">+Y37+AB37+S37+V37</f>
        <v>100000</v>
      </c>
      <c r="AF37" s="6">
        <f t="shared" si="273"/>
        <v>100000</v>
      </c>
      <c r="AG37" s="6">
        <f t="shared" si="273"/>
        <v>50000</v>
      </c>
      <c r="AH37" s="6">
        <v>0.0</v>
      </c>
      <c r="AI37" s="6">
        <v>0.0</v>
      </c>
      <c r="AJ37" s="6">
        <v>50000.0</v>
      </c>
      <c r="AK37" s="6">
        <v>0.0</v>
      </c>
      <c r="AL37" s="6">
        <v>0.0</v>
      </c>
      <c r="AM37" s="6">
        <v>0.0</v>
      </c>
      <c r="AN37" s="6">
        <v>0.0</v>
      </c>
      <c r="AO37" s="6">
        <v>0.0</v>
      </c>
      <c r="AP37" s="6">
        <v>0.0</v>
      </c>
      <c r="AQ37" s="6">
        <v>0.0</v>
      </c>
      <c r="AR37" s="6">
        <v>0.0</v>
      </c>
      <c r="AS37" s="6">
        <v>0.0</v>
      </c>
      <c r="AT37" s="6">
        <f t="shared" ref="AT37:AV37" si="274">+AN37+AQ37+AH37+AK37</f>
        <v>0</v>
      </c>
      <c r="AU37" s="6">
        <f t="shared" si="274"/>
        <v>0</v>
      </c>
      <c r="AV37" s="6">
        <f t="shared" si="274"/>
        <v>50000</v>
      </c>
      <c r="AW37" s="6">
        <v>0.0</v>
      </c>
      <c r="AX37" s="6">
        <v>0.0</v>
      </c>
      <c r="AY37" s="6">
        <v>0.0</v>
      </c>
      <c r="AZ37" s="6">
        <v>0.0</v>
      </c>
      <c r="BA37" s="6">
        <v>0.0</v>
      </c>
      <c r="BB37" s="6">
        <v>0.0</v>
      </c>
      <c r="BC37" s="6">
        <v>0.0</v>
      </c>
      <c r="BD37" s="6">
        <v>0.0</v>
      </c>
      <c r="BE37" s="6">
        <v>0.0</v>
      </c>
      <c r="BF37" s="6">
        <v>0.0</v>
      </c>
      <c r="BG37" s="6">
        <v>0.0</v>
      </c>
      <c r="BH37" s="6">
        <v>0.0</v>
      </c>
      <c r="BI37" s="6">
        <f t="shared" ref="BI37:BK37" si="275">+BC37+BF37+AW37+AZ37</f>
        <v>0</v>
      </c>
      <c r="BJ37" s="6">
        <f t="shared" si="275"/>
        <v>0</v>
      </c>
      <c r="BK37" s="6">
        <f t="shared" si="275"/>
        <v>0</v>
      </c>
      <c r="BL37" s="6">
        <v>0.0</v>
      </c>
      <c r="BM37" s="6">
        <v>0.0</v>
      </c>
      <c r="BN37" s="6">
        <v>0.0</v>
      </c>
      <c r="BO37" s="6">
        <v>0.0</v>
      </c>
      <c r="BP37" s="6">
        <v>0.0</v>
      </c>
      <c r="BQ37" s="6">
        <v>0.0</v>
      </c>
      <c r="BR37" s="6">
        <v>0.0</v>
      </c>
      <c r="BS37" s="6">
        <v>0.0</v>
      </c>
      <c r="BT37" s="6">
        <v>0.0</v>
      </c>
      <c r="BU37" s="6" t="str">
        <f t="shared" ref="BU37:BW37" si="276">+BO37+BR37+#REF!+BL37</f>
        <v>#REF!</v>
      </c>
      <c r="BV37" s="6" t="str">
        <f t="shared" si="276"/>
        <v>#REF!</v>
      </c>
      <c r="BW37" s="6" t="str">
        <f t="shared" si="276"/>
        <v>#REF!</v>
      </c>
      <c r="BX37" s="6">
        <v>0.0</v>
      </c>
      <c r="BY37" s="6">
        <v>0.0</v>
      </c>
      <c r="BZ37" s="6">
        <v>0.0</v>
      </c>
      <c r="CA37" s="6">
        <v>0.0</v>
      </c>
      <c r="CB37" s="6">
        <v>0.0</v>
      </c>
      <c r="CC37" s="6">
        <v>0.0</v>
      </c>
      <c r="CD37" s="6">
        <v>0.0</v>
      </c>
      <c r="CE37" s="6">
        <v>0.0</v>
      </c>
      <c r="CF37" s="6">
        <v>0.0</v>
      </c>
      <c r="CG37" s="6" t="str">
        <f t="shared" ref="CG37:CI37" si="277">+CA37+CD37+BX37+#REF!</f>
        <v>#REF!</v>
      </c>
      <c r="CH37" s="6" t="str">
        <f t="shared" si="277"/>
        <v>#REF!</v>
      </c>
      <c r="CI37" s="6" t="str">
        <f t="shared" si="277"/>
        <v>#REF!</v>
      </c>
      <c r="CJ37" s="6">
        <v>0.0</v>
      </c>
      <c r="CK37" s="6">
        <v>0.0</v>
      </c>
      <c r="CL37" s="6">
        <v>0.0</v>
      </c>
      <c r="CM37" s="6">
        <v>0.0</v>
      </c>
      <c r="CN37" s="6">
        <v>0.0</v>
      </c>
      <c r="CO37" s="6">
        <v>0.0</v>
      </c>
      <c r="CP37" s="6">
        <v>0.0</v>
      </c>
      <c r="CQ37" s="6">
        <v>0.0</v>
      </c>
      <c r="CR37" s="6">
        <v>0.0</v>
      </c>
      <c r="CS37" s="6">
        <v>0.0</v>
      </c>
      <c r="CT37" s="6">
        <v>0.0</v>
      </c>
      <c r="CU37" s="6">
        <v>0.0</v>
      </c>
      <c r="CV37" s="6">
        <f t="shared" ref="CV37:CX37" si="278">+CP37+CS37+CJ37+CM37</f>
        <v>0</v>
      </c>
      <c r="CW37" s="6">
        <f t="shared" si="278"/>
        <v>0</v>
      </c>
      <c r="CX37" s="6">
        <f t="shared" si="278"/>
        <v>0</v>
      </c>
      <c r="CY37" s="6">
        <v>0.0</v>
      </c>
      <c r="CZ37" s="6">
        <v>0.0</v>
      </c>
      <c r="DA37" s="6">
        <v>0.0</v>
      </c>
      <c r="DB37" s="6">
        <v>0.0</v>
      </c>
      <c r="DC37" s="6">
        <v>0.0</v>
      </c>
      <c r="DD37" s="6">
        <v>0.0</v>
      </c>
      <c r="DE37" s="6">
        <v>0.0</v>
      </c>
      <c r="DF37" s="6">
        <v>0.0</v>
      </c>
      <c r="DG37" s="6">
        <v>0.0</v>
      </c>
      <c r="DH37" s="6">
        <v>0.0</v>
      </c>
      <c r="DI37" s="6">
        <v>0.0</v>
      </c>
      <c r="DJ37" s="6">
        <v>0.0</v>
      </c>
      <c r="DK37" s="6">
        <f t="shared" ref="DK37:DM37" si="279">+DE37+DH37+CY37+DB37</f>
        <v>0</v>
      </c>
      <c r="DL37" s="6">
        <f t="shared" si="279"/>
        <v>0</v>
      </c>
      <c r="DM37" s="6">
        <f t="shared" si="279"/>
        <v>0</v>
      </c>
      <c r="DN37" s="6" t="str">
        <f t="shared" ref="DN37:DP37" si="280">+P37+AE37+AT37+BI37+BU37+CG37+CV37</f>
        <v>#REF!</v>
      </c>
      <c r="DO37" s="6" t="str">
        <f t="shared" si="280"/>
        <v>#REF!</v>
      </c>
      <c r="DP37" s="6" t="str">
        <f t="shared" si="280"/>
        <v>#REF!</v>
      </c>
      <c r="DQ37" s="6" t="str">
        <f t="shared" si="19"/>
        <v>#REF!</v>
      </c>
    </row>
    <row r="38" ht="13.5" customHeight="1">
      <c r="A38" s="11">
        <v>44390.0</v>
      </c>
      <c r="B38" s="2" t="s">
        <v>219</v>
      </c>
      <c r="C38" s="2" t="s">
        <v>220</v>
      </c>
      <c r="D38" s="29" t="s">
        <v>221</v>
      </c>
      <c r="E38" s="2" t="s">
        <v>222</v>
      </c>
      <c r="F38" s="11" t="s">
        <v>223</v>
      </c>
      <c r="G38" s="11" t="s">
        <v>8</v>
      </c>
      <c r="H38" s="5">
        <v>192000.0</v>
      </c>
      <c r="I38" s="5">
        <v>192000.0</v>
      </c>
      <c r="J38" s="6">
        <v>0.0</v>
      </c>
      <c r="K38" s="6">
        <v>0.0</v>
      </c>
      <c r="L38" s="6">
        <v>0.0</v>
      </c>
      <c r="M38" s="6">
        <v>0.0</v>
      </c>
      <c r="N38" s="6">
        <v>0.0</v>
      </c>
      <c r="O38" s="6">
        <v>0.0</v>
      </c>
      <c r="P38" s="6">
        <f t="shared" ref="P38:R38" si="281">+J38+M38</f>
        <v>0</v>
      </c>
      <c r="Q38" s="6">
        <f t="shared" si="281"/>
        <v>0</v>
      </c>
      <c r="R38" s="6">
        <f t="shared" si="281"/>
        <v>0</v>
      </c>
      <c r="S38" s="6">
        <v>0.0</v>
      </c>
      <c r="T38" s="6">
        <v>0.0</v>
      </c>
      <c r="U38" s="6">
        <v>0.0</v>
      </c>
      <c r="V38" s="6">
        <v>0.0</v>
      </c>
      <c r="W38" s="6">
        <v>0.0</v>
      </c>
      <c r="X38" s="6">
        <v>0.0</v>
      </c>
      <c r="Y38" s="6">
        <v>0.0</v>
      </c>
      <c r="Z38" s="6">
        <v>0.0</v>
      </c>
      <c r="AA38" s="6">
        <v>0.0</v>
      </c>
      <c r="AB38" s="5">
        <v>192000.0</v>
      </c>
      <c r="AC38" s="5">
        <v>192000.0</v>
      </c>
      <c r="AD38" s="6">
        <v>0.0</v>
      </c>
      <c r="AE38" s="6">
        <f t="shared" ref="AE38:AG38" si="282">+Y38+AB38+S38+V38</f>
        <v>192000</v>
      </c>
      <c r="AF38" s="6">
        <f t="shared" si="282"/>
        <v>192000</v>
      </c>
      <c r="AG38" s="6">
        <f t="shared" si="282"/>
        <v>0</v>
      </c>
      <c r="AH38" s="6">
        <v>0.0</v>
      </c>
      <c r="AI38" s="6">
        <v>0.0</v>
      </c>
      <c r="AJ38" s="6">
        <v>90000.0</v>
      </c>
      <c r="AK38" s="6">
        <v>0.0</v>
      </c>
      <c r="AL38" s="6">
        <v>0.0</v>
      </c>
      <c r="AM38" s="6">
        <v>102000.0</v>
      </c>
      <c r="AN38" s="6">
        <v>0.0</v>
      </c>
      <c r="AO38" s="6">
        <v>0.0</v>
      </c>
      <c r="AP38" s="6">
        <v>0.0</v>
      </c>
      <c r="AQ38" s="6">
        <v>0.0</v>
      </c>
      <c r="AR38" s="6">
        <v>0.0</v>
      </c>
      <c r="AS38" s="6">
        <v>0.0</v>
      </c>
      <c r="AT38" s="6">
        <f t="shared" ref="AT38:AV38" si="283">+AN38+AQ38+AH38+AK38</f>
        <v>0</v>
      </c>
      <c r="AU38" s="6">
        <f t="shared" si="283"/>
        <v>0</v>
      </c>
      <c r="AV38" s="6">
        <f t="shared" si="283"/>
        <v>192000</v>
      </c>
      <c r="AW38" s="6">
        <v>0.0</v>
      </c>
      <c r="AX38" s="6">
        <v>0.0</v>
      </c>
      <c r="AY38" s="6">
        <v>0.0</v>
      </c>
      <c r="AZ38" s="6">
        <v>0.0</v>
      </c>
      <c r="BA38" s="6">
        <v>0.0</v>
      </c>
      <c r="BB38" s="6">
        <v>0.0</v>
      </c>
      <c r="BC38" s="6">
        <v>0.0</v>
      </c>
      <c r="BD38" s="6">
        <v>0.0</v>
      </c>
      <c r="BE38" s="6">
        <v>0.0</v>
      </c>
      <c r="BF38" s="6">
        <v>0.0</v>
      </c>
      <c r="BG38" s="6">
        <v>0.0</v>
      </c>
      <c r="BH38" s="6">
        <v>0.0</v>
      </c>
      <c r="BI38" s="6">
        <f t="shared" ref="BI38:BK38" si="284">+BC38+BF38+AW38+AZ38</f>
        <v>0</v>
      </c>
      <c r="BJ38" s="6">
        <f t="shared" si="284"/>
        <v>0</v>
      </c>
      <c r="BK38" s="6">
        <f t="shared" si="284"/>
        <v>0</v>
      </c>
      <c r="BL38" s="6">
        <v>0.0</v>
      </c>
      <c r="BM38" s="6">
        <v>0.0</v>
      </c>
      <c r="BN38" s="6">
        <v>0.0</v>
      </c>
      <c r="BO38" s="6">
        <v>0.0</v>
      </c>
      <c r="BP38" s="6">
        <v>0.0</v>
      </c>
      <c r="BQ38" s="6">
        <v>0.0</v>
      </c>
      <c r="BR38" s="6">
        <v>0.0</v>
      </c>
      <c r="BS38" s="6">
        <v>0.0</v>
      </c>
      <c r="BT38" s="6">
        <v>0.0</v>
      </c>
      <c r="BU38" s="6" t="str">
        <f t="shared" ref="BU38:BW38" si="285">+BO38+BR38+#REF!+BL38</f>
        <v>#REF!</v>
      </c>
      <c r="BV38" s="6" t="str">
        <f t="shared" si="285"/>
        <v>#REF!</v>
      </c>
      <c r="BW38" s="6" t="str">
        <f t="shared" si="285"/>
        <v>#REF!</v>
      </c>
      <c r="BX38" s="6">
        <v>0.0</v>
      </c>
      <c r="BY38" s="6">
        <v>0.0</v>
      </c>
      <c r="BZ38" s="6">
        <v>0.0</v>
      </c>
      <c r="CA38" s="6">
        <v>0.0</v>
      </c>
      <c r="CB38" s="6">
        <v>0.0</v>
      </c>
      <c r="CC38" s="6">
        <v>0.0</v>
      </c>
      <c r="CD38" s="6">
        <v>0.0</v>
      </c>
      <c r="CE38" s="6">
        <v>0.0</v>
      </c>
      <c r="CF38" s="6">
        <v>0.0</v>
      </c>
      <c r="CG38" s="6" t="str">
        <f t="shared" ref="CG38:CI38" si="286">+CA38+CD38+BX38+#REF!</f>
        <v>#REF!</v>
      </c>
      <c r="CH38" s="6" t="str">
        <f t="shared" si="286"/>
        <v>#REF!</v>
      </c>
      <c r="CI38" s="6" t="str">
        <f t="shared" si="286"/>
        <v>#REF!</v>
      </c>
      <c r="CJ38" s="6">
        <v>0.0</v>
      </c>
      <c r="CK38" s="6">
        <v>0.0</v>
      </c>
      <c r="CL38" s="6">
        <v>0.0</v>
      </c>
      <c r="CM38" s="6">
        <v>0.0</v>
      </c>
      <c r="CN38" s="6">
        <v>0.0</v>
      </c>
      <c r="CO38" s="6">
        <v>0.0</v>
      </c>
      <c r="CP38" s="6">
        <v>0.0</v>
      </c>
      <c r="CQ38" s="6">
        <v>0.0</v>
      </c>
      <c r="CR38" s="6">
        <v>0.0</v>
      </c>
      <c r="CS38" s="6">
        <v>0.0</v>
      </c>
      <c r="CT38" s="6">
        <v>0.0</v>
      </c>
      <c r="CU38" s="6">
        <v>0.0</v>
      </c>
      <c r="CV38" s="6">
        <f t="shared" ref="CV38:CX38" si="287">+CP38+CS38+CJ38+CM38</f>
        <v>0</v>
      </c>
      <c r="CW38" s="6">
        <f t="shared" si="287"/>
        <v>0</v>
      </c>
      <c r="CX38" s="6">
        <f t="shared" si="287"/>
        <v>0</v>
      </c>
      <c r="CY38" s="6">
        <v>0.0</v>
      </c>
      <c r="CZ38" s="6">
        <v>0.0</v>
      </c>
      <c r="DA38" s="6">
        <v>0.0</v>
      </c>
      <c r="DB38" s="6">
        <v>0.0</v>
      </c>
      <c r="DC38" s="6">
        <v>0.0</v>
      </c>
      <c r="DD38" s="6">
        <v>0.0</v>
      </c>
      <c r="DE38" s="6">
        <v>0.0</v>
      </c>
      <c r="DF38" s="6">
        <v>0.0</v>
      </c>
      <c r="DG38" s="6">
        <v>0.0</v>
      </c>
      <c r="DH38" s="6">
        <v>0.0</v>
      </c>
      <c r="DI38" s="6">
        <v>0.0</v>
      </c>
      <c r="DJ38" s="6">
        <v>0.0</v>
      </c>
      <c r="DK38" s="6">
        <f t="shared" ref="DK38:DM38" si="288">+DE38+DH38+CY38+DB38</f>
        <v>0</v>
      </c>
      <c r="DL38" s="6">
        <f t="shared" si="288"/>
        <v>0</v>
      </c>
      <c r="DM38" s="6">
        <f t="shared" si="288"/>
        <v>0</v>
      </c>
      <c r="DN38" s="6" t="str">
        <f t="shared" ref="DN38:DP38" si="289">+P38+AE38+AT38+BI38+BU38+CG38+CV38</f>
        <v>#REF!</v>
      </c>
      <c r="DO38" s="6" t="str">
        <f t="shared" si="289"/>
        <v>#REF!</v>
      </c>
      <c r="DP38" s="6" t="str">
        <f t="shared" si="289"/>
        <v>#REF!</v>
      </c>
      <c r="DQ38" s="6" t="str">
        <f t="shared" si="19"/>
        <v>#REF!</v>
      </c>
    </row>
    <row r="39" ht="13.5" customHeight="1">
      <c r="A39" s="11">
        <v>44427.0</v>
      </c>
      <c r="B39" s="2" t="s">
        <v>224</v>
      </c>
      <c r="C39" s="2" t="s">
        <v>225</v>
      </c>
      <c r="D39" s="29" t="s">
        <v>226</v>
      </c>
      <c r="E39" s="2" t="s">
        <v>227</v>
      </c>
      <c r="F39" s="11" t="s">
        <v>228</v>
      </c>
      <c r="G39" s="11" t="s">
        <v>8</v>
      </c>
      <c r="H39" s="5">
        <v>15000.0</v>
      </c>
      <c r="I39" s="5">
        <v>15000.0</v>
      </c>
      <c r="J39" s="6">
        <v>0.0</v>
      </c>
      <c r="K39" s="6">
        <v>0.0</v>
      </c>
      <c r="L39" s="6">
        <v>0.0</v>
      </c>
      <c r="M39" s="6">
        <v>0.0</v>
      </c>
      <c r="N39" s="6">
        <v>0.0</v>
      </c>
      <c r="O39" s="6">
        <v>0.0</v>
      </c>
      <c r="P39" s="6">
        <f t="shared" ref="P39:R39" si="290">+J39+M39</f>
        <v>0</v>
      </c>
      <c r="Q39" s="6">
        <f t="shared" si="290"/>
        <v>0</v>
      </c>
      <c r="R39" s="6">
        <f t="shared" si="290"/>
        <v>0</v>
      </c>
      <c r="S39" s="6">
        <v>0.0</v>
      </c>
      <c r="T39" s="6">
        <v>0.0</v>
      </c>
      <c r="U39" s="6">
        <v>0.0</v>
      </c>
      <c r="V39" s="6">
        <v>0.0</v>
      </c>
      <c r="W39" s="6">
        <v>0.0</v>
      </c>
      <c r="X39" s="6">
        <v>0.0</v>
      </c>
      <c r="Y39" s="6">
        <v>0.0</v>
      </c>
      <c r="Z39" s="6">
        <v>0.0</v>
      </c>
      <c r="AA39" s="6">
        <v>0.0</v>
      </c>
      <c r="AB39" s="5">
        <v>15000.0</v>
      </c>
      <c r="AC39" s="5">
        <v>15000.0</v>
      </c>
      <c r="AD39" s="6">
        <v>0.0</v>
      </c>
      <c r="AE39" s="6">
        <f t="shared" ref="AE39:AG39" si="291">+Y39+AB39+S39+V39</f>
        <v>15000</v>
      </c>
      <c r="AF39" s="6">
        <f t="shared" si="291"/>
        <v>15000</v>
      </c>
      <c r="AG39" s="6">
        <f t="shared" si="291"/>
        <v>0</v>
      </c>
      <c r="AH39" s="6">
        <v>0.0</v>
      </c>
      <c r="AI39" s="6">
        <v>0.0</v>
      </c>
      <c r="AJ39" s="6">
        <v>0.0</v>
      </c>
      <c r="AK39" s="6">
        <v>0.0</v>
      </c>
      <c r="AL39" s="6">
        <v>0.0</v>
      </c>
      <c r="AM39" s="6">
        <v>0.0</v>
      </c>
      <c r="AN39" s="6">
        <v>0.0</v>
      </c>
      <c r="AO39" s="6">
        <v>0.0</v>
      </c>
      <c r="AP39" s="6">
        <v>0.0</v>
      </c>
      <c r="AQ39" s="6">
        <v>0.0</v>
      </c>
      <c r="AR39" s="6">
        <v>0.0</v>
      </c>
      <c r="AS39" s="6">
        <v>100000.0</v>
      </c>
      <c r="AT39" s="6">
        <f t="shared" ref="AT39:AV39" si="292">+AN39+AQ39+AH39+AK39</f>
        <v>0</v>
      </c>
      <c r="AU39" s="6">
        <f t="shared" si="292"/>
        <v>0</v>
      </c>
      <c r="AV39" s="6">
        <f t="shared" si="292"/>
        <v>100000</v>
      </c>
      <c r="AW39" s="6">
        <v>0.0</v>
      </c>
      <c r="AX39" s="6">
        <v>0.0</v>
      </c>
      <c r="AY39" s="6">
        <v>-85000.0</v>
      </c>
      <c r="AZ39" s="6">
        <v>0.0</v>
      </c>
      <c r="BA39" s="6">
        <v>0.0</v>
      </c>
      <c r="BB39" s="6">
        <v>0.0</v>
      </c>
      <c r="BC39" s="6">
        <v>0.0</v>
      </c>
      <c r="BD39" s="6">
        <v>0.0</v>
      </c>
      <c r="BE39" s="6">
        <v>0.0</v>
      </c>
      <c r="BF39" s="6">
        <v>0.0</v>
      </c>
      <c r="BG39" s="6">
        <v>0.0</v>
      </c>
      <c r="BH39" s="6">
        <v>0.0</v>
      </c>
      <c r="BI39" s="6">
        <f t="shared" ref="BI39:BK39" si="293">+BC39+BF39+AW39+AZ39</f>
        <v>0</v>
      </c>
      <c r="BJ39" s="6">
        <f t="shared" si="293"/>
        <v>0</v>
      </c>
      <c r="BK39" s="6">
        <f t="shared" si="293"/>
        <v>-85000</v>
      </c>
      <c r="BL39" s="6">
        <v>0.0</v>
      </c>
      <c r="BM39" s="6">
        <v>0.0</v>
      </c>
      <c r="BN39" s="6">
        <v>0.0</v>
      </c>
      <c r="BO39" s="6">
        <v>0.0</v>
      </c>
      <c r="BP39" s="6">
        <v>0.0</v>
      </c>
      <c r="BQ39" s="6">
        <v>0.0</v>
      </c>
      <c r="BR39" s="6">
        <v>0.0</v>
      </c>
      <c r="BS39" s="6">
        <v>0.0</v>
      </c>
      <c r="BT39" s="6">
        <v>0.0</v>
      </c>
      <c r="BU39" s="6" t="str">
        <f t="shared" ref="BU39:BW39" si="294">+BO39+BR39+#REF!+BL39</f>
        <v>#REF!</v>
      </c>
      <c r="BV39" s="6" t="str">
        <f t="shared" si="294"/>
        <v>#REF!</v>
      </c>
      <c r="BW39" s="6" t="str">
        <f t="shared" si="294"/>
        <v>#REF!</v>
      </c>
      <c r="BX39" s="6">
        <v>0.0</v>
      </c>
      <c r="BY39" s="6">
        <v>0.0</v>
      </c>
      <c r="BZ39" s="6">
        <v>0.0</v>
      </c>
      <c r="CA39" s="6">
        <v>0.0</v>
      </c>
      <c r="CB39" s="6">
        <v>0.0</v>
      </c>
      <c r="CC39" s="6">
        <v>0.0</v>
      </c>
      <c r="CD39" s="6">
        <v>0.0</v>
      </c>
      <c r="CE39" s="6">
        <v>0.0</v>
      </c>
      <c r="CF39" s="6">
        <v>0.0</v>
      </c>
      <c r="CG39" s="6" t="str">
        <f t="shared" ref="CG39:CI39" si="295">+CA39+CD39+BX39+#REF!</f>
        <v>#REF!</v>
      </c>
      <c r="CH39" s="6" t="str">
        <f t="shared" si="295"/>
        <v>#REF!</v>
      </c>
      <c r="CI39" s="6" t="str">
        <f t="shared" si="295"/>
        <v>#REF!</v>
      </c>
      <c r="CJ39" s="6">
        <v>0.0</v>
      </c>
      <c r="CK39" s="6">
        <v>0.0</v>
      </c>
      <c r="CL39" s="6">
        <v>0.0</v>
      </c>
      <c r="CM39" s="6">
        <v>0.0</v>
      </c>
      <c r="CN39" s="6">
        <v>0.0</v>
      </c>
      <c r="CO39" s="6">
        <v>0.0</v>
      </c>
      <c r="CP39" s="6">
        <v>0.0</v>
      </c>
      <c r="CQ39" s="6">
        <v>0.0</v>
      </c>
      <c r="CR39" s="6">
        <v>0.0</v>
      </c>
      <c r="CS39" s="6">
        <v>0.0</v>
      </c>
      <c r="CT39" s="6">
        <v>0.0</v>
      </c>
      <c r="CU39" s="6">
        <v>0.0</v>
      </c>
      <c r="CV39" s="6">
        <f t="shared" ref="CV39:CX39" si="296">+CP39+CS39+CJ39+CM39</f>
        <v>0</v>
      </c>
      <c r="CW39" s="6">
        <f t="shared" si="296"/>
        <v>0</v>
      </c>
      <c r="CX39" s="6">
        <f t="shared" si="296"/>
        <v>0</v>
      </c>
      <c r="CY39" s="6">
        <v>0.0</v>
      </c>
      <c r="CZ39" s="6">
        <v>0.0</v>
      </c>
      <c r="DA39" s="6">
        <v>0.0</v>
      </c>
      <c r="DB39" s="6">
        <v>0.0</v>
      </c>
      <c r="DC39" s="6">
        <v>0.0</v>
      </c>
      <c r="DD39" s="6">
        <v>0.0</v>
      </c>
      <c r="DE39" s="6">
        <v>0.0</v>
      </c>
      <c r="DF39" s="6">
        <v>0.0</v>
      </c>
      <c r="DG39" s="6">
        <v>0.0</v>
      </c>
      <c r="DH39" s="6">
        <v>0.0</v>
      </c>
      <c r="DI39" s="6">
        <v>0.0</v>
      </c>
      <c r="DJ39" s="6">
        <v>0.0</v>
      </c>
      <c r="DK39" s="6">
        <f t="shared" ref="DK39:DM39" si="297">+DE39+DH39+CY39+DB39</f>
        <v>0</v>
      </c>
      <c r="DL39" s="6">
        <f t="shared" si="297"/>
        <v>0</v>
      </c>
      <c r="DM39" s="6">
        <f t="shared" si="297"/>
        <v>0</v>
      </c>
      <c r="DN39" s="6" t="str">
        <f t="shared" ref="DN39:DP39" si="298">+P39+AE39+AT39+BI39+BU39+CG39+CV39</f>
        <v>#REF!</v>
      </c>
      <c r="DO39" s="6" t="str">
        <f t="shared" si="298"/>
        <v>#REF!</v>
      </c>
      <c r="DP39" s="6" t="str">
        <f t="shared" si="298"/>
        <v>#REF!</v>
      </c>
      <c r="DQ39" s="6" t="str">
        <f t="shared" si="19"/>
        <v>#REF!</v>
      </c>
    </row>
    <row r="40" ht="13.5" customHeight="1">
      <c r="A40" s="11">
        <v>44427.0</v>
      </c>
      <c r="B40" s="2" t="s">
        <v>224</v>
      </c>
      <c r="C40" s="2" t="s">
        <v>225</v>
      </c>
      <c r="D40" s="29" t="s">
        <v>226</v>
      </c>
      <c r="E40" s="2" t="s">
        <v>227</v>
      </c>
      <c r="F40" s="11" t="s">
        <v>228</v>
      </c>
      <c r="G40" s="11" t="s">
        <v>8</v>
      </c>
      <c r="H40" s="5">
        <v>3500000.0</v>
      </c>
      <c r="I40" s="5">
        <v>3500000.0</v>
      </c>
      <c r="J40" s="6">
        <v>0.0</v>
      </c>
      <c r="K40" s="6">
        <v>0.0</v>
      </c>
      <c r="L40" s="6">
        <v>0.0</v>
      </c>
      <c r="M40" s="6">
        <v>0.0</v>
      </c>
      <c r="N40" s="6">
        <v>0.0</v>
      </c>
      <c r="O40" s="6">
        <v>0.0</v>
      </c>
      <c r="P40" s="6">
        <f t="shared" ref="P40:R40" si="299">+J40+M40</f>
        <v>0</v>
      </c>
      <c r="Q40" s="6">
        <f t="shared" si="299"/>
        <v>0</v>
      </c>
      <c r="R40" s="6">
        <f t="shared" si="299"/>
        <v>0</v>
      </c>
      <c r="S40" s="6">
        <v>0.0</v>
      </c>
      <c r="T40" s="6">
        <v>0.0</v>
      </c>
      <c r="U40" s="6">
        <v>0.0</v>
      </c>
      <c r="V40" s="6">
        <v>0.0</v>
      </c>
      <c r="W40" s="6">
        <v>0.0</v>
      </c>
      <c r="X40" s="6">
        <v>0.0</v>
      </c>
      <c r="Y40" s="6">
        <v>0.0</v>
      </c>
      <c r="Z40" s="6">
        <v>0.0</v>
      </c>
      <c r="AA40" s="6">
        <v>0.0</v>
      </c>
      <c r="AB40" s="5">
        <v>3500000.0</v>
      </c>
      <c r="AC40" s="5">
        <v>3500000.0</v>
      </c>
      <c r="AD40" s="6">
        <v>0.0</v>
      </c>
      <c r="AE40" s="6">
        <f t="shared" ref="AE40:AG40" si="300">+Y40+AB40+S40+V40</f>
        <v>3500000</v>
      </c>
      <c r="AF40" s="6">
        <f t="shared" si="300"/>
        <v>3500000</v>
      </c>
      <c r="AG40" s="6">
        <f t="shared" si="300"/>
        <v>0</v>
      </c>
      <c r="AH40" s="6">
        <v>0.0</v>
      </c>
      <c r="AI40" s="6">
        <v>0.0</v>
      </c>
      <c r="AJ40" s="6">
        <v>2500000.0</v>
      </c>
      <c r="AK40" s="6">
        <v>0.0</v>
      </c>
      <c r="AL40" s="6">
        <v>0.0</v>
      </c>
      <c r="AM40" s="6">
        <v>200000.0</v>
      </c>
      <c r="AN40" s="6">
        <v>0.0</v>
      </c>
      <c r="AO40" s="6">
        <v>0.0</v>
      </c>
      <c r="AP40" s="6">
        <v>0.0</v>
      </c>
      <c r="AQ40" s="6">
        <v>0.0</v>
      </c>
      <c r="AR40" s="6">
        <v>0.0</v>
      </c>
      <c r="AS40" s="6">
        <v>100000.0</v>
      </c>
      <c r="AT40" s="6">
        <f t="shared" ref="AT40:AV40" si="301">+AN40+AQ40+AH40+AK40</f>
        <v>0</v>
      </c>
      <c r="AU40" s="6">
        <f t="shared" si="301"/>
        <v>0</v>
      </c>
      <c r="AV40" s="6">
        <f t="shared" si="301"/>
        <v>2800000</v>
      </c>
      <c r="AW40" s="6">
        <v>0.0</v>
      </c>
      <c r="AX40" s="6">
        <v>0.0</v>
      </c>
      <c r="AY40" s="6">
        <v>238750.0</v>
      </c>
      <c r="AZ40" s="6">
        <v>0.0</v>
      </c>
      <c r="BA40" s="6">
        <v>0.0</v>
      </c>
      <c r="BB40" s="6">
        <v>200000.0</v>
      </c>
      <c r="BC40" s="6">
        <v>0.0</v>
      </c>
      <c r="BD40" s="6">
        <v>0.0</v>
      </c>
      <c r="BE40" s="6">
        <v>261250.0</v>
      </c>
      <c r="BF40" s="6">
        <v>0.0</v>
      </c>
      <c r="BG40" s="6">
        <v>0.0</v>
      </c>
      <c r="BH40" s="6">
        <v>0.0</v>
      </c>
      <c r="BI40" s="6">
        <f t="shared" ref="BI40:BK40" si="302">+BC40+BF40+AW40+AZ40</f>
        <v>0</v>
      </c>
      <c r="BJ40" s="6">
        <f t="shared" si="302"/>
        <v>0</v>
      </c>
      <c r="BK40" s="6">
        <f t="shared" si="302"/>
        <v>700000</v>
      </c>
      <c r="BL40" s="6">
        <v>0.0</v>
      </c>
      <c r="BM40" s="6">
        <v>0.0</v>
      </c>
      <c r="BN40" s="6">
        <v>85000.0</v>
      </c>
      <c r="BO40" s="6">
        <v>0.0</v>
      </c>
      <c r="BP40" s="6">
        <v>0.0</v>
      </c>
      <c r="BQ40" s="6">
        <v>0.0</v>
      </c>
      <c r="BR40" s="6">
        <v>0.0</v>
      </c>
      <c r="BS40" s="6">
        <v>0.0</v>
      </c>
      <c r="BT40" s="6">
        <v>0.0</v>
      </c>
      <c r="BU40" s="6" t="str">
        <f t="shared" ref="BU40:BW40" si="303">+BO40+BR40+#REF!+BL40</f>
        <v>#REF!</v>
      </c>
      <c r="BV40" s="6" t="str">
        <f t="shared" si="303"/>
        <v>#REF!</v>
      </c>
      <c r="BW40" s="6" t="str">
        <f t="shared" si="303"/>
        <v>#REF!</v>
      </c>
      <c r="BX40" s="6">
        <v>0.0</v>
      </c>
      <c r="BY40" s="6">
        <v>0.0</v>
      </c>
      <c r="BZ40" s="6">
        <v>0.0</v>
      </c>
      <c r="CA40" s="6">
        <v>0.0</v>
      </c>
      <c r="CB40" s="6">
        <v>0.0</v>
      </c>
      <c r="CC40" s="6">
        <v>0.0</v>
      </c>
      <c r="CD40" s="6">
        <v>0.0</v>
      </c>
      <c r="CE40" s="6">
        <v>0.0</v>
      </c>
      <c r="CF40" s="6">
        <v>0.0</v>
      </c>
      <c r="CG40" s="6" t="str">
        <f t="shared" ref="CG40:CI40" si="304">+CA40+CD40+BX40+#REF!</f>
        <v>#REF!</v>
      </c>
      <c r="CH40" s="6" t="str">
        <f t="shared" si="304"/>
        <v>#REF!</v>
      </c>
      <c r="CI40" s="6" t="str">
        <f t="shared" si="304"/>
        <v>#REF!</v>
      </c>
      <c r="CJ40" s="6">
        <v>0.0</v>
      </c>
      <c r="CK40" s="6">
        <v>0.0</v>
      </c>
      <c r="CL40" s="6">
        <v>0.0</v>
      </c>
      <c r="CM40" s="6">
        <v>0.0</v>
      </c>
      <c r="CN40" s="6">
        <v>0.0</v>
      </c>
      <c r="CO40" s="6">
        <v>0.0</v>
      </c>
      <c r="CP40" s="6">
        <v>0.0</v>
      </c>
      <c r="CQ40" s="6">
        <v>0.0</v>
      </c>
      <c r="CR40" s="6">
        <v>0.0</v>
      </c>
      <c r="CS40" s="6">
        <v>0.0</v>
      </c>
      <c r="CT40" s="6">
        <v>0.0</v>
      </c>
      <c r="CU40" s="6">
        <v>0.0</v>
      </c>
      <c r="CV40" s="6">
        <f t="shared" ref="CV40:CX40" si="305">+CP40+CS40+CJ40+CM40</f>
        <v>0</v>
      </c>
      <c r="CW40" s="6">
        <f t="shared" si="305"/>
        <v>0</v>
      </c>
      <c r="CX40" s="6">
        <f t="shared" si="305"/>
        <v>0</v>
      </c>
      <c r="CY40" s="6">
        <v>0.0</v>
      </c>
      <c r="CZ40" s="6">
        <v>0.0</v>
      </c>
      <c r="DA40" s="6">
        <v>0.0</v>
      </c>
      <c r="DB40" s="6">
        <v>0.0</v>
      </c>
      <c r="DC40" s="6">
        <v>0.0</v>
      </c>
      <c r="DD40" s="6">
        <v>0.0</v>
      </c>
      <c r="DE40" s="6">
        <v>0.0</v>
      </c>
      <c r="DF40" s="6">
        <v>0.0</v>
      </c>
      <c r="DG40" s="6">
        <v>0.0</v>
      </c>
      <c r="DH40" s="6">
        <v>0.0</v>
      </c>
      <c r="DI40" s="6">
        <v>0.0</v>
      </c>
      <c r="DJ40" s="6">
        <v>0.0</v>
      </c>
      <c r="DK40" s="6">
        <f t="shared" ref="DK40:DM40" si="306">+DE40+DH40+CY40+DB40</f>
        <v>0</v>
      </c>
      <c r="DL40" s="6">
        <f t="shared" si="306"/>
        <v>0</v>
      </c>
      <c r="DM40" s="6">
        <f t="shared" si="306"/>
        <v>0</v>
      </c>
      <c r="DN40" s="6" t="str">
        <f t="shared" ref="DN40:DP40" si="307">+P40+AE40+AT40+BI40+BU40+CG40+CV40</f>
        <v>#REF!</v>
      </c>
      <c r="DO40" s="6" t="str">
        <f t="shared" si="307"/>
        <v>#REF!</v>
      </c>
      <c r="DP40" s="6" t="str">
        <f t="shared" si="307"/>
        <v>#REF!</v>
      </c>
      <c r="DQ40" s="6" t="str">
        <f t="shared" si="19"/>
        <v>#REF!</v>
      </c>
    </row>
    <row r="41" ht="13.5" customHeight="1">
      <c r="A41" s="11">
        <v>44396.0</v>
      </c>
      <c r="B41" s="2" t="s">
        <v>229</v>
      </c>
      <c r="C41" s="2" t="s">
        <v>230</v>
      </c>
      <c r="D41" s="29" t="s">
        <v>231</v>
      </c>
      <c r="E41" s="2" t="s">
        <v>232</v>
      </c>
      <c r="F41" s="11" t="s">
        <v>233</v>
      </c>
      <c r="G41" s="11" t="s">
        <v>8</v>
      </c>
      <c r="H41" s="5">
        <v>653000.0</v>
      </c>
      <c r="I41" s="5">
        <v>653000.0</v>
      </c>
      <c r="J41" s="6">
        <v>0.0</v>
      </c>
      <c r="K41" s="6">
        <v>0.0</v>
      </c>
      <c r="L41" s="6">
        <v>0.0</v>
      </c>
      <c r="M41" s="6">
        <v>0.0</v>
      </c>
      <c r="N41" s="6">
        <v>0.0</v>
      </c>
      <c r="O41" s="6">
        <v>0.0</v>
      </c>
      <c r="P41" s="6">
        <f t="shared" ref="P41:R41" si="308">+J41+M41</f>
        <v>0</v>
      </c>
      <c r="Q41" s="6">
        <f t="shared" si="308"/>
        <v>0</v>
      </c>
      <c r="R41" s="6">
        <f t="shared" si="308"/>
        <v>0</v>
      </c>
      <c r="S41" s="6">
        <v>0.0</v>
      </c>
      <c r="T41" s="6">
        <v>0.0</v>
      </c>
      <c r="U41" s="6">
        <v>0.0</v>
      </c>
      <c r="V41" s="6">
        <v>0.0</v>
      </c>
      <c r="W41" s="6">
        <v>0.0</v>
      </c>
      <c r="X41" s="6">
        <v>0.0</v>
      </c>
      <c r="Y41" s="6">
        <v>0.0</v>
      </c>
      <c r="Z41" s="6">
        <v>0.0</v>
      </c>
      <c r="AA41" s="6">
        <v>0.0</v>
      </c>
      <c r="AB41" s="5">
        <v>653000.0</v>
      </c>
      <c r="AC41" s="5">
        <v>653000.0</v>
      </c>
      <c r="AD41" s="6">
        <v>0.0</v>
      </c>
      <c r="AE41" s="6">
        <f t="shared" ref="AE41:AG41" si="309">+Y41+AB41+S41+V41</f>
        <v>653000</v>
      </c>
      <c r="AF41" s="6">
        <f t="shared" si="309"/>
        <v>653000</v>
      </c>
      <c r="AG41" s="6">
        <f t="shared" si="309"/>
        <v>0</v>
      </c>
      <c r="AH41" s="6">
        <v>0.0</v>
      </c>
      <c r="AI41" s="6">
        <v>0.0</v>
      </c>
      <c r="AJ41" s="6">
        <v>325000.0</v>
      </c>
      <c r="AK41" s="6">
        <v>0.0</v>
      </c>
      <c r="AL41" s="6">
        <v>0.0</v>
      </c>
      <c r="AM41" s="6">
        <v>164000.0</v>
      </c>
      <c r="AN41" s="6">
        <v>0.0</v>
      </c>
      <c r="AO41" s="6">
        <v>0.0</v>
      </c>
      <c r="AP41" s="6">
        <v>164000.0</v>
      </c>
      <c r="AQ41" s="6">
        <v>0.0</v>
      </c>
      <c r="AR41" s="6">
        <v>0.0</v>
      </c>
      <c r="AS41" s="6">
        <v>0.0</v>
      </c>
      <c r="AT41" s="6">
        <f t="shared" ref="AT41:AV41" si="310">+AN41+AQ41+AH41+AK41</f>
        <v>0</v>
      </c>
      <c r="AU41" s="6">
        <f t="shared" si="310"/>
        <v>0</v>
      </c>
      <c r="AV41" s="6">
        <f t="shared" si="310"/>
        <v>653000</v>
      </c>
      <c r="AW41" s="6">
        <v>0.0</v>
      </c>
      <c r="AX41" s="6">
        <v>0.0</v>
      </c>
      <c r="AY41" s="6">
        <v>0.0</v>
      </c>
      <c r="AZ41" s="6">
        <v>0.0</v>
      </c>
      <c r="BA41" s="6">
        <v>0.0</v>
      </c>
      <c r="BB41" s="6">
        <v>0.0</v>
      </c>
      <c r="BC41" s="6">
        <v>0.0</v>
      </c>
      <c r="BD41" s="6">
        <v>0.0</v>
      </c>
      <c r="BE41" s="6">
        <v>0.0</v>
      </c>
      <c r="BF41" s="6">
        <v>0.0</v>
      </c>
      <c r="BG41" s="6">
        <v>0.0</v>
      </c>
      <c r="BH41" s="6">
        <v>0.0</v>
      </c>
      <c r="BI41" s="6">
        <f t="shared" ref="BI41:BK41" si="311">+BC41+BF41+AW41+AZ41</f>
        <v>0</v>
      </c>
      <c r="BJ41" s="6">
        <f t="shared" si="311"/>
        <v>0</v>
      </c>
      <c r="BK41" s="6">
        <f t="shared" si="311"/>
        <v>0</v>
      </c>
      <c r="BL41" s="6">
        <v>0.0</v>
      </c>
      <c r="BM41" s="6">
        <v>0.0</v>
      </c>
      <c r="BN41" s="6">
        <v>0.0</v>
      </c>
      <c r="BO41" s="6">
        <v>0.0</v>
      </c>
      <c r="BP41" s="6">
        <v>0.0</v>
      </c>
      <c r="BQ41" s="6">
        <v>0.0</v>
      </c>
      <c r="BR41" s="6">
        <v>0.0</v>
      </c>
      <c r="BS41" s="6">
        <v>0.0</v>
      </c>
      <c r="BT41" s="6">
        <v>0.0</v>
      </c>
      <c r="BU41" s="6" t="str">
        <f t="shared" ref="BU41:BW41" si="312">+BO41+BR41+#REF!+BL41</f>
        <v>#REF!</v>
      </c>
      <c r="BV41" s="6" t="str">
        <f t="shared" si="312"/>
        <v>#REF!</v>
      </c>
      <c r="BW41" s="6" t="str">
        <f t="shared" si="312"/>
        <v>#REF!</v>
      </c>
      <c r="BX41" s="6">
        <v>0.0</v>
      </c>
      <c r="BY41" s="6">
        <v>0.0</v>
      </c>
      <c r="BZ41" s="6">
        <v>0.0</v>
      </c>
      <c r="CA41" s="6">
        <v>0.0</v>
      </c>
      <c r="CB41" s="6">
        <v>0.0</v>
      </c>
      <c r="CC41" s="6">
        <v>0.0</v>
      </c>
      <c r="CD41" s="6">
        <v>0.0</v>
      </c>
      <c r="CE41" s="6">
        <v>0.0</v>
      </c>
      <c r="CF41" s="6">
        <v>0.0</v>
      </c>
      <c r="CG41" s="6" t="str">
        <f t="shared" ref="CG41:CI41" si="313">+CA41+CD41+BX41+#REF!</f>
        <v>#REF!</v>
      </c>
      <c r="CH41" s="6" t="str">
        <f t="shared" si="313"/>
        <v>#REF!</v>
      </c>
      <c r="CI41" s="6" t="str">
        <f t="shared" si="313"/>
        <v>#REF!</v>
      </c>
      <c r="CJ41" s="6">
        <v>0.0</v>
      </c>
      <c r="CK41" s="6">
        <v>0.0</v>
      </c>
      <c r="CL41" s="6">
        <v>0.0</v>
      </c>
      <c r="CM41" s="6">
        <v>0.0</v>
      </c>
      <c r="CN41" s="6">
        <v>0.0</v>
      </c>
      <c r="CO41" s="6">
        <v>0.0</v>
      </c>
      <c r="CP41" s="6">
        <v>0.0</v>
      </c>
      <c r="CQ41" s="6">
        <v>0.0</v>
      </c>
      <c r="CR41" s="6">
        <v>0.0</v>
      </c>
      <c r="CS41" s="6">
        <v>0.0</v>
      </c>
      <c r="CT41" s="6">
        <v>0.0</v>
      </c>
      <c r="CU41" s="6">
        <v>0.0</v>
      </c>
      <c r="CV41" s="6">
        <f t="shared" ref="CV41:CX41" si="314">+CP41+CS41+CJ41+CM41</f>
        <v>0</v>
      </c>
      <c r="CW41" s="6">
        <f t="shared" si="314"/>
        <v>0</v>
      </c>
      <c r="CX41" s="6">
        <f t="shared" si="314"/>
        <v>0</v>
      </c>
      <c r="CY41" s="6">
        <v>0.0</v>
      </c>
      <c r="CZ41" s="6">
        <v>0.0</v>
      </c>
      <c r="DA41" s="6">
        <v>0.0</v>
      </c>
      <c r="DB41" s="6">
        <v>0.0</v>
      </c>
      <c r="DC41" s="6">
        <v>0.0</v>
      </c>
      <c r="DD41" s="6">
        <v>0.0</v>
      </c>
      <c r="DE41" s="6">
        <v>0.0</v>
      </c>
      <c r="DF41" s="6">
        <v>0.0</v>
      </c>
      <c r="DG41" s="6">
        <v>0.0</v>
      </c>
      <c r="DH41" s="6">
        <v>0.0</v>
      </c>
      <c r="DI41" s="6">
        <v>0.0</v>
      </c>
      <c r="DJ41" s="6">
        <v>0.0</v>
      </c>
      <c r="DK41" s="6">
        <f t="shared" ref="DK41:DM41" si="315">+DE41+DH41+CY41+DB41</f>
        <v>0</v>
      </c>
      <c r="DL41" s="6">
        <f t="shared" si="315"/>
        <v>0</v>
      </c>
      <c r="DM41" s="6">
        <f t="shared" si="315"/>
        <v>0</v>
      </c>
      <c r="DN41" s="6" t="str">
        <f t="shared" ref="DN41:DP41" si="316">+P41+AE41+AT41+BI41+BU41+CG41+CV41</f>
        <v>#REF!</v>
      </c>
      <c r="DO41" s="6" t="str">
        <f t="shared" si="316"/>
        <v>#REF!</v>
      </c>
      <c r="DP41" s="6" t="str">
        <f t="shared" si="316"/>
        <v>#REF!</v>
      </c>
      <c r="DQ41" s="6" t="str">
        <f t="shared" si="19"/>
        <v>#REF!</v>
      </c>
    </row>
    <row r="42" ht="13.5" customHeight="1">
      <c r="A42" s="11">
        <v>44418.0</v>
      </c>
      <c r="B42" s="2" t="s">
        <v>234</v>
      </c>
      <c r="C42" s="2" t="s">
        <v>235</v>
      </c>
      <c r="D42" s="29" t="s">
        <v>236</v>
      </c>
      <c r="E42" s="2" t="s">
        <v>237</v>
      </c>
      <c r="F42" s="11" t="s">
        <v>238</v>
      </c>
      <c r="G42" s="11" t="s">
        <v>8</v>
      </c>
      <c r="H42" s="5">
        <v>36400.0</v>
      </c>
      <c r="I42" s="5">
        <v>36400.0</v>
      </c>
      <c r="J42" s="6">
        <v>0.0</v>
      </c>
      <c r="K42" s="6">
        <v>0.0</v>
      </c>
      <c r="L42" s="6">
        <v>0.0</v>
      </c>
      <c r="M42" s="6">
        <v>0.0</v>
      </c>
      <c r="N42" s="6">
        <v>0.0</v>
      </c>
      <c r="O42" s="6">
        <v>0.0</v>
      </c>
      <c r="P42" s="6">
        <f t="shared" ref="P42:R42" si="317">+J42+M42</f>
        <v>0</v>
      </c>
      <c r="Q42" s="6">
        <f t="shared" si="317"/>
        <v>0</v>
      </c>
      <c r="R42" s="6">
        <f t="shared" si="317"/>
        <v>0</v>
      </c>
      <c r="S42" s="6">
        <v>0.0</v>
      </c>
      <c r="T42" s="6">
        <v>0.0</v>
      </c>
      <c r="U42" s="6">
        <v>0.0</v>
      </c>
      <c r="V42" s="6">
        <v>0.0</v>
      </c>
      <c r="W42" s="6">
        <v>0.0</v>
      </c>
      <c r="X42" s="6">
        <v>0.0</v>
      </c>
      <c r="Y42" s="6">
        <v>0.0</v>
      </c>
      <c r="Z42" s="6">
        <v>0.0</v>
      </c>
      <c r="AA42" s="6">
        <v>0.0</v>
      </c>
      <c r="AB42" s="5">
        <v>36400.0</v>
      </c>
      <c r="AC42" s="5">
        <v>36400.0</v>
      </c>
      <c r="AD42" s="6">
        <v>0.0</v>
      </c>
      <c r="AE42" s="6">
        <f t="shared" ref="AE42:AG42" si="318">+Y42+AB42+S42+V42</f>
        <v>36400</v>
      </c>
      <c r="AF42" s="6">
        <f t="shared" si="318"/>
        <v>36400</v>
      </c>
      <c r="AG42" s="6">
        <f t="shared" si="318"/>
        <v>0</v>
      </c>
      <c r="AH42" s="6">
        <v>0.0</v>
      </c>
      <c r="AI42" s="6">
        <v>0.0</v>
      </c>
      <c r="AJ42" s="6">
        <v>0.0</v>
      </c>
      <c r="AK42" s="6">
        <v>0.0</v>
      </c>
      <c r="AL42" s="6">
        <v>0.0</v>
      </c>
      <c r="AM42" s="6">
        <v>0.0</v>
      </c>
      <c r="AN42" s="6">
        <v>0.0</v>
      </c>
      <c r="AO42" s="6">
        <v>0.0</v>
      </c>
      <c r="AP42" s="6">
        <v>0.0</v>
      </c>
      <c r="AQ42" s="6">
        <v>0.0</v>
      </c>
      <c r="AR42" s="6">
        <v>0.0</v>
      </c>
      <c r="AS42" s="6">
        <v>36400.0</v>
      </c>
      <c r="AT42" s="6">
        <f t="shared" ref="AT42:AV42" si="319">+AN42+AQ42+AH42+AK42</f>
        <v>0</v>
      </c>
      <c r="AU42" s="6">
        <f t="shared" si="319"/>
        <v>0</v>
      </c>
      <c r="AV42" s="6">
        <f t="shared" si="319"/>
        <v>36400</v>
      </c>
      <c r="AW42" s="6">
        <v>0.0</v>
      </c>
      <c r="AX42" s="6">
        <v>0.0</v>
      </c>
      <c r="AY42" s="6">
        <v>0.0</v>
      </c>
      <c r="AZ42" s="6">
        <v>0.0</v>
      </c>
      <c r="BA42" s="6">
        <v>0.0</v>
      </c>
      <c r="BB42" s="6">
        <v>0.0</v>
      </c>
      <c r="BC42" s="6">
        <v>0.0</v>
      </c>
      <c r="BD42" s="6">
        <v>0.0</v>
      </c>
      <c r="BE42" s="6">
        <v>0.0</v>
      </c>
      <c r="BF42" s="6">
        <v>0.0</v>
      </c>
      <c r="BG42" s="6">
        <v>0.0</v>
      </c>
      <c r="BH42" s="6">
        <v>0.0</v>
      </c>
      <c r="BI42" s="6">
        <f t="shared" ref="BI42:BK42" si="320">+BC42+BF42+AW42+AZ42</f>
        <v>0</v>
      </c>
      <c r="BJ42" s="6">
        <f t="shared" si="320"/>
        <v>0</v>
      </c>
      <c r="BK42" s="6">
        <f t="shared" si="320"/>
        <v>0</v>
      </c>
      <c r="BL42" s="6">
        <v>0.0</v>
      </c>
      <c r="BM42" s="6">
        <v>0.0</v>
      </c>
      <c r="BN42" s="6">
        <v>0.0</v>
      </c>
      <c r="BO42" s="6">
        <v>0.0</v>
      </c>
      <c r="BP42" s="6">
        <v>0.0</v>
      </c>
      <c r="BQ42" s="6">
        <v>0.0</v>
      </c>
      <c r="BR42" s="6">
        <v>0.0</v>
      </c>
      <c r="BS42" s="6">
        <v>0.0</v>
      </c>
      <c r="BT42" s="6">
        <v>0.0</v>
      </c>
      <c r="BU42" s="6" t="str">
        <f t="shared" ref="BU42:BW42" si="321">+BO42+BR42+#REF!+BL42</f>
        <v>#REF!</v>
      </c>
      <c r="BV42" s="6" t="str">
        <f t="shared" si="321"/>
        <v>#REF!</v>
      </c>
      <c r="BW42" s="6" t="str">
        <f t="shared" si="321"/>
        <v>#REF!</v>
      </c>
      <c r="BX42" s="6">
        <v>0.0</v>
      </c>
      <c r="BY42" s="6">
        <v>0.0</v>
      </c>
      <c r="BZ42" s="6">
        <v>0.0</v>
      </c>
      <c r="CA42" s="6">
        <v>0.0</v>
      </c>
      <c r="CB42" s="6">
        <v>0.0</v>
      </c>
      <c r="CC42" s="6">
        <v>0.0</v>
      </c>
      <c r="CD42" s="6">
        <v>0.0</v>
      </c>
      <c r="CE42" s="6">
        <v>0.0</v>
      </c>
      <c r="CF42" s="6">
        <v>0.0</v>
      </c>
      <c r="CG42" s="6" t="str">
        <f t="shared" ref="CG42:CI42" si="322">+CA42+CD42+BX42+#REF!</f>
        <v>#REF!</v>
      </c>
      <c r="CH42" s="6" t="str">
        <f t="shared" si="322"/>
        <v>#REF!</v>
      </c>
      <c r="CI42" s="6" t="str">
        <f t="shared" si="322"/>
        <v>#REF!</v>
      </c>
      <c r="CJ42" s="6">
        <v>0.0</v>
      </c>
      <c r="CK42" s="6">
        <v>0.0</v>
      </c>
      <c r="CL42" s="6">
        <v>0.0</v>
      </c>
      <c r="CM42" s="6">
        <v>0.0</v>
      </c>
      <c r="CN42" s="6">
        <v>0.0</v>
      </c>
      <c r="CO42" s="6">
        <v>0.0</v>
      </c>
      <c r="CP42" s="6">
        <v>0.0</v>
      </c>
      <c r="CQ42" s="6">
        <v>0.0</v>
      </c>
      <c r="CR42" s="6">
        <v>0.0</v>
      </c>
      <c r="CS42" s="6">
        <v>0.0</v>
      </c>
      <c r="CT42" s="6">
        <v>0.0</v>
      </c>
      <c r="CU42" s="6">
        <v>0.0</v>
      </c>
      <c r="CV42" s="6">
        <f t="shared" ref="CV42:CX42" si="323">+CP42+CS42+CJ42+CM42</f>
        <v>0</v>
      </c>
      <c r="CW42" s="6">
        <f t="shared" si="323"/>
        <v>0</v>
      </c>
      <c r="CX42" s="6">
        <f t="shared" si="323"/>
        <v>0</v>
      </c>
      <c r="CY42" s="6">
        <v>0.0</v>
      </c>
      <c r="CZ42" s="6">
        <v>0.0</v>
      </c>
      <c r="DA42" s="6">
        <v>0.0</v>
      </c>
      <c r="DB42" s="6">
        <v>0.0</v>
      </c>
      <c r="DC42" s="6">
        <v>0.0</v>
      </c>
      <c r="DD42" s="6">
        <v>0.0</v>
      </c>
      <c r="DE42" s="6">
        <v>0.0</v>
      </c>
      <c r="DF42" s="6">
        <v>0.0</v>
      </c>
      <c r="DG42" s="6">
        <v>0.0</v>
      </c>
      <c r="DH42" s="6">
        <v>0.0</v>
      </c>
      <c r="DI42" s="6">
        <v>0.0</v>
      </c>
      <c r="DJ42" s="6">
        <v>0.0</v>
      </c>
      <c r="DK42" s="6">
        <f t="shared" ref="DK42:DM42" si="324">+DE42+DH42+CY42+DB42</f>
        <v>0</v>
      </c>
      <c r="DL42" s="6">
        <f t="shared" si="324"/>
        <v>0</v>
      </c>
      <c r="DM42" s="6">
        <f t="shared" si="324"/>
        <v>0</v>
      </c>
      <c r="DN42" s="6" t="str">
        <f t="shared" ref="DN42:DP42" si="325">+P42+AE42+AT42+BI42+BU42+CG42+CV42</f>
        <v>#REF!</v>
      </c>
      <c r="DO42" s="6" t="str">
        <f t="shared" si="325"/>
        <v>#REF!</v>
      </c>
      <c r="DP42" s="6" t="str">
        <f t="shared" si="325"/>
        <v>#REF!</v>
      </c>
      <c r="DQ42" s="6" t="str">
        <f t="shared" si="19"/>
        <v>#REF!</v>
      </c>
    </row>
    <row r="43" ht="13.5" customHeight="1">
      <c r="A43" s="11">
        <v>44418.0</v>
      </c>
      <c r="B43" s="2" t="s">
        <v>234</v>
      </c>
      <c r="C43" s="2" t="s">
        <v>235</v>
      </c>
      <c r="D43" s="29" t="s">
        <v>236</v>
      </c>
      <c r="E43" s="2" t="s">
        <v>237</v>
      </c>
      <c r="F43" s="11" t="s">
        <v>239</v>
      </c>
      <c r="G43" s="11" t="s">
        <v>8</v>
      </c>
      <c r="H43" s="5">
        <v>733600.0</v>
      </c>
      <c r="I43" s="5">
        <v>733600.0</v>
      </c>
      <c r="J43" s="6">
        <v>0.0</v>
      </c>
      <c r="K43" s="6">
        <v>0.0</v>
      </c>
      <c r="L43" s="6">
        <v>0.0</v>
      </c>
      <c r="M43" s="6">
        <v>0.0</v>
      </c>
      <c r="N43" s="6">
        <v>0.0</v>
      </c>
      <c r="O43" s="6">
        <v>0.0</v>
      </c>
      <c r="P43" s="6">
        <f t="shared" ref="P43:R43" si="326">+J43+M43</f>
        <v>0</v>
      </c>
      <c r="Q43" s="6">
        <f t="shared" si="326"/>
        <v>0</v>
      </c>
      <c r="R43" s="6">
        <f t="shared" si="326"/>
        <v>0</v>
      </c>
      <c r="S43" s="6">
        <v>0.0</v>
      </c>
      <c r="T43" s="6">
        <v>0.0</v>
      </c>
      <c r="U43" s="6">
        <v>0.0</v>
      </c>
      <c r="V43" s="6">
        <v>0.0</v>
      </c>
      <c r="W43" s="6">
        <v>0.0</v>
      </c>
      <c r="X43" s="6">
        <v>0.0</v>
      </c>
      <c r="Y43" s="6">
        <v>0.0</v>
      </c>
      <c r="Z43" s="6">
        <v>0.0</v>
      </c>
      <c r="AA43" s="6">
        <v>0.0</v>
      </c>
      <c r="AB43" s="5">
        <v>733600.0</v>
      </c>
      <c r="AC43" s="5">
        <v>733600.0</v>
      </c>
      <c r="AD43" s="6">
        <v>0.0</v>
      </c>
      <c r="AE43" s="6">
        <f t="shared" ref="AE43:AG43" si="327">+Y43+AB43+S43+V43</f>
        <v>733600</v>
      </c>
      <c r="AF43" s="6">
        <f t="shared" si="327"/>
        <v>733600</v>
      </c>
      <c r="AG43" s="6">
        <f t="shared" si="327"/>
        <v>0</v>
      </c>
      <c r="AH43" s="6">
        <v>0.0</v>
      </c>
      <c r="AI43" s="6">
        <v>0.0</v>
      </c>
      <c r="AJ43" s="6">
        <v>225000.0</v>
      </c>
      <c r="AK43" s="6">
        <v>0.0</v>
      </c>
      <c r="AL43" s="6">
        <v>0.0</v>
      </c>
      <c r="AM43" s="6">
        <v>200000.0</v>
      </c>
      <c r="AN43" s="6">
        <v>0.0</v>
      </c>
      <c r="AO43" s="6">
        <v>0.0</v>
      </c>
      <c r="AP43" s="6">
        <v>0.0</v>
      </c>
      <c r="AQ43" s="6">
        <v>0.0</v>
      </c>
      <c r="AR43" s="6">
        <v>0.0</v>
      </c>
      <c r="AS43" s="6">
        <v>154300.0</v>
      </c>
      <c r="AT43" s="6">
        <f t="shared" ref="AT43:AV43" si="328">+AN43+AQ43+AH43+AK43</f>
        <v>0</v>
      </c>
      <c r="AU43" s="6">
        <f t="shared" si="328"/>
        <v>0</v>
      </c>
      <c r="AV43" s="6">
        <f t="shared" si="328"/>
        <v>579300</v>
      </c>
      <c r="AW43" s="6">
        <v>0.0</v>
      </c>
      <c r="AX43" s="6">
        <v>0.0</v>
      </c>
      <c r="AY43" s="6">
        <v>154300.0</v>
      </c>
      <c r="AZ43" s="6">
        <v>0.0</v>
      </c>
      <c r="BA43" s="6">
        <v>0.0</v>
      </c>
      <c r="BB43" s="6">
        <v>0.0</v>
      </c>
      <c r="BC43" s="6">
        <v>0.0</v>
      </c>
      <c r="BD43" s="6">
        <v>0.0</v>
      </c>
      <c r="BE43" s="6">
        <v>0.0</v>
      </c>
      <c r="BF43" s="6">
        <v>0.0</v>
      </c>
      <c r="BG43" s="6">
        <v>0.0</v>
      </c>
      <c r="BH43" s="6">
        <v>0.0</v>
      </c>
      <c r="BI43" s="6">
        <f t="shared" ref="BI43:BK43" si="329">+BC43+BF43+AW43+AZ43</f>
        <v>0</v>
      </c>
      <c r="BJ43" s="6">
        <f t="shared" si="329"/>
        <v>0</v>
      </c>
      <c r="BK43" s="6">
        <f t="shared" si="329"/>
        <v>154300</v>
      </c>
      <c r="BL43" s="6">
        <v>0.0</v>
      </c>
      <c r="BM43" s="6">
        <v>0.0</v>
      </c>
      <c r="BN43" s="6">
        <v>0.0</v>
      </c>
      <c r="BO43" s="6">
        <v>0.0</v>
      </c>
      <c r="BP43" s="6">
        <v>0.0</v>
      </c>
      <c r="BQ43" s="6">
        <v>0.0</v>
      </c>
      <c r="BR43" s="6">
        <v>0.0</v>
      </c>
      <c r="BS43" s="6">
        <v>0.0</v>
      </c>
      <c r="BT43" s="6">
        <v>0.0</v>
      </c>
      <c r="BU43" s="6" t="str">
        <f t="shared" ref="BU43:BW43" si="330">+BO43+BR43+#REF!+BL43</f>
        <v>#REF!</v>
      </c>
      <c r="BV43" s="6" t="str">
        <f t="shared" si="330"/>
        <v>#REF!</v>
      </c>
      <c r="BW43" s="6" t="str">
        <f t="shared" si="330"/>
        <v>#REF!</v>
      </c>
      <c r="BX43" s="6">
        <v>0.0</v>
      </c>
      <c r="BY43" s="6">
        <v>0.0</v>
      </c>
      <c r="BZ43" s="6">
        <v>0.0</v>
      </c>
      <c r="CA43" s="6">
        <v>0.0</v>
      </c>
      <c r="CB43" s="6">
        <v>0.0</v>
      </c>
      <c r="CC43" s="6">
        <v>0.0</v>
      </c>
      <c r="CD43" s="6">
        <v>0.0</v>
      </c>
      <c r="CE43" s="6">
        <v>0.0</v>
      </c>
      <c r="CF43" s="6">
        <v>0.0</v>
      </c>
      <c r="CG43" s="6" t="str">
        <f t="shared" ref="CG43:CI43" si="331">+CA43+CD43+BX43+#REF!</f>
        <v>#REF!</v>
      </c>
      <c r="CH43" s="6" t="str">
        <f t="shared" si="331"/>
        <v>#REF!</v>
      </c>
      <c r="CI43" s="6" t="str">
        <f t="shared" si="331"/>
        <v>#REF!</v>
      </c>
      <c r="CJ43" s="6">
        <v>0.0</v>
      </c>
      <c r="CK43" s="6">
        <v>0.0</v>
      </c>
      <c r="CL43" s="6">
        <v>0.0</v>
      </c>
      <c r="CM43" s="6">
        <v>0.0</v>
      </c>
      <c r="CN43" s="6">
        <v>0.0</v>
      </c>
      <c r="CO43" s="6">
        <v>0.0</v>
      </c>
      <c r="CP43" s="6">
        <v>0.0</v>
      </c>
      <c r="CQ43" s="6">
        <v>0.0</v>
      </c>
      <c r="CR43" s="6">
        <v>0.0</v>
      </c>
      <c r="CS43" s="6">
        <v>0.0</v>
      </c>
      <c r="CT43" s="6">
        <v>0.0</v>
      </c>
      <c r="CU43" s="6">
        <v>0.0</v>
      </c>
      <c r="CV43" s="6">
        <f t="shared" ref="CV43:CX43" si="332">+CP43+CS43+CJ43+CM43</f>
        <v>0</v>
      </c>
      <c r="CW43" s="6">
        <f t="shared" si="332"/>
        <v>0</v>
      </c>
      <c r="CX43" s="6">
        <f t="shared" si="332"/>
        <v>0</v>
      </c>
      <c r="CY43" s="6">
        <v>0.0</v>
      </c>
      <c r="CZ43" s="6">
        <v>0.0</v>
      </c>
      <c r="DA43" s="6">
        <v>0.0</v>
      </c>
      <c r="DB43" s="6">
        <v>0.0</v>
      </c>
      <c r="DC43" s="6">
        <v>0.0</v>
      </c>
      <c r="DD43" s="6">
        <v>0.0</v>
      </c>
      <c r="DE43" s="6">
        <v>0.0</v>
      </c>
      <c r="DF43" s="6">
        <v>0.0</v>
      </c>
      <c r="DG43" s="6">
        <v>0.0</v>
      </c>
      <c r="DH43" s="6">
        <v>0.0</v>
      </c>
      <c r="DI43" s="6">
        <v>0.0</v>
      </c>
      <c r="DJ43" s="6">
        <v>0.0</v>
      </c>
      <c r="DK43" s="6">
        <f t="shared" ref="DK43:DM43" si="333">+DE43+DH43+CY43+DB43</f>
        <v>0</v>
      </c>
      <c r="DL43" s="6">
        <f t="shared" si="333"/>
        <v>0</v>
      </c>
      <c r="DM43" s="6">
        <f t="shared" si="333"/>
        <v>0</v>
      </c>
      <c r="DN43" s="6" t="str">
        <f t="shared" ref="DN43:DP43" si="334">+P43+AE43+AT43+BI43+BU43+CG43+CV43</f>
        <v>#REF!</v>
      </c>
      <c r="DO43" s="6" t="str">
        <f t="shared" si="334"/>
        <v>#REF!</v>
      </c>
      <c r="DP43" s="6" t="str">
        <f t="shared" si="334"/>
        <v>#REF!</v>
      </c>
      <c r="DQ43" s="6" t="str">
        <f t="shared" si="19"/>
        <v>#REF!</v>
      </c>
    </row>
    <row r="44" ht="13.5" customHeight="1">
      <c r="A44" s="11">
        <v>44455.0</v>
      </c>
      <c r="B44" s="2" t="s">
        <v>240</v>
      </c>
      <c r="C44" s="2" t="s">
        <v>241</v>
      </c>
      <c r="D44" s="29" t="s">
        <v>242</v>
      </c>
      <c r="E44" s="2" t="s">
        <v>243</v>
      </c>
      <c r="F44" s="11" t="s">
        <v>244</v>
      </c>
      <c r="G44" s="11" t="s">
        <v>9</v>
      </c>
      <c r="H44" s="5">
        <v>484700.0</v>
      </c>
      <c r="I44" s="5">
        <v>484700.0</v>
      </c>
      <c r="J44" s="6">
        <v>0.0</v>
      </c>
      <c r="K44" s="6">
        <v>0.0</v>
      </c>
      <c r="L44" s="6">
        <v>0.0</v>
      </c>
      <c r="M44" s="6">
        <v>0.0</v>
      </c>
      <c r="N44" s="6">
        <v>0.0</v>
      </c>
      <c r="O44" s="6">
        <v>0.0</v>
      </c>
      <c r="P44" s="6">
        <f t="shared" ref="P44:R44" si="335">+J44+M44</f>
        <v>0</v>
      </c>
      <c r="Q44" s="6">
        <f t="shared" si="335"/>
        <v>0</v>
      </c>
      <c r="R44" s="6">
        <f t="shared" si="335"/>
        <v>0</v>
      </c>
      <c r="S44" s="6">
        <v>0.0</v>
      </c>
      <c r="T44" s="6">
        <v>0.0</v>
      </c>
      <c r="U44" s="6">
        <v>0.0</v>
      </c>
      <c r="V44" s="6">
        <v>0.0</v>
      </c>
      <c r="W44" s="6">
        <v>0.0</v>
      </c>
      <c r="X44" s="6">
        <v>0.0</v>
      </c>
      <c r="Y44" s="6">
        <v>0.0</v>
      </c>
      <c r="Z44" s="6">
        <v>0.0</v>
      </c>
      <c r="AA44" s="6">
        <v>0.0</v>
      </c>
      <c r="AB44" s="6">
        <v>0.0</v>
      </c>
      <c r="AC44" s="6">
        <v>0.0</v>
      </c>
      <c r="AD44" s="6">
        <v>0.0</v>
      </c>
      <c r="AE44" s="6">
        <f t="shared" ref="AE44:AG44" si="336">+Y44+AB44+S44+V44</f>
        <v>0</v>
      </c>
      <c r="AF44" s="6">
        <f t="shared" si="336"/>
        <v>0</v>
      </c>
      <c r="AG44" s="6">
        <f t="shared" si="336"/>
        <v>0</v>
      </c>
      <c r="AH44" s="5">
        <v>484700.0</v>
      </c>
      <c r="AI44" s="5">
        <v>484700.0</v>
      </c>
      <c r="AJ44" s="6">
        <v>100000.0</v>
      </c>
      <c r="AK44" s="6">
        <v>0.0</v>
      </c>
      <c r="AL44" s="6">
        <v>0.0</v>
      </c>
      <c r="AM44" s="6">
        <v>320000.0</v>
      </c>
      <c r="AN44" s="6">
        <v>0.0</v>
      </c>
      <c r="AO44" s="6">
        <v>0.0</v>
      </c>
      <c r="AP44" s="6">
        <v>250000.0</v>
      </c>
      <c r="AQ44" s="6">
        <v>0.0</v>
      </c>
      <c r="AR44" s="6">
        <v>0.0</v>
      </c>
      <c r="AS44" s="6">
        <v>1000000.0</v>
      </c>
      <c r="AT44" s="6">
        <f t="shared" ref="AT44:AV44" si="337">+AN44+AQ44+AH44+AK44</f>
        <v>484700</v>
      </c>
      <c r="AU44" s="6">
        <f t="shared" si="337"/>
        <v>484700</v>
      </c>
      <c r="AV44" s="6">
        <f t="shared" si="337"/>
        <v>1670000</v>
      </c>
      <c r="AW44" s="6">
        <v>0.0</v>
      </c>
      <c r="AX44" s="6">
        <v>0.0</v>
      </c>
      <c r="AY44" s="6">
        <v>1922291.5</v>
      </c>
      <c r="AZ44" s="6">
        <v>0.0</v>
      </c>
      <c r="BA44" s="6">
        <v>0.0</v>
      </c>
      <c r="BB44" s="6">
        <v>2000000.0</v>
      </c>
      <c r="BC44" s="6">
        <v>0.0</v>
      </c>
      <c r="BD44" s="6">
        <v>0.0</v>
      </c>
      <c r="BE44" s="6">
        <v>750000.0</v>
      </c>
      <c r="BF44" s="6">
        <v>0.0</v>
      </c>
      <c r="BG44" s="6">
        <v>0.0</v>
      </c>
      <c r="BH44" s="6">
        <v>750000.0</v>
      </c>
      <c r="BI44" s="6">
        <f t="shared" ref="BI44:BK44" si="338">+BC44+BF44+AW44+AZ44</f>
        <v>0</v>
      </c>
      <c r="BJ44" s="6">
        <f t="shared" si="338"/>
        <v>0</v>
      </c>
      <c r="BK44" s="6">
        <f t="shared" si="338"/>
        <v>5422291.5</v>
      </c>
      <c r="BL44" s="6">
        <v>0.0</v>
      </c>
      <c r="BM44" s="6">
        <v>0.0</v>
      </c>
      <c r="BN44" s="6">
        <v>1200000.0</v>
      </c>
      <c r="BO44" s="6">
        <v>0.0</v>
      </c>
      <c r="BP44" s="6">
        <v>0.0</v>
      </c>
      <c r="BQ44" s="6">
        <v>115300.0</v>
      </c>
      <c r="BR44" s="6">
        <v>0.0</v>
      </c>
      <c r="BS44" s="6">
        <v>0.0</v>
      </c>
      <c r="BT44" s="6">
        <v>0.0</v>
      </c>
      <c r="BU44" s="6" t="str">
        <f t="shared" ref="BU44:BW44" si="339">+BO44+BR44+#REF!+BL44</f>
        <v>#REF!</v>
      </c>
      <c r="BV44" s="6" t="str">
        <f t="shared" si="339"/>
        <v>#REF!</v>
      </c>
      <c r="BW44" s="6" t="str">
        <f t="shared" si="339"/>
        <v>#REF!</v>
      </c>
      <c r="BX44" s="6">
        <v>0.0</v>
      </c>
      <c r="BY44" s="6">
        <v>0.0</v>
      </c>
      <c r="BZ44" s="6">
        <v>466874.5</v>
      </c>
      <c r="CA44" s="6">
        <v>0.0</v>
      </c>
      <c r="CB44" s="6">
        <v>0.0</v>
      </c>
      <c r="CC44" s="6">
        <v>0.0</v>
      </c>
      <c r="CD44" s="6">
        <v>0.0</v>
      </c>
      <c r="CE44" s="6">
        <v>0.0</v>
      </c>
      <c r="CF44" s="6">
        <v>0.0</v>
      </c>
      <c r="CG44" s="6" t="str">
        <f t="shared" ref="CG44:CI44" si="340">+CA44+CD44+BX44+#REF!</f>
        <v>#REF!</v>
      </c>
      <c r="CH44" s="6" t="str">
        <f t="shared" si="340"/>
        <v>#REF!</v>
      </c>
      <c r="CI44" s="6" t="str">
        <f t="shared" si="340"/>
        <v>#REF!</v>
      </c>
      <c r="CJ44" s="6">
        <v>0.0</v>
      </c>
      <c r="CK44" s="6">
        <v>0.0</v>
      </c>
      <c r="CL44" s="6">
        <v>0.0</v>
      </c>
      <c r="CM44" s="6">
        <v>0.0</v>
      </c>
      <c r="CN44" s="6">
        <v>0.0</v>
      </c>
      <c r="CO44" s="6">
        <v>0.0</v>
      </c>
      <c r="CP44" s="6">
        <v>0.0</v>
      </c>
      <c r="CQ44" s="6">
        <v>0.0</v>
      </c>
      <c r="CR44" s="6">
        <v>0.0</v>
      </c>
      <c r="CS44" s="6">
        <v>0.0</v>
      </c>
      <c r="CT44" s="6">
        <v>0.0</v>
      </c>
      <c r="CU44" s="6">
        <v>0.0</v>
      </c>
      <c r="CV44" s="6">
        <f t="shared" ref="CV44:CX44" si="341">+CP44+CS44+CJ44+CM44</f>
        <v>0</v>
      </c>
      <c r="CW44" s="6">
        <f t="shared" si="341"/>
        <v>0</v>
      </c>
      <c r="CX44" s="6">
        <f t="shared" si="341"/>
        <v>0</v>
      </c>
      <c r="CY44" s="6">
        <v>0.0</v>
      </c>
      <c r="CZ44" s="6">
        <v>0.0</v>
      </c>
      <c r="DA44" s="6">
        <v>0.0</v>
      </c>
      <c r="DB44" s="6">
        <v>0.0</v>
      </c>
      <c r="DC44" s="6">
        <v>0.0</v>
      </c>
      <c r="DD44" s="6">
        <v>0.0</v>
      </c>
      <c r="DE44" s="6">
        <v>0.0</v>
      </c>
      <c r="DF44" s="6">
        <v>0.0</v>
      </c>
      <c r="DG44" s="6">
        <v>0.0</v>
      </c>
      <c r="DH44" s="6">
        <v>0.0</v>
      </c>
      <c r="DI44" s="6">
        <v>0.0</v>
      </c>
      <c r="DJ44" s="6">
        <v>0.0</v>
      </c>
      <c r="DK44" s="6">
        <f t="shared" ref="DK44:DM44" si="342">+DE44+DH44+CY44+DB44</f>
        <v>0</v>
      </c>
      <c r="DL44" s="6">
        <f t="shared" si="342"/>
        <v>0</v>
      </c>
      <c r="DM44" s="6">
        <f t="shared" si="342"/>
        <v>0</v>
      </c>
      <c r="DN44" s="6" t="str">
        <f t="shared" ref="DN44:DP44" si="343">+P44+AE44+AT44+BI44+BU44+CG44+CV44</f>
        <v>#REF!</v>
      </c>
      <c r="DO44" s="6" t="str">
        <f t="shared" si="343"/>
        <v>#REF!</v>
      </c>
      <c r="DP44" s="6" t="str">
        <f t="shared" si="343"/>
        <v>#REF!</v>
      </c>
      <c r="DQ44" s="6" t="str">
        <f t="shared" si="19"/>
        <v>#REF!</v>
      </c>
    </row>
    <row r="45" ht="13.5" customHeight="1">
      <c r="A45" s="11">
        <v>44455.0</v>
      </c>
      <c r="B45" s="2" t="s">
        <v>240</v>
      </c>
      <c r="C45" s="2" t="s">
        <v>241</v>
      </c>
      <c r="D45" s="29" t="s">
        <v>242</v>
      </c>
      <c r="E45" s="2" t="s">
        <v>243</v>
      </c>
      <c r="F45" s="11" t="s">
        <v>245</v>
      </c>
      <c r="G45" s="11" t="s">
        <v>9</v>
      </c>
      <c r="H45" s="5">
        <v>8874466.0</v>
      </c>
      <c r="I45" s="5">
        <v>8874466.0</v>
      </c>
      <c r="J45" s="6">
        <v>0.0</v>
      </c>
      <c r="K45" s="6">
        <v>0.0</v>
      </c>
      <c r="L45" s="6">
        <v>0.0</v>
      </c>
      <c r="M45" s="6">
        <v>0.0</v>
      </c>
      <c r="N45" s="6">
        <v>0.0</v>
      </c>
      <c r="O45" s="6">
        <v>0.0</v>
      </c>
      <c r="P45" s="6">
        <f t="shared" ref="P45:R45" si="344">+J45+M45</f>
        <v>0</v>
      </c>
      <c r="Q45" s="6">
        <f t="shared" si="344"/>
        <v>0</v>
      </c>
      <c r="R45" s="6">
        <f t="shared" si="344"/>
        <v>0</v>
      </c>
      <c r="S45" s="6">
        <v>0.0</v>
      </c>
      <c r="T45" s="6">
        <v>0.0</v>
      </c>
      <c r="U45" s="6">
        <v>0.0</v>
      </c>
      <c r="V45" s="6">
        <v>0.0</v>
      </c>
      <c r="W45" s="6">
        <v>0.0</v>
      </c>
      <c r="X45" s="6">
        <v>0.0</v>
      </c>
      <c r="Y45" s="6">
        <v>0.0</v>
      </c>
      <c r="Z45" s="6">
        <v>0.0</v>
      </c>
      <c r="AA45" s="6">
        <v>0.0</v>
      </c>
      <c r="AB45" s="6">
        <v>0.0</v>
      </c>
      <c r="AC45" s="6">
        <v>0.0</v>
      </c>
      <c r="AD45" s="6">
        <v>0.0</v>
      </c>
      <c r="AE45" s="6">
        <f t="shared" ref="AE45:AG45" si="345">+Y45+AB45+S45+V45</f>
        <v>0</v>
      </c>
      <c r="AF45" s="6">
        <f t="shared" si="345"/>
        <v>0</v>
      </c>
      <c r="AG45" s="6">
        <f t="shared" si="345"/>
        <v>0</v>
      </c>
      <c r="AH45" s="5">
        <v>8874466.0</v>
      </c>
      <c r="AI45" s="5">
        <v>8874466.0</v>
      </c>
      <c r="AJ45" s="6">
        <v>0.0</v>
      </c>
      <c r="AK45" s="6">
        <v>0.0</v>
      </c>
      <c r="AL45" s="6">
        <v>0.0</v>
      </c>
      <c r="AM45" s="6">
        <v>0.0</v>
      </c>
      <c r="AN45" s="6">
        <v>0.0</v>
      </c>
      <c r="AO45" s="6">
        <v>0.0</v>
      </c>
      <c r="AP45" s="6">
        <v>0.0</v>
      </c>
      <c r="AQ45" s="6">
        <v>0.0</v>
      </c>
      <c r="AR45" s="6">
        <v>0.0</v>
      </c>
      <c r="AS45" s="6">
        <v>0.0</v>
      </c>
      <c r="AT45" s="6">
        <f t="shared" ref="AT45:AV45" si="346">+AN45+AQ45+AH45+AK45</f>
        <v>8874466</v>
      </c>
      <c r="AU45" s="6">
        <f t="shared" si="346"/>
        <v>8874466</v>
      </c>
      <c r="AV45" s="6">
        <f t="shared" si="346"/>
        <v>0</v>
      </c>
      <c r="AW45" s="6">
        <v>0.0</v>
      </c>
      <c r="AX45" s="6">
        <v>0.0</v>
      </c>
      <c r="AY45" s="6">
        <v>0.0</v>
      </c>
      <c r="AZ45" s="6">
        <v>0.0</v>
      </c>
      <c r="BA45" s="6">
        <v>0.0</v>
      </c>
      <c r="BB45" s="6">
        <v>0.0</v>
      </c>
      <c r="BC45" s="6">
        <v>0.0</v>
      </c>
      <c r="BD45" s="6">
        <v>0.0</v>
      </c>
      <c r="BE45" s="6">
        <v>0.0</v>
      </c>
      <c r="BF45" s="6">
        <v>0.0</v>
      </c>
      <c r="BG45" s="6">
        <v>0.0</v>
      </c>
      <c r="BH45" s="6">
        <v>0.0</v>
      </c>
      <c r="BI45" s="6">
        <f t="shared" ref="BI45:BK45" si="347">+BC45+BF45+AW45+AZ45</f>
        <v>0</v>
      </c>
      <c r="BJ45" s="6">
        <f t="shared" si="347"/>
        <v>0</v>
      </c>
      <c r="BK45" s="6">
        <f t="shared" si="347"/>
        <v>0</v>
      </c>
      <c r="BL45" s="6">
        <v>0.0</v>
      </c>
      <c r="BM45" s="6">
        <v>0.0</v>
      </c>
      <c r="BN45" s="6">
        <v>0.0</v>
      </c>
      <c r="BO45" s="6">
        <v>0.0</v>
      </c>
      <c r="BP45" s="6">
        <v>0.0</v>
      </c>
      <c r="BQ45" s="6">
        <v>184700.0</v>
      </c>
      <c r="BR45" s="6">
        <v>0.0</v>
      </c>
      <c r="BS45" s="6">
        <v>0.0</v>
      </c>
      <c r="BT45" s="6">
        <v>300000.0</v>
      </c>
      <c r="BU45" s="6" t="str">
        <f t="shared" ref="BU45:BW45" si="348">+BO45+BR45+#REF!+BL45</f>
        <v>#REF!</v>
      </c>
      <c r="BV45" s="6" t="str">
        <f t="shared" si="348"/>
        <v>#REF!</v>
      </c>
      <c r="BW45" s="6" t="str">
        <f t="shared" si="348"/>
        <v>#REF!</v>
      </c>
      <c r="BX45" s="6">
        <v>0.0</v>
      </c>
      <c r="BY45" s="6">
        <v>0.0</v>
      </c>
      <c r="BZ45" s="6">
        <v>0.0</v>
      </c>
      <c r="CA45" s="6">
        <v>0.0</v>
      </c>
      <c r="CB45" s="6">
        <v>0.0</v>
      </c>
      <c r="CC45" s="6">
        <v>0.0</v>
      </c>
      <c r="CD45" s="6">
        <v>0.0</v>
      </c>
      <c r="CE45" s="6">
        <v>0.0</v>
      </c>
      <c r="CF45" s="6">
        <v>0.0</v>
      </c>
      <c r="CG45" s="6" t="str">
        <f t="shared" ref="CG45:CI45" si="349">+CA45+CD45+BX45+#REF!</f>
        <v>#REF!</v>
      </c>
      <c r="CH45" s="6" t="str">
        <f t="shared" si="349"/>
        <v>#REF!</v>
      </c>
      <c r="CI45" s="6" t="str">
        <f t="shared" si="349"/>
        <v>#REF!</v>
      </c>
      <c r="CJ45" s="6">
        <v>0.0</v>
      </c>
      <c r="CK45" s="6">
        <v>0.0</v>
      </c>
      <c r="CL45" s="6">
        <v>0.0</v>
      </c>
      <c r="CM45" s="6">
        <v>0.0</v>
      </c>
      <c r="CN45" s="6">
        <v>0.0</v>
      </c>
      <c r="CO45" s="6">
        <v>0.0</v>
      </c>
      <c r="CP45" s="6">
        <v>0.0</v>
      </c>
      <c r="CQ45" s="6">
        <v>0.0</v>
      </c>
      <c r="CR45" s="6">
        <v>0.0</v>
      </c>
      <c r="CS45" s="6">
        <v>0.0</v>
      </c>
      <c r="CT45" s="6">
        <v>0.0</v>
      </c>
      <c r="CU45" s="6">
        <v>0.0</v>
      </c>
      <c r="CV45" s="6">
        <f t="shared" ref="CV45:CX45" si="350">+CP45+CS45+CJ45+CM45</f>
        <v>0</v>
      </c>
      <c r="CW45" s="6">
        <f t="shared" si="350"/>
        <v>0</v>
      </c>
      <c r="CX45" s="6">
        <f t="shared" si="350"/>
        <v>0</v>
      </c>
      <c r="CY45" s="6">
        <v>0.0</v>
      </c>
      <c r="CZ45" s="6">
        <v>0.0</v>
      </c>
      <c r="DA45" s="6">
        <v>0.0</v>
      </c>
      <c r="DB45" s="6">
        <v>0.0</v>
      </c>
      <c r="DC45" s="6">
        <v>0.0</v>
      </c>
      <c r="DD45" s="6">
        <v>0.0</v>
      </c>
      <c r="DE45" s="6">
        <v>0.0</v>
      </c>
      <c r="DF45" s="6">
        <v>0.0</v>
      </c>
      <c r="DG45" s="6">
        <v>0.0</v>
      </c>
      <c r="DH45" s="6">
        <v>0.0</v>
      </c>
      <c r="DI45" s="6">
        <v>0.0</v>
      </c>
      <c r="DJ45" s="6">
        <v>0.0</v>
      </c>
      <c r="DK45" s="6">
        <f t="shared" ref="DK45:DM45" si="351">+DE45+DH45+CY45+DB45</f>
        <v>0</v>
      </c>
      <c r="DL45" s="6">
        <f t="shared" si="351"/>
        <v>0</v>
      </c>
      <c r="DM45" s="6">
        <f t="shared" si="351"/>
        <v>0</v>
      </c>
      <c r="DN45" s="6" t="str">
        <f t="shared" ref="DN45:DP45" si="352">+P45+AE45+AT45+BI45+BU45+CG45+CV45</f>
        <v>#REF!</v>
      </c>
      <c r="DO45" s="6" t="str">
        <f t="shared" si="352"/>
        <v>#REF!</v>
      </c>
      <c r="DP45" s="6" t="str">
        <f t="shared" si="352"/>
        <v>#REF!</v>
      </c>
      <c r="DQ45" s="6" t="str">
        <f t="shared" si="19"/>
        <v>#REF!</v>
      </c>
    </row>
    <row r="46" ht="13.5" customHeight="1">
      <c r="A46" s="11">
        <v>44453.0</v>
      </c>
      <c r="B46" s="2" t="s">
        <v>246</v>
      </c>
      <c r="C46" s="2" t="s">
        <v>247</v>
      </c>
      <c r="D46" s="29" t="s">
        <v>248</v>
      </c>
      <c r="E46" s="2" t="s">
        <v>249</v>
      </c>
      <c r="F46" s="11" t="s">
        <v>250</v>
      </c>
      <c r="G46" s="11" t="s">
        <v>8</v>
      </c>
      <c r="H46" s="5">
        <v>4128000.0</v>
      </c>
      <c r="I46" s="5">
        <v>4128000.0</v>
      </c>
      <c r="J46" s="6">
        <v>0.0</v>
      </c>
      <c r="K46" s="6">
        <v>0.0</v>
      </c>
      <c r="L46" s="6">
        <v>0.0</v>
      </c>
      <c r="M46" s="6">
        <v>0.0</v>
      </c>
      <c r="N46" s="6">
        <v>0.0</v>
      </c>
      <c r="O46" s="6">
        <v>0.0</v>
      </c>
      <c r="P46" s="6">
        <f t="shared" ref="P46:R46" si="353">+J46+M46</f>
        <v>0</v>
      </c>
      <c r="Q46" s="6">
        <f t="shared" si="353"/>
        <v>0</v>
      </c>
      <c r="R46" s="6">
        <f t="shared" si="353"/>
        <v>0</v>
      </c>
      <c r="S46" s="6">
        <v>0.0</v>
      </c>
      <c r="T46" s="6">
        <v>0.0</v>
      </c>
      <c r="U46" s="6">
        <v>0.0</v>
      </c>
      <c r="V46" s="6">
        <v>0.0</v>
      </c>
      <c r="W46" s="6">
        <v>0.0</v>
      </c>
      <c r="X46" s="6">
        <v>0.0</v>
      </c>
      <c r="Y46" s="6">
        <v>0.0</v>
      </c>
      <c r="Z46" s="6">
        <v>0.0</v>
      </c>
      <c r="AA46" s="6">
        <v>0.0</v>
      </c>
      <c r="AB46" s="5">
        <v>4128000.0</v>
      </c>
      <c r="AC46" s="5">
        <v>4128000.0</v>
      </c>
      <c r="AD46" s="6">
        <v>0.0</v>
      </c>
      <c r="AE46" s="6">
        <f t="shared" ref="AE46:AG46" si="354">+Y46+AB46+S46+V46</f>
        <v>4128000</v>
      </c>
      <c r="AF46" s="6">
        <f t="shared" si="354"/>
        <v>4128000</v>
      </c>
      <c r="AG46" s="6">
        <f t="shared" si="354"/>
        <v>0</v>
      </c>
      <c r="AH46" s="6">
        <v>0.0</v>
      </c>
      <c r="AI46" s="6">
        <v>0.0</v>
      </c>
      <c r="AJ46" s="6">
        <v>100000.0</v>
      </c>
      <c r="AK46" s="6">
        <v>0.0</v>
      </c>
      <c r="AL46" s="6">
        <v>0.0</v>
      </c>
      <c r="AM46" s="6">
        <v>200000.0</v>
      </c>
      <c r="AN46" s="6">
        <v>0.0</v>
      </c>
      <c r="AO46" s="6">
        <v>0.0</v>
      </c>
      <c r="AP46" s="6">
        <v>0.0</v>
      </c>
      <c r="AQ46" s="6">
        <v>0.0</v>
      </c>
      <c r="AR46" s="6">
        <v>0.0</v>
      </c>
      <c r="AS46" s="6">
        <v>1500000.0</v>
      </c>
      <c r="AT46" s="6">
        <f t="shared" ref="AT46:AV46" si="355">+AN46+AQ46+AH46+AK46</f>
        <v>0</v>
      </c>
      <c r="AU46" s="6">
        <f t="shared" si="355"/>
        <v>0</v>
      </c>
      <c r="AV46" s="6">
        <f t="shared" si="355"/>
        <v>1800000</v>
      </c>
      <c r="AW46" s="6">
        <v>0.0</v>
      </c>
      <c r="AX46" s="6">
        <v>0.0</v>
      </c>
      <c r="AY46" s="6">
        <v>900000.0</v>
      </c>
      <c r="AZ46" s="6">
        <v>0.0</v>
      </c>
      <c r="BA46" s="6">
        <v>0.0</v>
      </c>
      <c r="BB46" s="6">
        <v>1428000.0</v>
      </c>
      <c r="BC46" s="6">
        <v>0.0</v>
      </c>
      <c r="BD46" s="6">
        <v>0.0</v>
      </c>
      <c r="BE46" s="6">
        <v>0.0</v>
      </c>
      <c r="BF46" s="6">
        <v>0.0</v>
      </c>
      <c r="BG46" s="6">
        <v>0.0</v>
      </c>
      <c r="BH46" s="6">
        <v>0.0</v>
      </c>
      <c r="BI46" s="6">
        <f t="shared" ref="BI46:BK46" si="356">+BC46+BF46+AW46+AZ46</f>
        <v>0</v>
      </c>
      <c r="BJ46" s="6">
        <f t="shared" si="356"/>
        <v>0</v>
      </c>
      <c r="BK46" s="6">
        <f t="shared" si="356"/>
        <v>2328000</v>
      </c>
      <c r="BL46" s="6">
        <v>0.0</v>
      </c>
      <c r="BM46" s="6">
        <v>0.0</v>
      </c>
      <c r="BN46" s="6">
        <v>0.0</v>
      </c>
      <c r="BO46" s="6">
        <v>0.0</v>
      </c>
      <c r="BP46" s="6">
        <v>0.0</v>
      </c>
      <c r="BQ46" s="6">
        <v>0.0</v>
      </c>
      <c r="BR46" s="6">
        <v>0.0</v>
      </c>
      <c r="BS46" s="6">
        <v>0.0</v>
      </c>
      <c r="BT46" s="6">
        <v>0.0</v>
      </c>
      <c r="BU46" s="6" t="str">
        <f t="shared" ref="BU46:BW46" si="357">+BO46+BR46+#REF!+BL46</f>
        <v>#REF!</v>
      </c>
      <c r="BV46" s="6" t="str">
        <f t="shared" si="357"/>
        <v>#REF!</v>
      </c>
      <c r="BW46" s="6" t="str">
        <f t="shared" si="357"/>
        <v>#REF!</v>
      </c>
      <c r="BX46" s="6">
        <v>0.0</v>
      </c>
      <c r="BY46" s="6">
        <v>0.0</v>
      </c>
      <c r="BZ46" s="6">
        <v>0.0</v>
      </c>
      <c r="CA46" s="6">
        <v>0.0</v>
      </c>
      <c r="CB46" s="6">
        <v>0.0</v>
      </c>
      <c r="CC46" s="6">
        <v>0.0</v>
      </c>
      <c r="CD46" s="6">
        <v>0.0</v>
      </c>
      <c r="CE46" s="6">
        <v>0.0</v>
      </c>
      <c r="CF46" s="6">
        <v>0.0</v>
      </c>
      <c r="CG46" s="6" t="str">
        <f t="shared" ref="CG46:CI46" si="358">+CA46+CD46+BX46+#REF!</f>
        <v>#REF!</v>
      </c>
      <c r="CH46" s="6" t="str">
        <f t="shared" si="358"/>
        <v>#REF!</v>
      </c>
      <c r="CI46" s="6" t="str">
        <f t="shared" si="358"/>
        <v>#REF!</v>
      </c>
      <c r="CJ46" s="6">
        <v>0.0</v>
      </c>
      <c r="CK46" s="6">
        <v>0.0</v>
      </c>
      <c r="CL46" s="6">
        <v>0.0</v>
      </c>
      <c r="CM46" s="6">
        <v>0.0</v>
      </c>
      <c r="CN46" s="6">
        <v>0.0</v>
      </c>
      <c r="CO46" s="6">
        <v>0.0</v>
      </c>
      <c r="CP46" s="6">
        <v>0.0</v>
      </c>
      <c r="CQ46" s="6">
        <v>0.0</v>
      </c>
      <c r="CR46" s="6">
        <v>0.0</v>
      </c>
      <c r="CS46" s="6">
        <v>0.0</v>
      </c>
      <c r="CT46" s="6">
        <v>0.0</v>
      </c>
      <c r="CU46" s="6">
        <v>0.0</v>
      </c>
      <c r="CV46" s="6">
        <f t="shared" ref="CV46:CX46" si="359">+CP46+CS46+CJ46+CM46</f>
        <v>0</v>
      </c>
      <c r="CW46" s="6">
        <f t="shared" si="359"/>
        <v>0</v>
      </c>
      <c r="CX46" s="6">
        <f t="shared" si="359"/>
        <v>0</v>
      </c>
      <c r="CY46" s="6">
        <v>0.0</v>
      </c>
      <c r="CZ46" s="6">
        <v>0.0</v>
      </c>
      <c r="DA46" s="6">
        <v>0.0</v>
      </c>
      <c r="DB46" s="6">
        <v>0.0</v>
      </c>
      <c r="DC46" s="6">
        <v>0.0</v>
      </c>
      <c r="DD46" s="6">
        <v>0.0</v>
      </c>
      <c r="DE46" s="6">
        <v>0.0</v>
      </c>
      <c r="DF46" s="6">
        <v>0.0</v>
      </c>
      <c r="DG46" s="6">
        <v>0.0</v>
      </c>
      <c r="DH46" s="6">
        <v>0.0</v>
      </c>
      <c r="DI46" s="6">
        <v>0.0</v>
      </c>
      <c r="DJ46" s="6">
        <v>0.0</v>
      </c>
      <c r="DK46" s="6">
        <f t="shared" ref="DK46:DM46" si="360">+DE46+DH46+CY46+DB46</f>
        <v>0</v>
      </c>
      <c r="DL46" s="6">
        <f t="shared" si="360"/>
        <v>0</v>
      </c>
      <c r="DM46" s="6">
        <f t="shared" si="360"/>
        <v>0</v>
      </c>
      <c r="DN46" s="6" t="str">
        <f t="shared" ref="DN46:DP46" si="361">+P46+AE46+AT46+BI46+BU46+CG46+CV46</f>
        <v>#REF!</v>
      </c>
      <c r="DO46" s="6" t="str">
        <f t="shared" si="361"/>
        <v>#REF!</v>
      </c>
      <c r="DP46" s="6" t="str">
        <f t="shared" si="361"/>
        <v>#REF!</v>
      </c>
      <c r="DQ46" s="6" t="str">
        <f t="shared" si="19"/>
        <v>#REF!</v>
      </c>
    </row>
    <row r="47" ht="13.5" customHeight="1">
      <c r="A47" s="11">
        <v>44524.0</v>
      </c>
      <c r="B47" s="2" t="s">
        <v>251</v>
      </c>
      <c r="C47" s="2" t="s">
        <v>252</v>
      </c>
      <c r="D47" s="29" t="s">
        <v>253</v>
      </c>
      <c r="E47" s="2" t="s">
        <v>254</v>
      </c>
      <c r="F47" s="11" t="s">
        <v>255</v>
      </c>
      <c r="G47" s="11" t="s">
        <v>7</v>
      </c>
      <c r="H47" s="5">
        <v>2715649.0</v>
      </c>
      <c r="I47" s="5">
        <v>2715649.0</v>
      </c>
      <c r="J47" s="6">
        <v>0.0</v>
      </c>
      <c r="K47" s="6">
        <v>0.0</v>
      </c>
      <c r="L47" s="6">
        <v>0.0</v>
      </c>
      <c r="M47" s="6">
        <v>0.0</v>
      </c>
      <c r="N47" s="6">
        <v>0.0</v>
      </c>
      <c r="O47" s="6">
        <v>0.0</v>
      </c>
      <c r="P47" s="6">
        <f t="shared" ref="P47:R47" si="362">+J47+M47</f>
        <v>0</v>
      </c>
      <c r="Q47" s="6">
        <f t="shared" si="362"/>
        <v>0</v>
      </c>
      <c r="R47" s="6">
        <f t="shared" si="362"/>
        <v>0</v>
      </c>
      <c r="S47" s="6">
        <v>0.0</v>
      </c>
      <c r="T47" s="6">
        <v>0.0</v>
      </c>
      <c r="U47" s="6">
        <v>0.0</v>
      </c>
      <c r="V47" s="6">
        <v>0.0</v>
      </c>
      <c r="W47" s="6">
        <v>0.0</v>
      </c>
      <c r="X47" s="6">
        <v>0.0</v>
      </c>
      <c r="Y47" s="5">
        <v>2715649.0</v>
      </c>
      <c r="Z47" s="5">
        <v>2715649.0</v>
      </c>
      <c r="AA47" s="6">
        <v>0.0</v>
      </c>
      <c r="AB47" s="6">
        <v>0.0</v>
      </c>
      <c r="AC47" s="6">
        <v>0.0</v>
      </c>
      <c r="AD47" s="6">
        <v>0.0</v>
      </c>
      <c r="AE47" s="6">
        <f t="shared" ref="AE47:AG47" si="363">+Y47+AB47+S47+V47</f>
        <v>2715649</v>
      </c>
      <c r="AF47" s="6">
        <f t="shared" si="363"/>
        <v>2715649</v>
      </c>
      <c r="AG47" s="6">
        <f t="shared" si="363"/>
        <v>0</v>
      </c>
      <c r="AH47" s="6">
        <v>0.0</v>
      </c>
      <c r="AI47" s="6">
        <v>0.0</v>
      </c>
      <c r="AJ47" s="6">
        <v>0.0</v>
      </c>
      <c r="AK47" s="6">
        <v>0.0</v>
      </c>
      <c r="AL47" s="6">
        <v>0.0</v>
      </c>
      <c r="AM47" s="6">
        <v>450000.0</v>
      </c>
      <c r="AN47" s="6">
        <v>0.0</v>
      </c>
      <c r="AO47" s="6">
        <v>0.0</v>
      </c>
      <c r="AP47" s="6">
        <v>500000.0</v>
      </c>
      <c r="AQ47" s="6">
        <v>0.0</v>
      </c>
      <c r="AR47" s="6">
        <v>0.0</v>
      </c>
      <c r="AS47" s="6">
        <v>588550.0</v>
      </c>
      <c r="AT47" s="6">
        <f t="shared" ref="AT47:AV47" si="364">+AN47+AQ47+AH47+AK47</f>
        <v>0</v>
      </c>
      <c r="AU47" s="6">
        <f t="shared" si="364"/>
        <v>0</v>
      </c>
      <c r="AV47" s="6">
        <f t="shared" si="364"/>
        <v>1538550</v>
      </c>
      <c r="AW47" s="6">
        <v>0.0</v>
      </c>
      <c r="AX47" s="6">
        <v>0.0</v>
      </c>
      <c r="AY47" s="6">
        <v>588549.5</v>
      </c>
      <c r="AZ47" s="6">
        <v>0.0</v>
      </c>
      <c r="BA47" s="6">
        <v>0.0</v>
      </c>
      <c r="BB47" s="6">
        <v>588549.5</v>
      </c>
      <c r="BC47" s="6">
        <v>0.0</v>
      </c>
      <c r="BD47" s="6">
        <v>0.0</v>
      </c>
      <c r="BE47" s="6">
        <v>0.0</v>
      </c>
      <c r="BF47" s="6">
        <v>0.0</v>
      </c>
      <c r="BG47" s="6">
        <v>0.0</v>
      </c>
      <c r="BH47" s="6">
        <v>0.0</v>
      </c>
      <c r="BI47" s="6">
        <f t="shared" ref="BI47:BK47" si="365">+BC47+BF47+AW47+AZ47</f>
        <v>0</v>
      </c>
      <c r="BJ47" s="6">
        <f t="shared" si="365"/>
        <v>0</v>
      </c>
      <c r="BK47" s="6">
        <f t="shared" si="365"/>
        <v>1177099</v>
      </c>
      <c r="BL47" s="6">
        <v>0.0</v>
      </c>
      <c r="BM47" s="6">
        <v>0.0</v>
      </c>
      <c r="BN47" s="6">
        <v>0.0</v>
      </c>
      <c r="BO47" s="6">
        <v>0.0</v>
      </c>
      <c r="BP47" s="6">
        <v>0.0</v>
      </c>
      <c r="BQ47" s="6">
        <v>0.0</v>
      </c>
      <c r="BR47" s="6">
        <v>0.0</v>
      </c>
      <c r="BS47" s="6">
        <v>0.0</v>
      </c>
      <c r="BT47" s="6">
        <v>0.0</v>
      </c>
      <c r="BU47" s="6" t="str">
        <f t="shared" ref="BU47:BW47" si="366">+BO47+BR47+#REF!+BL47</f>
        <v>#REF!</v>
      </c>
      <c r="BV47" s="6" t="str">
        <f t="shared" si="366"/>
        <v>#REF!</v>
      </c>
      <c r="BW47" s="6" t="str">
        <f t="shared" si="366"/>
        <v>#REF!</v>
      </c>
      <c r="BX47" s="6">
        <v>0.0</v>
      </c>
      <c r="BY47" s="6">
        <v>0.0</v>
      </c>
      <c r="BZ47" s="6">
        <v>0.0</v>
      </c>
      <c r="CA47" s="6">
        <v>0.0</v>
      </c>
      <c r="CB47" s="6">
        <v>0.0</v>
      </c>
      <c r="CC47" s="6">
        <v>0.0</v>
      </c>
      <c r="CD47" s="6">
        <v>0.0</v>
      </c>
      <c r="CE47" s="6">
        <v>0.0</v>
      </c>
      <c r="CF47" s="6">
        <v>0.0</v>
      </c>
      <c r="CG47" s="6" t="str">
        <f t="shared" ref="CG47:CI47" si="367">+CA47+CD47+BX47+#REF!</f>
        <v>#REF!</v>
      </c>
      <c r="CH47" s="6" t="str">
        <f t="shared" si="367"/>
        <v>#REF!</v>
      </c>
      <c r="CI47" s="6" t="str">
        <f t="shared" si="367"/>
        <v>#REF!</v>
      </c>
      <c r="CJ47" s="6">
        <v>0.0</v>
      </c>
      <c r="CK47" s="6">
        <v>0.0</v>
      </c>
      <c r="CL47" s="6">
        <v>0.0</v>
      </c>
      <c r="CM47" s="6">
        <v>0.0</v>
      </c>
      <c r="CN47" s="6">
        <v>0.0</v>
      </c>
      <c r="CO47" s="6">
        <v>0.0</v>
      </c>
      <c r="CP47" s="6">
        <v>0.0</v>
      </c>
      <c r="CQ47" s="6">
        <v>0.0</v>
      </c>
      <c r="CR47" s="6">
        <v>0.0</v>
      </c>
      <c r="CS47" s="6">
        <v>0.0</v>
      </c>
      <c r="CT47" s="6">
        <v>0.0</v>
      </c>
      <c r="CU47" s="6">
        <v>0.0</v>
      </c>
      <c r="CV47" s="6">
        <f t="shared" ref="CV47:CX47" si="368">+CP47+CS47+CJ47+CM47</f>
        <v>0</v>
      </c>
      <c r="CW47" s="6">
        <f t="shared" si="368"/>
        <v>0</v>
      </c>
      <c r="CX47" s="6">
        <f t="shared" si="368"/>
        <v>0</v>
      </c>
      <c r="CY47" s="6">
        <v>0.0</v>
      </c>
      <c r="CZ47" s="6">
        <v>0.0</v>
      </c>
      <c r="DA47" s="6">
        <v>0.0</v>
      </c>
      <c r="DB47" s="6">
        <v>0.0</v>
      </c>
      <c r="DC47" s="6">
        <v>0.0</v>
      </c>
      <c r="DD47" s="6">
        <v>0.0</v>
      </c>
      <c r="DE47" s="6">
        <v>0.0</v>
      </c>
      <c r="DF47" s="6">
        <v>0.0</v>
      </c>
      <c r="DG47" s="6">
        <v>0.0</v>
      </c>
      <c r="DH47" s="6">
        <v>0.0</v>
      </c>
      <c r="DI47" s="6">
        <v>0.0</v>
      </c>
      <c r="DJ47" s="6">
        <v>0.0</v>
      </c>
      <c r="DK47" s="6">
        <f t="shared" ref="DK47:DM47" si="369">+DE47+DH47+CY47+DB47</f>
        <v>0</v>
      </c>
      <c r="DL47" s="6">
        <f t="shared" si="369"/>
        <v>0</v>
      </c>
      <c r="DM47" s="6">
        <f t="shared" si="369"/>
        <v>0</v>
      </c>
      <c r="DN47" s="6" t="str">
        <f t="shared" ref="DN47:DP47" si="370">+P47+AE47+AT47+BI47+BU47+CG47+CV47</f>
        <v>#REF!</v>
      </c>
      <c r="DO47" s="6" t="str">
        <f t="shared" si="370"/>
        <v>#REF!</v>
      </c>
      <c r="DP47" s="6" t="str">
        <f t="shared" si="370"/>
        <v>#REF!</v>
      </c>
      <c r="DQ47" s="6" t="str">
        <f t="shared" si="19"/>
        <v>#REF!</v>
      </c>
    </row>
    <row r="48" ht="13.5" customHeight="1">
      <c r="A48" s="11">
        <v>44442.0</v>
      </c>
      <c r="B48" s="2" t="s">
        <v>256</v>
      </c>
      <c r="C48" s="2" t="s">
        <v>257</v>
      </c>
      <c r="D48" s="29" t="s">
        <v>258</v>
      </c>
      <c r="E48" s="2" t="s">
        <v>259</v>
      </c>
      <c r="F48" s="11" t="s">
        <v>260</v>
      </c>
      <c r="G48" s="11" t="s">
        <v>9</v>
      </c>
      <c r="H48" s="5">
        <v>100000.0</v>
      </c>
      <c r="I48" s="5">
        <v>100000.0</v>
      </c>
      <c r="J48" s="6">
        <v>0.0</v>
      </c>
      <c r="K48" s="6">
        <v>0.0</v>
      </c>
      <c r="L48" s="6">
        <v>0.0</v>
      </c>
      <c r="M48" s="6">
        <v>0.0</v>
      </c>
      <c r="N48" s="6">
        <v>0.0</v>
      </c>
      <c r="O48" s="6">
        <v>0.0</v>
      </c>
      <c r="P48" s="6">
        <f t="shared" ref="P48:R48" si="371">+J48+M48</f>
        <v>0</v>
      </c>
      <c r="Q48" s="6">
        <f t="shared" si="371"/>
        <v>0</v>
      </c>
      <c r="R48" s="6">
        <f t="shared" si="371"/>
        <v>0</v>
      </c>
      <c r="S48" s="6">
        <v>0.0</v>
      </c>
      <c r="T48" s="6">
        <v>0.0</v>
      </c>
      <c r="U48" s="6">
        <v>0.0</v>
      </c>
      <c r="V48" s="6">
        <v>0.0</v>
      </c>
      <c r="W48" s="6">
        <v>0.0</v>
      </c>
      <c r="X48" s="6">
        <v>0.0</v>
      </c>
      <c r="Y48" s="6">
        <v>0.0</v>
      </c>
      <c r="Z48" s="6">
        <v>0.0</v>
      </c>
      <c r="AA48" s="6">
        <v>0.0</v>
      </c>
      <c r="AB48" s="6">
        <v>0.0</v>
      </c>
      <c r="AC48" s="6">
        <v>0.0</v>
      </c>
      <c r="AD48" s="6">
        <v>0.0</v>
      </c>
      <c r="AE48" s="6">
        <f t="shared" ref="AE48:AG48" si="372">+Y48+AB48+S48+V48</f>
        <v>0</v>
      </c>
      <c r="AF48" s="6">
        <f t="shared" si="372"/>
        <v>0</v>
      </c>
      <c r="AG48" s="6">
        <f t="shared" si="372"/>
        <v>0</v>
      </c>
      <c r="AH48" s="5">
        <v>100000.0</v>
      </c>
      <c r="AI48" s="5">
        <v>100000.0</v>
      </c>
      <c r="AJ48" s="6">
        <v>100000.0</v>
      </c>
      <c r="AK48" s="6">
        <v>0.0</v>
      </c>
      <c r="AL48" s="6">
        <v>0.0</v>
      </c>
      <c r="AM48" s="6">
        <v>0.0</v>
      </c>
      <c r="AN48" s="6">
        <v>0.0</v>
      </c>
      <c r="AO48" s="6">
        <v>0.0</v>
      </c>
      <c r="AP48" s="6">
        <v>0.0</v>
      </c>
      <c r="AQ48" s="6">
        <v>0.0</v>
      </c>
      <c r="AR48" s="6">
        <v>0.0</v>
      </c>
      <c r="AS48" s="6">
        <v>0.0</v>
      </c>
      <c r="AT48" s="6">
        <f t="shared" ref="AT48:AV48" si="373">+AN48+AQ48+AH48+AK48</f>
        <v>100000</v>
      </c>
      <c r="AU48" s="6">
        <f t="shared" si="373"/>
        <v>100000</v>
      </c>
      <c r="AV48" s="6">
        <f t="shared" si="373"/>
        <v>100000</v>
      </c>
      <c r="AW48" s="6">
        <v>0.0</v>
      </c>
      <c r="AX48" s="6">
        <v>0.0</v>
      </c>
      <c r="AY48" s="6">
        <v>0.0</v>
      </c>
      <c r="AZ48" s="6">
        <v>0.0</v>
      </c>
      <c r="BA48" s="6">
        <v>0.0</v>
      </c>
      <c r="BB48" s="6">
        <v>0.0</v>
      </c>
      <c r="BC48" s="6">
        <v>0.0</v>
      </c>
      <c r="BD48" s="6">
        <v>0.0</v>
      </c>
      <c r="BE48" s="6">
        <v>0.0</v>
      </c>
      <c r="BF48" s="6">
        <v>0.0</v>
      </c>
      <c r="BG48" s="6">
        <v>0.0</v>
      </c>
      <c r="BH48" s="6">
        <v>0.0</v>
      </c>
      <c r="BI48" s="6">
        <f t="shared" ref="BI48:BK48" si="374">+BC48+BF48+AW48+AZ48</f>
        <v>0</v>
      </c>
      <c r="BJ48" s="6">
        <f t="shared" si="374"/>
        <v>0</v>
      </c>
      <c r="BK48" s="6">
        <f t="shared" si="374"/>
        <v>0</v>
      </c>
      <c r="BL48" s="6">
        <v>0.0</v>
      </c>
      <c r="BM48" s="6">
        <v>0.0</v>
      </c>
      <c r="BN48" s="6">
        <v>0.0</v>
      </c>
      <c r="BO48" s="6">
        <v>0.0</v>
      </c>
      <c r="BP48" s="6">
        <v>0.0</v>
      </c>
      <c r="BQ48" s="6">
        <v>0.0</v>
      </c>
      <c r="BR48" s="6">
        <v>0.0</v>
      </c>
      <c r="BS48" s="6">
        <v>0.0</v>
      </c>
      <c r="BT48" s="6">
        <v>0.0</v>
      </c>
      <c r="BU48" s="6" t="str">
        <f t="shared" ref="BU48:BW48" si="375">+BO48+BR48+#REF!+BL48</f>
        <v>#REF!</v>
      </c>
      <c r="BV48" s="6" t="str">
        <f t="shared" si="375"/>
        <v>#REF!</v>
      </c>
      <c r="BW48" s="6" t="str">
        <f t="shared" si="375"/>
        <v>#REF!</v>
      </c>
      <c r="BX48" s="6">
        <v>0.0</v>
      </c>
      <c r="BY48" s="6">
        <v>0.0</v>
      </c>
      <c r="BZ48" s="6">
        <v>0.0</v>
      </c>
      <c r="CA48" s="6">
        <v>0.0</v>
      </c>
      <c r="CB48" s="6">
        <v>0.0</v>
      </c>
      <c r="CC48" s="6">
        <v>0.0</v>
      </c>
      <c r="CD48" s="6">
        <v>0.0</v>
      </c>
      <c r="CE48" s="6">
        <v>0.0</v>
      </c>
      <c r="CF48" s="6">
        <v>0.0</v>
      </c>
      <c r="CG48" s="6" t="str">
        <f t="shared" ref="CG48:CI48" si="376">+CA48+CD48+BX48+#REF!</f>
        <v>#REF!</v>
      </c>
      <c r="CH48" s="6" t="str">
        <f t="shared" si="376"/>
        <v>#REF!</v>
      </c>
      <c r="CI48" s="6" t="str">
        <f t="shared" si="376"/>
        <v>#REF!</v>
      </c>
      <c r="CJ48" s="6">
        <v>0.0</v>
      </c>
      <c r="CK48" s="6">
        <v>0.0</v>
      </c>
      <c r="CL48" s="6">
        <v>0.0</v>
      </c>
      <c r="CM48" s="6">
        <v>0.0</v>
      </c>
      <c r="CN48" s="6">
        <v>0.0</v>
      </c>
      <c r="CO48" s="6">
        <v>0.0</v>
      </c>
      <c r="CP48" s="6">
        <v>0.0</v>
      </c>
      <c r="CQ48" s="6">
        <v>0.0</v>
      </c>
      <c r="CR48" s="6">
        <v>0.0</v>
      </c>
      <c r="CS48" s="6">
        <v>0.0</v>
      </c>
      <c r="CT48" s="6">
        <v>0.0</v>
      </c>
      <c r="CU48" s="6">
        <v>0.0</v>
      </c>
      <c r="CV48" s="6">
        <f t="shared" ref="CV48:CX48" si="377">+CP48+CS48+CJ48+CM48</f>
        <v>0</v>
      </c>
      <c r="CW48" s="6">
        <f t="shared" si="377"/>
        <v>0</v>
      </c>
      <c r="CX48" s="6">
        <f t="shared" si="377"/>
        <v>0</v>
      </c>
      <c r="CY48" s="6">
        <v>0.0</v>
      </c>
      <c r="CZ48" s="6">
        <v>0.0</v>
      </c>
      <c r="DA48" s="6">
        <v>0.0</v>
      </c>
      <c r="DB48" s="6">
        <v>0.0</v>
      </c>
      <c r="DC48" s="6">
        <v>0.0</v>
      </c>
      <c r="DD48" s="6">
        <v>0.0</v>
      </c>
      <c r="DE48" s="6">
        <v>0.0</v>
      </c>
      <c r="DF48" s="6">
        <v>0.0</v>
      </c>
      <c r="DG48" s="6">
        <v>0.0</v>
      </c>
      <c r="DH48" s="6">
        <v>0.0</v>
      </c>
      <c r="DI48" s="6">
        <v>0.0</v>
      </c>
      <c r="DJ48" s="6">
        <v>0.0</v>
      </c>
      <c r="DK48" s="6">
        <f t="shared" ref="DK48:DM48" si="378">+DE48+DH48+CY48+DB48</f>
        <v>0</v>
      </c>
      <c r="DL48" s="6">
        <f t="shared" si="378"/>
        <v>0</v>
      </c>
      <c r="DM48" s="6">
        <f t="shared" si="378"/>
        <v>0</v>
      </c>
      <c r="DN48" s="6" t="str">
        <f t="shared" ref="DN48:DP48" si="379">+P48+AE48+AT48+BI48+BU48+CG48+CV48</f>
        <v>#REF!</v>
      </c>
      <c r="DO48" s="6" t="str">
        <f t="shared" si="379"/>
        <v>#REF!</v>
      </c>
      <c r="DP48" s="6" t="str">
        <f t="shared" si="379"/>
        <v>#REF!</v>
      </c>
      <c r="DQ48" s="6" t="str">
        <f t="shared" si="19"/>
        <v>#REF!</v>
      </c>
    </row>
    <row r="49" ht="13.5" customHeight="1">
      <c r="A49" s="11">
        <v>44509.0</v>
      </c>
      <c r="B49" s="2" t="s">
        <v>261</v>
      </c>
      <c r="C49" s="2" t="s">
        <v>262</v>
      </c>
      <c r="D49" s="29" t="s">
        <v>263</v>
      </c>
      <c r="E49" s="2" t="s">
        <v>264</v>
      </c>
      <c r="F49" s="11" t="s">
        <v>265</v>
      </c>
      <c r="G49" s="11" t="s">
        <v>9</v>
      </c>
      <c r="H49" s="5">
        <v>2160000.0</v>
      </c>
      <c r="I49" s="5">
        <v>2160000.0</v>
      </c>
      <c r="J49" s="6">
        <v>0.0</v>
      </c>
      <c r="K49" s="6">
        <v>0.0</v>
      </c>
      <c r="L49" s="6">
        <v>0.0</v>
      </c>
      <c r="M49" s="6">
        <v>0.0</v>
      </c>
      <c r="N49" s="6">
        <v>0.0</v>
      </c>
      <c r="O49" s="6">
        <v>0.0</v>
      </c>
      <c r="P49" s="6">
        <f t="shared" ref="P49:R49" si="380">+J49+M49</f>
        <v>0</v>
      </c>
      <c r="Q49" s="6">
        <f t="shared" si="380"/>
        <v>0</v>
      </c>
      <c r="R49" s="6">
        <f t="shared" si="380"/>
        <v>0</v>
      </c>
      <c r="S49" s="6">
        <v>0.0</v>
      </c>
      <c r="T49" s="6">
        <v>0.0</v>
      </c>
      <c r="U49" s="6">
        <v>0.0</v>
      </c>
      <c r="V49" s="6">
        <v>0.0</v>
      </c>
      <c r="W49" s="6">
        <v>0.0</v>
      </c>
      <c r="X49" s="6">
        <v>0.0</v>
      </c>
      <c r="Y49" s="6">
        <v>0.0</v>
      </c>
      <c r="Z49" s="6">
        <v>0.0</v>
      </c>
      <c r="AA49" s="6">
        <v>0.0</v>
      </c>
      <c r="AB49" s="6">
        <v>0.0</v>
      </c>
      <c r="AC49" s="6">
        <v>0.0</v>
      </c>
      <c r="AD49" s="6">
        <v>0.0</v>
      </c>
      <c r="AE49" s="6">
        <f t="shared" ref="AE49:AG49" si="381">+Y49+AB49+S49+V49</f>
        <v>0</v>
      </c>
      <c r="AF49" s="6">
        <f t="shared" si="381"/>
        <v>0</v>
      </c>
      <c r="AG49" s="6">
        <f t="shared" si="381"/>
        <v>0</v>
      </c>
      <c r="AH49" s="5">
        <v>2160000.0</v>
      </c>
      <c r="AI49" s="5">
        <v>2160000.0</v>
      </c>
      <c r="AJ49" s="6">
        <v>0.0</v>
      </c>
      <c r="AK49" s="6">
        <v>0.0</v>
      </c>
      <c r="AL49" s="6">
        <v>0.0</v>
      </c>
      <c r="AM49" s="6">
        <v>1600000.0</v>
      </c>
      <c r="AN49" s="6">
        <v>0.0</v>
      </c>
      <c r="AO49" s="6">
        <v>0.0</v>
      </c>
      <c r="AP49" s="6">
        <v>560000.0</v>
      </c>
      <c r="AQ49" s="6">
        <v>0.0</v>
      </c>
      <c r="AR49" s="6">
        <v>0.0</v>
      </c>
      <c r="AS49" s="6">
        <v>0.0</v>
      </c>
      <c r="AT49" s="6">
        <f t="shared" ref="AT49:AV49" si="382">+AN49+AQ49+AH49+AK49</f>
        <v>2160000</v>
      </c>
      <c r="AU49" s="6">
        <f t="shared" si="382"/>
        <v>2160000</v>
      </c>
      <c r="AV49" s="6">
        <f t="shared" si="382"/>
        <v>2160000</v>
      </c>
      <c r="AW49" s="6">
        <v>0.0</v>
      </c>
      <c r="AX49" s="6">
        <v>0.0</v>
      </c>
      <c r="AY49" s="6">
        <v>0.0</v>
      </c>
      <c r="AZ49" s="6">
        <v>0.0</v>
      </c>
      <c r="BA49" s="6">
        <v>0.0</v>
      </c>
      <c r="BB49" s="6">
        <v>0.0</v>
      </c>
      <c r="BC49" s="6">
        <v>0.0</v>
      </c>
      <c r="BD49" s="6">
        <v>0.0</v>
      </c>
      <c r="BE49" s="6">
        <v>0.0</v>
      </c>
      <c r="BF49" s="6">
        <v>0.0</v>
      </c>
      <c r="BG49" s="6">
        <v>0.0</v>
      </c>
      <c r="BH49" s="6">
        <v>0.0</v>
      </c>
      <c r="BI49" s="6">
        <f t="shared" ref="BI49:BK49" si="383">+BC49+BF49+AW49+AZ49</f>
        <v>0</v>
      </c>
      <c r="BJ49" s="6">
        <f t="shared" si="383"/>
        <v>0</v>
      </c>
      <c r="BK49" s="6">
        <f t="shared" si="383"/>
        <v>0</v>
      </c>
      <c r="BL49" s="6">
        <v>0.0</v>
      </c>
      <c r="BM49" s="6">
        <v>0.0</v>
      </c>
      <c r="BN49" s="6">
        <v>0.0</v>
      </c>
      <c r="BO49" s="6">
        <v>0.0</v>
      </c>
      <c r="BP49" s="6">
        <v>0.0</v>
      </c>
      <c r="BQ49" s="6">
        <v>0.0</v>
      </c>
      <c r="BR49" s="6">
        <v>0.0</v>
      </c>
      <c r="BS49" s="6">
        <v>0.0</v>
      </c>
      <c r="BT49" s="6">
        <v>0.0</v>
      </c>
      <c r="BU49" s="6" t="str">
        <f t="shared" ref="BU49:BW49" si="384">+BO49+BR49+#REF!+BL49</f>
        <v>#REF!</v>
      </c>
      <c r="BV49" s="6" t="str">
        <f t="shared" si="384"/>
        <v>#REF!</v>
      </c>
      <c r="BW49" s="6" t="str">
        <f t="shared" si="384"/>
        <v>#REF!</v>
      </c>
      <c r="BX49" s="6">
        <v>0.0</v>
      </c>
      <c r="BY49" s="6">
        <v>0.0</v>
      </c>
      <c r="BZ49" s="6">
        <v>0.0</v>
      </c>
      <c r="CA49" s="6">
        <v>0.0</v>
      </c>
      <c r="CB49" s="6">
        <v>0.0</v>
      </c>
      <c r="CC49" s="6">
        <v>0.0</v>
      </c>
      <c r="CD49" s="6">
        <v>0.0</v>
      </c>
      <c r="CE49" s="6">
        <v>0.0</v>
      </c>
      <c r="CF49" s="6">
        <v>0.0</v>
      </c>
      <c r="CG49" s="6" t="str">
        <f t="shared" ref="CG49:CI49" si="385">+CA49+CD49+BX49+#REF!</f>
        <v>#REF!</v>
      </c>
      <c r="CH49" s="6" t="str">
        <f t="shared" si="385"/>
        <v>#REF!</v>
      </c>
      <c r="CI49" s="6" t="str">
        <f t="shared" si="385"/>
        <v>#REF!</v>
      </c>
      <c r="CJ49" s="6">
        <v>0.0</v>
      </c>
      <c r="CK49" s="6">
        <v>0.0</v>
      </c>
      <c r="CL49" s="6">
        <v>0.0</v>
      </c>
      <c r="CM49" s="6">
        <v>0.0</v>
      </c>
      <c r="CN49" s="6">
        <v>0.0</v>
      </c>
      <c r="CO49" s="6">
        <v>0.0</v>
      </c>
      <c r="CP49" s="6">
        <v>0.0</v>
      </c>
      <c r="CQ49" s="6">
        <v>0.0</v>
      </c>
      <c r="CR49" s="6">
        <v>0.0</v>
      </c>
      <c r="CS49" s="6">
        <v>0.0</v>
      </c>
      <c r="CT49" s="6">
        <v>0.0</v>
      </c>
      <c r="CU49" s="6">
        <v>0.0</v>
      </c>
      <c r="CV49" s="6">
        <f t="shared" ref="CV49:CX49" si="386">+CP49+CS49+CJ49+CM49</f>
        <v>0</v>
      </c>
      <c r="CW49" s="6">
        <f t="shared" si="386"/>
        <v>0</v>
      </c>
      <c r="CX49" s="6">
        <f t="shared" si="386"/>
        <v>0</v>
      </c>
      <c r="CY49" s="6">
        <v>0.0</v>
      </c>
      <c r="CZ49" s="6">
        <v>0.0</v>
      </c>
      <c r="DA49" s="6">
        <v>0.0</v>
      </c>
      <c r="DB49" s="6">
        <v>0.0</v>
      </c>
      <c r="DC49" s="6">
        <v>0.0</v>
      </c>
      <c r="DD49" s="6">
        <v>0.0</v>
      </c>
      <c r="DE49" s="6">
        <v>0.0</v>
      </c>
      <c r="DF49" s="6">
        <v>0.0</v>
      </c>
      <c r="DG49" s="6">
        <v>0.0</v>
      </c>
      <c r="DH49" s="6">
        <v>0.0</v>
      </c>
      <c r="DI49" s="6">
        <v>0.0</v>
      </c>
      <c r="DJ49" s="6">
        <v>0.0</v>
      </c>
      <c r="DK49" s="6">
        <f t="shared" ref="DK49:DM49" si="387">+DE49+DH49+CY49+DB49</f>
        <v>0</v>
      </c>
      <c r="DL49" s="6">
        <f t="shared" si="387"/>
        <v>0</v>
      </c>
      <c r="DM49" s="6">
        <f t="shared" si="387"/>
        <v>0</v>
      </c>
      <c r="DN49" s="6" t="str">
        <f t="shared" ref="DN49:DP49" si="388">+P49+AE49+AT49+BI49+BU49+CG49+CV49</f>
        <v>#REF!</v>
      </c>
      <c r="DO49" s="6" t="str">
        <f t="shared" si="388"/>
        <v>#REF!</v>
      </c>
      <c r="DP49" s="6" t="str">
        <f t="shared" si="388"/>
        <v>#REF!</v>
      </c>
      <c r="DQ49" s="6" t="str">
        <f t="shared" si="19"/>
        <v>#REF!</v>
      </c>
    </row>
    <row r="50" ht="13.5" customHeight="1">
      <c r="A50" s="11">
        <v>44547.0</v>
      </c>
      <c r="B50" s="2" t="s">
        <v>266</v>
      </c>
      <c r="C50" s="2" t="s">
        <v>267</v>
      </c>
      <c r="D50" s="29" t="s">
        <v>268</v>
      </c>
      <c r="E50" s="2" t="s">
        <v>269</v>
      </c>
      <c r="F50" s="11" t="s">
        <v>270</v>
      </c>
      <c r="G50" s="11" t="s">
        <v>10</v>
      </c>
      <c r="H50" s="5">
        <v>750000.0</v>
      </c>
      <c r="I50" s="5">
        <v>750000.0</v>
      </c>
      <c r="J50" s="6">
        <v>0.0</v>
      </c>
      <c r="K50" s="6">
        <v>0.0</v>
      </c>
      <c r="L50" s="6">
        <v>0.0</v>
      </c>
      <c r="M50" s="6">
        <v>0.0</v>
      </c>
      <c r="N50" s="6">
        <v>0.0</v>
      </c>
      <c r="O50" s="6">
        <v>0.0</v>
      </c>
      <c r="P50" s="6">
        <f t="shared" ref="P50:R50" si="389">+J50+M50</f>
        <v>0</v>
      </c>
      <c r="Q50" s="6">
        <f t="shared" si="389"/>
        <v>0</v>
      </c>
      <c r="R50" s="6">
        <f t="shared" si="389"/>
        <v>0</v>
      </c>
      <c r="S50" s="6">
        <v>0.0</v>
      </c>
      <c r="T50" s="6">
        <v>0.0</v>
      </c>
      <c r="U50" s="6">
        <v>0.0</v>
      </c>
      <c r="V50" s="6">
        <v>0.0</v>
      </c>
      <c r="W50" s="6">
        <v>0.0</v>
      </c>
      <c r="X50" s="6">
        <v>0.0</v>
      </c>
      <c r="Y50" s="6">
        <v>0.0</v>
      </c>
      <c r="Z50" s="6">
        <v>0.0</v>
      </c>
      <c r="AA50" s="6">
        <v>0.0</v>
      </c>
      <c r="AB50" s="6">
        <v>0.0</v>
      </c>
      <c r="AC50" s="6">
        <v>0.0</v>
      </c>
      <c r="AD50" s="6">
        <v>0.0</v>
      </c>
      <c r="AE50" s="6">
        <f t="shared" ref="AE50:AG50" si="390">+Y50+AB50+S50+V50</f>
        <v>0</v>
      </c>
      <c r="AF50" s="6">
        <f t="shared" si="390"/>
        <v>0</v>
      </c>
      <c r="AG50" s="6">
        <f t="shared" si="390"/>
        <v>0</v>
      </c>
      <c r="AH50" s="6">
        <v>0.0</v>
      </c>
      <c r="AI50" s="6">
        <v>0.0</v>
      </c>
      <c r="AJ50" s="6">
        <v>0.0</v>
      </c>
      <c r="AK50" s="5">
        <v>750000.0</v>
      </c>
      <c r="AL50" s="5">
        <v>750000.0</v>
      </c>
      <c r="AM50" s="6">
        <v>136000.0</v>
      </c>
      <c r="AN50" s="6">
        <v>0.0</v>
      </c>
      <c r="AO50" s="6">
        <v>0.0</v>
      </c>
      <c r="AP50" s="6">
        <v>60000.0</v>
      </c>
      <c r="AQ50" s="6">
        <v>0.0</v>
      </c>
      <c r="AR50" s="6">
        <v>0.0</v>
      </c>
      <c r="AS50" s="6">
        <v>138500.0</v>
      </c>
      <c r="AT50" s="6">
        <f t="shared" ref="AT50:AV50" si="391">+AN50+AQ50+AH50+AK50</f>
        <v>750000</v>
      </c>
      <c r="AU50" s="6">
        <f t="shared" si="391"/>
        <v>750000</v>
      </c>
      <c r="AV50" s="6">
        <f t="shared" si="391"/>
        <v>334500</v>
      </c>
      <c r="AW50" s="6">
        <v>0.0</v>
      </c>
      <c r="AX50" s="6">
        <v>0.0</v>
      </c>
      <c r="AY50" s="6">
        <v>138500.0</v>
      </c>
      <c r="AZ50" s="6">
        <v>0.0</v>
      </c>
      <c r="BA50" s="6">
        <v>0.0</v>
      </c>
      <c r="BB50" s="6">
        <v>277000.0</v>
      </c>
      <c r="BC50" s="6">
        <v>0.0</v>
      </c>
      <c r="BD50" s="6">
        <v>0.0</v>
      </c>
      <c r="BE50" s="6">
        <v>0.0</v>
      </c>
      <c r="BF50" s="6">
        <v>0.0</v>
      </c>
      <c r="BG50" s="6">
        <v>0.0</v>
      </c>
      <c r="BH50" s="6">
        <v>0.0</v>
      </c>
      <c r="BI50" s="6">
        <f t="shared" ref="BI50:BK50" si="392">+BC50+BF50+AW50+AZ50</f>
        <v>0</v>
      </c>
      <c r="BJ50" s="6">
        <f t="shared" si="392"/>
        <v>0</v>
      </c>
      <c r="BK50" s="6">
        <f t="shared" si="392"/>
        <v>415500</v>
      </c>
      <c r="BL50" s="6">
        <v>0.0</v>
      </c>
      <c r="BM50" s="6">
        <v>0.0</v>
      </c>
      <c r="BN50" s="6">
        <v>0.0</v>
      </c>
      <c r="BO50" s="6">
        <v>0.0</v>
      </c>
      <c r="BP50" s="6">
        <v>0.0</v>
      </c>
      <c r="BQ50" s="6">
        <v>0.0</v>
      </c>
      <c r="BR50" s="6">
        <v>0.0</v>
      </c>
      <c r="BS50" s="6">
        <v>0.0</v>
      </c>
      <c r="BT50" s="6">
        <v>0.0</v>
      </c>
      <c r="BU50" s="6" t="str">
        <f t="shared" ref="BU50:BW50" si="393">+BO50+BR50+#REF!+BL50</f>
        <v>#REF!</v>
      </c>
      <c r="BV50" s="6" t="str">
        <f t="shared" si="393"/>
        <v>#REF!</v>
      </c>
      <c r="BW50" s="6" t="str">
        <f t="shared" si="393"/>
        <v>#REF!</v>
      </c>
      <c r="BX50" s="6">
        <v>0.0</v>
      </c>
      <c r="BY50" s="6">
        <v>0.0</v>
      </c>
      <c r="BZ50" s="6">
        <v>0.0</v>
      </c>
      <c r="CA50" s="6">
        <v>0.0</v>
      </c>
      <c r="CB50" s="6">
        <v>0.0</v>
      </c>
      <c r="CC50" s="6">
        <v>0.0</v>
      </c>
      <c r="CD50" s="6">
        <v>0.0</v>
      </c>
      <c r="CE50" s="6">
        <v>0.0</v>
      </c>
      <c r="CF50" s="6">
        <v>0.0</v>
      </c>
      <c r="CG50" s="6" t="str">
        <f t="shared" ref="CG50:CI50" si="394">+CA50+CD50+BX50+#REF!</f>
        <v>#REF!</v>
      </c>
      <c r="CH50" s="6" t="str">
        <f t="shared" si="394"/>
        <v>#REF!</v>
      </c>
      <c r="CI50" s="6" t="str">
        <f t="shared" si="394"/>
        <v>#REF!</v>
      </c>
      <c r="CJ50" s="6">
        <v>0.0</v>
      </c>
      <c r="CK50" s="6">
        <v>0.0</v>
      </c>
      <c r="CL50" s="6">
        <v>0.0</v>
      </c>
      <c r="CM50" s="6">
        <v>0.0</v>
      </c>
      <c r="CN50" s="6">
        <v>0.0</v>
      </c>
      <c r="CO50" s="6">
        <v>0.0</v>
      </c>
      <c r="CP50" s="6">
        <v>0.0</v>
      </c>
      <c r="CQ50" s="6">
        <v>0.0</v>
      </c>
      <c r="CR50" s="6">
        <v>0.0</v>
      </c>
      <c r="CS50" s="6">
        <v>0.0</v>
      </c>
      <c r="CT50" s="6">
        <v>0.0</v>
      </c>
      <c r="CU50" s="6">
        <v>0.0</v>
      </c>
      <c r="CV50" s="6">
        <f t="shared" ref="CV50:CX50" si="395">+CP50+CS50+CJ50+CM50</f>
        <v>0</v>
      </c>
      <c r="CW50" s="6">
        <f t="shared" si="395"/>
        <v>0</v>
      </c>
      <c r="CX50" s="6">
        <f t="shared" si="395"/>
        <v>0</v>
      </c>
      <c r="CY50" s="6">
        <v>0.0</v>
      </c>
      <c r="CZ50" s="6">
        <v>0.0</v>
      </c>
      <c r="DA50" s="6">
        <v>0.0</v>
      </c>
      <c r="DB50" s="6">
        <v>0.0</v>
      </c>
      <c r="DC50" s="6">
        <v>0.0</v>
      </c>
      <c r="DD50" s="6">
        <v>0.0</v>
      </c>
      <c r="DE50" s="6">
        <v>0.0</v>
      </c>
      <c r="DF50" s="6">
        <v>0.0</v>
      </c>
      <c r="DG50" s="6">
        <v>0.0</v>
      </c>
      <c r="DH50" s="6">
        <v>0.0</v>
      </c>
      <c r="DI50" s="6">
        <v>0.0</v>
      </c>
      <c r="DJ50" s="6">
        <v>0.0</v>
      </c>
      <c r="DK50" s="6">
        <f t="shared" ref="DK50:DM50" si="396">+DE50+DH50+CY50+DB50</f>
        <v>0</v>
      </c>
      <c r="DL50" s="6">
        <f t="shared" si="396"/>
        <v>0</v>
      </c>
      <c r="DM50" s="6">
        <f t="shared" si="396"/>
        <v>0</v>
      </c>
      <c r="DN50" s="6" t="str">
        <f t="shared" ref="DN50:DP50" si="397">+P50+AE50+AT50+BI50+BU50+CG50+CV50</f>
        <v>#REF!</v>
      </c>
      <c r="DO50" s="6" t="str">
        <f t="shared" si="397"/>
        <v>#REF!</v>
      </c>
      <c r="DP50" s="6" t="str">
        <f t="shared" si="397"/>
        <v>#REF!</v>
      </c>
      <c r="DQ50" s="6" t="str">
        <f t="shared" si="19"/>
        <v>#REF!</v>
      </c>
    </row>
    <row r="51" ht="13.5" customHeight="1">
      <c r="A51" s="11">
        <v>44547.0</v>
      </c>
      <c r="B51" s="2" t="s">
        <v>266</v>
      </c>
      <c r="C51" s="2" t="s">
        <v>267</v>
      </c>
      <c r="D51" s="29" t="s">
        <v>268</v>
      </c>
      <c r="E51" s="2" t="s">
        <v>269</v>
      </c>
      <c r="F51" s="11" t="s">
        <v>270</v>
      </c>
      <c r="G51" s="11" t="s">
        <v>10</v>
      </c>
      <c r="H51" s="5">
        <v>83000.0</v>
      </c>
      <c r="I51" s="5">
        <v>83000.0</v>
      </c>
      <c r="J51" s="6">
        <v>0.0</v>
      </c>
      <c r="K51" s="6">
        <v>0.0</v>
      </c>
      <c r="L51" s="6">
        <v>0.0</v>
      </c>
      <c r="M51" s="6">
        <v>0.0</v>
      </c>
      <c r="N51" s="6">
        <v>0.0</v>
      </c>
      <c r="O51" s="6">
        <v>0.0</v>
      </c>
      <c r="P51" s="6">
        <f t="shared" ref="P51:R51" si="398">+J51+M51</f>
        <v>0</v>
      </c>
      <c r="Q51" s="6">
        <f t="shared" si="398"/>
        <v>0</v>
      </c>
      <c r="R51" s="6">
        <f t="shared" si="398"/>
        <v>0</v>
      </c>
      <c r="S51" s="6">
        <v>0.0</v>
      </c>
      <c r="T51" s="6">
        <v>0.0</v>
      </c>
      <c r="U51" s="6">
        <v>0.0</v>
      </c>
      <c r="V51" s="6">
        <v>0.0</v>
      </c>
      <c r="W51" s="6">
        <v>0.0</v>
      </c>
      <c r="X51" s="6">
        <v>0.0</v>
      </c>
      <c r="Y51" s="6">
        <v>0.0</v>
      </c>
      <c r="Z51" s="6">
        <v>0.0</v>
      </c>
      <c r="AA51" s="6">
        <v>0.0</v>
      </c>
      <c r="AB51" s="6">
        <v>0.0</v>
      </c>
      <c r="AC51" s="6">
        <v>0.0</v>
      </c>
      <c r="AD51" s="6">
        <v>0.0</v>
      </c>
      <c r="AE51" s="6">
        <f t="shared" ref="AE51:AG51" si="399">+Y51+AB51+S51+V51</f>
        <v>0</v>
      </c>
      <c r="AF51" s="6">
        <f t="shared" si="399"/>
        <v>0</v>
      </c>
      <c r="AG51" s="6">
        <f t="shared" si="399"/>
        <v>0</v>
      </c>
      <c r="AH51" s="6">
        <v>0.0</v>
      </c>
      <c r="AI51" s="6">
        <v>0.0</v>
      </c>
      <c r="AJ51" s="6">
        <v>0.0</v>
      </c>
      <c r="AK51" s="5">
        <v>83000.0</v>
      </c>
      <c r="AL51" s="5">
        <v>83000.0</v>
      </c>
      <c r="AM51" s="6">
        <v>0.0</v>
      </c>
      <c r="AN51" s="6">
        <v>0.0</v>
      </c>
      <c r="AO51" s="6">
        <v>0.0</v>
      </c>
      <c r="AP51" s="6">
        <v>0.0</v>
      </c>
      <c r="AQ51" s="6">
        <v>0.0</v>
      </c>
      <c r="AR51" s="6">
        <v>0.0</v>
      </c>
      <c r="AS51" s="6">
        <v>20750.0</v>
      </c>
      <c r="AT51" s="6">
        <f t="shared" ref="AT51:AV51" si="400">+AN51+AQ51+AH51+AK51</f>
        <v>83000</v>
      </c>
      <c r="AU51" s="6">
        <f t="shared" si="400"/>
        <v>83000</v>
      </c>
      <c r="AV51" s="6">
        <f t="shared" si="400"/>
        <v>20750</v>
      </c>
      <c r="AW51" s="6">
        <v>0.0</v>
      </c>
      <c r="AX51" s="6">
        <v>0.0</v>
      </c>
      <c r="AY51" s="6">
        <v>20750.0</v>
      </c>
      <c r="AZ51" s="6">
        <v>0.0</v>
      </c>
      <c r="BA51" s="6">
        <v>0.0</v>
      </c>
      <c r="BB51" s="6">
        <v>41500.0</v>
      </c>
      <c r="BC51" s="6">
        <v>0.0</v>
      </c>
      <c r="BD51" s="6">
        <v>0.0</v>
      </c>
      <c r="BE51" s="6">
        <v>0.0</v>
      </c>
      <c r="BF51" s="6">
        <v>0.0</v>
      </c>
      <c r="BG51" s="6">
        <v>0.0</v>
      </c>
      <c r="BH51" s="6">
        <v>0.0</v>
      </c>
      <c r="BI51" s="6">
        <f t="shared" ref="BI51:BK51" si="401">+BC51+BF51+AW51+AZ51</f>
        <v>0</v>
      </c>
      <c r="BJ51" s="6">
        <f t="shared" si="401"/>
        <v>0</v>
      </c>
      <c r="BK51" s="6">
        <f t="shared" si="401"/>
        <v>62250</v>
      </c>
      <c r="BL51" s="6">
        <v>0.0</v>
      </c>
      <c r="BM51" s="6">
        <v>0.0</v>
      </c>
      <c r="BN51" s="6">
        <v>0.0</v>
      </c>
      <c r="BO51" s="6">
        <v>0.0</v>
      </c>
      <c r="BP51" s="6">
        <v>0.0</v>
      </c>
      <c r="BQ51" s="6">
        <v>0.0</v>
      </c>
      <c r="BR51" s="6">
        <v>0.0</v>
      </c>
      <c r="BS51" s="6">
        <v>0.0</v>
      </c>
      <c r="BT51" s="6">
        <v>0.0</v>
      </c>
      <c r="BU51" s="6" t="str">
        <f t="shared" ref="BU51:BW51" si="402">+BO51+BR51+#REF!+BL51</f>
        <v>#REF!</v>
      </c>
      <c r="BV51" s="6" t="str">
        <f t="shared" si="402"/>
        <v>#REF!</v>
      </c>
      <c r="BW51" s="6" t="str">
        <f t="shared" si="402"/>
        <v>#REF!</v>
      </c>
      <c r="BX51" s="6">
        <v>0.0</v>
      </c>
      <c r="BY51" s="6">
        <v>0.0</v>
      </c>
      <c r="BZ51" s="6">
        <v>0.0</v>
      </c>
      <c r="CA51" s="6">
        <v>0.0</v>
      </c>
      <c r="CB51" s="6">
        <v>0.0</v>
      </c>
      <c r="CC51" s="6">
        <v>0.0</v>
      </c>
      <c r="CD51" s="6">
        <v>0.0</v>
      </c>
      <c r="CE51" s="6">
        <v>0.0</v>
      </c>
      <c r="CF51" s="6">
        <v>0.0</v>
      </c>
      <c r="CG51" s="6" t="str">
        <f t="shared" ref="CG51:CI51" si="403">+CA51+CD51+BX51+#REF!</f>
        <v>#REF!</v>
      </c>
      <c r="CH51" s="6" t="str">
        <f t="shared" si="403"/>
        <v>#REF!</v>
      </c>
      <c r="CI51" s="6" t="str">
        <f t="shared" si="403"/>
        <v>#REF!</v>
      </c>
      <c r="CJ51" s="6">
        <v>0.0</v>
      </c>
      <c r="CK51" s="6">
        <v>0.0</v>
      </c>
      <c r="CL51" s="6">
        <v>0.0</v>
      </c>
      <c r="CM51" s="6">
        <v>0.0</v>
      </c>
      <c r="CN51" s="6">
        <v>0.0</v>
      </c>
      <c r="CO51" s="6">
        <v>0.0</v>
      </c>
      <c r="CP51" s="6">
        <v>0.0</v>
      </c>
      <c r="CQ51" s="6">
        <v>0.0</v>
      </c>
      <c r="CR51" s="6">
        <v>0.0</v>
      </c>
      <c r="CS51" s="6">
        <v>0.0</v>
      </c>
      <c r="CT51" s="6">
        <v>0.0</v>
      </c>
      <c r="CU51" s="6">
        <v>0.0</v>
      </c>
      <c r="CV51" s="6">
        <f t="shared" ref="CV51:CX51" si="404">+CP51+CS51+CJ51+CM51</f>
        <v>0</v>
      </c>
      <c r="CW51" s="6">
        <f t="shared" si="404"/>
        <v>0</v>
      </c>
      <c r="CX51" s="6">
        <f t="shared" si="404"/>
        <v>0</v>
      </c>
      <c r="CY51" s="6">
        <v>0.0</v>
      </c>
      <c r="CZ51" s="6">
        <v>0.0</v>
      </c>
      <c r="DA51" s="6">
        <v>0.0</v>
      </c>
      <c r="DB51" s="6">
        <v>0.0</v>
      </c>
      <c r="DC51" s="6">
        <v>0.0</v>
      </c>
      <c r="DD51" s="6">
        <v>0.0</v>
      </c>
      <c r="DE51" s="6">
        <v>0.0</v>
      </c>
      <c r="DF51" s="6">
        <v>0.0</v>
      </c>
      <c r="DG51" s="6">
        <v>0.0</v>
      </c>
      <c r="DH51" s="6">
        <v>0.0</v>
      </c>
      <c r="DI51" s="6">
        <v>0.0</v>
      </c>
      <c r="DJ51" s="6">
        <v>0.0</v>
      </c>
      <c r="DK51" s="6">
        <f t="shared" ref="DK51:DM51" si="405">+DE51+DH51+CY51+DB51</f>
        <v>0</v>
      </c>
      <c r="DL51" s="6">
        <f t="shared" si="405"/>
        <v>0</v>
      </c>
      <c r="DM51" s="6">
        <f t="shared" si="405"/>
        <v>0</v>
      </c>
      <c r="DN51" s="6" t="str">
        <f t="shared" ref="DN51:DP51" si="406">+P51+AE51+AT51+BI51+BU51+CG51+CV51</f>
        <v>#REF!</v>
      </c>
      <c r="DO51" s="6" t="str">
        <f t="shared" si="406"/>
        <v>#REF!</v>
      </c>
      <c r="DP51" s="6" t="str">
        <f t="shared" si="406"/>
        <v>#REF!</v>
      </c>
      <c r="DQ51" s="6" t="str">
        <f t="shared" si="19"/>
        <v>#REF!</v>
      </c>
    </row>
    <row r="52" ht="13.5" customHeight="1">
      <c r="A52" s="11">
        <v>44631.0</v>
      </c>
      <c r="B52" s="2" t="s">
        <v>271</v>
      </c>
      <c r="C52" s="2" t="s">
        <v>272</v>
      </c>
      <c r="D52" s="29" t="s">
        <v>273</v>
      </c>
      <c r="E52" s="2" t="s">
        <v>274</v>
      </c>
      <c r="F52" s="11" t="s">
        <v>275</v>
      </c>
      <c r="G52" s="11" t="s">
        <v>6</v>
      </c>
      <c r="H52" s="5">
        <v>105000.0</v>
      </c>
      <c r="I52" s="5">
        <v>105000.0</v>
      </c>
      <c r="J52" s="6">
        <v>0.0</v>
      </c>
      <c r="K52" s="6">
        <v>0.0</v>
      </c>
      <c r="L52" s="6">
        <v>0.0</v>
      </c>
      <c r="M52" s="6">
        <v>0.0</v>
      </c>
      <c r="N52" s="6">
        <v>0.0</v>
      </c>
      <c r="O52" s="6">
        <v>0.0</v>
      </c>
      <c r="P52" s="6">
        <f t="shared" ref="P52:R52" si="407">+J52+M52</f>
        <v>0</v>
      </c>
      <c r="Q52" s="6">
        <f t="shared" si="407"/>
        <v>0</v>
      </c>
      <c r="R52" s="6">
        <f t="shared" si="407"/>
        <v>0</v>
      </c>
      <c r="S52" s="6">
        <v>0.0</v>
      </c>
      <c r="T52" s="6">
        <v>0.0</v>
      </c>
      <c r="U52" s="6">
        <v>0.0</v>
      </c>
      <c r="V52" s="5">
        <v>105000.0</v>
      </c>
      <c r="W52" s="5">
        <v>105000.0</v>
      </c>
      <c r="X52" s="6">
        <v>0.0</v>
      </c>
      <c r="Y52" s="6">
        <v>0.0</v>
      </c>
      <c r="Z52" s="6">
        <v>0.0</v>
      </c>
      <c r="AA52" s="6">
        <v>0.0</v>
      </c>
      <c r="AB52" s="6">
        <v>0.0</v>
      </c>
      <c r="AC52" s="6">
        <v>0.0</v>
      </c>
      <c r="AD52" s="6">
        <v>0.0</v>
      </c>
      <c r="AE52" s="6">
        <f t="shared" ref="AE52:AG52" si="408">+Y52+AB52+S52+V52</f>
        <v>105000</v>
      </c>
      <c r="AF52" s="6">
        <f t="shared" si="408"/>
        <v>105000</v>
      </c>
      <c r="AG52" s="6">
        <f t="shared" si="408"/>
        <v>0</v>
      </c>
      <c r="AH52" s="6">
        <v>0.0</v>
      </c>
      <c r="AI52" s="6">
        <v>0.0</v>
      </c>
      <c r="AJ52" s="6">
        <v>0.0</v>
      </c>
      <c r="AK52" s="6">
        <v>0.0</v>
      </c>
      <c r="AL52" s="6">
        <v>0.0</v>
      </c>
      <c r="AM52" s="6">
        <v>0.0</v>
      </c>
      <c r="AN52" s="6">
        <v>0.0</v>
      </c>
      <c r="AO52" s="6">
        <v>0.0</v>
      </c>
      <c r="AP52" s="6">
        <v>60000.0</v>
      </c>
      <c r="AQ52" s="6">
        <v>0.0</v>
      </c>
      <c r="AR52" s="6">
        <v>0.0</v>
      </c>
      <c r="AS52" s="6">
        <v>45000.0</v>
      </c>
      <c r="AT52" s="6">
        <f t="shared" ref="AT52:AV52" si="409">+AN52+AQ52+AH52+AK52</f>
        <v>0</v>
      </c>
      <c r="AU52" s="6">
        <f t="shared" si="409"/>
        <v>0</v>
      </c>
      <c r="AV52" s="6">
        <f t="shared" si="409"/>
        <v>105000</v>
      </c>
      <c r="AW52" s="6">
        <v>0.0</v>
      </c>
      <c r="AX52" s="6">
        <v>0.0</v>
      </c>
      <c r="AY52" s="6">
        <v>0.0</v>
      </c>
      <c r="AZ52" s="6">
        <v>0.0</v>
      </c>
      <c r="BA52" s="6">
        <v>0.0</v>
      </c>
      <c r="BB52" s="6">
        <v>0.0</v>
      </c>
      <c r="BC52" s="6">
        <v>0.0</v>
      </c>
      <c r="BD52" s="6">
        <v>0.0</v>
      </c>
      <c r="BE52" s="6">
        <v>0.0</v>
      </c>
      <c r="BF52" s="6">
        <v>0.0</v>
      </c>
      <c r="BG52" s="6">
        <v>0.0</v>
      </c>
      <c r="BH52" s="6">
        <v>0.0</v>
      </c>
      <c r="BI52" s="6">
        <f t="shared" ref="BI52:BK52" si="410">+BC52+BF52+AW52+AZ52</f>
        <v>0</v>
      </c>
      <c r="BJ52" s="6">
        <f t="shared" si="410"/>
        <v>0</v>
      </c>
      <c r="BK52" s="6">
        <f t="shared" si="410"/>
        <v>0</v>
      </c>
      <c r="BL52" s="6">
        <v>0.0</v>
      </c>
      <c r="BM52" s="6">
        <v>0.0</v>
      </c>
      <c r="BN52" s="6">
        <v>0.0</v>
      </c>
      <c r="BO52" s="6">
        <v>0.0</v>
      </c>
      <c r="BP52" s="6">
        <v>0.0</v>
      </c>
      <c r="BQ52" s="6">
        <v>0.0</v>
      </c>
      <c r="BR52" s="6">
        <v>0.0</v>
      </c>
      <c r="BS52" s="6">
        <v>0.0</v>
      </c>
      <c r="BT52" s="6">
        <v>0.0</v>
      </c>
      <c r="BU52" s="6" t="str">
        <f t="shared" ref="BU52:BW52" si="411">+BO52+BR52+#REF!+BL52</f>
        <v>#REF!</v>
      </c>
      <c r="BV52" s="6" t="str">
        <f t="shared" si="411"/>
        <v>#REF!</v>
      </c>
      <c r="BW52" s="6" t="str">
        <f t="shared" si="411"/>
        <v>#REF!</v>
      </c>
      <c r="BX52" s="6">
        <v>0.0</v>
      </c>
      <c r="BY52" s="6">
        <v>0.0</v>
      </c>
      <c r="BZ52" s="6">
        <v>0.0</v>
      </c>
      <c r="CA52" s="6">
        <v>0.0</v>
      </c>
      <c r="CB52" s="6">
        <v>0.0</v>
      </c>
      <c r="CC52" s="6">
        <v>0.0</v>
      </c>
      <c r="CD52" s="6">
        <v>0.0</v>
      </c>
      <c r="CE52" s="6">
        <v>0.0</v>
      </c>
      <c r="CF52" s="6">
        <v>0.0</v>
      </c>
      <c r="CG52" s="6" t="str">
        <f t="shared" ref="CG52:CI52" si="412">+CA52+CD52+BX52+#REF!</f>
        <v>#REF!</v>
      </c>
      <c r="CH52" s="6" t="str">
        <f t="shared" si="412"/>
        <v>#REF!</v>
      </c>
      <c r="CI52" s="6" t="str">
        <f t="shared" si="412"/>
        <v>#REF!</v>
      </c>
      <c r="CJ52" s="6">
        <v>0.0</v>
      </c>
      <c r="CK52" s="6">
        <v>0.0</v>
      </c>
      <c r="CL52" s="6">
        <v>0.0</v>
      </c>
      <c r="CM52" s="6">
        <v>0.0</v>
      </c>
      <c r="CN52" s="6">
        <v>0.0</v>
      </c>
      <c r="CO52" s="6">
        <v>0.0</v>
      </c>
      <c r="CP52" s="6">
        <v>0.0</v>
      </c>
      <c r="CQ52" s="6">
        <v>0.0</v>
      </c>
      <c r="CR52" s="6">
        <v>0.0</v>
      </c>
      <c r="CS52" s="6">
        <v>0.0</v>
      </c>
      <c r="CT52" s="6">
        <v>0.0</v>
      </c>
      <c r="CU52" s="6">
        <v>0.0</v>
      </c>
      <c r="CV52" s="6">
        <f t="shared" ref="CV52:CX52" si="413">+CP52+CS52+CJ52+CM52</f>
        <v>0</v>
      </c>
      <c r="CW52" s="6">
        <f t="shared" si="413"/>
        <v>0</v>
      </c>
      <c r="CX52" s="6">
        <f t="shared" si="413"/>
        <v>0</v>
      </c>
      <c r="CY52" s="6">
        <v>0.0</v>
      </c>
      <c r="CZ52" s="6">
        <v>0.0</v>
      </c>
      <c r="DA52" s="6">
        <v>0.0</v>
      </c>
      <c r="DB52" s="6">
        <v>0.0</v>
      </c>
      <c r="DC52" s="6">
        <v>0.0</v>
      </c>
      <c r="DD52" s="6">
        <v>0.0</v>
      </c>
      <c r="DE52" s="6">
        <v>0.0</v>
      </c>
      <c r="DF52" s="6">
        <v>0.0</v>
      </c>
      <c r="DG52" s="6">
        <v>0.0</v>
      </c>
      <c r="DH52" s="6">
        <v>0.0</v>
      </c>
      <c r="DI52" s="6">
        <v>0.0</v>
      </c>
      <c r="DJ52" s="6">
        <v>0.0</v>
      </c>
      <c r="DK52" s="6">
        <f t="shared" ref="DK52:DM52" si="414">+DE52+DH52+CY52+DB52</f>
        <v>0</v>
      </c>
      <c r="DL52" s="6">
        <f t="shared" si="414"/>
        <v>0</v>
      </c>
      <c r="DM52" s="6">
        <f t="shared" si="414"/>
        <v>0</v>
      </c>
      <c r="DN52" s="6" t="str">
        <f t="shared" ref="DN52:DP52" si="415">+P52+AE52+AT52+BI52+BU52+CG52+CV52</f>
        <v>#REF!</v>
      </c>
      <c r="DO52" s="6" t="str">
        <f t="shared" si="415"/>
        <v>#REF!</v>
      </c>
      <c r="DP52" s="6" t="str">
        <f t="shared" si="415"/>
        <v>#REF!</v>
      </c>
      <c r="DQ52" s="6" t="str">
        <f t="shared" si="19"/>
        <v>#REF!</v>
      </c>
    </row>
    <row r="53" ht="13.5" customHeight="1">
      <c r="A53" s="11">
        <v>44631.0</v>
      </c>
      <c r="B53" s="2" t="s">
        <v>271</v>
      </c>
      <c r="C53" s="2" t="s">
        <v>272</v>
      </c>
      <c r="D53" s="29" t="s">
        <v>273</v>
      </c>
      <c r="E53" s="2" t="s">
        <v>274</v>
      </c>
      <c r="F53" s="11" t="s">
        <v>275</v>
      </c>
      <c r="G53" s="11" t="s">
        <v>6</v>
      </c>
      <c r="H53" s="5">
        <v>8400.0</v>
      </c>
      <c r="I53" s="5">
        <v>8400.0</v>
      </c>
      <c r="J53" s="6">
        <v>0.0</v>
      </c>
      <c r="K53" s="6">
        <v>0.0</v>
      </c>
      <c r="L53" s="6">
        <v>0.0</v>
      </c>
      <c r="M53" s="6">
        <v>0.0</v>
      </c>
      <c r="N53" s="6">
        <v>0.0</v>
      </c>
      <c r="O53" s="6">
        <v>0.0</v>
      </c>
      <c r="P53" s="6">
        <f t="shared" ref="P53:R53" si="416">+J53+M53</f>
        <v>0</v>
      </c>
      <c r="Q53" s="6">
        <f t="shared" si="416"/>
        <v>0</v>
      </c>
      <c r="R53" s="6">
        <f t="shared" si="416"/>
        <v>0</v>
      </c>
      <c r="S53" s="6">
        <v>0.0</v>
      </c>
      <c r="T53" s="6">
        <v>0.0</v>
      </c>
      <c r="U53" s="6">
        <v>0.0</v>
      </c>
      <c r="V53" s="5">
        <v>8400.0</v>
      </c>
      <c r="W53" s="5">
        <v>8400.0</v>
      </c>
      <c r="X53" s="6">
        <v>0.0</v>
      </c>
      <c r="Y53" s="6">
        <v>0.0</v>
      </c>
      <c r="Z53" s="6">
        <v>0.0</v>
      </c>
      <c r="AA53" s="6">
        <v>0.0</v>
      </c>
      <c r="AB53" s="6">
        <v>0.0</v>
      </c>
      <c r="AC53" s="6">
        <v>0.0</v>
      </c>
      <c r="AD53" s="6">
        <v>0.0</v>
      </c>
      <c r="AE53" s="6">
        <f t="shared" ref="AE53:AG53" si="417">+Y53+AB53+S53+V53</f>
        <v>8400</v>
      </c>
      <c r="AF53" s="6">
        <f t="shared" si="417"/>
        <v>8400</v>
      </c>
      <c r="AG53" s="6">
        <f t="shared" si="417"/>
        <v>0</v>
      </c>
      <c r="AH53" s="6">
        <v>0.0</v>
      </c>
      <c r="AI53" s="6">
        <v>0.0</v>
      </c>
      <c r="AJ53" s="6">
        <v>0.0</v>
      </c>
      <c r="AK53" s="6">
        <v>0.0</v>
      </c>
      <c r="AL53" s="6">
        <v>0.0</v>
      </c>
      <c r="AM53" s="6">
        <v>0.0</v>
      </c>
      <c r="AN53" s="6">
        <v>0.0</v>
      </c>
      <c r="AO53" s="6">
        <v>0.0</v>
      </c>
      <c r="AP53" s="6">
        <v>0.0</v>
      </c>
      <c r="AQ53" s="6">
        <v>0.0</v>
      </c>
      <c r="AR53" s="6">
        <v>0.0</v>
      </c>
      <c r="AS53" s="6">
        <v>8400.0</v>
      </c>
      <c r="AT53" s="6">
        <f t="shared" ref="AT53:AV53" si="418">+AN53+AQ53+AH53+AK53</f>
        <v>0</v>
      </c>
      <c r="AU53" s="6">
        <f t="shared" si="418"/>
        <v>0</v>
      </c>
      <c r="AV53" s="6">
        <f t="shared" si="418"/>
        <v>8400</v>
      </c>
      <c r="AW53" s="6">
        <v>0.0</v>
      </c>
      <c r="AX53" s="6">
        <v>0.0</v>
      </c>
      <c r="AY53" s="6">
        <v>0.0</v>
      </c>
      <c r="AZ53" s="6">
        <v>0.0</v>
      </c>
      <c r="BA53" s="6">
        <v>0.0</v>
      </c>
      <c r="BB53" s="6">
        <v>0.0</v>
      </c>
      <c r="BC53" s="6">
        <v>0.0</v>
      </c>
      <c r="BD53" s="6">
        <v>0.0</v>
      </c>
      <c r="BE53" s="6">
        <v>0.0</v>
      </c>
      <c r="BF53" s="6">
        <v>0.0</v>
      </c>
      <c r="BG53" s="6">
        <v>0.0</v>
      </c>
      <c r="BH53" s="6">
        <v>0.0</v>
      </c>
      <c r="BI53" s="6">
        <f t="shared" ref="BI53:BK53" si="419">+BC53+BF53+AW53+AZ53</f>
        <v>0</v>
      </c>
      <c r="BJ53" s="6">
        <f t="shared" si="419"/>
        <v>0</v>
      </c>
      <c r="BK53" s="6">
        <f t="shared" si="419"/>
        <v>0</v>
      </c>
      <c r="BL53" s="6">
        <v>0.0</v>
      </c>
      <c r="BM53" s="6">
        <v>0.0</v>
      </c>
      <c r="BN53" s="6">
        <v>0.0</v>
      </c>
      <c r="BO53" s="6">
        <v>0.0</v>
      </c>
      <c r="BP53" s="6">
        <v>0.0</v>
      </c>
      <c r="BQ53" s="6">
        <v>0.0</v>
      </c>
      <c r="BR53" s="6">
        <v>0.0</v>
      </c>
      <c r="BS53" s="6">
        <v>0.0</v>
      </c>
      <c r="BT53" s="6">
        <v>0.0</v>
      </c>
      <c r="BU53" s="6" t="str">
        <f t="shared" ref="BU53:BW53" si="420">+BO53+BR53+#REF!+BL53</f>
        <v>#REF!</v>
      </c>
      <c r="BV53" s="6" t="str">
        <f t="shared" si="420"/>
        <v>#REF!</v>
      </c>
      <c r="BW53" s="6" t="str">
        <f t="shared" si="420"/>
        <v>#REF!</v>
      </c>
      <c r="BX53" s="6">
        <v>0.0</v>
      </c>
      <c r="BY53" s="6">
        <v>0.0</v>
      </c>
      <c r="BZ53" s="6">
        <v>0.0</v>
      </c>
      <c r="CA53" s="6">
        <v>0.0</v>
      </c>
      <c r="CB53" s="6">
        <v>0.0</v>
      </c>
      <c r="CC53" s="6">
        <v>0.0</v>
      </c>
      <c r="CD53" s="6">
        <v>0.0</v>
      </c>
      <c r="CE53" s="6">
        <v>0.0</v>
      </c>
      <c r="CF53" s="6">
        <v>0.0</v>
      </c>
      <c r="CG53" s="6" t="str">
        <f t="shared" ref="CG53:CI53" si="421">+CA53+CD53+BX53+#REF!</f>
        <v>#REF!</v>
      </c>
      <c r="CH53" s="6" t="str">
        <f t="shared" si="421"/>
        <v>#REF!</v>
      </c>
      <c r="CI53" s="6" t="str">
        <f t="shared" si="421"/>
        <v>#REF!</v>
      </c>
      <c r="CJ53" s="6">
        <v>0.0</v>
      </c>
      <c r="CK53" s="6">
        <v>0.0</v>
      </c>
      <c r="CL53" s="6">
        <v>0.0</v>
      </c>
      <c r="CM53" s="6">
        <v>0.0</v>
      </c>
      <c r="CN53" s="6">
        <v>0.0</v>
      </c>
      <c r="CO53" s="6">
        <v>0.0</v>
      </c>
      <c r="CP53" s="6">
        <v>0.0</v>
      </c>
      <c r="CQ53" s="6">
        <v>0.0</v>
      </c>
      <c r="CR53" s="6">
        <v>0.0</v>
      </c>
      <c r="CS53" s="6">
        <v>0.0</v>
      </c>
      <c r="CT53" s="6">
        <v>0.0</v>
      </c>
      <c r="CU53" s="6">
        <v>0.0</v>
      </c>
      <c r="CV53" s="6">
        <f t="shared" ref="CV53:CX53" si="422">+CP53+CS53+CJ53+CM53</f>
        <v>0</v>
      </c>
      <c r="CW53" s="6">
        <f t="shared" si="422"/>
        <v>0</v>
      </c>
      <c r="CX53" s="6">
        <f t="shared" si="422"/>
        <v>0</v>
      </c>
      <c r="CY53" s="6">
        <v>0.0</v>
      </c>
      <c r="CZ53" s="6">
        <v>0.0</v>
      </c>
      <c r="DA53" s="6">
        <v>0.0</v>
      </c>
      <c r="DB53" s="6">
        <v>0.0</v>
      </c>
      <c r="DC53" s="6">
        <v>0.0</v>
      </c>
      <c r="DD53" s="6">
        <v>0.0</v>
      </c>
      <c r="DE53" s="6">
        <v>0.0</v>
      </c>
      <c r="DF53" s="6">
        <v>0.0</v>
      </c>
      <c r="DG53" s="6">
        <v>0.0</v>
      </c>
      <c r="DH53" s="6">
        <v>0.0</v>
      </c>
      <c r="DI53" s="6">
        <v>0.0</v>
      </c>
      <c r="DJ53" s="6">
        <v>0.0</v>
      </c>
      <c r="DK53" s="6">
        <f t="shared" ref="DK53:DM53" si="423">+DE53+DH53+CY53+DB53</f>
        <v>0</v>
      </c>
      <c r="DL53" s="6">
        <f t="shared" si="423"/>
        <v>0</v>
      </c>
      <c r="DM53" s="6">
        <f t="shared" si="423"/>
        <v>0</v>
      </c>
      <c r="DN53" s="6" t="str">
        <f t="shared" ref="DN53:DP53" si="424">+P53+AE53+AT53+BI53+BU53+CG53+CV53</f>
        <v>#REF!</v>
      </c>
      <c r="DO53" s="6" t="str">
        <f t="shared" si="424"/>
        <v>#REF!</v>
      </c>
      <c r="DP53" s="6" t="str">
        <f t="shared" si="424"/>
        <v>#REF!</v>
      </c>
      <c r="DQ53" s="6" t="str">
        <f t="shared" si="19"/>
        <v>#REF!</v>
      </c>
    </row>
    <row r="54" ht="13.5" customHeight="1">
      <c r="A54" s="11">
        <v>44643.0</v>
      </c>
      <c r="B54" s="2" t="s">
        <v>276</v>
      </c>
      <c r="C54" s="2" t="s">
        <v>277</v>
      </c>
      <c r="D54" s="29" t="s">
        <v>278</v>
      </c>
      <c r="E54" s="2" t="s">
        <v>279</v>
      </c>
      <c r="F54" s="11" t="s">
        <v>280</v>
      </c>
      <c r="G54" s="11" t="s">
        <v>11</v>
      </c>
      <c r="H54" s="5">
        <v>1000000.0</v>
      </c>
      <c r="I54" s="5">
        <v>1000000.0</v>
      </c>
      <c r="J54" s="6">
        <v>0.0</v>
      </c>
      <c r="K54" s="6">
        <v>0.0</v>
      </c>
      <c r="L54" s="6">
        <v>0.0</v>
      </c>
      <c r="M54" s="6">
        <v>0.0</v>
      </c>
      <c r="N54" s="6">
        <v>0.0</v>
      </c>
      <c r="O54" s="6">
        <v>0.0</v>
      </c>
      <c r="P54" s="6">
        <f t="shared" ref="P54:R54" si="425">+J54+M54</f>
        <v>0</v>
      </c>
      <c r="Q54" s="6">
        <f t="shared" si="425"/>
        <v>0</v>
      </c>
      <c r="R54" s="6">
        <f t="shared" si="425"/>
        <v>0</v>
      </c>
      <c r="S54" s="6">
        <v>0.0</v>
      </c>
      <c r="T54" s="6">
        <v>0.0</v>
      </c>
      <c r="U54" s="6">
        <v>0.0</v>
      </c>
      <c r="V54" s="6">
        <v>0.0</v>
      </c>
      <c r="W54" s="6">
        <v>0.0</v>
      </c>
      <c r="X54" s="6">
        <v>0.0</v>
      </c>
      <c r="Y54" s="6">
        <v>0.0</v>
      </c>
      <c r="Z54" s="6">
        <v>0.0</v>
      </c>
      <c r="AA54" s="6">
        <v>0.0</v>
      </c>
      <c r="AB54" s="6">
        <v>0.0</v>
      </c>
      <c r="AC54" s="6">
        <v>0.0</v>
      </c>
      <c r="AD54" s="6">
        <v>0.0</v>
      </c>
      <c r="AE54" s="6">
        <f t="shared" ref="AE54:AG54" si="426">+Y54+AB54+S54+V54</f>
        <v>0</v>
      </c>
      <c r="AF54" s="6">
        <f t="shared" si="426"/>
        <v>0</v>
      </c>
      <c r="AG54" s="6">
        <f t="shared" si="426"/>
        <v>0</v>
      </c>
      <c r="AH54" s="6">
        <v>0.0</v>
      </c>
      <c r="AI54" s="6">
        <v>0.0</v>
      </c>
      <c r="AJ54" s="6">
        <v>0.0</v>
      </c>
      <c r="AK54" s="6">
        <v>0.0</v>
      </c>
      <c r="AL54" s="6">
        <v>0.0</v>
      </c>
      <c r="AM54" s="6">
        <v>0.0</v>
      </c>
      <c r="AN54" s="5">
        <v>1000000.0</v>
      </c>
      <c r="AO54" s="5">
        <v>1000000.0</v>
      </c>
      <c r="AP54" s="6">
        <v>0.0</v>
      </c>
      <c r="AQ54" s="6">
        <v>0.0</v>
      </c>
      <c r="AR54" s="6">
        <v>0.0</v>
      </c>
      <c r="AS54" s="6">
        <v>500000.0</v>
      </c>
      <c r="AT54" s="6">
        <f t="shared" ref="AT54:AV54" si="427">+AN54+AQ54+AH54+AK54</f>
        <v>1000000</v>
      </c>
      <c r="AU54" s="6">
        <f t="shared" si="427"/>
        <v>1000000</v>
      </c>
      <c r="AV54" s="6">
        <f t="shared" si="427"/>
        <v>500000</v>
      </c>
      <c r="AW54" s="6">
        <v>0.0</v>
      </c>
      <c r="AX54" s="6">
        <v>0.0</v>
      </c>
      <c r="AY54" s="6">
        <v>300000.0</v>
      </c>
      <c r="AZ54" s="6">
        <v>0.0</v>
      </c>
      <c r="BA54" s="6">
        <v>0.0</v>
      </c>
      <c r="BB54" s="6">
        <v>200000.0</v>
      </c>
      <c r="BC54" s="6">
        <v>0.0</v>
      </c>
      <c r="BD54" s="6">
        <v>0.0</v>
      </c>
      <c r="BE54" s="6">
        <v>0.0</v>
      </c>
      <c r="BF54" s="6">
        <v>0.0</v>
      </c>
      <c r="BG54" s="6">
        <v>0.0</v>
      </c>
      <c r="BH54" s="6">
        <v>0.0</v>
      </c>
      <c r="BI54" s="6">
        <f t="shared" ref="BI54:BK54" si="428">+BC54+BF54+AW54+AZ54</f>
        <v>0</v>
      </c>
      <c r="BJ54" s="6">
        <f t="shared" si="428"/>
        <v>0</v>
      </c>
      <c r="BK54" s="6">
        <f t="shared" si="428"/>
        <v>500000</v>
      </c>
      <c r="BL54" s="6">
        <v>0.0</v>
      </c>
      <c r="BM54" s="6">
        <v>0.0</v>
      </c>
      <c r="BN54" s="6">
        <v>0.0</v>
      </c>
      <c r="BO54" s="6">
        <v>0.0</v>
      </c>
      <c r="BP54" s="6">
        <v>0.0</v>
      </c>
      <c r="BQ54" s="6">
        <v>0.0</v>
      </c>
      <c r="BR54" s="6">
        <v>0.0</v>
      </c>
      <c r="BS54" s="6">
        <v>0.0</v>
      </c>
      <c r="BT54" s="6">
        <v>0.0</v>
      </c>
      <c r="BU54" s="6" t="str">
        <f t="shared" ref="BU54:BW54" si="429">+BO54+BR54+#REF!+BL54</f>
        <v>#REF!</v>
      </c>
      <c r="BV54" s="6" t="str">
        <f t="shared" si="429"/>
        <v>#REF!</v>
      </c>
      <c r="BW54" s="6" t="str">
        <f t="shared" si="429"/>
        <v>#REF!</v>
      </c>
      <c r="BX54" s="6">
        <v>0.0</v>
      </c>
      <c r="BY54" s="6">
        <v>0.0</v>
      </c>
      <c r="BZ54" s="6">
        <v>0.0</v>
      </c>
      <c r="CA54" s="6">
        <v>0.0</v>
      </c>
      <c r="CB54" s="6">
        <v>0.0</v>
      </c>
      <c r="CC54" s="6">
        <v>0.0</v>
      </c>
      <c r="CD54" s="6">
        <v>0.0</v>
      </c>
      <c r="CE54" s="6">
        <v>0.0</v>
      </c>
      <c r="CF54" s="6">
        <v>0.0</v>
      </c>
      <c r="CG54" s="6" t="str">
        <f t="shared" ref="CG54:CI54" si="430">+CA54+CD54+BX54+#REF!</f>
        <v>#REF!</v>
      </c>
      <c r="CH54" s="6" t="str">
        <f t="shared" si="430"/>
        <v>#REF!</v>
      </c>
      <c r="CI54" s="6" t="str">
        <f t="shared" si="430"/>
        <v>#REF!</v>
      </c>
      <c r="CJ54" s="6">
        <v>0.0</v>
      </c>
      <c r="CK54" s="6">
        <v>0.0</v>
      </c>
      <c r="CL54" s="6">
        <v>0.0</v>
      </c>
      <c r="CM54" s="6">
        <v>0.0</v>
      </c>
      <c r="CN54" s="6">
        <v>0.0</v>
      </c>
      <c r="CO54" s="6">
        <v>0.0</v>
      </c>
      <c r="CP54" s="6">
        <v>0.0</v>
      </c>
      <c r="CQ54" s="6">
        <v>0.0</v>
      </c>
      <c r="CR54" s="6">
        <v>0.0</v>
      </c>
      <c r="CS54" s="6">
        <v>0.0</v>
      </c>
      <c r="CT54" s="6">
        <v>0.0</v>
      </c>
      <c r="CU54" s="6">
        <v>0.0</v>
      </c>
      <c r="CV54" s="6">
        <f t="shared" ref="CV54:CX54" si="431">+CP54+CS54+CJ54+CM54</f>
        <v>0</v>
      </c>
      <c r="CW54" s="6">
        <f t="shared" si="431"/>
        <v>0</v>
      </c>
      <c r="CX54" s="6">
        <f t="shared" si="431"/>
        <v>0</v>
      </c>
      <c r="CY54" s="6">
        <v>0.0</v>
      </c>
      <c r="CZ54" s="6">
        <v>0.0</v>
      </c>
      <c r="DA54" s="6">
        <v>0.0</v>
      </c>
      <c r="DB54" s="6">
        <v>0.0</v>
      </c>
      <c r="DC54" s="6">
        <v>0.0</v>
      </c>
      <c r="DD54" s="6">
        <v>0.0</v>
      </c>
      <c r="DE54" s="6">
        <v>0.0</v>
      </c>
      <c r="DF54" s="6">
        <v>0.0</v>
      </c>
      <c r="DG54" s="6">
        <v>0.0</v>
      </c>
      <c r="DH54" s="6">
        <v>0.0</v>
      </c>
      <c r="DI54" s="6">
        <v>0.0</v>
      </c>
      <c r="DJ54" s="6">
        <v>0.0</v>
      </c>
      <c r="DK54" s="6">
        <f t="shared" ref="DK54:DM54" si="432">+DE54+DH54+CY54+DB54</f>
        <v>0</v>
      </c>
      <c r="DL54" s="6">
        <f t="shared" si="432"/>
        <v>0</v>
      </c>
      <c r="DM54" s="6">
        <f t="shared" si="432"/>
        <v>0</v>
      </c>
      <c r="DN54" s="6" t="str">
        <f t="shared" ref="DN54:DP54" si="433">+P54+AE54+AT54+BI54+BU54+CG54+CV54</f>
        <v>#REF!</v>
      </c>
      <c r="DO54" s="6" t="str">
        <f t="shared" si="433"/>
        <v>#REF!</v>
      </c>
      <c r="DP54" s="6" t="str">
        <f t="shared" si="433"/>
        <v>#REF!</v>
      </c>
      <c r="DQ54" s="6" t="str">
        <f t="shared" si="19"/>
        <v>#REF!</v>
      </c>
    </row>
    <row r="55" ht="13.5" customHeight="1">
      <c r="A55" s="11">
        <v>44679.0</v>
      </c>
      <c r="B55" s="2" t="s">
        <v>281</v>
      </c>
      <c r="C55" s="2" t="s">
        <v>282</v>
      </c>
      <c r="D55" s="29" t="s">
        <v>283</v>
      </c>
      <c r="E55" s="2" t="s">
        <v>284</v>
      </c>
      <c r="F55" s="11" t="s">
        <v>285</v>
      </c>
      <c r="G55" s="11" t="s">
        <v>11</v>
      </c>
      <c r="H55" s="5">
        <v>903000.0</v>
      </c>
      <c r="I55" s="5">
        <v>903000.0</v>
      </c>
      <c r="J55" s="6">
        <v>0.0</v>
      </c>
      <c r="K55" s="6">
        <v>0.0</v>
      </c>
      <c r="L55" s="6">
        <v>0.0</v>
      </c>
      <c r="M55" s="6">
        <v>0.0</v>
      </c>
      <c r="N55" s="6">
        <v>0.0</v>
      </c>
      <c r="O55" s="6">
        <v>0.0</v>
      </c>
      <c r="P55" s="6">
        <f t="shared" ref="P55:R55" si="434">+J55+M55</f>
        <v>0</v>
      </c>
      <c r="Q55" s="6">
        <f t="shared" si="434"/>
        <v>0</v>
      </c>
      <c r="R55" s="6">
        <f t="shared" si="434"/>
        <v>0</v>
      </c>
      <c r="S55" s="6">
        <v>0.0</v>
      </c>
      <c r="T55" s="6">
        <v>0.0</v>
      </c>
      <c r="U55" s="6">
        <v>0.0</v>
      </c>
      <c r="V55" s="6">
        <v>0.0</v>
      </c>
      <c r="W55" s="6">
        <v>0.0</v>
      </c>
      <c r="X55" s="6">
        <v>0.0</v>
      </c>
      <c r="Y55" s="6">
        <v>0.0</v>
      </c>
      <c r="Z55" s="6">
        <v>0.0</v>
      </c>
      <c r="AA55" s="6">
        <v>0.0</v>
      </c>
      <c r="AB55" s="6">
        <v>0.0</v>
      </c>
      <c r="AC55" s="6">
        <v>0.0</v>
      </c>
      <c r="AD55" s="6">
        <v>0.0</v>
      </c>
      <c r="AE55" s="6">
        <f t="shared" ref="AE55:AG55" si="435">+Y55+AB55+S55+V55</f>
        <v>0</v>
      </c>
      <c r="AF55" s="6">
        <f t="shared" si="435"/>
        <v>0</v>
      </c>
      <c r="AG55" s="6">
        <f t="shared" si="435"/>
        <v>0</v>
      </c>
      <c r="AH55" s="6">
        <v>0.0</v>
      </c>
      <c r="AI55" s="6">
        <v>0.0</v>
      </c>
      <c r="AJ55" s="6">
        <v>0.0</v>
      </c>
      <c r="AK55" s="6">
        <v>0.0</v>
      </c>
      <c r="AL55" s="6">
        <v>0.0</v>
      </c>
      <c r="AM55" s="6">
        <v>0.0</v>
      </c>
      <c r="AN55" s="5">
        <v>903000.0</v>
      </c>
      <c r="AO55" s="5">
        <v>903000.0</v>
      </c>
      <c r="AP55" s="6">
        <v>0.0</v>
      </c>
      <c r="AQ55" s="6">
        <v>0.0</v>
      </c>
      <c r="AR55" s="6">
        <v>0.0</v>
      </c>
      <c r="AS55" s="6">
        <v>800000.0</v>
      </c>
      <c r="AT55" s="6">
        <f t="shared" ref="AT55:AV55" si="436">+AN55+AQ55+AH55+AK55</f>
        <v>903000</v>
      </c>
      <c r="AU55" s="6">
        <f t="shared" si="436"/>
        <v>903000</v>
      </c>
      <c r="AV55" s="6">
        <f t="shared" si="436"/>
        <v>800000</v>
      </c>
      <c r="AW55" s="6">
        <v>0.0</v>
      </c>
      <c r="AX55" s="6">
        <v>0.0</v>
      </c>
      <c r="AY55" s="6">
        <v>25750.0</v>
      </c>
      <c r="AZ55" s="6">
        <v>0.0</v>
      </c>
      <c r="BA55" s="6">
        <v>0.0</v>
      </c>
      <c r="BB55" s="6">
        <v>35000.0</v>
      </c>
      <c r="BC55" s="6">
        <v>0.0</v>
      </c>
      <c r="BD55" s="6">
        <v>0.0</v>
      </c>
      <c r="BE55" s="6">
        <v>42250.0</v>
      </c>
      <c r="BF55" s="6">
        <v>0.0</v>
      </c>
      <c r="BG55" s="6">
        <v>0.0</v>
      </c>
      <c r="BH55" s="6">
        <v>0.0</v>
      </c>
      <c r="BI55" s="6">
        <f t="shared" ref="BI55:BK55" si="437">+BC55+BF55+AW55+AZ55</f>
        <v>0</v>
      </c>
      <c r="BJ55" s="6">
        <f t="shared" si="437"/>
        <v>0</v>
      </c>
      <c r="BK55" s="6">
        <f t="shared" si="437"/>
        <v>103000</v>
      </c>
      <c r="BL55" s="6">
        <v>0.0</v>
      </c>
      <c r="BM55" s="6">
        <v>0.0</v>
      </c>
      <c r="BN55" s="6">
        <v>0.0</v>
      </c>
      <c r="BO55" s="6">
        <v>0.0</v>
      </c>
      <c r="BP55" s="6">
        <v>0.0</v>
      </c>
      <c r="BQ55" s="6">
        <v>0.0</v>
      </c>
      <c r="BR55" s="6">
        <v>0.0</v>
      </c>
      <c r="BS55" s="6">
        <v>0.0</v>
      </c>
      <c r="BT55" s="6">
        <v>0.0</v>
      </c>
      <c r="BU55" s="6" t="str">
        <f t="shared" ref="BU55:BW55" si="438">+BO55+BR55+#REF!+BL55</f>
        <v>#REF!</v>
      </c>
      <c r="BV55" s="6" t="str">
        <f t="shared" si="438"/>
        <v>#REF!</v>
      </c>
      <c r="BW55" s="6" t="str">
        <f t="shared" si="438"/>
        <v>#REF!</v>
      </c>
      <c r="BX55" s="6">
        <v>0.0</v>
      </c>
      <c r="BY55" s="6">
        <v>0.0</v>
      </c>
      <c r="BZ55" s="6">
        <v>0.0</v>
      </c>
      <c r="CA55" s="6">
        <v>0.0</v>
      </c>
      <c r="CB55" s="6">
        <v>0.0</v>
      </c>
      <c r="CC55" s="6">
        <v>0.0</v>
      </c>
      <c r="CD55" s="6">
        <v>0.0</v>
      </c>
      <c r="CE55" s="6">
        <v>0.0</v>
      </c>
      <c r="CF55" s="6">
        <v>0.0</v>
      </c>
      <c r="CG55" s="6" t="str">
        <f t="shared" ref="CG55:CI55" si="439">+CA55+CD55+BX55+#REF!</f>
        <v>#REF!</v>
      </c>
      <c r="CH55" s="6" t="str">
        <f t="shared" si="439"/>
        <v>#REF!</v>
      </c>
      <c r="CI55" s="6" t="str">
        <f t="shared" si="439"/>
        <v>#REF!</v>
      </c>
      <c r="CJ55" s="6">
        <v>0.0</v>
      </c>
      <c r="CK55" s="6">
        <v>0.0</v>
      </c>
      <c r="CL55" s="6">
        <v>0.0</v>
      </c>
      <c r="CM55" s="6">
        <v>0.0</v>
      </c>
      <c r="CN55" s="6">
        <v>0.0</v>
      </c>
      <c r="CO55" s="6">
        <v>0.0</v>
      </c>
      <c r="CP55" s="6">
        <v>0.0</v>
      </c>
      <c r="CQ55" s="6">
        <v>0.0</v>
      </c>
      <c r="CR55" s="6">
        <v>0.0</v>
      </c>
      <c r="CS55" s="6">
        <v>0.0</v>
      </c>
      <c r="CT55" s="6">
        <v>0.0</v>
      </c>
      <c r="CU55" s="6">
        <v>0.0</v>
      </c>
      <c r="CV55" s="6">
        <f t="shared" ref="CV55:CX55" si="440">+CP55+CS55+CJ55+CM55</f>
        <v>0</v>
      </c>
      <c r="CW55" s="6">
        <f t="shared" si="440"/>
        <v>0</v>
      </c>
      <c r="CX55" s="6">
        <f t="shared" si="440"/>
        <v>0</v>
      </c>
      <c r="CY55" s="6">
        <v>0.0</v>
      </c>
      <c r="CZ55" s="6">
        <v>0.0</v>
      </c>
      <c r="DA55" s="6">
        <v>0.0</v>
      </c>
      <c r="DB55" s="6">
        <v>0.0</v>
      </c>
      <c r="DC55" s="6">
        <v>0.0</v>
      </c>
      <c r="DD55" s="6">
        <v>0.0</v>
      </c>
      <c r="DE55" s="6">
        <v>0.0</v>
      </c>
      <c r="DF55" s="6">
        <v>0.0</v>
      </c>
      <c r="DG55" s="6">
        <v>0.0</v>
      </c>
      <c r="DH55" s="6">
        <v>0.0</v>
      </c>
      <c r="DI55" s="6">
        <v>0.0</v>
      </c>
      <c r="DJ55" s="6">
        <v>0.0</v>
      </c>
      <c r="DK55" s="6">
        <f t="shared" ref="DK55:DM55" si="441">+DE55+DH55+CY55+DB55</f>
        <v>0</v>
      </c>
      <c r="DL55" s="6">
        <f t="shared" si="441"/>
        <v>0</v>
      </c>
      <c r="DM55" s="6">
        <f t="shared" si="441"/>
        <v>0</v>
      </c>
      <c r="DN55" s="6" t="str">
        <f t="shared" ref="DN55:DP55" si="442">+P55+AE55+AT55+BI55+BU55+CG55+CV55</f>
        <v>#REF!</v>
      </c>
      <c r="DO55" s="6" t="str">
        <f t="shared" si="442"/>
        <v>#REF!</v>
      </c>
      <c r="DP55" s="6" t="str">
        <f t="shared" si="442"/>
        <v>#REF!</v>
      </c>
      <c r="DQ55" s="6" t="str">
        <f t="shared" si="19"/>
        <v>#REF!</v>
      </c>
    </row>
    <row r="56" ht="13.5" customHeight="1">
      <c r="A56" s="11">
        <v>44680.0</v>
      </c>
      <c r="B56" s="2" t="s">
        <v>286</v>
      </c>
      <c r="C56" s="2" t="s">
        <v>287</v>
      </c>
      <c r="D56" s="29" t="s">
        <v>288</v>
      </c>
      <c r="E56" s="2" t="s">
        <v>289</v>
      </c>
      <c r="F56" s="11" t="s">
        <v>290</v>
      </c>
      <c r="G56" s="11" t="s">
        <v>11</v>
      </c>
      <c r="H56" s="5">
        <v>700000.0</v>
      </c>
      <c r="I56" s="5">
        <v>700000.0</v>
      </c>
      <c r="J56" s="6">
        <v>0.0</v>
      </c>
      <c r="K56" s="6">
        <v>0.0</v>
      </c>
      <c r="L56" s="6">
        <v>0.0</v>
      </c>
      <c r="M56" s="6">
        <v>0.0</v>
      </c>
      <c r="N56" s="6">
        <v>0.0</v>
      </c>
      <c r="O56" s="6">
        <v>0.0</v>
      </c>
      <c r="P56" s="6">
        <f t="shared" ref="P56:R56" si="443">+J56+M56</f>
        <v>0</v>
      </c>
      <c r="Q56" s="6">
        <f t="shared" si="443"/>
        <v>0</v>
      </c>
      <c r="R56" s="6">
        <f t="shared" si="443"/>
        <v>0</v>
      </c>
      <c r="S56" s="6">
        <v>0.0</v>
      </c>
      <c r="T56" s="6">
        <v>0.0</v>
      </c>
      <c r="U56" s="6">
        <v>0.0</v>
      </c>
      <c r="V56" s="6">
        <v>0.0</v>
      </c>
      <c r="W56" s="6">
        <v>0.0</v>
      </c>
      <c r="X56" s="6">
        <v>0.0</v>
      </c>
      <c r="Y56" s="6">
        <v>0.0</v>
      </c>
      <c r="Z56" s="6">
        <v>0.0</v>
      </c>
      <c r="AA56" s="6">
        <v>0.0</v>
      </c>
      <c r="AB56" s="6">
        <v>0.0</v>
      </c>
      <c r="AC56" s="6">
        <v>0.0</v>
      </c>
      <c r="AD56" s="6">
        <v>0.0</v>
      </c>
      <c r="AE56" s="6">
        <f t="shared" ref="AE56:AG56" si="444">+Y56+AB56+S56+V56</f>
        <v>0</v>
      </c>
      <c r="AF56" s="6">
        <f t="shared" si="444"/>
        <v>0</v>
      </c>
      <c r="AG56" s="6">
        <f t="shared" si="444"/>
        <v>0</v>
      </c>
      <c r="AH56" s="6">
        <v>0.0</v>
      </c>
      <c r="AI56" s="6">
        <v>0.0</v>
      </c>
      <c r="AJ56" s="6">
        <v>0.0</v>
      </c>
      <c r="AK56" s="6">
        <v>0.0</v>
      </c>
      <c r="AL56" s="6">
        <v>0.0</v>
      </c>
      <c r="AM56" s="6">
        <v>0.0</v>
      </c>
      <c r="AN56" s="5">
        <v>700000.0</v>
      </c>
      <c r="AO56" s="5">
        <v>700000.0</v>
      </c>
      <c r="AP56" s="6">
        <v>0.0</v>
      </c>
      <c r="AQ56" s="6">
        <v>0.0</v>
      </c>
      <c r="AR56" s="6">
        <v>0.0</v>
      </c>
      <c r="AS56" s="6">
        <v>600000.0</v>
      </c>
      <c r="AT56" s="6">
        <f t="shared" ref="AT56:AV56" si="445">+AN56+AQ56+AH56+AK56</f>
        <v>700000</v>
      </c>
      <c r="AU56" s="6">
        <f t="shared" si="445"/>
        <v>700000</v>
      </c>
      <c r="AV56" s="6">
        <f t="shared" si="445"/>
        <v>600000</v>
      </c>
      <c r="AW56" s="6">
        <v>0.0</v>
      </c>
      <c r="AX56" s="6">
        <v>0.0</v>
      </c>
      <c r="AY56" s="6">
        <v>100000.0</v>
      </c>
      <c r="AZ56" s="6">
        <v>0.0</v>
      </c>
      <c r="BA56" s="6">
        <v>0.0</v>
      </c>
      <c r="BB56" s="6">
        <v>0.0</v>
      </c>
      <c r="BC56" s="6">
        <v>0.0</v>
      </c>
      <c r="BD56" s="6">
        <v>0.0</v>
      </c>
      <c r="BE56" s="6">
        <v>0.0</v>
      </c>
      <c r="BF56" s="6">
        <v>0.0</v>
      </c>
      <c r="BG56" s="6">
        <v>0.0</v>
      </c>
      <c r="BH56" s="6">
        <v>0.0</v>
      </c>
      <c r="BI56" s="6">
        <f t="shared" ref="BI56:BK56" si="446">+BC56+BF56+AW56+AZ56</f>
        <v>0</v>
      </c>
      <c r="BJ56" s="6">
        <f t="shared" si="446"/>
        <v>0</v>
      </c>
      <c r="BK56" s="6">
        <f t="shared" si="446"/>
        <v>100000</v>
      </c>
      <c r="BL56" s="6">
        <v>0.0</v>
      </c>
      <c r="BM56" s="6">
        <v>0.0</v>
      </c>
      <c r="BN56" s="6">
        <v>0.0</v>
      </c>
      <c r="BO56" s="6">
        <v>0.0</v>
      </c>
      <c r="BP56" s="6">
        <v>0.0</v>
      </c>
      <c r="BQ56" s="6">
        <v>0.0</v>
      </c>
      <c r="BR56" s="6">
        <v>0.0</v>
      </c>
      <c r="BS56" s="6">
        <v>0.0</v>
      </c>
      <c r="BT56" s="6">
        <v>0.0</v>
      </c>
      <c r="BU56" s="6" t="str">
        <f t="shared" ref="BU56:BW56" si="447">+BO56+BR56+#REF!+BL56</f>
        <v>#REF!</v>
      </c>
      <c r="BV56" s="6" t="str">
        <f t="shared" si="447"/>
        <v>#REF!</v>
      </c>
      <c r="BW56" s="6" t="str">
        <f t="shared" si="447"/>
        <v>#REF!</v>
      </c>
      <c r="BX56" s="6">
        <v>0.0</v>
      </c>
      <c r="BY56" s="6">
        <v>0.0</v>
      </c>
      <c r="BZ56" s="6">
        <v>0.0</v>
      </c>
      <c r="CA56" s="6">
        <v>0.0</v>
      </c>
      <c r="CB56" s="6">
        <v>0.0</v>
      </c>
      <c r="CC56" s="6">
        <v>0.0</v>
      </c>
      <c r="CD56" s="6">
        <v>0.0</v>
      </c>
      <c r="CE56" s="6">
        <v>0.0</v>
      </c>
      <c r="CF56" s="6">
        <v>0.0</v>
      </c>
      <c r="CG56" s="6" t="str">
        <f t="shared" ref="CG56:CI56" si="448">+CA56+CD56+BX56+#REF!</f>
        <v>#REF!</v>
      </c>
      <c r="CH56" s="6" t="str">
        <f t="shared" si="448"/>
        <v>#REF!</v>
      </c>
      <c r="CI56" s="6" t="str">
        <f t="shared" si="448"/>
        <v>#REF!</v>
      </c>
      <c r="CJ56" s="6">
        <v>0.0</v>
      </c>
      <c r="CK56" s="6">
        <v>0.0</v>
      </c>
      <c r="CL56" s="6">
        <v>0.0</v>
      </c>
      <c r="CM56" s="6">
        <v>0.0</v>
      </c>
      <c r="CN56" s="6">
        <v>0.0</v>
      </c>
      <c r="CO56" s="6">
        <v>0.0</v>
      </c>
      <c r="CP56" s="6">
        <v>0.0</v>
      </c>
      <c r="CQ56" s="6">
        <v>0.0</v>
      </c>
      <c r="CR56" s="6">
        <v>0.0</v>
      </c>
      <c r="CS56" s="6">
        <v>0.0</v>
      </c>
      <c r="CT56" s="6">
        <v>0.0</v>
      </c>
      <c r="CU56" s="6">
        <v>0.0</v>
      </c>
      <c r="CV56" s="6">
        <f t="shared" ref="CV56:CX56" si="449">+CP56+CS56+CJ56+CM56</f>
        <v>0</v>
      </c>
      <c r="CW56" s="6">
        <f t="shared" si="449"/>
        <v>0</v>
      </c>
      <c r="CX56" s="6">
        <f t="shared" si="449"/>
        <v>0</v>
      </c>
      <c r="CY56" s="6">
        <v>0.0</v>
      </c>
      <c r="CZ56" s="6">
        <v>0.0</v>
      </c>
      <c r="DA56" s="6">
        <v>0.0</v>
      </c>
      <c r="DB56" s="6">
        <v>0.0</v>
      </c>
      <c r="DC56" s="6">
        <v>0.0</v>
      </c>
      <c r="DD56" s="6">
        <v>0.0</v>
      </c>
      <c r="DE56" s="6">
        <v>0.0</v>
      </c>
      <c r="DF56" s="6">
        <v>0.0</v>
      </c>
      <c r="DG56" s="6">
        <v>0.0</v>
      </c>
      <c r="DH56" s="6">
        <v>0.0</v>
      </c>
      <c r="DI56" s="6">
        <v>0.0</v>
      </c>
      <c r="DJ56" s="6">
        <v>0.0</v>
      </c>
      <c r="DK56" s="6">
        <f t="shared" ref="DK56:DM56" si="450">+DE56+DH56+CY56+DB56</f>
        <v>0</v>
      </c>
      <c r="DL56" s="6">
        <f t="shared" si="450"/>
        <v>0</v>
      </c>
      <c r="DM56" s="6">
        <f t="shared" si="450"/>
        <v>0</v>
      </c>
      <c r="DN56" s="6" t="str">
        <f t="shared" ref="DN56:DP56" si="451">+P56+AE56+AT56+BI56+BU56+CG56+CV56</f>
        <v>#REF!</v>
      </c>
      <c r="DO56" s="6" t="str">
        <f t="shared" si="451"/>
        <v>#REF!</v>
      </c>
      <c r="DP56" s="6" t="str">
        <f t="shared" si="451"/>
        <v>#REF!</v>
      </c>
      <c r="DQ56" s="6" t="str">
        <f t="shared" si="19"/>
        <v>#REF!</v>
      </c>
    </row>
    <row r="57" ht="13.5" customHeight="1">
      <c r="A57" s="11">
        <v>44692.0</v>
      </c>
      <c r="B57" s="2" t="s">
        <v>291</v>
      </c>
      <c r="C57" s="2" t="s">
        <v>292</v>
      </c>
      <c r="D57" s="29" t="s">
        <v>293</v>
      </c>
      <c r="E57" s="2" t="s">
        <v>294</v>
      </c>
      <c r="F57" s="11" t="s">
        <v>295</v>
      </c>
      <c r="G57" s="11" t="s">
        <v>11</v>
      </c>
      <c r="H57" s="5">
        <v>650000.0</v>
      </c>
      <c r="I57" s="5">
        <v>650000.0</v>
      </c>
      <c r="J57" s="6">
        <v>0.0</v>
      </c>
      <c r="K57" s="6">
        <v>0.0</v>
      </c>
      <c r="L57" s="6">
        <v>0.0</v>
      </c>
      <c r="M57" s="6">
        <v>0.0</v>
      </c>
      <c r="N57" s="6">
        <v>0.0</v>
      </c>
      <c r="O57" s="6">
        <v>0.0</v>
      </c>
      <c r="P57" s="6">
        <f t="shared" ref="P57:R57" si="452">+J57+M57</f>
        <v>0</v>
      </c>
      <c r="Q57" s="6">
        <f t="shared" si="452"/>
        <v>0</v>
      </c>
      <c r="R57" s="6">
        <f t="shared" si="452"/>
        <v>0</v>
      </c>
      <c r="S57" s="6">
        <v>0.0</v>
      </c>
      <c r="T57" s="6">
        <v>0.0</v>
      </c>
      <c r="U57" s="6">
        <v>0.0</v>
      </c>
      <c r="V57" s="6">
        <v>0.0</v>
      </c>
      <c r="W57" s="6">
        <v>0.0</v>
      </c>
      <c r="X57" s="6">
        <v>0.0</v>
      </c>
      <c r="Y57" s="6">
        <v>0.0</v>
      </c>
      <c r="Z57" s="6">
        <v>0.0</v>
      </c>
      <c r="AA57" s="6">
        <v>0.0</v>
      </c>
      <c r="AB57" s="6">
        <v>0.0</v>
      </c>
      <c r="AC57" s="6">
        <v>0.0</v>
      </c>
      <c r="AD57" s="6">
        <v>0.0</v>
      </c>
      <c r="AE57" s="6">
        <f t="shared" ref="AE57:AG57" si="453">+Y57+AB57+S57+V57</f>
        <v>0</v>
      </c>
      <c r="AF57" s="6">
        <f t="shared" si="453"/>
        <v>0</v>
      </c>
      <c r="AG57" s="6">
        <f t="shared" si="453"/>
        <v>0</v>
      </c>
      <c r="AH57" s="6">
        <v>0.0</v>
      </c>
      <c r="AI57" s="6">
        <v>0.0</v>
      </c>
      <c r="AJ57" s="6">
        <v>0.0</v>
      </c>
      <c r="AK57" s="6">
        <v>0.0</v>
      </c>
      <c r="AL57" s="6">
        <v>0.0</v>
      </c>
      <c r="AM57" s="6">
        <v>0.0</v>
      </c>
      <c r="AN57" s="5">
        <v>650000.0</v>
      </c>
      <c r="AO57" s="5">
        <v>650000.0</v>
      </c>
      <c r="AP57" s="6">
        <v>0.0</v>
      </c>
      <c r="AQ57" s="6">
        <v>0.0</v>
      </c>
      <c r="AR57" s="6">
        <v>0.0</v>
      </c>
      <c r="AS57" s="6">
        <v>240000.0</v>
      </c>
      <c r="AT57" s="6">
        <f t="shared" ref="AT57:AV57" si="454">+AN57+AQ57+AH57+AK57</f>
        <v>650000</v>
      </c>
      <c r="AU57" s="6">
        <f t="shared" si="454"/>
        <v>650000</v>
      </c>
      <c r="AV57" s="6">
        <f t="shared" si="454"/>
        <v>240000</v>
      </c>
      <c r="AW57" s="6">
        <v>0.0</v>
      </c>
      <c r="AX57" s="6">
        <v>0.0</v>
      </c>
      <c r="AY57" s="6">
        <v>300000.0</v>
      </c>
      <c r="AZ57" s="6">
        <v>0.0</v>
      </c>
      <c r="BA57" s="6">
        <v>0.0</v>
      </c>
      <c r="BB57" s="6">
        <v>110000.0</v>
      </c>
      <c r="BC57" s="6">
        <v>0.0</v>
      </c>
      <c r="BD57" s="6">
        <v>0.0</v>
      </c>
      <c r="BE57" s="6">
        <v>0.0</v>
      </c>
      <c r="BF57" s="6">
        <v>0.0</v>
      </c>
      <c r="BG57" s="6">
        <v>0.0</v>
      </c>
      <c r="BH57" s="6">
        <v>0.0</v>
      </c>
      <c r="BI57" s="6">
        <f t="shared" ref="BI57:BK57" si="455">+BC57+BF57+AW57+AZ57</f>
        <v>0</v>
      </c>
      <c r="BJ57" s="6">
        <f t="shared" si="455"/>
        <v>0</v>
      </c>
      <c r="BK57" s="6">
        <f t="shared" si="455"/>
        <v>410000</v>
      </c>
      <c r="BL57" s="6">
        <v>0.0</v>
      </c>
      <c r="BM57" s="6">
        <v>0.0</v>
      </c>
      <c r="BN57" s="6">
        <v>0.0</v>
      </c>
      <c r="BO57" s="6">
        <v>0.0</v>
      </c>
      <c r="BP57" s="6">
        <v>0.0</v>
      </c>
      <c r="BQ57" s="6">
        <v>0.0</v>
      </c>
      <c r="BR57" s="6">
        <v>0.0</v>
      </c>
      <c r="BS57" s="6">
        <v>0.0</v>
      </c>
      <c r="BT57" s="6">
        <v>0.0</v>
      </c>
      <c r="BU57" s="6" t="str">
        <f t="shared" ref="BU57:BW57" si="456">+BO57+BR57+#REF!+BL57</f>
        <v>#REF!</v>
      </c>
      <c r="BV57" s="6" t="str">
        <f t="shared" si="456"/>
        <v>#REF!</v>
      </c>
      <c r="BW57" s="6" t="str">
        <f t="shared" si="456"/>
        <v>#REF!</v>
      </c>
      <c r="BX57" s="6">
        <v>0.0</v>
      </c>
      <c r="BY57" s="6">
        <v>0.0</v>
      </c>
      <c r="BZ57" s="6">
        <v>0.0</v>
      </c>
      <c r="CA57" s="6">
        <v>0.0</v>
      </c>
      <c r="CB57" s="6">
        <v>0.0</v>
      </c>
      <c r="CC57" s="6">
        <v>0.0</v>
      </c>
      <c r="CD57" s="6">
        <v>0.0</v>
      </c>
      <c r="CE57" s="6">
        <v>0.0</v>
      </c>
      <c r="CF57" s="6">
        <v>0.0</v>
      </c>
      <c r="CG57" s="6" t="str">
        <f t="shared" ref="CG57:CI57" si="457">+CA57+CD57+BX57+#REF!</f>
        <v>#REF!</v>
      </c>
      <c r="CH57" s="6" t="str">
        <f t="shared" si="457"/>
        <v>#REF!</v>
      </c>
      <c r="CI57" s="6" t="str">
        <f t="shared" si="457"/>
        <v>#REF!</v>
      </c>
      <c r="CJ57" s="6">
        <v>0.0</v>
      </c>
      <c r="CK57" s="6">
        <v>0.0</v>
      </c>
      <c r="CL57" s="6">
        <v>0.0</v>
      </c>
      <c r="CM57" s="6">
        <v>0.0</v>
      </c>
      <c r="CN57" s="6">
        <v>0.0</v>
      </c>
      <c r="CO57" s="6">
        <v>0.0</v>
      </c>
      <c r="CP57" s="6">
        <v>0.0</v>
      </c>
      <c r="CQ57" s="6">
        <v>0.0</v>
      </c>
      <c r="CR57" s="6">
        <v>0.0</v>
      </c>
      <c r="CS57" s="6">
        <v>0.0</v>
      </c>
      <c r="CT57" s="6">
        <v>0.0</v>
      </c>
      <c r="CU57" s="6">
        <v>0.0</v>
      </c>
      <c r="CV57" s="6">
        <f t="shared" ref="CV57:CX57" si="458">+CP57+CS57+CJ57+CM57</f>
        <v>0</v>
      </c>
      <c r="CW57" s="6">
        <f t="shared" si="458"/>
        <v>0</v>
      </c>
      <c r="CX57" s="6">
        <f t="shared" si="458"/>
        <v>0</v>
      </c>
      <c r="CY57" s="6">
        <v>0.0</v>
      </c>
      <c r="CZ57" s="6">
        <v>0.0</v>
      </c>
      <c r="DA57" s="6">
        <v>0.0</v>
      </c>
      <c r="DB57" s="6">
        <v>0.0</v>
      </c>
      <c r="DC57" s="6">
        <v>0.0</v>
      </c>
      <c r="DD57" s="6">
        <v>0.0</v>
      </c>
      <c r="DE57" s="6">
        <v>0.0</v>
      </c>
      <c r="DF57" s="6">
        <v>0.0</v>
      </c>
      <c r="DG57" s="6">
        <v>0.0</v>
      </c>
      <c r="DH57" s="6">
        <v>0.0</v>
      </c>
      <c r="DI57" s="6">
        <v>0.0</v>
      </c>
      <c r="DJ57" s="6">
        <v>0.0</v>
      </c>
      <c r="DK57" s="6">
        <f t="shared" ref="DK57:DM57" si="459">+DE57+DH57+CY57+DB57</f>
        <v>0</v>
      </c>
      <c r="DL57" s="6">
        <f t="shared" si="459"/>
        <v>0</v>
      </c>
      <c r="DM57" s="6">
        <f t="shared" si="459"/>
        <v>0</v>
      </c>
      <c r="DN57" s="6" t="str">
        <f t="shared" ref="DN57:DP57" si="460">+P57+AE57+AT57+BI57+BU57+CG57+CV57</f>
        <v>#REF!</v>
      </c>
      <c r="DO57" s="6" t="str">
        <f t="shared" si="460"/>
        <v>#REF!</v>
      </c>
      <c r="DP57" s="6" t="str">
        <f t="shared" si="460"/>
        <v>#REF!</v>
      </c>
      <c r="DQ57" s="6" t="str">
        <f t="shared" si="19"/>
        <v>#REF!</v>
      </c>
    </row>
    <row r="58" ht="13.5" customHeight="1">
      <c r="A58" s="11">
        <v>44713.0</v>
      </c>
      <c r="B58" s="2" t="s">
        <v>296</v>
      </c>
      <c r="C58" s="2" t="s">
        <v>297</v>
      </c>
      <c r="D58" s="29" t="s">
        <v>298</v>
      </c>
      <c r="E58" s="2" t="s">
        <v>299</v>
      </c>
      <c r="F58" s="11" t="s">
        <v>300</v>
      </c>
      <c r="G58" s="11" t="s">
        <v>11</v>
      </c>
      <c r="H58" s="5">
        <v>500000.0</v>
      </c>
      <c r="I58" s="5">
        <v>500000.0</v>
      </c>
      <c r="J58" s="6">
        <v>0.0</v>
      </c>
      <c r="K58" s="6">
        <v>0.0</v>
      </c>
      <c r="L58" s="6">
        <v>0.0</v>
      </c>
      <c r="M58" s="6">
        <v>0.0</v>
      </c>
      <c r="N58" s="6">
        <v>0.0</v>
      </c>
      <c r="O58" s="6">
        <v>0.0</v>
      </c>
      <c r="P58" s="6">
        <f t="shared" ref="P58:R58" si="461">+J58+M58</f>
        <v>0</v>
      </c>
      <c r="Q58" s="6">
        <f t="shared" si="461"/>
        <v>0</v>
      </c>
      <c r="R58" s="6">
        <f t="shared" si="461"/>
        <v>0</v>
      </c>
      <c r="S58" s="6">
        <v>0.0</v>
      </c>
      <c r="T58" s="6">
        <v>0.0</v>
      </c>
      <c r="U58" s="6">
        <v>0.0</v>
      </c>
      <c r="V58" s="6">
        <v>0.0</v>
      </c>
      <c r="W58" s="6">
        <v>0.0</v>
      </c>
      <c r="X58" s="6">
        <v>0.0</v>
      </c>
      <c r="Y58" s="6">
        <v>0.0</v>
      </c>
      <c r="Z58" s="6">
        <v>0.0</v>
      </c>
      <c r="AA58" s="6">
        <v>0.0</v>
      </c>
      <c r="AB58" s="6">
        <v>0.0</v>
      </c>
      <c r="AC58" s="6">
        <v>0.0</v>
      </c>
      <c r="AD58" s="6">
        <v>0.0</v>
      </c>
      <c r="AE58" s="6">
        <f t="shared" ref="AE58:AG58" si="462">+Y58+AB58+S58+V58</f>
        <v>0</v>
      </c>
      <c r="AF58" s="6">
        <f t="shared" si="462"/>
        <v>0</v>
      </c>
      <c r="AG58" s="6">
        <f t="shared" si="462"/>
        <v>0</v>
      </c>
      <c r="AH58" s="6">
        <v>0.0</v>
      </c>
      <c r="AI58" s="6">
        <v>0.0</v>
      </c>
      <c r="AJ58" s="6">
        <v>0.0</v>
      </c>
      <c r="AK58" s="6">
        <v>0.0</v>
      </c>
      <c r="AL58" s="6">
        <v>0.0</v>
      </c>
      <c r="AM58" s="6">
        <v>0.0</v>
      </c>
      <c r="AN58" s="5">
        <v>500000.0</v>
      </c>
      <c r="AO58" s="5">
        <v>500000.0</v>
      </c>
      <c r="AP58" s="6">
        <v>0.0</v>
      </c>
      <c r="AQ58" s="6">
        <v>0.0</v>
      </c>
      <c r="AR58" s="6">
        <v>0.0</v>
      </c>
      <c r="AS58" s="6">
        <v>200000.0</v>
      </c>
      <c r="AT58" s="6">
        <f t="shared" ref="AT58:AV58" si="463">+AN58+AQ58+AH58+AK58</f>
        <v>500000</v>
      </c>
      <c r="AU58" s="6">
        <f t="shared" si="463"/>
        <v>500000</v>
      </c>
      <c r="AV58" s="6">
        <f t="shared" si="463"/>
        <v>200000</v>
      </c>
      <c r="AW58" s="6">
        <v>0.0</v>
      </c>
      <c r="AX58" s="6">
        <v>0.0</v>
      </c>
      <c r="AY58" s="6">
        <v>100000.0</v>
      </c>
      <c r="AZ58" s="6">
        <v>0.0</v>
      </c>
      <c r="BA58" s="6">
        <v>0.0</v>
      </c>
      <c r="BB58" s="6">
        <v>200000.0</v>
      </c>
      <c r="BC58" s="6">
        <v>0.0</v>
      </c>
      <c r="BD58" s="6">
        <v>0.0</v>
      </c>
      <c r="BE58" s="6">
        <v>0.0</v>
      </c>
      <c r="BF58" s="6">
        <v>0.0</v>
      </c>
      <c r="BG58" s="6">
        <v>0.0</v>
      </c>
      <c r="BH58" s="6">
        <v>0.0</v>
      </c>
      <c r="BI58" s="6">
        <f t="shared" ref="BI58:BK58" si="464">+BC58+BF58+AW58+AZ58</f>
        <v>0</v>
      </c>
      <c r="BJ58" s="6">
        <f t="shared" si="464"/>
        <v>0</v>
      </c>
      <c r="BK58" s="6">
        <f t="shared" si="464"/>
        <v>300000</v>
      </c>
      <c r="BL58" s="6">
        <v>0.0</v>
      </c>
      <c r="BM58" s="6">
        <v>0.0</v>
      </c>
      <c r="BN58" s="6">
        <v>0.0</v>
      </c>
      <c r="BO58" s="6">
        <v>0.0</v>
      </c>
      <c r="BP58" s="6">
        <v>0.0</v>
      </c>
      <c r="BQ58" s="6">
        <v>0.0</v>
      </c>
      <c r="BR58" s="6">
        <v>0.0</v>
      </c>
      <c r="BS58" s="6">
        <v>0.0</v>
      </c>
      <c r="BT58" s="6">
        <v>0.0</v>
      </c>
      <c r="BU58" s="6" t="str">
        <f t="shared" ref="BU58:BW58" si="465">+BO58+BR58+#REF!+BL58</f>
        <v>#REF!</v>
      </c>
      <c r="BV58" s="6" t="str">
        <f t="shared" si="465"/>
        <v>#REF!</v>
      </c>
      <c r="BW58" s="6" t="str">
        <f t="shared" si="465"/>
        <v>#REF!</v>
      </c>
      <c r="BX58" s="6">
        <v>0.0</v>
      </c>
      <c r="BY58" s="6">
        <v>0.0</v>
      </c>
      <c r="BZ58" s="6">
        <v>0.0</v>
      </c>
      <c r="CA58" s="6">
        <v>0.0</v>
      </c>
      <c r="CB58" s="6">
        <v>0.0</v>
      </c>
      <c r="CC58" s="6">
        <v>0.0</v>
      </c>
      <c r="CD58" s="6">
        <v>0.0</v>
      </c>
      <c r="CE58" s="6">
        <v>0.0</v>
      </c>
      <c r="CF58" s="6">
        <v>0.0</v>
      </c>
      <c r="CG58" s="6" t="str">
        <f t="shared" ref="CG58:CI58" si="466">+CA58+CD58+BX58+#REF!</f>
        <v>#REF!</v>
      </c>
      <c r="CH58" s="6" t="str">
        <f t="shared" si="466"/>
        <v>#REF!</v>
      </c>
      <c r="CI58" s="6" t="str">
        <f t="shared" si="466"/>
        <v>#REF!</v>
      </c>
      <c r="CJ58" s="6">
        <v>0.0</v>
      </c>
      <c r="CK58" s="6">
        <v>0.0</v>
      </c>
      <c r="CL58" s="6">
        <v>0.0</v>
      </c>
      <c r="CM58" s="6">
        <v>0.0</v>
      </c>
      <c r="CN58" s="6">
        <v>0.0</v>
      </c>
      <c r="CO58" s="6">
        <v>0.0</v>
      </c>
      <c r="CP58" s="6">
        <v>0.0</v>
      </c>
      <c r="CQ58" s="6">
        <v>0.0</v>
      </c>
      <c r="CR58" s="6">
        <v>0.0</v>
      </c>
      <c r="CS58" s="6">
        <v>0.0</v>
      </c>
      <c r="CT58" s="6">
        <v>0.0</v>
      </c>
      <c r="CU58" s="6">
        <v>0.0</v>
      </c>
      <c r="CV58" s="6">
        <f t="shared" ref="CV58:CX58" si="467">+CP58+CS58+CJ58+CM58</f>
        <v>0</v>
      </c>
      <c r="CW58" s="6">
        <f t="shared" si="467"/>
        <v>0</v>
      </c>
      <c r="CX58" s="6">
        <f t="shared" si="467"/>
        <v>0</v>
      </c>
      <c r="CY58" s="6">
        <v>0.0</v>
      </c>
      <c r="CZ58" s="6">
        <v>0.0</v>
      </c>
      <c r="DA58" s="6">
        <v>0.0</v>
      </c>
      <c r="DB58" s="6">
        <v>0.0</v>
      </c>
      <c r="DC58" s="6">
        <v>0.0</v>
      </c>
      <c r="DD58" s="6">
        <v>0.0</v>
      </c>
      <c r="DE58" s="6">
        <v>0.0</v>
      </c>
      <c r="DF58" s="6">
        <v>0.0</v>
      </c>
      <c r="DG58" s="6">
        <v>0.0</v>
      </c>
      <c r="DH58" s="6">
        <v>0.0</v>
      </c>
      <c r="DI58" s="6">
        <v>0.0</v>
      </c>
      <c r="DJ58" s="6">
        <v>0.0</v>
      </c>
      <c r="DK58" s="6">
        <f t="shared" ref="DK58:DM58" si="468">+DE58+DH58+CY58+DB58</f>
        <v>0</v>
      </c>
      <c r="DL58" s="6">
        <f t="shared" si="468"/>
        <v>0</v>
      </c>
      <c r="DM58" s="6">
        <f t="shared" si="468"/>
        <v>0</v>
      </c>
      <c r="DN58" s="6" t="str">
        <f t="shared" ref="DN58:DP58" si="469">+P58+AE58+AT58+BI58+BU58+CG58+CV58</f>
        <v>#REF!</v>
      </c>
      <c r="DO58" s="6" t="str">
        <f t="shared" si="469"/>
        <v>#REF!</v>
      </c>
      <c r="DP58" s="6" t="str">
        <f t="shared" si="469"/>
        <v>#REF!</v>
      </c>
      <c r="DQ58" s="6" t="str">
        <f t="shared" si="19"/>
        <v>#REF!</v>
      </c>
    </row>
    <row r="59" ht="13.5" customHeight="1">
      <c r="A59" s="11">
        <v>44700.0</v>
      </c>
      <c r="B59" s="2" t="s">
        <v>301</v>
      </c>
      <c r="C59" s="2" t="s">
        <v>302</v>
      </c>
      <c r="D59" s="29" t="s">
        <v>303</v>
      </c>
      <c r="E59" s="2" t="s">
        <v>304</v>
      </c>
      <c r="F59" s="11" t="s">
        <v>300</v>
      </c>
      <c r="G59" s="11" t="s">
        <v>11</v>
      </c>
      <c r="H59" s="5">
        <v>938000.0</v>
      </c>
      <c r="I59" s="5">
        <v>938000.0</v>
      </c>
      <c r="J59" s="6">
        <v>0.0</v>
      </c>
      <c r="K59" s="6">
        <v>0.0</v>
      </c>
      <c r="L59" s="6">
        <v>0.0</v>
      </c>
      <c r="M59" s="6">
        <v>0.0</v>
      </c>
      <c r="N59" s="6">
        <v>0.0</v>
      </c>
      <c r="O59" s="6">
        <v>0.0</v>
      </c>
      <c r="P59" s="6">
        <f t="shared" ref="P59:R59" si="470">+J59+M59</f>
        <v>0</v>
      </c>
      <c r="Q59" s="6">
        <f t="shared" si="470"/>
        <v>0</v>
      </c>
      <c r="R59" s="6">
        <f t="shared" si="470"/>
        <v>0</v>
      </c>
      <c r="S59" s="6">
        <v>0.0</v>
      </c>
      <c r="T59" s="6">
        <v>0.0</v>
      </c>
      <c r="U59" s="6">
        <v>0.0</v>
      </c>
      <c r="V59" s="6">
        <v>0.0</v>
      </c>
      <c r="W59" s="6">
        <v>0.0</v>
      </c>
      <c r="X59" s="6">
        <v>0.0</v>
      </c>
      <c r="Y59" s="6">
        <v>0.0</v>
      </c>
      <c r="Z59" s="6">
        <v>0.0</v>
      </c>
      <c r="AA59" s="6">
        <v>0.0</v>
      </c>
      <c r="AB59" s="6">
        <v>0.0</v>
      </c>
      <c r="AC59" s="6">
        <v>0.0</v>
      </c>
      <c r="AD59" s="6">
        <v>0.0</v>
      </c>
      <c r="AE59" s="6">
        <f t="shared" ref="AE59:AG59" si="471">+Y59+AB59+S59+V59</f>
        <v>0</v>
      </c>
      <c r="AF59" s="6">
        <f t="shared" si="471"/>
        <v>0</v>
      </c>
      <c r="AG59" s="6">
        <f t="shared" si="471"/>
        <v>0</v>
      </c>
      <c r="AH59" s="6">
        <v>0.0</v>
      </c>
      <c r="AI59" s="6">
        <v>0.0</v>
      </c>
      <c r="AJ59" s="6">
        <v>0.0</v>
      </c>
      <c r="AK59" s="6">
        <v>0.0</v>
      </c>
      <c r="AL59" s="6">
        <v>0.0</v>
      </c>
      <c r="AM59" s="6">
        <v>0.0</v>
      </c>
      <c r="AN59" s="5">
        <v>938000.0</v>
      </c>
      <c r="AO59" s="5">
        <v>938000.0</v>
      </c>
      <c r="AP59" s="6">
        <v>0.0</v>
      </c>
      <c r="AQ59" s="6">
        <v>0.0</v>
      </c>
      <c r="AR59" s="6">
        <v>0.0</v>
      </c>
      <c r="AS59" s="6">
        <v>234500.0</v>
      </c>
      <c r="AT59" s="6">
        <f t="shared" ref="AT59:AV59" si="472">+AN59+AQ59+AH59+AK59</f>
        <v>938000</v>
      </c>
      <c r="AU59" s="6">
        <f t="shared" si="472"/>
        <v>938000</v>
      </c>
      <c r="AV59" s="6">
        <f t="shared" si="472"/>
        <v>234500</v>
      </c>
      <c r="AW59" s="6">
        <v>0.0</v>
      </c>
      <c r="AX59" s="6">
        <v>0.0</v>
      </c>
      <c r="AY59" s="6">
        <v>703500.0</v>
      </c>
      <c r="AZ59" s="6">
        <v>0.0</v>
      </c>
      <c r="BA59" s="6">
        <v>0.0</v>
      </c>
      <c r="BB59" s="6">
        <v>0.0</v>
      </c>
      <c r="BC59" s="6">
        <v>0.0</v>
      </c>
      <c r="BD59" s="6">
        <v>0.0</v>
      </c>
      <c r="BE59" s="6">
        <v>0.0</v>
      </c>
      <c r="BF59" s="6">
        <v>0.0</v>
      </c>
      <c r="BG59" s="6">
        <v>0.0</v>
      </c>
      <c r="BH59" s="6">
        <v>0.0</v>
      </c>
      <c r="BI59" s="6">
        <f t="shared" ref="BI59:BK59" si="473">+BC59+BF59+AW59+AZ59</f>
        <v>0</v>
      </c>
      <c r="BJ59" s="6">
        <f t="shared" si="473"/>
        <v>0</v>
      </c>
      <c r="BK59" s="6">
        <f t="shared" si="473"/>
        <v>703500</v>
      </c>
      <c r="BL59" s="6">
        <v>0.0</v>
      </c>
      <c r="BM59" s="6">
        <v>0.0</v>
      </c>
      <c r="BN59" s="6">
        <v>0.0</v>
      </c>
      <c r="BO59" s="6">
        <v>0.0</v>
      </c>
      <c r="BP59" s="6">
        <v>0.0</v>
      </c>
      <c r="BQ59" s="6">
        <v>0.0</v>
      </c>
      <c r="BR59" s="6">
        <v>0.0</v>
      </c>
      <c r="BS59" s="6">
        <v>0.0</v>
      </c>
      <c r="BT59" s="6">
        <v>0.0</v>
      </c>
      <c r="BU59" s="6" t="str">
        <f t="shared" ref="BU59:BW59" si="474">+BO59+BR59+#REF!+BL59</f>
        <v>#REF!</v>
      </c>
      <c r="BV59" s="6" t="str">
        <f t="shared" si="474"/>
        <v>#REF!</v>
      </c>
      <c r="BW59" s="6" t="str">
        <f t="shared" si="474"/>
        <v>#REF!</v>
      </c>
      <c r="BX59" s="6">
        <v>0.0</v>
      </c>
      <c r="BY59" s="6">
        <v>0.0</v>
      </c>
      <c r="BZ59" s="6">
        <v>0.0</v>
      </c>
      <c r="CA59" s="6">
        <v>0.0</v>
      </c>
      <c r="CB59" s="6">
        <v>0.0</v>
      </c>
      <c r="CC59" s="6">
        <v>0.0</v>
      </c>
      <c r="CD59" s="6">
        <v>0.0</v>
      </c>
      <c r="CE59" s="6">
        <v>0.0</v>
      </c>
      <c r="CF59" s="6">
        <v>0.0</v>
      </c>
      <c r="CG59" s="6" t="str">
        <f t="shared" ref="CG59:CI59" si="475">+CA59+CD59+BX59+#REF!</f>
        <v>#REF!</v>
      </c>
      <c r="CH59" s="6" t="str">
        <f t="shared" si="475"/>
        <v>#REF!</v>
      </c>
      <c r="CI59" s="6" t="str">
        <f t="shared" si="475"/>
        <v>#REF!</v>
      </c>
      <c r="CJ59" s="6">
        <v>0.0</v>
      </c>
      <c r="CK59" s="6">
        <v>0.0</v>
      </c>
      <c r="CL59" s="6">
        <v>0.0</v>
      </c>
      <c r="CM59" s="6">
        <v>0.0</v>
      </c>
      <c r="CN59" s="6">
        <v>0.0</v>
      </c>
      <c r="CO59" s="6">
        <v>0.0</v>
      </c>
      <c r="CP59" s="6">
        <v>0.0</v>
      </c>
      <c r="CQ59" s="6">
        <v>0.0</v>
      </c>
      <c r="CR59" s="6">
        <v>0.0</v>
      </c>
      <c r="CS59" s="6">
        <v>0.0</v>
      </c>
      <c r="CT59" s="6">
        <v>0.0</v>
      </c>
      <c r="CU59" s="6">
        <v>0.0</v>
      </c>
      <c r="CV59" s="6">
        <f t="shared" ref="CV59:CX59" si="476">+CP59+CS59+CJ59+CM59</f>
        <v>0</v>
      </c>
      <c r="CW59" s="6">
        <f t="shared" si="476"/>
        <v>0</v>
      </c>
      <c r="CX59" s="6">
        <f t="shared" si="476"/>
        <v>0</v>
      </c>
      <c r="CY59" s="6">
        <v>0.0</v>
      </c>
      <c r="CZ59" s="6">
        <v>0.0</v>
      </c>
      <c r="DA59" s="6">
        <v>0.0</v>
      </c>
      <c r="DB59" s="6">
        <v>0.0</v>
      </c>
      <c r="DC59" s="6">
        <v>0.0</v>
      </c>
      <c r="DD59" s="6">
        <v>0.0</v>
      </c>
      <c r="DE59" s="6">
        <v>0.0</v>
      </c>
      <c r="DF59" s="6">
        <v>0.0</v>
      </c>
      <c r="DG59" s="6">
        <v>0.0</v>
      </c>
      <c r="DH59" s="6">
        <v>0.0</v>
      </c>
      <c r="DI59" s="6">
        <v>0.0</v>
      </c>
      <c r="DJ59" s="6">
        <v>0.0</v>
      </c>
      <c r="DK59" s="6">
        <f t="shared" ref="DK59:DM59" si="477">+DE59+DH59+CY59+DB59</f>
        <v>0</v>
      </c>
      <c r="DL59" s="6">
        <f t="shared" si="477"/>
        <v>0</v>
      </c>
      <c r="DM59" s="6">
        <f t="shared" si="477"/>
        <v>0</v>
      </c>
      <c r="DN59" s="6" t="str">
        <f t="shared" ref="DN59:DP59" si="478">+P59+AE59+AT59+BI59+BU59+CG59+CV59</f>
        <v>#REF!</v>
      </c>
      <c r="DO59" s="6" t="str">
        <f t="shared" si="478"/>
        <v>#REF!</v>
      </c>
      <c r="DP59" s="6" t="str">
        <f t="shared" si="478"/>
        <v>#REF!</v>
      </c>
      <c r="DQ59" s="6" t="str">
        <f t="shared" si="19"/>
        <v>#REF!</v>
      </c>
    </row>
    <row r="60" ht="13.5" customHeight="1">
      <c r="A60" s="11">
        <v>44700.0</v>
      </c>
      <c r="B60" s="2" t="s">
        <v>301</v>
      </c>
      <c r="C60" s="2" t="s">
        <v>302</v>
      </c>
      <c r="D60" s="29" t="s">
        <v>303</v>
      </c>
      <c r="E60" s="2" t="s">
        <v>304</v>
      </c>
      <c r="F60" s="11" t="s">
        <v>300</v>
      </c>
      <c r="G60" s="11" t="s">
        <v>11</v>
      </c>
      <c r="H60" s="5">
        <v>712000.0</v>
      </c>
      <c r="I60" s="5">
        <v>712000.0</v>
      </c>
      <c r="J60" s="6">
        <v>0.0</v>
      </c>
      <c r="K60" s="6">
        <v>0.0</v>
      </c>
      <c r="L60" s="6">
        <v>0.0</v>
      </c>
      <c r="M60" s="6">
        <v>0.0</v>
      </c>
      <c r="N60" s="6">
        <v>0.0</v>
      </c>
      <c r="O60" s="6">
        <v>0.0</v>
      </c>
      <c r="P60" s="6">
        <f t="shared" ref="P60:R60" si="479">+J60+M60</f>
        <v>0</v>
      </c>
      <c r="Q60" s="6">
        <f t="shared" si="479"/>
        <v>0</v>
      </c>
      <c r="R60" s="6">
        <f t="shared" si="479"/>
        <v>0</v>
      </c>
      <c r="S60" s="6">
        <v>0.0</v>
      </c>
      <c r="T60" s="6">
        <v>0.0</v>
      </c>
      <c r="U60" s="6">
        <v>0.0</v>
      </c>
      <c r="V60" s="6">
        <v>0.0</v>
      </c>
      <c r="W60" s="6">
        <v>0.0</v>
      </c>
      <c r="X60" s="6">
        <v>0.0</v>
      </c>
      <c r="Y60" s="6">
        <v>0.0</v>
      </c>
      <c r="Z60" s="6">
        <v>0.0</v>
      </c>
      <c r="AA60" s="6">
        <v>0.0</v>
      </c>
      <c r="AB60" s="6">
        <v>0.0</v>
      </c>
      <c r="AC60" s="6">
        <v>0.0</v>
      </c>
      <c r="AD60" s="6">
        <v>0.0</v>
      </c>
      <c r="AE60" s="6">
        <f t="shared" ref="AE60:AG60" si="480">+Y60+AB60+S60+V60</f>
        <v>0</v>
      </c>
      <c r="AF60" s="6">
        <f t="shared" si="480"/>
        <v>0</v>
      </c>
      <c r="AG60" s="6">
        <f t="shared" si="480"/>
        <v>0</v>
      </c>
      <c r="AH60" s="6">
        <v>0.0</v>
      </c>
      <c r="AI60" s="6">
        <v>0.0</v>
      </c>
      <c r="AJ60" s="6">
        <v>0.0</v>
      </c>
      <c r="AK60" s="6">
        <v>0.0</v>
      </c>
      <c r="AL60" s="6">
        <v>0.0</v>
      </c>
      <c r="AM60" s="6">
        <v>0.0</v>
      </c>
      <c r="AN60" s="5">
        <v>712000.0</v>
      </c>
      <c r="AO60" s="5">
        <v>712000.0</v>
      </c>
      <c r="AP60" s="6">
        <v>0.0</v>
      </c>
      <c r="AQ60" s="6">
        <v>0.0</v>
      </c>
      <c r="AR60" s="6">
        <v>0.0</v>
      </c>
      <c r="AS60" s="6">
        <v>178000.0</v>
      </c>
      <c r="AT60" s="6">
        <f t="shared" ref="AT60:AV60" si="481">+AN60+AQ60+AH60+AK60</f>
        <v>712000</v>
      </c>
      <c r="AU60" s="6">
        <f t="shared" si="481"/>
        <v>712000</v>
      </c>
      <c r="AV60" s="6">
        <f t="shared" si="481"/>
        <v>178000</v>
      </c>
      <c r="AW60" s="6">
        <v>0.0</v>
      </c>
      <c r="AX60" s="6">
        <v>0.0</v>
      </c>
      <c r="AY60" s="6">
        <v>534000.0</v>
      </c>
      <c r="AZ60" s="6">
        <v>0.0</v>
      </c>
      <c r="BA60" s="6">
        <v>0.0</v>
      </c>
      <c r="BB60" s="6">
        <v>0.0</v>
      </c>
      <c r="BC60" s="6">
        <v>0.0</v>
      </c>
      <c r="BD60" s="6">
        <v>0.0</v>
      </c>
      <c r="BE60" s="6">
        <v>0.0</v>
      </c>
      <c r="BF60" s="6">
        <v>0.0</v>
      </c>
      <c r="BG60" s="6">
        <v>0.0</v>
      </c>
      <c r="BH60" s="6">
        <v>0.0</v>
      </c>
      <c r="BI60" s="6">
        <f t="shared" ref="BI60:BK60" si="482">+BC60+BF60+AW60+AZ60</f>
        <v>0</v>
      </c>
      <c r="BJ60" s="6">
        <f t="shared" si="482"/>
        <v>0</v>
      </c>
      <c r="BK60" s="6">
        <f t="shared" si="482"/>
        <v>534000</v>
      </c>
      <c r="BL60" s="6">
        <v>0.0</v>
      </c>
      <c r="BM60" s="6">
        <v>0.0</v>
      </c>
      <c r="BN60" s="6">
        <v>0.0</v>
      </c>
      <c r="BO60" s="6">
        <v>0.0</v>
      </c>
      <c r="BP60" s="6">
        <v>0.0</v>
      </c>
      <c r="BQ60" s="6">
        <v>0.0</v>
      </c>
      <c r="BR60" s="6">
        <v>0.0</v>
      </c>
      <c r="BS60" s="6">
        <v>0.0</v>
      </c>
      <c r="BT60" s="6">
        <v>0.0</v>
      </c>
      <c r="BU60" s="6" t="str">
        <f t="shared" ref="BU60:BW60" si="483">+BO60+BR60+#REF!+BL60</f>
        <v>#REF!</v>
      </c>
      <c r="BV60" s="6" t="str">
        <f t="shared" si="483"/>
        <v>#REF!</v>
      </c>
      <c r="BW60" s="6" t="str">
        <f t="shared" si="483"/>
        <v>#REF!</v>
      </c>
      <c r="BX60" s="6">
        <v>0.0</v>
      </c>
      <c r="BY60" s="6">
        <v>0.0</v>
      </c>
      <c r="BZ60" s="6">
        <v>0.0</v>
      </c>
      <c r="CA60" s="6">
        <v>0.0</v>
      </c>
      <c r="CB60" s="6">
        <v>0.0</v>
      </c>
      <c r="CC60" s="6">
        <v>0.0</v>
      </c>
      <c r="CD60" s="6">
        <v>0.0</v>
      </c>
      <c r="CE60" s="6">
        <v>0.0</v>
      </c>
      <c r="CF60" s="6">
        <v>0.0</v>
      </c>
      <c r="CG60" s="6" t="str">
        <f t="shared" ref="CG60:CI60" si="484">+CA60+CD60+BX60+#REF!</f>
        <v>#REF!</v>
      </c>
      <c r="CH60" s="6" t="str">
        <f t="shared" si="484"/>
        <v>#REF!</v>
      </c>
      <c r="CI60" s="6" t="str">
        <f t="shared" si="484"/>
        <v>#REF!</v>
      </c>
      <c r="CJ60" s="6">
        <v>0.0</v>
      </c>
      <c r="CK60" s="6">
        <v>0.0</v>
      </c>
      <c r="CL60" s="6">
        <v>0.0</v>
      </c>
      <c r="CM60" s="6">
        <v>0.0</v>
      </c>
      <c r="CN60" s="6">
        <v>0.0</v>
      </c>
      <c r="CO60" s="6">
        <v>0.0</v>
      </c>
      <c r="CP60" s="6">
        <v>0.0</v>
      </c>
      <c r="CQ60" s="6">
        <v>0.0</v>
      </c>
      <c r="CR60" s="6">
        <v>0.0</v>
      </c>
      <c r="CS60" s="6">
        <v>0.0</v>
      </c>
      <c r="CT60" s="6">
        <v>0.0</v>
      </c>
      <c r="CU60" s="6">
        <v>0.0</v>
      </c>
      <c r="CV60" s="6">
        <f t="shared" ref="CV60:CX60" si="485">+CP60+CS60+CJ60+CM60</f>
        <v>0</v>
      </c>
      <c r="CW60" s="6">
        <f t="shared" si="485"/>
        <v>0</v>
      </c>
      <c r="CX60" s="6">
        <f t="shared" si="485"/>
        <v>0</v>
      </c>
      <c r="CY60" s="6">
        <v>0.0</v>
      </c>
      <c r="CZ60" s="6">
        <v>0.0</v>
      </c>
      <c r="DA60" s="6">
        <v>0.0</v>
      </c>
      <c r="DB60" s="6">
        <v>0.0</v>
      </c>
      <c r="DC60" s="6">
        <v>0.0</v>
      </c>
      <c r="DD60" s="6">
        <v>0.0</v>
      </c>
      <c r="DE60" s="6">
        <v>0.0</v>
      </c>
      <c r="DF60" s="6">
        <v>0.0</v>
      </c>
      <c r="DG60" s="6">
        <v>0.0</v>
      </c>
      <c r="DH60" s="6">
        <v>0.0</v>
      </c>
      <c r="DI60" s="6">
        <v>0.0</v>
      </c>
      <c r="DJ60" s="6">
        <v>0.0</v>
      </c>
      <c r="DK60" s="6">
        <f t="shared" ref="DK60:DM60" si="486">+DE60+DH60+CY60+DB60</f>
        <v>0</v>
      </c>
      <c r="DL60" s="6">
        <f t="shared" si="486"/>
        <v>0</v>
      </c>
      <c r="DM60" s="6">
        <f t="shared" si="486"/>
        <v>0</v>
      </c>
      <c r="DN60" s="6" t="str">
        <f t="shared" ref="DN60:DP60" si="487">+P60+AE60+AT60+BI60+BU60+CG60+CV60</f>
        <v>#REF!</v>
      </c>
      <c r="DO60" s="6" t="str">
        <f t="shared" si="487"/>
        <v>#REF!</v>
      </c>
      <c r="DP60" s="6" t="str">
        <f t="shared" si="487"/>
        <v>#REF!</v>
      </c>
      <c r="DQ60" s="6" t="str">
        <f t="shared" si="19"/>
        <v>#REF!</v>
      </c>
    </row>
    <row r="61" ht="13.5" customHeight="1">
      <c r="A61" s="11">
        <v>44686.0</v>
      </c>
      <c r="B61" s="2" t="s">
        <v>305</v>
      </c>
      <c r="C61" s="2" t="s">
        <v>306</v>
      </c>
      <c r="D61" s="29" t="s">
        <v>307</v>
      </c>
      <c r="E61" s="2" t="s">
        <v>308</v>
      </c>
      <c r="F61" s="11" t="s">
        <v>309</v>
      </c>
      <c r="G61" s="11" t="s">
        <v>11</v>
      </c>
      <c r="H61" s="5">
        <v>2476201.38</v>
      </c>
      <c r="I61" s="5">
        <v>2476201.38</v>
      </c>
      <c r="J61" s="6">
        <v>0.0</v>
      </c>
      <c r="K61" s="6">
        <v>0.0</v>
      </c>
      <c r="L61" s="6">
        <v>0.0</v>
      </c>
      <c r="M61" s="6">
        <v>0.0</v>
      </c>
      <c r="N61" s="6">
        <v>0.0</v>
      </c>
      <c r="O61" s="6">
        <v>0.0</v>
      </c>
      <c r="P61" s="6">
        <f t="shared" ref="P61:R61" si="488">+J61+M61</f>
        <v>0</v>
      </c>
      <c r="Q61" s="6">
        <f t="shared" si="488"/>
        <v>0</v>
      </c>
      <c r="R61" s="6">
        <f t="shared" si="488"/>
        <v>0</v>
      </c>
      <c r="S61" s="6">
        <v>0.0</v>
      </c>
      <c r="T61" s="6">
        <v>0.0</v>
      </c>
      <c r="U61" s="6">
        <v>0.0</v>
      </c>
      <c r="V61" s="6">
        <v>0.0</v>
      </c>
      <c r="W61" s="6">
        <v>0.0</v>
      </c>
      <c r="X61" s="6">
        <v>0.0</v>
      </c>
      <c r="Y61" s="6">
        <v>0.0</v>
      </c>
      <c r="Z61" s="6">
        <v>0.0</v>
      </c>
      <c r="AA61" s="6">
        <v>0.0</v>
      </c>
      <c r="AB61" s="6">
        <v>0.0</v>
      </c>
      <c r="AC61" s="6">
        <v>0.0</v>
      </c>
      <c r="AD61" s="6">
        <v>0.0</v>
      </c>
      <c r="AE61" s="6">
        <f t="shared" ref="AE61:AG61" si="489">+Y61+AB61+S61+V61</f>
        <v>0</v>
      </c>
      <c r="AF61" s="6">
        <f t="shared" si="489"/>
        <v>0</v>
      </c>
      <c r="AG61" s="6">
        <f t="shared" si="489"/>
        <v>0</v>
      </c>
      <c r="AH61" s="6">
        <v>0.0</v>
      </c>
      <c r="AI61" s="6">
        <v>0.0</v>
      </c>
      <c r="AJ61" s="6">
        <v>0.0</v>
      </c>
      <c r="AK61" s="6">
        <v>0.0</v>
      </c>
      <c r="AL61" s="6">
        <v>0.0</v>
      </c>
      <c r="AM61" s="6">
        <v>0.0</v>
      </c>
      <c r="AN61" s="5">
        <v>2476201.38</v>
      </c>
      <c r="AO61" s="5">
        <v>2476201.38</v>
      </c>
      <c r="AP61" s="6">
        <v>0.0</v>
      </c>
      <c r="AQ61" s="6">
        <v>0.0</v>
      </c>
      <c r="AR61" s="6">
        <v>0.0</v>
      </c>
      <c r="AS61" s="6">
        <v>1150000.0</v>
      </c>
      <c r="AT61" s="6">
        <f t="shared" ref="AT61:AV61" si="490">+AN61+AQ61+AH61+AK61</f>
        <v>2476201.38</v>
      </c>
      <c r="AU61" s="6">
        <f t="shared" si="490"/>
        <v>2476201.38</v>
      </c>
      <c r="AV61" s="6">
        <f t="shared" si="490"/>
        <v>1150000</v>
      </c>
      <c r="AW61" s="6">
        <v>0.0</v>
      </c>
      <c r="AX61" s="6">
        <v>0.0</v>
      </c>
      <c r="AY61" s="6">
        <v>1030000.0</v>
      </c>
      <c r="AZ61" s="6">
        <v>0.0</v>
      </c>
      <c r="BA61" s="6">
        <v>0.0</v>
      </c>
      <c r="BB61" s="6">
        <v>296201.38</v>
      </c>
      <c r="BC61" s="6">
        <v>0.0</v>
      </c>
      <c r="BD61" s="6">
        <v>0.0</v>
      </c>
      <c r="BE61" s="6">
        <v>0.0</v>
      </c>
      <c r="BF61" s="6">
        <v>0.0</v>
      </c>
      <c r="BG61" s="6">
        <v>0.0</v>
      </c>
      <c r="BH61" s="6">
        <v>0.0</v>
      </c>
      <c r="BI61" s="6">
        <f t="shared" ref="BI61:BK61" si="491">+BC61+BF61+AW61+AZ61</f>
        <v>0</v>
      </c>
      <c r="BJ61" s="6">
        <f t="shared" si="491"/>
        <v>0</v>
      </c>
      <c r="BK61" s="6">
        <f t="shared" si="491"/>
        <v>1326201.38</v>
      </c>
      <c r="BL61" s="6">
        <v>0.0</v>
      </c>
      <c r="BM61" s="6">
        <v>0.0</v>
      </c>
      <c r="BN61" s="6">
        <v>0.0</v>
      </c>
      <c r="BO61" s="6">
        <v>0.0</v>
      </c>
      <c r="BP61" s="6">
        <v>0.0</v>
      </c>
      <c r="BQ61" s="6">
        <v>0.0</v>
      </c>
      <c r="BR61" s="6">
        <v>0.0</v>
      </c>
      <c r="BS61" s="6">
        <v>0.0</v>
      </c>
      <c r="BT61" s="6">
        <v>0.0</v>
      </c>
      <c r="BU61" s="6" t="str">
        <f t="shared" ref="BU61:BW61" si="492">+BO61+BR61+#REF!+BL61</f>
        <v>#REF!</v>
      </c>
      <c r="BV61" s="6" t="str">
        <f t="shared" si="492"/>
        <v>#REF!</v>
      </c>
      <c r="BW61" s="6" t="str">
        <f t="shared" si="492"/>
        <v>#REF!</v>
      </c>
      <c r="BX61" s="6">
        <v>0.0</v>
      </c>
      <c r="BY61" s="6">
        <v>0.0</v>
      </c>
      <c r="BZ61" s="6">
        <v>0.0</v>
      </c>
      <c r="CA61" s="6">
        <v>0.0</v>
      </c>
      <c r="CB61" s="6">
        <v>0.0</v>
      </c>
      <c r="CC61" s="6">
        <v>0.0</v>
      </c>
      <c r="CD61" s="6">
        <v>0.0</v>
      </c>
      <c r="CE61" s="6">
        <v>0.0</v>
      </c>
      <c r="CF61" s="6">
        <v>0.0</v>
      </c>
      <c r="CG61" s="6" t="str">
        <f t="shared" ref="CG61:CI61" si="493">+CA61+CD61+BX61+#REF!</f>
        <v>#REF!</v>
      </c>
      <c r="CH61" s="6" t="str">
        <f t="shared" si="493"/>
        <v>#REF!</v>
      </c>
      <c r="CI61" s="6" t="str">
        <f t="shared" si="493"/>
        <v>#REF!</v>
      </c>
      <c r="CJ61" s="6">
        <v>0.0</v>
      </c>
      <c r="CK61" s="6">
        <v>0.0</v>
      </c>
      <c r="CL61" s="6">
        <v>0.0</v>
      </c>
      <c r="CM61" s="6">
        <v>0.0</v>
      </c>
      <c r="CN61" s="6">
        <v>0.0</v>
      </c>
      <c r="CO61" s="6">
        <v>0.0</v>
      </c>
      <c r="CP61" s="6">
        <v>0.0</v>
      </c>
      <c r="CQ61" s="6">
        <v>0.0</v>
      </c>
      <c r="CR61" s="6">
        <v>0.0</v>
      </c>
      <c r="CS61" s="6">
        <v>0.0</v>
      </c>
      <c r="CT61" s="6">
        <v>0.0</v>
      </c>
      <c r="CU61" s="6">
        <v>0.0</v>
      </c>
      <c r="CV61" s="6">
        <f t="shared" ref="CV61:CX61" si="494">+CP61+CS61+CJ61+CM61</f>
        <v>0</v>
      </c>
      <c r="CW61" s="6">
        <f t="shared" si="494"/>
        <v>0</v>
      </c>
      <c r="CX61" s="6">
        <f t="shared" si="494"/>
        <v>0</v>
      </c>
      <c r="CY61" s="6">
        <v>0.0</v>
      </c>
      <c r="CZ61" s="6">
        <v>0.0</v>
      </c>
      <c r="DA61" s="6">
        <v>0.0</v>
      </c>
      <c r="DB61" s="6">
        <v>0.0</v>
      </c>
      <c r="DC61" s="6">
        <v>0.0</v>
      </c>
      <c r="DD61" s="6">
        <v>0.0</v>
      </c>
      <c r="DE61" s="6">
        <v>0.0</v>
      </c>
      <c r="DF61" s="6">
        <v>0.0</v>
      </c>
      <c r="DG61" s="6">
        <v>0.0</v>
      </c>
      <c r="DH61" s="6">
        <v>0.0</v>
      </c>
      <c r="DI61" s="6">
        <v>0.0</v>
      </c>
      <c r="DJ61" s="6">
        <v>0.0</v>
      </c>
      <c r="DK61" s="6">
        <f t="shared" ref="DK61:DM61" si="495">+DE61+DH61+CY61+DB61</f>
        <v>0</v>
      </c>
      <c r="DL61" s="6">
        <f t="shared" si="495"/>
        <v>0</v>
      </c>
      <c r="DM61" s="6">
        <f t="shared" si="495"/>
        <v>0</v>
      </c>
      <c r="DN61" s="6" t="str">
        <f t="shared" ref="DN61:DP61" si="496">+P61+AE61+AT61+BI61+BU61+CG61+CV61</f>
        <v>#REF!</v>
      </c>
      <c r="DO61" s="6" t="str">
        <f t="shared" si="496"/>
        <v>#REF!</v>
      </c>
      <c r="DP61" s="6" t="str">
        <f t="shared" si="496"/>
        <v>#REF!</v>
      </c>
      <c r="DQ61" s="6" t="str">
        <f t="shared" si="19"/>
        <v>#REF!</v>
      </c>
    </row>
    <row r="62" ht="13.5" customHeight="1">
      <c r="A62" s="11">
        <v>44686.0</v>
      </c>
      <c r="B62" s="2" t="s">
        <v>305</v>
      </c>
      <c r="C62" s="2" t="s">
        <v>306</v>
      </c>
      <c r="D62" s="29" t="s">
        <v>307</v>
      </c>
      <c r="E62" s="2" t="s">
        <v>308</v>
      </c>
      <c r="F62" s="11" t="s">
        <v>310</v>
      </c>
      <c r="G62" s="11" t="s">
        <v>11</v>
      </c>
      <c r="H62" s="5">
        <v>198096.11</v>
      </c>
      <c r="I62" s="5">
        <v>198096.11</v>
      </c>
      <c r="J62" s="6">
        <v>0.0</v>
      </c>
      <c r="K62" s="6">
        <v>0.0</v>
      </c>
      <c r="L62" s="6">
        <v>0.0</v>
      </c>
      <c r="M62" s="6">
        <v>0.0</v>
      </c>
      <c r="N62" s="6">
        <v>0.0</v>
      </c>
      <c r="O62" s="6">
        <v>0.0</v>
      </c>
      <c r="P62" s="6">
        <f t="shared" ref="P62:R62" si="497">+J62+M62</f>
        <v>0</v>
      </c>
      <c r="Q62" s="6">
        <f t="shared" si="497"/>
        <v>0</v>
      </c>
      <c r="R62" s="6">
        <f t="shared" si="497"/>
        <v>0</v>
      </c>
      <c r="S62" s="6">
        <v>0.0</v>
      </c>
      <c r="T62" s="6">
        <v>0.0</v>
      </c>
      <c r="U62" s="6">
        <v>0.0</v>
      </c>
      <c r="V62" s="6">
        <v>0.0</v>
      </c>
      <c r="W62" s="6">
        <v>0.0</v>
      </c>
      <c r="X62" s="6">
        <v>0.0</v>
      </c>
      <c r="Y62" s="6">
        <v>0.0</v>
      </c>
      <c r="Z62" s="6">
        <v>0.0</v>
      </c>
      <c r="AA62" s="6">
        <v>0.0</v>
      </c>
      <c r="AB62" s="6">
        <v>0.0</v>
      </c>
      <c r="AC62" s="6">
        <v>0.0</v>
      </c>
      <c r="AD62" s="6">
        <v>0.0</v>
      </c>
      <c r="AE62" s="6">
        <f t="shared" ref="AE62:AG62" si="498">+Y62+AB62+S62+V62</f>
        <v>0</v>
      </c>
      <c r="AF62" s="6">
        <f t="shared" si="498"/>
        <v>0</v>
      </c>
      <c r="AG62" s="6">
        <f t="shared" si="498"/>
        <v>0</v>
      </c>
      <c r="AH62" s="6">
        <v>0.0</v>
      </c>
      <c r="AI62" s="6">
        <v>0.0</v>
      </c>
      <c r="AJ62" s="6">
        <v>0.0</v>
      </c>
      <c r="AK62" s="6">
        <v>0.0</v>
      </c>
      <c r="AL62" s="6">
        <v>0.0</v>
      </c>
      <c r="AM62" s="6">
        <v>0.0</v>
      </c>
      <c r="AN62" s="5">
        <v>198096.11</v>
      </c>
      <c r="AO62" s="5">
        <v>198096.11</v>
      </c>
      <c r="AP62" s="6">
        <v>0.0</v>
      </c>
      <c r="AQ62" s="6">
        <v>0.0</v>
      </c>
      <c r="AR62" s="6">
        <v>0.0</v>
      </c>
      <c r="AS62" s="6">
        <v>50000.0</v>
      </c>
      <c r="AT62" s="6">
        <f t="shared" ref="AT62:AV62" si="499">+AN62+AQ62+AH62+AK62</f>
        <v>198096.11</v>
      </c>
      <c r="AU62" s="6">
        <f t="shared" si="499"/>
        <v>198096.11</v>
      </c>
      <c r="AV62" s="6">
        <f t="shared" si="499"/>
        <v>50000</v>
      </c>
      <c r="AW62" s="6">
        <v>0.0</v>
      </c>
      <c r="AX62" s="6">
        <v>0.0</v>
      </c>
      <c r="AY62" s="6">
        <v>74048.06</v>
      </c>
      <c r="AZ62" s="6">
        <v>0.0</v>
      </c>
      <c r="BA62" s="6">
        <v>0.0</v>
      </c>
      <c r="BB62" s="6">
        <v>74048.05</v>
      </c>
      <c r="BC62" s="6">
        <v>0.0</v>
      </c>
      <c r="BD62" s="6">
        <v>0.0</v>
      </c>
      <c r="BE62" s="6">
        <v>0.0</v>
      </c>
      <c r="BF62" s="6">
        <v>0.0</v>
      </c>
      <c r="BG62" s="6">
        <v>0.0</v>
      </c>
      <c r="BH62" s="6">
        <v>0.0</v>
      </c>
      <c r="BI62" s="6">
        <f t="shared" ref="BI62:BK62" si="500">+BC62+BF62+AW62+AZ62</f>
        <v>0</v>
      </c>
      <c r="BJ62" s="6">
        <f t="shared" si="500"/>
        <v>0</v>
      </c>
      <c r="BK62" s="6">
        <f t="shared" si="500"/>
        <v>148096.11</v>
      </c>
      <c r="BL62" s="6">
        <v>0.0</v>
      </c>
      <c r="BM62" s="6">
        <v>0.0</v>
      </c>
      <c r="BN62" s="6">
        <v>0.0</v>
      </c>
      <c r="BO62" s="6">
        <v>0.0</v>
      </c>
      <c r="BP62" s="6">
        <v>0.0</v>
      </c>
      <c r="BQ62" s="6">
        <v>0.0</v>
      </c>
      <c r="BR62" s="6">
        <v>0.0</v>
      </c>
      <c r="BS62" s="6">
        <v>0.0</v>
      </c>
      <c r="BT62" s="6">
        <v>0.0</v>
      </c>
      <c r="BU62" s="6" t="str">
        <f t="shared" ref="BU62:BW62" si="501">+BO62+BR62+#REF!+BL62</f>
        <v>#REF!</v>
      </c>
      <c r="BV62" s="6" t="str">
        <f t="shared" si="501"/>
        <v>#REF!</v>
      </c>
      <c r="BW62" s="6" t="str">
        <f t="shared" si="501"/>
        <v>#REF!</v>
      </c>
      <c r="BX62" s="6">
        <v>0.0</v>
      </c>
      <c r="BY62" s="6">
        <v>0.0</v>
      </c>
      <c r="BZ62" s="6">
        <v>0.0</v>
      </c>
      <c r="CA62" s="6">
        <v>0.0</v>
      </c>
      <c r="CB62" s="6">
        <v>0.0</v>
      </c>
      <c r="CC62" s="6">
        <v>0.0</v>
      </c>
      <c r="CD62" s="6">
        <v>0.0</v>
      </c>
      <c r="CE62" s="6">
        <v>0.0</v>
      </c>
      <c r="CF62" s="6">
        <v>0.0</v>
      </c>
      <c r="CG62" s="6" t="str">
        <f t="shared" ref="CG62:CI62" si="502">+CA62+CD62+BX62+#REF!</f>
        <v>#REF!</v>
      </c>
      <c r="CH62" s="6" t="str">
        <f t="shared" si="502"/>
        <v>#REF!</v>
      </c>
      <c r="CI62" s="6" t="str">
        <f t="shared" si="502"/>
        <v>#REF!</v>
      </c>
      <c r="CJ62" s="6">
        <v>0.0</v>
      </c>
      <c r="CK62" s="6">
        <v>0.0</v>
      </c>
      <c r="CL62" s="6">
        <v>0.0</v>
      </c>
      <c r="CM62" s="6">
        <v>0.0</v>
      </c>
      <c r="CN62" s="6">
        <v>0.0</v>
      </c>
      <c r="CO62" s="6">
        <v>0.0</v>
      </c>
      <c r="CP62" s="6">
        <v>0.0</v>
      </c>
      <c r="CQ62" s="6">
        <v>0.0</v>
      </c>
      <c r="CR62" s="6">
        <v>0.0</v>
      </c>
      <c r="CS62" s="6">
        <v>0.0</v>
      </c>
      <c r="CT62" s="6">
        <v>0.0</v>
      </c>
      <c r="CU62" s="6">
        <v>0.0</v>
      </c>
      <c r="CV62" s="6">
        <f t="shared" ref="CV62:CX62" si="503">+CP62+CS62+CJ62+CM62</f>
        <v>0</v>
      </c>
      <c r="CW62" s="6">
        <f t="shared" si="503"/>
        <v>0</v>
      </c>
      <c r="CX62" s="6">
        <f t="shared" si="503"/>
        <v>0</v>
      </c>
      <c r="CY62" s="6">
        <v>0.0</v>
      </c>
      <c r="CZ62" s="6">
        <v>0.0</v>
      </c>
      <c r="DA62" s="6">
        <v>0.0</v>
      </c>
      <c r="DB62" s="6">
        <v>0.0</v>
      </c>
      <c r="DC62" s="6">
        <v>0.0</v>
      </c>
      <c r="DD62" s="6">
        <v>0.0</v>
      </c>
      <c r="DE62" s="6">
        <v>0.0</v>
      </c>
      <c r="DF62" s="6">
        <v>0.0</v>
      </c>
      <c r="DG62" s="6">
        <v>0.0</v>
      </c>
      <c r="DH62" s="6">
        <v>0.0</v>
      </c>
      <c r="DI62" s="6">
        <v>0.0</v>
      </c>
      <c r="DJ62" s="6">
        <v>0.0</v>
      </c>
      <c r="DK62" s="6">
        <f t="shared" ref="DK62:DM62" si="504">+DE62+DH62+CY62+DB62</f>
        <v>0</v>
      </c>
      <c r="DL62" s="6">
        <f t="shared" si="504"/>
        <v>0</v>
      </c>
      <c r="DM62" s="6">
        <f t="shared" si="504"/>
        <v>0</v>
      </c>
      <c r="DN62" s="6" t="str">
        <f t="shared" ref="DN62:DP62" si="505">+P62+AE62+AT62+BI62+BU62+CG62+CV62</f>
        <v>#REF!</v>
      </c>
      <c r="DO62" s="6" t="str">
        <f t="shared" si="505"/>
        <v>#REF!</v>
      </c>
      <c r="DP62" s="6" t="str">
        <f t="shared" si="505"/>
        <v>#REF!</v>
      </c>
      <c r="DQ62" s="6" t="str">
        <f t="shared" si="19"/>
        <v>#REF!</v>
      </c>
    </row>
    <row r="63" ht="13.5" customHeight="1">
      <c r="A63" s="11">
        <v>44718.0</v>
      </c>
      <c r="B63" s="2" t="s">
        <v>311</v>
      </c>
      <c r="C63" s="2" t="s">
        <v>312</v>
      </c>
      <c r="D63" s="29" t="s">
        <v>313</v>
      </c>
      <c r="E63" s="2" t="s">
        <v>314</v>
      </c>
      <c r="F63" s="11" t="s">
        <v>315</v>
      </c>
      <c r="G63" s="11" t="s">
        <v>11</v>
      </c>
      <c r="H63" s="5">
        <v>3858000.0</v>
      </c>
      <c r="I63" s="5">
        <v>3858000.0</v>
      </c>
      <c r="J63" s="6">
        <v>0.0</v>
      </c>
      <c r="K63" s="6">
        <v>0.0</v>
      </c>
      <c r="L63" s="6">
        <v>0.0</v>
      </c>
      <c r="M63" s="6">
        <v>0.0</v>
      </c>
      <c r="N63" s="6">
        <v>0.0</v>
      </c>
      <c r="O63" s="6">
        <v>0.0</v>
      </c>
      <c r="P63" s="6">
        <f t="shared" ref="P63:R63" si="506">+J63+M63</f>
        <v>0</v>
      </c>
      <c r="Q63" s="6">
        <f t="shared" si="506"/>
        <v>0</v>
      </c>
      <c r="R63" s="6">
        <f t="shared" si="506"/>
        <v>0</v>
      </c>
      <c r="S63" s="6">
        <v>0.0</v>
      </c>
      <c r="T63" s="6">
        <v>0.0</v>
      </c>
      <c r="U63" s="6">
        <v>0.0</v>
      </c>
      <c r="V63" s="6">
        <v>0.0</v>
      </c>
      <c r="W63" s="6">
        <v>0.0</v>
      </c>
      <c r="X63" s="6">
        <v>0.0</v>
      </c>
      <c r="Y63" s="6">
        <v>0.0</v>
      </c>
      <c r="Z63" s="6">
        <v>0.0</v>
      </c>
      <c r="AA63" s="6">
        <v>0.0</v>
      </c>
      <c r="AB63" s="6">
        <v>0.0</v>
      </c>
      <c r="AC63" s="6">
        <v>0.0</v>
      </c>
      <c r="AD63" s="6">
        <v>0.0</v>
      </c>
      <c r="AE63" s="6">
        <f t="shared" ref="AE63:AG63" si="507">+Y63+AB63+S63+V63</f>
        <v>0</v>
      </c>
      <c r="AF63" s="6">
        <f t="shared" si="507"/>
        <v>0</v>
      </c>
      <c r="AG63" s="6">
        <f t="shared" si="507"/>
        <v>0</v>
      </c>
      <c r="AH63" s="6">
        <v>0.0</v>
      </c>
      <c r="AI63" s="6">
        <v>0.0</v>
      </c>
      <c r="AJ63" s="6">
        <v>0.0</v>
      </c>
      <c r="AK63" s="6">
        <v>0.0</v>
      </c>
      <c r="AL63" s="6">
        <v>0.0</v>
      </c>
      <c r="AM63" s="6">
        <v>0.0</v>
      </c>
      <c r="AN63" s="5">
        <v>3858000.0</v>
      </c>
      <c r="AO63" s="5">
        <v>3858000.0</v>
      </c>
      <c r="AP63" s="6">
        <v>0.0</v>
      </c>
      <c r="AQ63" s="6">
        <v>0.0</v>
      </c>
      <c r="AR63" s="6">
        <v>0.0</v>
      </c>
      <c r="AS63" s="6">
        <v>643000.0</v>
      </c>
      <c r="AT63" s="6">
        <f t="shared" ref="AT63:AV63" si="508">+AN63+AQ63+AH63+AK63</f>
        <v>3858000</v>
      </c>
      <c r="AU63" s="6">
        <f t="shared" si="508"/>
        <v>3858000</v>
      </c>
      <c r="AV63" s="6">
        <f t="shared" si="508"/>
        <v>643000</v>
      </c>
      <c r="AW63" s="6">
        <v>0.0</v>
      </c>
      <c r="AX63" s="6">
        <v>0.0</v>
      </c>
      <c r="AY63" s="6">
        <v>803750.0</v>
      </c>
      <c r="AZ63" s="6">
        <v>0.0</v>
      </c>
      <c r="BA63" s="6">
        <v>0.0</v>
      </c>
      <c r="BB63" s="6">
        <v>1000000.0</v>
      </c>
      <c r="BC63" s="6">
        <v>0.0</v>
      </c>
      <c r="BD63" s="6">
        <v>0.0</v>
      </c>
      <c r="BE63" s="6">
        <v>850000.0</v>
      </c>
      <c r="BF63" s="6">
        <v>0.0</v>
      </c>
      <c r="BG63" s="6">
        <v>0.0</v>
      </c>
      <c r="BH63" s="6">
        <v>561250.0</v>
      </c>
      <c r="BI63" s="6">
        <f t="shared" ref="BI63:BK63" si="509">+BC63+BF63+AW63+AZ63</f>
        <v>0</v>
      </c>
      <c r="BJ63" s="6">
        <f t="shared" si="509"/>
        <v>0</v>
      </c>
      <c r="BK63" s="6">
        <f t="shared" si="509"/>
        <v>3215000</v>
      </c>
      <c r="BL63" s="6">
        <v>0.0</v>
      </c>
      <c r="BM63" s="6">
        <v>0.0</v>
      </c>
      <c r="BN63" s="6">
        <v>0.0</v>
      </c>
      <c r="BO63" s="6">
        <v>0.0</v>
      </c>
      <c r="BP63" s="6">
        <v>0.0</v>
      </c>
      <c r="BQ63" s="6">
        <v>0.0</v>
      </c>
      <c r="BR63" s="6">
        <v>0.0</v>
      </c>
      <c r="BS63" s="6">
        <v>0.0</v>
      </c>
      <c r="BT63" s="6">
        <v>0.0</v>
      </c>
      <c r="BU63" s="6" t="str">
        <f t="shared" ref="BU63:BW63" si="510">+BO63+BR63+#REF!+BL63</f>
        <v>#REF!</v>
      </c>
      <c r="BV63" s="6" t="str">
        <f t="shared" si="510"/>
        <v>#REF!</v>
      </c>
      <c r="BW63" s="6" t="str">
        <f t="shared" si="510"/>
        <v>#REF!</v>
      </c>
      <c r="BX63" s="6">
        <v>0.0</v>
      </c>
      <c r="BY63" s="6">
        <v>0.0</v>
      </c>
      <c r="BZ63" s="6">
        <v>0.0</v>
      </c>
      <c r="CA63" s="6">
        <v>0.0</v>
      </c>
      <c r="CB63" s="6">
        <v>0.0</v>
      </c>
      <c r="CC63" s="6">
        <v>0.0</v>
      </c>
      <c r="CD63" s="6">
        <v>0.0</v>
      </c>
      <c r="CE63" s="6">
        <v>0.0</v>
      </c>
      <c r="CF63" s="6">
        <v>0.0</v>
      </c>
      <c r="CG63" s="6" t="str">
        <f t="shared" ref="CG63:CI63" si="511">+CA63+CD63+BX63+#REF!</f>
        <v>#REF!</v>
      </c>
      <c r="CH63" s="6" t="str">
        <f t="shared" si="511"/>
        <v>#REF!</v>
      </c>
      <c r="CI63" s="6" t="str">
        <f t="shared" si="511"/>
        <v>#REF!</v>
      </c>
      <c r="CJ63" s="6">
        <v>0.0</v>
      </c>
      <c r="CK63" s="6">
        <v>0.0</v>
      </c>
      <c r="CL63" s="6">
        <v>0.0</v>
      </c>
      <c r="CM63" s="6">
        <v>0.0</v>
      </c>
      <c r="CN63" s="6">
        <v>0.0</v>
      </c>
      <c r="CO63" s="6">
        <v>0.0</v>
      </c>
      <c r="CP63" s="6">
        <v>0.0</v>
      </c>
      <c r="CQ63" s="6">
        <v>0.0</v>
      </c>
      <c r="CR63" s="6">
        <v>0.0</v>
      </c>
      <c r="CS63" s="6">
        <v>0.0</v>
      </c>
      <c r="CT63" s="6">
        <v>0.0</v>
      </c>
      <c r="CU63" s="6">
        <v>0.0</v>
      </c>
      <c r="CV63" s="6">
        <f t="shared" ref="CV63:CX63" si="512">+CP63+CS63+CJ63+CM63</f>
        <v>0</v>
      </c>
      <c r="CW63" s="6">
        <f t="shared" si="512"/>
        <v>0</v>
      </c>
      <c r="CX63" s="6">
        <f t="shared" si="512"/>
        <v>0</v>
      </c>
      <c r="CY63" s="6">
        <v>0.0</v>
      </c>
      <c r="CZ63" s="6">
        <v>0.0</v>
      </c>
      <c r="DA63" s="6">
        <v>0.0</v>
      </c>
      <c r="DB63" s="6">
        <v>0.0</v>
      </c>
      <c r="DC63" s="6">
        <v>0.0</v>
      </c>
      <c r="DD63" s="6">
        <v>0.0</v>
      </c>
      <c r="DE63" s="6">
        <v>0.0</v>
      </c>
      <c r="DF63" s="6">
        <v>0.0</v>
      </c>
      <c r="DG63" s="6">
        <v>0.0</v>
      </c>
      <c r="DH63" s="6">
        <v>0.0</v>
      </c>
      <c r="DI63" s="6">
        <v>0.0</v>
      </c>
      <c r="DJ63" s="6">
        <v>0.0</v>
      </c>
      <c r="DK63" s="6">
        <f t="shared" ref="DK63:DM63" si="513">+DE63+DH63+CY63+DB63</f>
        <v>0</v>
      </c>
      <c r="DL63" s="6">
        <f t="shared" si="513"/>
        <v>0</v>
      </c>
      <c r="DM63" s="6">
        <f t="shared" si="513"/>
        <v>0</v>
      </c>
      <c r="DN63" s="6" t="str">
        <f t="shared" ref="DN63:DP63" si="514">+P63+AE63+AT63+BI63+BU63+CG63+CV63</f>
        <v>#REF!</v>
      </c>
      <c r="DO63" s="6" t="str">
        <f t="shared" si="514"/>
        <v>#REF!</v>
      </c>
      <c r="DP63" s="6" t="str">
        <f t="shared" si="514"/>
        <v>#REF!</v>
      </c>
      <c r="DQ63" s="6" t="str">
        <f t="shared" si="19"/>
        <v>#REF!</v>
      </c>
    </row>
    <row r="64" ht="13.5" customHeight="1">
      <c r="A64" s="11">
        <v>44797.0</v>
      </c>
      <c r="B64" s="2" t="s">
        <v>316</v>
      </c>
      <c r="C64" s="2" t="s">
        <v>317</v>
      </c>
      <c r="D64" s="29" t="s">
        <v>318</v>
      </c>
      <c r="E64" s="2" t="s">
        <v>319</v>
      </c>
      <c r="F64" s="11" t="s">
        <v>320</v>
      </c>
      <c r="G64" s="11" t="s">
        <v>12</v>
      </c>
      <c r="H64" s="5">
        <v>1690000.0</v>
      </c>
      <c r="I64" s="5">
        <v>1690000.0</v>
      </c>
      <c r="J64" s="6">
        <v>0.0</v>
      </c>
      <c r="K64" s="6">
        <v>0.0</v>
      </c>
      <c r="L64" s="6">
        <v>0.0</v>
      </c>
      <c r="M64" s="6">
        <v>0.0</v>
      </c>
      <c r="N64" s="6">
        <v>0.0</v>
      </c>
      <c r="O64" s="6">
        <v>0.0</v>
      </c>
      <c r="P64" s="6">
        <f t="shared" ref="P64:R64" si="515">+J64+M64</f>
        <v>0</v>
      </c>
      <c r="Q64" s="6">
        <f t="shared" si="515"/>
        <v>0</v>
      </c>
      <c r="R64" s="6">
        <f t="shared" si="515"/>
        <v>0</v>
      </c>
      <c r="S64" s="6">
        <v>0.0</v>
      </c>
      <c r="T64" s="6">
        <v>0.0</v>
      </c>
      <c r="U64" s="6">
        <v>0.0</v>
      </c>
      <c r="V64" s="6">
        <v>0.0</v>
      </c>
      <c r="W64" s="6">
        <v>0.0</v>
      </c>
      <c r="X64" s="6">
        <v>0.0</v>
      </c>
      <c r="Y64" s="6">
        <v>0.0</v>
      </c>
      <c r="Z64" s="6">
        <v>0.0</v>
      </c>
      <c r="AA64" s="6">
        <v>0.0</v>
      </c>
      <c r="AB64" s="6">
        <v>0.0</v>
      </c>
      <c r="AC64" s="6">
        <v>0.0</v>
      </c>
      <c r="AD64" s="6">
        <v>0.0</v>
      </c>
      <c r="AE64" s="6">
        <f t="shared" ref="AE64:AG64" si="516">+Y64+AB64+S64+V64</f>
        <v>0</v>
      </c>
      <c r="AF64" s="6">
        <f t="shared" si="516"/>
        <v>0</v>
      </c>
      <c r="AG64" s="6">
        <f t="shared" si="516"/>
        <v>0</v>
      </c>
      <c r="AH64" s="6">
        <v>0.0</v>
      </c>
      <c r="AI64" s="6">
        <v>0.0</v>
      </c>
      <c r="AJ64" s="6">
        <v>0.0</v>
      </c>
      <c r="AK64" s="6">
        <v>0.0</v>
      </c>
      <c r="AL64" s="6">
        <v>0.0</v>
      </c>
      <c r="AM64" s="6">
        <v>0.0</v>
      </c>
      <c r="AN64" s="6">
        <v>0.0</v>
      </c>
      <c r="AO64" s="6">
        <v>0.0</v>
      </c>
      <c r="AP64" s="6">
        <v>0.0</v>
      </c>
      <c r="AQ64" s="5">
        <v>1690000.0</v>
      </c>
      <c r="AR64" s="5">
        <v>1690000.0</v>
      </c>
      <c r="AS64" s="6">
        <v>0.0</v>
      </c>
      <c r="AT64" s="6">
        <f t="shared" ref="AT64:AV64" si="517">+AN64+AQ64+AH64+AK64</f>
        <v>1690000</v>
      </c>
      <c r="AU64" s="6">
        <f t="shared" si="517"/>
        <v>1690000</v>
      </c>
      <c r="AV64" s="6">
        <f t="shared" si="517"/>
        <v>0</v>
      </c>
      <c r="AW64" s="6">
        <v>0.0</v>
      </c>
      <c r="AX64" s="6">
        <v>0.0</v>
      </c>
      <c r="AY64" s="6">
        <v>1600000.0</v>
      </c>
      <c r="AZ64" s="6">
        <v>0.0</v>
      </c>
      <c r="BA64" s="6">
        <v>0.0</v>
      </c>
      <c r="BB64" s="6">
        <v>90000.0</v>
      </c>
      <c r="BC64" s="6">
        <v>0.0</v>
      </c>
      <c r="BD64" s="6">
        <v>0.0</v>
      </c>
      <c r="BE64" s="6">
        <v>0.0</v>
      </c>
      <c r="BF64" s="6">
        <v>0.0</v>
      </c>
      <c r="BG64" s="6">
        <v>0.0</v>
      </c>
      <c r="BH64" s="6">
        <v>0.0</v>
      </c>
      <c r="BI64" s="6">
        <f t="shared" ref="BI64:BK64" si="518">+BC64+BF64+AW64+AZ64</f>
        <v>0</v>
      </c>
      <c r="BJ64" s="6">
        <f t="shared" si="518"/>
        <v>0</v>
      </c>
      <c r="BK64" s="6">
        <f t="shared" si="518"/>
        <v>1690000</v>
      </c>
      <c r="BL64" s="6">
        <v>0.0</v>
      </c>
      <c r="BM64" s="6">
        <v>0.0</v>
      </c>
      <c r="BN64" s="6">
        <v>0.0</v>
      </c>
      <c r="BO64" s="6">
        <v>0.0</v>
      </c>
      <c r="BP64" s="6">
        <v>0.0</v>
      </c>
      <c r="BQ64" s="6">
        <v>0.0</v>
      </c>
      <c r="BR64" s="6">
        <v>0.0</v>
      </c>
      <c r="BS64" s="6">
        <v>0.0</v>
      </c>
      <c r="BT64" s="6">
        <v>0.0</v>
      </c>
      <c r="BU64" s="6" t="str">
        <f t="shared" ref="BU64:BW64" si="519">+BO64+BR64+#REF!+BL64</f>
        <v>#REF!</v>
      </c>
      <c r="BV64" s="6" t="str">
        <f t="shared" si="519"/>
        <v>#REF!</v>
      </c>
      <c r="BW64" s="6" t="str">
        <f t="shared" si="519"/>
        <v>#REF!</v>
      </c>
      <c r="BX64" s="6">
        <v>0.0</v>
      </c>
      <c r="BY64" s="6">
        <v>0.0</v>
      </c>
      <c r="BZ64" s="6">
        <v>0.0</v>
      </c>
      <c r="CA64" s="6">
        <v>0.0</v>
      </c>
      <c r="CB64" s="6">
        <v>0.0</v>
      </c>
      <c r="CC64" s="6">
        <v>0.0</v>
      </c>
      <c r="CD64" s="6">
        <v>0.0</v>
      </c>
      <c r="CE64" s="6">
        <v>0.0</v>
      </c>
      <c r="CF64" s="6">
        <v>0.0</v>
      </c>
      <c r="CG64" s="6" t="str">
        <f t="shared" ref="CG64:CI64" si="520">+CA64+CD64+BX64+#REF!</f>
        <v>#REF!</v>
      </c>
      <c r="CH64" s="6" t="str">
        <f t="shared" si="520"/>
        <v>#REF!</v>
      </c>
      <c r="CI64" s="6" t="str">
        <f t="shared" si="520"/>
        <v>#REF!</v>
      </c>
      <c r="CJ64" s="6">
        <v>0.0</v>
      </c>
      <c r="CK64" s="6">
        <v>0.0</v>
      </c>
      <c r="CL64" s="6">
        <v>0.0</v>
      </c>
      <c r="CM64" s="6">
        <v>0.0</v>
      </c>
      <c r="CN64" s="6">
        <v>0.0</v>
      </c>
      <c r="CO64" s="6">
        <v>0.0</v>
      </c>
      <c r="CP64" s="6">
        <v>0.0</v>
      </c>
      <c r="CQ64" s="6">
        <v>0.0</v>
      </c>
      <c r="CR64" s="6">
        <v>0.0</v>
      </c>
      <c r="CS64" s="6">
        <v>0.0</v>
      </c>
      <c r="CT64" s="6">
        <v>0.0</v>
      </c>
      <c r="CU64" s="6">
        <v>0.0</v>
      </c>
      <c r="CV64" s="6">
        <f t="shared" ref="CV64:CX64" si="521">+CP64+CS64+CJ64+CM64</f>
        <v>0</v>
      </c>
      <c r="CW64" s="6">
        <f t="shared" si="521"/>
        <v>0</v>
      </c>
      <c r="CX64" s="6">
        <f t="shared" si="521"/>
        <v>0</v>
      </c>
      <c r="CY64" s="6">
        <v>0.0</v>
      </c>
      <c r="CZ64" s="6">
        <v>0.0</v>
      </c>
      <c r="DA64" s="6">
        <v>0.0</v>
      </c>
      <c r="DB64" s="6">
        <v>0.0</v>
      </c>
      <c r="DC64" s="6">
        <v>0.0</v>
      </c>
      <c r="DD64" s="6">
        <v>0.0</v>
      </c>
      <c r="DE64" s="6">
        <v>0.0</v>
      </c>
      <c r="DF64" s="6">
        <v>0.0</v>
      </c>
      <c r="DG64" s="6">
        <v>0.0</v>
      </c>
      <c r="DH64" s="6">
        <v>0.0</v>
      </c>
      <c r="DI64" s="6">
        <v>0.0</v>
      </c>
      <c r="DJ64" s="6">
        <v>0.0</v>
      </c>
      <c r="DK64" s="6">
        <f t="shared" ref="DK64:DM64" si="522">+DE64+DH64+CY64+DB64</f>
        <v>0</v>
      </c>
      <c r="DL64" s="6">
        <f t="shared" si="522"/>
        <v>0</v>
      </c>
      <c r="DM64" s="6">
        <f t="shared" si="522"/>
        <v>0</v>
      </c>
      <c r="DN64" s="6" t="str">
        <f t="shared" ref="DN64:DP64" si="523">+P64+AE64+AT64+BI64+BU64+CG64+CV64</f>
        <v>#REF!</v>
      </c>
      <c r="DO64" s="6" t="str">
        <f t="shared" si="523"/>
        <v>#REF!</v>
      </c>
      <c r="DP64" s="6" t="str">
        <f t="shared" si="523"/>
        <v>#REF!</v>
      </c>
      <c r="DQ64" s="6" t="str">
        <f t="shared" si="19"/>
        <v>#REF!</v>
      </c>
    </row>
    <row r="65" ht="13.5" customHeight="1">
      <c r="A65" s="11">
        <v>44783.0</v>
      </c>
      <c r="B65" s="2" t="s">
        <v>321</v>
      </c>
      <c r="C65" s="2" t="s">
        <v>322</v>
      </c>
      <c r="D65" s="29" t="s">
        <v>323</v>
      </c>
      <c r="E65" s="2" t="s">
        <v>324</v>
      </c>
      <c r="F65" s="11" t="s">
        <v>325</v>
      </c>
      <c r="G65" s="11" t="s">
        <v>12</v>
      </c>
      <c r="H65" s="5">
        <v>2250000.0</v>
      </c>
      <c r="I65" s="5">
        <v>2250000.0</v>
      </c>
      <c r="J65" s="6">
        <v>0.0</v>
      </c>
      <c r="K65" s="6">
        <v>0.0</v>
      </c>
      <c r="L65" s="6">
        <v>0.0</v>
      </c>
      <c r="M65" s="6">
        <v>0.0</v>
      </c>
      <c r="N65" s="6">
        <v>0.0</v>
      </c>
      <c r="O65" s="6">
        <v>0.0</v>
      </c>
      <c r="P65" s="6">
        <f t="shared" ref="P65:R65" si="524">+J65+M65</f>
        <v>0</v>
      </c>
      <c r="Q65" s="6">
        <f t="shared" si="524"/>
        <v>0</v>
      </c>
      <c r="R65" s="6">
        <f t="shared" si="524"/>
        <v>0</v>
      </c>
      <c r="S65" s="6">
        <v>0.0</v>
      </c>
      <c r="T65" s="6">
        <v>0.0</v>
      </c>
      <c r="U65" s="6">
        <v>0.0</v>
      </c>
      <c r="V65" s="6">
        <v>0.0</v>
      </c>
      <c r="W65" s="6">
        <v>0.0</v>
      </c>
      <c r="X65" s="6">
        <v>0.0</v>
      </c>
      <c r="Y65" s="6">
        <v>0.0</v>
      </c>
      <c r="Z65" s="6">
        <v>0.0</v>
      </c>
      <c r="AA65" s="6">
        <v>0.0</v>
      </c>
      <c r="AB65" s="6">
        <v>0.0</v>
      </c>
      <c r="AC65" s="6">
        <v>0.0</v>
      </c>
      <c r="AD65" s="6">
        <v>0.0</v>
      </c>
      <c r="AE65" s="6">
        <f t="shared" ref="AE65:AG65" si="525">+Y65+AB65+S65+V65</f>
        <v>0</v>
      </c>
      <c r="AF65" s="6">
        <f t="shared" si="525"/>
        <v>0</v>
      </c>
      <c r="AG65" s="6">
        <f t="shared" si="525"/>
        <v>0</v>
      </c>
      <c r="AH65" s="6">
        <v>0.0</v>
      </c>
      <c r="AI65" s="6">
        <v>0.0</v>
      </c>
      <c r="AJ65" s="6">
        <v>0.0</v>
      </c>
      <c r="AK65" s="6">
        <v>0.0</v>
      </c>
      <c r="AL65" s="6">
        <v>0.0</v>
      </c>
      <c r="AM65" s="6">
        <v>0.0</v>
      </c>
      <c r="AN65" s="6">
        <v>0.0</v>
      </c>
      <c r="AO65" s="6">
        <v>0.0</v>
      </c>
      <c r="AP65" s="6">
        <v>0.0</v>
      </c>
      <c r="AQ65" s="5">
        <v>2250000.0</v>
      </c>
      <c r="AR65" s="5">
        <v>2250000.0</v>
      </c>
      <c r="AS65" s="6">
        <v>0.0</v>
      </c>
      <c r="AT65" s="6">
        <f t="shared" ref="AT65:AV65" si="526">+AN65+AQ65+AH65+AK65</f>
        <v>2250000</v>
      </c>
      <c r="AU65" s="6">
        <f t="shared" si="526"/>
        <v>2250000</v>
      </c>
      <c r="AV65" s="6">
        <f t="shared" si="526"/>
        <v>0</v>
      </c>
      <c r="AW65" s="6">
        <v>0.0</v>
      </c>
      <c r="AX65" s="6">
        <v>0.0</v>
      </c>
      <c r="AY65" s="6">
        <v>300000.0</v>
      </c>
      <c r="AZ65" s="6">
        <v>0.0</v>
      </c>
      <c r="BA65" s="6">
        <v>0.0</v>
      </c>
      <c r="BB65" s="6">
        <v>650000.0</v>
      </c>
      <c r="BC65" s="6">
        <v>0.0</v>
      </c>
      <c r="BD65" s="6">
        <v>0.0</v>
      </c>
      <c r="BE65" s="6">
        <v>800000.0</v>
      </c>
      <c r="BF65" s="6">
        <v>0.0</v>
      </c>
      <c r="BG65" s="6">
        <v>0.0</v>
      </c>
      <c r="BH65" s="6">
        <v>200000.0</v>
      </c>
      <c r="BI65" s="6">
        <f t="shared" ref="BI65:BK65" si="527">+BC65+BF65+AW65+AZ65</f>
        <v>0</v>
      </c>
      <c r="BJ65" s="6">
        <f t="shared" si="527"/>
        <v>0</v>
      </c>
      <c r="BK65" s="6">
        <f t="shared" si="527"/>
        <v>1950000</v>
      </c>
      <c r="BL65" s="6">
        <v>0.0</v>
      </c>
      <c r="BM65" s="6">
        <v>0.0</v>
      </c>
      <c r="BN65" s="6">
        <v>42000.0</v>
      </c>
      <c r="BO65" s="6">
        <v>0.0</v>
      </c>
      <c r="BP65" s="6">
        <v>0.0</v>
      </c>
      <c r="BQ65" s="6">
        <v>0.0</v>
      </c>
      <c r="BR65" s="6">
        <v>0.0</v>
      </c>
      <c r="BS65" s="6">
        <v>0.0</v>
      </c>
      <c r="BT65" s="6">
        <v>0.0</v>
      </c>
      <c r="BU65" s="6" t="str">
        <f t="shared" ref="BU65:BW65" si="528">+BO65+BR65+#REF!+BL65</f>
        <v>#REF!</v>
      </c>
      <c r="BV65" s="6" t="str">
        <f t="shared" si="528"/>
        <v>#REF!</v>
      </c>
      <c r="BW65" s="6" t="str">
        <f t="shared" si="528"/>
        <v>#REF!</v>
      </c>
      <c r="BX65" s="6">
        <v>0.0</v>
      </c>
      <c r="BY65" s="6">
        <v>0.0</v>
      </c>
      <c r="BZ65" s="6">
        <v>0.0</v>
      </c>
      <c r="CA65" s="6">
        <v>0.0</v>
      </c>
      <c r="CB65" s="6">
        <v>0.0</v>
      </c>
      <c r="CC65" s="6">
        <v>0.0</v>
      </c>
      <c r="CD65" s="6">
        <v>0.0</v>
      </c>
      <c r="CE65" s="6">
        <v>0.0</v>
      </c>
      <c r="CF65" s="6">
        <v>0.0</v>
      </c>
      <c r="CG65" s="6" t="str">
        <f t="shared" ref="CG65:CI65" si="529">+CA65+CD65+BX65+#REF!</f>
        <v>#REF!</v>
      </c>
      <c r="CH65" s="6" t="str">
        <f t="shared" si="529"/>
        <v>#REF!</v>
      </c>
      <c r="CI65" s="6" t="str">
        <f t="shared" si="529"/>
        <v>#REF!</v>
      </c>
      <c r="CJ65" s="6">
        <v>0.0</v>
      </c>
      <c r="CK65" s="6">
        <v>0.0</v>
      </c>
      <c r="CL65" s="6">
        <v>0.0</v>
      </c>
      <c r="CM65" s="6">
        <v>0.0</v>
      </c>
      <c r="CN65" s="6">
        <v>0.0</v>
      </c>
      <c r="CO65" s="6">
        <v>0.0</v>
      </c>
      <c r="CP65" s="6">
        <v>0.0</v>
      </c>
      <c r="CQ65" s="6">
        <v>0.0</v>
      </c>
      <c r="CR65" s="6">
        <v>0.0</v>
      </c>
      <c r="CS65" s="6">
        <v>0.0</v>
      </c>
      <c r="CT65" s="6">
        <v>0.0</v>
      </c>
      <c r="CU65" s="6">
        <v>0.0</v>
      </c>
      <c r="CV65" s="6">
        <f t="shared" ref="CV65:CX65" si="530">+CP65+CS65+CJ65+CM65</f>
        <v>0</v>
      </c>
      <c r="CW65" s="6">
        <f t="shared" si="530"/>
        <v>0</v>
      </c>
      <c r="CX65" s="6">
        <f t="shared" si="530"/>
        <v>0</v>
      </c>
      <c r="CY65" s="6">
        <v>0.0</v>
      </c>
      <c r="CZ65" s="6">
        <v>0.0</v>
      </c>
      <c r="DA65" s="6">
        <v>0.0</v>
      </c>
      <c r="DB65" s="6">
        <v>0.0</v>
      </c>
      <c r="DC65" s="6">
        <v>0.0</v>
      </c>
      <c r="DD65" s="6">
        <v>0.0</v>
      </c>
      <c r="DE65" s="6">
        <v>0.0</v>
      </c>
      <c r="DF65" s="6">
        <v>0.0</v>
      </c>
      <c r="DG65" s="6">
        <v>0.0</v>
      </c>
      <c r="DH65" s="6">
        <v>0.0</v>
      </c>
      <c r="DI65" s="6">
        <v>0.0</v>
      </c>
      <c r="DJ65" s="6">
        <v>0.0</v>
      </c>
      <c r="DK65" s="6">
        <f t="shared" ref="DK65:DM65" si="531">+DE65+DH65+CY65+DB65</f>
        <v>0</v>
      </c>
      <c r="DL65" s="6">
        <f t="shared" si="531"/>
        <v>0</v>
      </c>
      <c r="DM65" s="6">
        <f t="shared" si="531"/>
        <v>0</v>
      </c>
      <c r="DN65" s="6" t="str">
        <f t="shared" ref="DN65:DP65" si="532">+P65+AE65+AT65+BI65+BU65+CG65+CV65</f>
        <v>#REF!</v>
      </c>
      <c r="DO65" s="6" t="str">
        <f t="shared" si="532"/>
        <v>#REF!</v>
      </c>
      <c r="DP65" s="6" t="str">
        <f t="shared" si="532"/>
        <v>#REF!</v>
      </c>
      <c r="DQ65" s="6" t="str">
        <f t="shared" si="19"/>
        <v>#REF!</v>
      </c>
    </row>
    <row r="66" ht="13.5" customHeight="1">
      <c r="A66" s="11">
        <v>44820.0</v>
      </c>
      <c r="B66" s="2" t="s">
        <v>326</v>
      </c>
      <c r="C66" s="2" t="s">
        <v>327</v>
      </c>
      <c r="D66" s="29" t="s">
        <v>328</v>
      </c>
      <c r="E66" s="2" t="s">
        <v>329</v>
      </c>
      <c r="F66" s="11" t="s">
        <v>330</v>
      </c>
      <c r="G66" s="11" t="s">
        <v>12</v>
      </c>
      <c r="H66" s="5">
        <v>14000.0</v>
      </c>
      <c r="I66" s="5">
        <v>14000.0</v>
      </c>
      <c r="J66" s="6">
        <v>0.0</v>
      </c>
      <c r="K66" s="6">
        <v>0.0</v>
      </c>
      <c r="L66" s="6">
        <v>0.0</v>
      </c>
      <c r="M66" s="6">
        <v>0.0</v>
      </c>
      <c r="N66" s="6">
        <v>0.0</v>
      </c>
      <c r="O66" s="6">
        <v>0.0</v>
      </c>
      <c r="P66" s="6">
        <f t="shared" ref="P66:R66" si="533">+J66+M66</f>
        <v>0</v>
      </c>
      <c r="Q66" s="6">
        <f t="shared" si="533"/>
        <v>0</v>
      </c>
      <c r="R66" s="6">
        <f t="shared" si="533"/>
        <v>0</v>
      </c>
      <c r="S66" s="6">
        <v>0.0</v>
      </c>
      <c r="T66" s="6">
        <v>0.0</v>
      </c>
      <c r="U66" s="6">
        <v>0.0</v>
      </c>
      <c r="V66" s="6">
        <v>0.0</v>
      </c>
      <c r="W66" s="6">
        <v>0.0</v>
      </c>
      <c r="X66" s="6">
        <v>0.0</v>
      </c>
      <c r="Y66" s="6">
        <v>0.0</v>
      </c>
      <c r="Z66" s="6">
        <v>0.0</v>
      </c>
      <c r="AA66" s="6">
        <v>0.0</v>
      </c>
      <c r="AB66" s="6">
        <v>0.0</v>
      </c>
      <c r="AC66" s="6">
        <v>0.0</v>
      </c>
      <c r="AD66" s="6">
        <v>0.0</v>
      </c>
      <c r="AE66" s="6">
        <f t="shared" ref="AE66:AG66" si="534">+Y66+AB66+S66+V66</f>
        <v>0</v>
      </c>
      <c r="AF66" s="6">
        <f t="shared" si="534"/>
        <v>0</v>
      </c>
      <c r="AG66" s="6">
        <f t="shared" si="534"/>
        <v>0</v>
      </c>
      <c r="AH66" s="6">
        <v>0.0</v>
      </c>
      <c r="AI66" s="6">
        <v>0.0</v>
      </c>
      <c r="AJ66" s="6">
        <v>0.0</v>
      </c>
      <c r="AK66" s="6">
        <v>0.0</v>
      </c>
      <c r="AL66" s="6">
        <v>0.0</v>
      </c>
      <c r="AM66" s="6">
        <v>0.0</v>
      </c>
      <c r="AN66" s="6">
        <v>0.0</v>
      </c>
      <c r="AO66" s="6">
        <v>0.0</v>
      </c>
      <c r="AP66" s="6">
        <v>0.0</v>
      </c>
      <c r="AQ66" s="5">
        <v>14000.0</v>
      </c>
      <c r="AR66" s="5">
        <v>14000.0</v>
      </c>
      <c r="AS66" s="6">
        <v>0.0</v>
      </c>
      <c r="AT66" s="6">
        <f t="shared" ref="AT66:AV66" si="535">+AN66+AQ66+AH66+AK66</f>
        <v>14000</v>
      </c>
      <c r="AU66" s="6">
        <f t="shared" si="535"/>
        <v>14000</v>
      </c>
      <c r="AV66" s="6">
        <f t="shared" si="535"/>
        <v>0</v>
      </c>
      <c r="AW66" s="6">
        <v>0.0</v>
      </c>
      <c r="AX66" s="6">
        <v>0.0</v>
      </c>
      <c r="AY66" s="6">
        <v>0.0</v>
      </c>
      <c r="AZ66" s="6">
        <v>0.0</v>
      </c>
      <c r="BA66" s="6">
        <v>0.0</v>
      </c>
      <c r="BB66" s="6">
        <v>500000.0</v>
      </c>
      <c r="BC66" s="6">
        <v>0.0</v>
      </c>
      <c r="BD66" s="6">
        <v>0.0</v>
      </c>
      <c r="BE66" s="6">
        <v>300000.0</v>
      </c>
      <c r="BF66" s="6">
        <v>0.0</v>
      </c>
      <c r="BG66" s="6">
        <v>0.0</v>
      </c>
      <c r="BH66" s="6">
        <v>0.0</v>
      </c>
      <c r="BI66" s="6">
        <f t="shared" ref="BI66:BK66" si="536">+BC66+BF66+AW66+AZ66</f>
        <v>0</v>
      </c>
      <c r="BJ66" s="6">
        <f t="shared" si="536"/>
        <v>0</v>
      </c>
      <c r="BK66" s="6">
        <f t="shared" si="536"/>
        <v>800000</v>
      </c>
      <c r="BL66" s="6">
        <v>0.0</v>
      </c>
      <c r="BM66" s="6">
        <v>0.0</v>
      </c>
      <c r="BN66" s="6">
        <v>200000.0</v>
      </c>
      <c r="BO66" s="6">
        <v>0.0</v>
      </c>
      <c r="BP66" s="6">
        <v>0.0</v>
      </c>
      <c r="BQ66" s="6">
        <v>0.0</v>
      </c>
      <c r="BR66" s="6">
        <v>0.0</v>
      </c>
      <c r="BS66" s="6">
        <v>0.0</v>
      </c>
      <c r="BT66" s="6">
        <v>0.0</v>
      </c>
      <c r="BU66" s="6" t="str">
        <f t="shared" ref="BU66:BW66" si="537">+BO66+BR66+#REF!+BL66</f>
        <v>#REF!</v>
      </c>
      <c r="BV66" s="6" t="str">
        <f t="shared" si="537"/>
        <v>#REF!</v>
      </c>
      <c r="BW66" s="6" t="str">
        <f t="shared" si="537"/>
        <v>#REF!</v>
      </c>
      <c r="BX66" s="6">
        <v>0.0</v>
      </c>
      <c r="BY66" s="6">
        <v>0.0</v>
      </c>
      <c r="BZ66" s="6">
        <v>0.0</v>
      </c>
      <c r="CA66" s="6">
        <v>0.0</v>
      </c>
      <c r="CB66" s="6">
        <v>0.0</v>
      </c>
      <c r="CC66" s="6">
        <v>0.0</v>
      </c>
      <c r="CD66" s="6">
        <v>0.0</v>
      </c>
      <c r="CE66" s="6">
        <v>0.0</v>
      </c>
      <c r="CF66" s="6">
        <v>0.0</v>
      </c>
      <c r="CG66" s="6" t="str">
        <f t="shared" ref="CG66:CI66" si="538">+CA66+CD66+BX66+#REF!</f>
        <v>#REF!</v>
      </c>
      <c r="CH66" s="6" t="str">
        <f t="shared" si="538"/>
        <v>#REF!</v>
      </c>
      <c r="CI66" s="6" t="str">
        <f t="shared" si="538"/>
        <v>#REF!</v>
      </c>
      <c r="CJ66" s="6">
        <v>0.0</v>
      </c>
      <c r="CK66" s="6">
        <v>0.0</v>
      </c>
      <c r="CL66" s="6">
        <v>0.0</v>
      </c>
      <c r="CM66" s="6">
        <v>0.0</v>
      </c>
      <c r="CN66" s="6">
        <v>0.0</v>
      </c>
      <c r="CO66" s="6">
        <v>0.0</v>
      </c>
      <c r="CP66" s="6">
        <v>0.0</v>
      </c>
      <c r="CQ66" s="6">
        <v>0.0</v>
      </c>
      <c r="CR66" s="6">
        <v>0.0</v>
      </c>
      <c r="CS66" s="6">
        <v>0.0</v>
      </c>
      <c r="CT66" s="6">
        <v>0.0</v>
      </c>
      <c r="CU66" s="6">
        <v>0.0</v>
      </c>
      <c r="CV66" s="6">
        <f t="shared" ref="CV66:CX66" si="539">+CP66+CS66+CJ66+CM66</f>
        <v>0</v>
      </c>
      <c r="CW66" s="6">
        <f t="shared" si="539"/>
        <v>0</v>
      </c>
      <c r="CX66" s="6">
        <f t="shared" si="539"/>
        <v>0</v>
      </c>
      <c r="CY66" s="6">
        <v>0.0</v>
      </c>
      <c r="CZ66" s="6">
        <v>0.0</v>
      </c>
      <c r="DA66" s="6">
        <v>0.0</v>
      </c>
      <c r="DB66" s="6">
        <v>0.0</v>
      </c>
      <c r="DC66" s="6">
        <v>0.0</v>
      </c>
      <c r="DD66" s="6">
        <v>0.0</v>
      </c>
      <c r="DE66" s="6">
        <v>0.0</v>
      </c>
      <c r="DF66" s="6">
        <v>0.0</v>
      </c>
      <c r="DG66" s="6">
        <v>0.0</v>
      </c>
      <c r="DH66" s="6">
        <v>0.0</v>
      </c>
      <c r="DI66" s="6">
        <v>0.0</v>
      </c>
      <c r="DJ66" s="6">
        <v>0.0</v>
      </c>
      <c r="DK66" s="6">
        <f t="shared" ref="DK66:DM66" si="540">+DE66+DH66+CY66+DB66</f>
        <v>0</v>
      </c>
      <c r="DL66" s="6">
        <f t="shared" si="540"/>
        <v>0</v>
      </c>
      <c r="DM66" s="6">
        <f t="shared" si="540"/>
        <v>0</v>
      </c>
      <c r="DN66" s="6" t="str">
        <f t="shared" ref="DN66:DP66" si="541">+P66+AE66+AT66+BI66+BU66+CG66+CV66</f>
        <v>#REF!</v>
      </c>
      <c r="DO66" s="6" t="str">
        <f t="shared" si="541"/>
        <v>#REF!</v>
      </c>
      <c r="DP66" s="6" t="str">
        <f t="shared" si="541"/>
        <v>#REF!</v>
      </c>
      <c r="DQ66" s="6" t="str">
        <f t="shared" si="19"/>
        <v>#REF!</v>
      </c>
    </row>
    <row r="67" ht="13.5" customHeight="1">
      <c r="A67" s="11">
        <v>44813.0</v>
      </c>
      <c r="B67" s="2" t="s">
        <v>331</v>
      </c>
      <c r="C67" s="2" t="s">
        <v>327</v>
      </c>
      <c r="D67" s="29" t="s">
        <v>328</v>
      </c>
      <c r="E67" s="2" t="s">
        <v>329</v>
      </c>
      <c r="F67" s="11" t="s">
        <v>332</v>
      </c>
      <c r="G67" s="11" t="s">
        <v>15</v>
      </c>
      <c r="H67" s="5">
        <v>1000000.0</v>
      </c>
      <c r="I67" s="5">
        <v>1000000.0</v>
      </c>
      <c r="J67" s="6">
        <v>0.0</v>
      </c>
      <c r="K67" s="6">
        <v>0.0</v>
      </c>
      <c r="L67" s="6">
        <v>0.0</v>
      </c>
      <c r="M67" s="6">
        <v>0.0</v>
      </c>
      <c r="N67" s="6">
        <v>0.0</v>
      </c>
      <c r="O67" s="6">
        <v>0.0</v>
      </c>
      <c r="P67" s="6">
        <f t="shared" ref="P67:R67" si="542">+J67+M67</f>
        <v>0</v>
      </c>
      <c r="Q67" s="6">
        <f t="shared" si="542"/>
        <v>0</v>
      </c>
      <c r="R67" s="6">
        <f t="shared" si="542"/>
        <v>0</v>
      </c>
      <c r="S67" s="6">
        <v>0.0</v>
      </c>
      <c r="T67" s="6">
        <v>0.0</v>
      </c>
      <c r="U67" s="6">
        <v>0.0</v>
      </c>
      <c r="V67" s="6">
        <v>0.0</v>
      </c>
      <c r="W67" s="6">
        <v>0.0</v>
      </c>
      <c r="X67" s="6">
        <v>0.0</v>
      </c>
      <c r="Y67" s="6">
        <v>0.0</v>
      </c>
      <c r="Z67" s="6">
        <v>0.0</v>
      </c>
      <c r="AA67" s="6">
        <v>0.0</v>
      </c>
      <c r="AB67" s="6">
        <v>0.0</v>
      </c>
      <c r="AC67" s="6">
        <v>0.0</v>
      </c>
      <c r="AD67" s="6">
        <v>0.0</v>
      </c>
      <c r="AE67" s="6">
        <f t="shared" ref="AE67:AG67" si="543">+Y67+AB67+S67+V67</f>
        <v>0</v>
      </c>
      <c r="AF67" s="6">
        <f t="shared" si="543"/>
        <v>0</v>
      </c>
      <c r="AG67" s="6">
        <f t="shared" si="543"/>
        <v>0</v>
      </c>
      <c r="AH67" s="6">
        <v>0.0</v>
      </c>
      <c r="AI67" s="6">
        <v>0.0</v>
      </c>
      <c r="AJ67" s="6">
        <v>0.0</v>
      </c>
      <c r="AK67" s="6">
        <v>0.0</v>
      </c>
      <c r="AL67" s="6">
        <v>0.0</v>
      </c>
      <c r="AM67" s="6">
        <v>0.0</v>
      </c>
      <c r="AN67" s="6">
        <v>0.0</v>
      </c>
      <c r="AO67" s="6">
        <v>0.0</v>
      </c>
      <c r="AP67" s="6">
        <v>0.0</v>
      </c>
      <c r="AQ67" s="6">
        <v>0.0</v>
      </c>
      <c r="AR67" s="6">
        <v>0.0</v>
      </c>
      <c r="AS67" s="6">
        <v>0.0</v>
      </c>
      <c r="AT67" s="6">
        <f t="shared" ref="AT67:AV67" si="544">+AN67+AQ67+AH67+AK67</f>
        <v>0</v>
      </c>
      <c r="AU67" s="6">
        <f t="shared" si="544"/>
        <v>0</v>
      </c>
      <c r="AV67" s="6">
        <f t="shared" si="544"/>
        <v>0</v>
      </c>
      <c r="AW67" s="6">
        <v>0.0</v>
      </c>
      <c r="AX67" s="6">
        <v>0.0</v>
      </c>
      <c r="AY67" s="6">
        <v>0.0</v>
      </c>
      <c r="AZ67" s="6">
        <v>0.0</v>
      </c>
      <c r="BA67" s="6">
        <v>0.0</v>
      </c>
      <c r="BB67" s="6">
        <v>14000.0</v>
      </c>
      <c r="BC67" s="5">
        <v>1000000.0</v>
      </c>
      <c r="BD67" s="5">
        <v>1000000.0</v>
      </c>
      <c r="BE67" s="6">
        <v>0.0</v>
      </c>
      <c r="BF67" s="6">
        <v>0.0</v>
      </c>
      <c r="BG67" s="6">
        <v>0.0</v>
      </c>
      <c r="BH67" s="6">
        <v>0.0</v>
      </c>
      <c r="BI67" s="6">
        <f t="shared" ref="BI67:BK67" si="545">+BC67+BF67+AW67+AZ67</f>
        <v>1000000</v>
      </c>
      <c r="BJ67" s="6">
        <f t="shared" si="545"/>
        <v>1000000</v>
      </c>
      <c r="BK67" s="6">
        <f t="shared" si="545"/>
        <v>14000</v>
      </c>
      <c r="BL67" s="6">
        <v>0.0</v>
      </c>
      <c r="BM67" s="6">
        <v>0.0</v>
      </c>
      <c r="BN67" s="6">
        <v>0.0</v>
      </c>
      <c r="BO67" s="6">
        <v>0.0</v>
      </c>
      <c r="BP67" s="6">
        <v>0.0</v>
      </c>
      <c r="BQ67" s="6">
        <v>0.0</v>
      </c>
      <c r="BR67" s="6">
        <v>0.0</v>
      </c>
      <c r="BS67" s="6">
        <v>0.0</v>
      </c>
      <c r="BT67" s="6">
        <v>0.0</v>
      </c>
      <c r="BU67" s="6" t="str">
        <f t="shared" ref="BU67:BW67" si="546">+BO67+BR67+#REF!+BL67</f>
        <v>#REF!</v>
      </c>
      <c r="BV67" s="6" t="str">
        <f t="shared" si="546"/>
        <v>#REF!</v>
      </c>
      <c r="BW67" s="6" t="str">
        <f t="shared" si="546"/>
        <v>#REF!</v>
      </c>
      <c r="BX67" s="6">
        <v>0.0</v>
      </c>
      <c r="BY67" s="6">
        <v>0.0</v>
      </c>
      <c r="BZ67" s="6">
        <v>0.0</v>
      </c>
      <c r="CA67" s="6">
        <v>0.0</v>
      </c>
      <c r="CB67" s="6">
        <v>0.0</v>
      </c>
      <c r="CC67" s="6">
        <v>0.0</v>
      </c>
      <c r="CD67" s="6">
        <v>0.0</v>
      </c>
      <c r="CE67" s="6">
        <v>0.0</v>
      </c>
      <c r="CF67" s="6">
        <v>0.0</v>
      </c>
      <c r="CG67" s="6" t="str">
        <f t="shared" ref="CG67:CI67" si="547">+CA67+CD67+BX67+#REF!</f>
        <v>#REF!</v>
      </c>
      <c r="CH67" s="6" t="str">
        <f t="shared" si="547"/>
        <v>#REF!</v>
      </c>
      <c r="CI67" s="6" t="str">
        <f t="shared" si="547"/>
        <v>#REF!</v>
      </c>
      <c r="CJ67" s="6">
        <v>0.0</v>
      </c>
      <c r="CK67" s="6">
        <v>0.0</v>
      </c>
      <c r="CL67" s="6">
        <v>0.0</v>
      </c>
      <c r="CM67" s="6">
        <v>0.0</v>
      </c>
      <c r="CN67" s="6">
        <v>0.0</v>
      </c>
      <c r="CO67" s="6">
        <v>0.0</v>
      </c>
      <c r="CP67" s="6">
        <v>0.0</v>
      </c>
      <c r="CQ67" s="6">
        <v>0.0</v>
      </c>
      <c r="CR67" s="6">
        <v>0.0</v>
      </c>
      <c r="CS67" s="6">
        <v>0.0</v>
      </c>
      <c r="CT67" s="6">
        <v>0.0</v>
      </c>
      <c r="CU67" s="6">
        <v>0.0</v>
      </c>
      <c r="CV67" s="6">
        <f t="shared" ref="CV67:CX67" si="548">+CP67+CS67+CJ67+CM67</f>
        <v>0</v>
      </c>
      <c r="CW67" s="6">
        <f t="shared" si="548"/>
        <v>0</v>
      </c>
      <c r="CX67" s="6">
        <f t="shared" si="548"/>
        <v>0</v>
      </c>
      <c r="CY67" s="6">
        <v>0.0</v>
      </c>
      <c r="CZ67" s="6">
        <v>0.0</v>
      </c>
      <c r="DA67" s="6">
        <v>0.0</v>
      </c>
      <c r="DB67" s="6">
        <v>0.0</v>
      </c>
      <c r="DC67" s="6">
        <v>0.0</v>
      </c>
      <c r="DD67" s="6">
        <v>0.0</v>
      </c>
      <c r="DE67" s="6">
        <v>0.0</v>
      </c>
      <c r="DF67" s="6">
        <v>0.0</v>
      </c>
      <c r="DG67" s="6">
        <v>0.0</v>
      </c>
      <c r="DH67" s="6">
        <v>0.0</v>
      </c>
      <c r="DI67" s="6">
        <v>0.0</v>
      </c>
      <c r="DJ67" s="6">
        <v>0.0</v>
      </c>
      <c r="DK67" s="6">
        <f t="shared" ref="DK67:DM67" si="549">+DE67+DH67+CY67+DB67</f>
        <v>0</v>
      </c>
      <c r="DL67" s="6">
        <f t="shared" si="549"/>
        <v>0</v>
      </c>
      <c r="DM67" s="6">
        <f t="shared" si="549"/>
        <v>0</v>
      </c>
      <c r="DN67" s="6" t="str">
        <f t="shared" ref="DN67:DP67" si="550">+P67+AE67+AT67+BI67+BU67+CG67+CV67</f>
        <v>#REF!</v>
      </c>
      <c r="DO67" s="6" t="str">
        <f t="shared" si="550"/>
        <v>#REF!</v>
      </c>
      <c r="DP67" s="6" t="str">
        <f t="shared" si="550"/>
        <v>#REF!</v>
      </c>
      <c r="DQ67" s="6" t="str">
        <f t="shared" si="19"/>
        <v>#REF!</v>
      </c>
    </row>
    <row r="68" ht="13.5" customHeight="1">
      <c r="A68" s="11">
        <v>44937.0</v>
      </c>
      <c r="B68" s="2" t="s">
        <v>333</v>
      </c>
      <c r="C68" s="2" t="s">
        <v>334</v>
      </c>
      <c r="D68" s="29" t="s">
        <v>335</v>
      </c>
      <c r="E68" s="2" t="s">
        <v>336</v>
      </c>
      <c r="F68" s="11" t="s">
        <v>337</v>
      </c>
      <c r="G68" s="11" t="s">
        <v>12</v>
      </c>
      <c r="H68" s="5">
        <v>130000.0</v>
      </c>
      <c r="I68" s="5">
        <v>130000.0</v>
      </c>
      <c r="J68" s="6">
        <v>0.0</v>
      </c>
      <c r="K68" s="6">
        <v>0.0</v>
      </c>
      <c r="L68" s="6">
        <v>0.0</v>
      </c>
      <c r="M68" s="6">
        <v>0.0</v>
      </c>
      <c r="N68" s="6">
        <v>0.0</v>
      </c>
      <c r="O68" s="6">
        <v>0.0</v>
      </c>
      <c r="P68" s="6">
        <f t="shared" ref="P68:R68" si="551">+J68+M68</f>
        <v>0</v>
      </c>
      <c r="Q68" s="6">
        <f t="shared" si="551"/>
        <v>0</v>
      </c>
      <c r="R68" s="6">
        <f t="shared" si="551"/>
        <v>0</v>
      </c>
      <c r="S68" s="6">
        <v>0.0</v>
      </c>
      <c r="T68" s="6">
        <v>0.0</v>
      </c>
      <c r="U68" s="6">
        <v>0.0</v>
      </c>
      <c r="V68" s="6">
        <v>0.0</v>
      </c>
      <c r="W68" s="6">
        <v>0.0</v>
      </c>
      <c r="X68" s="6">
        <v>0.0</v>
      </c>
      <c r="Y68" s="6">
        <v>0.0</v>
      </c>
      <c r="Z68" s="6">
        <v>0.0</v>
      </c>
      <c r="AA68" s="6">
        <v>0.0</v>
      </c>
      <c r="AB68" s="6">
        <v>0.0</v>
      </c>
      <c r="AC68" s="6">
        <v>0.0</v>
      </c>
      <c r="AD68" s="6">
        <v>0.0</v>
      </c>
      <c r="AE68" s="6">
        <f t="shared" ref="AE68:AG68" si="552">+Y68+AB68+S68+V68</f>
        <v>0</v>
      </c>
      <c r="AF68" s="6">
        <f t="shared" si="552"/>
        <v>0</v>
      </c>
      <c r="AG68" s="6">
        <f t="shared" si="552"/>
        <v>0</v>
      </c>
      <c r="AH68" s="6">
        <v>0.0</v>
      </c>
      <c r="AI68" s="6">
        <v>0.0</v>
      </c>
      <c r="AJ68" s="6">
        <v>0.0</v>
      </c>
      <c r="AK68" s="6">
        <v>0.0</v>
      </c>
      <c r="AL68" s="6">
        <v>0.0</v>
      </c>
      <c r="AM68" s="6">
        <v>0.0</v>
      </c>
      <c r="AN68" s="6">
        <v>0.0</v>
      </c>
      <c r="AO68" s="6">
        <v>0.0</v>
      </c>
      <c r="AP68" s="6">
        <v>0.0</v>
      </c>
      <c r="AQ68" s="5">
        <v>130000.0</v>
      </c>
      <c r="AR68" s="5">
        <v>130000.0</v>
      </c>
      <c r="AS68" s="6">
        <v>0.0</v>
      </c>
      <c r="AT68" s="6">
        <f t="shared" ref="AT68:AV68" si="553">+AN68+AQ68+AH68+AK68</f>
        <v>130000</v>
      </c>
      <c r="AU68" s="6">
        <f t="shared" si="553"/>
        <v>130000</v>
      </c>
      <c r="AV68" s="6">
        <f t="shared" si="553"/>
        <v>0</v>
      </c>
      <c r="AW68" s="6">
        <v>0.0</v>
      </c>
      <c r="AX68" s="6">
        <v>0.0</v>
      </c>
      <c r="AY68" s="6">
        <v>0.0</v>
      </c>
      <c r="AZ68" s="6">
        <v>0.0</v>
      </c>
      <c r="BA68" s="6">
        <v>0.0</v>
      </c>
      <c r="BB68" s="6">
        <v>0.0</v>
      </c>
      <c r="BC68" s="6">
        <v>0.0</v>
      </c>
      <c r="BD68" s="6">
        <v>0.0</v>
      </c>
      <c r="BE68" s="6">
        <v>130000.0</v>
      </c>
      <c r="BF68" s="6">
        <v>0.0</v>
      </c>
      <c r="BG68" s="6">
        <v>0.0</v>
      </c>
      <c r="BH68" s="6">
        <v>0.0</v>
      </c>
      <c r="BI68" s="6">
        <f t="shared" ref="BI68:BK68" si="554">+BC68+BF68+AW68+AZ68</f>
        <v>0</v>
      </c>
      <c r="BJ68" s="6">
        <f t="shared" si="554"/>
        <v>0</v>
      </c>
      <c r="BK68" s="6">
        <f t="shared" si="554"/>
        <v>130000</v>
      </c>
      <c r="BL68" s="6">
        <v>0.0</v>
      </c>
      <c r="BM68" s="6">
        <v>0.0</v>
      </c>
      <c r="BN68" s="6">
        <v>0.0</v>
      </c>
      <c r="BO68" s="6">
        <v>0.0</v>
      </c>
      <c r="BP68" s="6">
        <v>0.0</v>
      </c>
      <c r="BQ68" s="6">
        <v>0.0</v>
      </c>
      <c r="BR68" s="6">
        <v>0.0</v>
      </c>
      <c r="BS68" s="6">
        <v>0.0</v>
      </c>
      <c r="BT68" s="6">
        <v>0.0</v>
      </c>
      <c r="BU68" s="6" t="str">
        <f t="shared" ref="BU68:BW68" si="555">+BO68+BR68+#REF!+BL68</f>
        <v>#REF!</v>
      </c>
      <c r="BV68" s="6" t="str">
        <f t="shared" si="555"/>
        <v>#REF!</v>
      </c>
      <c r="BW68" s="6" t="str">
        <f t="shared" si="555"/>
        <v>#REF!</v>
      </c>
      <c r="BX68" s="6">
        <v>0.0</v>
      </c>
      <c r="BY68" s="6">
        <v>0.0</v>
      </c>
      <c r="BZ68" s="6">
        <v>0.0</v>
      </c>
      <c r="CA68" s="6">
        <v>0.0</v>
      </c>
      <c r="CB68" s="6">
        <v>0.0</v>
      </c>
      <c r="CC68" s="6">
        <v>0.0</v>
      </c>
      <c r="CD68" s="6">
        <v>0.0</v>
      </c>
      <c r="CE68" s="6">
        <v>0.0</v>
      </c>
      <c r="CF68" s="6">
        <v>0.0</v>
      </c>
      <c r="CG68" s="6" t="str">
        <f t="shared" ref="CG68:CI68" si="556">+CA68+CD68+BX68+#REF!</f>
        <v>#REF!</v>
      </c>
      <c r="CH68" s="6" t="str">
        <f t="shared" si="556"/>
        <v>#REF!</v>
      </c>
      <c r="CI68" s="6" t="str">
        <f t="shared" si="556"/>
        <v>#REF!</v>
      </c>
      <c r="CJ68" s="6">
        <v>0.0</v>
      </c>
      <c r="CK68" s="6">
        <v>0.0</v>
      </c>
      <c r="CL68" s="6">
        <v>0.0</v>
      </c>
      <c r="CM68" s="6">
        <v>0.0</v>
      </c>
      <c r="CN68" s="6">
        <v>0.0</v>
      </c>
      <c r="CO68" s="6">
        <v>0.0</v>
      </c>
      <c r="CP68" s="6">
        <v>0.0</v>
      </c>
      <c r="CQ68" s="6">
        <v>0.0</v>
      </c>
      <c r="CR68" s="6">
        <v>0.0</v>
      </c>
      <c r="CS68" s="6">
        <v>0.0</v>
      </c>
      <c r="CT68" s="6">
        <v>0.0</v>
      </c>
      <c r="CU68" s="6">
        <v>0.0</v>
      </c>
      <c r="CV68" s="6">
        <f t="shared" ref="CV68:CX68" si="557">+CP68+CS68+CJ68+CM68</f>
        <v>0</v>
      </c>
      <c r="CW68" s="6">
        <f t="shared" si="557"/>
        <v>0</v>
      </c>
      <c r="CX68" s="6">
        <f t="shared" si="557"/>
        <v>0</v>
      </c>
      <c r="CY68" s="6">
        <v>0.0</v>
      </c>
      <c r="CZ68" s="6">
        <v>0.0</v>
      </c>
      <c r="DA68" s="6">
        <v>0.0</v>
      </c>
      <c r="DB68" s="6">
        <v>0.0</v>
      </c>
      <c r="DC68" s="6">
        <v>0.0</v>
      </c>
      <c r="DD68" s="6">
        <v>0.0</v>
      </c>
      <c r="DE68" s="6">
        <v>0.0</v>
      </c>
      <c r="DF68" s="6">
        <v>0.0</v>
      </c>
      <c r="DG68" s="6">
        <v>0.0</v>
      </c>
      <c r="DH68" s="6">
        <v>0.0</v>
      </c>
      <c r="DI68" s="6">
        <v>0.0</v>
      </c>
      <c r="DJ68" s="6">
        <v>0.0</v>
      </c>
      <c r="DK68" s="6">
        <f t="shared" ref="DK68:DM68" si="558">+DE68+DH68+CY68+DB68</f>
        <v>0</v>
      </c>
      <c r="DL68" s="6">
        <f t="shared" si="558"/>
        <v>0</v>
      </c>
      <c r="DM68" s="6">
        <f t="shared" si="558"/>
        <v>0</v>
      </c>
      <c r="DN68" s="6" t="str">
        <f t="shared" ref="DN68:DP68" si="559">+P68+AE68+AT68+BI68+BU68+CG68+CV68</f>
        <v>#REF!</v>
      </c>
      <c r="DO68" s="6" t="str">
        <f t="shared" si="559"/>
        <v>#REF!</v>
      </c>
      <c r="DP68" s="6" t="str">
        <f t="shared" si="559"/>
        <v>#REF!</v>
      </c>
      <c r="DQ68" s="6" t="str">
        <f t="shared" si="19"/>
        <v>#REF!</v>
      </c>
    </row>
    <row r="69" ht="13.5" customHeight="1">
      <c r="A69" s="11">
        <v>44802.0</v>
      </c>
      <c r="B69" s="2" t="s">
        <v>338</v>
      </c>
      <c r="C69" s="2" t="s">
        <v>339</v>
      </c>
      <c r="D69" s="29" t="s">
        <v>340</v>
      </c>
      <c r="E69" s="2" t="s">
        <v>341</v>
      </c>
      <c r="F69" s="11" t="s">
        <v>342</v>
      </c>
      <c r="G69" s="11" t="s">
        <v>12</v>
      </c>
      <c r="H69" s="5">
        <v>1000000.0</v>
      </c>
      <c r="I69" s="5">
        <v>1000000.0</v>
      </c>
      <c r="J69" s="6">
        <v>0.0</v>
      </c>
      <c r="K69" s="6">
        <v>0.0</v>
      </c>
      <c r="L69" s="6">
        <v>0.0</v>
      </c>
      <c r="M69" s="6">
        <v>0.0</v>
      </c>
      <c r="N69" s="6">
        <v>0.0</v>
      </c>
      <c r="O69" s="6">
        <v>0.0</v>
      </c>
      <c r="P69" s="6">
        <f t="shared" ref="P69:R69" si="560">+J69+M69</f>
        <v>0</v>
      </c>
      <c r="Q69" s="6">
        <f t="shared" si="560"/>
        <v>0</v>
      </c>
      <c r="R69" s="6">
        <f t="shared" si="560"/>
        <v>0</v>
      </c>
      <c r="S69" s="6">
        <v>0.0</v>
      </c>
      <c r="T69" s="6">
        <v>0.0</v>
      </c>
      <c r="U69" s="6">
        <v>0.0</v>
      </c>
      <c r="V69" s="6">
        <v>0.0</v>
      </c>
      <c r="W69" s="6">
        <v>0.0</v>
      </c>
      <c r="X69" s="6">
        <v>0.0</v>
      </c>
      <c r="Y69" s="6">
        <v>0.0</v>
      </c>
      <c r="Z69" s="6">
        <v>0.0</v>
      </c>
      <c r="AA69" s="6">
        <v>0.0</v>
      </c>
      <c r="AB69" s="6">
        <v>0.0</v>
      </c>
      <c r="AC69" s="6">
        <v>0.0</v>
      </c>
      <c r="AD69" s="6">
        <v>0.0</v>
      </c>
      <c r="AE69" s="6">
        <f t="shared" ref="AE69:AG69" si="561">+Y69+AB69+S69+V69</f>
        <v>0</v>
      </c>
      <c r="AF69" s="6">
        <f t="shared" si="561"/>
        <v>0</v>
      </c>
      <c r="AG69" s="6">
        <f t="shared" si="561"/>
        <v>0</v>
      </c>
      <c r="AH69" s="6">
        <v>0.0</v>
      </c>
      <c r="AI69" s="6">
        <v>0.0</v>
      </c>
      <c r="AJ69" s="6">
        <v>0.0</v>
      </c>
      <c r="AK69" s="6">
        <v>0.0</v>
      </c>
      <c r="AL69" s="6">
        <v>0.0</v>
      </c>
      <c r="AM69" s="6">
        <v>0.0</v>
      </c>
      <c r="AN69" s="6">
        <v>0.0</v>
      </c>
      <c r="AO69" s="6">
        <v>0.0</v>
      </c>
      <c r="AP69" s="6">
        <v>0.0</v>
      </c>
      <c r="AQ69" s="5">
        <v>1000000.0</v>
      </c>
      <c r="AR69" s="5">
        <v>1000000.0</v>
      </c>
      <c r="AS69" s="6">
        <v>0.0</v>
      </c>
      <c r="AT69" s="6">
        <f t="shared" ref="AT69:AV69" si="562">+AN69+AQ69+AH69+AK69</f>
        <v>1000000</v>
      </c>
      <c r="AU69" s="6">
        <f t="shared" si="562"/>
        <v>1000000</v>
      </c>
      <c r="AV69" s="6">
        <f t="shared" si="562"/>
        <v>0</v>
      </c>
      <c r="AW69" s="6">
        <v>0.0</v>
      </c>
      <c r="AX69" s="6">
        <v>0.0</v>
      </c>
      <c r="AY69" s="6">
        <v>300000.0</v>
      </c>
      <c r="AZ69" s="6">
        <v>0.0</v>
      </c>
      <c r="BA69" s="6">
        <v>0.0</v>
      </c>
      <c r="BB69" s="6">
        <v>700000.0</v>
      </c>
      <c r="BC69" s="6">
        <v>0.0</v>
      </c>
      <c r="BD69" s="6">
        <v>0.0</v>
      </c>
      <c r="BE69" s="6">
        <v>0.0</v>
      </c>
      <c r="BF69" s="6">
        <v>0.0</v>
      </c>
      <c r="BG69" s="6">
        <v>0.0</v>
      </c>
      <c r="BH69" s="6">
        <v>0.0</v>
      </c>
      <c r="BI69" s="6">
        <f t="shared" ref="BI69:BK69" si="563">+BC69+BF69+AW69+AZ69</f>
        <v>0</v>
      </c>
      <c r="BJ69" s="6">
        <f t="shared" si="563"/>
        <v>0</v>
      </c>
      <c r="BK69" s="6">
        <f t="shared" si="563"/>
        <v>1000000</v>
      </c>
      <c r="BL69" s="6">
        <v>0.0</v>
      </c>
      <c r="BM69" s="6">
        <v>0.0</v>
      </c>
      <c r="BN69" s="6">
        <v>0.0</v>
      </c>
      <c r="BO69" s="6">
        <v>0.0</v>
      </c>
      <c r="BP69" s="6">
        <v>0.0</v>
      </c>
      <c r="BQ69" s="6">
        <v>0.0</v>
      </c>
      <c r="BR69" s="6">
        <v>0.0</v>
      </c>
      <c r="BS69" s="6">
        <v>0.0</v>
      </c>
      <c r="BT69" s="6">
        <v>0.0</v>
      </c>
      <c r="BU69" s="6" t="str">
        <f t="shared" ref="BU69:BW69" si="564">+BO69+BR69+#REF!+BL69</f>
        <v>#REF!</v>
      </c>
      <c r="BV69" s="6" t="str">
        <f t="shared" si="564"/>
        <v>#REF!</v>
      </c>
      <c r="BW69" s="6" t="str">
        <f t="shared" si="564"/>
        <v>#REF!</v>
      </c>
      <c r="BX69" s="6">
        <v>0.0</v>
      </c>
      <c r="BY69" s="6">
        <v>0.0</v>
      </c>
      <c r="BZ69" s="6">
        <v>0.0</v>
      </c>
      <c r="CA69" s="6">
        <v>0.0</v>
      </c>
      <c r="CB69" s="6">
        <v>0.0</v>
      </c>
      <c r="CC69" s="6">
        <v>0.0</v>
      </c>
      <c r="CD69" s="6">
        <v>0.0</v>
      </c>
      <c r="CE69" s="6">
        <v>0.0</v>
      </c>
      <c r="CF69" s="6">
        <v>0.0</v>
      </c>
      <c r="CG69" s="6" t="str">
        <f t="shared" ref="CG69:CI69" si="565">+CA69+CD69+BX69+#REF!</f>
        <v>#REF!</v>
      </c>
      <c r="CH69" s="6" t="str">
        <f t="shared" si="565"/>
        <v>#REF!</v>
      </c>
      <c r="CI69" s="6" t="str">
        <f t="shared" si="565"/>
        <v>#REF!</v>
      </c>
      <c r="CJ69" s="6">
        <v>0.0</v>
      </c>
      <c r="CK69" s="6">
        <v>0.0</v>
      </c>
      <c r="CL69" s="6">
        <v>0.0</v>
      </c>
      <c r="CM69" s="6">
        <v>0.0</v>
      </c>
      <c r="CN69" s="6">
        <v>0.0</v>
      </c>
      <c r="CO69" s="6">
        <v>0.0</v>
      </c>
      <c r="CP69" s="6">
        <v>0.0</v>
      </c>
      <c r="CQ69" s="6">
        <v>0.0</v>
      </c>
      <c r="CR69" s="6">
        <v>0.0</v>
      </c>
      <c r="CS69" s="6">
        <v>0.0</v>
      </c>
      <c r="CT69" s="6">
        <v>0.0</v>
      </c>
      <c r="CU69" s="6">
        <v>0.0</v>
      </c>
      <c r="CV69" s="6">
        <f t="shared" ref="CV69:CX69" si="566">+CP69+CS69+CJ69+CM69</f>
        <v>0</v>
      </c>
      <c r="CW69" s="6">
        <f t="shared" si="566"/>
        <v>0</v>
      </c>
      <c r="CX69" s="6">
        <f t="shared" si="566"/>
        <v>0</v>
      </c>
      <c r="CY69" s="6">
        <v>0.0</v>
      </c>
      <c r="CZ69" s="6">
        <v>0.0</v>
      </c>
      <c r="DA69" s="6">
        <v>0.0</v>
      </c>
      <c r="DB69" s="6">
        <v>0.0</v>
      </c>
      <c r="DC69" s="6">
        <v>0.0</v>
      </c>
      <c r="DD69" s="6">
        <v>0.0</v>
      </c>
      <c r="DE69" s="6">
        <v>0.0</v>
      </c>
      <c r="DF69" s="6">
        <v>0.0</v>
      </c>
      <c r="DG69" s="6">
        <v>0.0</v>
      </c>
      <c r="DH69" s="6">
        <v>0.0</v>
      </c>
      <c r="DI69" s="6">
        <v>0.0</v>
      </c>
      <c r="DJ69" s="6">
        <v>0.0</v>
      </c>
      <c r="DK69" s="6">
        <f t="shared" ref="DK69:DM69" si="567">+DE69+DH69+CY69+DB69</f>
        <v>0</v>
      </c>
      <c r="DL69" s="6">
        <f t="shared" si="567"/>
        <v>0</v>
      </c>
      <c r="DM69" s="6">
        <f t="shared" si="567"/>
        <v>0</v>
      </c>
      <c r="DN69" s="6" t="str">
        <f t="shared" ref="DN69:DP69" si="568">+P69+AE69+AT69+BI69+BU69+CG69+CV69</f>
        <v>#REF!</v>
      </c>
      <c r="DO69" s="6" t="str">
        <f t="shared" si="568"/>
        <v>#REF!</v>
      </c>
      <c r="DP69" s="6" t="str">
        <f t="shared" si="568"/>
        <v>#REF!</v>
      </c>
      <c r="DQ69" s="6" t="str">
        <f t="shared" si="19"/>
        <v>#REF!</v>
      </c>
    </row>
    <row r="70" ht="13.5" customHeight="1">
      <c r="A70" s="11">
        <v>44812.0</v>
      </c>
      <c r="B70" s="2" t="s">
        <v>343</v>
      </c>
      <c r="C70" s="2" t="s">
        <v>344</v>
      </c>
      <c r="D70" s="29" t="s">
        <v>345</v>
      </c>
      <c r="E70" s="2" t="s">
        <v>346</v>
      </c>
      <c r="F70" s="11" t="s">
        <v>347</v>
      </c>
      <c r="G70" s="11" t="s">
        <v>13</v>
      </c>
      <c r="H70" s="5">
        <v>50000.0</v>
      </c>
      <c r="I70" s="5">
        <v>50000.0</v>
      </c>
      <c r="J70" s="6">
        <v>0.0</v>
      </c>
      <c r="K70" s="6">
        <v>0.0</v>
      </c>
      <c r="L70" s="6">
        <v>0.0</v>
      </c>
      <c r="M70" s="6">
        <v>0.0</v>
      </c>
      <c r="N70" s="6">
        <v>0.0</v>
      </c>
      <c r="O70" s="6">
        <v>0.0</v>
      </c>
      <c r="P70" s="6">
        <f t="shared" ref="P70:R70" si="569">+J70+M70</f>
        <v>0</v>
      </c>
      <c r="Q70" s="6">
        <f t="shared" si="569"/>
        <v>0</v>
      </c>
      <c r="R70" s="6">
        <f t="shared" si="569"/>
        <v>0</v>
      </c>
      <c r="S70" s="6">
        <v>0.0</v>
      </c>
      <c r="T70" s="6">
        <v>0.0</v>
      </c>
      <c r="U70" s="6">
        <v>0.0</v>
      </c>
      <c r="V70" s="6">
        <v>0.0</v>
      </c>
      <c r="W70" s="6">
        <v>0.0</v>
      </c>
      <c r="X70" s="6">
        <v>0.0</v>
      </c>
      <c r="Y70" s="6">
        <v>0.0</v>
      </c>
      <c r="Z70" s="6">
        <v>0.0</v>
      </c>
      <c r="AA70" s="6">
        <v>0.0</v>
      </c>
      <c r="AB70" s="6">
        <v>0.0</v>
      </c>
      <c r="AC70" s="6">
        <v>0.0</v>
      </c>
      <c r="AD70" s="6">
        <v>0.0</v>
      </c>
      <c r="AE70" s="6">
        <f t="shared" ref="AE70:AG70" si="570">+Y70+AB70+S70+V70</f>
        <v>0</v>
      </c>
      <c r="AF70" s="6">
        <f t="shared" si="570"/>
        <v>0</v>
      </c>
      <c r="AG70" s="6">
        <f t="shared" si="570"/>
        <v>0</v>
      </c>
      <c r="AH70" s="6">
        <v>0.0</v>
      </c>
      <c r="AI70" s="6">
        <v>0.0</v>
      </c>
      <c r="AJ70" s="6">
        <v>0.0</v>
      </c>
      <c r="AK70" s="6">
        <v>0.0</v>
      </c>
      <c r="AL70" s="6">
        <v>0.0</v>
      </c>
      <c r="AM70" s="6">
        <v>0.0</v>
      </c>
      <c r="AN70" s="6">
        <v>0.0</v>
      </c>
      <c r="AO70" s="6">
        <v>0.0</v>
      </c>
      <c r="AP70" s="6">
        <v>0.0</v>
      </c>
      <c r="AQ70" s="6">
        <v>0.0</v>
      </c>
      <c r="AR70" s="6">
        <v>0.0</v>
      </c>
      <c r="AS70" s="6">
        <v>0.0</v>
      </c>
      <c r="AT70" s="6">
        <f t="shared" ref="AT70:AV70" si="571">+AN70+AQ70+AH70+AK70</f>
        <v>0</v>
      </c>
      <c r="AU70" s="6">
        <f t="shared" si="571"/>
        <v>0</v>
      </c>
      <c r="AV70" s="6">
        <f t="shared" si="571"/>
        <v>0</v>
      </c>
      <c r="AW70" s="5">
        <v>50000.0</v>
      </c>
      <c r="AX70" s="5">
        <v>50000.0</v>
      </c>
      <c r="AY70" s="6">
        <v>50000.0</v>
      </c>
      <c r="AZ70" s="6">
        <v>0.0</v>
      </c>
      <c r="BA70" s="6">
        <v>0.0</v>
      </c>
      <c r="BB70" s="6">
        <v>0.0</v>
      </c>
      <c r="BC70" s="6">
        <v>0.0</v>
      </c>
      <c r="BD70" s="6">
        <v>0.0</v>
      </c>
      <c r="BE70" s="6">
        <v>0.0</v>
      </c>
      <c r="BF70" s="6">
        <v>0.0</v>
      </c>
      <c r="BG70" s="6">
        <v>0.0</v>
      </c>
      <c r="BH70" s="6">
        <v>0.0</v>
      </c>
      <c r="BI70" s="6">
        <f t="shared" ref="BI70:BK70" si="572">+BC70+BF70+AW70+AZ70</f>
        <v>50000</v>
      </c>
      <c r="BJ70" s="6">
        <f t="shared" si="572"/>
        <v>50000</v>
      </c>
      <c r="BK70" s="6">
        <f t="shared" si="572"/>
        <v>50000</v>
      </c>
      <c r="BL70" s="6">
        <v>0.0</v>
      </c>
      <c r="BM70" s="6">
        <v>0.0</v>
      </c>
      <c r="BN70" s="6">
        <v>0.0</v>
      </c>
      <c r="BO70" s="6">
        <v>0.0</v>
      </c>
      <c r="BP70" s="6">
        <v>0.0</v>
      </c>
      <c r="BQ70" s="6">
        <v>0.0</v>
      </c>
      <c r="BR70" s="6">
        <v>0.0</v>
      </c>
      <c r="BS70" s="6">
        <v>0.0</v>
      </c>
      <c r="BT70" s="6">
        <v>0.0</v>
      </c>
      <c r="BU70" s="6" t="str">
        <f t="shared" ref="BU70:BW70" si="573">+BO70+BR70+#REF!+BL70</f>
        <v>#REF!</v>
      </c>
      <c r="BV70" s="6" t="str">
        <f t="shared" si="573"/>
        <v>#REF!</v>
      </c>
      <c r="BW70" s="6" t="str">
        <f t="shared" si="573"/>
        <v>#REF!</v>
      </c>
      <c r="BX70" s="6">
        <v>0.0</v>
      </c>
      <c r="BY70" s="6">
        <v>0.0</v>
      </c>
      <c r="BZ70" s="6">
        <v>0.0</v>
      </c>
      <c r="CA70" s="6">
        <v>0.0</v>
      </c>
      <c r="CB70" s="6">
        <v>0.0</v>
      </c>
      <c r="CC70" s="6">
        <v>0.0</v>
      </c>
      <c r="CD70" s="6">
        <v>0.0</v>
      </c>
      <c r="CE70" s="6">
        <v>0.0</v>
      </c>
      <c r="CF70" s="6">
        <v>0.0</v>
      </c>
      <c r="CG70" s="6" t="str">
        <f t="shared" ref="CG70:CI70" si="574">+CA70+CD70+BX70+#REF!</f>
        <v>#REF!</v>
      </c>
      <c r="CH70" s="6" t="str">
        <f t="shared" si="574"/>
        <v>#REF!</v>
      </c>
      <c r="CI70" s="6" t="str">
        <f t="shared" si="574"/>
        <v>#REF!</v>
      </c>
      <c r="CJ70" s="6">
        <v>0.0</v>
      </c>
      <c r="CK70" s="6">
        <v>0.0</v>
      </c>
      <c r="CL70" s="6">
        <v>0.0</v>
      </c>
      <c r="CM70" s="6">
        <v>0.0</v>
      </c>
      <c r="CN70" s="6">
        <v>0.0</v>
      </c>
      <c r="CO70" s="6">
        <v>0.0</v>
      </c>
      <c r="CP70" s="6">
        <v>0.0</v>
      </c>
      <c r="CQ70" s="6">
        <v>0.0</v>
      </c>
      <c r="CR70" s="6">
        <v>0.0</v>
      </c>
      <c r="CS70" s="6">
        <v>0.0</v>
      </c>
      <c r="CT70" s="6">
        <v>0.0</v>
      </c>
      <c r="CU70" s="6">
        <v>0.0</v>
      </c>
      <c r="CV70" s="6">
        <f t="shared" ref="CV70:CX70" si="575">+CP70+CS70+CJ70+CM70</f>
        <v>0</v>
      </c>
      <c r="CW70" s="6">
        <f t="shared" si="575"/>
        <v>0</v>
      </c>
      <c r="CX70" s="6">
        <f t="shared" si="575"/>
        <v>0</v>
      </c>
      <c r="CY70" s="6">
        <v>0.0</v>
      </c>
      <c r="CZ70" s="6">
        <v>0.0</v>
      </c>
      <c r="DA70" s="6">
        <v>0.0</v>
      </c>
      <c r="DB70" s="6">
        <v>0.0</v>
      </c>
      <c r="DC70" s="6">
        <v>0.0</v>
      </c>
      <c r="DD70" s="6">
        <v>0.0</v>
      </c>
      <c r="DE70" s="6">
        <v>0.0</v>
      </c>
      <c r="DF70" s="6">
        <v>0.0</v>
      </c>
      <c r="DG70" s="6">
        <v>0.0</v>
      </c>
      <c r="DH70" s="6">
        <v>0.0</v>
      </c>
      <c r="DI70" s="6">
        <v>0.0</v>
      </c>
      <c r="DJ70" s="6">
        <v>0.0</v>
      </c>
      <c r="DK70" s="6">
        <f t="shared" ref="DK70:DM70" si="576">+DE70+DH70+CY70+DB70</f>
        <v>0</v>
      </c>
      <c r="DL70" s="6">
        <f t="shared" si="576"/>
        <v>0</v>
      </c>
      <c r="DM70" s="6">
        <f t="shared" si="576"/>
        <v>0</v>
      </c>
      <c r="DN70" s="6" t="str">
        <f t="shared" ref="DN70:DP70" si="577">+P70+AE70+AT70+BI70+BU70+CG70+CV70</f>
        <v>#REF!</v>
      </c>
      <c r="DO70" s="6" t="str">
        <f t="shared" si="577"/>
        <v>#REF!</v>
      </c>
      <c r="DP70" s="6" t="str">
        <f t="shared" si="577"/>
        <v>#REF!</v>
      </c>
      <c r="DQ70" s="6" t="str">
        <f t="shared" si="19"/>
        <v>#REF!</v>
      </c>
    </row>
    <row r="71" ht="13.5" customHeight="1">
      <c r="A71" s="11">
        <v>44832.0</v>
      </c>
      <c r="B71" s="2" t="s">
        <v>348</v>
      </c>
      <c r="C71" s="2" t="s">
        <v>349</v>
      </c>
      <c r="D71" s="29" t="s">
        <v>350</v>
      </c>
      <c r="E71" s="2" t="s">
        <v>351</v>
      </c>
      <c r="F71" s="11" t="s">
        <v>352</v>
      </c>
      <c r="G71" s="11" t="s">
        <v>13</v>
      </c>
      <c r="H71" s="5">
        <v>3252000.0</v>
      </c>
      <c r="I71" s="5">
        <v>3252000.0</v>
      </c>
      <c r="J71" s="6">
        <v>0.0</v>
      </c>
      <c r="K71" s="6">
        <v>0.0</v>
      </c>
      <c r="L71" s="6">
        <v>0.0</v>
      </c>
      <c r="M71" s="6">
        <v>0.0</v>
      </c>
      <c r="N71" s="6">
        <v>0.0</v>
      </c>
      <c r="O71" s="6">
        <v>0.0</v>
      </c>
      <c r="P71" s="6">
        <f t="shared" ref="P71:R71" si="578">+J71+M71</f>
        <v>0</v>
      </c>
      <c r="Q71" s="6">
        <f t="shared" si="578"/>
        <v>0</v>
      </c>
      <c r="R71" s="6">
        <f t="shared" si="578"/>
        <v>0</v>
      </c>
      <c r="S71" s="6">
        <v>0.0</v>
      </c>
      <c r="T71" s="6">
        <v>0.0</v>
      </c>
      <c r="U71" s="6">
        <v>0.0</v>
      </c>
      <c r="V71" s="6">
        <v>0.0</v>
      </c>
      <c r="W71" s="6">
        <v>0.0</v>
      </c>
      <c r="X71" s="6">
        <v>0.0</v>
      </c>
      <c r="Y71" s="6">
        <v>0.0</v>
      </c>
      <c r="Z71" s="6">
        <v>0.0</v>
      </c>
      <c r="AA71" s="6">
        <v>0.0</v>
      </c>
      <c r="AB71" s="6">
        <v>0.0</v>
      </c>
      <c r="AC71" s="6">
        <v>0.0</v>
      </c>
      <c r="AD71" s="6">
        <v>0.0</v>
      </c>
      <c r="AE71" s="6">
        <f t="shared" ref="AE71:AG71" si="579">+Y71+AB71+S71+V71</f>
        <v>0</v>
      </c>
      <c r="AF71" s="6">
        <f t="shared" si="579"/>
        <v>0</v>
      </c>
      <c r="AG71" s="6">
        <f t="shared" si="579"/>
        <v>0</v>
      </c>
      <c r="AH71" s="6">
        <v>0.0</v>
      </c>
      <c r="AI71" s="6">
        <v>0.0</v>
      </c>
      <c r="AJ71" s="6">
        <v>0.0</v>
      </c>
      <c r="AK71" s="6">
        <v>0.0</v>
      </c>
      <c r="AL71" s="6">
        <v>0.0</v>
      </c>
      <c r="AM71" s="6">
        <v>0.0</v>
      </c>
      <c r="AN71" s="6">
        <v>0.0</v>
      </c>
      <c r="AO71" s="6">
        <v>0.0</v>
      </c>
      <c r="AP71" s="6">
        <v>0.0</v>
      </c>
      <c r="AQ71" s="6">
        <v>0.0</v>
      </c>
      <c r="AR71" s="6">
        <v>0.0</v>
      </c>
      <c r="AS71" s="6">
        <v>0.0</v>
      </c>
      <c r="AT71" s="6">
        <f t="shared" ref="AT71:AV71" si="580">+AN71+AQ71+AH71+AK71</f>
        <v>0</v>
      </c>
      <c r="AU71" s="6">
        <f t="shared" si="580"/>
        <v>0</v>
      </c>
      <c r="AV71" s="6">
        <f t="shared" si="580"/>
        <v>0</v>
      </c>
      <c r="AW71" s="5">
        <v>3252000.0</v>
      </c>
      <c r="AX71" s="5">
        <v>3252000.0</v>
      </c>
      <c r="AY71" s="6">
        <v>0.0</v>
      </c>
      <c r="AZ71" s="6">
        <v>0.0</v>
      </c>
      <c r="BA71" s="6">
        <v>0.0</v>
      </c>
      <c r="BB71" s="6">
        <v>1084000.0</v>
      </c>
      <c r="BC71" s="6">
        <v>0.0</v>
      </c>
      <c r="BD71" s="6">
        <v>0.0</v>
      </c>
      <c r="BE71" s="6">
        <v>1500000.0</v>
      </c>
      <c r="BF71" s="6">
        <v>0.0</v>
      </c>
      <c r="BG71" s="6">
        <v>0.0</v>
      </c>
      <c r="BH71" s="6">
        <v>668000.0</v>
      </c>
      <c r="BI71" s="6">
        <f t="shared" ref="BI71:BK71" si="581">+BC71+BF71+AW71+AZ71</f>
        <v>3252000</v>
      </c>
      <c r="BJ71" s="6">
        <f t="shared" si="581"/>
        <v>3252000</v>
      </c>
      <c r="BK71" s="6">
        <f t="shared" si="581"/>
        <v>3252000</v>
      </c>
      <c r="BL71" s="6">
        <v>0.0</v>
      </c>
      <c r="BM71" s="6">
        <v>0.0</v>
      </c>
      <c r="BN71" s="6">
        <v>0.0</v>
      </c>
      <c r="BO71" s="6">
        <v>0.0</v>
      </c>
      <c r="BP71" s="6">
        <v>0.0</v>
      </c>
      <c r="BQ71" s="6">
        <v>0.0</v>
      </c>
      <c r="BR71" s="6">
        <v>0.0</v>
      </c>
      <c r="BS71" s="6">
        <v>0.0</v>
      </c>
      <c r="BT71" s="6">
        <v>0.0</v>
      </c>
      <c r="BU71" s="6" t="str">
        <f t="shared" ref="BU71:BW71" si="582">+BO71+BR71+#REF!+BL71</f>
        <v>#REF!</v>
      </c>
      <c r="BV71" s="6" t="str">
        <f t="shared" si="582"/>
        <v>#REF!</v>
      </c>
      <c r="BW71" s="6" t="str">
        <f t="shared" si="582"/>
        <v>#REF!</v>
      </c>
      <c r="BX71" s="6">
        <v>0.0</v>
      </c>
      <c r="BY71" s="6">
        <v>0.0</v>
      </c>
      <c r="BZ71" s="6">
        <v>0.0</v>
      </c>
      <c r="CA71" s="6">
        <v>0.0</v>
      </c>
      <c r="CB71" s="6">
        <v>0.0</v>
      </c>
      <c r="CC71" s="6">
        <v>0.0</v>
      </c>
      <c r="CD71" s="6">
        <v>0.0</v>
      </c>
      <c r="CE71" s="6">
        <v>0.0</v>
      </c>
      <c r="CF71" s="6">
        <v>0.0</v>
      </c>
      <c r="CG71" s="6" t="str">
        <f t="shared" ref="CG71:CI71" si="583">+CA71+CD71+BX71+#REF!</f>
        <v>#REF!</v>
      </c>
      <c r="CH71" s="6" t="str">
        <f t="shared" si="583"/>
        <v>#REF!</v>
      </c>
      <c r="CI71" s="6" t="str">
        <f t="shared" si="583"/>
        <v>#REF!</v>
      </c>
      <c r="CJ71" s="6">
        <v>0.0</v>
      </c>
      <c r="CK71" s="6">
        <v>0.0</v>
      </c>
      <c r="CL71" s="6">
        <v>0.0</v>
      </c>
      <c r="CM71" s="6">
        <v>0.0</v>
      </c>
      <c r="CN71" s="6">
        <v>0.0</v>
      </c>
      <c r="CO71" s="6">
        <v>0.0</v>
      </c>
      <c r="CP71" s="6">
        <v>0.0</v>
      </c>
      <c r="CQ71" s="6">
        <v>0.0</v>
      </c>
      <c r="CR71" s="6">
        <v>0.0</v>
      </c>
      <c r="CS71" s="6">
        <v>0.0</v>
      </c>
      <c r="CT71" s="6">
        <v>0.0</v>
      </c>
      <c r="CU71" s="6">
        <v>0.0</v>
      </c>
      <c r="CV71" s="6">
        <f t="shared" ref="CV71:CX71" si="584">+CP71+CS71+CJ71+CM71</f>
        <v>0</v>
      </c>
      <c r="CW71" s="6">
        <f t="shared" si="584"/>
        <v>0</v>
      </c>
      <c r="CX71" s="6">
        <f t="shared" si="584"/>
        <v>0</v>
      </c>
      <c r="CY71" s="6">
        <v>0.0</v>
      </c>
      <c r="CZ71" s="6">
        <v>0.0</v>
      </c>
      <c r="DA71" s="6">
        <v>0.0</v>
      </c>
      <c r="DB71" s="6">
        <v>0.0</v>
      </c>
      <c r="DC71" s="6">
        <v>0.0</v>
      </c>
      <c r="DD71" s="6">
        <v>0.0</v>
      </c>
      <c r="DE71" s="6">
        <v>0.0</v>
      </c>
      <c r="DF71" s="6">
        <v>0.0</v>
      </c>
      <c r="DG71" s="6">
        <v>0.0</v>
      </c>
      <c r="DH71" s="6">
        <v>0.0</v>
      </c>
      <c r="DI71" s="6">
        <v>0.0</v>
      </c>
      <c r="DJ71" s="6">
        <v>0.0</v>
      </c>
      <c r="DK71" s="6">
        <f t="shared" ref="DK71:DM71" si="585">+DE71+DH71+CY71+DB71</f>
        <v>0</v>
      </c>
      <c r="DL71" s="6">
        <f t="shared" si="585"/>
        <v>0</v>
      </c>
      <c r="DM71" s="6">
        <f t="shared" si="585"/>
        <v>0</v>
      </c>
      <c r="DN71" s="6" t="str">
        <f t="shared" ref="DN71:DP71" si="586">+P71+AE71+AT71+BI71+BU71+CG71+CV71</f>
        <v>#REF!</v>
      </c>
      <c r="DO71" s="6" t="str">
        <f t="shared" si="586"/>
        <v>#REF!</v>
      </c>
      <c r="DP71" s="6" t="str">
        <f t="shared" si="586"/>
        <v>#REF!</v>
      </c>
      <c r="DQ71" s="6" t="str">
        <f t="shared" si="19"/>
        <v>#REF!</v>
      </c>
    </row>
    <row r="72" ht="13.5" customHeight="1">
      <c r="A72" s="11">
        <v>44851.0</v>
      </c>
      <c r="B72" s="2" t="s">
        <v>353</v>
      </c>
      <c r="C72" s="2" t="s">
        <v>354</v>
      </c>
      <c r="D72" s="29" t="s">
        <v>355</v>
      </c>
      <c r="E72" s="2" t="s">
        <v>356</v>
      </c>
      <c r="F72" s="11" t="s">
        <v>357</v>
      </c>
      <c r="G72" s="11" t="s">
        <v>13</v>
      </c>
      <c r="H72" s="5">
        <v>216206.46</v>
      </c>
      <c r="I72" s="5">
        <v>216206.46</v>
      </c>
      <c r="J72" s="6">
        <v>0.0</v>
      </c>
      <c r="K72" s="6">
        <v>0.0</v>
      </c>
      <c r="L72" s="6">
        <v>0.0</v>
      </c>
      <c r="M72" s="6">
        <v>0.0</v>
      </c>
      <c r="N72" s="6">
        <v>0.0</v>
      </c>
      <c r="O72" s="6">
        <v>0.0</v>
      </c>
      <c r="P72" s="6">
        <f t="shared" ref="P72:R72" si="587">+J72+M72</f>
        <v>0</v>
      </c>
      <c r="Q72" s="6">
        <f t="shared" si="587"/>
        <v>0</v>
      </c>
      <c r="R72" s="6">
        <f t="shared" si="587"/>
        <v>0</v>
      </c>
      <c r="S72" s="6">
        <v>0.0</v>
      </c>
      <c r="T72" s="6">
        <v>0.0</v>
      </c>
      <c r="U72" s="6">
        <v>0.0</v>
      </c>
      <c r="V72" s="6">
        <v>0.0</v>
      </c>
      <c r="W72" s="6">
        <v>0.0</v>
      </c>
      <c r="X72" s="6">
        <v>0.0</v>
      </c>
      <c r="Y72" s="6">
        <v>0.0</v>
      </c>
      <c r="Z72" s="6">
        <v>0.0</v>
      </c>
      <c r="AA72" s="6">
        <v>0.0</v>
      </c>
      <c r="AB72" s="6">
        <v>0.0</v>
      </c>
      <c r="AC72" s="6">
        <v>0.0</v>
      </c>
      <c r="AD72" s="6">
        <v>0.0</v>
      </c>
      <c r="AE72" s="6">
        <f t="shared" ref="AE72:AG72" si="588">+Y72+AB72+S72+V72</f>
        <v>0</v>
      </c>
      <c r="AF72" s="6">
        <f t="shared" si="588"/>
        <v>0</v>
      </c>
      <c r="AG72" s="6">
        <f t="shared" si="588"/>
        <v>0</v>
      </c>
      <c r="AH72" s="6">
        <v>0.0</v>
      </c>
      <c r="AI72" s="6">
        <v>0.0</v>
      </c>
      <c r="AJ72" s="6">
        <v>0.0</v>
      </c>
      <c r="AK72" s="6">
        <v>0.0</v>
      </c>
      <c r="AL72" s="6">
        <v>0.0</v>
      </c>
      <c r="AM72" s="6">
        <v>0.0</v>
      </c>
      <c r="AN72" s="6">
        <v>0.0</v>
      </c>
      <c r="AO72" s="6">
        <v>0.0</v>
      </c>
      <c r="AP72" s="6">
        <v>0.0</v>
      </c>
      <c r="AQ72" s="6">
        <v>0.0</v>
      </c>
      <c r="AR72" s="6">
        <v>0.0</v>
      </c>
      <c r="AS72" s="6">
        <v>0.0</v>
      </c>
      <c r="AT72" s="6">
        <f t="shared" ref="AT72:AV72" si="589">+AN72+AQ72+AH72+AK72</f>
        <v>0</v>
      </c>
      <c r="AU72" s="6">
        <f t="shared" si="589"/>
        <v>0</v>
      </c>
      <c r="AV72" s="6">
        <f t="shared" si="589"/>
        <v>0</v>
      </c>
      <c r="AW72" s="5">
        <v>216206.46</v>
      </c>
      <c r="AX72" s="5">
        <v>216206.46</v>
      </c>
      <c r="AY72" s="6">
        <v>0.0</v>
      </c>
      <c r="AZ72" s="6">
        <v>0.0</v>
      </c>
      <c r="BA72" s="6">
        <v>0.0</v>
      </c>
      <c r="BB72" s="6">
        <v>108000.0</v>
      </c>
      <c r="BC72" s="6">
        <v>0.0</v>
      </c>
      <c r="BD72" s="6">
        <v>0.0</v>
      </c>
      <c r="BE72" s="6">
        <v>108206.46</v>
      </c>
      <c r="BF72" s="6">
        <v>0.0</v>
      </c>
      <c r="BG72" s="6">
        <v>0.0</v>
      </c>
      <c r="BH72" s="6">
        <v>0.0</v>
      </c>
      <c r="BI72" s="6">
        <f t="shared" ref="BI72:BK72" si="590">+BC72+BF72+AW72+AZ72</f>
        <v>216206.46</v>
      </c>
      <c r="BJ72" s="6">
        <f t="shared" si="590"/>
        <v>216206.46</v>
      </c>
      <c r="BK72" s="6">
        <f t="shared" si="590"/>
        <v>216206.46</v>
      </c>
      <c r="BL72" s="6">
        <v>0.0</v>
      </c>
      <c r="BM72" s="6">
        <v>0.0</v>
      </c>
      <c r="BN72" s="6">
        <v>108000.0</v>
      </c>
      <c r="BO72" s="6">
        <v>0.0</v>
      </c>
      <c r="BP72" s="6">
        <v>0.0</v>
      </c>
      <c r="BQ72" s="6">
        <v>0.0</v>
      </c>
      <c r="BR72" s="6">
        <v>0.0</v>
      </c>
      <c r="BS72" s="6">
        <v>0.0</v>
      </c>
      <c r="BT72" s="6">
        <v>0.0</v>
      </c>
      <c r="BU72" s="6" t="str">
        <f t="shared" ref="BU72:BW72" si="591">+BO72+BR72+#REF!+BL72</f>
        <v>#REF!</v>
      </c>
      <c r="BV72" s="6" t="str">
        <f t="shared" si="591"/>
        <v>#REF!</v>
      </c>
      <c r="BW72" s="6" t="str">
        <f t="shared" si="591"/>
        <v>#REF!</v>
      </c>
      <c r="BX72" s="6">
        <v>0.0</v>
      </c>
      <c r="BY72" s="6">
        <v>0.0</v>
      </c>
      <c r="BZ72" s="6">
        <v>0.0</v>
      </c>
      <c r="CA72" s="6">
        <v>0.0</v>
      </c>
      <c r="CB72" s="6">
        <v>0.0</v>
      </c>
      <c r="CC72" s="6">
        <v>0.0</v>
      </c>
      <c r="CD72" s="6">
        <v>0.0</v>
      </c>
      <c r="CE72" s="6">
        <v>0.0</v>
      </c>
      <c r="CF72" s="6">
        <v>0.0</v>
      </c>
      <c r="CG72" s="6" t="str">
        <f t="shared" ref="CG72:CI72" si="592">+CA72+CD72+BX72+#REF!</f>
        <v>#REF!</v>
      </c>
      <c r="CH72" s="6" t="str">
        <f t="shared" si="592"/>
        <v>#REF!</v>
      </c>
      <c r="CI72" s="6" t="str">
        <f t="shared" si="592"/>
        <v>#REF!</v>
      </c>
      <c r="CJ72" s="6">
        <v>0.0</v>
      </c>
      <c r="CK72" s="6">
        <v>0.0</v>
      </c>
      <c r="CL72" s="6">
        <v>0.0</v>
      </c>
      <c r="CM72" s="6">
        <v>0.0</v>
      </c>
      <c r="CN72" s="6">
        <v>0.0</v>
      </c>
      <c r="CO72" s="6">
        <v>0.0</v>
      </c>
      <c r="CP72" s="6">
        <v>0.0</v>
      </c>
      <c r="CQ72" s="6">
        <v>0.0</v>
      </c>
      <c r="CR72" s="6">
        <v>0.0</v>
      </c>
      <c r="CS72" s="6">
        <v>0.0</v>
      </c>
      <c r="CT72" s="6">
        <v>0.0</v>
      </c>
      <c r="CU72" s="6">
        <v>0.0</v>
      </c>
      <c r="CV72" s="6">
        <f t="shared" ref="CV72:CX72" si="593">+CP72+CS72+CJ72+CM72</f>
        <v>0</v>
      </c>
      <c r="CW72" s="6">
        <f t="shared" si="593"/>
        <v>0</v>
      </c>
      <c r="CX72" s="6">
        <f t="shared" si="593"/>
        <v>0</v>
      </c>
      <c r="CY72" s="6">
        <v>0.0</v>
      </c>
      <c r="CZ72" s="6">
        <v>0.0</v>
      </c>
      <c r="DA72" s="6">
        <v>0.0</v>
      </c>
      <c r="DB72" s="6">
        <v>0.0</v>
      </c>
      <c r="DC72" s="6">
        <v>0.0</v>
      </c>
      <c r="DD72" s="6">
        <v>0.0</v>
      </c>
      <c r="DE72" s="6">
        <v>0.0</v>
      </c>
      <c r="DF72" s="6">
        <v>0.0</v>
      </c>
      <c r="DG72" s="6">
        <v>0.0</v>
      </c>
      <c r="DH72" s="6">
        <v>0.0</v>
      </c>
      <c r="DI72" s="6">
        <v>0.0</v>
      </c>
      <c r="DJ72" s="6">
        <v>0.0</v>
      </c>
      <c r="DK72" s="6">
        <f t="shared" ref="DK72:DM72" si="594">+DE72+DH72+CY72+DB72</f>
        <v>0</v>
      </c>
      <c r="DL72" s="6">
        <f t="shared" si="594"/>
        <v>0</v>
      </c>
      <c r="DM72" s="6">
        <f t="shared" si="594"/>
        <v>0</v>
      </c>
      <c r="DN72" s="6" t="str">
        <f t="shared" ref="DN72:DP72" si="595">+P72+AE72+AT72+BI72+BU72+CG72+CV72</f>
        <v>#REF!</v>
      </c>
      <c r="DO72" s="6" t="str">
        <f t="shared" si="595"/>
        <v>#REF!</v>
      </c>
      <c r="DP72" s="6" t="str">
        <f t="shared" si="595"/>
        <v>#REF!</v>
      </c>
      <c r="DQ72" s="6" t="str">
        <f t="shared" si="19"/>
        <v>#REF!</v>
      </c>
    </row>
    <row r="73" ht="13.5" customHeight="1">
      <c r="A73" s="11">
        <v>44851.0</v>
      </c>
      <c r="B73" s="2" t="s">
        <v>353</v>
      </c>
      <c r="C73" s="2" t="s">
        <v>354</v>
      </c>
      <c r="D73" s="29" t="s">
        <v>355</v>
      </c>
      <c r="E73" s="2" t="s">
        <v>356</v>
      </c>
      <c r="F73" s="11" t="s">
        <v>357</v>
      </c>
      <c r="G73" s="11" t="s">
        <v>13</v>
      </c>
      <c r="H73" s="5">
        <v>2327398.96</v>
      </c>
      <c r="I73" s="5">
        <v>2327398.96</v>
      </c>
      <c r="J73" s="6">
        <v>0.0</v>
      </c>
      <c r="K73" s="6">
        <v>0.0</v>
      </c>
      <c r="L73" s="6">
        <v>0.0</v>
      </c>
      <c r="M73" s="6">
        <v>0.0</v>
      </c>
      <c r="N73" s="6">
        <v>0.0</v>
      </c>
      <c r="O73" s="6">
        <v>0.0</v>
      </c>
      <c r="P73" s="6">
        <f t="shared" ref="P73:R73" si="596">+J73+M73</f>
        <v>0</v>
      </c>
      <c r="Q73" s="6">
        <f t="shared" si="596"/>
        <v>0</v>
      </c>
      <c r="R73" s="6">
        <f t="shared" si="596"/>
        <v>0</v>
      </c>
      <c r="S73" s="6">
        <v>0.0</v>
      </c>
      <c r="T73" s="6">
        <v>0.0</v>
      </c>
      <c r="U73" s="6">
        <v>0.0</v>
      </c>
      <c r="V73" s="6">
        <v>0.0</v>
      </c>
      <c r="W73" s="6">
        <v>0.0</v>
      </c>
      <c r="X73" s="6">
        <v>0.0</v>
      </c>
      <c r="Y73" s="6">
        <v>0.0</v>
      </c>
      <c r="Z73" s="6">
        <v>0.0</v>
      </c>
      <c r="AA73" s="6">
        <v>0.0</v>
      </c>
      <c r="AB73" s="6">
        <v>0.0</v>
      </c>
      <c r="AC73" s="6">
        <v>0.0</v>
      </c>
      <c r="AD73" s="6">
        <v>0.0</v>
      </c>
      <c r="AE73" s="6">
        <f t="shared" ref="AE73:AG73" si="597">+Y73+AB73+S73+V73</f>
        <v>0</v>
      </c>
      <c r="AF73" s="6">
        <f t="shared" si="597"/>
        <v>0</v>
      </c>
      <c r="AG73" s="6">
        <f t="shared" si="597"/>
        <v>0</v>
      </c>
      <c r="AH73" s="6">
        <v>0.0</v>
      </c>
      <c r="AI73" s="6">
        <v>0.0</v>
      </c>
      <c r="AJ73" s="6">
        <v>0.0</v>
      </c>
      <c r="AK73" s="6">
        <v>0.0</v>
      </c>
      <c r="AL73" s="6">
        <v>0.0</v>
      </c>
      <c r="AM73" s="6">
        <v>0.0</v>
      </c>
      <c r="AN73" s="6">
        <v>0.0</v>
      </c>
      <c r="AO73" s="6">
        <v>0.0</v>
      </c>
      <c r="AP73" s="6">
        <v>0.0</v>
      </c>
      <c r="AQ73" s="6">
        <v>0.0</v>
      </c>
      <c r="AR73" s="6">
        <v>0.0</v>
      </c>
      <c r="AS73" s="6">
        <v>0.0</v>
      </c>
      <c r="AT73" s="6">
        <f t="shared" ref="AT73:AV73" si="598">+AN73+AQ73+AH73+AK73</f>
        <v>0</v>
      </c>
      <c r="AU73" s="6">
        <f t="shared" si="598"/>
        <v>0</v>
      </c>
      <c r="AV73" s="6">
        <f t="shared" si="598"/>
        <v>0</v>
      </c>
      <c r="AW73" s="5">
        <v>2327398.96</v>
      </c>
      <c r="AX73" s="5">
        <v>2327398.96</v>
      </c>
      <c r="AY73" s="6">
        <v>0.0</v>
      </c>
      <c r="AZ73" s="6">
        <v>0.0</v>
      </c>
      <c r="BA73" s="6">
        <v>0.0</v>
      </c>
      <c r="BB73" s="6">
        <v>1000000.0</v>
      </c>
      <c r="BC73" s="6">
        <v>0.0</v>
      </c>
      <c r="BD73" s="6">
        <v>0.0</v>
      </c>
      <c r="BE73" s="6">
        <v>800000.0</v>
      </c>
      <c r="BF73" s="6">
        <v>0.0</v>
      </c>
      <c r="BG73" s="6">
        <v>0.0</v>
      </c>
      <c r="BH73" s="6">
        <v>263699.48</v>
      </c>
      <c r="BI73" s="6">
        <f t="shared" ref="BI73:BK73" si="599">+BC73+BF73+AW73+AZ73</f>
        <v>2327398.96</v>
      </c>
      <c r="BJ73" s="6">
        <f t="shared" si="599"/>
        <v>2327398.96</v>
      </c>
      <c r="BK73" s="6">
        <f t="shared" si="599"/>
        <v>2063699.48</v>
      </c>
      <c r="BL73" s="6">
        <v>0.0</v>
      </c>
      <c r="BM73" s="6">
        <v>0.0</v>
      </c>
      <c r="BN73" s="6">
        <v>0.0</v>
      </c>
      <c r="BO73" s="6">
        <v>0.0</v>
      </c>
      <c r="BP73" s="6">
        <v>0.0</v>
      </c>
      <c r="BQ73" s="6">
        <v>0.0</v>
      </c>
      <c r="BR73" s="6">
        <v>0.0</v>
      </c>
      <c r="BS73" s="6">
        <v>0.0</v>
      </c>
      <c r="BT73" s="6">
        <v>0.0</v>
      </c>
      <c r="BU73" s="6" t="str">
        <f t="shared" ref="BU73:BW73" si="600">+BO73+BR73+#REF!+BL73</f>
        <v>#REF!</v>
      </c>
      <c r="BV73" s="6" t="str">
        <f t="shared" si="600"/>
        <v>#REF!</v>
      </c>
      <c r="BW73" s="6" t="str">
        <f t="shared" si="600"/>
        <v>#REF!</v>
      </c>
      <c r="BX73" s="6">
        <v>0.0</v>
      </c>
      <c r="BY73" s="6">
        <v>0.0</v>
      </c>
      <c r="BZ73" s="6">
        <v>0.0</v>
      </c>
      <c r="CA73" s="6">
        <v>0.0</v>
      </c>
      <c r="CB73" s="6">
        <v>0.0</v>
      </c>
      <c r="CC73" s="6">
        <v>0.0</v>
      </c>
      <c r="CD73" s="6">
        <v>0.0</v>
      </c>
      <c r="CE73" s="6">
        <v>0.0</v>
      </c>
      <c r="CF73" s="6">
        <v>0.0</v>
      </c>
      <c r="CG73" s="6" t="str">
        <f t="shared" ref="CG73:CI73" si="601">+CA73+CD73+BX73+#REF!</f>
        <v>#REF!</v>
      </c>
      <c r="CH73" s="6" t="str">
        <f t="shared" si="601"/>
        <v>#REF!</v>
      </c>
      <c r="CI73" s="6" t="str">
        <f t="shared" si="601"/>
        <v>#REF!</v>
      </c>
      <c r="CJ73" s="6">
        <v>0.0</v>
      </c>
      <c r="CK73" s="6">
        <v>0.0</v>
      </c>
      <c r="CL73" s="6">
        <v>0.0</v>
      </c>
      <c r="CM73" s="6">
        <v>0.0</v>
      </c>
      <c r="CN73" s="6">
        <v>0.0</v>
      </c>
      <c r="CO73" s="6">
        <v>0.0</v>
      </c>
      <c r="CP73" s="6">
        <v>0.0</v>
      </c>
      <c r="CQ73" s="6">
        <v>0.0</v>
      </c>
      <c r="CR73" s="6">
        <v>0.0</v>
      </c>
      <c r="CS73" s="6">
        <v>0.0</v>
      </c>
      <c r="CT73" s="6">
        <v>0.0</v>
      </c>
      <c r="CU73" s="6">
        <v>0.0</v>
      </c>
      <c r="CV73" s="6">
        <f t="shared" ref="CV73:CX73" si="602">+CP73+CS73+CJ73+CM73</f>
        <v>0</v>
      </c>
      <c r="CW73" s="6">
        <f t="shared" si="602"/>
        <v>0</v>
      </c>
      <c r="CX73" s="6">
        <f t="shared" si="602"/>
        <v>0</v>
      </c>
      <c r="CY73" s="6">
        <v>0.0</v>
      </c>
      <c r="CZ73" s="6">
        <v>0.0</v>
      </c>
      <c r="DA73" s="6">
        <v>0.0</v>
      </c>
      <c r="DB73" s="6">
        <v>0.0</v>
      </c>
      <c r="DC73" s="6">
        <v>0.0</v>
      </c>
      <c r="DD73" s="6">
        <v>0.0</v>
      </c>
      <c r="DE73" s="6">
        <v>0.0</v>
      </c>
      <c r="DF73" s="6">
        <v>0.0</v>
      </c>
      <c r="DG73" s="6">
        <v>0.0</v>
      </c>
      <c r="DH73" s="6">
        <v>0.0</v>
      </c>
      <c r="DI73" s="6">
        <v>0.0</v>
      </c>
      <c r="DJ73" s="6">
        <v>0.0</v>
      </c>
      <c r="DK73" s="6">
        <f t="shared" ref="DK73:DM73" si="603">+DE73+DH73+CY73+DB73</f>
        <v>0</v>
      </c>
      <c r="DL73" s="6">
        <f t="shared" si="603"/>
        <v>0</v>
      </c>
      <c r="DM73" s="6">
        <f t="shared" si="603"/>
        <v>0</v>
      </c>
      <c r="DN73" s="6" t="str">
        <f t="shared" ref="DN73:DP73" si="604">+P73+AE73+AT73+BI73+BU73+CG73+CV73</f>
        <v>#REF!</v>
      </c>
      <c r="DO73" s="6" t="str">
        <f t="shared" si="604"/>
        <v>#REF!</v>
      </c>
      <c r="DP73" s="6" t="str">
        <f t="shared" si="604"/>
        <v>#REF!</v>
      </c>
      <c r="DQ73" s="6" t="str">
        <f t="shared" si="19"/>
        <v>#REF!</v>
      </c>
    </row>
    <row r="74" ht="13.5" customHeight="1">
      <c r="A74" s="11">
        <v>44867.0</v>
      </c>
      <c r="B74" s="2" t="s">
        <v>358</v>
      </c>
      <c r="C74" s="2" t="s">
        <v>359</v>
      </c>
      <c r="D74" s="29" t="s">
        <v>360</v>
      </c>
      <c r="E74" s="2" t="s">
        <v>361</v>
      </c>
      <c r="F74" s="11" t="s">
        <v>362</v>
      </c>
      <c r="G74" s="11" t="s">
        <v>13</v>
      </c>
      <c r="H74" s="5">
        <v>361000.0</v>
      </c>
      <c r="I74" s="5">
        <v>361000.0</v>
      </c>
      <c r="J74" s="6">
        <v>0.0</v>
      </c>
      <c r="K74" s="6">
        <v>0.0</v>
      </c>
      <c r="L74" s="6">
        <v>0.0</v>
      </c>
      <c r="M74" s="6">
        <v>0.0</v>
      </c>
      <c r="N74" s="6">
        <v>0.0</v>
      </c>
      <c r="O74" s="6">
        <v>0.0</v>
      </c>
      <c r="P74" s="6">
        <f t="shared" ref="P74:R74" si="605">+J74+M74</f>
        <v>0</v>
      </c>
      <c r="Q74" s="6">
        <f t="shared" si="605"/>
        <v>0</v>
      </c>
      <c r="R74" s="6">
        <f t="shared" si="605"/>
        <v>0</v>
      </c>
      <c r="S74" s="6">
        <v>0.0</v>
      </c>
      <c r="T74" s="6">
        <v>0.0</v>
      </c>
      <c r="U74" s="6">
        <v>0.0</v>
      </c>
      <c r="V74" s="6">
        <v>0.0</v>
      </c>
      <c r="W74" s="6">
        <v>0.0</v>
      </c>
      <c r="X74" s="6">
        <v>0.0</v>
      </c>
      <c r="Y74" s="6">
        <v>0.0</v>
      </c>
      <c r="Z74" s="6">
        <v>0.0</v>
      </c>
      <c r="AA74" s="6">
        <v>0.0</v>
      </c>
      <c r="AB74" s="6">
        <v>0.0</v>
      </c>
      <c r="AC74" s="6">
        <v>0.0</v>
      </c>
      <c r="AD74" s="6">
        <v>0.0</v>
      </c>
      <c r="AE74" s="6">
        <f t="shared" ref="AE74:AG74" si="606">+Y74+AB74+S74+V74</f>
        <v>0</v>
      </c>
      <c r="AF74" s="6">
        <f t="shared" si="606"/>
        <v>0</v>
      </c>
      <c r="AG74" s="6">
        <f t="shared" si="606"/>
        <v>0</v>
      </c>
      <c r="AH74" s="6">
        <v>0.0</v>
      </c>
      <c r="AI74" s="6">
        <v>0.0</v>
      </c>
      <c r="AJ74" s="6">
        <v>0.0</v>
      </c>
      <c r="AK74" s="6">
        <v>0.0</v>
      </c>
      <c r="AL74" s="6">
        <v>0.0</v>
      </c>
      <c r="AM74" s="6">
        <v>0.0</v>
      </c>
      <c r="AN74" s="6">
        <v>0.0</v>
      </c>
      <c r="AO74" s="6">
        <v>0.0</v>
      </c>
      <c r="AP74" s="6">
        <v>0.0</v>
      </c>
      <c r="AQ74" s="6">
        <v>0.0</v>
      </c>
      <c r="AR74" s="6">
        <v>0.0</v>
      </c>
      <c r="AS74" s="6">
        <v>0.0</v>
      </c>
      <c r="AT74" s="6">
        <f t="shared" ref="AT74:AV74" si="607">+AN74+AQ74+AH74+AK74</f>
        <v>0</v>
      </c>
      <c r="AU74" s="6">
        <f t="shared" si="607"/>
        <v>0</v>
      </c>
      <c r="AV74" s="6">
        <f t="shared" si="607"/>
        <v>0</v>
      </c>
      <c r="AW74" s="5">
        <v>361000.0</v>
      </c>
      <c r="AX74" s="5">
        <v>361000.0</v>
      </c>
      <c r="AY74" s="6">
        <v>0.0</v>
      </c>
      <c r="AZ74" s="6">
        <v>0.0</v>
      </c>
      <c r="BA74" s="6">
        <v>0.0</v>
      </c>
      <c r="BB74" s="6">
        <v>361000.0</v>
      </c>
      <c r="BC74" s="6">
        <v>0.0</v>
      </c>
      <c r="BD74" s="6">
        <v>0.0</v>
      </c>
      <c r="BE74" s="6">
        <v>0.0</v>
      </c>
      <c r="BF74" s="6">
        <v>0.0</v>
      </c>
      <c r="BG74" s="6">
        <v>0.0</v>
      </c>
      <c r="BH74" s="6">
        <v>0.0</v>
      </c>
      <c r="BI74" s="6">
        <f t="shared" ref="BI74:BK74" si="608">+BC74+BF74+AW74+AZ74</f>
        <v>361000</v>
      </c>
      <c r="BJ74" s="6">
        <f t="shared" si="608"/>
        <v>361000</v>
      </c>
      <c r="BK74" s="6">
        <f t="shared" si="608"/>
        <v>361000</v>
      </c>
      <c r="BL74" s="6">
        <v>0.0</v>
      </c>
      <c r="BM74" s="6">
        <v>0.0</v>
      </c>
      <c r="BN74" s="6">
        <v>0.0</v>
      </c>
      <c r="BO74" s="6">
        <v>0.0</v>
      </c>
      <c r="BP74" s="6">
        <v>0.0</v>
      </c>
      <c r="BQ74" s="6">
        <v>0.0</v>
      </c>
      <c r="BR74" s="6">
        <v>0.0</v>
      </c>
      <c r="BS74" s="6">
        <v>0.0</v>
      </c>
      <c r="BT74" s="6">
        <v>0.0</v>
      </c>
      <c r="BU74" s="6" t="str">
        <f t="shared" ref="BU74:BW74" si="609">+BO74+BR74+#REF!+BL74</f>
        <v>#REF!</v>
      </c>
      <c r="BV74" s="6" t="str">
        <f t="shared" si="609"/>
        <v>#REF!</v>
      </c>
      <c r="BW74" s="6" t="str">
        <f t="shared" si="609"/>
        <v>#REF!</v>
      </c>
      <c r="BX74" s="6">
        <v>0.0</v>
      </c>
      <c r="BY74" s="6">
        <v>0.0</v>
      </c>
      <c r="BZ74" s="6">
        <v>0.0</v>
      </c>
      <c r="CA74" s="6">
        <v>0.0</v>
      </c>
      <c r="CB74" s="6">
        <v>0.0</v>
      </c>
      <c r="CC74" s="6">
        <v>0.0</v>
      </c>
      <c r="CD74" s="6">
        <v>0.0</v>
      </c>
      <c r="CE74" s="6">
        <v>0.0</v>
      </c>
      <c r="CF74" s="6">
        <v>0.0</v>
      </c>
      <c r="CG74" s="6" t="str">
        <f t="shared" ref="CG74:CI74" si="610">+CA74+CD74+BX74+#REF!</f>
        <v>#REF!</v>
      </c>
      <c r="CH74" s="6" t="str">
        <f t="shared" si="610"/>
        <v>#REF!</v>
      </c>
      <c r="CI74" s="6" t="str">
        <f t="shared" si="610"/>
        <v>#REF!</v>
      </c>
      <c r="CJ74" s="6">
        <v>0.0</v>
      </c>
      <c r="CK74" s="6">
        <v>0.0</v>
      </c>
      <c r="CL74" s="6">
        <v>0.0</v>
      </c>
      <c r="CM74" s="6">
        <v>0.0</v>
      </c>
      <c r="CN74" s="6">
        <v>0.0</v>
      </c>
      <c r="CO74" s="6">
        <v>0.0</v>
      </c>
      <c r="CP74" s="6">
        <v>0.0</v>
      </c>
      <c r="CQ74" s="6">
        <v>0.0</v>
      </c>
      <c r="CR74" s="6">
        <v>0.0</v>
      </c>
      <c r="CS74" s="6">
        <v>0.0</v>
      </c>
      <c r="CT74" s="6">
        <v>0.0</v>
      </c>
      <c r="CU74" s="6">
        <v>0.0</v>
      </c>
      <c r="CV74" s="6">
        <f t="shared" ref="CV74:CX74" si="611">+CP74+CS74+CJ74+CM74</f>
        <v>0</v>
      </c>
      <c r="CW74" s="6">
        <f t="shared" si="611"/>
        <v>0</v>
      </c>
      <c r="CX74" s="6">
        <f t="shared" si="611"/>
        <v>0</v>
      </c>
      <c r="CY74" s="6">
        <v>0.0</v>
      </c>
      <c r="CZ74" s="6">
        <v>0.0</v>
      </c>
      <c r="DA74" s="6">
        <v>0.0</v>
      </c>
      <c r="DB74" s="6">
        <v>0.0</v>
      </c>
      <c r="DC74" s="6">
        <v>0.0</v>
      </c>
      <c r="DD74" s="6">
        <v>0.0</v>
      </c>
      <c r="DE74" s="6">
        <v>0.0</v>
      </c>
      <c r="DF74" s="6">
        <v>0.0</v>
      </c>
      <c r="DG74" s="6">
        <v>0.0</v>
      </c>
      <c r="DH74" s="6">
        <v>0.0</v>
      </c>
      <c r="DI74" s="6">
        <v>0.0</v>
      </c>
      <c r="DJ74" s="6">
        <v>0.0</v>
      </c>
      <c r="DK74" s="6">
        <f t="shared" ref="DK74:DM74" si="612">+DE74+DH74+CY74+DB74</f>
        <v>0</v>
      </c>
      <c r="DL74" s="6">
        <f t="shared" si="612"/>
        <v>0</v>
      </c>
      <c r="DM74" s="6">
        <f t="shared" si="612"/>
        <v>0</v>
      </c>
      <c r="DN74" s="6" t="str">
        <f t="shared" ref="DN74:DP74" si="613">+P74+AE74+AT74+BI74+BU74+CG74+CV74</f>
        <v>#REF!</v>
      </c>
      <c r="DO74" s="6" t="str">
        <f t="shared" si="613"/>
        <v>#REF!</v>
      </c>
      <c r="DP74" s="6" t="str">
        <f t="shared" si="613"/>
        <v>#REF!</v>
      </c>
      <c r="DQ74" s="6" t="str">
        <f t="shared" si="19"/>
        <v>#REF!</v>
      </c>
    </row>
    <row r="75" ht="13.5" customHeight="1">
      <c r="A75" s="11">
        <v>45077.0</v>
      </c>
      <c r="B75" s="2" t="s">
        <v>363</v>
      </c>
      <c r="C75" s="2" t="s">
        <v>364</v>
      </c>
      <c r="D75" s="29" t="s">
        <v>365</v>
      </c>
      <c r="E75" s="2" t="s">
        <v>366</v>
      </c>
      <c r="F75" s="11" t="s">
        <v>367</v>
      </c>
      <c r="G75" s="11" t="s">
        <v>15</v>
      </c>
      <c r="H75" s="5">
        <v>1644300.0</v>
      </c>
      <c r="I75" s="5">
        <v>1644300.0</v>
      </c>
      <c r="J75" s="6">
        <v>0.0</v>
      </c>
      <c r="K75" s="6">
        <v>0.0</v>
      </c>
      <c r="L75" s="6">
        <v>0.0</v>
      </c>
      <c r="M75" s="6">
        <v>0.0</v>
      </c>
      <c r="N75" s="6">
        <v>0.0</v>
      </c>
      <c r="O75" s="6">
        <v>0.0</v>
      </c>
      <c r="P75" s="6">
        <f t="shared" ref="P75:R75" si="614">+J75+M75</f>
        <v>0</v>
      </c>
      <c r="Q75" s="6">
        <f t="shared" si="614"/>
        <v>0</v>
      </c>
      <c r="R75" s="6">
        <f t="shared" si="614"/>
        <v>0</v>
      </c>
      <c r="S75" s="6">
        <v>0.0</v>
      </c>
      <c r="T75" s="6">
        <v>0.0</v>
      </c>
      <c r="U75" s="6">
        <v>0.0</v>
      </c>
      <c r="V75" s="6">
        <v>0.0</v>
      </c>
      <c r="W75" s="6">
        <v>0.0</v>
      </c>
      <c r="X75" s="6">
        <v>0.0</v>
      </c>
      <c r="Y75" s="6">
        <v>0.0</v>
      </c>
      <c r="Z75" s="6">
        <v>0.0</v>
      </c>
      <c r="AA75" s="6">
        <v>0.0</v>
      </c>
      <c r="AB75" s="6">
        <v>0.0</v>
      </c>
      <c r="AC75" s="6">
        <v>0.0</v>
      </c>
      <c r="AD75" s="6">
        <v>0.0</v>
      </c>
      <c r="AE75" s="6">
        <f t="shared" ref="AE75:AG75" si="615">+Y75+AB75+S75+V75</f>
        <v>0</v>
      </c>
      <c r="AF75" s="6">
        <f t="shared" si="615"/>
        <v>0</v>
      </c>
      <c r="AG75" s="6">
        <f t="shared" si="615"/>
        <v>0</v>
      </c>
      <c r="AH75" s="6">
        <v>0.0</v>
      </c>
      <c r="AI75" s="6">
        <v>0.0</v>
      </c>
      <c r="AJ75" s="6">
        <v>0.0</v>
      </c>
      <c r="AK75" s="6">
        <v>0.0</v>
      </c>
      <c r="AL75" s="6">
        <v>0.0</v>
      </c>
      <c r="AM75" s="6">
        <v>0.0</v>
      </c>
      <c r="AN75" s="6">
        <v>0.0</v>
      </c>
      <c r="AO75" s="6">
        <v>0.0</v>
      </c>
      <c r="AP75" s="6">
        <v>0.0</v>
      </c>
      <c r="AQ75" s="6">
        <v>0.0</v>
      </c>
      <c r="AR75" s="6">
        <v>0.0</v>
      </c>
      <c r="AS75" s="6">
        <v>0.0</v>
      </c>
      <c r="AT75" s="6">
        <f t="shared" ref="AT75:AV75" si="616">+AN75+AQ75+AH75+AK75</f>
        <v>0</v>
      </c>
      <c r="AU75" s="6">
        <f t="shared" si="616"/>
        <v>0</v>
      </c>
      <c r="AV75" s="6">
        <f t="shared" si="616"/>
        <v>0</v>
      </c>
      <c r="AW75" s="6">
        <v>0.0</v>
      </c>
      <c r="AX75" s="6">
        <v>0.0</v>
      </c>
      <c r="AY75" s="6">
        <v>0.0</v>
      </c>
      <c r="AZ75" s="6">
        <v>0.0</v>
      </c>
      <c r="BA75" s="6">
        <v>0.0</v>
      </c>
      <c r="BB75" s="6">
        <v>0.0</v>
      </c>
      <c r="BC75" s="5">
        <v>1644300.0</v>
      </c>
      <c r="BD75" s="5">
        <v>1644300.0</v>
      </c>
      <c r="BE75" s="6">
        <v>0.0</v>
      </c>
      <c r="BF75" s="6">
        <v>0.0</v>
      </c>
      <c r="BG75" s="6">
        <v>0.0</v>
      </c>
      <c r="BH75" s="6">
        <v>325000.0</v>
      </c>
      <c r="BI75" s="6">
        <f t="shared" ref="BI75:BK75" si="617">+BC75+BF75+AW75+AZ75</f>
        <v>1644300</v>
      </c>
      <c r="BJ75" s="6">
        <f t="shared" si="617"/>
        <v>1644300</v>
      </c>
      <c r="BK75" s="6">
        <f t="shared" si="617"/>
        <v>325000</v>
      </c>
      <c r="BL75" s="6">
        <v>0.0</v>
      </c>
      <c r="BM75" s="6">
        <v>0.0</v>
      </c>
      <c r="BN75" s="6">
        <v>500000.0</v>
      </c>
      <c r="BO75" s="6">
        <v>0.0</v>
      </c>
      <c r="BP75" s="6">
        <v>0.0</v>
      </c>
      <c r="BQ75" s="6">
        <v>120000.0</v>
      </c>
      <c r="BR75" s="6">
        <v>0.0</v>
      </c>
      <c r="BS75" s="6">
        <v>0.0</v>
      </c>
      <c r="BT75" s="6">
        <v>250000.0</v>
      </c>
      <c r="BU75" s="6" t="str">
        <f t="shared" ref="BU75:BW75" si="618">+BO75+BR75+#REF!+BL75</f>
        <v>#REF!</v>
      </c>
      <c r="BV75" s="6" t="str">
        <f t="shared" si="618"/>
        <v>#REF!</v>
      </c>
      <c r="BW75" s="6" t="str">
        <f t="shared" si="618"/>
        <v>#REF!</v>
      </c>
      <c r="BX75" s="6">
        <v>0.0</v>
      </c>
      <c r="BY75" s="6">
        <v>0.0</v>
      </c>
      <c r="BZ75" s="6">
        <v>274300.0</v>
      </c>
      <c r="CA75" s="6">
        <v>0.0</v>
      </c>
      <c r="CB75" s="6">
        <v>0.0</v>
      </c>
      <c r="CC75" s="6">
        <v>0.0</v>
      </c>
      <c r="CD75" s="6">
        <v>0.0</v>
      </c>
      <c r="CE75" s="6">
        <v>0.0</v>
      </c>
      <c r="CF75" s="6">
        <v>0.0</v>
      </c>
      <c r="CG75" s="6" t="str">
        <f t="shared" ref="CG75:CI75" si="619">+CA75+CD75+BX75+#REF!</f>
        <v>#REF!</v>
      </c>
      <c r="CH75" s="6" t="str">
        <f t="shared" si="619"/>
        <v>#REF!</v>
      </c>
      <c r="CI75" s="6" t="str">
        <f t="shared" si="619"/>
        <v>#REF!</v>
      </c>
      <c r="CJ75" s="6">
        <v>0.0</v>
      </c>
      <c r="CK75" s="6">
        <v>0.0</v>
      </c>
      <c r="CL75" s="6">
        <v>0.0</v>
      </c>
      <c r="CM75" s="6">
        <v>0.0</v>
      </c>
      <c r="CN75" s="6">
        <v>0.0</v>
      </c>
      <c r="CO75" s="6">
        <v>0.0</v>
      </c>
      <c r="CP75" s="6">
        <v>0.0</v>
      </c>
      <c r="CQ75" s="6">
        <v>0.0</v>
      </c>
      <c r="CR75" s="6">
        <v>0.0</v>
      </c>
      <c r="CS75" s="6">
        <v>0.0</v>
      </c>
      <c r="CT75" s="6">
        <v>0.0</v>
      </c>
      <c r="CU75" s="6">
        <v>0.0</v>
      </c>
      <c r="CV75" s="6">
        <f t="shared" ref="CV75:CX75" si="620">+CP75+CS75+CJ75+CM75</f>
        <v>0</v>
      </c>
      <c r="CW75" s="6">
        <f t="shared" si="620"/>
        <v>0</v>
      </c>
      <c r="CX75" s="6">
        <f t="shared" si="620"/>
        <v>0</v>
      </c>
      <c r="CY75" s="6">
        <v>0.0</v>
      </c>
      <c r="CZ75" s="6">
        <v>0.0</v>
      </c>
      <c r="DA75" s="6">
        <v>0.0</v>
      </c>
      <c r="DB75" s="6">
        <v>0.0</v>
      </c>
      <c r="DC75" s="6">
        <v>0.0</v>
      </c>
      <c r="DD75" s="6">
        <v>0.0</v>
      </c>
      <c r="DE75" s="6">
        <v>0.0</v>
      </c>
      <c r="DF75" s="6">
        <v>0.0</v>
      </c>
      <c r="DG75" s="6">
        <v>0.0</v>
      </c>
      <c r="DH75" s="6">
        <v>0.0</v>
      </c>
      <c r="DI75" s="6">
        <v>0.0</v>
      </c>
      <c r="DJ75" s="6">
        <v>0.0</v>
      </c>
      <c r="DK75" s="6">
        <f t="shared" ref="DK75:DM75" si="621">+DE75+DH75+CY75+DB75</f>
        <v>0</v>
      </c>
      <c r="DL75" s="6">
        <f t="shared" si="621"/>
        <v>0</v>
      </c>
      <c r="DM75" s="6">
        <f t="shared" si="621"/>
        <v>0</v>
      </c>
      <c r="DN75" s="6" t="str">
        <f t="shared" ref="DN75:DP75" si="622">+P75+AE75+AT75+BI75+BU75+CG75+CV75</f>
        <v>#REF!</v>
      </c>
      <c r="DO75" s="6" t="str">
        <f t="shared" si="622"/>
        <v>#REF!</v>
      </c>
      <c r="DP75" s="6" t="str">
        <f t="shared" si="622"/>
        <v>#REF!</v>
      </c>
      <c r="DQ75" s="6" t="str">
        <f t="shared" si="19"/>
        <v>#REF!</v>
      </c>
    </row>
    <row r="76" ht="23.25" customHeight="1">
      <c r="A76" s="11">
        <v>44971.0</v>
      </c>
      <c r="B76" s="2" t="s">
        <v>368</v>
      </c>
      <c r="C76" s="2" t="s">
        <v>369</v>
      </c>
      <c r="D76" s="29" t="s">
        <v>370</v>
      </c>
      <c r="E76" s="32" t="s">
        <v>371</v>
      </c>
      <c r="F76" s="11" t="s">
        <v>372</v>
      </c>
      <c r="G76" s="11" t="s">
        <v>14</v>
      </c>
      <c r="H76" s="5">
        <v>250776.75</v>
      </c>
      <c r="I76" s="5">
        <v>250776.75</v>
      </c>
      <c r="J76" s="6">
        <v>0.0</v>
      </c>
      <c r="K76" s="6">
        <v>0.0</v>
      </c>
      <c r="L76" s="6">
        <v>0.0</v>
      </c>
      <c r="M76" s="6">
        <v>0.0</v>
      </c>
      <c r="N76" s="6">
        <v>0.0</v>
      </c>
      <c r="O76" s="6">
        <v>0.0</v>
      </c>
      <c r="P76" s="6">
        <f t="shared" ref="P76:R76" si="623">+J76+M76</f>
        <v>0</v>
      </c>
      <c r="Q76" s="6">
        <f t="shared" si="623"/>
        <v>0</v>
      </c>
      <c r="R76" s="6">
        <f t="shared" si="623"/>
        <v>0</v>
      </c>
      <c r="S76" s="6">
        <v>0.0</v>
      </c>
      <c r="T76" s="6">
        <v>0.0</v>
      </c>
      <c r="U76" s="6">
        <v>0.0</v>
      </c>
      <c r="V76" s="6">
        <v>0.0</v>
      </c>
      <c r="W76" s="6">
        <v>0.0</v>
      </c>
      <c r="X76" s="6">
        <v>0.0</v>
      </c>
      <c r="Y76" s="6">
        <v>0.0</v>
      </c>
      <c r="Z76" s="6">
        <v>0.0</v>
      </c>
      <c r="AA76" s="6">
        <v>0.0</v>
      </c>
      <c r="AB76" s="6">
        <v>0.0</v>
      </c>
      <c r="AC76" s="6">
        <v>0.0</v>
      </c>
      <c r="AD76" s="6">
        <v>0.0</v>
      </c>
      <c r="AE76" s="6">
        <f t="shared" ref="AE76:AG76" si="624">+Y76+AB76+S76+V76</f>
        <v>0</v>
      </c>
      <c r="AF76" s="6">
        <f t="shared" si="624"/>
        <v>0</v>
      </c>
      <c r="AG76" s="6">
        <f t="shared" si="624"/>
        <v>0</v>
      </c>
      <c r="AH76" s="6">
        <v>0.0</v>
      </c>
      <c r="AI76" s="6">
        <v>0.0</v>
      </c>
      <c r="AJ76" s="6">
        <v>0.0</v>
      </c>
      <c r="AK76" s="6">
        <v>0.0</v>
      </c>
      <c r="AL76" s="6">
        <v>0.0</v>
      </c>
      <c r="AM76" s="6">
        <v>0.0</v>
      </c>
      <c r="AN76" s="6">
        <v>0.0</v>
      </c>
      <c r="AO76" s="6">
        <v>0.0</v>
      </c>
      <c r="AP76" s="6">
        <v>0.0</v>
      </c>
      <c r="AQ76" s="6">
        <v>0.0</v>
      </c>
      <c r="AR76" s="6">
        <v>0.0</v>
      </c>
      <c r="AS76" s="6">
        <v>0.0</v>
      </c>
      <c r="AT76" s="6">
        <f t="shared" ref="AT76:AV76" si="625">+AN76+AQ76+AH76+AK76</f>
        <v>0</v>
      </c>
      <c r="AU76" s="6">
        <f t="shared" si="625"/>
        <v>0</v>
      </c>
      <c r="AV76" s="6">
        <f t="shared" si="625"/>
        <v>0</v>
      </c>
      <c r="AW76" s="6">
        <v>0.0</v>
      </c>
      <c r="AX76" s="6">
        <v>0.0</v>
      </c>
      <c r="AY76" s="6">
        <v>0.0</v>
      </c>
      <c r="AZ76" s="5">
        <v>250776.75</v>
      </c>
      <c r="BA76" s="5">
        <v>250776.75</v>
      </c>
      <c r="BB76" s="6">
        <v>0.0</v>
      </c>
      <c r="BC76" s="6">
        <v>0.0</v>
      </c>
      <c r="BD76" s="6">
        <v>0.0</v>
      </c>
      <c r="BE76" s="6">
        <v>250776.75</v>
      </c>
      <c r="BF76" s="6">
        <v>0.0</v>
      </c>
      <c r="BG76" s="6">
        <v>0.0</v>
      </c>
      <c r="BH76" s="6">
        <v>0.0</v>
      </c>
      <c r="BI76" s="6">
        <f t="shared" ref="BI76:BK76" si="626">+BC76+BF76+AW76+AZ76</f>
        <v>250776.75</v>
      </c>
      <c r="BJ76" s="6">
        <f t="shared" si="626"/>
        <v>250776.75</v>
      </c>
      <c r="BK76" s="6">
        <f t="shared" si="626"/>
        <v>250776.75</v>
      </c>
      <c r="BL76" s="6">
        <v>0.0</v>
      </c>
      <c r="BM76" s="6">
        <v>0.0</v>
      </c>
      <c r="BN76" s="6">
        <v>0.0</v>
      </c>
      <c r="BO76" s="6">
        <v>0.0</v>
      </c>
      <c r="BP76" s="6">
        <v>0.0</v>
      </c>
      <c r="BQ76" s="6">
        <v>0.0</v>
      </c>
      <c r="BR76" s="6">
        <v>0.0</v>
      </c>
      <c r="BS76" s="6">
        <v>0.0</v>
      </c>
      <c r="BT76" s="6">
        <v>0.0</v>
      </c>
      <c r="BU76" s="6" t="str">
        <f t="shared" ref="BU76:BW76" si="627">+BO76+BR76+#REF!+BL76</f>
        <v>#REF!</v>
      </c>
      <c r="BV76" s="6" t="str">
        <f t="shared" si="627"/>
        <v>#REF!</v>
      </c>
      <c r="BW76" s="6" t="str">
        <f t="shared" si="627"/>
        <v>#REF!</v>
      </c>
      <c r="BX76" s="6">
        <v>0.0</v>
      </c>
      <c r="BY76" s="6">
        <v>0.0</v>
      </c>
      <c r="BZ76" s="6">
        <v>0.0</v>
      </c>
      <c r="CA76" s="6">
        <v>0.0</v>
      </c>
      <c r="CB76" s="6">
        <v>0.0</v>
      </c>
      <c r="CC76" s="6">
        <v>0.0</v>
      </c>
      <c r="CD76" s="6">
        <v>0.0</v>
      </c>
      <c r="CE76" s="6">
        <v>0.0</v>
      </c>
      <c r="CF76" s="6">
        <v>0.0</v>
      </c>
      <c r="CG76" s="6" t="str">
        <f t="shared" ref="CG76:CI76" si="628">+CA76+CD76+BX76+#REF!</f>
        <v>#REF!</v>
      </c>
      <c r="CH76" s="6" t="str">
        <f t="shared" si="628"/>
        <v>#REF!</v>
      </c>
      <c r="CI76" s="6" t="str">
        <f t="shared" si="628"/>
        <v>#REF!</v>
      </c>
      <c r="CJ76" s="6">
        <v>0.0</v>
      </c>
      <c r="CK76" s="6">
        <v>0.0</v>
      </c>
      <c r="CL76" s="6">
        <v>0.0</v>
      </c>
      <c r="CM76" s="6">
        <v>0.0</v>
      </c>
      <c r="CN76" s="6">
        <v>0.0</v>
      </c>
      <c r="CO76" s="6">
        <v>0.0</v>
      </c>
      <c r="CP76" s="6">
        <v>0.0</v>
      </c>
      <c r="CQ76" s="6">
        <v>0.0</v>
      </c>
      <c r="CR76" s="6">
        <v>0.0</v>
      </c>
      <c r="CS76" s="6">
        <v>0.0</v>
      </c>
      <c r="CT76" s="6">
        <v>0.0</v>
      </c>
      <c r="CU76" s="6">
        <v>0.0</v>
      </c>
      <c r="CV76" s="6">
        <f t="shared" ref="CV76:CX76" si="629">+CP76+CS76+CJ76+CM76</f>
        <v>0</v>
      </c>
      <c r="CW76" s="6">
        <f t="shared" si="629"/>
        <v>0</v>
      </c>
      <c r="CX76" s="6">
        <f t="shared" si="629"/>
        <v>0</v>
      </c>
      <c r="CY76" s="6">
        <v>0.0</v>
      </c>
      <c r="CZ76" s="6">
        <v>0.0</v>
      </c>
      <c r="DA76" s="6">
        <v>0.0</v>
      </c>
      <c r="DB76" s="6">
        <v>0.0</v>
      </c>
      <c r="DC76" s="6">
        <v>0.0</v>
      </c>
      <c r="DD76" s="6">
        <v>0.0</v>
      </c>
      <c r="DE76" s="6">
        <v>0.0</v>
      </c>
      <c r="DF76" s="6">
        <v>0.0</v>
      </c>
      <c r="DG76" s="6">
        <v>0.0</v>
      </c>
      <c r="DH76" s="6">
        <v>0.0</v>
      </c>
      <c r="DI76" s="6">
        <v>0.0</v>
      </c>
      <c r="DJ76" s="6">
        <v>0.0</v>
      </c>
      <c r="DK76" s="6">
        <f t="shared" ref="DK76:DM76" si="630">+DE76+DH76+CY76+DB76</f>
        <v>0</v>
      </c>
      <c r="DL76" s="6">
        <f t="shared" si="630"/>
        <v>0</v>
      </c>
      <c r="DM76" s="6">
        <f t="shared" si="630"/>
        <v>0</v>
      </c>
      <c r="DN76" s="6" t="str">
        <f t="shared" ref="DN76:DP76" si="631">+P76+AE76+AT76+BI76+BU76+CG76+CV76</f>
        <v>#REF!</v>
      </c>
      <c r="DO76" s="6" t="str">
        <f t="shared" si="631"/>
        <v>#REF!</v>
      </c>
      <c r="DP76" s="6" t="str">
        <f t="shared" si="631"/>
        <v>#REF!</v>
      </c>
      <c r="DQ76" s="6" t="str">
        <f t="shared" si="19"/>
        <v>#REF!</v>
      </c>
    </row>
    <row r="77" ht="23.25" customHeight="1">
      <c r="A77" s="11">
        <v>44971.0</v>
      </c>
      <c r="B77" s="2" t="s">
        <v>368</v>
      </c>
      <c r="C77" s="2" t="s">
        <v>369</v>
      </c>
      <c r="D77" s="29" t="s">
        <v>370</v>
      </c>
      <c r="E77" s="32" t="s">
        <v>371</v>
      </c>
      <c r="F77" s="11" t="s">
        <v>372</v>
      </c>
      <c r="G77" s="11" t="s">
        <v>14</v>
      </c>
      <c r="H77" s="5">
        <v>970445.23</v>
      </c>
      <c r="I77" s="5">
        <v>970445.23</v>
      </c>
      <c r="J77" s="6">
        <v>0.0</v>
      </c>
      <c r="K77" s="6">
        <v>0.0</v>
      </c>
      <c r="L77" s="6">
        <v>0.0</v>
      </c>
      <c r="M77" s="6">
        <v>0.0</v>
      </c>
      <c r="N77" s="6">
        <v>0.0</v>
      </c>
      <c r="O77" s="6">
        <v>0.0</v>
      </c>
      <c r="P77" s="6">
        <f t="shared" ref="P77:R77" si="632">+J77+M77</f>
        <v>0</v>
      </c>
      <c r="Q77" s="6">
        <f t="shared" si="632"/>
        <v>0</v>
      </c>
      <c r="R77" s="6">
        <f t="shared" si="632"/>
        <v>0</v>
      </c>
      <c r="S77" s="6">
        <v>0.0</v>
      </c>
      <c r="T77" s="6">
        <v>0.0</v>
      </c>
      <c r="U77" s="6">
        <v>0.0</v>
      </c>
      <c r="V77" s="6">
        <v>0.0</v>
      </c>
      <c r="W77" s="6">
        <v>0.0</v>
      </c>
      <c r="X77" s="6">
        <v>0.0</v>
      </c>
      <c r="Y77" s="6">
        <v>0.0</v>
      </c>
      <c r="Z77" s="6">
        <v>0.0</v>
      </c>
      <c r="AA77" s="6">
        <v>0.0</v>
      </c>
      <c r="AB77" s="6">
        <v>0.0</v>
      </c>
      <c r="AC77" s="6">
        <v>0.0</v>
      </c>
      <c r="AD77" s="6">
        <v>0.0</v>
      </c>
      <c r="AE77" s="6">
        <f t="shared" ref="AE77:AG77" si="633">+Y77+AB77+S77+V77</f>
        <v>0</v>
      </c>
      <c r="AF77" s="6">
        <f t="shared" si="633"/>
        <v>0</v>
      </c>
      <c r="AG77" s="6">
        <f t="shared" si="633"/>
        <v>0</v>
      </c>
      <c r="AH77" s="6">
        <v>0.0</v>
      </c>
      <c r="AI77" s="6">
        <v>0.0</v>
      </c>
      <c r="AJ77" s="6">
        <v>0.0</v>
      </c>
      <c r="AK77" s="6">
        <v>0.0</v>
      </c>
      <c r="AL77" s="6">
        <v>0.0</v>
      </c>
      <c r="AM77" s="6">
        <v>0.0</v>
      </c>
      <c r="AN77" s="6">
        <v>0.0</v>
      </c>
      <c r="AO77" s="6">
        <v>0.0</v>
      </c>
      <c r="AP77" s="6">
        <v>0.0</v>
      </c>
      <c r="AQ77" s="6">
        <v>0.0</v>
      </c>
      <c r="AR77" s="6">
        <v>0.0</v>
      </c>
      <c r="AS77" s="6">
        <v>0.0</v>
      </c>
      <c r="AT77" s="6">
        <f t="shared" ref="AT77:AV77" si="634">+AN77+AQ77+AH77+AK77</f>
        <v>0</v>
      </c>
      <c r="AU77" s="6">
        <f t="shared" si="634"/>
        <v>0</v>
      </c>
      <c r="AV77" s="6">
        <f t="shared" si="634"/>
        <v>0</v>
      </c>
      <c r="AW77" s="6">
        <v>0.0</v>
      </c>
      <c r="AX77" s="6">
        <v>0.0</v>
      </c>
      <c r="AY77" s="6">
        <v>0.0</v>
      </c>
      <c r="AZ77" s="5">
        <v>970445.23</v>
      </c>
      <c r="BA77" s="5">
        <v>970445.23</v>
      </c>
      <c r="BB77" s="6">
        <v>0.0</v>
      </c>
      <c r="BC77" s="6">
        <v>0.0</v>
      </c>
      <c r="BD77" s="6">
        <v>0.0</v>
      </c>
      <c r="BE77" s="6">
        <v>0.0</v>
      </c>
      <c r="BF77" s="6">
        <v>0.0</v>
      </c>
      <c r="BG77" s="6">
        <v>0.0</v>
      </c>
      <c r="BH77" s="6">
        <v>243000.0</v>
      </c>
      <c r="BI77" s="6">
        <f t="shared" ref="BI77:BK77" si="635">+BC77+BF77+AW77+AZ77</f>
        <v>970445.23</v>
      </c>
      <c r="BJ77" s="6">
        <f t="shared" si="635"/>
        <v>970445.23</v>
      </c>
      <c r="BK77" s="6">
        <f t="shared" si="635"/>
        <v>243000</v>
      </c>
      <c r="BL77" s="6">
        <v>0.0</v>
      </c>
      <c r="BM77" s="6">
        <v>0.0</v>
      </c>
      <c r="BN77" s="6">
        <v>477445.23</v>
      </c>
      <c r="BO77" s="6">
        <v>0.0</v>
      </c>
      <c r="BP77" s="6">
        <v>0.0</v>
      </c>
      <c r="BQ77" s="6">
        <v>0.0</v>
      </c>
      <c r="BR77" s="6">
        <v>0.0</v>
      </c>
      <c r="BS77" s="6">
        <v>0.0</v>
      </c>
      <c r="BT77" s="6">
        <v>0.0</v>
      </c>
      <c r="BU77" s="6" t="str">
        <f t="shared" ref="BU77:BW77" si="636">+BO77+BR77+#REF!+BL77</f>
        <v>#REF!</v>
      </c>
      <c r="BV77" s="6" t="str">
        <f t="shared" si="636"/>
        <v>#REF!</v>
      </c>
      <c r="BW77" s="6" t="str">
        <f t="shared" si="636"/>
        <v>#REF!</v>
      </c>
      <c r="BX77" s="6">
        <v>0.0</v>
      </c>
      <c r="BY77" s="6">
        <v>0.0</v>
      </c>
      <c r="BZ77" s="6">
        <v>0.0</v>
      </c>
      <c r="CA77" s="6">
        <v>0.0</v>
      </c>
      <c r="CB77" s="6">
        <v>0.0</v>
      </c>
      <c r="CC77" s="6">
        <v>0.0</v>
      </c>
      <c r="CD77" s="6">
        <v>0.0</v>
      </c>
      <c r="CE77" s="6">
        <v>0.0</v>
      </c>
      <c r="CF77" s="6">
        <v>0.0</v>
      </c>
      <c r="CG77" s="6" t="str">
        <f t="shared" ref="CG77:CI77" si="637">+CA77+CD77+BX77+#REF!</f>
        <v>#REF!</v>
      </c>
      <c r="CH77" s="6" t="str">
        <f t="shared" si="637"/>
        <v>#REF!</v>
      </c>
      <c r="CI77" s="6" t="str">
        <f t="shared" si="637"/>
        <v>#REF!</v>
      </c>
      <c r="CJ77" s="6">
        <v>0.0</v>
      </c>
      <c r="CK77" s="6">
        <v>0.0</v>
      </c>
      <c r="CL77" s="6">
        <v>0.0</v>
      </c>
      <c r="CM77" s="6">
        <v>0.0</v>
      </c>
      <c r="CN77" s="6">
        <v>0.0</v>
      </c>
      <c r="CO77" s="6">
        <v>0.0</v>
      </c>
      <c r="CP77" s="6">
        <v>0.0</v>
      </c>
      <c r="CQ77" s="6">
        <v>0.0</v>
      </c>
      <c r="CR77" s="6">
        <v>0.0</v>
      </c>
      <c r="CS77" s="6">
        <v>0.0</v>
      </c>
      <c r="CT77" s="6">
        <v>0.0</v>
      </c>
      <c r="CU77" s="6">
        <v>0.0</v>
      </c>
      <c r="CV77" s="6">
        <f t="shared" ref="CV77:CX77" si="638">+CP77+CS77+CJ77+CM77</f>
        <v>0</v>
      </c>
      <c r="CW77" s="6">
        <f t="shared" si="638"/>
        <v>0</v>
      </c>
      <c r="CX77" s="6">
        <f t="shared" si="638"/>
        <v>0</v>
      </c>
      <c r="CY77" s="6">
        <v>0.0</v>
      </c>
      <c r="CZ77" s="6">
        <v>0.0</v>
      </c>
      <c r="DA77" s="6">
        <v>0.0</v>
      </c>
      <c r="DB77" s="6">
        <v>0.0</v>
      </c>
      <c r="DC77" s="6">
        <v>0.0</v>
      </c>
      <c r="DD77" s="6">
        <v>0.0</v>
      </c>
      <c r="DE77" s="6">
        <v>0.0</v>
      </c>
      <c r="DF77" s="6">
        <v>0.0</v>
      </c>
      <c r="DG77" s="6">
        <v>0.0</v>
      </c>
      <c r="DH77" s="6">
        <v>0.0</v>
      </c>
      <c r="DI77" s="6">
        <v>0.0</v>
      </c>
      <c r="DJ77" s="6">
        <v>0.0</v>
      </c>
      <c r="DK77" s="6">
        <f t="shared" ref="DK77:DM77" si="639">+DE77+DH77+CY77+DB77</f>
        <v>0</v>
      </c>
      <c r="DL77" s="6">
        <f t="shared" si="639"/>
        <v>0</v>
      </c>
      <c r="DM77" s="6">
        <f t="shared" si="639"/>
        <v>0</v>
      </c>
      <c r="DN77" s="6" t="str">
        <f t="shared" ref="DN77:DP77" si="640">+P77+AE77+AT77+BI77+BU77+CG77+CV77</f>
        <v>#REF!</v>
      </c>
      <c r="DO77" s="6" t="str">
        <f t="shared" si="640"/>
        <v>#REF!</v>
      </c>
      <c r="DP77" s="6" t="str">
        <f t="shared" si="640"/>
        <v>#REF!</v>
      </c>
      <c r="DQ77" s="6" t="str">
        <f t="shared" si="19"/>
        <v>#REF!</v>
      </c>
    </row>
    <row r="78" ht="13.5" customHeight="1">
      <c r="A78" s="11">
        <v>45021.0</v>
      </c>
      <c r="B78" s="2" t="s">
        <v>373</v>
      </c>
      <c r="C78" s="2" t="s">
        <v>374</v>
      </c>
      <c r="D78" s="29" t="s">
        <v>375</v>
      </c>
      <c r="E78" s="33" t="s">
        <v>376</v>
      </c>
      <c r="F78" s="11" t="s">
        <v>377</v>
      </c>
      <c r="G78" s="11" t="s">
        <v>15</v>
      </c>
      <c r="H78" s="5">
        <v>247809.0</v>
      </c>
      <c r="I78" s="5">
        <v>247809.0</v>
      </c>
      <c r="J78" s="6">
        <v>0.0</v>
      </c>
      <c r="K78" s="6">
        <v>0.0</v>
      </c>
      <c r="L78" s="6">
        <v>0.0</v>
      </c>
      <c r="M78" s="6">
        <v>0.0</v>
      </c>
      <c r="N78" s="6">
        <v>0.0</v>
      </c>
      <c r="O78" s="6">
        <v>0.0</v>
      </c>
      <c r="P78" s="6">
        <f t="shared" ref="P78:R78" si="641">+J78+M78</f>
        <v>0</v>
      </c>
      <c r="Q78" s="6">
        <f t="shared" si="641"/>
        <v>0</v>
      </c>
      <c r="R78" s="6">
        <f t="shared" si="641"/>
        <v>0</v>
      </c>
      <c r="S78" s="6">
        <v>0.0</v>
      </c>
      <c r="T78" s="6">
        <v>0.0</v>
      </c>
      <c r="U78" s="6">
        <v>0.0</v>
      </c>
      <c r="V78" s="6">
        <v>0.0</v>
      </c>
      <c r="W78" s="6">
        <v>0.0</v>
      </c>
      <c r="X78" s="6">
        <v>0.0</v>
      </c>
      <c r="Y78" s="6">
        <v>0.0</v>
      </c>
      <c r="Z78" s="6">
        <v>0.0</v>
      </c>
      <c r="AA78" s="6">
        <v>0.0</v>
      </c>
      <c r="AB78" s="6">
        <v>0.0</v>
      </c>
      <c r="AC78" s="6">
        <v>0.0</v>
      </c>
      <c r="AD78" s="6">
        <v>0.0</v>
      </c>
      <c r="AE78" s="6">
        <f t="shared" ref="AE78:AG78" si="642">+Y78+AB78+S78+V78</f>
        <v>0</v>
      </c>
      <c r="AF78" s="6">
        <f t="shared" si="642"/>
        <v>0</v>
      </c>
      <c r="AG78" s="6">
        <f t="shared" si="642"/>
        <v>0</v>
      </c>
      <c r="AH78" s="6">
        <v>0.0</v>
      </c>
      <c r="AI78" s="6">
        <v>0.0</v>
      </c>
      <c r="AJ78" s="6">
        <v>0.0</v>
      </c>
      <c r="AK78" s="6">
        <v>0.0</v>
      </c>
      <c r="AL78" s="6">
        <v>0.0</v>
      </c>
      <c r="AM78" s="6">
        <v>0.0</v>
      </c>
      <c r="AN78" s="6">
        <v>0.0</v>
      </c>
      <c r="AO78" s="6">
        <v>0.0</v>
      </c>
      <c r="AP78" s="6">
        <v>0.0</v>
      </c>
      <c r="AQ78" s="6">
        <v>0.0</v>
      </c>
      <c r="AR78" s="6">
        <v>0.0</v>
      </c>
      <c r="AS78" s="6">
        <v>0.0</v>
      </c>
      <c r="AT78" s="6">
        <f t="shared" ref="AT78:AV78" si="643">+AN78+AQ78+AH78+AK78</f>
        <v>0</v>
      </c>
      <c r="AU78" s="6">
        <f t="shared" si="643"/>
        <v>0</v>
      </c>
      <c r="AV78" s="6">
        <f t="shared" si="643"/>
        <v>0</v>
      </c>
      <c r="AW78" s="6">
        <v>0.0</v>
      </c>
      <c r="AX78" s="6">
        <v>0.0</v>
      </c>
      <c r="AY78" s="6">
        <v>0.0</v>
      </c>
      <c r="AZ78" s="6">
        <v>0.0</v>
      </c>
      <c r="BA78" s="6">
        <v>0.0</v>
      </c>
      <c r="BB78" s="6">
        <v>0.0</v>
      </c>
      <c r="BC78" s="5">
        <v>247809.0</v>
      </c>
      <c r="BD78" s="5">
        <v>247809.0</v>
      </c>
      <c r="BE78" s="6">
        <v>0.0</v>
      </c>
      <c r="BF78" s="6">
        <v>0.0</v>
      </c>
      <c r="BG78" s="6">
        <v>0.0</v>
      </c>
      <c r="BH78" s="6">
        <v>474412.17</v>
      </c>
      <c r="BI78" s="6">
        <f t="shared" ref="BI78:BK78" si="644">+BC78+BF78+AW78+AZ78</f>
        <v>247809</v>
      </c>
      <c r="BJ78" s="6">
        <f t="shared" si="644"/>
        <v>247809</v>
      </c>
      <c r="BK78" s="6">
        <f t="shared" si="644"/>
        <v>474412.17</v>
      </c>
      <c r="BL78" s="6">
        <v>0.0</v>
      </c>
      <c r="BM78" s="6">
        <v>0.0</v>
      </c>
      <c r="BN78" s="6">
        <v>0.0</v>
      </c>
      <c r="BO78" s="6">
        <v>0.0</v>
      </c>
      <c r="BP78" s="6">
        <v>0.0</v>
      </c>
      <c r="BQ78" s="6">
        <v>0.0</v>
      </c>
      <c r="BR78" s="6">
        <v>0.0</v>
      </c>
      <c r="BS78" s="6">
        <v>0.0</v>
      </c>
      <c r="BT78" s="6">
        <v>0.0</v>
      </c>
      <c r="BU78" s="6" t="str">
        <f t="shared" ref="BU78:BW78" si="645">+BO78+BR78+#REF!+BL78</f>
        <v>#REF!</v>
      </c>
      <c r="BV78" s="6" t="str">
        <f t="shared" si="645"/>
        <v>#REF!</v>
      </c>
      <c r="BW78" s="6" t="str">
        <f t="shared" si="645"/>
        <v>#REF!</v>
      </c>
      <c r="BX78" s="6">
        <v>0.0</v>
      </c>
      <c r="BY78" s="6">
        <v>0.0</v>
      </c>
      <c r="BZ78" s="6">
        <v>0.0</v>
      </c>
      <c r="CA78" s="6">
        <v>0.0</v>
      </c>
      <c r="CB78" s="6">
        <v>0.0</v>
      </c>
      <c r="CC78" s="6">
        <v>0.0</v>
      </c>
      <c r="CD78" s="6">
        <v>0.0</v>
      </c>
      <c r="CE78" s="6">
        <v>0.0</v>
      </c>
      <c r="CF78" s="6">
        <v>0.0</v>
      </c>
      <c r="CG78" s="6" t="str">
        <f t="shared" ref="CG78:CI78" si="646">+CA78+CD78+BX78+#REF!</f>
        <v>#REF!</v>
      </c>
      <c r="CH78" s="6" t="str">
        <f t="shared" si="646"/>
        <v>#REF!</v>
      </c>
      <c r="CI78" s="6" t="str">
        <f t="shared" si="646"/>
        <v>#REF!</v>
      </c>
      <c r="CJ78" s="6">
        <v>0.0</v>
      </c>
      <c r="CK78" s="6">
        <v>0.0</v>
      </c>
      <c r="CL78" s="6">
        <v>0.0</v>
      </c>
      <c r="CM78" s="6">
        <v>0.0</v>
      </c>
      <c r="CN78" s="6">
        <v>0.0</v>
      </c>
      <c r="CO78" s="6">
        <v>0.0</v>
      </c>
      <c r="CP78" s="6">
        <v>0.0</v>
      </c>
      <c r="CQ78" s="6">
        <v>0.0</v>
      </c>
      <c r="CR78" s="6">
        <v>0.0</v>
      </c>
      <c r="CS78" s="6">
        <v>0.0</v>
      </c>
      <c r="CT78" s="6">
        <v>0.0</v>
      </c>
      <c r="CU78" s="6">
        <v>0.0</v>
      </c>
      <c r="CV78" s="6">
        <f t="shared" ref="CV78:CX78" si="647">+CP78+CS78+CJ78+CM78</f>
        <v>0</v>
      </c>
      <c r="CW78" s="6">
        <f t="shared" si="647"/>
        <v>0</v>
      </c>
      <c r="CX78" s="6">
        <f t="shared" si="647"/>
        <v>0</v>
      </c>
      <c r="CY78" s="6">
        <v>0.0</v>
      </c>
      <c r="CZ78" s="6">
        <v>0.0</v>
      </c>
      <c r="DA78" s="6">
        <v>0.0</v>
      </c>
      <c r="DB78" s="6">
        <v>0.0</v>
      </c>
      <c r="DC78" s="6">
        <v>0.0</v>
      </c>
      <c r="DD78" s="6">
        <v>0.0</v>
      </c>
      <c r="DE78" s="6">
        <v>0.0</v>
      </c>
      <c r="DF78" s="6">
        <v>0.0</v>
      </c>
      <c r="DG78" s="6">
        <v>0.0</v>
      </c>
      <c r="DH78" s="6">
        <v>0.0</v>
      </c>
      <c r="DI78" s="6">
        <v>0.0</v>
      </c>
      <c r="DJ78" s="6">
        <v>0.0</v>
      </c>
      <c r="DK78" s="6">
        <f t="shared" ref="DK78:DM78" si="648">+DE78+DH78+CY78+DB78</f>
        <v>0</v>
      </c>
      <c r="DL78" s="6">
        <f t="shared" si="648"/>
        <v>0</v>
      </c>
      <c r="DM78" s="6">
        <f t="shared" si="648"/>
        <v>0</v>
      </c>
      <c r="DN78" s="6" t="str">
        <f t="shared" ref="DN78:DP78" si="649">+P78+AE78+AT78+BI78+BU78+CG78+CV78</f>
        <v>#REF!</v>
      </c>
      <c r="DO78" s="6" t="str">
        <f t="shared" si="649"/>
        <v>#REF!</v>
      </c>
      <c r="DP78" s="6" t="str">
        <f t="shared" si="649"/>
        <v>#REF!</v>
      </c>
      <c r="DQ78" s="6" t="str">
        <f t="shared" si="19"/>
        <v>#REF!</v>
      </c>
    </row>
    <row r="79" ht="13.5" customHeight="1">
      <c r="A79" s="11">
        <v>45021.0</v>
      </c>
      <c r="B79" s="2" t="s">
        <v>373</v>
      </c>
      <c r="C79" s="2" t="s">
        <v>374</v>
      </c>
      <c r="D79" s="29" t="s">
        <v>375</v>
      </c>
      <c r="E79" s="33" t="s">
        <v>376</v>
      </c>
      <c r="F79" s="11" t="s">
        <v>377</v>
      </c>
      <c r="G79" s="11" t="s">
        <v>15</v>
      </c>
      <c r="H79" s="5">
        <v>474412.17</v>
      </c>
      <c r="I79" s="5">
        <v>474412.17</v>
      </c>
      <c r="J79" s="6">
        <v>0.0</v>
      </c>
      <c r="K79" s="6">
        <v>0.0</v>
      </c>
      <c r="L79" s="6">
        <v>0.0</v>
      </c>
      <c r="M79" s="6">
        <v>0.0</v>
      </c>
      <c r="N79" s="6">
        <v>0.0</v>
      </c>
      <c r="O79" s="6">
        <v>0.0</v>
      </c>
      <c r="P79" s="6">
        <f t="shared" ref="P79:R79" si="650">+J79+M79</f>
        <v>0</v>
      </c>
      <c r="Q79" s="6">
        <f t="shared" si="650"/>
        <v>0</v>
      </c>
      <c r="R79" s="6">
        <f t="shared" si="650"/>
        <v>0</v>
      </c>
      <c r="S79" s="6">
        <v>0.0</v>
      </c>
      <c r="T79" s="6">
        <v>0.0</v>
      </c>
      <c r="U79" s="6">
        <v>0.0</v>
      </c>
      <c r="V79" s="6">
        <v>0.0</v>
      </c>
      <c r="W79" s="6">
        <v>0.0</v>
      </c>
      <c r="X79" s="6">
        <v>0.0</v>
      </c>
      <c r="Y79" s="6">
        <v>0.0</v>
      </c>
      <c r="Z79" s="6">
        <v>0.0</v>
      </c>
      <c r="AA79" s="6">
        <v>0.0</v>
      </c>
      <c r="AB79" s="6">
        <v>0.0</v>
      </c>
      <c r="AC79" s="6">
        <v>0.0</v>
      </c>
      <c r="AD79" s="6">
        <v>0.0</v>
      </c>
      <c r="AE79" s="6">
        <f t="shared" ref="AE79:AG79" si="651">+Y79+AB79+S79+V79</f>
        <v>0</v>
      </c>
      <c r="AF79" s="6">
        <f t="shared" si="651"/>
        <v>0</v>
      </c>
      <c r="AG79" s="6">
        <f t="shared" si="651"/>
        <v>0</v>
      </c>
      <c r="AH79" s="6">
        <v>0.0</v>
      </c>
      <c r="AI79" s="6">
        <v>0.0</v>
      </c>
      <c r="AJ79" s="6">
        <v>0.0</v>
      </c>
      <c r="AK79" s="6">
        <v>0.0</v>
      </c>
      <c r="AL79" s="6">
        <v>0.0</v>
      </c>
      <c r="AM79" s="6">
        <v>0.0</v>
      </c>
      <c r="AN79" s="6">
        <v>0.0</v>
      </c>
      <c r="AO79" s="6">
        <v>0.0</v>
      </c>
      <c r="AP79" s="6">
        <v>0.0</v>
      </c>
      <c r="AQ79" s="6">
        <v>0.0</v>
      </c>
      <c r="AR79" s="6">
        <v>0.0</v>
      </c>
      <c r="AS79" s="6">
        <v>0.0</v>
      </c>
      <c r="AT79" s="6">
        <f t="shared" ref="AT79:AV79" si="652">+AN79+AQ79+AH79+AK79</f>
        <v>0</v>
      </c>
      <c r="AU79" s="6">
        <f t="shared" si="652"/>
        <v>0</v>
      </c>
      <c r="AV79" s="6">
        <f t="shared" si="652"/>
        <v>0</v>
      </c>
      <c r="AW79" s="6">
        <v>0.0</v>
      </c>
      <c r="AX79" s="6">
        <v>0.0</v>
      </c>
      <c r="AY79" s="6">
        <v>0.0</v>
      </c>
      <c r="AZ79" s="6">
        <v>0.0</v>
      </c>
      <c r="BA79" s="6">
        <v>0.0</v>
      </c>
      <c r="BB79" s="6">
        <v>0.0</v>
      </c>
      <c r="BC79" s="5">
        <v>474412.17</v>
      </c>
      <c r="BD79" s="5">
        <v>474412.17</v>
      </c>
      <c r="BE79" s="6">
        <v>0.0</v>
      </c>
      <c r="BF79" s="6">
        <v>0.0</v>
      </c>
      <c r="BG79" s="6">
        <v>0.0</v>
      </c>
      <c r="BH79" s="6">
        <v>0.0</v>
      </c>
      <c r="BI79" s="6">
        <f t="shared" ref="BI79:BK79" si="653">+BC79+BF79+AW79+AZ79</f>
        <v>474412.17</v>
      </c>
      <c r="BJ79" s="6">
        <f t="shared" si="653"/>
        <v>474412.17</v>
      </c>
      <c r="BK79" s="6">
        <f t="shared" si="653"/>
        <v>0</v>
      </c>
      <c r="BL79" s="6">
        <v>0.0</v>
      </c>
      <c r="BM79" s="6">
        <v>0.0</v>
      </c>
      <c r="BN79" s="6">
        <v>778747.95</v>
      </c>
      <c r="BO79" s="6">
        <v>0.0</v>
      </c>
      <c r="BP79" s="6">
        <v>0.0</v>
      </c>
      <c r="BQ79" s="6">
        <v>100000.0</v>
      </c>
      <c r="BR79" s="6">
        <v>0.0</v>
      </c>
      <c r="BS79" s="6">
        <v>0.0</v>
      </c>
      <c r="BT79" s="6">
        <v>159582.65</v>
      </c>
      <c r="BU79" s="6" t="str">
        <f t="shared" ref="BU79:BW79" si="654">+BO79+BR79+#REF!+BL79</f>
        <v>#REF!</v>
      </c>
      <c r="BV79" s="6" t="str">
        <f t="shared" si="654"/>
        <v>#REF!</v>
      </c>
      <c r="BW79" s="6" t="str">
        <f t="shared" si="654"/>
        <v>#REF!</v>
      </c>
      <c r="BX79" s="6">
        <v>0.0</v>
      </c>
      <c r="BY79" s="6">
        <v>0.0</v>
      </c>
      <c r="BZ79" s="6">
        <v>0.0</v>
      </c>
      <c r="CA79" s="6">
        <v>0.0</v>
      </c>
      <c r="CB79" s="6">
        <v>0.0</v>
      </c>
      <c r="CC79" s="6">
        <v>0.0</v>
      </c>
      <c r="CD79" s="6">
        <v>0.0</v>
      </c>
      <c r="CE79" s="6">
        <v>0.0</v>
      </c>
      <c r="CF79" s="6">
        <v>0.0</v>
      </c>
      <c r="CG79" s="6" t="str">
        <f t="shared" ref="CG79:CI79" si="655">+CA79+CD79+BX79+#REF!</f>
        <v>#REF!</v>
      </c>
      <c r="CH79" s="6" t="str">
        <f t="shared" si="655"/>
        <v>#REF!</v>
      </c>
      <c r="CI79" s="6" t="str">
        <f t="shared" si="655"/>
        <v>#REF!</v>
      </c>
      <c r="CJ79" s="6">
        <v>0.0</v>
      </c>
      <c r="CK79" s="6">
        <v>0.0</v>
      </c>
      <c r="CL79" s="6">
        <v>0.0</v>
      </c>
      <c r="CM79" s="6">
        <v>0.0</v>
      </c>
      <c r="CN79" s="6">
        <v>0.0</v>
      </c>
      <c r="CO79" s="6">
        <v>0.0</v>
      </c>
      <c r="CP79" s="6">
        <v>0.0</v>
      </c>
      <c r="CQ79" s="6">
        <v>0.0</v>
      </c>
      <c r="CR79" s="6">
        <v>0.0</v>
      </c>
      <c r="CS79" s="6">
        <v>0.0</v>
      </c>
      <c r="CT79" s="6">
        <v>0.0</v>
      </c>
      <c r="CU79" s="6">
        <v>0.0</v>
      </c>
      <c r="CV79" s="6">
        <f t="shared" ref="CV79:CX79" si="656">+CP79+CS79+CJ79+CM79</f>
        <v>0</v>
      </c>
      <c r="CW79" s="6">
        <f t="shared" si="656"/>
        <v>0</v>
      </c>
      <c r="CX79" s="6">
        <f t="shared" si="656"/>
        <v>0</v>
      </c>
      <c r="CY79" s="6">
        <v>0.0</v>
      </c>
      <c r="CZ79" s="6">
        <v>0.0</v>
      </c>
      <c r="DA79" s="6">
        <v>0.0</v>
      </c>
      <c r="DB79" s="6">
        <v>0.0</v>
      </c>
      <c r="DC79" s="6">
        <v>0.0</v>
      </c>
      <c r="DD79" s="6">
        <v>0.0</v>
      </c>
      <c r="DE79" s="6">
        <v>0.0</v>
      </c>
      <c r="DF79" s="6">
        <v>0.0</v>
      </c>
      <c r="DG79" s="6">
        <v>0.0</v>
      </c>
      <c r="DH79" s="6">
        <v>0.0</v>
      </c>
      <c r="DI79" s="6">
        <v>0.0</v>
      </c>
      <c r="DJ79" s="6">
        <v>0.0</v>
      </c>
      <c r="DK79" s="6">
        <f t="shared" ref="DK79:DM79" si="657">+DE79+DH79+CY79+DB79</f>
        <v>0</v>
      </c>
      <c r="DL79" s="6">
        <f t="shared" si="657"/>
        <v>0</v>
      </c>
      <c r="DM79" s="6">
        <f t="shared" si="657"/>
        <v>0</v>
      </c>
      <c r="DN79" s="6" t="str">
        <f t="shared" ref="DN79:DP79" si="658">+P79+AE79+AT79+BI79+BU79+CG79+CV79</f>
        <v>#REF!</v>
      </c>
      <c r="DO79" s="6" t="str">
        <f t="shared" si="658"/>
        <v>#REF!</v>
      </c>
      <c r="DP79" s="6" t="str">
        <f t="shared" si="658"/>
        <v>#REF!</v>
      </c>
      <c r="DQ79" s="6" t="str">
        <f t="shared" si="19"/>
        <v>#REF!</v>
      </c>
    </row>
    <row r="80" ht="13.5" customHeight="1">
      <c r="A80" s="11">
        <v>45021.0</v>
      </c>
      <c r="B80" s="2" t="s">
        <v>373</v>
      </c>
      <c r="C80" s="2" t="s">
        <v>374</v>
      </c>
      <c r="D80" s="29" t="s">
        <v>375</v>
      </c>
      <c r="E80" s="33" t="s">
        <v>376</v>
      </c>
      <c r="F80" s="11" t="s">
        <v>377</v>
      </c>
      <c r="G80" s="11" t="s">
        <v>15</v>
      </c>
      <c r="H80" s="5">
        <v>2138330.6</v>
      </c>
      <c r="I80" s="5">
        <v>2138330.6</v>
      </c>
      <c r="J80" s="6">
        <v>0.0</v>
      </c>
      <c r="K80" s="6">
        <v>0.0</v>
      </c>
      <c r="L80" s="6">
        <v>0.0</v>
      </c>
      <c r="M80" s="6">
        <v>0.0</v>
      </c>
      <c r="N80" s="6">
        <v>0.0</v>
      </c>
      <c r="O80" s="6">
        <v>0.0</v>
      </c>
      <c r="P80" s="6">
        <f t="shared" ref="P80:R80" si="659">+J80+M80</f>
        <v>0</v>
      </c>
      <c r="Q80" s="6">
        <f t="shared" si="659"/>
        <v>0</v>
      </c>
      <c r="R80" s="6">
        <f t="shared" si="659"/>
        <v>0</v>
      </c>
      <c r="S80" s="6">
        <v>0.0</v>
      </c>
      <c r="T80" s="6">
        <v>0.0</v>
      </c>
      <c r="U80" s="6">
        <v>0.0</v>
      </c>
      <c r="V80" s="6">
        <v>0.0</v>
      </c>
      <c r="W80" s="6">
        <v>0.0</v>
      </c>
      <c r="X80" s="6">
        <v>0.0</v>
      </c>
      <c r="Y80" s="6">
        <v>0.0</v>
      </c>
      <c r="Z80" s="6">
        <v>0.0</v>
      </c>
      <c r="AA80" s="6">
        <v>0.0</v>
      </c>
      <c r="AB80" s="6">
        <v>0.0</v>
      </c>
      <c r="AC80" s="6">
        <v>0.0</v>
      </c>
      <c r="AD80" s="6">
        <v>0.0</v>
      </c>
      <c r="AE80" s="6">
        <f t="shared" ref="AE80:AG80" si="660">+Y80+AB80+S80+V80</f>
        <v>0</v>
      </c>
      <c r="AF80" s="6">
        <f t="shared" si="660"/>
        <v>0</v>
      </c>
      <c r="AG80" s="6">
        <f t="shared" si="660"/>
        <v>0</v>
      </c>
      <c r="AH80" s="6">
        <v>0.0</v>
      </c>
      <c r="AI80" s="6">
        <v>0.0</v>
      </c>
      <c r="AJ80" s="6">
        <v>0.0</v>
      </c>
      <c r="AK80" s="6">
        <v>0.0</v>
      </c>
      <c r="AL80" s="6">
        <v>0.0</v>
      </c>
      <c r="AM80" s="6">
        <v>0.0</v>
      </c>
      <c r="AN80" s="6">
        <v>0.0</v>
      </c>
      <c r="AO80" s="6">
        <v>0.0</v>
      </c>
      <c r="AP80" s="6">
        <v>0.0</v>
      </c>
      <c r="AQ80" s="6">
        <v>0.0</v>
      </c>
      <c r="AR80" s="6">
        <v>0.0</v>
      </c>
      <c r="AS80" s="6">
        <v>0.0</v>
      </c>
      <c r="AT80" s="6">
        <f t="shared" ref="AT80:AV80" si="661">+AN80+AQ80+AH80+AK80</f>
        <v>0</v>
      </c>
      <c r="AU80" s="6">
        <f t="shared" si="661"/>
        <v>0</v>
      </c>
      <c r="AV80" s="6">
        <f t="shared" si="661"/>
        <v>0</v>
      </c>
      <c r="AW80" s="6">
        <v>0.0</v>
      </c>
      <c r="AX80" s="6">
        <v>0.0</v>
      </c>
      <c r="AY80" s="6">
        <v>0.0</v>
      </c>
      <c r="AZ80" s="6">
        <v>0.0</v>
      </c>
      <c r="BA80" s="6">
        <v>0.0</v>
      </c>
      <c r="BB80" s="6">
        <v>0.0</v>
      </c>
      <c r="BC80" s="5">
        <v>2138330.6</v>
      </c>
      <c r="BD80" s="5">
        <v>2138330.6</v>
      </c>
      <c r="BE80" s="6">
        <v>0.0</v>
      </c>
      <c r="BF80" s="6">
        <v>0.0</v>
      </c>
      <c r="BG80" s="6">
        <v>0.0</v>
      </c>
      <c r="BH80" s="6">
        <v>247809.0</v>
      </c>
      <c r="BI80" s="6">
        <f t="shared" ref="BI80:BK80" si="662">+BC80+BF80+AW80+AZ80</f>
        <v>2138330.6</v>
      </c>
      <c r="BJ80" s="6">
        <f t="shared" si="662"/>
        <v>2138330.6</v>
      </c>
      <c r="BK80" s="6">
        <f t="shared" si="662"/>
        <v>247809</v>
      </c>
      <c r="BL80" s="6">
        <v>0.0</v>
      </c>
      <c r="BM80" s="6">
        <v>0.0</v>
      </c>
      <c r="BN80" s="6">
        <v>0.0</v>
      </c>
      <c r="BO80" s="6">
        <v>0.0</v>
      </c>
      <c r="BP80" s="6">
        <v>0.0</v>
      </c>
      <c r="BQ80" s="6">
        <v>0.0</v>
      </c>
      <c r="BR80" s="6">
        <v>0.0</v>
      </c>
      <c r="BS80" s="6">
        <v>0.0</v>
      </c>
      <c r="BT80" s="6">
        <v>0.0</v>
      </c>
      <c r="BU80" s="6" t="str">
        <f t="shared" ref="BU80:BW80" si="663">+BO80+BR80+#REF!+BL80</f>
        <v>#REF!</v>
      </c>
      <c r="BV80" s="6" t="str">
        <f t="shared" si="663"/>
        <v>#REF!</v>
      </c>
      <c r="BW80" s="6" t="str">
        <f t="shared" si="663"/>
        <v>#REF!</v>
      </c>
      <c r="BX80" s="6">
        <v>0.0</v>
      </c>
      <c r="BY80" s="6">
        <v>0.0</v>
      </c>
      <c r="BZ80" s="6">
        <v>0.0</v>
      </c>
      <c r="CA80" s="6">
        <v>0.0</v>
      </c>
      <c r="CB80" s="6">
        <v>0.0</v>
      </c>
      <c r="CC80" s="6">
        <v>0.0</v>
      </c>
      <c r="CD80" s="6">
        <v>0.0</v>
      </c>
      <c r="CE80" s="6">
        <v>0.0</v>
      </c>
      <c r="CF80" s="6">
        <v>0.0</v>
      </c>
      <c r="CG80" s="6" t="str">
        <f t="shared" ref="CG80:CI80" si="664">+CA80+CD80+BX80+#REF!</f>
        <v>#REF!</v>
      </c>
      <c r="CH80" s="6" t="str">
        <f t="shared" si="664"/>
        <v>#REF!</v>
      </c>
      <c r="CI80" s="6" t="str">
        <f t="shared" si="664"/>
        <v>#REF!</v>
      </c>
      <c r="CJ80" s="6">
        <v>0.0</v>
      </c>
      <c r="CK80" s="6">
        <v>0.0</v>
      </c>
      <c r="CL80" s="6">
        <v>0.0</v>
      </c>
      <c r="CM80" s="6">
        <v>0.0</v>
      </c>
      <c r="CN80" s="6">
        <v>0.0</v>
      </c>
      <c r="CO80" s="6">
        <v>0.0</v>
      </c>
      <c r="CP80" s="6">
        <v>0.0</v>
      </c>
      <c r="CQ80" s="6">
        <v>0.0</v>
      </c>
      <c r="CR80" s="6">
        <v>0.0</v>
      </c>
      <c r="CS80" s="6">
        <v>0.0</v>
      </c>
      <c r="CT80" s="6">
        <v>0.0</v>
      </c>
      <c r="CU80" s="6">
        <v>0.0</v>
      </c>
      <c r="CV80" s="6">
        <f t="shared" ref="CV80:CX80" si="665">+CP80+CS80+CJ80+CM80</f>
        <v>0</v>
      </c>
      <c r="CW80" s="6">
        <f t="shared" si="665"/>
        <v>0</v>
      </c>
      <c r="CX80" s="6">
        <f t="shared" si="665"/>
        <v>0</v>
      </c>
      <c r="CY80" s="6">
        <v>0.0</v>
      </c>
      <c r="CZ80" s="6">
        <v>0.0</v>
      </c>
      <c r="DA80" s="6">
        <v>0.0</v>
      </c>
      <c r="DB80" s="6">
        <v>0.0</v>
      </c>
      <c r="DC80" s="6">
        <v>0.0</v>
      </c>
      <c r="DD80" s="6">
        <v>0.0</v>
      </c>
      <c r="DE80" s="6">
        <v>0.0</v>
      </c>
      <c r="DF80" s="6">
        <v>0.0</v>
      </c>
      <c r="DG80" s="6">
        <v>0.0</v>
      </c>
      <c r="DH80" s="6">
        <v>0.0</v>
      </c>
      <c r="DI80" s="6">
        <v>0.0</v>
      </c>
      <c r="DJ80" s="6">
        <v>0.0</v>
      </c>
      <c r="DK80" s="6">
        <f t="shared" ref="DK80:DM80" si="666">+DE80+DH80+CY80+DB80</f>
        <v>0</v>
      </c>
      <c r="DL80" s="6">
        <f t="shared" si="666"/>
        <v>0</v>
      </c>
      <c r="DM80" s="6">
        <f t="shared" si="666"/>
        <v>0</v>
      </c>
      <c r="DN80" s="6" t="str">
        <f t="shared" ref="DN80:DP80" si="667">+P80+AE80+AT80+BI80+BU80+CG80+CV80</f>
        <v>#REF!</v>
      </c>
      <c r="DO80" s="6" t="str">
        <f t="shared" si="667"/>
        <v>#REF!</v>
      </c>
      <c r="DP80" s="6" t="str">
        <f t="shared" si="667"/>
        <v>#REF!</v>
      </c>
      <c r="DQ80" s="6" t="str">
        <f t="shared" si="19"/>
        <v>#REF!</v>
      </c>
    </row>
    <row r="81" ht="13.5" customHeight="1">
      <c r="A81" s="11">
        <v>44964.0</v>
      </c>
      <c r="B81" s="2" t="s">
        <v>378</v>
      </c>
      <c r="C81" s="2" t="s">
        <v>379</v>
      </c>
      <c r="D81" s="29" t="s">
        <v>380</v>
      </c>
      <c r="E81" s="2" t="s">
        <v>381</v>
      </c>
      <c r="F81" s="11" t="s">
        <v>382</v>
      </c>
      <c r="G81" s="11" t="s">
        <v>14</v>
      </c>
      <c r="H81" s="5">
        <v>1000000.0</v>
      </c>
      <c r="I81" s="5">
        <v>1000000.0</v>
      </c>
      <c r="J81" s="6">
        <v>0.0</v>
      </c>
      <c r="K81" s="6">
        <v>0.0</v>
      </c>
      <c r="L81" s="6">
        <v>0.0</v>
      </c>
      <c r="M81" s="6">
        <v>0.0</v>
      </c>
      <c r="N81" s="6">
        <v>0.0</v>
      </c>
      <c r="O81" s="6">
        <v>0.0</v>
      </c>
      <c r="P81" s="6">
        <f t="shared" ref="P81:R81" si="668">+J81+M81</f>
        <v>0</v>
      </c>
      <c r="Q81" s="6">
        <f t="shared" si="668"/>
        <v>0</v>
      </c>
      <c r="R81" s="6">
        <f t="shared" si="668"/>
        <v>0</v>
      </c>
      <c r="S81" s="6">
        <v>0.0</v>
      </c>
      <c r="T81" s="6">
        <v>0.0</v>
      </c>
      <c r="U81" s="6">
        <v>0.0</v>
      </c>
      <c r="V81" s="6">
        <v>0.0</v>
      </c>
      <c r="W81" s="6">
        <v>0.0</v>
      </c>
      <c r="X81" s="6">
        <v>0.0</v>
      </c>
      <c r="Y81" s="6">
        <v>0.0</v>
      </c>
      <c r="Z81" s="6">
        <v>0.0</v>
      </c>
      <c r="AA81" s="6">
        <v>0.0</v>
      </c>
      <c r="AB81" s="6">
        <v>0.0</v>
      </c>
      <c r="AC81" s="6">
        <v>0.0</v>
      </c>
      <c r="AD81" s="6">
        <v>0.0</v>
      </c>
      <c r="AE81" s="6">
        <f t="shared" ref="AE81:AG81" si="669">+Y81+AB81+S81+V81</f>
        <v>0</v>
      </c>
      <c r="AF81" s="6">
        <f t="shared" si="669"/>
        <v>0</v>
      </c>
      <c r="AG81" s="6">
        <f t="shared" si="669"/>
        <v>0</v>
      </c>
      <c r="AH81" s="6">
        <v>0.0</v>
      </c>
      <c r="AI81" s="6">
        <v>0.0</v>
      </c>
      <c r="AJ81" s="6">
        <v>0.0</v>
      </c>
      <c r="AK81" s="6">
        <v>0.0</v>
      </c>
      <c r="AL81" s="6">
        <v>0.0</v>
      </c>
      <c r="AM81" s="6">
        <v>0.0</v>
      </c>
      <c r="AN81" s="6">
        <v>0.0</v>
      </c>
      <c r="AO81" s="6">
        <v>0.0</v>
      </c>
      <c r="AP81" s="6">
        <v>0.0</v>
      </c>
      <c r="AQ81" s="6">
        <v>0.0</v>
      </c>
      <c r="AR81" s="6">
        <v>0.0</v>
      </c>
      <c r="AS81" s="6">
        <v>0.0</v>
      </c>
      <c r="AT81" s="6">
        <f t="shared" ref="AT81:AV81" si="670">+AN81+AQ81+AH81+AK81</f>
        <v>0</v>
      </c>
      <c r="AU81" s="6">
        <f t="shared" si="670"/>
        <v>0</v>
      </c>
      <c r="AV81" s="6">
        <f t="shared" si="670"/>
        <v>0</v>
      </c>
      <c r="AW81" s="6">
        <v>0.0</v>
      </c>
      <c r="AX81" s="6">
        <v>0.0</v>
      </c>
      <c r="AY81" s="6">
        <v>0.0</v>
      </c>
      <c r="AZ81" s="5">
        <v>1000000.0</v>
      </c>
      <c r="BA81" s="5">
        <v>1000000.0</v>
      </c>
      <c r="BB81" s="6">
        <v>0.0</v>
      </c>
      <c r="BC81" s="6">
        <v>0.0</v>
      </c>
      <c r="BD81" s="6">
        <v>0.0</v>
      </c>
      <c r="BE81" s="6">
        <v>250000.0</v>
      </c>
      <c r="BF81" s="6">
        <v>0.0</v>
      </c>
      <c r="BG81" s="6">
        <v>0.0</v>
      </c>
      <c r="BH81" s="6">
        <v>187500.0</v>
      </c>
      <c r="BI81" s="6">
        <f t="shared" ref="BI81:BK81" si="671">+BC81+BF81+AW81+AZ81</f>
        <v>1000000</v>
      </c>
      <c r="BJ81" s="6">
        <f t="shared" si="671"/>
        <v>1000000</v>
      </c>
      <c r="BK81" s="6">
        <f t="shared" si="671"/>
        <v>437500</v>
      </c>
      <c r="BL81" s="6">
        <v>0.0</v>
      </c>
      <c r="BM81" s="6">
        <v>0.0</v>
      </c>
      <c r="BN81" s="6">
        <v>562500.0</v>
      </c>
      <c r="BO81" s="6">
        <v>0.0</v>
      </c>
      <c r="BP81" s="6">
        <v>0.0</v>
      </c>
      <c r="BQ81" s="6">
        <v>0.0</v>
      </c>
      <c r="BR81" s="6">
        <v>0.0</v>
      </c>
      <c r="BS81" s="6">
        <v>0.0</v>
      </c>
      <c r="BT81" s="6">
        <v>0.0</v>
      </c>
      <c r="BU81" s="6" t="str">
        <f t="shared" ref="BU81:BW81" si="672">+BO81+BR81+#REF!+BL81</f>
        <v>#REF!</v>
      </c>
      <c r="BV81" s="6" t="str">
        <f t="shared" si="672"/>
        <v>#REF!</v>
      </c>
      <c r="BW81" s="6" t="str">
        <f t="shared" si="672"/>
        <v>#REF!</v>
      </c>
      <c r="BX81" s="6">
        <v>0.0</v>
      </c>
      <c r="BY81" s="6">
        <v>0.0</v>
      </c>
      <c r="BZ81" s="6">
        <v>0.0</v>
      </c>
      <c r="CA81" s="6">
        <v>0.0</v>
      </c>
      <c r="CB81" s="6">
        <v>0.0</v>
      </c>
      <c r="CC81" s="6">
        <v>0.0</v>
      </c>
      <c r="CD81" s="6">
        <v>0.0</v>
      </c>
      <c r="CE81" s="6">
        <v>0.0</v>
      </c>
      <c r="CF81" s="6">
        <v>0.0</v>
      </c>
      <c r="CG81" s="6" t="str">
        <f t="shared" ref="CG81:CI81" si="673">+CA81+CD81+BX81+#REF!</f>
        <v>#REF!</v>
      </c>
      <c r="CH81" s="6" t="str">
        <f t="shared" si="673"/>
        <v>#REF!</v>
      </c>
      <c r="CI81" s="6" t="str">
        <f t="shared" si="673"/>
        <v>#REF!</v>
      </c>
      <c r="CJ81" s="6">
        <v>0.0</v>
      </c>
      <c r="CK81" s="6">
        <v>0.0</v>
      </c>
      <c r="CL81" s="6">
        <v>0.0</v>
      </c>
      <c r="CM81" s="6">
        <v>0.0</v>
      </c>
      <c r="CN81" s="6">
        <v>0.0</v>
      </c>
      <c r="CO81" s="6">
        <v>0.0</v>
      </c>
      <c r="CP81" s="6">
        <v>0.0</v>
      </c>
      <c r="CQ81" s="6">
        <v>0.0</v>
      </c>
      <c r="CR81" s="6">
        <v>0.0</v>
      </c>
      <c r="CS81" s="6">
        <v>0.0</v>
      </c>
      <c r="CT81" s="6">
        <v>0.0</v>
      </c>
      <c r="CU81" s="6">
        <v>0.0</v>
      </c>
      <c r="CV81" s="6">
        <f t="shared" ref="CV81:CX81" si="674">+CP81+CS81+CJ81+CM81</f>
        <v>0</v>
      </c>
      <c r="CW81" s="6">
        <f t="shared" si="674"/>
        <v>0</v>
      </c>
      <c r="CX81" s="6">
        <f t="shared" si="674"/>
        <v>0</v>
      </c>
      <c r="CY81" s="6">
        <v>0.0</v>
      </c>
      <c r="CZ81" s="6">
        <v>0.0</v>
      </c>
      <c r="DA81" s="6">
        <v>0.0</v>
      </c>
      <c r="DB81" s="6">
        <v>0.0</v>
      </c>
      <c r="DC81" s="6">
        <v>0.0</v>
      </c>
      <c r="DD81" s="6">
        <v>0.0</v>
      </c>
      <c r="DE81" s="6">
        <v>0.0</v>
      </c>
      <c r="DF81" s="6">
        <v>0.0</v>
      </c>
      <c r="DG81" s="6">
        <v>0.0</v>
      </c>
      <c r="DH81" s="6">
        <v>0.0</v>
      </c>
      <c r="DI81" s="6">
        <v>0.0</v>
      </c>
      <c r="DJ81" s="6">
        <v>0.0</v>
      </c>
      <c r="DK81" s="6">
        <f t="shared" ref="DK81:DM81" si="675">+DE81+DH81+CY81+DB81</f>
        <v>0</v>
      </c>
      <c r="DL81" s="6">
        <f t="shared" si="675"/>
        <v>0</v>
      </c>
      <c r="DM81" s="6">
        <f t="shared" si="675"/>
        <v>0</v>
      </c>
      <c r="DN81" s="6" t="str">
        <f t="shared" ref="DN81:DP81" si="676">+P81+AE81+AT81+BI81+BU81+CG81+CV81</f>
        <v>#REF!</v>
      </c>
      <c r="DO81" s="6" t="str">
        <f t="shared" si="676"/>
        <v>#REF!</v>
      </c>
      <c r="DP81" s="6" t="str">
        <f t="shared" si="676"/>
        <v>#REF!</v>
      </c>
      <c r="DQ81" s="6" t="str">
        <f t="shared" si="19"/>
        <v>#REF!</v>
      </c>
    </row>
    <row r="82" ht="13.5" customHeight="1">
      <c r="A82" s="11">
        <v>45023.0</v>
      </c>
      <c r="B82" s="2" t="s">
        <v>383</v>
      </c>
      <c r="C82" s="2" t="s">
        <v>384</v>
      </c>
      <c r="D82" s="29" t="s">
        <v>385</v>
      </c>
      <c r="E82" s="2" t="s">
        <v>386</v>
      </c>
      <c r="F82" s="11" t="s">
        <v>387</v>
      </c>
      <c r="G82" s="11" t="s">
        <v>15</v>
      </c>
      <c r="H82" s="5">
        <v>9600000.0</v>
      </c>
      <c r="I82" s="5">
        <v>9600000.0</v>
      </c>
      <c r="J82" s="6">
        <v>0.0</v>
      </c>
      <c r="K82" s="6">
        <v>0.0</v>
      </c>
      <c r="L82" s="6">
        <v>0.0</v>
      </c>
      <c r="M82" s="6">
        <v>0.0</v>
      </c>
      <c r="N82" s="6">
        <v>0.0</v>
      </c>
      <c r="O82" s="6">
        <v>0.0</v>
      </c>
      <c r="P82" s="6">
        <f t="shared" ref="P82:R82" si="677">+J82+M82</f>
        <v>0</v>
      </c>
      <c r="Q82" s="6">
        <f t="shared" si="677"/>
        <v>0</v>
      </c>
      <c r="R82" s="6">
        <f t="shared" si="677"/>
        <v>0</v>
      </c>
      <c r="S82" s="6">
        <v>0.0</v>
      </c>
      <c r="T82" s="6">
        <v>0.0</v>
      </c>
      <c r="U82" s="6">
        <v>0.0</v>
      </c>
      <c r="V82" s="6">
        <v>0.0</v>
      </c>
      <c r="W82" s="6">
        <v>0.0</v>
      </c>
      <c r="X82" s="6">
        <v>0.0</v>
      </c>
      <c r="Y82" s="6">
        <v>0.0</v>
      </c>
      <c r="Z82" s="6">
        <v>0.0</v>
      </c>
      <c r="AA82" s="6">
        <v>0.0</v>
      </c>
      <c r="AB82" s="6">
        <v>0.0</v>
      </c>
      <c r="AC82" s="6">
        <v>0.0</v>
      </c>
      <c r="AD82" s="6">
        <v>0.0</v>
      </c>
      <c r="AE82" s="6">
        <f t="shared" ref="AE82:AG82" si="678">+Y82+AB82+S82+V82</f>
        <v>0</v>
      </c>
      <c r="AF82" s="6">
        <f t="shared" si="678"/>
        <v>0</v>
      </c>
      <c r="AG82" s="6">
        <f t="shared" si="678"/>
        <v>0</v>
      </c>
      <c r="AH82" s="6">
        <v>0.0</v>
      </c>
      <c r="AI82" s="6">
        <v>0.0</v>
      </c>
      <c r="AJ82" s="6">
        <v>0.0</v>
      </c>
      <c r="AK82" s="6">
        <v>0.0</v>
      </c>
      <c r="AL82" s="6">
        <v>0.0</v>
      </c>
      <c r="AM82" s="6">
        <v>0.0</v>
      </c>
      <c r="AN82" s="6">
        <v>0.0</v>
      </c>
      <c r="AO82" s="6">
        <v>0.0</v>
      </c>
      <c r="AP82" s="6">
        <v>0.0</v>
      </c>
      <c r="AQ82" s="6">
        <v>0.0</v>
      </c>
      <c r="AR82" s="6">
        <v>0.0</v>
      </c>
      <c r="AS82" s="6">
        <v>0.0</v>
      </c>
      <c r="AT82" s="6">
        <f t="shared" ref="AT82:AV82" si="679">+AN82+AQ82+AH82+AK82</f>
        <v>0</v>
      </c>
      <c r="AU82" s="6">
        <f t="shared" si="679"/>
        <v>0</v>
      </c>
      <c r="AV82" s="6">
        <f t="shared" si="679"/>
        <v>0</v>
      </c>
      <c r="AW82" s="6">
        <v>0.0</v>
      </c>
      <c r="AX82" s="6">
        <v>0.0</v>
      </c>
      <c r="AY82" s="6">
        <v>0.0</v>
      </c>
      <c r="AZ82" s="6">
        <v>0.0</v>
      </c>
      <c r="BA82" s="6">
        <v>0.0</v>
      </c>
      <c r="BB82" s="6">
        <v>0.0</v>
      </c>
      <c r="BC82" s="5">
        <v>9600000.0</v>
      </c>
      <c r="BD82" s="5">
        <v>9600000.0</v>
      </c>
      <c r="BE82" s="6">
        <v>0.0</v>
      </c>
      <c r="BF82" s="6">
        <v>0.0</v>
      </c>
      <c r="BG82" s="6">
        <v>0.0</v>
      </c>
      <c r="BH82" s="6">
        <v>2625914.0997067</v>
      </c>
      <c r="BI82" s="6">
        <f t="shared" ref="BI82:BK82" si="680">+BC82+BF82+AW82+AZ82</f>
        <v>9600000</v>
      </c>
      <c r="BJ82" s="6">
        <f t="shared" si="680"/>
        <v>9600000</v>
      </c>
      <c r="BK82" s="6">
        <f t="shared" si="680"/>
        <v>2625914.1</v>
      </c>
      <c r="BL82" s="6">
        <v>0.0</v>
      </c>
      <c r="BM82" s="6">
        <v>0.0</v>
      </c>
      <c r="BN82" s="6">
        <v>3200000.0</v>
      </c>
      <c r="BO82" s="6">
        <v>0.0</v>
      </c>
      <c r="BP82" s="6">
        <v>0.0</v>
      </c>
      <c r="BQ82" s="6">
        <v>0.0</v>
      </c>
      <c r="BR82" s="6">
        <v>0.0</v>
      </c>
      <c r="BS82" s="6">
        <v>0.0</v>
      </c>
      <c r="BT82" s="6">
        <v>0.0</v>
      </c>
      <c r="BU82" s="6" t="str">
        <f t="shared" ref="BU82:BW82" si="681">+BO82+BR82+#REF!+BL82</f>
        <v>#REF!</v>
      </c>
      <c r="BV82" s="6" t="str">
        <f t="shared" si="681"/>
        <v>#REF!</v>
      </c>
      <c r="BW82" s="6" t="str">
        <f t="shared" si="681"/>
        <v>#REF!</v>
      </c>
      <c r="BX82" s="6">
        <v>0.0</v>
      </c>
      <c r="BY82" s="6">
        <v>0.0</v>
      </c>
      <c r="BZ82" s="6">
        <v>1000000.0</v>
      </c>
      <c r="CA82" s="6">
        <v>0.0</v>
      </c>
      <c r="CB82" s="6">
        <v>0.0</v>
      </c>
      <c r="CC82" s="6">
        <v>1000000.0</v>
      </c>
      <c r="CD82" s="6">
        <v>0.0</v>
      </c>
      <c r="CE82" s="6">
        <v>0.0</v>
      </c>
      <c r="CF82" s="6">
        <v>0.0</v>
      </c>
      <c r="CG82" s="6" t="str">
        <f t="shared" ref="CG82:CI82" si="682">+CA82+CD82+BX82+#REF!</f>
        <v>#REF!</v>
      </c>
      <c r="CH82" s="6" t="str">
        <f t="shared" si="682"/>
        <v>#REF!</v>
      </c>
      <c r="CI82" s="6" t="str">
        <f t="shared" si="682"/>
        <v>#REF!</v>
      </c>
      <c r="CJ82" s="6">
        <v>0.0</v>
      </c>
      <c r="CK82" s="6">
        <v>0.0</v>
      </c>
      <c r="CL82" s="6">
        <v>1024085.9</v>
      </c>
      <c r="CM82" s="6">
        <v>0.0</v>
      </c>
      <c r="CN82" s="6">
        <v>0.0</v>
      </c>
      <c r="CO82" s="6">
        <v>0.0</v>
      </c>
      <c r="CP82" s="6">
        <v>0.0</v>
      </c>
      <c r="CQ82" s="6">
        <v>0.0</v>
      </c>
      <c r="CR82" s="6">
        <v>0.0</v>
      </c>
      <c r="CS82" s="6">
        <v>0.0</v>
      </c>
      <c r="CT82" s="6">
        <v>0.0</v>
      </c>
      <c r="CU82" s="6">
        <v>0.0</v>
      </c>
      <c r="CV82" s="6">
        <f t="shared" ref="CV82:CX82" si="683">+CP82+CS82+CJ82+CM82</f>
        <v>0</v>
      </c>
      <c r="CW82" s="6">
        <f t="shared" si="683"/>
        <v>0</v>
      </c>
      <c r="CX82" s="6">
        <f t="shared" si="683"/>
        <v>1024085.9</v>
      </c>
      <c r="CY82" s="6">
        <v>0.0</v>
      </c>
      <c r="CZ82" s="6">
        <v>0.0</v>
      </c>
      <c r="DA82" s="6">
        <v>1024085.9</v>
      </c>
      <c r="DB82" s="6">
        <v>0.0</v>
      </c>
      <c r="DC82" s="6">
        <v>0.0</v>
      </c>
      <c r="DD82" s="6">
        <v>0.0</v>
      </c>
      <c r="DE82" s="6">
        <v>0.0</v>
      </c>
      <c r="DF82" s="6">
        <v>0.0</v>
      </c>
      <c r="DG82" s="6">
        <v>0.0</v>
      </c>
      <c r="DH82" s="6">
        <v>0.0</v>
      </c>
      <c r="DI82" s="6">
        <v>0.0</v>
      </c>
      <c r="DJ82" s="6">
        <v>0.0</v>
      </c>
      <c r="DK82" s="6">
        <f t="shared" ref="DK82:DM82" si="684">+DE82+DH82+CY82+DB82</f>
        <v>0</v>
      </c>
      <c r="DL82" s="6">
        <f t="shared" si="684"/>
        <v>0</v>
      </c>
      <c r="DM82" s="6">
        <f t="shared" si="684"/>
        <v>1024085.9</v>
      </c>
      <c r="DN82" s="6" t="str">
        <f t="shared" ref="DN82:DP82" si="685">+P82+AE82+AT82+BI82+BU82+CG82+CV82</f>
        <v>#REF!</v>
      </c>
      <c r="DO82" s="6" t="str">
        <f t="shared" si="685"/>
        <v>#REF!</v>
      </c>
      <c r="DP82" s="6" t="str">
        <f t="shared" si="685"/>
        <v>#REF!</v>
      </c>
      <c r="DQ82" s="6" t="str">
        <f t="shared" si="19"/>
        <v>#REF!</v>
      </c>
    </row>
    <row r="83" ht="13.5" customHeight="1">
      <c r="A83" s="11">
        <v>45092.0</v>
      </c>
      <c r="B83" s="2" t="s">
        <v>388</v>
      </c>
      <c r="C83" s="2" t="s">
        <v>389</v>
      </c>
      <c r="D83" s="29" t="s">
        <v>390</v>
      </c>
      <c r="E83" s="33" t="s">
        <v>391</v>
      </c>
      <c r="F83" s="11" t="s">
        <v>392</v>
      </c>
      <c r="G83" s="11" t="s">
        <v>15</v>
      </c>
      <c r="H83" s="5">
        <v>106671.22</v>
      </c>
      <c r="I83" s="5">
        <v>106671.22</v>
      </c>
      <c r="J83" s="6">
        <v>0.0</v>
      </c>
      <c r="K83" s="6">
        <v>0.0</v>
      </c>
      <c r="L83" s="6">
        <v>0.0</v>
      </c>
      <c r="M83" s="6">
        <v>0.0</v>
      </c>
      <c r="N83" s="6">
        <v>0.0</v>
      </c>
      <c r="O83" s="6">
        <v>0.0</v>
      </c>
      <c r="P83" s="6">
        <f t="shared" ref="P83:R83" si="686">+J83+M83</f>
        <v>0</v>
      </c>
      <c r="Q83" s="6">
        <f t="shared" si="686"/>
        <v>0</v>
      </c>
      <c r="R83" s="6">
        <f t="shared" si="686"/>
        <v>0</v>
      </c>
      <c r="S83" s="6">
        <v>0.0</v>
      </c>
      <c r="T83" s="6">
        <v>0.0</v>
      </c>
      <c r="U83" s="6">
        <v>0.0</v>
      </c>
      <c r="V83" s="6">
        <v>0.0</v>
      </c>
      <c r="W83" s="6">
        <v>0.0</v>
      </c>
      <c r="X83" s="6">
        <v>0.0</v>
      </c>
      <c r="Y83" s="6">
        <v>0.0</v>
      </c>
      <c r="Z83" s="6">
        <v>0.0</v>
      </c>
      <c r="AA83" s="6">
        <v>0.0</v>
      </c>
      <c r="AB83" s="6">
        <v>0.0</v>
      </c>
      <c r="AC83" s="6">
        <v>0.0</v>
      </c>
      <c r="AD83" s="6">
        <v>0.0</v>
      </c>
      <c r="AE83" s="6">
        <f t="shared" ref="AE83:AG83" si="687">+Y83+AB83+S83+V83</f>
        <v>0</v>
      </c>
      <c r="AF83" s="6">
        <f t="shared" si="687"/>
        <v>0</v>
      </c>
      <c r="AG83" s="6">
        <f t="shared" si="687"/>
        <v>0</v>
      </c>
      <c r="AH83" s="6">
        <v>0.0</v>
      </c>
      <c r="AI83" s="6">
        <v>0.0</v>
      </c>
      <c r="AJ83" s="6">
        <v>0.0</v>
      </c>
      <c r="AK83" s="6">
        <v>0.0</v>
      </c>
      <c r="AL83" s="6">
        <v>0.0</v>
      </c>
      <c r="AM83" s="6">
        <v>0.0</v>
      </c>
      <c r="AN83" s="6">
        <v>0.0</v>
      </c>
      <c r="AO83" s="6">
        <v>0.0</v>
      </c>
      <c r="AP83" s="6">
        <v>0.0</v>
      </c>
      <c r="AQ83" s="6">
        <v>0.0</v>
      </c>
      <c r="AR83" s="6">
        <v>0.0</v>
      </c>
      <c r="AS83" s="6">
        <v>0.0</v>
      </c>
      <c r="AT83" s="6">
        <f t="shared" ref="AT83:AV83" si="688">+AN83+AQ83+AH83+AK83</f>
        <v>0</v>
      </c>
      <c r="AU83" s="6">
        <f t="shared" si="688"/>
        <v>0</v>
      </c>
      <c r="AV83" s="6">
        <f t="shared" si="688"/>
        <v>0</v>
      </c>
      <c r="AW83" s="6">
        <v>0.0</v>
      </c>
      <c r="AX83" s="6">
        <v>0.0</v>
      </c>
      <c r="AY83" s="6">
        <v>0.0</v>
      </c>
      <c r="AZ83" s="6">
        <v>0.0</v>
      </c>
      <c r="BA83" s="6">
        <v>0.0</v>
      </c>
      <c r="BB83" s="6">
        <v>0.0</v>
      </c>
      <c r="BC83" s="5">
        <v>106671.22</v>
      </c>
      <c r="BD83" s="5">
        <v>106671.22</v>
      </c>
      <c r="BE83" s="6">
        <v>0.0</v>
      </c>
      <c r="BF83" s="6">
        <v>0.0</v>
      </c>
      <c r="BG83" s="6">
        <v>0.0</v>
      </c>
      <c r="BH83" s="6">
        <v>0.0</v>
      </c>
      <c r="BI83" s="6">
        <f t="shared" ref="BI83:BK83" si="689">+BC83+BF83+AW83+AZ83</f>
        <v>106671.22</v>
      </c>
      <c r="BJ83" s="6">
        <f t="shared" si="689"/>
        <v>106671.22</v>
      </c>
      <c r="BK83" s="6">
        <f t="shared" si="689"/>
        <v>0</v>
      </c>
      <c r="BL83" s="6">
        <v>0.0</v>
      </c>
      <c r="BM83" s="6">
        <v>0.0</v>
      </c>
      <c r="BN83" s="6">
        <v>56671.22</v>
      </c>
      <c r="BO83" s="6">
        <v>0.0</v>
      </c>
      <c r="BP83" s="6">
        <v>0.0</v>
      </c>
      <c r="BQ83" s="6">
        <v>0.0</v>
      </c>
      <c r="BR83" s="6">
        <v>0.0</v>
      </c>
      <c r="BS83" s="6">
        <v>0.0</v>
      </c>
      <c r="BT83" s="6">
        <v>0.0</v>
      </c>
      <c r="BU83" s="6" t="str">
        <f t="shared" ref="BU83:BW83" si="690">+BO83+BR83+#REF!+BL83</f>
        <v>#REF!</v>
      </c>
      <c r="BV83" s="6" t="str">
        <f t="shared" si="690"/>
        <v>#REF!</v>
      </c>
      <c r="BW83" s="6" t="str">
        <f t="shared" si="690"/>
        <v>#REF!</v>
      </c>
      <c r="BX83" s="6">
        <v>0.0</v>
      </c>
      <c r="BY83" s="6">
        <v>0.0</v>
      </c>
      <c r="BZ83" s="6">
        <v>0.0</v>
      </c>
      <c r="CA83" s="6">
        <v>0.0</v>
      </c>
      <c r="CB83" s="6">
        <v>0.0</v>
      </c>
      <c r="CC83" s="6">
        <v>0.0</v>
      </c>
      <c r="CD83" s="6">
        <v>0.0</v>
      </c>
      <c r="CE83" s="6">
        <v>0.0</v>
      </c>
      <c r="CF83" s="6">
        <v>0.0</v>
      </c>
      <c r="CG83" s="6" t="str">
        <f t="shared" ref="CG83:CI83" si="691">+CA83+CD83+BX83+#REF!</f>
        <v>#REF!</v>
      </c>
      <c r="CH83" s="6" t="str">
        <f t="shared" si="691"/>
        <v>#REF!</v>
      </c>
      <c r="CI83" s="6" t="str">
        <f t="shared" si="691"/>
        <v>#REF!</v>
      </c>
      <c r="CJ83" s="6">
        <v>0.0</v>
      </c>
      <c r="CK83" s="6">
        <v>0.0</v>
      </c>
      <c r="CL83" s="6">
        <v>0.0</v>
      </c>
      <c r="CM83" s="6">
        <v>0.0</v>
      </c>
      <c r="CN83" s="6">
        <v>0.0</v>
      </c>
      <c r="CO83" s="6">
        <v>0.0</v>
      </c>
      <c r="CP83" s="6">
        <v>0.0</v>
      </c>
      <c r="CQ83" s="6">
        <v>0.0</v>
      </c>
      <c r="CR83" s="6">
        <v>0.0</v>
      </c>
      <c r="CS83" s="6">
        <v>0.0</v>
      </c>
      <c r="CT83" s="6">
        <v>0.0</v>
      </c>
      <c r="CU83" s="6">
        <v>0.0</v>
      </c>
      <c r="CV83" s="6">
        <f t="shared" ref="CV83:CX83" si="692">+CP83+CS83+CJ83+CM83</f>
        <v>0</v>
      </c>
      <c r="CW83" s="6">
        <f t="shared" si="692"/>
        <v>0</v>
      </c>
      <c r="CX83" s="6">
        <f t="shared" si="692"/>
        <v>0</v>
      </c>
      <c r="CY83" s="6">
        <v>0.0</v>
      </c>
      <c r="CZ83" s="6">
        <v>0.0</v>
      </c>
      <c r="DA83" s="6">
        <v>0.0</v>
      </c>
      <c r="DB83" s="6">
        <v>0.0</v>
      </c>
      <c r="DC83" s="6">
        <v>0.0</v>
      </c>
      <c r="DD83" s="6">
        <v>0.0</v>
      </c>
      <c r="DE83" s="6">
        <v>0.0</v>
      </c>
      <c r="DF83" s="6">
        <v>0.0</v>
      </c>
      <c r="DG83" s="6">
        <v>0.0</v>
      </c>
      <c r="DH83" s="6">
        <v>0.0</v>
      </c>
      <c r="DI83" s="6">
        <v>0.0</v>
      </c>
      <c r="DJ83" s="6">
        <v>0.0</v>
      </c>
      <c r="DK83" s="6">
        <f t="shared" ref="DK83:DM83" si="693">+DE83+DH83+CY83+DB83</f>
        <v>0</v>
      </c>
      <c r="DL83" s="6">
        <f t="shared" si="693"/>
        <v>0</v>
      </c>
      <c r="DM83" s="6">
        <f t="shared" si="693"/>
        <v>0</v>
      </c>
      <c r="DN83" s="6" t="str">
        <f t="shared" ref="DN83:DP83" si="694">+P83+AE83+AT83+BI83+BU83+CG83+CV83</f>
        <v>#REF!</v>
      </c>
      <c r="DO83" s="6" t="str">
        <f t="shared" si="694"/>
        <v>#REF!</v>
      </c>
      <c r="DP83" s="6" t="str">
        <f t="shared" si="694"/>
        <v>#REF!</v>
      </c>
      <c r="DQ83" s="6" t="str">
        <f t="shared" si="19"/>
        <v>#REF!</v>
      </c>
    </row>
    <row r="84" ht="13.5" customHeight="1">
      <c r="A84" s="11">
        <v>45092.0</v>
      </c>
      <c r="B84" s="2" t="s">
        <v>388</v>
      </c>
      <c r="C84" s="2" t="s">
        <v>389</v>
      </c>
      <c r="D84" s="29" t="s">
        <v>390</v>
      </c>
      <c r="E84" s="33" t="s">
        <v>391</v>
      </c>
      <c r="F84" s="11" t="s">
        <v>392</v>
      </c>
      <c r="G84" s="11" t="s">
        <v>15</v>
      </c>
      <c r="H84" s="5">
        <v>3800000.0</v>
      </c>
      <c r="I84" s="5">
        <v>3800000.0</v>
      </c>
      <c r="J84" s="6">
        <v>0.0</v>
      </c>
      <c r="K84" s="6">
        <v>0.0</v>
      </c>
      <c r="L84" s="6">
        <v>0.0</v>
      </c>
      <c r="M84" s="6">
        <v>0.0</v>
      </c>
      <c r="N84" s="6">
        <v>0.0</v>
      </c>
      <c r="O84" s="6">
        <v>0.0</v>
      </c>
      <c r="P84" s="6">
        <f t="shared" ref="P84:R84" si="695">+J84+M84</f>
        <v>0</v>
      </c>
      <c r="Q84" s="6">
        <f t="shared" si="695"/>
        <v>0</v>
      </c>
      <c r="R84" s="6">
        <f t="shared" si="695"/>
        <v>0</v>
      </c>
      <c r="S84" s="6">
        <v>0.0</v>
      </c>
      <c r="T84" s="6">
        <v>0.0</v>
      </c>
      <c r="U84" s="6">
        <v>0.0</v>
      </c>
      <c r="V84" s="6">
        <v>0.0</v>
      </c>
      <c r="W84" s="6">
        <v>0.0</v>
      </c>
      <c r="X84" s="6">
        <v>0.0</v>
      </c>
      <c r="Y84" s="6">
        <v>0.0</v>
      </c>
      <c r="Z84" s="6">
        <v>0.0</v>
      </c>
      <c r="AA84" s="6">
        <v>0.0</v>
      </c>
      <c r="AB84" s="6">
        <v>0.0</v>
      </c>
      <c r="AC84" s="6">
        <v>0.0</v>
      </c>
      <c r="AD84" s="6">
        <v>0.0</v>
      </c>
      <c r="AE84" s="6">
        <f t="shared" ref="AE84:AG84" si="696">+Y84+AB84+S84+V84</f>
        <v>0</v>
      </c>
      <c r="AF84" s="6">
        <f t="shared" si="696"/>
        <v>0</v>
      </c>
      <c r="AG84" s="6">
        <f t="shared" si="696"/>
        <v>0</v>
      </c>
      <c r="AH84" s="6">
        <v>0.0</v>
      </c>
      <c r="AI84" s="6">
        <v>0.0</v>
      </c>
      <c r="AJ84" s="6">
        <v>0.0</v>
      </c>
      <c r="AK84" s="6">
        <v>0.0</v>
      </c>
      <c r="AL84" s="6">
        <v>0.0</v>
      </c>
      <c r="AM84" s="6">
        <v>0.0</v>
      </c>
      <c r="AN84" s="6">
        <v>0.0</v>
      </c>
      <c r="AO84" s="6">
        <v>0.0</v>
      </c>
      <c r="AP84" s="6">
        <v>0.0</v>
      </c>
      <c r="AQ84" s="6">
        <v>0.0</v>
      </c>
      <c r="AR84" s="6">
        <v>0.0</v>
      </c>
      <c r="AS84" s="6">
        <v>0.0</v>
      </c>
      <c r="AT84" s="6">
        <f t="shared" ref="AT84:AV84" si="697">+AN84+AQ84+AH84+AK84</f>
        <v>0</v>
      </c>
      <c r="AU84" s="6">
        <f t="shared" si="697"/>
        <v>0</v>
      </c>
      <c r="AV84" s="6">
        <f t="shared" si="697"/>
        <v>0</v>
      </c>
      <c r="AW84" s="6">
        <v>0.0</v>
      </c>
      <c r="AX84" s="6">
        <v>0.0</v>
      </c>
      <c r="AY84" s="6">
        <v>0.0</v>
      </c>
      <c r="AZ84" s="6">
        <v>0.0</v>
      </c>
      <c r="BA84" s="6">
        <v>0.0</v>
      </c>
      <c r="BB84" s="6">
        <v>0.0</v>
      </c>
      <c r="BC84" s="5">
        <v>3800000.0</v>
      </c>
      <c r="BD84" s="5">
        <v>3800000.0</v>
      </c>
      <c r="BE84" s="6">
        <v>0.0</v>
      </c>
      <c r="BF84" s="6">
        <v>0.0</v>
      </c>
      <c r="BG84" s="6">
        <v>0.0</v>
      </c>
      <c r="BH84" s="6">
        <v>0.0</v>
      </c>
      <c r="BI84" s="6">
        <f t="shared" ref="BI84:BK84" si="698">+BC84+BF84+AW84+AZ84</f>
        <v>3800000</v>
      </c>
      <c r="BJ84" s="6">
        <f t="shared" si="698"/>
        <v>3800000</v>
      </c>
      <c r="BK84" s="6">
        <f t="shared" si="698"/>
        <v>0</v>
      </c>
      <c r="BL84" s="6">
        <v>0.0</v>
      </c>
      <c r="BM84" s="6">
        <v>0.0</v>
      </c>
      <c r="BN84" s="6">
        <v>1000000.0</v>
      </c>
      <c r="BO84" s="6">
        <v>0.0</v>
      </c>
      <c r="BP84" s="6">
        <v>0.0</v>
      </c>
      <c r="BQ84" s="6">
        <v>1800000.0</v>
      </c>
      <c r="BR84" s="6">
        <v>0.0</v>
      </c>
      <c r="BS84" s="6">
        <v>0.0</v>
      </c>
      <c r="BT84" s="6">
        <v>0.0</v>
      </c>
      <c r="BU84" s="6" t="str">
        <f t="shared" ref="BU84:BW84" si="699">+BO84+BR84+#REF!+BL84</f>
        <v>#REF!</v>
      </c>
      <c r="BV84" s="6" t="str">
        <f t="shared" si="699"/>
        <v>#REF!</v>
      </c>
      <c r="BW84" s="6" t="str">
        <f t="shared" si="699"/>
        <v>#REF!</v>
      </c>
      <c r="BX84" s="6">
        <v>0.0</v>
      </c>
      <c r="BY84" s="6">
        <v>0.0</v>
      </c>
      <c r="BZ84" s="6">
        <v>0.0</v>
      </c>
      <c r="CA84" s="6">
        <v>0.0</v>
      </c>
      <c r="CB84" s="6">
        <v>0.0</v>
      </c>
      <c r="CC84" s="6">
        <v>0.0</v>
      </c>
      <c r="CD84" s="6">
        <v>0.0</v>
      </c>
      <c r="CE84" s="6">
        <v>0.0</v>
      </c>
      <c r="CF84" s="6">
        <v>0.0</v>
      </c>
      <c r="CG84" s="6" t="str">
        <f t="shared" ref="CG84:CI84" si="700">+CA84+CD84+BX84+#REF!</f>
        <v>#REF!</v>
      </c>
      <c r="CH84" s="6" t="str">
        <f t="shared" si="700"/>
        <v>#REF!</v>
      </c>
      <c r="CI84" s="6" t="str">
        <f t="shared" si="700"/>
        <v>#REF!</v>
      </c>
      <c r="CJ84" s="6">
        <v>0.0</v>
      </c>
      <c r="CK84" s="6">
        <v>0.0</v>
      </c>
      <c r="CL84" s="6">
        <v>0.0</v>
      </c>
      <c r="CM84" s="6">
        <v>0.0</v>
      </c>
      <c r="CN84" s="6">
        <v>0.0</v>
      </c>
      <c r="CO84" s="6">
        <v>0.0</v>
      </c>
      <c r="CP84" s="6">
        <v>0.0</v>
      </c>
      <c r="CQ84" s="6">
        <v>0.0</v>
      </c>
      <c r="CR84" s="6">
        <v>0.0</v>
      </c>
      <c r="CS84" s="6">
        <v>0.0</v>
      </c>
      <c r="CT84" s="6">
        <v>0.0</v>
      </c>
      <c r="CU84" s="6">
        <v>0.0</v>
      </c>
      <c r="CV84" s="6">
        <f t="shared" ref="CV84:CX84" si="701">+CP84+CS84+CJ84+CM84</f>
        <v>0</v>
      </c>
      <c r="CW84" s="6">
        <f t="shared" si="701"/>
        <v>0</v>
      </c>
      <c r="CX84" s="6">
        <f t="shared" si="701"/>
        <v>0</v>
      </c>
      <c r="CY84" s="6">
        <v>0.0</v>
      </c>
      <c r="CZ84" s="6">
        <v>0.0</v>
      </c>
      <c r="DA84" s="6">
        <v>0.0</v>
      </c>
      <c r="DB84" s="6">
        <v>0.0</v>
      </c>
      <c r="DC84" s="6">
        <v>0.0</v>
      </c>
      <c r="DD84" s="6">
        <v>0.0</v>
      </c>
      <c r="DE84" s="6">
        <v>0.0</v>
      </c>
      <c r="DF84" s="6">
        <v>0.0</v>
      </c>
      <c r="DG84" s="6">
        <v>0.0</v>
      </c>
      <c r="DH84" s="6">
        <v>0.0</v>
      </c>
      <c r="DI84" s="6">
        <v>0.0</v>
      </c>
      <c r="DJ84" s="6">
        <v>0.0</v>
      </c>
      <c r="DK84" s="6">
        <f t="shared" ref="DK84:DM84" si="702">+DE84+DH84+CY84+DB84</f>
        <v>0</v>
      </c>
      <c r="DL84" s="6">
        <f t="shared" si="702"/>
        <v>0</v>
      </c>
      <c r="DM84" s="6">
        <f t="shared" si="702"/>
        <v>0</v>
      </c>
      <c r="DN84" s="6" t="str">
        <f t="shared" ref="DN84:DP84" si="703">+P84+AE84+AT84+BI84+BU84+CG84+CV84</f>
        <v>#REF!</v>
      </c>
      <c r="DO84" s="6" t="str">
        <f t="shared" si="703"/>
        <v>#REF!</v>
      </c>
      <c r="DP84" s="6" t="str">
        <f t="shared" si="703"/>
        <v>#REF!</v>
      </c>
      <c r="DQ84" s="6" t="str">
        <f t="shared" si="19"/>
        <v>#REF!</v>
      </c>
    </row>
    <row r="85" ht="13.5" customHeight="1">
      <c r="A85" s="11">
        <v>45092.0</v>
      </c>
      <c r="B85" s="2" t="s">
        <v>388</v>
      </c>
      <c r="C85" s="2" t="s">
        <v>389</v>
      </c>
      <c r="D85" s="29" t="s">
        <v>390</v>
      </c>
      <c r="E85" s="33" t="s">
        <v>391</v>
      </c>
      <c r="F85" s="11" t="s">
        <v>392</v>
      </c>
      <c r="G85" s="11" t="s">
        <v>15</v>
      </c>
      <c r="H85" s="5">
        <v>3625340.0</v>
      </c>
      <c r="I85" s="5">
        <v>3625340.0</v>
      </c>
      <c r="J85" s="6">
        <v>0.0</v>
      </c>
      <c r="K85" s="6">
        <v>0.0</v>
      </c>
      <c r="L85" s="6">
        <v>0.0</v>
      </c>
      <c r="M85" s="6">
        <v>0.0</v>
      </c>
      <c r="N85" s="6">
        <v>0.0</v>
      </c>
      <c r="O85" s="6">
        <v>0.0</v>
      </c>
      <c r="P85" s="6">
        <f t="shared" ref="P85:R85" si="704">+J85+M85</f>
        <v>0</v>
      </c>
      <c r="Q85" s="6">
        <f t="shared" si="704"/>
        <v>0</v>
      </c>
      <c r="R85" s="6">
        <f t="shared" si="704"/>
        <v>0</v>
      </c>
      <c r="S85" s="6">
        <v>0.0</v>
      </c>
      <c r="T85" s="6">
        <v>0.0</v>
      </c>
      <c r="U85" s="6">
        <v>0.0</v>
      </c>
      <c r="V85" s="6">
        <v>0.0</v>
      </c>
      <c r="W85" s="6">
        <v>0.0</v>
      </c>
      <c r="X85" s="6">
        <v>0.0</v>
      </c>
      <c r="Y85" s="6">
        <v>0.0</v>
      </c>
      <c r="Z85" s="6">
        <v>0.0</v>
      </c>
      <c r="AA85" s="6">
        <v>0.0</v>
      </c>
      <c r="AB85" s="6">
        <v>0.0</v>
      </c>
      <c r="AC85" s="6">
        <v>0.0</v>
      </c>
      <c r="AD85" s="6">
        <v>0.0</v>
      </c>
      <c r="AE85" s="6">
        <f t="shared" ref="AE85:AG85" si="705">+Y85+AB85+S85+V85</f>
        <v>0</v>
      </c>
      <c r="AF85" s="6">
        <f t="shared" si="705"/>
        <v>0</v>
      </c>
      <c r="AG85" s="6">
        <f t="shared" si="705"/>
        <v>0</v>
      </c>
      <c r="AH85" s="6">
        <v>0.0</v>
      </c>
      <c r="AI85" s="6">
        <v>0.0</v>
      </c>
      <c r="AJ85" s="6">
        <v>0.0</v>
      </c>
      <c r="AK85" s="6">
        <v>0.0</v>
      </c>
      <c r="AL85" s="6">
        <v>0.0</v>
      </c>
      <c r="AM85" s="6">
        <v>0.0</v>
      </c>
      <c r="AN85" s="6">
        <v>0.0</v>
      </c>
      <c r="AO85" s="6">
        <v>0.0</v>
      </c>
      <c r="AP85" s="6">
        <v>0.0</v>
      </c>
      <c r="AQ85" s="6">
        <v>0.0</v>
      </c>
      <c r="AR85" s="6">
        <v>0.0</v>
      </c>
      <c r="AS85" s="6">
        <v>0.0</v>
      </c>
      <c r="AT85" s="6">
        <f t="shared" ref="AT85:AV85" si="706">+AN85+AQ85+AH85+AK85</f>
        <v>0</v>
      </c>
      <c r="AU85" s="6">
        <f t="shared" si="706"/>
        <v>0</v>
      </c>
      <c r="AV85" s="6">
        <f t="shared" si="706"/>
        <v>0</v>
      </c>
      <c r="AW85" s="6">
        <v>0.0</v>
      </c>
      <c r="AX85" s="6">
        <v>0.0</v>
      </c>
      <c r="AY85" s="6">
        <v>0.0</v>
      </c>
      <c r="AZ85" s="6">
        <v>0.0</v>
      </c>
      <c r="BA85" s="6">
        <v>0.0</v>
      </c>
      <c r="BB85" s="6">
        <v>0.0</v>
      </c>
      <c r="BC85" s="5">
        <v>3625340.0</v>
      </c>
      <c r="BD85" s="5">
        <v>3625340.0</v>
      </c>
      <c r="BE85" s="6">
        <v>0.0</v>
      </c>
      <c r="BF85" s="6">
        <v>0.0</v>
      </c>
      <c r="BG85" s="6">
        <v>0.0</v>
      </c>
      <c r="BH85" s="6">
        <v>0.0</v>
      </c>
      <c r="BI85" s="6">
        <f t="shared" ref="BI85:BK85" si="707">+BC85+BF85+AW85+AZ85</f>
        <v>3625340</v>
      </c>
      <c r="BJ85" s="6">
        <f t="shared" si="707"/>
        <v>3625340</v>
      </c>
      <c r="BK85" s="6">
        <f t="shared" si="707"/>
        <v>0</v>
      </c>
      <c r="BL85" s="6">
        <v>0.0</v>
      </c>
      <c r="BM85" s="6">
        <v>0.0</v>
      </c>
      <c r="BN85" s="6">
        <v>0.0</v>
      </c>
      <c r="BO85" s="6">
        <v>0.0</v>
      </c>
      <c r="BP85" s="6">
        <v>0.0</v>
      </c>
      <c r="BQ85" s="6">
        <v>0.0</v>
      </c>
      <c r="BR85" s="6">
        <v>0.0</v>
      </c>
      <c r="BS85" s="6">
        <v>0.0</v>
      </c>
      <c r="BT85" s="6">
        <v>1300000.0</v>
      </c>
      <c r="BU85" s="6" t="str">
        <f t="shared" ref="BU85:BW85" si="708">+BO85+BR85+#REF!+BL85</f>
        <v>#REF!</v>
      </c>
      <c r="BV85" s="6" t="str">
        <f t="shared" si="708"/>
        <v>#REF!</v>
      </c>
      <c r="BW85" s="6" t="str">
        <f t="shared" si="708"/>
        <v>#REF!</v>
      </c>
      <c r="BX85" s="6">
        <v>0.0</v>
      </c>
      <c r="BY85" s="6">
        <v>0.0</v>
      </c>
      <c r="BZ85" s="6">
        <v>2000000.0</v>
      </c>
      <c r="CA85" s="6">
        <v>0.0</v>
      </c>
      <c r="CB85" s="6">
        <v>0.0</v>
      </c>
      <c r="CC85" s="6">
        <v>0.0</v>
      </c>
      <c r="CD85" s="6">
        <v>0.0</v>
      </c>
      <c r="CE85" s="6">
        <v>0.0</v>
      </c>
      <c r="CF85" s="6">
        <v>0.0</v>
      </c>
      <c r="CG85" s="6" t="str">
        <f t="shared" ref="CG85:CI85" si="709">+CA85+CD85+BX85+#REF!</f>
        <v>#REF!</v>
      </c>
      <c r="CH85" s="6" t="str">
        <f t="shared" si="709"/>
        <v>#REF!</v>
      </c>
      <c r="CI85" s="6" t="str">
        <f t="shared" si="709"/>
        <v>#REF!</v>
      </c>
      <c r="CJ85" s="5">
        <v>1664288.27</v>
      </c>
      <c r="CK85" s="5">
        <v>1664288.27</v>
      </c>
      <c r="CL85" s="6">
        <v>0.0</v>
      </c>
      <c r="CM85" s="6">
        <v>0.0</v>
      </c>
      <c r="CN85" s="6">
        <v>0.0</v>
      </c>
      <c r="CO85" s="6">
        <v>0.0</v>
      </c>
      <c r="CP85" s="6">
        <v>0.0</v>
      </c>
      <c r="CQ85" s="6">
        <v>0.0</v>
      </c>
      <c r="CR85" s="6">
        <v>0.0</v>
      </c>
      <c r="CS85" s="6">
        <v>0.0</v>
      </c>
      <c r="CT85" s="6">
        <v>0.0</v>
      </c>
      <c r="CU85" s="6">
        <v>0.0</v>
      </c>
      <c r="CV85" s="6">
        <f t="shared" ref="CV85:CX85" si="710">+CP85+CS85+CJ85+CM85</f>
        <v>1664288.27</v>
      </c>
      <c r="CW85" s="6">
        <f t="shared" si="710"/>
        <v>1664288.27</v>
      </c>
      <c r="CX85" s="6">
        <f t="shared" si="710"/>
        <v>0</v>
      </c>
      <c r="CY85" s="5">
        <v>1664288.27</v>
      </c>
      <c r="CZ85" s="5">
        <v>1664288.27</v>
      </c>
      <c r="DA85" s="6">
        <v>0.0</v>
      </c>
      <c r="DB85" s="6">
        <v>0.0</v>
      </c>
      <c r="DC85" s="6">
        <v>0.0</v>
      </c>
      <c r="DD85" s="6">
        <v>0.0</v>
      </c>
      <c r="DE85" s="6">
        <v>0.0</v>
      </c>
      <c r="DF85" s="6">
        <v>0.0</v>
      </c>
      <c r="DG85" s="6">
        <v>0.0</v>
      </c>
      <c r="DH85" s="6">
        <v>0.0</v>
      </c>
      <c r="DI85" s="6">
        <v>0.0</v>
      </c>
      <c r="DJ85" s="6">
        <v>0.0</v>
      </c>
      <c r="DK85" s="6">
        <f t="shared" ref="DK85:DM85" si="711">+DE85+DH85+CY85+DB85</f>
        <v>1664288.27</v>
      </c>
      <c r="DL85" s="6">
        <f t="shared" si="711"/>
        <v>1664288.27</v>
      </c>
      <c r="DM85" s="6">
        <f t="shared" si="711"/>
        <v>0</v>
      </c>
      <c r="DN85" s="6" t="str">
        <f t="shared" ref="DN85:DP85" si="712">+P85+AE85+AT85+BI85+BU85+CG85+CV85</f>
        <v>#REF!</v>
      </c>
      <c r="DO85" s="6" t="str">
        <f t="shared" si="712"/>
        <v>#REF!</v>
      </c>
      <c r="DP85" s="6" t="str">
        <f t="shared" si="712"/>
        <v>#REF!</v>
      </c>
      <c r="DQ85" s="6" t="str">
        <f t="shared" si="19"/>
        <v>#REF!</v>
      </c>
    </row>
    <row r="86" ht="13.5" customHeight="1">
      <c r="A86" s="11">
        <v>45085.0</v>
      </c>
      <c r="B86" s="2" t="s">
        <v>393</v>
      </c>
      <c r="C86" s="2" t="s">
        <v>394</v>
      </c>
      <c r="D86" s="29" t="s">
        <v>395</v>
      </c>
      <c r="E86" s="2" t="s">
        <v>396</v>
      </c>
      <c r="F86" s="11" t="s">
        <v>397</v>
      </c>
      <c r="G86" s="11" t="s">
        <v>15</v>
      </c>
      <c r="H86" s="5">
        <v>500000.0</v>
      </c>
      <c r="I86" s="5">
        <v>500000.0</v>
      </c>
      <c r="J86" s="6">
        <v>0.0</v>
      </c>
      <c r="K86" s="6">
        <v>0.0</v>
      </c>
      <c r="L86" s="6">
        <v>0.0</v>
      </c>
      <c r="M86" s="6">
        <v>0.0</v>
      </c>
      <c r="N86" s="6">
        <v>0.0</v>
      </c>
      <c r="O86" s="6">
        <v>0.0</v>
      </c>
      <c r="P86" s="6">
        <f t="shared" ref="P86:R86" si="713">+J86+M86</f>
        <v>0</v>
      </c>
      <c r="Q86" s="6">
        <f t="shared" si="713"/>
        <v>0</v>
      </c>
      <c r="R86" s="6">
        <f t="shared" si="713"/>
        <v>0</v>
      </c>
      <c r="S86" s="6">
        <v>0.0</v>
      </c>
      <c r="T86" s="6">
        <v>0.0</v>
      </c>
      <c r="U86" s="6">
        <v>0.0</v>
      </c>
      <c r="V86" s="6">
        <v>0.0</v>
      </c>
      <c r="W86" s="6">
        <v>0.0</v>
      </c>
      <c r="X86" s="6">
        <v>0.0</v>
      </c>
      <c r="Y86" s="6">
        <v>0.0</v>
      </c>
      <c r="Z86" s="6">
        <v>0.0</v>
      </c>
      <c r="AA86" s="6">
        <v>0.0</v>
      </c>
      <c r="AB86" s="6">
        <v>0.0</v>
      </c>
      <c r="AC86" s="6">
        <v>0.0</v>
      </c>
      <c r="AD86" s="6">
        <v>0.0</v>
      </c>
      <c r="AE86" s="6">
        <f t="shared" ref="AE86:AG86" si="714">+Y86+AB86+S86+V86</f>
        <v>0</v>
      </c>
      <c r="AF86" s="6">
        <f t="shared" si="714"/>
        <v>0</v>
      </c>
      <c r="AG86" s="6">
        <f t="shared" si="714"/>
        <v>0</v>
      </c>
      <c r="AH86" s="6">
        <v>0.0</v>
      </c>
      <c r="AI86" s="6">
        <v>0.0</v>
      </c>
      <c r="AJ86" s="6">
        <v>0.0</v>
      </c>
      <c r="AK86" s="6">
        <v>0.0</v>
      </c>
      <c r="AL86" s="6">
        <v>0.0</v>
      </c>
      <c r="AM86" s="6">
        <v>0.0</v>
      </c>
      <c r="AN86" s="6">
        <v>0.0</v>
      </c>
      <c r="AO86" s="6">
        <v>0.0</v>
      </c>
      <c r="AP86" s="6">
        <v>0.0</v>
      </c>
      <c r="AQ86" s="6">
        <v>0.0</v>
      </c>
      <c r="AR86" s="6">
        <v>0.0</v>
      </c>
      <c r="AS86" s="6">
        <v>0.0</v>
      </c>
      <c r="AT86" s="6">
        <f t="shared" ref="AT86:AV86" si="715">+AN86+AQ86+AH86+AK86</f>
        <v>0</v>
      </c>
      <c r="AU86" s="6">
        <f t="shared" si="715"/>
        <v>0</v>
      </c>
      <c r="AV86" s="6">
        <f t="shared" si="715"/>
        <v>0</v>
      </c>
      <c r="AW86" s="6">
        <v>0.0</v>
      </c>
      <c r="AX86" s="6">
        <v>0.0</v>
      </c>
      <c r="AY86" s="6">
        <v>0.0</v>
      </c>
      <c r="AZ86" s="6">
        <v>0.0</v>
      </c>
      <c r="BA86" s="6">
        <v>0.0</v>
      </c>
      <c r="BB86" s="6">
        <v>0.0</v>
      </c>
      <c r="BC86" s="5">
        <v>500000.0</v>
      </c>
      <c r="BD86" s="5">
        <v>500000.0</v>
      </c>
      <c r="BE86" s="6">
        <v>0.0</v>
      </c>
      <c r="BF86" s="6">
        <v>0.0</v>
      </c>
      <c r="BG86" s="6">
        <v>0.0</v>
      </c>
      <c r="BH86" s="6">
        <v>500000.0</v>
      </c>
      <c r="BI86" s="6">
        <f t="shared" ref="BI86:BK86" si="716">+BC86+BF86+AW86+AZ86</f>
        <v>500000</v>
      </c>
      <c r="BJ86" s="6">
        <f t="shared" si="716"/>
        <v>500000</v>
      </c>
      <c r="BK86" s="6">
        <f t="shared" si="716"/>
        <v>500000</v>
      </c>
      <c r="BL86" s="6">
        <v>0.0</v>
      </c>
      <c r="BM86" s="6">
        <v>0.0</v>
      </c>
      <c r="BN86" s="6">
        <v>0.0</v>
      </c>
      <c r="BO86" s="6">
        <v>0.0</v>
      </c>
      <c r="BP86" s="6">
        <v>0.0</v>
      </c>
      <c r="BQ86" s="6">
        <v>0.0</v>
      </c>
      <c r="BR86" s="6">
        <v>0.0</v>
      </c>
      <c r="BS86" s="6">
        <v>0.0</v>
      </c>
      <c r="BT86" s="6">
        <v>0.0</v>
      </c>
      <c r="BU86" s="6" t="str">
        <f t="shared" ref="BU86:BW86" si="717">+BO86+BR86+#REF!+BL86</f>
        <v>#REF!</v>
      </c>
      <c r="BV86" s="6" t="str">
        <f t="shared" si="717"/>
        <v>#REF!</v>
      </c>
      <c r="BW86" s="6" t="str">
        <f t="shared" si="717"/>
        <v>#REF!</v>
      </c>
      <c r="BX86" s="6">
        <v>0.0</v>
      </c>
      <c r="BY86" s="6">
        <v>0.0</v>
      </c>
      <c r="BZ86" s="6">
        <v>0.0</v>
      </c>
      <c r="CA86" s="6">
        <v>0.0</v>
      </c>
      <c r="CB86" s="6">
        <v>0.0</v>
      </c>
      <c r="CC86" s="6">
        <v>0.0</v>
      </c>
      <c r="CD86" s="6">
        <v>0.0</v>
      </c>
      <c r="CE86" s="6">
        <v>0.0</v>
      </c>
      <c r="CF86" s="6">
        <v>0.0</v>
      </c>
      <c r="CG86" s="6" t="str">
        <f t="shared" ref="CG86:CI86" si="718">+CA86+CD86+BX86+#REF!</f>
        <v>#REF!</v>
      </c>
      <c r="CH86" s="6" t="str">
        <f t="shared" si="718"/>
        <v>#REF!</v>
      </c>
      <c r="CI86" s="6" t="str">
        <f t="shared" si="718"/>
        <v>#REF!</v>
      </c>
      <c r="CJ86" s="6">
        <v>0.0</v>
      </c>
      <c r="CK86" s="6">
        <v>0.0</v>
      </c>
      <c r="CL86" s="6">
        <v>0.0</v>
      </c>
      <c r="CM86" s="6">
        <v>0.0</v>
      </c>
      <c r="CN86" s="6">
        <v>0.0</v>
      </c>
      <c r="CO86" s="6">
        <v>0.0</v>
      </c>
      <c r="CP86" s="6">
        <v>0.0</v>
      </c>
      <c r="CQ86" s="6">
        <v>0.0</v>
      </c>
      <c r="CR86" s="6">
        <v>0.0</v>
      </c>
      <c r="CS86" s="6">
        <v>0.0</v>
      </c>
      <c r="CT86" s="6">
        <v>0.0</v>
      </c>
      <c r="CU86" s="6">
        <v>0.0</v>
      </c>
      <c r="CV86" s="6">
        <f t="shared" ref="CV86:CX86" si="719">+CP86+CS86+CJ86+CM86</f>
        <v>0</v>
      </c>
      <c r="CW86" s="6">
        <f t="shared" si="719"/>
        <v>0</v>
      </c>
      <c r="CX86" s="6">
        <f t="shared" si="719"/>
        <v>0</v>
      </c>
      <c r="CY86" s="6">
        <v>0.0</v>
      </c>
      <c r="CZ86" s="6">
        <v>0.0</v>
      </c>
      <c r="DA86" s="6">
        <v>0.0</v>
      </c>
      <c r="DB86" s="6">
        <v>0.0</v>
      </c>
      <c r="DC86" s="6">
        <v>0.0</v>
      </c>
      <c r="DD86" s="6">
        <v>0.0</v>
      </c>
      <c r="DE86" s="6">
        <v>0.0</v>
      </c>
      <c r="DF86" s="6">
        <v>0.0</v>
      </c>
      <c r="DG86" s="6">
        <v>0.0</v>
      </c>
      <c r="DH86" s="6">
        <v>0.0</v>
      </c>
      <c r="DI86" s="6">
        <v>0.0</v>
      </c>
      <c r="DJ86" s="6">
        <v>0.0</v>
      </c>
      <c r="DK86" s="6">
        <f t="shared" ref="DK86:DM86" si="720">+DE86+DH86+CY86+DB86</f>
        <v>0</v>
      </c>
      <c r="DL86" s="6">
        <f t="shared" si="720"/>
        <v>0</v>
      </c>
      <c r="DM86" s="6">
        <f t="shared" si="720"/>
        <v>0</v>
      </c>
      <c r="DN86" s="6" t="str">
        <f t="shared" ref="DN86:DP86" si="721">+P86+AE86+AT86+BI86+BU86+CG86+CV86</f>
        <v>#REF!</v>
      </c>
      <c r="DO86" s="6" t="str">
        <f t="shared" si="721"/>
        <v>#REF!</v>
      </c>
      <c r="DP86" s="6" t="str">
        <f t="shared" si="721"/>
        <v>#REF!</v>
      </c>
      <c r="DQ86" s="6" t="str">
        <f t="shared" si="19"/>
        <v>#REF!</v>
      </c>
    </row>
    <row r="87" ht="13.5" customHeight="1">
      <c r="A87" s="11">
        <v>45114.0</v>
      </c>
      <c r="B87" s="2" t="s">
        <v>398</v>
      </c>
      <c r="C87" s="2" t="s">
        <v>399</v>
      </c>
      <c r="D87" s="29" t="s">
        <v>400</v>
      </c>
      <c r="E87" s="2" t="s">
        <v>401</v>
      </c>
      <c r="F87" s="11" t="s">
        <v>402</v>
      </c>
      <c r="G87" s="11" t="s">
        <v>16</v>
      </c>
      <c r="H87" s="5">
        <v>5520000.0</v>
      </c>
      <c r="I87" s="5">
        <v>5520000.0</v>
      </c>
      <c r="J87" s="6">
        <v>0.0</v>
      </c>
      <c r="K87" s="6">
        <v>0.0</v>
      </c>
      <c r="L87" s="6">
        <v>0.0</v>
      </c>
      <c r="M87" s="6">
        <v>0.0</v>
      </c>
      <c r="N87" s="6">
        <v>0.0</v>
      </c>
      <c r="O87" s="6">
        <v>0.0</v>
      </c>
      <c r="P87" s="6">
        <f t="shared" ref="P87:R87" si="722">+J87+M87</f>
        <v>0</v>
      </c>
      <c r="Q87" s="6">
        <f t="shared" si="722"/>
        <v>0</v>
      </c>
      <c r="R87" s="6">
        <f t="shared" si="722"/>
        <v>0</v>
      </c>
      <c r="S87" s="6">
        <v>0.0</v>
      </c>
      <c r="T87" s="6">
        <v>0.0</v>
      </c>
      <c r="U87" s="6">
        <v>0.0</v>
      </c>
      <c r="V87" s="6">
        <v>0.0</v>
      </c>
      <c r="W87" s="6">
        <v>0.0</v>
      </c>
      <c r="X87" s="6">
        <v>0.0</v>
      </c>
      <c r="Y87" s="6">
        <v>0.0</v>
      </c>
      <c r="Z87" s="6">
        <v>0.0</v>
      </c>
      <c r="AA87" s="6">
        <v>0.0</v>
      </c>
      <c r="AB87" s="6">
        <v>0.0</v>
      </c>
      <c r="AC87" s="6">
        <v>0.0</v>
      </c>
      <c r="AD87" s="6">
        <v>0.0</v>
      </c>
      <c r="AE87" s="6">
        <f t="shared" ref="AE87:AG87" si="723">+Y87+AB87+S87+V87</f>
        <v>0</v>
      </c>
      <c r="AF87" s="6">
        <f t="shared" si="723"/>
        <v>0</v>
      </c>
      <c r="AG87" s="6">
        <f t="shared" si="723"/>
        <v>0</v>
      </c>
      <c r="AH87" s="6">
        <v>0.0</v>
      </c>
      <c r="AI87" s="6">
        <v>0.0</v>
      </c>
      <c r="AJ87" s="6">
        <v>0.0</v>
      </c>
      <c r="AK87" s="6">
        <v>0.0</v>
      </c>
      <c r="AL87" s="6">
        <v>0.0</v>
      </c>
      <c r="AM87" s="6">
        <v>0.0</v>
      </c>
      <c r="AN87" s="6">
        <v>0.0</v>
      </c>
      <c r="AO87" s="6">
        <v>0.0</v>
      </c>
      <c r="AP87" s="6">
        <v>0.0</v>
      </c>
      <c r="AQ87" s="6">
        <v>0.0</v>
      </c>
      <c r="AR87" s="6">
        <v>0.0</v>
      </c>
      <c r="AS87" s="6">
        <v>0.0</v>
      </c>
      <c r="AT87" s="6">
        <f t="shared" ref="AT87:AV87" si="724">+AN87+AQ87+AH87+AK87</f>
        <v>0</v>
      </c>
      <c r="AU87" s="6">
        <f t="shared" si="724"/>
        <v>0</v>
      </c>
      <c r="AV87" s="6">
        <f t="shared" si="724"/>
        <v>0</v>
      </c>
      <c r="AW87" s="6">
        <v>0.0</v>
      </c>
      <c r="AX87" s="6">
        <v>0.0</v>
      </c>
      <c r="AY87" s="6">
        <v>0.0</v>
      </c>
      <c r="AZ87" s="6">
        <v>0.0</v>
      </c>
      <c r="BA87" s="6">
        <v>0.0</v>
      </c>
      <c r="BB87" s="6">
        <v>0.0</v>
      </c>
      <c r="BC87" s="6">
        <v>0.0</v>
      </c>
      <c r="BD87" s="6">
        <v>0.0</v>
      </c>
      <c r="BE87" s="6">
        <v>0.0</v>
      </c>
      <c r="BF87" s="5">
        <v>5520000.0</v>
      </c>
      <c r="BG87" s="5">
        <v>5520000.0</v>
      </c>
      <c r="BH87" s="6">
        <v>0.0</v>
      </c>
      <c r="BI87" s="6">
        <f t="shared" ref="BI87:BK87" si="725">+BC87+BF87+AW87+AZ87</f>
        <v>5520000</v>
      </c>
      <c r="BJ87" s="6">
        <f t="shared" si="725"/>
        <v>5520000</v>
      </c>
      <c r="BK87" s="6">
        <f t="shared" si="725"/>
        <v>0</v>
      </c>
      <c r="BL87" s="6">
        <v>0.0</v>
      </c>
      <c r="BM87" s="6">
        <v>0.0</v>
      </c>
      <c r="BN87" s="6">
        <v>350000.0</v>
      </c>
      <c r="BO87" s="6">
        <v>0.0</v>
      </c>
      <c r="BP87" s="6">
        <v>0.0</v>
      </c>
      <c r="BQ87" s="6">
        <v>100000.0</v>
      </c>
      <c r="BR87" s="6">
        <v>0.0</v>
      </c>
      <c r="BS87" s="6">
        <v>0.0</v>
      </c>
      <c r="BT87" s="6">
        <v>500000.0</v>
      </c>
      <c r="BU87" s="6" t="str">
        <f t="shared" ref="BU87:BW87" si="726">+BO87+BR87+#REF!+BL87</f>
        <v>#REF!</v>
      </c>
      <c r="BV87" s="6" t="str">
        <f t="shared" si="726"/>
        <v>#REF!</v>
      </c>
      <c r="BW87" s="6" t="str">
        <f t="shared" si="726"/>
        <v>#REF!</v>
      </c>
      <c r="BX87" s="6">
        <v>0.0</v>
      </c>
      <c r="BY87" s="6">
        <v>0.0</v>
      </c>
      <c r="BZ87" s="6">
        <v>1600000.0</v>
      </c>
      <c r="CA87" s="6">
        <v>0.0</v>
      </c>
      <c r="CB87" s="6">
        <v>0.0</v>
      </c>
      <c r="CC87" s="6">
        <v>0.0</v>
      </c>
      <c r="CD87" s="6">
        <v>0.0</v>
      </c>
      <c r="CE87" s="6">
        <v>0.0</v>
      </c>
      <c r="CF87" s="6">
        <v>0.0</v>
      </c>
      <c r="CG87" s="6" t="str">
        <f t="shared" ref="CG87:CI87" si="727">+CA87+CD87+BX87+#REF!</f>
        <v>#REF!</v>
      </c>
      <c r="CH87" s="6" t="str">
        <f t="shared" si="727"/>
        <v>#REF!</v>
      </c>
      <c r="CI87" s="6" t="str">
        <f t="shared" si="727"/>
        <v>#REF!</v>
      </c>
      <c r="CJ87" s="6">
        <v>0.0</v>
      </c>
      <c r="CK87" s="6">
        <v>0.0</v>
      </c>
      <c r="CL87" s="6">
        <v>500000.0</v>
      </c>
      <c r="CM87" s="6">
        <v>0.0</v>
      </c>
      <c r="CN87" s="6">
        <v>0.0</v>
      </c>
      <c r="CO87" s="6">
        <v>0.0</v>
      </c>
      <c r="CP87" s="6">
        <v>0.0</v>
      </c>
      <c r="CQ87" s="6">
        <v>0.0</v>
      </c>
      <c r="CR87" s="6">
        <v>0.0</v>
      </c>
      <c r="CS87" s="6">
        <v>0.0</v>
      </c>
      <c r="CT87" s="6">
        <v>0.0</v>
      </c>
      <c r="CU87" s="6">
        <v>0.0</v>
      </c>
      <c r="CV87" s="6">
        <f t="shared" ref="CV87:CX87" si="728">+CP87+CS87+CJ87+CM87</f>
        <v>0</v>
      </c>
      <c r="CW87" s="6">
        <f t="shared" si="728"/>
        <v>0</v>
      </c>
      <c r="CX87" s="6">
        <f t="shared" si="728"/>
        <v>500000</v>
      </c>
      <c r="CY87" s="6">
        <v>0.0</v>
      </c>
      <c r="CZ87" s="6">
        <v>0.0</v>
      </c>
      <c r="DA87" s="6">
        <v>500000.0</v>
      </c>
      <c r="DB87" s="6">
        <v>0.0</v>
      </c>
      <c r="DC87" s="6">
        <v>0.0</v>
      </c>
      <c r="DD87" s="6">
        <v>0.0</v>
      </c>
      <c r="DE87" s="6">
        <v>0.0</v>
      </c>
      <c r="DF87" s="6">
        <v>0.0</v>
      </c>
      <c r="DG87" s="6">
        <v>0.0</v>
      </c>
      <c r="DH87" s="6">
        <v>0.0</v>
      </c>
      <c r="DI87" s="6">
        <v>0.0</v>
      </c>
      <c r="DJ87" s="6">
        <v>0.0</v>
      </c>
      <c r="DK87" s="6">
        <f t="shared" ref="DK87:DM87" si="729">+DE87+DH87+CY87+DB87</f>
        <v>0</v>
      </c>
      <c r="DL87" s="6">
        <f t="shared" si="729"/>
        <v>0</v>
      </c>
      <c r="DM87" s="6">
        <f t="shared" si="729"/>
        <v>500000</v>
      </c>
      <c r="DN87" s="6" t="str">
        <f t="shared" ref="DN87:DP87" si="730">+P87+AE87+AT87+BI87+BU87+CG87+CV87</f>
        <v>#REF!</v>
      </c>
      <c r="DO87" s="6" t="str">
        <f t="shared" si="730"/>
        <v>#REF!</v>
      </c>
      <c r="DP87" s="6" t="str">
        <f t="shared" si="730"/>
        <v>#REF!</v>
      </c>
      <c r="DQ87" s="6" t="str">
        <f t="shared" si="19"/>
        <v>#REF!</v>
      </c>
    </row>
    <row r="88" ht="13.5" customHeight="1">
      <c r="A88" s="11">
        <v>45121.0</v>
      </c>
      <c r="B88" s="2" t="s">
        <v>403</v>
      </c>
      <c r="C88" s="2" t="s">
        <v>404</v>
      </c>
      <c r="D88" s="29" t="s">
        <v>405</v>
      </c>
      <c r="E88" s="2" t="s">
        <v>406</v>
      </c>
      <c r="F88" s="11" t="s">
        <v>407</v>
      </c>
      <c r="G88" s="11" t="s">
        <v>15</v>
      </c>
      <c r="H88" s="5">
        <v>3000000.0</v>
      </c>
      <c r="I88" s="5">
        <v>3000000.0</v>
      </c>
      <c r="J88" s="6">
        <v>0.0</v>
      </c>
      <c r="K88" s="6">
        <v>0.0</v>
      </c>
      <c r="L88" s="6">
        <v>0.0</v>
      </c>
      <c r="M88" s="6">
        <v>0.0</v>
      </c>
      <c r="N88" s="6">
        <v>0.0</v>
      </c>
      <c r="O88" s="6">
        <v>0.0</v>
      </c>
      <c r="P88" s="6">
        <f t="shared" ref="P88:R88" si="731">+J88+M88</f>
        <v>0</v>
      </c>
      <c r="Q88" s="6">
        <f t="shared" si="731"/>
        <v>0</v>
      </c>
      <c r="R88" s="6">
        <f t="shared" si="731"/>
        <v>0</v>
      </c>
      <c r="S88" s="6">
        <v>0.0</v>
      </c>
      <c r="T88" s="6">
        <v>0.0</v>
      </c>
      <c r="U88" s="6">
        <v>0.0</v>
      </c>
      <c r="V88" s="6">
        <v>0.0</v>
      </c>
      <c r="W88" s="6">
        <v>0.0</v>
      </c>
      <c r="X88" s="6">
        <v>0.0</v>
      </c>
      <c r="Y88" s="6">
        <v>0.0</v>
      </c>
      <c r="Z88" s="6">
        <v>0.0</v>
      </c>
      <c r="AA88" s="6">
        <v>0.0</v>
      </c>
      <c r="AB88" s="6">
        <v>0.0</v>
      </c>
      <c r="AC88" s="6">
        <v>0.0</v>
      </c>
      <c r="AD88" s="6">
        <v>0.0</v>
      </c>
      <c r="AE88" s="6">
        <f t="shared" ref="AE88:AG88" si="732">+Y88+AB88+S88+V88</f>
        <v>0</v>
      </c>
      <c r="AF88" s="6">
        <f t="shared" si="732"/>
        <v>0</v>
      </c>
      <c r="AG88" s="6">
        <f t="shared" si="732"/>
        <v>0</v>
      </c>
      <c r="AH88" s="6">
        <v>0.0</v>
      </c>
      <c r="AI88" s="6">
        <v>0.0</v>
      </c>
      <c r="AJ88" s="6">
        <v>0.0</v>
      </c>
      <c r="AK88" s="6">
        <v>0.0</v>
      </c>
      <c r="AL88" s="6">
        <v>0.0</v>
      </c>
      <c r="AM88" s="6">
        <v>0.0</v>
      </c>
      <c r="AN88" s="6">
        <v>0.0</v>
      </c>
      <c r="AO88" s="6">
        <v>0.0</v>
      </c>
      <c r="AP88" s="6">
        <v>0.0</v>
      </c>
      <c r="AQ88" s="6">
        <v>0.0</v>
      </c>
      <c r="AR88" s="6">
        <v>0.0</v>
      </c>
      <c r="AS88" s="6">
        <v>0.0</v>
      </c>
      <c r="AT88" s="6">
        <f t="shared" ref="AT88:AV88" si="733">+AN88+AQ88+AH88+AK88</f>
        <v>0</v>
      </c>
      <c r="AU88" s="6">
        <f t="shared" si="733"/>
        <v>0</v>
      </c>
      <c r="AV88" s="6">
        <f t="shared" si="733"/>
        <v>0</v>
      </c>
      <c r="AW88" s="6">
        <v>0.0</v>
      </c>
      <c r="AX88" s="6">
        <v>0.0</v>
      </c>
      <c r="AY88" s="6">
        <v>0.0</v>
      </c>
      <c r="AZ88" s="6">
        <v>0.0</v>
      </c>
      <c r="BA88" s="6">
        <v>0.0</v>
      </c>
      <c r="BB88" s="6">
        <v>0.0</v>
      </c>
      <c r="BC88" s="5">
        <v>3000000.0</v>
      </c>
      <c r="BD88" s="5">
        <v>3000000.0</v>
      </c>
      <c r="BE88" s="6">
        <v>0.0</v>
      </c>
      <c r="BF88" s="6">
        <v>0.0</v>
      </c>
      <c r="BG88" s="6">
        <v>0.0</v>
      </c>
      <c r="BH88" s="6">
        <v>0.0</v>
      </c>
      <c r="BI88" s="6">
        <f t="shared" ref="BI88:BK88" si="734">+BC88+BF88+AW88+AZ88</f>
        <v>3000000</v>
      </c>
      <c r="BJ88" s="6">
        <f t="shared" si="734"/>
        <v>3000000</v>
      </c>
      <c r="BK88" s="6">
        <f t="shared" si="734"/>
        <v>0</v>
      </c>
      <c r="BL88" s="6">
        <v>0.0</v>
      </c>
      <c r="BM88" s="6">
        <v>0.0</v>
      </c>
      <c r="BN88" s="6">
        <v>1000000.0</v>
      </c>
      <c r="BO88" s="6">
        <v>0.0</v>
      </c>
      <c r="BP88" s="6">
        <v>0.0</v>
      </c>
      <c r="BQ88" s="6">
        <v>0.0</v>
      </c>
      <c r="BR88" s="6">
        <v>0.0</v>
      </c>
      <c r="BS88" s="6">
        <v>0.0</v>
      </c>
      <c r="BT88" s="6">
        <v>0.0</v>
      </c>
      <c r="BU88" s="6" t="str">
        <f t="shared" ref="BU88:BW88" si="735">+BO88+BR88+#REF!+BL88</f>
        <v>#REF!</v>
      </c>
      <c r="BV88" s="6" t="str">
        <f t="shared" si="735"/>
        <v>#REF!</v>
      </c>
      <c r="BW88" s="6" t="str">
        <f t="shared" si="735"/>
        <v>#REF!</v>
      </c>
      <c r="BX88" s="6">
        <v>0.0</v>
      </c>
      <c r="BY88" s="6">
        <v>0.0</v>
      </c>
      <c r="BZ88" s="6">
        <v>0.0</v>
      </c>
      <c r="CA88" s="6">
        <v>0.0</v>
      </c>
      <c r="CB88" s="6">
        <v>0.0</v>
      </c>
      <c r="CC88" s="6">
        <v>0.0</v>
      </c>
      <c r="CD88" s="6">
        <v>0.0</v>
      </c>
      <c r="CE88" s="6">
        <v>0.0</v>
      </c>
      <c r="CF88" s="6">
        <v>0.0</v>
      </c>
      <c r="CG88" s="6" t="str">
        <f t="shared" ref="CG88:CI88" si="736">+CA88+CD88+BX88+#REF!</f>
        <v>#REF!</v>
      </c>
      <c r="CH88" s="6" t="str">
        <f t="shared" si="736"/>
        <v>#REF!</v>
      </c>
      <c r="CI88" s="6" t="str">
        <f t="shared" si="736"/>
        <v>#REF!</v>
      </c>
      <c r="CJ88" s="6">
        <v>0.0</v>
      </c>
      <c r="CK88" s="6">
        <v>0.0</v>
      </c>
      <c r="CL88" s="6">
        <v>0.0</v>
      </c>
      <c r="CM88" s="6">
        <v>0.0</v>
      </c>
      <c r="CN88" s="6">
        <v>0.0</v>
      </c>
      <c r="CO88" s="6">
        <v>0.0</v>
      </c>
      <c r="CP88" s="6">
        <v>0.0</v>
      </c>
      <c r="CQ88" s="6">
        <v>0.0</v>
      </c>
      <c r="CR88" s="6">
        <v>0.0</v>
      </c>
      <c r="CS88" s="6">
        <v>0.0</v>
      </c>
      <c r="CT88" s="6">
        <v>0.0</v>
      </c>
      <c r="CU88" s="6">
        <v>0.0</v>
      </c>
      <c r="CV88" s="6">
        <f t="shared" ref="CV88:CX88" si="737">+CP88+CS88+CJ88+CM88</f>
        <v>0</v>
      </c>
      <c r="CW88" s="6">
        <f t="shared" si="737"/>
        <v>0</v>
      </c>
      <c r="CX88" s="6">
        <f t="shared" si="737"/>
        <v>0</v>
      </c>
      <c r="CY88" s="6">
        <v>0.0</v>
      </c>
      <c r="CZ88" s="6">
        <v>0.0</v>
      </c>
      <c r="DA88" s="6">
        <v>0.0</v>
      </c>
      <c r="DB88" s="6">
        <v>0.0</v>
      </c>
      <c r="DC88" s="6">
        <v>0.0</v>
      </c>
      <c r="DD88" s="6">
        <v>0.0</v>
      </c>
      <c r="DE88" s="6">
        <v>0.0</v>
      </c>
      <c r="DF88" s="6">
        <v>0.0</v>
      </c>
      <c r="DG88" s="6">
        <v>0.0</v>
      </c>
      <c r="DH88" s="6">
        <v>0.0</v>
      </c>
      <c r="DI88" s="6">
        <v>0.0</v>
      </c>
      <c r="DJ88" s="6">
        <v>0.0</v>
      </c>
      <c r="DK88" s="6">
        <f t="shared" ref="DK88:DM88" si="738">+DE88+DH88+CY88+DB88</f>
        <v>0</v>
      </c>
      <c r="DL88" s="6">
        <f t="shared" si="738"/>
        <v>0</v>
      </c>
      <c r="DM88" s="6">
        <f t="shared" si="738"/>
        <v>0</v>
      </c>
      <c r="DN88" s="6" t="str">
        <f t="shared" ref="DN88:DP88" si="739">+P88+AE88+AT88+BI88+BU88+CG88+CV88</f>
        <v>#REF!</v>
      </c>
      <c r="DO88" s="6" t="str">
        <f t="shared" si="739"/>
        <v>#REF!</v>
      </c>
      <c r="DP88" s="6" t="str">
        <f t="shared" si="739"/>
        <v>#REF!</v>
      </c>
      <c r="DQ88" s="6" t="str">
        <f t="shared" si="19"/>
        <v>#REF!</v>
      </c>
    </row>
    <row r="89" ht="13.5" customHeight="1">
      <c r="A89" s="11">
        <v>45125.0</v>
      </c>
      <c r="B89" s="2" t="s">
        <v>408</v>
      </c>
      <c r="C89" s="2" t="s">
        <v>409</v>
      </c>
      <c r="D89" s="29" t="s">
        <v>410</v>
      </c>
      <c r="E89" s="2" t="s">
        <v>411</v>
      </c>
      <c r="F89" s="11" t="s">
        <v>412</v>
      </c>
      <c r="G89" s="11" t="s">
        <v>16</v>
      </c>
      <c r="H89" s="5">
        <v>790239.0</v>
      </c>
      <c r="I89" s="5">
        <v>790239.0</v>
      </c>
      <c r="J89" s="6">
        <v>0.0</v>
      </c>
      <c r="K89" s="6">
        <v>0.0</v>
      </c>
      <c r="L89" s="6">
        <v>0.0</v>
      </c>
      <c r="M89" s="6">
        <v>0.0</v>
      </c>
      <c r="N89" s="6">
        <v>0.0</v>
      </c>
      <c r="O89" s="6">
        <v>0.0</v>
      </c>
      <c r="P89" s="6">
        <f t="shared" ref="P89:R89" si="740">+J89+M89</f>
        <v>0</v>
      </c>
      <c r="Q89" s="6">
        <f t="shared" si="740"/>
        <v>0</v>
      </c>
      <c r="R89" s="6">
        <f t="shared" si="740"/>
        <v>0</v>
      </c>
      <c r="S89" s="6">
        <v>0.0</v>
      </c>
      <c r="T89" s="6">
        <v>0.0</v>
      </c>
      <c r="U89" s="6">
        <v>0.0</v>
      </c>
      <c r="V89" s="6">
        <v>0.0</v>
      </c>
      <c r="W89" s="6">
        <v>0.0</v>
      </c>
      <c r="X89" s="6">
        <v>0.0</v>
      </c>
      <c r="Y89" s="6">
        <v>0.0</v>
      </c>
      <c r="Z89" s="6">
        <v>0.0</v>
      </c>
      <c r="AA89" s="6">
        <v>0.0</v>
      </c>
      <c r="AB89" s="6">
        <v>0.0</v>
      </c>
      <c r="AC89" s="6">
        <v>0.0</v>
      </c>
      <c r="AD89" s="6">
        <v>0.0</v>
      </c>
      <c r="AE89" s="6">
        <f t="shared" ref="AE89:AG89" si="741">+Y89+AB89+S89+V89</f>
        <v>0</v>
      </c>
      <c r="AF89" s="6">
        <f t="shared" si="741"/>
        <v>0</v>
      </c>
      <c r="AG89" s="6">
        <f t="shared" si="741"/>
        <v>0</v>
      </c>
      <c r="AH89" s="6">
        <v>0.0</v>
      </c>
      <c r="AI89" s="6">
        <v>0.0</v>
      </c>
      <c r="AJ89" s="6">
        <v>0.0</v>
      </c>
      <c r="AK89" s="6">
        <v>0.0</v>
      </c>
      <c r="AL89" s="6">
        <v>0.0</v>
      </c>
      <c r="AM89" s="6">
        <v>0.0</v>
      </c>
      <c r="AN89" s="6">
        <v>0.0</v>
      </c>
      <c r="AO89" s="6">
        <v>0.0</v>
      </c>
      <c r="AP89" s="6">
        <v>0.0</v>
      </c>
      <c r="AQ89" s="6">
        <v>0.0</v>
      </c>
      <c r="AR89" s="6">
        <v>0.0</v>
      </c>
      <c r="AS89" s="6">
        <v>0.0</v>
      </c>
      <c r="AT89" s="6">
        <f t="shared" ref="AT89:AV89" si="742">+AN89+AQ89+AH89+AK89</f>
        <v>0</v>
      </c>
      <c r="AU89" s="6">
        <f t="shared" si="742"/>
        <v>0</v>
      </c>
      <c r="AV89" s="6">
        <f t="shared" si="742"/>
        <v>0</v>
      </c>
      <c r="AW89" s="6">
        <v>0.0</v>
      </c>
      <c r="AX89" s="6">
        <v>0.0</v>
      </c>
      <c r="AY89" s="6">
        <v>0.0</v>
      </c>
      <c r="AZ89" s="6">
        <v>0.0</v>
      </c>
      <c r="BA89" s="6">
        <v>0.0</v>
      </c>
      <c r="BB89" s="6">
        <v>0.0</v>
      </c>
      <c r="BC89" s="6">
        <v>0.0</v>
      </c>
      <c r="BD89" s="6">
        <v>0.0</v>
      </c>
      <c r="BE89" s="6">
        <v>0.0</v>
      </c>
      <c r="BF89" s="5">
        <v>790239.0</v>
      </c>
      <c r="BG89" s="5">
        <v>790239.0</v>
      </c>
      <c r="BH89" s="6">
        <v>0.0</v>
      </c>
      <c r="BI89" s="6">
        <f t="shared" ref="BI89:BK89" si="743">+BC89+BF89+AW89+AZ89</f>
        <v>790239</v>
      </c>
      <c r="BJ89" s="6">
        <f t="shared" si="743"/>
        <v>790239</v>
      </c>
      <c r="BK89" s="6">
        <f t="shared" si="743"/>
        <v>0</v>
      </c>
      <c r="BL89" s="6">
        <v>0.0</v>
      </c>
      <c r="BM89" s="6">
        <v>0.0</v>
      </c>
      <c r="BN89" s="6">
        <v>395239.0</v>
      </c>
      <c r="BO89" s="6">
        <v>0.0</v>
      </c>
      <c r="BP89" s="6">
        <v>0.0</v>
      </c>
      <c r="BQ89" s="6">
        <v>0.0</v>
      </c>
      <c r="BR89" s="6">
        <v>0.0</v>
      </c>
      <c r="BS89" s="6">
        <v>0.0</v>
      </c>
      <c r="BT89" s="6">
        <v>0.0</v>
      </c>
      <c r="BU89" s="6" t="str">
        <f t="shared" ref="BU89:BW89" si="744">+BO89+BR89+#REF!+BL89</f>
        <v>#REF!</v>
      </c>
      <c r="BV89" s="6" t="str">
        <f t="shared" si="744"/>
        <v>#REF!</v>
      </c>
      <c r="BW89" s="6" t="str">
        <f t="shared" si="744"/>
        <v>#REF!</v>
      </c>
      <c r="BX89" s="6">
        <v>0.0</v>
      </c>
      <c r="BY89" s="6">
        <v>0.0</v>
      </c>
      <c r="BZ89" s="6">
        <v>0.0</v>
      </c>
      <c r="CA89" s="6">
        <v>0.0</v>
      </c>
      <c r="CB89" s="6">
        <v>0.0</v>
      </c>
      <c r="CC89" s="6">
        <v>0.0</v>
      </c>
      <c r="CD89" s="6">
        <v>0.0</v>
      </c>
      <c r="CE89" s="6">
        <v>0.0</v>
      </c>
      <c r="CF89" s="6">
        <v>0.0</v>
      </c>
      <c r="CG89" s="6" t="str">
        <f t="shared" ref="CG89:CI89" si="745">+CA89+CD89+BX89+#REF!</f>
        <v>#REF!</v>
      </c>
      <c r="CH89" s="6" t="str">
        <f t="shared" si="745"/>
        <v>#REF!</v>
      </c>
      <c r="CI89" s="6" t="str">
        <f t="shared" si="745"/>
        <v>#REF!</v>
      </c>
      <c r="CJ89" s="6">
        <v>0.0</v>
      </c>
      <c r="CK89" s="6">
        <v>0.0</v>
      </c>
      <c r="CL89" s="6">
        <v>0.0</v>
      </c>
      <c r="CM89" s="6">
        <v>0.0</v>
      </c>
      <c r="CN89" s="6">
        <v>0.0</v>
      </c>
      <c r="CO89" s="6">
        <v>0.0</v>
      </c>
      <c r="CP89" s="6">
        <v>0.0</v>
      </c>
      <c r="CQ89" s="6">
        <v>0.0</v>
      </c>
      <c r="CR89" s="6">
        <v>0.0</v>
      </c>
      <c r="CS89" s="6">
        <v>0.0</v>
      </c>
      <c r="CT89" s="6">
        <v>0.0</v>
      </c>
      <c r="CU89" s="6">
        <v>0.0</v>
      </c>
      <c r="CV89" s="6">
        <f t="shared" ref="CV89:CX89" si="746">+CP89+CS89+CJ89+CM89</f>
        <v>0</v>
      </c>
      <c r="CW89" s="6">
        <f t="shared" si="746"/>
        <v>0</v>
      </c>
      <c r="CX89" s="6">
        <f t="shared" si="746"/>
        <v>0</v>
      </c>
      <c r="CY89" s="6">
        <v>0.0</v>
      </c>
      <c r="CZ89" s="6">
        <v>0.0</v>
      </c>
      <c r="DA89" s="6">
        <v>0.0</v>
      </c>
      <c r="DB89" s="6">
        <v>0.0</v>
      </c>
      <c r="DC89" s="6">
        <v>0.0</v>
      </c>
      <c r="DD89" s="6">
        <v>0.0</v>
      </c>
      <c r="DE89" s="6">
        <v>0.0</v>
      </c>
      <c r="DF89" s="6">
        <v>0.0</v>
      </c>
      <c r="DG89" s="6">
        <v>0.0</v>
      </c>
      <c r="DH89" s="6">
        <v>0.0</v>
      </c>
      <c r="DI89" s="6">
        <v>0.0</v>
      </c>
      <c r="DJ89" s="6">
        <v>0.0</v>
      </c>
      <c r="DK89" s="6">
        <f t="shared" ref="DK89:DM89" si="747">+DE89+DH89+CY89+DB89</f>
        <v>0</v>
      </c>
      <c r="DL89" s="6">
        <f t="shared" si="747"/>
        <v>0</v>
      </c>
      <c r="DM89" s="6">
        <f t="shared" si="747"/>
        <v>0</v>
      </c>
      <c r="DN89" s="6" t="str">
        <f t="shared" ref="DN89:DP89" si="748">+P89+AE89+AT89+BI89+BU89+CG89+CV89</f>
        <v>#REF!</v>
      </c>
      <c r="DO89" s="6" t="str">
        <f t="shared" si="748"/>
        <v>#REF!</v>
      </c>
      <c r="DP89" s="6" t="str">
        <f t="shared" si="748"/>
        <v>#REF!</v>
      </c>
      <c r="DQ89" s="6" t="str">
        <f t="shared" si="19"/>
        <v>#REF!</v>
      </c>
    </row>
    <row r="90" ht="13.5" customHeight="1">
      <c r="A90" s="11">
        <v>45082.0</v>
      </c>
      <c r="B90" s="2" t="s">
        <v>413</v>
      </c>
      <c r="C90" s="2" t="s">
        <v>414</v>
      </c>
      <c r="D90" s="29" t="s">
        <v>415</v>
      </c>
      <c r="E90" s="2" t="s">
        <v>416</v>
      </c>
      <c r="F90" s="11" t="s">
        <v>417</v>
      </c>
      <c r="G90" s="11" t="s">
        <v>15</v>
      </c>
      <c r="H90" s="5">
        <v>4000000.0</v>
      </c>
      <c r="I90" s="5">
        <v>4000000.0</v>
      </c>
      <c r="J90" s="6">
        <v>0.0</v>
      </c>
      <c r="K90" s="6">
        <v>0.0</v>
      </c>
      <c r="L90" s="6">
        <v>0.0</v>
      </c>
      <c r="M90" s="6">
        <v>0.0</v>
      </c>
      <c r="N90" s="6">
        <v>0.0</v>
      </c>
      <c r="O90" s="6">
        <v>0.0</v>
      </c>
      <c r="P90" s="6">
        <f t="shared" ref="P90:R90" si="749">+J90+M90</f>
        <v>0</v>
      </c>
      <c r="Q90" s="6">
        <f t="shared" si="749"/>
        <v>0</v>
      </c>
      <c r="R90" s="6">
        <f t="shared" si="749"/>
        <v>0</v>
      </c>
      <c r="S90" s="6">
        <v>0.0</v>
      </c>
      <c r="T90" s="6">
        <v>0.0</v>
      </c>
      <c r="U90" s="6">
        <v>0.0</v>
      </c>
      <c r="V90" s="6">
        <v>0.0</v>
      </c>
      <c r="W90" s="6">
        <v>0.0</v>
      </c>
      <c r="X90" s="6">
        <v>0.0</v>
      </c>
      <c r="Y90" s="6">
        <v>0.0</v>
      </c>
      <c r="Z90" s="6">
        <v>0.0</v>
      </c>
      <c r="AA90" s="6">
        <v>0.0</v>
      </c>
      <c r="AB90" s="6">
        <v>0.0</v>
      </c>
      <c r="AC90" s="6">
        <v>0.0</v>
      </c>
      <c r="AD90" s="6">
        <v>0.0</v>
      </c>
      <c r="AE90" s="6">
        <f t="shared" ref="AE90:AG90" si="750">+Y90+AB90+S90+V90</f>
        <v>0</v>
      </c>
      <c r="AF90" s="6">
        <f t="shared" si="750"/>
        <v>0</v>
      </c>
      <c r="AG90" s="6">
        <f t="shared" si="750"/>
        <v>0</v>
      </c>
      <c r="AH90" s="6">
        <v>0.0</v>
      </c>
      <c r="AI90" s="6">
        <v>0.0</v>
      </c>
      <c r="AJ90" s="6">
        <v>0.0</v>
      </c>
      <c r="AK90" s="6">
        <v>0.0</v>
      </c>
      <c r="AL90" s="6">
        <v>0.0</v>
      </c>
      <c r="AM90" s="6">
        <v>0.0</v>
      </c>
      <c r="AN90" s="6">
        <v>0.0</v>
      </c>
      <c r="AO90" s="6">
        <v>0.0</v>
      </c>
      <c r="AP90" s="6">
        <v>0.0</v>
      </c>
      <c r="AQ90" s="6">
        <v>0.0</v>
      </c>
      <c r="AR90" s="6">
        <v>0.0</v>
      </c>
      <c r="AS90" s="6">
        <v>0.0</v>
      </c>
      <c r="AT90" s="6">
        <f t="shared" ref="AT90:AV90" si="751">+AN90+AQ90+AH90+AK90</f>
        <v>0</v>
      </c>
      <c r="AU90" s="6">
        <f t="shared" si="751"/>
        <v>0</v>
      </c>
      <c r="AV90" s="6">
        <f t="shared" si="751"/>
        <v>0</v>
      </c>
      <c r="AW90" s="6">
        <v>0.0</v>
      </c>
      <c r="AX90" s="6">
        <v>0.0</v>
      </c>
      <c r="AY90" s="6">
        <v>0.0</v>
      </c>
      <c r="AZ90" s="6">
        <v>0.0</v>
      </c>
      <c r="BA90" s="6">
        <v>0.0</v>
      </c>
      <c r="BB90" s="6">
        <v>0.0</v>
      </c>
      <c r="BC90" s="5">
        <v>4000000.0</v>
      </c>
      <c r="BD90" s="5">
        <v>4000000.0</v>
      </c>
      <c r="BE90" s="6">
        <v>0.0</v>
      </c>
      <c r="BF90" s="6">
        <v>0.0</v>
      </c>
      <c r="BG90" s="6">
        <v>0.0</v>
      </c>
      <c r="BH90" s="6">
        <v>1900000.0</v>
      </c>
      <c r="BI90" s="6">
        <f t="shared" ref="BI90:BK90" si="752">+BC90+BF90+AW90+AZ90</f>
        <v>4000000</v>
      </c>
      <c r="BJ90" s="6">
        <f t="shared" si="752"/>
        <v>4000000</v>
      </c>
      <c r="BK90" s="6">
        <f t="shared" si="752"/>
        <v>1900000</v>
      </c>
      <c r="BL90" s="6">
        <v>0.0</v>
      </c>
      <c r="BM90" s="6">
        <v>0.0</v>
      </c>
      <c r="BN90" s="6">
        <v>700000.0</v>
      </c>
      <c r="BO90" s="6">
        <v>0.0</v>
      </c>
      <c r="BP90" s="6">
        <v>0.0</v>
      </c>
      <c r="BQ90" s="6">
        <v>0.0</v>
      </c>
      <c r="BR90" s="6">
        <v>0.0</v>
      </c>
      <c r="BS90" s="6">
        <v>0.0</v>
      </c>
      <c r="BT90" s="6">
        <v>400000.0</v>
      </c>
      <c r="BU90" s="6" t="str">
        <f t="shared" ref="BU90:BW90" si="753">+BO90+BR90+#REF!+BL90</f>
        <v>#REF!</v>
      </c>
      <c r="BV90" s="6" t="str">
        <f t="shared" si="753"/>
        <v>#REF!</v>
      </c>
      <c r="BW90" s="6" t="str">
        <f t="shared" si="753"/>
        <v>#REF!</v>
      </c>
      <c r="BX90" s="6">
        <v>0.0</v>
      </c>
      <c r="BY90" s="6">
        <v>0.0</v>
      </c>
      <c r="BZ90" s="6">
        <v>0.0</v>
      </c>
      <c r="CA90" s="6">
        <v>0.0</v>
      </c>
      <c r="CB90" s="6">
        <v>0.0</v>
      </c>
      <c r="CC90" s="6">
        <v>0.0</v>
      </c>
      <c r="CD90" s="6">
        <v>0.0</v>
      </c>
      <c r="CE90" s="6">
        <v>0.0</v>
      </c>
      <c r="CF90" s="6">
        <v>0.0</v>
      </c>
      <c r="CG90" s="6" t="str">
        <f t="shared" ref="CG90:CI90" si="754">+CA90+CD90+BX90+#REF!</f>
        <v>#REF!</v>
      </c>
      <c r="CH90" s="6" t="str">
        <f t="shared" si="754"/>
        <v>#REF!</v>
      </c>
      <c r="CI90" s="6" t="str">
        <f t="shared" si="754"/>
        <v>#REF!</v>
      </c>
      <c r="CJ90" s="6">
        <v>0.0</v>
      </c>
      <c r="CK90" s="6">
        <v>0.0</v>
      </c>
      <c r="CL90" s="6">
        <v>0.0</v>
      </c>
      <c r="CM90" s="6">
        <v>0.0</v>
      </c>
      <c r="CN90" s="6">
        <v>0.0</v>
      </c>
      <c r="CO90" s="6">
        <v>0.0</v>
      </c>
      <c r="CP90" s="6">
        <v>0.0</v>
      </c>
      <c r="CQ90" s="6">
        <v>0.0</v>
      </c>
      <c r="CR90" s="6">
        <v>0.0</v>
      </c>
      <c r="CS90" s="6">
        <v>0.0</v>
      </c>
      <c r="CT90" s="6">
        <v>0.0</v>
      </c>
      <c r="CU90" s="6">
        <v>0.0</v>
      </c>
      <c r="CV90" s="6">
        <f t="shared" ref="CV90:CX90" si="755">+CP90+CS90+CJ90+CM90</f>
        <v>0</v>
      </c>
      <c r="CW90" s="6">
        <f t="shared" si="755"/>
        <v>0</v>
      </c>
      <c r="CX90" s="6">
        <f t="shared" si="755"/>
        <v>0</v>
      </c>
      <c r="CY90" s="6">
        <v>0.0</v>
      </c>
      <c r="CZ90" s="6">
        <v>0.0</v>
      </c>
      <c r="DA90" s="6">
        <v>0.0</v>
      </c>
      <c r="DB90" s="6">
        <v>0.0</v>
      </c>
      <c r="DC90" s="6">
        <v>0.0</v>
      </c>
      <c r="DD90" s="6">
        <v>0.0</v>
      </c>
      <c r="DE90" s="6">
        <v>0.0</v>
      </c>
      <c r="DF90" s="6">
        <v>0.0</v>
      </c>
      <c r="DG90" s="6">
        <v>0.0</v>
      </c>
      <c r="DH90" s="6">
        <v>0.0</v>
      </c>
      <c r="DI90" s="6">
        <v>0.0</v>
      </c>
      <c r="DJ90" s="6">
        <v>0.0</v>
      </c>
      <c r="DK90" s="6">
        <f t="shared" ref="DK90:DM90" si="756">+DE90+DH90+CY90+DB90</f>
        <v>0</v>
      </c>
      <c r="DL90" s="6">
        <f t="shared" si="756"/>
        <v>0</v>
      </c>
      <c r="DM90" s="6">
        <f t="shared" si="756"/>
        <v>0</v>
      </c>
      <c r="DN90" s="6" t="str">
        <f t="shared" ref="DN90:DP90" si="757">+P90+AE90+AT90+BI90+BU90+CG90+CV90</f>
        <v>#REF!</v>
      </c>
      <c r="DO90" s="6" t="str">
        <f t="shared" si="757"/>
        <v>#REF!</v>
      </c>
      <c r="DP90" s="6" t="str">
        <f t="shared" si="757"/>
        <v>#REF!</v>
      </c>
      <c r="DQ90" s="6" t="str">
        <f t="shared" si="19"/>
        <v>#REF!</v>
      </c>
    </row>
    <row r="91" ht="13.5" customHeight="1">
      <c r="A91" s="11">
        <v>45135.0</v>
      </c>
      <c r="B91" s="2" t="s">
        <v>418</v>
      </c>
      <c r="C91" s="2" t="s">
        <v>419</v>
      </c>
      <c r="D91" s="29" t="s">
        <v>420</v>
      </c>
      <c r="E91" s="34" t="s">
        <v>421</v>
      </c>
      <c r="F91" s="35" t="s">
        <v>422</v>
      </c>
      <c r="G91" s="11" t="s">
        <v>16</v>
      </c>
      <c r="H91" s="5">
        <v>1564650.0</v>
      </c>
      <c r="I91" s="5">
        <v>1564650.0</v>
      </c>
      <c r="J91" s="6">
        <v>0.0</v>
      </c>
      <c r="K91" s="6">
        <v>0.0</v>
      </c>
      <c r="L91" s="6">
        <v>0.0</v>
      </c>
      <c r="M91" s="6">
        <v>0.0</v>
      </c>
      <c r="N91" s="6">
        <v>0.0</v>
      </c>
      <c r="O91" s="6">
        <v>0.0</v>
      </c>
      <c r="P91" s="6">
        <f t="shared" ref="P91:R91" si="758">+J91+M91</f>
        <v>0</v>
      </c>
      <c r="Q91" s="6">
        <f t="shared" si="758"/>
        <v>0</v>
      </c>
      <c r="R91" s="6">
        <f t="shared" si="758"/>
        <v>0</v>
      </c>
      <c r="S91" s="6">
        <v>0.0</v>
      </c>
      <c r="T91" s="6">
        <v>0.0</v>
      </c>
      <c r="U91" s="6">
        <v>0.0</v>
      </c>
      <c r="V91" s="6">
        <v>0.0</v>
      </c>
      <c r="W91" s="6">
        <v>0.0</v>
      </c>
      <c r="X91" s="6">
        <v>0.0</v>
      </c>
      <c r="Y91" s="6">
        <v>0.0</v>
      </c>
      <c r="Z91" s="6">
        <v>0.0</v>
      </c>
      <c r="AA91" s="6">
        <v>0.0</v>
      </c>
      <c r="AB91" s="6">
        <v>0.0</v>
      </c>
      <c r="AC91" s="6">
        <v>0.0</v>
      </c>
      <c r="AD91" s="6">
        <v>0.0</v>
      </c>
      <c r="AE91" s="6">
        <f t="shared" ref="AE91:AG91" si="759">+Y91+AB91+S91+V91</f>
        <v>0</v>
      </c>
      <c r="AF91" s="6">
        <f t="shared" si="759"/>
        <v>0</v>
      </c>
      <c r="AG91" s="6">
        <f t="shared" si="759"/>
        <v>0</v>
      </c>
      <c r="AH91" s="6">
        <v>0.0</v>
      </c>
      <c r="AI91" s="6">
        <v>0.0</v>
      </c>
      <c r="AJ91" s="6">
        <v>0.0</v>
      </c>
      <c r="AK91" s="6">
        <v>0.0</v>
      </c>
      <c r="AL91" s="6">
        <v>0.0</v>
      </c>
      <c r="AM91" s="6">
        <v>0.0</v>
      </c>
      <c r="AN91" s="6">
        <v>0.0</v>
      </c>
      <c r="AO91" s="6">
        <v>0.0</v>
      </c>
      <c r="AP91" s="6">
        <v>0.0</v>
      </c>
      <c r="AQ91" s="6">
        <v>0.0</v>
      </c>
      <c r="AR91" s="6">
        <v>0.0</v>
      </c>
      <c r="AS91" s="6">
        <v>0.0</v>
      </c>
      <c r="AT91" s="6">
        <f t="shared" ref="AT91:AV91" si="760">+AN91+AQ91+AH91+AK91</f>
        <v>0</v>
      </c>
      <c r="AU91" s="6">
        <f t="shared" si="760"/>
        <v>0</v>
      </c>
      <c r="AV91" s="6">
        <f t="shared" si="760"/>
        <v>0</v>
      </c>
      <c r="AW91" s="6">
        <v>0.0</v>
      </c>
      <c r="AX91" s="6">
        <v>0.0</v>
      </c>
      <c r="AY91" s="6">
        <v>0.0</v>
      </c>
      <c r="AZ91" s="6">
        <v>0.0</v>
      </c>
      <c r="BA91" s="6">
        <v>0.0</v>
      </c>
      <c r="BB91" s="6">
        <v>0.0</v>
      </c>
      <c r="BC91" s="6">
        <v>0.0</v>
      </c>
      <c r="BD91" s="6">
        <v>0.0</v>
      </c>
      <c r="BE91" s="6">
        <v>0.0</v>
      </c>
      <c r="BF91" s="5">
        <v>1564650.0</v>
      </c>
      <c r="BG91" s="5">
        <v>1564650.0</v>
      </c>
      <c r="BH91" s="6">
        <v>0.0</v>
      </c>
      <c r="BI91" s="6">
        <f t="shared" ref="BI91:BK91" si="761">+BC91+BF91+AW91+AZ91</f>
        <v>1564650</v>
      </c>
      <c r="BJ91" s="6">
        <f t="shared" si="761"/>
        <v>1564650</v>
      </c>
      <c r="BK91" s="6">
        <f t="shared" si="761"/>
        <v>0</v>
      </c>
      <c r="BL91" s="6">
        <v>0.0</v>
      </c>
      <c r="BM91" s="6">
        <v>0.0</v>
      </c>
      <c r="BN91" s="6">
        <v>500000.0</v>
      </c>
      <c r="BO91" s="6">
        <v>0.0</v>
      </c>
      <c r="BP91" s="6">
        <v>0.0</v>
      </c>
      <c r="BQ91" s="6">
        <v>669650.0</v>
      </c>
      <c r="BR91" s="6">
        <v>0.0</v>
      </c>
      <c r="BS91" s="6">
        <v>0.0</v>
      </c>
      <c r="BT91" s="6">
        <v>0.0</v>
      </c>
      <c r="BU91" s="6" t="str">
        <f t="shared" ref="BU91:BW91" si="762">+BO91+BR91+#REF!+BL91</f>
        <v>#REF!</v>
      </c>
      <c r="BV91" s="6" t="str">
        <f t="shared" si="762"/>
        <v>#REF!</v>
      </c>
      <c r="BW91" s="6" t="str">
        <f t="shared" si="762"/>
        <v>#REF!</v>
      </c>
      <c r="BX91" s="6">
        <v>0.0</v>
      </c>
      <c r="BY91" s="6">
        <v>0.0</v>
      </c>
      <c r="BZ91" s="6">
        <v>0.0</v>
      </c>
      <c r="CA91" s="6">
        <v>0.0</v>
      </c>
      <c r="CB91" s="6">
        <v>0.0</v>
      </c>
      <c r="CC91" s="6">
        <v>0.0</v>
      </c>
      <c r="CD91" s="6">
        <v>0.0</v>
      </c>
      <c r="CE91" s="6">
        <v>0.0</v>
      </c>
      <c r="CF91" s="6">
        <v>0.0</v>
      </c>
      <c r="CG91" s="6" t="str">
        <f t="shared" ref="CG91:CI91" si="763">+CA91+CD91+BX91+#REF!</f>
        <v>#REF!</v>
      </c>
      <c r="CH91" s="6" t="str">
        <f t="shared" si="763"/>
        <v>#REF!</v>
      </c>
      <c r="CI91" s="6" t="str">
        <f t="shared" si="763"/>
        <v>#REF!</v>
      </c>
      <c r="CJ91" s="6">
        <v>0.0</v>
      </c>
      <c r="CK91" s="6">
        <v>0.0</v>
      </c>
      <c r="CL91" s="6">
        <v>0.0</v>
      </c>
      <c r="CM91" s="6">
        <v>0.0</v>
      </c>
      <c r="CN91" s="6">
        <v>0.0</v>
      </c>
      <c r="CO91" s="6">
        <v>0.0</v>
      </c>
      <c r="CP91" s="6">
        <v>0.0</v>
      </c>
      <c r="CQ91" s="6">
        <v>0.0</v>
      </c>
      <c r="CR91" s="6">
        <v>0.0</v>
      </c>
      <c r="CS91" s="6">
        <v>0.0</v>
      </c>
      <c r="CT91" s="6">
        <v>0.0</v>
      </c>
      <c r="CU91" s="6">
        <v>0.0</v>
      </c>
      <c r="CV91" s="6">
        <f t="shared" ref="CV91:CX91" si="764">+CP91+CS91+CJ91+CM91</f>
        <v>0</v>
      </c>
      <c r="CW91" s="6">
        <f t="shared" si="764"/>
        <v>0</v>
      </c>
      <c r="CX91" s="6">
        <f t="shared" si="764"/>
        <v>0</v>
      </c>
      <c r="CY91" s="6">
        <v>0.0</v>
      </c>
      <c r="CZ91" s="6">
        <v>0.0</v>
      </c>
      <c r="DA91" s="6">
        <v>0.0</v>
      </c>
      <c r="DB91" s="6">
        <v>0.0</v>
      </c>
      <c r="DC91" s="6">
        <v>0.0</v>
      </c>
      <c r="DD91" s="6">
        <v>0.0</v>
      </c>
      <c r="DE91" s="6">
        <v>0.0</v>
      </c>
      <c r="DF91" s="6">
        <v>0.0</v>
      </c>
      <c r="DG91" s="6">
        <v>0.0</v>
      </c>
      <c r="DH91" s="6">
        <v>0.0</v>
      </c>
      <c r="DI91" s="6">
        <v>0.0</v>
      </c>
      <c r="DJ91" s="6">
        <v>0.0</v>
      </c>
      <c r="DK91" s="6">
        <f t="shared" ref="DK91:DM91" si="765">+DE91+DH91+CY91+DB91</f>
        <v>0</v>
      </c>
      <c r="DL91" s="6">
        <f t="shared" si="765"/>
        <v>0</v>
      </c>
      <c r="DM91" s="6">
        <f t="shared" si="765"/>
        <v>0</v>
      </c>
      <c r="DN91" s="6" t="str">
        <f t="shared" ref="DN91:DP91" si="766">+P91+AE91+AT91+BI91+BU91+CG91+CV91</f>
        <v>#REF!</v>
      </c>
      <c r="DO91" s="6" t="str">
        <f t="shared" si="766"/>
        <v>#REF!</v>
      </c>
      <c r="DP91" s="6" t="str">
        <f t="shared" si="766"/>
        <v>#REF!</v>
      </c>
      <c r="DQ91" s="6" t="str">
        <f t="shared" si="19"/>
        <v>#REF!</v>
      </c>
    </row>
    <row r="92" ht="13.5" customHeight="1">
      <c r="A92" s="11">
        <v>45135.0</v>
      </c>
      <c r="B92" s="2" t="s">
        <v>418</v>
      </c>
      <c r="C92" s="2" t="s">
        <v>419</v>
      </c>
      <c r="D92" s="29" t="s">
        <v>420</v>
      </c>
      <c r="E92" s="34" t="s">
        <v>421</v>
      </c>
      <c r="F92" s="35" t="s">
        <v>422</v>
      </c>
      <c r="G92" s="11" t="s">
        <v>16</v>
      </c>
      <c r="H92" s="5">
        <v>145350.0</v>
      </c>
      <c r="I92" s="5">
        <v>145350.0</v>
      </c>
      <c r="J92" s="6">
        <v>0.0</v>
      </c>
      <c r="K92" s="6">
        <v>0.0</v>
      </c>
      <c r="L92" s="6">
        <v>0.0</v>
      </c>
      <c r="M92" s="6">
        <v>0.0</v>
      </c>
      <c r="N92" s="6">
        <v>0.0</v>
      </c>
      <c r="O92" s="6">
        <v>0.0</v>
      </c>
      <c r="P92" s="6">
        <f t="shared" ref="P92:R92" si="767">+J92+M92</f>
        <v>0</v>
      </c>
      <c r="Q92" s="6">
        <f t="shared" si="767"/>
        <v>0</v>
      </c>
      <c r="R92" s="6">
        <f t="shared" si="767"/>
        <v>0</v>
      </c>
      <c r="S92" s="6">
        <v>0.0</v>
      </c>
      <c r="T92" s="6">
        <v>0.0</v>
      </c>
      <c r="U92" s="6">
        <v>0.0</v>
      </c>
      <c r="V92" s="6">
        <v>0.0</v>
      </c>
      <c r="W92" s="6">
        <v>0.0</v>
      </c>
      <c r="X92" s="6">
        <v>0.0</v>
      </c>
      <c r="Y92" s="6">
        <v>0.0</v>
      </c>
      <c r="Z92" s="6">
        <v>0.0</v>
      </c>
      <c r="AA92" s="6">
        <v>0.0</v>
      </c>
      <c r="AB92" s="6">
        <v>0.0</v>
      </c>
      <c r="AC92" s="6">
        <v>0.0</v>
      </c>
      <c r="AD92" s="6">
        <v>0.0</v>
      </c>
      <c r="AE92" s="6">
        <f t="shared" ref="AE92:AG92" si="768">+Y92+AB92+S92+V92</f>
        <v>0</v>
      </c>
      <c r="AF92" s="6">
        <f t="shared" si="768"/>
        <v>0</v>
      </c>
      <c r="AG92" s="6">
        <f t="shared" si="768"/>
        <v>0</v>
      </c>
      <c r="AH92" s="6">
        <v>0.0</v>
      </c>
      <c r="AI92" s="6">
        <v>0.0</v>
      </c>
      <c r="AJ92" s="6">
        <v>0.0</v>
      </c>
      <c r="AK92" s="6">
        <v>0.0</v>
      </c>
      <c r="AL92" s="6">
        <v>0.0</v>
      </c>
      <c r="AM92" s="6">
        <v>0.0</v>
      </c>
      <c r="AN92" s="6">
        <v>0.0</v>
      </c>
      <c r="AO92" s="6">
        <v>0.0</v>
      </c>
      <c r="AP92" s="6">
        <v>0.0</v>
      </c>
      <c r="AQ92" s="6">
        <v>0.0</v>
      </c>
      <c r="AR92" s="6">
        <v>0.0</v>
      </c>
      <c r="AS92" s="6">
        <v>0.0</v>
      </c>
      <c r="AT92" s="6">
        <f t="shared" ref="AT92:AV92" si="769">+AN92+AQ92+AH92+AK92</f>
        <v>0</v>
      </c>
      <c r="AU92" s="6">
        <f t="shared" si="769"/>
        <v>0</v>
      </c>
      <c r="AV92" s="6">
        <f t="shared" si="769"/>
        <v>0</v>
      </c>
      <c r="AW92" s="6">
        <v>0.0</v>
      </c>
      <c r="AX92" s="6">
        <v>0.0</v>
      </c>
      <c r="AY92" s="6">
        <v>0.0</v>
      </c>
      <c r="AZ92" s="6">
        <v>0.0</v>
      </c>
      <c r="BA92" s="6">
        <v>0.0</v>
      </c>
      <c r="BB92" s="6">
        <v>0.0</v>
      </c>
      <c r="BC92" s="6">
        <v>0.0</v>
      </c>
      <c r="BD92" s="6">
        <v>0.0</v>
      </c>
      <c r="BE92" s="6">
        <v>0.0</v>
      </c>
      <c r="BF92" s="5">
        <v>145350.0</v>
      </c>
      <c r="BG92" s="5">
        <v>145350.0</v>
      </c>
      <c r="BH92" s="6">
        <v>0.0</v>
      </c>
      <c r="BI92" s="6">
        <f t="shared" ref="BI92:BK92" si="770">+BC92+BF92+AW92+AZ92</f>
        <v>145350</v>
      </c>
      <c r="BJ92" s="6">
        <f t="shared" si="770"/>
        <v>145350</v>
      </c>
      <c r="BK92" s="6">
        <f t="shared" si="770"/>
        <v>0</v>
      </c>
      <c r="BL92" s="6">
        <v>0.0</v>
      </c>
      <c r="BM92" s="6">
        <v>0.0</v>
      </c>
      <c r="BN92" s="6">
        <v>105350.0</v>
      </c>
      <c r="BO92" s="6">
        <v>0.0</v>
      </c>
      <c r="BP92" s="6">
        <v>0.0</v>
      </c>
      <c r="BQ92" s="6">
        <v>0.0</v>
      </c>
      <c r="BR92" s="6">
        <v>0.0</v>
      </c>
      <c r="BS92" s="6">
        <v>0.0</v>
      </c>
      <c r="BT92" s="6">
        <v>0.0</v>
      </c>
      <c r="BU92" s="6" t="str">
        <f t="shared" ref="BU92:BW92" si="771">+BO92+BR92+#REF!+BL92</f>
        <v>#REF!</v>
      </c>
      <c r="BV92" s="6" t="str">
        <f t="shared" si="771"/>
        <v>#REF!</v>
      </c>
      <c r="BW92" s="6" t="str">
        <f t="shared" si="771"/>
        <v>#REF!</v>
      </c>
      <c r="BX92" s="6">
        <v>0.0</v>
      </c>
      <c r="BY92" s="6">
        <v>0.0</v>
      </c>
      <c r="BZ92" s="6">
        <v>0.0</v>
      </c>
      <c r="CA92" s="6">
        <v>0.0</v>
      </c>
      <c r="CB92" s="6">
        <v>0.0</v>
      </c>
      <c r="CC92" s="6">
        <v>0.0</v>
      </c>
      <c r="CD92" s="6">
        <v>0.0</v>
      </c>
      <c r="CE92" s="6">
        <v>0.0</v>
      </c>
      <c r="CF92" s="6">
        <v>0.0</v>
      </c>
      <c r="CG92" s="6" t="str">
        <f t="shared" ref="CG92:CI92" si="772">+CA92+CD92+BX92+#REF!</f>
        <v>#REF!</v>
      </c>
      <c r="CH92" s="6" t="str">
        <f t="shared" si="772"/>
        <v>#REF!</v>
      </c>
      <c r="CI92" s="6" t="str">
        <f t="shared" si="772"/>
        <v>#REF!</v>
      </c>
      <c r="CJ92" s="6">
        <v>0.0</v>
      </c>
      <c r="CK92" s="6">
        <v>0.0</v>
      </c>
      <c r="CL92" s="6">
        <v>0.0</v>
      </c>
      <c r="CM92" s="6">
        <v>0.0</v>
      </c>
      <c r="CN92" s="6">
        <v>0.0</v>
      </c>
      <c r="CO92" s="6">
        <v>0.0</v>
      </c>
      <c r="CP92" s="6">
        <v>0.0</v>
      </c>
      <c r="CQ92" s="6">
        <v>0.0</v>
      </c>
      <c r="CR92" s="6">
        <v>0.0</v>
      </c>
      <c r="CS92" s="6">
        <v>0.0</v>
      </c>
      <c r="CT92" s="6">
        <v>0.0</v>
      </c>
      <c r="CU92" s="6">
        <v>0.0</v>
      </c>
      <c r="CV92" s="6">
        <f t="shared" ref="CV92:CX92" si="773">+CP92+CS92+CJ92+CM92</f>
        <v>0</v>
      </c>
      <c r="CW92" s="6">
        <f t="shared" si="773"/>
        <v>0</v>
      </c>
      <c r="CX92" s="6">
        <f t="shared" si="773"/>
        <v>0</v>
      </c>
      <c r="CY92" s="6">
        <v>0.0</v>
      </c>
      <c r="CZ92" s="6">
        <v>0.0</v>
      </c>
      <c r="DA92" s="6">
        <v>0.0</v>
      </c>
      <c r="DB92" s="6">
        <v>0.0</v>
      </c>
      <c r="DC92" s="6">
        <v>0.0</v>
      </c>
      <c r="DD92" s="6">
        <v>0.0</v>
      </c>
      <c r="DE92" s="6">
        <v>0.0</v>
      </c>
      <c r="DF92" s="6">
        <v>0.0</v>
      </c>
      <c r="DG92" s="6">
        <v>0.0</v>
      </c>
      <c r="DH92" s="6">
        <v>0.0</v>
      </c>
      <c r="DI92" s="6">
        <v>0.0</v>
      </c>
      <c r="DJ92" s="6">
        <v>0.0</v>
      </c>
      <c r="DK92" s="6">
        <f t="shared" ref="DK92:DM92" si="774">+DE92+DH92+CY92+DB92</f>
        <v>0</v>
      </c>
      <c r="DL92" s="6">
        <f t="shared" si="774"/>
        <v>0</v>
      </c>
      <c r="DM92" s="6">
        <f t="shared" si="774"/>
        <v>0</v>
      </c>
      <c r="DN92" s="6" t="str">
        <f t="shared" ref="DN92:DP92" si="775">+P92+AE92+AT92+BI92+BU92+CG92+CV92</f>
        <v>#REF!</v>
      </c>
      <c r="DO92" s="6" t="str">
        <f t="shared" si="775"/>
        <v>#REF!</v>
      </c>
      <c r="DP92" s="6" t="str">
        <f t="shared" si="775"/>
        <v>#REF!</v>
      </c>
      <c r="DQ92" s="6" t="str">
        <f t="shared" si="19"/>
        <v>#REF!</v>
      </c>
    </row>
    <row r="93" ht="13.5" customHeight="1">
      <c r="A93" s="11">
        <v>45133.0</v>
      </c>
      <c r="B93" s="2" t="s">
        <v>423</v>
      </c>
      <c r="C93" s="2" t="s">
        <v>424</v>
      </c>
      <c r="D93" s="29" t="s">
        <v>425</v>
      </c>
      <c r="E93" s="2" t="s">
        <v>426</v>
      </c>
      <c r="F93" s="11" t="s">
        <v>427</v>
      </c>
      <c r="G93" s="11" t="s">
        <v>16</v>
      </c>
      <c r="H93" s="5">
        <v>500000.0</v>
      </c>
      <c r="I93" s="5">
        <v>500000.0</v>
      </c>
      <c r="J93" s="6">
        <v>0.0</v>
      </c>
      <c r="K93" s="6">
        <v>0.0</v>
      </c>
      <c r="L93" s="6">
        <v>0.0</v>
      </c>
      <c r="M93" s="6">
        <v>0.0</v>
      </c>
      <c r="N93" s="6">
        <v>0.0</v>
      </c>
      <c r="O93" s="6">
        <v>0.0</v>
      </c>
      <c r="P93" s="6">
        <f t="shared" ref="P93:R93" si="776">+J93+M93</f>
        <v>0</v>
      </c>
      <c r="Q93" s="6">
        <f t="shared" si="776"/>
        <v>0</v>
      </c>
      <c r="R93" s="6">
        <f t="shared" si="776"/>
        <v>0</v>
      </c>
      <c r="S93" s="6">
        <v>0.0</v>
      </c>
      <c r="T93" s="6">
        <v>0.0</v>
      </c>
      <c r="U93" s="6">
        <v>0.0</v>
      </c>
      <c r="V93" s="6">
        <v>0.0</v>
      </c>
      <c r="W93" s="6">
        <v>0.0</v>
      </c>
      <c r="X93" s="6">
        <v>0.0</v>
      </c>
      <c r="Y93" s="6">
        <v>0.0</v>
      </c>
      <c r="Z93" s="6">
        <v>0.0</v>
      </c>
      <c r="AA93" s="6">
        <v>0.0</v>
      </c>
      <c r="AB93" s="6">
        <v>0.0</v>
      </c>
      <c r="AC93" s="6">
        <v>0.0</v>
      </c>
      <c r="AD93" s="6">
        <v>0.0</v>
      </c>
      <c r="AE93" s="6">
        <f t="shared" ref="AE93:AG93" si="777">+Y93+AB93+S93+V93</f>
        <v>0</v>
      </c>
      <c r="AF93" s="6">
        <f t="shared" si="777"/>
        <v>0</v>
      </c>
      <c r="AG93" s="6">
        <f t="shared" si="777"/>
        <v>0</v>
      </c>
      <c r="AH93" s="6">
        <v>0.0</v>
      </c>
      <c r="AI93" s="6">
        <v>0.0</v>
      </c>
      <c r="AJ93" s="6">
        <v>0.0</v>
      </c>
      <c r="AK93" s="6">
        <v>0.0</v>
      </c>
      <c r="AL93" s="6">
        <v>0.0</v>
      </c>
      <c r="AM93" s="6">
        <v>0.0</v>
      </c>
      <c r="AN93" s="6">
        <v>0.0</v>
      </c>
      <c r="AO93" s="6">
        <v>0.0</v>
      </c>
      <c r="AP93" s="6">
        <v>0.0</v>
      </c>
      <c r="AQ93" s="6">
        <v>0.0</v>
      </c>
      <c r="AR93" s="6">
        <v>0.0</v>
      </c>
      <c r="AS93" s="6">
        <v>0.0</v>
      </c>
      <c r="AT93" s="6">
        <f t="shared" ref="AT93:AV93" si="778">+AN93+AQ93+AH93+AK93</f>
        <v>0</v>
      </c>
      <c r="AU93" s="6">
        <f t="shared" si="778"/>
        <v>0</v>
      </c>
      <c r="AV93" s="6">
        <f t="shared" si="778"/>
        <v>0</v>
      </c>
      <c r="AW93" s="6">
        <v>0.0</v>
      </c>
      <c r="AX93" s="6">
        <v>0.0</v>
      </c>
      <c r="AY93" s="6">
        <v>0.0</v>
      </c>
      <c r="AZ93" s="6">
        <v>0.0</v>
      </c>
      <c r="BA93" s="6">
        <v>0.0</v>
      </c>
      <c r="BB93" s="6">
        <v>0.0</v>
      </c>
      <c r="BC93" s="6">
        <v>0.0</v>
      </c>
      <c r="BD93" s="6">
        <v>0.0</v>
      </c>
      <c r="BE93" s="6">
        <v>0.0</v>
      </c>
      <c r="BF93" s="5">
        <v>500000.0</v>
      </c>
      <c r="BG93" s="5">
        <v>500000.0</v>
      </c>
      <c r="BH93" s="6">
        <v>0.0</v>
      </c>
      <c r="BI93" s="6">
        <f t="shared" ref="BI93:BK93" si="779">+BC93+BF93+AW93+AZ93</f>
        <v>500000</v>
      </c>
      <c r="BJ93" s="6">
        <f t="shared" si="779"/>
        <v>500000</v>
      </c>
      <c r="BK93" s="6">
        <f t="shared" si="779"/>
        <v>0</v>
      </c>
      <c r="BL93" s="6">
        <v>0.0</v>
      </c>
      <c r="BM93" s="6">
        <v>0.0</v>
      </c>
      <c r="BN93" s="6">
        <v>250000.0</v>
      </c>
      <c r="BO93" s="6">
        <v>0.0</v>
      </c>
      <c r="BP93" s="6">
        <v>0.0</v>
      </c>
      <c r="BQ93" s="6">
        <v>0.0</v>
      </c>
      <c r="BR93" s="6">
        <v>0.0</v>
      </c>
      <c r="BS93" s="6">
        <v>0.0</v>
      </c>
      <c r="BT93" s="6">
        <v>0.0</v>
      </c>
      <c r="BU93" s="6" t="str">
        <f t="shared" ref="BU93:BW93" si="780">+BO93+BR93+#REF!+BL93</f>
        <v>#REF!</v>
      </c>
      <c r="BV93" s="6" t="str">
        <f t="shared" si="780"/>
        <v>#REF!</v>
      </c>
      <c r="BW93" s="6" t="str">
        <f t="shared" si="780"/>
        <v>#REF!</v>
      </c>
      <c r="BX93" s="6">
        <v>0.0</v>
      </c>
      <c r="BY93" s="6">
        <v>0.0</v>
      </c>
      <c r="BZ93" s="6">
        <v>0.0</v>
      </c>
      <c r="CA93" s="6">
        <v>0.0</v>
      </c>
      <c r="CB93" s="6">
        <v>0.0</v>
      </c>
      <c r="CC93" s="6">
        <v>0.0</v>
      </c>
      <c r="CD93" s="6">
        <v>0.0</v>
      </c>
      <c r="CE93" s="6">
        <v>0.0</v>
      </c>
      <c r="CF93" s="6">
        <v>0.0</v>
      </c>
      <c r="CG93" s="6" t="str">
        <f t="shared" ref="CG93:CI93" si="781">+CA93+CD93+BX93+#REF!</f>
        <v>#REF!</v>
      </c>
      <c r="CH93" s="6" t="str">
        <f t="shared" si="781"/>
        <v>#REF!</v>
      </c>
      <c r="CI93" s="6" t="str">
        <f t="shared" si="781"/>
        <v>#REF!</v>
      </c>
      <c r="CJ93" s="6">
        <v>0.0</v>
      </c>
      <c r="CK93" s="6">
        <v>0.0</v>
      </c>
      <c r="CL93" s="6">
        <v>0.0</v>
      </c>
      <c r="CM93" s="6">
        <v>0.0</v>
      </c>
      <c r="CN93" s="6">
        <v>0.0</v>
      </c>
      <c r="CO93" s="6">
        <v>0.0</v>
      </c>
      <c r="CP93" s="6">
        <v>0.0</v>
      </c>
      <c r="CQ93" s="6">
        <v>0.0</v>
      </c>
      <c r="CR93" s="6">
        <v>0.0</v>
      </c>
      <c r="CS93" s="6">
        <v>0.0</v>
      </c>
      <c r="CT93" s="6">
        <v>0.0</v>
      </c>
      <c r="CU93" s="6">
        <v>0.0</v>
      </c>
      <c r="CV93" s="6">
        <f t="shared" ref="CV93:CX93" si="782">+CP93+CS93+CJ93+CM93</f>
        <v>0</v>
      </c>
      <c r="CW93" s="6">
        <f t="shared" si="782"/>
        <v>0</v>
      </c>
      <c r="CX93" s="6">
        <f t="shared" si="782"/>
        <v>0</v>
      </c>
      <c r="CY93" s="6">
        <v>0.0</v>
      </c>
      <c r="CZ93" s="6">
        <v>0.0</v>
      </c>
      <c r="DA93" s="6">
        <v>0.0</v>
      </c>
      <c r="DB93" s="6">
        <v>0.0</v>
      </c>
      <c r="DC93" s="6">
        <v>0.0</v>
      </c>
      <c r="DD93" s="6">
        <v>0.0</v>
      </c>
      <c r="DE93" s="6">
        <v>0.0</v>
      </c>
      <c r="DF93" s="6">
        <v>0.0</v>
      </c>
      <c r="DG93" s="6">
        <v>0.0</v>
      </c>
      <c r="DH93" s="6">
        <v>0.0</v>
      </c>
      <c r="DI93" s="6">
        <v>0.0</v>
      </c>
      <c r="DJ93" s="6">
        <v>0.0</v>
      </c>
      <c r="DK93" s="6">
        <f t="shared" ref="DK93:DM93" si="783">+DE93+DH93+CY93+DB93</f>
        <v>0</v>
      </c>
      <c r="DL93" s="6">
        <f t="shared" si="783"/>
        <v>0</v>
      </c>
      <c r="DM93" s="6">
        <f t="shared" si="783"/>
        <v>0</v>
      </c>
      <c r="DN93" s="6" t="str">
        <f t="shared" ref="DN93:DP93" si="784">+P93+AE93+AT93+BI93+BU93+CG93+CV93</f>
        <v>#REF!</v>
      </c>
      <c r="DO93" s="6" t="str">
        <f t="shared" si="784"/>
        <v>#REF!</v>
      </c>
      <c r="DP93" s="6" t="str">
        <f t="shared" si="784"/>
        <v>#REF!</v>
      </c>
      <c r="DQ93" s="6" t="str">
        <f t="shared" si="19"/>
        <v>#REF!</v>
      </c>
    </row>
    <row r="94" ht="13.5" customHeight="1">
      <c r="A94" s="11">
        <v>45135.0</v>
      </c>
      <c r="B94" s="2" t="s">
        <v>428</v>
      </c>
      <c r="C94" s="2" t="s">
        <v>429</v>
      </c>
      <c r="D94" s="29" t="s">
        <v>430</v>
      </c>
      <c r="E94" s="2" t="s">
        <v>431</v>
      </c>
      <c r="F94" s="11" t="s">
        <v>427</v>
      </c>
      <c r="G94" s="11" t="s">
        <v>16</v>
      </c>
      <c r="H94" s="5">
        <v>4100000.0</v>
      </c>
      <c r="I94" s="5">
        <v>4100000.0</v>
      </c>
      <c r="J94" s="6">
        <v>0.0</v>
      </c>
      <c r="K94" s="6">
        <v>0.0</v>
      </c>
      <c r="L94" s="6">
        <v>0.0</v>
      </c>
      <c r="M94" s="6">
        <v>0.0</v>
      </c>
      <c r="N94" s="6">
        <v>0.0</v>
      </c>
      <c r="O94" s="6">
        <v>0.0</v>
      </c>
      <c r="P94" s="6">
        <f t="shared" ref="P94:R94" si="785">+J94+M94</f>
        <v>0</v>
      </c>
      <c r="Q94" s="6">
        <f t="shared" si="785"/>
        <v>0</v>
      </c>
      <c r="R94" s="6">
        <f t="shared" si="785"/>
        <v>0</v>
      </c>
      <c r="S94" s="6">
        <v>0.0</v>
      </c>
      <c r="T94" s="6">
        <v>0.0</v>
      </c>
      <c r="U94" s="6">
        <v>0.0</v>
      </c>
      <c r="V94" s="6">
        <v>0.0</v>
      </c>
      <c r="W94" s="6">
        <v>0.0</v>
      </c>
      <c r="X94" s="6">
        <v>0.0</v>
      </c>
      <c r="Y94" s="6">
        <v>0.0</v>
      </c>
      <c r="Z94" s="6">
        <v>0.0</v>
      </c>
      <c r="AA94" s="6">
        <v>0.0</v>
      </c>
      <c r="AB94" s="6">
        <v>0.0</v>
      </c>
      <c r="AC94" s="6">
        <v>0.0</v>
      </c>
      <c r="AD94" s="6">
        <v>0.0</v>
      </c>
      <c r="AE94" s="6">
        <f t="shared" ref="AE94:AG94" si="786">+Y94+AB94+S94+V94</f>
        <v>0</v>
      </c>
      <c r="AF94" s="6">
        <f t="shared" si="786"/>
        <v>0</v>
      </c>
      <c r="AG94" s="6">
        <f t="shared" si="786"/>
        <v>0</v>
      </c>
      <c r="AH94" s="6">
        <v>0.0</v>
      </c>
      <c r="AI94" s="6">
        <v>0.0</v>
      </c>
      <c r="AJ94" s="6">
        <v>0.0</v>
      </c>
      <c r="AK94" s="6">
        <v>0.0</v>
      </c>
      <c r="AL94" s="6">
        <v>0.0</v>
      </c>
      <c r="AM94" s="6">
        <v>0.0</v>
      </c>
      <c r="AN94" s="6">
        <v>0.0</v>
      </c>
      <c r="AO94" s="6">
        <v>0.0</v>
      </c>
      <c r="AP94" s="6">
        <v>0.0</v>
      </c>
      <c r="AQ94" s="6">
        <v>0.0</v>
      </c>
      <c r="AR94" s="6">
        <v>0.0</v>
      </c>
      <c r="AS94" s="6">
        <v>0.0</v>
      </c>
      <c r="AT94" s="6">
        <f t="shared" ref="AT94:AV94" si="787">+AN94+AQ94+AH94+AK94</f>
        <v>0</v>
      </c>
      <c r="AU94" s="6">
        <f t="shared" si="787"/>
        <v>0</v>
      </c>
      <c r="AV94" s="6">
        <f t="shared" si="787"/>
        <v>0</v>
      </c>
      <c r="AW94" s="6">
        <v>0.0</v>
      </c>
      <c r="AX94" s="6">
        <v>0.0</v>
      </c>
      <c r="AY94" s="6">
        <v>0.0</v>
      </c>
      <c r="AZ94" s="6">
        <v>0.0</v>
      </c>
      <c r="BA94" s="6">
        <v>0.0</v>
      </c>
      <c r="BB94" s="6">
        <v>0.0</v>
      </c>
      <c r="BC94" s="6">
        <v>0.0</v>
      </c>
      <c r="BD94" s="6">
        <v>0.0</v>
      </c>
      <c r="BE94" s="6">
        <v>0.0</v>
      </c>
      <c r="BF94" s="5">
        <v>4100000.0</v>
      </c>
      <c r="BG94" s="5">
        <v>4100000.0</v>
      </c>
      <c r="BH94" s="6">
        <v>0.0</v>
      </c>
      <c r="BI94" s="6">
        <f t="shared" ref="BI94:BK94" si="788">+BC94+BF94+AW94+AZ94</f>
        <v>4100000</v>
      </c>
      <c r="BJ94" s="6">
        <f t="shared" si="788"/>
        <v>4100000</v>
      </c>
      <c r="BK94" s="6">
        <f t="shared" si="788"/>
        <v>0</v>
      </c>
      <c r="BL94" s="6">
        <v>0.0</v>
      </c>
      <c r="BM94" s="6">
        <v>0.0</v>
      </c>
      <c r="BN94" s="6">
        <v>500000.0</v>
      </c>
      <c r="BO94" s="6">
        <v>0.0</v>
      </c>
      <c r="BP94" s="6">
        <v>0.0</v>
      </c>
      <c r="BQ94" s="6">
        <v>0.0</v>
      </c>
      <c r="BR94" s="6">
        <v>0.0</v>
      </c>
      <c r="BS94" s="6">
        <v>0.0</v>
      </c>
      <c r="BT94" s="6">
        <v>1500000.0</v>
      </c>
      <c r="BU94" s="6" t="str">
        <f t="shared" ref="BU94:BW94" si="789">+BO94+BR94+#REF!+BL94</f>
        <v>#REF!</v>
      </c>
      <c r="BV94" s="6" t="str">
        <f t="shared" si="789"/>
        <v>#REF!</v>
      </c>
      <c r="BW94" s="6" t="str">
        <f t="shared" si="789"/>
        <v>#REF!</v>
      </c>
      <c r="BX94" s="6">
        <v>0.0</v>
      </c>
      <c r="BY94" s="6">
        <v>0.0</v>
      </c>
      <c r="BZ94" s="6">
        <v>1000000.0</v>
      </c>
      <c r="CA94" s="6">
        <v>0.0</v>
      </c>
      <c r="CB94" s="6">
        <v>0.0</v>
      </c>
      <c r="CC94" s="6">
        <v>0.0</v>
      </c>
      <c r="CD94" s="6">
        <v>0.0</v>
      </c>
      <c r="CE94" s="6">
        <v>0.0</v>
      </c>
      <c r="CF94" s="6">
        <v>0.0</v>
      </c>
      <c r="CG94" s="6" t="str">
        <f t="shared" ref="CG94:CI94" si="790">+CA94+CD94+BX94+#REF!</f>
        <v>#REF!</v>
      </c>
      <c r="CH94" s="6" t="str">
        <f t="shared" si="790"/>
        <v>#REF!</v>
      </c>
      <c r="CI94" s="6" t="str">
        <f t="shared" si="790"/>
        <v>#REF!</v>
      </c>
      <c r="CJ94" s="6">
        <v>0.0</v>
      </c>
      <c r="CK94" s="6">
        <v>0.0</v>
      </c>
      <c r="CL94" s="6">
        <v>0.0</v>
      </c>
      <c r="CM94" s="6">
        <v>0.0</v>
      </c>
      <c r="CN94" s="6">
        <v>0.0</v>
      </c>
      <c r="CO94" s="6">
        <v>0.0</v>
      </c>
      <c r="CP94" s="6">
        <v>0.0</v>
      </c>
      <c r="CQ94" s="6">
        <v>0.0</v>
      </c>
      <c r="CR94" s="6">
        <v>0.0</v>
      </c>
      <c r="CS94" s="6">
        <v>0.0</v>
      </c>
      <c r="CT94" s="6">
        <v>0.0</v>
      </c>
      <c r="CU94" s="6">
        <v>0.0</v>
      </c>
      <c r="CV94" s="6">
        <f t="shared" ref="CV94:CX94" si="791">+CP94+CS94+CJ94+CM94</f>
        <v>0</v>
      </c>
      <c r="CW94" s="6">
        <f t="shared" si="791"/>
        <v>0</v>
      </c>
      <c r="CX94" s="6">
        <f t="shared" si="791"/>
        <v>0</v>
      </c>
      <c r="CY94" s="6">
        <v>0.0</v>
      </c>
      <c r="CZ94" s="6">
        <v>0.0</v>
      </c>
      <c r="DA94" s="6">
        <v>0.0</v>
      </c>
      <c r="DB94" s="6">
        <v>0.0</v>
      </c>
      <c r="DC94" s="6">
        <v>0.0</v>
      </c>
      <c r="DD94" s="6">
        <v>0.0</v>
      </c>
      <c r="DE94" s="6">
        <v>0.0</v>
      </c>
      <c r="DF94" s="6">
        <v>0.0</v>
      </c>
      <c r="DG94" s="6">
        <v>0.0</v>
      </c>
      <c r="DH94" s="6">
        <v>0.0</v>
      </c>
      <c r="DI94" s="6">
        <v>0.0</v>
      </c>
      <c r="DJ94" s="6">
        <v>0.0</v>
      </c>
      <c r="DK94" s="6">
        <f t="shared" ref="DK94:DM94" si="792">+DE94+DH94+CY94+DB94</f>
        <v>0</v>
      </c>
      <c r="DL94" s="6">
        <f t="shared" si="792"/>
        <v>0</v>
      </c>
      <c r="DM94" s="6">
        <f t="shared" si="792"/>
        <v>0</v>
      </c>
      <c r="DN94" s="6" t="str">
        <f t="shared" ref="DN94:DP94" si="793">+P94+AE94+AT94+BI94+BU94+CG94+CV94</f>
        <v>#REF!</v>
      </c>
      <c r="DO94" s="6" t="str">
        <f t="shared" si="793"/>
        <v>#REF!</v>
      </c>
      <c r="DP94" s="6" t="str">
        <f t="shared" si="793"/>
        <v>#REF!</v>
      </c>
      <c r="DQ94" s="6" t="str">
        <f t="shared" si="19"/>
        <v>#REF!</v>
      </c>
    </row>
    <row r="95" ht="13.5" customHeight="1">
      <c r="A95" s="11">
        <v>45142.0</v>
      </c>
      <c r="B95" s="2" t="s">
        <v>432</v>
      </c>
      <c r="C95" s="2" t="s">
        <v>433</v>
      </c>
      <c r="D95" s="29" t="s">
        <v>434</v>
      </c>
      <c r="E95" s="2" t="s">
        <v>435</v>
      </c>
      <c r="F95" s="11" t="s">
        <v>436</v>
      </c>
      <c r="G95" s="11" t="s">
        <v>16</v>
      </c>
      <c r="H95" s="5">
        <v>3000000.0</v>
      </c>
      <c r="I95" s="5">
        <v>3000000.0</v>
      </c>
      <c r="J95" s="6">
        <v>0.0</v>
      </c>
      <c r="K95" s="6">
        <v>0.0</v>
      </c>
      <c r="L95" s="6">
        <v>0.0</v>
      </c>
      <c r="M95" s="6">
        <v>0.0</v>
      </c>
      <c r="N95" s="6">
        <v>0.0</v>
      </c>
      <c r="O95" s="6">
        <v>0.0</v>
      </c>
      <c r="P95" s="6">
        <f t="shared" ref="P95:R95" si="794">+J95+M95</f>
        <v>0</v>
      </c>
      <c r="Q95" s="6">
        <f t="shared" si="794"/>
        <v>0</v>
      </c>
      <c r="R95" s="6">
        <f t="shared" si="794"/>
        <v>0</v>
      </c>
      <c r="S95" s="6">
        <v>0.0</v>
      </c>
      <c r="T95" s="6">
        <v>0.0</v>
      </c>
      <c r="U95" s="6">
        <v>0.0</v>
      </c>
      <c r="V95" s="6">
        <v>0.0</v>
      </c>
      <c r="W95" s="6">
        <v>0.0</v>
      </c>
      <c r="X95" s="6">
        <v>0.0</v>
      </c>
      <c r="Y95" s="6">
        <v>0.0</v>
      </c>
      <c r="Z95" s="6">
        <v>0.0</v>
      </c>
      <c r="AA95" s="6">
        <v>0.0</v>
      </c>
      <c r="AB95" s="6">
        <v>0.0</v>
      </c>
      <c r="AC95" s="6">
        <v>0.0</v>
      </c>
      <c r="AD95" s="6">
        <v>0.0</v>
      </c>
      <c r="AE95" s="6">
        <f t="shared" ref="AE95:AG95" si="795">+Y95+AB95+S95+V95</f>
        <v>0</v>
      </c>
      <c r="AF95" s="6">
        <f t="shared" si="795"/>
        <v>0</v>
      </c>
      <c r="AG95" s="6">
        <f t="shared" si="795"/>
        <v>0</v>
      </c>
      <c r="AH95" s="6">
        <v>0.0</v>
      </c>
      <c r="AI95" s="6">
        <v>0.0</v>
      </c>
      <c r="AJ95" s="6">
        <v>0.0</v>
      </c>
      <c r="AK95" s="6">
        <v>0.0</v>
      </c>
      <c r="AL95" s="6">
        <v>0.0</v>
      </c>
      <c r="AM95" s="6">
        <v>0.0</v>
      </c>
      <c r="AN95" s="6">
        <v>0.0</v>
      </c>
      <c r="AO95" s="6">
        <v>0.0</v>
      </c>
      <c r="AP95" s="6">
        <v>0.0</v>
      </c>
      <c r="AQ95" s="6">
        <v>0.0</v>
      </c>
      <c r="AR95" s="6">
        <v>0.0</v>
      </c>
      <c r="AS95" s="6">
        <v>0.0</v>
      </c>
      <c r="AT95" s="6">
        <f t="shared" ref="AT95:AV95" si="796">+AN95+AQ95+AH95+AK95</f>
        <v>0</v>
      </c>
      <c r="AU95" s="6">
        <f t="shared" si="796"/>
        <v>0</v>
      </c>
      <c r="AV95" s="6">
        <f t="shared" si="796"/>
        <v>0</v>
      </c>
      <c r="AW95" s="6">
        <v>0.0</v>
      </c>
      <c r="AX95" s="6">
        <v>0.0</v>
      </c>
      <c r="AY95" s="6">
        <v>0.0</v>
      </c>
      <c r="AZ95" s="6">
        <v>0.0</v>
      </c>
      <c r="BA95" s="6">
        <v>0.0</v>
      </c>
      <c r="BB95" s="6">
        <v>0.0</v>
      </c>
      <c r="BC95" s="6">
        <v>0.0</v>
      </c>
      <c r="BD95" s="6">
        <v>0.0</v>
      </c>
      <c r="BE95" s="6">
        <v>0.0</v>
      </c>
      <c r="BF95" s="5">
        <v>3000000.0</v>
      </c>
      <c r="BG95" s="5">
        <v>3000000.0</v>
      </c>
      <c r="BH95" s="6">
        <v>0.0</v>
      </c>
      <c r="BI95" s="6">
        <f t="shared" ref="BI95:BK95" si="797">+BC95+BF95+AW95+AZ95</f>
        <v>3000000</v>
      </c>
      <c r="BJ95" s="6">
        <f t="shared" si="797"/>
        <v>3000000</v>
      </c>
      <c r="BK95" s="6">
        <f t="shared" si="797"/>
        <v>0</v>
      </c>
      <c r="BL95" s="6">
        <v>0.0</v>
      </c>
      <c r="BM95" s="6">
        <v>0.0</v>
      </c>
      <c r="BN95" s="6">
        <v>500000.0</v>
      </c>
      <c r="BO95" s="6">
        <v>0.0</v>
      </c>
      <c r="BP95" s="6">
        <v>0.0</v>
      </c>
      <c r="BQ95" s="6">
        <v>500000.0</v>
      </c>
      <c r="BR95" s="6">
        <v>0.0</v>
      </c>
      <c r="BS95" s="6">
        <v>0.0</v>
      </c>
      <c r="BT95" s="6">
        <v>900000.0</v>
      </c>
      <c r="BU95" s="6" t="str">
        <f t="shared" ref="BU95:BW95" si="798">+BO95+BR95+#REF!+BL95</f>
        <v>#REF!</v>
      </c>
      <c r="BV95" s="6" t="str">
        <f t="shared" si="798"/>
        <v>#REF!</v>
      </c>
      <c r="BW95" s="6" t="str">
        <f t="shared" si="798"/>
        <v>#REF!</v>
      </c>
      <c r="BX95" s="6">
        <v>0.0</v>
      </c>
      <c r="BY95" s="6">
        <v>0.0</v>
      </c>
      <c r="BZ95" s="6">
        <v>600000.0</v>
      </c>
      <c r="CA95" s="6">
        <v>0.0</v>
      </c>
      <c r="CB95" s="6">
        <v>0.0</v>
      </c>
      <c r="CC95" s="6">
        <v>0.0</v>
      </c>
      <c r="CD95" s="6">
        <v>0.0</v>
      </c>
      <c r="CE95" s="6">
        <v>0.0</v>
      </c>
      <c r="CF95" s="6">
        <v>0.0</v>
      </c>
      <c r="CG95" s="6" t="str">
        <f t="shared" ref="CG95:CI95" si="799">+CA95+CD95+BX95+#REF!</f>
        <v>#REF!</v>
      </c>
      <c r="CH95" s="6" t="str">
        <f t="shared" si="799"/>
        <v>#REF!</v>
      </c>
      <c r="CI95" s="6" t="str">
        <f t="shared" si="799"/>
        <v>#REF!</v>
      </c>
      <c r="CJ95" s="6">
        <v>0.0</v>
      </c>
      <c r="CK95" s="6">
        <v>0.0</v>
      </c>
      <c r="CL95" s="6">
        <v>0.0</v>
      </c>
      <c r="CM95" s="6">
        <v>0.0</v>
      </c>
      <c r="CN95" s="6">
        <v>0.0</v>
      </c>
      <c r="CO95" s="6">
        <v>0.0</v>
      </c>
      <c r="CP95" s="6">
        <v>0.0</v>
      </c>
      <c r="CQ95" s="6">
        <v>0.0</v>
      </c>
      <c r="CR95" s="6">
        <v>0.0</v>
      </c>
      <c r="CS95" s="6">
        <v>0.0</v>
      </c>
      <c r="CT95" s="6">
        <v>0.0</v>
      </c>
      <c r="CU95" s="6">
        <v>0.0</v>
      </c>
      <c r="CV95" s="6">
        <f t="shared" ref="CV95:CX95" si="800">+CP95+CS95+CJ95+CM95</f>
        <v>0</v>
      </c>
      <c r="CW95" s="6">
        <f t="shared" si="800"/>
        <v>0</v>
      </c>
      <c r="CX95" s="6">
        <f t="shared" si="800"/>
        <v>0</v>
      </c>
      <c r="CY95" s="6">
        <v>0.0</v>
      </c>
      <c r="CZ95" s="6">
        <v>0.0</v>
      </c>
      <c r="DA95" s="6">
        <v>0.0</v>
      </c>
      <c r="DB95" s="6">
        <v>0.0</v>
      </c>
      <c r="DC95" s="6">
        <v>0.0</v>
      </c>
      <c r="DD95" s="6">
        <v>0.0</v>
      </c>
      <c r="DE95" s="6">
        <v>0.0</v>
      </c>
      <c r="DF95" s="6">
        <v>0.0</v>
      </c>
      <c r="DG95" s="6">
        <v>0.0</v>
      </c>
      <c r="DH95" s="6">
        <v>0.0</v>
      </c>
      <c r="DI95" s="6">
        <v>0.0</v>
      </c>
      <c r="DJ95" s="6">
        <v>0.0</v>
      </c>
      <c r="DK95" s="6">
        <f t="shared" ref="DK95:DM95" si="801">+DE95+DH95+CY95+DB95</f>
        <v>0</v>
      </c>
      <c r="DL95" s="6">
        <f t="shared" si="801"/>
        <v>0</v>
      </c>
      <c r="DM95" s="6">
        <f t="shared" si="801"/>
        <v>0</v>
      </c>
      <c r="DN95" s="6" t="str">
        <f t="shared" ref="DN95:DP95" si="802">+P95+AE95+AT95+BI95+BU95+CG95+CV95</f>
        <v>#REF!</v>
      </c>
      <c r="DO95" s="6" t="str">
        <f t="shared" si="802"/>
        <v>#REF!</v>
      </c>
      <c r="DP95" s="6" t="str">
        <f t="shared" si="802"/>
        <v>#REF!</v>
      </c>
      <c r="DQ95" s="6" t="str">
        <f t="shared" si="19"/>
        <v>#REF!</v>
      </c>
    </row>
    <row r="96" ht="13.5" customHeight="1">
      <c r="A96" s="11">
        <v>45161.0</v>
      </c>
      <c r="B96" s="2" t="s">
        <v>437</v>
      </c>
      <c r="C96" s="2" t="s">
        <v>438</v>
      </c>
      <c r="D96" s="29" t="s">
        <v>439</v>
      </c>
      <c r="E96" s="33" t="s">
        <v>440</v>
      </c>
      <c r="F96" s="35" t="s">
        <v>441</v>
      </c>
      <c r="G96" s="11" t="s">
        <v>16</v>
      </c>
      <c r="H96" s="5">
        <v>1300000.0</v>
      </c>
      <c r="I96" s="5">
        <v>1300000.0</v>
      </c>
      <c r="J96" s="6">
        <v>0.0</v>
      </c>
      <c r="K96" s="6">
        <v>0.0</v>
      </c>
      <c r="L96" s="6">
        <v>0.0</v>
      </c>
      <c r="M96" s="6">
        <v>0.0</v>
      </c>
      <c r="N96" s="6">
        <v>0.0</v>
      </c>
      <c r="O96" s="6">
        <v>0.0</v>
      </c>
      <c r="P96" s="6">
        <f t="shared" ref="P96:R96" si="803">+J96+M96</f>
        <v>0</v>
      </c>
      <c r="Q96" s="6">
        <f t="shared" si="803"/>
        <v>0</v>
      </c>
      <c r="R96" s="6">
        <f t="shared" si="803"/>
        <v>0</v>
      </c>
      <c r="S96" s="6">
        <v>0.0</v>
      </c>
      <c r="T96" s="6">
        <v>0.0</v>
      </c>
      <c r="U96" s="6">
        <v>0.0</v>
      </c>
      <c r="V96" s="6">
        <v>0.0</v>
      </c>
      <c r="W96" s="6">
        <v>0.0</v>
      </c>
      <c r="X96" s="6">
        <v>0.0</v>
      </c>
      <c r="Y96" s="6">
        <v>0.0</v>
      </c>
      <c r="Z96" s="6">
        <v>0.0</v>
      </c>
      <c r="AA96" s="6">
        <v>0.0</v>
      </c>
      <c r="AB96" s="6">
        <v>0.0</v>
      </c>
      <c r="AC96" s="6">
        <v>0.0</v>
      </c>
      <c r="AD96" s="6">
        <v>0.0</v>
      </c>
      <c r="AE96" s="6">
        <f t="shared" ref="AE96:AG96" si="804">+Y96+AB96+S96+V96</f>
        <v>0</v>
      </c>
      <c r="AF96" s="6">
        <f t="shared" si="804"/>
        <v>0</v>
      </c>
      <c r="AG96" s="6">
        <f t="shared" si="804"/>
        <v>0</v>
      </c>
      <c r="AH96" s="6">
        <v>0.0</v>
      </c>
      <c r="AI96" s="6">
        <v>0.0</v>
      </c>
      <c r="AJ96" s="6">
        <v>0.0</v>
      </c>
      <c r="AK96" s="6">
        <v>0.0</v>
      </c>
      <c r="AL96" s="6">
        <v>0.0</v>
      </c>
      <c r="AM96" s="6">
        <v>0.0</v>
      </c>
      <c r="AN96" s="6">
        <v>0.0</v>
      </c>
      <c r="AO96" s="6">
        <v>0.0</v>
      </c>
      <c r="AP96" s="6">
        <v>0.0</v>
      </c>
      <c r="AQ96" s="6">
        <v>0.0</v>
      </c>
      <c r="AR96" s="6">
        <v>0.0</v>
      </c>
      <c r="AS96" s="6">
        <v>0.0</v>
      </c>
      <c r="AT96" s="6">
        <f t="shared" ref="AT96:AV96" si="805">+AN96+AQ96+AH96+AK96</f>
        <v>0</v>
      </c>
      <c r="AU96" s="6">
        <f t="shared" si="805"/>
        <v>0</v>
      </c>
      <c r="AV96" s="6">
        <f t="shared" si="805"/>
        <v>0</v>
      </c>
      <c r="AW96" s="6">
        <v>0.0</v>
      </c>
      <c r="AX96" s="6">
        <v>0.0</v>
      </c>
      <c r="AY96" s="6">
        <v>0.0</v>
      </c>
      <c r="AZ96" s="6">
        <v>0.0</v>
      </c>
      <c r="BA96" s="6">
        <v>0.0</v>
      </c>
      <c r="BB96" s="6">
        <v>0.0</v>
      </c>
      <c r="BC96" s="6">
        <v>0.0</v>
      </c>
      <c r="BD96" s="6">
        <v>0.0</v>
      </c>
      <c r="BE96" s="6">
        <v>0.0</v>
      </c>
      <c r="BF96" s="5">
        <v>1300000.0</v>
      </c>
      <c r="BG96" s="5">
        <v>1300000.0</v>
      </c>
      <c r="BH96" s="6">
        <v>0.0</v>
      </c>
      <c r="BI96" s="6">
        <f t="shared" ref="BI96:BK96" si="806">+BC96+BF96+AW96+AZ96</f>
        <v>1300000</v>
      </c>
      <c r="BJ96" s="6">
        <f t="shared" si="806"/>
        <v>1300000</v>
      </c>
      <c r="BK96" s="6">
        <f t="shared" si="806"/>
        <v>0</v>
      </c>
      <c r="BL96" s="6">
        <v>0.0</v>
      </c>
      <c r="BM96" s="6">
        <v>0.0</v>
      </c>
      <c r="BN96" s="6">
        <v>300000.0</v>
      </c>
      <c r="BO96" s="6">
        <v>0.0</v>
      </c>
      <c r="BP96" s="6">
        <v>0.0</v>
      </c>
      <c r="BQ96" s="6">
        <v>0.0</v>
      </c>
      <c r="BR96" s="6">
        <v>0.0</v>
      </c>
      <c r="BS96" s="6">
        <v>0.0</v>
      </c>
      <c r="BT96" s="6">
        <v>350000.0</v>
      </c>
      <c r="BU96" s="6" t="str">
        <f t="shared" ref="BU96:BW96" si="807">+BO96+BR96+#REF!+BL96</f>
        <v>#REF!</v>
      </c>
      <c r="BV96" s="6" t="str">
        <f t="shared" si="807"/>
        <v>#REF!</v>
      </c>
      <c r="BW96" s="6" t="str">
        <f t="shared" si="807"/>
        <v>#REF!</v>
      </c>
      <c r="BX96" s="6">
        <v>0.0</v>
      </c>
      <c r="BY96" s="6">
        <v>0.0</v>
      </c>
      <c r="BZ96" s="6">
        <v>0.0</v>
      </c>
      <c r="CA96" s="6">
        <v>0.0</v>
      </c>
      <c r="CB96" s="6">
        <v>0.0</v>
      </c>
      <c r="CC96" s="6">
        <v>0.0</v>
      </c>
      <c r="CD96" s="6">
        <v>0.0</v>
      </c>
      <c r="CE96" s="6">
        <v>0.0</v>
      </c>
      <c r="CF96" s="6">
        <v>0.0</v>
      </c>
      <c r="CG96" s="6" t="str">
        <f t="shared" ref="CG96:CI96" si="808">+CA96+CD96+BX96+#REF!</f>
        <v>#REF!</v>
      </c>
      <c r="CH96" s="6" t="str">
        <f t="shared" si="808"/>
        <v>#REF!</v>
      </c>
      <c r="CI96" s="6" t="str">
        <f t="shared" si="808"/>
        <v>#REF!</v>
      </c>
      <c r="CJ96" s="6">
        <v>0.0</v>
      </c>
      <c r="CK96" s="6">
        <v>0.0</v>
      </c>
      <c r="CL96" s="6">
        <v>0.0</v>
      </c>
      <c r="CM96" s="6">
        <v>0.0</v>
      </c>
      <c r="CN96" s="6">
        <v>0.0</v>
      </c>
      <c r="CO96" s="6">
        <v>0.0</v>
      </c>
      <c r="CP96" s="6">
        <v>0.0</v>
      </c>
      <c r="CQ96" s="6">
        <v>0.0</v>
      </c>
      <c r="CR96" s="6">
        <v>0.0</v>
      </c>
      <c r="CS96" s="6">
        <v>0.0</v>
      </c>
      <c r="CT96" s="6">
        <v>0.0</v>
      </c>
      <c r="CU96" s="6">
        <v>0.0</v>
      </c>
      <c r="CV96" s="6">
        <f t="shared" ref="CV96:CX96" si="809">+CP96+CS96+CJ96+CM96</f>
        <v>0</v>
      </c>
      <c r="CW96" s="6">
        <f t="shared" si="809"/>
        <v>0</v>
      </c>
      <c r="CX96" s="6">
        <f t="shared" si="809"/>
        <v>0</v>
      </c>
      <c r="CY96" s="6">
        <v>0.0</v>
      </c>
      <c r="CZ96" s="6">
        <v>0.0</v>
      </c>
      <c r="DA96" s="6">
        <v>0.0</v>
      </c>
      <c r="DB96" s="6">
        <v>0.0</v>
      </c>
      <c r="DC96" s="6">
        <v>0.0</v>
      </c>
      <c r="DD96" s="6">
        <v>0.0</v>
      </c>
      <c r="DE96" s="6">
        <v>0.0</v>
      </c>
      <c r="DF96" s="6">
        <v>0.0</v>
      </c>
      <c r="DG96" s="6">
        <v>0.0</v>
      </c>
      <c r="DH96" s="6">
        <v>0.0</v>
      </c>
      <c r="DI96" s="6">
        <v>0.0</v>
      </c>
      <c r="DJ96" s="6">
        <v>0.0</v>
      </c>
      <c r="DK96" s="6">
        <f t="shared" ref="DK96:DM96" si="810">+DE96+DH96+CY96+DB96</f>
        <v>0</v>
      </c>
      <c r="DL96" s="6">
        <f t="shared" si="810"/>
        <v>0</v>
      </c>
      <c r="DM96" s="6">
        <f t="shared" si="810"/>
        <v>0</v>
      </c>
      <c r="DN96" s="6" t="str">
        <f t="shared" ref="DN96:DP96" si="811">+P96+AE96+AT96+BI96+BU96+CG96+CV96</f>
        <v>#REF!</v>
      </c>
      <c r="DO96" s="6" t="str">
        <f t="shared" si="811"/>
        <v>#REF!</v>
      </c>
      <c r="DP96" s="6" t="str">
        <f t="shared" si="811"/>
        <v>#REF!</v>
      </c>
      <c r="DQ96" s="6" t="str">
        <f t="shared" si="19"/>
        <v>#REF!</v>
      </c>
    </row>
    <row r="97" ht="13.5" customHeight="1">
      <c r="A97" s="11">
        <v>45161.0</v>
      </c>
      <c r="B97" s="2" t="s">
        <v>437</v>
      </c>
      <c r="C97" s="2" t="s">
        <v>438</v>
      </c>
      <c r="D97" s="29" t="s">
        <v>439</v>
      </c>
      <c r="E97" s="33" t="s">
        <v>440</v>
      </c>
      <c r="F97" s="35" t="s">
        <v>441</v>
      </c>
      <c r="G97" s="11" t="s">
        <v>16</v>
      </c>
      <c r="H97" s="5">
        <v>1834250.0</v>
      </c>
      <c r="I97" s="5">
        <v>1834250.0</v>
      </c>
      <c r="J97" s="6">
        <v>0.0</v>
      </c>
      <c r="K97" s="6">
        <v>0.0</v>
      </c>
      <c r="L97" s="6">
        <v>0.0</v>
      </c>
      <c r="M97" s="6">
        <v>0.0</v>
      </c>
      <c r="N97" s="6">
        <v>0.0</v>
      </c>
      <c r="O97" s="6">
        <v>0.0</v>
      </c>
      <c r="P97" s="6">
        <f t="shared" ref="P97:R97" si="812">+J97+M97</f>
        <v>0</v>
      </c>
      <c r="Q97" s="6">
        <f t="shared" si="812"/>
        <v>0</v>
      </c>
      <c r="R97" s="6">
        <f t="shared" si="812"/>
        <v>0</v>
      </c>
      <c r="S97" s="6">
        <v>0.0</v>
      </c>
      <c r="T97" s="6">
        <v>0.0</v>
      </c>
      <c r="U97" s="6">
        <v>0.0</v>
      </c>
      <c r="V97" s="6">
        <v>0.0</v>
      </c>
      <c r="W97" s="6">
        <v>0.0</v>
      </c>
      <c r="X97" s="6">
        <v>0.0</v>
      </c>
      <c r="Y97" s="6">
        <v>0.0</v>
      </c>
      <c r="Z97" s="6">
        <v>0.0</v>
      </c>
      <c r="AA97" s="6">
        <v>0.0</v>
      </c>
      <c r="AB97" s="6">
        <v>0.0</v>
      </c>
      <c r="AC97" s="6">
        <v>0.0</v>
      </c>
      <c r="AD97" s="6">
        <v>0.0</v>
      </c>
      <c r="AE97" s="6">
        <f t="shared" ref="AE97:AG97" si="813">+Y97+AB97+S97+V97</f>
        <v>0</v>
      </c>
      <c r="AF97" s="6">
        <f t="shared" si="813"/>
        <v>0</v>
      </c>
      <c r="AG97" s="6">
        <f t="shared" si="813"/>
        <v>0</v>
      </c>
      <c r="AH97" s="6">
        <v>0.0</v>
      </c>
      <c r="AI97" s="6">
        <v>0.0</v>
      </c>
      <c r="AJ97" s="6">
        <v>0.0</v>
      </c>
      <c r="AK97" s="6">
        <v>0.0</v>
      </c>
      <c r="AL97" s="6">
        <v>0.0</v>
      </c>
      <c r="AM97" s="6">
        <v>0.0</v>
      </c>
      <c r="AN97" s="6">
        <v>0.0</v>
      </c>
      <c r="AO97" s="6">
        <v>0.0</v>
      </c>
      <c r="AP97" s="6">
        <v>0.0</v>
      </c>
      <c r="AQ97" s="6">
        <v>0.0</v>
      </c>
      <c r="AR97" s="6">
        <v>0.0</v>
      </c>
      <c r="AS97" s="6">
        <v>0.0</v>
      </c>
      <c r="AT97" s="6">
        <f t="shared" ref="AT97:AV97" si="814">+AN97+AQ97+AH97+AK97</f>
        <v>0</v>
      </c>
      <c r="AU97" s="6">
        <f t="shared" si="814"/>
        <v>0</v>
      </c>
      <c r="AV97" s="6">
        <f t="shared" si="814"/>
        <v>0</v>
      </c>
      <c r="AW97" s="6">
        <v>0.0</v>
      </c>
      <c r="AX97" s="6">
        <v>0.0</v>
      </c>
      <c r="AY97" s="6">
        <v>0.0</v>
      </c>
      <c r="AZ97" s="6">
        <v>0.0</v>
      </c>
      <c r="BA97" s="6">
        <v>0.0</v>
      </c>
      <c r="BB97" s="6">
        <v>0.0</v>
      </c>
      <c r="BC97" s="6">
        <v>0.0</v>
      </c>
      <c r="BD97" s="6">
        <v>0.0</v>
      </c>
      <c r="BE97" s="6">
        <v>0.0</v>
      </c>
      <c r="BF97" s="5">
        <v>1834250.0</v>
      </c>
      <c r="BG97" s="5">
        <v>1834250.0</v>
      </c>
      <c r="BH97" s="6">
        <v>0.0</v>
      </c>
      <c r="BI97" s="6">
        <f t="shared" ref="BI97:BK97" si="815">+BC97+BF97+AW97+AZ97</f>
        <v>1834250</v>
      </c>
      <c r="BJ97" s="6">
        <f t="shared" si="815"/>
        <v>1834250</v>
      </c>
      <c r="BK97" s="6">
        <f t="shared" si="815"/>
        <v>0</v>
      </c>
      <c r="BL97" s="6">
        <v>0.0</v>
      </c>
      <c r="BM97" s="6">
        <v>0.0</v>
      </c>
      <c r="BN97" s="6">
        <v>500000.0</v>
      </c>
      <c r="BO97" s="6">
        <v>0.0</v>
      </c>
      <c r="BP97" s="6">
        <v>0.0</v>
      </c>
      <c r="BQ97" s="6">
        <v>434250.0</v>
      </c>
      <c r="BR97" s="6">
        <v>0.0</v>
      </c>
      <c r="BS97" s="6">
        <v>0.0</v>
      </c>
      <c r="BT97" s="6">
        <v>0.0</v>
      </c>
      <c r="BU97" s="6" t="str">
        <f t="shared" ref="BU97:BW97" si="816">+BO97+BR97+#REF!+BL97</f>
        <v>#REF!</v>
      </c>
      <c r="BV97" s="6" t="str">
        <f t="shared" si="816"/>
        <v>#REF!</v>
      </c>
      <c r="BW97" s="6" t="str">
        <f t="shared" si="816"/>
        <v>#REF!</v>
      </c>
      <c r="BX97" s="6">
        <v>0.0</v>
      </c>
      <c r="BY97" s="6">
        <v>0.0</v>
      </c>
      <c r="BZ97" s="6">
        <v>0.0</v>
      </c>
      <c r="CA97" s="6">
        <v>0.0</v>
      </c>
      <c r="CB97" s="6">
        <v>0.0</v>
      </c>
      <c r="CC97" s="6">
        <v>0.0</v>
      </c>
      <c r="CD97" s="6">
        <v>0.0</v>
      </c>
      <c r="CE97" s="6">
        <v>0.0</v>
      </c>
      <c r="CF97" s="6">
        <v>0.0</v>
      </c>
      <c r="CG97" s="6" t="str">
        <f t="shared" ref="CG97:CI97" si="817">+CA97+CD97+BX97+#REF!</f>
        <v>#REF!</v>
      </c>
      <c r="CH97" s="6" t="str">
        <f t="shared" si="817"/>
        <v>#REF!</v>
      </c>
      <c r="CI97" s="6" t="str">
        <f t="shared" si="817"/>
        <v>#REF!</v>
      </c>
      <c r="CJ97" s="6">
        <v>0.0</v>
      </c>
      <c r="CK97" s="6">
        <v>0.0</v>
      </c>
      <c r="CL97" s="6">
        <v>0.0</v>
      </c>
      <c r="CM97" s="6">
        <v>0.0</v>
      </c>
      <c r="CN97" s="6">
        <v>0.0</v>
      </c>
      <c r="CO97" s="6">
        <v>0.0</v>
      </c>
      <c r="CP97" s="6">
        <v>0.0</v>
      </c>
      <c r="CQ97" s="6">
        <v>0.0</v>
      </c>
      <c r="CR97" s="6">
        <v>0.0</v>
      </c>
      <c r="CS97" s="6">
        <v>0.0</v>
      </c>
      <c r="CT97" s="6">
        <v>0.0</v>
      </c>
      <c r="CU97" s="6">
        <v>0.0</v>
      </c>
      <c r="CV97" s="6">
        <f t="shared" ref="CV97:CX97" si="818">+CP97+CS97+CJ97+CM97</f>
        <v>0</v>
      </c>
      <c r="CW97" s="6">
        <f t="shared" si="818"/>
        <v>0</v>
      </c>
      <c r="CX97" s="6">
        <f t="shared" si="818"/>
        <v>0</v>
      </c>
      <c r="CY97" s="6">
        <v>0.0</v>
      </c>
      <c r="CZ97" s="6">
        <v>0.0</v>
      </c>
      <c r="DA97" s="6">
        <v>0.0</v>
      </c>
      <c r="DB97" s="6">
        <v>0.0</v>
      </c>
      <c r="DC97" s="6">
        <v>0.0</v>
      </c>
      <c r="DD97" s="6">
        <v>0.0</v>
      </c>
      <c r="DE97" s="6">
        <v>0.0</v>
      </c>
      <c r="DF97" s="6">
        <v>0.0</v>
      </c>
      <c r="DG97" s="6">
        <v>0.0</v>
      </c>
      <c r="DH97" s="6">
        <v>0.0</v>
      </c>
      <c r="DI97" s="6">
        <v>0.0</v>
      </c>
      <c r="DJ97" s="6">
        <v>0.0</v>
      </c>
      <c r="DK97" s="6">
        <f t="shared" ref="DK97:DM97" si="819">+DE97+DH97+CY97+DB97</f>
        <v>0</v>
      </c>
      <c r="DL97" s="6">
        <f t="shared" si="819"/>
        <v>0</v>
      </c>
      <c r="DM97" s="6">
        <f t="shared" si="819"/>
        <v>0</v>
      </c>
      <c r="DN97" s="6" t="str">
        <f t="shared" ref="DN97:DP97" si="820">+P97+AE97+AT97+BI97+BU97+CG97+CV97</f>
        <v>#REF!</v>
      </c>
      <c r="DO97" s="6" t="str">
        <f t="shared" si="820"/>
        <v>#REF!</v>
      </c>
      <c r="DP97" s="6" t="str">
        <f t="shared" si="820"/>
        <v>#REF!</v>
      </c>
      <c r="DQ97" s="6" t="str">
        <f t="shared" si="19"/>
        <v>#REF!</v>
      </c>
    </row>
    <row r="98" ht="13.5" customHeight="1">
      <c r="A98" s="11">
        <v>45181.0</v>
      </c>
      <c r="B98" s="2" t="s">
        <v>442</v>
      </c>
      <c r="C98" s="2" t="s">
        <v>443</v>
      </c>
      <c r="D98" s="29" t="s">
        <v>444</v>
      </c>
      <c r="E98" s="2" t="s">
        <v>445</v>
      </c>
      <c r="F98" s="11" t="s">
        <v>446</v>
      </c>
      <c r="G98" s="11" t="s">
        <v>16</v>
      </c>
      <c r="H98" s="5">
        <v>385000.0</v>
      </c>
      <c r="I98" s="5">
        <v>385000.0</v>
      </c>
      <c r="J98" s="6">
        <v>0.0</v>
      </c>
      <c r="K98" s="6">
        <v>0.0</v>
      </c>
      <c r="L98" s="6">
        <v>0.0</v>
      </c>
      <c r="M98" s="6">
        <v>0.0</v>
      </c>
      <c r="N98" s="6">
        <v>0.0</v>
      </c>
      <c r="O98" s="6">
        <v>0.0</v>
      </c>
      <c r="P98" s="6">
        <f t="shared" ref="P98:R98" si="821">+J98+M98</f>
        <v>0</v>
      </c>
      <c r="Q98" s="6">
        <f t="shared" si="821"/>
        <v>0</v>
      </c>
      <c r="R98" s="6">
        <f t="shared" si="821"/>
        <v>0</v>
      </c>
      <c r="S98" s="6">
        <v>0.0</v>
      </c>
      <c r="T98" s="6">
        <v>0.0</v>
      </c>
      <c r="U98" s="6">
        <v>0.0</v>
      </c>
      <c r="V98" s="6">
        <v>0.0</v>
      </c>
      <c r="W98" s="6">
        <v>0.0</v>
      </c>
      <c r="X98" s="6">
        <v>0.0</v>
      </c>
      <c r="Y98" s="6">
        <v>0.0</v>
      </c>
      <c r="Z98" s="6">
        <v>0.0</v>
      </c>
      <c r="AA98" s="6">
        <v>0.0</v>
      </c>
      <c r="AB98" s="6">
        <v>0.0</v>
      </c>
      <c r="AC98" s="6">
        <v>0.0</v>
      </c>
      <c r="AD98" s="6">
        <v>0.0</v>
      </c>
      <c r="AE98" s="6">
        <f t="shared" ref="AE98:AG98" si="822">+Y98+AB98+S98+V98</f>
        <v>0</v>
      </c>
      <c r="AF98" s="6">
        <f t="shared" si="822"/>
        <v>0</v>
      </c>
      <c r="AG98" s="6">
        <f t="shared" si="822"/>
        <v>0</v>
      </c>
      <c r="AH98" s="6">
        <v>0.0</v>
      </c>
      <c r="AI98" s="6">
        <v>0.0</v>
      </c>
      <c r="AJ98" s="6">
        <v>0.0</v>
      </c>
      <c r="AK98" s="6">
        <v>0.0</v>
      </c>
      <c r="AL98" s="6">
        <v>0.0</v>
      </c>
      <c r="AM98" s="6">
        <v>0.0</v>
      </c>
      <c r="AN98" s="6">
        <v>0.0</v>
      </c>
      <c r="AO98" s="6">
        <v>0.0</v>
      </c>
      <c r="AP98" s="6">
        <v>0.0</v>
      </c>
      <c r="AQ98" s="6">
        <v>0.0</v>
      </c>
      <c r="AR98" s="6">
        <v>0.0</v>
      </c>
      <c r="AS98" s="6">
        <v>0.0</v>
      </c>
      <c r="AT98" s="6">
        <f t="shared" ref="AT98:AV98" si="823">+AN98+AQ98+AH98+AK98</f>
        <v>0</v>
      </c>
      <c r="AU98" s="6">
        <f t="shared" si="823"/>
        <v>0</v>
      </c>
      <c r="AV98" s="6">
        <f t="shared" si="823"/>
        <v>0</v>
      </c>
      <c r="AW98" s="6">
        <v>0.0</v>
      </c>
      <c r="AX98" s="6">
        <v>0.0</v>
      </c>
      <c r="AY98" s="6">
        <v>0.0</v>
      </c>
      <c r="AZ98" s="6">
        <v>0.0</v>
      </c>
      <c r="BA98" s="6">
        <v>0.0</v>
      </c>
      <c r="BB98" s="6">
        <v>0.0</v>
      </c>
      <c r="BC98" s="6">
        <v>0.0</v>
      </c>
      <c r="BD98" s="6">
        <v>0.0</v>
      </c>
      <c r="BE98" s="6">
        <v>0.0</v>
      </c>
      <c r="BF98" s="5">
        <v>385000.0</v>
      </c>
      <c r="BG98" s="5">
        <v>385000.0</v>
      </c>
      <c r="BH98" s="6">
        <v>0.0</v>
      </c>
      <c r="BI98" s="6">
        <f t="shared" ref="BI98:BK98" si="824">+BC98+BF98+AW98+AZ98</f>
        <v>385000</v>
      </c>
      <c r="BJ98" s="6">
        <f t="shared" si="824"/>
        <v>385000</v>
      </c>
      <c r="BK98" s="6">
        <f t="shared" si="824"/>
        <v>0</v>
      </c>
      <c r="BL98" s="6">
        <v>0.0</v>
      </c>
      <c r="BM98" s="6">
        <v>0.0</v>
      </c>
      <c r="BN98" s="6">
        <v>215000.0</v>
      </c>
      <c r="BO98" s="6">
        <v>0.0</v>
      </c>
      <c r="BP98" s="6">
        <v>0.0</v>
      </c>
      <c r="BQ98" s="6">
        <v>0.0</v>
      </c>
      <c r="BR98" s="6">
        <v>0.0</v>
      </c>
      <c r="BS98" s="6">
        <v>0.0</v>
      </c>
      <c r="BT98" s="6">
        <v>170000.0</v>
      </c>
      <c r="BU98" s="6" t="str">
        <f t="shared" ref="BU98:BW98" si="825">+BO98+BR98+#REF!+BL98</f>
        <v>#REF!</v>
      </c>
      <c r="BV98" s="6" t="str">
        <f t="shared" si="825"/>
        <v>#REF!</v>
      </c>
      <c r="BW98" s="6" t="str">
        <f t="shared" si="825"/>
        <v>#REF!</v>
      </c>
      <c r="BX98" s="6">
        <v>0.0</v>
      </c>
      <c r="BY98" s="6">
        <v>0.0</v>
      </c>
      <c r="BZ98" s="6">
        <v>0.0</v>
      </c>
      <c r="CA98" s="6">
        <v>0.0</v>
      </c>
      <c r="CB98" s="6">
        <v>0.0</v>
      </c>
      <c r="CC98" s="6">
        <v>0.0</v>
      </c>
      <c r="CD98" s="6">
        <v>0.0</v>
      </c>
      <c r="CE98" s="6">
        <v>0.0</v>
      </c>
      <c r="CF98" s="6">
        <v>0.0</v>
      </c>
      <c r="CG98" s="6" t="str">
        <f t="shared" ref="CG98:CI98" si="826">+CA98+CD98+BX98+#REF!</f>
        <v>#REF!</v>
      </c>
      <c r="CH98" s="6" t="str">
        <f t="shared" si="826"/>
        <v>#REF!</v>
      </c>
      <c r="CI98" s="6" t="str">
        <f t="shared" si="826"/>
        <v>#REF!</v>
      </c>
      <c r="CJ98" s="6">
        <v>0.0</v>
      </c>
      <c r="CK98" s="6">
        <v>0.0</v>
      </c>
      <c r="CL98" s="6">
        <v>0.0</v>
      </c>
      <c r="CM98" s="6">
        <v>0.0</v>
      </c>
      <c r="CN98" s="6">
        <v>0.0</v>
      </c>
      <c r="CO98" s="6">
        <v>0.0</v>
      </c>
      <c r="CP98" s="6">
        <v>0.0</v>
      </c>
      <c r="CQ98" s="6">
        <v>0.0</v>
      </c>
      <c r="CR98" s="6">
        <v>0.0</v>
      </c>
      <c r="CS98" s="6">
        <v>0.0</v>
      </c>
      <c r="CT98" s="6">
        <v>0.0</v>
      </c>
      <c r="CU98" s="6">
        <v>0.0</v>
      </c>
      <c r="CV98" s="6">
        <f t="shared" ref="CV98:CX98" si="827">+CP98+CS98+CJ98+CM98</f>
        <v>0</v>
      </c>
      <c r="CW98" s="6">
        <f t="shared" si="827"/>
        <v>0</v>
      </c>
      <c r="CX98" s="6">
        <f t="shared" si="827"/>
        <v>0</v>
      </c>
      <c r="CY98" s="6">
        <v>0.0</v>
      </c>
      <c r="CZ98" s="6">
        <v>0.0</v>
      </c>
      <c r="DA98" s="6">
        <v>0.0</v>
      </c>
      <c r="DB98" s="6">
        <v>0.0</v>
      </c>
      <c r="DC98" s="6">
        <v>0.0</v>
      </c>
      <c r="DD98" s="6">
        <v>0.0</v>
      </c>
      <c r="DE98" s="6">
        <v>0.0</v>
      </c>
      <c r="DF98" s="6">
        <v>0.0</v>
      </c>
      <c r="DG98" s="6">
        <v>0.0</v>
      </c>
      <c r="DH98" s="6">
        <v>0.0</v>
      </c>
      <c r="DI98" s="6">
        <v>0.0</v>
      </c>
      <c r="DJ98" s="6">
        <v>0.0</v>
      </c>
      <c r="DK98" s="6">
        <f t="shared" ref="DK98:DM98" si="828">+DE98+DH98+CY98+DB98</f>
        <v>0</v>
      </c>
      <c r="DL98" s="6">
        <f t="shared" si="828"/>
        <v>0</v>
      </c>
      <c r="DM98" s="6">
        <f t="shared" si="828"/>
        <v>0</v>
      </c>
      <c r="DN98" s="6" t="str">
        <f t="shared" ref="DN98:DP98" si="829">+P98+AE98+AT98+BI98+BU98+CG98+CV98</f>
        <v>#REF!</v>
      </c>
      <c r="DO98" s="6" t="str">
        <f t="shared" si="829"/>
        <v>#REF!</v>
      </c>
      <c r="DP98" s="6" t="str">
        <f t="shared" si="829"/>
        <v>#REF!</v>
      </c>
      <c r="DQ98" s="6" t="str">
        <f t="shared" si="19"/>
        <v>#REF!</v>
      </c>
    </row>
    <row r="99" ht="13.5" customHeight="1">
      <c r="A99" s="11">
        <v>45265.0</v>
      </c>
      <c r="B99" s="2" t="s">
        <v>447</v>
      </c>
      <c r="C99" s="2" t="s">
        <v>448</v>
      </c>
      <c r="D99" s="29" t="s">
        <v>449</v>
      </c>
      <c r="E99" s="2" t="s">
        <v>450</v>
      </c>
      <c r="F99" s="11" t="s">
        <v>451</v>
      </c>
      <c r="G99" s="11" t="s">
        <v>452</v>
      </c>
      <c r="H99" s="5">
        <v>1.2E7</v>
      </c>
      <c r="I99" s="5">
        <v>1.2E7</v>
      </c>
      <c r="J99" s="6">
        <v>0.0</v>
      </c>
      <c r="K99" s="6">
        <v>0.0</v>
      </c>
      <c r="L99" s="6">
        <v>0.0</v>
      </c>
      <c r="M99" s="6">
        <v>0.0</v>
      </c>
      <c r="N99" s="6">
        <v>0.0</v>
      </c>
      <c r="O99" s="6">
        <v>0.0</v>
      </c>
      <c r="P99" s="6">
        <f t="shared" ref="P99:R99" si="830">+J99+M99</f>
        <v>0</v>
      </c>
      <c r="Q99" s="6">
        <f t="shared" si="830"/>
        <v>0</v>
      </c>
      <c r="R99" s="6">
        <f t="shared" si="830"/>
        <v>0</v>
      </c>
      <c r="S99" s="6">
        <v>0.0</v>
      </c>
      <c r="T99" s="6">
        <v>0.0</v>
      </c>
      <c r="U99" s="6">
        <v>0.0</v>
      </c>
      <c r="V99" s="6">
        <v>0.0</v>
      </c>
      <c r="W99" s="6">
        <v>0.0</v>
      </c>
      <c r="X99" s="6">
        <v>0.0</v>
      </c>
      <c r="Y99" s="6">
        <v>0.0</v>
      </c>
      <c r="Z99" s="6">
        <v>0.0</v>
      </c>
      <c r="AA99" s="6">
        <v>0.0</v>
      </c>
      <c r="AB99" s="6">
        <v>0.0</v>
      </c>
      <c r="AC99" s="6">
        <v>0.0</v>
      </c>
      <c r="AD99" s="6">
        <v>0.0</v>
      </c>
      <c r="AE99" s="6">
        <f t="shared" ref="AE99:AG99" si="831">+Y99+AB99+S99+V99</f>
        <v>0</v>
      </c>
      <c r="AF99" s="6">
        <f t="shared" si="831"/>
        <v>0</v>
      </c>
      <c r="AG99" s="6">
        <f t="shared" si="831"/>
        <v>0</v>
      </c>
      <c r="AH99" s="6">
        <v>0.0</v>
      </c>
      <c r="AI99" s="6">
        <v>0.0</v>
      </c>
      <c r="AJ99" s="6">
        <v>0.0</v>
      </c>
      <c r="AK99" s="6">
        <v>0.0</v>
      </c>
      <c r="AL99" s="6">
        <v>0.0</v>
      </c>
      <c r="AM99" s="6">
        <v>0.0</v>
      </c>
      <c r="AN99" s="6">
        <v>0.0</v>
      </c>
      <c r="AO99" s="6">
        <v>0.0</v>
      </c>
      <c r="AP99" s="6">
        <v>0.0</v>
      </c>
      <c r="AQ99" s="6">
        <v>0.0</v>
      </c>
      <c r="AR99" s="6">
        <v>0.0</v>
      </c>
      <c r="AS99" s="6">
        <v>0.0</v>
      </c>
      <c r="AT99" s="6">
        <f t="shared" ref="AT99:AV99" si="832">+AN99+AQ99+AH99+AK99</f>
        <v>0</v>
      </c>
      <c r="AU99" s="6">
        <f t="shared" si="832"/>
        <v>0</v>
      </c>
      <c r="AV99" s="6">
        <f t="shared" si="832"/>
        <v>0</v>
      </c>
      <c r="AW99" s="6">
        <v>0.0</v>
      </c>
      <c r="AX99" s="6">
        <v>0.0</v>
      </c>
      <c r="AY99" s="6">
        <v>0.0</v>
      </c>
      <c r="AZ99" s="6">
        <v>0.0</v>
      </c>
      <c r="BA99" s="6">
        <v>0.0</v>
      </c>
      <c r="BB99" s="6">
        <v>0.0</v>
      </c>
      <c r="BC99" s="6">
        <v>0.0</v>
      </c>
      <c r="BD99" s="6">
        <v>0.0</v>
      </c>
      <c r="BE99" s="6">
        <v>0.0</v>
      </c>
      <c r="BF99" s="6">
        <v>0.0</v>
      </c>
      <c r="BG99" s="6">
        <v>0.0</v>
      </c>
      <c r="BH99" s="6">
        <v>0.0</v>
      </c>
      <c r="BI99" s="6">
        <f t="shared" ref="BI99:BK99" si="833">+BC99+BF99+AW99+AZ99</f>
        <v>0</v>
      </c>
      <c r="BJ99" s="6">
        <f t="shared" si="833"/>
        <v>0</v>
      </c>
      <c r="BK99" s="6">
        <f t="shared" si="833"/>
        <v>0</v>
      </c>
      <c r="BL99" s="6">
        <v>0.0</v>
      </c>
      <c r="BM99" s="6">
        <v>0.0</v>
      </c>
      <c r="BN99" s="6">
        <v>4000000.0</v>
      </c>
      <c r="BO99" s="6">
        <v>0.0</v>
      </c>
      <c r="BP99" s="6">
        <v>0.0</v>
      </c>
      <c r="BQ99" s="6">
        <v>0.0</v>
      </c>
      <c r="BR99" s="6">
        <v>0.0</v>
      </c>
      <c r="BS99" s="6">
        <v>0.0</v>
      </c>
      <c r="BT99" s="6">
        <v>0.0</v>
      </c>
      <c r="BU99" s="6" t="str">
        <f t="shared" ref="BU99:BW99" si="834">+BO99+BR99+#REF!+BL99</f>
        <v>#REF!</v>
      </c>
      <c r="BV99" s="6" t="str">
        <f t="shared" si="834"/>
        <v>#REF!</v>
      </c>
      <c r="BW99" s="6" t="str">
        <f t="shared" si="834"/>
        <v>#REF!</v>
      </c>
      <c r="BX99" s="6">
        <v>0.0</v>
      </c>
      <c r="BY99" s="6">
        <v>0.0</v>
      </c>
      <c r="BZ99" s="6">
        <v>500000.0</v>
      </c>
      <c r="CA99" s="6">
        <v>0.0</v>
      </c>
      <c r="CB99" s="6">
        <v>0.0</v>
      </c>
      <c r="CC99" s="6">
        <v>1000000.0</v>
      </c>
      <c r="CD99" s="6">
        <v>0.0</v>
      </c>
      <c r="CE99" s="6">
        <v>0.0</v>
      </c>
      <c r="CF99" s="6">
        <v>0.0</v>
      </c>
      <c r="CG99" s="6" t="str">
        <f t="shared" ref="CG99:CI99" si="835">+CA99+CD99+BX99+#REF!</f>
        <v>#REF!</v>
      </c>
      <c r="CH99" s="6" t="str">
        <f t="shared" si="835"/>
        <v>#REF!</v>
      </c>
      <c r="CI99" s="6" t="str">
        <f t="shared" si="835"/>
        <v>#REF!</v>
      </c>
      <c r="CJ99" s="6">
        <v>0.0</v>
      </c>
      <c r="CK99" s="6">
        <v>0.0</v>
      </c>
      <c r="CL99" s="6">
        <v>0.0</v>
      </c>
      <c r="CM99" s="6">
        <v>0.0</v>
      </c>
      <c r="CN99" s="6">
        <v>0.0</v>
      </c>
      <c r="CO99" s="6">
        <v>1000000.0</v>
      </c>
      <c r="CP99" s="6">
        <v>0.0</v>
      </c>
      <c r="CQ99" s="6">
        <v>0.0</v>
      </c>
      <c r="CR99" s="6">
        <v>0.0</v>
      </c>
      <c r="CS99" s="6">
        <v>0.0</v>
      </c>
      <c r="CT99" s="6">
        <v>0.0</v>
      </c>
      <c r="CU99" s="6">
        <v>0.0</v>
      </c>
      <c r="CV99" s="6">
        <f t="shared" ref="CV99:CX99" si="836">+CP99+CS99+CJ99+CM99</f>
        <v>0</v>
      </c>
      <c r="CW99" s="6">
        <f t="shared" si="836"/>
        <v>0</v>
      </c>
      <c r="CX99" s="6">
        <f t="shared" si="836"/>
        <v>1000000</v>
      </c>
      <c r="CY99" s="6">
        <v>0.0</v>
      </c>
      <c r="CZ99" s="6">
        <v>0.0</v>
      </c>
      <c r="DA99" s="6">
        <v>0.0</v>
      </c>
      <c r="DB99" s="6">
        <v>0.0</v>
      </c>
      <c r="DC99" s="6">
        <v>0.0</v>
      </c>
      <c r="DD99" s="6">
        <v>1000000.0</v>
      </c>
      <c r="DE99" s="6">
        <v>0.0</v>
      </c>
      <c r="DF99" s="6">
        <v>0.0</v>
      </c>
      <c r="DG99" s="6">
        <v>0.0</v>
      </c>
      <c r="DH99" s="6">
        <v>0.0</v>
      </c>
      <c r="DI99" s="6">
        <v>0.0</v>
      </c>
      <c r="DJ99" s="6">
        <v>0.0</v>
      </c>
      <c r="DK99" s="6">
        <f t="shared" ref="DK99:DM99" si="837">+DE99+DH99+CY99+DB99</f>
        <v>0</v>
      </c>
      <c r="DL99" s="6">
        <f t="shared" si="837"/>
        <v>0</v>
      </c>
      <c r="DM99" s="6">
        <f t="shared" si="837"/>
        <v>1000000</v>
      </c>
      <c r="DN99" s="6" t="str">
        <f t="shared" ref="DN99:DP99" si="838">+P99+AE99+AT99+BI99+BU99+CG99+CV99</f>
        <v>#REF!</v>
      </c>
      <c r="DO99" s="6" t="str">
        <f t="shared" si="838"/>
        <v>#REF!</v>
      </c>
      <c r="DP99" s="6" t="str">
        <f t="shared" si="838"/>
        <v>#REF!</v>
      </c>
      <c r="DQ99" s="6" t="str">
        <f t="shared" si="19"/>
        <v>#REF!</v>
      </c>
    </row>
    <row r="100" ht="13.5" customHeight="1">
      <c r="A100" s="11">
        <v>45226.0</v>
      </c>
      <c r="B100" s="2" t="s">
        <v>453</v>
      </c>
      <c r="C100" s="2" t="s">
        <v>454</v>
      </c>
      <c r="D100" s="29" t="s">
        <v>455</v>
      </c>
      <c r="E100" s="2" t="s">
        <v>456</v>
      </c>
      <c r="F100" s="11" t="s">
        <v>457</v>
      </c>
      <c r="G100" s="11" t="s">
        <v>452</v>
      </c>
      <c r="H100" s="36">
        <v>5100000.0</v>
      </c>
      <c r="I100" s="36">
        <v>431800.0</v>
      </c>
      <c r="J100" s="6">
        <v>0.0</v>
      </c>
      <c r="K100" s="6">
        <v>0.0</v>
      </c>
      <c r="L100" s="6">
        <v>0.0</v>
      </c>
      <c r="M100" s="6">
        <v>0.0</v>
      </c>
      <c r="N100" s="6">
        <v>0.0</v>
      </c>
      <c r="O100" s="6">
        <v>0.0</v>
      </c>
      <c r="P100" s="6">
        <f t="shared" ref="P100:R100" si="839">+J100+M100</f>
        <v>0</v>
      </c>
      <c r="Q100" s="6">
        <f t="shared" si="839"/>
        <v>0</v>
      </c>
      <c r="R100" s="6">
        <f t="shared" si="839"/>
        <v>0</v>
      </c>
      <c r="S100" s="6">
        <v>0.0</v>
      </c>
      <c r="T100" s="6">
        <v>0.0</v>
      </c>
      <c r="U100" s="6">
        <v>0.0</v>
      </c>
      <c r="V100" s="6">
        <v>0.0</v>
      </c>
      <c r="W100" s="6">
        <v>0.0</v>
      </c>
      <c r="X100" s="6">
        <v>0.0</v>
      </c>
      <c r="Y100" s="6">
        <v>0.0</v>
      </c>
      <c r="Z100" s="6">
        <v>0.0</v>
      </c>
      <c r="AA100" s="6">
        <v>0.0</v>
      </c>
      <c r="AB100" s="6">
        <v>0.0</v>
      </c>
      <c r="AC100" s="6">
        <v>0.0</v>
      </c>
      <c r="AD100" s="6">
        <v>0.0</v>
      </c>
      <c r="AE100" s="6">
        <f t="shared" ref="AE100:AG100" si="840">+Y100+AB100+S100+V100</f>
        <v>0</v>
      </c>
      <c r="AF100" s="6">
        <f t="shared" si="840"/>
        <v>0</v>
      </c>
      <c r="AG100" s="6">
        <f t="shared" si="840"/>
        <v>0</v>
      </c>
      <c r="AH100" s="6">
        <v>0.0</v>
      </c>
      <c r="AI100" s="6">
        <v>0.0</v>
      </c>
      <c r="AJ100" s="6">
        <v>0.0</v>
      </c>
      <c r="AK100" s="6">
        <v>0.0</v>
      </c>
      <c r="AL100" s="6">
        <v>0.0</v>
      </c>
      <c r="AM100" s="6">
        <v>0.0</v>
      </c>
      <c r="AN100" s="6">
        <v>0.0</v>
      </c>
      <c r="AO100" s="6">
        <v>0.0</v>
      </c>
      <c r="AP100" s="6">
        <v>0.0</v>
      </c>
      <c r="AQ100" s="6">
        <v>0.0</v>
      </c>
      <c r="AR100" s="6">
        <v>0.0</v>
      </c>
      <c r="AS100" s="6">
        <v>0.0</v>
      </c>
      <c r="AT100" s="6">
        <f t="shared" ref="AT100:AV100" si="841">+AN100+AQ100+AH100+AK100</f>
        <v>0</v>
      </c>
      <c r="AU100" s="6">
        <f t="shared" si="841"/>
        <v>0</v>
      </c>
      <c r="AV100" s="6">
        <f t="shared" si="841"/>
        <v>0</v>
      </c>
      <c r="AW100" s="6">
        <v>0.0</v>
      </c>
      <c r="AX100" s="6">
        <v>0.0</v>
      </c>
      <c r="AY100" s="6">
        <v>0.0</v>
      </c>
      <c r="AZ100" s="6">
        <v>0.0</v>
      </c>
      <c r="BA100" s="6">
        <v>0.0</v>
      </c>
      <c r="BB100" s="6">
        <v>0.0</v>
      </c>
      <c r="BC100" s="6">
        <v>0.0</v>
      </c>
      <c r="BD100" s="6">
        <v>0.0</v>
      </c>
      <c r="BE100" s="6">
        <v>0.0</v>
      </c>
      <c r="BF100" s="6">
        <v>0.0</v>
      </c>
      <c r="BG100" s="6">
        <v>0.0</v>
      </c>
      <c r="BH100" s="6">
        <v>0.0</v>
      </c>
      <c r="BI100" s="6">
        <f t="shared" ref="BI100:BK100" si="842">+BC100+BF100+AW100+AZ100</f>
        <v>0</v>
      </c>
      <c r="BJ100" s="6">
        <f t="shared" si="842"/>
        <v>0</v>
      </c>
      <c r="BK100" s="6">
        <f t="shared" si="842"/>
        <v>0</v>
      </c>
      <c r="BL100" s="6">
        <v>0.0</v>
      </c>
      <c r="BM100" s="6">
        <v>0.0</v>
      </c>
      <c r="BN100" s="6">
        <v>431800.0</v>
      </c>
      <c r="BO100" s="6">
        <v>0.0</v>
      </c>
      <c r="BP100" s="6">
        <v>0.0</v>
      </c>
      <c r="BQ100" s="6">
        <v>0.0</v>
      </c>
      <c r="BR100" s="6">
        <v>0.0</v>
      </c>
      <c r="BS100" s="6">
        <v>0.0</v>
      </c>
      <c r="BT100" s="6">
        <v>0.0</v>
      </c>
      <c r="BU100" s="6" t="str">
        <f t="shared" ref="BU100:BW100" si="843">+BO100+BR100+#REF!+BL100</f>
        <v>#REF!</v>
      </c>
      <c r="BV100" s="6" t="str">
        <f t="shared" si="843"/>
        <v>#REF!</v>
      </c>
      <c r="BW100" s="6" t="str">
        <f t="shared" si="843"/>
        <v>#REF!</v>
      </c>
      <c r="BX100" s="6">
        <v>0.0</v>
      </c>
      <c r="BY100" s="6">
        <v>0.0</v>
      </c>
      <c r="BZ100" s="6">
        <v>0.0</v>
      </c>
      <c r="CA100" s="6">
        <v>0.0</v>
      </c>
      <c r="CB100" s="6">
        <v>0.0</v>
      </c>
      <c r="CC100" s="6">
        <v>0.0</v>
      </c>
      <c r="CD100" s="6">
        <v>0.0</v>
      </c>
      <c r="CE100" s="6">
        <v>0.0</v>
      </c>
      <c r="CF100" s="6">
        <v>0.0</v>
      </c>
      <c r="CG100" s="6" t="str">
        <f t="shared" ref="CG100:CI100" si="844">+CA100+CD100+BX100+#REF!</f>
        <v>#REF!</v>
      </c>
      <c r="CH100" s="6" t="str">
        <f t="shared" si="844"/>
        <v>#REF!</v>
      </c>
      <c r="CI100" s="6" t="str">
        <f t="shared" si="844"/>
        <v>#REF!</v>
      </c>
      <c r="CJ100" s="6">
        <v>0.0</v>
      </c>
      <c r="CK100" s="6">
        <v>0.0</v>
      </c>
      <c r="CL100" s="6">
        <v>0.0</v>
      </c>
      <c r="CM100" s="6">
        <v>0.0</v>
      </c>
      <c r="CN100" s="6">
        <v>0.0</v>
      </c>
      <c r="CO100" s="6">
        <v>0.0</v>
      </c>
      <c r="CP100" s="6">
        <v>0.0</v>
      </c>
      <c r="CQ100" s="6">
        <v>0.0</v>
      </c>
      <c r="CR100" s="6">
        <v>0.0</v>
      </c>
      <c r="CS100" s="6">
        <v>0.0</v>
      </c>
      <c r="CT100" s="6">
        <v>0.0</v>
      </c>
      <c r="CU100" s="6">
        <v>0.0</v>
      </c>
      <c r="CV100" s="6">
        <f t="shared" ref="CV100:CX100" si="845">+CP100+CS100+CJ100+CM100</f>
        <v>0</v>
      </c>
      <c r="CW100" s="6">
        <f t="shared" si="845"/>
        <v>0</v>
      </c>
      <c r="CX100" s="6">
        <f t="shared" si="845"/>
        <v>0</v>
      </c>
      <c r="CY100" s="6">
        <v>0.0</v>
      </c>
      <c r="CZ100" s="6">
        <v>0.0</v>
      </c>
      <c r="DA100" s="6">
        <v>0.0</v>
      </c>
      <c r="DB100" s="6">
        <v>0.0</v>
      </c>
      <c r="DC100" s="6">
        <v>0.0</v>
      </c>
      <c r="DD100" s="6">
        <v>0.0</v>
      </c>
      <c r="DE100" s="6">
        <v>0.0</v>
      </c>
      <c r="DF100" s="6">
        <v>0.0</v>
      </c>
      <c r="DG100" s="6">
        <v>0.0</v>
      </c>
      <c r="DH100" s="6">
        <v>0.0</v>
      </c>
      <c r="DI100" s="6">
        <v>0.0</v>
      </c>
      <c r="DJ100" s="6">
        <v>0.0</v>
      </c>
      <c r="DK100" s="6">
        <f t="shared" ref="DK100:DM100" si="846">+DE100+DH100+CY100+DB100</f>
        <v>0</v>
      </c>
      <c r="DL100" s="6">
        <f t="shared" si="846"/>
        <v>0</v>
      </c>
      <c r="DM100" s="6">
        <f t="shared" si="846"/>
        <v>0</v>
      </c>
      <c r="DN100" s="6" t="str">
        <f t="shared" ref="DN100:DP100" si="847">+P100+AE100+AT100+BI100+BU100+CG100+CV100</f>
        <v>#REF!</v>
      </c>
      <c r="DO100" s="6" t="str">
        <f t="shared" si="847"/>
        <v>#REF!</v>
      </c>
      <c r="DP100" s="6" t="str">
        <f t="shared" si="847"/>
        <v>#REF!</v>
      </c>
      <c r="DQ100" s="6" t="str">
        <f t="shared" si="19"/>
        <v>#REF!</v>
      </c>
    </row>
    <row r="101" ht="13.5" customHeight="1">
      <c r="A101" s="11">
        <v>45265.0</v>
      </c>
      <c r="B101" s="2" t="s">
        <v>458</v>
      </c>
      <c r="C101" s="2" t="s">
        <v>454</v>
      </c>
      <c r="D101" s="29" t="s">
        <v>455</v>
      </c>
      <c r="E101" s="2" t="s">
        <v>456</v>
      </c>
      <c r="F101" s="11" t="s">
        <v>457</v>
      </c>
      <c r="G101" s="11" t="s">
        <v>452</v>
      </c>
      <c r="H101" s="5"/>
      <c r="I101" s="36">
        <v>300000.0</v>
      </c>
      <c r="J101" s="6">
        <v>0.0</v>
      </c>
      <c r="K101" s="6">
        <v>0.0</v>
      </c>
      <c r="L101" s="6">
        <v>0.0</v>
      </c>
      <c r="M101" s="6">
        <v>0.0</v>
      </c>
      <c r="N101" s="6">
        <v>0.0</v>
      </c>
      <c r="O101" s="6">
        <v>0.0</v>
      </c>
      <c r="P101" s="6">
        <f t="shared" ref="P101:R101" si="848">+J101+M101</f>
        <v>0</v>
      </c>
      <c r="Q101" s="6">
        <f t="shared" si="848"/>
        <v>0</v>
      </c>
      <c r="R101" s="6">
        <f t="shared" si="848"/>
        <v>0</v>
      </c>
      <c r="S101" s="6">
        <v>0.0</v>
      </c>
      <c r="T101" s="6">
        <v>0.0</v>
      </c>
      <c r="U101" s="6">
        <v>0.0</v>
      </c>
      <c r="V101" s="6">
        <v>0.0</v>
      </c>
      <c r="W101" s="6">
        <v>0.0</v>
      </c>
      <c r="X101" s="6">
        <v>0.0</v>
      </c>
      <c r="Y101" s="6">
        <v>0.0</v>
      </c>
      <c r="Z101" s="6">
        <v>0.0</v>
      </c>
      <c r="AA101" s="6">
        <v>0.0</v>
      </c>
      <c r="AB101" s="6">
        <v>0.0</v>
      </c>
      <c r="AC101" s="6">
        <v>0.0</v>
      </c>
      <c r="AD101" s="6">
        <v>0.0</v>
      </c>
      <c r="AE101" s="6">
        <f t="shared" ref="AE101:AG101" si="849">+Y101+AB101+S101+V101</f>
        <v>0</v>
      </c>
      <c r="AF101" s="6">
        <f t="shared" si="849"/>
        <v>0</v>
      </c>
      <c r="AG101" s="6">
        <f t="shared" si="849"/>
        <v>0</v>
      </c>
      <c r="AH101" s="6">
        <v>0.0</v>
      </c>
      <c r="AI101" s="6">
        <v>0.0</v>
      </c>
      <c r="AJ101" s="6">
        <v>0.0</v>
      </c>
      <c r="AK101" s="6">
        <v>0.0</v>
      </c>
      <c r="AL101" s="6">
        <v>0.0</v>
      </c>
      <c r="AM101" s="6">
        <v>0.0</v>
      </c>
      <c r="AN101" s="6">
        <v>0.0</v>
      </c>
      <c r="AO101" s="6">
        <v>0.0</v>
      </c>
      <c r="AP101" s="6">
        <v>0.0</v>
      </c>
      <c r="AQ101" s="6">
        <v>0.0</v>
      </c>
      <c r="AR101" s="6">
        <v>0.0</v>
      </c>
      <c r="AS101" s="6">
        <v>0.0</v>
      </c>
      <c r="AT101" s="6">
        <f t="shared" ref="AT101:AV101" si="850">+AN101+AQ101+AH101+AK101</f>
        <v>0</v>
      </c>
      <c r="AU101" s="6">
        <f t="shared" si="850"/>
        <v>0</v>
      </c>
      <c r="AV101" s="6">
        <f t="shared" si="850"/>
        <v>0</v>
      </c>
      <c r="AW101" s="6">
        <v>0.0</v>
      </c>
      <c r="AX101" s="6">
        <v>0.0</v>
      </c>
      <c r="AY101" s="6">
        <v>0.0</v>
      </c>
      <c r="AZ101" s="6">
        <v>0.0</v>
      </c>
      <c r="BA101" s="6">
        <v>0.0</v>
      </c>
      <c r="BB101" s="6">
        <v>0.0</v>
      </c>
      <c r="BC101" s="6">
        <v>0.0</v>
      </c>
      <c r="BD101" s="6">
        <v>0.0</v>
      </c>
      <c r="BE101" s="6">
        <v>0.0</v>
      </c>
      <c r="BF101" s="6">
        <v>0.0</v>
      </c>
      <c r="BG101" s="6">
        <v>0.0</v>
      </c>
      <c r="BH101" s="6">
        <v>0.0</v>
      </c>
      <c r="BI101" s="6">
        <f t="shared" ref="BI101:BK101" si="851">+BC101+BF101+AW101+AZ101</f>
        <v>0</v>
      </c>
      <c r="BJ101" s="6">
        <f t="shared" si="851"/>
        <v>0</v>
      </c>
      <c r="BK101" s="6">
        <f t="shared" si="851"/>
        <v>0</v>
      </c>
      <c r="BL101" s="6">
        <v>0.0</v>
      </c>
      <c r="BM101" s="6">
        <v>0.0</v>
      </c>
      <c r="BN101" s="6">
        <v>300000.0</v>
      </c>
      <c r="BO101" s="6">
        <v>0.0</v>
      </c>
      <c r="BP101" s="6">
        <v>0.0</v>
      </c>
      <c r="BQ101" s="6">
        <v>0.0</v>
      </c>
      <c r="BR101" s="6">
        <v>0.0</v>
      </c>
      <c r="BS101" s="6">
        <v>0.0</v>
      </c>
      <c r="BT101" s="6">
        <v>0.0</v>
      </c>
      <c r="BU101" s="6" t="str">
        <f t="shared" ref="BU101:BW101" si="852">+BO101+BR101+#REF!+BL101</f>
        <v>#REF!</v>
      </c>
      <c r="BV101" s="6" t="str">
        <f t="shared" si="852"/>
        <v>#REF!</v>
      </c>
      <c r="BW101" s="6" t="str">
        <f t="shared" si="852"/>
        <v>#REF!</v>
      </c>
      <c r="BX101" s="6">
        <v>0.0</v>
      </c>
      <c r="BY101" s="6">
        <v>0.0</v>
      </c>
      <c r="BZ101" s="6">
        <v>0.0</v>
      </c>
      <c r="CA101" s="6">
        <v>0.0</v>
      </c>
      <c r="CB101" s="6">
        <v>0.0</v>
      </c>
      <c r="CC101" s="6">
        <v>0.0</v>
      </c>
      <c r="CD101" s="6">
        <v>0.0</v>
      </c>
      <c r="CE101" s="6">
        <v>0.0</v>
      </c>
      <c r="CF101" s="6">
        <v>0.0</v>
      </c>
      <c r="CG101" s="6" t="str">
        <f t="shared" ref="CG101:CI101" si="853">+CA101+CD101+BX101+#REF!</f>
        <v>#REF!</v>
      </c>
      <c r="CH101" s="6" t="str">
        <f t="shared" si="853"/>
        <v>#REF!</v>
      </c>
      <c r="CI101" s="6" t="str">
        <f t="shared" si="853"/>
        <v>#REF!</v>
      </c>
      <c r="CJ101" s="6">
        <v>0.0</v>
      </c>
      <c r="CK101" s="6">
        <v>0.0</v>
      </c>
      <c r="CL101" s="6">
        <v>0.0</v>
      </c>
      <c r="CM101" s="6">
        <v>0.0</v>
      </c>
      <c r="CN101" s="6">
        <v>0.0</v>
      </c>
      <c r="CO101" s="6">
        <v>0.0</v>
      </c>
      <c r="CP101" s="6">
        <v>0.0</v>
      </c>
      <c r="CQ101" s="6">
        <v>0.0</v>
      </c>
      <c r="CR101" s="6">
        <v>0.0</v>
      </c>
      <c r="CS101" s="6">
        <v>0.0</v>
      </c>
      <c r="CT101" s="6">
        <v>0.0</v>
      </c>
      <c r="CU101" s="6">
        <v>0.0</v>
      </c>
      <c r="CV101" s="6">
        <f t="shared" ref="CV101:CX101" si="854">+CP101+CS101+CJ101+CM101</f>
        <v>0</v>
      </c>
      <c r="CW101" s="6">
        <f t="shared" si="854"/>
        <v>0</v>
      </c>
      <c r="CX101" s="6">
        <f t="shared" si="854"/>
        <v>0</v>
      </c>
      <c r="CY101" s="6">
        <v>0.0</v>
      </c>
      <c r="CZ101" s="6">
        <v>0.0</v>
      </c>
      <c r="DA101" s="6">
        <v>0.0</v>
      </c>
      <c r="DB101" s="6">
        <v>0.0</v>
      </c>
      <c r="DC101" s="6">
        <v>0.0</v>
      </c>
      <c r="DD101" s="6">
        <v>0.0</v>
      </c>
      <c r="DE101" s="6">
        <v>0.0</v>
      </c>
      <c r="DF101" s="6">
        <v>0.0</v>
      </c>
      <c r="DG101" s="6">
        <v>0.0</v>
      </c>
      <c r="DH101" s="6">
        <v>0.0</v>
      </c>
      <c r="DI101" s="6">
        <v>0.0</v>
      </c>
      <c r="DJ101" s="6">
        <v>0.0</v>
      </c>
      <c r="DK101" s="6">
        <f t="shared" ref="DK101:DM101" si="855">+DE101+DH101+CY101+DB101</f>
        <v>0</v>
      </c>
      <c r="DL101" s="6">
        <f t="shared" si="855"/>
        <v>0</v>
      </c>
      <c r="DM101" s="6">
        <f t="shared" si="855"/>
        <v>0</v>
      </c>
      <c r="DN101" s="6" t="str">
        <f t="shared" ref="DN101:DP101" si="856">+P101+AE101+AT101+BI101+BU101+CG101+CV101</f>
        <v>#REF!</v>
      </c>
      <c r="DO101" s="6" t="str">
        <f t="shared" si="856"/>
        <v>#REF!</v>
      </c>
      <c r="DP101" s="6" t="str">
        <f t="shared" si="856"/>
        <v>#REF!</v>
      </c>
      <c r="DQ101" s="6" t="str">
        <f t="shared" si="19"/>
        <v>#REF!</v>
      </c>
    </row>
    <row r="102" ht="13.5" customHeight="1">
      <c r="A102" s="11">
        <v>45333.0</v>
      </c>
      <c r="B102" s="2" t="s">
        <v>459</v>
      </c>
      <c r="C102" s="2" t="s">
        <v>454</v>
      </c>
      <c r="D102" s="29" t="s">
        <v>455</v>
      </c>
      <c r="E102" s="2" t="s">
        <v>456</v>
      </c>
      <c r="F102" s="11" t="s">
        <v>457</v>
      </c>
      <c r="G102" s="11" t="s">
        <v>452</v>
      </c>
      <c r="H102" s="5"/>
      <c r="I102" s="36">
        <v>400000.0</v>
      </c>
      <c r="J102" s="6">
        <v>0.0</v>
      </c>
      <c r="K102" s="6">
        <v>0.0</v>
      </c>
      <c r="L102" s="6">
        <v>0.0</v>
      </c>
      <c r="M102" s="6">
        <v>0.0</v>
      </c>
      <c r="N102" s="6">
        <v>0.0</v>
      </c>
      <c r="O102" s="6">
        <v>0.0</v>
      </c>
      <c r="P102" s="6">
        <f t="shared" ref="P102:R102" si="857">+J102+M102</f>
        <v>0</v>
      </c>
      <c r="Q102" s="6">
        <f t="shared" si="857"/>
        <v>0</v>
      </c>
      <c r="R102" s="6">
        <f t="shared" si="857"/>
        <v>0</v>
      </c>
      <c r="S102" s="6">
        <v>0.0</v>
      </c>
      <c r="T102" s="6">
        <v>0.0</v>
      </c>
      <c r="U102" s="6">
        <v>0.0</v>
      </c>
      <c r="V102" s="6">
        <v>0.0</v>
      </c>
      <c r="W102" s="6">
        <v>0.0</v>
      </c>
      <c r="X102" s="6">
        <v>0.0</v>
      </c>
      <c r="Y102" s="6">
        <v>0.0</v>
      </c>
      <c r="Z102" s="6">
        <v>0.0</v>
      </c>
      <c r="AA102" s="6">
        <v>0.0</v>
      </c>
      <c r="AB102" s="6">
        <v>0.0</v>
      </c>
      <c r="AC102" s="6">
        <v>0.0</v>
      </c>
      <c r="AD102" s="6">
        <v>0.0</v>
      </c>
      <c r="AE102" s="6">
        <f t="shared" ref="AE102:AG102" si="858">+Y102+AB102+S102+V102</f>
        <v>0</v>
      </c>
      <c r="AF102" s="6">
        <f t="shared" si="858"/>
        <v>0</v>
      </c>
      <c r="AG102" s="6">
        <f t="shared" si="858"/>
        <v>0</v>
      </c>
      <c r="AH102" s="6">
        <v>0.0</v>
      </c>
      <c r="AI102" s="6">
        <v>0.0</v>
      </c>
      <c r="AJ102" s="6">
        <v>0.0</v>
      </c>
      <c r="AK102" s="6">
        <v>0.0</v>
      </c>
      <c r="AL102" s="6">
        <v>0.0</v>
      </c>
      <c r="AM102" s="6">
        <v>0.0</v>
      </c>
      <c r="AN102" s="6">
        <v>0.0</v>
      </c>
      <c r="AO102" s="6">
        <v>0.0</v>
      </c>
      <c r="AP102" s="6">
        <v>0.0</v>
      </c>
      <c r="AQ102" s="6">
        <v>0.0</v>
      </c>
      <c r="AR102" s="6">
        <v>0.0</v>
      </c>
      <c r="AS102" s="6">
        <v>0.0</v>
      </c>
      <c r="AT102" s="6">
        <f t="shared" ref="AT102:AV102" si="859">+AN102+AQ102+AH102+AK102</f>
        <v>0</v>
      </c>
      <c r="AU102" s="6">
        <f t="shared" si="859"/>
        <v>0</v>
      </c>
      <c r="AV102" s="6">
        <f t="shared" si="859"/>
        <v>0</v>
      </c>
      <c r="AW102" s="6">
        <v>0.0</v>
      </c>
      <c r="AX102" s="6">
        <v>0.0</v>
      </c>
      <c r="AY102" s="6">
        <v>0.0</v>
      </c>
      <c r="AZ102" s="6">
        <v>0.0</v>
      </c>
      <c r="BA102" s="6">
        <v>0.0</v>
      </c>
      <c r="BB102" s="6">
        <v>0.0</v>
      </c>
      <c r="BC102" s="6">
        <v>0.0</v>
      </c>
      <c r="BD102" s="6">
        <v>0.0</v>
      </c>
      <c r="BE102" s="6">
        <v>0.0</v>
      </c>
      <c r="BF102" s="6">
        <v>0.0</v>
      </c>
      <c r="BG102" s="6">
        <v>0.0</v>
      </c>
      <c r="BH102" s="6">
        <v>0.0</v>
      </c>
      <c r="BI102" s="6">
        <f t="shared" ref="BI102:BK102" si="860">+BC102+BF102+AW102+AZ102</f>
        <v>0</v>
      </c>
      <c r="BJ102" s="6">
        <f t="shared" si="860"/>
        <v>0</v>
      </c>
      <c r="BK102" s="6">
        <f t="shared" si="860"/>
        <v>0</v>
      </c>
      <c r="BL102" s="6">
        <v>0.0</v>
      </c>
      <c r="BM102" s="6">
        <v>0.0</v>
      </c>
      <c r="BN102" s="6">
        <v>0.0</v>
      </c>
      <c r="BO102" s="6">
        <v>0.0</v>
      </c>
      <c r="BP102" s="6">
        <v>0.0</v>
      </c>
      <c r="BQ102" s="6">
        <v>400000.0</v>
      </c>
      <c r="BR102" s="6">
        <v>0.0</v>
      </c>
      <c r="BS102" s="6">
        <v>0.0</v>
      </c>
      <c r="BT102" s="6">
        <v>0.0</v>
      </c>
      <c r="BU102" s="6" t="str">
        <f t="shared" ref="BU102:BW102" si="861">+BO102+BR102+#REF!+BL102</f>
        <v>#REF!</v>
      </c>
      <c r="BV102" s="6" t="str">
        <f t="shared" si="861"/>
        <v>#REF!</v>
      </c>
      <c r="BW102" s="6" t="str">
        <f t="shared" si="861"/>
        <v>#REF!</v>
      </c>
      <c r="BX102" s="6">
        <v>0.0</v>
      </c>
      <c r="BY102" s="6">
        <v>0.0</v>
      </c>
      <c r="BZ102" s="6">
        <v>0.0</v>
      </c>
      <c r="CA102" s="6">
        <v>0.0</v>
      </c>
      <c r="CB102" s="6">
        <v>0.0</v>
      </c>
      <c r="CC102" s="6">
        <v>0.0</v>
      </c>
      <c r="CD102" s="6">
        <v>0.0</v>
      </c>
      <c r="CE102" s="6">
        <v>0.0</v>
      </c>
      <c r="CF102" s="6">
        <v>0.0</v>
      </c>
      <c r="CG102" s="6" t="str">
        <f t="shared" ref="CG102:CI102" si="862">+CA102+CD102+BX102+#REF!</f>
        <v>#REF!</v>
      </c>
      <c r="CH102" s="6" t="str">
        <f t="shared" si="862"/>
        <v>#REF!</v>
      </c>
      <c r="CI102" s="6" t="str">
        <f t="shared" si="862"/>
        <v>#REF!</v>
      </c>
      <c r="CJ102" s="6">
        <v>0.0</v>
      </c>
      <c r="CK102" s="6">
        <v>0.0</v>
      </c>
      <c r="CL102" s="6">
        <v>0.0</v>
      </c>
      <c r="CM102" s="6">
        <v>0.0</v>
      </c>
      <c r="CN102" s="6">
        <v>0.0</v>
      </c>
      <c r="CO102" s="6">
        <v>0.0</v>
      </c>
      <c r="CP102" s="6">
        <v>0.0</v>
      </c>
      <c r="CQ102" s="6">
        <v>0.0</v>
      </c>
      <c r="CR102" s="6">
        <v>0.0</v>
      </c>
      <c r="CS102" s="6">
        <v>0.0</v>
      </c>
      <c r="CT102" s="6">
        <v>0.0</v>
      </c>
      <c r="CU102" s="6">
        <v>0.0</v>
      </c>
      <c r="CV102" s="6">
        <f t="shared" ref="CV102:CX102" si="863">+CP102+CS102+CJ102+CM102</f>
        <v>0</v>
      </c>
      <c r="CW102" s="6">
        <f t="shared" si="863"/>
        <v>0</v>
      </c>
      <c r="CX102" s="6">
        <f t="shared" si="863"/>
        <v>0</v>
      </c>
      <c r="CY102" s="6">
        <v>0.0</v>
      </c>
      <c r="CZ102" s="6">
        <v>0.0</v>
      </c>
      <c r="DA102" s="6">
        <v>0.0</v>
      </c>
      <c r="DB102" s="6">
        <v>0.0</v>
      </c>
      <c r="DC102" s="6">
        <v>0.0</v>
      </c>
      <c r="DD102" s="6">
        <v>0.0</v>
      </c>
      <c r="DE102" s="6">
        <v>0.0</v>
      </c>
      <c r="DF102" s="6">
        <v>0.0</v>
      </c>
      <c r="DG102" s="6">
        <v>0.0</v>
      </c>
      <c r="DH102" s="6">
        <v>0.0</v>
      </c>
      <c r="DI102" s="6">
        <v>0.0</v>
      </c>
      <c r="DJ102" s="6">
        <v>0.0</v>
      </c>
      <c r="DK102" s="6">
        <f t="shared" ref="DK102:DM102" si="864">+DE102+DH102+CY102+DB102</f>
        <v>0</v>
      </c>
      <c r="DL102" s="6">
        <f t="shared" si="864"/>
        <v>0</v>
      </c>
      <c r="DM102" s="6">
        <f t="shared" si="864"/>
        <v>0</v>
      </c>
      <c r="DN102" s="6" t="str">
        <f t="shared" ref="DN102:DP102" si="865">+P102+AE102+AT102+BI102+BU102+CG102+CV102</f>
        <v>#REF!</v>
      </c>
      <c r="DO102" s="6" t="str">
        <f t="shared" si="865"/>
        <v>#REF!</v>
      </c>
      <c r="DP102" s="6" t="str">
        <f t="shared" si="865"/>
        <v>#REF!</v>
      </c>
      <c r="DQ102" s="6" t="str">
        <f t="shared" si="19"/>
        <v>#REF!</v>
      </c>
    </row>
    <row r="103" ht="13.5" customHeight="1">
      <c r="A103" s="11">
        <v>45474.0</v>
      </c>
      <c r="B103" s="2" t="s">
        <v>460</v>
      </c>
      <c r="C103" s="2" t="s">
        <v>454</v>
      </c>
      <c r="D103" s="29" t="s">
        <v>455</v>
      </c>
      <c r="E103" s="2" t="s">
        <v>456</v>
      </c>
      <c r="F103" s="11" t="s">
        <v>457</v>
      </c>
      <c r="G103" s="11" t="s">
        <v>452</v>
      </c>
      <c r="H103" s="5"/>
      <c r="I103" s="36">
        <v>250000.0</v>
      </c>
      <c r="J103" s="6">
        <v>0.0</v>
      </c>
      <c r="K103" s="6">
        <v>0.0</v>
      </c>
      <c r="L103" s="6">
        <v>0.0</v>
      </c>
      <c r="M103" s="6">
        <v>0.0</v>
      </c>
      <c r="N103" s="6">
        <v>0.0</v>
      </c>
      <c r="O103" s="6">
        <v>0.0</v>
      </c>
      <c r="P103" s="6">
        <f t="shared" ref="P103:R103" si="866">+J103+M103</f>
        <v>0</v>
      </c>
      <c r="Q103" s="6">
        <f t="shared" si="866"/>
        <v>0</v>
      </c>
      <c r="R103" s="6">
        <f t="shared" si="866"/>
        <v>0</v>
      </c>
      <c r="S103" s="6">
        <v>0.0</v>
      </c>
      <c r="T103" s="6">
        <v>0.0</v>
      </c>
      <c r="U103" s="6">
        <v>0.0</v>
      </c>
      <c r="V103" s="6">
        <v>0.0</v>
      </c>
      <c r="W103" s="6">
        <v>0.0</v>
      </c>
      <c r="X103" s="6">
        <v>0.0</v>
      </c>
      <c r="Y103" s="6">
        <v>0.0</v>
      </c>
      <c r="Z103" s="6">
        <v>0.0</v>
      </c>
      <c r="AA103" s="6">
        <v>0.0</v>
      </c>
      <c r="AB103" s="6">
        <v>0.0</v>
      </c>
      <c r="AC103" s="6">
        <v>0.0</v>
      </c>
      <c r="AD103" s="6">
        <v>0.0</v>
      </c>
      <c r="AE103" s="6">
        <f t="shared" ref="AE103:AG103" si="867">+Y103+AB103+S103+V103</f>
        <v>0</v>
      </c>
      <c r="AF103" s="6">
        <f t="shared" si="867"/>
        <v>0</v>
      </c>
      <c r="AG103" s="6">
        <f t="shared" si="867"/>
        <v>0</v>
      </c>
      <c r="AH103" s="6">
        <v>0.0</v>
      </c>
      <c r="AI103" s="6">
        <v>0.0</v>
      </c>
      <c r="AJ103" s="6">
        <v>0.0</v>
      </c>
      <c r="AK103" s="6">
        <v>0.0</v>
      </c>
      <c r="AL103" s="6">
        <v>0.0</v>
      </c>
      <c r="AM103" s="6">
        <v>0.0</v>
      </c>
      <c r="AN103" s="6">
        <v>0.0</v>
      </c>
      <c r="AO103" s="6">
        <v>0.0</v>
      </c>
      <c r="AP103" s="6">
        <v>0.0</v>
      </c>
      <c r="AQ103" s="6">
        <v>0.0</v>
      </c>
      <c r="AR103" s="6">
        <v>0.0</v>
      </c>
      <c r="AS103" s="6">
        <v>0.0</v>
      </c>
      <c r="AT103" s="6">
        <f t="shared" ref="AT103:AV103" si="868">+AN103+AQ103+AH103+AK103</f>
        <v>0</v>
      </c>
      <c r="AU103" s="6">
        <f t="shared" si="868"/>
        <v>0</v>
      </c>
      <c r="AV103" s="6">
        <f t="shared" si="868"/>
        <v>0</v>
      </c>
      <c r="AW103" s="6">
        <v>0.0</v>
      </c>
      <c r="AX103" s="6">
        <v>0.0</v>
      </c>
      <c r="AY103" s="6">
        <v>0.0</v>
      </c>
      <c r="AZ103" s="6">
        <v>0.0</v>
      </c>
      <c r="BA103" s="6">
        <v>0.0</v>
      </c>
      <c r="BB103" s="6">
        <v>0.0</v>
      </c>
      <c r="BC103" s="6">
        <v>0.0</v>
      </c>
      <c r="BD103" s="6">
        <v>0.0</v>
      </c>
      <c r="BE103" s="6">
        <v>0.0</v>
      </c>
      <c r="BF103" s="6">
        <v>0.0</v>
      </c>
      <c r="BG103" s="6">
        <v>0.0</v>
      </c>
      <c r="BH103" s="6">
        <v>0.0</v>
      </c>
      <c r="BI103" s="6">
        <f t="shared" ref="BI103:BK103" si="869">+BC103+BF103+AW103+AZ103</f>
        <v>0</v>
      </c>
      <c r="BJ103" s="6">
        <f t="shared" si="869"/>
        <v>0</v>
      </c>
      <c r="BK103" s="6">
        <f t="shared" si="869"/>
        <v>0</v>
      </c>
      <c r="BL103" s="6">
        <v>0.0</v>
      </c>
      <c r="BM103" s="6">
        <v>0.0</v>
      </c>
      <c r="BN103" s="6">
        <v>0.0</v>
      </c>
      <c r="BO103" s="6">
        <v>0.0</v>
      </c>
      <c r="BP103" s="6">
        <v>0.0</v>
      </c>
      <c r="BQ103" s="6">
        <v>0.0</v>
      </c>
      <c r="BR103" s="6">
        <v>0.0</v>
      </c>
      <c r="BS103" s="6">
        <v>0.0</v>
      </c>
      <c r="BT103" s="6">
        <v>250000.0</v>
      </c>
      <c r="BU103" s="6" t="str">
        <f t="shared" ref="BU103:BW103" si="870">+BO103+BR103+#REF!+BL103</f>
        <v>#REF!</v>
      </c>
      <c r="BV103" s="6" t="str">
        <f t="shared" si="870"/>
        <v>#REF!</v>
      </c>
      <c r="BW103" s="6" t="str">
        <f t="shared" si="870"/>
        <v>#REF!</v>
      </c>
      <c r="BX103" s="6">
        <v>0.0</v>
      </c>
      <c r="BY103" s="6">
        <v>0.0</v>
      </c>
      <c r="BZ103" s="6">
        <v>0.0</v>
      </c>
      <c r="CA103" s="6">
        <v>0.0</v>
      </c>
      <c r="CB103" s="6">
        <v>0.0</v>
      </c>
      <c r="CC103" s="6">
        <v>0.0</v>
      </c>
      <c r="CD103" s="6">
        <v>0.0</v>
      </c>
      <c r="CE103" s="6">
        <v>0.0</v>
      </c>
      <c r="CF103" s="6">
        <v>0.0</v>
      </c>
      <c r="CG103" s="6" t="str">
        <f t="shared" ref="CG103:CI103" si="871">+CA103+CD103+BX103+#REF!</f>
        <v>#REF!</v>
      </c>
      <c r="CH103" s="6" t="str">
        <f t="shared" si="871"/>
        <v>#REF!</v>
      </c>
      <c r="CI103" s="6" t="str">
        <f t="shared" si="871"/>
        <v>#REF!</v>
      </c>
      <c r="CJ103" s="6">
        <v>0.0</v>
      </c>
      <c r="CK103" s="6">
        <v>0.0</v>
      </c>
      <c r="CL103" s="6">
        <v>0.0</v>
      </c>
      <c r="CM103" s="6">
        <v>0.0</v>
      </c>
      <c r="CN103" s="6">
        <v>0.0</v>
      </c>
      <c r="CO103" s="6">
        <v>0.0</v>
      </c>
      <c r="CP103" s="6">
        <v>0.0</v>
      </c>
      <c r="CQ103" s="6">
        <v>0.0</v>
      </c>
      <c r="CR103" s="6">
        <v>0.0</v>
      </c>
      <c r="CS103" s="6">
        <v>0.0</v>
      </c>
      <c r="CT103" s="6">
        <v>0.0</v>
      </c>
      <c r="CU103" s="6">
        <v>0.0</v>
      </c>
      <c r="CV103" s="6">
        <f t="shared" ref="CV103:CX103" si="872">+CP103+CS103+CJ103+CM103</f>
        <v>0</v>
      </c>
      <c r="CW103" s="6">
        <f t="shared" si="872"/>
        <v>0</v>
      </c>
      <c r="CX103" s="6">
        <f t="shared" si="872"/>
        <v>0</v>
      </c>
      <c r="CY103" s="6">
        <v>0.0</v>
      </c>
      <c r="CZ103" s="6">
        <v>0.0</v>
      </c>
      <c r="DA103" s="6">
        <v>0.0</v>
      </c>
      <c r="DB103" s="6">
        <v>0.0</v>
      </c>
      <c r="DC103" s="6">
        <v>0.0</v>
      </c>
      <c r="DD103" s="6">
        <v>0.0</v>
      </c>
      <c r="DE103" s="6">
        <v>0.0</v>
      </c>
      <c r="DF103" s="6">
        <v>0.0</v>
      </c>
      <c r="DG103" s="6">
        <v>0.0</v>
      </c>
      <c r="DH103" s="6">
        <v>0.0</v>
      </c>
      <c r="DI103" s="6">
        <v>0.0</v>
      </c>
      <c r="DJ103" s="6">
        <v>0.0</v>
      </c>
      <c r="DK103" s="6">
        <f t="shared" ref="DK103:DM103" si="873">+DE103+DH103+CY103+DB103</f>
        <v>0</v>
      </c>
      <c r="DL103" s="6">
        <f t="shared" si="873"/>
        <v>0</v>
      </c>
      <c r="DM103" s="6">
        <f t="shared" si="873"/>
        <v>0</v>
      </c>
      <c r="DN103" s="6" t="str">
        <f t="shared" ref="DN103:DP103" si="874">+P103+AE103+AT103+BI103+BU103+CG103+CV103</f>
        <v>#REF!</v>
      </c>
      <c r="DO103" s="6" t="str">
        <f t="shared" si="874"/>
        <v>#REF!</v>
      </c>
      <c r="DP103" s="6" t="str">
        <f t="shared" si="874"/>
        <v>#REF!</v>
      </c>
      <c r="DQ103" s="6" t="str">
        <f t="shared" si="19"/>
        <v>#REF!</v>
      </c>
    </row>
    <row r="104" ht="13.5" customHeight="1">
      <c r="A104" s="11">
        <v>45541.0</v>
      </c>
      <c r="B104" s="2" t="s">
        <v>461</v>
      </c>
      <c r="C104" s="2" t="s">
        <v>454</v>
      </c>
      <c r="D104" s="29" t="s">
        <v>455</v>
      </c>
      <c r="E104" s="2" t="s">
        <v>456</v>
      </c>
      <c r="F104" s="11" t="s">
        <v>457</v>
      </c>
      <c r="G104" s="11" t="s">
        <v>452</v>
      </c>
      <c r="H104" s="5"/>
      <c r="I104" s="36">
        <v>200000.0</v>
      </c>
      <c r="J104" s="6">
        <v>0.0</v>
      </c>
      <c r="K104" s="6">
        <v>0.0</v>
      </c>
      <c r="L104" s="6">
        <v>0.0</v>
      </c>
      <c r="M104" s="6">
        <v>0.0</v>
      </c>
      <c r="N104" s="6">
        <v>0.0</v>
      </c>
      <c r="O104" s="6">
        <v>0.0</v>
      </c>
      <c r="P104" s="6">
        <f t="shared" ref="P104:R104" si="875">+J104+M104</f>
        <v>0</v>
      </c>
      <c r="Q104" s="6">
        <f t="shared" si="875"/>
        <v>0</v>
      </c>
      <c r="R104" s="6">
        <f t="shared" si="875"/>
        <v>0</v>
      </c>
      <c r="S104" s="6">
        <v>0.0</v>
      </c>
      <c r="T104" s="6">
        <v>0.0</v>
      </c>
      <c r="U104" s="6">
        <v>0.0</v>
      </c>
      <c r="V104" s="6">
        <v>0.0</v>
      </c>
      <c r="W104" s="6">
        <v>0.0</v>
      </c>
      <c r="X104" s="6">
        <v>0.0</v>
      </c>
      <c r="Y104" s="6">
        <v>0.0</v>
      </c>
      <c r="Z104" s="6">
        <v>0.0</v>
      </c>
      <c r="AA104" s="6">
        <v>0.0</v>
      </c>
      <c r="AB104" s="6">
        <v>0.0</v>
      </c>
      <c r="AC104" s="6">
        <v>0.0</v>
      </c>
      <c r="AD104" s="6">
        <v>0.0</v>
      </c>
      <c r="AE104" s="6">
        <f t="shared" ref="AE104:AG104" si="876">+Y104+AB104+S104+V104</f>
        <v>0</v>
      </c>
      <c r="AF104" s="6">
        <f t="shared" si="876"/>
        <v>0</v>
      </c>
      <c r="AG104" s="6">
        <f t="shared" si="876"/>
        <v>0</v>
      </c>
      <c r="AH104" s="6">
        <v>0.0</v>
      </c>
      <c r="AI104" s="6">
        <v>0.0</v>
      </c>
      <c r="AJ104" s="6">
        <v>0.0</v>
      </c>
      <c r="AK104" s="6">
        <v>0.0</v>
      </c>
      <c r="AL104" s="6">
        <v>0.0</v>
      </c>
      <c r="AM104" s="6">
        <v>0.0</v>
      </c>
      <c r="AN104" s="6">
        <v>0.0</v>
      </c>
      <c r="AO104" s="6">
        <v>0.0</v>
      </c>
      <c r="AP104" s="6">
        <v>0.0</v>
      </c>
      <c r="AQ104" s="6">
        <v>0.0</v>
      </c>
      <c r="AR104" s="6">
        <v>0.0</v>
      </c>
      <c r="AS104" s="6">
        <v>0.0</v>
      </c>
      <c r="AT104" s="6">
        <f t="shared" ref="AT104:AV104" si="877">+AN104+AQ104+AH104+AK104</f>
        <v>0</v>
      </c>
      <c r="AU104" s="6">
        <f t="shared" si="877"/>
        <v>0</v>
      </c>
      <c r="AV104" s="6">
        <f t="shared" si="877"/>
        <v>0</v>
      </c>
      <c r="AW104" s="6">
        <v>0.0</v>
      </c>
      <c r="AX104" s="6">
        <v>0.0</v>
      </c>
      <c r="AY104" s="6">
        <v>0.0</v>
      </c>
      <c r="AZ104" s="6">
        <v>0.0</v>
      </c>
      <c r="BA104" s="6">
        <v>0.0</v>
      </c>
      <c r="BB104" s="6">
        <v>0.0</v>
      </c>
      <c r="BC104" s="6">
        <v>0.0</v>
      </c>
      <c r="BD104" s="6">
        <v>0.0</v>
      </c>
      <c r="BE104" s="6">
        <v>0.0</v>
      </c>
      <c r="BF104" s="6">
        <v>0.0</v>
      </c>
      <c r="BG104" s="6">
        <v>0.0</v>
      </c>
      <c r="BH104" s="6">
        <v>0.0</v>
      </c>
      <c r="BI104" s="6">
        <f t="shared" ref="BI104:BK104" si="878">+BC104+BF104+AW104+AZ104</f>
        <v>0</v>
      </c>
      <c r="BJ104" s="6">
        <f t="shared" si="878"/>
        <v>0</v>
      </c>
      <c r="BK104" s="6">
        <f t="shared" si="878"/>
        <v>0</v>
      </c>
      <c r="BL104" s="6">
        <v>0.0</v>
      </c>
      <c r="BM104" s="6">
        <v>0.0</v>
      </c>
      <c r="BN104" s="6">
        <v>0.0</v>
      </c>
      <c r="BO104" s="6">
        <v>0.0</v>
      </c>
      <c r="BP104" s="6">
        <v>0.0</v>
      </c>
      <c r="BQ104" s="6">
        <v>0.0</v>
      </c>
      <c r="BR104" s="6">
        <v>0.0</v>
      </c>
      <c r="BS104" s="6">
        <v>0.0</v>
      </c>
      <c r="BT104" s="6">
        <v>0.0</v>
      </c>
      <c r="BU104" s="6" t="str">
        <f t="shared" ref="BU104:BW104" si="879">+BO104+BR104+#REF!+BL104</f>
        <v>#REF!</v>
      </c>
      <c r="BV104" s="6" t="str">
        <f t="shared" si="879"/>
        <v>#REF!</v>
      </c>
      <c r="BW104" s="6" t="str">
        <f t="shared" si="879"/>
        <v>#REF!</v>
      </c>
      <c r="BX104" s="6">
        <v>0.0</v>
      </c>
      <c r="BY104" s="6">
        <v>0.0</v>
      </c>
      <c r="BZ104" s="6">
        <v>200000.0</v>
      </c>
      <c r="CA104" s="6">
        <v>0.0</v>
      </c>
      <c r="CB104" s="6">
        <v>0.0</v>
      </c>
      <c r="CC104" s="6">
        <v>0.0</v>
      </c>
      <c r="CD104" s="6">
        <v>0.0</v>
      </c>
      <c r="CE104" s="6">
        <v>0.0</v>
      </c>
      <c r="CF104" s="6">
        <v>0.0</v>
      </c>
      <c r="CG104" s="6" t="str">
        <f t="shared" ref="CG104:CI104" si="880">+CA104+CD104+BX104+#REF!</f>
        <v>#REF!</v>
      </c>
      <c r="CH104" s="6" t="str">
        <f t="shared" si="880"/>
        <v>#REF!</v>
      </c>
      <c r="CI104" s="6" t="str">
        <f t="shared" si="880"/>
        <v>#REF!</v>
      </c>
      <c r="CJ104" s="6">
        <v>0.0</v>
      </c>
      <c r="CK104" s="6">
        <v>0.0</v>
      </c>
      <c r="CL104" s="6">
        <v>0.0</v>
      </c>
      <c r="CM104" s="6">
        <v>0.0</v>
      </c>
      <c r="CN104" s="6">
        <v>0.0</v>
      </c>
      <c r="CO104" s="6">
        <v>0.0</v>
      </c>
      <c r="CP104" s="6">
        <v>0.0</v>
      </c>
      <c r="CQ104" s="6">
        <v>0.0</v>
      </c>
      <c r="CR104" s="6">
        <v>0.0</v>
      </c>
      <c r="CS104" s="6">
        <v>0.0</v>
      </c>
      <c r="CT104" s="6">
        <v>0.0</v>
      </c>
      <c r="CU104" s="6">
        <v>0.0</v>
      </c>
      <c r="CV104" s="6">
        <f t="shared" ref="CV104:CX104" si="881">+CP104+CS104+CJ104+CM104</f>
        <v>0</v>
      </c>
      <c r="CW104" s="6">
        <f t="shared" si="881"/>
        <v>0</v>
      </c>
      <c r="CX104" s="6">
        <f t="shared" si="881"/>
        <v>0</v>
      </c>
      <c r="CY104" s="6">
        <v>0.0</v>
      </c>
      <c r="CZ104" s="6">
        <v>0.0</v>
      </c>
      <c r="DA104" s="6">
        <v>0.0</v>
      </c>
      <c r="DB104" s="6">
        <v>0.0</v>
      </c>
      <c r="DC104" s="6">
        <v>0.0</v>
      </c>
      <c r="DD104" s="6">
        <v>0.0</v>
      </c>
      <c r="DE104" s="6">
        <v>0.0</v>
      </c>
      <c r="DF104" s="6">
        <v>0.0</v>
      </c>
      <c r="DG104" s="6">
        <v>0.0</v>
      </c>
      <c r="DH104" s="6">
        <v>0.0</v>
      </c>
      <c r="DI104" s="6">
        <v>0.0</v>
      </c>
      <c r="DJ104" s="6">
        <v>0.0</v>
      </c>
      <c r="DK104" s="6">
        <f t="shared" ref="DK104:DM104" si="882">+DE104+DH104+CY104+DB104</f>
        <v>0</v>
      </c>
      <c r="DL104" s="6">
        <f t="shared" si="882"/>
        <v>0</v>
      </c>
      <c r="DM104" s="6">
        <f t="shared" si="882"/>
        <v>0</v>
      </c>
      <c r="DN104" s="6" t="str">
        <f t="shared" ref="DN104:DP104" si="883">+P104+AE104+AT104+BI104+BU104+CG104+CV104</f>
        <v>#REF!</v>
      </c>
      <c r="DO104" s="6" t="str">
        <f t="shared" si="883"/>
        <v>#REF!</v>
      </c>
      <c r="DP104" s="6" t="str">
        <f t="shared" si="883"/>
        <v>#REF!</v>
      </c>
      <c r="DQ104" s="6" t="str">
        <f t="shared" si="19"/>
        <v>#REF!</v>
      </c>
    </row>
    <row r="105" ht="13.5" customHeight="1">
      <c r="A105" s="11">
        <v>45560.0</v>
      </c>
      <c r="B105" s="2" t="s">
        <v>462</v>
      </c>
      <c r="C105" s="2" t="s">
        <v>454</v>
      </c>
      <c r="D105" s="29" t="s">
        <v>455</v>
      </c>
      <c r="E105" s="2" t="s">
        <v>456</v>
      </c>
      <c r="F105" s="11" t="s">
        <v>457</v>
      </c>
      <c r="G105" s="11" t="s">
        <v>452</v>
      </c>
      <c r="H105" s="5"/>
      <c r="I105" s="36">
        <v>124093.0</v>
      </c>
      <c r="J105" s="6">
        <v>0.0</v>
      </c>
      <c r="K105" s="6">
        <v>0.0</v>
      </c>
      <c r="L105" s="6">
        <v>0.0</v>
      </c>
      <c r="M105" s="6">
        <v>0.0</v>
      </c>
      <c r="N105" s="6">
        <v>0.0</v>
      </c>
      <c r="O105" s="6">
        <v>0.0</v>
      </c>
      <c r="P105" s="6">
        <f t="shared" ref="P105:R105" si="884">+J105+M105</f>
        <v>0</v>
      </c>
      <c r="Q105" s="6">
        <f t="shared" si="884"/>
        <v>0</v>
      </c>
      <c r="R105" s="6">
        <f t="shared" si="884"/>
        <v>0</v>
      </c>
      <c r="S105" s="6">
        <v>0.0</v>
      </c>
      <c r="T105" s="6">
        <v>0.0</v>
      </c>
      <c r="U105" s="6">
        <v>0.0</v>
      </c>
      <c r="V105" s="6">
        <v>0.0</v>
      </c>
      <c r="W105" s="6">
        <v>0.0</v>
      </c>
      <c r="X105" s="6">
        <v>0.0</v>
      </c>
      <c r="Y105" s="6">
        <v>0.0</v>
      </c>
      <c r="Z105" s="6">
        <v>0.0</v>
      </c>
      <c r="AA105" s="6">
        <v>0.0</v>
      </c>
      <c r="AB105" s="6">
        <v>0.0</v>
      </c>
      <c r="AC105" s="6">
        <v>0.0</v>
      </c>
      <c r="AD105" s="6">
        <v>0.0</v>
      </c>
      <c r="AE105" s="6">
        <f t="shared" ref="AE105:AG105" si="885">+Y105+AB105+S105+V105</f>
        <v>0</v>
      </c>
      <c r="AF105" s="6">
        <f t="shared" si="885"/>
        <v>0</v>
      </c>
      <c r="AG105" s="6">
        <f t="shared" si="885"/>
        <v>0</v>
      </c>
      <c r="AH105" s="6">
        <v>0.0</v>
      </c>
      <c r="AI105" s="6">
        <v>0.0</v>
      </c>
      <c r="AJ105" s="6">
        <v>0.0</v>
      </c>
      <c r="AK105" s="6">
        <v>0.0</v>
      </c>
      <c r="AL105" s="6">
        <v>0.0</v>
      </c>
      <c r="AM105" s="6">
        <v>0.0</v>
      </c>
      <c r="AN105" s="6">
        <v>0.0</v>
      </c>
      <c r="AO105" s="6">
        <v>0.0</v>
      </c>
      <c r="AP105" s="6">
        <v>0.0</v>
      </c>
      <c r="AQ105" s="6">
        <v>0.0</v>
      </c>
      <c r="AR105" s="6">
        <v>0.0</v>
      </c>
      <c r="AS105" s="6">
        <v>0.0</v>
      </c>
      <c r="AT105" s="6">
        <f t="shared" ref="AT105:AV105" si="886">+AN105+AQ105+AH105+AK105</f>
        <v>0</v>
      </c>
      <c r="AU105" s="6">
        <f t="shared" si="886"/>
        <v>0</v>
      </c>
      <c r="AV105" s="6">
        <f t="shared" si="886"/>
        <v>0</v>
      </c>
      <c r="AW105" s="6">
        <v>0.0</v>
      </c>
      <c r="AX105" s="6">
        <v>0.0</v>
      </c>
      <c r="AY105" s="6">
        <v>0.0</v>
      </c>
      <c r="AZ105" s="6">
        <v>0.0</v>
      </c>
      <c r="BA105" s="6">
        <v>0.0</v>
      </c>
      <c r="BB105" s="6">
        <v>0.0</v>
      </c>
      <c r="BC105" s="6">
        <v>0.0</v>
      </c>
      <c r="BD105" s="6">
        <v>0.0</v>
      </c>
      <c r="BE105" s="6">
        <v>0.0</v>
      </c>
      <c r="BF105" s="6">
        <v>0.0</v>
      </c>
      <c r="BG105" s="6">
        <v>0.0</v>
      </c>
      <c r="BH105" s="6">
        <v>0.0</v>
      </c>
      <c r="BI105" s="6">
        <f t="shared" ref="BI105:BK105" si="887">+BC105+BF105+AW105+AZ105</f>
        <v>0</v>
      </c>
      <c r="BJ105" s="6">
        <f t="shared" si="887"/>
        <v>0</v>
      </c>
      <c r="BK105" s="6">
        <f t="shared" si="887"/>
        <v>0</v>
      </c>
      <c r="BL105" s="6">
        <v>0.0</v>
      </c>
      <c r="BM105" s="6">
        <v>0.0</v>
      </c>
      <c r="BN105" s="6">
        <v>0.0</v>
      </c>
      <c r="BO105" s="6">
        <v>0.0</v>
      </c>
      <c r="BP105" s="6">
        <v>0.0</v>
      </c>
      <c r="BQ105" s="6">
        <v>0.0</v>
      </c>
      <c r="BR105" s="6">
        <v>0.0</v>
      </c>
      <c r="BS105" s="6">
        <v>0.0</v>
      </c>
      <c r="BT105" s="6">
        <v>0.0</v>
      </c>
      <c r="BU105" s="6" t="str">
        <f t="shared" ref="BU105:BW105" si="888">+BO105+BR105+#REF!+BL105</f>
        <v>#REF!</v>
      </c>
      <c r="BV105" s="6" t="str">
        <f t="shared" si="888"/>
        <v>#REF!</v>
      </c>
      <c r="BW105" s="6" t="str">
        <f t="shared" si="888"/>
        <v>#REF!</v>
      </c>
      <c r="BX105" s="6">
        <v>0.0</v>
      </c>
      <c r="BY105" s="6">
        <v>0.0</v>
      </c>
      <c r="BZ105" s="6">
        <v>75000.0</v>
      </c>
      <c r="CA105" s="6">
        <v>0.0</v>
      </c>
      <c r="CB105" s="6">
        <v>0.0</v>
      </c>
      <c r="CC105" s="6">
        <v>0.0</v>
      </c>
      <c r="CD105" s="6">
        <v>0.0</v>
      </c>
      <c r="CE105" s="6">
        <v>0.0</v>
      </c>
      <c r="CF105" s="6">
        <v>0.0</v>
      </c>
      <c r="CG105" s="6" t="str">
        <f t="shared" ref="CG105:CI105" si="889">+CA105+CD105+BX105+#REF!</f>
        <v>#REF!</v>
      </c>
      <c r="CH105" s="6" t="str">
        <f t="shared" si="889"/>
        <v>#REF!</v>
      </c>
      <c r="CI105" s="6" t="str">
        <f t="shared" si="889"/>
        <v>#REF!</v>
      </c>
      <c r="CJ105" s="6">
        <v>0.0</v>
      </c>
      <c r="CK105" s="6">
        <v>0.0</v>
      </c>
      <c r="CL105" s="6">
        <v>0.0</v>
      </c>
      <c r="CM105" s="6">
        <v>0.0</v>
      </c>
      <c r="CN105" s="6">
        <v>0.0</v>
      </c>
      <c r="CO105" s="6">
        <v>0.0</v>
      </c>
      <c r="CP105" s="6">
        <v>0.0</v>
      </c>
      <c r="CQ105" s="6">
        <v>0.0</v>
      </c>
      <c r="CR105" s="6">
        <v>0.0</v>
      </c>
      <c r="CS105" s="6">
        <v>0.0</v>
      </c>
      <c r="CT105" s="6">
        <v>0.0</v>
      </c>
      <c r="CU105" s="6">
        <v>0.0</v>
      </c>
      <c r="CV105" s="6">
        <f t="shared" ref="CV105:CX105" si="890">+CP105+CS105+CJ105+CM105</f>
        <v>0</v>
      </c>
      <c r="CW105" s="6">
        <f t="shared" si="890"/>
        <v>0</v>
      </c>
      <c r="CX105" s="6">
        <f t="shared" si="890"/>
        <v>0</v>
      </c>
      <c r="CY105" s="6">
        <v>0.0</v>
      </c>
      <c r="CZ105" s="6">
        <v>0.0</v>
      </c>
      <c r="DA105" s="6">
        <v>0.0</v>
      </c>
      <c r="DB105" s="6">
        <v>0.0</v>
      </c>
      <c r="DC105" s="6">
        <v>0.0</v>
      </c>
      <c r="DD105" s="6">
        <v>0.0</v>
      </c>
      <c r="DE105" s="6">
        <v>0.0</v>
      </c>
      <c r="DF105" s="6">
        <v>0.0</v>
      </c>
      <c r="DG105" s="6">
        <v>0.0</v>
      </c>
      <c r="DH105" s="6">
        <v>0.0</v>
      </c>
      <c r="DI105" s="6">
        <v>0.0</v>
      </c>
      <c r="DJ105" s="6">
        <v>0.0</v>
      </c>
      <c r="DK105" s="6">
        <f t="shared" ref="DK105:DM105" si="891">+DE105+DH105+CY105+DB105</f>
        <v>0</v>
      </c>
      <c r="DL105" s="6">
        <f t="shared" si="891"/>
        <v>0</v>
      </c>
      <c r="DM105" s="6">
        <f t="shared" si="891"/>
        <v>0</v>
      </c>
      <c r="DN105" s="6" t="str">
        <f t="shared" ref="DN105:DP105" si="892">+P105+AE105+AT105+BI105+BU105+CG105+CV105</f>
        <v>#REF!</v>
      </c>
      <c r="DO105" s="6" t="str">
        <f t="shared" si="892"/>
        <v>#REF!</v>
      </c>
      <c r="DP105" s="6" t="str">
        <f t="shared" si="892"/>
        <v>#REF!</v>
      </c>
      <c r="DQ105" s="6" t="str">
        <f t="shared" si="19"/>
        <v>#REF!</v>
      </c>
    </row>
    <row r="106" ht="13.5" customHeight="1">
      <c r="A106" s="11">
        <v>45560.0</v>
      </c>
      <c r="B106" s="2" t="s">
        <v>462</v>
      </c>
      <c r="C106" s="2" t="s">
        <v>454</v>
      </c>
      <c r="D106" s="29" t="s">
        <v>455</v>
      </c>
      <c r="E106" s="2" t="s">
        <v>456</v>
      </c>
      <c r="F106" s="11" t="s">
        <v>457</v>
      </c>
      <c r="G106" s="11" t="s">
        <v>452</v>
      </c>
      <c r="H106" s="5"/>
      <c r="I106" s="36">
        <v>3549.0</v>
      </c>
      <c r="J106" s="6">
        <v>0.0</v>
      </c>
      <c r="K106" s="6">
        <v>0.0</v>
      </c>
      <c r="L106" s="6">
        <v>0.0</v>
      </c>
      <c r="M106" s="6">
        <v>0.0</v>
      </c>
      <c r="N106" s="6">
        <v>0.0</v>
      </c>
      <c r="O106" s="6">
        <v>0.0</v>
      </c>
      <c r="P106" s="6">
        <f t="shared" ref="P106:R106" si="893">+J106+M106</f>
        <v>0</v>
      </c>
      <c r="Q106" s="6">
        <f t="shared" si="893"/>
        <v>0</v>
      </c>
      <c r="R106" s="6">
        <f t="shared" si="893"/>
        <v>0</v>
      </c>
      <c r="S106" s="6">
        <v>0.0</v>
      </c>
      <c r="T106" s="6">
        <v>0.0</v>
      </c>
      <c r="U106" s="6">
        <v>0.0</v>
      </c>
      <c r="V106" s="6">
        <v>0.0</v>
      </c>
      <c r="W106" s="6">
        <v>0.0</v>
      </c>
      <c r="X106" s="6">
        <v>0.0</v>
      </c>
      <c r="Y106" s="6">
        <v>0.0</v>
      </c>
      <c r="Z106" s="6">
        <v>0.0</v>
      </c>
      <c r="AA106" s="6">
        <v>0.0</v>
      </c>
      <c r="AB106" s="6">
        <v>0.0</v>
      </c>
      <c r="AC106" s="6">
        <v>0.0</v>
      </c>
      <c r="AD106" s="6">
        <v>0.0</v>
      </c>
      <c r="AE106" s="6">
        <f t="shared" ref="AE106:AG106" si="894">+Y106+AB106+S106+V106</f>
        <v>0</v>
      </c>
      <c r="AF106" s="6">
        <f t="shared" si="894"/>
        <v>0</v>
      </c>
      <c r="AG106" s="6">
        <f t="shared" si="894"/>
        <v>0</v>
      </c>
      <c r="AH106" s="6">
        <v>0.0</v>
      </c>
      <c r="AI106" s="6">
        <v>0.0</v>
      </c>
      <c r="AJ106" s="6">
        <v>0.0</v>
      </c>
      <c r="AK106" s="6">
        <v>0.0</v>
      </c>
      <c r="AL106" s="6">
        <v>0.0</v>
      </c>
      <c r="AM106" s="6">
        <v>0.0</v>
      </c>
      <c r="AN106" s="6">
        <v>0.0</v>
      </c>
      <c r="AO106" s="6">
        <v>0.0</v>
      </c>
      <c r="AP106" s="6">
        <v>0.0</v>
      </c>
      <c r="AQ106" s="6">
        <v>0.0</v>
      </c>
      <c r="AR106" s="6">
        <v>0.0</v>
      </c>
      <c r="AS106" s="6">
        <v>0.0</v>
      </c>
      <c r="AT106" s="6">
        <f t="shared" ref="AT106:AV106" si="895">+AN106+AQ106+AH106+AK106</f>
        <v>0</v>
      </c>
      <c r="AU106" s="6">
        <f t="shared" si="895"/>
        <v>0</v>
      </c>
      <c r="AV106" s="6">
        <f t="shared" si="895"/>
        <v>0</v>
      </c>
      <c r="AW106" s="6">
        <v>0.0</v>
      </c>
      <c r="AX106" s="6">
        <v>0.0</v>
      </c>
      <c r="AY106" s="6">
        <v>0.0</v>
      </c>
      <c r="AZ106" s="6">
        <v>0.0</v>
      </c>
      <c r="BA106" s="6">
        <v>0.0</v>
      </c>
      <c r="BB106" s="6">
        <v>0.0</v>
      </c>
      <c r="BC106" s="6">
        <v>0.0</v>
      </c>
      <c r="BD106" s="6">
        <v>0.0</v>
      </c>
      <c r="BE106" s="6">
        <v>0.0</v>
      </c>
      <c r="BF106" s="6">
        <v>0.0</v>
      </c>
      <c r="BG106" s="6">
        <v>0.0</v>
      </c>
      <c r="BH106" s="6">
        <v>0.0</v>
      </c>
      <c r="BI106" s="6">
        <f t="shared" ref="BI106:BK106" si="896">+BC106+BF106+AW106+AZ106</f>
        <v>0</v>
      </c>
      <c r="BJ106" s="6">
        <f t="shared" si="896"/>
        <v>0</v>
      </c>
      <c r="BK106" s="6">
        <f t="shared" si="896"/>
        <v>0</v>
      </c>
      <c r="BL106" s="6">
        <v>0.0</v>
      </c>
      <c r="BM106" s="6">
        <v>0.0</v>
      </c>
      <c r="BN106" s="6">
        <v>0.0</v>
      </c>
      <c r="BO106" s="6">
        <v>0.0</v>
      </c>
      <c r="BP106" s="6">
        <v>0.0</v>
      </c>
      <c r="BQ106" s="6">
        <v>0.0</v>
      </c>
      <c r="BR106" s="6">
        <v>0.0</v>
      </c>
      <c r="BS106" s="6">
        <v>0.0</v>
      </c>
      <c r="BT106" s="6">
        <v>0.0</v>
      </c>
      <c r="BU106" s="6" t="str">
        <f t="shared" ref="BU106:BW106" si="897">+BO106+BR106+#REF!+BL106</f>
        <v>#REF!</v>
      </c>
      <c r="BV106" s="6" t="str">
        <f t="shared" si="897"/>
        <v>#REF!</v>
      </c>
      <c r="BW106" s="6" t="str">
        <f t="shared" si="897"/>
        <v>#REF!</v>
      </c>
      <c r="BX106" s="6">
        <v>0.0</v>
      </c>
      <c r="BY106" s="6">
        <v>0.0</v>
      </c>
      <c r="BZ106" s="6">
        <v>3549.0</v>
      </c>
      <c r="CA106" s="6">
        <v>0.0</v>
      </c>
      <c r="CB106" s="6">
        <v>0.0</v>
      </c>
      <c r="CC106" s="6">
        <v>0.0</v>
      </c>
      <c r="CD106" s="6">
        <v>0.0</v>
      </c>
      <c r="CE106" s="6">
        <v>0.0</v>
      </c>
      <c r="CF106" s="6">
        <v>0.0</v>
      </c>
      <c r="CG106" s="6" t="str">
        <f t="shared" ref="CG106:CI106" si="898">+CA106+CD106+BX106+#REF!</f>
        <v>#REF!</v>
      </c>
      <c r="CH106" s="6" t="str">
        <f t="shared" si="898"/>
        <v>#REF!</v>
      </c>
      <c r="CI106" s="6" t="str">
        <f t="shared" si="898"/>
        <v>#REF!</v>
      </c>
      <c r="CJ106" s="6">
        <v>0.0</v>
      </c>
      <c r="CK106" s="6">
        <v>0.0</v>
      </c>
      <c r="CL106" s="6">
        <v>0.0</v>
      </c>
      <c r="CM106" s="6">
        <v>0.0</v>
      </c>
      <c r="CN106" s="6">
        <v>0.0</v>
      </c>
      <c r="CO106" s="6">
        <v>0.0</v>
      </c>
      <c r="CP106" s="6">
        <v>0.0</v>
      </c>
      <c r="CQ106" s="6">
        <v>0.0</v>
      </c>
      <c r="CR106" s="6">
        <v>0.0</v>
      </c>
      <c r="CS106" s="6">
        <v>0.0</v>
      </c>
      <c r="CT106" s="6">
        <v>0.0</v>
      </c>
      <c r="CU106" s="6">
        <v>0.0</v>
      </c>
      <c r="CV106" s="6">
        <f t="shared" ref="CV106:CX106" si="899">+CP106+CS106+CJ106+CM106</f>
        <v>0</v>
      </c>
      <c r="CW106" s="6">
        <f t="shared" si="899"/>
        <v>0</v>
      </c>
      <c r="CX106" s="6">
        <f t="shared" si="899"/>
        <v>0</v>
      </c>
      <c r="CY106" s="6">
        <v>0.0</v>
      </c>
      <c r="CZ106" s="6">
        <v>0.0</v>
      </c>
      <c r="DA106" s="6">
        <v>0.0</v>
      </c>
      <c r="DB106" s="6">
        <v>0.0</v>
      </c>
      <c r="DC106" s="6">
        <v>0.0</v>
      </c>
      <c r="DD106" s="6">
        <v>0.0</v>
      </c>
      <c r="DE106" s="6">
        <v>0.0</v>
      </c>
      <c r="DF106" s="6">
        <v>0.0</v>
      </c>
      <c r="DG106" s="6">
        <v>0.0</v>
      </c>
      <c r="DH106" s="6">
        <v>0.0</v>
      </c>
      <c r="DI106" s="6">
        <v>0.0</v>
      </c>
      <c r="DJ106" s="6">
        <v>0.0</v>
      </c>
      <c r="DK106" s="6">
        <f t="shared" ref="DK106:DM106" si="900">+DE106+DH106+CY106+DB106</f>
        <v>0</v>
      </c>
      <c r="DL106" s="6">
        <f t="shared" si="900"/>
        <v>0</v>
      </c>
      <c r="DM106" s="6">
        <f t="shared" si="900"/>
        <v>0</v>
      </c>
      <c r="DN106" s="6" t="str">
        <f t="shared" ref="DN106:DP106" si="901">+P106+AE106+AT106+BI106+BU106+CG106+CV106</f>
        <v>#REF!</v>
      </c>
      <c r="DO106" s="6" t="str">
        <f t="shared" si="901"/>
        <v>#REF!</v>
      </c>
      <c r="DP106" s="6" t="str">
        <f t="shared" si="901"/>
        <v>#REF!</v>
      </c>
      <c r="DQ106" s="6" t="str">
        <f t="shared" si="19"/>
        <v>#REF!</v>
      </c>
    </row>
    <row r="107" ht="13.5" customHeight="1">
      <c r="A107" s="11">
        <v>45608.0</v>
      </c>
      <c r="B107" s="2" t="s">
        <v>463</v>
      </c>
      <c r="C107" s="2" t="s">
        <v>454</v>
      </c>
      <c r="D107" s="29" t="s">
        <v>455</v>
      </c>
      <c r="E107" s="2" t="s">
        <v>456</v>
      </c>
      <c r="F107" s="11" t="s">
        <v>457</v>
      </c>
      <c r="G107" s="11" t="s">
        <v>452</v>
      </c>
      <c r="H107" s="5"/>
      <c r="I107" s="36">
        <v>400000.0</v>
      </c>
      <c r="J107" s="6">
        <v>0.0</v>
      </c>
      <c r="K107" s="6">
        <v>0.0</v>
      </c>
      <c r="L107" s="6">
        <v>0.0</v>
      </c>
      <c r="M107" s="6">
        <v>0.0</v>
      </c>
      <c r="N107" s="6">
        <v>0.0</v>
      </c>
      <c r="O107" s="6">
        <v>0.0</v>
      </c>
      <c r="P107" s="6">
        <f t="shared" ref="P107:R107" si="902">+J107+M107</f>
        <v>0</v>
      </c>
      <c r="Q107" s="6">
        <f t="shared" si="902"/>
        <v>0</v>
      </c>
      <c r="R107" s="6">
        <f t="shared" si="902"/>
        <v>0</v>
      </c>
      <c r="S107" s="6">
        <v>0.0</v>
      </c>
      <c r="T107" s="6">
        <v>0.0</v>
      </c>
      <c r="U107" s="6">
        <v>0.0</v>
      </c>
      <c r="V107" s="6">
        <v>0.0</v>
      </c>
      <c r="W107" s="6">
        <v>0.0</v>
      </c>
      <c r="X107" s="6">
        <v>0.0</v>
      </c>
      <c r="Y107" s="6">
        <v>0.0</v>
      </c>
      <c r="Z107" s="6">
        <v>0.0</v>
      </c>
      <c r="AA107" s="6">
        <v>0.0</v>
      </c>
      <c r="AB107" s="6">
        <v>0.0</v>
      </c>
      <c r="AC107" s="6">
        <v>0.0</v>
      </c>
      <c r="AD107" s="6">
        <v>0.0</v>
      </c>
      <c r="AE107" s="6">
        <f t="shared" ref="AE107:AG107" si="903">+Y107+AB107+S107+V107</f>
        <v>0</v>
      </c>
      <c r="AF107" s="6">
        <f t="shared" si="903"/>
        <v>0</v>
      </c>
      <c r="AG107" s="6">
        <f t="shared" si="903"/>
        <v>0</v>
      </c>
      <c r="AH107" s="6">
        <v>0.0</v>
      </c>
      <c r="AI107" s="6">
        <v>0.0</v>
      </c>
      <c r="AJ107" s="6">
        <v>0.0</v>
      </c>
      <c r="AK107" s="6">
        <v>0.0</v>
      </c>
      <c r="AL107" s="6">
        <v>0.0</v>
      </c>
      <c r="AM107" s="6">
        <v>0.0</v>
      </c>
      <c r="AN107" s="6">
        <v>0.0</v>
      </c>
      <c r="AO107" s="6">
        <v>0.0</v>
      </c>
      <c r="AP107" s="6">
        <v>0.0</v>
      </c>
      <c r="AQ107" s="6">
        <v>0.0</v>
      </c>
      <c r="AR107" s="6">
        <v>0.0</v>
      </c>
      <c r="AS107" s="6">
        <v>0.0</v>
      </c>
      <c r="AT107" s="6">
        <f t="shared" ref="AT107:AV107" si="904">+AN107+AQ107+AH107+AK107</f>
        <v>0</v>
      </c>
      <c r="AU107" s="6">
        <f t="shared" si="904"/>
        <v>0</v>
      </c>
      <c r="AV107" s="6">
        <f t="shared" si="904"/>
        <v>0</v>
      </c>
      <c r="AW107" s="6">
        <v>0.0</v>
      </c>
      <c r="AX107" s="6">
        <v>0.0</v>
      </c>
      <c r="AY107" s="6">
        <v>0.0</v>
      </c>
      <c r="AZ107" s="6">
        <v>0.0</v>
      </c>
      <c r="BA107" s="6">
        <v>0.0</v>
      </c>
      <c r="BB107" s="6">
        <v>0.0</v>
      </c>
      <c r="BC107" s="6">
        <v>0.0</v>
      </c>
      <c r="BD107" s="6">
        <v>0.0</v>
      </c>
      <c r="BE107" s="6">
        <v>0.0</v>
      </c>
      <c r="BF107" s="6">
        <v>0.0</v>
      </c>
      <c r="BG107" s="6">
        <v>0.0</v>
      </c>
      <c r="BH107" s="6">
        <v>0.0</v>
      </c>
      <c r="BI107" s="6">
        <f t="shared" ref="BI107:BK107" si="905">+BC107+BF107+AW107+AZ107</f>
        <v>0</v>
      </c>
      <c r="BJ107" s="6">
        <f t="shared" si="905"/>
        <v>0</v>
      </c>
      <c r="BK107" s="6">
        <f t="shared" si="905"/>
        <v>0</v>
      </c>
      <c r="BL107" s="6">
        <v>0.0</v>
      </c>
      <c r="BM107" s="6">
        <v>0.0</v>
      </c>
      <c r="BN107" s="6">
        <v>0.0</v>
      </c>
      <c r="BO107" s="6">
        <v>0.0</v>
      </c>
      <c r="BP107" s="6">
        <v>0.0</v>
      </c>
      <c r="BQ107" s="6">
        <v>0.0</v>
      </c>
      <c r="BR107" s="6">
        <v>0.0</v>
      </c>
      <c r="BS107" s="6">
        <v>0.0</v>
      </c>
      <c r="BT107" s="6">
        <v>0.0</v>
      </c>
      <c r="BU107" s="6" t="str">
        <f t="shared" ref="BU107:BW107" si="906">+BO107+BR107+#REF!+BL107</f>
        <v>#REF!</v>
      </c>
      <c r="BV107" s="6" t="str">
        <f t="shared" si="906"/>
        <v>#REF!</v>
      </c>
      <c r="BW107" s="6" t="str">
        <f t="shared" si="906"/>
        <v>#REF!</v>
      </c>
      <c r="BX107" s="6">
        <v>0.0</v>
      </c>
      <c r="BY107" s="6">
        <v>0.0</v>
      </c>
      <c r="BZ107" s="6">
        <v>400000.0</v>
      </c>
      <c r="CA107" s="6">
        <v>0.0</v>
      </c>
      <c r="CB107" s="6">
        <v>0.0</v>
      </c>
      <c r="CC107" s="6">
        <v>0.0</v>
      </c>
      <c r="CD107" s="6">
        <v>0.0</v>
      </c>
      <c r="CE107" s="6">
        <v>0.0</v>
      </c>
      <c r="CF107" s="6">
        <v>0.0</v>
      </c>
      <c r="CG107" s="6" t="str">
        <f t="shared" ref="CG107:CI107" si="907">+CA107+CD107+BX107+#REF!</f>
        <v>#REF!</v>
      </c>
      <c r="CH107" s="6" t="str">
        <f t="shared" si="907"/>
        <v>#REF!</v>
      </c>
      <c r="CI107" s="6" t="str">
        <f t="shared" si="907"/>
        <v>#REF!</v>
      </c>
      <c r="CJ107" s="6">
        <v>0.0</v>
      </c>
      <c r="CK107" s="6">
        <v>0.0</v>
      </c>
      <c r="CL107" s="6">
        <v>0.0</v>
      </c>
      <c r="CM107" s="6">
        <v>0.0</v>
      </c>
      <c r="CN107" s="6">
        <v>0.0</v>
      </c>
      <c r="CO107" s="6">
        <v>0.0</v>
      </c>
      <c r="CP107" s="6">
        <v>0.0</v>
      </c>
      <c r="CQ107" s="6">
        <v>0.0</v>
      </c>
      <c r="CR107" s="6">
        <v>0.0</v>
      </c>
      <c r="CS107" s="6">
        <v>0.0</v>
      </c>
      <c r="CT107" s="6">
        <v>0.0</v>
      </c>
      <c r="CU107" s="6">
        <v>0.0</v>
      </c>
      <c r="CV107" s="6">
        <f t="shared" ref="CV107:CX107" si="908">+CP107+CS107+CJ107+CM107</f>
        <v>0</v>
      </c>
      <c r="CW107" s="6">
        <f t="shared" si="908"/>
        <v>0</v>
      </c>
      <c r="CX107" s="6">
        <f t="shared" si="908"/>
        <v>0</v>
      </c>
      <c r="CY107" s="6">
        <v>0.0</v>
      </c>
      <c r="CZ107" s="6">
        <v>0.0</v>
      </c>
      <c r="DA107" s="6">
        <v>0.0</v>
      </c>
      <c r="DB107" s="6">
        <v>0.0</v>
      </c>
      <c r="DC107" s="6">
        <v>0.0</v>
      </c>
      <c r="DD107" s="6">
        <v>0.0</v>
      </c>
      <c r="DE107" s="6">
        <v>0.0</v>
      </c>
      <c r="DF107" s="6">
        <v>0.0</v>
      </c>
      <c r="DG107" s="6">
        <v>0.0</v>
      </c>
      <c r="DH107" s="6">
        <v>0.0</v>
      </c>
      <c r="DI107" s="6">
        <v>0.0</v>
      </c>
      <c r="DJ107" s="6">
        <v>0.0</v>
      </c>
      <c r="DK107" s="6">
        <f t="shared" ref="DK107:DM107" si="909">+DE107+DH107+CY107+DB107</f>
        <v>0</v>
      </c>
      <c r="DL107" s="6">
        <f t="shared" si="909"/>
        <v>0</v>
      </c>
      <c r="DM107" s="6">
        <f t="shared" si="909"/>
        <v>0</v>
      </c>
      <c r="DN107" s="6" t="str">
        <f t="shared" ref="DN107:DP107" si="910">+P107+AE107+AT107+BI107+BU107+CG107+CV107</f>
        <v>#REF!</v>
      </c>
      <c r="DO107" s="6" t="str">
        <f t="shared" si="910"/>
        <v>#REF!</v>
      </c>
      <c r="DP107" s="6" t="str">
        <f t="shared" si="910"/>
        <v>#REF!</v>
      </c>
      <c r="DQ107" s="6" t="str">
        <f t="shared" si="19"/>
        <v>#REF!</v>
      </c>
    </row>
    <row r="108" ht="13.5" customHeight="1">
      <c r="A108" s="11">
        <v>45695.0</v>
      </c>
      <c r="B108" s="2" t="s">
        <v>464</v>
      </c>
      <c r="C108" s="2" t="s">
        <v>454</v>
      </c>
      <c r="D108" s="29" t="s">
        <v>455</v>
      </c>
      <c r="E108" s="2" t="s">
        <v>456</v>
      </c>
      <c r="F108" s="11" t="s">
        <v>457</v>
      </c>
      <c r="G108" s="11" t="s">
        <v>452</v>
      </c>
      <c r="H108" s="5"/>
      <c r="I108" s="36">
        <v>600000.0</v>
      </c>
      <c r="J108" s="6">
        <v>0.0</v>
      </c>
      <c r="K108" s="6">
        <v>0.0</v>
      </c>
      <c r="L108" s="6">
        <v>0.0</v>
      </c>
      <c r="M108" s="6">
        <v>0.0</v>
      </c>
      <c r="N108" s="6">
        <v>0.0</v>
      </c>
      <c r="O108" s="6">
        <v>0.0</v>
      </c>
      <c r="P108" s="6">
        <f t="shared" ref="P108:R108" si="911">+J108+M108</f>
        <v>0</v>
      </c>
      <c r="Q108" s="6">
        <f t="shared" si="911"/>
        <v>0</v>
      </c>
      <c r="R108" s="6">
        <f t="shared" si="911"/>
        <v>0</v>
      </c>
      <c r="S108" s="6">
        <v>0.0</v>
      </c>
      <c r="T108" s="6">
        <v>0.0</v>
      </c>
      <c r="U108" s="6">
        <v>0.0</v>
      </c>
      <c r="V108" s="6">
        <v>0.0</v>
      </c>
      <c r="W108" s="6">
        <v>0.0</v>
      </c>
      <c r="X108" s="6">
        <v>0.0</v>
      </c>
      <c r="Y108" s="6">
        <v>0.0</v>
      </c>
      <c r="Z108" s="6">
        <v>0.0</v>
      </c>
      <c r="AA108" s="6">
        <v>0.0</v>
      </c>
      <c r="AB108" s="6">
        <v>0.0</v>
      </c>
      <c r="AC108" s="6">
        <v>0.0</v>
      </c>
      <c r="AD108" s="6">
        <v>0.0</v>
      </c>
      <c r="AE108" s="6">
        <f t="shared" ref="AE108:AG108" si="912">+Y108+AB108+S108+V108</f>
        <v>0</v>
      </c>
      <c r="AF108" s="6">
        <f t="shared" si="912"/>
        <v>0</v>
      </c>
      <c r="AG108" s="6">
        <f t="shared" si="912"/>
        <v>0</v>
      </c>
      <c r="AH108" s="6">
        <v>0.0</v>
      </c>
      <c r="AI108" s="6">
        <v>0.0</v>
      </c>
      <c r="AJ108" s="6">
        <v>0.0</v>
      </c>
      <c r="AK108" s="6">
        <v>0.0</v>
      </c>
      <c r="AL108" s="6">
        <v>0.0</v>
      </c>
      <c r="AM108" s="6">
        <v>0.0</v>
      </c>
      <c r="AN108" s="6">
        <v>0.0</v>
      </c>
      <c r="AO108" s="6">
        <v>0.0</v>
      </c>
      <c r="AP108" s="6">
        <v>0.0</v>
      </c>
      <c r="AQ108" s="6">
        <v>0.0</v>
      </c>
      <c r="AR108" s="6">
        <v>0.0</v>
      </c>
      <c r="AS108" s="6">
        <v>0.0</v>
      </c>
      <c r="AT108" s="6">
        <f t="shared" ref="AT108:AV108" si="913">+AN108+AQ108+AH108+AK108</f>
        <v>0</v>
      </c>
      <c r="AU108" s="6">
        <f t="shared" si="913"/>
        <v>0</v>
      </c>
      <c r="AV108" s="6">
        <f t="shared" si="913"/>
        <v>0</v>
      </c>
      <c r="AW108" s="6">
        <v>0.0</v>
      </c>
      <c r="AX108" s="6">
        <v>0.0</v>
      </c>
      <c r="AY108" s="6">
        <v>0.0</v>
      </c>
      <c r="AZ108" s="6">
        <v>0.0</v>
      </c>
      <c r="BA108" s="6">
        <v>0.0</v>
      </c>
      <c r="BB108" s="6">
        <v>0.0</v>
      </c>
      <c r="BC108" s="6">
        <v>0.0</v>
      </c>
      <c r="BD108" s="6">
        <v>0.0</v>
      </c>
      <c r="BE108" s="6">
        <v>0.0</v>
      </c>
      <c r="BF108" s="6">
        <v>0.0</v>
      </c>
      <c r="BG108" s="6">
        <v>0.0</v>
      </c>
      <c r="BH108" s="6">
        <v>0.0</v>
      </c>
      <c r="BI108" s="6">
        <f t="shared" ref="BI108:BK108" si="914">+BC108+BF108+AW108+AZ108</f>
        <v>0</v>
      </c>
      <c r="BJ108" s="6">
        <f t="shared" si="914"/>
        <v>0</v>
      </c>
      <c r="BK108" s="6">
        <f t="shared" si="914"/>
        <v>0</v>
      </c>
      <c r="BL108" s="6">
        <v>0.0</v>
      </c>
      <c r="BM108" s="6">
        <v>0.0</v>
      </c>
      <c r="BN108" s="6">
        <v>0.0</v>
      </c>
      <c r="BO108" s="6">
        <v>0.0</v>
      </c>
      <c r="BP108" s="6">
        <v>0.0</v>
      </c>
      <c r="BQ108" s="6">
        <v>0.0</v>
      </c>
      <c r="BR108" s="6">
        <v>0.0</v>
      </c>
      <c r="BS108" s="6">
        <v>0.0</v>
      </c>
      <c r="BT108" s="6">
        <v>0.0</v>
      </c>
      <c r="BU108" s="6" t="str">
        <f t="shared" ref="BU108:BW108" si="915">+BO108+BR108+#REF!+BL108</f>
        <v>#REF!</v>
      </c>
      <c r="BV108" s="6" t="str">
        <f t="shared" si="915"/>
        <v>#REF!</v>
      </c>
      <c r="BW108" s="6" t="str">
        <f t="shared" si="915"/>
        <v>#REF!</v>
      </c>
      <c r="BX108" s="6">
        <v>0.0</v>
      </c>
      <c r="BY108" s="6">
        <v>0.0</v>
      </c>
      <c r="BZ108" s="6">
        <v>0.0</v>
      </c>
      <c r="CA108" s="6">
        <v>0.0</v>
      </c>
      <c r="CB108" s="6">
        <v>0.0</v>
      </c>
      <c r="CC108" s="6">
        <v>0.0</v>
      </c>
      <c r="CD108" s="6">
        <v>0.0</v>
      </c>
      <c r="CE108" s="6">
        <v>0.0</v>
      </c>
      <c r="CF108" s="6">
        <v>0.0</v>
      </c>
      <c r="CG108" s="6" t="str">
        <f t="shared" ref="CG108:CI108" si="916">+CA108+CD108+BX108+#REF!</f>
        <v>#REF!</v>
      </c>
      <c r="CH108" s="6" t="str">
        <f t="shared" si="916"/>
        <v>#REF!</v>
      </c>
      <c r="CI108" s="6" t="str">
        <f t="shared" si="916"/>
        <v>#REF!</v>
      </c>
      <c r="CJ108" s="6">
        <v>0.0</v>
      </c>
      <c r="CK108" s="6">
        <v>0.0</v>
      </c>
      <c r="CL108" s="6">
        <v>0.0</v>
      </c>
      <c r="CM108" s="6">
        <v>0.0</v>
      </c>
      <c r="CN108" s="6">
        <v>0.0</v>
      </c>
      <c r="CO108" s="6">
        <v>0.0</v>
      </c>
      <c r="CP108" s="6">
        <v>0.0</v>
      </c>
      <c r="CQ108" s="6">
        <v>0.0</v>
      </c>
      <c r="CR108" s="6">
        <v>0.0</v>
      </c>
      <c r="CS108" s="6">
        <v>0.0</v>
      </c>
      <c r="CT108" s="6">
        <v>0.0</v>
      </c>
      <c r="CU108" s="6">
        <v>0.0</v>
      </c>
      <c r="CV108" s="6">
        <f t="shared" ref="CV108:CX108" si="917">+CP108+CS108+CJ108+CM108</f>
        <v>0</v>
      </c>
      <c r="CW108" s="6">
        <f t="shared" si="917"/>
        <v>0</v>
      </c>
      <c r="CX108" s="6">
        <f t="shared" si="917"/>
        <v>0</v>
      </c>
      <c r="CY108" s="6">
        <v>0.0</v>
      </c>
      <c r="CZ108" s="6">
        <v>0.0</v>
      </c>
      <c r="DA108" s="6">
        <v>0.0</v>
      </c>
      <c r="DB108" s="6">
        <v>0.0</v>
      </c>
      <c r="DC108" s="6">
        <v>0.0</v>
      </c>
      <c r="DD108" s="6">
        <v>0.0</v>
      </c>
      <c r="DE108" s="6">
        <v>0.0</v>
      </c>
      <c r="DF108" s="6">
        <v>0.0</v>
      </c>
      <c r="DG108" s="6">
        <v>0.0</v>
      </c>
      <c r="DH108" s="6">
        <v>0.0</v>
      </c>
      <c r="DI108" s="6">
        <v>0.0</v>
      </c>
      <c r="DJ108" s="6">
        <v>0.0</v>
      </c>
      <c r="DK108" s="6">
        <f t="shared" ref="DK108:DM108" si="918">+DE108+DH108+CY108+DB108</f>
        <v>0</v>
      </c>
      <c r="DL108" s="6">
        <f t="shared" si="918"/>
        <v>0</v>
      </c>
      <c r="DM108" s="6">
        <f t="shared" si="918"/>
        <v>0</v>
      </c>
      <c r="DN108" s="6" t="str">
        <f t="shared" ref="DN108:DP108" si="919">+P108+AE108+AT108+BI108+BU108+CG108+CV108</f>
        <v>#REF!</v>
      </c>
      <c r="DO108" s="6" t="str">
        <f t="shared" si="919"/>
        <v>#REF!</v>
      </c>
      <c r="DP108" s="6" t="str">
        <f t="shared" si="919"/>
        <v>#REF!</v>
      </c>
      <c r="DQ108" s="6" t="str">
        <f t="shared" si="19"/>
        <v>#REF!</v>
      </c>
    </row>
    <row r="109" ht="13.5" customHeight="1">
      <c r="A109" s="11">
        <v>45812.0</v>
      </c>
      <c r="B109" s="2" t="s">
        <v>465</v>
      </c>
      <c r="C109" s="2" t="s">
        <v>454</v>
      </c>
      <c r="D109" s="29" t="s">
        <v>455</v>
      </c>
      <c r="E109" s="2" t="s">
        <v>456</v>
      </c>
      <c r="F109" s="11" t="s">
        <v>457</v>
      </c>
      <c r="G109" s="11" t="s">
        <v>452</v>
      </c>
      <c r="H109" s="5"/>
      <c r="I109" s="36">
        <v>600000.0</v>
      </c>
      <c r="J109" s="6">
        <v>0.0</v>
      </c>
      <c r="K109" s="6">
        <v>0.0</v>
      </c>
      <c r="L109" s="6">
        <v>0.0</v>
      </c>
      <c r="M109" s="6">
        <v>0.0</v>
      </c>
      <c r="N109" s="6">
        <v>0.0</v>
      </c>
      <c r="O109" s="6">
        <v>0.0</v>
      </c>
      <c r="P109" s="6">
        <f t="shared" ref="P109:R109" si="920">+J109+M109</f>
        <v>0</v>
      </c>
      <c r="Q109" s="6">
        <f t="shared" si="920"/>
        <v>0</v>
      </c>
      <c r="R109" s="6">
        <f t="shared" si="920"/>
        <v>0</v>
      </c>
      <c r="S109" s="6">
        <v>0.0</v>
      </c>
      <c r="T109" s="6">
        <v>0.0</v>
      </c>
      <c r="U109" s="6">
        <v>0.0</v>
      </c>
      <c r="V109" s="6">
        <v>0.0</v>
      </c>
      <c r="W109" s="6">
        <v>0.0</v>
      </c>
      <c r="X109" s="6">
        <v>0.0</v>
      </c>
      <c r="Y109" s="6">
        <v>0.0</v>
      </c>
      <c r="Z109" s="6">
        <v>0.0</v>
      </c>
      <c r="AA109" s="6">
        <v>0.0</v>
      </c>
      <c r="AB109" s="6">
        <v>0.0</v>
      </c>
      <c r="AC109" s="6">
        <v>0.0</v>
      </c>
      <c r="AD109" s="6">
        <v>0.0</v>
      </c>
      <c r="AE109" s="6">
        <f t="shared" ref="AE109:AG109" si="921">+Y109+AB109+S109+V109</f>
        <v>0</v>
      </c>
      <c r="AF109" s="6">
        <f t="shared" si="921"/>
        <v>0</v>
      </c>
      <c r="AG109" s="6">
        <f t="shared" si="921"/>
        <v>0</v>
      </c>
      <c r="AH109" s="6">
        <v>0.0</v>
      </c>
      <c r="AI109" s="6">
        <v>0.0</v>
      </c>
      <c r="AJ109" s="6">
        <v>0.0</v>
      </c>
      <c r="AK109" s="6">
        <v>0.0</v>
      </c>
      <c r="AL109" s="6">
        <v>0.0</v>
      </c>
      <c r="AM109" s="6">
        <v>0.0</v>
      </c>
      <c r="AN109" s="6">
        <v>0.0</v>
      </c>
      <c r="AO109" s="6">
        <v>0.0</v>
      </c>
      <c r="AP109" s="6">
        <v>0.0</v>
      </c>
      <c r="AQ109" s="6">
        <v>0.0</v>
      </c>
      <c r="AR109" s="6">
        <v>0.0</v>
      </c>
      <c r="AS109" s="6">
        <v>0.0</v>
      </c>
      <c r="AT109" s="6">
        <f t="shared" ref="AT109:AV109" si="922">+AN109+AQ109+AH109+AK109</f>
        <v>0</v>
      </c>
      <c r="AU109" s="6">
        <f t="shared" si="922"/>
        <v>0</v>
      </c>
      <c r="AV109" s="6">
        <f t="shared" si="922"/>
        <v>0</v>
      </c>
      <c r="AW109" s="6">
        <v>0.0</v>
      </c>
      <c r="AX109" s="6">
        <v>0.0</v>
      </c>
      <c r="AY109" s="6">
        <v>0.0</v>
      </c>
      <c r="AZ109" s="6">
        <v>0.0</v>
      </c>
      <c r="BA109" s="6">
        <v>0.0</v>
      </c>
      <c r="BB109" s="6">
        <v>0.0</v>
      </c>
      <c r="BC109" s="6">
        <v>0.0</v>
      </c>
      <c r="BD109" s="6">
        <v>0.0</v>
      </c>
      <c r="BE109" s="6">
        <v>0.0</v>
      </c>
      <c r="BF109" s="6">
        <v>0.0</v>
      </c>
      <c r="BG109" s="6">
        <v>0.0</v>
      </c>
      <c r="BH109" s="6">
        <v>0.0</v>
      </c>
      <c r="BI109" s="6">
        <f t="shared" ref="BI109:BK109" si="923">+BC109+BF109+AW109+AZ109</f>
        <v>0</v>
      </c>
      <c r="BJ109" s="6">
        <f t="shared" si="923"/>
        <v>0</v>
      </c>
      <c r="BK109" s="6">
        <f t="shared" si="923"/>
        <v>0</v>
      </c>
      <c r="BL109" s="6">
        <v>0.0</v>
      </c>
      <c r="BM109" s="6">
        <v>0.0</v>
      </c>
      <c r="BN109" s="6">
        <v>0.0</v>
      </c>
      <c r="BO109" s="6">
        <v>0.0</v>
      </c>
      <c r="BP109" s="6">
        <v>0.0</v>
      </c>
      <c r="BQ109" s="6">
        <v>0.0</v>
      </c>
      <c r="BR109" s="6">
        <v>0.0</v>
      </c>
      <c r="BS109" s="6">
        <v>0.0</v>
      </c>
      <c r="BT109" s="6">
        <v>0.0</v>
      </c>
      <c r="BU109" s="6" t="str">
        <f t="shared" ref="BU109:BW109" si="924">+BO109+BR109+#REF!+BL109</f>
        <v>#REF!</v>
      </c>
      <c r="BV109" s="6" t="str">
        <f t="shared" si="924"/>
        <v>#REF!</v>
      </c>
      <c r="BW109" s="6" t="str">
        <f t="shared" si="924"/>
        <v>#REF!</v>
      </c>
      <c r="BX109" s="6">
        <v>0.0</v>
      </c>
      <c r="BY109" s="6">
        <v>0.0</v>
      </c>
      <c r="BZ109" s="6">
        <v>0.0</v>
      </c>
      <c r="CA109" s="6">
        <v>0.0</v>
      </c>
      <c r="CB109" s="6">
        <v>0.0</v>
      </c>
      <c r="CC109" s="6">
        <v>0.0</v>
      </c>
      <c r="CD109" s="6">
        <v>0.0</v>
      </c>
      <c r="CE109" s="6">
        <v>0.0</v>
      </c>
      <c r="CF109" s="6">
        <v>600000.0</v>
      </c>
      <c r="CG109" s="6" t="str">
        <f t="shared" ref="CG109:CI109" si="925">+CA109+CD109+BX109+#REF!</f>
        <v>#REF!</v>
      </c>
      <c r="CH109" s="6" t="str">
        <f t="shared" si="925"/>
        <v>#REF!</v>
      </c>
      <c r="CI109" s="6" t="str">
        <f t="shared" si="925"/>
        <v>#REF!</v>
      </c>
      <c r="CJ109" s="6">
        <v>0.0</v>
      </c>
      <c r="CK109" s="6">
        <v>0.0</v>
      </c>
      <c r="CL109" s="6">
        <v>0.0</v>
      </c>
      <c r="CM109" s="6">
        <v>0.0</v>
      </c>
      <c r="CN109" s="6">
        <v>0.0</v>
      </c>
      <c r="CO109" s="6">
        <v>0.0</v>
      </c>
      <c r="CP109" s="6">
        <v>0.0</v>
      </c>
      <c r="CQ109" s="6">
        <v>0.0</v>
      </c>
      <c r="CR109" s="6">
        <v>0.0</v>
      </c>
      <c r="CS109" s="6">
        <v>0.0</v>
      </c>
      <c r="CT109" s="6">
        <v>0.0</v>
      </c>
      <c r="CU109" s="6">
        <v>0.0</v>
      </c>
      <c r="CV109" s="6">
        <f t="shared" ref="CV109:CX109" si="926">+CP109+CS109+CJ109+CM109</f>
        <v>0</v>
      </c>
      <c r="CW109" s="6">
        <f t="shared" si="926"/>
        <v>0</v>
      </c>
      <c r="CX109" s="6">
        <f t="shared" si="926"/>
        <v>0</v>
      </c>
      <c r="CY109" s="6">
        <v>0.0</v>
      </c>
      <c r="CZ109" s="6">
        <v>0.0</v>
      </c>
      <c r="DA109" s="6">
        <v>0.0</v>
      </c>
      <c r="DB109" s="6">
        <v>0.0</v>
      </c>
      <c r="DC109" s="6">
        <v>0.0</v>
      </c>
      <c r="DD109" s="6">
        <v>0.0</v>
      </c>
      <c r="DE109" s="6">
        <v>0.0</v>
      </c>
      <c r="DF109" s="6">
        <v>0.0</v>
      </c>
      <c r="DG109" s="6">
        <v>0.0</v>
      </c>
      <c r="DH109" s="6">
        <v>0.0</v>
      </c>
      <c r="DI109" s="6">
        <v>0.0</v>
      </c>
      <c r="DJ109" s="6">
        <v>0.0</v>
      </c>
      <c r="DK109" s="6">
        <f t="shared" ref="DK109:DM109" si="927">+DE109+DH109+CY109+DB109</f>
        <v>0</v>
      </c>
      <c r="DL109" s="6">
        <f t="shared" si="927"/>
        <v>0</v>
      </c>
      <c r="DM109" s="6">
        <f t="shared" si="927"/>
        <v>0</v>
      </c>
      <c r="DN109" s="6" t="str">
        <f t="shared" ref="DN109:DP109" si="928">+P109+AE109+AT109+BI109+BU109+CG109+CV109</f>
        <v>#REF!</v>
      </c>
      <c r="DO109" s="6" t="str">
        <f t="shared" si="928"/>
        <v>#REF!</v>
      </c>
      <c r="DP109" s="6" t="str">
        <f t="shared" si="928"/>
        <v>#REF!</v>
      </c>
      <c r="DQ109" s="6" t="str">
        <f t="shared" si="19"/>
        <v>#REF!</v>
      </c>
    </row>
    <row r="110" ht="13.5" customHeight="1">
      <c r="A110" s="11">
        <v>45994.0</v>
      </c>
      <c r="B110" s="2" t="s">
        <v>466</v>
      </c>
      <c r="C110" s="2" t="s">
        <v>454</v>
      </c>
      <c r="D110" s="29" t="s">
        <v>455</v>
      </c>
      <c r="E110" s="2" t="s">
        <v>456</v>
      </c>
      <c r="F110" s="11" t="s">
        <v>457</v>
      </c>
      <c r="G110" s="11" t="s">
        <v>452</v>
      </c>
      <c r="H110" s="5"/>
      <c r="I110" s="36">
        <v>1000000.0</v>
      </c>
      <c r="J110" s="6">
        <v>0.0</v>
      </c>
      <c r="K110" s="6">
        <v>0.0</v>
      </c>
      <c r="L110" s="6">
        <v>0.0</v>
      </c>
      <c r="M110" s="6">
        <v>0.0</v>
      </c>
      <c r="N110" s="6">
        <v>0.0</v>
      </c>
      <c r="O110" s="6">
        <v>0.0</v>
      </c>
      <c r="P110" s="6">
        <f t="shared" ref="P110:R110" si="929">+J110+M110</f>
        <v>0</v>
      </c>
      <c r="Q110" s="6">
        <f t="shared" si="929"/>
        <v>0</v>
      </c>
      <c r="R110" s="6">
        <f t="shared" si="929"/>
        <v>0</v>
      </c>
      <c r="S110" s="6">
        <v>0.0</v>
      </c>
      <c r="T110" s="6">
        <v>0.0</v>
      </c>
      <c r="U110" s="6">
        <v>0.0</v>
      </c>
      <c r="V110" s="6">
        <v>0.0</v>
      </c>
      <c r="W110" s="6">
        <v>0.0</v>
      </c>
      <c r="X110" s="6">
        <v>0.0</v>
      </c>
      <c r="Y110" s="6">
        <v>0.0</v>
      </c>
      <c r="Z110" s="6">
        <v>0.0</v>
      </c>
      <c r="AA110" s="6">
        <v>0.0</v>
      </c>
      <c r="AB110" s="6">
        <v>0.0</v>
      </c>
      <c r="AC110" s="6">
        <v>0.0</v>
      </c>
      <c r="AD110" s="6">
        <v>0.0</v>
      </c>
      <c r="AE110" s="6">
        <f t="shared" ref="AE110:AG110" si="930">+Y110+AB110+S110+V110</f>
        <v>0</v>
      </c>
      <c r="AF110" s="6">
        <f t="shared" si="930"/>
        <v>0</v>
      </c>
      <c r="AG110" s="6">
        <f t="shared" si="930"/>
        <v>0</v>
      </c>
      <c r="AH110" s="6">
        <v>0.0</v>
      </c>
      <c r="AI110" s="6">
        <v>0.0</v>
      </c>
      <c r="AJ110" s="6">
        <v>0.0</v>
      </c>
      <c r="AK110" s="6">
        <v>0.0</v>
      </c>
      <c r="AL110" s="6">
        <v>0.0</v>
      </c>
      <c r="AM110" s="6">
        <v>0.0</v>
      </c>
      <c r="AN110" s="6">
        <v>0.0</v>
      </c>
      <c r="AO110" s="6">
        <v>0.0</v>
      </c>
      <c r="AP110" s="6">
        <v>0.0</v>
      </c>
      <c r="AQ110" s="6">
        <v>0.0</v>
      </c>
      <c r="AR110" s="6">
        <v>0.0</v>
      </c>
      <c r="AS110" s="6">
        <v>0.0</v>
      </c>
      <c r="AT110" s="6">
        <f t="shared" ref="AT110:AV110" si="931">+AN110+AQ110+AH110+AK110</f>
        <v>0</v>
      </c>
      <c r="AU110" s="6">
        <f t="shared" si="931"/>
        <v>0</v>
      </c>
      <c r="AV110" s="6">
        <f t="shared" si="931"/>
        <v>0</v>
      </c>
      <c r="AW110" s="6">
        <v>0.0</v>
      </c>
      <c r="AX110" s="6">
        <v>0.0</v>
      </c>
      <c r="AY110" s="6">
        <v>0.0</v>
      </c>
      <c r="AZ110" s="6">
        <v>0.0</v>
      </c>
      <c r="BA110" s="6">
        <v>0.0</v>
      </c>
      <c r="BB110" s="6">
        <v>0.0</v>
      </c>
      <c r="BC110" s="6">
        <v>0.0</v>
      </c>
      <c r="BD110" s="6">
        <v>0.0</v>
      </c>
      <c r="BE110" s="6">
        <v>0.0</v>
      </c>
      <c r="BF110" s="6">
        <v>0.0</v>
      </c>
      <c r="BG110" s="6">
        <v>0.0</v>
      </c>
      <c r="BH110" s="6">
        <v>0.0</v>
      </c>
      <c r="BI110" s="6">
        <f t="shared" ref="BI110:BK110" si="932">+BC110+BF110+AW110+AZ110</f>
        <v>0</v>
      </c>
      <c r="BJ110" s="6">
        <f t="shared" si="932"/>
        <v>0</v>
      </c>
      <c r="BK110" s="6">
        <f t="shared" si="932"/>
        <v>0</v>
      </c>
      <c r="BL110" s="6">
        <v>0.0</v>
      </c>
      <c r="BM110" s="6">
        <v>0.0</v>
      </c>
      <c r="BN110" s="6">
        <v>0.0</v>
      </c>
      <c r="BO110" s="6">
        <v>0.0</v>
      </c>
      <c r="BP110" s="6">
        <v>0.0</v>
      </c>
      <c r="BQ110" s="6">
        <v>0.0</v>
      </c>
      <c r="BR110" s="6">
        <v>0.0</v>
      </c>
      <c r="BS110" s="6">
        <v>0.0</v>
      </c>
      <c r="BT110" s="6">
        <v>0.0</v>
      </c>
      <c r="BU110" s="6" t="str">
        <f t="shared" ref="BU110:BW110" si="933">+BO110+BR110+#REF!+BL110</f>
        <v>#REF!</v>
      </c>
      <c r="BV110" s="6" t="str">
        <f t="shared" si="933"/>
        <v>#REF!</v>
      </c>
      <c r="BW110" s="6" t="str">
        <f t="shared" si="933"/>
        <v>#REF!</v>
      </c>
      <c r="BX110" s="6">
        <v>0.0</v>
      </c>
      <c r="BY110" s="6">
        <v>0.0</v>
      </c>
      <c r="BZ110" s="6">
        <v>0.0</v>
      </c>
      <c r="CA110" s="6">
        <v>0.0</v>
      </c>
      <c r="CB110" s="6">
        <v>0.0</v>
      </c>
      <c r="CC110" s="6">
        <v>0.0</v>
      </c>
      <c r="CD110" s="6">
        <v>0.0</v>
      </c>
      <c r="CE110" s="6">
        <v>0.0</v>
      </c>
      <c r="CF110" s="6">
        <v>0.0</v>
      </c>
      <c r="CG110" s="6" t="str">
        <f t="shared" ref="CG110:CI110" si="934">+CA110+CD110+BX110+#REF!</f>
        <v>#REF!</v>
      </c>
      <c r="CH110" s="6" t="str">
        <f t="shared" si="934"/>
        <v>#REF!</v>
      </c>
      <c r="CI110" s="6" t="str">
        <f t="shared" si="934"/>
        <v>#REF!</v>
      </c>
      <c r="CJ110" s="6">
        <v>0.0</v>
      </c>
      <c r="CK110" s="6">
        <v>0.0</v>
      </c>
      <c r="CL110" s="6">
        <v>0.0</v>
      </c>
      <c r="CM110" s="6">
        <v>0.0</v>
      </c>
      <c r="CN110" s="6">
        <v>0.0</v>
      </c>
      <c r="CO110" s="6">
        <v>1000000.0</v>
      </c>
      <c r="CP110" s="6">
        <v>0.0</v>
      </c>
      <c r="CQ110" s="6">
        <v>0.0</v>
      </c>
      <c r="CR110" s="6">
        <v>0.0</v>
      </c>
      <c r="CS110" s="6">
        <v>0.0</v>
      </c>
      <c r="CT110" s="6">
        <v>0.0</v>
      </c>
      <c r="CU110" s="6">
        <v>0.0</v>
      </c>
      <c r="CV110" s="6">
        <f t="shared" ref="CV110:CX110" si="935">+CP110+CS110+CJ110+CM110</f>
        <v>0</v>
      </c>
      <c r="CW110" s="6">
        <f t="shared" si="935"/>
        <v>0</v>
      </c>
      <c r="CX110" s="6">
        <f t="shared" si="935"/>
        <v>1000000</v>
      </c>
      <c r="CY110" s="6">
        <v>0.0</v>
      </c>
      <c r="CZ110" s="6">
        <v>0.0</v>
      </c>
      <c r="DA110" s="6">
        <v>0.0</v>
      </c>
      <c r="DB110" s="6">
        <v>0.0</v>
      </c>
      <c r="DC110" s="6">
        <v>0.0</v>
      </c>
      <c r="DD110" s="6">
        <v>1000000.0</v>
      </c>
      <c r="DE110" s="6">
        <v>0.0</v>
      </c>
      <c r="DF110" s="6">
        <v>0.0</v>
      </c>
      <c r="DG110" s="6">
        <v>0.0</v>
      </c>
      <c r="DH110" s="6">
        <v>0.0</v>
      </c>
      <c r="DI110" s="6">
        <v>0.0</v>
      </c>
      <c r="DJ110" s="6">
        <v>0.0</v>
      </c>
      <c r="DK110" s="6">
        <f t="shared" ref="DK110:DM110" si="936">+DE110+DH110+CY110+DB110</f>
        <v>0</v>
      </c>
      <c r="DL110" s="6">
        <f t="shared" si="936"/>
        <v>0</v>
      </c>
      <c r="DM110" s="6">
        <f t="shared" si="936"/>
        <v>1000000</v>
      </c>
      <c r="DN110" s="6" t="str">
        <f t="shared" ref="DN110:DP110" si="937">+P110+AE110+AT110+BI110+BU110+CG110+CV110</f>
        <v>#REF!</v>
      </c>
      <c r="DO110" s="6" t="str">
        <f t="shared" si="937"/>
        <v>#REF!</v>
      </c>
      <c r="DP110" s="6" t="str">
        <f t="shared" si="937"/>
        <v>#REF!</v>
      </c>
      <c r="DQ110" s="6" t="str">
        <f t="shared" si="19"/>
        <v>#REF!</v>
      </c>
    </row>
    <row r="111" ht="13.5" customHeight="1">
      <c r="A111" s="11">
        <v>46098.0</v>
      </c>
      <c r="B111" s="2" t="s">
        <v>467</v>
      </c>
      <c r="C111" s="2" t="s">
        <v>454</v>
      </c>
      <c r="D111" s="29" t="s">
        <v>455</v>
      </c>
      <c r="E111" s="2" t="s">
        <v>456</v>
      </c>
      <c r="F111" s="11" t="s">
        <v>457</v>
      </c>
      <c r="G111" s="11" t="s">
        <v>452</v>
      </c>
      <c r="H111" s="5"/>
      <c r="I111" s="36">
        <v>655000.0</v>
      </c>
      <c r="J111" s="6">
        <v>0.0</v>
      </c>
      <c r="K111" s="6">
        <v>0.0</v>
      </c>
      <c r="L111" s="6">
        <v>0.0</v>
      </c>
      <c r="M111" s="6">
        <v>0.0</v>
      </c>
      <c r="N111" s="6">
        <v>0.0</v>
      </c>
      <c r="O111" s="6">
        <v>0.0</v>
      </c>
      <c r="P111" s="6">
        <f t="shared" ref="P111:R111" si="938">+J111+M111</f>
        <v>0</v>
      </c>
      <c r="Q111" s="6">
        <f t="shared" si="938"/>
        <v>0</v>
      </c>
      <c r="R111" s="6">
        <f t="shared" si="938"/>
        <v>0</v>
      </c>
      <c r="S111" s="6">
        <v>0.0</v>
      </c>
      <c r="T111" s="6">
        <v>0.0</v>
      </c>
      <c r="U111" s="6">
        <v>0.0</v>
      </c>
      <c r="V111" s="6">
        <v>0.0</v>
      </c>
      <c r="W111" s="6">
        <v>0.0</v>
      </c>
      <c r="X111" s="6">
        <v>0.0</v>
      </c>
      <c r="Y111" s="6">
        <v>0.0</v>
      </c>
      <c r="Z111" s="6">
        <v>0.0</v>
      </c>
      <c r="AA111" s="6">
        <v>0.0</v>
      </c>
      <c r="AB111" s="6">
        <v>0.0</v>
      </c>
      <c r="AC111" s="6">
        <v>0.0</v>
      </c>
      <c r="AD111" s="6">
        <v>0.0</v>
      </c>
      <c r="AE111" s="6">
        <f t="shared" ref="AE111:AG111" si="939">+Y111+AB111+S111+V111</f>
        <v>0</v>
      </c>
      <c r="AF111" s="6">
        <f t="shared" si="939"/>
        <v>0</v>
      </c>
      <c r="AG111" s="6">
        <f t="shared" si="939"/>
        <v>0</v>
      </c>
      <c r="AH111" s="6">
        <v>0.0</v>
      </c>
      <c r="AI111" s="6">
        <v>0.0</v>
      </c>
      <c r="AJ111" s="6">
        <v>0.0</v>
      </c>
      <c r="AK111" s="6">
        <v>0.0</v>
      </c>
      <c r="AL111" s="6">
        <v>0.0</v>
      </c>
      <c r="AM111" s="6">
        <v>0.0</v>
      </c>
      <c r="AN111" s="6">
        <v>0.0</v>
      </c>
      <c r="AO111" s="6">
        <v>0.0</v>
      </c>
      <c r="AP111" s="6">
        <v>0.0</v>
      </c>
      <c r="AQ111" s="6">
        <v>0.0</v>
      </c>
      <c r="AR111" s="6">
        <v>0.0</v>
      </c>
      <c r="AS111" s="6">
        <v>0.0</v>
      </c>
      <c r="AT111" s="6">
        <f t="shared" ref="AT111:AV111" si="940">+AN111+AQ111+AH111+AK111</f>
        <v>0</v>
      </c>
      <c r="AU111" s="6">
        <f t="shared" si="940"/>
        <v>0</v>
      </c>
      <c r="AV111" s="6">
        <f t="shared" si="940"/>
        <v>0</v>
      </c>
      <c r="AW111" s="6">
        <v>0.0</v>
      </c>
      <c r="AX111" s="6">
        <v>0.0</v>
      </c>
      <c r="AY111" s="6">
        <v>0.0</v>
      </c>
      <c r="AZ111" s="6">
        <v>0.0</v>
      </c>
      <c r="BA111" s="6">
        <v>0.0</v>
      </c>
      <c r="BB111" s="6">
        <v>0.0</v>
      </c>
      <c r="BC111" s="6">
        <v>0.0</v>
      </c>
      <c r="BD111" s="6">
        <v>0.0</v>
      </c>
      <c r="BE111" s="6">
        <v>0.0</v>
      </c>
      <c r="BF111" s="6">
        <v>0.0</v>
      </c>
      <c r="BG111" s="6">
        <v>0.0</v>
      </c>
      <c r="BH111" s="6">
        <v>0.0</v>
      </c>
      <c r="BI111" s="6">
        <f t="shared" ref="BI111:BK111" si="941">+BC111+BF111+AW111+AZ111</f>
        <v>0</v>
      </c>
      <c r="BJ111" s="6">
        <f t="shared" si="941"/>
        <v>0</v>
      </c>
      <c r="BK111" s="6">
        <f t="shared" si="941"/>
        <v>0</v>
      </c>
      <c r="BL111" s="6">
        <v>0.0</v>
      </c>
      <c r="BM111" s="6">
        <v>0.0</v>
      </c>
      <c r="BN111" s="6">
        <v>0.0</v>
      </c>
      <c r="BO111" s="6">
        <v>0.0</v>
      </c>
      <c r="BP111" s="6">
        <v>0.0</v>
      </c>
      <c r="BQ111" s="6">
        <v>0.0</v>
      </c>
      <c r="BR111" s="6">
        <v>0.0</v>
      </c>
      <c r="BS111" s="6">
        <v>0.0</v>
      </c>
      <c r="BT111" s="6">
        <v>0.0</v>
      </c>
      <c r="BU111" s="6" t="str">
        <f t="shared" ref="BU111:BW111" si="942">+BO111+BR111+#REF!+BL111</f>
        <v>#REF!</v>
      </c>
      <c r="BV111" s="6" t="str">
        <f t="shared" si="942"/>
        <v>#REF!</v>
      </c>
      <c r="BW111" s="6" t="str">
        <f t="shared" si="942"/>
        <v>#REF!</v>
      </c>
      <c r="BX111" s="6">
        <v>0.0</v>
      </c>
      <c r="BY111" s="6">
        <v>0.0</v>
      </c>
      <c r="BZ111" s="6">
        <v>0.0</v>
      </c>
      <c r="CA111" s="6">
        <v>0.0</v>
      </c>
      <c r="CB111" s="6">
        <v>0.0</v>
      </c>
      <c r="CC111" s="6">
        <v>0.0</v>
      </c>
      <c r="CD111" s="6">
        <v>0.0</v>
      </c>
      <c r="CE111" s="6">
        <v>0.0</v>
      </c>
      <c r="CF111" s="6">
        <v>0.0</v>
      </c>
      <c r="CG111" s="6" t="str">
        <f t="shared" ref="CG111:CI111" si="943">+CA111+CD111+BX111+#REF!</f>
        <v>#REF!</v>
      </c>
      <c r="CH111" s="6" t="str">
        <f t="shared" si="943"/>
        <v>#REF!</v>
      </c>
      <c r="CI111" s="6" t="str">
        <f t="shared" si="943"/>
        <v>#REF!</v>
      </c>
      <c r="CJ111" s="6">
        <v>0.0</v>
      </c>
      <c r="CK111" s="6">
        <v>0.0</v>
      </c>
      <c r="CL111" s="6">
        <v>0.0</v>
      </c>
      <c r="CM111" s="6">
        <v>0.0</v>
      </c>
      <c r="CN111" s="6">
        <v>0.0</v>
      </c>
      <c r="CO111" s="6">
        <v>0.0</v>
      </c>
      <c r="CP111" s="6">
        <v>0.0</v>
      </c>
      <c r="CQ111" s="6">
        <v>0.0</v>
      </c>
      <c r="CR111" s="6">
        <v>0.0</v>
      </c>
      <c r="CS111" s="6">
        <v>0.0</v>
      </c>
      <c r="CT111" s="6">
        <v>0.0</v>
      </c>
      <c r="CU111" s="6">
        <v>0.0</v>
      </c>
      <c r="CV111" s="6">
        <f t="shared" ref="CV111:CX111" si="944">+CP111+CS111+CJ111+CM111</f>
        <v>0</v>
      </c>
      <c r="CW111" s="6">
        <f t="shared" si="944"/>
        <v>0</v>
      </c>
      <c r="CX111" s="6">
        <f t="shared" si="944"/>
        <v>0</v>
      </c>
      <c r="CY111" s="6">
        <v>0.0</v>
      </c>
      <c r="CZ111" s="6">
        <v>0.0</v>
      </c>
      <c r="DA111" s="6">
        <v>0.0</v>
      </c>
      <c r="DB111" s="6">
        <v>0.0</v>
      </c>
      <c r="DC111" s="6">
        <v>0.0</v>
      </c>
      <c r="DD111" s="6">
        <v>0.0</v>
      </c>
      <c r="DE111" s="6">
        <v>0.0</v>
      </c>
      <c r="DF111" s="6">
        <v>0.0</v>
      </c>
      <c r="DG111" s="6">
        <v>0.0</v>
      </c>
      <c r="DH111" s="6">
        <v>0.0</v>
      </c>
      <c r="DI111" s="6">
        <v>0.0</v>
      </c>
      <c r="DJ111" s="6">
        <v>0.0</v>
      </c>
      <c r="DK111" s="6">
        <f t="shared" ref="DK111:DM111" si="945">+DE111+DH111+CY111+DB111</f>
        <v>0</v>
      </c>
      <c r="DL111" s="6">
        <f t="shared" si="945"/>
        <v>0</v>
      </c>
      <c r="DM111" s="6">
        <f t="shared" si="945"/>
        <v>0</v>
      </c>
      <c r="DN111" s="6" t="str">
        <f t="shared" ref="DN111:DP111" si="946">+P111+AE111+AT111+BI111+BU111+CG111+CV111</f>
        <v>#REF!</v>
      </c>
      <c r="DO111" s="6" t="str">
        <f t="shared" si="946"/>
        <v>#REF!</v>
      </c>
      <c r="DP111" s="6" t="str">
        <f t="shared" si="946"/>
        <v>#REF!</v>
      </c>
      <c r="DQ111" s="6" t="str">
        <f t="shared" si="19"/>
        <v>#REF!</v>
      </c>
    </row>
    <row r="112" ht="13.5" customHeight="1">
      <c r="A112" s="11">
        <v>45245.0</v>
      </c>
      <c r="B112" s="2" t="s">
        <v>468</v>
      </c>
      <c r="C112" s="2" t="s">
        <v>469</v>
      </c>
      <c r="D112" s="29" t="s">
        <v>470</v>
      </c>
      <c r="E112" s="2" t="s">
        <v>471</v>
      </c>
      <c r="F112" s="11" t="s">
        <v>472</v>
      </c>
      <c r="G112" s="11" t="s">
        <v>452</v>
      </c>
      <c r="H112" s="5">
        <v>250000.0</v>
      </c>
      <c r="I112" s="5">
        <v>50000.0</v>
      </c>
      <c r="J112" s="6">
        <v>0.0</v>
      </c>
      <c r="K112" s="6">
        <v>0.0</v>
      </c>
      <c r="L112" s="6">
        <v>0.0</v>
      </c>
      <c r="M112" s="6">
        <v>0.0</v>
      </c>
      <c r="N112" s="6">
        <v>0.0</v>
      </c>
      <c r="O112" s="6">
        <v>0.0</v>
      </c>
      <c r="P112" s="6">
        <f t="shared" ref="P112:R112" si="947">+J112+M112</f>
        <v>0</v>
      </c>
      <c r="Q112" s="6">
        <f t="shared" si="947"/>
        <v>0</v>
      </c>
      <c r="R112" s="6">
        <f t="shared" si="947"/>
        <v>0</v>
      </c>
      <c r="S112" s="6">
        <v>0.0</v>
      </c>
      <c r="T112" s="6">
        <v>0.0</v>
      </c>
      <c r="U112" s="6">
        <v>0.0</v>
      </c>
      <c r="V112" s="6">
        <v>0.0</v>
      </c>
      <c r="W112" s="6">
        <v>0.0</v>
      </c>
      <c r="X112" s="6">
        <v>0.0</v>
      </c>
      <c r="Y112" s="6">
        <v>0.0</v>
      </c>
      <c r="Z112" s="6">
        <v>0.0</v>
      </c>
      <c r="AA112" s="6">
        <v>0.0</v>
      </c>
      <c r="AB112" s="6">
        <v>0.0</v>
      </c>
      <c r="AC112" s="6">
        <v>0.0</v>
      </c>
      <c r="AD112" s="6">
        <v>0.0</v>
      </c>
      <c r="AE112" s="6">
        <f t="shared" ref="AE112:AG112" si="948">+Y112+AB112+S112+V112</f>
        <v>0</v>
      </c>
      <c r="AF112" s="6">
        <f t="shared" si="948"/>
        <v>0</v>
      </c>
      <c r="AG112" s="6">
        <f t="shared" si="948"/>
        <v>0</v>
      </c>
      <c r="AH112" s="6">
        <v>0.0</v>
      </c>
      <c r="AI112" s="6">
        <v>0.0</v>
      </c>
      <c r="AJ112" s="6">
        <v>0.0</v>
      </c>
      <c r="AK112" s="6">
        <v>0.0</v>
      </c>
      <c r="AL112" s="6">
        <v>0.0</v>
      </c>
      <c r="AM112" s="6">
        <v>0.0</v>
      </c>
      <c r="AN112" s="6">
        <v>0.0</v>
      </c>
      <c r="AO112" s="6">
        <v>0.0</v>
      </c>
      <c r="AP112" s="6">
        <v>0.0</v>
      </c>
      <c r="AQ112" s="6">
        <v>0.0</v>
      </c>
      <c r="AR112" s="6">
        <v>0.0</v>
      </c>
      <c r="AS112" s="6">
        <v>0.0</v>
      </c>
      <c r="AT112" s="6">
        <f t="shared" ref="AT112:AV112" si="949">+AN112+AQ112+AH112+AK112</f>
        <v>0</v>
      </c>
      <c r="AU112" s="6">
        <f t="shared" si="949"/>
        <v>0</v>
      </c>
      <c r="AV112" s="6">
        <f t="shared" si="949"/>
        <v>0</v>
      </c>
      <c r="AW112" s="6">
        <v>0.0</v>
      </c>
      <c r="AX112" s="6">
        <v>0.0</v>
      </c>
      <c r="AY112" s="6">
        <v>0.0</v>
      </c>
      <c r="AZ112" s="6">
        <v>0.0</v>
      </c>
      <c r="BA112" s="6">
        <v>0.0</v>
      </c>
      <c r="BB112" s="6">
        <v>0.0</v>
      </c>
      <c r="BC112" s="6">
        <v>0.0</v>
      </c>
      <c r="BD112" s="6">
        <v>0.0</v>
      </c>
      <c r="BE112" s="6">
        <v>0.0</v>
      </c>
      <c r="BF112" s="6">
        <v>0.0</v>
      </c>
      <c r="BG112" s="6">
        <v>0.0</v>
      </c>
      <c r="BH112" s="6">
        <v>0.0</v>
      </c>
      <c r="BI112" s="6">
        <f t="shared" ref="BI112:BK112" si="950">+BC112+BF112+AW112+AZ112</f>
        <v>0</v>
      </c>
      <c r="BJ112" s="6">
        <f t="shared" si="950"/>
        <v>0</v>
      </c>
      <c r="BK112" s="6">
        <f t="shared" si="950"/>
        <v>0</v>
      </c>
      <c r="BL112" s="6">
        <v>0.0</v>
      </c>
      <c r="BM112" s="6">
        <v>0.0</v>
      </c>
      <c r="BN112" s="6">
        <v>50000.0</v>
      </c>
      <c r="BO112" s="6">
        <v>0.0</v>
      </c>
      <c r="BP112" s="6">
        <v>0.0</v>
      </c>
      <c r="BQ112" s="6">
        <v>0.0</v>
      </c>
      <c r="BR112" s="6">
        <v>0.0</v>
      </c>
      <c r="BS112" s="6">
        <v>0.0</v>
      </c>
      <c r="BT112" s="6">
        <v>0.0</v>
      </c>
      <c r="BU112" s="6" t="str">
        <f t="shared" ref="BU112:BW112" si="951">+BO112+BR112+#REF!+BL112</f>
        <v>#REF!</v>
      </c>
      <c r="BV112" s="6" t="str">
        <f t="shared" si="951"/>
        <v>#REF!</v>
      </c>
      <c r="BW112" s="6" t="str">
        <f t="shared" si="951"/>
        <v>#REF!</v>
      </c>
      <c r="BX112" s="6">
        <v>0.0</v>
      </c>
      <c r="BY112" s="6">
        <v>0.0</v>
      </c>
      <c r="BZ112" s="6">
        <v>0.0</v>
      </c>
      <c r="CA112" s="6">
        <v>0.0</v>
      </c>
      <c r="CB112" s="6">
        <v>0.0</v>
      </c>
      <c r="CC112" s="6">
        <v>0.0</v>
      </c>
      <c r="CD112" s="6">
        <v>0.0</v>
      </c>
      <c r="CE112" s="6">
        <v>0.0</v>
      </c>
      <c r="CF112" s="6">
        <v>0.0</v>
      </c>
      <c r="CG112" s="6" t="str">
        <f t="shared" ref="CG112:CI112" si="952">+CA112+CD112+BX112+#REF!</f>
        <v>#REF!</v>
      </c>
      <c r="CH112" s="6" t="str">
        <f t="shared" si="952"/>
        <v>#REF!</v>
      </c>
      <c r="CI112" s="6" t="str">
        <f t="shared" si="952"/>
        <v>#REF!</v>
      </c>
      <c r="CJ112" s="6">
        <v>0.0</v>
      </c>
      <c r="CK112" s="6">
        <v>0.0</v>
      </c>
      <c r="CL112" s="6">
        <v>0.0</v>
      </c>
      <c r="CM112" s="6">
        <v>0.0</v>
      </c>
      <c r="CN112" s="6">
        <v>0.0</v>
      </c>
      <c r="CO112" s="6">
        <v>0.0</v>
      </c>
      <c r="CP112" s="6">
        <v>0.0</v>
      </c>
      <c r="CQ112" s="6">
        <v>0.0</v>
      </c>
      <c r="CR112" s="6">
        <v>0.0</v>
      </c>
      <c r="CS112" s="6">
        <v>0.0</v>
      </c>
      <c r="CT112" s="6">
        <v>0.0</v>
      </c>
      <c r="CU112" s="6">
        <v>0.0</v>
      </c>
      <c r="CV112" s="6">
        <f t="shared" ref="CV112:CX112" si="953">+CP112+CS112+CJ112+CM112</f>
        <v>0</v>
      </c>
      <c r="CW112" s="6">
        <f t="shared" si="953"/>
        <v>0</v>
      </c>
      <c r="CX112" s="6">
        <f t="shared" si="953"/>
        <v>0</v>
      </c>
      <c r="CY112" s="6">
        <v>0.0</v>
      </c>
      <c r="CZ112" s="6">
        <v>0.0</v>
      </c>
      <c r="DA112" s="6">
        <v>0.0</v>
      </c>
      <c r="DB112" s="6">
        <v>0.0</v>
      </c>
      <c r="DC112" s="6">
        <v>0.0</v>
      </c>
      <c r="DD112" s="6">
        <v>0.0</v>
      </c>
      <c r="DE112" s="6">
        <v>0.0</v>
      </c>
      <c r="DF112" s="6">
        <v>0.0</v>
      </c>
      <c r="DG112" s="6">
        <v>0.0</v>
      </c>
      <c r="DH112" s="6">
        <v>0.0</v>
      </c>
      <c r="DI112" s="6">
        <v>0.0</v>
      </c>
      <c r="DJ112" s="6">
        <v>0.0</v>
      </c>
      <c r="DK112" s="6">
        <f t="shared" ref="DK112:DM112" si="954">+DE112+DH112+CY112+DB112</f>
        <v>0</v>
      </c>
      <c r="DL112" s="6">
        <f t="shared" si="954"/>
        <v>0</v>
      </c>
      <c r="DM112" s="6">
        <f t="shared" si="954"/>
        <v>0</v>
      </c>
      <c r="DN112" s="6" t="str">
        <f t="shared" ref="DN112:DP112" si="955">+P112+AE112+AT112+BI112+BU112+CG112+CV112</f>
        <v>#REF!</v>
      </c>
      <c r="DO112" s="6" t="str">
        <f t="shared" si="955"/>
        <v>#REF!</v>
      </c>
      <c r="DP112" s="6" t="str">
        <f t="shared" si="955"/>
        <v>#REF!</v>
      </c>
      <c r="DQ112" s="6" t="str">
        <f t="shared" si="19"/>
        <v>#REF!</v>
      </c>
    </row>
    <row r="113" ht="13.5" customHeight="1">
      <c r="A113" s="11">
        <v>45279.0</v>
      </c>
      <c r="B113" s="2" t="s">
        <v>473</v>
      </c>
      <c r="C113" s="2" t="s">
        <v>469</v>
      </c>
      <c r="D113" s="29" t="s">
        <v>470</v>
      </c>
      <c r="E113" s="2" t="s">
        <v>471</v>
      </c>
      <c r="F113" s="11" t="s">
        <v>472</v>
      </c>
      <c r="G113" s="11" t="s">
        <v>452</v>
      </c>
      <c r="H113" s="5"/>
      <c r="I113" s="5">
        <v>100000.0</v>
      </c>
      <c r="J113" s="6">
        <v>0.0</v>
      </c>
      <c r="K113" s="6">
        <v>0.0</v>
      </c>
      <c r="L113" s="6">
        <v>0.0</v>
      </c>
      <c r="M113" s="6">
        <v>0.0</v>
      </c>
      <c r="N113" s="6">
        <v>0.0</v>
      </c>
      <c r="O113" s="6">
        <v>0.0</v>
      </c>
      <c r="P113" s="6">
        <f t="shared" ref="P113:R113" si="956">+J113+M113</f>
        <v>0</v>
      </c>
      <c r="Q113" s="6">
        <f t="shared" si="956"/>
        <v>0</v>
      </c>
      <c r="R113" s="6">
        <f t="shared" si="956"/>
        <v>0</v>
      </c>
      <c r="S113" s="6">
        <v>0.0</v>
      </c>
      <c r="T113" s="6">
        <v>0.0</v>
      </c>
      <c r="U113" s="6">
        <v>0.0</v>
      </c>
      <c r="V113" s="6">
        <v>0.0</v>
      </c>
      <c r="W113" s="6">
        <v>0.0</v>
      </c>
      <c r="X113" s="6">
        <v>0.0</v>
      </c>
      <c r="Y113" s="6">
        <v>0.0</v>
      </c>
      <c r="Z113" s="6">
        <v>0.0</v>
      </c>
      <c r="AA113" s="6">
        <v>0.0</v>
      </c>
      <c r="AB113" s="6">
        <v>0.0</v>
      </c>
      <c r="AC113" s="6">
        <v>0.0</v>
      </c>
      <c r="AD113" s="6">
        <v>0.0</v>
      </c>
      <c r="AE113" s="6">
        <f t="shared" ref="AE113:AG113" si="957">+Y113+AB113+S113+V113</f>
        <v>0</v>
      </c>
      <c r="AF113" s="6">
        <f t="shared" si="957"/>
        <v>0</v>
      </c>
      <c r="AG113" s="6">
        <f t="shared" si="957"/>
        <v>0</v>
      </c>
      <c r="AH113" s="6">
        <v>0.0</v>
      </c>
      <c r="AI113" s="6">
        <v>0.0</v>
      </c>
      <c r="AJ113" s="6">
        <v>0.0</v>
      </c>
      <c r="AK113" s="6">
        <v>0.0</v>
      </c>
      <c r="AL113" s="6">
        <v>0.0</v>
      </c>
      <c r="AM113" s="6">
        <v>0.0</v>
      </c>
      <c r="AN113" s="6">
        <v>0.0</v>
      </c>
      <c r="AO113" s="6">
        <v>0.0</v>
      </c>
      <c r="AP113" s="6">
        <v>0.0</v>
      </c>
      <c r="AQ113" s="6">
        <v>0.0</v>
      </c>
      <c r="AR113" s="6">
        <v>0.0</v>
      </c>
      <c r="AS113" s="6">
        <v>0.0</v>
      </c>
      <c r="AT113" s="6">
        <f t="shared" ref="AT113:AV113" si="958">+AN113+AQ113+AH113+AK113</f>
        <v>0</v>
      </c>
      <c r="AU113" s="6">
        <f t="shared" si="958"/>
        <v>0</v>
      </c>
      <c r="AV113" s="6">
        <f t="shared" si="958"/>
        <v>0</v>
      </c>
      <c r="AW113" s="6">
        <v>0.0</v>
      </c>
      <c r="AX113" s="6">
        <v>0.0</v>
      </c>
      <c r="AY113" s="6">
        <v>0.0</v>
      </c>
      <c r="AZ113" s="6">
        <v>0.0</v>
      </c>
      <c r="BA113" s="6">
        <v>0.0</v>
      </c>
      <c r="BB113" s="6">
        <v>0.0</v>
      </c>
      <c r="BC113" s="6">
        <v>0.0</v>
      </c>
      <c r="BD113" s="6">
        <v>0.0</v>
      </c>
      <c r="BE113" s="6">
        <v>0.0</v>
      </c>
      <c r="BF113" s="6">
        <v>0.0</v>
      </c>
      <c r="BG113" s="6">
        <v>0.0</v>
      </c>
      <c r="BH113" s="6">
        <v>0.0</v>
      </c>
      <c r="BI113" s="6">
        <f t="shared" ref="BI113:BK113" si="959">+BC113+BF113+AW113+AZ113</f>
        <v>0</v>
      </c>
      <c r="BJ113" s="6">
        <f t="shared" si="959"/>
        <v>0</v>
      </c>
      <c r="BK113" s="6">
        <f t="shared" si="959"/>
        <v>0</v>
      </c>
      <c r="BL113" s="6">
        <v>0.0</v>
      </c>
      <c r="BM113" s="6">
        <v>0.0</v>
      </c>
      <c r="BN113" s="6">
        <v>100000.0</v>
      </c>
      <c r="BO113" s="6">
        <v>0.0</v>
      </c>
      <c r="BP113" s="6">
        <v>0.0</v>
      </c>
      <c r="BQ113" s="6">
        <v>0.0</v>
      </c>
      <c r="BR113" s="6">
        <v>0.0</v>
      </c>
      <c r="BS113" s="6">
        <v>0.0</v>
      </c>
      <c r="BT113" s="6">
        <v>0.0</v>
      </c>
      <c r="BU113" s="6" t="str">
        <f t="shared" ref="BU113:BW113" si="960">+BO113+BR113+#REF!+BL113</f>
        <v>#REF!</v>
      </c>
      <c r="BV113" s="6" t="str">
        <f t="shared" si="960"/>
        <v>#REF!</v>
      </c>
      <c r="BW113" s="6" t="str">
        <f t="shared" si="960"/>
        <v>#REF!</v>
      </c>
      <c r="BX113" s="6">
        <v>0.0</v>
      </c>
      <c r="BY113" s="6">
        <v>0.0</v>
      </c>
      <c r="BZ113" s="6">
        <v>0.0</v>
      </c>
      <c r="CA113" s="6">
        <v>0.0</v>
      </c>
      <c r="CB113" s="6">
        <v>0.0</v>
      </c>
      <c r="CC113" s="6">
        <v>0.0</v>
      </c>
      <c r="CD113" s="6">
        <v>0.0</v>
      </c>
      <c r="CE113" s="6">
        <v>0.0</v>
      </c>
      <c r="CF113" s="6">
        <v>0.0</v>
      </c>
      <c r="CG113" s="6" t="str">
        <f t="shared" ref="CG113:CI113" si="961">+CA113+CD113+BX113+#REF!</f>
        <v>#REF!</v>
      </c>
      <c r="CH113" s="6" t="str">
        <f t="shared" si="961"/>
        <v>#REF!</v>
      </c>
      <c r="CI113" s="6" t="str">
        <f t="shared" si="961"/>
        <v>#REF!</v>
      </c>
      <c r="CJ113" s="6">
        <v>0.0</v>
      </c>
      <c r="CK113" s="6">
        <v>0.0</v>
      </c>
      <c r="CL113" s="6">
        <v>0.0</v>
      </c>
      <c r="CM113" s="6">
        <v>0.0</v>
      </c>
      <c r="CN113" s="6">
        <v>0.0</v>
      </c>
      <c r="CO113" s="6">
        <v>0.0</v>
      </c>
      <c r="CP113" s="6">
        <v>0.0</v>
      </c>
      <c r="CQ113" s="6">
        <v>0.0</v>
      </c>
      <c r="CR113" s="6">
        <v>0.0</v>
      </c>
      <c r="CS113" s="6">
        <v>0.0</v>
      </c>
      <c r="CT113" s="6">
        <v>0.0</v>
      </c>
      <c r="CU113" s="6">
        <v>0.0</v>
      </c>
      <c r="CV113" s="6">
        <f t="shared" ref="CV113:CX113" si="962">+CP113+CS113+CJ113+CM113</f>
        <v>0</v>
      </c>
      <c r="CW113" s="6">
        <f t="shared" si="962"/>
        <v>0</v>
      </c>
      <c r="CX113" s="6">
        <f t="shared" si="962"/>
        <v>0</v>
      </c>
      <c r="CY113" s="6">
        <v>0.0</v>
      </c>
      <c r="CZ113" s="6">
        <v>0.0</v>
      </c>
      <c r="DA113" s="6">
        <v>0.0</v>
      </c>
      <c r="DB113" s="6">
        <v>0.0</v>
      </c>
      <c r="DC113" s="6">
        <v>0.0</v>
      </c>
      <c r="DD113" s="6">
        <v>0.0</v>
      </c>
      <c r="DE113" s="6">
        <v>0.0</v>
      </c>
      <c r="DF113" s="6">
        <v>0.0</v>
      </c>
      <c r="DG113" s="6">
        <v>0.0</v>
      </c>
      <c r="DH113" s="6">
        <v>0.0</v>
      </c>
      <c r="DI113" s="6">
        <v>0.0</v>
      </c>
      <c r="DJ113" s="6">
        <v>0.0</v>
      </c>
      <c r="DK113" s="6">
        <f t="shared" ref="DK113:DM113" si="963">+DE113+DH113+CY113+DB113</f>
        <v>0</v>
      </c>
      <c r="DL113" s="6">
        <f t="shared" si="963"/>
        <v>0</v>
      </c>
      <c r="DM113" s="6">
        <f t="shared" si="963"/>
        <v>0</v>
      </c>
      <c r="DN113" s="6" t="str">
        <f t="shared" ref="DN113:DP113" si="964">+P113+AE113+AT113+BI113+BU113+CG113+CV113</f>
        <v>#REF!</v>
      </c>
      <c r="DO113" s="6" t="str">
        <f t="shared" si="964"/>
        <v>#REF!</v>
      </c>
      <c r="DP113" s="6" t="str">
        <f t="shared" si="964"/>
        <v>#REF!</v>
      </c>
      <c r="DQ113" s="6" t="str">
        <f t="shared" si="19"/>
        <v>#REF!</v>
      </c>
    </row>
    <row r="114" ht="13.5" customHeight="1">
      <c r="A114" s="11">
        <v>45333.0</v>
      </c>
      <c r="B114" s="2" t="s">
        <v>459</v>
      </c>
      <c r="C114" s="2" t="s">
        <v>469</v>
      </c>
      <c r="D114" s="29" t="s">
        <v>470</v>
      </c>
      <c r="E114" s="2" t="s">
        <v>471</v>
      </c>
      <c r="F114" s="11" t="s">
        <v>472</v>
      </c>
      <c r="G114" s="11" t="s">
        <v>452</v>
      </c>
      <c r="H114" s="5"/>
      <c r="I114" s="5">
        <v>100000.0</v>
      </c>
      <c r="J114" s="6">
        <v>0.0</v>
      </c>
      <c r="K114" s="6">
        <v>0.0</v>
      </c>
      <c r="L114" s="6">
        <v>0.0</v>
      </c>
      <c r="M114" s="6">
        <v>0.0</v>
      </c>
      <c r="N114" s="6">
        <v>0.0</v>
      </c>
      <c r="O114" s="6">
        <v>0.0</v>
      </c>
      <c r="P114" s="6">
        <f t="shared" ref="P114:R114" si="965">+J114+M114</f>
        <v>0</v>
      </c>
      <c r="Q114" s="6">
        <f t="shared" si="965"/>
        <v>0</v>
      </c>
      <c r="R114" s="6">
        <f t="shared" si="965"/>
        <v>0</v>
      </c>
      <c r="S114" s="6">
        <v>0.0</v>
      </c>
      <c r="T114" s="6">
        <v>0.0</v>
      </c>
      <c r="U114" s="6">
        <v>0.0</v>
      </c>
      <c r="V114" s="6">
        <v>0.0</v>
      </c>
      <c r="W114" s="6">
        <v>0.0</v>
      </c>
      <c r="X114" s="6">
        <v>0.0</v>
      </c>
      <c r="Y114" s="6">
        <v>0.0</v>
      </c>
      <c r="Z114" s="6">
        <v>0.0</v>
      </c>
      <c r="AA114" s="6">
        <v>0.0</v>
      </c>
      <c r="AB114" s="6">
        <v>0.0</v>
      </c>
      <c r="AC114" s="6">
        <v>0.0</v>
      </c>
      <c r="AD114" s="6">
        <v>0.0</v>
      </c>
      <c r="AE114" s="6">
        <f t="shared" ref="AE114:AG114" si="966">+Y114+AB114+S114+V114</f>
        <v>0</v>
      </c>
      <c r="AF114" s="6">
        <f t="shared" si="966"/>
        <v>0</v>
      </c>
      <c r="AG114" s="6">
        <f t="shared" si="966"/>
        <v>0</v>
      </c>
      <c r="AH114" s="6">
        <v>0.0</v>
      </c>
      <c r="AI114" s="6">
        <v>0.0</v>
      </c>
      <c r="AJ114" s="6">
        <v>0.0</v>
      </c>
      <c r="AK114" s="6">
        <v>0.0</v>
      </c>
      <c r="AL114" s="6">
        <v>0.0</v>
      </c>
      <c r="AM114" s="6">
        <v>0.0</v>
      </c>
      <c r="AN114" s="6">
        <v>0.0</v>
      </c>
      <c r="AO114" s="6">
        <v>0.0</v>
      </c>
      <c r="AP114" s="6">
        <v>0.0</v>
      </c>
      <c r="AQ114" s="6">
        <v>0.0</v>
      </c>
      <c r="AR114" s="6">
        <v>0.0</v>
      </c>
      <c r="AS114" s="6">
        <v>0.0</v>
      </c>
      <c r="AT114" s="6">
        <f t="shared" ref="AT114:AV114" si="967">+AN114+AQ114+AH114+AK114</f>
        <v>0</v>
      </c>
      <c r="AU114" s="6">
        <f t="shared" si="967"/>
        <v>0</v>
      </c>
      <c r="AV114" s="6">
        <f t="shared" si="967"/>
        <v>0</v>
      </c>
      <c r="AW114" s="6">
        <v>0.0</v>
      </c>
      <c r="AX114" s="6">
        <v>0.0</v>
      </c>
      <c r="AY114" s="6">
        <v>0.0</v>
      </c>
      <c r="AZ114" s="6">
        <v>0.0</v>
      </c>
      <c r="BA114" s="6">
        <v>0.0</v>
      </c>
      <c r="BB114" s="6">
        <v>0.0</v>
      </c>
      <c r="BC114" s="6">
        <v>0.0</v>
      </c>
      <c r="BD114" s="6">
        <v>0.0</v>
      </c>
      <c r="BE114" s="6">
        <v>0.0</v>
      </c>
      <c r="BF114" s="6">
        <v>0.0</v>
      </c>
      <c r="BG114" s="6">
        <v>0.0</v>
      </c>
      <c r="BH114" s="6">
        <v>0.0</v>
      </c>
      <c r="BI114" s="6">
        <f t="shared" ref="BI114:BK114" si="968">+BC114+BF114+AW114+AZ114</f>
        <v>0</v>
      </c>
      <c r="BJ114" s="6">
        <f t="shared" si="968"/>
        <v>0</v>
      </c>
      <c r="BK114" s="6">
        <f t="shared" si="968"/>
        <v>0</v>
      </c>
      <c r="BL114" s="6">
        <v>0.0</v>
      </c>
      <c r="BM114" s="6">
        <v>0.0</v>
      </c>
      <c r="BN114" s="6">
        <v>0.0</v>
      </c>
      <c r="BO114" s="6">
        <v>0.0</v>
      </c>
      <c r="BP114" s="6">
        <v>0.0</v>
      </c>
      <c r="BQ114" s="6">
        <v>100000.0</v>
      </c>
      <c r="BR114" s="6">
        <v>0.0</v>
      </c>
      <c r="BS114" s="6">
        <v>0.0</v>
      </c>
      <c r="BT114" s="6">
        <v>0.0</v>
      </c>
      <c r="BU114" s="6" t="str">
        <f t="shared" ref="BU114:BW114" si="969">+BO114+BR114+#REF!+BL114</f>
        <v>#REF!</v>
      </c>
      <c r="BV114" s="6" t="str">
        <f t="shared" si="969"/>
        <v>#REF!</v>
      </c>
      <c r="BW114" s="6" t="str">
        <f t="shared" si="969"/>
        <v>#REF!</v>
      </c>
      <c r="BX114" s="6">
        <v>0.0</v>
      </c>
      <c r="BY114" s="6">
        <v>0.0</v>
      </c>
      <c r="BZ114" s="6">
        <v>0.0</v>
      </c>
      <c r="CA114" s="6">
        <v>0.0</v>
      </c>
      <c r="CB114" s="6">
        <v>0.0</v>
      </c>
      <c r="CC114" s="6">
        <v>0.0</v>
      </c>
      <c r="CD114" s="6">
        <v>0.0</v>
      </c>
      <c r="CE114" s="6">
        <v>0.0</v>
      </c>
      <c r="CF114" s="6">
        <v>0.0</v>
      </c>
      <c r="CG114" s="6" t="str">
        <f t="shared" ref="CG114:CI114" si="970">+CA114+CD114+BX114+#REF!</f>
        <v>#REF!</v>
      </c>
      <c r="CH114" s="6" t="str">
        <f t="shared" si="970"/>
        <v>#REF!</v>
      </c>
      <c r="CI114" s="6" t="str">
        <f t="shared" si="970"/>
        <v>#REF!</v>
      </c>
      <c r="CJ114" s="6">
        <v>0.0</v>
      </c>
      <c r="CK114" s="6">
        <v>0.0</v>
      </c>
      <c r="CL114" s="6">
        <v>0.0</v>
      </c>
      <c r="CM114" s="6">
        <v>0.0</v>
      </c>
      <c r="CN114" s="6">
        <v>0.0</v>
      </c>
      <c r="CO114" s="6">
        <v>0.0</v>
      </c>
      <c r="CP114" s="6">
        <v>0.0</v>
      </c>
      <c r="CQ114" s="6">
        <v>0.0</v>
      </c>
      <c r="CR114" s="6">
        <v>0.0</v>
      </c>
      <c r="CS114" s="6">
        <v>0.0</v>
      </c>
      <c r="CT114" s="6">
        <v>0.0</v>
      </c>
      <c r="CU114" s="6">
        <v>0.0</v>
      </c>
      <c r="CV114" s="6">
        <f t="shared" ref="CV114:CX114" si="971">+CP114+CS114+CJ114+CM114</f>
        <v>0</v>
      </c>
      <c r="CW114" s="6">
        <f t="shared" si="971"/>
        <v>0</v>
      </c>
      <c r="CX114" s="6">
        <f t="shared" si="971"/>
        <v>0</v>
      </c>
      <c r="CY114" s="6">
        <v>0.0</v>
      </c>
      <c r="CZ114" s="6">
        <v>0.0</v>
      </c>
      <c r="DA114" s="6">
        <v>0.0</v>
      </c>
      <c r="DB114" s="6">
        <v>0.0</v>
      </c>
      <c r="DC114" s="6">
        <v>0.0</v>
      </c>
      <c r="DD114" s="6">
        <v>0.0</v>
      </c>
      <c r="DE114" s="6">
        <v>0.0</v>
      </c>
      <c r="DF114" s="6">
        <v>0.0</v>
      </c>
      <c r="DG114" s="6">
        <v>0.0</v>
      </c>
      <c r="DH114" s="6">
        <v>0.0</v>
      </c>
      <c r="DI114" s="6">
        <v>0.0</v>
      </c>
      <c r="DJ114" s="6">
        <v>0.0</v>
      </c>
      <c r="DK114" s="6">
        <f t="shared" ref="DK114:DM114" si="972">+DE114+DH114+CY114+DB114</f>
        <v>0</v>
      </c>
      <c r="DL114" s="6">
        <f t="shared" si="972"/>
        <v>0</v>
      </c>
      <c r="DM114" s="6">
        <f t="shared" si="972"/>
        <v>0</v>
      </c>
      <c r="DN114" s="6" t="str">
        <f t="shared" ref="DN114:DP114" si="973">+P114+AE114+AT114+BI114+BU114+CG114+CV114</f>
        <v>#REF!</v>
      </c>
      <c r="DO114" s="6" t="str">
        <f t="shared" si="973"/>
        <v>#REF!</v>
      </c>
      <c r="DP114" s="6" t="str">
        <f t="shared" si="973"/>
        <v>#REF!</v>
      </c>
      <c r="DQ114" s="6" t="str">
        <f t="shared" si="19"/>
        <v>#REF!</v>
      </c>
    </row>
    <row r="115" ht="13.5" customHeight="1">
      <c r="A115" s="11">
        <v>45260.0</v>
      </c>
      <c r="B115" s="2" t="s">
        <v>474</v>
      </c>
      <c r="C115" s="2" t="s">
        <v>475</v>
      </c>
      <c r="D115" s="29" t="s">
        <v>476</v>
      </c>
      <c r="E115" s="2" t="s">
        <v>477</v>
      </c>
      <c r="F115" s="11" t="s">
        <v>478</v>
      </c>
      <c r="G115" s="11" t="s">
        <v>452</v>
      </c>
      <c r="H115" s="5">
        <v>6000000.0</v>
      </c>
      <c r="I115" s="5">
        <v>6000000.0</v>
      </c>
      <c r="J115" s="6">
        <v>0.0</v>
      </c>
      <c r="K115" s="6">
        <v>0.0</v>
      </c>
      <c r="L115" s="6">
        <v>0.0</v>
      </c>
      <c r="M115" s="6">
        <v>0.0</v>
      </c>
      <c r="N115" s="6">
        <v>0.0</v>
      </c>
      <c r="O115" s="6">
        <v>0.0</v>
      </c>
      <c r="P115" s="6">
        <f t="shared" ref="P115:R115" si="974">+J115+M115</f>
        <v>0</v>
      </c>
      <c r="Q115" s="6">
        <f t="shared" si="974"/>
        <v>0</v>
      </c>
      <c r="R115" s="6">
        <f t="shared" si="974"/>
        <v>0</v>
      </c>
      <c r="S115" s="6">
        <v>0.0</v>
      </c>
      <c r="T115" s="6">
        <v>0.0</v>
      </c>
      <c r="U115" s="6">
        <v>0.0</v>
      </c>
      <c r="V115" s="6">
        <v>0.0</v>
      </c>
      <c r="W115" s="6">
        <v>0.0</v>
      </c>
      <c r="X115" s="6">
        <v>0.0</v>
      </c>
      <c r="Y115" s="6">
        <v>0.0</v>
      </c>
      <c r="Z115" s="6">
        <v>0.0</v>
      </c>
      <c r="AA115" s="6">
        <v>0.0</v>
      </c>
      <c r="AB115" s="6">
        <v>0.0</v>
      </c>
      <c r="AC115" s="6">
        <v>0.0</v>
      </c>
      <c r="AD115" s="6">
        <v>0.0</v>
      </c>
      <c r="AE115" s="6">
        <f t="shared" ref="AE115:AG115" si="975">+Y115+AB115+S115+V115</f>
        <v>0</v>
      </c>
      <c r="AF115" s="6">
        <f t="shared" si="975"/>
        <v>0</v>
      </c>
      <c r="AG115" s="6">
        <f t="shared" si="975"/>
        <v>0</v>
      </c>
      <c r="AH115" s="6">
        <v>0.0</v>
      </c>
      <c r="AI115" s="6">
        <v>0.0</v>
      </c>
      <c r="AJ115" s="6">
        <v>0.0</v>
      </c>
      <c r="AK115" s="6">
        <v>0.0</v>
      </c>
      <c r="AL115" s="6">
        <v>0.0</v>
      </c>
      <c r="AM115" s="6">
        <v>0.0</v>
      </c>
      <c r="AN115" s="6">
        <v>0.0</v>
      </c>
      <c r="AO115" s="6">
        <v>0.0</v>
      </c>
      <c r="AP115" s="6">
        <v>0.0</v>
      </c>
      <c r="AQ115" s="6">
        <v>0.0</v>
      </c>
      <c r="AR115" s="6">
        <v>0.0</v>
      </c>
      <c r="AS115" s="6">
        <v>0.0</v>
      </c>
      <c r="AT115" s="6">
        <f t="shared" ref="AT115:AV115" si="976">+AN115+AQ115+AH115+AK115</f>
        <v>0</v>
      </c>
      <c r="AU115" s="6">
        <f t="shared" si="976"/>
        <v>0</v>
      </c>
      <c r="AV115" s="6">
        <f t="shared" si="976"/>
        <v>0</v>
      </c>
      <c r="AW115" s="6">
        <v>0.0</v>
      </c>
      <c r="AX115" s="6">
        <v>0.0</v>
      </c>
      <c r="AY115" s="6">
        <v>0.0</v>
      </c>
      <c r="AZ115" s="6">
        <v>0.0</v>
      </c>
      <c r="BA115" s="6">
        <v>0.0</v>
      </c>
      <c r="BB115" s="6">
        <v>0.0</v>
      </c>
      <c r="BC115" s="6">
        <v>0.0</v>
      </c>
      <c r="BD115" s="6">
        <v>0.0</v>
      </c>
      <c r="BE115" s="6">
        <v>0.0</v>
      </c>
      <c r="BF115" s="6">
        <v>0.0</v>
      </c>
      <c r="BG115" s="6">
        <v>0.0</v>
      </c>
      <c r="BH115" s="6">
        <v>0.0</v>
      </c>
      <c r="BI115" s="6">
        <f t="shared" ref="BI115:BK115" si="977">+BC115+BF115+AW115+AZ115</f>
        <v>0</v>
      </c>
      <c r="BJ115" s="6">
        <f t="shared" si="977"/>
        <v>0</v>
      </c>
      <c r="BK115" s="6">
        <f t="shared" si="977"/>
        <v>0</v>
      </c>
      <c r="BL115" s="6">
        <v>0.0</v>
      </c>
      <c r="BM115" s="6">
        <v>0.0</v>
      </c>
      <c r="BN115" s="6">
        <v>4000000.0</v>
      </c>
      <c r="BO115" s="6">
        <v>0.0</v>
      </c>
      <c r="BP115" s="6">
        <v>0.0</v>
      </c>
      <c r="BQ115" s="6">
        <v>1500000.0</v>
      </c>
      <c r="BR115" s="6">
        <v>0.0</v>
      </c>
      <c r="BS115" s="6">
        <v>0.0</v>
      </c>
      <c r="BT115" s="6">
        <v>500000.0</v>
      </c>
      <c r="BU115" s="6" t="str">
        <f t="shared" ref="BU115:BW115" si="978">+BO115+BR115+#REF!+BL115</f>
        <v>#REF!</v>
      </c>
      <c r="BV115" s="6" t="str">
        <f t="shared" si="978"/>
        <v>#REF!</v>
      </c>
      <c r="BW115" s="6" t="str">
        <f t="shared" si="978"/>
        <v>#REF!</v>
      </c>
      <c r="BX115" s="6">
        <v>0.0</v>
      </c>
      <c r="BY115" s="6">
        <v>0.0</v>
      </c>
      <c r="BZ115" s="6">
        <v>0.0</v>
      </c>
      <c r="CA115" s="6">
        <v>0.0</v>
      </c>
      <c r="CB115" s="6">
        <v>0.0</v>
      </c>
      <c r="CC115" s="6">
        <v>0.0</v>
      </c>
      <c r="CD115" s="6">
        <v>0.0</v>
      </c>
      <c r="CE115" s="6">
        <v>0.0</v>
      </c>
      <c r="CF115" s="6">
        <v>0.0</v>
      </c>
      <c r="CG115" s="6" t="str">
        <f t="shared" ref="CG115:CI115" si="979">+CA115+CD115+BX115+#REF!</f>
        <v>#REF!</v>
      </c>
      <c r="CH115" s="6" t="str">
        <f t="shared" si="979"/>
        <v>#REF!</v>
      </c>
      <c r="CI115" s="6" t="str">
        <f t="shared" si="979"/>
        <v>#REF!</v>
      </c>
      <c r="CJ115" s="6">
        <v>0.0</v>
      </c>
      <c r="CK115" s="6">
        <v>0.0</v>
      </c>
      <c r="CL115" s="6">
        <v>0.0</v>
      </c>
      <c r="CM115" s="6">
        <v>0.0</v>
      </c>
      <c r="CN115" s="6">
        <v>0.0</v>
      </c>
      <c r="CO115" s="6">
        <v>0.0</v>
      </c>
      <c r="CP115" s="6">
        <v>0.0</v>
      </c>
      <c r="CQ115" s="6">
        <v>0.0</v>
      </c>
      <c r="CR115" s="6">
        <v>0.0</v>
      </c>
      <c r="CS115" s="6">
        <v>0.0</v>
      </c>
      <c r="CT115" s="6">
        <v>0.0</v>
      </c>
      <c r="CU115" s="6">
        <v>0.0</v>
      </c>
      <c r="CV115" s="6">
        <f t="shared" ref="CV115:CX115" si="980">+CP115+CS115+CJ115+CM115</f>
        <v>0</v>
      </c>
      <c r="CW115" s="6">
        <f t="shared" si="980"/>
        <v>0</v>
      </c>
      <c r="CX115" s="6">
        <f t="shared" si="980"/>
        <v>0</v>
      </c>
      <c r="CY115" s="6">
        <v>0.0</v>
      </c>
      <c r="CZ115" s="6">
        <v>0.0</v>
      </c>
      <c r="DA115" s="6">
        <v>0.0</v>
      </c>
      <c r="DB115" s="6">
        <v>0.0</v>
      </c>
      <c r="DC115" s="6">
        <v>0.0</v>
      </c>
      <c r="DD115" s="6">
        <v>0.0</v>
      </c>
      <c r="DE115" s="6">
        <v>0.0</v>
      </c>
      <c r="DF115" s="6">
        <v>0.0</v>
      </c>
      <c r="DG115" s="6">
        <v>0.0</v>
      </c>
      <c r="DH115" s="6">
        <v>0.0</v>
      </c>
      <c r="DI115" s="6">
        <v>0.0</v>
      </c>
      <c r="DJ115" s="6">
        <v>0.0</v>
      </c>
      <c r="DK115" s="6">
        <f t="shared" ref="DK115:DM115" si="981">+DE115+DH115+CY115+DB115</f>
        <v>0</v>
      </c>
      <c r="DL115" s="6">
        <f t="shared" si="981"/>
        <v>0</v>
      </c>
      <c r="DM115" s="6">
        <f t="shared" si="981"/>
        <v>0</v>
      </c>
      <c r="DN115" s="6" t="str">
        <f t="shared" ref="DN115:DP115" si="982">+P115+AE115+AT115+BI115+BU115+CG115+CV115</f>
        <v>#REF!</v>
      </c>
      <c r="DO115" s="6" t="str">
        <f t="shared" si="982"/>
        <v>#REF!</v>
      </c>
      <c r="DP115" s="6" t="str">
        <f t="shared" si="982"/>
        <v>#REF!</v>
      </c>
      <c r="DQ115" s="6" t="str">
        <f t="shared" si="19"/>
        <v>#REF!</v>
      </c>
    </row>
    <row r="116" ht="13.5" customHeight="1">
      <c r="A116" s="11">
        <v>45271.0</v>
      </c>
      <c r="B116" s="2" t="s">
        <v>479</v>
      </c>
      <c r="C116" s="2" t="s">
        <v>480</v>
      </c>
      <c r="D116" s="29" t="s">
        <v>481</v>
      </c>
      <c r="E116" s="2" t="s">
        <v>482</v>
      </c>
      <c r="F116" s="11" t="s">
        <v>483</v>
      </c>
      <c r="G116" s="11" t="s">
        <v>452</v>
      </c>
      <c r="H116" s="5">
        <v>320000.0</v>
      </c>
      <c r="I116" s="5">
        <v>320000.0</v>
      </c>
      <c r="J116" s="6">
        <v>0.0</v>
      </c>
      <c r="K116" s="6">
        <v>0.0</v>
      </c>
      <c r="L116" s="6">
        <v>0.0</v>
      </c>
      <c r="M116" s="6">
        <v>0.0</v>
      </c>
      <c r="N116" s="6">
        <v>0.0</v>
      </c>
      <c r="O116" s="6">
        <v>0.0</v>
      </c>
      <c r="P116" s="6">
        <f t="shared" ref="P116:R116" si="983">+J116+M116</f>
        <v>0</v>
      </c>
      <c r="Q116" s="6">
        <f t="shared" si="983"/>
        <v>0</v>
      </c>
      <c r="R116" s="6">
        <f t="shared" si="983"/>
        <v>0</v>
      </c>
      <c r="S116" s="6">
        <v>0.0</v>
      </c>
      <c r="T116" s="6">
        <v>0.0</v>
      </c>
      <c r="U116" s="6">
        <v>0.0</v>
      </c>
      <c r="V116" s="6">
        <v>0.0</v>
      </c>
      <c r="W116" s="6">
        <v>0.0</v>
      </c>
      <c r="X116" s="6">
        <v>0.0</v>
      </c>
      <c r="Y116" s="6">
        <v>0.0</v>
      </c>
      <c r="Z116" s="6">
        <v>0.0</v>
      </c>
      <c r="AA116" s="6">
        <v>0.0</v>
      </c>
      <c r="AB116" s="6">
        <v>0.0</v>
      </c>
      <c r="AC116" s="6">
        <v>0.0</v>
      </c>
      <c r="AD116" s="6">
        <v>0.0</v>
      </c>
      <c r="AE116" s="6">
        <f t="shared" ref="AE116:AG116" si="984">+Y116+AB116+S116+V116</f>
        <v>0</v>
      </c>
      <c r="AF116" s="6">
        <f t="shared" si="984"/>
        <v>0</v>
      </c>
      <c r="AG116" s="6">
        <f t="shared" si="984"/>
        <v>0</v>
      </c>
      <c r="AH116" s="6">
        <v>0.0</v>
      </c>
      <c r="AI116" s="6">
        <v>0.0</v>
      </c>
      <c r="AJ116" s="6">
        <v>0.0</v>
      </c>
      <c r="AK116" s="6">
        <v>0.0</v>
      </c>
      <c r="AL116" s="6">
        <v>0.0</v>
      </c>
      <c r="AM116" s="6">
        <v>0.0</v>
      </c>
      <c r="AN116" s="6">
        <v>0.0</v>
      </c>
      <c r="AO116" s="6">
        <v>0.0</v>
      </c>
      <c r="AP116" s="6">
        <v>0.0</v>
      </c>
      <c r="AQ116" s="6">
        <v>0.0</v>
      </c>
      <c r="AR116" s="6">
        <v>0.0</v>
      </c>
      <c r="AS116" s="6">
        <v>0.0</v>
      </c>
      <c r="AT116" s="6">
        <f t="shared" ref="AT116:AV116" si="985">+AN116+AQ116+AH116+AK116</f>
        <v>0</v>
      </c>
      <c r="AU116" s="6">
        <f t="shared" si="985"/>
        <v>0</v>
      </c>
      <c r="AV116" s="6">
        <f t="shared" si="985"/>
        <v>0</v>
      </c>
      <c r="AW116" s="6">
        <v>0.0</v>
      </c>
      <c r="AX116" s="6">
        <v>0.0</v>
      </c>
      <c r="AY116" s="6">
        <v>0.0</v>
      </c>
      <c r="AZ116" s="6">
        <v>0.0</v>
      </c>
      <c r="BA116" s="6">
        <v>0.0</v>
      </c>
      <c r="BB116" s="6">
        <v>0.0</v>
      </c>
      <c r="BC116" s="6">
        <v>0.0</v>
      </c>
      <c r="BD116" s="6">
        <v>0.0</v>
      </c>
      <c r="BE116" s="6">
        <v>0.0</v>
      </c>
      <c r="BF116" s="6">
        <v>0.0</v>
      </c>
      <c r="BG116" s="6">
        <v>0.0</v>
      </c>
      <c r="BH116" s="6">
        <v>0.0</v>
      </c>
      <c r="BI116" s="6">
        <f t="shared" ref="BI116:BK116" si="986">+BC116+BF116+AW116+AZ116</f>
        <v>0</v>
      </c>
      <c r="BJ116" s="6">
        <f t="shared" si="986"/>
        <v>0</v>
      </c>
      <c r="BK116" s="6">
        <f t="shared" si="986"/>
        <v>0</v>
      </c>
      <c r="BL116" s="6">
        <v>0.0</v>
      </c>
      <c r="BM116" s="6">
        <v>0.0</v>
      </c>
      <c r="BN116" s="6">
        <v>150000.0</v>
      </c>
      <c r="BO116" s="6">
        <v>0.0</v>
      </c>
      <c r="BP116" s="6">
        <v>0.0</v>
      </c>
      <c r="BQ116" s="6">
        <v>50000.0</v>
      </c>
      <c r="BR116" s="6">
        <v>0.0</v>
      </c>
      <c r="BS116" s="6">
        <v>0.0</v>
      </c>
      <c r="BT116" s="6">
        <v>20000.0</v>
      </c>
      <c r="BU116" s="6" t="str">
        <f t="shared" ref="BU116:BW116" si="987">+BO116+BR116+#REF!+BL116</f>
        <v>#REF!</v>
      </c>
      <c r="BV116" s="6" t="str">
        <f t="shared" si="987"/>
        <v>#REF!</v>
      </c>
      <c r="BW116" s="6" t="str">
        <f t="shared" si="987"/>
        <v>#REF!</v>
      </c>
      <c r="BX116" s="6">
        <v>0.0</v>
      </c>
      <c r="BY116" s="6">
        <v>0.0</v>
      </c>
      <c r="BZ116" s="6">
        <v>100000.0</v>
      </c>
      <c r="CA116" s="6">
        <v>0.0</v>
      </c>
      <c r="CB116" s="6">
        <v>0.0</v>
      </c>
      <c r="CC116" s="6">
        <v>0.0</v>
      </c>
      <c r="CD116" s="6">
        <v>0.0</v>
      </c>
      <c r="CE116" s="6">
        <v>0.0</v>
      </c>
      <c r="CF116" s="6">
        <v>0.0</v>
      </c>
      <c r="CG116" s="6" t="str">
        <f t="shared" ref="CG116:CI116" si="988">+CA116+CD116+BX116+#REF!</f>
        <v>#REF!</v>
      </c>
      <c r="CH116" s="6" t="str">
        <f t="shared" si="988"/>
        <v>#REF!</v>
      </c>
      <c r="CI116" s="6" t="str">
        <f t="shared" si="988"/>
        <v>#REF!</v>
      </c>
      <c r="CJ116" s="6">
        <v>0.0</v>
      </c>
      <c r="CK116" s="6">
        <v>0.0</v>
      </c>
      <c r="CL116" s="6">
        <v>0.0</v>
      </c>
      <c r="CM116" s="6">
        <v>0.0</v>
      </c>
      <c r="CN116" s="6">
        <v>0.0</v>
      </c>
      <c r="CO116" s="6">
        <v>0.0</v>
      </c>
      <c r="CP116" s="6">
        <v>0.0</v>
      </c>
      <c r="CQ116" s="6">
        <v>0.0</v>
      </c>
      <c r="CR116" s="6">
        <v>0.0</v>
      </c>
      <c r="CS116" s="6">
        <v>0.0</v>
      </c>
      <c r="CT116" s="6">
        <v>0.0</v>
      </c>
      <c r="CU116" s="6">
        <v>0.0</v>
      </c>
      <c r="CV116" s="6">
        <f t="shared" ref="CV116:CX116" si="989">+CP116+CS116+CJ116+CM116</f>
        <v>0</v>
      </c>
      <c r="CW116" s="6">
        <f t="shared" si="989"/>
        <v>0</v>
      </c>
      <c r="CX116" s="6">
        <f t="shared" si="989"/>
        <v>0</v>
      </c>
      <c r="CY116" s="6">
        <v>0.0</v>
      </c>
      <c r="CZ116" s="6">
        <v>0.0</v>
      </c>
      <c r="DA116" s="6">
        <v>0.0</v>
      </c>
      <c r="DB116" s="6">
        <v>0.0</v>
      </c>
      <c r="DC116" s="6">
        <v>0.0</v>
      </c>
      <c r="DD116" s="6">
        <v>0.0</v>
      </c>
      <c r="DE116" s="6">
        <v>0.0</v>
      </c>
      <c r="DF116" s="6">
        <v>0.0</v>
      </c>
      <c r="DG116" s="6">
        <v>0.0</v>
      </c>
      <c r="DH116" s="6">
        <v>0.0</v>
      </c>
      <c r="DI116" s="6">
        <v>0.0</v>
      </c>
      <c r="DJ116" s="6">
        <v>0.0</v>
      </c>
      <c r="DK116" s="6">
        <f t="shared" ref="DK116:DM116" si="990">+DE116+DH116+CY116+DB116</f>
        <v>0</v>
      </c>
      <c r="DL116" s="6">
        <f t="shared" si="990"/>
        <v>0</v>
      </c>
      <c r="DM116" s="6">
        <f t="shared" si="990"/>
        <v>0</v>
      </c>
      <c r="DN116" s="6" t="str">
        <f t="shared" ref="DN116:DP116" si="991">+P116+AE116+AT116+BI116+BU116+CG116+CV116</f>
        <v>#REF!</v>
      </c>
      <c r="DO116" s="6" t="str">
        <f t="shared" si="991"/>
        <v>#REF!</v>
      </c>
      <c r="DP116" s="6" t="str">
        <f t="shared" si="991"/>
        <v>#REF!</v>
      </c>
      <c r="DQ116" s="6" t="str">
        <f t="shared" si="19"/>
        <v>#REF!</v>
      </c>
    </row>
    <row r="117" ht="13.5" customHeight="1">
      <c r="A117" s="11">
        <v>45323.0</v>
      </c>
      <c r="B117" s="2" t="s">
        <v>484</v>
      </c>
      <c r="C117" s="2" t="s">
        <v>485</v>
      </c>
      <c r="D117" s="29" t="s">
        <v>486</v>
      </c>
      <c r="E117" s="2" t="s">
        <v>487</v>
      </c>
      <c r="F117" s="11" t="s">
        <v>488</v>
      </c>
      <c r="G117" s="11" t="s">
        <v>17</v>
      </c>
      <c r="H117" s="5">
        <v>2550.37</v>
      </c>
      <c r="I117" s="5">
        <v>2550.37</v>
      </c>
      <c r="J117" s="6">
        <v>0.0</v>
      </c>
      <c r="K117" s="6">
        <v>0.0</v>
      </c>
      <c r="L117" s="6">
        <v>0.0</v>
      </c>
      <c r="M117" s="6">
        <v>0.0</v>
      </c>
      <c r="N117" s="6">
        <v>0.0</v>
      </c>
      <c r="O117" s="6">
        <v>0.0</v>
      </c>
      <c r="P117" s="6">
        <f t="shared" ref="P117:R117" si="992">+J117+M117</f>
        <v>0</v>
      </c>
      <c r="Q117" s="6">
        <f t="shared" si="992"/>
        <v>0</v>
      </c>
      <c r="R117" s="6">
        <f t="shared" si="992"/>
        <v>0</v>
      </c>
      <c r="S117" s="6">
        <v>0.0</v>
      </c>
      <c r="T117" s="6">
        <v>0.0</v>
      </c>
      <c r="U117" s="6">
        <v>0.0</v>
      </c>
      <c r="V117" s="6">
        <v>0.0</v>
      </c>
      <c r="W117" s="6">
        <v>0.0</v>
      </c>
      <c r="X117" s="6">
        <v>0.0</v>
      </c>
      <c r="Y117" s="6">
        <v>0.0</v>
      </c>
      <c r="Z117" s="6">
        <v>0.0</v>
      </c>
      <c r="AA117" s="6">
        <v>0.0</v>
      </c>
      <c r="AB117" s="6">
        <v>0.0</v>
      </c>
      <c r="AC117" s="6">
        <v>0.0</v>
      </c>
      <c r="AD117" s="6">
        <v>0.0</v>
      </c>
      <c r="AE117" s="6">
        <f t="shared" ref="AE117:AG117" si="993">+Y117+AB117+S117+V117</f>
        <v>0</v>
      </c>
      <c r="AF117" s="6">
        <f t="shared" si="993"/>
        <v>0</v>
      </c>
      <c r="AG117" s="6">
        <f t="shared" si="993"/>
        <v>0</v>
      </c>
      <c r="AH117" s="6">
        <v>0.0</v>
      </c>
      <c r="AI117" s="6">
        <v>0.0</v>
      </c>
      <c r="AJ117" s="6">
        <v>0.0</v>
      </c>
      <c r="AK117" s="6">
        <v>0.0</v>
      </c>
      <c r="AL117" s="6">
        <v>0.0</v>
      </c>
      <c r="AM117" s="6">
        <v>0.0</v>
      </c>
      <c r="AN117" s="6">
        <v>0.0</v>
      </c>
      <c r="AO117" s="6">
        <v>0.0</v>
      </c>
      <c r="AP117" s="6">
        <v>0.0</v>
      </c>
      <c r="AQ117" s="6">
        <v>0.0</v>
      </c>
      <c r="AR117" s="6">
        <v>0.0</v>
      </c>
      <c r="AS117" s="6">
        <v>0.0</v>
      </c>
      <c r="AT117" s="6">
        <f t="shared" ref="AT117:AV117" si="994">+AN117+AQ117+AH117+AK117</f>
        <v>0</v>
      </c>
      <c r="AU117" s="6">
        <f t="shared" si="994"/>
        <v>0</v>
      </c>
      <c r="AV117" s="6">
        <f t="shared" si="994"/>
        <v>0</v>
      </c>
      <c r="AW117" s="6">
        <v>0.0</v>
      </c>
      <c r="AX117" s="6">
        <v>0.0</v>
      </c>
      <c r="AY117" s="6">
        <v>0.0</v>
      </c>
      <c r="AZ117" s="6">
        <v>0.0</v>
      </c>
      <c r="BA117" s="6">
        <v>0.0</v>
      </c>
      <c r="BB117" s="6">
        <v>0.0</v>
      </c>
      <c r="BC117" s="6">
        <v>0.0</v>
      </c>
      <c r="BD117" s="6">
        <v>0.0</v>
      </c>
      <c r="BE117" s="6">
        <v>0.0</v>
      </c>
      <c r="BF117" s="6">
        <v>0.0</v>
      </c>
      <c r="BG117" s="6">
        <v>0.0</v>
      </c>
      <c r="BH117" s="6">
        <v>0.0</v>
      </c>
      <c r="BI117" s="6">
        <f t="shared" ref="BI117:BK117" si="995">+BC117+BF117+AW117+AZ117</f>
        <v>0</v>
      </c>
      <c r="BJ117" s="6">
        <f t="shared" si="995"/>
        <v>0</v>
      </c>
      <c r="BK117" s="6">
        <f t="shared" si="995"/>
        <v>0</v>
      </c>
      <c r="BL117" s="5">
        <v>2550.37</v>
      </c>
      <c r="BM117" s="5">
        <v>2550.37</v>
      </c>
      <c r="BN117" s="6">
        <v>0.0</v>
      </c>
      <c r="BO117" s="6">
        <v>0.0</v>
      </c>
      <c r="BP117" s="6">
        <v>0.0</v>
      </c>
      <c r="BQ117" s="6">
        <v>2550.37</v>
      </c>
      <c r="BR117" s="6">
        <v>0.0</v>
      </c>
      <c r="BS117" s="6">
        <v>0.0</v>
      </c>
      <c r="BT117" s="6">
        <v>0.0</v>
      </c>
      <c r="BU117" s="6" t="str">
        <f t="shared" ref="BU117:BW117" si="996">+BO117+BR117+#REF!+BL117</f>
        <v>#REF!</v>
      </c>
      <c r="BV117" s="6" t="str">
        <f t="shared" si="996"/>
        <v>#REF!</v>
      </c>
      <c r="BW117" s="6" t="str">
        <f t="shared" si="996"/>
        <v>#REF!</v>
      </c>
      <c r="BX117" s="6">
        <v>0.0</v>
      </c>
      <c r="BY117" s="6">
        <v>0.0</v>
      </c>
      <c r="BZ117" s="6">
        <v>0.0</v>
      </c>
      <c r="CA117" s="6">
        <v>0.0</v>
      </c>
      <c r="CB117" s="6">
        <v>0.0</v>
      </c>
      <c r="CC117" s="6">
        <v>0.0</v>
      </c>
      <c r="CD117" s="6">
        <v>0.0</v>
      </c>
      <c r="CE117" s="6">
        <v>0.0</v>
      </c>
      <c r="CF117" s="6">
        <v>0.0</v>
      </c>
      <c r="CG117" s="6" t="str">
        <f t="shared" ref="CG117:CI117" si="997">+CA117+CD117+BX117+#REF!</f>
        <v>#REF!</v>
      </c>
      <c r="CH117" s="6" t="str">
        <f t="shared" si="997"/>
        <v>#REF!</v>
      </c>
      <c r="CI117" s="6" t="str">
        <f t="shared" si="997"/>
        <v>#REF!</v>
      </c>
      <c r="CJ117" s="6">
        <v>0.0</v>
      </c>
      <c r="CK117" s="6">
        <v>0.0</v>
      </c>
      <c r="CL117" s="6">
        <v>0.0</v>
      </c>
      <c r="CM117" s="6">
        <v>0.0</v>
      </c>
      <c r="CN117" s="6">
        <v>0.0</v>
      </c>
      <c r="CO117" s="6">
        <v>0.0</v>
      </c>
      <c r="CP117" s="6">
        <v>0.0</v>
      </c>
      <c r="CQ117" s="6">
        <v>0.0</v>
      </c>
      <c r="CR117" s="6">
        <v>0.0</v>
      </c>
      <c r="CS117" s="6">
        <v>0.0</v>
      </c>
      <c r="CT117" s="6">
        <v>0.0</v>
      </c>
      <c r="CU117" s="6">
        <v>0.0</v>
      </c>
      <c r="CV117" s="6">
        <f t="shared" ref="CV117:CX117" si="998">+CP117+CS117+CJ117+CM117</f>
        <v>0</v>
      </c>
      <c r="CW117" s="6">
        <f t="shared" si="998"/>
        <v>0</v>
      </c>
      <c r="CX117" s="6">
        <f t="shared" si="998"/>
        <v>0</v>
      </c>
      <c r="CY117" s="6">
        <v>0.0</v>
      </c>
      <c r="CZ117" s="6">
        <v>0.0</v>
      </c>
      <c r="DA117" s="6">
        <v>0.0</v>
      </c>
      <c r="DB117" s="6">
        <v>0.0</v>
      </c>
      <c r="DC117" s="6">
        <v>0.0</v>
      </c>
      <c r="DD117" s="6">
        <v>0.0</v>
      </c>
      <c r="DE117" s="6">
        <v>0.0</v>
      </c>
      <c r="DF117" s="6">
        <v>0.0</v>
      </c>
      <c r="DG117" s="6">
        <v>0.0</v>
      </c>
      <c r="DH117" s="6">
        <v>0.0</v>
      </c>
      <c r="DI117" s="6">
        <v>0.0</v>
      </c>
      <c r="DJ117" s="6">
        <v>0.0</v>
      </c>
      <c r="DK117" s="6">
        <f t="shared" ref="DK117:DM117" si="999">+DE117+DH117+CY117+DB117</f>
        <v>0</v>
      </c>
      <c r="DL117" s="6">
        <f t="shared" si="999"/>
        <v>0</v>
      </c>
      <c r="DM117" s="6">
        <f t="shared" si="999"/>
        <v>0</v>
      </c>
      <c r="DN117" s="6" t="str">
        <f t="shared" ref="DN117:DP117" si="1000">+P117+AE117+AT117+BI117+BU117+CG117+CV117</f>
        <v>#REF!</v>
      </c>
      <c r="DO117" s="6" t="str">
        <f t="shared" si="1000"/>
        <v>#REF!</v>
      </c>
      <c r="DP117" s="6" t="str">
        <f t="shared" si="1000"/>
        <v>#REF!</v>
      </c>
      <c r="DQ117" s="6" t="str">
        <f t="shared" si="19"/>
        <v>#REF!</v>
      </c>
    </row>
    <row r="118" ht="13.5" customHeight="1">
      <c r="A118" s="11">
        <v>45323.0</v>
      </c>
      <c r="B118" s="2" t="s">
        <v>484</v>
      </c>
      <c r="C118" s="2" t="s">
        <v>485</v>
      </c>
      <c r="D118" s="29" t="s">
        <v>486</v>
      </c>
      <c r="E118" s="2" t="s">
        <v>487</v>
      </c>
      <c r="F118" s="11" t="s">
        <v>488</v>
      </c>
      <c r="G118" s="11" t="s">
        <v>17</v>
      </c>
      <c r="H118" s="5">
        <v>272449.63</v>
      </c>
      <c r="I118" s="5">
        <v>272449.63</v>
      </c>
      <c r="J118" s="6">
        <v>0.0</v>
      </c>
      <c r="K118" s="6">
        <v>0.0</v>
      </c>
      <c r="L118" s="6">
        <v>0.0</v>
      </c>
      <c r="M118" s="6">
        <v>0.0</v>
      </c>
      <c r="N118" s="6">
        <v>0.0</v>
      </c>
      <c r="O118" s="6">
        <v>0.0</v>
      </c>
      <c r="P118" s="6">
        <f t="shared" ref="P118:R118" si="1001">+J118+M118</f>
        <v>0</v>
      </c>
      <c r="Q118" s="6">
        <f t="shared" si="1001"/>
        <v>0</v>
      </c>
      <c r="R118" s="6">
        <f t="shared" si="1001"/>
        <v>0</v>
      </c>
      <c r="S118" s="6">
        <v>0.0</v>
      </c>
      <c r="T118" s="6">
        <v>0.0</v>
      </c>
      <c r="U118" s="6">
        <v>0.0</v>
      </c>
      <c r="V118" s="6">
        <v>0.0</v>
      </c>
      <c r="W118" s="6">
        <v>0.0</v>
      </c>
      <c r="X118" s="6">
        <v>0.0</v>
      </c>
      <c r="Y118" s="6">
        <v>0.0</v>
      </c>
      <c r="Z118" s="6">
        <v>0.0</v>
      </c>
      <c r="AA118" s="6">
        <v>0.0</v>
      </c>
      <c r="AB118" s="6">
        <v>0.0</v>
      </c>
      <c r="AC118" s="6">
        <v>0.0</v>
      </c>
      <c r="AD118" s="6">
        <v>0.0</v>
      </c>
      <c r="AE118" s="6">
        <f t="shared" ref="AE118:AG118" si="1002">+Y118+AB118+S118+V118</f>
        <v>0</v>
      </c>
      <c r="AF118" s="6">
        <f t="shared" si="1002"/>
        <v>0</v>
      </c>
      <c r="AG118" s="6">
        <f t="shared" si="1002"/>
        <v>0</v>
      </c>
      <c r="AH118" s="6">
        <v>0.0</v>
      </c>
      <c r="AI118" s="6">
        <v>0.0</v>
      </c>
      <c r="AJ118" s="6">
        <v>0.0</v>
      </c>
      <c r="AK118" s="6">
        <v>0.0</v>
      </c>
      <c r="AL118" s="6">
        <v>0.0</v>
      </c>
      <c r="AM118" s="6">
        <v>0.0</v>
      </c>
      <c r="AN118" s="6">
        <v>0.0</v>
      </c>
      <c r="AO118" s="6">
        <v>0.0</v>
      </c>
      <c r="AP118" s="6">
        <v>0.0</v>
      </c>
      <c r="AQ118" s="6">
        <v>0.0</v>
      </c>
      <c r="AR118" s="6">
        <v>0.0</v>
      </c>
      <c r="AS118" s="6">
        <v>0.0</v>
      </c>
      <c r="AT118" s="6">
        <f t="shared" ref="AT118:AV118" si="1003">+AN118+AQ118+AH118+AK118</f>
        <v>0</v>
      </c>
      <c r="AU118" s="6">
        <f t="shared" si="1003"/>
        <v>0</v>
      </c>
      <c r="AV118" s="6">
        <f t="shared" si="1003"/>
        <v>0</v>
      </c>
      <c r="AW118" s="6">
        <v>0.0</v>
      </c>
      <c r="AX118" s="6">
        <v>0.0</v>
      </c>
      <c r="AY118" s="6">
        <v>0.0</v>
      </c>
      <c r="AZ118" s="6">
        <v>0.0</v>
      </c>
      <c r="BA118" s="6">
        <v>0.0</v>
      </c>
      <c r="BB118" s="6">
        <v>0.0</v>
      </c>
      <c r="BC118" s="6">
        <v>0.0</v>
      </c>
      <c r="BD118" s="6">
        <v>0.0</v>
      </c>
      <c r="BE118" s="6">
        <v>0.0</v>
      </c>
      <c r="BF118" s="6">
        <v>0.0</v>
      </c>
      <c r="BG118" s="6">
        <v>0.0</v>
      </c>
      <c r="BH118" s="6">
        <v>0.0</v>
      </c>
      <c r="BI118" s="6">
        <f t="shared" ref="BI118:BK118" si="1004">+BC118+BF118+AW118+AZ118</f>
        <v>0</v>
      </c>
      <c r="BJ118" s="6">
        <f t="shared" si="1004"/>
        <v>0</v>
      </c>
      <c r="BK118" s="6">
        <f t="shared" si="1004"/>
        <v>0</v>
      </c>
      <c r="BL118" s="5">
        <v>272449.63</v>
      </c>
      <c r="BM118" s="5">
        <v>272449.63</v>
      </c>
      <c r="BN118" s="6">
        <v>0.0</v>
      </c>
      <c r="BO118" s="6">
        <v>0.0</v>
      </c>
      <c r="BP118" s="6">
        <v>0.0</v>
      </c>
      <c r="BQ118" s="6">
        <v>100000.0</v>
      </c>
      <c r="BR118" s="6">
        <v>0.0</v>
      </c>
      <c r="BS118" s="6">
        <v>0.0</v>
      </c>
      <c r="BT118" s="6">
        <v>0.0</v>
      </c>
      <c r="BU118" s="6" t="str">
        <f t="shared" ref="BU118:BW118" si="1005">+BO118+BR118+#REF!+BL118</f>
        <v>#REF!</v>
      </c>
      <c r="BV118" s="6" t="str">
        <f t="shared" si="1005"/>
        <v>#REF!</v>
      </c>
      <c r="BW118" s="6" t="str">
        <f t="shared" si="1005"/>
        <v>#REF!</v>
      </c>
      <c r="BX118" s="6">
        <v>0.0</v>
      </c>
      <c r="BY118" s="6">
        <v>0.0</v>
      </c>
      <c r="BZ118" s="6">
        <v>172449.63</v>
      </c>
      <c r="CA118" s="6">
        <v>0.0</v>
      </c>
      <c r="CB118" s="6">
        <v>0.0</v>
      </c>
      <c r="CC118" s="6">
        <v>0.0</v>
      </c>
      <c r="CD118" s="6">
        <v>0.0</v>
      </c>
      <c r="CE118" s="6">
        <v>0.0</v>
      </c>
      <c r="CF118" s="6">
        <v>0.0</v>
      </c>
      <c r="CG118" s="6" t="str">
        <f t="shared" ref="CG118:CI118" si="1006">+CA118+CD118+BX118+#REF!</f>
        <v>#REF!</v>
      </c>
      <c r="CH118" s="6" t="str">
        <f t="shared" si="1006"/>
        <v>#REF!</v>
      </c>
      <c r="CI118" s="6" t="str">
        <f t="shared" si="1006"/>
        <v>#REF!</v>
      </c>
      <c r="CJ118" s="6">
        <v>0.0</v>
      </c>
      <c r="CK118" s="6">
        <v>0.0</v>
      </c>
      <c r="CL118" s="6">
        <v>0.0</v>
      </c>
      <c r="CM118" s="6">
        <v>0.0</v>
      </c>
      <c r="CN118" s="6">
        <v>0.0</v>
      </c>
      <c r="CO118" s="6">
        <v>0.0</v>
      </c>
      <c r="CP118" s="6">
        <v>0.0</v>
      </c>
      <c r="CQ118" s="6">
        <v>0.0</v>
      </c>
      <c r="CR118" s="6">
        <v>0.0</v>
      </c>
      <c r="CS118" s="6">
        <v>0.0</v>
      </c>
      <c r="CT118" s="6">
        <v>0.0</v>
      </c>
      <c r="CU118" s="6">
        <v>0.0</v>
      </c>
      <c r="CV118" s="6">
        <f t="shared" ref="CV118:CX118" si="1007">+CP118+CS118+CJ118+CM118</f>
        <v>0</v>
      </c>
      <c r="CW118" s="6">
        <f t="shared" si="1007"/>
        <v>0</v>
      </c>
      <c r="CX118" s="6">
        <f t="shared" si="1007"/>
        <v>0</v>
      </c>
      <c r="CY118" s="6">
        <v>0.0</v>
      </c>
      <c r="CZ118" s="6">
        <v>0.0</v>
      </c>
      <c r="DA118" s="6">
        <v>0.0</v>
      </c>
      <c r="DB118" s="6">
        <v>0.0</v>
      </c>
      <c r="DC118" s="6">
        <v>0.0</v>
      </c>
      <c r="DD118" s="6">
        <v>0.0</v>
      </c>
      <c r="DE118" s="6">
        <v>0.0</v>
      </c>
      <c r="DF118" s="6">
        <v>0.0</v>
      </c>
      <c r="DG118" s="6">
        <v>0.0</v>
      </c>
      <c r="DH118" s="6">
        <v>0.0</v>
      </c>
      <c r="DI118" s="6">
        <v>0.0</v>
      </c>
      <c r="DJ118" s="6">
        <v>0.0</v>
      </c>
      <c r="DK118" s="6">
        <f t="shared" ref="DK118:DM118" si="1008">+DE118+DH118+CY118+DB118</f>
        <v>0</v>
      </c>
      <c r="DL118" s="6">
        <f t="shared" si="1008"/>
        <v>0</v>
      </c>
      <c r="DM118" s="6">
        <f t="shared" si="1008"/>
        <v>0</v>
      </c>
      <c r="DN118" s="6" t="str">
        <f t="shared" ref="DN118:DP118" si="1009">+P118+AE118+AT118+BI118+BU118+CG118+CV118</f>
        <v>#REF!</v>
      </c>
      <c r="DO118" s="6" t="str">
        <f t="shared" si="1009"/>
        <v>#REF!</v>
      </c>
      <c r="DP118" s="6" t="str">
        <f t="shared" si="1009"/>
        <v>#REF!</v>
      </c>
      <c r="DQ118" s="6" t="str">
        <f t="shared" si="19"/>
        <v>#REF!</v>
      </c>
    </row>
    <row r="119" ht="13.5" customHeight="1">
      <c r="A119" s="11">
        <v>45323.0</v>
      </c>
      <c r="B119" s="2" t="s">
        <v>489</v>
      </c>
      <c r="C119" s="2" t="s">
        <v>490</v>
      </c>
      <c r="D119" s="29" t="s">
        <v>491</v>
      </c>
      <c r="E119" s="2" t="s">
        <v>492</v>
      </c>
      <c r="F119" s="11" t="s">
        <v>493</v>
      </c>
      <c r="G119" s="11" t="s">
        <v>17</v>
      </c>
      <c r="H119" s="5">
        <v>581338.85</v>
      </c>
      <c r="I119" s="5">
        <v>581338.85</v>
      </c>
      <c r="J119" s="6">
        <v>0.0</v>
      </c>
      <c r="K119" s="6">
        <v>0.0</v>
      </c>
      <c r="L119" s="6">
        <v>0.0</v>
      </c>
      <c r="M119" s="6">
        <v>0.0</v>
      </c>
      <c r="N119" s="6">
        <v>0.0</v>
      </c>
      <c r="O119" s="6">
        <v>0.0</v>
      </c>
      <c r="P119" s="6">
        <f t="shared" ref="P119:R119" si="1010">+J119+M119</f>
        <v>0</v>
      </c>
      <c r="Q119" s="6">
        <f t="shared" si="1010"/>
        <v>0</v>
      </c>
      <c r="R119" s="6">
        <f t="shared" si="1010"/>
        <v>0</v>
      </c>
      <c r="S119" s="6">
        <v>0.0</v>
      </c>
      <c r="T119" s="6">
        <v>0.0</v>
      </c>
      <c r="U119" s="6">
        <v>0.0</v>
      </c>
      <c r="V119" s="6">
        <v>0.0</v>
      </c>
      <c r="W119" s="6">
        <v>0.0</v>
      </c>
      <c r="X119" s="6">
        <v>0.0</v>
      </c>
      <c r="Y119" s="6">
        <v>0.0</v>
      </c>
      <c r="Z119" s="6">
        <v>0.0</v>
      </c>
      <c r="AA119" s="6">
        <v>0.0</v>
      </c>
      <c r="AB119" s="6">
        <v>0.0</v>
      </c>
      <c r="AC119" s="6">
        <v>0.0</v>
      </c>
      <c r="AD119" s="6">
        <v>0.0</v>
      </c>
      <c r="AE119" s="6">
        <f t="shared" ref="AE119:AG119" si="1011">+Y119+AB119+S119+V119</f>
        <v>0</v>
      </c>
      <c r="AF119" s="6">
        <f t="shared" si="1011"/>
        <v>0</v>
      </c>
      <c r="AG119" s="6">
        <f t="shared" si="1011"/>
        <v>0</v>
      </c>
      <c r="AH119" s="6">
        <v>0.0</v>
      </c>
      <c r="AI119" s="6">
        <v>0.0</v>
      </c>
      <c r="AJ119" s="6">
        <v>0.0</v>
      </c>
      <c r="AK119" s="6">
        <v>0.0</v>
      </c>
      <c r="AL119" s="6">
        <v>0.0</v>
      </c>
      <c r="AM119" s="6">
        <v>0.0</v>
      </c>
      <c r="AN119" s="6">
        <v>0.0</v>
      </c>
      <c r="AO119" s="6">
        <v>0.0</v>
      </c>
      <c r="AP119" s="6">
        <v>0.0</v>
      </c>
      <c r="AQ119" s="6">
        <v>0.0</v>
      </c>
      <c r="AR119" s="6">
        <v>0.0</v>
      </c>
      <c r="AS119" s="6">
        <v>0.0</v>
      </c>
      <c r="AT119" s="6">
        <f t="shared" ref="AT119:AV119" si="1012">+AN119+AQ119+AH119+AK119</f>
        <v>0</v>
      </c>
      <c r="AU119" s="6">
        <f t="shared" si="1012"/>
        <v>0</v>
      </c>
      <c r="AV119" s="6">
        <f t="shared" si="1012"/>
        <v>0</v>
      </c>
      <c r="AW119" s="6">
        <v>0.0</v>
      </c>
      <c r="AX119" s="6">
        <v>0.0</v>
      </c>
      <c r="AY119" s="6">
        <v>0.0</v>
      </c>
      <c r="AZ119" s="6">
        <v>0.0</v>
      </c>
      <c r="BA119" s="6">
        <v>0.0</v>
      </c>
      <c r="BB119" s="6">
        <v>0.0</v>
      </c>
      <c r="BC119" s="6">
        <v>0.0</v>
      </c>
      <c r="BD119" s="6">
        <v>0.0</v>
      </c>
      <c r="BE119" s="6">
        <v>0.0</v>
      </c>
      <c r="BF119" s="6">
        <v>0.0</v>
      </c>
      <c r="BG119" s="6">
        <v>0.0</v>
      </c>
      <c r="BH119" s="6">
        <v>0.0</v>
      </c>
      <c r="BI119" s="6">
        <f t="shared" ref="BI119:BK119" si="1013">+BC119+BF119+AW119+AZ119</f>
        <v>0</v>
      </c>
      <c r="BJ119" s="6">
        <f t="shared" si="1013"/>
        <v>0</v>
      </c>
      <c r="BK119" s="6">
        <f t="shared" si="1013"/>
        <v>0</v>
      </c>
      <c r="BL119" s="5">
        <v>581338.85</v>
      </c>
      <c r="BM119" s="5">
        <v>581338.85</v>
      </c>
      <c r="BN119" s="6">
        <v>0.0</v>
      </c>
      <c r="BO119" s="6">
        <v>0.0</v>
      </c>
      <c r="BP119" s="6">
        <v>0.0</v>
      </c>
      <c r="BQ119" s="6">
        <v>100000.0</v>
      </c>
      <c r="BR119" s="6">
        <v>0.0</v>
      </c>
      <c r="BS119" s="6">
        <v>0.0</v>
      </c>
      <c r="BT119" s="6">
        <v>150000.0</v>
      </c>
      <c r="BU119" s="6" t="str">
        <f t="shared" ref="BU119:BW119" si="1014">+BO119+BR119+#REF!+BL119</f>
        <v>#REF!</v>
      </c>
      <c r="BV119" s="6" t="str">
        <f t="shared" si="1014"/>
        <v>#REF!</v>
      </c>
      <c r="BW119" s="6" t="str">
        <f t="shared" si="1014"/>
        <v>#REF!</v>
      </c>
      <c r="BX119" s="6">
        <v>0.0</v>
      </c>
      <c r="BY119" s="6">
        <v>0.0</v>
      </c>
      <c r="BZ119" s="6">
        <v>331338.85</v>
      </c>
      <c r="CA119" s="6">
        <v>0.0</v>
      </c>
      <c r="CB119" s="6">
        <v>0.0</v>
      </c>
      <c r="CC119" s="6">
        <v>0.0</v>
      </c>
      <c r="CD119" s="6">
        <v>0.0</v>
      </c>
      <c r="CE119" s="6">
        <v>0.0</v>
      </c>
      <c r="CF119" s="6">
        <v>0.0</v>
      </c>
      <c r="CG119" s="6" t="str">
        <f t="shared" ref="CG119:CI119" si="1015">+CA119+CD119+BX119+#REF!</f>
        <v>#REF!</v>
      </c>
      <c r="CH119" s="6" t="str">
        <f t="shared" si="1015"/>
        <v>#REF!</v>
      </c>
      <c r="CI119" s="6" t="str">
        <f t="shared" si="1015"/>
        <v>#REF!</v>
      </c>
      <c r="CJ119" s="6">
        <v>0.0</v>
      </c>
      <c r="CK119" s="6">
        <v>0.0</v>
      </c>
      <c r="CL119" s="6">
        <v>0.0</v>
      </c>
      <c r="CM119" s="6">
        <v>0.0</v>
      </c>
      <c r="CN119" s="6">
        <v>0.0</v>
      </c>
      <c r="CO119" s="6">
        <v>0.0</v>
      </c>
      <c r="CP119" s="6">
        <v>0.0</v>
      </c>
      <c r="CQ119" s="6">
        <v>0.0</v>
      </c>
      <c r="CR119" s="6">
        <v>0.0</v>
      </c>
      <c r="CS119" s="6">
        <v>0.0</v>
      </c>
      <c r="CT119" s="6">
        <v>0.0</v>
      </c>
      <c r="CU119" s="6">
        <v>0.0</v>
      </c>
      <c r="CV119" s="6">
        <f t="shared" ref="CV119:CX119" si="1016">+CP119+CS119+CJ119+CM119</f>
        <v>0</v>
      </c>
      <c r="CW119" s="6">
        <f t="shared" si="1016"/>
        <v>0</v>
      </c>
      <c r="CX119" s="6">
        <f t="shared" si="1016"/>
        <v>0</v>
      </c>
      <c r="CY119" s="6">
        <v>0.0</v>
      </c>
      <c r="CZ119" s="6">
        <v>0.0</v>
      </c>
      <c r="DA119" s="6">
        <v>0.0</v>
      </c>
      <c r="DB119" s="6">
        <v>0.0</v>
      </c>
      <c r="DC119" s="6">
        <v>0.0</v>
      </c>
      <c r="DD119" s="6">
        <v>0.0</v>
      </c>
      <c r="DE119" s="6">
        <v>0.0</v>
      </c>
      <c r="DF119" s="6">
        <v>0.0</v>
      </c>
      <c r="DG119" s="6">
        <v>0.0</v>
      </c>
      <c r="DH119" s="6">
        <v>0.0</v>
      </c>
      <c r="DI119" s="6">
        <v>0.0</v>
      </c>
      <c r="DJ119" s="6">
        <v>0.0</v>
      </c>
      <c r="DK119" s="6">
        <f t="shared" ref="DK119:DM119" si="1017">+DE119+DH119+CY119+DB119</f>
        <v>0</v>
      </c>
      <c r="DL119" s="6">
        <f t="shared" si="1017"/>
        <v>0</v>
      </c>
      <c r="DM119" s="6">
        <f t="shared" si="1017"/>
        <v>0</v>
      </c>
      <c r="DN119" s="6" t="str">
        <f t="shared" ref="DN119:DP119" si="1018">+P119+AE119+AT119+BI119+BU119+CG119+CV119</f>
        <v>#REF!</v>
      </c>
      <c r="DO119" s="6" t="str">
        <f t="shared" si="1018"/>
        <v>#REF!</v>
      </c>
      <c r="DP119" s="6" t="str">
        <f t="shared" si="1018"/>
        <v>#REF!</v>
      </c>
      <c r="DQ119" s="6" t="str">
        <f t="shared" si="19"/>
        <v>#REF!</v>
      </c>
    </row>
    <row r="120" ht="13.5" customHeight="1">
      <c r="A120" s="11">
        <v>45323.0</v>
      </c>
      <c r="B120" s="2" t="s">
        <v>489</v>
      </c>
      <c r="C120" s="2" t="s">
        <v>490</v>
      </c>
      <c r="D120" s="29" t="s">
        <v>491</v>
      </c>
      <c r="E120" s="2" t="s">
        <v>492</v>
      </c>
      <c r="F120" s="11" t="s">
        <v>493</v>
      </c>
      <c r="G120" s="11" t="s">
        <v>17</v>
      </c>
      <c r="H120" s="5">
        <v>54004.15</v>
      </c>
      <c r="I120" s="5">
        <v>54004.15</v>
      </c>
      <c r="J120" s="6">
        <v>0.0</v>
      </c>
      <c r="K120" s="6">
        <v>0.0</v>
      </c>
      <c r="L120" s="6">
        <v>0.0</v>
      </c>
      <c r="M120" s="6">
        <v>0.0</v>
      </c>
      <c r="N120" s="6">
        <v>0.0</v>
      </c>
      <c r="O120" s="6">
        <v>0.0</v>
      </c>
      <c r="P120" s="6">
        <f t="shared" ref="P120:R120" si="1019">+J120+M120</f>
        <v>0</v>
      </c>
      <c r="Q120" s="6">
        <f t="shared" si="1019"/>
        <v>0</v>
      </c>
      <c r="R120" s="6">
        <f t="shared" si="1019"/>
        <v>0</v>
      </c>
      <c r="S120" s="6">
        <v>0.0</v>
      </c>
      <c r="T120" s="6">
        <v>0.0</v>
      </c>
      <c r="U120" s="6">
        <v>0.0</v>
      </c>
      <c r="V120" s="6">
        <v>0.0</v>
      </c>
      <c r="W120" s="6">
        <v>0.0</v>
      </c>
      <c r="X120" s="6">
        <v>0.0</v>
      </c>
      <c r="Y120" s="6">
        <v>0.0</v>
      </c>
      <c r="Z120" s="6">
        <v>0.0</v>
      </c>
      <c r="AA120" s="6">
        <v>0.0</v>
      </c>
      <c r="AB120" s="6">
        <v>0.0</v>
      </c>
      <c r="AC120" s="6">
        <v>0.0</v>
      </c>
      <c r="AD120" s="6">
        <v>0.0</v>
      </c>
      <c r="AE120" s="6">
        <f t="shared" ref="AE120:AG120" si="1020">+Y120+AB120+S120+V120</f>
        <v>0</v>
      </c>
      <c r="AF120" s="6">
        <f t="shared" si="1020"/>
        <v>0</v>
      </c>
      <c r="AG120" s="6">
        <f t="shared" si="1020"/>
        <v>0</v>
      </c>
      <c r="AH120" s="6">
        <v>0.0</v>
      </c>
      <c r="AI120" s="6">
        <v>0.0</v>
      </c>
      <c r="AJ120" s="6">
        <v>0.0</v>
      </c>
      <c r="AK120" s="6">
        <v>0.0</v>
      </c>
      <c r="AL120" s="6">
        <v>0.0</v>
      </c>
      <c r="AM120" s="6">
        <v>0.0</v>
      </c>
      <c r="AN120" s="6">
        <v>0.0</v>
      </c>
      <c r="AO120" s="6">
        <v>0.0</v>
      </c>
      <c r="AP120" s="6">
        <v>0.0</v>
      </c>
      <c r="AQ120" s="6">
        <v>0.0</v>
      </c>
      <c r="AR120" s="6">
        <v>0.0</v>
      </c>
      <c r="AS120" s="6">
        <v>0.0</v>
      </c>
      <c r="AT120" s="6">
        <f t="shared" ref="AT120:AV120" si="1021">+AN120+AQ120+AH120+AK120</f>
        <v>0</v>
      </c>
      <c r="AU120" s="6">
        <f t="shared" si="1021"/>
        <v>0</v>
      </c>
      <c r="AV120" s="6">
        <f t="shared" si="1021"/>
        <v>0</v>
      </c>
      <c r="AW120" s="6">
        <v>0.0</v>
      </c>
      <c r="AX120" s="6">
        <v>0.0</v>
      </c>
      <c r="AY120" s="6">
        <v>0.0</v>
      </c>
      <c r="AZ120" s="6">
        <v>0.0</v>
      </c>
      <c r="BA120" s="6">
        <v>0.0</v>
      </c>
      <c r="BB120" s="6">
        <v>0.0</v>
      </c>
      <c r="BC120" s="6">
        <v>0.0</v>
      </c>
      <c r="BD120" s="6">
        <v>0.0</v>
      </c>
      <c r="BE120" s="6">
        <v>0.0</v>
      </c>
      <c r="BF120" s="6">
        <v>0.0</v>
      </c>
      <c r="BG120" s="6">
        <v>0.0</v>
      </c>
      <c r="BH120" s="6">
        <v>0.0</v>
      </c>
      <c r="BI120" s="6">
        <f t="shared" ref="BI120:BK120" si="1022">+BC120+BF120+AW120+AZ120</f>
        <v>0</v>
      </c>
      <c r="BJ120" s="6">
        <f t="shared" si="1022"/>
        <v>0</v>
      </c>
      <c r="BK120" s="6">
        <f t="shared" si="1022"/>
        <v>0</v>
      </c>
      <c r="BL120" s="5">
        <v>54004.15</v>
      </c>
      <c r="BM120" s="5">
        <v>54004.15</v>
      </c>
      <c r="BN120" s="6">
        <v>0.0</v>
      </c>
      <c r="BO120" s="6">
        <v>0.0</v>
      </c>
      <c r="BP120" s="6">
        <v>0.0</v>
      </c>
      <c r="BQ120" s="6">
        <v>54004.15</v>
      </c>
      <c r="BR120" s="6">
        <v>0.0</v>
      </c>
      <c r="BS120" s="6">
        <v>0.0</v>
      </c>
      <c r="BT120" s="6">
        <v>0.0</v>
      </c>
      <c r="BU120" s="6" t="str">
        <f t="shared" ref="BU120:BW120" si="1023">+BO120+BR120+#REF!+BL120</f>
        <v>#REF!</v>
      </c>
      <c r="BV120" s="6" t="str">
        <f t="shared" si="1023"/>
        <v>#REF!</v>
      </c>
      <c r="BW120" s="6" t="str">
        <f t="shared" si="1023"/>
        <v>#REF!</v>
      </c>
      <c r="BX120" s="6">
        <v>0.0</v>
      </c>
      <c r="BY120" s="6">
        <v>0.0</v>
      </c>
      <c r="BZ120" s="6">
        <v>0.0</v>
      </c>
      <c r="CA120" s="6">
        <v>0.0</v>
      </c>
      <c r="CB120" s="6">
        <v>0.0</v>
      </c>
      <c r="CC120" s="6">
        <v>0.0</v>
      </c>
      <c r="CD120" s="6">
        <v>0.0</v>
      </c>
      <c r="CE120" s="6">
        <v>0.0</v>
      </c>
      <c r="CF120" s="6">
        <v>0.0</v>
      </c>
      <c r="CG120" s="6" t="str">
        <f t="shared" ref="CG120:CI120" si="1024">+CA120+CD120+BX120+#REF!</f>
        <v>#REF!</v>
      </c>
      <c r="CH120" s="6" t="str">
        <f t="shared" si="1024"/>
        <v>#REF!</v>
      </c>
      <c r="CI120" s="6" t="str">
        <f t="shared" si="1024"/>
        <v>#REF!</v>
      </c>
      <c r="CJ120" s="6">
        <v>0.0</v>
      </c>
      <c r="CK120" s="6">
        <v>0.0</v>
      </c>
      <c r="CL120" s="6">
        <v>0.0</v>
      </c>
      <c r="CM120" s="6">
        <v>0.0</v>
      </c>
      <c r="CN120" s="6">
        <v>0.0</v>
      </c>
      <c r="CO120" s="6">
        <v>0.0</v>
      </c>
      <c r="CP120" s="6">
        <v>0.0</v>
      </c>
      <c r="CQ120" s="6">
        <v>0.0</v>
      </c>
      <c r="CR120" s="6">
        <v>0.0</v>
      </c>
      <c r="CS120" s="6">
        <v>0.0</v>
      </c>
      <c r="CT120" s="6">
        <v>0.0</v>
      </c>
      <c r="CU120" s="6">
        <v>0.0</v>
      </c>
      <c r="CV120" s="6">
        <f t="shared" ref="CV120:CX120" si="1025">+CP120+CS120+CJ120+CM120</f>
        <v>0</v>
      </c>
      <c r="CW120" s="6">
        <f t="shared" si="1025"/>
        <v>0</v>
      </c>
      <c r="CX120" s="6">
        <f t="shared" si="1025"/>
        <v>0</v>
      </c>
      <c r="CY120" s="6">
        <v>0.0</v>
      </c>
      <c r="CZ120" s="6">
        <v>0.0</v>
      </c>
      <c r="DA120" s="6">
        <v>0.0</v>
      </c>
      <c r="DB120" s="6">
        <v>0.0</v>
      </c>
      <c r="DC120" s="6">
        <v>0.0</v>
      </c>
      <c r="DD120" s="6">
        <v>0.0</v>
      </c>
      <c r="DE120" s="6">
        <v>0.0</v>
      </c>
      <c r="DF120" s="6">
        <v>0.0</v>
      </c>
      <c r="DG120" s="6">
        <v>0.0</v>
      </c>
      <c r="DH120" s="6">
        <v>0.0</v>
      </c>
      <c r="DI120" s="6">
        <v>0.0</v>
      </c>
      <c r="DJ120" s="6">
        <v>0.0</v>
      </c>
      <c r="DK120" s="6">
        <f t="shared" ref="DK120:DM120" si="1026">+DE120+DH120+CY120+DB120</f>
        <v>0</v>
      </c>
      <c r="DL120" s="6">
        <f t="shared" si="1026"/>
        <v>0</v>
      </c>
      <c r="DM120" s="6">
        <f t="shared" si="1026"/>
        <v>0</v>
      </c>
      <c r="DN120" s="6" t="str">
        <f t="shared" ref="DN120:DP120" si="1027">+P120+AE120+AT120+BI120+BU120+CG120+CV120</f>
        <v>#REF!</v>
      </c>
      <c r="DO120" s="6" t="str">
        <f t="shared" si="1027"/>
        <v>#REF!</v>
      </c>
      <c r="DP120" s="6" t="str">
        <f t="shared" si="1027"/>
        <v>#REF!</v>
      </c>
      <c r="DQ120" s="6" t="str">
        <f t="shared" si="19"/>
        <v>#REF!</v>
      </c>
    </row>
    <row r="121" ht="13.5" customHeight="1">
      <c r="A121" s="11">
        <v>45391.0</v>
      </c>
      <c r="B121" s="2" t="s">
        <v>494</v>
      </c>
      <c r="C121" s="2" t="s">
        <v>495</v>
      </c>
      <c r="D121" s="29" t="s">
        <v>496</v>
      </c>
      <c r="E121" s="2" t="s">
        <v>497</v>
      </c>
      <c r="F121" s="11" t="s">
        <v>498</v>
      </c>
      <c r="G121" s="11" t="s">
        <v>17</v>
      </c>
      <c r="H121" s="5">
        <v>225310.0</v>
      </c>
      <c r="I121" s="5">
        <v>225310.0</v>
      </c>
      <c r="J121" s="6">
        <v>0.0</v>
      </c>
      <c r="K121" s="6">
        <v>0.0</v>
      </c>
      <c r="L121" s="6">
        <v>0.0</v>
      </c>
      <c r="M121" s="6">
        <v>0.0</v>
      </c>
      <c r="N121" s="6">
        <v>0.0</v>
      </c>
      <c r="O121" s="6">
        <v>0.0</v>
      </c>
      <c r="P121" s="6">
        <f t="shared" ref="P121:R121" si="1028">+J121+M121</f>
        <v>0</v>
      </c>
      <c r="Q121" s="6">
        <f t="shared" si="1028"/>
        <v>0</v>
      </c>
      <c r="R121" s="6">
        <f t="shared" si="1028"/>
        <v>0</v>
      </c>
      <c r="S121" s="6">
        <v>0.0</v>
      </c>
      <c r="T121" s="6">
        <v>0.0</v>
      </c>
      <c r="U121" s="6">
        <v>0.0</v>
      </c>
      <c r="V121" s="6">
        <v>0.0</v>
      </c>
      <c r="W121" s="6">
        <v>0.0</v>
      </c>
      <c r="X121" s="6">
        <v>0.0</v>
      </c>
      <c r="Y121" s="6">
        <v>0.0</v>
      </c>
      <c r="Z121" s="6">
        <v>0.0</v>
      </c>
      <c r="AA121" s="6">
        <v>0.0</v>
      </c>
      <c r="AB121" s="6">
        <v>0.0</v>
      </c>
      <c r="AC121" s="6">
        <v>0.0</v>
      </c>
      <c r="AD121" s="6">
        <v>0.0</v>
      </c>
      <c r="AE121" s="6">
        <f t="shared" ref="AE121:AG121" si="1029">+Y121+AB121+S121+V121</f>
        <v>0</v>
      </c>
      <c r="AF121" s="6">
        <f t="shared" si="1029"/>
        <v>0</v>
      </c>
      <c r="AG121" s="6">
        <f t="shared" si="1029"/>
        <v>0</v>
      </c>
      <c r="AH121" s="6">
        <v>0.0</v>
      </c>
      <c r="AI121" s="6">
        <v>0.0</v>
      </c>
      <c r="AJ121" s="6">
        <v>0.0</v>
      </c>
      <c r="AK121" s="6">
        <v>0.0</v>
      </c>
      <c r="AL121" s="6">
        <v>0.0</v>
      </c>
      <c r="AM121" s="6">
        <v>0.0</v>
      </c>
      <c r="AN121" s="6">
        <v>0.0</v>
      </c>
      <c r="AO121" s="6">
        <v>0.0</v>
      </c>
      <c r="AP121" s="6">
        <v>0.0</v>
      </c>
      <c r="AQ121" s="6">
        <v>0.0</v>
      </c>
      <c r="AR121" s="6">
        <v>0.0</v>
      </c>
      <c r="AS121" s="6">
        <v>0.0</v>
      </c>
      <c r="AT121" s="6">
        <f t="shared" ref="AT121:AV121" si="1030">+AN121+AQ121+AH121+AK121</f>
        <v>0</v>
      </c>
      <c r="AU121" s="6">
        <f t="shared" si="1030"/>
        <v>0</v>
      </c>
      <c r="AV121" s="6">
        <f t="shared" si="1030"/>
        <v>0</v>
      </c>
      <c r="AW121" s="6">
        <v>0.0</v>
      </c>
      <c r="AX121" s="6">
        <v>0.0</v>
      </c>
      <c r="AY121" s="6">
        <v>0.0</v>
      </c>
      <c r="AZ121" s="6">
        <v>0.0</v>
      </c>
      <c r="BA121" s="6">
        <v>0.0</v>
      </c>
      <c r="BB121" s="6">
        <v>0.0</v>
      </c>
      <c r="BC121" s="6">
        <v>0.0</v>
      </c>
      <c r="BD121" s="6">
        <v>0.0</v>
      </c>
      <c r="BE121" s="6">
        <v>0.0</v>
      </c>
      <c r="BF121" s="6">
        <v>0.0</v>
      </c>
      <c r="BG121" s="6">
        <v>0.0</v>
      </c>
      <c r="BH121" s="6">
        <v>0.0</v>
      </c>
      <c r="BI121" s="6">
        <f t="shared" ref="BI121:BK121" si="1031">+BC121+BF121+AW121+AZ121</f>
        <v>0</v>
      </c>
      <c r="BJ121" s="6">
        <f t="shared" si="1031"/>
        <v>0</v>
      </c>
      <c r="BK121" s="6">
        <f t="shared" si="1031"/>
        <v>0</v>
      </c>
      <c r="BL121" s="5">
        <v>225310.0</v>
      </c>
      <c r="BM121" s="5">
        <v>225310.0</v>
      </c>
      <c r="BN121" s="6">
        <v>0.0</v>
      </c>
      <c r="BO121" s="6">
        <v>0.0</v>
      </c>
      <c r="BP121" s="6">
        <v>0.0</v>
      </c>
      <c r="BQ121" s="6">
        <v>0.0</v>
      </c>
      <c r="BR121" s="6">
        <v>0.0</v>
      </c>
      <c r="BS121" s="6">
        <v>0.0</v>
      </c>
      <c r="BT121" s="6">
        <v>225310.0</v>
      </c>
      <c r="BU121" s="6" t="str">
        <f t="shared" ref="BU121:BW121" si="1032">+BO121+BR121+#REF!+BL121</f>
        <v>#REF!</v>
      </c>
      <c r="BV121" s="6" t="str">
        <f t="shared" si="1032"/>
        <v>#REF!</v>
      </c>
      <c r="BW121" s="6" t="str">
        <f t="shared" si="1032"/>
        <v>#REF!</v>
      </c>
      <c r="BX121" s="6">
        <v>0.0</v>
      </c>
      <c r="BY121" s="6">
        <v>0.0</v>
      </c>
      <c r="BZ121" s="6">
        <v>0.0</v>
      </c>
      <c r="CA121" s="6">
        <v>0.0</v>
      </c>
      <c r="CB121" s="6">
        <v>0.0</v>
      </c>
      <c r="CC121" s="6">
        <v>0.0</v>
      </c>
      <c r="CD121" s="6">
        <v>0.0</v>
      </c>
      <c r="CE121" s="6">
        <v>0.0</v>
      </c>
      <c r="CF121" s="6">
        <v>0.0</v>
      </c>
      <c r="CG121" s="6" t="str">
        <f t="shared" ref="CG121:CI121" si="1033">+CA121+CD121+BX121+#REF!</f>
        <v>#REF!</v>
      </c>
      <c r="CH121" s="6" t="str">
        <f t="shared" si="1033"/>
        <v>#REF!</v>
      </c>
      <c r="CI121" s="6" t="str">
        <f t="shared" si="1033"/>
        <v>#REF!</v>
      </c>
      <c r="CJ121" s="6">
        <v>0.0</v>
      </c>
      <c r="CK121" s="6">
        <v>0.0</v>
      </c>
      <c r="CL121" s="6">
        <v>0.0</v>
      </c>
      <c r="CM121" s="6">
        <v>0.0</v>
      </c>
      <c r="CN121" s="6">
        <v>0.0</v>
      </c>
      <c r="CO121" s="6">
        <v>0.0</v>
      </c>
      <c r="CP121" s="6">
        <v>0.0</v>
      </c>
      <c r="CQ121" s="6">
        <v>0.0</v>
      </c>
      <c r="CR121" s="6">
        <v>0.0</v>
      </c>
      <c r="CS121" s="6">
        <v>0.0</v>
      </c>
      <c r="CT121" s="6">
        <v>0.0</v>
      </c>
      <c r="CU121" s="6">
        <v>0.0</v>
      </c>
      <c r="CV121" s="6">
        <f t="shared" ref="CV121:CX121" si="1034">+CP121+CS121+CJ121+CM121</f>
        <v>0</v>
      </c>
      <c r="CW121" s="6">
        <f t="shared" si="1034"/>
        <v>0</v>
      </c>
      <c r="CX121" s="6">
        <f t="shared" si="1034"/>
        <v>0</v>
      </c>
      <c r="CY121" s="6">
        <v>0.0</v>
      </c>
      <c r="CZ121" s="6">
        <v>0.0</v>
      </c>
      <c r="DA121" s="6">
        <v>0.0</v>
      </c>
      <c r="DB121" s="6">
        <v>0.0</v>
      </c>
      <c r="DC121" s="6">
        <v>0.0</v>
      </c>
      <c r="DD121" s="6">
        <v>0.0</v>
      </c>
      <c r="DE121" s="6">
        <v>0.0</v>
      </c>
      <c r="DF121" s="6">
        <v>0.0</v>
      </c>
      <c r="DG121" s="6">
        <v>0.0</v>
      </c>
      <c r="DH121" s="6">
        <v>0.0</v>
      </c>
      <c r="DI121" s="6">
        <v>0.0</v>
      </c>
      <c r="DJ121" s="6">
        <v>0.0</v>
      </c>
      <c r="DK121" s="6">
        <f t="shared" ref="DK121:DM121" si="1035">+DE121+DH121+CY121+DB121</f>
        <v>0</v>
      </c>
      <c r="DL121" s="6">
        <f t="shared" si="1035"/>
        <v>0</v>
      </c>
      <c r="DM121" s="6">
        <f t="shared" si="1035"/>
        <v>0</v>
      </c>
      <c r="DN121" s="6" t="str">
        <f t="shared" ref="DN121:DP121" si="1036">+P121+AE121+AT121+BI121+BU121+CG121+CV121</f>
        <v>#REF!</v>
      </c>
      <c r="DO121" s="6" t="str">
        <f t="shared" si="1036"/>
        <v>#REF!</v>
      </c>
      <c r="DP121" s="6" t="str">
        <f t="shared" si="1036"/>
        <v>#REF!</v>
      </c>
      <c r="DQ121" s="6" t="str">
        <f t="shared" si="19"/>
        <v>#REF!</v>
      </c>
    </row>
    <row r="122" ht="13.5" customHeight="1">
      <c r="A122" s="11">
        <v>45391.0</v>
      </c>
      <c r="B122" s="2" t="s">
        <v>494</v>
      </c>
      <c r="C122" s="2" t="s">
        <v>495</v>
      </c>
      <c r="D122" s="29" t="s">
        <v>496</v>
      </c>
      <c r="E122" s="2" t="s">
        <v>497</v>
      </c>
      <c r="F122" s="11" t="s">
        <v>498</v>
      </c>
      <c r="G122" s="11" t="s">
        <v>17</v>
      </c>
      <c r="H122" s="5">
        <v>615000.0</v>
      </c>
      <c r="I122" s="5">
        <v>615000.0</v>
      </c>
      <c r="J122" s="6">
        <v>0.0</v>
      </c>
      <c r="K122" s="6">
        <v>0.0</v>
      </c>
      <c r="L122" s="6">
        <v>0.0</v>
      </c>
      <c r="M122" s="6">
        <v>0.0</v>
      </c>
      <c r="N122" s="6">
        <v>0.0</v>
      </c>
      <c r="O122" s="6">
        <v>0.0</v>
      </c>
      <c r="P122" s="6">
        <f t="shared" ref="P122:R122" si="1037">+J122+M122</f>
        <v>0</v>
      </c>
      <c r="Q122" s="6">
        <f t="shared" si="1037"/>
        <v>0</v>
      </c>
      <c r="R122" s="6">
        <f t="shared" si="1037"/>
        <v>0</v>
      </c>
      <c r="S122" s="6">
        <v>0.0</v>
      </c>
      <c r="T122" s="6">
        <v>0.0</v>
      </c>
      <c r="U122" s="6">
        <v>0.0</v>
      </c>
      <c r="V122" s="6">
        <v>0.0</v>
      </c>
      <c r="W122" s="6">
        <v>0.0</v>
      </c>
      <c r="X122" s="6">
        <v>0.0</v>
      </c>
      <c r="Y122" s="6">
        <v>0.0</v>
      </c>
      <c r="Z122" s="6">
        <v>0.0</v>
      </c>
      <c r="AA122" s="6">
        <v>0.0</v>
      </c>
      <c r="AB122" s="6">
        <v>0.0</v>
      </c>
      <c r="AC122" s="6">
        <v>0.0</v>
      </c>
      <c r="AD122" s="6">
        <v>0.0</v>
      </c>
      <c r="AE122" s="6">
        <f t="shared" ref="AE122:AG122" si="1038">+Y122+AB122+S122+V122</f>
        <v>0</v>
      </c>
      <c r="AF122" s="6">
        <f t="shared" si="1038"/>
        <v>0</v>
      </c>
      <c r="AG122" s="6">
        <f t="shared" si="1038"/>
        <v>0</v>
      </c>
      <c r="AH122" s="6">
        <v>0.0</v>
      </c>
      <c r="AI122" s="6">
        <v>0.0</v>
      </c>
      <c r="AJ122" s="6">
        <v>0.0</v>
      </c>
      <c r="AK122" s="6">
        <v>0.0</v>
      </c>
      <c r="AL122" s="6">
        <v>0.0</v>
      </c>
      <c r="AM122" s="6">
        <v>0.0</v>
      </c>
      <c r="AN122" s="6">
        <v>0.0</v>
      </c>
      <c r="AO122" s="6">
        <v>0.0</v>
      </c>
      <c r="AP122" s="6">
        <v>0.0</v>
      </c>
      <c r="AQ122" s="6">
        <v>0.0</v>
      </c>
      <c r="AR122" s="6">
        <v>0.0</v>
      </c>
      <c r="AS122" s="6">
        <v>0.0</v>
      </c>
      <c r="AT122" s="6">
        <f t="shared" ref="AT122:AV122" si="1039">+AN122+AQ122+AH122+AK122</f>
        <v>0</v>
      </c>
      <c r="AU122" s="6">
        <f t="shared" si="1039"/>
        <v>0</v>
      </c>
      <c r="AV122" s="6">
        <f t="shared" si="1039"/>
        <v>0</v>
      </c>
      <c r="AW122" s="6">
        <v>0.0</v>
      </c>
      <c r="AX122" s="6">
        <v>0.0</v>
      </c>
      <c r="AY122" s="6">
        <v>0.0</v>
      </c>
      <c r="AZ122" s="6">
        <v>0.0</v>
      </c>
      <c r="BA122" s="6">
        <v>0.0</v>
      </c>
      <c r="BB122" s="6">
        <v>0.0</v>
      </c>
      <c r="BC122" s="6">
        <v>0.0</v>
      </c>
      <c r="BD122" s="6">
        <v>0.0</v>
      </c>
      <c r="BE122" s="6">
        <v>0.0</v>
      </c>
      <c r="BF122" s="6">
        <v>0.0</v>
      </c>
      <c r="BG122" s="6">
        <v>0.0</v>
      </c>
      <c r="BH122" s="6">
        <v>0.0</v>
      </c>
      <c r="BI122" s="6">
        <f t="shared" ref="BI122:BK122" si="1040">+BC122+BF122+AW122+AZ122</f>
        <v>0</v>
      </c>
      <c r="BJ122" s="6">
        <f t="shared" si="1040"/>
        <v>0</v>
      </c>
      <c r="BK122" s="6">
        <f t="shared" si="1040"/>
        <v>0</v>
      </c>
      <c r="BL122" s="5">
        <v>615000.0</v>
      </c>
      <c r="BM122" s="5">
        <v>615000.0</v>
      </c>
      <c r="BN122" s="6">
        <v>0.0</v>
      </c>
      <c r="BO122" s="6">
        <v>0.0</v>
      </c>
      <c r="BP122" s="6">
        <v>0.0</v>
      </c>
      <c r="BQ122" s="6">
        <v>0.0</v>
      </c>
      <c r="BR122" s="6">
        <v>0.0</v>
      </c>
      <c r="BS122" s="6">
        <v>0.0</v>
      </c>
      <c r="BT122" s="6">
        <v>615000.0</v>
      </c>
      <c r="BU122" s="6" t="str">
        <f t="shared" ref="BU122:BW122" si="1041">+BO122+BR122+#REF!+BL122</f>
        <v>#REF!</v>
      </c>
      <c r="BV122" s="6" t="str">
        <f t="shared" si="1041"/>
        <v>#REF!</v>
      </c>
      <c r="BW122" s="6" t="str">
        <f t="shared" si="1041"/>
        <v>#REF!</v>
      </c>
      <c r="BX122" s="6">
        <v>0.0</v>
      </c>
      <c r="BY122" s="6">
        <v>0.0</v>
      </c>
      <c r="BZ122" s="6">
        <v>0.0</v>
      </c>
      <c r="CA122" s="6">
        <v>0.0</v>
      </c>
      <c r="CB122" s="6">
        <v>0.0</v>
      </c>
      <c r="CC122" s="6">
        <v>0.0</v>
      </c>
      <c r="CD122" s="6">
        <v>0.0</v>
      </c>
      <c r="CE122" s="6">
        <v>0.0</v>
      </c>
      <c r="CF122" s="6">
        <v>0.0</v>
      </c>
      <c r="CG122" s="6" t="str">
        <f t="shared" ref="CG122:CI122" si="1042">+CA122+CD122+BX122+#REF!</f>
        <v>#REF!</v>
      </c>
      <c r="CH122" s="6" t="str">
        <f t="shared" si="1042"/>
        <v>#REF!</v>
      </c>
      <c r="CI122" s="6" t="str">
        <f t="shared" si="1042"/>
        <v>#REF!</v>
      </c>
      <c r="CJ122" s="6">
        <v>0.0</v>
      </c>
      <c r="CK122" s="6">
        <v>0.0</v>
      </c>
      <c r="CL122" s="6">
        <v>0.0</v>
      </c>
      <c r="CM122" s="6">
        <v>0.0</v>
      </c>
      <c r="CN122" s="6">
        <v>0.0</v>
      </c>
      <c r="CO122" s="6">
        <v>0.0</v>
      </c>
      <c r="CP122" s="6">
        <v>0.0</v>
      </c>
      <c r="CQ122" s="6">
        <v>0.0</v>
      </c>
      <c r="CR122" s="6">
        <v>0.0</v>
      </c>
      <c r="CS122" s="6">
        <v>0.0</v>
      </c>
      <c r="CT122" s="6">
        <v>0.0</v>
      </c>
      <c r="CU122" s="6">
        <v>0.0</v>
      </c>
      <c r="CV122" s="6">
        <f t="shared" ref="CV122:CX122" si="1043">+CP122+CS122+CJ122+CM122</f>
        <v>0</v>
      </c>
      <c r="CW122" s="6">
        <f t="shared" si="1043"/>
        <v>0</v>
      </c>
      <c r="CX122" s="6">
        <f t="shared" si="1043"/>
        <v>0</v>
      </c>
      <c r="CY122" s="6">
        <v>0.0</v>
      </c>
      <c r="CZ122" s="6">
        <v>0.0</v>
      </c>
      <c r="DA122" s="6">
        <v>0.0</v>
      </c>
      <c r="DB122" s="6">
        <v>0.0</v>
      </c>
      <c r="DC122" s="6">
        <v>0.0</v>
      </c>
      <c r="DD122" s="6">
        <v>0.0</v>
      </c>
      <c r="DE122" s="6">
        <v>0.0</v>
      </c>
      <c r="DF122" s="6">
        <v>0.0</v>
      </c>
      <c r="DG122" s="6">
        <v>0.0</v>
      </c>
      <c r="DH122" s="6">
        <v>0.0</v>
      </c>
      <c r="DI122" s="6">
        <v>0.0</v>
      </c>
      <c r="DJ122" s="6">
        <v>0.0</v>
      </c>
      <c r="DK122" s="6">
        <f t="shared" ref="DK122:DM122" si="1044">+DE122+DH122+CY122+DB122</f>
        <v>0</v>
      </c>
      <c r="DL122" s="6">
        <f t="shared" si="1044"/>
        <v>0</v>
      </c>
      <c r="DM122" s="6">
        <f t="shared" si="1044"/>
        <v>0</v>
      </c>
      <c r="DN122" s="6" t="str">
        <f t="shared" ref="DN122:DP122" si="1045">+P122+AE122+AT122+BI122+BU122+CG122+CV122</f>
        <v>#REF!</v>
      </c>
      <c r="DO122" s="6" t="str">
        <f t="shared" si="1045"/>
        <v>#REF!</v>
      </c>
      <c r="DP122" s="6" t="str">
        <f t="shared" si="1045"/>
        <v>#REF!</v>
      </c>
      <c r="DQ122" s="6" t="str">
        <f t="shared" si="19"/>
        <v>#REF!</v>
      </c>
    </row>
    <row r="123" ht="13.5" customHeight="1">
      <c r="A123" s="11">
        <v>45352.0</v>
      </c>
      <c r="B123" s="2" t="s">
        <v>499</v>
      </c>
      <c r="C123" s="2" t="s">
        <v>500</v>
      </c>
      <c r="D123" s="29" t="s">
        <v>501</v>
      </c>
      <c r="E123" s="2" t="s">
        <v>502</v>
      </c>
      <c r="F123" s="11" t="s">
        <v>503</v>
      </c>
      <c r="G123" s="11" t="s">
        <v>17</v>
      </c>
      <c r="H123" s="5">
        <v>425000.0</v>
      </c>
      <c r="I123" s="5">
        <v>425000.0</v>
      </c>
      <c r="J123" s="6">
        <v>0.0</v>
      </c>
      <c r="K123" s="6">
        <v>0.0</v>
      </c>
      <c r="L123" s="6">
        <v>0.0</v>
      </c>
      <c r="M123" s="6">
        <v>0.0</v>
      </c>
      <c r="N123" s="6">
        <v>0.0</v>
      </c>
      <c r="O123" s="6">
        <v>0.0</v>
      </c>
      <c r="P123" s="6">
        <f t="shared" ref="P123:R123" si="1046">+J123+M123</f>
        <v>0</v>
      </c>
      <c r="Q123" s="6">
        <f t="shared" si="1046"/>
        <v>0</v>
      </c>
      <c r="R123" s="6">
        <f t="shared" si="1046"/>
        <v>0</v>
      </c>
      <c r="S123" s="6">
        <v>0.0</v>
      </c>
      <c r="T123" s="6">
        <v>0.0</v>
      </c>
      <c r="U123" s="6">
        <v>0.0</v>
      </c>
      <c r="V123" s="6">
        <v>0.0</v>
      </c>
      <c r="W123" s="6">
        <v>0.0</v>
      </c>
      <c r="X123" s="6">
        <v>0.0</v>
      </c>
      <c r="Y123" s="6">
        <v>0.0</v>
      </c>
      <c r="Z123" s="6">
        <v>0.0</v>
      </c>
      <c r="AA123" s="6">
        <v>0.0</v>
      </c>
      <c r="AB123" s="6">
        <v>0.0</v>
      </c>
      <c r="AC123" s="6">
        <v>0.0</v>
      </c>
      <c r="AD123" s="6">
        <v>0.0</v>
      </c>
      <c r="AE123" s="6">
        <f t="shared" ref="AE123:AG123" si="1047">+Y123+AB123+S123+V123</f>
        <v>0</v>
      </c>
      <c r="AF123" s="6">
        <f t="shared" si="1047"/>
        <v>0</v>
      </c>
      <c r="AG123" s="6">
        <f t="shared" si="1047"/>
        <v>0</v>
      </c>
      <c r="AH123" s="6">
        <v>0.0</v>
      </c>
      <c r="AI123" s="6">
        <v>0.0</v>
      </c>
      <c r="AJ123" s="6">
        <v>0.0</v>
      </c>
      <c r="AK123" s="6">
        <v>0.0</v>
      </c>
      <c r="AL123" s="6">
        <v>0.0</v>
      </c>
      <c r="AM123" s="6">
        <v>0.0</v>
      </c>
      <c r="AN123" s="6">
        <v>0.0</v>
      </c>
      <c r="AO123" s="6">
        <v>0.0</v>
      </c>
      <c r="AP123" s="6">
        <v>0.0</v>
      </c>
      <c r="AQ123" s="6">
        <v>0.0</v>
      </c>
      <c r="AR123" s="6">
        <v>0.0</v>
      </c>
      <c r="AS123" s="6">
        <v>0.0</v>
      </c>
      <c r="AT123" s="6">
        <f t="shared" ref="AT123:AV123" si="1048">+AN123+AQ123+AH123+AK123</f>
        <v>0</v>
      </c>
      <c r="AU123" s="6">
        <f t="shared" si="1048"/>
        <v>0</v>
      </c>
      <c r="AV123" s="6">
        <f t="shared" si="1048"/>
        <v>0</v>
      </c>
      <c r="AW123" s="6">
        <v>0.0</v>
      </c>
      <c r="AX123" s="6">
        <v>0.0</v>
      </c>
      <c r="AY123" s="6">
        <v>0.0</v>
      </c>
      <c r="AZ123" s="6">
        <v>0.0</v>
      </c>
      <c r="BA123" s="6">
        <v>0.0</v>
      </c>
      <c r="BB123" s="6">
        <v>0.0</v>
      </c>
      <c r="BC123" s="6">
        <v>0.0</v>
      </c>
      <c r="BD123" s="6">
        <v>0.0</v>
      </c>
      <c r="BE123" s="6">
        <v>0.0</v>
      </c>
      <c r="BF123" s="6">
        <v>0.0</v>
      </c>
      <c r="BG123" s="6">
        <v>0.0</v>
      </c>
      <c r="BH123" s="6">
        <v>0.0</v>
      </c>
      <c r="BI123" s="6">
        <f t="shared" ref="BI123:BK123" si="1049">+BC123+BF123+AW123+AZ123</f>
        <v>0</v>
      </c>
      <c r="BJ123" s="6">
        <f t="shared" si="1049"/>
        <v>0</v>
      </c>
      <c r="BK123" s="6">
        <f t="shared" si="1049"/>
        <v>0</v>
      </c>
      <c r="BL123" s="5">
        <v>425000.0</v>
      </c>
      <c r="BM123" s="5">
        <v>425000.0</v>
      </c>
      <c r="BN123" s="6">
        <v>0.0</v>
      </c>
      <c r="BO123" s="6">
        <v>0.0</v>
      </c>
      <c r="BP123" s="6">
        <v>0.0</v>
      </c>
      <c r="BQ123" s="6">
        <v>400000.0</v>
      </c>
      <c r="BR123" s="6">
        <v>0.0</v>
      </c>
      <c r="BS123" s="6">
        <v>0.0</v>
      </c>
      <c r="BT123" s="6">
        <v>25000.0</v>
      </c>
      <c r="BU123" s="6" t="str">
        <f t="shared" ref="BU123:BW123" si="1050">+BO123+BR123+#REF!+BL123</f>
        <v>#REF!</v>
      </c>
      <c r="BV123" s="6" t="str">
        <f t="shared" si="1050"/>
        <v>#REF!</v>
      </c>
      <c r="BW123" s="6" t="str">
        <f t="shared" si="1050"/>
        <v>#REF!</v>
      </c>
      <c r="BX123" s="6">
        <v>0.0</v>
      </c>
      <c r="BY123" s="6">
        <v>0.0</v>
      </c>
      <c r="BZ123" s="6">
        <v>0.0</v>
      </c>
      <c r="CA123" s="6">
        <v>0.0</v>
      </c>
      <c r="CB123" s="6">
        <v>0.0</v>
      </c>
      <c r="CC123" s="6">
        <v>0.0</v>
      </c>
      <c r="CD123" s="6">
        <v>0.0</v>
      </c>
      <c r="CE123" s="6">
        <v>0.0</v>
      </c>
      <c r="CF123" s="6">
        <v>0.0</v>
      </c>
      <c r="CG123" s="6" t="str">
        <f t="shared" ref="CG123:CI123" si="1051">+CA123+CD123+BX123+#REF!</f>
        <v>#REF!</v>
      </c>
      <c r="CH123" s="6" t="str">
        <f t="shared" si="1051"/>
        <v>#REF!</v>
      </c>
      <c r="CI123" s="6" t="str">
        <f t="shared" si="1051"/>
        <v>#REF!</v>
      </c>
      <c r="CJ123" s="6">
        <v>0.0</v>
      </c>
      <c r="CK123" s="6">
        <v>0.0</v>
      </c>
      <c r="CL123" s="6">
        <v>0.0</v>
      </c>
      <c r="CM123" s="6">
        <v>0.0</v>
      </c>
      <c r="CN123" s="6">
        <v>0.0</v>
      </c>
      <c r="CO123" s="6">
        <v>0.0</v>
      </c>
      <c r="CP123" s="6">
        <v>0.0</v>
      </c>
      <c r="CQ123" s="6">
        <v>0.0</v>
      </c>
      <c r="CR123" s="6">
        <v>0.0</v>
      </c>
      <c r="CS123" s="6">
        <v>0.0</v>
      </c>
      <c r="CT123" s="6">
        <v>0.0</v>
      </c>
      <c r="CU123" s="6">
        <v>0.0</v>
      </c>
      <c r="CV123" s="6">
        <f t="shared" ref="CV123:CX123" si="1052">+CP123+CS123+CJ123+CM123</f>
        <v>0</v>
      </c>
      <c r="CW123" s="6">
        <f t="shared" si="1052"/>
        <v>0</v>
      </c>
      <c r="CX123" s="6">
        <f t="shared" si="1052"/>
        <v>0</v>
      </c>
      <c r="CY123" s="6">
        <v>0.0</v>
      </c>
      <c r="CZ123" s="6">
        <v>0.0</v>
      </c>
      <c r="DA123" s="6">
        <v>0.0</v>
      </c>
      <c r="DB123" s="6">
        <v>0.0</v>
      </c>
      <c r="DC123" s="6">
        <v>0.0</v>
      </c>
      <c r="DD123" s="6">
        <v>0.0</v>
      </c>
      <c r="DE123" s="6">
        <v>0.0</v>
      </c>
      <c r="DF123" s="6">
        <v>0.0</v>
      </c>
      <c r="DG123" s="6">
        <v>0.0</v>
      </c>
      <c r="DH123" s="6">
        <v>0.0</v>
      </c>
      <c r="DI123" s="6">
        <v>0.0</v>
      </c>
      <c r="DJ123" s="6">
        <v>0.0</v>
      </c>
      <c r="DK123" s="6">
        <f t="shared" ref="DK123:DM123" si="1053">+DE123+DH123+CY123+DB123</f>
        <v>0</v>
      </c>
      <c r="DL123" s="6">
        <f t="shared" si="1053"/>
        <v>0</v>
      </c>
      <c r="DM123" s="6">
        <f t="shared" si="1053"/>
        <v>0</v>
      </c>
      <c r="DN123" s="6" t="str">
        <f t="shared" ref="DN123:DP123" si="1054">+P123+AE123+AT123+BI123+BU123+CG123+CV123</f>
        <v>#REF!</v>
      </c>
      <c r="DO123" s="6" t="str">
        <f t="shared" si="1054"/>
        <v>#REF!</v>
      </c>
      <c r="DP123" s="6" t="str">
        <f t="shared" si="1054"/>
        <v>#REF!</v>
      </c>
      <c r="DQ123" s="6" t="str">
        <f t="shared" si="19"/>
        <v>#REF!</v>
      </c>
    </row>
    <row r="124" ht="13.5" customHeight="1">
      <c r="A124" s="11">
        <v>45348.0</v>
      </c>
      <c r="B124" s="2" t="s">
        <v>504</v>
      </c>
      <c r="C124" s="2" t="s">
        <v>505</v>
      </c>
      <c r="D124" s="29" t="s">
        <v>506</v>
      </c>
      <c r="E124" s="2" t="s">
        <v>507</v>
      </c>
      <c r="F124" s="11" t="s">
        <v>508</v>
      </c>
      <c r="G124" s="11" t="s">
        <v>17</v>
      </c>
      <c r="H124" s="5">
        <v>515300.0</v>
      </c>
      <c r="I124" s="5">
        <v>515300.0</v>
      </c>
      <c r="J124" s="6">
        <v>0.0</v>
      </c>
      <c r="K124" s="6">
        <v>0.0</v>
      </c>
      <c r="L124" s="6">
        <v>0.0</v>
      </c>
      <c r="M124" s="6">
        <v>0.0</v>
      </c>
      <c r="N124" s="6">
        <v>0.0</v>
      </c>
      <c r="O124" s="6">
        <v>0.0</v>
      </c>
      <c r="P124" s="6">
        <f t="shared" ref="P124:R124" si="1055">+J124+M124</f>
        <v>0</v>
      </c>
      <c r="Q124" s="6">
        <f t="shared" si="1055"/>
        <v>0</v>
      </c>
      <c r="R124" s="6">
        <f t="shared" si="1055"/>
        <v>0</v>
      </c>
      <c r="S124" s="6">
        <v>0.0</v>
      </c>
      <c r="T124" s="6">
        <v>0.0</v>
      </c>
      <c r="U124" s="6">
        <v>0.0</v>
      </c>
      <c r="V124" s="6">
        <v>0.0</v>
      </c>
      <c r="W124" s="6">
        <v>0.0</v>
      </c>
      <c r="X124" s="6">
        <v>0.0</v>
      </c>
      <c r="Y124" s="6">
        <v>0.0</v>
      </c>
      <c r="Z124" s="6">
        <v>0.0</v>
      </c>
      <c r="AA124" s="6">
        <v>0.0</v>
      </c>
      <c r="AB124" s="6">
        <v>0.0</v>
      </c>
      <c r="AC124" s="6">
        <v>0.0</v>
      </c>
      <c r="AD124" s="6">
        <v>0.0</v>
      </c>
      <c r="AE124" s="6">
        <f t="shared" ref="AE124:AG124" si="1056">+Y124+AB124+S124+V124</f>
        <v>0</v>
      </c>
      <c r="AF124" s="6">
        <f t="shared" si="1056"/>
        <v>0</v>
      </c>
      <c r="AG124" s="6">
        <f t="shared" si="1056"/>
        <v>0</v>
      </c>
      <c r="AH124" s="6">
        <v>0.0</v>
      </c>
      <c r="AI124" s="6">
        <v>0.0</v>
      </c>
      <c r="AJ124" s="6">
        <v>0.0</v>
      </c>
      <c r="AK124" s="6">
        <v>0.0</v>
      </c>
      <c r="AL124" s="6">
        <v>0.0</v>
      </c>
      <c r="AM124" s="6">
        <v>0.0</v>
      </c>
      <c r="AN124" s="6">
        <v>0.0</v>
      </c>
      <c r="AO124" s="6">
        <v>0.0</v>
      </c>
      <c r="AP124" s="6">
        <v>0.0</v>
      </c>
      <c r="AQ124" s="6">
        <v>0.0</v>
      </c>
      <c r="AR124" s="6">
        <v>0.0</v>
      </c>
      <c r="AS124" s="6">
        <v>0.0</v>
      </c>
      <c r="AT124" s="6">
        <f t="shared" ref="AT124:AV124" si="1057">+AN124+AQ124+AH124+AK124</f>
        <v>0</v>
      </c>
      <c r="AU124" s="6">
        <f t="shared" si="1057"/>
        <v>0</v>
      </c>
      <c r="AV124" s="6">
        <f t="shared" si="1057"/>
        <v>0</v>
      </c>
      <c r="AW124" s="6">
        <v>0.0</v>
      </c>
      <c r="AX124" s="6">
        <v>0.0</v>
      </c>
      <c r="AY124" s="6">
        <v>0.0</v>
      </c>
      <c r="AZ124" s="6">
        <v>0.0</v>
      </c>
      <c r="BA124" s="6">
        <v>0.0</v>
      </c>
      <c r="BB124" s="6">
        <v>0.0</v>
      </c>
      <c r="BC124" s="6">
        <v>0.0</v>
      </c>
      <c r="BD124" s="6">
        <v>0.0</v>
      </c>
      <c r="BE124" s="6">
        <v>0.0</v>
      </c>
      <c r="BF124" s="6">
        <v>0.0</v>
      </c>
      <c r="BG124" s="6">
        <v>0.0</v>
      </c>
      <c r="BH124" s="6">
        <v>0.0</v>
      </c>
      <c r="BI124" s="6">
        <f t="shared" ref="BI124:BK124" si="1058">+BC124+BF124+AW124+AZ124</f>
        <v>0</v>
      </c>
      <c r="BJ124" s="6">
        <f t="shared" si="1058"/>
        <v>0</v>
      </c>
      <c r="BK124" s="6">
        <f t="shared" si="1058"/>
        <v>0</v>
      </c>
      <c r="BL124" s="5">
        <v>515300.0</v>
      </c>
      <c r="BM124" s="5">
        <v>515300.0</v>
      </c>
      <c r="BN124" s="6">
        <v>0.0</v>
      </c>
      <c r="BO124" s="6">
        <v>0.0</v>
      </c>
      <c r="BP124" s="6">
        <v>0.0</v>
      </c>
      <c r="BQ124" s="6">
        <v>0.0</v>
      </c>
      <c r="BR124" s="6">
        <v>0.0</v>
      </c>
      <c r="BS124" s="6">
        <v>0.0</v>
      </c>
      <c r="BT124" s="6">
        <v>75000.0</v>
      </c>
      <c r="BU124" s="6" t="str">
        <f t="shared" ref="BU124:BW124" si="1059">+BO124+BR124+#REF!+BL124</f>
        <v>#REF!</v>
      </c>
      <c r="BV124" s="6" t="str">
        <f t="shared" si="1059"/>
        <v>#REF!</v>
      </c>
      <c r="BW124" s="6" t="str">
        <f t="shared" si="1059"/>
        <v>#REF!</v>
      </c>
      <c r="BX124" s="6">
        <v>0.0</v>
      </c>
      <c r="BY124" s="6">
        <v>0.0</v>
      </c>
      <c r="BZ124" s="6">
        <v>440300.0</v>
      </c>
      <c r="CA124" s="6">
        <v>0.0</v>
      </c>
      <c r="CB124" s="6">
        <v>0.0</v>
      </c>
      <c r="CC124" s="6">
        <v>0.0</v>
      </c>
      <c r="CD124" s="6">
        <v>0.0</v>
      </c>
      <c r="CE124" s="6">
        <v>0.0</v>
      </c>
      <c r="CF124" s="6">
        <v>0.0</v>
      </c>
      <c r="CG124" s="6" t="str">
        <f t="shared" ref="CG124:CI124" si="1060">+CA124+CD124+BX124+#REF!</f>
        <v>#REF!</v>
      </c>
      <c r="CH124" s="6" t="str">
        <f t="shared" si="1060"/>
        <v>#REF!</v>
      </c>
      <c r="CI124" s="6" t="str">
        <f t="shared" si="1060"/>
        <v>#REF!</v>
      </c>
      <c r="CJ124" s="6">
        <v>0.0</v>
      </c>
      <c r="CK124" s="6">
        <v>0.0</v>
      </c>
      <c r="CL124" s="6">
        <v>0.0</v>
      </c>
      <c r="CM124" s="6">
        <v>0.0</v>
      </c>
      <c r="CN124" s="6">
        <v>0.0</v>
      </c>
      <c r="CO124" s="6">
        <v>0.0</v>
      </c>
      <c r="CP124" s="6">
        <v>0.0</v>
      </c>
      <c r="CQ124" s="6">
        <v>0.0</v>
      </c>
      <c r="CR124" s="6">
        <v>0.0</v>
      </c>
      <c r="CS124" s="6">
        <v>0.0</v>
      </c>
      <c r="CT124" s="6">
        <v>0.0</v>
      </c>
      <c r="CU124" s="6">
        <v>0.0</v>
      </c>
      <c r="CV124" s="6">
        <f t="shared" ref="CV124:CX124" si="1061">+CP124+CS124+CJ124+CM124</f>
        <v>0</v>
      </c>
      <c r="CW124" s="6">
        <f t="shared" si="1061"/>
        <v>0</v>
      </c>
      <c r="CX124" s="6">
        <f t="shared" si="1061"/>
        <v>0</v>
      </c>
      <c r="CY124" s="6">
        <v>0.0</v>
      </c>
      <c r="CZ124" s="6">
        <v>0.0</v>
      </c>
      <c r="DA124" s="6">
        <v>0.0</v>
      </c>
      <c r="DB124" s="6">
        <v>0.0</v>
      </c>
      <c r="DC124" s="6">
        <v>0.0</v>
      </c>
      <c r="DD124" s="6">
        <v>0.0</v>
      </c>
      <c r="DE124" s="6">
        <v>0.0</v>
      </c>
      <c r="DF124" s="6">
        <v>0.0</v>
      </c>
      <c r="DG124" s="6">
        <v>0.0</v>
      </c>
      <c r="DH124" s="6">
        <v>0.0</v>
      </c>
      <c r="DI124" s="6">
        <v>0.0</v>
      </c>
      <c r="DJ124" s="6">
        <v>0.0</v>
      </c>
      <c r="DK124" s="6">
        <f t="shared" ref="DK124:DM124" si="1062">+DE124+DH124+CY124+DB124</f>
        <v>0</v>
      </c>
      <c r="DL124" s="6">
        <f t="shared" si="1062"/>
        <v>0</v>
      </c>
      <c r="DM124" s="6">
        <f t="shared" si="1062"/>
        <v>0</v>
      </c>
      <c r="DN124" s="6" t="str">
        <f t="shared" ref="DN124:DP124" si="1063">+P124+AE124+AT124+BI124+BU124+CG124+CV124</f>
        <v>#REF!</v>
      </c>
      <c r="DO124" s="6" t="str">
        <f t="shared" si="1063"/>
        <v>#REF!</v>
      </c>
      <c r="DP124" s="6" t="str">
        <f t="shared" si="1063"/>
        <v>#REF!</v>
      </c>
      <c r="DQ124" s="6" t="str">
        <f t="shared" si="19"/>
        <v>#REF!</v>
      </c>
    </row>
    <row r="125" ht="13.5" customHeight="1">
      <c r="A125" s="11">
        <v>45348.0</v>
      </c>
      <c r="B125" s="2" t="s">
        <v>504</v>
      </c>
      <c r="C125" s="2" t="s">
        <v>505</v>
      </c>
      <c r="D125" s="29" t="s">
        <v>506</v>
      </c>
      <c r="E125" s="2" t="s">
        <v>507</v>
      </c>
      <c r="F125" s="11" t="s">
        <v>509</v>
      </c>
      <c r="G125" s="11" t="s">
        <v>17</v>
      </c>
      <c r="H125" s="5">
        <v>775073.28</v>
      </c>
      <c r="I125" s="5">
        <v>775073.28</v>
      </c>
      <c r="J125" s="6">
        <v>0.0</v>
      </c>
      <c r="K125" s="6">
        <v>0.0</v>
      </c>
      <c r="L125" s="6">
        <v>0.0</v>
      </c>
      <c r="M125" s="6">
        <v>0.0</v>
      </c>
      <c r="N125" s="6">
        <v>0.0</v>
      </c>
      <c r="O125" s="6">
        <v>0.0</v>
      </c>
      <c r="P125" s="6">
        <f t="shared" ref="P125:R125" si="1064">+J125+M125</f>
        <v>0</v>
      </c>
      <c r="Q125" s="6">
        <f t="shared" si="1064"/>
        <v>0</v>
      </c>
      <c r="R125" s="6">
        <f t="shared" si="1064"/>
        <v>0</v>
      </c>
      <c r="S125" s="6">
        <v>0.0</v>
      </c>
      <c r="T125" s="6">
        <v>0.0</v>
      </c>
      <c r="U125" s="6">
        <v>0.0</v>
      </c>
      <c r="V125" s="6">
        <v>0.0</v>
      </c>
      <c r="W125" s="6">
        <v>0.0</v>
      </c>
      <c r="X125" s="6">
        <v>0.0</v>
      </c>
      <c r="Y125" s="6">
        <v>0.0</v>
      </c>
      <c r="Z125" s="6">
        <v>0.0</v>
      </c>
      <c r="AA125" s="6">
        <v>0.0</v>
      </c>
      <c r="AB125" s="6">
        <v>0.0</v>
      </c>
      <c r="AC125" s="6">
        <v>0.0</v>
      </c>
      <c r="AD125" s="6">
        <v>0.0</v>
      </c>
      <c r="AE125" s="6">
        <f t="shared" ref="AE125:AG125" si="1065">+Y125+AB125+S125+V125</f>
        <v>0</v>
      </c>
      <c r="AF125" s="6">
        <f t="shared" si="1065"/>
        <v>0</v>
      </c>
      <c r="AG125" s="6">
        <f t="shared" si="1065"/>
        <v>0</v>
      </c>
      <c r="AH125" s="6">
        <v>0.0</v>
      </c>
      <c r="AI125" s="6">
        <v>0.0</v>
      </c>
      <c r="AJ125" s="6">
        <v>0.0</v>
      </c>
      <c r="AK125" s="6">
        <v>0.0</v>
      </c>
      <c r="AL125" s="6">
        <v>0.0</v>
      </c>
      <c r="AM125" s="6">
        <v>0.0</v>
      </c>
      <c r="AN125" s="6">
        <v>0.0</v>
      </c>
      <c r="AO125" s="6">
        <v>0.0</v>
      </c>
      <c r="AP125" s="6">
        <v>0.0</v>
      </c>
      <c r="AQ125" s="6">
        <v>0.0</v>
      </c>
      <c r="AR125" s="6">
        <v>0.0</v>
      </c>
      <c r="AS125" s="6">
        <v>0.0</v>
      </c>
      <c r="AT125" s="6">
        <f t="shared" ref="AT125:AV125" si="1066">+AN125+AQ125+AH125+AK125</f>
        <v>0</v>
      </c>
      <c r="AU125" s="6">
        <f t="shared" si="1066"/>
        <v>0</v>
      </c>
      <c r="AV125" s="6">
        <f t="shared" si="1066"/>
        <v>0</v>
      </c>
      <c r="AW125" s="6">
        <v>0.0</v>
      </c>
      <c r="AX125" s="6">
        <v>0.0</v>
      </c>
      <c r="AY125" s="6">
        <v>0.0</v>
      </c>
      <c r="AZ125" s="6">
        <v>0.0</v>
      </c>
      <c r="BA125" s="6">
        <v>0.0</v>
      </c>
      <c r="BB125" s="6">
        <v>0.0</v>
      </c>
      <c r="BC125" s="6">
        <v>0.0</v>
      </c>
      <c r="BD125" s="6">
        <v>0.0</v>
      </c>
      <c r="BE125" s="6">
        <v>0.0</v>
      </c>
      <c r="BF125" s="6">
        <v>0.0</v>
      </c>
      <c r="BG125" s="6">
        <v>0.0</v>
      </c>
      <c r="BH125" s="6">
        <v>0.0</v>
      </c>
      <c r="BI125" s="6">
        <f t="shared" ref="BI125:BK125" si="1067">+BC125+BF125+AW125+AZ125</f>
        <v>0</v>
      </c>
      <c r="BJ125" s="6">
        <f t="shared" si="1067"/>
        <v>0</v>
      </c>
      <c r="BK125" s="6">
        <f t="shared" si="1067"/>
        <v>0</v>
      </c>
      <c r="BL125" s="5">
        <v>775073.28</v>
      </c>
      <c r="BM125" s="5">
        <v>775073.28</v>
      </c>
      <c r="BN125" s="6">
        <v>0.0</v>
      </c>
      <c r="BO125" s="6">
        <v>0.0</v>
      </c>
      <c r="BP125" s="6">
        <v>0.0</v>
      </c>
      <c r="BQ125" s="6">
        <v>775073.28</v>
      </c>
      <c r="BR125" s="6">
        <v>0.0</v>
      </c>
      <c r="BS125" s="6">
        <v>0.0</v>
      </c>
      <c r="BT125" s="6">
        <v>0.0</v>
      </c>
      <c r="BU125" s="6" t="str">
        <f t="shared" ref="BU125:BW125" si="1068">+BO125+BR125+#REF!+BL125</f>
        <v>#REF!</v>
      </c>
      <c r="BV125" s="6" t="str">
        <f t="shared" si="1068"/>
        <v>#REF!</v>
      </c>
      <c r="BW125" s="6" t="str">
        <f t="shared" si="1068"/>
        <v>#REF!</v>
      </c>
      <c r="BX125" s="6">
        <v>0.0</v>
      </c>
      <c r="BY125" s="6">
        <v>0.0</v>
      </c>
      <c r="BZ125" s="6">
        <v>0.0</v>
      </c>
      <c r="CA125" s="6">
        <v>0.0</v>
      </c>
      <c r="CB125" s="6">
        <v>0.0</v>
      </c>
      <c r="CC125" s="6">
        <v>0.0</v>
      </c>
      <c r="CD125" s="6">
        <v>0.0</v>
      </c>
      <c r="CE125" s="6">
        <v>0.0</v>
      </c>
      <c r="CF125" s="6">
        <v>0.0</v>
      </c>
      <c r="CG125" s="6" t="str">
        <f t="shared" ref="CG125:CI125" si="1069">+CA125+CD125+BX125+#REF!</f>
        <v>#REF!</v>
      </c>
      <c r="CH125" s="6" t="str">
        <f t="shared" si="1069"/>
        <v>#REF!</v>
      </c>
      <c r="CI125" s="6" t="str">
        <f t="shared" si="1069"/>
        <v>#REF!</v>
      </c>
      <c r="CJ125" s="5">
        <v>65046.88</v>
      </c>
      <c r="CK125" s="5">
        <v>65046.88</v>
      </c>
      <c r="CL125" s="6">
        <v>0.0</v>
      </c>
      <c r="CM125" s="6">
        <v>0.0</v>
      </c>
      <c r="CN125" s="6">
        <v>0.0</v>
      </c>
      <c r="CO125" s="6">
        <v>0.0</v>
      </c>
      <c r="CP125" s="6">
        <v>0.0</v>
      </c>
      <c r="CQ125" s="6">
        <v>0.0</v>
      </c>
      <c r="CR125" s="6">
        <v>0.0</v>
      </c>
      <c r="CS125" s="6">
        <v>0.0</v>
      </c>
      <c r="CT125" s="6">
        <v>0.0</v>
      </c>
      <c r="CU125" s="6">
        <v>0.0</v>
      </c>
      <c r="CV125" s="6">
        <f t="shared" ref="CV125:CX125" si="1070">+CP125+CS125+CJ125+CM125</f>
        <v>65046.88</v>
      </c>
      <c r="CW125" s="6">
        <f t="shared" si="1070"/>
        <v>65046.88</v>
      </c>
      <c r="CX125" s="6">
        <f t="shared" si="1070"/>
        <v>0</v>
      </c>
      <c r="CY125" s="5">
        <v>65046.88</v>
      </c>
      <c r="CZ125" s="5">
        <v>65046.88</v>
      </c>
      <c r="DA125" s="6">
        <v>0.0</v>
      </c>
      <c r="DB125" s="6">
        <v>0.0</v>
      </c>
      <c r="DC125" s="6">
        <v>0.0</v>
      </c>
      <c r="DD125" s="6">
        <v>0.0</v>
      </c>
      <c r="DE125" s="6">
        <v>0.0</v>
      </c>
      <c r="DF125" s="6">
        <v>0.0</v>
      </c>
      <c r="DG125" s="6">
        <v>0.0</v>
      </c>
      <c r="DH125" s="6">
        <v>0.0</v>
      </c>
      <c r="DI125" s="6">
        <v>0.0</v>
      </c>
      <c r="DJ125" s="6">
        <v>0.0</v>
      </c>
      <c r="DK125" s="6">
        <f t="shared" ref="DK125:DM125" si="1071">+DE125+DH125+CY125+DB125</f>
        <v>65046.88</v>
      </c>
      <c r="DL125" s="6">
        <f t="shared" si="1071"/>
        <v>65046.88</v>
      </c>
      <c r="DM125" s="6">
        <f t="shared" si="1071"/>
        <v>0</v>
      </c>
      <c r="DN125" s="6" t="str">
        <f t="shared" ref="DN125:DP125" si="1072">+P125+AE125+AT125+BI125+BU125+CG125+CV125</f>
        <v>#REF!</v>
      </c>
      <c r="DO125" s="6" t="str">
        <f t="shared" si="1072"/>
        <v>#REF!</v>
      </c>
      <c r="DP125" s="6" t="str">
        <f t="shared" si="1072"/>
        <v>#REF!</v>
      </c>
      <c r="DQ125" s="6" t="str">
        <f t="shared" si="19"/>
        <v>#REF!</v>
      </c>
    </row>
    <row r="126" ht="13.5" customHeight="1">
      <c r="A126" s="11">
        <v>45364.0</v>
      </c>
      <c r="B126" s="2" t="s">
        <v>510</v>
      </c>
      <c r="C126" s="2" t="s">
        <v>511</v>
      </c>
      <c r="D126" s="29" t="s">
        <v>512</v>
      </c>
      <c r="E126" s="2" t="s">
        <v>513</v>
      </c>
      <c r="F126" s="11" t="s">
        <v>514</v>
      </c>
      <c r="G126" s="11" t="s">
        <v>17</v>
      </c>
      <c r="H126" s="5">
        <v>1644300.0</v>
      </c>
      <c r="I126" s="5">
        <v>1644300.0</v>
      </c>
      <c r="J126" s="6">
        <v>0.0</v>
      </c>
      <c r="K126" s="6">
        <v>0.0</v>
      </c>
      <c r="L126" s="6">
        <v>0.0</v>
      </c>
      <c r="M126" s="6">
        <v>0.0</v>
      </c>
      <c r="N126" s="6">
        <v>0.0</v>
      </c>
      <c r="O126" s="6">
        <v>0.0</v>
      </c>
      <c r="P126" s="6">
        <f t="shared" ref="P126:R126" si="1073">+J126+M126</f>
        <v>0</v>
      </c>
      <c r="Q126" s="6">
        <f t="shared" si="1073"/>
        <v>0</v>
      </c>
      <c r="R126" s="6">
        <f t="shared" si="1073"/>
        <v>0</v>
      </c>
      <c r="S126" s="6">
        <v>0.0</v>
      </c>
      <c r="T126" s="6">
        <v>0.0</v>
      </c>
      <c r="U126" s="6">
        <v>0.0</v>
      </c>
      <c r="V126" s="6">
        <v>0.0</v>
      </c>
      <c r="W126" s="6">
        <v>0.0</v>
      </c>
      <c r="X126" s="6">
        <v>0.0</v>
      </c>
      <c r="Y126" s="6">
        <v>0.0</v>
      </c>
      <c r="Z126" s="6">
        <v>0.0</v>
      </c>
      <c r="AA126" s="6">
        <v>0.0</v>
      </c>
      <c r="AB126" s="6">
        <v>0.0</v>
      </c>
      <c r="AC126" s="6">
        <v>0.0</v>
      </c>
      <c r="AD126" s="6">
        <v>0.0</v>
      </c>
      <c r="AE126" s="6">
        <f t="shared" ref="AE126:AG126" si="1074">+Y126+AB126+S126+V126</f>
        <v>0</v>
      </c>
      <c r="AF126" s="6">
        <f t="shared" si="1074"/>
        <v>0</v>
      </c>
      <c r="AG126" s="6">
        <f t="shared" si="1074"/>
        <v>0</v>
      </c>
      <c r="AH126" s="6">
        <v>0.0</v>
      </c>
      <c r="AI126" s="6">
        <v>0.0</v>
      </c>
      <c r="AJ126" s="6">
        <v>0.0</v>
      </c>
      <c r="AK126" s="6">
        <v>0.0</v>
      </c>
      <c r="AL126" s="6">
        <v>0.0</v>
      </c>
      <c r="AM126" s="6">
        <v>0.0</v>
      </c>
      <c r="AN126" s="6">
        <v>0.0</v>
      </c>
      <c r="AO126" s="6">
        <v>0.0</v>
      </c>
      <c r="AP126" s="6">
        <v>0.0</v>
      </c>
      <c r="AQ126" s="6">
        <v>0.0</v>
      </c>
      <c r="AR126" s="6">
        <v>0.0</v>
      </c>
      <c r="AS126" s="6">
        <v>0.0</v>
      </c>
      <c r="AT126" s="6">
        <f t="shared" ref="AT126:AV126" si="1075">+AN126+AQ126+AH126+AK126</f>
        <v>0</v>
      </c>
      <c r="AU126" s="6">
        <f t="shared" si="1075"/>
        <v>0</v>
      </c>
      <c r="AV126" s="6">
        <f t="shared" si="1075"/>
        <v>0</v>
      </c>
      <c r="AW126" s="6">
        <v>0.0</v>
      </c>
      <c r="AX126" s="6">
        <v>0.0</v>
      </c>
      <c r="AY126" s="6">
        <v>0.0</v>
      </c>
      <c r="AZ126" s="6">
        <v>0.0</v>
      </c>
      <c r="BA126" s="6">
        <v>0.0</v>
      </c>
      <c r="BB126" s="6">
        <v>0.0</v>
      </c>
      <c r="BC126" s="6">
        <v>0.0</v>
      </c>
      <c r="BD126" s="6">
        <v>0.0</v>
      </c>
      <c r="BE126" s="6">
        <v>0.0</v>
      </c>
      <c r="BF126" s="6">
        <v>0.0</v>
      </c>
      <c r="BG126" s="6">
        <v>0.0</v>
      </c>
      <c r="BH126" s="6">
        <v>0.0</v>
      </c>
      <c r="BI126" s="6">
        <f t="shared" ref="BI126:BK126" si="1076">+BC126+BF126+AW126+AZ126</f>
        <v>0</v>
      </c>
      <c r="BJ126" s="6">
        <f t="shared" si="1076"/>
        <v>0</v>
      </c>
      <c r="BK126" s="6">
        <f t="shared" si="1076"/>
        <v>0</v>
      </c>
      <c r="BL126" s="5">
        <v>1644300.0</v>
      </c>
      <c r="BM126" s="5">
        <v>1644300.0</v>
      </c>
      <c r="BN126" s="6">
        <v>0.0</v>
      </c>
      <c r="BO126" s="6">
        <v>0.0</v>
      </c>
      <c r="BP126" s="6">
        <v>0.0</v>
      </c>
      <c r="BQ126" s="6">
        <v>30000.0</v>
      </c>
      <c r="BR126" s="6">
        <v>0.0</v>
      </c>
      <c r="BS126" s="6">
        <v>0.0</v>
      </c>
      <c r="BT126" s="6">
        <v>100000.0</v>
      </c>
      <c r="BU126" s="6" t="str">
        <f t="shared" ref="BU126:BW126" si="1077">+BO126+BR126+#REF!+BL126</f>
        <v>#REF!</v>
      </c>
      <c r="BV126" s="6" t="str">
        <f t="shared" si="1077"/>
        <v>#REF!</v>
      </c>
      <c r="BW126" s="6" t="str">
        <f t="shared" si="1077"/>
        <v>#REF!</v>
      </c>
      <c r="BX126" s="6">
        <v>0.0</v>
      </c>
      <c r="BY126" s="6">
        <v>0.0</v>
      </c>
      <c r="BZ126" s="6">
        <v>1214226.72</v>
      </c>
      <c r="CA126" s="6">
        <v>0.0</v>
      </c>
      <c r="CB126" s="6">
        <v>0.0</v>
      </c>
      <c r="CC126" s="6">
        <v>0.0</v>
      </c>
      <c r="CD126" s="6">
        <v>0.0</v>
      </c>
      <c r="CE126" s="6">
        <v>0.0</v>
      </c>
      <c r="CF126" s="6">
        <v>0.0</v>
      </c>
      <c r="CG126" s="6" t="str">
        <f t="shared" ref="CG126:CI126" si="1078">+CA126+CD126+BX126+#REF!</f>
        <v>#REF!</v>
      </c>
      <c r="CH126" s="6" t="str">
        <f t="shared" si="1078"/>
        <v>#REF!</v>
      </c>
      <c r="CI126" s="6" t="str">
        <f t="shared" si="1078"/>
        <v>#REF!</v>
      </c>
      <c r="CJ126" s="6">
        <v>0.0</v>
      </c>
      <c r="CK126" s="6">
        <v>0.0</v>
      </c>
      <c r="CL126" s="6">
        <v>0.0</v>
      </c>
      <c r="CM126" s="6">
        <v>0.0</v>
      </c>
      <c r="CN126" s="6">
        <v>0.0</v>
      </c>
      <c r="CO126" s="6">
        <v>0.0</v>
      </c>
      <c r="CP126" s="6">
        <v>0.0</v>
      </c>
      <c r="CQ126" s="6">
        <v>0.0</v>
      </c>
      <c r="CR126" s="6">
        <v>0.0</v>
      </c>
      <c r="CS126" s="6">
        <v>0.0</v>
      </c>
      <c r="CT126" s="6">
        <v>0.0</v>
      </c>
      <c r="CU126" s="6">
        <v>0.0</v>
      </c>
      <c r="CV126" s="6">
        <f t="shared" ref="CV126:CX126" si="1079">+CP126+CS126+CJ126+CM126</f>
        <v>0</v>
      </c>
      <c r="CW126" s="6">
        <f t="shared" si="1079"/>
        <v>0</v>
      </c>
      <c r="CX126" s="6">
        <f t="shared" si="1079"/>
        <v>0</v>
      </c>
      <c r="CY126" s="6">
        <v>0.0</v>
      </c>
      <c r="CZ126" s="6">
        <v>0.0</v>
      </c>
      <c r="DA126" s="6">
        <v>0.0</v>
      </c>
      <c r="DB126" s="6">
        <v>0.0</v>
      </c>
      <c r="DC126" s="6">
        <v>0.0</v>
      </c>
      <c r="DD126" s="6">
        <v>0.0</v>
      </c>
      <c r="DE126" s="6">
        <v>0.0</v>
      </c>
      <c r="DF126" s="6">
        <v>0.0</v>
      </c>
      <c r="DG126" s="6">
        <v>0.0</v>
      </c>
      <c r="DH126" s="6">
        <v>0.0</v>
      </c>
      <c r="DI126" s="6">
        <v>0.0</v>
      </c>
      <c r="DJ126" s="6">
        <v>0.0</v>
      </c>
      <c r="DK126" s="6">
        <f t="shared" ref="DK126:DM126" si="1080">+DE126+DH126+CY126+DB126</f>
        <v>0</v>
      </c>
      <c r="DL126" s="6">
        <f t="shared" si="1080"/>
        <v>0</v>
      </c>
      <c r="DM126" s="6">
        <f t="shared" si="1080"/>
        <v>0</v>
      </c>
      <c r="DN126" s="6" t="str">
        <f t="shared" ref="DN126:DP126" si="1081">+P126+AE126+AT126+BI126+BU126+CG126+CV126</f>
        <v>#REF!</v>
      </c>
      <c r="DO126" s="6" t="str">
        <f t="shared" si="1081"/>
        <v>#REF!</v>
      </c>
      <c r="DP126" s="6" t="str">
        <f t="shared" si="1081"/>
        <v>#REF!</v>
      </c>
      <c r="DQ126" s="6" t="str">
        <f t="shared" si="19"/>
        <v>#REF!</v>
      </c>
    </row>
    <row r="127" ht="13.5" customHeight="1">
      <c r="A127" s="11">
        <v>45372.0</v>
      </c>
      <c r="B127" s="2" t="s">
        <v>515</v>
      </c>
      <c r="C127" s="2" t="s">
        <v>516</v>
      </c>
      <c r="D127" s="29" t="s">
        <v>517</v>
      </c>
      <c r="E127" s="2" t="s">
        <v>518</v>
      </c>
      <c r="F127" s="11" t="s">
        <v>519</v>
      </c>
      <c r="G127" s="11" t="s">
        <v>17</v>
      </c>
      <c r="H127" s="5">
        <v>1000000.0</v>
      </c>
      <c r="I127" s="5">
        <v>1000000.0</v>
      </c>
      <c r="J127" s="6">
        <v>0.0</v>
      </c>
      <c r="K127" s="6">
        <v>0.0</v>
      </c>
      <c r="L127" s="6">
        <v>0.0</v>
      </c>
      <c r="M127" s="6">
        <v>0.0</v>
      </c>
      <c r="N127" s="6">
        <v>0.0</v>
      </c>
      <c r="O127" s="6">
        <v>0.0</v>
      </c>
      <c r="P127" s="6">
        <f t="shared" ref="P127:R127" si="1082">+J127+M127</f>
        <v>0</v>
      </c>
      <c r="Q127" s="6">
        <f t="shared" si="1082"/>
        <v>0</v>
      </c>
      <c r="R127" s="6">
        <f t="shared" si="1082"/>
        <v>0</v>
      </c>
      <c r="S127" s="6">
        <v>0.0</v>
      </c>
      <c r="T127" s="6">
        <v>0.0</v>
      </c>
      <c r="U127" s="6">
        <v>0.0</v>
      </c>
      <c r="V127" s="6">
        <v>0.0</v>
      </c>
      <c r="W127" s="6">
        <v>0.0</v>
      </c>
      <c r="X127" s="6">
        <v>0.0</v>
      </c>
      <c r="Y127" s="6">
        <v>0.0</v>
      </c>
      <c r="Z127" s="6">
        <v>0.0</v>
      </c>
      <c r="AA127" s="6">
        <v>0.0</v>
      </c>
      <c r="AB127" s="6">
        <v>0.0</v>
      </c>
      <c r="AC127" s="6">
        <v>0.0</v>
      </c>
      <c r="AD127" s="6">
        <v>0.0</v>
      </c>
      <c r="AE127" s="6">
        <f t="shared" ref="AE127:AG127" si="1083">+Y127+AB127+S127+V127</f>
        <v>0</v>
      </c>
      <c r="AF127" s="6">
        <f t="shared" si="1083"/>
        <v>0</v>
      </c>
      <c r="AG127" s="6">
        <f t="shared" si="1083"/>
        <v>0</v>
      </c>
      <c r="AH127" s="6">
        <v>0.0</v>
      </c>
      <c r="AI127" s="6">
        <v>0.0</v>
      </c>
      <c r="AJ127" s="6">
        <v>0.0</v>
      </c>
      <c r="AK127" s="6">
        <v>0.0</v>
      </c>
      <c r="AL127" s="6">
        <v>0.0</v>
      </c>
      <c r="AM127" s="6">
        <v>0.0</v>
      </c>
      <c r="AN127" s="6">
        <v>0.0</v>
      </c>
      <c r="AO127" s="6">
        <v>0.0</v>
      </c>
      <c r="AP127" s="6">
        <v>0.0</v>
      </c>
      <c r="AQ127" s="6">
        <v>0.0</v>
      </c>
      <c r="AR127" s="6">
        <v>0.0</v>
      </c>
      <c r="AS127" s="6">
        <v>0.0</v>
      </c>
      <c r="AT127" s="6">
        <f t="shared" ref="AT127:AV127" si="1084">+AN127+AQ127+AH127+AK127</f>
        <v>0</v>
      </c>
      <c r="AU127" s="6">
        <f t="shared" si="1084"/>
        <v>0</v>
      </c>
      <c r="AV127" s="6">
        <f t="shared" si="1084"/>
        <v>0</v>
      </c>
      <c r="AW127" s="6">
        <v>0.0</v>
      </c>
      <c r="AX127" s="6">
        <v>0.0</v>
      </c>
      <c r="AY127" s="6">
        <v>0.0</v>
      </c>
      <c r="AZ127" s="6">
        <v>0.0</v>
      </c>
      <c r="BA127" s="6">
        <v>0.0</v>
      </c>
      <c r="BB127" s="6">
        <v>0.0</v>
      </c>
      <c r="BC127" s="6">
        <v>0.0</v>
      </c>
      <c r="BD127" s="6">
        <v>0.0</v>
      </c>
      <c r="BE127" s="6">
        <v>0.0</v>
      </c>
      <c r="BF127" s="6">
        <v>0.0</v>
      </c>
      <c r="BG127" s="6">
        <v>0.0</v>
      </c>
      <c r="BH127" s="6">
        <v>0.0</v>
      </c>
      <c r="BI127" s="6">
        <f t="shared" ref="BI127:BK127" si="1085">+BC127+BF127+AW127+AZ127</f>
        <v>0</v>
      </c>
      <c r="BJ127" s="6">
        <f t="shared" si="1085"/>
        <v>0</v>
      </c>
      <c r="BK127" s="6">
        <f t="shared" si="1085"/>
        <v>0</v>
      </c>
      <c r="BL127" s="5">
        <v>1000000.0</v>
      </c>
      <c r="BM127" s="5">
        <v>1000000.0</v>
      </c>
      <c r="BN127" s="6">
        <v>0.0</v>
      </c>
      <c r="BO127" s="6">
        <v>0.0</v>
      </c>
      <c r="BP127" s="6">
        <v>0.0</v>
      </c>
      <c r="BQ127" s="6">
        <v>0.0</v>
      </c>
      <c r="BR127" s="6">
        <v>0.0</v>
      </c>
      <c r="BS127" s="6">
        <v>0.0</v>
      </c>
      <c r="BT127" s="6">
        <v>300000.0</v>
      </c>
      <c r="BU127" s="6" t="str">
        <f t="shared" ref="BU127:BW127" si="1086">+BO127+BR127+#REF!+BL127</f>
        <v>#REF!</v>
      </c>
      <c r="BV127" s="6" t="str">
        <f t="shared" si="1086"/>
        <v>#REF!</v>
      </c>
      <c r="BW127" s="6" t="str">
        <f t="shared" si="1086"/>
        <v>#REF!</v>
      </c>
      <c r="BX127" s="6">
        <v>0.0</v>
      </c>
      <c r="BY127" s="6">
        <v>0.0</v>
      </c>
      <c r="BZ127" s="6">
        <v>700000.0</v>
      </c>
      <c r="CA127" s="6">
        <v>0.0</v>
      </c>
      <c r="CB127" s="6">
        <v>0.0</v>
      </c>
      <c r="CC127" s="6">
        <v>0.0</v>
      </c>
      <c r="CD127" s="6">
        <v>0.0</v>
      </c>
      <c r="CE127" s="6">
        <v>0.0</v>
      </c>
      <c r="CF127" s="6">
        <v>0.0</v>
      </c>
      <c r="CG127" s="6" t="str">
        <f t="shared" ref="CG127:CI127" si="1087">+CA127+CD127+BX127+#REF!</f>
        <v>#REF!</v>
      </c>
      <c r="CH127" s="6" t="str">
        <f t="shared" si="1087"/>
        <v>#REF!</v>
      </c>
      <c r="CI127" s="6" t="str">
        <f t="shared" si="1087"/>
        <v>#REF!</v>
      </c>
      <c r="CJ127" s="6">
        <v>0.0</v>
      </c>
      <c r="CK127" s="6">
        <v>0.0</v>
      </c>
      <c r="CL127" s="6">
        <v>0.0</v>
      </c>
      <c r="CM127" s="6">
        <v>0.0</v>
      </c>
      <c r="CN127" s="6">
        <v>0.0</v>
      </c>
      <c r="CO127" s="6">
        <v>0.0</v>
      </c>
      <c r="CP127" s="6">
        <v>0.0</v>
      </c>
      <c r="CQ127" s="6">
        <v>0.0</v>
      </c>
      <c r="CR127" s="6">
        <v>0.0</v>
      </c>
      <c r="CS127" s="6">
        <v>0.0</v>
      </c>
      <c r="CT127" s="6">
        <v>0.0</v>
      </c>
      <c r="CU127" s="6">
        <v>0.0</v>
      </c>
      <c r="CV127" s="6">
        <f t="shared" ref="CV127:CX127" si="1088">+CP127+CS127+CJ127+CM127</f>
        <v>0</v>
      </c>
      <c r="CW127" s="6">
        <f t="shared" si="1088"/>
        <v>0</v>
      </c>
      <c r="CX127" s="6">
        <f t="shared" si="1088"/>
        <v>0</v>
      </c>
      <c r="CY127" s="6">
        <v>0.0</v>
      </c>
      <c r="CZ127" s="6">
        <v>0.0</v>
      </c>
      <c r="DA127" s="6">
        <v>0.0</v>
      </c>
      <c r="DB127" s="6">
        <v>0.0</v>
      </c>
      <c r="DC127" s="6">
        <v>0.0</v>
      </c>
      <c r="DD127" s="6">
        <v>0.0</v>
      </c>
      <c r="DE127" s="6">
        <v>0.0</v>
      </c>
      <c r="DF127" s="6">
        <v>0.0</v>
      </c>
      <c r="DG127" s="6">
        <v>0.0</v>
      </c>
      <c r="DH127" s="6">
        <v>0.0</v>
      </c>
      <c r="DI127" s="6">
        <v>0.0</v>
      </c>
      <c r="DJ127" s="6">
        <v>0.0</v>
      </c>
      <c r="DK127" s="6">
        <f t="shared" ref="DK127:DM127" si="1089">+DE127+DH127+CY127+DB127</f>
        <v>0</v>
      </c>
      <c r="DL127" s="6">
        <f t="shared" si="1089"/>
        <v>0</v>
      </c>
      <c r="DM127" s="6">
        <f t="shared" si="1089"/>
        <v>0</v>
      </c>
      <c r="DN127" s="6" t="str">
        <f t="shared" ref="DN127:DP127" si="1090">+P127+AE127+AT127+BI127+BU127+CG127+CV127</f>
        <v>#REF!</v>
      </c>
      <c r="DO127" s="6" t="str">
        <f t="shared" si="1090"/>
        <v>#REF!</v>
      </c>
      <c r="DP127" s="6" t="str">
        <f t="shared" si="1090"/>
        <v>#REF!</v>
      </c>
      <c r="DQ127" s="6" t="str">
        <f t="shared" si="19"/>
        <v>#REF!</v>
      </c>
    </row>
    <row r="128" ht="13.5" customHeight="1">
      <c r="A128" s="11">
        <v>45436.0</v>
      </c>
      <c r="B128" s="2" t="s">
        <v>520</v>
      </c>
      <c r="C128" s="2" t="s">
        <v>521</v>
      </c>
      <c r="D128" s="29" t="s">
        <v>522</v>
      </c>
      <c r="E128" s="2" t="s">
        <v>523</v>
      </c>
      <c r="F128" s="11" t="s">
        <v>524</v>
      </c>
      <c r="G128" s="11" t="s">
        <v>18</v>
      </c>
      <c r="H128" s="5">
        <v>1500000.0</v>
      </c>
      <c r="I128" s="5">
        <v>500000.0</v>
      </c>
      <c r="J128" s="6">
        <v>0.0</v>
      </c>
      <c r="K128" s="6">
        <v>0.0</v>
      </c>
      <c r="L128" s="6">
        <v>0.0</v>
      </c>
      <c r="M128" s="6">
        <v>0.0</v>
      </c>
      <c r="N128" s="6">
        <v>0.0</v>
      </c>
      <c r="O128" s="6">
        <v>0.0</v>
      </c>
      <c r="P128" s="6">
        <f t="shared" ref="P128:R128" si="1091">+J128+M128</f>
        <v>0</v>
      </c>
      <c r="Q128" s="6">
        <f t="shared" si="1091"/>
        <v>0</v>
      </c>
      <c r="R128" s="6">
        <f t="shared" si="1091"/>
        <v>0</v>
      </c>
      <c r="S128" s="6">
        <v>0.0</v>
      </c>
      <c r="T128" s="6">
        <v>0.0</v>
      </c>
      <c r="U128" s="6">
        <v>0.0</v>
      </c>
      <c r="V128" s="6">
        <v>0.0</v>
      </c>
      <c r="W128" s="6">
        <v>0.0</v>
      </c>
      <c r="X128" s="6">
        <v>0.0</v>
      </c>
      <c r="Y128" s="6">
        <v>0.0</v>
      </c>
      <c r="Z128" s="6">
        <v>0.0</v>
      </c>
      <c r="AA128" s="6">
        <v>0.0</v>
      </c>
      <c r="AB128" s="6">
        <v>0.0</v>
      </c>
      <c r="AC128" s="6">
        <v>0.0</v>
      </c>
      <c r="AD128" s="6">
        <v>0.0</v>
      </c>
      <c r="AE128" s="6">
        <f t="shared" ref="AE128:AG128" si="1092">+Y128+AB128+S128+V128</f>
        <v>0</v>
      </c>
      <c r="AF128" s="6">
        <f t="shared" si="1092"/>
        <v>0</v>
      </c>
      <c r="AG128" s="6">
        <f t="shared" si="1092"/>
        <v>0</v>
      </c>
      <c r="AH128" s="6">
        <v>0.0</v>
      </c>
      <c r="AI128" s="6">
        <v>0.0</v>
      </c>
      <c r="AJ128" s="6">
        <v>0.0</v>
      </c>
      <c r="AK128" s="6">
        <v>0.0</v>
      </c>
      <c r="AL128" s="6">
        <v>0.0</v>
      </c>
      <c r="AM128" s="6">
        <v>0.0</v>
      </c>
      <c r="AN128" s="6">
        <v>0.0</v>
      </c>
      <c r="AO128" s="6">
        <v>0.0</v>
      </c>
      <c r="AP128" s="6">
        <v>0.0</v>
      </c>
      <c r="AQ128" s="6">
        <v>0.0</v>
      </c>
      <c r="AR128" s="6">
        <v>0.0</v>
      </c>
      <c r="AS128" s="6">
        <v>0.0</v>
      </c>
      <c r="AT128" s="6">
        <f t="shared" ref="AT128:AV128" si="1093">+AN128+AQ128+AH128+AK128</f>
        <v>0</v>
      </c>
      <c r="AU128" s="6">
        <f t="shared" si="1093"/>
        <v>0</v>
      </c>
      <c r="AV128" s="6">
        <f t="shared" si="1093"/>
        <v>0</v>
      </c>
      <c r="AW128" s="6">
        <v>0.0</v>
      </c>
      <c r="AX128" s="6">
        <v>0.0</v>
      </c>
      <c r="AY128" s="6">
        <v>0.0</v>
      </c>
      <c r="AZ128" s="6">
        <v>0.0</v>
      </c>
      <c r="BA128" s="6">
        <v>0.0</v>
      </c>
      <c r="BB128" s="6">
        <v>0.0</v>
      </c>
      <c r="BC128" s="6">
        <v>0.0</v>
      </c>
      <c r="BD128" s="6">
        <v>0.0</v>
      </c>
      <c r="BE128" s="6">
        <v>0.0</v>
      </c>
      <c r="BF128" s="6">
        <v>0.0</v>
      </c>
      <c r="BG128" s="6">
        <v>0.0</v>
      </c>
      <c r="BH128" s="6">
        <v>0.0</v>
      </c>
      <c r="BI128" s="6">
        <f t="shared" ref="BI128:BK128" si="1094">+BC128+BF128+AW128+AZ128</f>
        <v>0</v>
      </c>
      <c r="BJ128" s="6">
        <f t="shared" si="1094"/>
        <v>0</v>
      </c>
      <c r="BK128" s="6">
        <f t="shared" si="1094"/>
        <v>0</v>
      </c>
      <c r="BL128" s="6">
        <v>0.0</v>
      </c>
      <c r="BM128" s="6">
        <v>0.0</v>
      </c>
      <c r="BN128" s="6">
        <v>0.0</v>
      </c>
      <c r="BO128" s="5">
        <v>1500000.0</v>
      </c>
      <c r="BP128" s="5">
        <v>500000.0</v>
      </c>
      <c r="BQ128" s="6">
        <v>0.0</v>
      </c>
      <c r="BR128" s="6">
        <v>0.0</v>
      </c>
      <c r="BS128" s="6">
        <v>0.0</v>
      </c>
      <c r="BT128" s="6">
        <v>100000.0</v>
      </c>
      <c r="BU128" s="6" t="str">
        <f t="shared" ref="BU128:BW128" si="1095">+BO128+BR128+#REF!+BL128</f>
        <v>#REF!</v>
      </c>
      <c r="BV128" s="6" t="str">
        <f t="shared" si="1095"/>
        <v>#REF!</v>
      </c>
      <c r="BW128" s="6" t="str">
        <f t="shared" si="1095"/>
        <v>#REF!</v>
      </c>
      <c r="BX128" s="6">
        <v>0.0</v>
      </c>
      <c r="BY128" s="6">
        <v>0.0</v>
      </c>
      <c r="BZ128" s="6">
        <v>300000.0</v>
      </c>
      <c r="CA128" s="6">
        <v>0.0</v>
      </c>
      <c r="CB128" s="6">
        <v>0.0</v>
      </c>
      <c r="CC128" s="6">
        <v>0.0</v>
      </c>
      <c r="CD128" s="6">
        <v>0.0</v>
      </c>
      <c r="CE128" s="6">
        <v>0.0</v>
      </c>
      <c r="CF128" s="6">
        <v>0.0</v>
      </c>
      <c r="CG128" s="6" t="str">
        <f t="shared" ref="CG128:CI128" si="1096">+CA128+CD128+BX128+#REF!</f>
        <v>#REF!</v>
      </c>
      <c r="CH128" s="6" t="str">
        <f t="shared" si="1096"/>
        <v>#REF!</v>
      </c>
      <c r="CI128" s="6" t="str">
        <f t="shared" si="1096"/>
        <v>#REF!</v>
      </c>
      <c r="CJ128" s="6">
        <v>0.0</v>
      </c>
      <c r="CK128" s="6">
        <v>0.0</v>
      </c>
      <c r="CL128" s="6">
        <v>0.0</v>
      </c>
      <c r="CM128" s="6">
        <v>0.0</v>
      </c>
      <c r="CN128" s="6">
        <v>0.0</v>
      </c>
      <c r="CO128" s="6">
        <v>0.0</v>
      </c>
      <c r="CP128" s="6">
        <v>0.0</v>
      </c>
      <c r="CQ128" s="6">
        <v>0.0</v>
      </c>
      <c r="CR128" s="6">
        <v>0.0</v>
      </c>
      <c r="CS128" s="6">
        <v>0.0</v>
      </c>
      <c r="CT128" s="6">
        <v>0.0</v>
      </c>
      <c r="CU128" s="6">
        <v>0.0</v>
      </c>
      <c r="CV128" s="6">
        <f t="shared" ref="CV128:CX128" si="1097">+CP128+CS128+CJ128+CM128</f>
        <v>0</v>
      </c>
      <c r="CW128" s="6">
        <f t="shared" si="1097"/>
        <v>0</v>
      </c>
      <c r="CX128" s="6">
        <f t="shared" si="1097"/>
        <v>0</v>
      </c>
      <c r="CY128" s="6">
        <v>0.0</v>
      </c>
      <c r="CZ128" s="6">
        <v>0.0</v>
      </c>
      <c r="DA128" s="6">
        <v>0.0</v>
      </c>
      <c r="DB128" s="6">
        <v>0.0</v>
      </c>
      <c r="DC128" s="6">
        <v>0.0</v>
      </c>
      <c r="DD128" s="6">
        <v>0.0</v>
      </c>
      <c r="DE128" s="6">
        <v>0.0</v>
      </c>
      <c r="DF128" s="6">
        <v>0.0</v>
      </c>
      <c r="DG128" s="6">
        <v>0.0</v>
      </c>
      <c r="DH128" s="6">
        <v>0.0</v>
      </c>
      <c r="DI128" s="6">
        <v>0.0</v>
      </c>
      <c r="DJ128" s="6">
        <v>0.0</v>
      </c>
      <c r="DK128" s="6">
        <f t="shared" ref="DK128:DM128" si="1098">+DE128+DH128+CY128+DB128</f>
        <v>0</v>
      </c>
      <c r="DL128" s="6">
        <f t="shared" si="1098"/>
        <v>0</v>
      </c>
      <c r="DM128" s="6">
        <f t="shared" si="1098"/>
        <v>0</v>
      </c>
      <c r="DN128" s="6" t="str">
        <f t="shared" ref="DN128:DP128" si="1099">+P128+AE128+AT128+BI128+BU128+CG128+CV128</f>
        <v>#REF!</v>
      </c>
      <c r="DO128" s="6" t="str">
        <f t="shared" si="1099"/>
        <v>#REF!</v>
      </c>
      <c r="DP128" s="6" t="str">
        <f t="shared" si="1099"/>
        <v>#REF!</v>
      </c>
      <c r="DQ128" s="6" t="str">
        <f t="shared" si="19"/>
        <v>#REF!</v>
      </c>
    </row>
    <row r="129" ht="13.5" customHeight="1">
      <c r="A129" s="11"/>
      <c r="B129" s="37" t="s">
        <v>525</v>
      </c>
      <c r="C129" s="2" t="s">
        <v>521</v>
      </c>
      <c r="D129" s="29" t="s">
        <v>522</v>
      </c>
      <c r="E129" s="2" t="s">
        <v>523</v>
      </c>
      <c r="F129" s="11" t="s">
        <v>524</v>
      </c>
      <c r="G129" s="11" t="s">
        <v>18</v>
      </c>
      <c r="H129" s="5">
        <v>-1000000.0</v>
      </c>
      <c r="I129" s="5">
        <v>0.0</v>
      </c>
      <c r="J129" s="6">
        <v>0.0</v>
      </c>
      <c r="K129" s="6">
        <v>0.0</v>
      </c>
      <c r="L129" s="6">
        <v>0.0</v>
      </c>
      <c r="M129" s="6">
        <v>0.0</v>
      </c>
      <c r="N129" s="6">
        <v>0.0</v>
      </c>
      <c r="O129" s="6">
        <v>0.0</v>
      </c>
      <c r="P129" s="6">
        <f t="shared" ref="P129:R129" si="1100">+J129+M129</f>
        <v>0</v>
      </c>
      <c r="Q129" s="6">
        <f t="shared" si="1100"/>
        <v>0</v>
      </c>
      <c r="R129" s="6">
        <f t="shared" si="1100"/>
        <v>0</v>
      </c>
      <c r="S129" s="6">
        <v>0.0</v>
      </c>
      <c r="T129" s="6">
        <v>0.0</v>
      </c>
      <c r="U129" s="6">
        <v>0.0</v>
      </c>
      <c r="V129" s="6">
        <v>0.0</v>
      </c>
      <c r="W129" s="6">
        <v>0.0</v>
      </c>
      <c r="X129" s="6">
        <v>0.0</v>
      </c>
      <c r="Y129" s="6">
        <v>0.0</v>
      </c>
      <c r="Z129" s="6">
        <v>0.0</v>
      </c>
      <c r="AA129" s="6">
        <v>0.0</v>
      </c>
      <c r="AB129" s="6">
        <v>0.0</v>
      </c>
      <c r="AC129" s="6">
        <v>0.0</v>
      </c>
      <c r="AD129" s="6">
        <v>0.0</v>
      </c>
      <c r="AE129" s="6">
        <f t="shared" ref="AE129:AG129" si="1101">+Y129+AB129+S129+V129</f>
        <v>0</v>
      </c>
      <c r="AF129" s="6">
        <f t="shared" si="1101"/>
        <v>0</v>
      </c>
      <c r="AG129" s="6">
        <f t="shared" si="1101"/>
        <v>0</v>
      </c>
      <c r="AH129" s="6">
        <v>0.0</v>
      </c>
      <c r="AI129" s="6">
        <v>0.0</v>
      </c>
      <c r="AJ129" s="6">
        <v>0.0</v>
      </c>
      <c r="AK129" s="6">
        <v>0.0</v>
      </c>
      <c r="AL129" s="6">
        <v>0.0</v>
      </c>
      <c r="AM129" s="6">
        <v>0.0</v>
      </c>
      <c r="AN129" s="6">
        <v>0.0</v>
      </c>
      <c r="AO129" s="6">
        <v>0.0</v>
      </c>
      <c r="AP129" s="6">
        <v>0.0</v>
      </c>
      <c r="AQ129" s="6">
        <v>0.0</v>
      </c>
      <c r="AR129" s="6">
        <v>0.0</v>
      </c>
      <c r="AS129" s="6">
        <v>0.0</v>
      </c>
      <c r="AT129" s="6">
        <f t="shared" ref="AT129:AV129" si="1102">+AN129+AQ129+AH129+AK129</f>
        <v>0</v>
      </c>
      <c r="AU129" s="6">
        <f t="shared" si="1102"/>
        <v>0</v>
      </c>
      <c r="AV129" s="6">
        <f t="shared" si="1102"/>
        <v>0</v>
      </c>
      <c r="AW129" s="6">
        <v>0.0</v>
      </c>
      <c r="AX129" s="6">
        <v>0.0</v>
      </c>
      <c r="AY129" s="6">
        <v>0.0</v>
      </c>
      <c r="AZ129" s="6">
        <v>0.0</v>
      </c>
      <c r="BA129" s="6">
        <v>0.0</v>
      </c>
      <c r="BB129" s="6">
        <v>0.0</v>
      </c>
      <c r="BC129" s="6">
        <v>0.0</v>
      </c>
      <c r="BD129" s="6">
        <v>0.0</v>
      </c>
      <c r="BE129" s="6">
        <v>0.0</v>
      </c>
      <c r="BF129" s="6">
        <v>0.0</v>
      </c>
      <c r="BG129" s="6">
        <v>0.0</v>
      </c>
      <c r="BH129" s="6">
        <v>0.0</v>
      </c>
      <c r="BI129" s="6">
        <f t="shared" ref="BI129:BK129" si="1103">+BC129+BF129+AW129+AZ129</f>
        <v>0</v>
      </c>
      <c r="BJ129" s="6">
        <f t="shared" si="1103"/>
        <v>0</v>
      </c>
      <c r="BK129" s="6">
        <f t="shared" si="1103"/>
        <v>0</v>
      </c>
      <c r="BL129" s="6">
        <v>0.0</v>
      </c>
      <c r="BM129" s="6">
        <v>0.0</v>
      </c>
      <c r="BN129" s="6">
        <v>0.0</v>
      </c>
      <c r="BO129" s="5">
        <v>-1000000.0</v>
      </c>
      <c r="BP129" s="5">
        <v>0.0</v>
      </c>
      <c r="BQ129" s="6">
        <v>0.0</v>
      </c>
      <c r="BR129" s="6">
        <v>0.0</v>
      </c>
      <c r="BS129" s="6">
        <v>0.0</v>
      </c>
      <c r="BT129" s="6">
        <v>0.0</v>
      </c>
      <c r="BU129" s="6" t="str">
        <f t="shared" ref="BU129:BW129" si="1104">+BO129+BR129+#REF!+BL129</f>
        <v>#REF!</v>
      </c>
      <c r="BV129" s="6" t="str">
        <f t="shared" si="1104"/>
        <v>#REF!</v>
      </c>
      <c r="BW129" s="6" t="str">
        <f t="shared" si="1104"/>
        <v>#REF!</v>
      </c>
      <c r="BX129" s="6">
        <v>0.0</v>
      </c>
      <c r="BY129" s="6">
        <v>0.0</v>
      </c>
      <c r="BZ129" s="6">
        <v>0.0</v>
      </c>
      <c r="CA129" s="6">
        <v>0.0</v>
      </c>
      <c r="CB129" s="6">
        <v>0.0</v>
      </c>
      <c r="CC129" s="6">
        <v>0.0</v>
      </c>
      <c r="CD129" s="6">
        <v>0.0</v>
      </c>
      <c r="CE129" s="6">
        <v>0.0</v>
      </c>
      <c r="CF129" s="6">
        <v>0.0</v>
      </c>
      <c r="CG129" s="6" t="str">
        <f t="shared" ref="CG129:CI129" si="1105">+CA129+CD129+BX129+#REF!</f>
        <v>#REF!</v>
      </c>
      <c r="CH129" s="6" t="str">
        <f t="shared" si="1105"/>
        <v>#REF!</v>
      </c>
      <c r="CI129" s="6" t="str">
        <f t="shared" si="1105"/>
        <v>#REF!</v>
      </c>
      <c r="CJ129" s="5">
        <v>2805000.0</v>
      </c>
      <c r="CK129" s="5">
        <v>2805000.0</v>
      </c>
      <c r="CL129" s="6">
        <v>0.0</v>
      </c>
      <c r="CM129" s="6">
        <v>0.0</v>
      </c>
      <c r="CN129" s="6">
        <v>0.0</v>
      </c>
      <c r="CO129" s="6">
        <v>0.0</v>
      </c>
      <c r="CP129" s="6">
        <v>0.0</v>
      </c>
      <c r="CQ129" s="6">
        <v>0.0</v>
      </c>
      <c r="CR129" s="6">
        <v>0.0</v>
      </c>
      <c r="CS129" s="6">
        <v>0.0</v>
      </c>
      <c r="CT129" s="6">
        <v>0.0</v>
      </c>
      <c r="CU129" s="6">
        <v>0.0</v>
      </c>
      <c r="CV129" s="6">
        <f t="shared" ref="CV129:CX129" si="1106">+CP129+CS129+CJ129+CM129</f>
        <v>2805000</v>
      </c>
      <c r="CW129" s="6">
        <f t="shared" si="1106"/>
        <v>2805000</v>
      </c>
      <c r="CX129" s="6">
        <f t="shared" si="1106"/>
        <v>0</v>
      </c>
      <c r="CY129" s="5">
        <v>2805000.0</v>
      </c>
      <c r="CZ129" s="5">
        <v>2805000.0</v>
      </c>
      <c r="DA129" s="6">
        <v>0.0</v>
      </c>
      <c r="DB129" s="6">
        <v>0.0</v>
      </c>
      <c r="DC129" s="6">
        <v>0.0</v>
      </c>
      <c r="DD129" s="6">
        <v>0.0</v>
      </c>
      <c r="DE129" s="6">
        <v>0.0</v>
      </c>
      <c r="DF129" s="6">
        <v>0.0</v>
      </c>
      <c r="DG129" s="6">
        <v>0.0</v>
      </c>
      <c r="DH129" s="6">
        <v>0.0</v>
      </c>
      <c r="DI129" s="6">
        <v>0.0</v>
      </c>
      <c r="DJ129" s="6">
        <v>0.0</v>
      </c>
      <c r="DK129" s="6">
        <f t="shared" ref="DK129:DM129" si="1107">+DE129+DH129+CY129+DB129</f>
        <v>2805000</v>
      </c>
      <c r="DL129" s="6">
        <f t="shared" si="1107"/>
        <v>2805000</v>
      </c>
      <c r="DM129" s="6">
        <f t="shared" si="1107"/>
        <v>0</v>
      </c>
      <c r="DN129" s="6" t="str">
        <f t="shared" ref="DN129:DP129" si="1108">+P129+AE129+AT129+BI129+BU129+CG129+CV129</f>
        <v>#REF!</v>
      </c>
      <c r="DO129" s="6" t="str">
        <f t="shared" si="1108"/>
        <v>#REF!</v>
      </c>
      <c r="DP129" s="6" t="str">
        <f t="shared" si="1108"/>
        <v>#REF!</v>
      </c>
      <c r="DQ129" s="6" t="str">
        <f t="shared" si="19"/>
        <v>#REF!</v>
      </c>
    </row>
    <row r="130" ht="13.5" customHeight="1">
      <c r="A130" s="11">
        <v>45392.0</v>
      </c>
      <c r="B130" s="2" t="s">
        <v>526</v>
      </c>
      <c r="C130" s="2" t="s">
        <v>527</v>
      </c>
      <c r="D130" s="29" t="s">
        <v>528</v>
      </c>
      <c r="E130" s="2" t="s">
        <v>529</v>
      </c>
      <c r="F130" s="11" t="s">
        <v>530</v>
      </c>
      <c r="G130" s="11" t="s">
        <v>18</v>
      </c>
      <c r="H130" s="5">
        <v>1000000.0</v>
      </c>
      <c r="I130" s="5">
        <v>1000000.0</v>
      </c>
      <c r="J130" s="6">
        <v>0.0</v>
      </c>
      <c r="K130" s="6">
        <v>0.0</v>
      </c>
      <c r="L130" s="6">
        <v>0.0</v>
      </c>
      <c r="M130" s="6">
        <v>0.0</v>
      </c>
      <c r="N130" s="6">
        <v>0.0</v>
      </c>
      <c r="O130" s="6">
        <v>0.0</v>
      </c>
      <c r="P130" s="6">
        <f t="shared" ref="P130:R130" si="1109">+J130+M130</f>
        <v>0</v>
      </c>
      <c r="Q130" s="6">
        <f t="shared" si="1109"/>
        <v>0</v>
      </c>
      <c r="R130" s="6">
        <f t="shared" si="1109"/>
        <v>0</v>
      </c>
      <c r="S130" s="6">
        <v>0.0</v>
      </c>
      <c r="T130" s="6">
        <v>0.0</v>
      </c>
      <c r="U130" s="6">
        <v>0.0</v>
      </c>
      <c r="V130" s="6">
        <v>0.0</v>
      </c>
      <c r="W130" s="6">
        <v>0.0</v>
      </c>
      <c r="X130" s="6">
        <v>0.0</v>
      </c>
      <c r="Y130" s="6">
        <v>0.0</v>
      </c>
      <c r="Z130" s="6">
        <v>0.0</v>
      </c>
      <c r="AA130" s="6">
        <v>0.0</v>
      </c>
      <c r="AB130" s="6">
        <v>0.0</v>
      </c>
      <c r="AC130" s="6">
        <v>0.0</v>
      </c>
      <c r="AD130" s="6">
        <v>0.0</v>
      </c>
      <c r="AE130" s="6">
        <f t="shared" ref="AE130:AG130" si="1110">+Y130+AB130+S130+V130</f>
        <v>0</v>
      </c>
      <c r="AF130" s="6">
        <f t="shared" si="1110"/>
        <v>0</v>
      </c>
      <c r="AG130" s="6">
        <f t="shared" si="1110"/>
        <v>0</v>
      </c>
      <c r="AH130" s="6">
        <v>0.0</v>
      </c>
      <c r="AI130" s="6">
        <v>0.0</v>
      </c>
      <c r="AJ130" s="6">
        <v>0.0</v>
      </c>
      <c r="AK130" s="6">
        <v>0.0</v>
      </c>
      <c r="AL130" s="6">
        <v>0.0</v>
      </c>
      <c r="AM130" s="6">
        <v>0.0</v>
      </c>
      <c r="AN130" s="6">
        <v>0.0</v>
      </c>
      <c r="AO130" s="6">
        <v>0.0</v>
      </c>
      <c r="AP130" s="6">
        <v>0.0</v>
      </c>
      <c r="AQ130" s="6">
        <v>0.0</v>
      </c>
      <c r="AR130" s="6">
        <v>0.0</v>
      </c>
      <c r="AS130" s="6">
        <v>0.0</v>
      </c>
      <c r="AT130" s="6">
        <f t="shared" ref="AT130:AV130" si="1111">+AN130+AQ130+AH130+AK130</f>
        <v>0</v>
      </c>
      <c r="AU130" s="6">
        <f t="shared" si="1111"/>
        <v>0</v>
      </c>
      <c r="AV130" s="6">
        <f t="shared" si="1111"/>
        <v>0</v>
      </c>
      <c r="AW130" s="6">
        <v>0.0</v>
      </c>
      <c r="AX130" s="6">
        <v>0.0</v>
      </c>
      <c r="AY130" s="6">
        <v>0.0</v>
      </c>
      <c r="AZ130" s="6">
        <v>0.0</v>
      </c>
      <c r="BA130" s="6">
        <v>0.0</v>
      </c>
      <c r="BB130" s="6">
        <v>0.0</v>
      </c>
      <c r="BC130" s="6">
        <v>0.0</v>
      </c>
      <c r="BD130" s="6">
        <v>0.0</v>
      </c>
      <c r="BE130" s="6">
        <v>0.0</v>
      </c>
      <c r="BF130" s="6">
        <v>0.0</v>
      </c>
      <c r="BG130" s="6">
        <v>0.0</v>
      </c>
      <c r="BH130" s="6">
        <v>0.0</v>
      </c>
      <c r="BI130" s="6">
        <f t="shared" ref="BI130:BK130" si="1112">+BC130+BF130+AW130+AZ130</f>
        <v>0</v>
      </c>
      <c r="BJ130" s="6">
        <f t="shared" si="1112"/>
        <v>0</v>
      </c>
      <c r="BK130" s="6">
        <f t="shared" si="1112"/>
        <v>0</v>
      </c>
      <c r="BL130" s="6">
        <v>0.0</v>
      </c>
      <c r="BM130" s="6">
        <v>0.0</v>
      </c>
      <c r="BN130" s="6">
        <v>0.0</v>
      </c>
      <c r="BO130" s="5">
        <v>1000000.0</v>
      </c>
      <c r="BP130" s="5">
        <v>1000000.0</v>
      </c>
      <c r="BQ130" s="6">
        <v>0.0</v>
      </c>
      <c r="BR130" s="6">
        <v>0.0</v>
      </c>
      <c r="BS130" s="6">
        <v>0.0</v>
      </c>
      <c r="BT130" s="6">
        <v>200000.0</v>
      </c>
      <c r="BU130" s="6" t="str">
        <f t="shared" ref="BU130:BW130" si="1113">+BO130+BR130+#REF!+BL130</f>
        <v>#REF!</v>
      </c>
      <c r="BV130" s="6" t="str">
        <f t="shared" si="1113"/>
        <v>#REF!</v>
      </c>
      <c r="BW130" s="6" t="str">
        <f t="shared" si="1113"/>
        <v>#REF!</v>
      </c>
      <c r="BX130" s="6">
        <v>0.0</v>
      </c>
      <c r="BY130" s="6">
        <v>0.0</v>
      </c>
      <c r="BZ130" s="6">
        <v>800000.0</v>
      </c>
      <c r="CA130" s="6">
        <v>0.0</v>
      </c>
      <c r="CB130" s="6">
        <v>0.0</v>
      </c>
      <c r="CC130" s="6">
        <v>0.0</v>
      </c>
      <c r="CD130" s="6">
        <v>0.0</v>
      </c>
      <c r="CE130" s="6">
        <v>0.0</v>
      </c>
      <c r="CF130" s="6">
        <v>0.0</v>
      </c>
      <c r="CG130" s="6" t="str">
        <f t="shared" ref="CG130:CI130" si="1114">+CA130+CD130+BX130+#REF!</f>
        <v>#REF!</v>
      </c>
      <c r="CH130" s="6" t="str">
        <f t="shared" si="1114"/>
        <v>#REF!</v>
      </c>
      <c r="CI130" s="6" t="str">
        <f t="shared" si="1114"/>
        <v>#REF!</v>
      </c>
      <c r="CJ130" s="6">
        <v>0.0</v>
      </c>
      <c r="CK130" s="6">
        <v>0.0</v>
      </c>
      <c r="CL130" s="6">
        <v>0.0</v>
      </c>
      <c r="CM130" s="6">
        <v>0.0</v>
      </c>
      <c r="CN130" s="6">
        <v>0.0</v>
      </c>
      <c r="CO130" s="6">
        <v>0.0</v>
      </c>
      <c r="CP130" s="6">
        <v>0.0</v>
      </c>
      <c r="CQ130" s="6">
        <v>0.0</v>
      </c>
      <c r="CR130" s="6">
        <v>0.0</v>
      </c>
      <c r="CS130" s="6">
        <v>0.0</v>
      </c>
      <c r="CT130" s="6">
        <v>0.0</v>
      </c>
      <c r="CU130" s="6">
        <v>0.0</v>
      </c>
      <c r="CV130" s="6">
        <f t="shared" ref="CV130:CX130" si="1115">+CP130+CS130+CJ130+CM130</f>
        <v>0</v>
      </c>
      <c r="CW130" s="6">
        <f t="shared" si="1115"/>
        <v>0</v>
      </c>
      <c r="CX130" s="6">
        <f t="shared" si="1115"/>
        <v>0</v>
      </c>
      <c r="CY130" s="6">
        <v>0.0</v>
      </c>
      <c r="CZ130" s="6">
        <v>0.0</v>
      </c>
      <c r="DA130" s="6">
        <v>0.0</v>
      </c>
      <c r="DB130" s="6">
        <v>0.0</v>
      </c>
      <c r="DC130" s="6">
        <v>0.0</v>
      </c>
      <c r="DD130" s="6">
        <v>0.0</v>
      </c>
      <c r="DE130" s="6">
        <v>0.0</v>
      </c>
      <c r="DF130" s="6">
        <v>0.0</v>
      </c>
      <c r="DG130" s="6">
        <v>0.0</v>
      </c>
      <c r="DH130" s="6">
        <v>0.0</v>
      </c>
      <c r="DI130" s="6">
        <v>0.0</v>
      </c>
      <c r="DJ130" s="6">
        <v>0.0</v>
      </c>
      <c r="DK130" s="6">
        <f t="shared" ref="DK130:DM130" si="1116">+DE130+DH130+CY130+DB130</f>
        <v>0</v>
      </c>
      <c r="DL130" s="6">
        <f t="shared" si="1116"/>
        <v>0</v>
      </c>
      <c r="DM130" s="6">
        <f t="shared" si="1116"/>
        <v>0</v>
      </c>
      <c r="DN130" s="6" t="str">
        <f t="shared" ref="DN130:DP130" si="1117">+P130+AE130+AT130+BI130+BU130+CG130+CV130</f>
        <v>#REF!</v>
      </c>
      <c r="DO130" s="6" t="str">
        <f t="shared" si="1117"/>
        <v>#REF!</v>
      </c>
      <c r="DP130" s="6" t="str">
        <f t="shared" si="1117"/>
        <v>#REF!</v>
      </c>
      <c r="DQ130" s="6" t="str">
        <f t="shared" si="19"/>
        <v>#REF!</v>
      </c>
    </row>
    <row r="131" ht="13.5" customHeight="1">
      <c r="A131" s="11">
        <v>45392.0</v>
      </c>
      <c r="B131" s="2" t="s">
        <v>531</v>
      </c>
      <c r="C131" s="2" t="s">
        <v>532</v>
      </c>
      <c r="D131" s="29" t="s">
        <v>533</v>
      </c>
      <c r="E131" s="2" t="s">
        <v>534</v>
      </c>
      <c r="F131" s="11" t="s">
        <v>535</v>
      </c>
      <c r="G131" s="11" t="s">
        <v>18</v>
      </c>
      <c r="H131" s="5">
        <v>500000.0</v>
      </c>
      <c r="I131" s="5">
        <v>500000.0</v>
      </c>
      <c r="J131" s="6">
        <v>0.0</v>
      </c>
      <c r="K131" s="6">
        <v>0.0</v>
      </c>
      <c r="L131" s="6">
        <v>0.0</v>
      </c>
      <c r="M131" s="6">
        <v>0.0</v>
      </c>
      <c r="N131" s="6">
        <v>0.0</v>
      </c>
      <c r="O131" s="6">
        <v>0.0</v>
      </c>
      <c r="P131" s="6">
        <f t="shared" ref="P131:R131" si="1118">+J131+M131</f>
        <v>0</v>
      </c>
      <c r="Q131" s="6">
        <f t="shared" si="1118"/>
        <v>0</v>
      </c>
      <c r="R131" s="6">
        <f t="shared" si="1118"/>
        <v>0</v>
      </c>
      <c r="S131" s="6">
        <v>0.0</v>
      </c>
      <c r="T131" s="6">
        <v>0.0</v>
      </c>
      <c r="U131" s="6">
        <v>0.0</v>
      </c>
      <c r="V131" s="6">
        <v>0.0</v>
      </c>
      <c r="W131" s="6">
        <v>0.0</v>
      </c>
      <c r="X131" s="6">
        <v>0.0</v>
      </c>
      <c r="Y131" s="6">
        <v>0.0</v>
      </c>
      <c r="Z131" s="6">
        <v>0.0</v>
      </c>
      <c r="AA131" s="6">
        <v>0.0</v>
      </c>
      <c r="AB131" s="6">
        <v>0.0</v>
      </c>
      <c r="AC131" s="6">
        <v>0.0</v>
      </c>
      <c r="AD131" s="6">
        <v>0.0</v>
      </c>
      <c r="AE131" s="6">
        <f t="shared" ref="AE131:AG131" si="1119">+Y131+AB131+S131+V131</f>
        <v>0</v>
      </c>
      <c r="AF131" s="6">
        <f t="shared" si="1119"/>
        <v>0</v>
      </c>
      <c r="AG131" s="6">
        <f t="shared" si="1119"/>
        <v>0</v>
      </c>
      <c r="AH131" s="6">
        <v>0.0</v>
      </c>
      <c r="AI131" s="6">
        <v>0.0</v>
      </c>
      <c r="AJ131" s="6">
        <v>0.0</v>
      </c>
      <c r="AK131" s="6">
        <v>0.0</v>
      </c>
      <c r="AL131" s="6">
        <v>0.0</v>
      </c>
      <c r="AM131" s="6">
        <v>0.0</v>
      </c>
      <c r="AN131" s="6">
        <v>0.0</v>
      </c>
      <c r="AO131" s="6">
        <v>0.0</v>
      </c>
      <c r="AP131" s="6">
        <v>0.0</v>
      </c>
      <c r="AQ131" s="6">
        <v>0.0</v>
      </c>
      <c r="AR131" s="6">
        <v>0.0</v>
      </c>
      <c r="AS131" s="6">
        <v>0.0</v>
      </c>
      <c r="AT131" s="6">
        <f t="shared" ref="AT131:AV131" si="1120">+AN131+AQ131+AH131+AK131</f>
        <v>0</v>
      </c>
      <c r="AU131" s="6">
        <f t="shared" si="1120"/>
        <v>0</v>
      </c>
      <c r="AV131" s="6">
        <f t="shared" si="1120"/>
        <v>0</v>
      </c>
      <c r="AW131" s="6">
        <v>0.0</v>
      </c>
      <c r="AX131" s="6">
        <v>0.0</v>
      </c>
      <c r="AY131" s="6">
        <v>0.0</v>
      </c>
      <c r="AZ131" s="6">
        <v>0.0</v>
      </c>
      <c r="BA131" s="6">
        <v>0.0</v>
      </c>
      <c r="BB131" s="6">
        <v>0.0</v>
      </c>
      <c r="BC131" s="6">
        <v>0.0</v>
      </c>
      <c r="BD131" s="6">
        <v>0.0</v>
      </c>
      <c r="BE131" s="6">
        <v>0.0</v>
      </c>
      <c r="BF131" s="6">
        <v>0.0</v>
      </c>
      <c r="BG131" s="6">
        <v>0.0</v>
      </c>
      <c r="BH131" s="6">
        <v>0.0</v>
      </c>
      <c r="BI131" s="6">
        <f t="shared" ref="BI131:BK131" si="1121">+BC131+BF131+AW131+AZ131</f>
        <v>0</v>
      </c>
      <c r="BJ131" s="6">
        <f t="shared" si="1121"/>
        <v>0</v>
      </c>
      <c r="BK131" s="6">
        <f t="shared" si="1121"/>
        <v>0</v>
      </c>
      <c r="BL131" s="6">
        <v>0.0</v>
      </c>
      <c r="BM131" s="6">
        <v>0.0</v>
      </c>
      <c r="BN131" s="6">
        <v>0.0</v>
      </c>
      <c r="BO131" s="5">
        <v>500000.0</v>
      </c>
      <c r="BP131" s="5">
        <v>500000.0</v>
      </c>
      <c r="BQ131" s="6">
        <v>0.0</v>
      </c>
      <c r="BR131" s="6">
        <v>0.0</v>
      </c>
      <c r="BS131" s="6">
        <v>0.0</v>
      </c>
      <c r="BT131" s="6">
        <v>250000.0</v>
      </c>
      <c r="BU131" s="6" t="str">
        <f t="shared" ref="BU131:BW131" si="1122">+BO131+BR131+#REF!+BL131</f>
        <v>#REF!</v>
      </c>
      <c r="BV131" s="6" t="str">
        <f t="shared" si="1122"/>
        <v>#REF!</v>
      </c>
      <c r="BW131" s="6" t="str">
        <f t="shared" si="1122"/>
        <v>#REF!</v>
      </c>
      <c r="BX131" s="6">
        <v>0.0</v>
      </c>
      <c r="BY131" s="6">
        <v>0.0</v>
      </c>
      <c r="BZ131" s="6">
        <v>250000.0</v>
      </c>
      <c r="CA131" s="6">
        <v>0.0</v>
      </c>
      <c r="CB131" s="6">
        <v>0.0</v>
      </c>
      <c r="CC131" s="6">
        <v>0.0</v>
      </c>
      <c r="CD131" s="6">
        <v>0.0</v>
      </c>
      <c r="CE131" s="6">
        <v>0.0</v>
      </c>
      <c r="CF131" s="6">
        <v>0.0</v>
      </c>
      <c r="CG131" s="6" t="str">
        <f t="shared" ref="CG131:CI131" si="1123">+CA131+CD131+BX131+#REF!</f>
        <v>#REF!</v>
      </c>
      <c r="CH131" s="6" t="str">
        <f t="shared" si="1123"/>
        <v>#REF!</v>
      </c>
      <c r="CI131" s="6" t="str">
        <f t="shared" si="1123"/>
        <v>#REF!</v>
      </c>
      <c r="CJ131" s="6">
        <v>0.0</v>
      </c>
      <c r="CK131" s="6">
        <v>0.0</v>
      </c>
      <c r="CL131" s="6">
        <v>0.0</v>
      </c>
      <c r="CM131" s="6">
        <v>0.0</v>
      </c>
      <c r="CN131" s="6">
        <v>0.0</v>
      </c>
      <c r="CO131" s="6">
        <v>0.0</v>
      </c>
      <c r="CP131" s="6">
        <v>0.0</v>
      </c>
      <c r="CQ131" s="6">
        <v>0.0</v>
      </c>
      <c r="CR131" s="6">
        <v>0.0</v>
      </c>
      <c r="CS131" s="6">
        <v>0.0</v>
      </c>
      <c r="CT131" s="6">
        <v>0.0</v>
      </c>
      <c r="CU131" s="6">
        <v>0.0</v>
      </c>
      <c r="CV131" s="6">
        <f t="shared" ref="CV131:CX131" si="1124">+CP131+CS131+CJ131+CM131</f>
        <v>0</v>
      </c>
      <c r="CW131" s="6">
        <f t="shared" si="1124"/>
        <v>0</v>
      </c>
      <c r="CX131" s="6">
        <f t="shared" si="1124"/>
        <v>0</v>
      </c>
      <c r="CY131" s="6">
        <v>0.0</v>
      </c>
      <c r="CZ131" s="6">
        <v>0.0</v>
      </c>
      <c r="DA131" s="6">
        <v>0.0</v>
      </c>
      <c r="DB131" s="6">
        <v>0.0</v>
      </c>
      <c r="DC131" s="6">
        <v>0.0</v>
      </c>
      <c r="DD131" s="6">
        <v>0.0</v>
      </c>
      <c r="DE131" s="6">
        <v>0.0</v>
      </c>
      <c r="DF131" s="6">
        <v>0.0</v>
      </c>
      <c r="DG131" s="6">
        <v>0.0</v>
      </c>
      <c r="DH131" s="6">
        <v>0.0</v>
      </c>
      <c r="DI131" s="6">
        <v>0.0</v>
      </c>
      <c r="DJ131" s="6">
        <v>0.0</v>
      </c>
      <c r="DK131" s="6">
        <f t="shared" ref="DK131:DM131" si="1125">+DE131+DH131+CY131+DB131</f>
        <v>0</v>
      </c>
      <c r="DL131" s="6">
        <f t="shared" si="1125"/>
        <v>0</v>
      </c>
      <c r="DM131" s="6">
        <f t="shared" si="1125"/>
        <v>0</v>
      </c>
      <c r="DN131" s="6" t="str">
        <f t="shared" ref="DN131:DP131" si="1126">+P131+AE131+AT131+BI131+BU131+CG131+CV131</f>
        <v>#REF!</v>
      </c>
      <c r="DO131" s="6" t="str">
        <f t="shared" si="1126"/>
        <v>#REF!</v>
      </c>
      <c r="DP131" s="6" t="str">
        <f t="shared" si="1126"/>
        <v>#REF!</v>
      </c>
      <c r="DQ131" s="6" t="str">
        <f t="shared" si="19"/>
        <v>#REF!</v>
      </c>
    </row>
    <row r="132" ht="13.5" customHeight="1">
      <c r="A132" s="11">
        <v>45399.0</v>
      </c>
      <c r="B132" s="2" t="s">
        <v>536</v>
      </c>
      <c r="C132" s="2" t="s">
        <v>537</v>
      </c>
      <c r="D132" s="29" t="s">
        <v>538</v>
      </c>
      <c r="E132" s="2" t="s">
        <v>539</v>
      </c>
      <c r="F132" s="11" t="s">
        <v>540</v>
      </c>
      <c r="G132" s="11" t="s">
        <v>18</v>
      </c>
      <c r="H132" s="5">
        <v>1500000.0</v>
      </c>
      <c r="I132" s="5">
        <v>1500000.0</v>
      </c>
      <c r="J132" s="6">
        <v>0.0</v>
      </c>
      <c r="K132" s="6">
        <v>0.0</v>
      </c>
      <c r="L132" s="6">
        <v>0.0</v>
      </c>
      <c r="M132" s="6">
        <v>0.0</v>
      </c>
      <c r="N132" s="6">
        <v>0.0</v>
      </c>
      <c r="O132" s="6">
        <v>0.0</v>
      </c>
      <c r="P132" s="6">
        <f t="shared" ref="P132:R132" si="1127">+J132+M132</f>
        <v>0</v>
      </c>
      <c r="Q132" s="6">
        <f t="shared" si="1127"/>
        <v>0</v>
      </c>
      <c r="R132" s="6">
        <f t="shared" si="1127"/>
        <v>0</v>
      </c>
      <c r="S132" s="6">
        <v>0.0</v>
      </c>
      <c r="T132" s="6">
        <v>0.0</v>
      </c>
      <c r="U132" s="6">
        <v>0.0</v>
      </c>
      <c r="V132" s="6">
        <v>0.0</v>
      </c>
      <c r="W132" s="6">
        <v>0.0</v>
      </c>
      <c r="X132" s="6">
        <v>0.0</v>
      </c>
      <c r="Y132" s="6">
        <v>0.0</v>
      </c>
      <c r="Z132" s="6">
        <v>0.0</v>
      </c>
      <c r="AA132" s="6">
        <v>0.0</v>
      </c>
      <c r="AB132" s="6">
        <v>0.0</v>
      </c>
      <c r="AC132" s="6">
        <v>0.0</v>
      </c>
      <c r="AD132" s="6">
        <v>0.0</v>
      </c>
      <c r="AE132" s="6">
        <f t="shared" ref="AE132:AG132" si="1128">+Y132+AB132+S132+V132</f>
        <v>0</v>
      </c>
      <c r="AF132" s="6">
        <f t="shared" si="1128"/>
        <v>0</v>
      </c>
      <c r="AG132" s="6">
        <f t="shared" si="1128"/>
        <v>0</v>
      </c>
      <c r="AH132" s="6">
        <v>0.0</v>
      </c>
      <c r="AI132" s="6">
        <v>0.0</v>
      </c>
      <c r="AJ132" s="6">
        <v>0.0</v>
      </c>
      <c r="AK132" s="6">
        <v>0.0</v>
      </c>
      <c r="AL132" s="6">
        <v>0.0</v>
      </c>
      <c r="AM132" s="6">
        <v>0.0</v>
      </c>
      <c r="AN132" s="6">
        <v>0.0</v>
      </c>
      <c r="AO132" s="6">
        <v>0.0</v>
      </c>
      <c r="AP132" s="6">
        <v>0.0</v>
      </c>
      <c r="AQ132" s="6">
        <v>0.0</v>
      </c>
      <c r="AR132" s="6">
        <v>0.0</v>
      </c>
      <c r="AS132" s="6">
        <v>0.0</v>
      </c>
      <c r="AT132" s="6">
        <f t="shared" ref="AT132:AV132" si="1129">+AN132+AQ132+AH132+AK132</f>
        <v>0</v>
      </c>
      <c r="AU132" s="6">
        <f t="shared" si="1129"/>
        <v>0</v>
      </c>
      <c r="AV132" s="6">
        <f t="shared" si="1129"/>
        <v>0</v>
      </c>
      <c r="AW132" s="6">
        <v>0.0</v>
      </c>
      <c r="AX132" s="6">
        <v>0.0</v>
      </c>
      <c r="AY132" s="6">
        <v>0.0</v>
      </c>
      <c r="AZ132" s="6">
        <v>0.0</v>
      </c>
      <c r="BA132" s="6">
        <v>0.0</v>
      </c>
      <c r="BB132" s="6">
        <v>0.0</v>
      </c>
      <c r="BC132" s="6">
        <v>0.0</v>
      </c>
      <c r="BD132" s="6">
        <v>0.0</v>
      </c>
      <c r="BE132" s="6">
        <v>0.0</v>
      </c>
      <c r="BF132" s="6">
        <v>0.0</v>
      </c>
      <c r="BG132" s="6">
        <v>0.0</v>
      </c>
      <c r="BH132" s="6">
        <v>0.0</v>
      </c>
      <c r="BI132" s="6">
        <f t="shared" ref="BI132:BK132" si="1130">+BC132+BF132+AW132+AZ132</f>
        <v>0</v>
      </c>
      <c r="BJ132" s="6">
        <f t="shared" si="1130"/>
        <v>0</v>
      </c>
      <c r="BK132" s="6">
        <f t="shared" si="1130"/>
        <v>0</v>
      </c>
      <c r="BL132" s="6">
        <v>0.0</v>
      </c>
      <c r="BM132" s="6">
        <v>0.0</v>
      </c>
      <c r="BN132" s="6">
        <v>0.0</v>
      </c>
      <c r="BO132" s="5">
        <v>1500000.0</v>
      </c>
      <c r="BP132" s="5">
        <v>1500000.0</v>
      </c>
      <c r="BQ132" s="6">
        <v>0.0</v>
      </c>
      <c r="BR132" s="6">
        <v>0.0</v>
      </c>
      <c r="BS132" s="6">
        <v>0.0</v>
      </c>
      <c r="BT132" s="6">
        <v>0.0</v>
      </c>
      <c r="BU132" s="6" t="str">
        <f t="shared" ref="BU132:BW132" si="1131">+BO132+BR132+#REF!+BL132</f>
        <v>#REF!</v>
      </c>
      <c r="BV132" s="6" t="str">
        <f t="shared" si="1131"/>
        <v>#REF!</v>
      </c>
      <c r="BW132" s="6" t="str">
        <f t="shared" si="1131"/>
        <v>#REF!</v>
      </c>
      <c r="BX132" s="6">
        <v>0.0</v>
      </c>
      <c r="BY132" s="6">
        <v>0.0</v>
      </c>
      <c r="BZ132" s="6">
        <v>700000.0</v>
      </c>
      <c r="CA132" s="6">
        <v>0.0</v>
      </c>
      <c r="CB132" s="6">
        <v>0.0</v>
      </c>
      <c r="CC132" s="6">
        <v>0.0</v>
      </c>
      <c r="CD132" s="6">
        <v>0.0</v>
      </c>
      <c r="CE132" s="6">
        <v>0.0</v>
      </c>
      <c r="CF132" s="6">
        <v>0.0</v>
      </c>
      <c r="CG132" s="6" t="str">
        <f t="shared" ref="CG132:CI132" si="1132">+CA132+CD132+BX132+#REF!</f>
        <v>#REF!</v>
      </c>
      <c r="CH132" s="6" t="str">
        <f t="shared" si="1132"/>
        <v>#REF!</v>
      </c>
      <c r="CI132" s="6" t="str">
        <f t="shared" si="1132"/>
        <v>#REF!</v>
      </c>
      <c r="CJ132" s="6">
        <v>0.0</v>
      </c>
      <c r="CK132" s="6">
        <v>0.0</v>
      </c>
      <c r="CL132" s="6">
        <v>0.0</v>
      </c>
      <c r="CM132" s="5">
        <v>822150.0</v>
      </c>
      <c r="CN132" s="5">
        <v>822150.0</v>
      </c>
      <c r="CO132" s="6">
        <v>87844.0</v>
      </c>
      <c r="CP132" s="6">
        <v>0.0</v>
      </c>
      <c r="CQ132" s="6">
        <v>0.0</v>
      </c>
      <c r="CR132" s="6">
        <v>0.0</v>
      </c>
      <c r="CS132" s="6">
        <v>0.0</v>
      </c>
      <c r="CT132" s="6">
        <v>0.0</v>
      </c>
      <c r="CU132" s="6">
        <v>0.0</v>
      </c>
      <c r="CV132" s="6">
        <f t="shared" ref="CV132:CX132" si="1133">+CP132+CS132+CJ132+CM132</f>
        <v>822150</v>
      </c>
      <c r="CW132" s="6">
        <f t="shared" si="1133"/>
        <v>822150</v>
      </c>
      <c r="CX132" s="6">
        <f t="shared" si="1133"/>
        <v>87844</v>
      </c>
      <c r="CY132" s="6">
        <v>0.0</v>
      </c>
      <c r="CZ132" s="6">
        <v>0.0</v>
      </c>
      <c r="DA132" s="6">
        <v>0.0</v>
      </c>
      <c r="DB132" s="5">
        <v>822150.0</v>
      </c>
      <c r="DC132" s="5">
        <v>822150.0</v>
      </c>
      <c r="DD132" s="6">
        <v>87844.0</v>
      </c>
      <c r="DE132" s="6">
        <v>0.0</v>
      </c>
      <c r="DF132" s="6">
        <v>0.0</v>
      </c>
      <c r="DG132" s="6">
        <v>0.0</v>
      </c>
      <c r="DH132" s="6">
        <v>0.0</v>
      </c>
      <c r="DI132" s="6">
        <v>0.0</v>
      </c>
      <c r="DJ132" s="6">
        <v>0.0</v>
      </c>
      <c r="DK132" s="6">
        <f t="shared" ref="DK132:DM132" si="1134">+DE132+DH132+CY132+DB132</f>
        <v>822150</v>
      </c>
      <c r="DL132" s="6">
        <f t="shared" si="1134"/>
        <v>822150</v>
      </c>
      <c r="DM132" s="6">
        <f t="shared" si="1134"/>
        <v>87844</v>
      </c>
      <c r="DN132" s="6" t="str">
        <f t="shared" ref="DN132:DP132" si="1135">+P132+AE132+AT132+BI132+BU132+CG132+CV132</f>
        <v>#REF!</v>
      </c>
      <c r="DO132" s="6" t="str">
        <f t="shared" si="1135"/>
        <v>#REF!</v>
      </c>
      <c r="DP132" s="6" t="str">
        <f t="shared" si="1135"/>
        <v>#REF!</v>
      </c>
      <c r="DQ132" s="6" t="str">
        <f t="shared" si="19"/>
        <v>#REF!</v>
      </c>
    </row>
    <row r="133" ht="13.5" customHeight="1">
      <c r="A133" s="11">
        <v>45399.0</v>
      </c>
      <c r="B133" s="2" t="s">
        <v>536</v>
      </c>
      <c r="C133" s="2" t="s">
        <v>537</v>
      </c>
      <c r="D133" s="29" t="s">
        <v>538</v>
      </c>
      <c r="E133" s="2" t="s">
        <v>539</v>
      </c>
      <c r="F133" s="11" t="s">
        <v>540</v>
      </c>
      <c r="G133" s="11" t="s">
        <v>18</v>
      </c>
      <c r="H133" s="5">
        <v>472232.0</v>
      </c>
      <c r="I133" s="5">
        <v>472232.0</v>
      </c>
      <c r="J133" s="6">
        <v>0.0</v>
      </c>
      <c r="K133" s="6">
        <v>0.0</v>
      </c>
      <c r="L133" s="6">
        <v>0.0</v>
      </c>
      <c r="M133" s="6">
        <v>0.0</v>
      </c>
      <c r="N133" s="6">
        <v>0.0</v>
      </c>
      <c r="O133" s="6">
        <v>0.0</v>
      </c>
      <c r="P133" s="6">
        <f t="shared" ref="P133:R133" si="1136">+J133+M133</f>
        <v>0</v>
      </c>
      <c r="Q133" s="6">
        <f t="shared" si="1136"/>
        <v>0</v>
      </c>
      <c r="R133" s="6">
        <f t="shared" si="1136"/>
        <v>0</v>
      </c>
      <c r="S133" s="6">
        <v>0.0</v>
      </c>
      <c r="T133" s="6">
        <v>0.0</v>
      </c>
      <c r="U133" s="6">
        <v>0.0</v>
      </c>
      <c r="V133" s="6">
        <v>0.0</v>
      </c>
      <c r="W133" s="6">
        <v>0.0</v>
      </c>
      <c r="X133" s="6">
        <v>0.0</v>
      </c>
      <c r="Y133" s="6">
        <v>0.0</v>
      </c>
      <c r="Z133" s="6">
        <v>0.0</v>
      </c>
      <c r="AA133" s="6">
        <v>0.0</v>
      </c>
      <c r="AB133" s="6">
        <v>0.0</v>
      </c>
      <c r="AC133" s="6">
        <v>0.0</v>
      </c>
      <c r="AD133" s="6">
        <v>0.0</v>
      </c>
      <c r="AE133" s="6">
        <f t="shared" ref="AE133:AG133" si="1137">+Y133+AB133+S133+V133</f>
        <v>0</v>
      </c>
      <c r="AF133" s="6">
        <f t="shared" si="1137"/>
        <v>0</v>
      </c>
      <c r="AG133" s="6">
        <f t="shared" si="1137"/>
        <v>0</v>
      </c>
      <c r="AH133" s="6">
        <v>0.0</v>
      </c>
      <c r="AI133" s="6">
        <v>0.0</v>
      </c>
      <c r="AJ133" s="6">
        <v>0.0</v>
      </c>
      <c r="AK133" s="6">
        <v>0.0</v>
      </c>
      <c r="AL133" s="6">
        <v>0.0</v>
      </c>
      <c r="AM133" s="6">
        <v>0.0</v>
      </c>
      <c r="AN133" s="6">
        <v>0.0</v>
      </c>
      <c r="AO133" s="6">
        <v>0.0</v>
      </c>
      <c r="AP133" s="6">
        <v>0.0</v>
      </c>
      <c r="AQ133" s="6">
        <v>0.0</v>
      </c>
      <c r="AR133" s="6">
        <v>0.0</v>
      </c>
      <c r="AS133" s="6">
        <v>0.0</v>
      </c>
      <c r="AT133" s="6">
        <f t="shared" ref="AT133:AV133" si="1138">+AN133+AQ133+AH133+AK133</f>
        <v>0</v>
      </c>
      <c r="AU133" s="6">
        <f t="shared" si="1138"/>
        <v>0</v>
      </c>
      <c r="AV133" s="6">
        <f t="shared" si="1138"/>
        <v>0</v>
      </c>
      <c r="AW133" s="6">
        <v>0.0</v>
      </c>
      <c r="AX133" s="6">
        <v>0.0</v>
      </c>
      <c r="AY133" s="6">
        <v>0.0</v>
      </c>
      <c r="AZ133" s="6">
        <v>0.0</v>
      </c>
      <c r="BA133" s="6">
        <v>0.0</v>
      </c>
      <c r="BB133" s="6">
        <v>0.0</v>
      </c>
      <c r="BC133" s="6">
        <v>0.0</v>
      </c>
      <c r="BD133" s="6">
        <v>0.0</v>
      </c>
      <c r="BE133" s="6">
        <v>0.0</v>
      </c>
      <c r="BF133" s="6">
        <v>0.0</v>
      </c>
      <c r="BG133" s="6">
        <v>0.0</v>
      </c>
      <c r="BH133" s="6">
        <v>0.0</v>
      </c>
      <c r="BI133" s="6">
        <f t="shared" ref="BI133:BK133" si="1139">+BC133+BF133+AW133+AZ133</f>
        <v>0</v>
      </c>
      <c r="BJ133" s="6">
        <f t="shared" si="1139"/>
        <v>0</v>
      </c>
      <c r="BK133" s="6">
        <f t="shared" si="1139"/>
        <v>0</v>
      </c>
      <c r="BL133" s="6">
        <v>0.0</v>
      </c>
      <c r="BM133" s="6">
        <v>0.0</v>
      </c>
      <c r="BN133" s="6">
        <v>0.0</v>
      </c>
      <c r="BO133" s="5">
        <v>472232.0</v>
      </c>
      <c r="BP133" s="5">
        <v>472232.0</v>
      </c>
      <c r="BQ133" s="6">
        <v>0.0</v>
      </c>
      <c r="BR133" s="6">
        <v>0.0</v>
      </c>
      <c r="BS133" s="6">
        <v>0.0</v>
      </c>
      <c r="BT133" s="6">
        <v>0.0</v>
      </c>
      <c r="BU133" s="6" t="str">
        <f t="shared" ref="BU133:BW133" si="1140">+BO133+BR133+#REF!+BL133</f>
        <v>#REF!</v>
      </c>
      <c r="BV133" s="6" t="str">
        <f t="shared" si="1140"/>
        <v>#REF!</v>
      </c>
      <c r="BW133" s="6" t="str">
        <f t="shared" si="1140"/>
        <v>#REF!</v>
      </c>
      <c r="BX133" s="6">
        <v>0.0</v>
      </c>
      <c r="BY133" s="6">
        <v>0.0</v>
      </c>
      <c r="BZ133" s="6">
        <v>0.0</v>
      </c>
      <c r="CA133" s="6">
        <v>0.0</v>
      </c>
      <c r="CB133" s="6">
        <v>0.0</v>
      </c>
      <c r="CC133" s="6">
        <v>0.0</v>
      </c>
      <c r="CD133" s="6">
        <v>0.0</v>
      </c>
      <c r="CE133" s="6">
        <v>0.0</v>
      </c>
      <c r="CF133" s="6">
        <v>0.0</v>
      </c>
      <c r="CG133" s="6" t="str">
        <f t="shared" ref="CG133:CI133" si="1141">+CA133+CD133+BX133+#REF!</f>
        <v>#REF!</v>
      </c>
      <c r="CH133" s="6" t="str">
        <f t="shared" si="1141"/>
        <v>#REF!</v>
      </c>
      <c r="CI133" s="6" t="str">
        <f t="shared" si="1141"/>
        <v>#REF!</v>
      </c>
      <c r="CJ133" s="6">
        <v>0.0</v>
      </c>
      <c r="CK133" s="6">
        <v>0.0</v>
      </c>
      <c r="CL133" s="6">
        <v>0.0</v>
      </c>
      <c r="CM133" s="5">
        <v>250000.0</v>
      </c>
      <c r="CN133" s="5">
        <v>250000.0</v>
      </c>
      <c r="CO133" s="6">
        <v>0.0</v>
      </c>
      <c r="CP133" s="6">
        <v>0.0</v>
      </c>
      <c r="CQ133" s="6">
        <v>0.0</v>
      </c>
      <c r="CR133" s="6">
        <v>0.0</v>
      </c>
      <c r="CS133" s="6">
        <v>0.0</v>
      </c>
      <c r="CT133" s="6">
        <v>0.0</v>
      </c>
      <c r="CU133" s="6">
        <v>0.0</v>
      </c>
      <c r="CV133" s="6">
        <f t="shared" ref="CV133:CX133" si="1142">+CP133+CS133+CJ133+CM133</f>
        <v>250000</v>
      </c>
      <c r="CW133" s="6">
        <f t="shared" si="1142"/>
        <v>250000</v>
      </c>
      <c r="CX133" s="6">
        <f t="shared" si="1142"/>
        <v>0</v>
      </c>
      <c r="CY133" s="6">
        <v>0.0</v>
      </c>
      <c r="CZ133" s="6">
        <v>0.0</v>
      </c>
      <c r="DA133" s="6">
        <v>0.0</v>
      </c>
      <c r="DB133" s="5">
        <v>250000.0</v>
      </c>
      <c r="DC133" s="5">
        <v>250000.0</v>
      </c>
      <c r="DD133" s="6">
        <v>0.0</v>
      </c>
      <c r="DE133" s="6">
        <v>0.0</v>
      </c>
      <c r="DF133" s="6">
        <v>0.0</v>
      </c>
      <c r="DG133" s="6">
        <v>0.0</v>
      </c>
      <c r="DH133" s="6">
        <v>0.0</v>
      </c>
      <c r="DI133" s="6">
        <v>0.0</v>
      </c>
      <c r="DJ133" s="6">
        <v>0.0</v>
      </c>
      <c r="DK133" s="6">
        <f t="shared" ref="DK133:DM133" si="1143">+DE133+DH133+CY133+DB133</f>
        <v>250000</v>
      </c>
      <c r="DL133" s="6">
        <f t="shared" si="1143"/>
        <v>250000</v>
      </c>
      <c r="DM133" s="6">
        <f t="shared" si="1143"/>
        <v>0</v>
      </c>
      <c r="DN133" s="6" t="str">
        <f t="shared" ref="DN133:DP133" si="1144">+P133+AE133+AT133+BI133+BU133+CG133+CV133</f>
        <v>#REF!</v>
      </c>
      <c r="DO133" s="6" t="str">
        <f t="shared" si="1144"/>
        <v>#REF!</v>
      </c>
      <c r="DP133" s="6" t="str">
        <f t="shared" si="1144"/>
        <v>#REF!</v>
      </c>
      <c r="DQ133" s="6" t="str">
        <f t="shared" si="19"/>
        <v>#REF!</v>
      </c>
    </row>
    <row r="134" ht="13.5" customHeight="1">
      <c r="A134" s="11">
        <v>45727.0</v>
      </c>
      <c r="B134" s="2" t="s">
        <v>541</v>
      </c>
      <c r="C134" s="2" t="s">
        <v>537</v>
      </c>
      <c r="D134" s="29" t="s">
        <v>538</v>
      </c>
      <c r="E134" s="2" t="s">
        <v>539</v>
      </c>
      <c r="F134" s="11" t="s">
        <v>540</v>
      </c>
      <c r="G134" s="11" t="s">
        <v>18</v>
      </c>
      <c r="H134" s="5">
        <v>-1500000.0</v>
      </c>
      <c r="I134" s="5">
        <v>-1500000.0</v>
      </c>
      <c r="J134" s="6">
        <v>0.0</v>
      </c>
      <c r="K134" s="6">
        <v>0.0</v>
      </c>
      <c r="L134" s="6">
        <v>0.0</v>
      </c>
      <c r="M134" s="6">
        <v>0.0</v>
      </c>
      <c r="N134" s="6">
        <v>0.0</v>
      </c>
      <c r="O134" s="6">
        <v>0.0</v>
      </c>
      <c r="P134" s="6">
        <f t="shared" ref="P134:R134" si="1145">+J134+M134</f>
        <v>0</v>
      </c>
      <c r="Q134" s="6">
        <f t="shared" si="1145"/>
        <v>0</v>
      </c>
      <c r="R134" s="6">
        <f t="shared" si="1145"/>
        <v>0</v>
      </c>
      <c r="S134" s="6">
        <v>0.0</v>
      </c>
      <c r="T134" s="6">
        <v>0.0</v>
      </c>
      <c r="U134" s="6">
        <v>0.0</v>
      </c>
      <c r="V134" s="6">
        <v>0.0</v>
      </c>
      <c r="W134" s="6">
        <v>0.0</v>
      </c>
      <c r="X134" s="6">
        <v>0.0</v>
      </c>
      <c r="Y134" s="6">
        <v>0.0</v>
      </c>
      <c r="Z134" s="6">
        <v>0.0</v>
      </c>
      <c r="AA134" s="6">
        <v>0.0</v>
      </c>
      <c r="AB134" s="6">
        <v>0.0</v>
      </c>
      <c r="AC134" s="6">
        <v>0.0</v>
      </c>
      <c r="AD134" s="6">
        <v>0.0</v>
      </c>
      <c r="AE134" s="6">
        <f t="shared" ref="AE134:AG134" si="1146">+Y134+AB134+S134+V134</f>
        <v>0</v>
      </c>
      <c r="AF134" s="6">
        <f t="shared" si="1146"/>
        <v>0</v>
      </c>
      <c r="AG134" s="6">
        <f t="shared" si="1146"/>
        <v>0</v>
      </c>
      <c r="AH134" s="6">
        <v>0.0</v>
      </c>
      <c r="AI134" s="6">
        <v>0.0</v>
      </c>
      <c r="AJ134" s="6">
        <v>0.0</v>
      </c>
      <c r="AK134" s="6">
        <v>0.0</v>
      </c>
      <c r="AL134" s="6">
        <v>0.0</v>
      </c>
      <c r="AM134" s="6">
        <v>0.0</v>
      </c>
      <c r="AN134" s="6">
        <v>0.0</v>
      </c>
      <c r="AO134" s="6">
        <v>0.0</v>
      </c>
      <c r="AP134" s="6">
        <v>0.0</v>
      </c>
      <c r="AQ134" s="6">
        <v>0.0</v>
      </c>
      <c r="AR134" s="6">
        <v>0.0</v>
      </c>
      <c r="AS134" s="6">
        <v>0.0</v>
      </c>
      <c r="AT134" s="6">
        <f t="shared" ref="AT134:AV134" si="1147">+AN134+AQ134+AH134+AK134</f>
        <v>0</v>
      </c>
      <c r="AU134" s="6">
        <f t="shared" si="1147"/>
        <v>0</v>
      </c>
      <c r="AV134" s="6">
        <f t="shared" si="1147"/>
        <v>0</v>
      </c>
      <c r="AW134" s="6">
        <v>0.0</v>
      </c>
      <c r="AX134" s="6">
        <v>0.0</v>
      </c>
      <c r="AY134" s="6">
        <v>0.0</v>
      </c>
      <c r="AZ134" s="6">
        <v>0.0</v>
      </c>
      <c r="BA134" s="6">
        <v>0.0</v>
      </c>
      <c r="BB134" s="6">
        <v>0.0</v>
      </c>
      <c r="BC134" s="6">
        <v>0.0</v>
      </c>
      <c r="BD134" s="6">
        <v>0.0</v>
      </c>
      <c r="BE134" s="6">
        <v>0.0</v>
      </c>
      <c r="BF134" s="6">
        <v>0.0</v>
      </c>
      <c r="BG134" s="6">
        <v>0.0</v>
      </c>
      <c r="BH134" s="6">
        <v>0.0</v>
      </c>
      <c r="BI134" s="6">
        <f t="shared" ref="BI134:BK134" si="1148">+BC134+BF134+AW134+AZ134</f>
        <v>0</v>
      </c>
      <c r="BJ134" s="6">
        <f t="shared" si="1148"/>
        <v>0</v>
      </c>
      <c r="BK134" s="6">
        <f t="shared" si="1148"/>
        <v>0</v>
      </c>
      <c r="BL134" s="6">
        <v>0.0</v>
      </c>
      <c r="BM134" s="6">
        <v>0.0</v>
      </c>
      <c r="BN134" s="6">
        <v>0.0</v>
      </c>
      <c r="BO134" s="5">
        <v>-1500000.0</v>
      </c>
      <c r="BP134" s="5">
        <v>-1500000.0</v>
      </c>
      <c r="BQ134" s="6">
        <v>0.0</v>
      </c>
      <c r="BR134" s="6">
        <v>0.0</v>
      </c>
      <c r="BS134" s="6">
        <v>0.0</v>
      </c>
      <c r="BT134" s="6">
        <v>0.0</v>
      </c>
      <c r="BU134" s="6" t="str">
        <f t="shared" ref="BU134:BW134" si="1149">+BO134+BR134+#REF!+BL134</f>
        <v>#REF!</v>
      </c>
      <c r="BV134" s="6" t="str">
        <f t="shared" si="1149"/>
        <v>#REF!</v>
      </c>
      <c r="BW134" s="6" t="str">
        <f t="shared" si="1149"/>
        <v>#REF!</v>
      </c>
      <c r="BX134" s="6">
        <v>0.0</v>
      </c>
      <c r="BY134" s="6">
        <v>0.0</v>
      </c>
      <c r="BZ134" s="6">
        <v>0.0</v>
      </c>
      <c r="CA134" s="6">
        <v>0.0</v>
      </c>
      <c r="CB134" s="6">
        <v>0.0</v>
      </c>
      <c r="CC134" s="6">
        <v>0.0</v>
      </c>
      <c r="CD134" s="6">
        <v>0.0</v>
      </c>
      <c r="CE134" s="6">
        <v>0.0</v>
      </c>
      <c r="CF134" s="6">
        <v>0.0</v>
      </c>
      <c r="CG134" s="6" t="str">
        <f t="shared" ref="CG134:CI134" si="1150">+CA134+CD134+BX134+#REF!</f>
        <v>#REF!</v>
      </c>
      <c r="CH134" s="6" t="str">
        <f t="shared" si="1150"/>
        <v>#REF!</v>
      </c>
      <c r="CI134" s="6" t="str">
        <f t="shared" si="1150"/>
        <v>#REF!</v>
      </c>
      <c r="CJ134" s="6">
        <v>0.0</v>
      </c>
      <c r="CK134" s="6">
        <v>0.0</v>
      </c>
      <c r="CL134" s="6">
        <v>0.0</v>
      </c>
      <c r="CM134" s="5">
        <v>1479870.0</v>
      </c>
      <c r="CN134" s="5">
        <v>1479870.0</v>
      </c>
      <c r="CO134" s="6">
        <v>0.0</v>
      </c>
      <c r="CP134" s="6">
        <v>0.0</v>
      </c>
      <c r="CQ134" s="6">
        <v>0.0</v>
      </c>
      <c r="CR134" s="6">
        <v>0.0</v>
      </c>
      <c r="CS134" s="6">
        <v>0.0</v>
      </c>
      <c r="CT134" s="6">
        <v>0.0</v>
      </c>
      <c r="CU134" s="6">
        <v>0.0</v>
      </c>
      <c r="CV134" s="6">
        <f t="shared" ref="CV134:CX134" si="1151">+CP134+CS134+CJ134+CM134</f>
        <v>1479870</v>
      </c>
      <c r="CW134" s="6">
        <f t="shared" si="1151"/>
        <v>1479870</v>
      </c>
      <c r="CX134" s="6">
        <f t="shared" si="1151"/>
        <v>0</v>
      </c>
      <c r="CY134" s="6">
        <v>0.0</v>
      </c>
      <c r="CZ134" s="6">
        <v>0.0</v>
      </c>
      <c r="DA134" s="6">
        <v>0.0</v>
      </c>
      <c r="DB134" s="5">
        <v>1479870.0</v>
      </c>
      <c r="DC134" s="5">
        <v>1479870.0</v>
      </c>
      <c r="DD134" s="6">
        <v>0.0</v>
      </c>
      <c r="DE134" s="6">
        <v>0.0</v>
      </c>
      <c r="DF134" s="6">
        <v>0.0</v>
      </c>
      <c r="DG134" s="6">
        <v>0.0</v>
      </c>
      <c r="DH134" s="6">
        <v>0.0</v>
      </c>
      <c r="DI134" s="6">
        <v>0.0</v>
      </c>
      <c r="DJ134" s="6">
        <v>0.0</v>
      </c>
      <c r="DK134" s="6">
        <f t="shared" ref="DK134:DM134" si="1152">+DE134+DH134+CY134+DB134</f>
        <v>1479870</v>
      </c>
      <c r="DL134" s="6">
        <f t="shared" si="1152"/>
        <v>1479870</v>
      </c>
      <c r="DM134" s="6">
        <f t="shared" si="1152"/>
        <v>0</v>
      </c>
      <c r="DN134" s="6" t="str">
        <f t="shared" ref="DN134:DP134" si="1153">+P134+AE134+AT134+BI134+BU134+CG134+CV134</f>
        <v>#REF!</v>
      </c>
      <c r="DO134" s="6" t="str">
        <f t="shared" si="1153"/>
        <v>#REF!</v>
      </c>
      <c r="DP134" s="6" t="str">
        <f t="shared" si="1153"/>
        <v>#REF!</v>
      </c>
      <c r="DQ134" s="6" t="str">
        <f t="shared" si="19"/>
        <v>#REF!</v>
      </c>
    </row>
    <row r="135" ht="13.5" customHeight="1">
      <c r="A135" s="11">
        <v>45727.0</v>
      </c>
      <c r="B135" s="2" t="s">
        <v>541</v>
      </c>
      <c r="C135" s="2" t="s">
        <v>537</v>
      </c>
      <c r="D135" s="29" t="s">
        <v>538</v>
      </c>
      <c r="E135" s="2" t="s">
        <v>539</v>
      </c>
      <c r="F135" s="11" t="s">
        <v>540</v>
      </c>
      <c r="G135" s="11" t="s">
        <v>18</v>
      </c>
      <c r="H135" s="5">
        <v>-472232.0</v>
      </c>
      <c r="I135" s="5">
        <v>-472232.0</v>
      </c>
      <c r="J135" s="6">
        <v>0.0</v>
      </c>
      <c r="K135" s="6">
        <v>0.0</v>
      </c>
      <c r="L135" s="6">
        <v>0.0</v>
      </c>
      <c r="M135" s="6">
        <v>0.0</v>
      </c>
      <c r="N135" s="6">
        <v>0.0</v>
      </c>
      <c r="O135" s="6">
        <v>0.0</v>
      </c>
      <c r="P135" s="6">
        <f t="shared" ref="P135:R135" si="1154">+J135+M135</f>
        <v>0</v>
      </c>
      <c r="Q135" s="6">
        <f t="shared" si="1154"/>
        <v>0</v>
      </c>
      <c r="R135" s="6">
        <f t="shared" si="1154"/>
        <v>0</v>
      </c>
      <c r="S135" s="6">
        <v>0.0</v>
      </c>
      <c r="T135" s="6">
        <v>0.0</v>
      </c>
      <c r="U135" s="6">
        <v>0.0</v>
      </c>
      <c r="V135" s="6">
        <v>0.0</v>
      </c>
      <c r="W135" s="6">
        <v>0.0</v>
      </c>
      <c r="X135" s="6">
        <v>0.0</v>
      </c>
      <c r="Y135" s="6">
        <v>0.0</v>
      </c>
      <c r="Z135" s="6">
        <v>0.0</v>
      </c>
      <c r="AA135" s="6">
        <v>0.0</v>
      </c>
      <c r="AB135" s="6">
        <v>0.0</v>
      </c>
      <c r="AC135" s="6">
        <v>0.0</v>
      </c>
      <c r="AD135" s="6">
        <v>0.0</v>
      </c>
      <c r="AE135" s="6">
        <f t="shared" ref="AE135:AG135" si="1155">+Y135+AB135+S135+V135</f>
        <v>0</v>
      </c>
      <c r="AF135" s="6">
        <f t="shared" si="1155"/>
        <v>0</v>
      </c>
      <c r="AG135" s="6">
        <f t="shared" si="1155"/>
        <v>0</v>
      </c>
      <c r="AH135" s="6">
        <v>0.0</v>
      </c>
      <c r="AI135" s="6">
        <v>0.0</v>
      </c>
      <c r="AJ135" s="6">
        <v>0.0</v>
      </c>
      <c r="AK135" s="6">
        <v>0.0</v>
      </c>
      <c r="AL135" s="6">
        <v>0.0</v>
      </c>
      <c r="AM135" s="6">
        <v>0.0</v>
      </c>
      <c r="AN135" s="6">
        <v>0.0</v>
      </c>
      <c r="AO135" s="6">
        <v>0.0</v>
      </c>
      <c r="AP135" s="6">
        <v>0.0</v>
      </c>
      <c r="AQ135" s="6">
        <v>0.0</v>
      </c>
      <c r="AR135" s="6">
        <v>0.0</v>
      </c>
      <c r="AS135" s="6">
        <v>0.0</v>
      </c>
      <c r="AT135" s="6">
        <f t="shared" ref="AT135:AV135" si="1156">+AN135+AQ135+AH135+AK135</f>
        <v>0</v>
      </c>
      <c r="AU135" s="6">
        <f t="shared" si="1156"/>
        <v>0</v>
      </c>
      <c r="AV135" s="6">
        <f t="shared" si="1156"/>
        <v>0</v>
      </c>
      <c r="AW135" s="6">
        <v>0.0</v>
      </c>
      <c r="AX135" s="6">
        <v>0.0</v>
      </c>
      <c r="AY135" s="6">
        <v>0.0</v>
      </c>
      <c r="AZ135" s="6">
        <v>0.0</v>
      </c>
      <c r="BA135" s="6">
        <v>0.0</v>
      </c>
      <c r="BB135" s="6">
        <v>0.0</v>
      </c>
      <c r="BC135" s="6">
        <v>0.0</v>
      </c>
      <c r="BD135" s="6">
        <v>0.0</v>
      </c>
      <c r="BE135" s="6">
        <v>0.0</v>
      </c>
      <c r="BF135" s="6">
        <v>0.0</v>
      </c>
      <c r="BG135" s="6">
        <v>0.0</v>
      </c>
      <c r="BH135" s="6">
        <v>0.0</v>
      </c>
      <c r="BI135" s="6">
        <f t="shared" ref="BI135:BK135" si="1157">+BC135+BF135+AW135+AZ135</f>
        <v>0</v>
      </c>
      <c r="BJ135" s="6">
        <f t="shared" si="1157"/>
        <v>0</v>
      </c>
      <c r="BK135" s="6">
        <f t="shared" si="1157"/>
        <v>0</v>
      </c>
      <c r="BL135" s="6">
        <v>0.0</v>
      </c>
      <c r="BM135" s="6">
        <v>0.0</v>
      </c>
      <c r="BN135" s="6">
        <v>0.0</v>
      </c>
      <c r="BO135" s="5">
        <v>-472232.0</v>
      </c>
      <c r="BP135" s="5">
        <v>-472232.0</v>
      </c>
      <c r="BQ135" s="6">
        <v>0.0</v>
      </c>
      <c r="BR135" s="6">
        <v>0.0</v>
      </c>
      <c r="BS135" s="6">
        <v>0.0</v>
      </c>
      <c r="BT135" s="6">
        <v>0.0</v>
      </c>
      <c r="BU135" s="6" t="str">
        <f t="shared" ref="BU135:BW135" si="1158">+BO135+BR135+#REF!+BL135</f>
        <v>#REF!</v>
      </c>
      <c r="BV135" s="6" t="str">
        <f t="shared" si="1158"/>
        <v>#REF!</v>
      </c>
      <c r="BW135" s="6" t="str">
        <f t="shared" si="1158"/>
        <v>#REF!</v>
      </c>
      <c r="BX135" s="6">
        <v>0.0</v>
      </c>
      <c r="BY135" s="6">
        <v>0.0</v>
      </c>
      <c r="BZ135" s="6">
        <v>0.0</v>
      </c>
      <c r="CA135" s="6">
        <v>0.0</v>
      </c>
      <c r="CB135" s="6">
        <v>0.0</v>
      </c>
      <c r="CC135" s="6">
        <v>0.0</v>
      </c>
      <c r="CD135" s="6">
        <v>0.0</v>
      </c>
      <c r="CE135" s="6">
        <v>0.0</v>
      </c>
      <c r="CF135" s="6">
        <v>0.0</v>
      </c>
      <c r="CG135" s="6" t="str">
        <f t="shared" ref="CG135:CI135" si="1159">+CA135+CD135+BX135+#REF!</f>
        <v>#REF!</v>
      </c>
      <c r="CH135" s="6" t="str">
        <f t="shared" si="1159"/>
        <v>#REF!</v>
      </c>
      <c r="CI135" s="6" t="str">
        <f t="shared" si="1159"/>
        <v>#REF!</v>
      </c>
      <c r="CJ135" s="6">
        <v>0.0</v>
      </c>
      <c r="CK135" s="6">
        <v>0.0</v>
      </c>
      <c r="CL135" s="6">
        <v>0.0</v>
      </c>
      <c r="CM135" s="5">
        <v>265000.0</v>
      </c>
      <c r="CN135" s="5">
        <v>265000.0</v>
      </c>
      <c r="CO135" s="6">
        <v>0.0</v>
      </c>
      <c r="CP135" s="6">
        <v>0.0</v>
      </c>
      <c r="CQ135" s="6">
        <v>0.0</v>
      </c>
      <c r="CR135" s="6">
        <v>0.0</v>
      </c>
      <c r="CS135" s="6">
        <v>0.0</v>
      </c>
      <c r="CT135" s="6">
        <v>0.0</v>
      </c>
      <c r="CU135" s="6">
        <v>0.0</v>
      </c>
      <c r="CV135" s="6">
        <f t="shared" ref="CV135:CX135" si="1160">+CP135+CS135+CJ135+CM135</f>
        <v>265000</v>
      </c>
      <c r="CW135" s="6">
        <f t="shared" si="1160"/>
        <v>265000</v>
      </c>
      <c r="CX135" s="6">
        <f t="shared" si="1160"/>
        <v>0</v>
      </c>
      <c r="CY135" s="6">
        <v>0.0</v>
      </c>
      <c r="CZ135" s="6">
        <v>0.0</v>
      </c>
      <c r="DA135" s="6">
        <v>0.0</v>
      </c>
      <c r="DB135" s="5">
        <v>265000.0</v>
      </c>
      <c r="DC135" s="5">
        <v>265000.0</v>
      </c>
      <c r="DD135" s="6">
        <v>0.0</v>
      </c>
      <c r="DE135" s="6">
        <v>0.0</v>
      </c>
      <c r="DF135" s="6">
        <v>0.0</v>
      </c>
      <c r="DG135" s="6">
        <v>0.0</v>
      </c>
      <c r="DH135" s="6">
        <v>0.0</v>
      </c>
      <c r="DI135" s="6">
        <v>0.0</v>
      </c>
      <c r="DJ135" s="6">
        <v>0.0</v>
      </c>
      <c r="DK135" s="6">
        <f t="shared" ref="DK135:DM135" si="1161">+DE135+DH135+CY135+DB135</f>
        <v>265000</v>
      </c>
      <c r="DL135" s="6">
        <f t="shared" si="1161"/>
        <v>265000</v>
      </c>
      <c r="DM135" s="6">
        <f t="shared" si="1161"/>
        <v>0</v>
      </c>
      <c r="DN135" s="6" t="str">
        <f t="shared" ref="DN135:DP135" si="1162">+P135+AE135+AT135+BI135+BU135+CG135+CV135</f>
        <v>#REF!</v>
      </c>
      <c r="DO135" s="6" t="str">
        <f t="shared" si="1162"/>
        <v>#REF!</v>
      </c>
      <c r="DP135" s="6" t="str">
        <f t="shared" si="1162"/>
        <v>#REF!</v>
      </c>
      <c r="DQ135" s="6" t="str">
        <f t="shared" si="19"/>
        <v>#REF!</v>
      </c>
    </row>
    <row r="136" ht="13.5" customHeight="1">
      <c r="A136" s="11">
        <v>45729.0</v>
      </c>
      <c r="B136" s="2" t="s">
        <v>542</v>
      </c>
      <c r="C136" s="2" t="s">
        <v>537</v>
      </c>
      <c r="D136" s="29" t="s">
        <v>538</v>
      </c>
      <c r="E136" s="2" t="s">
        <v>539</v>
      </c>
      <c r="F136" s="11" t="s">
        <v>540</v>
      </c>
      <c r="G136" s="11" t="s">
        <v>18</v>
      </c>
      <c r="H136" s="5">
        <v>1260076.0</v>
      </c>
      <c r="I136" s="5">
        <v>1260076.0</v>
      </c>
      <c r="J136" s="6">
        <v>0.0</v>
      </c>
      <c r="K136" s="6">
        <v>0.0</v>
      </c>
      <c r="L136" s="6">
        <v>0.0</v>
      </c>
      <c r="M136" s="6">
        <v>0.0</v>
      </c>
      <c r="N136" s="6">
        <v>0.0</v>
      </c>
      <c r="O136" s="6">
        <v>0.0</v>
      </c>
      <c r="P136" s="6">
        <f t="shared" ref="P136:R136" si="1163">+J136+M136</f>
        <v>0</v>
      </c>
      <c r="Q136" s="6">
        <f t="shared" si="1163"/>
        <v>0</v>
      </c>
      <c r="R136" s="6">
        <f t="shared" si="1163"/>
        <v>0</v>
      </c>
      <c r="S136" s="6">
        <v>0.0</v>
      </c>
      <c r="T136" s="6">
        <v>0.0</v>
      </c>
      <c r="U136" s="6">
        <v>0.0</v>
      </c>
      <c r="V136" s="6">
        <v>0.0</v>
      </c>
      <c r="W136" s="6">
        <v>0.0</v>
      </c>
      <c r="X136" s="6">
        <v>0.0</v>
      </c>
      <c r="Y136" s="6">
        <v>0.0</v>
      </c>
      <c r="Z136" s="6">
        <v>0.0</v>
      </c>
      <c r="AA136" s="6">
        <v>0.0</v>
      </c>
      <c r="AB136" s="6">
        <v>0.0</v>
      </c>
      <c r="AC136" s="6">
        <v>0.0</v>
      </c>
      <c r="AD136" s="6">
        <v>0.0</v>
      </c>
      <c r="AE136" s="6">
        <f t="shared" ref="AE136:AG136" si="1164">+Y136+AB136+S136+V136</f>
        <v>0</v>
      </c>
      <c r="AF136" s="6">
        <f t="shared" si="1164"/>
        <v>0</v>
      </c>
      <c r="AG136" s="6">
        <f t="shared" si="1164"/>
        <v>0</v>
      </c>
      <c r="AH136" s="6">
        <v>0.0</v>
      </c>
      <c r="AI136" s="6">
        <v>0.0</v>
      </c>
      <c r="AJ136" s="6">
        <v>0.0</v>
      </c>
      <c r="AK136" s="6">
        <v>0.0</v>
      </c>
      <c r="AL136" s="6">
        <v>0.0</v>
      </c>
      <c r="AM136" s="6">
        <v>0.0</v>
      </c>
      <c r="AN136" s="6">
        <v>0.0</v>
      </c>
      <c r="AO136" s="6">
        <v>0.0</v>
      </c>
      <c r="AP136" s="6">
        <v>0.0</v>
      </c>
      <c r="AQ136" s="6">
        <v>0.0</v>
      </c>
      <c r="AR136" s="6">
        <v>0.0</v>
      </c>
      <c r="AS136" s="6">
        <v>0.0</v>
      </c>
      <c r="AT136" s="6">
        <f t="shared" ref="AT136:AV136" si="1165">+AN136+AQ136+AH136+AK136</f>
        <v>0</v>
      </c>
      <c r="AU136" s="6">
        <f t="shared" si="1165"/>
        <v>0</v>
      </c>
      <c r="AV136" s="6">
        <f t="shared" si="1165"/>
        <v>0</v>
      </c>
      <c r="AW136" s="6">
        <v>0.0</v>
      </c>
      <c r="AX136" s="6">
        <v>0.0</v>
      </c>
      <c r="AY136" s="6">
        <v>0.0</v>
      </c>
      <c r="AZ136" s="6">
        <v>0.0</v>
      </c>
      <c r="BA136" s="6">
        <v>0.0</v>
      </c>
      <c r="BB136" s="6">
        <v>0.0</v>
      </c>
      <c r="BC136" s="6">
        <v>0.0</v>
      </c>
      <c r="BD136" s="6">
        <v>0.0</v>
      </c>
      <c r="BE136" s="6">
        <v>0.0</v>
      </c>
      <c r="BF136" s="6">
        <v>0.0</v>
      </c>
      <c r="BG136" s="6">
        <v>0.0</v>
      </c>
      <c r="BH136" s="6">
        <v>0.0</v>
      </c>
      <c r="BI136" s="6">
        <f t="shared" ref="BI136:BK136" si="1166">+BC136+BF136+AW136+AZ136</f>
        <v>0</v>
      </c>
      <c r="BJ136" s="6">
        <f t="shared" si="1166"/>
        <v>0</v>
      </c>
      <c r="BK136" s="6">
        <f t="shared" si="1166"/>
        <v>0</v>
      </c>
      <c r="BL136" s="6">
        <v>0.0</v>
      </c>
      <c r="BM136" s="6">
        <v>0.0</v>
      </c>
      <c r="BN136" s="6">
        <v>0.0</v>
      </c>
      <c r="BO136" s="5">
        <v>1260076.0</v>
      </c>
      <c r="BP136" s="5">
        <v>1260076.0</v>
      </c>
      <c r="BQ136" s="6">
        <v>0.0</v>
      </c>
      <c r="BR136" s="6">
        <v>0.0</v>
      </c>
      <c r="BS136" s="6">
        <v>0.0</v>
      </c>
      <c r="BT136" s="6">
        <v>472232.0</v>
      </c>
      <c r="BU136" s="6" t="str">
        <f t="shared" ref="BU136:BW136" si="1167">+BO136+BR136+#REF!+BL136</f>
        <v>#REF!</v>
      </c>
      <c r="BV136" s="6" t="str">
        <f t="shared" si="1167"/>
        <v>#REF!</v>
      </c>
      <c r="BW136" s="6" t="str">
        <f t="shared" si="1167"/>
        <v>#REF!</v>
      </c>
      <c r="BX136" s="6">
        <v>0.0</v>
      </c>
      <c r="BY136" s="6">
        <v>0.0</v>
      </c>
      <c r="BZ136" s="6">
        <v>0.0</v>
      </c>
      <c r="CA136" s="6">
        <v>0.0</v>
      </c>
      <c r="CB136" s="6">
        <v>0.0</v>
      </c>
      <c r="CC136" s="6">
        <v>0.0</v>
      </c>
      <c r="CD136" s="6">
        <v>0.0</v>
      </c>
      <c r="CE136" s="6">
        <v>0.0</v>
      </c>
      <c r="CF136" s="6">
        <v>0.0</v>
      </c>
      <c r="CG136" s="6" t="str">
        <f t="shared" ref="CG136:CI136" si="1168">+CA136+CD136+BX136+#REF!</f>
        <v>#REF!</v>
      </c>
      <c r="CH136" s="6" t="str">
        <f t="shared" si="1168"/>
        <v>#REF!</v>
      </c>
      <c r="CI136" s="6" t="str">
        <f t="shared" si="1168"/>
        <v>#REF!</v>
      </c>
      <c r="CJ136" s="6">
        <v>0.0</v>
      </c>
      <c r="CK136" s="6">
        <v>0.0</v>
      </c>
      <c r="CL136" s="6">
        <v>0.0</v>
      </c>
      <c r="CM136" s="5">
        <v>750000.0</v>
      </c>
      <c r="CN136" s="5">
        <v>750000.0</v>
      </c>
      <c r="CO136" s="6">
        <v>0.0</v>
      </c>
      <c r="CP136" s="6">
        <v>0.0</v>
      </c>
      <c r="CQ136" s="6">
        <v>0.0</v>
      </c>
      <c r="CR136" s="6">
        <v>0.0</v>
      </c>
      <c r="CS136" s="6">
        <v>0.0</v>
      </c>
      <c r="CT136" s="6">
        <v>0.0</v>
      </c>
      <c r="CU136" s="6">
        <v>0.0</v>
      </c>
      <c r="CV136" s="6">
        <f t="shared" ref="CV136:CX136" si="1169">+CP136+CS136+CJ136+CM136</f>
        <v>750000</v>
      </c>
      <c r="CW136" s="6">
        <f t="shared" si="1169"/>
        <v>750000</v>
      </c>
      <c r="CX136" s="6">
        <f t="shared" si="1169"/>
        <v>0</v>
      </c>
      <c r="CY136" s="6">
        <v>0.0</v>
      </c>
      <c r="CZ136" s="6">
        <v>0.0</v>
      </c>
      <c r="DA136" s="6">
        <v>0.0</v>
      </c>
      <c r="DB136" s="5">
        <v>750000.0</v>
      </c>
      <c r="DC136" s="5">
        <v>750000.0</v>
      </c>
      <c r="DD136" s="6">
        <v>0.0</v>
      </c>
      <c r="DE136" s="6">
        <v>0.0</v>
      </c>
      <c r="DF136" s="6">
        <v>0.0</v>
      </c>
      <c r="DG136" s="6">
        <v>0.0</v>
      </c>
      <c r="DH136" s="6">
        <v>0.0</v>
      </c>
      <c r="DI136" s="6">
        <v>0.0</v>
      </c>
      <c r="DJ136" s="6">
        <v>0.0</v>
      </c>
      <c r="DK136" s="6">
        <f t="shared" ref="DK136:DM136" si="1170">+DE136+DH136+CY136+DB136</f>
        <v>750000</v>
      </c>
      <c r="DL136" s="6">
        <f t="shared" si="1170"/>
        <v>750000</v>
      </c>
      <c r="DM136" s="6">
        <f t="shared" si="1170"/>
        <v>0</v>
      </c>
      <c r="DN136" s="6" t="str">
        <f t="shared" ref="DN136:DP136" si="1171">+P136+AE136+AT136+BI136+BU136+CG136+CV136</f>
        <v>#REF!</v>
      </c>
      <c r="DO136" s="6" t="str">
        <f t="shared" si="1171"/>
        <v>#REF!</v>
      </c>
      <c r="DP136" s="6" t="str">
        <f t="shared" si="1171"/>
        <v>#REF!</v>
      </c>
      <c r="DQ136" s="6" t="str">
        <f t="shared" si="19"/>
        <v>#REF!</v>
      </c>
    </row>
    <row r="137" ht="13.5" customHeight="1">
      <c r="A137" s="11">
        <v>45741.0</v>
      </c>
      <c r="B137" s="2" t="s">
        <v>543</v>
      </c>
      <c r="C137" s="2" t="s">
        <v>537</v>
      </c>
      <c r="D137" s="29" t="s">
        <v>538</v>
      </c>
      <c r="E137" s="2" t="s">
        <v>539</v>
      </c>
      <c r="F137" s="11" t="s">
        <v>540</v>
      </c>
      <c r="G137" s="11" t="s">
        <v>18</v>
      </c>
      <c r="H137" s="5">
        <v>-472232.0</v>
      </c>
      <c r="I137" s="5">
        <v>-472232.0</v>
      </c>
      <c r="J137" s="6">
        <v>0.0</v>
      </c>
      <c r="K137" s="6">
        <v>0.0</v>
      </c>
      <c r="L137" s="6">
        <v>0.0</v>
      </c>
      <c r="M137" s="6">
        <v>0.0</v>
      </c>
      <c r="N137" s="6">
        <v>0.0</v>
      </c>
      <c r="O137" s="6">
        <v>0.0</v>
      </c>
      <c r="P137" s="6">
        <f t="shared" ref="P137:R137" si="1172">+J137+M137</f>
        <v>0</v>
      </c>
      <c r="Q137" s="6">
        <f t="shared" si="1172"/>
        <v>0</v>
      </c>
      <c r="R137" s="6">
        <f t="shared" si="1172"/>
        <v>0</v>
      </c>
      <c r="S137" s="6">
        <v>0.0</v>
      </c>
      <c r="T137" s="6">
        <v>0.0</v>
      </c>
      <c r="U137" s="6">
        <v>0.0</v>
      </c>
      <c r="V137" s="6">
        <v>0.0</v>
      </c>
      <c r="W137" s="6">
        <v>0.0</v>
      </c>
      <c r="X137" s="6">
        <v>0.0</v>
      </c>
      <c r="Y137" s="6">
        <v>0.0</v>
      </c>
      <c r="Z137" s="6">
        <v>0.0</v>
      </c>
      <c r="AA137" s="6">
        <v>0.0</v>
      </c>
      <c r="AB137" s="6">
        <v>0.0</v>
      </c>
      <c r="AC137" s="6">
        <v>0.0</v>
      </c>
      <c r="AD137" s="6">
        <v>0.0</v>
      </c>
      <c r="AE137" s="6">
        <f t="shared" ref="AE137:AG137" si="1173">+Y137+AB137+S137+V137</f>
        <v>0</v>
      </c>
      <c r="AF137" s="6">
        <f t="shared" si="1173"/>
        <v>0</v>
      </c>
      <c r="AG137" s="6">
        <f t="shared" si="1173"/>
        <v>0</v>
      </c>
      <c r="AH137" s="6">
        <v>0.0</v>
      </c>
      <c r="AI137" s="6">
        <v>0.0</v>
      </c>
      <c r="AJ137" s="6">
        <v>0.0</v>
      </c>
      <c r="AK137" s="6">
        <v>0.0</v>
      </c>
      <c r="AL137" s="6">
        <v>0.0</v>
      </c>
      <c r="AM137" s="6">
        <v>0.0</v>
      </c>
      <c r="AN137" s="6">
        <v>0.0</v>
      </c>
      <c r="AO137" s="6">
        <v>0.0</v>
      </c>
      <c r="AP137" s="6">
        <v>0.0</v>
      </c>
      <c r="AQ137" s="6">
        <v>0.0</v>
      </c>
      <c r="AR137" s="6">
        <v>0.0</v>
      </c>
      <c r="AS137" s="6">
        <v>0.0</v>
      </c>
      <c r="AT137" s="6">
        <f t="shared" ref="AT137:AV137" si="1174">+AN137+AQ137+AH137+AK137</f>
        <v>0</v>
      </c>
      <c r="AU137" s="6">
        <f t="shared" si="1174"/>
        <v>0</v>
      </c>
      <c r="AV137" s="6">
        <f t="shared" si="1174"/>
        <v>0</v>
      </c>
      <c r="AW137" s="6">
        <v>0.0</v>
      </c>
      <c r="AX137" s="6">
        <v>0.0</v>
      </c>
      <c r="AY137" s="6">
        <v>0.0</v>
      </c>
      <c r="AZ137" s="6">
        <v>0.0</v>
      </c>
      <c r="BA137" s="6">
        <v>0.0</v>
      </c>
      <c r="BB137" s="6">
        <v>0.0</v>
      </c>
      <c r="BC137" s="6">
        <v>0.0</v>
      </c>
      <c r="BD137" s="6">
        <v>0.0</v>
      </c>
      <c r="BE137" s="6">
        <v>0.0</v>
      </c>
      <c r="BF137" s="6">
        <v>0.0</v>
      </c>
      <c r="BG137" s="6">
        <v>0.0</v>
      </c>
      <c r="BH137" s="6">
        <v>0.0</v>
      </c>
      <c r="BI137" s="6">
        <f t="shared" ref="BI137:BK137" si="1175">+BC137+BF137+AW137+AZ137</f>
        <v>0</v>
      </c>
      <c r="BJ137" s="6">
        <f t="shared" si="1175"/>
        <v>0</v>
      </c>
      <c r="BK137" s="6">
        <f t="shared" si="1175"/>
        <v>0</v>
      </c>
      <c r="BL137" s="6">
        <v>0.0</v>
      </c>
      <c r="BM137" s="6">
        <v>0.0</v>
      </c>
      <c r="BN137" s="6">
        <v>0.0</v>
      </c>
      <c r="BO137" s="5">
        <v>-472232.0</v>
      </c>
      <c r="BP137" s="5">
        <v>-472232.0</v>
      </c>
      <c r="BQ137" s="6">
        <v>0.0</v>
      </c>
      <c r="BR137" s="6">
        <v>0.0</v>
      </c>
      <c r="BS137" s="6">
        <v>0.0</v>
      </c>
      <c r="BT137" s="6">
        <v>0.0</v>
      </c>
      <c r="BU137" s="6" t="str">
        <f t="shared" ref="BU137:BW137" si="1176">+BO137+BR137+#REF!+BL137</f>
        <v>#REF!</v>
      </c>
      <c r="BV137" s="6" t="str">
        <f t="shared" si="1176"/>
        <v>#REF!</v>
      </c>
      <c r="BW137" s="6" t="str">
        <f t="shared" si="1176"/>
        <v>#REF!</v>
      </c>
      <c r="BX137" s="6">
        <v>0.0</v>
      </c>
      <c r="BY137" s="6">
        <v>0.0</v>
      </c>
      <c r="BZ137" s="6">
        <v>0.0</v>
      </c>
      <c r="CA137" s="6">
        <v>0.0</v>
      </c>
      <c r="CB137" s="6">
        <v>0.0</v>
      </c>
      <c r="CC137" s="6">
        <v>0.0</v>
      </c>
      <c r="CD137" s="6">
        <v>0.0</v>
      </c>
      <c r="CE137" s="6">
        <v>0.0</v>
      </c>
      <c r="CF137" s="6">
        <v>0.0</v>
      </c>
      <c r="CG137" s="6" t="str">
        <f t="shared" ref="CG137:CI137" si="1177">+CA137+CD137+BX137+#REF!</f>
        <v>#REF!</v>
      </c>
      <c r="CH137" s="6" t="str">
        <f t="shared" si="1177"/>
        <v>#REF!</v>
      </c>
      <c r="CI137" s="6" t="str">
        <f t="shared" si="1177"/>
        <v>#REF!</v>
      </c>
      <c r="CJ137" s="6">
        <v>0.0</v>
      </c>
      <c r="CK137" s="6">
        <v>0.0</v>
      </c>
      <c r="CL137" s="6">
        <v>0.0</v>
      </c>
      <c r="CM137" s="5">
        <v>800000.0</v>
      </c>
      <c r="CN137" s="5">
        <v>800000.0</v>
      </c>
      <c r="CO137" s="6">
        <v>0.0</v>
      </c>
      <c r="CP137" s="6">
        <v>0.0</v>
      </c>
      <c r="CQ137" s="6">
        <v>0.0</v>
      </c>
      <c r="CR137" s="6">
        <v>0.0</v>
      </c>
      <c r="CS137" s="6">
        <v>0.0</v>
      </c>
      <c r="CT137" s="6">
        <v>0.0</v>
      </c>
      <c r="CU137" s="6">
        <v>0.0</v>
      </c>
      <c r="CV137" s="6">
        <f t="shared" ref="CV137:CX137" si="1178">+CP137+CS137+CJ137+CM137</f>
        <v>800000</v>
      </c>
      <c r="CW137" s="6">
        <f t="shared" si="1178"/>
        <v>800000</v>
      </c>
      <c r="CX137" s="6">
        <f t="shared" si="1178"/>
        <v>0</v>
      </c>
      <c r="CY137" s="6">
        <v>0.0</v>
      </c>
      <c r="CZ137" s="6">
        <v>0.0</v>
      </c>
      <c r="DA137" s="6">
        <v>0.0</v>
      </c>
      <c r="DB137" s="5">
        <v>800000.0</v>
      </c>
      <c r="DC137" s="5">
        <v>800000.0</v>
      </c>
      <c r="DD137" s="6">
        <v>0.0</v>
      </c>
      <c r="DE137" s="6">
        <v>0.0</v>
      </c>
      <c r="DF137" s="6">
        <v>0.0</v>
      </c>
      <c r="DG137" s="6">
        <v>0.0</v>
      </c>
      <c r="DH137" s="6">
        <v>0.0</v>
      </c>
      <c r="DI137" s="6">
        <v>0.0</v>
      </c>
      <c r="DJ137" s="6">
        <v>0.0</v>
      </c>
      <c r="DK137" s="6">
        <f t="shared" ref="DK137:DM137" si="1179">+DE137+DH137+CY137+DB137</f>
        <v>800000</v>
      </c>
      <c r="DL137" s="6">
        <f t="shared" si="1179"/>
        <v>800000</v>
      </c>
      <c r="DM137" s="6">
        <f t="shared" si="1179"/>
        <v>0</v>
      </c>
      <c r="DN137" s="6" t="str">
        <f t="shared" ref="DN137:DP137" si="1180">+P137+AE137+AT137+BI137+BU137+CG137+CV137</f>
        <v>#REF!</v>
      </c>
      <c r="DO137" s="6" t="str">
        <f t="shared" si="1180"/>
        <v>#REF!</v>
      </c>
      <c r="DP137" s="6" t="str">
        <f t="shared" si="1180"/>
        <v>#REF!</v>
      </c>
      <c r="DQ137" s="6" t="str">
        <f t="shared" si="19"/>
        <v>#REF!</v>
      </c>
    </row>
    <row r="138" ht="13.5" customHeight="1">
      <c r="A138" s="11">
        <v>45741.0</v>
      </c>
      <c r="B138" s="2" t="s">
        <v>543</v>
      </c>
      <c r="C138" s="2" t="s">
        <v>537</v>
      </c>
      <c r="D138" s="29" t="s">
        <v>538</v>
      </c>
      <c r="E138" s="2" t="s">
        <v>539</v>
      </c>
      <c r="F138" s="11" t="s">
        <v>540</v>
      </c>
      <c r="G138" s="11" t="s">
        <v>18</v>
      </c>
      <c r="H138" s="5">
        <v>472232.0</v>
      </c>
      <c r="I138" s="5">
        <v>472232.0</v>
      </c>
      <c r="J138" s="6">
        <v>0.0</v>
      </c>
      <c r="K138" s="6">
        <v>0.0</v>
      </c>
      <c r="L138" s="6">
        <v>0.0</v>
      </c>
      <c r="M138" s="6">
        <v>0.0</v>
      </c>
      <c r="N138" s="6">
        <v>0.0</v>
      </c>
      <c r="O138" s="6">
        <v>0.0</v>
      </c>
      <c r="P138" s="6">
        <f t="shared" ref="P138:R138" si="1181">+J138+M138</f>
        <v>0</v>
      </c>
      <c r="Q138" s="6">
        <f t="shared" si="1181"/>
        <v>0</v>
      </c>
      <c r="R138" s="6">
        <f t="shared" si="1181"/>
        <v>0</v>
      </c>
      <c r="S138" s="6">
        <v>0.0</v>
      </c>
      <c r="T138" s="6">
        <v>0.0</v>
      </c>
      <c r="U138" s="6">
        <v>0.0</v>
      </c>
      <c r="V138" s="6">
        <v>0.0</v>
      </c>
      <c r="W138" s="6">
        <v>0.0</v>
      </c>
      <c r="X138" s="6">
        <v>0.0</v>
      </c>
      <c r="Y138" s="6">
        <v>0.0</v>
      </c>
      <c r="Z138" s="6">
        <v>0.0</v>
      </c>
      <c r="AA138" s="6">
        <v>0.0</v>
      </c>
      <c r="AB138" s="6">
        <v>0.0</v>
      </c>
      <c r="AC138" s="6">
        <v>0.0</v>
      </c>
      <c r="AD138" s="6">
        <v>0.0</v>
      </c>
      <c r="AE138" s="6">
        <f t="shared" ref="AE138:AG138" si="1182">+Y138+AB138+S138+V138</f>
        <v>0</v>
      </c>
      <c r="AF138" s="6">
        <f t="shared" si="1182"/>
        <v>0</v>
      </c>
      <c r="AG138" s="6">
        <f t="shared" si="1182"/>
        <v>0</v>
      </c>
      <c r="AH138" s="6">
        <v>0.0</v>
      </c>
      <c r="AI138" s="6">
        <v>0.0</v>
      </c>
      <c r="AJ138" s="6">
        <v>0.0</v>
      </c>
      <c r="AK138" s="6">
        <v>0.0</v>
      </c>
      <c r="AL138" s="6">
        <v>0.0</v>
      </c>
      <c r="AM138" s="6">
        <v>0.0</v>
      </c>
      <c r="AN138" s="6">
        <v>0.0</v>
      </c>
      <c r="AO138" s="6">
        <v>0.0</v>
      </c>
      <c r="AP138" s="6">
        <v>0.0</v>
      </c>
      <c r="AQ138" s="6">
        <v>0.0</v>
      </c>
      <c r="AR138" s="6">
        <v>0.0</v>
      </c>
      <c r="AS138" s="6">
        <v>0.0</v>
      </c>
      <c r="AT138" s="6">
        <f t="shared" ref="AT138:AV138" si="1183">+AN138+AQ138+AH138+AK138</f>
        <v>0</v>
      </c>
      <c r="AU138" s="6">
        <f t="shared" si="1183"/>
        <v>0</v>
      </c>
      <c r="AV138" s="6">
        <f t="shared" si="1183"/>
        <v>0</v>
      </c>
      <c r="AW138" s="6">
        <v>0.0</v>
      </c>
      <c r="AX138" s="6">
        <v>0.0</v>
      </c>
      <c r="AY138" s="6">
        <v>0.0</v>
      </c>
      <c r="AZ138" s="6">
        <v>0.0</v>
      </c>
      <c r="BA138" s="6">
        <v>0.0</v>
      </c>
      <c r="BB138" s="6">
        <v>0.0</v>
      </c>
      <c r="BC138" s="6">
        <v>0.0</v>
      </c>
      <c r="BD138" s="6">
        <v>0.0</v>
      </c>
      <c r="BE138" s="6">
        <v>0.0</v>
      </c>
      <c r="BF138" s="6">
        <v>0.0</v>
      </c>
      <c r="BG138" s="6">
        <v>0.0</v>
      </c>
      <c r="BH138" s="6">
        <v>0.0</v>
      </c>
      <c r="BI138" s="6">
        <f t="shared" ref="BI138:BK138" si="1184">+BC138+BF138+AW138+AZ138</f>
        <v>0</v>
      </c>
      <c r="BJ138" s="6">
        <f t="shared" si="1184"/>
        <v>0</v>
      </c>
      <c r="BK138" s="6">
        <f t="shared" si="1184"/>
        <v>0</v>
      </c>
      <c r="BL138" s="6">
        <v>0.0</v>
      </c>
      <c r="BM138" s="6">
        <v>0.0</v>
      </c>
      <c r="BN138" s="6">
        <v>0.0</v>
      </c>
      <c r="BO138" s="5">
        <v>472232.0</v>
      </c>
      <c r="BP138" s="5">
        <v>472232.0</v>
      </c>
      <c r="BQ138" s="6">
        <v>0.0</v>
      </c>
      <c r="BR138" s="6">
        <v>0.0</v>
      </c>
      <c r="BS138" s="6">
        <v>0.0</v>
      </c>
      <c r="BT138" s="6">
        <v>0.0</v>
      </c>
      <c r="BU138" s="6" t="str">
        <f t="shared" ref="BU138:BW138" si="1185">+BO138+BR138+#REF!+BL138</f>
        <v>#REF!</v>
      </c>
      <c r="BV138" s="6" t="str">
        <f t="shared" si="1185"/>
        <v>#REF!</v>
      </c>
      <c r="BW138" s="6" t="str">
        <f t="shared" si="1185"/>
        <v>#REF!</v>
      </c>
      <c r="BX138" s="6">
        <v>0.0</v>
      </c>
      <c r="BY138" s="6">
        <v>0.0</v>
      </c>
      <c r="BZ138" s="6">
        <v>0.0</v>
      </c>
      <c r="CA138" s="6">
        <v>0.0</v>
      </c>
      <c r="CB138" s="6">
        <v>0.0</v>
      </c>
      <c r="CC138" s="6">
        <v>0.0</v>
      </c>
      <c r="CD138" s="6">
        <v>0.0</v>
      </c>
      <c r="CE138" s="6">
        <v>0.0</v>
      </c>
      <c r="CF138" s="6">
        <v>0.0</v>
      </c>
      <c r="CG138" s="6" t="str">
        <f t="shared" ref="CG138:CI138" si="1186">+CA138+CD138+BX138+#REF!</f>
        <v>#REF!</v>
      </c>
      <c r="CH138" s="6" t="str">
        <f t="shared" si="1186"/>
        <v>#REF!</v>
      </c>
      <c r="CI138" s="6" t="str">
        <f t="shared" si="1186"/>
        <v>#REF!</v>
      </c>
      <c r="CJ138" s="6">
        <v>0.0</v>
      </c>
      <c r="CK138" s="6">
        <v>0.0</v>
      </c>
      <c r="CL138" s="6">
        <v>0.0</v>
      </c>
      <c r="CM138" s="5">
        <v>1000000.0</v>
      </c>
      <c r="CN138" s="5">
        <v>1000000.0</v>
      </c>
      <c r="CO138" s="6">
        <v>0.0</v>
      </c>
      <c r="CP138" s="6">
        <v>0.0</v>
      </c>
      <c r="CQ138" s="6">
        <v>0.0</v>
      </c>
      <c r="CR138" s="6">
        <v>0.0</v>
      </c>
      <c r="CS138" s="6">
        <v>0.0</v>
      </c>
      <c r="CT138" s="6">
        <v>0.0</v>
      </c>
      <c r="CU138" s="6">
        <v>0.0</v>
      </c>
      <c r="CV138" s="6">
        <f t="shared" ref="CV138:CX138" si="1187">+CP138+CS138+CJ138+CM138</f>
        <v>1000000</v>
      </c>
      <c r="CW138" s="6">
        <f t="shared" si="1187"/>
        <v>1000000</v>
      </c>
      <c r="CX138" s="6">
        <f t="shared" si="1187"/>
        <v>0</v>
      </c>
      <c r="CY138" s="6">
        <v>0.0</v>
      </c>
      <c r="CZ138" s="6">
        <v>0.0</v>
      </c>
      <c r="DA138" s="6">
        <v>0.0</v>
      </c>
      <c r="DB138" s="5">
        <v>1000000.0</v>
      </c>
      <c r="DC138" s="5">
        <v>1000000.0</v>
      </c>
      <c r="DD138" s="6">
        <v>0.0</v>
      </c>
      <c r="DE138" s="6">
        <v>0.0</v>
      </c>
      <c r="DF138" s="6">
        <v>0.0</v>
      </c>
      <c r="DG138" s="6">
        <v>0.0</v>
      </c>
      <c r="DH138" s="6">
        <v>0.0</v>
      </c>
      <c r="DI138" s="6">
        <v>0.0</v>
      </c>
      <c r="DJ138" s="6">
        <v>0.0</v>
      </c>
      <c r="DK138" s="6">
        <f t="shared" ref="DK138:DM138" si="1188">+DE138+DH138+CY138+DB138</f>
        <v>1000000</v>
      </c>
      <c r="DL138" s="6">
        <f t="shared" si="1188"/>
        <v>1000000</v>
      </c>
      <c r="DM138" s="6">
        <f t="shared" si="1188"/>
        <v>0</v>
      </c>
      <c r="DN138" s="6" t="str">
        <f t="shared" ref="DN138:DP138" si="1189">+P138+AE138+AT138+BI138+BU138+CG138+CV138</f>
        <v>#REF!</v>
      </c>
      <c r="DO138" s="6" t="str">
        <f t="shared" si="1189"/>
        <v>#REF!</v>
      </c>
      <c r="DP138" s="6" t="str">
        <f t="shared" si="1189"/>
        <v>#REF!</v>
      </c>
      <c r="DQ138" s="6" t="str">
        <f t="shared" si="19"/>
        <v>#REF!</v>
      </c>
    </row>
    <row r="139" ht="13.5" customHeight="1">
      <c r="A139" s="11">
        <v>45470.0</v>
      </c>
      <c r="B139" s="2" t="s">
        <v>544</v>
      </c>
      <c r="C139" s="2" t="s">
        <v>545</v>
      </c>
      <c r="D139" s="29" t="s">
        <v>546</v>
      </c>
      <c r="E139" s="2" t="s">
        <v>547</v>
      </c>
      <c r="F139" s="11" t="s">
        <v>548</v>
      </c>
      <c r="G139" s="11" t="s">
        <v>18</v>
      </c>
      <c r="H139" s="5">
        <v>2025256.87</v>
      </c>
      <c r="I139" s="5">
        <v>2025256.87</v>
      </c>
      <c r="J139" s="6">
        <v>0.0</v>
      </c>
      <c r="K139" s="6">
        <v>0.0</v>
      </c>
      <c r="L139" s="6">
        <v>0.0</v>
      </c>
      <c r="M139" s="6">
        <v>0.0</v>
      </c>
      <c r="N139" s="6">
        <v>0.0</v>
      </c>
      <c r="O139" s="6">
        <v>0.0</v>
      </c>
      <c r="P139" s="6">
        <f t="shared" ref="P139:R139" si="1190">+J139+M139</f>
        <v>0</v>
      </c>
      <c r="Q139" s="6">
        <f t="shared" si="1190"/>
        <v>0</v>
      </c>
      <c r="R139" s="6">
        <f t="shared" si="1190"/>
        <v>0</v>
      </c>
      <c r="S139" s="6">
        <v>0.0</v>
      </c>
      <c r="T139" s="6">
        <v>0.0</v>
      </c>
      <c r="U139" s="6">
        <v>0.0</v>
      </c>
      <c r="V139" s="6">
        <v>0.0</v>
      </c>
      <c r="W139" s="6">
        <v>0.0</v>
      </c>
      <c r="X139" s="6">
        <v>0.0</v>
      </c>
      <c r="Y139" s="6">
        <v>0.0</v>
      </c>
      <c r="Z139" s="6">
        <v>0.0</v>
      </c>
      <c r="AA139" s="6">
        <v>0.0</v>
      </c>
      <c r="AB139" s="6">
        <v>0.0</v>
      </c>
      <c r="AC139" s="6">
        <v>0.0</v>
      </c>
      <c r="AD139" s="6">
        <v>0.0</v>
      </c>
      <c r="AE139" s="6">
        <f t="shared" ref="AE139:AG139" si="1191">+Y139+AB139+S139+V139</f>
        <v>0</v>
      </c>
      <c r="AF139" s="6">
        <f t="shared" si="1191"/>
        <v>0</v>
      </c>
      <c r="AG139" s="6">
        <f t="shared" si="1191"/>
        <v>0</v>
      </c>
      <c r="AH139" s="6">
        <v>0.0</v>
      </c>
      <c r="AI139" s="6">
        <v>0.0</v>
      </c>
      <c r="AJ139" s="6">
        <v>0.0</v>
      </c>
      <c r="AK139" s="6">
        <v>0.0</v>
      </c>
      <c r="AL139" s="6">
        <v>0.0</v>
      </c>
      <c r="AM139" s="6">
        <v>0.0</v>
      </c>
      <c r="AN139" s="6">
        <v>0.0</v>
      </c>
      <c r="AO139" s="6">
        <v>0.0</v>
      </c>
      <c r="AP139" s="6">
        <v>0.0</v>
      </c>
      <c r="AQ139" s="6">
        <v>0.0</v>
      </c>
      <c r="AR139" s="6">
        <v>0.0</v>
      </c>
      <c r="AS139" s="6">
        <v>0.0</v>
      </c>
      <c r="AT139" s="6">
        <f t="shared" ref="AT139:AV139" si="1192">+AN139+AQ139+AH139+AK139</f>
        <v>0</v>
      </c>
      <c r="AU139" s="6">
        <f t="shared" si="1192"/>
        <v>0</v>
      </c>
      <c r="AV139" s="6">
        <f t="shared" si="1192"/>
        <v>0</v>
      </c>
      <c r="AW139" s="6">
        <v>0.0</v>
      </c>
      <c r="AX139" s="6">
        <v>0.0</v>
      </c>
      <c r="AY139" s="6">
        <v>0.0</v>
      </c>
      <c r="AZ139" s="6">
        <v>0.0</v>
      </c>
      <c r="BA139" s="6">
        <v>0.0</v>
      </c>
      <c r="BB139" s="6">
        <v>0.0</v>
      </c>
      <c r="BC139" s="6">
        <v>0.0</v>
      </c>
      <c r="BD139" s="6">
        <v>0.0</v>
      </c>
      <c r="BE139" s="6">
        <v>0.0</v>
      </c>
      <c r="BF139" s="6">
        <v>0.0</v>
      </c>
      <c r="BG139" s="6">
        <v>0.0</v>
      </c>
      <c r="BH139" s="6">
        <v>0.0</v>
      </c>
      <c r="BI139" s="6">
        <f t="shared" ref="BI139:BK139" si="1193">+BC139+BF139+AW139+AZ139</f>
        <v>0</v>
      </c>
      <c r="BJ139" s="6">
        <f t="shared" si="1193"/>
        <v>0</v>
      </c>
      <c r="BK139" s="6">
        <f t="shared" si="1193"/>
        <v>0</v>
      </c>
      <c r="BL139" s="6">
        <v>0.0</v>
      </c>
      <c r="BM139" s="6">
        <v>0.0</v>
      </c>
      <c r="BN139" s="6">
        <v>0.0</v>
      </c>
      <c r="BO139" s="5">
        <v>2025256.87</v>
      </c>
      <c r="BP139" s="5">
        <v>2025256.87</v>
      </c>
      <c r="BQ139" s="6">
        <v>0.0</v>
      </c>
      <c r="BR139" s="6">
        <v>0.0</v>
      </c>
      <c r="BS139" s="6">
        <v>0.0</v>
      </c>
      <c r="BT139" s="6">
        <v>0.0</v>
      </c>
      <c r="BU139" s="6" t="str">
        <f t="shared" ref="BU139:BW139" si="1194">+BO139+BR139+#REF!+BL139</f>
        <v>#REF!</v>
      </c>
      <c r="BV139" s="6" t="str">
        <f t="shared" si="1194"/>
        <v>#REF!</v>
      </c>
      <c r="BW139" s="6" t="str">
        <f t="shared" si="1194"/>
        <v>#REF!</v>
      </c>
      <c r="BX139" s="6">
        <v>0.0</v>
      </c>
      <c r="BY139" s="6">
        <v>0.0</v>
      </c>
      <c r="BZ139" s="6">
        <v>1000000.0</v>
      </c>
      <c r="CA139" s="6">
        <v>0.0</v>
      </c>
      <c r="CB139" s="6">
        <v>0.0</v>
      </c>
      <c r="CC139" s="6">
        <v>0.0</v>
      </c>
      <c r="CD139" s="6">
        <v>0.0</v>
      </c>
      <c r="CE139" s="6">
        <v>0.0</v>
      </c>
      <c r="CF139" s="6">
        <v>0.0</v>
      </c>
      <c r="CG139" s="6" t="str">
        <f t="shared" ref="CG139:CI139" si="1195">+CA139+CD139+BX139+#REF!</f>
        <v>#REF!</v>
      </c>
      <c r="CH139" s="6" t="str">
        <f t="shared" si="1195"/>
        <v>#REF!</v>
      </c>
      <c r="CI139" s="6" t="str">
        <f t="shared" si="1195"/>
        <v>#REF!</v>
      </c>
      <c r="CJ139" s="6">
        <v>0.0</v>
      </c>
      <c r="CK139" s="6">
        <v>0.0</v>
      </c>
      <c r="CL139" s="6">
        <v>0.0</v>
      </c>
      <c r="CM139" s="6">
        <v>0.0</v>
      </c>
      <c r="CN139" s="6">
        <v>0.0</v>
      </c>
      <c r="CO139" s="6">
        <v>0.0</v>
      </c>
      <c r="CP139" s="6">
        <v>0.0</v>
      </c>
      <c r="CQ139" s="6">
        <v>0.0</v>
      </c>
      <c r="CR139" s="6">
        <v>0.0</v>
      </c>
      <c r="CS139" s="6">
        <v>0.0</v>
      </c>
      <c r="CT139" s="6">
        <v>0.0</v>
      </c>
      <c r="CU139" s="6">
        <v>0.0</v>
      </c>
      <c r="CV139" s="6">
        <f t="shared" ref="CV139:CX139" si="1196">+CP139+CS139+CJ139+CM139</f>
        <v>0</v>
      </c>
      <c r="CW139" s="6">
        <f t="shared" si="1196"/>
        <v>0</v>
      </c>
      <c r="CX139" s="6">
        <f t="shared" si="1196"/>
        <v>0</v>
      </c>
      <c r="CY139" s="6">
        <v>0.0</v>
      </c>
      <c r="CZ139" s="6">
        <v>0.0</v>
      </c>
      <c r="DA139" s="6">
        <v>0.0</v>
      </c>
      <c r="DB139" s="6">
        <v>0.0</v>
      </c>
      <c r="DC139" s="6">
        <v>0.0</v>
      </c>
      <c r="DD139" s="6">
        <v>0.0</v>
      </c>
      <c r="DE139" s="6">
        <v>0.0</v>
      </c>
      <c r="DF139" s="6">
        <v>0.0</v>
      </c>
      <c r="DG139" s="6">
        <v>0.0</v>
      </c>
      <c r="DH139" s="6">
        <v>0.0</v>
      </c>
      <c r="DI139" s="6">
        <v>0.0</v>
      </c>
      <c r="DJ139" s="6">
        <v>0.0</v>
      </c>
      <c r="DK139" s="6">
        <f t="shared" ref="DK139:DM139" si="1197">+DE139+DH139+CY139+DB139</f>
        <v>0</v>
      </c>
      <c r="DL139" s="6">
        <f t="shared" si="1197"/>
        <v>0</v>
      </c>
      <c r="DM139" s="6">
        <f t="shared" si="1197"/>
        <v>0</v>
      </c>
      <c r="DN139" s="6" t="str">
        <f t="shared" ref="DN139:DP139" si="1198">+P139+AE139+AT139+BI139+BU139+CG139+CV139</f>
        <v>#REF!</v>
      </c>
      <c r="DO139" s="6" t="str">
        <f t="shared" si="1198"/>
        <v>#REF!</v>
      </c>
      <c r="DP139" s="6" t="str">
        <f t="shared" si="1198"/>
        <v>#REF!</v>
      </c>
      <c r="DQ139" s="6" t="str">
        <f t="shared" si="19"/>
        <v>#REF!</v>
      </c>
    </row>
    <row r="140" ht="13.5" customHeight="1">
      <c r="A140" s="11">
        <v>45470.0</v>
      </c>
      <c r="B140" s="2" t="s">
        <v>544</v>
      </c>
      <c r="C140" s="2" t="s">
        <v>545</v>
      </c>
      <c r="D140" s="29" t="s">
        <v>546</v>
      </c>
      <c r="E140" s="2" t="s">
        <v>547</v>
      </c>
      <c r="F140" s="11" t="s">
        <v>548</v>
      </c>
      <c r="G140" s="11" t="s">
        <v>18</v>
      </c>
      <c r="H140" s="5">
        <v>188138.62</v>
      </c>
      <c r="I140" s="5">
        <v>188138.62</v>
      </c>
      <c r="J140" s="6">
        <v>0.0</v>
      </c>
      <c r="K140" s="6">
        <v>0.0</v>
      </c>
      <c r="L140" s="6">
        <v>0.0</v>
      </c>
      <c r="M140" s="6">
        <v>0.0</v>
      </c>
      <c r="N140" s="6">
        <v>0.0</v>
      </c>
      <c r="O140" s="6">
        <v>0.0</v>
      </c>
      <c r="P140" s="6">
        <f t="shared" ref="P140:R140" si="1199">+J140+M140</f>
        <v>0</v>
      </c>
      <c r="Q140" s="6">
        <f t="shared" si="1199"/>
        <v>0</v>
      </c>
      <c r="R140" s="6">
        <f t="shared" si="1199"/>
        <v>0</v>
      </c>
      <c r="S140" s="6">
        <v>0.0</v>
      </c>
      <c r="T140" s="6">
        <v>0.0</v>
      </c>
      <c r="U140" s="6">
        <v>0.0</v>
      </c>
      <c r="V140" s="6">
        <v>0.0</v>
      </c>
      <c r="W140" s="6">
        <v>0.0</v>
      </c>
      <c r="X140" s="6">
        <v>0.0</v>
      </c>
      <c r="Y140" s="6">
        <v>0.0</v>
      </c>
      <c r="Z140" s="6">
        <v>0.0</v>
      </c>
      <c r="AA140" s="6">
        <v>0.0</v>
      </c>
      <c r="AB140" s="6">
        <v>0.0</v>
      </c>
      <c r="AC140" s="6">
        <v>0.0</v>
      </c>
      <c r="AD140" s="6">
        <v>0.0</v>
      </c>
      <c r="AE140" s="6">
        <f t="shared" ref="AE140:AG140" si="1200">+Y140+AB140+S140+V140</f>
        <v>0</v>
      </c>
      <c r="AF140" s="6">
        <f t="shared" si="1200"/>
        <v>0</v>
      </c>
      <c r="AG140" s="6">
        <f t="shared" si="1200"/>
        <v>0</v>
      </c>
      <c r="AH140" s="6">
        <v>0.0</v>
      </c>
      <c r="AI140" s="6">
        <v>0.0</v>
      </c>
      <c r="AJ140" s="6">
        <v>0.0</v>
      </c>
      <c r="AK140" s="6">
        <v>0.0</v>
      </c>
      <c r="AL140" s="6">
        <v>0.0</v>
      </c>
      <c r="AM140" s="6">
        <v>0.0</v>
      </c>
      <c r="AN140" s="6">
        <v>0.0</v>
      </c>
      <c r="AO140" s="6">
        <v>0.0</v>
      </c>
      <c r="AP140" s="6">
        <v>0.0</v>
      </c>
      <c r="AQ140" s="6">
        <v>0.0</v>
      </c>
      <c r="AR140" s="6">
        <v>0.0</v>
      </c>
      <c r="AS140" s="6">
        <v>0.0</v>
      </c>
      <c r="AT140" s="6">
        <f t="shared" ref="AT140:AV140" si="1201">+AN140+AQ140+AH140+AK140</f>
        <v>0</v>
      </c>
      <c r="AU140" s="6">
        <f t="shared" si="1201"/>
        <v>0</v>
      </c>
      <c r="AV140" s="6">
        <f t="shared" si="1201"/>
        <v>0</v>
      </c>
      <c r="AW140" s="6">
        <v>0.0</v>
      </c>
      <c r="AX140" s="6">
        <v>0.0</v>
      </c>
      <c r="AY140" s="6">
        <v>0.0</v>
      </c>
      <c r="AZ140" s="6">
        <v>0.0</v>
      </c>
      <c r="BA140" s="6">
        <v>0.0</v>
      </c>
      <c r="BB140" s="6">
        <v>0.0</v>
      </c>
      <c r="BC140" s="6">
        <v>0.0</v>
      </c>
      <c r="BD140" s="6">
        <v>0.0</v>
      </c>
      <c r="BE140" s="6">
        <v>0.0</v>
      </c>
      <c r="BF140" s="6">
        <v>0.0</v>
      </c>
      <c r="BG140" s="6">
        <v>0.0</v>
      </c>
      <c r="BH140" s="6">
        <v>0.0</v>
      </c>
      <c r="BI140" s="6">
        <f t="shared" ref="BI140:BK140" si="1202">+BC140+BF140+AW140+AZ140</f>
        <v>0</v>
      </c>
      <c r="BJ140" s="6">
        <f t="shared" si="1202"/>
        <v>0</v>
      </c>
      <c r="BK140" s="6">
        <f t="shared" si="1202"/>
        <v>0</v>
      </c>
      <c r="BL140" s="6">
        <v>0.0</v>
      </c>
      <c r="BM140" s="6">
        <v>0.0</v>
      </c>
      <c r="BN140" s="6">
        <v>0.0</v>
      </c>
      <c r="BO140" s="5">
        <v>188138.62</v>
      </c>
      <c r="BP140" s="5">
        <v>188138.62</v>
      </c>
      <c r="BQ140" s="6">
        <v>0.0</v>
      </c>
      <c r="BR140" s="6">
        <v>0.0</v>
      </c>
      <c r="BS140" s="6">
        <v>0.0</v>
      </c>
      <c r="BT140" s="6">
        <v>0.0</v>
      </c>
      <c r="BU140" s="6" t="str">
        <f t="shared" ref="BU140:BW140" si="1203">+BO140+BR140+#REF!+BL140</f>
        <v>#REF!</v>
      </c>
      <c r="BV140" s="6" t="str">
        <f t="shared" si="1203"/>
        <v>#REF!</v>
      </c>
      <c r="BW140" s="6" t="str">
        <f t="shared" si="1203"/>
        <v>#REF!</v>
      </c>
      <c r="BX140" s="6">
        <v>0.0</v>
      </c>
      <c r="BY140" s="6">
        <v>0.0</v>
      </c>
      <c r="BZ140" s="6">
        <v>188138.62</v>
      </c>
      <c r="CA140" s="6">
        <v>0.0</v>
      </c>
      <c r="CB140" s="6">
        <v>0.0</v>
      </c>
      <c r="CC140" s="6">
        <v>0.0</v>
      </c>
      <c r="CD140" s="6">
        <v>0.0</v>
      </c>
      <c r="CE140" s="6">
        <v>0.0</v>
      </c>
      <c r="CF140" s="6">
        <v>0.0</v>
      </c>
      <c r="CG140" s="6" t="str">
        <f t="shared" ref="CG140:CI140" si="1204">+CA140+CD140+BX140+#REF!</f>
        <v>#REF!</v>
      </c>
      <c r="CH140" s="6" t="str">
        <f t="shared" si="1204"/>
        <v>#REF!</v>
      </c>
      <c r="CI140" s="6" t="str">
        <f t="shared" si="1204"/>
        <v>#REF!</v>
      </c>
      <c r="CJ140" s="6">
        <v>0.0</v>
      </c>
      <c r="CK140" s="6">
        <v>0.0</v>
      </c>
      <c r="CL140" s="6">
        <v>0.0</v>
      </c>
      <c r="CM140" s="6">
        <v>0.0</v>
      </c>
      <c r="CN140" s="6">
        <v>0.0</v>
      </c>
      <c r="CO140" s="6">
        <v>0.0</v>
      </c>
      <c r="CP140" s="6">
        <v>0.0</v>
      </c>
      <c r="CQ140" s="6">
        <v>0.0</v>
      </c>
      <c r="CR140" s="6">
        <v>0.0</v>
      </c>
      <c r="CS140" s="6">
        <v>0.0</v>
      </c>
      <c r="CT140" s="6">
        <v>0.0</v>
      </c>
      <c r="CU140" s="6">
        <v>0.0</v>
      </c>
      <c r="CV140" s="6">
        <f t="shared" ref="CV140:CX140" si="1205">+CP140+CS140+CJ140+CM140</f>
        <v>0</v>
      </c>
      <c r="CW140" s="6">
        <f t="shared" si="1205"/>
        <v>0</v>
      </c>
      <c r="CX140" s="6">
        <f t="shared" si="1205"/>
        <v>0</v>
      </c>
      <c r="CY140" s="6">
        <v>0.0</v>
      </c>
      <c r="CZ140" s="6">
        <v>0.0</v>
      </c>
      <c r="DA140" s="6">
        <v>0.0</v>
      </c>
      <c r="DB140" s="6">
        <v>0.0</v>
      </c>
      <c r="DC140" s="6">
        <v>0.0</v>
      </c>
      <c r="DD140" s="6">
        <v>0.0</v>
      </c>
      <c r="DE140" s="6">
        <v>0.0</v>
      </c>
      <c r="DF140" s="6">
        <v>0.0</v>
      </c>
      <c r="DG140" s="6">
        <v>0.0</v>
      </c>
      <c r="DH140" s="6">
        <v>0.0</v>
      </c>
      <c r="DI140" s="6">
        <v>0.0</v>
      </c>
      <c r="DJ140" s="6">
        <v>0.0</v>
      </c>
      <c r="DK140" s="6">
        <f t="shared" ref="DK140:DM140" si="1206">+DE140+DH140+CY140+DB140</f>
        <v>0</v>
      </c>
      <c r="DL140" s="6">
        <f t="shared" si="1206"/>
        <v>0</v>
      </c>
      <c r="DM140" s="6">
        <f t="shared" si="1206"/>
        <v>0</v>
      </c>
      <c r="DN140" s="6" t="str">
        <f t="shared" ref="DN140:DP140" si="1207">+P140+AE140+AT140+BI140+BU140+CG140+CV140</f>
        <v>#REF!</v>
      </c>
      <c r="DO140" s="6" t="str">
        <f t="shared" si="1207"/>
        <v>#REF!</v>
      </c>
      <c r="DP140" s="6" t="str">
        <f t="shared" si="1207"/>
        <v>#REF!</v>
      </c>
      <c r="DQ140" s="6" t="str">
        <f t="shared" si="19"/>
        <v>#REF!</v>
      </c>
    </row>
    <row r="141" ht="13.5" customHeight="1">
      <c r="A141" s="11">
        <v>45470.0</v>
      </c>
      <c r="B141" s="2" t="s">
        <v>544</v>
      </c>
      <c r="C141" s="2" t="s">
        <v>545</v>
      </c>
      <c r="D141" s="29" t="s">
        <v>546</v>
      </c>
      <c r="E141" s="2" t="s">
        <v>547</v>
      </c>
      <c r="F141" s="11" t="s">
        <v>548</v>
      </c>
      <c r="G141" s="11" t="s">
        <v>18</v>
      </c>
      <c r="H141" s="5">
        <v>622945.71</v>
      </c>
      <c r="I141" s="5">
        <v>622945.71</v>
      </c>
      <c r="J141" s="6">
        <v>0.0</v>
      </c>
      <c r="K141" s="6">
        <v>0.0</v>
      </c>
      <c r="L141" s="6">
        <v>0.0</v>
      </c>
      <c r="M141" s="6">
        <v>0.0</v>
      </c>
      <c r="N141" s="6">
        <v>0.0</v>
      </c>
      <c r="O141" s="6">
        <v>0.0</v>
      </c>
      <c r="P141" s="6">
        <f t="shared" ref="P141:R141" si="1208">+J141+M141</f>
        <v>0</v>
      </c>
      <c r="Q141" s="6">
        <f t="shared" si="1208"/>
        <v>0</v>
      </c>
      <c r="R141" s="6">
        <f t="shared" si="1208"/>
        <v>0</v>
      </c>
      <c r="S141" s="6">
        <v>0.0</v>
      </c>
      <c r="T141" s="6">
        <v>0.0</v>
      </c>
      <c r="U141" s="6">
        <v>0.0</v>
      </c>
      <c r="V141" s="6">
        <v>0.0</v>
      </c>
      <c r="W141" s="6">
        <v>0.0</v>
      </c>
      <c r="X141" s="6">
        <v>0.0</v>
      </c>
      <c r="Y141" s="6">
        <v>0.0</v>
      </c>
      <c r="Z141" s="6">
        <v>0.0</v>
      </c>
      <c r="AA141" s="6">
        <v>0.0</v>
      </c>
      <c r="AB141" s="6">
        <v>0.0</v>
      </c>
      <c r="AC141" s="6">
        <v>0.0</v>
      </c>
      <c r="AD141" s="6">
        <v>0.0</v>
      </c>
      <c r="AE141" s="6">
        <f t="shared" ref="AE141:AG141" si="1209">+Y141+AB141+S141+V141</f>
        <v>0</v>
      </c>
      <c r="AF141" s="6">
        <f t="shared" si="1209"/>
        <v>0</v>
      </c>
      <c r="AG141" s="6">
        <f t="shared" si="1209"/>
        <v>0</v>
      </c>
      <c r="AH141" s="6">
        <v>0.0</v>
      </c>
      <c r="AI141" s="6">
        <v>0.0</v>
      </c>
      <c r="AJ141" s="6">
        <v>0.0</v>
      </c>
      <c r="AK141" s="6">
        <v>0.0</v>
      </c>
      <c r="AL141" s="6">
        <v>0.0</v>
      </c>
      <c r="AM141" s="6">
        <v>0.0</v>
      </c>
      <c r="AN141" s="6">
        <v>0.0</v>
      </c>
      <c r="AO141" s="6">
        <v>0.0</v>
      </c>
      <c r="AP141" s="6">
        <v>0.0</v>
      </c>
      <c r="AQ141" s="6">
        <v>0.0</v>
      </c>
      <c r="AR141" s="6">
        <v>0.0</v>
      </c>
      <c r="AS141" s="6">
        <v>0.0</v>
      </c>
      <c r="AT141" s="6">
        <f t="shared" ref="AT141:AV141" si="1210">+AN141+AQ141+AH141+AK141</f>
        <v>0</v>
      </c>
      <c r="AU141" s="6">
        <f t="shared" si="1210"/>
        <v>0</v>
      </c>
      <c r="AV141" s="6">
        <f t="shared" si="1210"/>
        <v>0</v>
      </c>
      <c r="AW141" s="6">
        <v>0.0</v>
      </c>
      <c r="AX141" s="6">
        <v>0.0</v>
      </c>
      <c r="AY141" s="6">
        <v>0.0</v>
      </c>
      <c r="AZ141" s="6">
        <v>0.0</v>
      </c>
      <c r="BA141" s="6">
        <v>0.0</v>
      </c>
      <c r="BB141" s="6">
        <v>0.0</v>
      </c>
      <c r="BC141" s="6">
        <v>0.0</v>
      </c>
      <c r="BD141" s="6">
        <v>0.0</v>
      </c>
      <c r="BE141" s="6">
        <v>0.0</v>
      </c>
      <c r="BF141" s="6">
        <v>0.0</v>
      </c>
      <c r="BG141" s="6">
        <v>0.0</v>
      </c>
      <c r="BH141" s="6">
        <v>0.0</v>
      </c>
      <c r="BI141" s="6">
        <f t="shared" ref="BI141:BK141" si="1211">+BC141+BF141+AW141+AZ141</f>
        <v>0</v>
      </c>
      <c r="BJ141" s="6">
        <f t="shared" si="1211"/>
        <v>0</v>
      </c>
      <c r="BK141" s="6">
        <f t="shared" si="1211"/>
        <v>0</v>
      </c>
      <c r="BL141" s="6">
        <v>0.0</v>
      </c>
      <c r="BM141" s="6">
        <v>0.0</v>
      </c>
      <c r="BN141" s="6">
        <v>0.0</v>
      </c>
      <c r="BO141" s="5">
        <v>622945.71</v>
      </c>
      <c r="BP141" s="5">
        <v>622945.71</v>
      </c>
      <c r="BQ141" s="6">
        <v>0.0</v>
      </c>
      <c r="BR141" s="6">
        <v>0.0</v>
      </c>
      <c r="BS141" s="6">
        <v>0.0</v>
      </c>
      <c r="BT141" s="6">
        <v>0.0</v>
      </c>
      <c r="BU141" s="6" t="str">
        <f t="shared" ref="BU141:BW141" si="1212">+BO141+BR141+#REF!+BL141</f>
        <v>#REF!</v>
      </c>
      <c r="BV141" s="6" t="str">
        <f t="shared" si="1212"/>
        <v>#REF!</v>
      </c>
      <c r="BW141" s="6" t="str">
        <f t="shared" si="1212"/>
        <v>#REF!</v>
      </c>
      <c r="BX141" s="6">
        <v>0.0</v>
      </c>
      <c r="BY141" s="6">
        <v>0.0</v>
      </c>
      <c r="BZ141" s="6">
        <v>622945.71</v>
      </c>
      <c r="CA141" s="6">
        <v>0.0</v>
      </c>
      <c r="CB141" s="6">
        <v>0.0</v>
      </c>
      <c r="CC141" s="6">
        <v>0.0</v>
      </c>
      <c r="CD141" s="6">
        <v>0.0</v>
      </c>
      <c r="CE141" s="6">
        <v>0.0</v>
      </c>
      <c r="CF141" s="6">
        <v>0.0</v>
      </c>
      <c r="CG141" s="6" t="str">
        <f t="shared" ref="CG141:CI141" si="1213">+CA141+CD141+BX141+#REF!</f>
        <v>#REF!</v>
      </c>
      <c r="CH141" s="6" t="str">
        <f t="shared" si="1213"/>
        <v>#REF!</v>
      </c>
      <c r="CI141" s="6" t="str">
        <f t="shared" si="1213"/>
        <v>#REF!</v>
      </c>
      <c r="CJ141" s="6">
        <v>0.0</v>
      </c>
      <c r="CK141" s="6">
        <v>0.0</v>
      </c>
      <c r="CL141" s="6">
        <v>0.0</v>
      </c>
      <c r="CM141" s="6">
        <v>0.0</v>
      </c>
      <c r="CN141" s="6">
        <v>0.0</v>
      </c>
      <c r="CO141" s="6">
        <v>0.0</v>
      </c>
      <c r="CP141" s="6">
        <v>0.0</v>
      </c>
      <c r="CQ141" s="6">
        <v>0.0</v>
      </c>
      <c r="CR141" s="6">
        <v>0.0</v>
      </c>
      <c r="CS141" s="6">
        <v>0.0</v>
      </c>
      <c r="CT141" s="6">
        <v>0.0</v>
      </c>
      <c r="CU141" s="6">
        <v>0.0</v>
      </c>
      <c r="CV141" s="6">
        <f t="shared" ref="CV141:CX141" si="1214">+CP141+CS141+CJ141+CM141</f>
        <v>0</v>
      </c>
      <c r="CW141" s="6">
        <f t="shared" si="1214"/>
        <v>0</v>
      </c>
      <c r="CX141" s="6">
        <f t="shared" si="1214"/>
        <v>0</v>
      </c>
      <c r="CY141" s="6">
        <v>0.0</v>
      </c>
      <c r="CZ141" s="6">
        <v>0.0</v>
      </c>
      <c r="DA141" s="6">
        <v>0.0</v>
      </c>
      <c r="DB141" s="6">
        <v>0.0</v>
      </c>
      <c r="DC141" s="6">
        <v>0.0</v>
      </c>
      <c r="DD141" s="6">
        <v>0.0</v>
      </c>
      <c r="DE141" s="6">
        <v>0.0</v>
      </c>
      <c r="DF141" s="6">
        <v>0.0</v>
      </c>
      <c r="DG141" s="6">
        <v>0.0</v>
      </c>
      <c r="DH141" s="6">
        <v>0.0</v>
      </c>
      <c r="DI141" s="6">
        <v>0.0</v>
      </c>
      <c r="DJ141" s="6">
        <v>0.0</v>
      </c>
      <c r="DK141" s="6">
        <f t="shared" ref="DK141:DM141" si="1215">+DE141+DH141+CY141+DB141</f>
        <v>0</v>
      </c>
      <c r="DL141" s="6">
        <f t="shared" si="1215"/>
        <v>0</v>
      </c>
      <c r="DM141" s="6">
        <f t="shared" si="1215"/>
        <v>0</v>
      </c>
      <c r="DN141" s="6" t="str">
        <f t="shared" ref="DN141:DP141" si="1216">+P141+AE141+AT141+BI141+BU141+CG141+CV141</f>
        <v>#REF!</v>
      </c>
      <c r="DO141" s="6" t="str">
        <f t="shared" si="1216"/>
        <v>#REF!</v>
      </c>
      <c r="DP141" s="6" t="str">
        <f t="shared" si="1216"/>
        <v>#REF!</v>
      </c>
      <c r="DQ141" s="6" t="str">
        <f t="shared" si="19"/>
        <v>#REF!</v>
      </c>
    </row>
    <row r="142" ht="13.5" customHeight="1">
      <c r="A142" s="11">
        <v>45470.0</v>
      </c>
      <c r="B142" s="2" t="s">
        <v>544</v>
      </c>
      <c r="C142" s="2" t="s">
        <v>545</v>
      </c>
      <c r="D142" s="29" t="s">
        <v>546</v>
      </c>
      <c r="E142" s="2" t="s">
        <v>547</v>
      </c>
      <c r="F142" s="11" t="s">
        <v>548</v>
      </c>
      <c r="G142" s="11" t="s">
        <v>18</v>
      </c>
      <c r="H142" s="5">
        <v>57869.27</v>
      </c>
      <c r="I142" s="5">
        <v>57869.27</v>
      </c>
      <c r="J142" s="6">
        <v>0.0</v>
      </c>
      <c r="K142" s="6">
        <v>0.0</v>
      </c>
      <c r="L142" s="6">
        <v>0.0</v>
      </c>
      <c r="M142" s="6">
        <v>0.0</v>
      </c>
      <c r="N142" s="6">
        <v>0.0</v>
      </c>
      <c r="O142" s="6">
        <v>0.0</v>
      </c>
      <c r="P142" s="6">
        <f t="shared" ref="P142:R142" si="1217">+J142+M142</f>
        <v>0</v>
      </c>
      <c r="Q142" s="6">
        <f t="shared" si="1217"/>
        <v>0</v>
      </c>
      <c r="R142" s="6">
        <f t="shared" si="1217"/>
        <v>0</v>
      </c>
      <c r="S142" s="6">
        <v>0.0</v>
      </c>
      <c r="T142" s="6">
        <v>0.0</v>
      </c>
      <c r="U142" s="6">
        <v>0.0</v>
      </c>
      <c r="V142" s="6">
        <v>0.0</v>
      </c>
      <c r="W142" s="6">
        <v>0.0</v>
      </c>
      <c r="X142" s="6">
        <v>0.0</v>
      </c>
      <c r="Y142" s="6">
        <v>0.0</v>
      </c>
      <c r="Z142" s="6">
        <v>0.0</v>
      </c>
      <c r="AA142" s="6">
        <v>0.0</v>
      </c>
      <c r="AB142" s="6">
        <v>0.0</v>
      </c>
      <c r="AC142" s="6">
        <v>0.0</v>
      </c>
      <c r="AD142" s="6">
        <v>0.0</v>
      </c>
      <c r="AE142" s="6">
        <f t="shared" ref="AE142:AG142" si="1218">+Y142+AB142+S142+V142</f>
        <v>0</v>
      </c>
      <c r="AF142" s="6">
        <f t="shared" si="1218"/>
        <v>0</v>
      </c>
      <c r="AG142" s="6">
        <f t="shared" si="1218"/>
        <v>0</v>
      </c>
      <c r="AH142" s="6">
        <v>0.0</v>
      </c>
      <c r="AI142" s="6">
        <v>0.0</v>
      </c>
      <c r="AJ142" s="6">
        <v>0.0</v>
      </c>
      <c r="AK142" s="6">
        <v>0.0</v>
      </c>
      <c r="AL142" s="6">
        <v>0.0</v>
      </c>
      <c r="AM142" s="6">
        <v>0.0</v>
      </c>
      <c r="AN142" s="6">
        <v>0.0</v>
      </c>
      <c r="AO142" s="6">
        <v>0.0</v>
      </c>
      <c r="AP142" s="6">
        <v>0.0</v>
      </c>
      <c r="AQ142" s="6">
        <v>0.0</v>
      </c>
      <c r="AR142" s="6">
        <v>0.0</v>
      </c>
      <c r="AS142" s="6">
        <v>0.0</v>
      </c>
      <c r="AT142" s="6">
        <f t="shared" ref="AT142:AV142" si="1219">+AN142+AQ142+AH142+AK142</f>
        <v>0</v>
      </c>
      <c r="AU142" s="6">
        <f t="shared" si="1219"/>
        <v>0</v>
      </c>
      <c r="AV142" s="6">
        <f t="shared" si="1219"/>
        <v>0</v>
      </c>
      <c r="AW142" s="6">
        <v>0.0</v>
      </c>
      <c r="AX142" s="6">
        <v>0.0</v>
      </c>
      <c r="AY142" s="6">
        <v>0.0</v>
      </c>
      <c r="AZ142" s="6">
        <v>0.0</v>
      </c>
      <c r="BA142" s="6">
        <v>0.0</v>
      </c>
      <c r="BB142" s="6">
        <v>0.0</v>
      </c>
      <c r="BC142" s="6">
        <v>0.0</v>
      </c>
      <c r="BD142" s="6">
        <v>0.0</v>
      </c>
      <c r="BE142" s="6">
        <v>0.0</v>
      </c>
      <c r="BF142" s="6">
        <v>0.0</v>
      </c>
      <c r="BG142" s="6">
        <v>0.0</v>
      </c>
      <c r="BH142" s="6">
        <v>0.0</v>
      </c>
      <c r="BI142" s="6">
        <f t="shared" ref="BI142:BK142" si="1220">+BC142+BF142+AW142+AZ142</f>
        <v>0</v>
      </c>
      <c r="BJ142" s="6">
        <f t="shared" si="1220"/>
        <v>0</v>
      </c>
      <c r="BK142" s="6">
        <f t="shared" si="1220"/>
        <v>0</v>
      </c>
      <c r="BL142" s="6">
        <v>0.0</v>
      </c>
      <c r="BM142" s="6">
        <v>0.0</v>
      </c>
      <c r="BN142" s="6">
        <v>0.0</v>
      </c>
      <c r="BO142" s="5">
        <v>57869.27</v>
      </c>
      <c r="BP142" s="5">
        <v>57869.27</v>
      </c>
      <c r="BQ142" s="6">
        <v>0.0</v>
      </c>
      <c r="BR142" s="6">
        <v>0.0</v>
      </c>
      <c r="BS142" s="6">
        <v>0.0</v>
      </c>
      <c r="BT142" s="6">
        <v>0.0</v>
      </c>
      <c r="BU142" s="6" t="str">
        <f t="shared" ref="BU142:BW142" si="1221">+BO142+BR142+#REF!+BL142</f>
        <v>#REF!</v>
      </c>
      <c r="BV142" s="6" t="str">
        <f t="shared" si="1221"/>
        <v>#REF!</v>
      </c>
      <c r="BW142" s="6" t="str">
        <f t="shared" si="1221"/>
        <v>#REF!</v>
      </c>
      <c r="BX142" s="6">
        <v>0.0</v>
      </c>
      <c r="BY142" s="6">
        <v>0.0</v>
      </c>
      <c r="BZ142" s="6">
        <v>57869.27</v>
      </c>
      <c r="CA142" s="6">
        <v>0.0</v>
      </c>
      <c r="CB142" s="6">
        <v>0.0</v>
      </c>
      <c r="CC142" s="6">
        <v>0.0</v>
      </c>
      <c r="CD142" s="6">
        <v>0.0</v>
      </c>
      <c r="CE142" s="6">
        <v>0.0</v>
      </c>
      <c r="CF142" s="6">
        <v>0.0</v>
      </c>
      <c r="CG142" s="6" t="str">
        <f t="shared" ref="CG142:CI142" si="1222">+CA142+CD142+BX142+#REF!</f>
        <v>#REF!</v>
      </c>
      <c r="CH142" s="6" t="str">
        <f t="shared" si="1222"/>
        <v>#REF!</v>
      </c>
      <c r="CI142" s="6" t="str">
        <f t="shared" si="1222"/>
        <v>#REF!</v>
      </c>
      <c r="CJ142" s="6">
        <v>0.0</v>
      </c>
      <c r="CK142" s="6">
        <v>0.0</v>
      </c>
      <c r="CL142" s="6">
        <v>0.0</v>
      </c>
      <c r="CM142" s="6">
        <v>0.0</v>
      </c>
      <c r="CN142" s="6">
        <v>0.0</v>
      </c>
      <c r="CO142" s="6">
        <v>0.0</v>
      </c>
      <c r="CP142" s="6">
        <v>0.0</v>
      </c>
      <c r="CQ142" s="6">
        <v>0.0</v>
      </c>
      <c r="CR142" s="6">
        <v>0.0</v>
      </c>
      <c r="CS142" s="6">
        <v>0.0</v>
      </c>
      <c r="CT142" s="6">
        <v>0.0</v>
      </c>
      <c r="CU142" s="6">
        <v>0.0</v>
      </c>
      <c r="CV142" s="6">
        <f t="shared" ref="CV142:CX142" si="1223">+CP142+CS142+CJ142+CM142</f>
        <v>0</v>
      </c>
      <c r="CW142" s="6">
        <f t="shared" si="1223"/>
        <v>0</v>
      </c>
      <c r="CX142" s="6">
        <f t="shared" si="1223"/>
        <v>0</v>
      </c>
      <c r="CY142" s="6">
        <v>0.0</v>
      </c>
      <c r="CZ142" s="6">
        <v>0.0</v>
      </c>
      <c r="DA142" s="6">
        <v>0.0</v>
      </c>
      <c r="DB142" s="6">
        <v>0.0</v>
      </c>
      <c r="DC142" s="6">
        <v>0.0</v>
      </c>
      <c r="DD142" s="6">
        <v>0.0</v>
      </c>
      <c r="DE142" s="6">
        <v>0.0</v>
      </c>
      <c r="DF142" s="6">
        <v>0.0</v>
      </c>
      <c r="DG142" s="6">
        <v>0.0</v>
      </c>
      <c r="DH142" s="6">
        <v>0.0</v>
      </c>
      <c r="DI142" s="6">
        <v>0.0</v>
      </c>
      <c r="DJ142" s="6">
        <v>0.0</v>
      </c>
      <c r="DK142" s="6">
        <f t="shared" ref="DK142:DM142" si="1224">+DE142+DH142+CY142+DB142</f>
        <v>0</v>
      </c>
      <c r="DL142" s="6">
        <f t="shared" si="1224"/>
        <v>0</v>
      </c>
      <c r="DM142" s="6">
        <f t="shared" si="1224"/>
        <v>0</v>
      </c>
      <c r="DN142" s="6" t="str">
        <f t="shared" ref="DN142:DP142" si="1225">+P142+AE142+AT142+BI142+BU142+CG142+CV142</f>
        <v>#REF!</v>
      </c>
      <c r="DO142" s="6" t="str">
        <f t="shared" si="1225"/>
        <v>#REF!</v>
      </c>
      <c r="DP142" s="6" t="str">
        <f t="shared" si="1225"/>
        <v>#REF!</v>
      </c>
      <c r="DQ142" s="6" t="str">
        <f t="shared" si="19"/>
        <v>#REF!</v>
      </c>
    </row>
    <row r="143" ht="13.5" customHeight="1">
      <c r="A143" s="11">
        <v>45454.0</v>
      </c>
      <c r="B143" s="2" t="s">
        <v>549</v>
      </c>
      <c r="C143" s="2" t="s">
        <v>550</v>
      </c>
      <c r="D143" s="29" t="s">
        <v>551</v>
      </c>
      <c r="E143" s="2" t="s">
        <v>552</v>
      </c>
      <c r="F143" s="11" t="s">
        <v>553</v>
      </c>
      <c r="G143" s="11" t="s">
        <v>18</v>
      </c>
      <c r="H143" s="5">
        <v>1357305.89</v>
      </c>
      <c r="I143" s="5">
        <v>1357305.89</v>
      </c>
      <c r="J143" s="6">
        <v>0.0</v>
      </c>
      <c r="K143" s="6">
        <v>0.0</v>
      </c>
      <c r="L143" s="6">
        <v>0.0</v>
      </c>
      <c r="M143" s="6">
        <v>0.0</v>
      </c>
      <c r="N143" s="6">
        <v>0.0</v>
      </c>
      <c r="O143" s="6">
        <v>0.0</v>
      </c>
      <c r="P143" s="6">
        <f t="shared" ref="P143:R143" si="1226">+J143+M143</f>
        <v>0</v>
      </c>
      <c r="Q143" s="6">
        <f t="shared" si="1226"/>
        <v>0</v>
      </c>
      <c r="R143" s="6">
        <f t="shared" si="1226"/>
        <v>0</v>
      </c>
      <c r="S143" s="6">
        <v>0.0</v>
      </c>
      <c r="T143" s="6">
        <v>0.0</v>
      </c>
      <c r="U143" s="6">
        <v>0.0</v>
      </c>
      <c r="V143" s="6">
        <v>0.0</v>
      </c>
      <c r="W143" s="6">
        <v>0.0</v>
      </c>
      <c r="X143" s="6">
        <v>0.0</v>
      </c>
      <c r="Y143" s="6">
        <v>0.0</v>
      </c>
      <c r="Z143" s="6">
        <v>0.0</v>
      </c>
      <c r="AA143" s="6">
        <v>0.0</v>
      </c>
      <c r="AB143" s="6">
        <v>0.0</v>
      </c>
      <c r="AC143" s="6">
        <v>0.0</v>
      </c>
      <c r="AD143" s="6">
        <v>0.0</v>
      </c>
      <c r="AE143" s="6">
        <f t="shared" ref="AE143:AG143" si="1227">+Y143+AB143+S143+V143</f>
        <v>0</v>
      </c>
      <c r="AF143" s="6">
        <f t="shared" si="1227"/>
        <v>0</v>
      </c>
      <c r="AG143" s="6">
        <f t="shared" si="1227"/>
        <v>0</v>
      </c>
      <c r="AH143" s="6">
        <v>0.0</v>
      </c>
      <c r="AI143" s="6">
        <v>0.0</v>
      </c>
      <c r="AJ143" s="6">
        <v>0.0</v>
      </c>
      <c r="AK143" s="6">
        <v>0.0</v>
      </c>
      <c r="AL143" s="6">
        <v>0.0</v>
      </c>
      <c r="AM143" s="6">
        <v>0.0</v>
      </c>
      <c r="AN143" s="6">
        <v>0.0</v>
      </c>
      <c r="AO143" s="6">
        <v>0.0</v>
      </c>
      <c r="AP143" s="6">
        <v>0.0</v>
      </c>
      <c r="AQ143" s="6">
        <v>0.0</v>
      </c>
      <c r="AR143" s="6">
        <v>0.0</v>
      </c>
      <c r="AS143" s="6">
        <v>0.0</v>
      </c>
      <c r="AT143" s="6">
        <f t="shared" ref="AT143:AV143" si="1228">+AN143+AQ143+AH143+AK143</f>
        <v>0</v>
      </c>
      <c r="AU143" s="6">
        <f t="shared" si="1228"/>
        <v>0</v>
      </c>
      <c r="AV143" s="6">
        <f t="shared" si="1228"/>
        <v>0</v>
      </c>
      <c r="AW143" s="6">
        <v>0.0</v>
      </c>
      <c r="AX143" s="6">
        <v>0.0</v>
      </c>
      <c r="AY143" s="6">
        <v>0.0</v>
      </c>
      <c r="AZ143" s="6">
        <v>0.0</v>
      </c>
      <c r="BA143" s="6">
        <v>0.0</v>
      </c>
      <c r="BB143" s="6">
        <v>0.0</v>
      </c>
      <c r="BC143" s="6">
        <v>0.0</v>
      </c>
      <c r="BD143" s="6">
        <v>0.0</v>
      </c>
      <c r="BE143" s="6">
        <v>0.0</v>
      </c>
      <c r="BF143" s="6">
        <v>0.0</v>
      </c>
      <c r="BG143" s="6">
        <v>0.0</v>
      </c>
      <c r="BH143" s="6">
        <v>0.0</v>
      </c>
      <c r="BI143" s="6">
        <f t="shared" ref="BI143:BK143" si="1229">+BC143+BF143+AW143+AZ143</f>
        <v>0</v>
      </c>
      <c r="BJ143" s="6">
        <f t="shared" si="1229"/>
        <v>0</v>
      </c>
      <c r="BK143" s="6">
        <f t="shared" si="1229"/>
        <v>0</v>
      </c>
      <c r="BL143" s="6">
        <v>0.0</v>
      </c>
      <c r="BM143" s="6">
        <v>0.0</v>
      </c>
      <c r="BN143" s="6">
        <v>0.0</v>
      </c>
      <c r="BO143" s="5">
        <v>1357305.89</v>
      </c>
      <c r="BP143" s="5">
        <v>1357305.89</v>
      </c>
      <c r="BQ143" s="6">
        <v>0.0</v>
      </c>
      <c r="BR143" s="6">
        <v>0.0</v>
      </c>
      <c r="BS143" s="6">
        <v>0.0</v>
      </c>
      <c r="BT143" s="6">
        <v>0.0</v>
      </c>
      <c r="BU143" s="6" t="str">
        <f t="shared" ref="BU143:BW143" si="1230">+BO143+BR143+#REF!+BL143</f>
        <v>#REF!</v>
      </c>
      <c r="BV143" s="6" t="str">
        <f t="shared" si="1230"/>
        <v>#REF!</v>
      </c>
      <c r="BW143" s="6" t="str">
        <f t="shared" si="1230"/>
        <v>#REF!</v>
      </c>
      <c r="BX143" s="6">
        <v>0.0</v>
      </c>
      <c r="BY143" s="6">
        <v>0.0</v>
      </c>
      <c r="BZ143" s="6">
        <v>1357305.89</v>
      </c>
      <c r="CA143" s="6">
        <v>0.0</v>
      </c>
      <c r="CB143" s="6">
        <v>0.0</v>
      </c>
      <c r="CC143" s="6">
        <v>0.0</v>
      </c>
      <c r="CD143" s="6">
        <v>0.0</v>
      </c>
      <c r="CE143" s="6">
        <v>0.0</v>
      </c>
      <c r="CF143" s="6">
        <v>0.0</v>
      </c>
      <c r="CG143" s="6" t="str">
        <f t="shared" ref="CG143:CI143" si="1231">+CA143+CD143+BX143+#REF!</f>
        <v>#REF!</v>
      </c>
      <c r="CH143" s="6" t="str">
        <f t="shared" si="1231"/>
        <v>#REF!</v>
      </c>
      <c r="CI143" s="6" t="str">
        <f t="shared" si="1231"/>
        <v>#REF!</v>
      </c>
      <c r="CJ143" s="6">
        <v>0.0</v>
      </c>
      <c r="CK143" s="6">
        <v>0.0</v>
      </c>
      <c r="CL143" s="6">
        <v>0.0</v>
      </c>
      <c r="CM143" s="6">
        <v>0.0</v>
      </c>
      <c r="CN143" s="6">
        <v>0.0</v>
      </c>
      <c r="CO143" s="6">
        <v>0.0</v>
      </c>
      <c r="CP143" s="6">
        <v>0.0</v>
      </c>
      <c r="CQ143" s="6">
        <v>0.0</v>
      </c>
      <c r="CR143" s="6">
        <v>0.0</v>
      </c>
      <c r="CS143" s="6">
        <v>0.0</v>
      </c>
      <c r="CT143" s="6">
        <v>0.0</v>
      </c>
      <c r="CU143" s="6">
        <v>0.0</v>
      </c>
      <c r="CV143" s="6">
        <f t="shared" ref="CV143:CX143" si="1232">+CP143+CS143+CJ143+CM143</f>
        <v>0</v>
      </c>
      <c r="CW143" s="6">
        <f t="shared" si="1232"/>
        <v>0</v>
      </c>
      <c r="CX143" s="6">
        <f t="shared" si="1232"/>
        <v>0</v>
      </c>
      <c r="CY143" s="6">
        <v>0.0</v>
      </c>
      <c r="CZ143" s="6">
        <v>0.0</v>
      </c>
      <c r="DA143" s="6">
        <v>0.0</v>
      </c>
      <c r="DB143" s="6">
        <v>0.0</v>
      </c>
      <c r="DC143" s="6">
        <v>0.0</v>
      </c>
      <c r="DD143" s="6">
        <v>0.0</v>
      </c>
      <c r="DE143" s="6">
        <v>0.0</v>
      </c>
      <c r="DF143" s="6">
        <v>0.0</v>
      </c>
      <c r="DG143" s="6">
        <v>0.0</v>
      </c>
      <c r="DH143" s="6">
        <v>0.0</v>
      </c>
      <c r="DI143" s="6">
        <v>0.0</v>
      </c>
      <c r="DJ143" s="6">
        <v>0.0</v>
      </c>
      <c r="DK143" s="6">
        <f t="shared" ref="DK143:DM143" si="1233">+DE143+DH143+CY143+DB143</f>
        <v>0</v>
      </c>
      <c r="DL143" s="6">
        <f t="shared" si="1233"/>
        <v>0</v>
      </c>
      <c r="DM143" s="6">
        <f t="shared" si="1233"/>
        <v>0</v>
      </c>
      <c r="DN143" s="6" t="str">
        <f t="shared" ref="DN143:DP143" si="1234">+P143+AE143+AT143+BI143+BU143+CG143+CV143</f>
        <v>#REF!</v>
      </c>
      <c r="DO143" s="6" t="str">
        <f t="shared" si="1234"/>
        <v>#REF!</v>
      </c>
      <c r="DP143" s="6" t="str">
        <f t="shared" si="1234"/>
        <v>#REF!</v>
      </c>
      <c r="DQ143" s="6" t="str">
        <f t="shared" si="19"/>
        <v>#REF!</v>
      </c>
    </row>
    <row r="144" ht="13.5" customHeight="1">
      <c r="A144" s="11">
        <v>45454.0</v>
      </c>
      <c r="B144" s="2" t="s">
        <v>549</v>
      </c>
      <c r="C144" s="2" t="s">
        <v>550</v>
      </c>
      <c r="D144" s="29" t="s">
        <v>551</v>
      </c>
      <c r="E144" s="2" t="s">
        <v>552</v>
      </c>
      <c r="F144" s="11" t="s">
        <v>553</v>
      </c>
      <c r="G144" s="11" t="s">
        <v>18</v>
      </c>
      <c r="H144" s="5">
        <v>263495.86</v>
      </c>
      <c r="I144" s="5">
        <v>263495.86</v>
      </c>
      <c r="J144" s="6">
        <v>0.0</v>
      </c>
      <c r="K144" s="6">
        <v>0.0</v>
      </c>
      <c r="L144" s="6">
        <v>0.0</v>
      </c>
      <c r="M144" s="6">
        <v>0.0</v>
      </c>
      <c r="N144" s="6">
        <v>0.0</v>
      </c>
      <c r="O144" s="6">
        <v>0.0</v>
      </c>
      <c r="P144" s="6">
        <f t="shared" ref="P144:R144" si="1235">+J144+M144</f>
        <v>0</v>
      </c>
      <c r="Q144" s="6">
        <f t="shared" si="1235"/>
        <v>0</v>
      </c>
      <c r="R144" s="6">
        <f t="shared" si="1235"/>
        <v>0</v>
      </c>
      <c r="S144" s="6">
        <v>0.0</v>
      </c>
      <c r="T144" s="6">
        <v>0.0</v>
      </c>
      <c r="U144" s="6">
        <v>0.0</v>
      </c>
      <c r="V144" s="6">
        <v>0.0</v>
      </c>
      <c r="W144" s="6">
        <v>0.0</v>
      </c>
      <c r="X144" s="6">
        <v>0.0</v>
      </c>
      <c r="Y144" s="6">
        <v>0.0</v>
      </c>
      <c r="Z144" s="6">
        <v>0.0</v>
      </c>
      <c r="AA144" s="6">
        <v>0.0</v>
      </c>
      <c r="AB144" s="6">
        <v>0.0</v>
      </c>
      <c r="AC144" s="6">
        <v>0.0</v>
      </c>
      <c r="AD144" s="6">
        <v>0.0</v>
      </c>
      <c r="AE144" s="6">
        <f t="shared" ref="AE144:AG144" si="1236">+Y144+AB144+S144+V144</f>
        <v>0</v>
      </c>
      <c r="AF144" s="6">
        <f t="shared" si="1236"/>
        <v>0</v>
      </c>
      <c r="AG144" s="6">
        <f t="shared" si="1236"/>
        <v>0</v>
      </c>
      <c r="AH144" s="6">
        <v>0.0</v>
      </c>
      <c r="AI144" s="6">
        <v>0.0</v>
      </c>
      <c r="AJ144" s="6">
        <v>0.0</v>
      </c>
      <c r="AK144" s="6">
        <v>0.0</v>
      </c>
      <c r="AL144" s="6">
        <v>0.0</v>
      </c>
      <c r="AM144" s="6">
        <v>0.0</v>
      </c>
      <c r="AN144" s="6">
        <v>0.0</v>
      </c>
      <c r="AO144" s="6">
        <v>0.0</v>
      </c>
      <c r="AP144" s="6">
        <v>0.0</v>
      </c>
      <c r="AQ144" s="6">
        <v>0.0</v>
      </c>
      <c r="AR144" s="6">
        <v>0.0</v>
      </c>
      <c r="AS144" s="6">
        <v>0.0</v>
      </c>
      <c r="AT144" s="6">
        <f t="shared" ref="AT144:AV144" si="1237">+AN144+AQ144+AH144+AK144</f>
        <v>0</v>
      </c>
      <c r="AU144" s="6">
        <f t="shared" si="1237"/>
        <v>0</v>
      </c>
      <c r="AV144" s="6">
        <f t="shared" si="1237"/>
        <v>0</v>
      </c>
      <c r="AW144" s="6">
        <v>0.0</v>
      </c>
      <c r="AX144" s="6">
        <v>0.0</v>
      </c>
      <c r="AY144" s="6">
        <v>0.0</v>
      </c>
      <c r="AZ144" s="6">
        <v>0.0</v>
      </c>
      <c r="BA144" s="6">
        <v>0.0</v>
      </c>
      <c r="BB144" s="6">
        <v>0.0</v>
      </c>
      <c r="BC144" s="6">
        <v>0.0</v>
      </c>
      <c r="BD144" s="6">
        <v>0.0</v>
      </c>
      <c r="BE144" s="6">
        <v>0.0</v>
      </c>
      <c r="BF144" s="6">
        <v>0.0</v>
      </c>
      <c r="BG144" s="6">
        <v>0.0</v>
      </c>
      <c r="BH144" s="6">
        <v>0.0</v>
      </c>
      <c r="BI144" s="6">
        <f t="shared" ref="BI144:BK144" si="1238">+BC144+BF144+AW144+AZ144</f>
        <v>0</v>
      </c>
      <c r="BJ144" s="6">
        <f t="shared" si="1238"/>
        <v>0</v>
      </c>
      <c r="BK144" s="6">
        <f t="shared" si="1238"/>
        <v>0</v>
      </c>
      <c r="BL144" s="6">
        <v>0.0</v>
      </c>
      <c r="BM144" s="6">
        <v>0.0</v>
      </c>
      <c r="BN144" s="6">
        <v>0.0</v>
      </c>
      <c r="BO144" s="5">
        <v>263495.86</v>
      </c>
      <c r="BP144" s="5">
        <v>263495.86</v>
      </c>
      <c r="BQ144" s="6">
        <v>0.0</v>
      </c>
      <c r="BR144" s="6">
        <v>0.0</v>
      </c>
      <c r="BS144" s="6">
        <v>0.0</v>
      </c>
      <c r="BT144" s="6">
        <v>0.0</v>
      </c>
      <c r="BU144" s="6" t="str">
        <f t="shared" ref="BU144:BW144" si="1239">+BO144+BR144+#REF!+BL144</f>
        <v>#REF!</v>
      </c>
      <c r="BV144" s="6" t="str">
        <f t="shared" si="1239"/>
        <v>#REF!</v>
      </c>
      <c r="BW144" s="6" t="str">
        <f t="shared" si="1239"/>
        <v>#REF!</v>
      </c>
      <c r="BX144" s="6">
        <v>0.0</v>
      </c>
      <c r="BY144" s="6">
        <v>0.0</v>
      </c>
      <c r="BZ144" s="6">
        <v>263495.86</v>
      </c>
      <c r="CA144" s="6">
        <v>0.0</v>
      </c>
      <c r="CB144" s="6">
        <v>0.0</v>
      </c>
      <c r="CC144" s="6">
        <v>0.0</v>
      </c>
      <c r="CD144" s="6">
        <v>0.0</v>
      </c>
      <c r="CE144" s="6">
        <v>0.0</v>
      </c>
      <c r="CF144" s="6">
        <v>0.0</v>
      </c>
      <c r="CG144" s="6" t="str">
        <f t="shared" ref="CG144:CI144" si="1240">+CA144+CD144+BX144+#REF!</f>
        <v>#REF!</v>
      </c>
      <c r="CH144" s="6" t="str">
        <f t="shared" si="1240"/>
        <v>#REF!</v>
      </c>
      <c r="CI144" s="6" t="str">
        <f t="shared" si="1240"/>
        <v>#REF!</v>
      </c>
      <c r="CJ144" s="6">
        <v>0.0</v>
      </c>
      <c r="CK144" s="6">
        <v>0.0</v>
      </c>
      <c r="CL144" s="6">
        <v>0.0</v>
      </c>
      <c r="CM144" s="6">
        <v>0.0</v>
      </c>
      <c r="CN144" s="6">
        <v>0.0</v>
      </c>
      <c r="CO144" s="6">
        <v>0.0</v>
      </c>
      <c r="CP144" s="6">
        <v>0.0</v>
      </c>
      <c r="CQ144" s="6">
        <v>0.0</v>
      </c>
      <c r="CR144" s="6">
        <v>0.0</v>
      </c>
      <c r="CS144" s="6">
        <v>0.0</v>
      </c>
      <c r="CT144" s="6">
        <v>0.0</v>
      </c>
      <c r="CU144" s="6">
        <v>0.0</v>
      </c>
      <c r="CV144" s="6">
        <f t="shared" ref="CV144:CX144" si="1241">+CP144+CS144+CJ144+CM144</f>
        <v>0</v>
      </c>
      <c r="CW144" s="6">
        <f t="shared" si="1241"/>
        <v>0</v>
      </c>
      <c r="CX144" s="6">
        <f t="shared" si="1241"/>
        <v>0</v>
      </c>
      <c r="CY144" s="6">
        <v>0.0</v>
      </c>
      <c r="CZ144" s="6">
        <v>0.0</v>
      </c>
      <c r="DA144" s="6">
        <v>0.0</v>
      </c>
      <c r="DB144" s="6">
        <v>0.0</v>
      </c>
      <c r="DC144" s="6">
        <v>0.0</v>
      </c>
      <c r="DD144" s="6">
        <v>0.0</v>
      </c>
      <c r="DE144" s="6">
        <v>0.0</v>
      </c>
      <c r="DF144" s="6">
        <v>0.0</v>
      </c>
      <c r="DG144" s="6">
        <v>0.0</v>
      </c>
      <c r="DH144" s="6">
        <v>0.0</v>
      </c>
      <c r="DI144" s="6">
        <v>0.0</v>
      </c>
      <c r="DJ144" s="6">
        <v>0.0</v>
      </c>
      <c r="DK144" s="6">
        <f t="shared" ref="DK144:DM144" si="1242">+DE144+DH144+CY144+DB144</f>
        <v>0</v>
      </c>
      <c r="DL144" s="6">
        <f t="shared" si="1242"/>
        <v>0</v>
      </c>
      <c r="DM144" s="6">
        <f t="shared" si="1242"/>
        <v>0</v>
      </c>
      <c r="DN144" s="6" t="str">
        <f t="shared" ref="DN144:DP144" si="1243">+P144+AE144+AT144+BI144+BU144+CG144+CV144</f>
        <v>#REF!</v>
      </c>
      <c r="DO144" s="6" t="str">
        <f t="shared" si="1243"/>
        <v>#REF!</v>
      </c>
      <c r="DP144" s="6" t="str">
        <f t="shared" si="1243"/>
        <v>#REF!</v>
      </c>
      <c r="DQ144" s="6" t="str">
        <f t="shared" si="19"/>
        <v>#REF!</v>
      </c>
    </row>
    <row r="145" ht="13.5" customHeight="1">
      <c r="A145" s="11">
        <v>45509.0</v>
      </c>
      <c r="B145" s="2" t="s">
        <v>554</v>
      </c>
      <c r="C145" s="2" t="s">
        <v>555</v>
      </c>
      <c r="D145" s="29" t="s">
        <v>556</v>
      </c>
      <c r="E145" s="2" t="s">
        <v>557</v>
      </c>
      <c r="F145" s="11" t="s">
        <v>558</v>
      </c>
      <c r="G145" s="11" t="s">
        <v>19</v>
      </c>
      <c r="H145" s="5">
        <v>500000.0</v>
      </c>
      <c r="I145" s="5">
        <v>500000.0</v>
      </c>
      <c r="J145" s="6">
        <v>0.0</v>
      </c>
      <c r="K145" s="6">
        <v>0.0</v>
      </c>
      <c r="L145" s="6">
        <v>0.0</v>
      </c>
      <c r="M145" s="6">
        <v>0.0</v>
      </c>
      <c r="N145" s="6">
        <v>0.0</v>
      </c>
      <c r="O145" s="6">
        <v>0.0</v>
      </c>
      <c r="P145" s="6">
        <f t="shared" ref="P145:R145" si="1244">+J145+M145</f>
        <v>0</v>
      </c>
      <c r="Q145" s="6">
        <f t="shared" si="1244"/>
        <v>0</v>
      </c>
      <c r="R145" s="6">
        <f t="shared" si="1244"/>
        <v>0</v>
      </c>
      <c r="S145" s="6">
        <v>0.0</v>
      </c>
      <c r="T145" s="6">
        <v>0.0</v>
      </c>
      <c r="U145" s="6">
        <v>0.0</v>
      </c>
      <c r="V145" s="6">
        <v>0.0</v>
      </c>
      <c r="W145" s="6">
        <v>0.0</v>
      </c>
      <c r="X145" s="6">
        <v>0.0</v>
      </c>
      <c r="Y145" s="6">
        <v>0.0</v>
      </c>
      <c r="Z145" s="6">
        <v>0.0</v>
      </c>
      <c r="AA145" s="6">
        <v>0.0</v>
      </c>
      <c r="AB145" s="6">
        <v>0.0</v>
      </c>
      <c r="AC145" s="6">
        <v>0.0</v>
      </c>
      <c r="AD145" s="6">
        <v>0.0</v>
      </c>
      <c r="AE145" s="6">
        <f t="shared" ref="AE145:AG145" si="1245">+Y145+AB145+S145+V145</f>
        <v>0</v>
      </c>
      <c r="AF145" s="6">
        <f t="shared" si="1245"/>
        <v>0</v>
      </c>
      <c r="AG145" s="6">
        <f t="shared" si="1245"/>
        <v>0</v>
      </c>
      <c r="AH145" s="6">
        <v>0.0</v>
      </c>
      <c r="AI145" s="6">
        <v>0.0</v>
      </c>
      <c r="AJ145" s="6">
        <v>0.0</v>
      </c>
      <c r="AK145" s="6">
        <v>0.0</v>
      </c>
      <c r="AL145" s="6">
        <v>0.0</v>
      </c>
      <c r="AM145" s="6">
        <v>0.0</v>
      </c>
      <c r="AN145" s="6">
        <v>0.0</v>
      </c>
      <c r="AO145" s="6">
        <v>0.0</v>
      </c>
      <c r="AP145" s="6">
        <v>0.0</v>
      </c>
      <c r="AQ145" s="6">
        <v>0.0</v>
      </c>
      <c r="AR145" s="6">
        <v>0.0</v>
      </c>
      <c r="AS145" s="6">
        <v>0.0</v>
      </c>
      <c r="AT145" s="6">
        <f t="shared" ref="AT145:AV145" si="1246">+AN145+AQ145+AH145+AK145</f>
        <v>0</v>
      </c>
      <c r="AU145" s="6">
        <f t="shared" si="1246"/>
        <v>0</v>
      </c>
      <c r="AV145" s="6">
        <f t="shared" si="1246"/>
        <v>0</v>
      </c>
      <c r="AW145" s="6">
        <v>0.0</v>
      </c>
      <c r="AX145" s="6">
        <v>0.0</v>
      </c>
      <c r="AY145" s="6">
        <v>0.0</v>
      </c>
      <c r="AZ145" s="6">
        <v>0.0</v>
      </c>
      <c r="BA145" s="6">
        <v>0.0</v>
      </c>
      <c r="BB145" s="6">
        <v>0.0</v>
      </c>
      <c r="BC145" s="6">
        <v>0.0</v>
      </c>
      <c r="BD145" s="6">
        <v>0.0</v>
      </c>
      <c r="BE145" s="6">
        <v>0.0</v>
      </c>
      <c r="BF145" s="6">
        <v>0.0</v>
      </c>
      <c r="BG145" s="6">
        <v>0.0</v>
      </c>
      <c r="BH145" s="6">
        <v>0.0</v>
      </c>
      <c r="BI145" s="6">
        <f t="shared" ref="BI145:BK145" si="1247">+BC145+BF145+AW145+AZ145</f>
        <v>0</v>
      </c>
      <c r="BJ145" s="6">
        <f t="shared" si="1247"/>
        <v>0</v>
      </c>
      <c r="BK145" s="6">
        <f t="shared" si="1247"/>
        <v>0</v>
      </c>
      <c r="BL145" s="6">
        <v>0.0</v>
      </c>
      <c r="BM145" s="6">
        <v>0.0</v>
      </c>
      <c r="BN145" s="6">
        <v>0.0</v>
      </c>
      <c r="BO145" s="6">
        <v>0.0</v>
      </c>
      <c r="BP145" s="6">
        <v>0.0</v>
      </c>
      <c r="BQ145" s="6">
        <v>0.0</v>
      </c>
      <c r="BR145" s="5">
        <v>500000.0</v>
      </c>
      <c r="BS145" s="5">
        <v>500000.0</v>
      </c>
      <c r="BT145" s="6">
        <v>0.0</v>
      </c>
      <c r="BU145" s="6" t="str">
        <f t="shared" ref="BU145:BW145" si="1248">+BO145+BR145+#REF!+BL145</f>
        <v>#REF!</v>
      </c>
      <c r="BV145" s="6" t="str">
        <f t="shared" si="1248"/>
        <v>#REF!</v>
      </c>
      <c r="BW145" s="6" t="str">
        <f t="shared" si="1248"/>
        <v>#REF!</v>
      </c>
      <c r="BX145" s="6">
        <v>0.0</v>
      </c>
      <c r="BY145" s="6">
        <v>0.0</v>
      </c>
      <c r="BZ145" s="6">
        <v>500000.0</v>
      </c>
      <c r="CA145" s="6">
        <v>0.0</v>
      </c>
      <c r="CB145" s="6">
        <v>0.0</v>
      </c>
      <c r="CC145" s="6">
        <v>0.0</v>
      </c>
      <c r="CD145" s="6">
        <v>0.0</v>
      </c>
      <c r="CE145" s="6">
        <v>0.0</v>
      </c>
      <c r="CF145" s="6">
        <v>0.0</v>
      </c>
      <c r="CG145" s="6" t="str">
        <f t="shared" ref="CG145:CI145" si="1249">+CA145+CD145+BX145+#REF!</f>
        <v>#REF!</v>
      </c>
      <c r="CH145" s="6" t="str">
        <f t="shared" si="1249"/>
        <v>#REF!</v>
      </c>
      <c r="CI145" s="6" t="str">
        <f t="shared" si="1249"/>
        <v>#REF!</v>
      </c>
      <c r="CJ145" s="6">
        <v>0.0</v>
      </c>
      <c r="CK145" s="6">
        <v>0.0</v>
      </c>
      <c r="CL145" s="6">
        <v>0.0</v>
      </c>
      <c r="CM145" s="6">
        <v>0.0</v>
      </c>
      <c r="CN145" s="6">
        <v>0.0</v>
      </c>
      <c r="CO145" s="6">
        <v>0.0</v>
      </c>
      <c r="CP145" s="6">
        <v>0.0</v>
      </c>
      <c r="CQ145" s="6">
        <v>0.0</v>
      </c>
      <c r="CR145" s="6">
        <v>0.0</v>
      </c>
      <c r="CS145" s="6">
        <v>0.0</v>
      </c>
      <c r="CT145" s="6">
        <v>0.0</v>
      </c>
      <c r="CU145" s="6">
        <v>0.0</v>
      </c>
      <c r="CV145" s="6">
        <f t="shared" ref="CV145:CX145" si="1250">+CP145+CS145+CJ145+CM145</f>
        <v>0</v>
      </c>
      <c r="CW145" s="6">
        <f t="shared" si="1250"/>
        <v>0</v>
      </c>
      <c r="CX145" s="6">
        <f t="shared" si="1250"/>
        <v>0</v>
      </c>
      <c r="CY145" s="6">
        <v>0.0</v>
      </c>
      <c r="CZ145" s="6">
        <v>0.0</v>
      </c>
      <c r="DA145" s="6">
        <v>0.0</v>
      </c>
      <c r="DB145" s="6">
        <v>0.0</v>
      </c>
      <c r="DC145" s="6">
        <v>0.0</v>
      </c>
      <c r="DD145" s="6">
        <v>0.0</v>
      </c>
      <c r="DE145" s="6">
        <v>0.0</v>
      </c>
      <c r="DF145" s="6">
        <v>0.0</v>
      </c>
      <c r="DG145" s="6">
        <v>0.0</v>
      </c>
      <c r="DH145" s="6">
        <v>0.0</v>
      </c>
      <c r="DI145" s="6">
        <v>0.0</v>
      </c>
      <c r="DJ145" s="6">
        <v>0.0</v>
      </c>
      <c r="DK145" s="6">
        <f t="shared" ref="DK145:DM145" si="1251">+DE145+DH145+CY145+DB145</f>
        <v>0</v>
      </c>
      <c r="DL145" s="6">
        <f t="shared" si="1251"/>
        <v>0</v>
      </c>
      <c r="DM145" s="6">
        <f t="shared" si="1251"/>
        <v>0</v>
      </c>
      <c r="DN145" s="6" t="str">
        <f t="shared" ref="DN145:DP145" si="1252">+P145+AE145+AT145+BI145+BU145+CG145+CV145</f>
        <v>#REF!</v>
      </c>
      <c r="DO145" s="6" t="str">
        <f t="shared" si="1252"/>
        <v>#REF!</v>
      </c>
      <c r="DP145" s="6" t="str">
        <f t="shared" si="1252"/>
        <v>#REF!</v>
      </c>
      <c r="DQ145" s="6" t="str">
        <f t="shared" si="19"/>
        <v>#REF!</v>
      </c>
    </row>
    <row r="146" ht="13.5" customHeight="1">
      <c r="A146" s="11">
        <v>45541.0</v>
      </c>
      <c r="B146" s="2" t="s">
        <v>559</v>
      </c>
      <c r="C146" s="2" t="s">
        <v>560</v>
      </c>
      <c r="D146" s="29" t="s">
        <v>561</v>
      </c>
      <c r="E146" s="2" t="s">
        <v>562</v>
      </c>
      <c r="F146" s="11" t="s">
        <v>563</v>
      </c>
      <c r="G146" s="11" t="s">
        <v>19</v>
      </c>
      <c r="H146" s="5">
        <v>250000.0</v>
      </c>
      <c r="I146" s="5">
        <v>250000.0</v>
      </c>
      <c r="J146" s="6">
        <v>0.0</v>
      </c>
      <c r="K146" s="6">
        <v>0.0</v>
      </c>
      <c r="L146" s="6">
        <v>0.0</v>
      </c>
      <c r="M146" s="6">
        <v>0.0</v>
      </c>
      <c r="N146" s="6">
        <v>0.0</v>
      </c>
      <c r="O146" s="6">
        <v>0.0</v>
      </c>
      <c r="P146" s="6">
        <f t="shared" ref="P146:R146" si="1253">+J146+M146</f>
        <v>0</v>
      </c>
      <c r="Q146" s="6">
        <f t="shared" si="1253"/>
        <v>0</v>
      </c>
      <c r="R146" s="6">
        <f t="shared" si="1253"/>
        <v>0</v>
      </c>
      <c r="S146" s="6">
        <v>0.0</v>
      </c>
      <c r="T146" s="6">
        <v>0.0</v>
      </c>
      <c r="U146" s="6">
        <v>0.0</v>
      </c>
      <c r="V146" s="6">
        <v>0.0</v>
      </c>
      <c r="W146" s="6">
        <v>0.0</v>
      </c>
      <c r="X146" s="6">
        <v>0.0</v>
      </c>
      <c r="Y146" s="6">
        <v>0.0</v>
      </c>
      <c r="Z146" s="6">
        <v>0.0</v>
      </c>
      <c r="AA146" s="6">
        <v>0.0</v>
      </c>
      <c r="AB146" s="6">
        <v>0.0</v>
      </c>
      <c r="AC146" s="6">
        <v>0.0</v>
      </c>
      <c r="AD146" s="6">
        <v>0.0</v>
      </c>
      <c r="AE146" s="6">
        <f t="shared" ref="AE146:AG146" si="1254">+Y146+AB146+S146+V146</f>
        <v>0</v>
      </c>
      <c r="AF146" s="6">
        <f t="shared" si="1254"/>
        <v>0</v>
      </c>
      <c r="AG146" s="6">
        <f t="shared" si="1254"/>
        <v>0</v>
      </c>
      <c r="AH146" s="6">
        <v>0.0</v>
      </c>
      <c r="AI146" s="6">
        <v>0.0</v>
      </c>
      <c r="AJ146" s="6">
        <v>0.0</v>
      </c>
      <c r="AK146" s="6">
        <v>0.0</v>
      </c>
      <c r="AL146" s="6">
        <v>0.0</v>
      </c>
      <c r="AM146" s="6">
        <v>0.0</v>
      </c>
      <c r="AN146" s="6">
        <v>0.0</v>
      </c>
      <c r="AO146" s="6">
        <v>0.0</v>
      </c>
      <c r="AP146" s="6">
        <v>0.0</v>
      </c>
      <c r="AQ146" s="6">
        <v>0.0</v>
      </c>
      <c r="AR146" s="6">
        <v>0.0</v>
      </c>
      <c r="AS146" s="6">
        <v>0.0</v>
      </c>
      <c r="AT146" s="6">
        <f t="shared" ref="AT146:AV146" si="1255">+AN146+AQ146+AH146+AK146</f>
        <v>0</v>
      </c>
      <c r="AU146" s="6">
        <f t="shared" si="1255"/>
        <v>0</v>
      </c>
      <c r="AV146" s="6">
        <f t="shared" si="1255"/>
        <v>0</v>
      </c>
      <c r="AW146" s="6">
        <v>0.0</v>
      </c>
      <c r="AX146" s="6">
        <v>0.0</v>
      </c>
      <c r="AY146" s="6">
        <v>0.0</v>
      </c>
      <c r="AZ146" s="6">
        <v>0.0</v>
      </c>
      <c r="BA146" s="6">
        <v>0.0</v>
      </c>
      <c r="BB146" s="6">
        <v>0.0</v>
      </c>
      <c r="BC146" s="6">
        <v>0.0</v>
      </c>
      <c r="BD146" s="6">
        <v>0.0</v>
      </c>
      <c r="BE146" s="6">
        <v>0.0</v>
      </c>
      <c r="BF146" s="6">
        <v>0.0</v>
      </c>
      <c r="BG146" s="6">
        <v>0.0</v>
      </c>
      <c r="BH146" s="6">
        <v>0.0</v>
      </c>
      <c r="BI146" s="6">
        <f t="shared" ref="BI146:BK146" si="1256">+BC146+BF146+AW146+AZ146</f>
        <v>0</v>
      </c>
      <c r="BJ146" s="6">
        <f t="shared" si="1256"/>
        <v>0</v>
      </c>
      <c r="BK146" s="6">
        <f t="shared" si="1256"/>
        <v>0</v>
      </c>
      <c r="BL146" s="6">
        <v>0.0</v>
      </c>
      <c r="BM146" s="6">
        <v>0.0</v>
      </c>
      <c r="BN146" s="6">
        <v>0.0</v>
      </c>
      <c r="BO146" s="6">
        <v>0.0</v>
      </c>
      <c r="BP146" s="6">
        <v>0.0</v>
      </c>
      <c r="BQ146" s="6">
        <v>0.0</v>
      </c>
      <c r="BR146" s="5">
        <v>250000.0</v>
      </c>
      <c r="BS146" s="5">
        <v>250000.0</v>
      </c>
      <c r="BT146" s="6">
        <v>0.0</v>
      </c>
      <c r="BU146" s="6" t="str">
        <f t="shared" ref="BU146:BW146" si="1257">+BO146+BR146+#REF!+BL146</f>
        <v>#REF!</v>
      </c>
      <c r="BV146" s="6" t="str">
        <f t="shared" si="1257"/>
        <v>#REF!</v>
      </c>
      <c r="BW146" s="6" t="str">
        <f t="shared" si="1257"/>
        <v>#REF!</v>
      </c>
      <c r="BX146" s="6">
        <v>0.0</v>
      </c>
      <c r="BY146" s="6">
        <v>0.0</v>
      </c>
      <c r="BZ146" s="6">
        <v>250000.0</v>
      </c>
      <c r="CA146" s="6">
        <v>0.0</v>
      </c>
      <c r="CB146" s="6">
        <v>0.0</v>
      </c>
      <c r="CC146" s="6">
        <v>0.0</v>
      </c>
      <c r="CD146" s="6">
        <v>0.0</v>
      </c>
      <c r="CE146" s="6">
        <v>0.0</v>
      </c>
      <c r="CF146" s="6">
        <v>0.0</v>
      </c>
      <c r="CG146" s="6" t="str">
        <f t="shared" ref="CG146:CI146" si="1258">+CA146+CD146+BX146+#REF!</f>
        <v>#REF!</v>
      </c>
      <c r="CH146" s="6" t="str">
        <f t="shared" si="1258"/>
        <v>#REF!</v>
      </c>
      <c r="CI146" s="6" t="str">
        <f t="shared" si="1258"/>
        <v>#REF!</v>
      </c>
      <c r="CJ146" s="6">
        <v>0.0</v>
      </c>
      <c r="CK146" s="6">
        <v>0.0</v>
      </c>
      <c r="CL146" s="6">
        <v>0.0</v>
      </c>
      <c r="CM146" s="6">
        <v>0.0</v>
      </c>
      <c r="CN146" s="6">
        <v>0.0</v>
      </c>
      <c r="CO146" s="6">
        <v>0.0</v>
      </c>
      <c r="CP146" s="6">
        <v>0.0</v>
      </c>
      <c r="CQ146" s="6">
        <v>0.0</v>
      </c>
      <c r="CR146" s="6">
        <v>0.0</v>
      </c>
      <c r="CS146" s="6">
        <v>0.0</v>
      </c>
      <c r="CT146" s="6">
        <v>0.0</v>
      </c>
      <c r="CU146" s="6">
        <v>0.0</v>
      </c>
      <c r="CV146" s="6">
        <f t="shared" ref="CV146:CX146" si="1259">+CP146+CS146+CJ146+CM146</f>
        <v>0</v>
      </c>
      <c r="CW146" s="6">
        <f t="shared" si="1259"/>
        <v>0</v>
      </c>
      <c r="CX146" s="6">
        <f t="shared" si="1259"/>
        <v>0</v>
      </c>
      <c r="CY146" s="6">
        <v>0.0</v>
      </c>
      <c r="CZ146" s="6">
        <v>0.0</v>
      </c>
      <c r="DA146" s="6">
        <v>0.0</v>
      </c>
      <c r="DB146" s="6">
        <v>0.0</v>
      </c>
      <c r="DC146" s="6">
        <v>0.0</v>
      </c>
      <c r="DD146" s="6">
        <v>0.0</v>
      </c>
      <c r="DE146" s="6">
        <v>0.0</v>
      </c>
      <c r="DF146" s="6">
        <v>0.0</v>
      </c>
      <c r="DG146" s="6">
        <v>0.0</v>
      </c>
      <c r="DH146" s="6">
        <v>0.0</v>
      </c>
      <c r="DI146" s="6">
        <v>0.0</v>
      </c>
      <c r="DJ146" s="6">
        <v>0.0</v>
      </c>
      <c r="DK146" s="6">
        <f t="shared" ref="DK146:DM146" si="1260">+DE146+DH146+CY146+DB146</f>
        <v>0</v>
      </c>
      <c r="DL146" s="6">
        <f t="shared" si="1260"/>
        <v>0</v>
      </c>
      <c r="DM146" s="6">
        <f t="shared" si="1260"/>
        <v>0</v>
      </c>
      <c r="DN146" s="6" t="str">
        <f t="shared" ref="DN146:DP146" si="1261">+P146+AE146+AT146+BI146+BU146+CG146+CV146</f>
        <v>#REF!</v>
      </c>
      <c r="DO146" s="6" t="str">
        <f t="shared" si="1261"/>
        <v>#REF!</v>
      </c>
      <c r="DP146" s="6" t="str">
        <f t="shared" si="1261"/>
        <v>#REF!</v>
      </c>
      <c r="DQ146" s="6" t="str">
        <f t="shared" si="19"/>
        <v>#REF!</v>
      </c>
    </row>
    <row r="147" ht="13.5" customHeight="1">
      <c r="A147" s="11">
        <v>45541.0</v>
      </c>
      <c r="B147" s="2" t="s">
        <v>559</v>
      </c>
      <c r="C147" s="2" t="s">
        <v>560</v>
      </c>
      <c r="D147" s="29" t="s">
        <v>561</v>
      </c>
      <c r="E147" s="2" t="s">
        <v>562</v>
      </c>
      <c r="F147" s="11" t="s">
        <v>563</v>
      </c>
      <c r="G147" s="11" t="s">
        <v>19</v>
      </c>
      <c r="H147" s="5">
        <v>350000.0</v>
      </c>
      <c r="I147" s="5">
        <v>350000.0</v>
      </c>
      <c r="J147" s="6">
        <v>0.0</v>
      </c>
      <c r="K147" s="6">
        <v>0.0</v>
      </c>
      <c r="L147" s="6">
        <v>0.0</v>
      </c>
      <c r="M147" s="6">
        <v>0.0</v>
      </c>
      <c r="N147" s="6">
        <v>0.0</v>
      </c>
      <c r="O147" s="6">
        <v>0.0</v>
      </c>
      <c r="P147" s="6">
        <f t="shared" ref="P147:R147" si="1262">+J147+M147</f>
        <v>0</v>
      </c>
      <c r="Q147" s="6">
        <f t="shared" si="1262"/>
        <v>0</v>
      </c>
      <c r="R147" s="6">
        <f t="shared" si="1262"/>
        <v>0</v>
      </c>
      <c r="S147" s="6">
        <v>0.0</v>
      </c>
      <c r="T147" s="6">
        <v>0.0</v>
      </c>
      <c r="U147" s="6">
        <v>0.0</v>
      </c>
      <c r="V147" s="6">
        <v>0.0</v>
      </c>
      <c r="W147" s="6">
        <v>0.0</v>
      </c>
      <c r="X147" s="6">
        <v>0.0</v>
      </c>
      <c r="Y147" s="6">
        <v>0.0</v>
      </c>
      <c r="Z147" s="6">
        <v>0.0</v>
      </c>
      <c r="AA147" s="6">
        <v>0.0</v>
      </c>
      <c r="AB147" s="6">
        <v>0.0</v>
      </c>
      <c r="AC147" s="6">
        <v>0.0</v>
      </c>
      <c r="AD147" s="6">
        <v>0.0</v>
      </c>
      <c r="AE147" s="6">
        <f t="shared" ref="AE147:AG147" si="1263">+Y147+AB147+S147+V147</f>
        <v>0</v>
      </c>
      <c r="AF147" s="6">
        <f t="shared" si="1263"/>
        <v>0</v>
      </c>
      <c r="AG147" s="6">
        <f t="shared" si="1263"/>
        <v>0</v>
      </c>
      <c r="AH147" s="6">
        <v>0.0</v>
      </c>
      <c r="AI147" s="6">
        <v>0.0</v>
      </c>
      <c r="AJ147" s="6">
        <v>0.0</v>
      </c>
      <c r="AK147" s="6">
        <v>0.0</v>
      </c>
      <c r="AL147" s="6">
        <v>0.0</v>
      </c>
      <c r="AM147" s="6">
        <v>0.0</v>
      </c>
      <c r="AN147" s="6">
        <v>0.0</v>
      </c>
      <c r="AO147" s="6">
        <v>0.0</v>
      </c>
      <c r="AP147" s="6">
        <v>0.0</v>
      </c>
      <c r="AQ147" s="6">
        <v>0.0</v>
      </c>
      <c r="AR147" s="6">
        <v>0.0</v>
      </c>
      <c r="AS147" s="6">
        <v>0.0</v>
      </c>
      <c r="AT147" s="6">
        <f t="shared" ref="AT147:AV147" si="1264">+AN147+AQ147+AH147+AK147</f>
        <v>0</v>
      </c>
      <c r="AU147" s="6">
        <f t="shared" si="1264"/>
        <v>0</v>
      </c>
      <c r="AV147" s="6">
        <f t="shared" si="1264"/>
        <v>0</v>
      </c>
      <c r="AW147" s="6">
        <v>0.0</v>
      </c>
      <c r="AX147" s="6">
        <v>0.0</v>
      </c>
      <c r="AY147" s="6">
        <v>0.0</v>
      </c>
      <c r="AZ147" s="6">
        <v>0.0</v>
      </c>
      <c r="BA147" s="6">
        <v>0.0</v>
      </c>
      <c r="BB147" s="6">
        <v>0.0</v>
      </c>
      <c r="BC147" s="6">
        <v>0.0</v>
      </c>
      <c r="BD147" s="6">
        <v>0.0</v>
      </c>
      <c r="BE147" s="6">
        <v>0.0</v>
      </c>
      <c r="BF147" s="6">
        <v>0.0</v>
      </c>
      <c r="BG147" s="6">
        <v>0.0</v>
      </c>
      <c r="BH147" s="6">
        <v>0.0</v>
      </c>
      <c r="BI147" s="6">
        <f t="shared" ref="BI147:BK147" si="1265">+BC147+BF147+AW147+AZ147</f>
        <v>0</v>
      </c>
      <c r="BJ147" s="6">
        <f t="shared" si="1265"/>
        <v>0</v>
      </c>
      <c r="BK147" s="6">
        <f t="shared" si="1265"/>
        <v>0</v>
      </c>
      <c r="BL147" s="6">
        <v>0.0</v>
      </c>
      <c r="BM147" s="6">
        <v>0.0</v>
      </c>
      <c r="BN147" s="6">
        <v>0.0</v>
      </c>
      <c r="BO147" s="6">
        <v>0.0</v>
      </c>
      <c r="BP147" s="6">
        <v>0.0</v>
      </c>
      <c r="BQ147" s="6">
        <v>0.0</v>
      </c>
      <c r="BR147" s="5">
        <v>350000.0</v>
      </c>
      <c r="BS147" s="5">
        <v>350000.0</v>
      </c>
      <c r="BT147" s="6">
        <v>0.0</v>
      </c>
      <c r="BU147" s="6" t="str">
        <f t="shared" ref="BU147:BW147" si="1266">+BO147+BR147+#REF!+BL147</f>
        <v>#REF!</v>
      </c>
      <c r="BV147" s="6" t="str">
        <f t="shared" si="1266"/>
        <v>#REF!</v>
      </c>
      <c r="BW147" s="6" t="str">
        <f t="shared" si="1266"/>
        <v>#REF!</v>
      </c>
      <c r="BX147" s="6">
        <v>0.0</v>
      </c>
      <c r="BY147" s="6">
        <v>0.0</v>
      </c>
      <c r="BZ147" s="6">
        <v>0.0</v>
      </c>
      <c r="CA147" s="6">
        <v>0.0</v>
      </c>
      <c r="CB147" s="6">
        <v>0.0</v>
      </c>
      <c r="CC147" s="6">
        <v>100000.0</v>
      </c>
      <c r="CD147" s="6">
        <v>0.0</v>
      </c>
      <c r="CE147" s="6">
        <v>0.0</v>
      </c>
      <c r="CF147" s="6">
        <v>0.0</v>
      </c>
      <c r="CG147" s="6" t="str">
        <f t="shared" ref="CG147:CI147" si="1267">+CA147+CD147+BX147+#REF!</f>
        <v>#REF!</v>
      </c>
      <c r="CH147" s="6" t="str">
        <f t="shared" si="1267"/>
        <v>#REF!</v>
      </c>
      <c r="CI147" s="6" t="str">
        <f t="shared" si="1267"/>
        <v>#REF!</v>
      </c>
      <c r="CJ147" s="6">
        <v>0.0</v>
      </c>
      <c r="CK147" s="6">
        <v>0.0</v>
      </c>
      <c r="CL147" s="6">
        <v>0.0</v>
      </c>
      <c r="CM147" s="6">
        <v>0.0</v>
      </c>
      <c r="CN147" s="6">
        <v>0.0</v>
      </c>
      <c r="CO147" s="6">
        <v>0.0</v>
      </c>
      <c r="CP147" s="6">
        <v>0.0</v>
      </c>
      <c r="CQ147" s="6">
        <v>0.0</v>
      </c>
      <c r="CR147" s="6">
        <v>0.0</v>
      </c>
      <c r="CS147" s="6">
        <v>0.0</v>
      </c>
      <c r="CT147" s="6">
        <v>0.0</v>
      </c>
      <c r="CU147" s="6">
        <v>0.0</v>
      </c>
      <c r="CV147" s="6">
        <f t="shared" ref="CV147:CX147" si="1268">+CP147+CS147+CJ147+CM147</f>
        <v>0</v>
      </c>
      <c r="CW147" s="6">
        <f t="shared" si="1268"/>
        <v>0</v>
      </c>
      <c r="CX147" s="6">
        <f t="shared" si="1268"/>
        <v>0</v>
      </c>
      <c r="CY147" s="6">
        <v>0.0</v>
      </c>
      <c r="CZ147" s="6">
        <v>0.0</v>
      </c>
      <c r="DA147" s="6">
        <v>0.0</v>
      </c>
      <c r="DB147" s="6">
        <v>0.0</v>
      </c>
      <c r="DC147" s="6">
        <v>0.0</v>
      </c>
      <c r="DD147" s="6">
        <v>0.0</v>
      </c>
      <c r="DE147" s="6">
        <v>0.0</v>
      </c>
      <c r="DF147" s="6">
        <v>0.0</v>
      </c>
      <c r="DG147" s="6">
        <v>0.0</v>
      </c>
      <c r="DH147" s="6">
        <v>0.0</v>
      </c>
      <c r="DI147" s="6">
        <v>0.0</v>
      </c>
      <c r="DJ147" s="6">
        <v>0.0</v>
      </c>
      <c r="DK147" s="6">
        <f t="shared" ref="DK147:DM147" si="1269">+DE147+DH147+CY147+DB147</f>
        <v>0</v>
      </c>
      <c r="DL147" s="6">
        <f t="shared" si="1269"/>
        <v>0</v>
      </c>
      <c r="DM147" s="6">
        <f t="shared" si="1269"/>
        <v>0</v>
      </c>
      <c r="DN147" s="6" t="str">
        <f t="shared" ref="DN147:DP147" si="1270">+P147+AE147+AT147+BI147+BU147+CG147+CV147</f>
        <v>#REF!</v>
      </c>
      <c r="DO147" s="6" t="str">
        <f t="shared" si="1270"/>
        <v>#REF!</v>
      </c>
      <c r="DP147" s="6" t="str">
        <f t="shared" si="1270"/>
        <v>#REF!</v>
      </c>
      <c r="DQ147" s="6" t="str">
        <f t="shared" si="19"/>
        <v>#REF!</v>
      </c>
    </row>
    <row r="148" ht="13.5" customHeight="1">
      <c r="A148" s="11">
        <v>45790.0</v>
      </c>
      <c r="B148" s="2" t="s">
        <v>564</v>
      </c>
      <c r="C148" s="2" t="s">
        <v>565</v>
      </c>
      <c r="D148" s="29" t="s">
        <v>566</v>
      </c>
      <c r="E148" s="2" t="s">
        <v>567</v>
      </c>
      <c r="F148" s="11" t="s">
        <v>568</v>
      </c>
      <c r="G148" s="11" t="s">
        <v>21</v>
      </c>
      <c r="H148" s="5">
        <v>250000.0</v>
      </c>
      <c r="I148" s="5">
        <v>250000.0</v>
      </c>
      <c r="J148" s="6">
        <v>0.0</v>
      </c>
      <c r="K148" s="6">
        <v>0.0</v>
      </c>
      <c r="L148" s="6">
        <v>0.0</v>
      </c>
      <c r="M148" s="6">
        <v>0.0</v>
      </c>
      <c r="N148" s="6">
        <v>0.0</v>
      </c>
      <c r="O148" s="6">
        <v>0.0</v>
      </c>
      <c r="P148" s="6">
        <f t="shared" ref="P148:R148" si="1271">+J148+M148</f>
        <v>0</v>
      </c>
      <c r="Q148" s="6">
        <f t="shared" si="1271"/>
        <v>0</v>
      </c>
      <c r="R148" s="6">
        <f t="shared" si="1271"/>
        <v>0</v>
      </c>
      <c r="S148" s="6">
        <v>0.0</v>
      </c>
      <c r="T148" s="6">
        <v>0.0</v>
      </c>
      <c r="U148" s="6">
        <v>0.0</v>
      </c>
      <c r="V148" s="6">
        <v>0.0</v>
      </c>
      <c r="W148" s="6">
        <v>0.0</v>
      </c>
      <c r="X148" s="6">
        <v>0.0</v>
      </c>
      <c r="Y148" s="6">
        <v>0.0</v>
      </c>
      <c r="Z148" s="6">
        <v>0.0</v>
      </c>
      <c r="AA148" s="6">
        <v>0.0</v>
      </c>
      <c r="AB148" s="6">
        <v>0.0</v>
      </c>
      <c r="AC148" s="6">
        <v>0.0</v>
      </c>
      <c r="AD148" s="6">
        <v>0.0</v>
      </c>
      <c r="AE148" s="6">
        <f t="shared" ref="AE148:AG148" si="1272">+Y148+AB148+S148+V148</f>
        <v>0</v>
      </c>
      <c r="AF148" s="6">
        <f t="shared" si="1272"/>
        <v>0</v>
      </c>
      <c r="AG148" s="6">
        <f t="shared" si="1272"/>
        <v>0</v>
      </c>
      <c r="AH148" s="6">
        <v>0.0</v>
      </c>
      <c r="AI148" s="6">
        <v>0.0</v>
      </c>
      <c r="AJ148" s="6">
        <v>0.0</v>
      </c>
      <c r="AK148" s="6">
        <v>0.0</v>
      </c>
      <c r="AL148" s="6">
        <v>0.0</v>
      </c>
      <c r="AM148" s="6">
        <v>0.0</v>
      </c>
      <c r="AN148" s="6">
        <v>0.0</v>
      </c>
      <c r="AO148" s="6">
        <v>0.0</v>
      </c>
      <c r="AP148" s="6">
        <v>0.0</v>
      </c>
      <c r="AQ148" s="6">
        <v>0.0</v>
      </c>
      <c r="AR148" s="6">
        <v>0.0</v>
      </c>
      <c r="AS148" s="6">
        <v>0.0</v>
      </c>
      <c r="AT148" s="6">
        <f t="shared" ref="AT148:AV148" si="1273">+AN148+AQ148+AH148+AK148</f>
        <v>0</v>
      </c>
      <c r="AU148" s="6">
        <f t="shared" si="1273"/>
        <v>0</v>
      </c>
      <c r="AV148" s="6">
        <f t="shared" si="1273"/>
        <v>0</v>
      </c>
      <c r="AW148" s="6">
        <v>0.0</v>
      </c>
      <c r="AX148" s="6">
        <v>0.0</v>
      </c>
      <c r="AY148" s="6">
        <v>0.0</v>
      </c>
      <c r="AZ148" s="6">
        <v>0.0</v>
      </c>
      <c r="BA148" s="6">
        <v>0.0</v>
      </c>
      <c r="BB148" s="6">
        <v>0.0</v>
      </c>
      <c r="BC148" s="6">
        <v>0.0</v>
      </c>
      <c r="BD148" s="6">
        <v>0.0</v>
      </c>
      <c r="BE148" s="6">
        <v>0.0</v>
      </c>
      <c r="BF148" s="6">
        <v>0.0</v>
      </c>
      <c r="BG148" s="6">
        <v>0.0</v>
      </c>
      <c r="BH148" s="6">
        <v>0.0</v>
      </c>
      <c r="BI148" s="6">
        <f t="shared" ref="BI148:BK148" si="1274">+BC148+BF148+AW148+AZ148</f>
        <v>0</v>
      </c>
      <c r="BJ148" s="6">
        <f t="shared" si="1274"/>
        <v>0</v>
      </c>
      <c r="BK148" s="6">
        <f t="shared" si="1274"/>
        <v>0</v>
      </c>
      <c r="BL148" s="6">
        <v>0.0</v>
      </c>
      <c r="BM148" s="6">
        <v>0.0</v>
      </c>
      <c r="BN148" s="6">
        <v>0.0</v>
      </c>
      <c r="BO148" s="6">
        <v>0.0</v>
      </c>
      <c r="BP148" s="6">
        <v>0.0</v>
      </c>
      <c r="BQ148" s="6">
        <v>0.0</v>
      </c>
      <c r="BR148" s="6">
        <v>0.0</v>
      </c>
      <c r="BS148" s="6">
        <v>0.0</v>
      </c>
      <c r="BT148" s="6">
        <v>0.0</v>
      </c>
      <c r="BU148" s="6" t="str">
        <f t="shared" ref="BU148:BW148" si="1275">+BO148+BR148+#REF!+BL148</f>
        <v>#REF!</v>
      </c>
      <c r="BV148" s="6" t="str">
        <f t="shared" si="1275"/>
        <v>#REF!</v>
      </c>
      <c r="BW148" s="6" t="str">
        <f t="shared" si="1275"/>
        <v>#REF!</v>
      </c>
      <c r="BX148" s="6">
        <v>0.0</v>
      </c>
      <c r="BY148" s="6">
        <v>0.0</v>
      </c>
      <c r="BZ148" s="6">
        <v>0.0</v>
      </c>
      <c r="CA148" s="5">
        <v>250000.0</v>
      </c>
      <c r="CB148" s="5">
        <v>250000.0</v>
      </c>
      <c r="CC148" s="6">
        <v>0.0</v>
      </c>
      <c r="CD148" s="6">
        <v>0.0</v>
      </c>
      <c r="CE148" s="6">
        <v>0.0</v>
      </c>
      <c r="CF148" s="6">
        <v>100000.0</v>
      </c>
      <c r="CG148" s="6" t="str">
        <f t="shared" ref="CG148:CI148" si="1276">+CA148+CD148+BX148+#REF!</f>
        <v>#REF!</v>
      </c>
      <c r="CH148" s="6" t="str">
        <f t="shared" si="1276"/>
        <v>#REF!</v>
      </c>
      <c r="CI148" s="6" t="str">
        <f t="shared" si="1276"/>
        <v>#REF!</v>
      </c>
      <c r="CJ148" s="6">
        <v>0.0</v>
      </c>
      <c r="CK148" s="6">
        <v>0.0</v>
      </c>
      <c r="CL148" s="6">
        <v>100000.0</v>
      </c>
      <c r="CM148" s="6">
        <v>0.0</v>
      </c>
      <c r="CN148" s="6">
        <v>0.0</v>
      </c>
      <c r="CO148" s="6">
        <v>50000.0</v>
      </c>
      <c r="CP148" s="6">
        <v>0.0</v>
      </c>
      <c r="CQ148" s="6">
        <v>0.0</v>
      </c>
      <c r="CR148" s="6">
        <v>0.0</v>
      </c>
      <c r="CS148" s="6">
        <v>0.0</v>
      </c>
      <c r="CT148" s="6">
        <v>0.0</v>
      </c>
      <c r="CU148" s="6">
        <v>0.0</v>
      </c>
      <c r="CV148" s="6">
        <f t="shared" ref="CV148:CX148" si="1277">+CP148+CS148+CJ148+CM148</f>
        <v>0</v>
      </c>
      <c r="CW148" s="6">
        <f t="shared" si="1277"/>
        <v>0</v>
      </c>
      <c r="CX148" s="6">
        <f t="shared" si="1277"/>
        <v>150000</v>
      </c>
      <c r="CY148" s="6">
        <v>0.0</v>
      </c>
      <c r="CZ148" s="6">
        <v>0.0</v>
      </c>
      <c r="DA148" s="6">
        <v>100000.0</v>
      </c>
      <c r="DB148" s="6">
        <v>0.0</v>
      </c>
      <c r="DC148" s="6">
        <v>0.0</v>
      </c>
      <c r="DD148" s="6">
        <v>50000.0</v>
      </c>
      <c r="DE148" s="6">
        <v>0.0</v>
      </c>
      <c r="DF148" s="6">
        <v>0.0</v>
      </c>
      <c r="DG148" s="6">
        <v>0.0</v>
      </c>
      <c r="DH148" s="6">
        <v>0.0</v>
      </c>
      <c r="DI148" s="6">
        <v>0.0</v>
      </c>
      <c r="DJ148" s="6">
        <v>0.0</v>
      </c>
      <c r="DK148" s="6">
        <f t="shared" ref="DK148:DM148" si="1278">+DE148+DH148+CY148+DB148</f>
        <v>0</v>
      </c>
      <c r="DL148" s="6">
        <f t="shared" si="1278"/>
        <v>0</v>
      </c>
      <c r="DM148" s="6">
        <f t="shared" si="1278"/>
        <v>150000</v>
      </c>
      <c r="DN148" s="6" t="str">
        <f t="shared" ref="DN148:DP148" si="1279">+P148+AE148+AT148+BI148+BU148+CG148+CV148</f>
        <v>#REF!</v>
      </c>
      <c r="DO148" s="6" t="str">
        <f t="shared" si="1279"/>
        <v>#REF!</v>
      </c>
      <c r="DP148" s="6" t="str">
        <f t="shared" si="1279"/>
        <v>#REF!</v>
      </c>
      <c r="DQ148" s="6" t="str">
        <f t="shared" si="19"/>
        <v>#REF!</v>
      </c>
    </row>
    <row r="149" ht="13.5" customHeight="1">
      <c r="A149" s="11">
        <v>45540.0</v>
      </c>
      <c r="B149" s="2" t="s">
        <v>569</v>
      </c>
      <c r="C149" s="2" t="s">
        <v>570</v>
      </c>
      <c r="D149" s="29" t="s">
        <v>571</v>
      </c>
      <c r="E149" s="2" t="s">
        <v>572</v>
      </c>
      <c r="F149" s="11" t="s">
        <v>573</v>
      </c>
      <c r="G149" s="11" t="s">
        <v>19</v>
      </c>
      <c r="H149" s="5">
        <v>3500000.0</v>
      </c>
      <c r="I149" s="5">
        <v>3500000.0</v>
      </c>
      <c r="J149" s="6">
        <v>0.0</v>
      </c>
      <c r="K149" s="6">
        <v>0.0</v>
      </c>
      <c r="L149" s="6">
        <v>0.0</v>
      </c>
      <c r="M149" s="6">
        <v>0.0</v>
      </c>
      <c r="N149" s="6">
        <v>0.0</v>
      </c>
      <c r="O149" s="6">
        <v>0.0</v>
      </c>
      <c r="P149" s="6">
        <f t="shared" ref="P149:R149" si="1280">+J149+M149</f>
        <v>0</v>
      </c>
      <c r="Q149" s="6">
        <f t="shared" si="1280"/>
        <v>0</v>
      </c>
      <c r="R149" s="6">
        <f t="shared" si="1280"/>
        <v>0</v>
      </c>
      <c r="S149" s="6">
        <v>0.0</v>
      </c>
      <c r="T149" s="6">
        <v>0.0</v>
      </c>
      <c r="U149" s="6">
        <v>0.0</v>
      </c>
      <c r="V149" s="6">
        <v>0.0</v>
      </c>
      <c r="W149" s="6">
        <v>0.0</v>
      </c>
      <c r="X149" s="6">
        <v>0.0</v>
      </c>
      <c r="Y149" s="6">
        <v>0.0</v>
      </c>
      <c r="Z149" s="6">
        <v>0.0</v>
      </c>
      <c r="AA149" s="6">
        <v>0.0</v>
      </c>
      <c r="AB149" s="6">
        <v>0.0</v>
      </c>
      <c r="AC149" s="6">
        <v>0.0</v>
      </c>
      <c r="AD149" s="6">
        <v>0.0</v>
      </c>
      <c r="AE149" s="6">
        <f t="shared" ref="AE149:AG149" si="1281">+Y149+AB149+S149+V149</f>
        <v>0</v>
      </c>
      <c r="AF149" s="6">
        <f t="shared" si="1281"/>
        <v>0</v>
      </c>
      <c r="AG149" s="6">
        <f t="shared" si="1281"/>
        <v>0</v>
      </c>
      <c r="AH149" s="6">
        <v>0.0</v>
      </c>
      <c r="AI149" s="6">
        <v>0.0</v>
      </c>
      <c r="AJ149" s="6">
        <v>0.0</v>
      </c>
      <c r="AK149" s="6">
        <v>0.0</v>
      </c>
      <c r="AL149" s="6">
        <v>0.0</v>
      </c>
      <c r="AM149" s="6">
        <v>0.0</v>
      </c>
      <c r="AN149" s="6">
        <v>0.0</v>
      </c>
      <c r="AO149" s="6">
        <v>0.0</v>
      </c>
      <c r="AP149" s="6">
        <v>0.0</v>
      </c>
      <c r="AQ149" s="6">
        <v>0.0</v>
      </c>
      <c r="AR149" s="6">
        <v>0.0</v>
      </c>
      <c r="AS149" s="6">
        <v>0.0</v>
      </c>
      <c r="AT149" s="6">
        <f t="shared" ref="AT149:AV149" si="1282">+AN149+AQ149+AH149+AK149</f>
        <v>0</v>
      </c>
      <c r="AU149" s="6">
        <f t="shared" si="1282"/>
        <v>0</v>
      </c>
      <c r="AV149" s="6">
        <f t="shared" si="1282"/>
        <v>0</v>
      </c>
      <c r="AW149" s="6">
        <v>0.0</v>
      </c>
      <c r="AX149" s="6">
        <v>0.0</v>
      </c>
      <c r="AY149" s="6">
        <v>0.0</v>
      </c>
      <c r="AZ149" s="6">
        <v>0.0</v>
      </c>
      <c r="BA149" s="6">
        <v>0.0</v>
      </c>
      <c r="BB149" s="6">
        <v>0.0</v>
      </c>
      <c r="BC149" s="6">
        <v>0.0</v>
      </c>
      <c r="BD149" s="6">
        <v>0.0</v>
      </c>
      <c r="BE149" s="6">
        <v>0.0</v>
      </c>
      <c r="BF149" s="6">
        <v>0.0</v>
      </c>
      <c r="BG149" s="6">
        <v>0.0</v>
      </c>
      <c r="BH149" s="6">
        <v>0.0</v>
      </c>
      <c r="BI149" s="6">
        <f t="shared" ref="BI149:BK149" si="1283">+BC149+BF149+AW149+AZ149</f>
        <v>0</v>
      </c>
      <c r="BJ149" s="6">
        <f t="shared" si="1283"/>
        <v>0</v>
      </c>
      <c r="BK149" s="6">
        <f t="shared" si="1283"/>
        <v>0</v>
      </c>
      <c r="BL149" s="6">
        <v>0.0</v>
      </c>
      <c r="BM149" s="6">
        <v>0.0</v>
      </c>
      <c r="BN149" s="6">
        <v>0.0</v>
      </c>
      <c r="BO149" s="6">
        <v>0.0</v>
      </c>
      <c r="BP149" s="6">
        <v>0.0</v>
      </c>
      <c r="BQ149" s="6">
        <v>0.0</v>
      </c>
      <c r="BR149" s="5">
        <v>3500000.0</v>
      </c>
      <c r="BS149" s="5">
        <v>3500000.0</v>
      </c>
      <c r="BT149" s="6">
        <v>0.0</v>
      </c>
      <c r="BU149" s="6" t="str">
        <f t="shared" ref="BU149:BW149" si="1284">+BO149+BR149+#REF!+BL149</f>
        <v>#REF!</v>
      </c>
      <c r="BV149" s="6" t="str">
        <f t="shared" si="1284"/>
        <v>#REF!</v>
      </c>
      <c r="BW149" s="6" t="str">
        <f t="shared" si="1284"/>
        <v>#REF!</v>
      </c>
      <c r="BX149" s="6">
        <v>0.0</v>
      </c>
      <c r="BY149" s="6">
        <v>0.0</v>
      </c>
      <c r="BZ149" s="6">
        <v>2500000.0</v>
      </c>
      <c r="CA149" s="6">
        <v>0.0</v>
      </c>
      <c r="CB149" s="6">
        <v>0.0</v>
      </c>
      <c r="CC149" s="6">
        <v>0.0</v>
      </c>
      <c r="CD149" s="6">
        <v>0.0</v>
      </c>
      <c r="CE149" s="6">
        <v>0.0</v>
      </c>
      <c r="CF149" s="6">
        <v>0.0</v>
      </c>
      <c r="CG149" s="6" t="str">
        <f t="shared" ref="CG149:CI149" si="1285">+CA149+CD149+BX149+#REF!</f>
        <v>#REF!</v>
      </c>
      <c r="CH149" s="6" t="str">
        <f t="shared" si="1285"/>
        <v>#REF!</v>
      </c>
      <c r="CI149" s="6" t="str">
        <f t="shared" si="1285"/>
        <v>#REF!</v>
      </c>
      <c r="CJ149" s="6">
        <v>0.0</v>
      </c>
      <c r="CK149" s="6">
        <v>0.0</v>
      </c>
      <c r="CL149" s="6">
        <v>0.0</v>
      </c>
      <c r="CM149" s="6">
        <v>0.0</v>
      </c>
      <c r="CN149" s="6">
        <v>0.0</v>
      </c>
      <c r="CO149" s="6">
        <v>0.0</v>
      </c>
      <c r="CP149" s="6">
        <v>0.0</v>
      </c>
      <c r="CQ149" s="6">
        <v>0.0</v>
      </c>
      <c r="CR149" s="6">
        <v>0.0</v>
      </c>
      <c r="CS149" s="6">
        <v>0.0</v>
      </c>
      <c r="CT149" s="6">
        <v>0.0</v>
      </c>
      <c r="CU149" s="6">
        <v>0.0</v>
      </c>
      <c r="CV149" s="6">
        <f t="shared" ref="CV149:CX149" si="1286">+CP149+CS149+CJ149+CM149</f>
        <v>0</v>
      </c>
      <c r="CW149" s="6">
        <f t="shared" si="1286"/>
        <v>0</v>
      </c>
      <c r="CX149" s="6">
        <f t="shared" si="1286"/>
        <v>0</v>
      </c>
      <c r="CY149" s="6">
        <v>0.0</v>
      </c>
      <c r="CZ149" s="6">
        <v>0.0</v>
      </c>
      <c r="DA149" s="6">
        <v>0.0</v>
      </c>
      <c r="DB149" s="6">
        <v>0.0</v>
      </c>
      <c r="DC149" s="6">
        <v>0.0</v>
      </c>
      <c r="DD149" s="6">
        <v>0.0</v>
      </c>
      <c r="DE149" s="6">
        <v>0.0</v>
      </c>
      <c r="DF149" s="6">
        <v>0.0</v>
      </c>
      <c r="DG149" s="6">
        <v>0.0</v>
      </c>
      <c r="DH149" s="6">
        <v>0.0</v>
      </c>
      <c r="DI149" s="6">
        <v>0.0</v>
      </c>
      <c r="DJ149" s="6">
        <v>0.0</v>
      </c>
      <c r="DK149" s="6">
        <f t="shared" ref="DK149:DM149" si="1287">+DE149+DH149+CY149+DB149</f>
        <v>0</v>
      </c>
      <c r="DL149" s="6">
        <f t="shared" si="1287"/>
        <v>0</v>
      </c>
      <c r="DM149" s="6">
        <f t="shared" si="1287"/>
        <v>0</v>
      </c>
      <c r="DN149" s="6" t="str">
        <f t="shared" ref="DN149:DP149" si="1288">+P149+AE149+AT149+BI149+BU149+CG149+CV149</f>
        <v>#REF!</v>
      </c>
      <c r="DO149" s="6" t="str">
        <f t="shared" si="1288"/>
        <v>#REF!</v>
      </c>
      <c r="DP149" s="6" t="str">
        <f t="shared" si="1288"/>
        <v>#REF!</v>
      </c>
      <c r="DQ149" s="6" t="str">
        <f t="shared" si="19"/>
        <v>#REF!</v>
      </c>
    </row>
    <row r="150" ht="13.5" customHeight="1">
      <c r="A150" s="11">
        <v>45553.0</v>
      </c>
      <c r="B150" s="2" t="s">
        <v>574</v>
      </c>
      <c r="C150" s="2" t="s">
        <v>575</v>
      </c>
      <c r="D150" s="29" t="s">
        <v>576</v>
      </c>
      <c r="E150" s="2" t="s">
        <v>577</v>
      </c>
      <c r="F150" s="11" t="s">
        <v>578</v>
      </c>
      <c r="G150" s="11" t="s">
        <v>20</v>
      </c>
      <c r="H150" s="5">
        <v>480000.0</v>
      </c>
      <c r="I150" s="5">
        <v>480000.0</v>
      </c>
      <c r="J150" s="6">
        <v>0.0</v>
      </c>
      <c r="K150" s="6">
        <v>0.0</v>
      </c>
      <c r="L150" s="6">
        <v>0.0</v>
      </c>
      <c r="M150" s="6">
        <v>0.0</v>
      </c>
      <c r="N150" s="6">
        <v>0.0</v>
      </c>
      <c r="O150" s="6">
        <v>0.0</v>
      </c>
      <c r="P150" s="6">
        <f t="shared" ref="P150:R150" si="1289">+J150+M150</f>
        <v>0</v>
      </c>
      <c r="Q150" s="6">
        <f t="shared" si="1289"/>
        <v>0</v>
      </c>
      <c r="R150" s="6">
        <f t="shared" si="1289"/>
        <v>0</v>
      </c>
      <c r="S150" s="6">
        <v>0.0</v>
      </c>
      <c r="T150" s="6">
        <v>0.0</v>
      </c>
      <c r="U150" s="6">
        <v>0.0</v>
      </c>
      <c r="V150" s="6">
        <v>0.0</v>
      </c>
      <c r="W150" s="6">
        <v>0.0</v>
      </c>
      <c r="X150" s="6">
        <v>0.0</v>
      </c>
      <c r="Y150" s="6">
        <v>0.0</v>
      </c>
      <c r="Z150" s="6">
        <v>0.0</v>
      </c>
      <c r="AA150" s="6">
        <v>0.0</v>
      </c>
      <c r="AB150" s="6">
        <v>0.0</v>
      </c>
      <c r="AC150" s="6">
        <v>0.0</v>
      </c>
      <c r="AD150" s="6">
        <v>0.0</v>
      </c>
      <c r="AE150" s="6">
        <f t="shared" ref="AE150:AG150" si="1290">+Y150+AB150+S150+V150</f>
        <v>0</v>
      </c>
      <c r="AF150" s="6">
        <f t="shared" si="1290"/>
        <v>0</v>
      </c>
      <c r="AG150" s="6">
        <f t="shared" si="1290"/>
        <v>0</v>
      </c>
      <c r="AH150" s="6">
        <v>0.0</v>
      </c>
      <c r="AI150" s="6">
        <v>0.0</v>
      </c>
      <c r="AJ150" s="6">
        <v>0.0</v>
      </c>
      <c r="AK150" s="6">
        <v>0.0</v>
      </c>
      <c r="AL150" s="6">
        <v>0.0</v>
      </c>
      <c r="AM150" s="6">
        <v>0.0</v>
      </c>
      <c r="AN150" s="6">
        <v>0.0</v>
      </c>
      <c r="AO150" s="6">
        <v>0.0</v>
      </c>
      <c r="AP150" s="6">
        <v>0.0</v>
      </c>
      <c r="AQ150" s="6">
        <v>0.0</v>
      </c>
      <c r="AR150" s="6">
        <v>0.0</v>
      </c>
      <c r="AS150" s="6">
        <v>0.0</v>
      </c>
      <c r="AT150" s="6">
        <f t="shared" ref="AT150:AV150" si="1291">+AN150+AQ150+AH150+AK150</f>
        <v>0</v>
      </c>
      <c r="AU150" s="6">
        <f t="shared" si="1291"/>
        <v>0</v>
      </c>
      <c r="AV150" s="6">
        <f t="shared" si="1291"/>
        <v>0</v>
      </c>
      <c r="AW150" s="6">
        <v>0.0</v>
      </c>
      <c r="AX150" s="6">
        <v>0.0</v>
      </c>
      <c r="AY150" s="6">
        <v>0.0</v>
      </c>
      <c r="AZ150" s="6">
        <v>0.0</v>
      </c>
      <c r="BA150" s="6">
        <v>0.0</v>
      </c>
      <c r="BB150" s="6">
        <v>0.0</v>
      </c>
      <c r="BC150" s="6">
        <v>0.0</v>
      </c>
      <c r="BD150" s="6">
        <v>0.0</v>
      </c>
      <c r="BE150" s="6">
        <v>0.0</v>
      </c>
      <c r="BF150" s="6">
        <v>0.0</v>
      </c>
      <c r="BG150" s="6">
        <v>0.0</v>
      </c>
      <c r="BH150" s="6">
        <v>0.0</v>
      </c>
      <c r="BI150" s="6">
        <f t="shared" ref="BI150:BK150" si="1292">+BC150+BF150+AW150+AZ150</f>
        <v>0</v>
      </c>
      <c r="BJ150" s="6">
        <f t="shared" si="1292"/>
        <v>0</v>
      </c>
      <c r="BK150" s="6">
        <f t="shared" si="1292"/>
        <v>0</v>
      </c>
      <c r="BL150" s="6">
        <v>0.0</v>
      </c>
      <c r="BM150" s="6">
        <v>0.0</v>
      </c>
      <c r="BN150" s="6">
        <v>0.0</v>
      </c>
      <c r="BO150" s="6">
        <v>0.0</v>
      </c>
      <c r="BP150" s="6">
        <v>0.0</v>
      </c>
      <c r="BQ150" s="6">
        <v>0.0</v>
      </c>
      <c r="BR150" s="6">
        <v>0.0</v>
      </c>
      <c r="BS150" s="6">
        <v>0.0</v>
      </c>
      <c r="BT150" s="6">
        <v>0.0</v>
      </c>
      <c r="BU150" s="6" t="str">
        <f t="shared" ref="BU150:BW150" si="1293">+BO150+BR150+#REF!+BL150</f>
        <v>#REF!</v>
      </c>
      <c r="BV150" s="6" t="str">
        <f t="shared" si="1293"/>
        <v>#REF!</v>
      </c>
      <c r="BW150" s="6" t="str">
        <f t="shared" si="1293"/>
        <v>#REF!</v>
      </c>
      <c r="BX150" s="5">
        <v>480000.0</v>
      </c>
      <c r="BY150" s="5">
        <v>480000.0</v>
      </c>
      <c r="BZ150" s="6">
        <v>300000.0</v>
      </c>
      <c r="CA150" s="6">
        <v>0.0</v>
      </c>
      <c r="CB150" s="6">
        <v>0.0</v>
      </c>
      <c r="CC150" s="6">
        <v>0.0</v>
      </c>
      <c r="CD150" s="6">
        <v>0.0</v>
      </c>
      <c r="CE150" s="6">
        <v>0.0</v>
      </c>
      <c r="CF150" s="6">
        <v>0.0</v>
      </c>
      <c r="CG150" s="6" t="str">
        <f t="shared" ref="CG150:CI150" si="1294">+CA150+CD150+BX150+#REF!</f>
        <v>#REF!</v>
      </c>
      <c r="CH150" s="6" t="str">
        <f t="shared" si="1294"/>
        <v>#REF!</v>
      </c>
      <c r="CI150" s="6" t="str">
        <f t="shared" si="1294"/>
        <v>#REF!</v>
      </c>
      <c r="CJ150" s="6">
        <v>0.0</v>
      </c>
      <c r="CK150" s="6">
        <v>0.0</v>
      </c>
      <c r="CL150" s="6">
        <v>0.0</v>
      </c>
      <c r="CM150" s="6">
        <v>0.0</v>
      </c>
      <c r="CN150" s="6">
        <v>0.0</v>
      </c>
      <c r="CO150" s="6">
        <v>0.0</v>
      </c>
      <c r="CP150" s="6">
        <v>0.0</v>
      </c>
      <c r="CQ150" s="6">
        <v>0.0</v>
      </c>
      <c r="CR150" s="6">
        <v>0.0</v>
      </c>
      <c r="CS150" s="6">
        <v>0.0</v>
      </c>
      <c r="CT150" s="6">
        <v>0.0</v>
      </c>
      <c r="CU150" s="6">
        <v>0.0</v>
      </c>
      <c r="CV150" s="6">
        <f t="shared" ref="CV150:CX150" si="1295">+CP150+CS150+CJ150+CM150</f>
        <v>0</v>
      </c>
      <c r="CW150" s="6">
        <f t="shared" si="1295"/>
        <v>0</v>
      </c>
      <c r="CX150" s="6">
        <f t="shared" si="1295"/>
        <v>0</v>
      </c>
      <c r="CY150" s="6">
        <v>0.0</v>
      </c>
      <c r="CZ150" s="6">
        <v>0.0</v>
      </c>
      <c r="DA150" s="6">
        <v>0.0</v>
      </c>
      <c r="DB150" s="6">
        <v>0.0</v>
      </c>
      <c r="DC150" s="6">
        <v>0.0</v>
      </c>
      <c r="DD150" s="6">
        <v>0.0</v>
      </c>
      <c r="DE150" s="6">
        <v>0.0</v>
      </c>
      <c r="DF150" s="6">
        <v>0.0</v>
      </c>
      <c r="DG150" s="6">
        <v>0.0</v>
      </c>
      <c r="DH150" s="6">
        <v>0.0</v>
      </c>
      <c r="DI150" s="6">
        <v>0.0</v>
      </c>
      <c r="DJ150" s="6">
        <v>0.0</v>
      </c>
      <c r="DK150" s="6">
        <f t="shared" ref="DK150:DM150" si="1296">+DE150+DH150+CY150+DB150</f>
        <v>0</v>
      </c>
      <c r="DL150" s="6">
        <f t="shared" si="1296"/>
        <v>0</v>
      </c>
      <c r="DM150" s="6">
        <f t="shared" si="1296"/>
        <v>0</v>
      </c>
      <c r="DN150" s="6" t="str">
        <f t="shared" ref="DN150:DP150" si="1297">+P150+AE150+AT150+BI150+BU150+CG150+CV150</f>
        <v>#REF!</v>
      </c>
      <c r="DO150" s="6" t="str">
        <f t="shared" si="1297"/>
        <v>#REF!</v>
      </c>
      <c r="DP150" s="6" t="str">
        <f t="shared" si="1297"/>
        <v>#REF!</v>
      </c>
      <c r="DQ150" s="6" t="str">
        <f t="shared" si="19"/>
        <v>#REF!</v>
      </c>
    </row>
    <row r="151" ht="13.5" customHeight="1">
      <c r="A151" s="11">
        <v>45532.0</v>
      </c>
      <c r="B151" s="2" t="s">
        <v>579</v>
      </c>
      <c r="C151" s="2" t="s">
        <v>580</v>
      </c>
      <c r="D151" s="29" t="s">
        <v>581</v>
      </c>
      <c r="E151" s="2" t="s">
        <v>582</v>
      </c>
      <c r="F151" s="11" t="s">
        <v>583</v>
      </c>
      <c r="G151" s="11" t="s">
        <v>19</v>
      </c>
      <c r="H151" s="5">
        <v>180000.0</v>
      </c>
      <c r="I151" s="5">
        <v>180000.0</v>
      </c>
      <c r="J151" s="6">
        <v>0.0</v>
      </c>
      <c r="K151" s="6">
        <v>0.0</v>
      </c>
      <c r="L151" s="6">
        <v>0.0</v>
      </c>
      <c r="M151" s="6">
        <v>0.0</v>
      </c>
      <c r="N151" s="6">
        <v>0.0</v>
      </c>
      <c r="O151" s="6">
        <v>0.0</v>
      </c>
      <c r="P151" s="6">
        <f t="shared" ref="P151:R151" si="1298">+J151+M151</f>
        <v>0</v>
      </c>
      <c r="Q151" s="6">
        <f t="shared" si="1298"/>
        <v>0</v>
      </c>
      <c r="R151" s="6">
        <f t="shared" si="1298"/>
        <v>0</v>
      </c>
      <c r="S151" s="6">
        <v>0.0</v>
      </c>
      <c r="T151" s="6">
        <v>0.0</v>
      </c>
      <c r="U151" s="6">
        <v>0.0</v>
      </c>
      <c r="V151" s="6">
        <v>0.0</v>
      </c>
      <c r="W151" s="6">
        <v>0.0</v>
      </c>
      <c r="X151" s="6">
        <v>0.0</v>
      </c>
      <c r="Y151" s="6">
        <v>0.0</v>
      </c>
      <c r="Z151" s="6">
        <v>0.0</v>
      </c>
      <c r="AA151" s="6">
        <v>0.0</v>
      </c>
      <c r="AB151" s="6">
        <v>0.0</v>
      </c>
      <c r="AC151" s="6">
        <v>0.0</v>
      </c>
      <c r="AD151" s="6">
        <v>0.0</v>
      </c>
      <c r="AE151" s="6">
        <f t="shared" ref="AE151:AG151" si="1299">+Y151+AB151+S151+V151</f>
        <v>0</v>
      </c>
      <c r="AF151" s="6">
        <f t="shared" si="1299"/>
        <v>0</v>
      </c>
      <c r="AG151" s="6">
        <f t="shared" si="1299"/>
        <v>0</v>
      </c>
      <c r="AH151" s="6">
        <v>0.0</v>
      </c>
      <c r="AI151" s="6">
        <v>0.0</v>
      </c>
      <c r="AJ151" s="6">
        <v>0.0</v>
      </c>
      <c r="AK151" s="6">
        <v>0.0</v>
      </c>
      <c r="AL151" s="6">
        <v>0.0</v>
      </c>
      <c r="AM151" s="6">
        <v>0.0</v>
      </c>
      <c r="AN151" s="6">
        <v>0.0</v>
      </c>
      <c r="AO151" s="6">
        <v>0.0</v>
      </c>
      <c r="AP151" s="6">
        <v>0.0</v>
      </c>
      <c r="AQ151" s="6">
        <v>0.0</v>
      </c>
      <c r="AR151" s="6">
        <v>0.0</v>
      </c>
      <c r="AS151" s="6">
        <v>0.0</v>
      </c>
      <c r="AT151" s="6">
        <f t="shared" ref="AT151:AV151" si="1300">+AN151+AQ151+AH151+AK151</f>
        <v>0</v>
      </c>
      <c r="AU151" s="6">
        <f t="shared" si="1300"/>
        <v>0</v>
      </c>
      <c r="AV151" s="6">
        <f t="shared" si="1300"/>
        <v>0</v>
      </c>
      <c r="AW151" s="6">
        <v>0.0</v>
      </c>
      <c r="AX151" s="6">
        <v>0.0</v>
      </c>
      <c r="AY151" s="6">
        <v>0.0</v>
      </c>
      <c r="AZ151" s="6">
        <v>0.0</v>
      </c>
      <c r="BA151" s="6">
        <v>0.0</v>
      </c>
      <c r="BB151" s="6">
        <v>0.0</v>
      </c>
      <c r="BC151" s="6">
        <v>0.0</v>
      </c>
      <c r="BD151" s="6">
        <v>0.0</v>
      </c>
      <c r="BE151" s="6">
        <v>0.0</v>
      </c>
      <c r="BF151" s="6">
        <v>0.0</v>
      </c>
      <c r="BG151" s="6">
        <v>0.0</v>
      </c>
      <c r="BH151" s="6">
        <v>0.0</v>
      </c>
      <c r="BI151" s="6">
        <f t="shared" ref="BI151:BK151" si="1301">+BC151+BF151+AW151+AZ151</f>
        <v>0</v>
      </c>
      <c r="BJ151" s="6">
        <f t="shared" si="1301"/>
        <v>0</v>
      </c>
      <c r="BK151" s="6">
        <f t="shared" si="1301"/>
        <v>0</v>
      </c>
      <c r="BL151" s="6">
        <v>0.0</v>
      </c>
      <c r="BM151" s="6">
        <v>0.0</v>
      </c>
      <c r="BN151" s="6">
        <v>0.0</v>
      </c>
      <c r="BO151" s="6">
        <v>0.0</v>
      </c>
      <c r="BP151" s="6">
        <v>0.0</v>
      </c>
      <c r="BQ151" s="6">
        <v>0.0</v>
      </c>
      <c r="BR151" s="5">
        <v>180000.0</v>
      </c>
      <c r="BS151" s="5">
        <v>180000.0</v>
      </c>
      <c r="BT151" s="6">
        <v>0.0</v>
      </c>
      <c r="BU151" s="6" t="str">
        <f t="shared" ref="BU151:BW151" si="1302">+BO151+BR151+#REF!+BL151</f>
        <v>#REF!</v>
      </c>
      <c r="BV151" s="6" t="str">
        <f t="shared" si="1302"/>
        <v>#REF!</v>
      </c>
      <c r="BW151" s="6" t="str">
        <f t="shared" si="1302"/>
        <v>#REF!</v>
      </c>
      <c r="BX151" s="6">
        <v>0.0</v>
      </c>
      <c r="BY151" s="6">
        <v>0.0</v>
      </c>
      <c r="BZ151" s="6">
        <v>180000.0</v>
      </c>
      <c r="CA151" s="6">
        <v>0.0</v>
      </c>
      <c r="CB151" s="6">
        <v>0.0</v>
      </c>
      <c r="CC151" s="6">
        <v>0.0</v>
      </c>
      <c r="CD151" s="6">
        <v>0.0</v>
      </c>
      <c r="CE151" s="6">
        <v>0.0</v>
      </c>
      <c r="CF151" s="6">
        <v>0.0</v>
      </c>
      <c r="CG151" s="6" t="str">
        <f t="shared" ref="CG151:CI151" si="1303">+CA151+CD151+BX151+#REF!</f>
        <v>#REF!</v>
      </c>
      <c r="CH151" s="6" t="str">
        <f t="shared" si="1303"/>
        <v>#REF!</v>
      </c>
      <c r="CI151" s="6" t="str">
        <f t="shared" si="1303"/>
        <v>#REF!</v>
      </c>
      <c r="CJ151" s="6">
        <v>0.0</v>
      </c>
      <c r="CK151" s="6">
        <v>0.0</v>
      </c>
      <c r="CL151" s="6">
        <v>0.0</v>
      </c>
      <c r="CM151" s="6">
        <v>0.0</v>
      </c>
      <c r="CN151" s="6">
        <v>0.0</v>
      </c>
      <c r="CO151" s="6">
        <v>0.0</v>
      </c>
      <c r="CP151" s="6">
        <v>0.0</v>
      </c>
      <c r="CQ151" s="6">
        <v>0.0</v>
      </c>
      <c r="CR151" s="6">
        <v>0.0</v>
      </c>
      <c r="CS151" s="6">
        <v>0.0</v>
      </c>
      <c r="CT151" s="6">
        <v>0.0</v>
      </c>
      <c r="CU151" s="6">
        <v>0.0</v>
      </c>
      <c r="CV151" s="6">
        <f t="shared" ref="CV151:CX151" si="1304">+CP151+CS151+CJ151+CM151</f>
        <v>0</v>
      </c>
      <c r="CW151" s="6">
        <f t="shared" si="1304"/>
        <v>0</v>
      </c>
      <c r="CX151" s="6">
        <f t="shared" si="1304"/>
        <v>0</v>
      </c>
      <c r="CY151" s="6">
        <v>0.0</v>
      </c>
      <c r="CZ151" s="6">
        <v>0.0</v>
      </c>
      <c r="DA151" s="6">
        <v>0.0</v>
      </c>
      <c r="DB151" s="6">
        <v>0.0</v>
      </c>
      <c r="DC151" s="6">
        <v>0.0</v>
      </c>
      <c r="DD151" s="6">
        <v>0.0</v>
      </c>
      <c r="DE151" s="6">
        <v>0.0</v>
      </c>
      <c r="DF151" s="6">
        <v>0.0</v>
      </c>
      <c r="DG151" s="6">
        <v>0.0</v>
      </c>
      <c r="DH151" s="6">
        <v>0.0</v>
      </c>
      <c r="DI151" s="6">
        <v>0.0</v>
      </c>
      <c r="DJ151" s="6">
        <v>0.0</v>
      </c>
      <c r="DK151" s="6">
        <f t="shared" ref="DK151:DM151" si="1305">+DE151+DH151+CY151+DB151</f>
        <v>0</v>
      </c>
      <c r="DL151" s="6">
        <f t="shared" si="1305"/>
        <v>0</v>
      </c>
      <c r="DM151" s="6">
        <f t="shared" si="1305"/>
        <v>0</v>
      </c>
      <c r="DN151" s="6" t="str">
        <f t="shared" ref="DN151:DP151" si="1306">+P151+AE151+AT151+BI151+BU151+CG151+CV151</f>
        <v>#REF!</v>
      </c>
      <c r="DO151" s="6" t="str">
        <f t="shared" si="1306"/>
        <v>#REF!</v>
      </c>
      <c r="DP151" s="6" t="str">
        <f t="shared" si="1306"/>
        <v>#REF!</v>
      </c>
      <c r="DQ151" s="6" t="str">
        <f t="shared" si="19"/>
        <v>#REF!</v>
      </c>
    </row>
    <row r="152" ht="13.5" customHeight="1">
      <c r="A152" s="11">
        <v>45532.0</v>
      </c>
      <c r="B152" s="2" t="s">
        <v>584</v>
      </c>
      <c r="C152" s="2" t="s">
        <v>585</v>
      </c>
      <c r="D152" s="29" t="s">
        <v>586</v>
      </c>
      <c r="E152" s="2" t="s">
        <v>587</v>
      </c>
      <c r="F152" s="11" t="s">
        <v>588</v>
      </c>
      <c r="G152" s="11" t="s">
        <v>19</v>
      </c>
      <c r="H152" s="5">
        <v>9068273.0</v>
      </c>
      <c r="I152" s="5">
        <v>9068273.0</v>
      </c>
      <c r="J152" s="6">
        <v>0.0</v>
      </c>
      <c r="K152" s="6">
        <v>0.0</v>
      </c>
      <c r="L152" s="6">
        <v>0.0</v>
      </c>
      <c r="M152" s="6">
        <v>0.0</v>
      </c>
      <c r="N152" s="6">
        <v>0.0</v>
      </c>
      <c r="O152" s="6">
        <v>0.0</v>
      </c>
      <c r="P152" s="6">
        <f t="shared" ref="P152:R152" si="1307">+J152+M152</f>
        <v>0</v>
      </c>
      <c r="Q152" s="6">
        <f t="shared" si="1307"/>
        <v>0</v>
      </c>
      <c r="R152" s="6">
        <f t="shared" si="1307"/>
        <v>0</v>
      </c>
      <c r="S152" s="6">
        <v>0.0</v>
      </c>
      <c r="T152" s="6">
        <v>0.0</v>
      </c>
      <c r="U152" s="6">
        <v>0.0</v>
      </c>
      <c r="V152" s="6">
        <v>0.0</v>
      </c>
      <c r="W152" s="6">
        <v>0.0</v>
      </c>
      <c r="X152" s="6">
        <v>0.0</v>
      </c>
      <c r="Y152" s="6">
        <v>0.0</v>
      </c>
      <c r="Z152" s="6">
        <v>0.0</v>
      </c>
      <c r="AA152" s="6">
        <v>0.0</v>
      </c>
      <c r="AB152" s="6">
        <v>0.0</v>
      </c>
      <c r="AC152" s="6">
        <v>0.0</v>
      </c>
      <c r="AD152" s="6">
        <v>0.0</v>
      </c>
      <c r="AE152" s="6">
        <f t="shared" ref="AE152:AG152" si="1308">+Y152+AB152+S152+V152</f>
        <v>0</v>
      </c>
      <c r="AF152" s="6">
        <f t="shared" si="1308"/>
        <v>0</v>
      </c>
      <c r="AG152" s="6">
        <f t="shared" si="1308"/>
        <v>0</v>
      </c>
      <c r="AH152" s="6">
        <v>0.0</v>
      </c>
      <c r="AI152" s="6">
        <v>0.0</v>
      </c>
      <c r="AJ152" s="6">
        <v>0.0</v>
      </c>
      <c r="AK152" s="6">
        <v>0.0</v>
      </c>
      <c r="AL152" s="6">
        <v>0.0</v>
      </c>
      <c r="AM152" s="6">
        <v>0.0</v>
      </c>
      <c r="AN152" s="6">
        <v>0.0</v>
      </c>
      <c r="AO152" s="6">
        <v>0.0</v>
      </c>
      <c r="AP152" s="6">
        <v>0.0</v>
      </c>
      <c r="AQ152" s="6">
        <v>0.0</v>
      </c>
      <c r="AR152" s="6">
        <v>0.0</v>
      </c>
      <c r="AS152" s="6">
        <v>0.0</v>
      </c>
      <c r="AT152" s="6">
        <f t="shared" ref="AT152:AV152" si="1309">+AN152+AQ152+AH152+AK152</f>
        <v>0</v>
      </c>
      <c r="AU152" s="6">
        <f t="shared" si="1309"/>
        <v>0</v>
      </c>
      <c r="AV152" s="6">
        <f t="shared" si="1309"/>
        <v>0</v>
      </c>
      <c r="AW152" s="6">
        <v>0.0</v>
      </c>
      <c r="AX152" s="6">
        <v>0.0</v>
      </c>
      <c r="AY152" s="6">
        <v>0.0</v>
      </c>
      <c r="AZ152" s="6">
        <v>0.0</v>
      </c>
      <c r="BA152" s="6">
        <v>0.0</v>
      </c>
      <c r="BB152" s="6">
        <v>0.0</v>
      </c>
      <c r="BC152" s="6">
        <v>0.0</v>
      </c>
      <c r="BD152" s="6">
        <v>0.0</v>
      </c>
      <c r="BE152" s="6">
        <v>0.0</v>
      </c>
      <c r="BF152" s="6">
        <v>0.0</v>
      </c>
      <c r="BG152" s="6">
        <v>0.0</v>
      </c>
      <c r="BH152" s="6">
        <v>0.0</v>
      </c>
      <c r="BI152" s="6">
        <f t="shared" ref="BI152:BK152" si="1310">+BC152+BF152+AW152+AZ152</f>
        <v>0</v>
      </c>
      <c r="BJ152" s="6">
        <f t="shared" si="1310"/>
        <v>0</v>
      </c>
      <c r="BK152" s="6">
        <f t="shared" si="1310"/>
        <v>0</v>
      </c>
      <c r="BL152" s="6">
        <v>0.0</v>
      </c>
      <c r="BM152" s="6">
        <v>0.0</v>
      </c>
      <c r="BN152" s="6">
        <v>0.0</v>
      </c>
      <c r="BO152" s="6">
        <v>0.0</v>
      </c>
      <c r="BP152" s="6">
        <v>0.0</v>
      </c>
      <c r="BQ152" s="6">
        <v>0.0</v>
      </c>
      <c r="BR152" s="5">
        <v>9068273.0</v>
      </c>
      <c r="BS152" s="5">
        <v>9068273.0</v>
      </c>
      <c r="BT152" s="6">
        <v>0.0</v>
      </c>
      <c r="BU152" s="6" t="str">
        <f t="shared" ref="BU152:BW152" si="1311">+BO152+BR152+#REF!+BL152</f>
        <v>#REF!</v>
      </c>
      <c r="BV152" s="6" t="str">
        <f t="shared" si="1311"/>
        <v>#REF!</v>
      </c>
      <c r="BW152" s="6" t="str">
        <f t="shared" si="1311"/>
        <v>#REF!</v>
      </c>
      <c r="BX152" s="6">
        <v>0.0</v>
      </c>
      <c r="BY152" s="6">
        <v>0.0</v>
      </c>
      <c r="BZ152" s="6">
        <v>2200000.0</v>
      </c>
      <c r="CA152" s="6">
        <v>0.0</v>
      </c>
      <c r="CB152" s="6">
        <v>0.0</v>
      </c>
      <c r="CC152" s="6">
        <v>700000.0</v>
      </c>
      <c r="CD152" s="6">
        <v>0.0</v>
      </c>
      <c r="CE152" s="6">
        <v>0.0</v>
      </c>
      <c r="CF152" s="6">
        <v>0.0</v>
      </c>
      <c r="CG152" s="6" t="str">
        <f t="shared" ref="CG152:CI152" si="1312">+CA152+CD152+BX152+#REF!</f>
        <v>#REF!</v>
      </c>
      <c r="CH152" s="6" t="str">
        <f t="shared" si="1312"/>
        <v>#REF!</v>
      </c>
      <c r="CI152" s="6" t="str">
        <f t="shared" si="1312"/>
        <v>#REF!</v>
      </c>
      <c r="CJ152" s="6">
        <v>0.0</v>
      </c>
      <c r="CK152" s="6">
        <v>0.0</v>
      </c>
      <c r="CL152" s="6">
        <v>0.0</v>
      </c>
      <c r="CM152" s="6">
        <v>0.0</v>
      </c>
      <c r="CN152" s="6">
        <v>0.0</v>
      </c>
      <c r="CO152" s="6">
        <v>800000.0</v>
      </c>
      <c r="CP152" s="6">
        <v>0.0</v>
      </c>
      <c r="CQ152" s="6">
        <v>0.0</v>
      </c>
      <c r="CR152" s="6">
        <v>0.0</v>
      </c>
      <c r="CS152" s="6">
        <v>0.0</v>
      </c>
      <c r="CT152" s="6">
        <v>0.0</v>
      </c>
      <c r="CU152" s="6">
        <v>0.0</v>
      </c>
      <c r="CV152" s="6">
        <f t="shared" ref="CV152:CX152" si="1313">+CP152+CS152+CJ152+CM152</f>
        <v>0</v>
      </c>
      <c r="CW152" s="6">
        <f t="shared" si="1313"/>
        <v>0</v>
      </c>
      <c r="CX152" s="6">
        <f t="shared" si="1313"/>
        <v>800000</v>
      </c>
      <c r="CY152" s="6">
        <v>0.0</v>
      </c>
      <c r="CZ152" s="6">
        <v>0.0</v>
      </c>
      <c r="DA152" s="6">
        <v>0.0</v>
      </c>
      <c r="DB152" s="6">
        <v>0.0</v>
      </c>
      <c r="DC152" s="6">
        <v>0.0</v>
      </c>
      <c r="DD152" s="6">
        <v>800000.0</v>
      </c>
      <c r="DE152" s="6">
        <v>0.0</v>
      </c>
      <c r="DF152" s="6">
        <v>0.0</v>
      </c>
      <c r="DG152" s="6">
        <v>0.0</v>
      </c>
      <c r="DH152" s="6">
        <v>0.0</v>
      </c>
      <c r="DI152" s="6">
        <v>0.0</v>
      </c>
      <c r="DJ152" s="6">
        <v>0.0</v>
      </c>
      <c r="DK152" s="6">
        <f t="shared" ref="DK152:DM152" si="1314">+DE152+DH152+CY152+DB152</f>
        <v>0</v>
      </c>
      <c r="DL152" s="6">
        <f t="shared" si="1314"/>
        <v>0</v>
      </c>
      <c r="DM152" s="6">
        <f t="shared" si="1314"/>
        <v>800000</v>
      </c>
      <c r="DN152" s="6" t="str">
        <f t="shared" ref="DN152:DP152" si="1315">+P152+AE152+AT152+BI152+BU152+CG152+CV152</f>
        <v>#REF!</v>
      </c>
      <c r="DO152" s="6" t="str">
        <f t="shared" si="1315"/>
        <v>#REF!</v>
      </c>
      <c r="DP152" s="6" t="str">
        <f t="shared" si="1315"/>
        <v>#REF!</v>
      </c>
      <c r="DQ152" s="6" t="str">
        <f t="shared" si="19"/>
        <v>#REF!</v>
      </c>
    </row>
    <row r="153" ht="13.5" customHeight="1">
      <c r="A153" s="11">
        <v>45615.0</v>
      </c>
      <c r="B153" s="2" t="s">
        <v>589</v>
      </c>
      <c r="C153" s="2" t="s">
        <v>590</v>
      </c>
      <c r="D153" s="29" t="s">
        <v>591</v>
      </c>
      <c r="E153" s="2" t="s">
        <v>592</v>
      </c>
      <c r="F153" s="11" t="s">
        <v>593</v>
      </c>
      <c r="G153" s="11" t="s">
        <v>20</v>
      </c>
      <c r="H153" s="5">
        <v>98000.0</v>
      </c>
      <c r="I153" s="5">
        <v>98000.0</v>
      </c>
      <c r="J153" s="6">
        <v>0.0</v>
      </c>
      <c r="K153" s="6">
        <v>0.0</v>
      </c>
      <c r="L153" s="6">
        <v>0.0</v>
      </c>
      <c r="M153" s="6">
        <v>0.0</v>
      </c>
      <c r="N153" s="6">
        <v>0.0</v>
      </c>
      <c r="O153" s="6">
        <v>0.0</v>
      </c>
      <c r="P153" s="6">
        <f t="shared" ref="P153:R153" si="1316">+J153+M153</f>
        <v>0</v>
      </c>
      <c r="Q153" s="6">
        <f t="shared" si="1316"/>
        <v>0</v>
      </c>
      <c r="R153" s="6">
        <f t="shared" si="1316"/>
        <v>0</v>
      </c>
      <c r="S153" s="6">
        <v>0.0</v>
      </c>
      <c r="T153" s="6">
        <v>0.0</v>
      </c>
      <c r="U153" s="6">
        <v>0.0</v>
      </c>
      <c r="V153" s="6">
        <v>0.0</v>
      </c>
      <c r="W153" s="6">
        <v>0.0</v>
      </c>
      <c r="X153" s="6">
        <v>0.0</v>
      </c>
      <c r="Y153" s="6">
        <v>0.0</v>
      </c>
      <c r="Z153" s="6">
        <v>0.0</v>
      </c>
      <c r="AA153" s="6">
        <v>0.0</v>
      </c>
      <c r="AB153" s="6">
        <v>0.0</v>
      </c>
      <c r="AC153" s="6">
        <v>0.0</v>
      </c>
      <c r="AD153" s="6">
        <v>0.0</v>
      </c>
      <c r="AE153" s="6">
        <f t="shared" ref="AE153:AG153" si="1317">+Y153+AB153+S153+V153</f>
        <v>0</v>
      </c>
      <c r="AF153" s="6">
        <f t="shared" si="1317"/>
        <v>0</v>
      </c>
      <c r="AG153" s="6">
        <f t="shared" si="1317"/>
        <v>0</v>
      </c>
      <c r="AH153" s="6">
        <v>0.0</v>
      </c>
      <c r="AI153" s="6">
        <v>0.0</v>
      </c>
      <c r="AJ153" s="6">
        <v>0.0</v>
      </c>
      <c r="AK153" s="6">
        <v>0.0</v>
      </c>
      <c r="AL153" s="6">
        <v>0.0</v>
      </c>
      <c r="AM153" s="6">
        <v>0.0</v>
      </c>
      <c r="AN153" s="6">
        <v>0.0</v>
      </c>
      <c r="AO153" s="6">
        <v>0.0</v>
      </c>
      <c r="AP153" s="6">
        <v>0.0</v>
      </c>
      <c r="AQ153" s="6">
        <v>0.0</v>
      </c>
      <c r="AR153" s="6">
        <v>0.0</v>
      </c>
      <c r="AS153" s="6">
        <v>0.0</v>
      </c>
      <c r="AT153" s="6">
        <f t="shared" ref="AT153:AV153" si="1318">+AN153+AQ153+AH153+AK153</f>
        <v>0</v>
      </c>
      <c r="AU153" s="6">
        <f t="shared" si="1318"/>
        <v>0</v>
      </c>
      <c r="AV153" s="6">
        <f t="shared" si="1318"/>
        <v>0</v>
      </c>
      <c r="AW153" s="6">
        <v>0.0</v>
      </c>
      <c r="AX153" s="6">
        <v>0.0</v>
      </c>
      <c r="AY153" s="6">
        <v>0.0</v>
      </c>
      <c r="AZ153" s="6">
        <v>0.0</v>
      </c>
      <c r="BA153" s="6">
        <v>0.0</v>
      </c>
      <c r="BB153" s="6">
        <v>0.0</v>
      </c>
      <c r="BC153" s="6">
        <v>0.0</v>
      </c>
      <c r="BD153" s="6">
        <v>0.0</v>
      </c>
      <c r="BE153" s="6">
        <v>0.0</v>
      </c>
      <c r="BF153" s="6">
        <v>0.0</v>
      </c>
      <c r="BG153" s="6">
        <v>0.0</v>
      </c>
      <c r="BH153" s="6">
        <v>0.0</v>
      </c>
      <c r="BI153" s="6">
        <f t="shared" ref="BI153:BK153" si="1319">+BC153+BF153+AW153+AZ153</f>
        <v>0</v>
      </c>
      <c r="BJ153" s="6">
        <f t="shared" si="1319"/>
        <v>0</v>
      </c>
      <c r="BK153" s="6">
        <f t="shared" si="1319"/>
        <v>0</v>
      </c>
      <c r="BL153" s="6">
        <v>0.0</v>
      </c>
      <c r="BM153" s="6">
        <v>0.0</v>
      </c>
      <c r="BN153" s="6">
        <v>0.0</v>
      </c>
      <c r="BO153" s="6">
        <v>0.0</v>
      </c>
      <c r="BP153" s="6">
        <v>0.0</v>
      </c>
      <c r="BQ153" s="6">
        <v>0.0</v>
      </c>
      <c r="BR153" s="6">
        <v>0.0</v>
      </c>
      <c r="BS153" s="6">
        <v>0.0</v>
      </c>
      <c r="BT153" s="6">
        <v>0.0</v>
      </c>
      <c r="BU153" s="6" t="str">
        <f t="shared" ref="BU153:BW153" si="1320">+BO153+BR153+#REF!+BL153</f>
        <v>#REF!</v>
      </c>
      <c r="BV153" s="6" t="str">
        <f t="shared" si="1320"/>
        <v>#REF!</v>
      </c>
      <c r="BW153" s="6" t="str">
        <f t="shared" si="1320"/>
        <v>#REF!</v>
      </c>
      <c r="BX153" s="5">
        <v>98000.0</v>
      </c>
      <c r="BY153" s="5">
        <v>98000.0</v>
      </c>
      <c r="BZ153" s="6">
        <v>98000.0</v>
      </c>
      <c r="CA153" s="6">
        <v>0.0</v>
      </c>
      <c r="CB153" s="6">
        <v>0.0</v>
      </c>
      <c r="CC153" s="6">
        <v>0.0</v>
      </c>
      <c r="CD153" s="6">
        <v>0.0</v>
      </c>
      <c r="CE153" s="6">
        <v>0.0</v>
      </c>
      <c r="CF153" s="6">
        <v>0.0</v>
      </c>
      <c r="CG153" s="6" t="str">
        <f t="shared" ref="CG153:CI153" si="1321">+CA153+CD153+BX153+#REF!</f>
        <v>#REF!</v>
      </c>
      <c r="CH153" s="6" t="str">
        <f t="shared" si="1321"/>
        <v>#REF!</v>
      </c>
      <c r="CI153" s="6" t="str">
        <f t="shared" si="1321"/>
        <v>#REF!</v>
      </c>
      <c r="CJ153" s="6">
        <v>0.0</v>
      </c>
      <c r="CK153" s="6">
        <v>0.0</v>
      </c>
      <c r="CL153" s="6">
        <v>0.0</v>
      </c>
      <c r="CM153" s="6">
        <v>0.0</v>
      </c>
      <c r="CN153" s="6">
        <v>0.0</v>
      </c>
      <c r="CO153" s="6">
        <v>0.0</v>
      </c>
      <c r="CP153" s="6">
        <v>0.0</v>
      </c>
      <c r="CQ153" s="6">
        <v>0.0</v>
      </c>
      <c r="CR153" s="6">
        <v>0.0</v>
      </c>
      <c r="CS153" s="6">
        <v>0.0</v>
      </c>
      <c r="CT153" s="6">
        <v>0.0</v>
      </c>
      <c r="CU153" s="6">
        <v>0.0</v>
      </c>
      <c r="CV153" s="6">
        <f t="shared" ref="CV153:CX153" si="1322">+CP153+CS153+CJ153+CM153</f>
        <v>0</v>
      </c>
      <c r="CW153" s="6">
        <f t="shared" si="1322"/>
        <v>0</v>
      </c>
      <c r="CX153" s="6">
        <f t="shared" si="1322"/>
        <v>0</v>
      </c>
      <c r="CY153" s="6">
        <v>0.0</v>
      </c>
      <c r="CZ153" s="6">
        <v>0.0</v>
      </c>
      <c r="DA153" s="6">
        <v>0.0</v>
      </c>
      <c r="DB153" s="6">
        <v>0.0</v>
      </c>
      <c r="DC153" s="6">
        <v>0.0</v>
      </c>
      <c r="DD153" s="6">
        <v>0.0</v>
      </c>
      <c r="DE153" s="6">
        <v>0.0</v>
      </c>
      <c r="DF153" s="6">
        <v>0.0</v>
      </c>
      <c r="DG153" s="6">
        <v>0.0</v>
      </c>
      <c r="DH153" s="6">
        <v>0.0</v>
      </c>
      <c r="DI153" s="6">
        <v>0.0</v>
      </c>
      <c r="DJ153" s="6">
        <v>0.0</v>
      </c>
      <c r="DK153" s="6">
        <f t="shared" ref="DK153:DM153" si="1323">+DE153+DH153+CY153+DB153</f>
        <v>0</v>
      </c>
      <c r="DL153" s="6">
        <f t="shared" si="1323"/>
        <v>0</v>
      </c>
      <c r="DM153" s="6">
        <f t="shared" si="1323"/>
        <v>0</v>
      </c>
      <c r="DN153" s="6" t="str">
        <f t="shared" ref="DN153:DP153" si="1324">+P153+AE153+AT153+BI153+BU153+CG153+CV153</f>
        <v>#REF!</v>
      </c>
      <c r="DO153" s="6" t="str">
        <f t="shared" si="1324"/>
        <v>#REF!</v>
      </c>
      <c r="DP153" s="6" t="str">
        <f t="shared" si="1324"/>
        <v>#REF!</v>
      </c>
      <c r="DQ153" s="6" t="str">
        <f t="shared" si="19"/>
        <v>#REF!</v>
      </c>
    </row>
    <row r="154" ht="13.5" customHeight="1">
      <c r="A154" s="11">
        <v>45615.0</v>
      </c>
      <c r="B154" s="2" t="s">
        <v>589</v>
      </c>
      <c r="C154" s="2" t="s">
        <v>590</v>
      </c>
      <c r="D154" s="29" t="s">
        <v>591</v>
      </c>
      <c r="E154" s="2" t="s">
        <v>592</v>
      </c>
      <c r="F154" s="11" t="s">
        <v>593</v>
      </c>
      <c r="G154" s="11" t="s">
        <v>20</v>
      </c>
      <c r="H154" s="5">
        <v>90000.0</v>
      </c>
      <c r="I154" s="5">
        <v>90000.0</v>
      </c>
      <c r="J154" s="6">
        <v>0.0</v>
      </c>
      <c r="K154" s="6">
        <v>0.0</v>
      </c>
      <c r="L154" s="6">
        <v>0.0</v>
      </c>
      <c r="M154" s="6">
        <v>0.0</v>
      </c>
      <c r="N154" s="6">
        <v>0.0</v>
      </c>
      <c r="O154" s="6">
        <v>0.0</v>
      </c>
      <c r="P154" s="6">
        <f t="shared" ref="P154:R154" si="1325">+J154+M154</f>
        <v>0</v>
      </c>
      <c r="Q154" s="6">
        <f t="shared" si="1325"/>
        <v>0</v>
      </c>
      <c r="R154" s="6">
        <f t="shared" si="1325"/>
        <v>0</v>
      </c>
      <c r="S154" s="6">
        <v>0.0</v>
      </c>
      <c r="T154" s="6">
        <v>0.0</v>
      </c>
      <c r="U154" s="6">
        <v>0.0</v>
      </c>
      <c r="V154" s="6">
        <v>0.0</v>
      </c>
      <c r="W154" s="6">
        <v>0.0</v>
      </c>
      <c r="X154" s="6">
        <v>0.0</v>
      </c>
      <c r="Y154" s="6">
        <v>0.0</v>
      </c>
      <c r="Z154" s="6">
        <v>0.0</v>
      </c>
      <c r="AA154" s="6">
        <v>0.0</v>
      </c>
      <c r="AB154" s="6">
        <v>0.0</v>
      </c>
      <c r="AC154" s="6">
        <v>0.0</v>
      </c>
      <c r="AD154" s="6">
        <v>0.0</v>
      </c>
      <c r="AE154" s="6">
        <f t="shared" ref="AE154:AG154" si="1326">+Y154+AB154+S154+V154</f>
        <v>0</v>
      </c>
      <c r="AF154" s="6">
        <f t="shared" si="1326"/>
        <v>0</v>
      </c>
      <c r="AG154" s="6">
        <f t="shared" si="1326"/>
        <v>0</v>
      </c>
      <c r="AH154" s="6">
        <v>0.0</v>
      </c>
      <c r="AI154" s="6">
        <v>0.0</v>
      </c>
      <c r="AJ154" s="6">
        <v>0.0</v>
      </c>
      <c r="AK154" s="6">
        <v>0.0</v>
      </c>
      <c r="AL154" s="6">
        <v>0.0</v>
      </c>
      <c r="AM154" s="6">
        <v>0.0</v>
      </c>
      <c r="AN154" s="6">
        <v>0.0</v>
      </c>
      <c r="AO154" s="6">
        <v>0.0</v>
      </c>
      <c r="AP154" s="6">
        <v>0.0</v>
      </c>
      <c r="AQ154" s="6">
        <v>0.0</v>
      </c>
      <c r="AR154" s="6">
        <v>0.0</v>
      </c>
      <c r="AS154" s="6">
        <v>0.0</v>
      </c>
      <c r="AT154" s="6">
        <f t="shared" ref="AT154:AV154" si="1327">+AN154+AQ154+AH154+AK154</f>
        <v>0</v>
      </c>
      <c r="AU154" s="6">
        <f t="shared" si="1327"/>
        <v>0</v>
      </c>
      <c r="AV154" s="6">
        <f t="shared" si="1327"/>
        <v>0</v>
      </c>
      <c r="AW154" s="6">
        <v>0.0</v>
      </c>
      <c r="AX154" s="6">
        <v>0.0</v>
      </c>
      <c r="AY154" s="6">
        <v>0.0</v>
      </c>
      <c r="AZ154" s="6">
        <v>0.0</v>
      </c>
      <c r="BA154" s="6">
        <v>0.0</v>
      </c>
      <c r="BB154" s="6">
        <v>0.0</v>
      </c>
      <c r="BC154" s="6">
        <v>0.0</v>
      </c>
      <c r="BD154" s="6">
        <v>0.0</v>
      </c>
      <c r="BE154" s="6">
        <v>0.0</v>
      </c>
      <c r="BF154" s="6">
        <v>0.0</v>
      </c>
      <c r="BG154" s="6">
        <v>0.0</v>
      </c>
      <c r="BH154" s="6">
        <v>0.0</v>
      </c>
      <c r="BI154" s="6">
        <f t="shared" ref="BI154:BK154" si="1328">+BC154+BF154+AW154+AZ154</f>
        <v>0</v>
      </c>
      <c r="BJ154" s="6">
        <f t="shared" si="1328"/>
        <v>0</v>
      </c>
      <c r="BK154" s="6">
        <f t="shared" si="1328"/>
        <v>0</v>
      </c>
      <c r="BL154" s="6">
        <v>0.0</v>
      </c>
      <c r="BM154" s="6">
        <v>0.0</v>
      </c>
      <c r="BN154" s="6">
        <v>0.0</v>
      </c>
      <c r="BO154" s="6">
        <v>0.0</v>
      </c>
      <c r="BP154" s="6">
        <v>0.0</v>
      </c>
      <c r="BQ154" s="6">
        <v>0.0</v>
      </c>
      <c r="BR154" s="6">
        <v>0.0</v>
      </c>
      <c r="BS154" s="6">
        <v>0.0</v>
      </c>
      <c r="BT154" s="6">
        <v>0.0</v>
      </c>
      <c r="BU154" s="6" t="str">
        <f t="shared" ref="BU154:BW154" si="1329">+BO154+BR154+#REF!+BL154</f>
        <v>#REF!</v>
      </c>
      <c r="BV154" s="6" t="str">
        <f t="shared" si="1329"/>
        <v>#REF!</v>
      </c>
      <c r="BW154" s="6" t="str">
        <f t="shared" si="1329"/>
        <v>#REF!</v>
      </c>
      <c r="BX154" s="5">
        <v>90000.0</v>
      </c>
      <c r="BY154" s="5">
        <v>90000.0</v>
      </c>
      <c r="BZ154" s="6">
        <v>90000.0</v>
      </c>
      <c r="CA154" s="6">
        <v>0.0</v>
      </c>
      <c r="CB154" s="6">
        <v>0.0</v>
      </c>
      <c r="CC154" s="6">
        <v>0.0</v>
      </c>
      <c r="CD154" s="6">
        <v>0.0</v>
      </c>
      <c r="CE154" s="6">
        <v>0.0</v>
      </c>
      <c r="CF154" s="6">
        <v>0.0</v>
      </c>
      <c r="CG154" s="6" t="str">
        <f t="shared" ref="CG154:CI154" si="1330">+CA154+CD154+BX154+#REF!</f>
        <v>#REF!</v>
      </c>
      <c r="CH154" s="6" t="str">
        <f t="shared" si="1330"/>
        <v>#REF!</v>
      </c>
      <c r="CI154" s="6" t="str">
        <f t="shared" si="1330"/>
        <v>#REF!</v>
      </c>
      <c r="CJ154" s="6">
        <v>0.0</v>
      </c>
      <c r="CK154" s="6">
        <v>0.0</v>
      </c>
      <c r="CL154" s="6">
        <v>0.0</v>
      </c>
      <c r="CM154" s="6">
        <v>0.0</v>
      </c>
      <c r="CN154" s="6">
        <v>0.0</v>
      </c>
      <c r="CO154" s="6">
        <v>0.0</v>
      </c>
      <c r="CP154" s="6">
        <v>0.0</v>
      </c>
      <c r="CQ154" s="6">
        <v>0.0</v>
      </c>
      <c r="CR154" s="6">
        <v>0.0</v>
      </c>
      <c r="CS154" s="6">
        <v>0.0</v>
      </c>
      <c r="CT154" s="6">
        <v>0.0</v>
      </c>
      <c r="CU154" s="6">
        <v>0.0</v>
      </c>
      <c r="CV154" s="6">
        <f t="shared" ref="CV154:CX154" si="1331">+CP154+CS154+CJ154+CM154</f>
        <v>0</v>
      </c>
      <c r="CW154" s="6">
        <f t="shared" si="1331"/>
        <v>0</v>
      </c>
      <c r="CX154" s="6">
        <f t="shared" si="1331"/>
        <v>0</v>
      </c>
      <c r="CY154" s="6">
        <v>0.0</v>
      </c>
      <c r="CZ154" s="6">
        <v>0.0</v>
      </c>
      <c r="DA154" s="6">
        <v>0.0</v>
      </c>
      <c r="DB154" s="6">
        <v>0.0</v>
      </c>
      <c r="DC154" s="6">
        <v>0.0</v>
      </c>
      <c r="DD154" s="6">
        <v>0.0</v>
      </c>
      <c r="DE154" s="6">
        <v>0.0</v>
      </c>
      <c r="DF154" s="6">
        <v>0.0</v>
      </c>
      <c r="DG154" s="6">
        <v>0.0</v>
      </c>
      <c r="DH154" s="6">
        <v>0.0</v>
      </c>
      <c r="DI154" s="6">
        <v>0.0</v>
      </c>
      <c r="DJ154" s="6">
        <v>0.0</v>
      </c>
      <c r="DK154" s="6">
        <f t="shared" ref="DK154:DM154" si="1332">+DE154+DH154+CY154+DB154</f>
        <v>0</v>
      </c>
      <c r="DL154" s="6">
        <f t="shared" si="1332"/>
        <v>0</v>
      </c>
      <c r="DM154" s="6">
        <f t="shared" si="1332"/>
        <v>0</v>
      </c>
      <c r="DN154" s="6" t="str">
        <f t="shared" ref="DN154:DP154" si="1333">+P154+AE154+AT154+BI154+BU154+CG154+CV154</f>
        <v>#REF!</v>
      </c>
      <c r="DO154" s="6" t="str">
        <f t="shared" si="1333"/>
        <v>#REF!</v>
      </c>
      <c r="DP154" s="6" t="str">
        <f t="shared" si="1333"/>
        <v>#REF!</v>
      </c>
      <c r="DQ154" s="6" t="str">
        <f t="shared" si="19"/>
        <v>#REF!</v>
      </c>
    </row>
    <row r="155" ht="13.5" customHeight="1">
      <c r="A155" s="11">
        <v>45722.0</v>
      </c>
      <c r="B155" s="2" t="s">
        <v>594</v>
      </c>
      <c r="C155" s="2" t="s">
        <v>595</v>
      </c>
      <c r="D155" s="29" t="s">
        <v>596</v>
      </c>
      <c r="E155" s="2" t="s">
        <v>597</v>
      </c>
      <c r="F155" s="11" t="s">
        <v>598</v>
      </c>
      <c r="G155" s="11" t="s">
        <v>599</v>
      </c>
      <c r="H155" s="5">
        <v>2250000.0</v>
      </c>
      <c r="I155" s="5">
        <v>2250000.0</v>
      </c>
      <c r="J155" s="6">
        <v>0.0</v>
      </c>
      <c r="K155" s="6">
        <v>0.0</v>
      </c>
      <c r="L155" s="6">
        <v>0.0</v>
      </c>
      <c r="M155" s="6">
        <v>0.0</v>
      </c>
      <c r="N155" s="6">
        <v>0.0</v>
      </c>
      <c r="O155" s="6">
        <v>0.0</v>
      </c>
      <c r="P155" s="6">
        <f t="shared" ref="P155:R155" si="1334">+J155+M155</f>
        <v>0</v>
      </c>
      <c r="Q155" s="6">
        <f t="shared" si="1334"/>
        <v>0</v>
      </c>
      <c r="R155" s="6">
        <f t="shared" si="1334"/>
        <v>0</v>
      </c>
      <c r="S155" s="6">
        <v>0.0</v>
      </c>
      <c r="T155" s="6">
        <v>0.0</v>
      </c>
      <c r="U155" s="6">
        <v>0.0</v>
      </c>
      <c r="V155" s="6">
        <v>0.0</v>
      </c>
      <c r="W155" s="6">
        <v>0.0</v>
      </c>
      <c r="X155" s="6">
        <v>0.0</v>
      </c>
      <c r="Y155" s="6">
        <v>0.0</v>
      </c>
      <c r="Z155" s="6">
        <v>0.0</v>
      </c>
      <c r="AA155" s="6">
        <v>0.0</v>
      </c>
      <c r="AB155" s="6">
        <v>0.0</v>
      </c>
      <c r="AC155" s="6">
        <v>0.0</v>
      </c>
      <c r="AD155" s="6">
        <v>0.0</v>
      </c>
      <c r="AE155" s="6">
        <f t="shared" ref="AE155:AG155" si="1335">+Y155+AB155+S155+V155</f>
        <v>0</v>
      </c>
      <c r="AF155" s="6">
        <f t="shared" si="1335"/>
        <v>0</v>
      </c>
      <c r="AG155" s="6">
        <f t="shared" si="1335"/>
        <v>0</v>
      </c>
      <c r="AH155" s="6">
        <v>0.0</v>
      </c>
      <c r="AI155" s="6">
        <v>0.0</v>
      </c>
      <c r="AJ155" s="6">
        <v>0.0</v>
      </c>
      <c r="AK155" s="6">
        <v>0.0</v>
      </c>
      <c r="AL155" s="6">
        <v>0.0</v>
      </c>
      <c r="AM155" s="6">
        <v>0.0</v>
      </c>
      <c r="AN155" s="6">
        <v>0.0</v>
      </c>
      <c r="AO155" s="6">
        <v>0.0</v>
      </c>
      <c r="AP155" s="6">
        <v>0.0</v>
      </c>
      <c r="AQ155" s="6">
        <v>0.0</v>
      </c>
      <c r="AR155" s="6">
        <v>0.0</v>
      </c>
      <c r="AS155" s="6">
        <v>0.0</v>
      </c>
      <c r="AT155" s="6">
        <f t="shared" ref="AT155:AV155" si="1336">+AN155+AQ155+AH155+AK155</f>
        <v>0</v>
      </c>
      <c r="AU155" s="6">
        <f t="shared" si="1336"/>
        <v>0</v>
      </c>
      <c r="AV155" s="6">
        <f t="shared" si="1336"/>
        <v>0</v>
      </c>
      <c r="AW155" s="6">
        <v>0.0</v>
      </c>
      <c r="AX155" s="6">
        <v>0.0</v>
      </c>
      <c r="AY155" s="6">
        <v>0.0</v>
      </c>
      <c r="AZ155" s="6">
        <v>0.0</v>
      </c>
      <c r="BA155" s="6">
        <v>0.0</v>
      </c>
      <c r="BB155" s="6">
        <v>0.0</v>
      </c>
      <c r="BC155" s="6">
        <v>0.0</v>
      </c>
      <c r="BD155" s="6">
        <v>0.0</v>
      </c>
      <c r="BE155" s="6">
        <v>0.0</v>
      </c>
      <c r="BF155" s="6">
        <v>0.0</v>
      </c>
      <c r="BG155" s="6">
        <v>0.0</v>
      </c>
      <c r="BH155" s="6">
        <v>0.0</v>
      </c>
      <c r="BI155" s="6">
        <f t="shared" ref="BI155:BK155" si="1337">+BC155+BF155+AW155+AZ155</f>
        <v>0</v>
      </c>
      <c r="BJ155" s="6">
        <f t="shared" si="1337"/>
        <v>0</v>
      </c>
      <c r="BK155" s="6">
        <f t="shared" si="1337"/>
        <v>0</v>
      </c>
      <c r="BL155" s="6">
        <v>0.0</v>
      </c>
      <c r="BM155" s="6">
        <v>0.0</v>
      </c>
      <c r="BN155" s="6">
        <v>0.0</v>
      </c>
      <c r="BO155" s="6">
        <v>0.0</v>
      </c>
      <c r="BP155" s="6">
        <v>0.0</v>
      </c>
      <c r="BQ155" s="6">
        <v>0.0</v>
      </c>
      <c r="BR155" s="6">
        <v>0.0</v>
      </c>
      <c r="BS155" s="6">
        <v>0.0</v>
      </c>
      <c r="BT155" s="6">
        <v>0.0</v>
      </c>
      <c r="BU155" s="6" t="str">
        <f t="shared" ref="BU155:BW155" si="1338">+BO155+BR155+#REF!+BL155</f>
        <v>#REF!</v>
      </c>
      <c r="BV155" s="6" t="str">
        <f t="shared" si="1338"/>
        <v>#REF!</v>
      </c>
      <c r="BW155" s="6" t="str">
        <f t="shared" si="1338"/>
        <v>#REF!</v>
      </c>
      <c r="BX155" s="6">
        <v>0.0</v>
      </c>
      <c r="BY155" s="6">
        <v>0.0</v>
      </c>
      <c r="BZ155" s="6">
        <v>0.0</v>
      </c>
      <c r="CA155" s="6">
        <v>0.0</v>
      </c>
      <c r="CB155" s="6">
        <v>0.0</v>
      </c>
      <c r="CC155" s="6">
        <v>600000.0</v>
      </c>
      <c r="CD155" s="6">
        <v>0.0</v>
      </c>
      <c r="CE155" s="6">
        <v>0.0</v>
      </c>
      <c r="CF155" s="6">
        <v>0.0</v>
      </c>
      <c r="CG155" s="6" t="str">
        <f t="shared" ref="CG155:CI155" si="1339">+CA155+CD155+BX155+#REF!</f>
        <v>#REF!</v>
      </c>
      <c r="CH155" s="6" t="str">
        <f t="shared" si="1339"/>
        <v>#REF!</v>
      </c>
      <c r="CI155" s="6" t="str">
        <f t="shared" si="1339"/>
        <v>#REF!</v>
      </c>
      <c r="CJ155" s="6">
        <v>0.0</v>
      </c>
      <c r="CK155" s="6">
        <v>0.0</v>
      </c>
      <c r="CL155" s="6">
        <v>500000.0</v>
      </c>
      <c r="CM155" s="6">
        <v>0.0</v>
      </c>
      <c r="CN155" s="6">
        <v>0.0</v>
      </c>
      <c r="CO155" s="6">
        <v>0.0</v>
      </c>
      <c r="CP155" s="6">
        <v>0.0</v>
      </c>
      <c r="CQ155" s="6">
        <v>0.0</v>
      </c>
      <c r="CR155" s="6">
        <v>0.0</v>
      </c>
      <c r="CS155" s="6">
        <v>0.0</v>
      </c>
      <c r="CT155" s="6">
        <v>0.0</v>
      </c>
      <c r="CU155" s="6">
        <v>0.0</v>
      </c>
      <c r="CV155" s="6">
        <f t="shared" ref="CV155:CX155" si="1340">+CP155+CS155+CJ155+CM155</f>
        <v>0</v>
      </c>
      <c r="CW155" s="6">
        <f t="shared" si="1340"/>
        <v>0</v>
      </c>
      <c r="CX155" s="6">
        <f t="shared" si="1340"/>
        <v>500000</v>
      </c>
      <c r="CY155" s="6">
        <v>0.0</v>
      </c>
      <c r="CZ155" s="6">
        <v>0.0</v>
      </c>
      <c r="DA155" s="6">
        <v>500000.0</v>
      </c>
      <c r="DB155" s="6">
        <v>0.0</v>
      </c>
      <c r="DC155" s="6">
        <v>0.0</v>
      </c>
      <c r="DD155" s="6">
        <v>0.0</v>
      </c>
      <c r="DE155" s="6">
        <v>0.0</v>
      </c>
      <c r="DF155" s="6">
        <v>0.0</v>
      </c>
      <c r="DG155" s="6">
        <v>0.0</v>
      </c>
      <c r="DH155" s="6">
        <v>0.0</v>
      </c>
      <c r="DI155" s="6">
        <v>0.0</v>
      </c>
      <c r="DJ155" s="6">
        <v>0.0</v>
      </c>
      <c r="DK155" s="6">
        <f t="shared" ref="DK155:DM155" si="1341">+DE155+DH155+CY155+DB155</f>
        <v>0</v>
      </c>
      <c r="DL155" s="6">
        <f t="shared" si="1341"/>
        <v>0</v>
      </c>
      <c r="DM155" s="6">
        <f t="shared" si="1341"/>
        <v>500000</v>
      </c>
      <c r="DN155" s="6" t="str">
        <f t="shared" ref="DN155:DP155" si="1342">+P155+AE155+AT155+BI155+BU155+CG155+CV155</f>
        <v>#REF!</v>
      </c>
      <c r="DO155" s="6" t="str">
        <f t="shared" si="1342"/>
        <v>#REF!</v>
      </c>
      <c r="DP155" s="6" t="str">
        <f t="shared" si="1342"/>
        <v>#REF!</v>
      </c>
      <c r="DQ155" s="6" t="str">
        <f t="shared" si="19"/>
        <v>#REF!</v>
      </c>
    </row>
    <row r="156" ht="13.5" customHeight="1">
      <c r="A156" s="11">
        <v>45667.0</v>
      </c>
      <c r="B156" s="2" t="s">
        <v>600</v>
      </c>
      <c r="C156" s="2" t="s">
        <v>601</v>
      </c>
      <c r="D156" s="29" t="s">
        <v>602</v>
      </c>
      <c r="E156" s="2" t="s">
        <v>603</v>
      </c>
      <c r="F156" s="11" t="s">
        <v>604</v>
      </c>
      <c r="G156" s="11" t="s">
        <v>20</v>
      </c>
      <c r="H156" s="5">
        <v>1450000.0</v>
      </c>
      <c r="I156" s="5">
        <v>1450000.0</v>
      </c>
      <c r="J156" s="6">
        <v>0.0</v>
      </c>
      <c r="K156" s="6">
        <v>0.0</v>
      </c>
      <c r="L156" s="6">
        <v>0.0</v>
      </c>
      <c r="M156" s="6">
        <v>0.0</v>
      </c>
      <c r="N156" s="6">
        <v>0.0</v>
      </c>
      <c r="O156" s="6">
        <v>0.0</v>
      </c>
      <c r="P156" s="6">
        <f t="shared" ref="P156:R156" si="1343">+J156+M156</f>
        <v>0</v>
      </c>
      <c r="Q156" s="6">
        <f t="shared" si="1343"/>
        <v>0</v>
      </c>
      <c r="R156" s="6">
        <f t="shared" si="1343"/>
        <v>0</v>
      </c>
      <c r="S156" s="6">
        <v>0.0</v>
      </c>
      <c r="T156" s="6">
        <v>0.0</v>
      </c>
      <c r="U156" s="6">
        <v>0.0</v>
      </c>
      <c r="V156" s="6">
        <v>0.0</v>
      </c>
      <c r="W156" s="6">
        <v>0.0</v>
      </c>
      <c r="X156" s="6">
        <v>0.0</v>
      </c>
      <c r="Y156" s="6">
        <v>0.0</v>
      </c>
      <c r="Z156" s="6">
        <v>0.0</v>
      </c>
      <c r="AA156" s="6">
        <v>0.0</v>
      </c>
      <c r="AB156" s="6">
        <v>0.0</v>
      </c>
      <c r="AC156" s="6">
        <v>0.0</v>
      </c>
      <c r="AD156" s="6">
        <v>0.0</v>
      </c>
      <c r="AE156" s="6">
        <f t="shared" ref="AE156:AG156" si="1344">+Y156+AB156+S156+V156</f>
        <v>0</v>
      </c>
      <c r="AF156" s="6">
        <f t="shared" si="1344"/>
        <v>0</v>
      </c>
      <c r="AG156" s="6">
        <f t="shared" si="1344"/>
        <v>0</v>
      </c>
      <c r="AH156" s="6">
        <v>0.0</v>
      </c>
      <c r="AI156" s="6">
        <v>0.0</v>
      </c>
      <c r="AJ156" s="6">
        <v>0.0</v>
      </c>
      <c r="AK156" s="6">
        <v>0.0</v>
      </c>
      <c r="AL156" s="6">
        <v>0.0</v>
      </c>
      <c r="AM156" s="6">
        <v>0.0</v>
      </c>
      <c r="AN156" s="6">
        <v>0.0</v>
      </c>
      <c r="AO156" s="6">
        <v>0.0</v>
      </c>
      <c r="AP156" s="6">
        <v>0.0</v>
      </c>
      <c r="AQ156" s="6">
        <v>0.0</v>
      </c>
      <c r="AR156" s="6">
        <v>0.0</v>
      </c>
      <c r="AS156" s="6">
        <v>0.0</v>
      </c>
      <c r="AT156" s="6">
        <f t="shared" ref="AT156:AV156" si="1345">+AN156+AQ156+AH156+AK156</f>
        <v>0</v>
      </c>
      <c r="AU156" s="6">
        <f t="shared" si="1345"/>
        <v>0</v>
      </c>
      <c r="AV156" s="6">
        <f t="shared" si="1345"/>
        <v>0</v>
      </c>
      <c r="AW156" s="6">
        <v>0.0</v>
      </c>
      <c r="AX156" s="6">
        <v>0.0</v>
      </c>
      <c r="AY156" s="6">
        <v>0.0</v>
      </c>
      <c r="AZ156" s="6">
        <v>0.0</v>
      </c>
      <c r="BA156" s="6">
        <v>0.0</v>
      </c>
      <c r="BB156" s="6">
        <v>0.0</v>
      </c>
      <c r="BC156" s="6">
        <v>0.0</v>
      </c>
      <c r="BD156" s="6">
        <v>0.0</v>
      </c>
      <c r="BE156" s="6">
        <v>0.0</v>
      </c>
      <c r="BF156" s="6">
        <v>0.0</v>
      </c>
      <c r="BG156" s="6">
        <v>0.0</v>
      </c>
      <c r="BH156" s="6">
        <v>0.0</v>
      </c>
      <c r="BI156" s="6">
        <f t="shared" ref="BI156:BK156" si="1346">+BC156+BF156+AW156+AZ156</f>
        <v>0</v>
      </c>
      <c r="BJ156" s="6">
        <f t="shared" si="1346"/>
        <v>0</v>
      </c>
      <c r="BK156" s="6">
        <f t="shared" si="1346"/>
        <v>0</v>
      </c>
      <c r="BL156" s="6">
        <v>0.0</v>
      </c>
      <c r="BM156" s="6">
        <v>0.0</v>
      </c>
      <c r="BN156" s="6">
        <v>0.0</v>
      </c>
      <c r="BO156" s="6">
        <v>0.0</v>
      </c>
      <c r="BP156" s="6">
        <v>0.0</v>
      </c>
      <c r="BQ156" s="6">
        <v>0.0</v>
      </c>
      <c r="BR156" s="6">
        <v>0.0</v>
      </c>
      <c r="BS156" s="6">
        <v>0.0</v>
      </c>
      <c r="BT156" s="6">
        <v>0.0</v>
      </c>
      <c r="BU156" s="6" t="str">
        <f t="shared" ref="BU156:BW156" si="1347">+BO156+BR156+#REF!+BL156</f>
        <v>#REF!</v>
      </c>
      <c r="BV156" s="6" t="str">
        <f t="shared" si="1347"/>
        <v>#REF!</v>
      </c>
      <c r="BW156" s="6" t="str">
        <f t="shared" si="1347"/>
        <v>#REF!</v>
      </c>
      <c r="BX156" s="5">
        <v>1450000.0</v>
      </c>
      <c r="BY156" s="5">
        <v>1450000.0</v>
      </c>
      <c r="BZ156" s="6">
        <v>0.0</v>
      </c>
      <c r="CA156" s="6">
        <v>0.0</v>
      </c>
      <c r="CB156" s="6">
        <v>0.0</v>
      </c>
      <c r="CC156" s="6">
        <v>500000.0</v>
      </c>
      <c r="CD156" s="6">
        <v>0.0</v>
      </c>
      <c r="CE156" s="6">
        <v>0.0</v>
      </c>
      <c r="CF156" s="6">
        <v>930000.0</v>
      </c>
      <c r="CG156" s="6" t="str">
        <f t="shared" ref="CG156:CI156" si="1348">+CA156+CD156+BX156+#REF!</f>
        <v>#REF!</v>
      </c>
      <c r="CH156" s="6" t="str">
        <f t="shared" si="1348"/>
        <v>#REF!</v>
      </c>
      <c r="CI156" s="6" t="str">
        <f t="shared" si="1348"/>
        <v>#REF!</v>
      </c>
      <c r="CJ156" s="6">
        <v>0.0</v>
      </c>
      <c r="CK156" s="6">
        <v>0.0</v>
      </c>
      <c r="CL156" s="6">
        <v>0.0</v>
      </c>
      <c r="CM156" s="6">
        <v>0.0</v>
      </c>
      <c r="CN156" s="6">
        <v>0.0</v>
      </c>
      <c r="CO156" s="6">
        <v>0.0</v>
      </c>
      <c r="CP156" s="6">
        <v>0.0</v>
      </c>
      <c r="CQ156" s="6">
        <v>0.0</v>
      </c>
      <c r="CR156" s="6">
        <v>0.0</v>
      </c>
      <c r="CS156" s="6">
        <v>0.0</v>
      </c>
      <c r="CT156" s="6">
        <v>0.0</v>
      </c>
      <c r="CU156" s="6">
        <v>0.0</v>
      </c>
      <c r="CV156" s="6">
        <f t="shared" ref="CV156:CX156" si="1349">+CP156+CS156+CJ156+CM156</f>
        <v>0</v>
      </c>
      <c r="CW156" s="6">
        <f t="shared" si="1349"/>
        <v>0</v>
      </c>
      <c r="CX156" s="6">
        <f t="shared" si="1349"/>
        <v>0</v>
      </c>
      <c r="CY156" s="6">
        <v>0.0</v>
      </c>
      <c r="CZ156" s="6">
        <v>0.0</v>
      </c>
      <c r="DA156" s="6">
        <v>0.0</v>
      </c>
      <c r="DB156" s="6">
        <v>0.0</v>
      </c>
      <c r="DC156" s="6">
        <v>0.0</v>
      </c>
      <c r="DD156" s="6">
        <v>0.0</v>
      </c>
      <c r="DE156" s="6">
        <v>0.0</v>
      </c>
      <c r="DF156" s="6">
        <v>0.0</v>
      </c>
      <c r="DG156" s="6">
        <v>0.0</v>
      </c>
      <c r="DH156" s="6">
        <v>0.0</v>
      </c>
      <c r="DI156" s="6">
        <v>0.0</v>
      </c>
      <c r="DJ156" s="6">
        <v>0.0</v>
      </c>
      <c r="DK156" s="6">
        <f t="shared" ref="DK156:DM156" si="1350">+DE156+DH156+CY156+DB156</f>
        <v>0</v>
      </c>
      <c r="DL156" s="6">
        <f t="shared" si="1350"/>
        <v>0</v>
      </c>
      <c r="DM156" s="6">
        <f t="shared" si="1350"/>
        <v>0</v>
      </c>
      <c r="DN156" s="6" t="str">
        <f t="shared" ref="DN156:DP156" si="1351">+P156+AE156+AT156+BI156+BU156+CG156+CV156</f>
        <v>#REF!</v>
      </c>
      <c r="DO156" s="6" t="str">
        <f t="shared" si="1351"/>
        <v>#REF!</v>
      </c>
      <c r="DP156" s="6" t="str">
        <f t="shared" si="1351"/>
        <v>#REF!</v>
      </c>
      <c r="DQ156" s="6" t="str">
        <f t="shared" si="19"/>
        <v>#REF!</v>
      </c>
    </row>
    <row r="157" ht="13.5" customHeight="1">
      <c r="A157" s="11">
        <v>45691.0</v>
      </c>
      <c r="B157" s="2" t="s">
        <v>605</v>
      </c>
      <c r="C157" s="2" t="s">
        <v>606</v>
      </c>
      <c r="D157" s="29" t="s">
        <v>607</v>
      </c>
      <c r="E157" s="2" t="s">
        <v>608</v>
      </c>
      <c r="F157" s="11" t="s">
        <v>609</v>
      </c>
      <c r="G157" s="11" t="s">
        <v>599</v>
      </c>
      <c r="H157" s="5">
        <v>150000.0</v>
      </c>
      <c r="I157" s="5">
        <v>150000.0</v>
      </c>
      <c r="J157" s="6">
        <v>0.0</v>
      </c>
      <c r="K157" s="6">
        <v>0.0</v>
      </c>
      <c r="L157" s="6">
        <v>0.0</v>
      </c>
      <c r="M157" s="6">
        <v>0.0</v>
      </c>
      <c r="N157" s="6">
        <v>0.0</v>
      </c>
      <c r="O157" s="6">
        <v>0.0</v>
      </c>
      <c r="P157" s="6">
        <f t="shared" ref="P157:R157" si="1352">+J157+M157</f>
        <v>0</v>
      </c>
      <c r="Q157" s="6">
        <f t="shared" si="1352"/>
        <v>0</v>
      </c>
      <c r="R157" s="6">
        <f t="shared" si="1352"/>
        <v>0</v>
      </c>
      <c r="S157" s="6">
        <v>0.0</v>
      </c>
      <c r="T157" s="6">
        <v>0.0</v>
      </c>
      <c r="U157" s="6">
        <v>0.0</v>
      </c>
      <c r="V157" s="6">
        <v>0.0</v>
      </c>
      <c r="W157" s="6">
        <v>0.0</v>
      </c>
      <c r="X157" s="6">
        <v>0.0</v>
      </c>
      <c r="Y157" s="6">
        <v>0.0</v>
      </c>
      <c r="Z157" s="6">
        <v>0.0</v>
      </c>
      <c r="AA157" s="6">
        <v>0.0</v>
      </c>
      <c r="AB157" s="6">
        <v>0.0</v>
      </c>
      <c r="AC157" s="6">
        <v>0.0</v>
      </c>
      <c r="AD157" s="6">
        <v>0.0</v>
      </c>
      <c r="AE157" s="6">
        <f t="shared" ref="AE157:AG157" si="1353">+Y157+AB157+S157+V157</f>
        <v>0</v>
      </c>
      <c r="AF157" s="6">
        <f t="shared" si="1353"/>
        <v>0</v>
      </c>
      <c r="AG157" s="6">
        <f t="shared" si="1353"/>
        <v>0</v>
      </c>
      <c r="AH157" s="6">
        <v>0.0</v>
      </c>
      <c r="AI157" s="6">
        <v>0.0</v>
      </c>
      <c r="AJ157" s="6">
        <v>0.0</v>
      </c>
      <c r="AK157" s="6">
        <v>0.0</v>
      </c>
      <c r="AL157" s="6">
        <v>0.0</v>
      </c>
      <c r="AM157" s="6">
        <v>0.0</v>
      </c>
      <c r="AN157" s="6">
        <v>0.0</v>
      </c>
      <c r="AO157" s="6">
        <v>0.0</v>
      </c>
      <c r="AP157" s="6">
        <v>0.0</v>
      </c>
      <c r="AQ157" s="6">
        <v>0.0</v>
      </c>
      <c r="AR157" s="6">
        <v>0.0</v>
      </c>
      <c r="AS157" s="6">
        <v>0.0</v>
      </c>
      <c r="AT157" s="6">
        <f t="shared" ref="AT157:AV157" si="1354">+AN157+AQ157+AH157+AK157</f>
        <v>0</v>
      </c>
      <c r="AU157" s="6">
        <f t="shared" si="1354"/>
        <v>0</v>
      </c>
      <c r="AV157" s="6">
        <f t="shared" si="1354"/>
        <v>0</v>
      </c>
      <c r="AW157" s="6">
        <v>0.0</v>
      </c>
      <c r="AX157" s="6">
        <v>0.0</v>
      </c>
      <c r="AY157" s="6">
        <v>0.0</v>
      </c>
      <c r="AZ157" s="6">
        <v>0.0</v>
      </c>
      <c r="BA157" s="6">
        <v>0.0</v>
      </c>
      <c r="BB157" s="6">
        <v>0.0</v>
      </c>
      <c r="BC157" s="6">
        <v>0.0</v>
      </c>
      <c r="BD157" s="6">
        <v>0.0</v>
      </c>
      <c r="BE157" s="6">
        <v>0.0</v>
      </c>
      <c r="BF157" s="6">
        <v>0.0</v>
      </c>
      <c r="BG157" s="6">
        <v>0.0</v>
      </c>
      <c r="BH157" s="6">
        <v>0.0</v>
      </c>
      <c r="BI157" s="6">
        <f t="shared" ref="BI157:BK157" si="1355">+BC157+BF157+AW157+AZ157</f>
        <v>0</v>
      </c>
      <c r="BJ157" s="6">
        <f t="shared" si="1355"/>
        <v>0</v>
      </c>
      <c r="BK157" s="6">
        <f t="shared" si="1355"/>
        <v>0</v>
      </c>
      <c r="BL157" s="6">
        <v>0.0</v>
      </c>
      <c r="BM157" s="6">
        <v>0.0</v>
      </c>
      <c r="BN157" s="6">
        <v>0.0</v>
      </c>
      <c r="BO157" s="6">
        <v>0.0</v>
      </c>
      <c r="BP157" s="6">
        <v>0.0</v>
      </c>
      <c r="BQ157" s="6">
        <v>0.0</v>
      </c>
      <c r="BR157" s="6">
        <v>0.0</v>
      </c>
      <c r="BS157" s="6">
        <v>0.0</v>
      </c>
      <c r="BT157" s="6">
        <v>0.0</v>
      </c>
      <c r="BU157" s="6" t="str">
        <f t="shared" ref="BU157:BW157" si="1356">+BO157+BR157+#REF!+BL157</f>
        <v>#REF!</v>
      </c>
      <c r="BV157" s="6" t="str">
        <f t="shared" si="1356"/>
        <v>#REF!</v>
      </c>
      <c r="BW157" s="6" t="str">
        <f t="shared" si="1356"/>
        <v>#REF!</v>
      </c>
      <c r="BX157" s="6">
        <v>0.0</v>
      </c>
      <c r="BY157" s="6">
        <v>0.0</v>
      </c>
      <c r="BZ157" s="6">
        <v>0.0</v>
      </c>
      <c r="CA157" s="6">
        <v>0.0</v>
      </c>
      <c r="CB157" s="6">
        <v>0.0</v>
      </c>
      <c r="CC157" s="6">
        <v>0.0</v>
      </c>
      <c r="CD157" s="6">
        <v>0.0</v>
      </c>
      <c r="CE157" s="6">
        <v>0.0</v>
      </c>
      <c r="CF157" s="6">
        <v>0.0</v>
      </c>
      <c r="CG157" s="6" t="str">
        <f t="shared" ref="CG157:CI157" si="1357">+CA157+CD157+BX157+#REF!</f>
        <v>#REF!</v>
      </c>
      <c r="CH157" s="6" t="str">
        <f t="shared" si="1357"/>
        <v>#REF!</v>
      </c>
      <c r="CI157" s="6" t="str">
        <f t="shared" si="1357"/>
        <v>#REF!</v>
      </c>
      <c r="CJ157" s="6">
        <v>0.0</v>
      </c>
      <c r="CK157" s="6">
        <v>0.0</v>
      </c>
      <c r="CL157" s="6">
        <v>0.0</v>
      </c>
      <c r="CM157" s="6">
        <v>0.0</v>
      </c>
      <c r="CN157" s="6">
        <v>0.0</v>
      </c>
      <c r="CO157" s="6">
        <v>0.0</v>
      </c>
      <c r="CP157" s="6">
        <v>0.0</v>
      </c>
      <c r="CQ157" s="6">
        <v>0.0</v>
      </c>
      <c r="CR157" s="6">
        <v>0.0</v>
      </c>
      <c r="CS157" s="6">
        <v>0.0</v>
      </c>
      <c r="CT157" s="6">
        <v>0.0</v>
      </c>
      <c r="CU157" s="6">
        <v>0.0</v>
      </c>
      <c r="CV157" s="6">
        <f t="shared" ref="CV157:CX157" si="1358">+CP157+CS157+CJ157+CM157</f>
        <v>0</v>
      </c>
      <c r="CW157" s="6">
        <f t="shared" si="1358"/>
        <v>0</v>
      </c>
      <c r="CX157" s="6">
        <f t="shared" si="1358"/>
        <v>0</v>
      </c>
      <c r="CY157" s="6">
        <v>0.0</v>
      </c>
      <c r="CZ157" s="6">
        <v>0.0</v>
      </c>
      <c r="DA157" s="6">
        <v>0.0</v>
      </c>
      <c r="DB157" s="6">
        <v>0.0</v>
      </c>
      <c r="DC157" s="6">
        <v>0.0</v>
      </c>
      <c r="DD157" s="6">
        <v>0.0</v>
      </c>
      <c r="DE157" s="6">
        <v>0.0</v>
      </c>
      <c r="DF157" s="6">
        <v>0.0</v>
      </c>
      <c r="DG157" s="6">
        <v>0.0</v>
      </c>
      <c r="DH157" s="6">
        <v>0.0</v>
      </c>
      <c r="DI157" s="6">
        <v>0.0</v>
      </c>
      <c r="DJ157" s="6">
        <v>0.0</v>
      </c>
      <c r="DK157" s="6">
        <f t="shared" ref="DK157:DM157" si="1359">+DE157+DH157+CY157+DB157</f>
        <v>0</v>
      </c>
      <c r="DL157" s="6">
        <f t="shared" si="1359"/>
        <v>0</v>
      </c>
      <c r="DM157" s="6">
        <f t="shared" si="1359"/>
        <v>0</v>
      </c>
      <c r="DN157" s="6" t="str">
        <f t="shared" ref="DN157:DP157" si="1360">+P157+AE157+AT157+BI157+BU157+CG157+CV157</f>
        <v>#REF!</v>
      </c>
      <c r="DO157" s="6" t="str">
        <f t="shared" si="1360"/>
        <v>#REF!</v>
      </c>
      <c r="DP157" s="6" t="str">
        <f t="shared" si="1360"/>
        <v>#REF!</v>
      </c>
      <c r="DQ157" s="6" t="str">
        <f t="shared" si="19"/>
        <v>#REF!</v>
      </c>
    </row>
    <row r="158" ht="13.5" customHeight="1">
      <c r="A158" s="11">
        <v>45684.0</v>
      </c>
      <c r="B158" s="2" t="s">
        <v>610</v>
      </c>
      <c r="C158" s="2" t="s">
        <v>611</v>
      </c>
      <c r="D158" s="29" t="s">
        <v>612</v>
      </c>
      <c r="E158" s="2" t="s">
        <v>613</v>
      </c>
      <c r="F158" s="11" t="s">
        <v>614</v>
      </c>
      <c r="G158" s="11" t="s">
        <v>599</v>
      </c>
      <c r="H158" s="5">
        <v>4800000.0</v>
      </c>
      <c r="I158" s="5">
        <v>4800000.0</v>
      </c>
      <c r="J158" s="6">
        <v>0.0</v>
      </c>
      <c r="K158" s="6">
        <v>0.0</v>
      </c>
      <c r="L158" s="6">
        <v>0.0</v>
      </c>
      <c r="M158" s="6">
        <v>0.0</v>
      </c>
      <c r="N158" s="6">
        <v>0.0</v>
      </c>
      <c r="O158" s="6">
        <v>0.0</v>
      </c>
      <c r="P158" s="6">
        <f t="shared" ref="P158:R158" si="1361">+J158+M158</f>
        <v>0</v>
      </c>
      <c r="Q158" s="6">
        <f t="shared" si="1361"/>
        <v>0</v>
      </c>
      <c r="R158" s="6">
        <f t="shared" si="1361"/>
        <v>0</v>
      </c>
      <c r="S158" s="6">
        <v>0.0</v>
      </c>
      <c r="T158" s="6">
        <v>0.0</v>
      </c>
      <c r="U158" s="6">
        <v>0.0</v>
      </c>
      <c r="V158" s="6">
        <v>0.0</v>
      </c>
      <c r="W158" s="6">
        <v>0.0</v>
      </c>
      <c r="X158" s="6">
        <v>0.0</v>
      </c>
      <c r="Y158" s="6">
        <v>0.0</v>
      </c>
      <c r="Z158" s="6">
        <v>0.0</v>
      </c>
      <c r="AA158" s="6">
        <v>0.0</v>
      </c>
      <c r="AB158" s="6">
        <v>0.0</v>
      </c>
      <c r="AC158" s="6">
        <v>0.0</v>
      </c>
      <c r="AD158" s="6">
        <v>0.0</v>
      </c>
      <c r="AE158" s="6">
        <f t="shared" ref="AE158:AG158" si="1362">+Y158+AB158+S158+V158</f>
        <v>0</v>
      </c>
      <c r="AF158" s="6">
        <f t="shared" si="1362"/>
        <v>0</v>
      </c>
      <c r="AG158" s="6">
        <f t="shared" si="1362"/>
        <v>0</v>
      </c>
      <c r="AH158" s="6">
        <v>0.0</v>
      </c>
      <c r="AI158" s="6">
        <v>0.0</v>
      </c>
      <c r="AJ158" s="6">
        <v>0.0</v>
      </c>
      <c r="AK158" s="6">
        <v>0.0</v>
      </c>
      <c r="AL158" s="6">
        <v>0.0</v>
      </c>
      <c r="AM158" s="6">
        <v>0.0</v>
      </c>
      <c r="AN158" s="6">
        <v>0.0</v>
      </c>
      <c r="AO158" s="6">
        <v>0.0</v>
      </c>
      <c r="AP158" s="6">
        <v>0.0</v>
      </c>
      <c r="AQ158" s="6">
        <v>0.0</v>
      </c>
      <c r="AR158" s="6">
        <v>0.0</v>
      </c>
      <c r="AS158" s="6">
        <v>0.0</v>
      </c>
      <c r="AT158" s="6">
        <f t="shared" ref="AT158:AV158" si="1363">+AN158+AQ158+AH158+AK158</f>
        <v>0</v>
      </c>
      <c r="AU158" s="6">
        <f t="shared" si="1363"/>
        <v>0</v>
      </c>
      <c r="AV158" s="6">
        <f t="shared" si="1363"/>
        <v>0</v>
      </c>
      <c r="AW158" s="6">
        <v>0.0</v>
      </c>
      <c r="AX158" s="6">
        <v>0.0</v>
      </c>
      <c r="AY158" s="6">
        <v>0.0</v>
      </c>
      <c r="AZ158" s="6">
        <v>0.0</v>
      </c>
      <c r="BA158" s="6">
        <v>0.0</v>
      </c>
      <c r="BB158" s="6">
        <v>0.0</v>
      </c>
      <c r="BC158" s="6">
        <v>0.0</v>
      </c>
      <c r="BD158" s="6">
        <v>0.0</v>
      </c>
      <c r="BE158" s="6">
        <v>0.0</v>
      </c>
      <c r="BF158" s="6">
        <v>0.0</v>
      </c>
      <c r="BG158" s="6">
        <v>0.0</v>
      </c>
      <c r="BH158" s="6">
        <v>0.0</v>
      </c>
      <c r="BI158" s="6">
        <f t="shared" ref="BI158:BK158" si="1364">+BC158+BF158+AW158+AZ158</f>
        <v>0</v>
      </c>
      <c r="BJ158" s="6">
        <f t="shared" si="1364"/>
        <v>0</v>
      </c>
      <c r="BK158" s="6">
        <f t="shared" si="1364"/>
        <v>0</v>
      </c>
      <c r="BL158" s="6">
        <v>0.0</v>
      </c>
      <c r="BM158" s="6">
        <v>0.0</v>
      </c>
      <c r="BN158" s="6">
        <v>0.0</v>
      </c>
      <c r="BO158" s="6">
        <v>0.0</v>
      </c>
      <c r="BP158" s="6">
        <v>0.0</v>
      </c>
      <c r="BQ158" s="6">
        <v>0.0</v>
      </c>
      <c r="BR158" s="6">
        <v>0.0</v>
      </c>
      <c r="BS158" s="6">
        <v>0.0</v>
      </c>
      <c r="BT158" s="6">
        <v>0.0</v>
      </c>
      <c r="BU158" s="6" t="str">
        <f t="shared" ref="BU158:BW158" si="1365">+BO158+BR158+#REF!+BL158</f>
        <v>#REF!</v>
      </c>
      <c r="BV158" s="6" t="str">
        <f t="shared" si="1365"/>
        <v>#REF!</v>
      </c>
      <c r="BW158" s="6" t="str">
        <f t="shared" si="1365"/>
        <v>#REF!</v>
      </c>
      <c r="BX158" s="6">
        <v>0.0</v>
      </c>
      <c r="BY158" s="6">
        <v>0.0</v>
      </c>
      <c r="BZ158" s="6">
        <v>0.0</v>
      </c>
      <c r="CA158" s="6">
        <v>0.0</v>
      </c>
      <c r="CB158" s="6">
        <v>0.0</v>
      </c>
      <c r="CC158" s="6">
        <v>0.0</v>
      </c>
      <c r="CD158" s="6">
        <v>0.0</v>
      </c>
      <c r="CE158" s="6">
        <v>0.0</v>
      </c>
      <c r="CF158" s="6">
        <v>0.0</v>
      </c>
      <c r="CG158" s="6" t="str">
        <f t="shared" ref="CG158:CI158" si="1366">+CA158+CD158+BX158+#REF!</f>
        <v>#REF!</v>
      </c>
      <c r="CH158" s="6" t="str">
        <f t="shared" si="1366"/>
        <v>#REF!</v>
      </c>
      <c r="CI158" s="6" t="str">
        <f t="shared" si="1366"/>
        <v>#REF!</v>
      </c>
      <c r="CJ158" s="6">
        <v>0.0</v>
      </c>
      <c r="CK158" s="6">
        <v>0.0</v>
      </c>
      <c r="CL158" s="6">
        <v>250000.0</v>
      </c>
      <c r="CM158" s="6">
        <v>0.0</v>
      </c>
      <c r="CN158" s="6">
        <v>0.0</v>
      </c>
      <c r="CO158" s="6">
        <v>0.0</v>
      </c>
      <c r="CP158" s="6">
        <v>0.0</v>
      </c>
      <c r="CQ158" s="6">
        <v>0.0</v>
      </c>
      <c r="CR158" s="6">
        <v>0.0</v>
      </c>
      <c r="CS158" s="6">
        <v>0.0</v>
      </c>
      <c r="CT158" s="6">
        <v>0.0</v>
      </c>
      <c r="CU158" s="6">
        <v>0.0</v>
      </c>
      <c r="CV158" s="6">
        <f t="shared" ref="CV158:CX158" si="1367">+CP158+CS158+CJ158+CM158</f>
        <v>0</v>
      </c>
      <c r="CW158" s="6">
        <f t="shared" si="1367"/>
        <v>0</v>
      </c>
      <c r="CX158" s="6">
        <f t="shared" si="1367"/>
        <v>250000</v>
      </c>
      <c r="CY158" s="6">
        <v>0.0</v>
      </c>
      <c r="CZ158" s="6">
        <v>0.0</v>
      </c>
      <c r="DA158" s="6">
        <v>250000.0</v>
      </c>
      <c r="DB158" s="6">
        <v>0.0</v>
      </c>
      <c r="DC158" s="6">
        <v>0.0</v>
      </c>
      <c r="DD158" s="6">
        <v>0.0</v>
      </c>
      <c r="DE158" s="6">
        <v>0.0</v>
      </c>
      <c r="DF158" s="6">
        <v>0.0</v>
      </c>
      <c r="DG158" s="6">
        <v>0.0</v>
      </c>
      <c r="DH158" s="6">
        <v>0.0</v>
      </c>
      <c r="DI158" s="6">
        <v>0.0</v>
      </c>
      <c r="DJ158" s="6">
        <v>0.0</v>
      </c>
      <c r="DK158" s="6">
        <f t="shared" ref="DK158:DM158" si="1368">+DE158+DH158+CY158+DB158</f>
        <v>0</v>
      </c>
      <c r="DL158" s="6">
        <f t="shared" si="1368"/>
        <v>0</v>
      </c>
      <c r="DM158" s="6">
        <f t="shared" si="1368"/>
        <v>250000</v>
      </c>
      <c r="DN158" s="6" t="str">
        <f t="shared" ref="DN158:DP158" si="1369">+P158+AE158+AT158+BI158+BU158+CG158+CV158</f>
        <v>#REF!</v>
      </c>
      <c r="DO158" s="6" t="str">
        <f t="shared" si="1369"/>
        <v>#REF!</v>
      </c>
      <c r="DP158" s="6" t="str">
        <f t="shared" si="1369"/>
        <v>#REF!</v>
      </c>
      <c r="DQ158" s="6" t="str">
        <f t="shared" si="19"/>
        <v>#REF!</v>
      </c>
    </row>
    <row r="159" ht="13.5" customHeight="1">
      <c r="A159" s="11">
        <v>45686.0</v>
      </c>
      <c r="B159" s="2" t="s">
        <v>615</v>
      </c>
      <c r="C159" s="2" t="s">
        <v>616</v>
      </c>
      <c r="D159" s="29" t="s">
        <v>617</v>
      </c>
      <c r="E159" s="2" t="s">
        <v>618</v>
      </c>
      <c r="F159" s="11" t="s">
        <v>619</v>
      </c>
      <c r="G159" s="11" t="s">
        <v>599</v>
      </c>
      <c r="H159" s="5">
        <v>162000.0</v>
      </c>
      <c r="I159" s="5">
        <v>162000.0</v>
      </c>
      <c r="J159" s="6">
        <v>0.0</v>
      </c>
      <c r="K159" s="6">
        <v>0.0</v>
      </c>
      <c r="L159" s="6">
        <v>0.0</v>
      </c>
      <c r="M159" s="6">
        <v>0.0</v>
      </c>
      <c r="N159" s="6">
        <v>0.0</v>
      </c>
      <c r="O159" s="6">
        <v>0.0</v>
      </c>
      <c r="P159" s="6">
        <f t="shared" ref="P159:R159" si="1370">+J159+M159</f>
        <v>0</v>
      </c>
      <c r="Q159" s="6">
        <f t="shared" si="1370"/>
        <v>0</v>
      </c>
      <c r="R159" s="6">
        <f t="shared" si="1370"/>
        <v>0</v>
      </c>
      <c r="S159" s="6">
        <v>0.0</v>
      </c>
      <c r="T159" s="6">
        <v>0.0</v>
      </c>
      <c r="U159" s="6">
        <v>0.0</v>
      </c>
      <c r="V159" s="6">
        <v>0.0</v>
      </c>
      <c r="W159" s="6">
        <v>0.0</v>
      </c>
      <c r="X159" s="6">
        <v>0.0</v>
      </c>
      <c r="Y159" s="6">
        <v>0.0</v>
      </c>
      <c r="Z159" s="6">
        <v>0.0</v>
      </c>
      <c r="AA159" s="6">
        <v>0.0</v>
      </c>
      <c r="AB159" s="6">
        <v>0.0</v>
      </c>
      <c r="AC159" s="6">
        <v>0.0</v>
      </c>
      <c r="AD159" s="6">
        <v>0.0</v>
      </c>
      <c r="AE159" s="6">
        <f t="shared" ref="AE159:AG159" si="1371">+Y159+AB159+S159+V159</f>
        <v>0</v>
      </c>
      <c r="AF159" s="6">
        <f t="shared" si="1371"/>
        <v>0</v>
      </c>
      <c r="AG159" s="6">
        <f t="shared" si="1371"/>
        <v>0</v>
      </c>
      <c r="AH159" s="6">
        <v>0.0</v>
      </c>
      <c r="AI159" s="6">
        <v>0.0</v>
      </c>
      <c r="AJ159" s="6">
        <v>0.0</v>
      </c>
      <c r="AK159" s="6">
        <v>0.0</v>
      </c>
      <c r="AL159" s="6">
        <v>0.0</v>
      </c>
      <c r="AM159" s="6">
        <v>0.0</v>
      </c>
      <c r="AN159" s="6">
        <v>0.0</v>
      </c>
      <c r="AO159" s="6">
        <v>0.0</v>
      </c>
      <c r="AP159" s="6">
        <v>0.0</v>
      </c>
      <c r="AQ159" s="6">
        <v>0.0</v>
      </c>
      <c r="AR159" s="6">
        <v>0.0</v>
      </c>
      <c r="AS159" s="6">
        <v>0.0</v>
      </c>
      <c r="AT159" s="6">
        <f t="shared" ref="AT159:AV159" si="1372">+AN159+AQ159+AH159+AK159</f>
        <v>0</v>
      </c>
      <c r="AU159" s="6">
        <f t="shared" si="1372"/>
        <v>0</v>
      </c>
      <c r="AV159" s="6">
        <f t="shared" si="1372"/>
        <v>0</v>
      </c>
      <c r="AW159" s="6">
        <v>0.0</v>
      </c>
      <c r="AX159" s="6">
        <v>0.0</v>
      </c>
      <c r="AY159" s="6">
        <v>0.0</v>
      </c>
      <c r="AZ159" s="6">
        <v>0.0</v>
      </c>
      <c r="BA159" s="6">
        <v>0.0</v>
      </c>
      <c r="BB159" s="6">
        <v>0.0</v>
      </c>
      <c r="BC159" s="6">
        <v>0.0</v>
      </c>
      <c r="BD159" s="6">
        <v>0.0</v>
      </c>
      <c r="BE159" s="6">
        <v>0.0</v>
      </c>
      <c r="BF159" s="6">
        <v>0.0</v>
      </c>
      <c r="BG159" s="6">
        <v>0.0</v>
      </c>
      <c r="BH159" s="6">
        <v>0.0</v>
      </c>
      <c r="BI159" s="6">
        <f t="shared" ref="BI159:BK159" si="1373">+BC159+BF159+AW159+AZ159</f>
        <v>0</v>
      </c>
      <c r="BJ159" s="6">
        <f t="shared" si="1373"/>
        <v>0</v>
      </c>
      <c r="BK159" s="6">
        <f t="shared" si="1373"/>
        <v>0</v>
      </c>
      <c r="BL159" s="6">
        <v>0.0</v>
      </c>
      <c r="BM159" s="6">
        <v>0.0</v>
      </c>
      <c r="BN159" s="6">
        <v>0.0</v>
      </c>
      <c r="BO159" s="6">
        <v>0.0</v>
      </c>
      <c r="BP159" s="6">
        <v>0.0</v>
      </c>
      <c r="BQ159" s="6">
        <v>0.0</v>
      </c>
      <c r="BR159" s="6">
        <v>0.0</v>
      </c>
      <c r="BS159" s="6">
        <v>0.0</v>
      </c>
      <c r="BT159" s="6">
        <v>0.0</v>
      </c>
      <c r="BU159" s="6" t="str">
        <f t="shared" ref="BU159:BW159" si="1374">+BO159+BR159+#REF!+BL159</f>
        <v>#REF!</v>
      </c>
      <c r="BV159" s="6" t="str">
        <f t="shared" si="1374"/>
        <v>#REF!</v>
      </c>
      <c r="BW159" s="6" t="str">
        <f t="shared" si="1374"/>
        <v>#REF!</v>
      </c>
      <c r="BX159" s="6">
        <v>0.0</v>
      </c>
      <c r="BY159" s="6">
        <v>0.0</v>
      </c>
      <c r="BZ159" s="6">
        <v>0.0</v>
      </c>
      <c r="CA159" s="6">
        <v>0.0</v>
      </c>
      <c r="CB159" s="6">
        <v>0.0</v>
      </c>
      <c r="CC159" s="6">
        <v>0.0</v>
      </c>
      <c r="CD159" s="6">
        <v>0.0</v>
      </c>
      <c r="CE159" s="6">
        <v>0.0</v>
      </c>
      <c r="CF159" s="6">
        <v>0.0</v>
      </c>
      <c r="CG159" s="6" t="str">
        <f t="shared" ref="CG159:CI159" si="1375">+CA159+CD159+BX159+#REF!</f>
        <v>#REF!</v>
      </c>
      <c r="CH159" s="6" t="str">
        <f t="shared" si="1375"/>
        <v>#REF!</v>
      </c>
      <c r="CI159" s="6" t="str">
        <f t="shared" si="1375"/>
        <v>#REF!</v>
      </c>
      <c r="CJ159" s="6">
        <v>0.0</v>
      </c>
      <c r="CK159" s="6">
        <v>0.0</v>
      </c>
      <c r="CL159" s="6">
        <v>0.0</v>
      </c>
      <c r="CM159" s="6">
        <v>0.0</v>
      </c>
      <c r="CN159" s="6">
        <v>0.0</v>
      </c>
      <c r="CO159" s="6">
        <v>0.0</v>
      </c>
      <c r="CP159" s="6">
        <v>0.0</v>
      </c>
      <c r="CQ159" s="6">
        <v>0.0</v>
      </c>
      <c r="CR159" s="6">
        <v>0.0</v>
      </c>
      <c r="CS159" s="6">
        <v>0.0</v>
      </c>
      <c r="CT159" s="6">
        <v>0.0</v>
      </c>
      <c r="CU159" s="6">
        <v>0.0</v>
      </c>
      <c r="CV159" s="6">
        <f t="shared" ref="CV159:CX159" si="1376">+CP159+CS159+CJ159+CM159</f>
        <v>0</v>
      </c>
      <c r="CW159" s="6">
        <f t="shared" si="1376"/>
        <v>0</v>
      </c>
      <c r="CX159" s="6">
        <f t="shared" si="1376"/>
        <v>0</v>
      </c>
      <c r="CY159" s="6">
        <v>0.0</v>
      </c>
      <c r="CZ159" s="6">
        <v>0.0</v>
      </c>
      <c r="DA159" s="6">
        <v>0.0</v>
      </c>
      <c r="DB159" s="6">
        <v>0.0</v>
      </c>
      <c r="DC159" s="6">
        <v>0.0</v>
      </c>
      <c r="DD159" s="6">
        <v>0.0</v>
      </c>
      <c r="DE159" s="6">
        <v>0.0</v>
      </c>
      <c r="DF159" s="6">
        <v>0.0</v>
      </c>
      <c r="DG159" s="6">
        <v>0.0</v>
      </c>
      <c r="DH159" s="6">
        <v>0.0</v>
      </c>
      <c r="DI159" s="6">
        <v>0.0</v>
      </c>
      <c r="DJ159" s="6">
        <v>0.0</v>
      </c>
      <c r="DK159" s="6">
        <f t="shared" ref="DK159:DM159" si="1377">+DE159+DH159+CY159+DB159</f>
        <v>0</v>
      </c>
      <c r="DL159" s="6">
        <f t="shared" si="1377"/>
        <v>0</v>
      </c>
      <c r="DM159" s="6">
        <f t="shared" si="1377"/>
        <v>0</v>
      </c>
      <c r="DN159" s="6" t="str">
        <f t="shared" ref="DN159:DP159" si="1378">+P159+AE159+AT159+BI159+BU159+CG159+CV159</f>
        <v>#REF!</v>
      </c>
      <c r="DO159" s="6" t="str">
        <f t="shared" si="1378"/>
        <v>#REF!</v>
      </c>
      <c r="DP159" s="6" t="str">
        <f t="shared" si="1378"/>
        <v>#REF!</v>
      </c>
      <c r="DQ159" s="6" t="str">
        <f t="shared" si="19"/>
        <v>#REF!</v>
      </c>
    </row>
    <row r="160" ht="13.5" customHeight="1">
      <c r="A160" s="11">
        <v>45687.0</v>
      </c>
      <c r="B160" s="2" t="s">
        <v>620</v>
      </c>
      <c r="C160" s="2" t="s">
        <v>621</v>
      </c>
      <c r="D160" s="29" t="s">
        <v>622</v>
      </c>
      <c r="E160" s="2" t="s">
        <v>623</v>
      </c>
      <c r="F160" s="11" t="s">
        <v>624</v>
      </c>
      <c r="G160" s="11" t="s">
        <v>599</v>
      </c>
      <c r="H160" s="5">
        <v>350000.0</v>
      </c>
      <c r="I160" s="5">
        <v>350000.0</v>
      </c>
      <c r="J160" s="6">
        <v>0.0</v>
      </c>
      <c r="K160" s="6">
        <v>0.0</v>
      </c>
      <c r="L160" s="6">
        <v>0.0</v>
      </c>
      <c r="M160" s="6">
        <v>0.0</v>
      </c>
      <c r="N160" s="6">
        <v>0.0</v>
      </c>
      <c r="O160" s="6">
        <v>0.0</v>
      </c>
      <c r="P160" s="6">
        <f t="shared" ref="P160:R160" si="1379">+J160+M160</f>
        <v>0</v>
      </c>
      <c r="Q160" s="6">
        <f t="shared" si="1379"/>
        <v>0</v>
      </c>
      <c r="R160" s="6">
        <f t="shared" si="1379"/>
        <v>0</v>
      </c>
      <c r="S160" s="6">
        <v>0.0</v>
      </c>
      <c r="T160" s="6">
        <v>0.0</v>
      </c>
      <c r="U160" s="6">
        <v>0.0</v>
      </c>
      <c r="V160" s="6">
        <v>0.0</v>
      </c>
      <c r="W160" s="6">
        <v>0.0</v>
      </c>
      <c r="X160" s="6">
        <v>0.0</v>
      </c>
      <c r="Y160" s="6">
        <v>0.0</v>
      </c>
      <c r="Z160" s="6">
        <v>0.0</v>
      </c>
      <c r="AA160" s="6">
        <v>0.0</v>
      </c>
      <c r="AB160" s="6">
        <v>0.0</v>
      </c>
      <c r="AC160" s="6">
        <v>0.0</v>
      </c>
      <c r="AD160" s="6">
        <v>0.0</v>
      </c>
      <c r="AE160" s="6">
        <f t="shared" ref="AE160:AG160" si="1380">+Y160+AB160+S160+V160</f>
        <v>0</v>
      </c>
      <c r="AF160" s="6">
        <f t="shared" si="1380"/>
        <v>0</v>
      </c>
      <c r="AG160" s="6">
        <f t="shared" si="1380"/>
        <v>0</v>
      </c>
      <c r="AH160" s="6">
        <v>0.0</v>
      </c>
      <c r="AI160" s="6">
        <v>0.0</v>
      </c>
      <c r="AJ160" s="6">
        <v>0.0</v>
      </c>
      <c r="AK160" s="6">
        <v>0.0</v>
      </c>
      <c r="AL160" s="6">
        <v>0.0</v>
      </c>
      <c r="AM160" s="6">
        <v>0.0</v>
      </c>
      <c r="AN160" s="6">
        <v>0.0</v>
      </c>
      <c r="AO160" s="6">
        <v>0.0</v>
      </c>
      <c r="AP160" s="6">
        <v>0.0</v>
      </c>
      <c r="AQ160" s="6">
        <v>0.0</v>
      </c>
      <c r="AR160" s="6">
        <v>0.0</v>
      </c>
      <c r="AS160" s="6">
        <v>0.0</v>
      </c>
      <c r="AT160" s="6">
        <f t="shared" ref="AT160:AV160" si="1381">+AN160+AQ160+AH160+AK160</f>
        <v>0</v>
      </c>
      <c r="AU160" s="6">
        <f t="shared" si="1381"/>
        <v>0</v>
      </c>
      <c r="AV160" s="6">
        <f t="shared" si="1381"/>
        <v>0</v>
      </c>
      <c r="AW160" s="6">
        <v>0.0</v>
      </c>
      <c r="AX160" s="6">
        <v>0.0</v>
      </c>
      <c r="AY160" s="6">
        <v>0.0</v>
      </c>
      <c r="AZ160" s="6">
        <v>0.0</v>
      </c>
      <c r="BA160" s="6">
        <v>0.0</v>
      </c>
      <c r="BB160" s="6">
        <v>0.0</v>
      </c>
      <c r="BC160" s="6">
        <v>0.0</v>
      </c>
      <c r="BD160" s="6">
        <v>0.0</v>
      </c>
      <c r="BE160" s="6">
        <v>0.0</v>
      </c>
      <c r="BF160" s="6">
        <v>0.0</v>
      </c>
      <c r="BG160" s="6">
        <v>0.0</v>
      </c>
      <c r="BH160" s="6">
        <v>0.0</v>
      </c>
      <c r="BI160" s="6">
        <f t="shared" ref="BI160:BK160" si="1382">+BC160+BF160+AW160+AZ160</f>
        <v>0</v>
      </c>
      <c r="BJ160" s="6">
        <f t="shared" si="1382"/>
        <v>0</v>
      </c>
      <c r="BK160" s="6">
        <f t="shared" si="1382"/>
        <v>0</v>
      </c>
      <c r="BL160" s="6">
        <v>0.0</v>
      </c>
      <c r="BM160" s="6">
        <v>0.0</v>
      </c>
      <c r="BN160" s="6">
        <v>0.0</v>
      </c>
      <c r="BO160" s="6">
        <v>0.0</v>
      </c>
      <c r="BP160" s="6">
        <v>0.0</v>
      </c>
      <c r="BQ160" s="6">
        <v>0.0</v>
      </c>
      <c r="BR160" s="6">
        <v>0.0</v>
      </c>
      <c r="BS160" s="6">
        <v>0.0</v>
      </c>
      <c r="BT160" s="6">
        <v>0.0</v>
      </c>
      <c r="BU160" s="6" t="str">
        <f t="shared" ref="BU160:BW160" si="1383">+BO160+BR160+#REF!+BL160</f>
        <v>#REF!</v>
      </c>
      <c r="BV160" s="6" t="str">
        <f t="shared" si="1383"/>
        <v>#REF!</v>
      </c>
      <c r="BW160" s="6" t="str">
        <f t="shared" si="1383"/>
        <v>#REF!</v>
      </c>
      <c r="BX160" s="6">
        <v>0.0</v>
      </c>
      <c r="BY160" s="6">
        <v>0.0</v>
      </c>
      <c r="BZ160" s="6">
        <v>0.0</v>
      </c>
      <c r="CA160" s="6">
        <v>0.0</v>
      </c>
      <c r="CB160" s="6">
        <v>0.0</v>
      </c>
      <c r="CC160" s="6">
        <v>0.0</v>
      </c>
      <c r="CD160" s="6">
        <v>0.0</v>
      </c>
      <c r="CE160" s="6">
        <v>0.0</v>
      </c>
      <c r="CF160" s="6">
        <v>175000.0</v>
      </c>
      <c r="CG160" s="6" t="str">
        <f t="shared" ref="CG160:CI160" si="1384">+CA160+CD160+BX160+#REF!</f>
        <v>#REF!</v>
      </c>
      <c r="CH160" s="6" t="str">
        <f t="shared" si="1384"/>
        <v>#REF!</v>
      </c>
      <c r="CI160" s="6" t="str">
        <f t="shared" si="1384"/>
        <v>#REF!</v>
      </c>
      <c r="CJ160" s="6">
        <v>0.0</v>
      </c>
      <c r="CK160" s="6">
        <v>0.0</v>
      </c>
      <c r="CL160" s="6">
        <v>0.0</v>
      </c>
      <c r="CM160" s="6">
        <v>0.0</v>
      </c>
      <c r="CN160" s="6">
        <v>0.0</v>
      </c>
      <c r="CO160" s="6">
        <v>0.0</v>
      </c>
      <c r="CP160" s="6">
        <v>0.0</v>
      </c>
      <c r="CQ160" s="6">
        <v>0.0</v>
      </c>
      <c r="CR160" s="6">
        <v>0.0</v>
      </c>
      <c r="CS160" s="6">
        <v>0.0</v>
      </c>
      <c r="CT160" s="6">
        <v>0.0</v>
      </c>
      <c r="CU160" s="6">
        <v>0.0</v>
      </c>
      <c r="CV160" s="6">
        <f t="shared" ref="CV160:CX160" si="1385">+CP160+CS160+CJ160+CM160</f>
        <v>0</v>
      </c>
      <c r="CW160" s="6">
        <f t="shared" si="1385"/>
        <v>0</v>
      </c>
      <c r="CX160" s="6">
        <f t="shared" si="1385"/>
        <v>0</v>
      </c>
      <c r="CY160" s="6">
        <v>0.0</v>
      </c>
      <c r="CZ160" s="6">
        <v>0.0</v>
      </c>
      <c r="DA160" s="6">
        <v>0.0</v>
      </c>
      <c r="DB160" s="6">
        <v>0.0</v>
      </c>
      <c r="DC160" s="6">
        <v>0.0</v>
      </c>
      <c r="DD160" s="6">
        <v>0.0</v>
      </c>
      <c r="DE160" s="6">
        <v>0.0</v>
      </c>
      <c r="DF160" s="6">
        <v>0.0</v>
      </c>
      <c r="DG160" s="6">
        <v>0.0</v>
      </c>
      <c r="DH160" s="6">
        <v>0.0</v>
      </c>
      <c r="DI160" s="6">
        <v>0.0</v>
      </c>
      <c r="DJ160" s="6">
        <v>0.0</v>
      </c>
      <c r="DK160" s="6">
        <f t="shared" ref="DK160:DM160" si="1386">+DE160+DH160+CY160+DB160</f>
        <v>0</v>
      </c>
      <c r="DL160" s="6">
        <f t="shared" si="1386"/>
        <v>0</v>
      </c>
      <c r="DM160" s="6">
        <f t="shared" si="1386"/>
        <v>0</v>
      </c>
      <c r="DN160" s="6" t="str">
        <f t="shared" ref="DN160:DP160" si="1387">+P160+AE160+AT160+BI160+BU160+CG160+CV160</f>
        <v>#REF!</v>
      </c>
      <c r="DO160" s="6" t="str">
        <f t="shared" si="1387"/>
        <v>#REF!</v>
      </c>
      <c r="DP160" s="6" t="str">
        <f t="shared" si="1387"/>
        <v>#REF!</v>
      </c>
      <c r="DQ160" s="6" t="str">
        <f t="shared" si="19"/>
        <v>#REF!</v>
      </c>
    </row>
    <row r="161" ht="13.5" customHeight="1">
      <c r="A161" s="11">
        <v>45671.0</v>
      </c>
      <c r="B161" s="2" t="s">
        <v>625</v>
      </c>
      <c r="C161" s="2" t="s">
        <v>626</v>
      </c>
      <c r="D161" s="29" t="s">
        <v>627</v>
      </c>
      <c r="E161" s="2" t="s">
        <v>628</v>
      </c>
      <c r="F161" s="11" t="s">
        <v>624</v>
      </c>
      <c r="G161" s="11" t="s">
        <v>599</v>
      </c>
      <c r="H161" s="5">
        <v>62500.0</v>
      </c>
      <c r="I161" s="5">
        <v>62500.0</v>
      </c>
      <c r="J161" s="6">
        <v>0.0</v>
      </c>
      <c r="K161" s="6">
        <v>0.0</v>
      </c>
      <c r="L161" s="6">
        <v>0.0</v>
      </c>
      <c r="M161" s="6">
        <v>0.0</v>
      </c>
      <c r="N161" s="6">
        <v>0.0</v>
      </c>
      <c r="O161" s="6">
        <v>0.0</v>
      </c>
      <c r="P161" s="6">
        <f t="shared" ref="P161:R161" si="1388">+J161+M161</f>
        <v>0</v>
      </c>
      <c r="Q161" s="6">
        <f t="shared" si="1388"/>
        <v>0</v>
      </c>
      <c r="R161" s="6">
        <f t="shared" si="1388"/>
        <v>0</v>
      </c>
      <c r="S161" s="6">
        <v>0.0</v>
      </c>
      <c r="T161" s="6">
        <v>0.0</v>
      </c>
      <c r="U161" s="6">
        <v>0.0</v>
      </c>
      <c r="V161" s="6">
        <v>0.0</v>
      </c>
      <c r="W161" s="6">
        <v>0.0</v>
      </c>
      <c r="X161" s="6">
        <v>0.0</v>
      </c>
      <c r="Y161" s="6">
        <v>0.0</v>
      </c>
      <c r="Z161" s="6">
        <v>0.0</v>
      </c>
      <c r="AA161" s="6">
        <v>0.0</v>
      </c>
      <c r="AB161" s="6">
        <v>0.0</v>
      </c>
      <c r="AC161" s="6">
        <v>0.0</v>
      </c>
      <c r="AD161" s="6">
        <v>0.0</v>
      </c>
      <c r="AE161" s="6">
        <f t="shared" ref="AE161:AG161" si="1389">+Y161+AB161+S161+V161</f>
        <v>0</v>
      </c>
      <c r="AF161" s="6">
        <f t="shared" si="1389"/>
        <v>0</v>
      </c>
      <c r="AG161" s="6">
        <f t="shared" si="1389"/>
        <v>0</v>
      </c>
      <c r="AH161" s="6">
        <v>0.0</v>
      </c>
      <c r="AI161" s="6">
        <v>0.0</v>
      </c>
      <c r="AJ161" s="6">
        <v>0.0</v>
      </c>
      <c r="AK161" s="6">
        <v>0.0</v>
      </c>
      <c r="AL161" s="6">
        <v>0.0</v>
      </c>
      <c r="AM161" s="6">
        <v>0.0</v>
      </c>
      <c r="AN161" s="6">
        <v>0.0</v>
      </c>
      <c r="AO161" s="6">
        <v>0.0</v>
      </c>
      <c r="AP161" s="6">
        <v>0.0</v>
      </c>
      <c r="AQ161" s="6">
        <v>0.0</v>
      </c>
      <c r="AR161" s="6">
        <v>0.0</v>
      </c>
      <c r="AS161" s="6">
        <v>0.0</v>
      </c>
      <c r="AT161" s="6">
        <f t="shared" ref="AT161:AV161" si="1390">+AN161+AQ161+AH161+AK161</f>
        <v>0</v>
      </c>
      <c r="AU161" s="6">
        <f t="shared" si="1390"/>
        <v>0</v>
      </c>
      <c r="AV161" s="6">
        <f t="shared" si="1390"/>
        <v>0</v>
      </c>
      <c r="AW161" s="6">
        <v>0.0</v>
      </c>
      <c r="AX161" s="6">
        <v>0.0</v>
      </c>
      <c r="AY161" s="6">
        <v>0.0</v>
      </c>
      <c r="AZ161" s="6">
        <v>0.0</v>
      </c>
      <c r="BA161" s="6">
        <v>0.0</v>
      </c>
      <c r="BB161" s="6">
        <v>0.0</v>
      </c>
      <c r="BC161" s="6">
        <v>0.0</v>
      </c>
      <c r="BD161" s="6">
        <v>0.0</v>
      </c>
      <c r="BE161" s="6">
        <v>0.0</v>
      </c>
      <c r="BF161" s="6">
        <v>0.0</v>
      </c>
      <c r="BG161" s="6">
        <v>0.0</v>
      </c>
      <c r="BH161" s="6">
        <v>0.0</v>
      </c>
      <c r="BI161" s="6">
        <f t="shared" ref="BI161:BK161" si="1391">+BC161+BF161+AW161+AZ161</f>
        <v>0</v>
      </c>
      <c r="BJ161" s="6">
        <f t="shared" si="1391"/>
        <v>0</v>
      </c>
      <c r="BK161" s="6">
        <f t="shared" si="1391"/>
        <v>0</v>
      </c>
      <c r="BL161" s="6">
        <v>0.0</v>
      </c>
      <c r="BM161" s="6">
        <v>0.0</v>
      </c>
      <c r="BN161" s="6">
        <v>0.0</v>
      </c>
      <c r="BO161" s="6">
        <v>0.0</v>
      </c>
      <c r="BP161" s="6">
        <v>0.0</v>
      </c>
      <c r="BQ161" s="6">
        <v>0.0</v>
      </c>
      <c r="BR161" s="6">
        <v>0.0</v>
      </c>
      <c r="BS161" s="6">
        <v>0.0</v>
      </c>
      <c r="BT161" s="6">
        <v>0.0</v>
      </c>
      <c r="BU161" s="6" t="str">
        <f t="shared" ref="BU161:BW161" si="1392">+BO161+BR161+#REF!+BL161</f>
        <v>#REF!</v>
      </c>
      <c r="BV161" s="6" t="str">
        <f t="shared" si="1392"/>
        <v>#REF!</v>
      </c>
      <c r="BW161" s="6" t="str">
        <f t="shared" si="1392"/>
        <v>#REF!</v>
      </c>
      <c r="BX161" s="6">
        <v>0.0</v>
      </c>
      <c r="BY161" s="6">
        <v>0.0</v>
      </c>
      <c r="BZ161" s="6">
        <v>0.0</v>
      </c>
      <c r="CA161" s="6">
        <v>0.0</v>
      </c>
      <c r="CB161" s="6">
        <v>0.0</v>
      </c>
      <c r="CC161" s="6">
        <v>0.0</v>
      </c>
      <c r="CD161" s="6">
        <v>0.0</v>
      </c>
      <c r="CE161" s="6">
        <v>0.0</v>
      </c>
      <c r="CF161" s="6">
        <v>0.0</v>
      </c>
      <c r="CG161" s="6" t="str">
        <f t="shared" ref="CG161:CI161" si="1393">+CA161+CD161+BX161+#REF!</f>
        <v>#REF!</v>
      </c>
      <c r="CH161" s="6" t="str">
        <f t="shared" si="1393"/>
        <v>#REF!</v>
      </c>
      <c r="CI161" s="6" t="str">
        <f t="shared" si="1393"/>
        <v>#REF!</v>
      </c>
      <c r="CJ161" s="6">
        <v>0.0</v>
      </c>
      <c r="CK161" s="6">
        <v>0.0</v>
      </c>
      <c r="CL161" s="6">
        <v>0.0</v>
      </c>
      <c r="CM161" s="6">
        <v>0.0</v>
      </c>
      <c r="CN161" s="6">
        <v>0.0</v>
      </c>
      <c r="CO161" s="6">
        <v>0.0</v>
      </c>
      <c r="CP161" s="6">
        <v>0.0</v>
      </c>
      <c r="CQ161" s="6">
        <v>0.0</v>
      </c>
      <c r="CR161" s="6">
        <v>0.0</v>
      </c>
      <c r="CS161" s="6">
        <v>0.0</v>
      </c>
      <c r="CT161" s="6">
        <v>0.0</v>
      </c>
      <c r="CU161" s="6">
        <v>0.0</v>
      </c>
      <c r="CV161" s="6">
        <f t="shared" ref="CV161:CX161" si="1394">+CP161+CS161+CJ161+CM161</f>
        <v>0</v>
      </c>
      <c r="CW161" s="6">
        <f t="shared" si="1394"/>
        <v>0</v>
      </c>
      <c r="CX161" s="6">
        <f t="shared" si="1394"/>
        <v>0</v>
      </c>
      <c r="CY161" s="6">
        <v>0.0</v>
      </c>
      <c r="CZ161" s="6">
        <v>0.0</v>
      </c>
      <c r="DA161" s="6">
        <v>0.0</v>
      </c>
      <c r="DB161" s="6">
        <v>0.0</v>
      </c>
      <c r="DC161" s="6">
        <v>0.0</v>
      </c>
      <c r="DD161" s="6">
        <v>0.0</v>
      </c>
      <c r="DE161" s="6">
        <v>0.0</v>
      </c>
      <c r="DF161" s="6">
        <v>0.0</v>
      </c>
      <c r="DG161" s="6">
        <v>0.0</v>
      </c>
      <c r="DH161" s="6">
        <v>0.0</v>
      </c>
      <c r="DI161" s="6">
        <v>0.0</v>
      </c>
      <c r="DJ161" s="6">
        <v>0.0</v>
      </c>
      <c r="DK161" s="6">
        <f t="shared" ref="DK161:DM161" si="1395">+DE161+DH161+CY161+DB161</f>
        <v>0</v>
      </c>
      <c r="DL161" s="6">
        <f t="shared" si="1395"/>
        <v>0</v>
      </c>
      <c r="DM161" s="6">
        <f t="shared" si="1395"/>
        <v>0</v>
      </c>
      <c r="DN161" s="6" t="str">
        <f t="shared" ref="DN161:DP161" si="1396">+P161+AE161+AT161+BI161+BU161+CG161+CV161</f>
        <v>#REF!</v>
      </c>
      <c r="DO161" s="6" t="str">
        <f t="shared" si="1396"/>
        <v>#REF!</v>
      </c>
      <c r="DP161" s="6" t="str">
        <f t="shared" si="1396"/>
        <v>#REF!</v>
      </c>
      <c r="DQ161" s="6" t="str">
        <f t="shared" si="19"/>
        <v>#REF!</v>
      </c>
    </row>
    <row r="162" ht="13.5" customHeight="1">
      <c r="A162" s="11">
        <v>45671.0</v>
      </c>
      <c r="B162" s="2" t="s">
        <v>625</v>
      </c>
      <c r="C162" s="2" t="s">
        <v>626</v>
      </c>
      <c r="D162" s="29" t="s">
        <v>627</v>
      </c>
      <c r="E162" s="2" t="s">
        <v>628</v>
      </c>
      <c r="F162" s="11" t="s">
        <v>624</v>
      </c>
      <c r="G162" s="11" t="s">
        <v>599</v>
      </c>
      <c r="H162" s="5">
        <v>187500.0</v>
      </c>
      <c r="I162" s="5">
        <v>187500.0</v>
      </c>
      <c r="J162" s="6">
        <v>0.0</v>
      </c>
      <c r="K162" s="6">
        <v>0.0</v>
      </c>
      <c r="L162" s="6">
        <v>0.0</v>
      </c>
      <c r="M162" s="6">
        <v>0.0</v>
      </c>
      <c r="N162" s="6">
        <v>0.0</v>
      </c>
      <c r="O162" s="6">
        <v>0.0</v>
      </c>
      <c r="P162" s="6">
        <f t="shared" ref="P162:R162" si="1397">+J162+M162</f>
        <v>0</v>
      </c>
      <c r="Q162" s="6">
        <f t="shared" si="1397"/>
        <v>0</v>
      </c>
      <c r="R162" s="6">
        <f t="shared" si="1397"/>
        <v>0</v>
      </c>
      <c r="S162" s="6">
        <v>0.0</v>
      </c>
      <c r="T162" s="6">
        <v>0.0</v>
      </c>
      <c r="U162" s="6">
        <v>0.0</v>
      </c>
      <c r="V162" s="6">
        <v>0.0</v>
      </c>
      <c r="W162" s="6">
        <v>0.0</v>
      </c>
      <c r="X162" s="6">
        <v>0.0</v>
      </c>
      <c r="Y162" s="6">
        <v>0.0</v>
      </c>
      <c r="Z162" s="6">
        <v>0.0</v>
      </c>
      <c r="AA162" s="6">
        <v>0.0</v>
      </c>
      <c r="AB162" s="6">
        <v>0.0</v>
      </c>
      <c r="AC162" s="6">
        <v>0.0</v>
      </c>
      <c r="AD162" s="6">
        <v>0.0</v>
      </c>
      <c r="AE162" s="6">
        <f t="shared" ref="AE162:AG162" si="1398">+Y162+AB162+S162+V162</f>
        <v>0</v>
      </c>
      <c r="AF162" s="6">
        <f t="shared" si="1398"/>
        <v>0</v>
      </c>
      <c r="AG162" s="6">
        <f t="shared" si="1398"/>
        <v>0</v>
      </c>
      <c r="AH162" s="6">
        <v>0.0</v>
      </c>
      <c r="AI162" s="6">
        <v>0.0</v>
      </c>
      <c r="AJ162" s="6">
        <v>0.0</v>
      </c>
      <c r="AK162" s="6">
        <v>0.0</v>
      </c>
      <c r="AL162" s="6">
        <v>0.0</v>
      </c>
      <c r="AM162" s="6">
        <v>0.0</v>
      </c>
      <c r="AN162" s="6">
        <v>0.0</v>
      </c>
      <c r="AO162" s="6">
        <v>0.0</v>
      </c>
      <c r="AP162" s="6">
        <v>0.0</v>
      </c>
      <c r="AQ162" s="6">
        <v>0.0</v>
      </c>
      <c r="AR162" s="6">
        <v>0.0</v>
      </c>
      <c r="AS162" s="6">
        <v>0.0</v>
      </c>
      <c r="AT162" s="6">
        <f t="shared" ref="AT162:AV162" si="1399">+AN162+AQ162+AH162+AK162</f>
        <v>0</v>
      </c>
      <c r="AU162" s="6">
        <f t="shared" si="1399"/>
        <v>0</v>
      </c>
      <c r="AV162" s="6">
        <f t="shared" si="1399"/>
        <v>0</v>
      </c>
      <c r="AW162" s="6">
        <v>0.0</v>
      </c>
      <c r="AX162" s="6">
        <v>0.0</v>
      </c>
      <c r="AY162" s="6">
        <v>0.0</v>
      </c>
      <c r="AZ162" s="6">
        <v>0.0</v>
      </c>
      <c r="BA162" s="6">
        <v>0.0</v>
      </c>
      <c r="BB162" s="6">
        <v>0.0</v>
      </c>
      <c r="BC162" s="6">
        <v>0.0</v>
      </c>
      <c r="BD162" s="6">
        <v>0.0</v>
      </c>
      <c r="BE162" s="6">
        <v>0.0</v>
      </c>
      <c r="BF162" s="6">
        <v>0.0</v>
      </c>
      <c r="BG162" s="6">
        <v>0.0</v>
      </c>
      <c r="BH162" s="6">
        <v>0.0</v>
      </c>
      <c r="BI162" s="6">
        <f t="shared" ref="BI162:BK162" si="1400">+BC162+BF162+AW162+AZ162</f>
        <v>0</v>
      </c>
      <c r="BJ162" s="6">
        <f t="shared" si="1400"/>
        <v>0</v>
      </c>
      <c r="BK162" s="6">
        <f t="shared" si="1400"/>
        <v>0</v>
      </c>
      <c r="BL162" s="6">
        <v>0.0</v>
      </c>
      <c r="BM162" s="6">
        <v>0.0</v>
      </c>
      <c r="BN162" s="6">
        <v>0.0</v>
      </c>
      <c r="BO162" s="6">
        <v>0.0</v>
      </c>
      <c r="BP162" s="6">
        <v>0.0</v>
      </c>
      <c r="BQ162" s="6">
        <v>0.0</v>
      </c>
      <c r="BR162" s="6">
        <v>0.0</v>
      </c>
      <c r="BS162" s="6">
        <v>0.0</v>
      </c>
      <c r="BT162" s="6">
        <v>0.0</v>
      </c>
      <c r="BU162" s="6" t="str">
        <f t="shared" ref="BU162:BW162" si="1401">+BO162+BR162+#REF!+BL162</f>
        <v>#REF!</v>
      </c>
      <c r="BV162" s="6" t="str">
        <f t="shared" si="1401"/>
        <v>#REF!</v>
      </c>
      <c r="BW162" s="6" t="str">
        <f t="shared" si="1401"/>
        <v>#REF!</v>
      </c>
      <c r="BX162" s="6">
        <v>0.0</v>
      </c>
      <c r="BY162" s="6">
        <v>0.0</v>
      </c>
      <c r="BZ162" s="6">
        <v>0.0</v>
      </c>
      <c r="CA162" s="6">
        <v>0.0</v>
      </c>
      <c r="CB162" s="6">
        <v>0.0</v>
      </c>
      <c r="CC162" s="6">
        <v>0.0</v>
      </c>
      <c r="CD162" s="6">
        <v>0.0</v>
      </c>
      <c r="CE162" s="6">
        <v>0.0</v>
      </c>
      <c r="CF162" s="6">
        <v>93750.0</v>
      </c>
      <c r="CG162" s="6" t="str">
        <f t="shared" ref="CG162:CI162" si="1402">+CA162+CD162+BX162+#REF!</f>
        <v>#REF!</v>
      </c>
      <c r="CH162" s="6" t="str">
        <f t="shared" si="1402"/>
        <v>#REF!</v>
      </c>
      <c r="CI162" s="6" t="str">
        <f t="shared" si="1402"/>
        <v>#REF!</v>
      </c>
      <c r="CJ162" s="6">
        <v>0.0</v>
      </c>
      <c r="CK162" s="6">
        <v>0.0</v>
      </c>
      <c r="CL162" s="6">
        <v>0.0</v>
      </c>
      <c r="CM162" s="6">
        <v>0.0</v>
      </c>
      <c r="CN162" s="6">
        <v>0.0</v>
      </c>
      <c r="CO162" s="6">
        <v>0.0</v>
      </c>
      <c r="CP162" s="6">
        <v>0.0</v>
      </c>
      <c r="CQ162" s="6">
        <v>0.0</v>
      </c>
      <c r="CR162" s="6">
        <v>0.0</v>
      </c>
      <c r="CS162" s="6">
        <v>0.0</v>
      </c>
      <c r="CT162" s="6">
        <v>0.0</v>
      </c>
      <c r="CU162" s="6">
        <v>0.0</v>
      </c>
      <c r="CV162" s="6">
        <f t="shared" ref="CV162:CX162" si="1403">+CP162+CS162+CJ162+CM162</f>
        <v>0</v>
      </c>
      <c r="CW162" s="6">
        <f t="shared" si="1403"/>
        <v>0</v>
      </c>
      <c r="CX162" s="6">
        <f t="shared" si="1403"/>
        <v>0</v>
      </c>
      <c r="CY162" s="6">
        <v>0.0</v>
      </c>
      <c r="CZ162" s="6">
        <v>0.0</v>
      </c>
      <c r="DA162" s="6">
        <v>0.0</v>
      </c>
      <c r="DB162" s="6">
        <v>0.0</v>
      </c>
      <c r="DC162" s="6">
        <v>0.0</v>
      </c>
      <c r="DD162" s="6">
        <v>0.0</v>
      </c>
      <c r="DE162" s="6">
        <v>0.0</v>
      </c>
      <c r="DF162" s="6">
        <v>0.0</v>
      </c>
      <c r="DG162" s="6">
        <v>0.0</v>
      </c>
      <c r="DH162" s="6">
        <v>0.0</v>
      </c>
      <c r="DI162" s="6">
        <v>0.0</v>
      </c>
      <c r="DJ162" s="6">
        <v>0.0</v>
      </c>
      <c r="DK162" s="6">
        <f t="shared" ref="DK162:DM162" si="1404">+DE162+DH162+CY162+DB162</f>
        <v>0</v>
      </c>
      <c r="DL162" s="6">
        <f t="shared" si="1404"/>
        <v>0</v>
      </c>
      <c r="DM162" s="6">
        <f t="shared" si="1404"/>
        <v>0</v>
      </c>
      <c r="DN162" s="6" t="str">
        <f t="shared" ref="DN162:DP162" si="1405">+P162+AE162+AT162+BI162+BU162+CG162+CV162</f>
        <v>#REF!</v>
      </c>
      <c r="DO162" s="6" t="str">
        <f t="shared" si="1405"/>
        <v>#REF!</v>
      </c>
      <c r="DP162" s="6" t="str">
        <f t="shared" si="1405"/>
        <v>#REF!</v>
      </c>
      <c r="DQ162" s="6" t="str">
        <f t="shared" si="19"/>
        <v>#REF!</v>
      </c>
    </row>
    <row r="163" ht="13.5" customHeight="1">
      <c r="A163" s="11">
        <v>45748.0</v>
      </c>
      <c r="B163" s="2" t="s">
        <v>629</v>
      </c>
      <c r="C163" s="2" t="s">
        <v>630</v>
      </c>
      <c r="D163" s="29" t="s">
        <v>631</v>
      </c>
      <c r="E163" s="2" t="s">
        <v>632</v>
      </c>
      <c r="F163" s="11" t="s">
        <v>633</v>
      </c>
      <c r="G163" s="11" t="s">
        <v>21</v>
      </c>
      <c r="H163" s="5">
        <v>800000.0</v>
      </c>
      <c r="I163" s="5">
        <v>800000.0</v>
      </c>
      <c r="J163" s="6">
        <v>0.0</v>
      </c>
      <c r="K163" s="6">
        <v>0.0</v>
      </c>
      <c r="L163" s="6">
        <v>0.0</v>
      </c>
      <c r="M163" s="6">
        <v>0.0</v>
      </c>
      <c r="N163" s="6">
        <v>0.0</v>
      </c>
      <c r="O163" s="6">
        <v>0.0</v>
      </c>
      <c r="P163" s="6">
        <f t="shared" ref="P163:R163" si="1406">+J163+M163</f>
        <v>0</v>
      </c>
      <c r="Q163" s="6">
        <f t="shared" si="1406"/>
        <v>0</v>
      </c>
      <c r="R163" s="6">
        <f t="shared" si="1406"/>
        <v>0</v>
      </c>
      <c r="S163" s="6">
        <v>0.0</v>
      </c>
      <c r="T163" s="6">
        <v>0.0</v>
      </c>
      <c r="U163" s="6">
        <v>0.0</v>
      </c>
      <c r="V163" s="6">
        <v>0.0</v>
      </c>
      <c r="W163" s="6">
        <v>0.0</v>
      </c>
      <c r="X163" s="6">
        <v>0.0</v>
      </c>
      <c r="Y163" s="6">
        <v>0.0</v>
      </c>
      <c r="Z163" s="6">
        <v>0.0</v>
      </c>
      <c r="AA163" s="6">
        <v>0.0</v>
      </c>
      <c r="AB163" s="6">
        <v>0.0</v>
      </c>
      <c r="AC163" s="6">
        <v>0.0</v>
      </c>
      <c r="AD163" s="6">
        <v>0.0</v>
      </c>
      <c r="AE163" s="6">
        <f t="shared" ref="AE163:AG163" si="1407">+Y163+AB163+S163+V163</f>
        <v>0</v>
      </c>
      <c r="AF163" s="6">
        <f t="shared" si="1407"/>
        <v>0</v>
      </c>
      <c r="AG163" s="6">
        <f t="shared" si="1407"/>
        <v>0</v>
      </c>
      <c r="AH163" s="6">
        <v>0.0</v>
      </c>
      <c r="AI163" s="6">
        <v>0.0</v>
      </c>
      <c r="AJ163" s="6">
        <v>0.0</v>
      </c>
      <c r="AK163" s="6">
        <v>0.0</v>
      </c>
      <c r="AL163" s="6">
        <v>0.0</v>
      </c>
      <c r="AM163" s="6">
        <v>0.0</v>
      </c>
      <c r="AN163" s="6">
        <v>0.0</v>
      </c>
      <c r="AO163" s="6">
        <v>0.0</v>
      </c>
      <c r="AP163" s="6">
        <v>0.0</v>
      </c>
      <c r="AQ163" s="6">
        <v>0.0</v>
      </c>
      <c r="AR163" s="6">
        <v>0.0</v>
      </c>
      <c r="AS163" s="6">
        <v>0.0</v>
      </c>
      <c r="AT163" s="6">
        <f t="shared" ref="AT163:AV163" si="1408">+AN163+AQ163+AH163+AK163</f>
        <v>0</v>
      </c>
      <c r="AU163" s="6">
        <f t="shared" si="1408"/>
        <v>0</v>
      </c>
      <c r="AV163" s="6">
        <f t="shared" si="1408"/>
        <v>0</v>
      </c>
      <c r="AW163" s="6">
        <v>0.0</v>
      </c>
      <c r="AX163" s="6">
        <v>0.0</v>
      </c>
      <c r="AY163" s="6">
        <v>0.0</v>
      </c>
      <c r="AZ163" s="6">
        <v>0.0</v>
      </c>
      <c r="BA163" s="6">
        <v>0.0</v>
      </c>
      <c r="BB163" s="6">
        <v>0.0</v>
      </c>
      <c r="BC163" s="6">
        <v>0.0</v>
      </c>
      <c r="BD163" s="6">
        <v>0.0</v>
      </c>
      <c r="BE163" s="6">
        <v>0.0</v>
      </c>
      <c r="BF163" s="6">
        <v>0.0</v>
      </c>
      <c r="BG163" s="6">
        <v>0.0</v>
      </c>
      <c r="BH163" s="6">
        <v>0.0</v>
      </c>
      <c r="BI163" s="6">
        <f t="shared" ref="BI163:BK163" si="1409">+BC163+BF163+AW163+AZ163</f>
        <v>0</v>
      </c>
      <c r="BJ163" s="6">
        <f t="shared" si="1409"/>
        <v>0</v>
      </c>
      <c r="BK163" s="6">
        <f t="shared" si="1409"/>
        <v>0</v>
      </c>
      <c r="BL163" s="6">
        <v>0.0</v>
      </c>
      <c r="BM163" s="6">
        <v>0.0</v>
      </c>
      <c r="BN163" s="6">
        <v>0.0</v>
      </c>
      <c r="BO163" s="6">
        <v>0.0</v>
      </c>
      <c r="BP163" s="6">
        <v>0.0</v>
      </c>
      <c r="BQ163" s="6">
        <v>0.0</v>
      </c>
      <c r="BR163" s="6">
        <v>0.0</v>
      </c>
      <c r="BS163" s="6">
        <v>0.0</v>
      </c>
      <c r="BT163" s="6">
        <v>0.0</v>
      </c>
      <c r="BU163" s="6" t="str">
        <f t="shared" ref="BU163:BW163" si="1410">+BO163+BR163+#REF!+BL163</f>
        <v>#REF!</v>
      </c>
      <c r="BV163" s="6" t="str">
        <f t="shared" si="1410"/>
        <v>#REF!</v>
      </c>
      <c r="BW163" s="6" t="str">
        <f t="shared" si="1410"/>
        <v>#REF!</v>
      </c>
      <c r="BX163" s="6">
        <v>0.0</v>
      </c>
      <c r="BY163" s="6">
        <v>0.0</v>
      </c>
      <c r="BZ163" s="6">
        <v>0.0</v>
      </c>
      <c r="CA163" s="5">
        <v>800000.0</v>
      </c>
      <c r="CB163" s="5">
        <v>800000.0</v>
      </c>
      <c r="CC163" s="6">
        <v>0.0</v>
      </c>
      <c r="CD163" s="6">
        <v>0.0</v>
      </c>
      <c r="CE163" s="6">
        <v>0.0</v>
      </c>
      <c r="CF163" s="6">
        <v>400000.0</v>
      </c>
      <c r="CG163" s="6" t="str">
        <f t="shared" ref="CG163:CI163" si="1411">+CA163+CD163+BX163+#REF!</f>
        <v>#REF!</v>
      </c>
      <c r="CH163" s="6" t="str">
        <f t="shared" si="1411"/>
        <v>#REF!</v>
      </c>
      <c r="CI163" s="6" t="str">
        <f t="shared" si="1411"/>
        <v>#REF!</v>
      </c>
      <c r="CJ163" s="6">
        <v>0.0</v>
      </c>
      <c r="CK163" s="6">
        <v>0.0</v>
      </c>
      <c r="CL163" s="6">
        <v>150000.0</v>
      </c>
      <c r="CM163" s="6">
        <v>0.0</v>
      </c>
      <c r="CN163" s="6">
        <v>0.0</v>
      </c>
      <c r="CO163" s="6">
        <v>250000.0</v>
      </c>
      <c r="CP163" s="6">
        <v>0.0</v>
      </c>
      <c r="CQ163" s="6">
        <v>0.0</v>
      </c>
      <c r="CR163" s="6">
        <v>0.0</v>
      </c>
      <c r="CS163" s="6">
        <v>0.0</v>
      </c>
      <c r="CT163" s="6">
        <v>0.0</v>
      </c>
      <c r="CU163" s="6">
        <v>0.0</v>
      </c>
      <c r="CV163" s="6">
        <f t="shared" ref="CV163:CX163" si="1412">+CP163+CS163+CJ163+CM163</f>
        <v>0</v>
      </c>
      <c r="CW163" s="6">
        <f t="shared" si="1412"/>
        <v>0</v>
      </c>
      <c r="CX163" s="6">
        <f t="shared" si="1412"/>
        <v>400000</v>
      </c>
      <c r="CY163" s="6">
        <v>0.0</v>
      </c>
      <c r="CZ163" s="6">
        <v>0.0</v>
      </c>
      <c r="DA163" s="6">
        <v>150000.0</v>
      </c>
      <c r="DB163" s="6">
        <v>0.0</v>
      </c>
      <c r="DC163" s="6">
        <v>0.0</v>
      </c>
      <c r="DD163" s="6">
        <v>250000.0</v>
      </c>
      <c r="DE163" s="6">
        <v>0.0</v>
      </c>
      <c r="DF163" s="6">
        <v>0.0</v>
      </c>
      <c r="DG163" s="6">
        <v>0.0</v>
      </c>
      <c r="DH163" s="6">
        <v>0.0</v>
      </c>
      <c r="DI163" s="6">
        <v>0.0</v>
      </c>
      <c r="DJ163" s="6">
        <v>0.0</v>
      </c>
      <c r="DK163" s="6">
        <f t="shared" ref="DK163:DM163" si="1413">+DE163+DH163+CY163+DB163</f>
        <v>0</v>
      </c>
      <c r="DL163" s="6">
        <f t="shared" si="1413"/>
        <v>0</v>
      </c>
      <c r="DM163" s="6">
        <f t="shared" si="1413"/>
        <v>400000</v>
      </c>
      <c r="DN163" s="6" t="str">
        <f t="shared" ref="DN163:DP163" si="1414">+P163+AE163+AT163+BI163+BU163+CG163+CV163</f>
        <v>#REF!</v>
      </c>
      <c r="DO163" s="6" t="str">
        <f t="shared" si="1414"/>
        <v>#REF!</v>
      </c>
      <c r="DP163" s="6" t="str">
        <f t="shared" si="1414"/>
        <v>#REF!</v>
      </c>
      <c r="DQ163" s="6" t="str">
        <f t="shared" si="19"/>
        <v>#REF!</v>
      </c>
    </row>
    <row r="164" ht="13.5" customHeight="1">
      <c r="A164" s="11">
        <v>45748.0</v>
      </c>
      <c r="B164" s="2" t="s">
        <v>629</v>
      </c>
      <c r="C164" s="2" t="s">
        <v>630</v>
      </c>
      <c r="D164" s="29" t="s">
        <v>631</v>
      </c>
      <c r="E164" s="2" t="s">
        <v>632</v>
      </c>
      <c r="F164" s="11" t="s">
        <v>633</v>
      </c>
      <c r="G164" s="11" t="s">
        <v>21</v>
      </c>
      <c r="H164" s="5">
        <v>470000.0</v>
      </c>
      <c r="I164" s="5">
        <v>470000.0</v>
      </c>
      <c r="J164" s="6">
        <v>0.0</v>
      </c>
      <c r="K164" s="6">
        <v>0.0</v>
      </c>
      <c r="L164" s="6">
        <v>0.0</v>
      </c>
      <c r="M164" s="6">
        <v>0.0</v>
      </c>
      <c r="N164" s="6">
        <v>0.0</v>
      </c>
      <c r="O164" s="6">
        <v>0.0</v>
      </c>
      <c r="P164" s="6">
        <f t="shared" ref="P164:R164" si="1415">+J164+M164</f>
        <v>0</v>
      </c>
      <c r="Q164" s="6">
        <f t="shared" si="1415"/>
        <v>0</v>
      </c>
      <c r="R164" s="6">
        <f t="shared" si="1415"/>
        <v>0</v>
      </c>
      <c r="S164" s="6">
        <v>0.0</v>
      </c>
      <c r="T164" s="6">
        <v>0.0</v>
      </c>
      <c r="U164" s="6">
        <v>0.0</v>
      </c>
      <c r="V164" s="6">
        <v>0.0</v>
      </c>
      <c r="W164" s="6">
        <v>0.0</v>
      </c>
      <c r="X164" s="6">
        <v>0.0</v>
      </c>
      <c r="Y164" s="6">
        <v>0.0</v>
      </c>
      <c r="Z164" s="6">
        <v>0.0</v>
      </c>
      <c r="AA164" s="6">
        <v>0.0</v>
      </c>
      <c r="AB164" s="6">
        <v>0.0</v>
      </c>
      <c r="AC164" s="6">
        <v>0.0</v>
      </c>
      <c r="AD164" s="6">
        <v>0.0</v>
      </c>
      <c r="AE164" s="6">
        <f t="shared" ref="AE164:AG164" si="1416">+Y164+AB164+S164+V164</f>
        <v>0</v>
      </c>
      <c r="AF164" s="6">
        <f t="shared" si="1416"/>
        <v>0</v>
      </c>
      <c r="AG164" s="6">
        <f t="shared" si="1416"/>
        <v>0</v>
      </c>
      <c r="AH164" s="6">
        <v>0.0</v>
      </c>
      <c r="AI164" s="6">
        <v>0.0</v>
      </c>
      <c r="AJ164" s="6">
        <v>0.0</v>
      </c>
      <c r="AK164" s="6">
        <v>0.0</v>
      </c>
      <c r="AL164" s="6">
        <v>0.0</v>
      </c>
      <c r="AM164" s="6">
        <v>0.0</v>
      </c>
      <c r="AN164" s="6">
        <v>0.0</v>
      </c>
      <c r="AO164" s="6">
        <v>0.0</v>
      </c>
      <c r="AP164" s="6">
        <v>0.0</v>
      </c>
      <c r="AQ164" s="6">
        <v>0.0</v>
      </c>
      <c r="AR164" s="6">
        <v>0.0</v>
      </c>
      <c r="AS164" s="6">
        <v>0.0</v>
      </c>
      <c r="AT164" s="6">
        <f t="shared" ref="AT164:AV164" si="1417">+AN164+AQ164+AH164+AK164</f>
        <v>0</v>
      </c>
      <c r="AU164" s="6">
        <f t="shared" si="1417"/>
        <v>0</v>
      </c>
      <c r="AV164" s="6">
        <f t="shared" si="1417"/>
        <v>0</v>
      </c>
      <c r="AW164" s="6">
        <v>0.0</v>
      </c>
      <c r="AX164" s="6">
        <v>0.0</v>
      </c>
      <c r="AY164" s="6">
        <v>0.0</v>
      </c>
      <c r="AZ164" s="6">
        <v>0.0</v>
      </c>
      <c r="BA164" s="6">
        <v>0.0</v>
      </c>
      <c r="BB164" s="6">
        <v>0.0</v>
      </c>
      <c r="BC164" s="6">
        <v>0.0</v>
      </c>
      <c r="BD164" s="6">
        <v>0.0</v>
      </c>
      <c r="BE164" s="6">
        <v>0.0</v>
      </c>
      <c r="BF164" s="6">
        <v>0.0</v>
      </c>
      <c r="BG164" s="6">
        <v>0.0</v>
      </c>
      <c r="BH164" s="6">
        <v>0.0</v>
      </c>
      <c r="BI164" s="6">
        <f t="shared" ref="BI164:BK164" si="1418">+BC164+BF164+AW164+AZ164</f>
        <v>0</v>
      </c>
      <c r="BJ164" s="6">
        <f t="shared" si="1418"/>
        <v>0</v>
      </c>
      <c r="BK164" s="6">
        <f t="shared" si="1418"/>
        <v>0</v>
      </c>
      <c r="BL164" s="6">
        <v>0.0</v>
      </c>
      <c r="BM164" s="6">
        <v>0.0</v>
      </c>
      <c r="BN164" s="6">
        <v>0.0</v>
      </c>
      <c r="BO164" s="6">
        <v>0.0</v>
      </c>
      <c r="BP164" s="6">
        <v>0.0</v>
      </c>
      <c r="BQ164" s="6">
        <v>0.0</v>
      </c>
      <c r="BR164" s="6">
        <v>0.0</v>
      </c>
      <c r="BS164" s="6">
        <v>0.0</v>
      </c>
      <c r="BT164" s="6">
        <v>0.0</v>
      </c>
      <c r="BU164" s="6" t="str">
        <f t="shared" ref="BU164:BW164" si="1419">+BO164+BR164+#REF!+BL164</f>
        <v>#REF!</v>
      </c>
      <c r="BV164" s="6" t="str">
        <f t="shared" si="1419"/>
        <v>#REF!</v>
      </c>
      <c r="BW164" s="6" t="str">
        <f t="shared" si="1419"/>
        <v>#REF!</v>
      </c>
      <c r="BX164" s="6">
        <v>0.0</v>
      </c>
      <c r="BY164" s="6">
        <v>0.0</v>
      </c>
      <c r="BZ164" s="6">
        <v>0.0</v>
      </c>
      <c r="CA164" s="5">
        <v>470000.0</v>
      </c>
      <c r="CB164" s="5">
        <v>470000.0</v>
      </c>
      <c r="CC164" s="6">
        <v>470000.0</v>
      </c>
      <c r="CD164" s="6">
        <v>0.0</v>
      </c>
      <c r="CE164" s="6">
        <v>0.0</v>
      </c>
      <c r="CF164" s="6">
        <v>0.0</v>
      </c>
      <c r="CG164" s="6" t="str">
        <f t="shared" ref="CG164:CI164" si="1420">+CA164+CD164+BX164+#REF!</f>
        <v>#REF!</v>
      </c>
      <c r="CH164" s="6" t="str">
        <f t="shared" si="1420"/>
        <v>#REF!</v>
      </c>
      <c r="CI164" s="6" t="str">
        <f t="shared" si="1420"/>
        <v>#REF!</v>
      </c>
      <c r="CJ164" s="6">
        <v>0.0</v>
      </c>
      <c r="CK164" s="6">
        <v>0.0</v>
      </c>
      <c r="CL164" s="6">
        <v>0.0</v>
      </c>
      <c r="CM164" s="6">
        <v>0.0</v>
      </c>
      <c r="CN164" s="6">
        <v>0.0</v>
      </c>
      <c r="CO164" s="6">
        <v>0.0</v>
      </c>
      <c r="CP164" s="6">
        <v>0.0</v>
      </c>
      <c r="CQ164" s="6">
        <v>0.0</v>
      </c>
      <c r="CR164" s="6">
        <v>0.0</v>
      </c>
      <c r="CS164" s="6">
        <v>0.0</v>
      </c>
      <c r="CT164" s="6">
        <v>0.0</v>
      </c>
      <c r="CU164" s="6">
        <v>0.0</v>
      </c>
      <c r="CV164" s="6">
        <f t="shared" ref="CV164:CX164" si="1421">+CP164+CS164+CJ164+CM164</f>
        <v>0</v>
      </c>
      <c r="CW164" s="6">
        <f t="shared" si="1421"/>
        <v>0</v>
      </c>
      <c r="CX164" s="6">
        <f t="shared" si="1421"/>
        <v>0</v>
      </c>
      <c r="CY164" s="6">
        <v>0.0</v>
      </c>
      <c r="CZ164" s="6">
        <v>0.0</v>
      </c>
      <c r="DA164" s="6">
        <v>0.0</v>
      </c>
      <c r="DB164" s="6">
        <v>0.0</v>
      </c>
      <c r="DC164" s="6">
        <v>0.0</v>
      </c>
      <c r="DD164" s="6">
        <v>0.0</v>
      </c>
      <c r="DE164" s="6">
        <v>0.0</v>
      </c>
      <c r="DF164" s="6">
        <v>0.0</v>
      </c>
      <c r="DG164" s="6">
        <v>0.0</v>
      </c>
      <c r="DH164" s="6">
        <v>0.0</v>
      </c>
      <c r="DI164" s="6">
        <v>0.0</v>
      </c>
      <c r="DJ164" s="6">
        <v>0.0</v>
      </c>
      <c r="DK164" s="6">
        <f t="shared" ref="DK164:DM164" si="1422">+DE164+DH164+CY164+DB164</f>
        <v>0</v>
      </c>
      <c r="DL164" s="6">
        <f t="shared" si="1422"/>
        <v>0</v>
      </c>
      <c r="DM164" s="6">
        <f t="shared" si="1422"/>
        <v>0</v>
      </c>
      <c r="DN164" s="6" t="str">
        <f t="shared" ref="DN164:DP164" si="1423">+P164+AE164+AT164+BI164+BU164+CG164+CV164</f>
        <v>#REF!</v>
      </c>
      <c r="DO164" s="6" t="str">
        <f t="shared" si="1423"/>
        <v>#REF!</v>
      </c>
      <c r="DP164" s="6" t="str">
        <f t="shared" si="1423"/>
        <v>#REF!</v>
      </c>
      <c r="DQ164" s="6" t="str">
        <f t="shared" si="19"/>
        <v>#REF!</v>
      </c>
    </row>
    <row r="165" ht="13.5" customHeight="1">
      <c r="A165" s="11">
        <v>45770.0</v>
      </c>
      <c r="B165" s="2" t="s">
        <v>634</v>
      </c>
      <c r="C165" s="2" t="s">
        <v>635</v>
      </c>
      <c r="D165" s="29" t="s">
        <v>636</v>
      </c>
      <c r="E165" s="2" t="s">
        <v>637</v>
      </c>
      <c r="F165" s="11" t="s">
        <v>633</v>
      </c>
      <c r="G165" s="11" t="s">
        <v>21</v>
      </c>
      <c r="H165" s="5">
        <v>500000.0</v>
      </c>
      <c r="I165" s="5">
        <v>500000.0</v>
      </c>
      <c r="J165" s="6">
        <v>0.0</v>
      </c>
      <c r="K165" s="6">
        <v>0.0</v>
      </c>
      <c r="L165" s="6">
        <v>0.0</v>
      </c>
      <c r="M165" s="6">
        <v>0.0</v>
      </c>
      <c r="N165" s="6">
        <v>0.0</v>
      </c>
      <c r="O165" s="6">
        <v>0.0</v>
      </c>
      <c r="P165" s="6">
        <f t="shared" ref="P165:R165" si="1424">+J165+M165</f>
        <v>0</v>
      </c>
      <c r="Q165" s="6">
        <f t="shared" si="1424"/>
        <v>0</v>
      </c>
      <c r="R165" s="6">
        <f t="shared" si="1424"/>
        <v>0</v>
      </c>
      <c r="S165" s="6">
        <v>0.0</v>
      </c>
      <c r="T165" s="6">
        <v>0.0</v>
      </c>
      <c r="U165" s="6">
        <v>0.0</v>
      </c>
      <c r="V165" s="6">
        <v>0.0</v>
      </c>
      <c r="W165" s="6">
        <v>0.0</v>
      </c>
      <c r="X165" s="6">
        <v>0.0</v>
      </c>
      <c r="Y165" s="6">
        <v>0.0</v>
      </c>
      <c r="Z165" s="6">
        <v>0.0</v>
      </c>
      <c r="AA165" s="6">
        <v>0.0</v>
      </c>
      <c r="AB165" s="6">
        <v>0.0</v>
      </c>
      <c r="AC165" s="6">
        <v>0.0</v>
      </c>
      <c r="AD165" s="6">
        <v>0.0</v>
      </c>
      <c r="AE165" s="6">
        <f t="shared" ref="AE165:AG165" si="1425">+Y165+AB165+S165+V165</f>
        <v>0</v>
      </c>
      <c r="AF165" s="6">
        <f t="shared" si="1425"/>
        <v>0</v>
      </c>
      <c r="AG165" s="6">
        <f t="shared" si="1425"/>
        <v>0</v>
      </c>
      <c r="AH165" s="6">
        <v>0.0</v>
      </c>
      <c r="AI165" s="6">
        <v>0.0</v>
      </c>
      <c r="AJ165" s="6">
        <v>0.0</v>
      </c>
      <c r="AK165" s="6">
        <v>0.0</v>
      </c>
      <c r="AL165" s="6">
        <v>0.0</v>
      </c>
      <c r="AM165" s="6">
        <v>0.0</v>
      </c>
      <c r="AN165" s="6">
        <v>0.0</v>
      </c>
      <c r="AO165" s="6">
        <v>0.0</v>
      </c>
      <c r="AP165" s="6">
        <v>0.0</v>
      </c>
      <c r="AQ165" s="6">
        <v>0.0</v>
      </c>
      <c r="AR165" s="6">
        <v>0.0</v>
      </c>
      <c r="AS165" s="6">
        <v>0.0</v>
      </c>
      <c r="AT165" s="6">
        <f t="shared" ref="AT165:AV165" si="1426">+AN165+AQ165+AH165+AK165</f>
        <v>0</v>
      </c>
      <c r="AU165" s="6">
        <f t="shared" si="1426"/>
        <v>0</v>
      </c>
      <c r="AV165" s="6">
        <f t="shared" si="1426"/>
        <v>0</v>
      </c>
      <c r="AW165" s="6">
        <v>0.0</v>
      </c>
      <c r="AX165" s="6">
        <v>0.0</v>
      </c>
      <c r="AY165" s="6">
        <v>0.0</v>
      </c>
      <c r="AZ165" s="6">
        <v>0.0</v>
      </c>
      <c r="BA165" s="6">
        <v>0.0</v>
      </c>
      <c r="BB165" s="6">
        <v>0.0</v>
      </c>
      <c r="BC165" s="6">
        <v>0.0</v>
      </c>
      <c r="BD165" s="6">
        <v>0.0</v>
      </c>
      <c r="BE165" s="6">
        <v>0.0</v>
      </c>
      <c r="BF165" s="6">
        <v>0.0</v>
      </c>
      <c r="BG165" s="6">
        <v>0.0</v>
      </c>
      <c r="BH165" s="6">
        <v>0.0</v>
      </c>
      <c r="BI165" s="6">
        <f t="shared" ref="BI165:BK165" si="1427">+BC165+BF165+AW165+AZ165</f>
        <v>0</v>
      </c>
      <c r="BJ165" s="6">
        <f t="shared" si="1427"/>
        <v>0</v>
      </c>
      <c r="BK165" s="6">
        <f t="shared" si="1427"/>
        <v>0</v>
      </c>
      <c r="BL165" s="6">
        <v>0.0</v>
      </c>
      <c r="BM165" s="6">
        <v>0.0</v>
      </c>
      <c r="BN165" s="6">
        <v>0.0</v>
      </c>
      <c r="BO165" s="6">
        <v>0.0</v>
      </c>
      <c r="BP165" s="6">
        <v>0.0</v>
      </c>
      <c r="BQ165" s="6">
        <v>0.0</v>
      </c>
      <c r="BR165" s="6">
        <v>0.0</v>
      </c>
      <c r="BS165" s="6">
        <v>0.0</v>
      </c>
      <c r="BT165" s="6">
        <v>0.0</v>
      </c>
      <c r="BU165" s="6" t="str">
        <f t="shared" ref="BU165:BW165" si="1428">+BO165+BR165+#REF!+BL165</f>
        <v>#REF!</v>
      </c>
      <c r="BV165" s="6" t="str">
        <f t="shared" si="1428"/>
        <v>#REF!</v>
      </c>
      <c r="BW165" s="6" t="str">
        <f t="shared" si="1428"/>
        <v>#REF!</v>
      </c>
      <c r="BX165" s="6">
        <v>0.0</v>
      </c>
      <c r="BY165" s="6">
        <v>0.0</v>
      </c>
      <c r="BZ165" s="6">
        <v>0.0</v>
      </c>
      <c r="CA165" s="5">
        <v>500000.0</v>
      </c>
      <c r="CB165" s="5">
        <v>500000.0</v>
      </c>
      <c r="CC165" s="6">
        <v>0.0</v>
      </c>
      <c r="CD165" s="6">
        <v>0.0</v>
      </c>
      <c r="CE165" s="6">
        <v>0.0</v>
      </c>
      <c r="CF165" s="6">
        <v>250000.0</v>
      </c>
      <c r="CG165" s="6" t="str">
        <f t="shared" ref="CG165:CI165" si="1429">+CA165+CD165+BX165+#REF!</f>
        <v>#REF!</v>
      </c>
      <c r="CH165" s="6" t="str">
        <f t="shared" si="1429"/>
        <v>#REF!</v>
      </c>
      <c r="CI165" s="6" t="str">
        <f t="shared" si="1429"/>
        <v>#REF!</v>
      </c>
      <c r="CJ165" s="6">
        <v>0.0</v>
      </c>
      <c r="CK165" s="6">
        <v>0.0</v>
      </c>
      <c r="CL165" s="6">
        <v>150000.0</v>
      </c>
      <c r="CM165" s="6">
        <v>0.0</v>
      </c>
      <c r="CN165" s="6">
        <v>0.0</v>
      </c>
      <c r="CO165" s="6">
        <v>100000.0</v>
      </c>
      <c r="CP165" s="6">
        <v>0.0</v>
      </c>
      <c r="CQ165" s="6">
        <v>0.0</v>
      </c>
      <c r="CR165" s="6">
        <v>0.0</v>
      </c>
      <c r="CS165" s="6">
        <v>0.0</v>
      </c>
      <c r="CT165" s="6">
        <v>0.0</v>
      </c>
      <c r="CU165" s="6">
        <v>0.0</v>
      </c>
      <c r="CV165" s="6">
        <f t="shared" ref="CV165:CX165" si="1430">+CP165+CS165+CJ165+CM165</f>
        <v>0</v>
      </c>
      <c r="CW165" s="6">
        <f t="shared" si="1430"/>
        <v>0</v>
      </c>
      <c r="CX165" s="6">
        <f t="shared" si="1430"/>
        <v>250000</v>
      </c>
      <c r="CY165" s="6">
        <v>0.0</v>
      </c>
      <c r="CZ165" s="6">
        <v>0.0</v>
      </c>
      <c r="DA165" s="6">
        <v>150000.0</v>
      </c>
      <c r="DB165" s="6">
        <v>0.0</v>
      </c>
      <c r="DC165" s="6">
        <v>0.0</v>
      </c>
      <c r="DD165" s="6">
        <v>100000.0</v>
      </c>
      <c r="DE165" s="6">
        <v>0.0</v>
      </c>
      <c r="DF165" s="6">
        <v>0.0</v>
      </c>
      <c r="DG165" s="6">
        <v>0.0</v>
      </c>
      <c r="DH165" s="6">
        <v>0.0</v>
      </c>
      <c r="DI165" s="6">
        <v>0.0</v>
      </c>
      <c r="DJ165" s="6">
        <v>0.0</v>
      </c>
      <c r="DK165" s="6">
        <f t="shared" ref="DK165:DM165" si="1431">+DE165+DH165+CY165+DB165</f>
        <v>0</v>
      </c>
      <c r="DL165" s="6">
        <f t="shared" si="1431"/>
        <v>0</v>
      </c>
      <c r="DM165" s="6">
        <f t="shared" si="1431"/>
        <v>250000</v>
      </c>
      <c r="DN165" s="6" t="str">
        <f t="shared" ref="DN165:DP165" si="1432">+P165+AE165+AT165+BI165+BU165+CG165+CV165</f>
        <v>#REF!</v>
      </c>
      <c r="DO165" s="6" t="str">
        <f t="shared" si="1432"/>
        <v>#REF!</v>
      </c>
      <c r="DP165" s="6" t="str">
        <f t="shared" si="1432"/>
        <v>#REF!</v>
      </c>
      <c r="DQ165" s="6" t="str">
        <f t="shared" si="19"/>
        <v>#REF!</v>
      </c>
    </row>
    <row r="166" ht="13.5" customHeight="1">
      <c r="A166" s="11">
        <v>45785.0</v>
      </c>
      <c r="B166" s="2" t="s">
        <v>638</v>
      </c>
      <c r="C166" s="2" t="s">
        <v>639</v>
      </c>
      <c r="D166" s="29" t="s">
        <v>640</v>
      </c>
      <c r="E166" s="2" t="s">
        <v>641</v>
      </c>
      <c r="F166" s="11" t="s">
        <v>633</v>
      </c>
      <c r="G166" s="11" t="s">
        <v>21</v>
      </c>
      <c r="H166" s="5">
        <v>2255000.0</v>
      </c>
      <c r="I166" s="5">
        <v>2255000.0</v>
      </c>
      <c r="J166" s="6">
        <v>0.0</v>
      </c>
      <c r="K166" s="6">
        <v>0.0</v>
      </c>
      <c r="L166" s="6">
        <v>0.0</v>
      </c>
      <c r="M166" s="6">
        <v>0.0</v>
      </c>
      <c r="N166" s="6">
        <v>0.0</v>
      </c>
      <c r="O166" s="6">
        <v>0.0</v>
      </c>
      <c r="P166" s="6">
        <f t="shared" ref="P166:R166" si="1433">+J166+M166</f>
        <v>0</v>
      </c>
      <c r="Q166" s="6">
        <f t="shared" si="1433"/>
        <v>0</v>
      </c>
      <c r="R166" s="6">
        <f t="shared" si="1433"/>
        <v>0</v>
      </c>
      <c r="S166" s="6">
        <v>0.0</v>
      </c>
      <c r="T166" s="6">
        <v>0.0</v>
      </c>
      <c r="U166" s="6">
        <v>0.0</v>
      </c>
      <c r="V166" s="6">
        <v>0.0</v>
      </c>
      <c r="W166" s="6">
        <v>0.0</v>
      </c>
      <c r="X166" s="6">
        <v>0.0</v>
      </c>
      <c r="Y166" s="6">
        <v>0.0</v>
      </c>
      <c r="Z166" s="6">
        <v>0.0</v>
      </c>
      <c r="AA166" s="6">
        <v>0.0</v>
      </c>
      <c r="AB166" s="6">
        <v>0.0</v>
      </c>
      <c r="AC166" s="6">
        <v>0.0</v>
      </c>
      <c r="AD166" s="6">
        <v>0.0</v>
      </c>
      <c r="AE166" s="6">
        <f t="shared" ref="AE166:AG166" si="1434">+Y166+AB166+S166+V166</f>
        <v>0</v>
      </c>
      <c r="AF166" s="6">
        <f t="shared" si="1434"/>
        <v>0</v>
      </c>
      <c r="AG166" s="6">
        <f t="shared" si="1434"/>
        <v>0</v>
      </c>
      <c r="AH166" s="6">
        <v>0.0</v>
      </c>
      <c r="AI166" s="6">
        <v>0.0</v>
      </c>
      <c r="AJ166" s="6">
        <v>0.0</v>
      </c>
      <c r="AK166" s="6">
        <v>0.0</v>
      </c>
      <c r="AL166" s="6">
        <v>0.0</v>
      </c>
      <c r="AM166" s="6">
        <v>0.0</v>
      </c>
      <c r="AN166" s="6">
        <v>0.0</v>
      </c>
      <c r="AO166" s="6">
        <v>0.0</v>
      </c>
      <c r="AP166" s="6">
        <v>0.0</v>
      </c>
      <c r="AQ166" s="6">
        <v>0.0</v>
      </c>
      <c r="AR166" s="6">
        <v>0.0</v>
      </c>
      <c r="AS166" s="6">
        <v>0.0</v>
      </c>
      <c r="AT166" s="6">
        <f t="shared" ref="AT166:AV166" si="1435">+AN166+AQ166+AH166+AK166</f>
        <v>0</v>
      </c>
      <c r="AU166" s="6">
        <f t="shared" si="1435"/>
        <v>0</v>
      </c>
      <c r="AV166" s="6">
        <f t="shared" si="1435"/>
        <v>0</v>
      </c>
      <c r="AW166" s="6">
        <v>0.0</v>
      </c>
      <c r="AX166" s="6">
        <v>0.0</v>
      </c>
      <c r="AY166" s="6">
        <v>0.0</v>
      </c>
      <c r="AZ166" s="6">
        <v>0.0</v>
      </c>
      <c r="BA166" s="6">
        <v>0.0</v>
      </c>
      <c r="BB166" s="6">
        <v>0.0</v>
      </c>
      <c r="BC166" s="6">
        <v>0.0</v>
      </c>
      <c r="BD166" s="6">
        <v>0.0</v>
      </c>
      <c r="BE166" s="6">
        <v>0.0</v>
      </c>
      <c r="BF166" s="6">
        <v>0.0</v>
      </c>
      <c r="BG166" s="6">
        <v>0.0</v>
      </c>
      <c r="BH166" s="6">
        <v>0.0</v>
      </c>
      <c r="BI166" s="6">
        <f t="shared" ref="BI166:BK166" si="1436">+BC166+BF166+AW166+AZ166</f>
        <v>0</v>
      </c>
      <c r="BJ166" s="6">
        <f t="shared" si="1436"/>
        <v>0</v>
      </c>
      <c r="BK166" s="6">
        <f t="shared" si="1436"/>
        <v>0</v>
      </c>
      <c r="BL166" s="6">
        <v>0.0</v>
      </c>
      <c r="BM166" s="6">
        <v>0.0</v>
      </c>
      <c r="BN166" s="6">
        <v>0.0</v>
      </c>
      <c r="BO166" s="6">
        <v>0.0</v>
      </c>
      <c r="BP166" s="6">
        <v>0.0</v>
      </c>
      <c r="BQ166" s="6">
        <v>0.0</v>
      </c>
      <c r="BR166" s="6">
        <v>0.0</v>
      </c>
      <c r="BS166" s="6">
        <v>0.0</v>
      </c>
      <c r="BT166" s="6">
        <v>0.0</v>
      </c>
      <c r="BU166" s="6" t="str">
        <f t="shared" ref="BU166:BW166" si="1437">+BO166+BR166+#REF!+BL166</f>
        <v>#REF!</v>
      </c>
      <c r="BV166" s="6" t="str">
        <f t="shared" si="1437"/>
        <v>#REF!</v>
      </c>
      <c r="BW166" s="6" t="str">
        <f t="shared" si="1437"/>
        <v>#REF!</v>
      </c>
      <c r="BX166" s="6">
        <v>0.0</v>
      </c>
      <c r="BY166" s="6">
        <v>0.0</v>
      </c>
      <c r="BZ166" s="6">
        <v>0.0</v>
      </c>
      <c r="CA166" s="5">
        <v>2255000.0</v>
      </c>
      <c r="CB166" s="5">
        <v>2255000.0</v>
      </c>
      <c r="CC166" s="6">
        <v>0.0</v>
      </c>
      <c r="CD166" s="6">
        <v>0.0</v>
      </c>
      <c r="CE166" s="6">
        <v>0.0</v>
      </c>
      <c r="CF166" s="6">
        <v>1200000.0</v>
      </c>
      <c r="CG166" s="6" t="str">
        <f t="shared" ref="CG166:CI166" si="1438">+CA166+CD166+BX166+#REF!</f>
        <v>#REF!</v>
      </c>
      <c r="CH166" s="6" t="str">
        <f t="shared" si="1438"/>
        <v>#REF!</v>
      </c>
      <c r="CI166" s="6" t="str">
        <f t="shared" si="1438"/>
        <v>#REF!</v>
      </c>
      <c r="CJ166" s="6">
        <v>0.0</v>
      </c>
      <c r="CK166" s="6">
        <v>0.0</v>
      </c>
      <c r="CL166" s="6">
        <v>500000.0</v>
      </c>
      <c r="CM166" s="6">
        <v>0.0</v>
      </c>
      <c r="CN166" s="6">
        <v>0.0</v>
      </c>
      <c r="CO166" s="6">
        <v>555000.0</v>
      </c>
      <c r="CP166" s="6">
        <v>0.0</v>
      </c>
      <c r="CQ166" s="6">
        <v>0.0</v>
      </c>
      <c r="CR166" s="6">
        <v>0.0</v>
      </c>
      <c r="CS166" s="6">
        <v>0.0</v>
      </c>
      <c r="CT166" s="6">
        <v>0.0</v>
      </c>
      <c r="CU166" s="6">
        <v>0.0</v>
      </c>
      <c r="CV166" s="6">
        <f t="shared" ref="CV166:CX166" si="1439">+CP166+CS166+CJ166+CM166</f>
        <v>0</v>
      </c>
      <c r="CW166" s="6">
        <f t="shared" si="1439"/>
        <v>0</v>
      </c>
      <c r="CX166" s="6">
        <f t="shared" si="1439"/>
        <v>1055000</v>
      </c>
      <c r="CY166" s="6">
        <v>0.0</v>
      </c>
      <c r="CZ166" s="6">
        <v>0.0</v>
      </c>
      <c r="DA166" s="6">
        <v>500000.0</v>
      </c>
      <c r="DB166" s="6">
        <v>0.0</v>
      </c>
      <c r="DC166" s="6">
        <v>0.0</v>
      </c>
      <c r="DD166" s="6">
        <v>555000.0</v>
      </c>
      <c r="DE166" s="6">
        <v>0.0</v>
      </c>
      <c r="DF166" s="6">
        <v>0.0</v>
      </c>
      <c r="DG166" s="6">
        <v>0.0</v>
      </c>
      <c r="DH166" s="6">
        <v>0.0</v>
      </c>
      <c r="DI166" s="6">
        <v>0.0</v>
      </c>
      <c r="DJ166" s="6">
        <v>0.0</v>
      </c>
      <c r="DK166" s="6">
        <f t="shared" ref="DK166:DM166" si="1440">+DE166+DH166+CY166+DB166</f>
        <v>0</v>
      </c>
      <c r="DL166" s="6">
        <f t="shared" si="1440"/>
        <v>0</v>
      </c>
      <c r="DM166" s="6">
        <f t="shared" si="1440"/>
        <v>1055000</v>
      </c>
      <c r="DN166" s="6" t="str">
        <f t="shared" ref="DN166:DP166" si="1441">+P166+AE166+AT166+BI166+BU166+CG166+CV166</f>
        <v>#REF!</v>
      </c>
      <c r="DO166" s="6" t="str">
        <f t="shared" si="1441"/>
        <v>#REF!</v>
      </c>
      <c r="DP166" s="6" t="str">
        <f t="shared" si="1441"/>
        <v>#REF!</v>
      </c>
      <c r="DQ166" s="6" t="str">
        <f t="shared" si="19"/>
        <v>#REF!</v>
      </c>
    </row>
    <row r="167" ht="13.5" customHeight="1">
      <c r="A167" s="11">
        <v>45747.0</v>
      </c>
      <c r="B167" s="2" t="s">
        <v>642</v>
      </c>
      <c r="C167" s="2" t="s">
        <v>643</v>
      </c>
      <c r="D167" s="29" t="s">
        <v>644</v>
      </c>
      <c r="E167" s="2" t="s">
        <v>645</v>
      </c>
      <c r="F167" s="11" t="s">
        <v>646</v>
      </c>
      <c r="G167" s="11" t="s">
        <v>599</v>
      </c>
      <c r="H167" s="5">
        <v>175000.0</v>
      </c>
      <c r="I167" s="5">
        <v>175000.0</v>
      </c>
      <c r="J167" s="6">
        <v>0.0</v>
      </c>
      <c r="K167" s="6">
        <v>0.0</v>
      </c>
      <c r="L167" s="6">
        <v>0.0</v>
      </c>
      <c r="M167" s="6">
        <v>0.0</v>
      </c>
      <c r="N167" s="6">
        <v>0.0</v>
      </c>
      <c r="O167" s="6">
        <v>0.0</v>
      </c>
      <c r="P167" s="6">
        <f t="shared" ref="P167:R167" si="1442">+J167+M167</f>
        <v>0</v>
      </c>
      <c r="Q167" s="6">
        <f t="shared" si="1442"/>
        <v>0</v>
      </c>
      <c r="R167" s="6">
        <f t="shared" si="1442"/>
        <v>0</v>
      </c>
      <c r="S167" s="6">
        <v>0.0</v>
      </c>
      <c r="T167" s="6">
        <v>0.0</v>
      </c>
      <c r="U167" s="6">
        <v>0.0</v>
      </c>
      <c r="V167" s="6">
        <v>0.0</v>
      </c>
      <c r="W167" s="6">
        <v>0.0</v>
      </c>
      <c r="X167" s="6">
        <v>0.0</v>
      </c>
      <c r="Y167" s="6">
        <v>0.0</v>
      </c>
      <c r="Z167" s="6">
        <v>0.0</v>
      </c>
      <c r="AA167" s="6">
        <v>0.0</v>
      </c>
      <c r="AB167" s="6">
        <v>0.0</v>
      </c>
      <c r="AC167" s="6">
        <v>0.0</v>
      </c>
      <c r="AD167" s="6">
        <v>0.0</v>
      </c>
      <c r="AE167" s="6">
        <f t="shared" ref="AE167:AG167" si="1443">+Y167+AB167+S167+V167</f>
        <v>0</v>
      </c>
      <c r="AF167" s="6">
        <f t="shared" si="1443"/>
        <v>0</v>
      </c>
      <c r="AG167" s="6">
        <f t="shared" si="1443"/>
        <v>0</v>
      </c>
      <c r="AH167" s="6">
        <v>0.0</v>
      </c>
      <c r="AI167" s="6">
        <v>0.0</v>
      </c>
      <c r="AJ167" s="6">
        <v>0.0</v>
      </c>
      <c r="AK167" s="6">
        <v>0.0</v>
      </c>
      <c r="AL167" s="6">
        <v>0.0</v>
      </c>
      <c r="AM167" s="6">
        <v>0.0</v>
      </c>
      <c r="AN167" s="6">
        <v>0.0</v>
      </c>
      <c r="AO167" s="6">
        <v>0.0</v>
      </c>
      <c r="AP167" s="6">
        <v>0.0</v>
      </c>
      <c r="AQ167" s="6">
        <v>0.0</v>
      </c>
      <c r="AR167" s="6">
        <v>0.0</v>
      </c>
      <c r="AS167" s="6">
        <v>0.0</v>
      </c>
      <c r="AT167" s="6">
        <f t="shared" ref="AT167:AV167" si="1444">+AN167+AQ167+AH167+AK167</f>
        <v>0</v>
      </c>
      <c r="AU167" s="6">
        <f t="shared" si="1444"/>
        <v>0</v>
      </c>
      <c r="AV167" s="6">
        <f t="shared" si="1444"/>
        <v>0</v>
      </c>
      <c r="AW167" s="6">
        <v>0.0</v>
      </c>
      <c r="AX167" s="6">
        <v>0.0</v>
      </c>
      <c r="AY167" s="6">
        <v>0.0</v>
      </c>
      <c r="AZ167" s="6">
        <v>0.0</v>
      </c>
      <c r="BA167" s="6">
        <v>0.0</v>
      </c>
      <c r="BB167" s="6">
        <v>0.0</v>
      </c>
      <c r="BC167" s="6">
        <v>0.0</v>
      </c>
      <c r="BD167" s="6">
        <v>0.0</v>
      </c>
      <c r="BE167" s="6">
        <v>0.0</v>
      </c>
      <c r="BF167" s="6">
        <v>0.0</v>
      </c>
      <c r="BG167" s="6">
        <v>0.0</v>
      </c>
      <c r="BH167" s="6">
        <v>0.0</v>
      </c>
      <c r="BI167" s="6">
        <f t="shared" ref="BI167:BK167" si="1445">+BC167+BF167+AW167+AZ167</f>
        <v>0</v>
      </c>
      <c r="BJ167" s="6">
        <f t="shared" si="1445"/>
        <v>0</v>
      </c>
      <c r="BK167" s="6">
        <f t="shared" si="1445"/>
        <v>0</v>
      </c>
      <c r="BL167" s="6">
        <v>0.0</v>
      </c>
      <c r="BM167" s="6">
        <v>0.0</v>
      </c>
      <c r="BN167" s="6">
        <v>0.0</v>
      </c>
      <c r="BO167" s="6">
        <v>0.0</v>
      </c>
      <c r="BP167" s="6">
        <v>0.0</v>
      </c>
      <c r="BQ167" s="6">
        <v>0.0</v>
      </c>
      <c r="BR167" s="6">
        <v>0.0</v>
      </c>
      <c r="BS167" s="6">
        <v>0.0</v>
      </c>
      <c r="BT167" s="6">
        <v>0.0</v>
      </c>
      <c r="BU167" s="6" t="str">
        <f t="shared" ref="BU167:BW167" si="1446">+BO167+BR167+#REF!+BL167</f>
        <v>#REF!</v>
      </c>
      <c r="BV167" s="6" t="str">
        <f t="shared" si="1446"/>
        <v>#REF!</v>
      </c>
      <c r="BW167" s="6" t="str">
        <f t="shared" si="1446"/>
        <v>#REF!</v>
      </c>
      <c r="BX167" s="6">
        <v>0.0</v>
      </c>
      <c r="BY167" s="6">
        <v>0.0</v>
      </c>
      <c r="BZ167" s="6">
        <v>0.0</v>
      </c>
      <c r="CA167" s="6">
        <v>0.0</v>
      </c>
      <c r="CB167" s="6">
        <v>0.0</v>
      </c>
      <c r="CC167" s="6">
        <v>100000.0</v>
      </c>
      <c r="CD167" s="6">
        <v>0.0</v>
      </c>
      <c r="CE167" s="6">
        <v>0.0</v>
      </c>
      <c r="CF167" s="6">
        <v>75000.0</v>
      </c>
      <c r="CG167" s="6" t="str">
        <f t="shared" ref="CG167:CI167" si="1447">+CA167+CD167+BX167+#REF!</f>
        <v>#REF!</v>
      </c>
      <c r="CH167" s="6" t="str">
        <f t="shared" si="1447"/>
        <v>#REF!</v>
      </c>
      <c r="CI167" s="6" t="str">
        <f t="shared" si="1447"/>
        <v>#REF!</v>
      </c>
      <c r="CJ167" s="6">
        <v>0.0</v>
      </c>
      <c r="CK167" s="6">
        <v>0.0</v>
      </c>
      <c r="CL167" s="6">
        <v>0.0</v>
      </c>
      <c r="CM167" s="6">
        <v>0.0</v>
      </c>
      <c r="CN167" s="6">
        <v>0.0</v>
      </c>
      <c r="CO167" s="6">
        <v>0.0</v>
      </c>
      <c r="CP167" s="6">
        <v>0.0</v>
      </c>
      <c r="CQ167" s="6">
        <v>0.0</v>
      </c>
      <c r="CR167" s="6">
        <v>0.0</v>
      </c>
      <c r="CS167" s="6">
        <v>0.0</v>
      </c>
      <c r="CT167" s="6">
        <v>0.0</v>
      </c>
      <c r="CU167" s="6">
        <v>0.0</v>
      </c>
      <c r="CV167" s="6">
        <f t="shared" ref="CV167:CX167" si="1448">+CP167+CS167+CJ167+CM167</f>
        <v>0</v>
      </c>
      <c r="CW167" s="6">
        <f t="shared" si="1448"/>
        <v>0</v>
      </c>
      <c r="CX167" s="6">
        <f t="shared" si="1448"/>
        <v>0</v>
      </c>
      <c r="CY167" s="6">
        <v>0.0</v>
      </c>
      <c r="CZ167" s="6">
        <v>0.0</v>
      </c>
      <c r="DA167" s="6">
        <v>0.0</v>
      </c>
      <c r="DB167" s="6">
        <v>0.0</v>
      </c>
      <c r="DC167" s="6">
        <v>0.0</v>
      </c>
      <c r="DD167" s="6">
        <v>0.0</v>
      </c>
      <c r="DE167" s="6">
        <v>0.0</v>
      </c>
      <c r="DF167" s="6">
        <v>0.0</v>
      </c>
      <c r="DG167" s="6">
        <v>0.0</v>
      </c>
      <c r="DH167" s="6">
        <v>0.0</v>
      </c>
      <c r="DI167" s="6">
        <v>0.0</v>
      </c>
      <c r="DJ167" s="6">
        <v>0.0</v>
      </c>
      <c r="DK167" s="6">
        <f t="shared" ref="DK167:DM167" si="1449">+DE167+DH167+CY167+DB167</f>
        <v>0</v>
      </c>
      <c r="DL167" s="6">
        <f t="shared" si="1449"/>
        <v>0</v>
      </c>
      <c r="DM167" s="6">
        <f t="shared" si="1449"/>
        <v>0</v>
      </c>
      <c r="DN167" s="6" t="str">
        <f t="shared" ref="DN167:DP167" si="1450">+P167+AE167+AT167+BI167+BU167+CG167+CV167</f>
        <v>#REF!</v>
      </c>
      <c r="DO167" s="6" t="str">
        <f t="shared" si="1450"/>
        <v>#REF!</v>
      </c>
      <c r="DP167" s="6" t="str">
        <f t="shared" si="1450"/>
        <v>#REF!</v>
      </c>
      <c r="DQ167" s="6" t="str">
        <f t="shared" si="19"/>
        <v>#REF!</v>
      </c>
    </row>
    <row r="168" ht="13.5" customHeight="1">
      <c r="A168" s="11">
        <v>45792.0</v>
      </c>
      <c r="B168" s="2" t="s">
        <v>647</v>
      </c>
      <c r="C168" s="2" t="s">
        <v>648</v>
      </c>
      <c r="D168" s="29" t="s">
        <v>649</v>
      </c>
      <c r="E168" s="2" t="s">
        <v>650</v>
      </c>
      <c r="F168" s="11" t="s">
        <v>651</v>
      </c>
      <c r="G168" s="11" t="s">
        <v>21</v>
      </c>
      <c r="H168" s="5">
        <v>250000.0</v>
      </c>
      <c r="I168" s="5">
        <v>250000.0</v>
      </c>
      <c r="J168" s="6">
        <v>0.0</v>
      </c>
      <c r="K168" s="6">
        <v>0.0</v>
      </c>
      <c r="L168" s="6">
        <v>0.0</v>
      </c>
      <c r="M168" s="6">
        <v>0.0</v>
      </c>
      <c r="N168" s="6">
        <v>0.0</v>
      </c>
      <c r="O168" s="6">
        <v>0.0</v>
      </c>
      <c r="P168" s="6">
        <f t="shared" ref="P168:R168" si="1451">+J168+M168</f>
        <v>0</v>
      </c>
      <c r="Q168" s="6">
        <f t="shared" si="1451"/>
        <v>0</v>
      </c>
      <c r="R168" s="6">
        <f t="shared" si="1451"/>
        <v>0</v>
      </c>
      <c r="S168" s="6">
        <v>0.0</v>
      </c>
      <c r="T168" s="6">
        <v>0.0</v>
      </c>
      <c r="U168" s="6">
        <v>0.0</v>
      </c>
      <c r="V168" s="6">
        <v>0.0</v>
      </c>
      <c r="W168" s="6">
        <v>0.0</v>
      </c>
      <c r="X168" s="6">
        <v>0.0</v>
      </c>
      <c r="Y168" s="6">
        <v>0.0</v>
      </c>
      <c r="Z168" s="6">
        <v>0.0</v>
      </c>
      <c r="AA168" s="6">
        <v>0.0</v>
      </c>
      <c r="AB168" s="6">
        <v>0.0</v>
      </c>
      <c r="AC168" s="6">
        <v>0.0</v>
      </c>
      <c r="AD168" s="6">
        <v>0.0</v>
      </c>
      <c r="AE168" s="6">
        <f t="shared" ref="AE168:AG168" si="1452">+Y168+AB168+S168+V168</f>
        <v>0</v>
      </c>
      <c r="AF168" s="6">
        <f t="shared" si="1452"/>
        <v>0</v>
      </c>
      <c r="AG168" s="6">
        <f t="shared" si="1452"/>
        <v>0</v>
      </c>
      <c r="AH168" s="6">
        <v>0.0</v>
      </c>
      <c r="AI168" s="6">
        <v>0.0</v>
      </c>
      <c r="AJ168" s="6">
        <v>0.0</v>
      </c>
      <c r="AK168" s="6">
        <v>0.0</v>
      </c>
      <c r="AL168" s="6">
        <v>0.0</v>
      </c>
      <c r="AM168" s="6">
        <v>0.0</v>
      </c>
      <c r="AN168" s="6">
        <v>0.0</v>
      </c>
      <c r="AO168" s="6">
        <v>0.0</v>
      </c>
      <c r="AP168" s="6">
        <v>0.0</v>
      </c>
      <c r="AQ168" s="6">
        <v>0.0</v>
      </c>
      <c r="AR168" s="6">
        <v>0.0</v>
      </c>
      <c r="AS168" s="6">
        <v>0.0</v>
      </c>
      <c r="AT168" s="6">
        <f t="shared" ref="AT168:AV168" si="1453">+AN168+AQ168+AH168+AK168</f>
        <v>0</v>
      </c>
      <c r="AU168" s="6">
        <f t="shared" si="1453"/>
        <v>0</v>
      </c>
      <c r="AV168" s="6">
        <f t="shared" si="1453"/>
        <v>0</v>
      </c>
      <c r="AW168" s="6">
        <v>0.0</v>
      </c>
      <c r="AX168" s="6">
        <v>0.0</v>
      </c>
      <c r="AY168" s="6">
        <v>0.0</v>
      </c>
      <c r="AZ168" s="6">
        <v>0.0</v>
      </c>
      <c r="BA168" s="6">
        <v>0.0</v>
      </c>
      <c r="BB168" s="6">
        <v>0.0</v>
      </c>
      <c r="BC168" s="6">
        <v>0.0</v>
      </c>
      <c r="BD168" s="6">
        <v>0.0</v>
      </c>
      <c r="BE168" s="6">
        <v>0.0</v>
      </c>
      <c r="BF168" s="6">
        <v>0.0</v>
      </c>
      <c r="BG168" s="6">
        <v>0.0</v>
      </c>
      <c r="BH168" s="6">
        <v>0.0</v>
      </c>
      <c r="BI168" s="6">
        <f t="shared" ref="BI168:BK168" si="1454">+BC168+BF168+AW168+AZ168</f>
        <v>0</v>
      </c>
      <c r="BJ168" s="6">
        <f t="shared" si="1454"/>
        <v>0</v>
      </c>
      <c r="BK168" s="6">
        <f t="shared" si="1454"/>
        <v>0</v>
      </c>
      <c r="BL168" s="6">
        <v>0.0</v>
      </c>
      <c r="BM168" s="6">
        <v>0.0</v>
      </c>
      <c r="BN168" s="6">
        <v>0.0</v>
      </c>
      <c r="BO168" s="6">
        <v>0.0</v>
      </c>
      <c r="BP168" s="6">
        <v>0.0</v>
      </c>
      <c r="BQ168" s="6">
        <v>0.0</v>
      </c>
      <c r="BR168" s="6">
        <v>0.0</v>
      </c>
      <c r="BS168" s="6">
        <v>0.0</v>
      </c>
      <c r="BT168" s="6">
        <v>0.0</v>
      </c>
      <c r="BU168" s="6" t="str">
        <f t="shared" ref="BU168:BW168" si="1455">+BO168+BR168+#REF!+BL168</f>
        <v>#REF!</v>
      </c>
      <c r="BV168" s="6" t="str">
        <f t="shared" si="1455"/>
        <v>#REF!</v>
      </c>
      <c r="BW168" s="6" t="str">
        <f t="shared" si="1455"/>
        <v>#REF!</v>
      </c>
      <c r="BX168" s="6">
        <v>0.0</v>
      </c>
      <c r="BY168" s="6">
        <v>0.0</v>
      </c>
      <c r="BZ168" s="6">
        <v>0.0</v>
      </c>
      <c r="CA168" s="5">
        <v>250000.0</v>
      </c>
      <c r="CB168" s="5">
        <v>250000.0</v>
      </c>
      <c r="CC168" s="6">
        <v>0.0</v>
      </c>
      <c r="CD168" s="6">
        <v>0.0</v>
      </c>
      <c r="CE168" s="6">
        <v>0.0</v>
      </c>
      <c r="CF168" s="6">
        <v>250000.0</v>
      </c>
      <c r="CG168" s="6" t="str">
        <f t="shared" ref="CG168:CI168" si="1456">+CA168+CD168+BX168+#REF!</f>
        <v>#REF!</v>
      </c>
      <c r="CH168" s="6" t="str">
        <f t="shared" si="1456"/>
        <v>#REF!</v>
      </c>
      <c r="CI168" s="6" t="str">
        <f t="shared" si="1456"/>
        <v>#REF!</v>
      </c>
      <c r="CJ168" s="6">
        <v>0.0</v>
      </c>
      <c r="CK168" s="6">
        <v>0.0</v>
      </c>
      <c r="CL168" s="6">
        <v>0.0</v>
      </c>
      <c r="CM168" s="6">
        <v>0.0</v>
      </c>
      <c r="CN168" s="6">
        <v>0.0</v>
      </c>
      <c r="CO168" s="6">
        <v>0.0</v>
      </c>
      <c r="CP168" s="6">
        <v>0.0</v>
      </c>
      <c r="CQ168" s="6">
        <v>0.0</v>
      </c>
      <c r="CR168" s="6">
        <v>0.0</v>
      </c>
      <c r="CS168" s="6">
        <v>0.0</v>
      </c>
      <c r="CT168" s="6">
        <v>0.0</v>
      </c>
      <c r="CU168" s="6">
        <v>0.0</v>
      </c>
      <c r="CV168" s="6">
        <f t="shared" ref="CV168:CX168" si="1457">+CP168+CS168+CJ168+CM168</f>
        <v>0</v>
      </c>
      <c r="CW168" s="6">
        <f t="shared" si="1457"/>
        <v>0</v>
      </c>
      <c r="CX168" s="6">
        <f t="shared" si="1457"/>
        <v>0</v>
      </c>
      <c r="CY168" s="6">
        <v>0.0</v>
      </c>
      <c r="CZ168" s="6">
        <v>0.0</v>
      </c>
      <c r="DA168" s="6">
        <v>0.0</v>
      </c>
      <c r="DB168" s="6">
        <v>0.0</v>
      </c>
      <c r="DC168" s="6">
        <v>0.0</v>
      </c>
      <c r="DD168" s="6">
        <v>0.0</v>
      </c>
      <c r="DE168" s="6">
        <v>0.0</v>
      </c>
      <c r="DF168" s="6">
        <v>0.0</v>
      </c>
      <c r="DG168" s="6">
        <v>0.0</v>
      </c>
      <c r="DH168" s="6">
        <v>0.0</v>
      </c>
      <c r="DI168" s="6">
        <v>0.0</v>
      </c>
      <c r="DJ168" s="6">
        <v>0.0</v>
      </c>
      <c r="DK168" s="6">
        <f t="shared" ref="DK168:DM168" si="1458">+DE168+DH168+CY168+DB168</f>
        <v>0</v>
      </c>
      <c r="DL168" s="6">
        <f t="shared" si="1458"/>
        <v>0</v>
      </c>
      <c r="DM168" s="6">
        <f t="shared" si="1458"/>
        <v>0</v>
      </c>
      <c r="DN168" s="6" t="str">
        <f t="shared" ref="DN168:DP168" si="1459">+P168+AE168+AT168+BI168+BU168+CG168+CV168</f>
        <v>#REF!</v>
      </c>
      <c r="DO168" s="6" t="str">
        <f t="shared" si="1459"/>
        <v>#REF!</v>
      </c>
      <c r="DP168" s="6" t="str">
        <f t="shared" si="1459"/>
        <v>#REF!</v>
      </c>
      <c r="DQ168" s="6" t="str">
        <f t="shared" si="19"/>
        <v>#REF!</v>
      </c>
    </row>
    <row r="169" ht="13.5" customHeight="1">
      <c r="A169" s="11">
        <v>45789.0</v>
      </c>
      <c r="B169" s="2" t="s">
        <v>652</v>
      </c>
      <c r="C169" s="2" t="s">
        <v>653</v>
      </c>
      <c r="D169" s="29" t="s">
        <v>654</v>
      </c>
      <c r="E169" s="2" t="s">
        <v>655</v>
      </c>
      <c r="F169" s="11" t="s">
        <v>656</v>
      </c>
      <c r="G169" s="11" t="s">
        <v>21</v>
      </c>
      <c r="H169" s="5">
        <v>263736.0</v>
      </c>
      <c r="I169" s="5">
        <v>263736.0</v>
      </c>
      <c r="J169" s="6">
        <v>0.0</v>
      </c>
      <c r="K169" s="6">
        <v>0.0</v>
      </c>
      <c r="L169" s="6">
        <v>0.0</v>
      </c>
      <c r="M169" s="6">
        <v>0.0</v>
      </c>
      <c r="N169" s="6">
        <v>0.0</v>
      </c>
      <c r="O169" s="6">
        <v>0.0</v>
      </c>
      <c r="P169" s="6">
        <f t="shared" ref="P169:R169" si="1460">+J169+M169</f>
        <v>0</v>
      </c>
      <c r="Q169" s="6">
        <f t="shared" si="1460"/>
        <v>0</v>
      </c>
      <c r="R169" s="6">
        <f t="shared" si="1460"/>
        <v>0</v>
      </c>
      <c r="S169" s="6">
        <v>0.0</v>
      </c>
      <c r="T169" s="6">
        <v>0.0</v>
      </c>
      <c r="U169" s="6">
        <v>0.0</v>
      </c>
      <c r="V169" s="6">
        <v>0.0</v>
      </c>
      <c r="W169" s="6">
        <v>0.0</v>
      </c>
      <c r="X169" s="6">
        <v>0.0</v>
      </c>
      <c r="Y169" s="6">
        <v>0.0</v>
      </c>
      <c r="Z169" s="6">
        <v>0.0</v>
      </c>
      <c r="AA169" s="6">
        <v>0.0</v>
      </c>
      <c r="AB169" s="6">
        <v>0.0</v>
      </c>
      <c r="AC169" s="6">
        <v>0.0</v>
      </c>
      <c r="AD169" s="6">
        <v>0.0</v>
      </c>
      <c r="AE169" s="6">
        <f t="shared" ref="AE169:AG169" si="1461">+Y169+AB169+S169+V169</f>
        <v>0</v>
      </c>
      <c r="AF169" s="6">
        <f t="shared" si="1461"/>
        <v>0</v>
      </c>
      <c r="AG169" s="6">
        <f t="shared" si="1461"/>
        <v>0</v>
      </c>
      <c r="AH169" s="6">
        <v>0.0</v>
      </c>
      <c r="AI169" s="6">
        <v>0.0</v>
      </c>
      <c r="AJ169" s="6">
        <v>0.0</v>
      </c>
      <c r="AK169" s="6">
        <v>0.0</v>
      </c>
      <c r="AL169" s="6">
        <v>0.0</v>
      </c>
      <c r="AM169" s="6">
        <v>0.0</v>
      </c>
      <c r="AN169" s="6">
        <v>0.0</v>
      </c>
      <c r="AO169" s="6">
        <v>0.0</v>
      </c>
      <c r="AP169" s="6">
        <v>0.0</v>
      </c>
      <c r="AQ169" s="6">
        <v>0.0</v>
      </c>
      <c r="AR169" s="6">
        <v>0.0</v>
      </c>
      <c r="AS169" s="6">
        <v>0.0</v>
      </c>
      <c r="AT169" s="6">
        <f t="shared" ref="AT169:AV169" si="1462">+AN169+AQ169+AH169+AK169</f>
        <v>0</v>
      </c>
      <c r="AU169" s="6">
        <f t="shared" si="1462"/>
        <v>0</v>
      </c>
      <c r="AV169" s="6">
        <f t="shared" si="1462"/>
        <v>0</v>
      </c>
      <c r="AW169" s="6">
        <v>0.0</v>
      </c>
      <c r="AX169" s="6">
        <v>0.0</v>
      </c>
      <c r="AY169" s="6">
        <v>0.0</v>
      </c>
      <c r="AZ169" s="6">
        <v>0.0</v>
      </c>
      <c r="BA169" s="6">
        <v>0.0</v>
      </c>
      <c r="BB169" s="6">
        <v>0.0</v>
      </c>
      <c r="BC169" s="6">
        <v>0.0</v>
      </c>
      <c r="BD169" s="6">
        <v>0.0</v>
      </c>
      <c r="BE169" s="6">
        <v>0.0</v>
      </c>
      <c r="BF169" s="6">
        <v>0.0</v>
      </c>
      <c r="BG169" s="6">
        <v>0.0</v>
      </c>
      <c r="BH169" s="6">
        <v>0.0</v>
      </c>
      <c r="BI169" s="6">
        <f t="shared" ref="BI169:BK169" si="1463">+BC169+BF169+AW169+AZ169</f>
        <v>0</v>
      </c>
      <c r="BJ169" s="6">
        <f t="shared" si="1463"/>
        <v>0</v>
      </c>
      <c r="BK169" s="6">
        <f t="shared" si="1463"/>
        <v>0</v>
      </c>
      <c r="BL169" s="6">
        <v>0.0</v>
      </c>
      <c r="BM169" s="6">
        <v>0.0</v>
      </c>
      <c r="BN169" s="6">
        <v>0.0</v>
      </c>
      <c r="BO169" s="6">
        <v>0.0</v>
      </c>
      <c r="BP169" s="6">
        <v>0.0</v>
      </c>
      <c r="BQ169" s="6">
        <v>0.0</v>
      </c>
      <c r="BR169" s="6">
        <v>0.0</v>
      </c>
      <c r="BS169" s="6">
        <v>0.0</v>
      </c>
      <c r="BT169" s="6">
        <v>0.0</v>
      </c>
      <c r="BU169" s="6" t="str">
        <f t="shared" ref="BU169:BW169" si="1464">+BO169+BR169+#REF!+BL169</f>
        <v>#REF!</v>
      </c>
      <c r="BV169" s="6" t="str">
        <f t="shared" si="1464"/>
        <v>#REF!</v>
      </c>
      <c r="BW169" s="6" t="str">
        <f t="shared" si="1464"/>
        <v>#REF!</v>
      </c>
      <c r="BX169" s="6">
        <v>0.0</v>
      </c>
      <c r="BY169" s="6">
        <v>0.0</v>
      </c>
      <c r="BZ169" s="6">
        <v>0.0</v>
      </c>
      <c r="CA169" s="5">
        <v>263736.0</v>
      </c>
      <c r="CB169" s="5">
        <v>263736.0</v>
      </c>
      <c r="CC169" s="6">
        <v>0.0</v>
      </c>
      <c r="CD169" s="6">
        <v>0.0</v>
      </c>
      <c r="CE169" s="6">
        <v>0.0</v>
      </c>
      <c r="CF169" s="6">
        <v>263736.0</v>
      </c>
      <c r="CG169" s="6" t="str">
        <f t="shared" ref="CG169:CI169" si="1465">+CA169+CD169+BX169+#REF!</f>
        <v>#REF!</v>
      </c>
      <c r="CH169" s="6" t="str">
        <f t="shared" si="1465"/>
        <v>#REF!</v>
      </c>
      <c r="CI169" s="6" t="str">
        <f t="shared" si="1465"/>
        <v>#REF!</v>
      </c>
      <c r="CJ169" s="6">
        <v>0.0</v>
      </c>
      <c r="CK169" s="6">
        <v>0.0</v>
      </c>
      <c r="CL169" s="6">
        <v>0.0</v>
      </c>
      <c r="CM169" s="6">
        <v>0.0</v>
      </c>
      <c r="CN169" s="6">
        <v>0.0</v>
      </c>
      <c r="CO169" s="6">
        <v>0.0</v>
      </c>
      <c r="CP169" s="6">
        <v>0.0</v>
      </c>
      <c r="CQ169" s="6">
        <v>0.0</v>
      </c>
      <c r="CR169" s="6">
        <v>0.0</v>
      </c>
      <c r="CS169" s="6">
        <v>0.0</v>
      </c>
      <c r="CT169" s="6">
        <v>0.0</v>
      </c>
      <c r="CU169" s="6">
        <v>0.0</v>
      </c>
      <c r="CV169" s="6">
        <f t="shared" ref="CV169:CX169" si="1466">+CP169+CS169+CJ169+CM169</f>
        <v>0</v>
      </c>
      <c r="CW169" s="6">
        <f t="shared" si="1466"/>
        <v>0</v>
      </c>
      <c r="CX169" s="6">
        <f t="shared" si="1466"/>
        <v>0</v>
      </c>
      <c r="CY169" s="6">
        <v>0.0</v>
      </c>
      <c r="CZ169" s="6">
        <v>0.0</v>
      </c>
      <c r="DA169" s="6">
        <v>0.0</v>
      </c>
      <c r="DB169" s="6">
        <v>0.0</v>
      </c>
      <c r="DC169" s="6">
        <v>0.0</v>
      </c>
      <c r="DD169" s="6">
        <v>0.0</v>
      </c>
      <c r="DE169" s="6">
        <v>0.0</v>
      </c>
      <c r="DF169" s="6">
        <v>0.0</v>
      </c>
      <c r="DG169" s="6">
        <v>0.0</v>
      </c>
      <c r="DH169" s="6">
        <v>0.0</v>
      </c>
      <c r="DI169" s="6">
        <v>0.0</v>
      </c>
      <c r="DJ169" s="6">
        <v>0.0</v>
      </c>
      <c r="DK169" s="6">
        <f t="shared" ref="DK169:DM169" si="1467">+DE169+DH169+CY169+DB169</f>
        <v>0</v>
      </c>
      <c r="DL169" s="6">
        <f t="shared" si="1467"/>
        <v>0</v>
      </c>
      <c r="DM169" s="6">
        <f t="shared" si="1467"/>
        <v>0</v>
      </c>
      <c r="DN169" s="6" t="str">
        <f t="shared" ref="DN169:DP169" si="1468">+P169+AE169+AT169+BI169+BU169+CG169+CV169</f>
        <v>#REF!</v>
      </c>
      <c r="DO169" s="6" t="str">
        <f t="shared" si="1468"/>
        <v>#REF!</v>
      </c>
      <c r="DP169" s="6" t="str">
        <f t="shared" si="1468"/>
        <v>#REF!</v>
      </c>
      <c r="DQ169" s="6" t="str">
        <f t="shared" si="19"/>
        <v>#REF!</v>
      </c>
    </row>
    <row r="170" ht="13.5" customHeight="1">
      <c r="A170" s="11">
        <v>45824.0</v>
      </c>
      <c r="B170" s="2" t="s">
        <v>657</v>
      </c>
      <c r="C170" s="2" t="s">
        <v>658</v>
      </c>
      <c r="D170" s="29" t="s">
        <v>659</v>
      </c>
      <c r="E170" s="2" t="s">
        <v>660</v>
      </c>
      <c r="F170" s="11" t="s">
        <v>568</v>
      </c>
      <c r="G170" s="11" t="s">
        <v>21</v>
      </c>
      <c r="H170" s="5">
        <v>1658828.79</v>
      </c>
      <c r="I170" s="5">
        <v>1658828.79</v>
      </c>
      <c r="J170" s="6">
        <v>0.0</v>
      </c>
      <c r="K170" s="6">
        <v>0.0</v>
      </c>
      <c r="L170" s="6">
        <v>0.0</v>
      </c>
      <c r="M170" s="6">
        <v>0.0</v>
      </c>
      <c r="N170" s="6">
        <v>0.0</v>
      </c>
      <c r="O170" s="6">
        <v>0.0</v>
      </c>
      <c r="P170" s="6">
        <f t="shared" ref="P170:R170" si="1469">+J170+M170</f>
        <v>0</v>
      </c>
      <c r="Q170" s="6">
        <f t="shared" si="1469"/>
        <v>0</v>
      </c>
      <c r="R170" s="6">
        <f t="shared" si="1469"/>
        <v>0</v>
      </c>
      <c r="S170" s="6">
        <v>0.0</v>
      </c>
      <c r="T170" s="6">
        <v>0.0</v>
      </c>
      <c r="U170" s="6">
        <v>0.0</v>
      </c>
      <c r="V170" s="6">
        <v>0.0</v>
      </c>
      <c r="W170" s="6">
        <v>0.0</v>
      </c>
      <c r="X170" s="6">
        <v>0.0</v>
      </c>
      <c r="Y170" s="6">
        <v>0.0</v>
      </c>
      <c r="Z170" s="6">
        <v>0.0</v>
      </c>
      <c r="AA170" s="6">
        <v>0.0</v>
      </c>
      <c r="AB170" s="6">
        <v>0.0</v>
      </c>
      <c r="AC170" s="6">
        <v>0.0</v>
      </c>
      <c r="AD170" s="6">
        <v>0.0</v>
      </c>
      <c r="AE170" s="6">
        <f t="shared" ref="AE170:AG170" si="1470">+Y170+AB170+S170+V170</f>
        <v>0</v>
      </c>
      <c r="AF170" s="6">
        <f t="shared" si="1470"/>
        <v>0</v>
      </c>
      <c r="AG170" s="6">
        <f t="shared" si="1470"/>
        <v>0</v>
      </c>
      <c r="AH170" s="6">
        <v>0.0</v>
      </c>
      <c r="AI170" s="6">
        <v>0.0</v>
      </c>
      <c r="AJ170" s="6">
        <v>0.0</v>
      </c>
      <c r="AK170" s="6">
        <v>0.0</v>
      </c>
      <c r="AL170" s="6">
        <v>0.0</v>
      </c>
      <c r="AM170" s="6">
        <v>0.0</v>
      </c>
      <c r="AN170" s="6">
        <v>0.0</v>
      </c>
      <c r="AO170" s="6">
        <v>0.0</v>
      </c>
      <c r="AP170" s="6">
        <v>0.0</v>
      </c>
      <c r="AQ170" s="6">
        <v>0.0</v>
      </c>
      <c r="AR170" s="6">
        <v>0.0</v>
      </c>
      <c r="AS170" s="6">
        <v>0.0</v>
      </c>
      <c r="AT170" s="6">
        <f t="shared" ref="AT170:AV170" si="1471">+AN170+AQ170+AH170+AK170</f>
        <v>0</v>
      </c>
      <c r="AU170" s="6">
        <f t="shared" si="1471"/>
        <v>0</v>
      </c>
      <c r="AV170" s="6">
        <f t="shared" si="1471"/>
        <v>0</v>
      </c>
      <c r="AW170" s="6">
        <v>0.0</v>
      </c>
      <c r="AX170" s="6">
        <v>0.0</v>
      </c>
      <c r="AY170" s="6">
        <v>0.0</v>
      </c>
      <c r="AZ170" s="6">
        <v>0.0</v>
      </c>
      <c r="BA170" s="6">
        <v>0.0</v>
      </c>
      <c r="BB170" s="6">
        <v>0.0</v>
      </c>
      <c r="BC170" s="6">
        <v>0.0</v>
      </c>
      <c r="BD170" s="6">
        <v>0.0</v>
      </c>
      <c r="BE170" s="6">
        <v>0.0</v>
      </c>
      <c r="BF170" s="6">
        <v>0.0</v>
      </c>
      <c r="BG170" s="6">
        <v>0.0</v>
      </c>
      <c r="BH170" s="6">
        <v>0.0</v>
      </c>
      <c r="BI170" s="6">
        <f t="shared" ref="BI170:BK170" si="1472">+BC170+BF170+AW170+AZ170</f>
        <v>0</v>
      </c>
      <c r="BJ170" s="6">
        <f t="shared" si="1472"/>
        <v>0</v>
      </c>
      <c r="BK170" s="6">
        <f t="shared" si="1472"/>
        <v>0</v>
      </c>
      <c r="BL170" s="6">
        <v>0.0</v>
      </c>
      <c r="BM170" s="6">
        <v>0.0</v>
      </c>
      <c r="BN170" s="6">
        <v>0.0</v>
      </c>
      <c r="BO170" s="6">
        <v>0.0</v>
      </c>
      <c r="BP170" s="6">
        <v>0.0</v>
      </c>
      <c r="BQ170" s="6">
        <v>0.0</v>
      </c>
      <c r="BR170" s="6">
        <v>0.0</v>
      </c>
      <c r="BS170" s="6">
        <v>0.0</v>
      </c>
      <c r="BT170" s="6">
        <v>0.0</v>
      </c>
      <c r="BU170" s="6" t="str">
        <f t="shared" ref="BU170:BW170" si="1473">+BO170+BR170+#REF!+BL170</f>
        <v>#REF!</v>
      </c>
      <c r="BV170" s="6" t="str">
        <f t="shared" si="1473"/>
        <v>#REF!</v>
      </c>
      <c r="BW170" s="6" t="str">
        <f t="shared" si="1473"/>
        <v>#REF!</v>
      </c>
      <c r="BX170" s="6">
        <v>0.0</v>
      </c>
      <c r="BY170" s="6">
        <v>0.0</v>
      </c>
      <c r="BZ170" s="6">
        <v>0.0</v>
      </c>
      <c r="CA170" s="5">
        <v>1658828.79</v>
      </c>
      <c r="CB170" s="5">
        <v>1658828.79</v>
      </c>
      <c r="CC170" s="6">
        <v>0.0</v>
      </c>
      <c r="CD170" s="6">
        <v>0.0</v>
      </c>
      <c r="CE170" s="6">
        <v>0.0</v>
      </c>
      <c r="CF170" s="6">
        <v>60000.0</v>
      </c>
      <c r="CG170" s="6" t="str">
        <f t="shared" ref="CG170:CI170" si="1474">+CA170+CD170+BX170+#REF!</f>
        <v>#REF!</v>
      </c>
      <c r="CH170" s="6" t="str">
        <f t="shared" si="1474"/>
        <v>#REF!</v>
      </c>
      <c r="CI170" s="6" t="str">
        <f t="shared" si="1474"/>
        <v>#REF!</v>
      </c>
      <c r="CJ170" s="6">
        <v>0.0</v>
      </c>
      <c r="CK170" s="6">
        <v>0.0</v>
      </c>
      <c r="CL170" s="6">
        <v>600000.0</v>
      </c>
      <c r="CM170" s="6">
        <v>0.0</v>
      </c>
      <c r="CN170" s="6">
        <v>0.0</v>
      </c>
      <c r="CO170" s="6">
        <v>250000.0</v>
      </c>
      <c r="CP170" s="6">
        <v>0.0</v>
      </c>
      <c r="CQ170" s="6">
        <v>0.0</v>
      </c>
      <c r="CR170" s="6">
        <v>0.0</v>
      </c>
      <c r="CS170" s="6">
        <v>0.0</v>
      </c>
      <c r="CT170" s="6">
        <v>0.0</v>
      </c>
      <c r="CU170" s="6">
        <v>0.0</v>
      </c>
      <c r="CV170" s="6">
        <f t="shared" ref="CV170:CX170" si="1475">+CP170+CS170+CJ170+CM170</f>
        <v>0</v>
      </c>
      <c r="CW170" s="6">
        <f t="shared" si="1475"/>
        <v>0</v>
      </c>
      <c r="CX170" s="6">
        <f t="shared" si="1475"/>
        <v>850000</v>
      </c>
      <c r="CY170" s="6">
        <v>0.0</v>
      </c>
      <c r="CZ170" s="6">
        <v>0.0</v>
      </c>
      <c r="DA170" s="6">
        <v>600000.0</v>
      </c>
      <c r="DB170" s="6">
        <v>0.0</v>
      </c>
      <c r="DC170" s="6">
        <v>0.0</v>
      </c>
      <c r="DD170" s="6">
        <v>250000.0</v>
      </c>
      <c r="DE170" s="6">
        <v>0.0</v>
      </c>
      <c r="DF170" s="6">
        <v>0.0</v>
      </c>
      <c r="DG170" s="6">
        <v>0.0</v>
      </c>
      <c r="DH170" s="6">
        <v>0.0</v>
      </c>
      <c r="DI170" s="6">
        <v>0.0</v>
      </c>
      <c r="DJ170" s="6">
        <v>0.0</v>
      </c>
      <c r="DK170" s="6">
        <f t="shared" ref="DK170:DM170" si="1476">+DE170+DH170+CY170+DB170</f>
        <v>0</v>
      </c>
      <c r="DL170" s="6">
        <f t="shared" si="1476"/>
        <v>0</v>
      </c>
      <c r="DM170" s="6">
        <f t="shared" si="1476"/>
        <v>850000</v>
      </c>
      <c r="DN170" s="6" t="str">
        <f t="shared" ref="DN170:DP170" si="1477">+P170+AE170+AT170+BI170+BU170+CG170+CV170</f>
        <v>#REF!</v>
      </c>
      <c r="DO170" s="6" t="str">
        <f t="shared" si="1477"/>
        <v>#REF!</v>
      </c>
      <c r="DP170" s="6" t="str">
        <f t="shared" si="1477"/>
        <v>#REF!</v>
      </c>
      <c r="DQ170" s="6" t="str">
        <f t="shared" si="19"/>
        <v>#REF!</v>
      </c>
    </row>
    <row r="171" ht="13.5" customHeight="1">
      <c r="A171" s="11">
        <v>45791.0</v>
      </c>
      <c r="B171" s="2" t="s">
        <v>661</v>
      </c>
      <c r="C171" s="2" t="s">
        <v>658</v>
      </c>
      <c r="D171" s="29" t="s">
        <v>659</v>
      </c>
      <c r="E171" s="2" t="s">
        <v>660</v>
      </c>
      <c r="F171" s="11" t="s">
        <v>568</v>
      </c>
      <c r="G171" s="11" t="s">
        <v>21</v>
      </c>
      <c r="H171" s="5">
        <v>141000.45</v>
      </c>
      <c r="I171" s="5">
        <v>141000.45</v>
      </c>
      <c r="J171" s="6">
        <v>0.0</v>
      </c>
      <c r="K171" s="6">
        <v>0.0</v>
      </c>
      <c r="L171" s="6">
        <v>0.0</v>
      </c>
      <c r="M171" s="6">
        <v>0.0</v>
      </c>
      <c r="N171" s="6">
        <v>0.0</v>
      </c>
      <c r="O171" s="6">
        <v>0.0</v>
      </c>
      <c r="P171" s="6">
        <f t="shared" ref="P171:R171" si="1478">+J171+M171</f>
        <v>0</v>
      </c>
      <c r="Q171" s="6">
        <f t="shared" si="1478"/>
        <v>0</v>
      </c>
      <c r="R171" s="6">
        <f t="shared" si="1478"/>
        <v>0</v>
      </c>
      <c r="S171" s="6">
        <v>0.0</v>
      </c>
      <c r="T171" s="6">
        <v>0.0</v>
      </c>
      <c r="U171" s="6">
        <v>0.0</v>
      </c>
      <c r="V171" s="6">
        <v>0.0</v>
      </c>
      <c r="W171" s="6">
        <v>0.0</v>
      </c>
      <c r="X171" s="6">
        <v>0.0</v>
      </c>
      <c r="Y171" s="6">
        <v>0.0</v>
      </c>
      <c r="Z171" s="6">
        <v>0.0</v>
      </c>
      <c r="AA171" s="6">
        <v>0.0</v>
      </c>
      <c r="AB171" s="6">
        <v>0.0</v>
      </c>
      <c r="AC171" s="6">
        <v>0.0</v>
      </c>
      <c r="AD171" s="6">
        <v>0.0</v>
      </c>
      <c r="AE171" s="6">
        <f t="shared" ref="AE171:AG171" si="1479">+Y171+AB171+S171+V171</f>
        <v>0</v>
      </c>
      <c r="AF171" s="6">
        <f t="shared" si="1479"/>
        <v>0</v>
      </c>
      <c r="AG171" s="6">
        <f t="shared" si="1479"/>
        <v>0</v>
      </c>
      <c r="AH171" s="6">
        <v>0.0</v>
      </c>
      <c r="AI171" s="6">
        <v>0.0</v>
      </c>
      <c r="AJ171" s="6">
        <v>0.0</v>
      </c>
      <c r="AK171" s="6">
        <v>0.0</v>
      </c>
      <c r="AL171" s="6">
        <v>0.0</v>
      </c>
      <c r="AM171" s="6">
        <v>0.0</v>
      </c>
      <c r="AN171" s="6">
        <v>0.0</v>
      </c>
      <c r="AO171" s="6">
        <v>0.0</v>
      </c>
      <c r="AP171" s="6">
        <v>0.0</v>
      </c>
      <c r="AQ171" s="6">
        <v>0.0</v>
      </c>
      <c r="AR171" s="6">
        <v>0.0</v>
      </c>
      <c r="AS171" s="6">
        <v>0.0</v>
      </c>
      <c r="AT171" s="6">
        <f t="shared" ref="AT171:AV171" si="1480">+AN171+AQ171+AH171+AK171</f>
        <v>0</v>
      </c>
      <c r="AU171" s="6">
        <f t="shared" si="1480"/>
        <v>0</v>
      </c>
      <c r="AV171" s="6">
        <f t="shared" si="1480"/>
        <v>0</v>
      </c>
      <c r="AW171" s="6">
        <v>0.0</v>
      </c>
      <c r="AX171" s="6">
        <v>0.0</v>
      </c>
      <c r="AY171" s="6">
        <v>0.0</v>
      </c>
      <c r="AZ171" s="6">
        <v>0.0</v>
      </c>
      <c r="BA171" s="6">
        <v>0.0</v>
      </c>
      <c r="BB171" s="6">
        <v>0.0</v>
      </c>
      <c r="BC171" s="6">
        <v>0.0</v>
      </c>
      <c r="BD171" s="6">
        <v>0.0</v>
      </c>
      <c r="BE171" s="6">
        <v>0.0</v>
      </c>
      <c r="BF171" s="6">
        <v>0.0</v>
      </c>
      <c r="BG171" s="6">
        <v>0.0</v>
      </c>
      <c r="BH171" s="6">
        <v>0.0</v>
      </c>
      <c r="BI171" s="6">
        <f t="shared" ref="BI171:BK171" si="1481">+BC171+BF171+AW171+AZ171</f>
        <v>0</v>
      </c>
      <c r="BJ171" s="6">
        <f t="shared" si="1481"/>
        <v>0</v>
      </c>
      <c r="BK171" s="6">
        <f t="shared" si="1481"/>
        <v>0</v>
      </c>
      <c r="BL171" s="6">
        <v>0.0</v>
      </c>
      <c r="BM171" s="6">
        <v>0.0</v>
      </c>
      <c r="BN171" s="6">
        <v>0.0</v>
      </c>
      <c r="BO171" s="6">
        <v>0.0</v>
      </c>
      <c r="BP171" s="6">
        <v>0.0</v>
      </c>
      <c r="BQ171" s="6">
        <v>0.0</v>
      </c>
      <c r="BR171" s="6">
        <v>0.0</v>
      </c>
      <c r="BS171" s="6">
        <v>0.0</v>
      </c>
      <c r="BT171" s="6">
        <v>0.0</v>
      </c>
      <c r="BU171" s="6" t="str">
        <f t="shared" ref="BU171:BW171" si="1482">+BO171+BR171+#REF!+BL171</f>
        <v>#REF!</v>
      </c>
      <c r="BV171" s="6" t="str">
        <f t="shared" si="1482"/>
        <v>#REF!</v>
      </c>
      <c r="BW171" s="6" t="str">
        <f t="shared" si="1482"/>
        <v>#REF!</v>
      </c>
      <c r="BX171" s="6">
        <v>0.0</v>
      </c>
      <c r="BY171" s="6">
        <v>0.0</v>
      </c>
      <c r="BZ171" s="6">
        <v>0.0</v>
      </c>
      <c r="CA171" s="5">
        <v>141000.45</v>
      </c>
      <c r="CB171" s="5">
        <v>141000.45</v>
      </c>
      <c r="CC171" s="6">
        <v>0.0</v>
      </c>
      <c r="CD171" s="6">
        <v>0.0</v>
      </c>
      <c r="CE171" s="6">
        <v>0.0</v>
      </c>
      <c r="CF171" s="6">
        <v>141000.45</v>
      </c>
      <c r="CG171" s="6" t="str">
        <f t="shared" ref="CG171:CI171" si="1483">+CA171+CD171+BX171+#REF!</f>
        <v>#REF!</v>
      </c>
      <c r="CH171" s="6" t="str">
        <f t="shared" si="1483"/>
        <v>#REF!</v>
      </c>
      <c r="CI171" s="6" t="str">
        <f t="shared" si="1483"/>
        <v>#REF!</v>
      </c>
      <c r="CJ171" s="6">
        <v>0.0</v>
      </c>
      <c r="CK171" s="6">
        <v>0.0</v>
      </c>
      <c r="CL171" s="6">
        <v>0.0</v>
      </c>
      <c r="CM171" s="6">
        <v>0.0</v>
      </c>
      <c r="CN171" s="6">
        <v>0.0</v>
      </c>
      <c r="CO171" s="6">
        <v>0.0</v>
      </c>
      <c r="CP171" s="6">
        <v>0.0</v>
      </c>
      <c r="CQ171" s="6">
        <v>0.0</v>
      </c>
      <c r="CR171" s="6">
        <v>0.0</v>
      </c>
      <c r="CS171" s="6">
        <v>0.0</v>
      </c>
      <c r="CT171" s="6">
        <v>0.0</v>
      </c>
      <c r="CU171" s="6">
        <v>0.0</v>
      </c>
      <c r="CV171" s="6">
        <f t="shared" ref="CV171:CX171" si="1484">+CP171+CS171+CJ171+CM171</f>
        <v>0</v>
      </c>
      <c r="CW171" s="6">
        <f t="shared" si="1484"/>
        <v>0</v>
      </c>
      <c r="CX171" s="6">
        <f t="shared" si="1484"/>
        <v>0</v>
      </c>
      <c r="CY171" s="6">
        <v>0.0</v>
      </c>
      <c r="CZ171" s="6">
        <v>0.0</v>
      </c>
      <c r="DA171" s="6">
        <v>0.0</v>
      </c>
      <c r="DB171" s="6">
        <v>0.0</v>
      </c>
      <c r="DC171" s="6">
        <v>0.0</v>
      </c>
      <c r="DD171" s="6">
        <v>0.0</v>
      </c>
      <c r="DE171" s="6">
        <v>0.0</v>
      </c>
      <c r="DF171" s="6">
        <v>0.0</v>
      </c>
      <c r="DG171" s="6">
        <v>0.0</v>
      </c>
      <c r="DH171" s="6">
        <v>0.0</v>
      </c>
      <c r="DI171" s="6">
        <v>0.0</v>
      </c>
      <c r="DJ171" s="6">
        <v>0.0</v>
      </c>
      <c r="DK171" s="6">
        <f t="shared" ref="DK171:DM171" si="1485">+DE171+DH171+CY171+DB171</f>
        <v>0</v>
      </c>
      <c r="DL171" s="6">
        <f t="shared" si="1485"/>
        <v>0</v>
      </c>
      <c r="DM171" s="6">
        <f t="shared" si="1485"/>
        <v>0</v>
      </c>
      <c r="DN171" s="6" t="str">
        <f t="shared" ref="DN171:DP171" si="1486">+P171+AE171+AT171+BI171+BU171+CG171+CV171</f>
        <v>#REF!</v>
      </c>
      <c r="DO171" s="6" t="str">
        <f t="shared" si="1486"/>
        <v>#REF!</v>
      </c>
      <c r="DP171" s="6" t="str">
        <f t="shared" si="1486"/>
        <v>#REF!</v>
      </c>
      <c r="DQ171" s="6" t="str">
        <f t="shared" si="19"/>
        <v>#REF!</v>
      </c>
    </row>
    <row r="172" ht="13.5" customHeight="1">
      <c r="A172" s="11">
        <v>45916.0</v>
      </c>
      <c r="B172" s="2" t="s">
        <v>662</v>
      </c>
      <c r="C172" s="2" t="s">
        <v>663</v>
      </c>
      <c r="D172" s="29" t="s">
        <v>664</v>
      </c>
      <c r="E172" s="2" t="s">
        <v>665</v>
      </c>
      <c r="F172" s="11" t="s">
        <v>666</v>
      </c>
      <c r="G172" s="11" t="s">
        <v>22</v>
      </c>
      <c r="H172" s="5">
        <v>8200000.0</v>
      </c>
      <c r="I172" s="5">
        <v>8200000.0</v>
      </c>
      <c r="J172" s="6">
        <v>0.0</v>
      </c>
      <c r="K172" s="6">
        <v>0.0</v>
      </c>
      <c r="L172" s="6">
        <v>0.0</v>
      </c>
      <c r="M172" s="6">
        <v>0.0</v>
      </c>
      <c r="N172" s="6">
        <v>0.0</v>
      </c>
      <c r="O172" s="6">
        <v>0.0</v>
      </c>
      <c r="P172" s="6">
        <f t="shared" ref="P172:R172" si="1487">+J172+M172</f>
        <v>0</v>
      </c>
      <c r="Q172" s="6">
        <f t="shared" si="1487"/>
        <v>0</v>
      </c>
      <c r="R172" s="6">
        <f t="shared" si="1487"/>
        <v>0</v>
      </c>
      <c r="S172" s="6">
        <v>0.0</v>
      </c>
      <c r="T172" s="6">
        <v>0.0</v>
      </c>
      <c r="U172" s="6">
        <v>0.0</v>
      </c>
      <c r="V172" s="6">
        <v>0.0</v>
      </c>
      <c r="W172" s="6">
        <v>0.0</v>
      </c>
      <c r="X172" s="6">
        <v>0.0</v>
      </c>
      <c r="Y172" s="6">
        <v>0.0</v>
      </c>
      <c r="Z172" s="6">
        <v>0.0</v>
      </c>
      <c r="AA172" s="6">
        <v>0.0</v>
      </c>
      <c r="AB172" s="6">
        <v>0.0</v>
      </c>
      <c r="AC172" s="6">
        <v>0.0</v>
      </c>
      <c r="AD172" s="6">
        <v>0.0</v>
      </c>
      <c r="AE172" s="6">
        <f t="shared" ref="AE172:AG172" si="1488">+Y172+AB172+S172+V172</f>
        <v>0</v>
      </c>
      <c r="AF172" s="6">
        <f t="shared" si="1488"/>
        <v>0</v>
      </c>
      <c r="AG172" s="6">
        <f t="shared" si="1488"/>
        <v>0</v>
      </c>
      <c r="AH172" s="6">
        <v>0.0</v>
      </c>
      <c r="AI172" s="6">
        <v>0.0</v>
      </c>
      <c r="AJ172" s="6">
        <v>0.0</v>
      </c>
      <c r="AK172" s="6">
        <v>0.0</v>
      </c>
      <c r="AL172" s="6">
        <v>0.0</v>
      </c>
      <c r="AM172" s="6">
        <v>0.0</v>
      </c>
      <c r="AN172" s="6">
        <v>0.0</v>
      </c>
      <c r="AO172" s="6">
        <v>0.0</v>
      </c>
      <c r="AP172" s="6">
        <v>0.0</v>
      </c>
      <c r="AQ172" s="6">
        <v>0.0</v>
      </c>
      <c r="AR172" s="6">
        <v>0.0</v>
      </c>
      <c r="AS172" s="6">
        <v>0.0</v>
      </c>
      <c r="AT172" s="6">
        <f t="shared" ref="AT172:AV172" si="1489">+AN172+AQ172+AH172+AK172</f>
        <v>0</v>
      </c>
      <c r="AU172" s="6">
        <f t="shared" si="1489"/>
        <v>0</v>
      </c>
      <c r="AV172" s="6">
        <f t="shared" si="1489"/>
        <v>0</v>
      </c>
      <c r="AW172" s="6">
        <v>0.0</v>
      </c>
      <c r="AX172" s="6">
        <v>0.0</v>
      </c>
      <c r="AY172" s="6">
        <v>0.0</v>
      </c>
      <c r="AZ172" s="6">
        <v>0.0</v>
      </c>
      <c r="BA172" s="6">
        <v>0.0</v>
      </c>
      <c r="BB172" s="6">
        <v>0.0</v>
      </c>
      <c r="BC172" s="6">
        <v>0.0</v>
      </c>
      <c r="BD172" s="6">
        <v>0.0</v>
      </c>
      <c r="BE172" s="6">
        <v>0.0</v>
      </c>
      <c r="BF172" s="6">
        <v>0.0</v>
      </c>
      <c r="BG172" s="6">
        <v>0.0</v>
      </c>
      <c r="BH172" s="6">
        <v>0.0</v>
      </c>
      <c r="BI172" s="6">
        <f t="shared" ref="BI172:BK172" si="1490">+BC172+BF172+AW172+AZ172</f>
        <v>0</v>
      </c>
      <c r="BJ172" s="6">
        <f t="shared" si="1490"/>
        <v>0</v>
      </c>
      <c r="BK172" s="6">
        <f t="shared" si="1490"/>
        <v>0</v>
      </c>
      <c r="BL172" s="6">
        <v>0.0</v>
      </c>
      <c r="BM172" s="6">
        <v>0.0</v>
      </c>
      <c r="BN172" s="6">
        <v>0.0</v>
      </c>
      <c r="BO172" s="6">
        <v>0.0</v>
      </c>
      <c r="BP172" s="6">
        <v>0.0</v>
      </c>
      <c r="BQ172" s="6">
        <v>0.0</v>
      </c>
      <c r="BR172" s="6">
        <v>0.0</v>
      </c>
      <c r="BS172" s="6">
        <v>0.0</v>
      </c>
      <c r="BT172" s="6">
        <v>0.0</v>
      </c>
      <c r="BU172" s="6" t="str">
        <f t="shared" ref="BU172:BW172" si="1491">+BO172+BR172+#REF!+BL172</f>
        <v>#REF!</v>
      </c>
      <c r="BV172" s="6" t="str">
        <f t="shared" si="1491"/>
        <v>#REF!</v>
      </c>
      <c r="BW172" s="6" t="str">
        <f t="shared" si="1491"/>
        <v>#REF!</v>
      </c>
      <c r="BX172" s="6">
        <v>0.0</v>
      </c>
      <c r="BY172" s="6">
        <v>0.0</v>
      </c>
      <c r="BZ172" s="6">
        <v>0.0</v>
      </c>
      <c r="CA172" s="6">
        <v>0.0</v>
      </c>
      <c r="CB172" s="6">
        <v>0.0</v>
      </c>
      <c r="CC172" s="6">
        <v>0.0</v>
      </c>
      <c r="CD172" s="5">
        <v>8200000.0</v>
      </c>
      <c r="CE172" s="5">
        <v>8200000.0</v>
      </c>
      <c r="CF172" s="6">
        <v>0.0</v>
      </c>
      <c r="CG172" s="6" t="str">
        <f t="shared" ref="CG172:CI172" si="1492">+CA172+CD172+BX172+#REF!</f>
        <v>#REF!</v>
      </c>
      <c r="CH172" s="6" t="str">
        <f t="shared" si="1492"/>
        <v>#REF!</v>
      </c>
      <c r="CI172" s="6" t="str">
        <f t="shared" si="1492"/>
        <v>#REF!</v>
      </c>
      <c r="CJ172" s="6">
        <v>0.0</v>
      </c>
      <c r="CK172" s="6">
        <v>0.0</v>
      </c>
      <c r="CL172" s="6">
        <v>200000.0</v>
      </c>
      <c r="CM172" s="6">
        <v>0.0</v>
      </c>
      <c r="CN172" s="6">
        <v>0.0</v>
      </c>
      <c r="CO172" s="6">
        <v>500000.0</v>
      </c>
      <c r="CP172" s="6">
        <v>0.0</v>
      </c>
      <c r="CQ172" s="6">
        <v>0.0</v>
      </c>
      <c r="CR172" s="6">
        <v>0.0</v>
      </c>
      <c r="CS172" s="6">
        <v>0.0</v>
      </c>
      <c r="CT172" s="6">
        <v>0.0</v>
      </c>
      <c r="CU172" s="6">
        <v>0.0</v>
      </c>
      <c r="CV172" s="6">
        <f t="shared" ref="CV172:CX172" si="1493">+CP172+CS172+CJ172+CM172</f>
        <v>0</v>
      </c>
      <c r="CW172" s="6">
        <f t="shared" si="1493"/>
        <v>0</v>
      </c>
      <c r="CX172" s="6">
        <f t="shared" si="1493"/>
        <v>700000</v>
      </c>
      <c r="CY172" s="6">
        <v>0.0</v>
      </c>
      <c r="CZ172" s="6">
        <v>0.0</v>
      </c>
      <c r="DA172" s="6">
        <v>200000.0</v>
      </c>
      <c r="DB172" s="6">
        <v>0.0</v>
      </c>
      <c r="DC172" s="6">
        <v>0.0</v>
      </c>
      <c r="DD172" s="6">
        <v>500000.0</v>
      </c>
      <c r="DE172" s="6">
        <v>0.0</v>
      </c>
      <c r="DF172" s="6">
        <v>0.0</v>
      </c>
      <c r="DG172" s="6">
        <v>0.0</v>
      </c>
      <c r="DH172" s="6">
        <v>0.0</v>
      </c>
      <c r="DI172" s="6">
        <v>0.0</v>
      </c>
      <c r="DJ172" s="6">
        <v>0.0</v>
      </c>
      <c r="DK172" s="6">
        <f t="shared" ref="DK172:DM172" si="1494">+DE172+DH172+CY172+DB172</f>
        <v>0</v>
      </c>
      <c r="DL172" s="6">
        <f t="shared" si="1494"/>
        <v>0</v>
      </c>
      <c r="DM172" s="6">
        <f t="shared" si="1494"/>
        <v>700000</v>
      </c>
      <c r="DN172" s="6" t="str">
        <f t="shared" ref="DN172:DP172" si="1495">+P172+AE172+AT172+BI172+BU172+CG172+CV172</f>
        <v>#REF!</v>
      </c>
      <c r="DO172" s="6" t="str">
        <f t="shared" si="1495"/>
        <v>#REF!</v>
      </c>
      <c r="DP172" s="6" t="str">
        <f t="shared" si="1495"/>
        <v>#REF!</v>
      </c>
      <c r="DQ172" s="6" t="str">
        <f t="shared" si="19"/>
        <v>#REF!</v>
      </c>
    </row>
    <row r="173" ht="13.5" customHeight="1">
      <c r="A173" s="11">
        <v>45791.0</v>
      </c>
      <c r="B173" s="2" t="s">
        <v>667</v>
      </c>
      <c r="C173" s="2" t="s">
        <v>668</v>
      </c>
      <c r="D173" s="29" t="s">
        <v>669</v>
      </c>
      <c r="E173" s="2" t="s">
        <v>670</v>
      </c>
      <c r="F173" s="11" t="s">
        <v>671</v>
      </c>
      <c r="G173" s="11" t="s">
        <v>21</v>
      </c>
      <c r="H173" s="5">
        <v>1540000.0</v>
      </c>
      <c r="I173" s="5">
        <v>1540000.0</v>
      </c>
      <c r="J173" s="6">
        <v>0.0</v>
      </c>
      <c r="K173" s="6">
        <v>0.0</v>
      </c>
      <c r="L173" s="6">
        <v>0.0</v>
      </c>
      <c r="M173" s="6">
        <v>0.0</v>
      </c>
      <c r="N173" s="6">
        <v>0.0</v>
      </c>
      <c r="O173" s="6">
        <v>0.0</v>
      </c>
      <c r="P173" s="6">
        <f t="shared" ref="P173:R173" si="1496">+J173+M173</f>
        <v>0</v>
      </c>
      <c r="Q173" s="6">
        <f t="shared" si="1496"/>
        <v>0</v>
      </c>
      <c r="R173" s="6">
        <f t="shared" si="1496"/>
        <v>0</v>
      </c>
      <c r="S173" s="6">
        <v>0.0</v>
      </c>
      <c r="T173" s="6">
        <v>0.0</v>
      </c>
      <c r="U173" s="6">
        <v>0.0</v>
      </c>
      <c r="V173" s="6">
        <v>0.0</v>
      </c>
      <c r="W173" s="6">
        <v>0.0</v>
      </c>
      <c r="X173" s="6">
        <v>0.0</v>
      </c>
      <c r="Y173" s="6">
        <v>0.0</v>
      </c>
      <c r="Z173" s="6">
        <v>0.0</v>
      </c>
      <c r="AA173" s="6">
        <v>0.0</v>
      </c>
      <c r="AB173" s="6">
        <v>0.0</v>
      </c>
      <c r="AC173" s="6">
        <v>0.0</v>
      </c>
      <c r="AD173" s="6">
        <v>0.0</v>
      </c>
      <c r="AE173" s="6">
        <f t="shared" ref="AE173:AG173" si="1497">+Y173+AB173+S173+V173</f>
        <v>0</v>
      </c>
      <c r="AF173" s="6">
        <f t="shared" si="1497"/>
        <v>0</v>
      </c>
      <c r="AG173" s="6">
        <f t="shared" si="1497"/>
        <v>0</v>
      </c>
      <c r="AH173" s="6">
        <v>0.0</v>
      </c>
      <c r="AI173" s="6">
        <v>0.0</v>
      </c>
      <c r="AJ173" s="6">
        <v>0.0</v>
      </c>
      <c r="AK173" s="6">
        <v>0.0</v>
      </c>
      <c r="AL173" s="6">
        <v>0.0</v>
      </c>
      <c r="AM173" s="6">
        <v>0.0</v>
      </c>
      <c r="AN173" s="6">
        <v>0.0</v>
      </c>
      <c r="AO173" s="6">
        <v>0.0</v>
      </c>
      <c r="AP173" s="6">
        <v>0.0</v>
      </c>
      <c r="AQ173" s="6">
        <v>0.0</v>
      </c>
      <c r="AR173" s="6">
        <v>0.0</v>
      </c>
      <c r="AS173" s="6">
        <v>0.0</v>
      </c>
      <c r="AT173" s="6">
        <f t="shared" ref="AT173:AV173" si="1498">+AN173+AQ173+AH173+AK173</f>
        <v>0</v>
      </c>
      <c r="AU173" s="6">
        <f t="shared" si="1498"/>
        <v>0</v>
      </c>
      <c r="AV173" s="6">
        <f t="shared" si="1498"/>
        <v>0</v>
      </c>
      <c r="AW173" s="6">
        <v>0.0</v>
      </c>
      <c r="AX173" s="6">
        <v>0.0</v>
      </c>
      <c r="AY173" s="6">
        <v>0.0</v>
      </c>
      <c r="AZ173" s="6">
        <v>0.0</v>
      </c>
      <c r="BA173" s="6">
        <v>0.0</v>
      </c>
      <c r="BB173" s="6">
        <v>0.0</v>
      </c>
      <c r="BC173" s="6">
        <v>0.0</v>
      </c>
      <c r="BD173" s="6">
        <v>0.0</v>
      </c>
      <c r="BE173" s="6">
        <v>0.0</v>
      </c>
      <c r="BF173" s="6">
        <v>0.0</v>
      </c>
      <c r="BG173" s="6">
        <v>0.0</v>
      </c>
      <c r="BH173" s="6">
        <v>0.0</v>
      </c>
      <c r="BI173" s="6">
        <f t="shared" ref="BI173:BK173" si="1499">+BC173+BF173+AW173+AZ173</f>
        <v>0</v>
      </c>
      <c r="BJ173" s="6">
        <f t="shared" si="1499"/>
        <v>0</v>
      </c>
      <c r="BK173" s="6">
        <f t="shared" si="1499"/>
        <v>0</v>
      </c>
      <c r="BL173" s="6">
        <v>0.0</v>
      </c>
      <c r="BM173" s="6">
        <v>0.0</v>
      </c>
      <c r="BN173" s="6">
        <v>0.0</v>
      </c>
      <c r="BO173" s="6">
        <v>0.0</v>
      </c>
      <c r="BP173" s="6">
        <v>0.0</v>
      </c>
      <c r="BQ173" s="6">
        <v>0.0</v>
      </c>
      <c r="BR173" s="6">
        <v>0.0</v>
      </c>
      <c r="BS173" s="6">
        <v>0.0</v>
      </c>
      <c r="BT173" s="6">
        <v>0.0</v>
      </c>
      <c r="BU173" s="6" t="str">
        <f t="shared" ref="BU173:BW173" si="1500">+BO173+BR173+#REF!+BL173</f>
        <v>#REF!</v>
      </c>
      <c r="BV173" s="6" t="str">
        <f t="shared" si="1500"/>
        <v>#REF!</v>
      </c>
      <c r="BW173" s="6" t="str">
        <f t="shared" si="1500"/>
        <v>#REF!</v>
      </c>
      <c r="BX173" s="6">
        <v>0.0</v>
      </c>
      <c r="BY173" s="6">
        <v>0.0</v>
      </c>
      <c r="BZ173" s="6">
        <v>0.0</v>
      </c>
      <c r="CA173" s="5">
        <v>1540000.0</v>
      </c>
      <c r="CB173" s="5">
        <v>1540000.0</v>
      </c>
      <c r="CC173" s="6">
        <v>0.0</v>
      </c>
      <c r="CD173" s="6">
        <v>0.0</v>
      </c>
      <c r="CE173" s="6">
        <v>0.0</v>
      </c>
      <c r="CF173" s="6">
        <v>1540000.0</v>
      </c>
      <c r="CG173" s="6" t="str">
        <f t="shared" ref="CG173:CI173" si="1501">+CA173+CD173+BX173+#REF!</f>
        <v>#REF!</v>
      </c>
      <c r="CH173" s="6" t="str">
        <f t="shared" si="1501"/>
        <v>#REF!</v>
      </c>
      <c r="CI173" s="6" t="str">
        <f t="shared" si="1501"/>
        <v>#REF!</v>
      </c>
      <c r="CJ173" s="6">
        <v>0.0</v>
      </c>
      <c r="CK173" s="6">
        <v>0.0</v>
      </c>
      <c r="CL173" s="6">
        <v>0.0</v>
      </c>
      <c r="CM173" s="6">
        <v>0.0</v>
      </c>
      <c r="CN173" s="6">
        <v>0.0</v>
      </c>
      <c r="CO173" s="6">
        <v>0.0</v>
      </c>
      <c r="CP173" s="6">
        <v>0.0</v>
      </c>
      <c r="CQ173" s="6">
        <v>0.0</v>
      </c>
      <c r="CR173" s="6">
        <v>0.0</v>
      </c>
      <c r="CS173" s="6">
        <v>0.0</v>
      </c>
      <c r="CT173" s="6">
        <v>0.0</v>
      </c>
      <c r="CU173" s="6">
        <v>0.0</v>
      </c>
      <c r="CV173" s="6">
        <f t="shared" ref="CV173:CX173" si="1502">+CP173+CS173+CJ173+CM173</f>
        <v>0</v>
      </c>
      <c r="CW173" s="6">
        <f t="shared" si="1502"/>
        <v>0</v>
      </c>
      <c r="CX173" s="6">
        <f t="shared" si="1502"/>
        <v>0</v>
      </c>
      <c r="CY173" s="6">
        <v>0.0</v>
      </c>
      <c r="CZ173" s="6">
        <v>0.0</v>
      </c>
      <c r="DA173" s="6">
        <v>0.0</v>
      </c>
      <c r="DB173" s="6">
        <v>0.0</v>
      </c>
      <c r="DC173" s="6">
        <v>0.0</v>
      </c>
      <c r="DD173" s="6">
        <v>0.0</v>
      </c>
      <c r="DE173" s="6">
        <v>0.0</v>
      </c>
      <c r="DF173" s="6">
        <v>0.0</v>
      </c>
      <c r="DG173" s="6">
        <v>0.0</v>
      </c>
      <c r="DH173" s="6">
        <v>0.0</v>
      </c>
      <c r="DI173" s="6">
        <v>0.0</v>
      </c>
      <c r="DJ173" s="6">
        <v>0.0</v>
      </c>
      <c r="DK173" s="6">
        <f t="shared" ref="DK173:DM173" si="1503">+DE173+DH173+CY173+DB173</f>
        <v>0</v>
      </c>
      <c r="DL173" s="6">
        <f t="shared" si="1503"/>
        <v>0</v>
      </c>
      <c r="DM173" s="6">
        <f t="shared" si="1503"/>
        <v>0</v>
      </c>
      <c r="DN173" s="6" t="str">
        <f t="shared" ref="DN173:DP173" si="1504">+P173+AE173+AT173+BI173+BU173+CG173+CV173</f>
        <v>#REF!</v>
      </c>
      <c r="DO173" s="6" t="str">
        <f t="shared" si="1504"/>
        <v>#REF!</v>
      </c>
      <c r="DP173" s="6" t="str">
        <f t="shared" si="1504"/>
        <v>#REF!</v>
      </c>
      <c r="DQ173" s="6" t="str">
        <f t="shared" si="19"/>
        <v>#REF!</v>
      </c>
    </row>
    <row r="174" ht="13.5" customHeight="1">
      <c r="A174" s="11">
        <v>45811.0</v>
      </c>
      <c r="B174" s="2" t="s">
        <v>672</v>
      </c>
      <c r="C174" s="2" t="s">
        <v>673</v>
      </c>
      <c r="D174" s="29" t="s">
        <v>674</v>
      </c>
      <c r="E174" s="2" t="s">
        <v>675</v>
      </c>
      <c r="F174" s="11" t="s">
        <v>676</v>
      </c>
      <c r="G174" s="11" t="s">
        <v>21</v>
      </c>
      <c r="H174" s="5">
        <v>1000000.0</v>
      </c>
      <c r="I174" s="5">
        <v>1000000.0</v>
      </c>
      <c r="J174" s="6">
        <v>0.0</v>
      </c>
      <c r="K174" s="6">
        <v>0.0</v>
      </c>
      <c r="L174" s="6">
        <v>0.0</v>
      </c>
      <c r="M174" s="6">
        <v>0.0</v>
      </c>
      <c r="N174" s="6">
        <v>0.0</v>
      </c>
      <c r="O174" s="6">
        <v>0.0</v>
      </c>
      <c r="P174" s="6">
        <f t="shared" ref="P174:R174" si="1505">+J174+M174</f>
        <v>0</v>
      </c>
      <c r="Q174" s="6">
        <f t="shared" si="1505"/>
        <v>0</v>
      </c>
      <c r="R174" s="6">
        <f t="shared" si="1505"/>
        <v>0</v>
      </c>
      <c r="S174" s="6">
        <v>0.0</v>
      </c>
      <c r="T174" s="6">
        <v>0.0</v>
      </c>
      <c r="U174" s="6">
        <v>0.0</v>
      </c>
      <c r="V174" s="6">
        <v>0.0</v>
      </c>
      <c r="W174" s="6">
        <v>0.0</v>
      </c>
      <c r="X174" s="6">
        <v>0.0</v>
      </c>
      <c r="Y174" s="6">
        <v>0.0</v>
      </c>
      <c r="Z174" s="6">
        <v>0.0</v>
      </c>
      <c r="AA174" s="6">
        <v>0.0</v>
      </c>
      <c r="AB174" s="6">
        <v>0.0</v>
      </c>
      <c r="AC174" s="6">
        <v>0.0</v>
      </c>
      <c r="AD174" s="6">
        <v>0.0</v>
      </c>
      <c r="AE174" s="6">
        <f t="shared" ref="AE174:AG174" si="1506">+Y174+AB174+S174+V174</f>
        <v>0</v>
      </c>
      <c r="AF174" s="6">
        <f t="shared" si="1506"/>
        <v>0</v>
      </c>
      <c r="AG174" s="6">
        <f t="shared" si="1506"/>
        <v>0</v>
      </c>
      <c r="AH174" s="6">
        <v>0.0</v>
      </c>
      <c r="AI174" s="6">
        <v>0.0</v>
      </c>
      <c r="AJ174" s="6">
        <v>0.0</v>
      </c>
      <c r="AK174" s="6">
        <v>0.0</v>
      </c>
      <c r="AL174" s="6">
        <v>0.0</v>
      </c>
      <c r="AM174" s="6">
        <v>0.0</v>
      </c>
      <c r="AN174" s="6">
        <v>0.0</v>
      </c>
      <c r="AO174" s="6">
        <v>0.0</v>
      </c>
      <c r="AP174" s="6">
        <v>0.0</v>
      </c>
      <c r="AQ174" s="6">
        <v>0.0</v>
      </c>
      <c r="AR174" s="6">
        <v>0.0</v>
      </c>
      <c r="AS174" s="6">
        <v>0.0</v>
      </c>
      <c r="AT174" s="6">
        <f t="shared" ref="AT174:AV174" si="1507">+AN174+AQ174+AH174+AK174</f>
        <v>0</v>
      </c>
      <c r="AU174" s="6">
        <f t="shared" si="1507"/>
        <v>0</v>
      </c>
      <c r="AV174" s="6">
        <f t="shared" si="1507"/>
        <v>0</v>
      </c>
      <c r="AW174" s="6">
        <v>0.0</v>
      </c>
      <c r="AX174" s="6">
        <v>0.0</v>
      </c>
      <c r="AY174" s="6">
        <v>0.0</v>
      </c>
      <c r="AZ174" s="6">
        <v>0.0</v>
      </c>
      <c r="BA174" s="6">
        <v>0.0</v>
      </c>
      <c r="BB174" s="6">
        <v>0.0</v>
      </c>
      <c r="BC174" s="6">
        <v>0.0</v>
      </c>
      <c r="BD174" s="6">
        <v>0.0</v>
      </c>
      <c r="BE174" s="6">
        <v>0.0</v>
      </c>
      <c r="BF174" s="6">
        <v>0.0</v>
      </c>
      <c r="BG174" s="6">
        <v>0.0</v>
      </c>
      <c r="BH174" s="6">
        <v>0.0</v>
      </c>
      <c r="BI174" s="6">
        <f t="shared" ref="BI174:BK174" si="1508">+BC174+BF174+AW174+AZ174</f>
        <v>0</v>
      </c>
      <c r="BJ174" s="6">
        <f t="shared" si="1508"/>
        <v>0</v>
      </c>
      <c r="BK174" s="6">
        <f t="shared" si="1508"/>
        <v>0</v>
      </c>
      <c r="BL174" s="6">
        <v>0.0</v>
      </c>
      <c r="BM174" s="6">
        <v>0.0</v>
      </c>
      <c r="BN174" s="6">
        <v>0.0</v>
      </c>
      <c r="BO174" s="6">
        <v>0.0</v>
      </c>
      <c r="BP174" s="6">
        <v>0.0</v>
      </c>
      <c r="BQ174" s="6">
        <v>0.0</v>
      </c>
      <c r="BR174" s="6">
        <v>0.0</v>
      </c>
      <c r="BS174" s="6">
        <v>0.0</v>
      </c>
      <c r="BT174" s="6">
        <v>0.0</v>
      </c>
      <c r="BU174" s="6" t="str">
        <f t="shared" ref="BU174:BW174" si="1509">+BO174+BR174+#REF!+BL174</f>
        <v>#REF!</v>
      </c>
      <c r="BV174" s="6" t="str">
        <f t="shared" si="1509"/>
        <v>#REF!</v>
      </c>
      <c r="BW174" s="6" t="str">
        <f t="shared" si="1509"/>
        <v>#REF!</v>
      </c>
      <c r="BX174" s="6">
        <v>0.0</v>
      </c>
      <c r="BY174" s="6">
        <v>0.0</v>
      </c>
      <c r="BZ174" s="6">
        <v>0.0</v>
      </c>
      <c r="CA174" s="5">
        <v>1000000.0</v>
      </c>
      <c r="CB174" s="5">
        <v>1000000.0</v>
      </c>
      <c r="CC174" s="6">
        <v>0.0</v>
      </c>
      <c r="CD174" s="6">
        <v>0.0</v>
      </c>
      <c r="CE174" s="6">
        <v>0.0</v>
      </c>
      <c r="CF174" s="6">
        <v>300000.0</v>
      </c>
      <c r="CG174" s="6" t="str">
        <f t="shared" ref="CG174:CI174" si="1510">+CA174+CD174+BX174+#REF!</f>
        <v>#REF!</v>
      </c>
      <c r="CH174" s="6" t="str">
        <f t="shared" si="1510"/>
        <v>#REF!</v>
      </c>
      <c r="CI174" s="6" t="str">
        <f t="shared" si="1510"/>
        <v>#REF!</v>
      </c>
      <c r="CJ174" s="6">
        <v>0.0</v>
      </c>
      <c r="CK174" s="6">
        <v>0.0</v>
      </c>
      <c r="CL174" s="6">
        <v>50000.0</v>
      </c>
      <c r="CM174" s="6">
        <v>0.0</v>
      </c>
      <c r="CN174" s="6">
        <v>0.0</v>
      </c>
      <c r="CO174" s="6">
        <v>150000.0</v>
      </c>
      <c r="CP174" s="6">
        <v>0.0</v>
      </c>
      <c r="CQ174" s="6">
        <v>0.0</v>
      </c>
      <c r="CR174" s="6">
        <v>0.0</v>
      </c>
      <c r="CS174" s="6">
        <v>0.0</v>
      </c>
      <c r="CT174" s="6">
        <v>0.0</v>
      </c>
      <c r="CU174" s="6">
        <v>0.0</v>
      </c>
      <c r="CV174" s="6">
        <f t="shared" ref="CV174:CX174" si="1511">+CP174+CS174+CJ174+CM174</f>
        <v>0</v>
      </c>
      <c r="CW174" s="6">
        <f t="shared" si="1511"/>
        <v>0</v>
      </c>
      <c r="CX174" s="6">
        <f t="shared" si="1511"/>
        <v>200000</v>
      </c>
      <c r="CY174" s="6">
        <v>0.0</v>
      </c>
      <c r="CZ174" s="6">
        <v>0.0</v>
      </c>
      <c r="DA174" s="6">
        <v>50000.0</v>
      </c>
      <c r="DB174" s="6">
        <v>0.0</v>
      </c>
      <c r="DC174" s="6">
        <v>0.0</v>
      </c>
      <c r="DD174" s="6">
        <v>150000.0</v>
      </c>
      <c r="DE174" s="6">
        <v>0.0</v>
      </c>
      <c r="DF174" s="6">
        <v>0.0</v>
      </c>
      <c r="DG174" s="6">
        <v>0.0</v>
      </c>
      <c r="DH174" s="6">
        <v>0.0</v>
      </c>
      <c r="DI174" s="6">
        <v>0.0</v>
      </c>
      <c r="DJ174" s="6">
        <v>0.0</v>
      </c>
      <c r="DK174" s="6">
        <f t="shared" ref="DK174:DM174" si="1512">+DE174+DH174+CY174+DB174</f>
        <v>0</v>
      </c>
      <c r="DL174" s="6">
        <f t="shared" si="1512"/>
        <v>0</v>
      </c>
      <c r="DM174" s="6">
        <f t="shared" si="1512"/>
        <v>200000</v>
      </c>
      <c r="DN174" s="6" t="str">
        <f t="shared" ref="DN174:DP174" si="1513">+P174+AE174+AT174+BI174+BU174+CG174+CV174</f>
        <v>#REF!</v>
      </c>
      <c r="DO174" s="6" t="str">
        <f t="shared" si="1513"/>
        <v>#REF!</v>
      </c>
      <c r="DP174" s="6" t="str">
        <f t="shared" si="1513"/>
        <v>#REF!</v>
      </c>
      <c r="DQ174" s="6" t="str">
        <f t="shared" si="19"/>
        <v>#REF!</v>
      </c>
    </row>
    <row r="175" ht="13.5" customHeight="1">
      <c r="A175" s="11">
        <v>45833.0</v>
      </c>
      <c r="B175" s="2" t="s">
        <v>677</v>
      </c>
      <c r="C175" s="2" t="s">
        <v>678</v>
      </c>
      <c r="D175" s="29" t="s">
        <v>679</v>
      </c>
      <c r="E175" s="2" t="s">
        <v>680</v>
      </c>
      <c r="F175" s="11" t="s">
        <v>681</v>
      </c>
      <c r="G175" s="11" t="s">
        <v>21</v>
      </c>
      <c r="H175" s="5">
        <v>1000000.0</v>
      </c>
      <c r="I175" s="5">
        <v>1000000.0</v>
      </c>
      <c r="J175" s="6">
        <v>0.0</v>
      </c>
      <c r="K175" s="6">
        <v>0.0</v>
      </c>
      <c r="L175" s="6">
        <v>0.0</v>
      </c>
      <c r="M175" s="6">
        <v>0.0</v>
      </c>
      <c r="N175" s="6">
        <v>0.0</v>
      </c>
      <c r="O175" s="6">
        <v>0.0</v>
      </c>
      <c r="P175" s="6">
        <f t="shared" ref="P175:R175" si="1514">+J175+M175</f>
        <v>0</v>
      </c>
      <c r="Q175" s="6">
        <f t="shared" si="1514"/>
        <v>0</v>
      </c>
      <c r="R175" s="6">
        <f t="shared" si="1514"/>
        <v>0</v>
      </c>
      <c r="S175" s="6">
        <v>0.0</v>
      </c>
      <c r="T175" s="6">
        <v>0.0</v>
      </c>
      <c r="U175" s="6">
        <v>0.0</v>
      </c>
      <c r="V175" s="6">
        <v>0.0</v>
      </c>
      <c r="W175" s="6">
        <v>0.0</v>
      </c>
      <c r="X175" s="6">
        <v>0.0</v>
      </c>
      <c r="Y175" s="6">
        <v>0.0</v>
      </c>
      <c r="Z175" s="6">
        <v>0.0</v>
      </c>
      <c r="AA175" s="6">
        <v>0.0</v>
      </c>
      <c r="AB175" s="6">
        <v>0.0</v>
      </c>
      <c r="AC175" s="6">
        <v>0.0</v>
      </c>
      <c r="AD175" s="6">
        <v>0.0</v>
      </c>
      <c r="AE175" s="6">
        <f t="shared" ref="AE175:AG175" si="1515">+Y175+AB175+S175+V175</f>
        <v>0</v>
      </c>
      <c r="AF175" s="6">
        <f t="shared" si="1515"/>
        <v>0</v>
      </c>
      <c r="AG175" s="6">
        <f t="shared" si="1515"/>
        <v>0</v>
      </c>
      <c r="AH175" s="6">
        <v>0.0</v>
      </c>
      <c r="AI175" s="6">
        <v>0.0</v>
      </c>
      <c r="AJ175" s="6">
        <v>0.0</v>
      </c>
      <c r="AK175" s="6">
        <v>0.0</v>
      </c>
      <c r="AL175" s="6">
        <v>0.0</v>
      </c>
      <c r="AM175" s="6">
        <v>0.0</v>
      </c>
      <c r="AN175" s="6">
        <v>0.0</v>
      </c>
      <c r="AO175" s="6">
        <v>0.0</v>
      </c>
      <c r="AP175" s="6">
        <v>0.0</v>
      </c>
      <c r="AQ175" s="6">
        <v>0.0</v>
      </c>
      <c r="AR175" s="6">
        <v>0.0</v>
      </c>
      <c r="AS175" s="6">
        <v>0.0</v>
      </c>
      <c r="AT175" s="6">
        <f t="shared" ref="AT175:AV175" si="1516">+AN175+AQ175+AH175+AK175</f>
        <v>0</v>
      </c>
      <c r="AU175" s="6">
        <f t="shared" si="1516"/>
        <v>0</v>
      </c>
      <c r="AV175" s="6">
        <f t="shared" si="1516"/>
        <v>0</v>
      </c>
      <c r="AW175" s="6">
        <v>0.0</v>
      </c>
      <c r="AX175" s="6">
        <v>0.0</v>
      </c>
      <c r="AY175" s="6">
        <v>0.0</v>
      </c>
      <c r="AZ175" s="6">
        <v>0.0</v>
      </c>
      <c r="BA175" s="6">
        <v>0.0</v>
      </c>
      <c r="BB175" s="6">
        <v>0.0</v>
      </c>
      <c r="BC175" s="6">
        <v>0.0</v>
      </c>
      <c r="BD175" s="6">
        <v>0.0</v>
      </c>
      <c r="BE175" s="6">
        <v>0.0</v>
      </c>
      <c r="BF175" s="6">
        <v>0.0</v>
      </c>
      <c r="BG175" s="6">
        <v>0.0</v>
      </c>
      <c r="BH175" s="6">
        <v>0.0</v>
      </c>
      <c r="BI175" s="6">
        <f t="shared" ref="BI175:BK175" si="1517">+BC175+BF175+AW175+AZ175</f>
        <v>0</v>
      </c>
      <c r="BJ175" s="6">
        <f t="shared" si="1517"/>
        <v>0</v>
      </c>
      <c r="BK175" s="6">
        <f t="shared" si="1517"/>
        <v>0</v>
      </c>
      <c r="BL175" s="6">
        <v>0.0</v>
      </c>
      <c r="BM175" s="6">
        <v>0.0</v>
      </c>
      <c r="BN175" s="6">
        <v>0.0</v>
      </c>
      <c r="BO175" s="6">
        <v>0.0</v>
      </c>
      <c r="BP175" s="6">
        <v>0.0</v>
      </c>
      <c r="BQ175" s="6">
        <v>0.0</v>
      </c>
      <c r="BR175" s="6">
        <v>0.0</v>
      </c>
      <c r="BS175" s="6">
        <v>0.0</v>
      </c>
      <c r="BT175" s="6">
        <v>0.0</v>
      </c>
      <c r="BU175" s="6" t="str">
        <f t="shared" ref="BU175:BW175" si="1518">+BO175+BR175+#REF!+BL175</f>
        <v>#REF!</v>
      </c>
      <c r="BV175" s="6" t="str">
        <f t="shared" si="1518"/>
        <v>#REF!</v>
      </c>
      <c r="BW175" s="6" t="str">
        <f t="shared" si="1518"/>
        <v>#REF!</v>
      </c>
      <c r="BX175" s="6">
        <v>0.0</v>
      </c>
      <c r="BY175" s="6">
        <v>0.0</v>
      </c>
      <c r="BZ175" s="6">
        <v>0.0</v>
      </c>
      <c r="CA175" s="5">
        <v>1000000.0</v>
      </c>
      <c r="CB175" s="5">
        <v>1000000.0</v>
      </c>
      <c r="CC175" s="6">
        <v>0.0</v>
      </c>
      <c r="CD175" s="6">
        <v>0.0</v>
      </c>
      <c r="CE175" s="6">
        <v>0.0</v>
      </c>
      <c r="CF175" s="6">
        <v>300000.0</v>
      </c>
      <c r="CG175" s="6" t="str">
        <f t="shared" ref="CG175:CI175" si="1519">+CA175+CD175+BX175+#REF!</f>
        <v>#REF!</v>
      </c>
      <c r="CH175" s="6" t="str">
        <f t="shared" si="1519"/>
        <v>#REF!</v>
      </c>
      <c r="CI175" s="6" t="str">
        <f t="shared" si="1519"/>
        <v>#REF!</v>
      </c>
      <c r="CJ175" s="6">
        <v>0.0</v>
      </c>
      <c r="CK175" s="6">
        <v>0.0</v>
      </c>
      <c r="CL175" s="6">
        <v>0.0</v>
      </c>
      <c r="CM175" s="6">
        <v>0.0</v>
      </c>
      <c r="CN175" s="6">
        <v>0.0</v>
      </c>
      <c r="CO175" s="6">
        <v>250000.0</v>
      </c>
      <c r="CP175" s="6">
        <v>0.0</v>
      </c>
      <c r="CQ175" s="6">
        <v>0.0</v>
      </c>
      <c r="CR175" s="6">
        <v>0.0</v>
      </c>
      <c r="CS175" s="6">
        <v>0.0</v>
      </c>
      <c r="CT175" s="6">
        <v>0.0</v>
      </c>
      <c r="CU175" s="6">
        <v>0.0</v>
      </c>
      <c r="CV175" s="6">
        <f t="shared" ref="CV175:CX175" si="1520">+CP175+CS175+CJ175+CM175</f>
        <v>0</v>
      </c>
      <c r="CW175" s="6">
        <f t="shared" si="1520"/>
        <v>0</v>
      </c>
      <c r="CX175" s="6">
        <f t="shared" si="1520"/>
        <v>250000</v>
      </c>
      <c r="CY175" s="6">
        <v>0.0</v>
      </c>
      <c r="CZ175" s="6">
        <v>0.0</v>
      </c>
      <c r="DA175" s="6">
        <v>0.0</v>
      </c>
      <c r="DB175" s="6">
        <v>0.0</v>
      </c>
      <c r="DC175" s="6">
        <v>0.0</v>
      </c>
      <c r="DD175" s="6">
        <v>250000.0</v>
      </c>
      <c r="DE175" s="6">
        <v>0.0</v>
      </c>
      <c r="DF175" s="6">
        <v>0.0</v>
      </c>
      <c r="DG175" s="6">
        <v>0.0</v>
      </c>
      <c r="DH175" s="6">
        <v>0.0</v>
      </c>
      <c r="DI175" s="6">
        <v>0.0</v>
      </c>
      <c r="DJ175" s="6">
        <v>0.0</v>
      </c>
      <c r="DK175" s="6">
        <f t="shared" ref="DK175:DM175" si="1521">+DE175+DH175+CY175+DB175</f>
        <v>0</v>
      </c>
      <c r="DL175" s="6">
        <f t="shared" si="1521"/>
        <v>0</v>
      </c>
      <c r="DM175" s="6">
        <f t="shared" si="1521"/>
        <v>250000</v>
      </c>
      <c r="DN175" s="6" t="str">
        <f t="shared" ref="DN175:DP175" si="1522">+P175+AE175+AT175+BI175+BU175+CG175+CV175</f>
        <v>#REF!</v>
      </c>
      <c r="DO175" s="6" t="str">
        <f t="shared" si="1522"/>
        <v>#REF!</v>
      </c>
      <c r="DP175" s="6" t="str">
        <f t="shared" si="1522"/>
        <v>#REF!</v>
      </c>
      <c r="DQ175" s="6" t="str">
        <f t="shared" si="19"/>
        <v>#REF!</v>
      </c>
    </row>
    <row r="176" ht="13.5" customHeight="1">
      <c r="A176" s="11">
        <v>45852.0</v>
      </c>
      <c r="B176" s="2" t="s">
        <v>682</v>
      </c>
      <c r="C176" s="2" t="s">
        <v>683</v>
      </c>
      <c r="D176" s="29" t="s">
        <v>684</v>
      </c>
      <c r="E176" s="2" t="s">
        <v>685</v>
      </c>
      <c r="F176" s="11" t="s">
        <v>686</v>
      </c>
      <c r="G176" s="11" t="s">
        <v>22</v>
      </c>
      <c r="H176" s="5">
        <v>233280.0</v>
      </c>
      <c r="I176" s="5">
        <v>233280.0</v>
      </c>
      <c r="J176" s="6">
        <v>0.0</v>
      </c>
      <c r="K176" s="6">
        <v>0.0</v>
      </c>
      <c r="L176" s="6">
        <v>0.0</v>
      </c>
      <c r="M176" s="6">
        <v>0.0</v>
      </c>
      <c r="N176" s="6">
        <v>0.0</v>
      </c>
      <c r="O176" s="6">
        <v>0.0</v>
      </c>
      <c r="P176" s="6">
        <f t="shared" ref="P176:R176" si="1523">+J176+M176</f>
        <v>0</v>
      </c>
      <c r="Q176" s="6">
        <f t="shared" si="1523"/>
        <v>0</v>
      </c>
      <c r="R176" s="6">
        <f t="shared" si="1523"/>
        <v>0</v>
      </c>
      <c r="S176" s="6">
        <v>0.0</v>
      </c>
      <c r="T176" s="6">
        <v>0.0</v>
      </c>
      <c r="U176" s="6">
        <v>0.0</v>
      </c>
      <c r="V176" s="6">
        <v>0.0</v>
      </c>
      <c r="W176" s="6">
        <v>0.0</v>
      </c>
      <c r="X176" s="6">
        <v>0.0</v>
      </c>
      <c r="Y176" s="6">
        <v>0.0</v>
      </c>
      <c r="Z176" s="6">
        <v>0.0</v>
      </c>
      <c r="AA176" s="6">
        <v>0.0</v>
      </c>
      <c r="AB176" s="6">
        <v>0.0</v>
      </c>
      <c r="AC176" s="6">
        <v>0.0</v>
      </c>
      <c r="AD176" s="6">
        <v>0.0</v>
      </c>
      <c r="AE176" s="6">
        <f t="shared" ref="AE176:AG176" si="1524">+Y176+AB176+S176+V176</f>
        <v>0</v>
      </c>
      <c r="AF176" s="6">
        <f t="shared" si="1524"/>
        <v>0</v>
      </c>
      <c r="AG176" s="6">
        <f t="shared" si="1524"/>
        <v>0</v>
      </c>
      <c r="AH176" s="6">
        <v>0.0</v>
      </c>
      <c r="AI176" s="6">
        <v>0.0</v>
      </c>
      <c r="AJ176" s="6">
        <v>0.0</v>
      </c>
      <c r="AK176" s="6">
        <v>0.0</v>
      </c>
      <c r="AL176" s="6">
        <v>0.0</v>
      </c>
      <c r="AM176" s="6">
        <v>0.0</v>
      </c>
      <c r="AN176" s="6">
        <v>0.0</v>
      </c>
      <c r="AO176" s="6">
        <v>0.0</v>
      </c>
      <c r="AP176" s="6">
        <v>0.0</v>
      </c>
      <c r="AQ176" s="6">
        <v>0.0</v>
      </c>
      <c r="AR176" s="6">
        <v>0.0</v>
      </c>
      <c r="AS176" s="6">
        <v>0.0</v>
      </c>
      <c r="AT176" s="6">
        <f t="shared" ref="AT176:AV176" si="1525">+AN176+AQ176+AH176+AK176</f>
        <v>0</v>
      </c>
      <c r="AU176" s="6">
        <f t="shared" si="1525"/>
        <v>0</v>
      </c>
      <c r="AV176" s="6">
        <f t="shared" si="1525"/>
        <v>0</v>
      </c>
      <c r="AW176" s="6">
        <v>0.0</v>
      </c>
      <c r="AX176" s="6">
        <v>0.0</v>
      </c>
      <c r="AY176" s="6">
        <v>0.0</v>
      </c>
      <c r="AZ176" s="6">
        <v>0.0</v>
      </c>
      <c r="BA176" s="6">
        <v>0.0</v>
      </c>
      <c r="BB176" s="6">
        <v>0.0</v>
      </c>
      <c r="BC176" s="6">
        <v>0.0</v>
      </c>
      <c r="BD176" s="6">
        <v>0.0</v>
      </c>
      <c r="BE176" s="6">
        <v>0.0</v>
      </c>
      <c r="BF176" s="6">
        <v>0.0</v>
      </c>
      <c r="BG176" s="6">
        <v>0.0</v>
      </c>
      <c r="BH176" s="6">
        <v>0.0</v>
      </c>
      <c r="BI176" s="6">
        <f t="shared" ref="BI176:BK176" si="1526">+BC176+BF176+AW176+AZ176</f>
        <v>0</v>
      </c>
      <c r="BJ176" s="6">
        <f t="shared" si="1526"/>
        <v>0</v>
      </c>
      <c r="BK176" s="6">
        <f t="shared" si="1526"/>
        <v>0</v>
      </c>
      <c r="BL176" s="6">
        <v>0.0</v>
      </c>
      <c r="BM176" s="6">
        <v>0.0</v>
      </c>
      <c r="BN176" s="6">
        <v>0.0</v>
      </c>
      <c r="BO176" s="6">
        <v>0.0</v>
      </c>
      <c r="BP176" s="6">
        <v>0.0</v>
      </c>
      <c r="BQ176" s="6">
        <v>0.0</v>
      </c>
      <c r="BR176" s="6">
        <v>0.0</v>
      </c>
      <c r="BS176" s="6">
        <v>0.0</v>
      </c>
      <c r="BT176" s="6">
        <v>0.0</v>
      </c>
      <c r="BU176" s="6" t="str">
        <f t="shared" ref="BU176:BW176" si="1527">+BO176+BR176+#REF!+BL176</f>
        <v>#REF!</v>
      </c>
      <c r="BV176" s="6" t="str">
        <f t="shared" si="1527"/>
        <v>#REF!</v>
      </c>
      <c r="BW176" s="6" t="str">
        <f t="shared" si="1527"/>
        <v>#REF!</v>
      </c>
      <c r="BX176" s="6">
        <v>0.0</v>
      </c>
      <c r="BY176" s="6">
        <v>0.0</v>
      </c>
      <c r="BZ176" s="6">
        <v>0.0</v>
      </c>
      <c r="CA176" s="6">
        <v>0.0</v>
      </c>
      <c r="CB176" s="6">
        <v>0.0</v>
      </c>
      <c r="CC176" s="6">
        <v>0.0</v>
      </c>
      <c r="CD176" s="5">
        <v>233280.0</v>
      </c>
      <c r="CE176" s="5">
        <v>233280.0</v>
      </c>
      <c r="CF176" s="6">
        <v>233280.0</v>
      </c>
      <c r="CG176" s="6" t="str">
        <f t="shared" ref="CG176:CI176" si="1528">+CA176+CD176+BX176+#REF!</f>
        <v>#REF!</v>
      </c>
      <c r="CH176" s="6" t="str">
        <f t="shared" si="1528"/>
        <v>#REF!</v>
      </c>
      <c r="CI176" s="6" t="str">
        <f t="shared" si="1528"/>
        <v>#REF!</v>
      </c>
      <c r="CJ176" s="6">
        <v>0.0</v>
      </c>
      <c r="CK176" s="6">
        <v>0.0</v>
      </c>
      <c r="CL176" s="6">
        <v>0.0</v>
      </c>
      <c r="CM176" s="6">
        <v>0.0</v>
      </c>
      <c r="CN176" s="6">
        <v>0.0</v>
      </c>
      <c r="CO176" s="6">
        <v>0.0</v>
      </c>
      <c r="CP176" s="6">
        <v>0.0</v>
      </c>
      <c r="CQ176" s="6">
        <v>0.0</v>
      </c>
      <c r="CR176" s="6">
        <v>0.0</v>
      </c>
      <c r="CS176" s="6">
        <v>0.0</v>
      </c>
      <c r="CT176" s="6">
        <v>0.0</v>
      </c>
      <c r="CU176" s="6">
        <v>0.0</v>
      </c>
      <c r="CV176" s="6">
        <f t="shared" ref="CV176:CX176" si="1529">+CP176+CS176+CJ176+CM176</f>
        <v>0</v>
      </c>
      <c r="CW176" s="6">
        <f t="shared" si="1529"/>
        <v>0</v>
      </c>
      <c r="CX176" s="6">
        <f t="shared" si="1529"/>
        <v>0</v>
      </c>
      <c r="CY176" s="6">
        <v>0.0</v>
      </c>
      <c r="CZ176" s="6">
        <v>0.0</v>
      </c>
      <c r="DA176" s="6">
        <v>0.0</v>
      </c>
      <c r="DB176" s="6">
        <v>0.0</v>
      </c>
      <c r="DC176" s="6">
        <v>0.0</v>
      </c>
      <c r="DD176" s="6">
        <v>0.0</v>
      </c>
      <c r="DE176" s="6">
        <v>0.0</v>
      </c>
      <c r="DF176" s="6">
        <v>0.0</v>
      </c>
      <c r="DG176" s="6">
        <v>0.0</v>
      </c>
      <c r="DH176" s="6">
        <v>0.0</v>
      </c>
      <c r="DI176" s="6">
        <v>0.0</v>
      </c>
      <c r="DJ176" s="6">
        <v>0.0</v>
      </c>
      <c r="DK176" s="6">
        <f t="shared" ref="DK176:DM176" si="1530">+DE176+DH176+CY176+DB176</f>
        <v>0</v>
      </c>
      <c r="DL176" s="6">
        <f t="shared" si="1530"/>
        <v>0</v>
      </c>
      <c r="DM176" s="6">
        <f t="shared" si="1530"/>
        <v>0</v>
      </c>
      <c r="DN176" s="6" t="str">
        <f t="shared" ref="DN176:DP176" si="1531">+P176+AE176+AT176+BI176+BU176+CG176+CV176</f>
        <v>#REF!</v>
      </c>
      <c r="DO176" s="6" t="str">
        <f t="shared" si="1531"/>
        <v>#REF!</v>
      </c>
      <c r="DP176" s="6" t="str">
        <f t="shared" si="1531"/>
        <v>#REF!</v>
      </c>
      <c r="DQ176" s="6" t="str">
        <f t="shared" si="19"/>
        <v>#REF!</v>
      </c>
    </row>
    <row r="177" ht="13.5" customHeight="1">
      <c r="A177" s="11">
        <v>45882.0</v>
      </c>
      <c r="B177" s="2" t="s">
        <v>687</v>
      </c>
      <c r="C177" s="2" t="s">
        <v>688</v>
      </c>
      <c r="D177" s="29" t="s">
        <v>689</v>
      </c>
      <c r="E177" s="2" t="s">
        <v>690</v>
      </c>
      <c r="F177" s="11" t="s">
        <v>691</v>
      </c>
      <c r="G177" s="11" t="s">
        <v>22</v>
      </c>
      <c r="H177" s="5">
        <v>13237.86</v>
      </c>
      <c r="I177" s="5">
        <v>13237.86</v>
      </c>
      <c r="J177" s="6">
        <v>0.0</v>
      </c>
      <c r="K177" s="6">
        <v>0.0</v>
      </c>
      <c r="L177" s="6">
        <v>0.0</v>
      </c>
      <c r="M177" s="6">
        <v>0.0</v>
      </c>
      <c r="N177" s="6">
        <v>0.0</v>
      </c>
      <c r="O177" s="6">
        <v>0.0</v>
      </c>
      <c r="P177" s="6">
        <f t="shared" ref="P177:R177" si="1532">+J177+M177</f>
        <v>0</v>
      </c>
      <c r="Q177" s="6">
        <f t="shared" si="1532"/>
        <v>0</v>
      </c>
      <c r="R177" s="6">
        <f t="shared" si="1532"/>
        <v>0</v>
      </c>
      <c r="S177" s="6">
        <v>0.0</v>
      </c>
      <c r="T177" s="6">
        <v>0.0</v>
      </c>
      <c r="U177" s="6">
        <v>0.0</v>
      </c>
      <c r="V177" s="6">
        <v>0.0</v>
      </c>
      <c r="W177" s="6">
        <v>0.0</v>
      </c>
      <c r="X177" s="6">
        <v>0.0</v>
      </c>
      <c r="Y177" s="6">
        <v>0.0</v>
      </c>
      <c r="Z177" s="6">
        <v>0.0</v>
      </c>
      <c r="AA177" s="6">
        <v>0.0</v>
      </c>
      <c r="AB177" s="6">
        <v>0.0</v>
      </c>
      <c r="AC177" s="6">
        <v>0.0</v>
      </c>
      <c r="AD177" s="6">
        <v>0.0</v>
      </c>
      <c r="AE177" s="6">
        <f t="shared" ref="AE177:AG177" si="1533">+Y177+AB177+S177+V177</f>
        <v>0</v>
      </c>
      <c r="AF177" s="6">
        <f t="shared" si="1533"/>
        <v>0</v>
      </c>
      <c r="AG177" s="6">
        <f t="shared" si="1533"/>
        <v>0</v>
      </c>
      <c r="AH177" s="6">
        <v>0.0</v>
      </c>
      <c r="AI177" s="6">
        <v>0.0</v>
      </c>
      <c r="AJ177" s="6">
        <v>0.0</v>
      </c>
      <c r="AK177" s="6">
        <v>0.0</v>
      </c>
      <c r="AL177" s="6">
        <v>0.0</v>
      </c>
      <c r="AM177" s="6">
        <v>0.0</v>
      </c>
      <c r="AN177" s="6">
        <v>0.0</v>
      </c>
      <c r="AO177" s="6">
        <v>0.0</v>
      </c>
      <c r="AP177" s="6">
        <v>0.0</v>
      </c>
      <c r="AQ177" s="6">
        <v>0.0</v>
      </c>
      <c r="AR177" s="6">
        <v>0.0</v>
      </c>
      <c r="AS177" s="6">
        <v>0.0</v>
      </c>
      <c r="AT177" s="6">
        <f t="shared" ref="AT177:AV177" si="1534">+AN177+AQ177+AH177+AK177</f>
        <v>0</v>
      </c>
      <c r="AU177" s="6">
        <f t="shared" si="1534"/>
        <v>0</v>
      </c>
      <c r="AV177" s="6">
        <f t="shared" si="1534"/>
        <v>0</v>
      </c>
      <c r="AW177" s="6">
        <v>0.0</v>
      </c>
      <c r="AX177" s="6">
        <v>0.0</v>
      </c>
      <c r="AY177" s="6">
        <v>0.0</v>
      </c>
      <c r="AZ177" s="6">
        <v>0.0</v>
      </c>
      <c r="BA177" s="6">
        <v>0.0</v>
      </c>
      <c r="BB177" s="6">
        <v>0.0</v>
      </c>
      <c r="BC177" s="6">
        <v>0.0</v>
      </c>
      <c r="BD177" s="6">
        <v>0.0</v>
      </c>
      <c r="BE177" s="6">
        <v>0.0</v>
      </c>
      <c r="BF177" s="6">
        <v>0.0</v>
      </c>
      <c r="BG177" s="6">
        <v>0.0</v>
      </c>
      <c r="BH177" s="6">
        <v>0.0</v>
      </c>
      <c r="BI177" s="6">
        <f t="shared" ref="BI177:BK177" si="1535">+BC177+BF177+AW177+AZ177</f>
        <v>0</v>
      </c>
      <c r="BJ177" s="6">
        <f t="shared" si="1535"/>
        <v>0</v>
      </c>
      <c r="BK177" s="6">
        <f t="shared" si="1535"/>
        <v>0</v>
      </c>
      <c r="BL177" s="6">
        <v>0.0</v>
      </c>
      <c r="BM177" s="6">
        <v>0.0</v>
      </c>
      <c r="BN177" s="6">
        <v>0.0</v>
      </c>
      <c r="BO177" s="6">
        <v>0.0</v>
      </c>
      <c r="BP177" s="6">
        <v>0.0</v>
      </c>
      <c r="BQ177" s="6">
        <v>0.0</v>
      </c>
      <c r="BR177" s="6">
        <v>0.0</v>
      </c>
      <c r="BS177" s="6">
        <v>0.0</v>
      </c>
      <c r="BT177" s="6">
        <v>0.0</v>
      </c>
      <c r="BU177" s="6" t="str">
        <f t="shared" ref="BU177:BW177" si="1536">+BO177+BR177+#REF!+BL177</f>
        <v>#REF!</v>
      </c>
      <c r="BV177" s="6" t="str">
        <f t="shared" si="1536"/>
        <v>#REF!</v>
      </c>
      <c r="BW177" s="6" t="str">
        <f t="shared" si="1536"/>
        <v>#REF!</v>
      </c>
      <c r="BX177" s="6">
        <v>0.0</v>
      </c>
      <c r="BY177" s="6">
        <v>0.0</v>
      </c>
      <c r="BZ177" s="6">
        <v>0.0</v>
      </c>
      <c r="CA177" s="6">
        <v>0.0</v>
      </c>
      <c r="CB177" s="6">
        <v>0.0</v>
      </c>
      <c r="CC177" s="6">
        <v>0.0</v>
      </c>
      <c r="CD177" s="5">
        <v>13237.86</v>
      </c>
      <c r="CE177" s="5">
        <v>13237.86</v>
      </c>
      <c r="CF177" s="6">
        <v>0.0</v>
      </c>
      <c r="CG177" s="6" t="str">
        <f t="shared" ref="CG177:CI177" si="1537">+CA177+CD177+BX177+#REF!</f>
        <v>#REF!</v>
      </c>
      <c r="CH177" s="6" t="str">
        <f t="shared" si="1537"/>
        <v>#REF!</v>
      </c>
      <c r="CI177" s="6" t="str">
        <f t="shared" si="1537"/>
        <v>#REF!</v>
      </c>
      <c r="CJ177" s="6">
        <v>0.0</v>
      </c>
      <c r="CK177" s="6">
        <v>0.0</v>
      </c>
      <c r="CL177" s="6">
        <v>13237.86</v>
      </c>
      <c r="CM177" s="6">
        <v>0.0</v>
      </c>
      <c r="CN177" s="6">
        <v>0.0</v>
      </c>
      <c r="CO177" s="6">
        <v>0.0</v>
      </c>
      <c r="CP177" s="6">
        <v>0.0</v>
      </c>
      <c r="CQ177" s="6">
        <v>0.0</v>
      </c>
      <c r="CR177" s="6">
        <v>0.0</v>
      </c>
      <c r="CS177" s="6">
        <v>0.0</v>
      </c>
      <c r="CT177" s="6">
        <v>0.0</v>
      </c>
      <c r="CU177" s="6">
        <v>0.0</v>
      </c>
      <c r="CV177" s="6">
        <f t="shared" ref="CV177:CX177" si="1538">+CP177+CS177+CJ177+CM177</f>
        <v>0</v>
      </c>
      <c r="CW177" s="6">
        <f t="shared" si="1538"/>
        <v>0</v>
      </c>
      <c r="CX177" s="6">
        <f t="shared" si="1538"/>
        <v>13237.86</v>
      </c>
      <c r="CY177" s="6">
        <v>0.0</v>
      </c>
      <c r="CZ177" s="6">
        <v>0.0</v>
      </c>
      <c r="DA177" s="6">
        <v>13237.86</v>
      </c>
      <c r="DB177" s="6">
        <v>0.0</v>
      </c>
      <c r="DC177" s="6">
        <v>0.0</v>
      </c>
      <c r="DD177" s="6">
        <v>0.0</v>
      </c>
      <c r="DE177" s="6">
        <v>0.0</v>
      </c>
      <c r="DF177" s="6">
        <v>0.0</v>
      </c>
      <c r="DG177" s="6">
        <v>0.0</v>
      </c>
      <c r="DH177" s="6">
        <v>0.0</v>
      </c>
      <c r="DI177" s="6">
        <v>0.0</v>
      </c>
      <c r="DJ177" s="6">
        <v>0.0</v>
      </c>
      <c r="DK177" s="6">
        <f t="shared" ref="DK177:DM177" si="1539">+DE177+DH177+CY177+DB177</f>
        <v>0</v>
      </c>
      <c r="DL177" s="6">
        <f t="shared" si="1539"/>
        <v>0</v>
      </c>
      <c r="DM177" s="6">
        <f t="shared" si="1539"/>
        <v>13237.86</v>
      </c>
      <c r="DN177" s="6" t="str">
        <f t="shared" ref="DN177:DP177" si="1540">+P177+AE177+AT177+BI177+BU177+CG177+CV177</f>
        <v>#REF!</v>
      </c>
      <c r="DO177" s="6" t="str">
        <f t="shared" si="1540"/>
        <v>#REF!</v>
      </c>
      <c r="DP177" s="6" t="str">
        <f t="shared" si="1540"/>
        <v>#REF!</v>
      </c>
      <c r="DQ177" s="6" t="str">
        <f t="shared" si="19"/>
        <v>#REF!</v>
      </c>
    </row>
    <row r="178" ht="13.5" customHeight="1">
      <c r="A178" s="11">
        <v>45882.0</v>
      </c>
      <c r="B178" s="2" t="s">
        <v>687</v>
      </c>
      <c r="C178" s="2" t="s">
        <v>688</v>
      </c>
      <c r="D178" s="29" t="s">
        <v>689</v>
      </c>
      <c r="E178" s="2" t="s">
        <v>690</v>
      </c>
      <c r="F178" s="11" t="s">
        <v>691</v>
      </c>
      <c r="G178" s="11" t="s">
        <v>22</v>
      </c>
      <c r="H178" s="5">
        <v>36762.14</v>
      </c>
      <c r="I178" s="5">
        <v>36762.14</v>
      </c>
      <c r="J178" s="6">
        <v>0.0</v>
      </c>
      <c r="K178" s="6">
        <v>0.0</v>
      </c>
      <c r="L178" s="6">
        <v>0.0</v>
      </c>
      <c r="M178" s="6">
        <v>0.0</v>
      </c>
      <c r="N178" s="6">
        <v>0.0</v>
      </c>
      <c r="O178" s="6">
        <v>0.0</v>
      </c>
      <c r="P178" s="6">
        <f t="shared" ref="P178:R178" si="1541">+J178+M178</f>
        <v>0</v>
      </c>
      <c r="Q178" s="6">
        <f t="shared" si="1541"/>
        <v>0</v>
      </c>
      <c r="R178" s="6">
        <f t="shared" si="1541"/>
        <v>0</v>
      </c>
      <c r="S178" s="6">
        <v>0.0</v>
      </c>
      <c r="T178" s="6">
        <v>0.0</v>
      </c>
      <c r="U178" s="6">
        <v>0.0</v>
      </c>
      <c r="V178" s="6">
        <v>0.0</v>
      </c>
      <c r="W178" s="6">
        <v>0.0</v>
      </c>
      <c r="X178" s="6">
        <v>0.0</v>
      </c>
      <c r="Y178" s="6">
        <v>0.0</v>
      </c>
      <c r="Z178" s="6">
        <v>0.0</v>
      </c>
      <c r="AA178" s="6">
        <v>0.0</v>
      </c>
      <c r="AB178" s="6">
        <v>0.0</v>
      </c>
      <c r="AC178" s="6">
        <v>0.0</v>
      </c>
      <c r="AD178" s="6">
        <v>0.0</v>
      </c>
      <c r="AE178" s="6">
        <f t="shared" ref="AE178:AG178" si="1542">+Y178+AB178+S178+V178</f>
        <v>0</v>
      </c>
      <c r="AF178" s="6">
        <f t="shared" si="1542"/>
        <v>0</v>
      </c>
      <c r="AG178" s="6">
        <f t="shared" si="1542"/>
        <v>0</v>
      </c>
      <c r="AH178" s="6">
        <v>0.0</v>
      </c>
      <c r="AI178" s="6">
        <v>0.0</v>
      </c>
      <c r="AJ178" s="6">
        <v>0.0</v>
      </c>
      <c r="AK178" s="6">
        <v>0.0</v>
      </c>
      <c r="AL178" s="6">
        <v>0.0</v>
      </c>
      <c r="AM178" s="6">
        <v>0.0</v>
      </c>
      <c r="AN178" s="6">
        <v>0.0</v>
      </c>
      <c r="AO178" s="6">
        <v>0.0</v>
      </c>
      <c r="AP178" s="6">
        <v>0.0</v>
      </c>
      <c r="AQ178" s="6">
        <v>0.0</v>
      </c>
      <c r="AR178" s="6">
        <v>0.0</v>
      </c>
      <c r="AS178" s="6">
        <v>0.0</v>
      </c>
      <c r="AT178" s="6">
        <f t="shared" ref="AT178:AV178" si="1543">+AN178+AQ178+AH178+AK178</f>
        <v>0</v>
      </c>
      <c r="AU178" s="6">
        <f t="shared" si="1543"/>
        <v>0</v>
      </c>
      <c r="AV178" s="6">
        <f t="shared" si="1543"/>
        <v>0</v>
      </c>
      <c r="AW178" s="6">
        <v>0.0</v>
      </c>
      <c r="AX178" s="6">
        <v>0.0</v>
      </c>
      <c r="AY178" s="6">
        <v>0.0</v>
      </c>
      <c r="AZ178" s="6">
        <v>0.0</v>
      </c>
      <c r="BA178" s="6">
        <v>0.0</v>
      </c>
      <c r="BB178" s="6">
        <v>0.0</v>
      </c>
      <c r="BC178" s="6">
        <v>0.0</v>
      </c>
      <c r="BD178" s="6">
        <v>0.0</v>
      </c>
      <c r="BE178" s="6">
        <v>0.0</v>
      </c>
      <c r="BF178" s="6">
        <v>0.0</v>
      </c>
      <c r="BG178" s="6">
        <v>0.0</v>
      </c>
      <c r="BH178" s="6">
        <v>0.0</v>
      </c>
      <c r="BI178" s="6">
        <f t="shared" ref="BI178:BK178" si="1544">+BC178+BF178+AW178+AZ178</f>
        <v>0</v>
      </c>
      <c r="BJ178" s="6">
        <f t="shared" si="1544"/>
        <v>0</v>
      </c>
      <c r="BK178" s="6">
        <f t="shared" si="1544"/>
        <v>0</v>
      </c>
      <c r="BL178" s="6">
        <v>0.0</v>
      </c>
      <c r="BM178" s="6">
        <v>0.0</v>
      </c>
      <c r="BN178" s="6">
        <v>0.0</v>
      </c>
      <c r="BO178" s="6">
        <v>0.0</v>
      </c>
      <c r="BP178" s="6">
        <v>0.0</v>
      </c>
      <c r="BQ178" s="6">
        <v>0.0</v>
      </c>
      <c r="BR178" s="6">
        <v>0.0</v>
      </c>
      <c r="BS178" s="6">
        <v>0.0</v>
      </c>
      <c r="BT178" s="6">
        <v>0.0</v>
      </c>
      <c r="BU178" s="6" t="str">
        <f t="shared" ref="BU178:BW178" si="1545">+BO178+BR178+#REF!+BL178</f>
        <v>#REF!</v>
      </c>
      <c r="BV178" s="6" t="str">
        <f t="shared" si="1545"/>
        <v>#REF!</v>
      </c>
      <c r="BW178" s="6" t="str">
        <f t="shared" si="1545"/>
        <v>#REF!</v>
      </c>
      <c r="BX178" s="6">
        <v>0.0</v>
      </c>
      <c r="BY178" s="6">
        <v>0.0</v>
      </c>
      <c r="BZ178" s="6">
        <v>0.0</v>
      </c>
      <c r="CA178" s="6">
        <v>0.0</v>
      </c>
      <c r="CB178" s="6">
        <v>0.0</v>
      </c>
      <c r="CC178" s="6">
        <v>0.0</v>
      </c>
      <c r="CD178" s="5">
        <v>36762.14</v>
      </c>
      <c r="CE178" s="5">
        <v>36762.14</v>
      </c>
      <c r="CF178" s="6">
        <v>0.0</v>
      </c>
      <c r="CG178" s="6" t="str">
        <f t="shared" ref="CG178:CI178" si="1546">+CA178+CD178+BX178+#REF!</f>
        <v>#REF!</v>
      </c>
      <c r="CH178" s="6" t="str">
        <f t="shared" si="1546"/>
        <v>#REF!</v>
      </c>
      <c r="CI178" s="6" t="str">
        <f t="shared" si="1546"/>
        <v>#REF!</v>
      </c>
      <c r="CJ178" s="6">
        <v>0.0</v>
      </c>
      <c r="CK178" s="6">
        <v>0.0</v>
      </c>
      <c r="CL178" s="6">
        <v>36762.14</v>
      </c>
      <c r="CM178" s="6">
        <v>0.0</v>
      </c>
      <c r="CN178" s="6">
        <v>0.0</v>
      </c>
      <c r="CO178" s="6">
        <v>0.0</v>
      </c>
      <c r="CP178" s="6">
        <v>0.0</v>
      </c>
      <c r="CQ178" s="6">
        <v>0.0</v>
      </c>
      <c r="CR178" s="6">
        <v>0.0</v>
      </c>
      <c r="CS178" s="6">
        <v>0.0</v>
      </c>
      <c r="CT178" s="6">
        <v>0.0</v>
      </c>
      <c r="CU178" s="6">
        <v>0.0</v>
      </c>
      <c r="CV178" s="6">
        <f t="shared" ref="CV178:CX178" si="1547">+CP178+CS178+CJ178+CM178</f>
        <v>0</v>
      </c>
      <c r="CW178" s="6">
        <f t="shared" si="1547"/>
        <v>0</v>
      </c>
      <c r="CX178" s="6">
        <f t="shared" si="1547"/>
        <v>36762.14</v>
      </c>
      <c r="CY178" s="6">
        <v>0.0</v>
      </c>
      <c r="CZ178" s="6">
        <v>0.0</v>
      </c>
      <c r="DA178" s="6">
        <v>36762.14</v>
      </c>
      <c r="DB178" s="6">
        <v>0.0</v>
      </c>
      <c r="DC178" s="6">
        <v>0.0</v>
      </c>
      <c r="DD178" s="6">
        <v>0.0</v>
      </c>
      <c r="DE178" s="6">
        <v>0.0</v>
      </c>
      <c r="DF178" s="6">
        <v>0.0</v>
      </c>
      <c r="DG178" s="6">
        <v>0.0</v>
      </c>
      <c r="DH178" s="6">
        <v>0.0</v>
      </c>
      <c r="DI178" s="6">
        <v>0.0</v>
      </c>
      <c r="DJ178" s="6">
        <v>0.0</v>
      </c>
      <c r="DK178" s="6">
        <f t="shared" ref="DK178:DM178" si="1548">+DE178+DH178+CY178+DB178</f>
        <v>0</v>
      </c>
      <c r="DL178" s="6">
        <f t="shared" si="1548"/>
        <v>0</v>
      </c>
      <c r="DM178" s="6">
        <f t="shared" si="1548"/>
        <v>36762.14</v>
      </c>
      <c r="DN178" s="6" t="str">
        <f t="shared" ref="DN178:DP178" si="1549">+P178+AE178+AT178+BI178+BU178+CG178+CV178</f>
        <v>#REF!</v>
      </c>
      <c r="DO178" s="6" t="str">
        <f t="shared" si="1549"/>
        <v>#REF!</v>
      </c>
      <c r="DP178" s="6" t="str">
        <f t="shared" si="1549"/>
        <v>#REF!</v>
      </c>
      <c r="DQ178" s="6" t="str">
        <f t="shared" si="19"/>
        <v>#REF!</v>
      </c>
    </row>
    <row r="179" ht="13.5" customHeight="1">
      <c r="A179" s="11">
        <v>45883.0</v>
      </c>
      <c r="B179" s="2" t="s">
        <v>692</v>
      </c>
      <c r="C179" s="2" t="s">
        <v>693</v>
      </c>
      <c r="D179" s="29" t="s">
        <v>694</v>
      </c>
      <c r="E179" s="2" t="s">
        <v>695</v>
      </c>
      <c r="F179" s="11" t="s">
        <v>696</v>
      </c>
      <c r="G179" s="11" t="s">
        <v>22</v>
      </c>
      <c r="H179" s="5">
        <v>1479870.0</v>
      </c>
      <c r="I179" s="5">
        <v>1479870.0</v>
      </c>
      <c r="J179" s="6">
        <v>0.0</v>
      </c>
      <c r="K179" s="6">
        <v>0.0</v>
      </c>
      <c r="L179" s="6">
        <v>0.0</v>
      </c>
      <c r="M179" s="6">
        <v>0.0</v>
      </c>
      <c r="N179" s="6">
        <v>0.0</v>
      </c>
      <c r="O179" s="6">
        <v>0.0</v>
      </c>
      <c r="P179" s="6">
        <f t="shared" ref="P179:R179" si="1550">+J179+M179</f>
        <v>0</v>
      </c>
      <c r="Q179" s="6">
        <f t="shared" si="1550"/>
        <v>0</v>
      </c>
      <c r="R179" s="6">
        <f t="shared" si="1550"/>
        <v>0</v>
      </c>
      <c r="S179" s="6">
        <v>0.0</v>
      </c>
      <c r="T179" s="6">
        <v>0.0</v>
      </c>
      <c r="U179" s="6">
        <v>0.0</v>
      </c>
      <c r="V179" s="6">
        <v>0.0</v>
      </c>
      <c r="W179" s="6">
        <v>0.0</v>
      </c>
      <c r="X179" s="6">
        <v>0.0</v>
      </c>
      <c r="Y179" s="6">
        <v>0.0</v>
      </c>
      <c r="Z179" s="6">
        <v>0.0</v>
      </c>
      <c r="AA179" s="6">
        <v>0.0</v>
      </c>
      <c r="AB179" s="6">
        <v>0.0</v>
      </c>
      <c r="AC179" s="6">
        <v>0.0</v>
      </c>
      <c r="AD179" s="6">
        <v>0.0</v>
      </c>
      <c r="AE179" s="6">
        <f t="shared" ref="AE179:AG179" si="1551">+Y179+AB179+S179+V179</f>
        <v>0</v>
      </c>
      <c r="AF179" s="6">
        <f t="shared" si="1551"/>
        <v>0</v>
      </c>
      <c r="AG179" s="6">
        <f t="shared" si="1551"/>
        <v>0</v>
      </c>
      <c r="AH179" s="6">
        <v>0.0</v>
      </c>
      <c r="AI179" s="6">
        <v>0.0</v>
      </c>
      <c r="AJ179" s="6">
        <v>0.0</v>
      </c>
      <c r="AK179" s="6">
        <v>0.0</v>
      </c>
      <c r="AL179" s="6">
        <v>0.0</v>
      </c>
      <c r="AM179" s="6">
        <v>0.0</v>
      </c>
      <c r="AN179" s="6">
        <v>0.0</v>
      </c>
      <c r="AO179" s="6">
        <v>0.0</v>
      </c>
      <c r="AP179" s="6">
        <v>0.0</v>
      </c>
      <c r="AQ179" s="6">
        <v>0.0</v>
      </c>
      <c r="AR179" s="6">
        <v>0.0</v>
      </c>
      <c r="AS179" s="6">
        <v>0.0</v>
      </c>
      <c r="AT179" s="6">
        <f t="shared" ref="AT179:AV179" si="1552">+AN179+AQ179+AH179+AK179</f>
        <v>0</v>
      </c>
      <c r="AU179" s="6">
        <f t="shared" si="1552"/>
        <v>0</v>
      </c>
      <c r="AV179" s="6">
        <f t="shared" si="1552"/>
        <v>0</v>
      </c>
      <c r="AW179" s="6">
        <v>0.0</v>
      </c>
      <c r="AX179" s="6">
        <v>0.0</v>
      </c>
      <c r="AY179" s="6">
        <v>0.0</v>
      </c>
      <c r="AZ179" s="6">
        <v>0.0</v>
      </c>
      <c r="BA179" s="6">
        <v>0.0</v>
      </c>
      <c r="BB179" s="6">
        <v>0.0</v>
      </c>
      <c r="BC179" s="6">
        <v>0.0</v>
      </c>
      <c r="BD179" s="6">
        <v>0.0</v>
      </c>
      <c r="BE179" s="6">
        <v>0.0</v>
      </c>
      <c r="BF179" s="6">
        <v>0.0</v>
      </c>
      <c r="BG179" s="6">
        <v>0.0</v>
      </c>
      <c r="BH179" s="6">
        <v>0.0</v>
      </c>
      <c r="BI179" s="6">
        <f t="shared" ref="BI179:BK179" si="1553">+BC179+BF179+AW179+AZ179</f>
        <v>0</v>
      </c>
      <c r="BJ179" s="6">
        <f t="shared" si="1553"/>
        <v>0</v>
      </c>
      <c r="BK179" s="6">
        <f t="shared" si="1553"/>
        <v>0</v>
      </c>
      <c r="BL179" s="6">
        <v>0.0</v>
      </c>
      <c r="BM179" s="6">
        <v>0.0</v>
      </c>
      <c r="BN179" s="6">
        <v>0.0</v>
      </c>
      <c r="BO179" s="6">
        <v>0.0</v>
      </c>
      <c r="BP179" s="6">
        <v>0.0</v>
      </c>
      <c r="BQ179" s="6">
        <v>0.0</v>
      </c>
      <c r="BR179" s="6">
        <v>0.0</v>
      </c>
      <c r="BS179" s="6">
        <v>0.0</v>
      </c>
      <c r="BT179" s="6">
        <v>0.0</v>
      </c>
      <c r="BU179" s="6" t="str">
        <f t="shared" ref="BU179:BW179" si="1554">+BO179+BR179+#REF!+BL179</f>
        <v>#REF!</v>
      </c>
      <c r="BV179" s="6" t="str">
        <f t="shared" si="1554"/>
        <v>#REF!</v>
      </c>
      <c r="BW179" s="6" t="str">
        <f t="shared" si="1554"/>
        <v>#REF!</v>
      </c>
      <c r="BX179" s="6">
        <v>0.0</v>
      </c>
      <c r="BY179" s="6">
        <v>0.0</v>
      </c>
      <c r="BZ179" s="6">
        <v>0.0</v>
      </c>
      <c r="CA179" s="6">
        <v>0.0</v>
      </c>
      <c r="CB179" s="6">
        <v>0.0</v>
      </c>
      <c r="CC179" s="6">
        <v>0.0</v>
      </c>
      <c r="CD179" s="5">
        <v>1479870.0</v>
      </c>
      <c r="CE179" s="5">
        <v>1479870.0</v>
      </c>
      <c r="CF179" s="6">
        <v>0.0</v>
      </c>
      <c r="CG179" s="6" t="str">
        <f t="shared" ref="CG179:CI179" si="1555">+CA179+CD179+BX179+#REF!</f>
        <v>#REF!</v>
      </c>
      <c r="CH179" s="6" t="str">
        <f t="shared" si="1555"/>
        <v>#REF!</v>
      </c>
      <c r="CI179" s="6" t="str">
        <f t="shared" si="1555"/>
        <v>#REF!</v>
      </c>
      <c r="CJ179" s="6">
        <v>0.0</v>
      </c>
      <c r="CK179" s="6">
        <v>0.0</v>
      </c>
      <c r="CL179" s="6">
        <v>325000.0</v>
      </c>
      <c r="CM179" s="6">
        <v>0.0</v>
      </c>
      <c r="CN179" s="6">
        <v>0.0</v>
      </c>
      <c r="CO179" s="6">
        <v>250000.0</v>
      </c>
      <c r="CP179" s="6">
        <v>0.0</v>
      </c>
      <c r="CQ179" s="6">
        <v>0.0</v>
      </c>
      <c r="CR179" s="6">
        <v>0.0</v>
      </c>
      <c r="CS179" s="6">
        <v>0.0</v>
      </c>
      <c r="CT179" s="6">
        <v>0.0</v>
      </c>
      <c r="CU179" s="6">
        <v>0.0</v>
      </c>
      <c r="CV179" s="6">
        <f t="shared" ref="CV179:CX179" si="1556">+CP179+CS179+CJ179+CM179</f>
        <v>0</v>
      </c>
      <c r="CW179" s="6">
        <f t="shared" si="1556"/>
        <v>0</v>
      </c>
      <c r="CX179" s="6">
        <f t="shared" si="1556"/>
        <v>575000</v>
      </c>
      <c r="CY179" s="6">
        <v>0.0</v>
      </c>
      <c r="CZ179" s="6">
        <v>0.0</v>
      </c>
      <c r="DA179" s="6">
        <v>325000.0</v>
      </c>
      <c r="DB179" s="6">
        <v>0.0</v>
      </c>
      <c r="DC179" s="6">
        <v>0.0</v>
      </c>
      <c r="DD179" s="6">
        <v>250000.0</v>
      </c>
      <c r="DE179" s="6">
        <v>0.0</v>
      </c>
      <c r="DF179" s="6">
        <v>0.0</v>
      </c>
      <c r="DG179" s="6">
        <v>0.0</v>
      </c>
      <c r="DH179" s="6">
        <v>0.0</v>
      </c>
      <c r="DI179" s="6">
        <v>0.0</v>
      </c>
      <c r="DJ179" s="6">
        <v>0.0</v>
      </c>
      <c r="DK179" s="6">
        <f t="shared" ref="DK179:DM179" si="1557">+DE179+DH179+CY179+DB179</f>
        <v>0</v>
      </c>
      <c r="DL179" s="6">
        <f t="shared" si="1557"/>
        <v>0</v>
      </c>
      <c r="DM179" s="6">
        <f t="shared" si="1557"/>
        <v>575000</v>
      </c>
      <c r="DN179" s="6" t="str">
        <f t="shared" ref="DN179:DP179" si="1558">+P179+AE179+AT179+BI179+BU179+CG179+CV179</f>
        <v>#REF!</v>
      </c>
      <c r="DO179" s="6" t="str">
        <f t="shared" si="1558"/>
        <v>#REF!</v>
      </c>
      <c r="DP179" s="6" t="str">
        <f t="shared" si="1558"/>
        <v>#REF!</v>
      </c>
      <c r="DQ179" s="6" t="str">
        <f t="shared" si="19"/>
        <v>#REF!</v>
      </c>
    </row>
    <row r="180" ht="13.5" customHeight="1">
      <c r="A180" s="11">
        <v>45894.0</v>
      </c>
      <c r="B180" s="2" t="s">
        <v>697</v>
      </c>
      <c r="C180" s="2" t="s">
        <v>698</v>
      </c>
      <c r="D180" s="29" t="s">
        <v>699</v>
      </c>
      <c r="E180" s="2" t="s">
        <v>700</v>
      </c>
      <c r="F180" s="11" t="s">
        <v>701</v>
      </c>
      <c r="G180" s="11" t="s">
        <v>22</v>
      </c>
      <c r="H180" s="5">
        <v>1600000.0</v>
      </c>
      <c r="I180" s="5">
        <v>135253.0</v>
      </c>
      <c r="J180" s="6">
        <v>0.0</v>
      </c>
      <c r="K180" s="6">
        <v>0.0</v>
      </c>
      <c r="L180" s="6">
        <v>0.0</v>
      </c>
      <c r="M180" s="6">
        <v>0.0</v>
      </c>
      <c r="N180" s="6">
        <v>0.0</v>
      </c>
      <c r="O180" s="6">
        <v>0.0</v>
      </c>
      <c r="P180" s="6">
        <f t="shared" ref="P180:R180" si="1559">+J180+M180</f>
        <v>0</v>
      </c>
      <c r="Q180" s="6">
        <f t="shared" si="1559"/>
        <v>0</v>
      </c>
      <c r="R180" s="6">
        <f t="shared" si="1559"/>
        <v>0</v>
      </c>
      <c r="S180" s="6">
        <v>0.0</v>
      </c>
      <c r="T180" s="6">
        <v>0.0</v>
      </c>
      <c r="U180" s="6">
        <v>0.0</v>
      </c>
      <c r="V180" s="6">
        <v>0.0</v>
      </c>
      <c r="W180" s="6">
        <v>0.0</v>
      </c>
      <c r="X180" s="6">
        <v>0.0</v>
      </c>
      <c r="Y180" s="6">
        <v>0.0</v>
      </c>
      <c r="Z180" s="6">
        <v>0.0</v>
      </c>
      <c r="AA180" s="6">
        <v>0.0</v>
      </c>
      <c r="AB180" s="6">
        <v>0.0</v>
      </c>
      <c r="AC180" s="6">
        <v>0.0</v>
      </c>
      <c r="AD180" s="6">
        <v>0.0</v>
      </c>
      <c r="AE180" s="6">
        <f t="shared" ref="AE180:AG180" si="1560">+Y180+AB180+S180+V180</f>
        <v>0</v>
      </c>
      <c r="AF180" s="6">
        <f t="shared" si="1560"/>
        <v>0</v>
      </c>
      <c r="AG180" s="6">
        <f t="shared" si="1560"/>
        <v>0</v>
      </c>
      <c r="AH180" s="6">
        <v>0.0</v>
      </c>
      <c r="AI180" s="6">
        <v>0.0</v>
      </c>
      <c r="AJ180" s="6">
        <v>0.0</v>
      </c>
      <c r="AK180" s="6">
        <v>0.0</v>
      </c>
      <c r="AL180" s="6">
        <v>0.0</v>
      </c>
      <c r="AM180" s="6">
        <v>0.0</v>
      </c>
      <c r="AN180" s="6">
        <v>0.0</v>
      </c>
      <c r="AO180" s="6">
        <v>0.0</v>
      </c>
      <c r="AP180" s="6">
        <v>0.0</v>
      </c>
      <c r="AQ180" s="6">
        <v>0.0</v>
      </c>
      <c r="AR180" s="6">
        <v>0.0</v>
      </c>
      <c r="AS180" s="6">
        <v>0.0</v>
      </c>
      <c r="AT180" s="6">
        <f t="shared" ref="AT180:AV180" si="1561">+AN180+AQ180+AH180+AK180</f>
        <v>0</v>
      </c>
      <c r="AU180" s="6">
        <f t="shared" si="1561"/>
        <v>0</v>
      </c>
      <c r="AV180" s="6">
        <f t="shared" si="1561"/>
        <v>0</v>
      </c>
      <c r="AW180" s="6">
        <v>0.0</v>
      </c>
      <c r="AX180" s="6">
        <v>0.0</v>
      </c>
      <c r="AY180" s="6">
        <v>0.0</v>
      </c>
      <c r="AZ180" s="6">
        <v>0.0</v>
      </c>
      <c r="BA180" s="6">
        <v>0.0</v>
      </c>
      <c r="BB180" s="6">
        <v>0.0</v>
      </c>
      <c r="BC180" s="6">
        <v>0.0</v>
      </c>
      <c r="BD180" s="6">
        <v>0.0</v>
      </c>
      <c r="BE180" s="6">
        <v>0.0</v>
      </c>
      <c r="BF180" s="6">
        <v>0.0</v>
      </c>
      <c r="BG180" s="6">
        <v>0.0</v>
      </c>
      <c r="BH180" s="6">
        <v>0.0</v>
      </c>
      <c r="BI180" s="6">
        <f t="shared" ref="BI180:BK180" si="1562">+BC180+BF180+AW180+AZ180</f>
        <v>0</v>
      </c>
      <c r="BJ180" s="6">
        <f t="shared" si="1562"/>
        <v>0</v>
      </c>
      <c r="BK180" s="6">
        <f t="shared" si="1562"/>
        <v>0</v>
      </c>
      <c r="BL180" s="6">
        <v>0.0</v>
      </c>
      <c r="BM180" s="6">
        <v>0.0</v>
      </c>
      <c r="BN180" s="6">
        <v>0.0</v>
      </c>
      <c r="BO180" s="6">
        <v>0.0</v>
      </c>
      <c r="BP180" s="6">
        <v>0.0</v>
      </c>
      <c r="BQ180" s="6">
        <v>0.0</v>
      </c>
      <c r="BR180" s="6">
        <v>0.0</v>
      </c>
      <c r="BS180" s="6">
        <v>0.0</v>
      </c>
      <c r="BT180" s="6">
        <v>0.0</v>
      </c>
      <c r="BU180" s="6" t="str">
        <f t="shared" ref="BU180:BW180" si="1563">+BO180+BR180+#REF!+BL180</f>
        <v>#REF!</v>
      </c>
      <c r="BV180" s="6" t="str">
        <f t="shared" si="1563"/>
        <v>#REF!</v>
      </c>
      <c r="BW180" s="6" t="str">
        <f t="shared" si="1563"/>
        <v>#REF!</v>
      </c>
      <c r="BX180" s="6">
        <v>0.0</v>
      </c>
      <c r="BY180" s="6">
        <v>0.0</v>
      </c>
      <c r="BZ180" s="6">
        <v>0.0</v>
      </c>
      <c r="CA180" s="6">
        <v>0.0</v>
      </c>
      <c r="CB180" s="6">
        <v>0.0</v>
      </c>
      <c r="CC180" s="6">
        <v>0.0</v>
      </c>
      <c r="CD180" s="5">
        <v>1600000.0</v>
      </c>
      <c r="CE180" s="5">
        <v>135253.0</v>
      </c>
      <c r="CF180" s="6">
        <v>0.0</v>
      </c>
      <c r="CG180" s="6" t="str">
        <f t="shared" ref="CG180:CI180" si="1564">+CA180+CD180+BX180+#REF!</f>
        <v>#REF!</v>
      </c>
      <c r="CH180" s="6" t="str">
        <f t="shared" si="1564"/>
        <v>#REF!</v>
      </c>
      <c r="CI180" s="6" t="str">
        <f t="shared" si="1564"/>
        <v>#REF!</v>
      </c>
      <c r="CJ180" s="6">
        <v>0.0</v>
      </c>
      <c r="CK180" s="6">
        <v>0.0</v>
      </c>
      <c r="CL180" s="6">
        <v>135253.0</v>
      </c>
      <c r="CM180" s="6">
        <v>0.0</v>
      </c>
      <c r="CN180" s="6">
        <v>0.0</v>
      </c>
      <c r="CO180" s="6">
        <v>0.0</v>
      </c>
      <c r="CP180" s="6">
        <v>0.0</v>
      </c>
      <c r="CQ180" s="6">
        <v>0.0</v>
      </c>
      <c r="CR180" s="6">
        <v>0.0</v>
      </c>
      <c r="CS180" s="6">
        <v>0.0</v>
      </c>
      <c r="CT180" s="6">
        <v>0.0</v>
      </c>
      <c r="CU180" s="6">
        <v>0.0</v>
      </c>
      <c r="CV180" s="6">
        <f t="shared" ref="CV180:CX180" si="1565">+CP180+CS180+CJ180+CM180</f>
        <v>0</v>
      </c>
      <c r="CW180" s="6">
        <f t="shared" si="1565"/>
        <v>0</v>
      </c>
      <c r="CX180" s="6">
        <f t="shared" si="1565"/>
        <v>135253</v>
      </c>
      <c r="CY180" s="6">
        <v>0.0</v>
      </c>
      <c r="CZ180" s="6">
        <v>0.0</v>
      </c>
      <c r="DA180" s="6">
        <v>135253.0</v>
      </c>
      <c r="DB180" s="6">
        <v>0.0</v>
      </c>
      <c r="DC180" s="6">
        <v>0.0</v>
      </c>
      <c r="DD180" s="6">
        <v>0.0</v>
      </c>
      <c r="DE180" s="6">
        <v>0.0</v>
      </c>
      <c r="DF180" s="6">
        <v>0.0</v>
      </c>
      <c r="DG180" s="6">
        <v>0.0</v>
      </c>
      <c r="DH180" s="6">
        <v>0.0</v>
      </c>
      <c r="DI180" s="6">
        <v>0.0</v>
      </c>
      <c r="DJ180" s="6">
        <v>0.0</v>
      </c>
      <c r="DK180" s="6">
        <f t="shared" ref="DK180:DM180" si="1566">+DE180+DH180+CY180+DB180</f>
        <v>0</v>
      </c>
      <c r="DL180" s="6">
        <f t="shared" si="1566"/>
        <v>0</v>
      </c>
      <c r="DM180" s="6">
        <f t="shared" si="1566"/>
        <v>135253</v>
      </c>
      <c r="DN180" s="6" t="str">
        <f t="shared" ref="DN180:DP180" si="1567">+P180+AE180+AT180+BI180+BU180+CG180+CV180</f>
        <v>#REF!</v>
      </c>
      <c r="DO180" s="6" t="str">
        <f t="shared" si="1567"/>
        <v>#REF!</v>
      </c>
      <c r="DP180" s="6" t="str">
        <f t="shared" si="1567"/>
        <v>#REF!</v>
      </c>
      <c r="DQ180" s="6" t="str">
        <f t="shared" si="19"/>
        <v>#REF!</v>
      </c>
    </row>
    <row r="181" ht="13.5" customHeight="1">
      <c r="A181" s="11">
        <v>45992.0</v>
      </c>
      <c r="B181" s="2" t="s">
        <v>702</v>
      </c>
      <c r="C181" s="2" t="s">
        <v>698</v>
      </c>
      <c r="D181" s="29" t="s">
        <v>699</v>
      </c>
      <c r="E181" s="2" t="s">
        <v>700</v>
      </c>
      <c r="F181" s="11" t="s">
        <v>701</v>
      </c>
      <c r="G181" s="11" t="s">
        <v>22</v>
      </c>
      <c r="H181" s="5"/>
      <c r="I181" s="5">
        <v>600000.0</v>
      </c>
      <c r="J181" s="6">
        <v>0.0</v>
      </c>
      <c r="K181" s="6">
        <v>0.0</v>
      </c>
      <c r="L181" s="6">
        <v>0.0</v>
      </c>
      <c r="M181" s="6">
        <v>0.0</v>
      </c>
      <c r="N181" s="6">
        <v>0.0</v>
      </c>
      <c r="O181" s="6">
        <v>0.0</v>
      </c>
      <c r="P181" s="6">
        <f t="shared" ref="P181:R181" si="1568">+J181+M181</f>
        <v>0</v>
      </c>
      <c r="Q181" s="6">
        <f t="shared" si="1568"/>
        <v>0</v>
      </c>
      <c r="R181" s="6">
        <f t="shared" si="1568"/>
        <v>0</v>
      </c>
      <c r="S181" s="6">
        <v>0.0</v>
      </c>
      <c r="T181" s="6">
        <v>0.0</v>
      </c>
      <c r="U181" s="6">
        <v>0.0</v>
      </c>
      <c r="V181" s="6">
        <v>0.0</v>
      </c>
      <c r="W181" s="6">
        <v>0.0</v>
      </c>
      <c r="X181" s="6">
        <v>0.0</v>
      </c>
      <c r="Y181" s="6">
        <v>0.0</v>
      </c>
      <c r="Z181" s="6">
        <v>0.0</v>
      </c>
      <c r="AA181" s="6">
        <v>0.0</v>
      </c>
      <c r="AB181" s="6">
        <v>0.0</v>
      </c>
      <c r="AC181" s="6">
        <v>0.0</v>
      </c>
      <c r="AD181" s="6">
        <v>0.0</v>
      </c>
      <c r="AE181" s="6">
        <f t="shared" ref="AE181:AG181" si="1569">+Y181+AB181+S181+V181</f>
        <v>0</v>
      </c>
      <c r="AF181" s="6">
        <f t="shared" si="1569"/>
        <v>0</v>
      </c>
      <c r="AG181" s="6">
        <f t="shared" si="1569"/>
        <v>0</v>
      </c>
      <c r="AH181" s="6">
        <v>0.0</v>
      </c>
      <c r="AI181" s="6">
        <v>0.0</v>
      </c>
      <c r="AJ181" s="6">
        <v>0.0</v>
      </c>
      <c r="AK181" s="6">
        <v>0.0</v>
      </c>
      <c r="AL181" s="6">
        <v>0.0</v>
      </c>
      <c r="AM181" s="6">
        <v>0.0</v>
      </c>
      <c r="AN181" s="6">
        <v>0.0</v>
      </c>
      <c r="AO181" s="6">
        <v>0.0</v>
      </c>
      <c r="AP181" s="6">
        <v>0.0</v>
      </c>
      <c r="AQ181" s="6">
        <v>0.0</v>
      </c>
      <c r="AR181" s="6">
        <v>0.0</v>
      </c>
      <c r="AS181" s="6">
        <v>0.0</v>
      </c>
      <c r="AT181" s="6">
        <f t="shared" ref="AT181:AV181" si="1570">+AN181+AQ181+AH181+AK181</f>
        <v>0</v>
      </c>
      <c r="AU181" s="6">
        <f t="shared" si="1570"/>
        <v>0</v>
      </c>
      <c r="AV181" s="6">
        <f t="shared" si="1570"/>
        <v>0</v>
      </c>
      <c r="AW181" s="6">
        <v>0.0</v>
      </c>
      <c r="AX181" s="6">
        <v>0.0</v>
      </c>
      <c r="AY181" s="6">
        <v>0.0</v>
      </c>
      <c r="AZ181" s="6">
        <v>0.0</v>
      </c>
      <c r="BA181" s="6">
        <v>0.0</v>
      </c>
      <c r="BB181" s="6">
        <v>0.0</v>
      </c>
      <c r="BC181" s="6">
        <v>0.0</v>
      </c>
      <c r="BD181" s="6">
        <v>0.0</v>
      </c>
      <c r="BE181" s="6">
        <v>0.0</v>
      </c>
      <c r="BF181" s="6">
        <v>0.0</v>
      </c>
      <c r="BG181" s="6">
        <v>0.0</v>
      </c>
      <c r="BH181" s="6">
        <v>0.0</v>
      </c>
      <c r="BI181" s="6">
        <f t="shared" ref="BI181:BK181" si="1571">+BC181+BF181+AW181+AZ181</f>
        <v>0</v>
      </c>
      <c r="BJ181" s="6">
        <f t="shared" si="1571"/>
        <v>0</v>
      </c>
      <c r="BK181" s="6">
        <f t="shared" si="1571"/>
        <v>0</v>
      </c>
      <c r="BL181" s="6">
        <v>0.0</v>
      </c>
      <c r="BM181" s="6">
        <v>0.0</v>
      </c>
      <c r="BN181" s="6">
        <v>0.0</v>
      </c>
      <c r="BO181" s="6">
        <v>0.0</v>
      </c>
      <c r="BP181" s="6">
        <v>0.0</v>
      </c>
      <c r="BQ181" s="6">
        <v>0.0</v>
      </c>
      <c r="BR181" s="6">
        <v>0.0</v>
      </c>
      <c r="BS181" s="6">
        <v>0.0</v>
      </c>
      <c r="BT181" s="6">
        <v>0.0</v>
      </c>
      <c r="BU181" s="6" t="str">
        <f t="shared" ref="BU181:BW181" si="1572">+BO181+BR181+#REF!+BL181</f>
        <v>#REF!</v>
      </c>
      <c r="BV181" s="6" t="str">
        <f t="shared" si="1572"/>
        <v>#REF!</v>
      </c>
      <c r="BW181" s="6" t="str">
        <f t="shared" si="1572"/>
        <v>#REF!</v>
      </c>
      <c r="BX181" s="6">
        <v>0.0</v>
      </c>
      <c r="BY181" s="6">
        <v>0.0</v>
      </c>
      <c r="BZ181" s="6">
        <v>0.0</v>
      </c>
      <c r="CA181" s="6">
        <v>0.0</v>
      </c>
      <c r="CB181" s="6">
        <v>0.0</v>
      </c>
      <c r="CC181" s="6">
        <v>0.0</v>
      </c>
      <c r="CD181" s="5">
        <v>0.0</v>
      </c>
      <c r="CE181" s="5">
        <v>600000.0</v>
      </c>
      <c r="CF181" s="6">
        <v>0.0</v>
      </c>
      <c r="CG181" s="6" t="str">
        <f t="shared" ref="CG181:CI181" si="1573">+CA181+CD181+BX181+#REF!</f>
        <v>#REF!</v>
      </c>
      <c r="CH181" s="6" t="str">
        <f t="shared" si="1573"/>
        <v>#REF!</v>
      </c>
      <c r="CI181" s="6" t="str">
        <f t="shared" si="1573"/>
        <v>#REF!</v>
      </c>
      <c r="CJ181" s="6">
        <v>0.0</v>
      </c>
      <c r="CK181" s="6">
        <v>0.0</v>
      </c>
      <c r="CL181" s="6">
        <v>0.0</v>
      </c>
      <c r="CM181" s="6">
        <v>0.0</v>
      </c>
      <c r="CN181" s="6">
        <v>0.0</v>
      </c>
      <c r="CO181" s="6">
        <v>600000.0</v>
      </c>
      <c r="CP181" s="6">
        <v>0.0</v>
      </c>
      <c r="CQ181" s="6">
        <v>0.0</v>
      </c>
      <c r="CR181" s="6">
        <v>0.0</v>
      </c>
      <c r="CS181" s="6">
        <v>0.0</v>
      </c>
      <c r="CT181" s="6">
        <v>0.0</v>
      </c>
      <c r="CU181" s="6">
        <v>0.0</v>
      </c>
      <c r="CV181" s="6">
        <f t="shared" ref="CV181:CX181" si="1574">+CP181+CS181+CJ181+CM181</f>
        <v>0</v>
      </c>
      <c r="CW181" s="6">
        <f t="shared" si="1574"/>
        <v>0</v>
      </c>
      <c r="CX181" s="6">
        <f t="shared" si="1574"/>
        <v>600000</v>
      </c>
      <c r="CY181" s="6">
        <v>0.0</v>
      </c>
      <c r="CZ181" s="6">
        <v>0.0</v>
      </c>
      <c r="DA181" s="6">
        <v>0.0</v>
      </c>
      <c r="DB181" s="6">
        <v>0.0</v>
      </c>
      <c r="DC181" s="6">
        <v>0.0</v>
      </c>
      <c r="DD181" s="6">
        <v>600000.0</v>
      </c>
      <c r="DE181" s="6">
        <v>0.0</v>
      </c>
      <c r="DF181" s="6">
        <v>0.0</v>
      </c>
      <c r="DG181" s="6">
        <v>0.0</v>
      </c>
      <c r="DH181" s="6">
        <v>0.0</v>
      </c>
      <c r="DI181" s="6">
        <v>0.0</v>
      </c>
      <c r="DJ181" s="6">
        <v>0.0</v>
      </c>
      <c r="DK181" s="6">
        <f t="shared" ref="DK181:DM181" si="1575">+DE181+DH181+CY181+DB181</f>
        <v>0</v>
      </c>
      <c r="DL181" s="6">
        <f t="shared" si="1575"/>
        <v>0</v>
      </c>
      <c r="DM181" s="6">
        <f t="shared" si="1575"/>
        <v>600000</v>
      </c>
      <c r="DN181" s="6" t="str">
        <f t="shared" ref="DN181:DP181" si="1576">+P181+AE181+AT181+BI181+BU181+CG181+CV181</f>
        <v>#REF!</v>
      </c>
      <c r="DO181" s="6" t="str">
        <f t="shared" si="1576"/>
        <v>#REF!</v>
      </c>
      <c r="DP181" s="6" t="str">
        <f t="shared" si="1576"/>
        <v>#REF!</v>
      </c>
      <c r="DQ181" s="6" t="str">
        <f t="shared" si="19"/>
        <v>#REF!</v>
      </c>
    </row>
    <row r="182" ht="13.5" customHeight="1">
      <c r="A182" s="11">
        <v>45916.0</v>
      </c>
      <c r="B182" s="2" t="s">
        <v>703</v>
      </c>
      <c r="C182" s="2" t="s">
        <v>704</v>
      </c>
      <c r="D182" s="29" t="s">
        <v>705</v>
      </c>
      <c r="E182" s="2" t="s">
        <v>706</v>
      </c>
      <c r="F182" s="11" t="s">
        <v>707</v>
      </c>
      <c r="G182" s="11" t="s">
        <v>22</v>
      </c>
      <c r="H182" s="5">
        <v>1780616.24</v>
      </c>
      <c r="I182" s="5">
        <v>1780616.24</v>
      </c>
      <c r="J182" s="6">
        <v>0.0</v>
      </c>
      <c r="K182" s="6">
        <v>0.0</v>
      </c>
      <c r="L182" s="6">
        <v>0.0</v>
      </c>
      <c r="M182" s="6">
        <v>0.0</v>
      </c>
      <c r="N182" s="6">
        <v>0.0</v>
      </c>
      <c r="O182" s="6">
        <v>0.0</v>
      </c>
      <c r="P182" s="6">
        <f t="shared" ref="P182:R182" si="1577">+J182+M182</f>
        <v>0</v>
      </c>
      <c r="Q182" s="6">
        <f t="shared" si="1577"/>
        <v>0</v>
      </c>
      <c r="R182" s="6">
        <f t="shared" si="1577"/>
        <v>0</v>
      </c>
      <c r="S182" s="6">
        <v>0.0</v>
      </c>
      <c r="T182" s="6">
        <v>0.0</v>
      </c>
      <c r="U182" s="6">
        <v>0.0</v>
      </c>
      <c r="V182" s="6">
        <v>0.0</v>
      </c>
      <c r="W182" s="6">
        <v>0.0</v>
      </c>
      <c r="X182" s="6">
        <v>0.0</v>
      </c>
      <c r="Y182" s="6">
        <v>0.0</v>
      </c>
      <c r="Z182" s="6">
        <v>0.0</v>
      </c>
      <c r="AA182" s="6">
        <v>0.0</v>
      </c>
      <c r="AB182" s="6">
        <v>0.0</v>
      </c>
      <c r="AC182" s="6">
        <v>0.0</v>
      </c>
      <c r="AD182" s="6">
        <v>0.0</v>
      </c>
      <c r="AE182" s="6">
        <f t="shared" ref="AE182:AG182" si="1578">+Y182+AB182+S182+V182</f>
        <v>0</v>
      </c>
      <c r="AF182" s="6">
        <f t="shared" si="1578"/>
        <v>0</v>
      </c>
      <c r="AG182" s="6">
        <f t="shared" si="1578"/>
        <v>0</v>
      </c>
      <c r="AH182" s="6">
        <v>0.0</v>
      </c>
      <c r="AI182" s="6">
        <v>0.0</v>
      </c>
      <c r="AJ182" s="6">
        <v>0.0</v>
      </c>
      <c r="AK182" s="6">
        <v>0.0</v>
      </c>
      <c r="AL182" s="6">
        <v>0.0</v>
      </c>
      <c r="AM182" s="6">
        <v>0.0</v>
      </c>
      <c r="AN182" s="6">
        <v>0.0</v>
      </c>
      <c r="AO182" s="6">
        <v>0.0</v>
      </c>
      <c r="AP182" s="6">
        <v>0.0</v>
      </c>
      <c r="AQ182" s="6">
        <v>0.0</v>
      </c>
      <c r="AR182" s="6">
        <v>0.0</v>
      </c>
      <c r="AS182" s="6">
        <v>0.0</v>
      </c>
      <c r="AT182" s="6">
        <f t="shared" ref="AT182:AV182" si="1579">+AN182+AQ182+AH182+AK182</f>
        <v>0</v>
      </c>
      <c r="AU182" s="6">
        <f t="shared" si="1579"/>
        <v>0</v>
      </c>
      <c r="AV182" s="6">
        <f t="shared" si="1579"/>
        <v>0</v>
      </c>
      <c r="AW182" s="6">
        <v>0.0</v>
      </c>
      <c r="AX182" s="6">
        <v>0.0</v>
      </c>
      <c r="AY182" s="6">
        <v>0.0</v>
      </c>
      <c r="AZ182" s="6">
        <v>0.0</v>
      </c>
      <c r="BA182" s="6">
        <v>0.0</v>
      </c>
      <c r="BB182" s="6">
        <v>0.0</v>
      </c>
      <c r="BC182" s="6">
        <v>0.0</v>
      </c>
      <c r="BD182" s="6">
        <v>0.0</v>
      </c>
      <c r="BE182" s="6">
        <v>0.0</v>
      </c>
      <c r="BF182" s="6">
        <v>0.0</v>
      </c>
      <c r="BG182" s="6">
        <v>0.0</v>
      </c>
      <c r="BH182" s="6">
        <v>0.0</v>
      </c>
      <c r="BI182" s="6">
        <f t="shared" ref="BI182:BK182" si="1580">+BC182+BF182+AW182+AZ182</f>
        <v>0</v>
      </c>
      <c r="BJ182" s="6">
        <f t="shared" si="1580"/>
        <v>0</v>
      </c>
      <c r="BK182" s="6">
        <f t="shared" si="1580"/>
        <v>0</v>
      </c>
      <c r="BL182" s="6">
        <v>0.0</v>
      </c>
      <c r="BM182" s="6">
        <v>0.0</v>
      </c>
      <c r="BN182" s="6">
        <v>0.0</v>
      </c>
      <c r="BO182" s="6">
        <v>0.0</v>
      </c>
      <c r="BP182" s="6">
        <v>0.0</v>
      </c>
      <c r="BQ182" s="6">
        <v>0.0</v>
      </c>
      <c r="BR182" s="6">
        <v>0.0</v>
      </c>
      <c r="BS182" s="6">
        <v>0.0</v>
      </c>
      <c r="BT182" s="6">
        <v>0.0</v>
      </c>
      <c r="BU182" s="6" t="str">
        <f t="shared" ref="BU182:BW182" si="1581">+BO182+BR182+#REF!+BL182</f>
        <v>#REF!</v>
      </c>
      <c r="BV182" s="6" t="str">
        <f t="shared" si="1581"/>
        <v>#REF!</v>
      </c>
      <c r="BW182" s="6" t="str">
        <f t="shared" si="1581"/>
        <v>#REF!</v>
      </c>
      <c r="BX182" s="6">
        <v>0.0</v>
      </c>
      <c r="BY182" s="6">
        <v>0.0</v>
      </c>
      <c r="BZ182" s="6">
        <v>0.0</v>
      </c>
      <c r="CA182" s="6">
        <v>0.0</v>
      </c>
      <c r="CB182" s="6">
        <v>0.0</v>
      </c>
      <c r="CC182" s="6">
        <v>0.0</v>
      </c>
      <c r="CD182" s="5">
        <v>1780616.24</v>
      </c>
      <c r="CE182" s="5">
        <v>1780616.24</v>
      </c>
      <c r="CF182" s="6">
        <v>0.0</v>
      </c>
      <c r="CG182" s="6" t="str">
        <f t="shared" ref="CG182:CI182" si="1582">+CA182+CD182+BX182+#REF!</f>
        <v>#REF!</v>
      </c>
      <c r="CH182" s="6" t="str">
        <f t="shared" si="1582"/>
        <v>#REF!</v>
      </c>
      <c r="CI182" s="6" t="str">
        <f t="shared" si="1582"/>
        <v>#REF!</v>
      </c>
      <c r="CJ182" s="6">
        <v>0.0</v>
      </c>
      <c r="CK182" s="6">
        <v>0.0</v>
      </c>
      <c r="CL182" s="6">
        <v>1500000.0</v>
      </c>
      <c r="CM182" s="6">
        <v>0.0</v>
      </c>
      <c r="CN182" s="6">
        <v>0.0</v>
      </c>
      <c r="CO182" s="6">
        <v>280616.24</v>
      </c>
      <c r="CP182" s="6">
        <v>0.0</v>
      </c>
      <c r="CQ182" s="6">
        <v>0.0</v>
      </c>
      <c r="CR182" s="6">
        <v>0.0</v>
      </c>
      <c r="CS182" s="6">
        <v>0.0</v>
      </c>
      <c r="CT182" s="6">
        <v>0.0</v>
      </c>
      <c r="CU182" s="6">
        <v>0.0</v>
      </c>
      <c r="CV182" s="6">
        <f t="shared" ref="CV182:CX182" si="1583">+CP182+CS182+CJ182+CM182</f>
        <v>0</v>
      </c>
      <c r="CW182" s="6">
        <f t="shared" si="1583"/>
        <v>0</v>
      </c>
      <c r="CX182" s="6">
        <f t="shared" si="1583"/>
        <v>1780616.24</v>
      </c>
      <c r="CY182" s="6">
        <v>0.0</v>
      </c>
      <c r="CZ182" s="6">
        <v>0.0</v>
      </c>
      <c r="DA182" s="6">
        <v>1500000.0</v>
      </c>
      <c r="DB182" s="6">
        <v>0.0</v>
      </c>
      <c r="DC182" s="6">
        <v>0.0</v>
      </c>
      <c r="DD182" s="6">
        <v>280616.24</v>
      </c>
      <c r="DE182" s="6">
        <v>0.0</v>
      </c>
      <c r="DF182" s="6">
        <v>0.0</v>
      </c>
      <c r="DG182" s="6">
        <v>0.0</v>
      </c>
      <c r="DH182" s="6">
        <v>0.0</v>
      </c>
      <c r="DI182" s="6">
        <v>0.0</v>
      </c>
      <c r="DJ182" s="6">
        <v>0.0</v>
      </c>
      <c r="DK182" s="6">
        <f t="shared" ref="DK182:DM182" si="1584">+DE182+DH182+CY182+DB182</f>
        <v>0</v>
      </c>
      <c r="DL182" s="6">
        <f t="shared" si="1584"/>
        <v>0</v>
      </c>
      <c r="DM182" s="6">
        <f t="shared" si="1584"/>
        <v>1780616.24</v>
      </c>
      <c r="DN182" s="6" t="str">
        <f t="shared" ref="DN182:DP182" si="1585">+P182+AE182+AT182+BI182+BU182+CG182+CV182</f>
        <v>#REF!</v>
      </c>
      <c r="DO182" s="6" t="str">
        <f t="shared" si="1585"/>
        <v>#REF!</v>
      </c>
      <c r="DP182" s="6" t="str">
        <f t="shared" si="1585"/>
        <v>#REF!</v>
      </c>
      <c r="DQ182" s="6" t="str">
        <f t="shared" si="19"/>
        <v>#REF!</v>
      </c>
    </row>
    <row r="183" ht="13.5" customHeight="1">
      <c r="A183" s="11">
        <v>45916.0</v>
      </c>
      <c r="B183" s="2" t="s">
        <v>703</v>
      </c>
      <c r="C183" s="2" t="s">
        <v>704</v>
      </c>
      <c r="D183" s="29" t="s">
        <v>705</v>
      </c>
      <c r="E183" s="2" t="s">
        <v>706</v>
      </c>
      <c r="F183" s="11" t="s">
        <v>707</v>
      </c>
      <c r="G183" s="11" t="s">
        <v>22</v>
      </c>
      <c r="H183" s="5">
        <v>2194233.76</v>
      </c>
      <c r="I183" s="5">
        <v>2194233.76</v>
      </c>
      <c r="J183" s="6">
        <v>0.0</v>
      </c>
      <c r="K183" s="6">
        <v>0.0</v>
      </c>
      <c r="L183" s="6">
        <v>0.0</v>
      </c>
      <c r="M183" s="6">
        <v>0.0</v>
      </c>
      <c r="N183" s="6">
        <v>0.0</v>
      </c>
      <c r="O183" s="6">
        <v>0.0</v>
      </c>
      <c r="P183" s="6">
        <f t="shared" ref="P183:R183" si="1586">+J183+M183</f>
        <v>0</v>
      </c>
      <c r="Q183" s="6">
        <f t="shared" si="1586"/>
        <v>0</v>
      </c>
      <c r="R183" s="6">
        <f t="shared" si="1586"/>
        <v>0</v>
      </c>
      <c r="S183" s="6">
        <v>0.0</v>
      </c>
      <c r="T183" s="6">
        <v>0.0</v>
      </c>
      <c r="U183" s="6">
        <v>0.0</v>
      </c>
      <c r="V183" s="6">
        <v>0.0</v>
      </c>
      <c r="W183" s="6">
        <v>0.0</v>
      </c>
      <c r="X183" s="6">
        <v>0.0</v>
      </c>
      <c r="Y183" s="6">
        <v>0.0</v>
      </c>
      <c r="Z183" s="6">
        <v>0.0</v>
      </c>
      <c r="AA183" s="6">
        <v>0.0</v>
      </c>
      <c r="AB183" s="6">
        <v>0.0</v>
      </c>
      <c r="AC183" s="6">
        <v>0.0</v>
      </c>
      <c r="AD183" s="6">
        <v>0.0</v>
      </c>
      <c r="AE183" s="6">
        <f t="shared" ref="AE183:AG183" si="1587">+Y183+AB183+S183+V183</f>
        <v>0</v>
      </c>
      <c r="AF183" s="6">
        <f t="shared" si="1587"/>
        <v>0</v>
      </c>
      <c r="AG183" s="6">
        <f t="shared" si="1587"/>
        <v>0</v>
      </c>
      <c r="AH183" s="6">
        <v>0.0</v>
      </c>
      <c r="AI183" s="6">
        <v>0.0</v>
      </c>
      <c r="AJ183" s="6">
        <v>0.0</v>
      </c>
      <c r="AK183" s="6">
        <v>0.0</v>
      </c>
      <c r="AL183" s="6">
        <v>0.0</v>
      </c>
      <c r="AM183" s="6">
        <v>0.0</v>
      </c>
      <c r="AN183" s="6">
        <v>0.0</v>
      </c>
      <c r="AO183" s="6">
        <v>0.0</v>
      </c>
      <c r="AP183" s="6">
        <v>0.0</v>
      </c>
      <c r="AQ183" s="6">
        <v>0.0</v>
      </c>
      <c r="AR183" s="6">
        <v>0.0</v>
      </c>
      <c r="AS183" s="6">
        <v>0.0</v>
      </c>
      <c r="AT183" s="6">
        <f t="shared" ref="AT183:AV183" si="1588">+AN183+AQ183+AH183+AK183</f>
        <v>0</v>
      </c>
      <c r="AU183" s="6">
        <f t="shared" si="1588"/>
        <v>0</v>
      </c>
      <c r="AV183" s="6">
        <f t="shared" si="1588"/>
        <v>0</v>
      </c>
      <c r="AW183" s="6">
        <v>0.0</v>
      </c>
      <c r="AX183" s="6">
        <v>0.0</v>
      </c>
      <c r="AY183" s="6">
        <v>0.0</v>
      </c>
      <c r="AZ183" s="6">
        <v>0.0</v>
      </c>
      <c r="BA183" s="6">
        <v>0.0</v>
      </c>
      <c r="BB183" s="6">
        <v>0.0</v>
      </c>
      <c r="BC183" s="6">
        <v>0.0</v>
      </c>
      <c r="BD183" s="6">
        <v>0.0</v>
      </c>
      <c r="BE183" s="6">
        <v>0.0</v>
      </c>
      <c r="BF183" s="6">
        <v>0.0</v>
      </c>
      <c r="BG183" s="6">
        <v>0.0</v>
      </c>
      <c r="BH183" s="6">
        <v>0.0</v>
      </c>
      <c r="BI183" s="6">
        <f t="shared" ref="BI183:BK183" si="1589">+BC183+BF183+AW183+AZ183</f>
        <v>0</v>
      </c>
      <c r="BJ183" s="6">
        <f t="shared" si="1589"/>
        <v>0</v>
      </c>
      <c r="BK183" s="6">
        <f t="shared" si="1589"/>
        <v>0</v>
      </c>
      <c r="BL183" s="6">
        <v>0.0</v>
      </c>
      <c r="BM183" s="6">
        <v>0.0</v>
      </c>
      <c r="BN183" s="6">
        <v>0.0</v>
      </c>
      <c r="BO183" s="6">
        <v>0.0</v>
      </c>
      <c r="BP183" s="6">
        <v>0.0</v>
      </c>
      <c r="BQ183" s="6">
        <v>0.0</v>
      </c>
      <c r="BR183" s="6">
        <v>0.0</v>
      </c>
      <c r="BS183" s="6">
        <v>0.0</v>
      </c>
      <c r="BT183" s="6">
        <v>0.0</v>
      </c>
      <c r="BU183" s="6" t="str">
        <f t="shared" ref="BU183:BW183" si="1590">+BO183+BR183+#REF!+BL183</f>
        <v>#REF!</v>
      </c>
      <c r="BV183" s="6" t="str">
        <f t="shared" si="1590"/>
        <v>#REF!</v>
      </c>
      <c r="BW183" s="6" t="str">
        <f t="shared" si="1590"/>
        <v>#REF!</v>
      </c>
      <c r="BX183" s="6">
        <v>0.0</v>
      </c>
      <c r="BY183" s="6">
        <v>0.0</v>
      </c>
      <c r="BZ183" s="6">
        <v>0.0</v>
      </c>
      <c r="CA183" s="6">
        <v>0.0</v>
      </c>
      <c r="CB183" s="6">
        <v>0.0</v>
      </c>
      <c r="CC183" s="6">
        <v>0.0</v>
      </c>
      <c r="CD183" s="5">
        <v>2194233.76</v>
      </c>
      <c r="CE183" s="5">
        <v>2194233.76</v>
      </c>
      <c r="CF183" s="6">
        <v>0.0</v>
      </c>
      <c r="CG183" s="6" t="str">
        <f t="shared" ref="CG183:CI183" si="1591">+CA183+CD183+BX183+#REF!</f>
        <v>#REF!</v>
      </c>
      <c r="CH183" s="6" t="str">
        <f t="shared" si="1591"/>
        <v>#REF!</v>
      </c>
      <c r="CI183" s="6" t="str">
        <f t="shared" si="1591"/>
        <v>#REF!</v>
      </c>
      <c r="CJ183" s="6">
        <v>0.0</v>
      </c>
      <c r="CK183" s="6">
        <v>0.0</v>
      </c>
      <c r="CL183" s="6">
        <v>0.0</v>
      </c>
      <c r="CM183" s="6">
        <v>0.0</v>
      </c>
      <c r="CN183" s="6">
        <v>0.0</v>
      </c>
      <c r="CO183" s="6">
        <v>600000.0</v>
      </c>
      <c r="CP183" s="6">
        <v>0.0</v>
      </c>
      <c r="CQ183" s="6">
        <v>0.0</v>
      </c>
      <c r="CR183" s="6">
        <v>0.0</v>
      </c>
      <c r="CS183" s="6">
        <v>0.0</v>
      </c>
      <c r="CT183" s="6">
        <v>0.0</v>
      </c>
      <c r="CU183" s="6">
        <v>0.0</v>
      </c>
      <c r="CV183" s="6">
        <f t="shared" ref="CV183:CX183" si="1592">+CP183+CS183+CJ183+CM183</f>
        <v>0</v>
      </c>
      <c r="CW183" s="6">
        <f t="shared" si="1592"/>
        <v>0</v>
      </c>
      <c r="CX183" s="6">
        <f t="shared" si="1592"/>
        <v>600000</v>
      </c>
      <c r="CY183" s="6">
        <v>0.0</v>
      </c>
      <c r="CZ183" s="6">
        <v>0.0</v>
      </c>
      <c r="DA183" s="6">
        <v>0.0</v>
      </c>
      <c r="DB183" s="6">
        <v>0.0</v>
      </c>
      <c r="DC183" s="6">
        <v>0.0</v>
      </c>
      <c r="DD183" s="6">
        <v>600000.0</v>
      </c>
      <c r="DE183" s="6">
        <v>0.0</v>
      </c>
      <c r="DF183" s="6">
        <v>0.0</v>
      </c>
      <c r="DG183" s="6">
        <v>0.0</v>
      </c>
      <c r="DH183" s="6">
        <v>0.0</v>
      </c>
      <c r="DI183" s="6">
        <v>0.0</v>
      </c>
      <c r="DJ183" s="6">
        <v>0.0</v>
      </c>
      <c r="DK183" s="6">
        <f t="shared" ref="DK183:DM183" si="1593">+DE183+DH183+CY183+DB183</f>
        <v>0</v>
      </c>
      <c r="DL183" s="6">
        <f t="shared" si="1593"/>
        <v>0</v>
      </c>
      <c r="DM183" s="6">
        <f t="shared" si="1593"/>
        <v>600000</v>
      </c>
      <c r="DN183" s="6" t="str">
        <f t="shared" ref="DN183:DP183" si="1594">+P183+AE183+AT183+BI183+BU183+CG183+CV183</f>
        <v>#REF!</v>
      </c>
      <c r="DO183" s="6" t="str">
        <f t="shared" si="1594"/>
        <v>#REF!</v>
      </c>
      <c r="DP183" s="6" t="str">
        <f t="shared" si="1594"/>
        <v>#REF!</v>
      </c>
      <c r="DQ183" s="6" t="str">
        <f t="shared" si="19"/>
        <v>#REF!</v>
      </c>
    </row>
    <row r="184" ht="13.5" customHeight="1">
      <c r="A184" s="11">
        <v>46003.0</v>
      </c>
      <c r="B184" s="2" t="s">
        <v>708</v>
      </c>
      <c r="C184" s="2" t="s">
        <v>709</v>
      </c>
      <c r="D184" s="29" t="s">
        <v>710</v>
      </c>
      <c r="E184" s="2" t="s">
        <v>711</v>
      </c>
      <c r="F184" s="11" t="s">
        <v>712</v>
      </c>
      <c r="G184" s="11" t="s">
        <v>23</v>
      </c>
      <c r="H184" s="5">
        <v>2805000.0</v>
      </c>
      <c r="I184" s="5">
        <v>2805000.0</v>
      </c>
      <c r="J184" s="6">
        <v>0.0</v>
      </c>
      <c r="K184" s="6">
        <v>0.0</v>
      </c>
      <c r="L184" s="6">
        <v>0.0</v>
      </c>
      <c r="M184" s="6">
        <v>0.0</v>
      </c>
      <c r="N184" s="6">
        <v>0.0</v>
      </c>
      <c r="O184" s="6">
        <v>0.0</v>
      </c>
      <c r="P184" s="6">
        <f t="shared" ref="P184:R184" si="1595">+J184+M184</f>
        <v>0</v>
      </c>
      <c r="Q184" s="6">
        <f t="shared" si="1595"/>
        <v>0</v>
      </c>
      <c r="R184" s="6">
        <f t="shared" si="1595"/>
        <v>0</v>
      </c>
      <c r="S184" s="6">
        <v>0.0</v>
      </c>
      <c r="T184" s="6">
        <v>0.0</v>
      </c>
      <c r="U184" s="6">
        <v>0.0</v>
      </c>
      <c r="V184" s="6">
        <v>0.0</v>
      </c>
      <c r="W184" s="6">
        <v>0.0</v>
      </c>
      <c r="X184" s="6">
        <v>0.0</v>
      </c>
      <c r="Y184" s="6">
        <v>0.0</v>
      </c>
      <c r="Z184" s="6">
        <v>0.0</v>
      </c>
      <c r="AA184" s="6">
        <v>0.0</v>
      </c>
      <c r="AB184" s="6">
        <v>0.0</v>
      </c>
      <c r="AC184" s="6">
        <v>0.0</v>
      </c>
      <c r="AD184" s="6">
        <v>0.0</v>
      </c>
      <c r="AE184" s="6">
        <f t="shared" ref="AE184:AG184" si="1596">+Y184+AB184+S184+V184</f>
        <v>0</v>
      </c>
      <c r="AF184" s="6">
        <f t="shared" si="1596"/>
        <v>0</v>
      </c>
      <c r="AG184" s="6">
        <f t="shared" si="1596"/>
        <v>0</v>
      </c>
      <c r="AH184" s="6">
        <v>0.0</v>
      </c>
      <c r="AI184" s="6">
        <v>0.0</v>
      </c>
      <c r="AJ184" s="6">
        <v>0.0</v>
      </c>
      <c r="AK184" s="6">
        <v>0.0</v>
      </c>
      <c r="AL184" s="6">
        <v>0.0</v>
      </c>
      <c r="AM184" s="6">
        <v>0.0</v>
      </c>
      <c r="AN184" s="6">
        <v>0.0</v>
      </c>
      <c r="AO184" s="6">
        <v>0.0</v>
      </c>
      <c r="AP184" s="6">
        <v>0.0</v>
      </c>
      <c r="AQ184" s="6">
        <v>0.0</v>
      </c>
      <c r="AR184" s="6">
        <v>0.0</v>
      </c>
      <c r="AS184" s="6">
        <v>0.0</v>
      </c>
      <c r="AT184" s="6">
        <f t="shared" ref="AT184:AV184" si="1597">+AN184+AQ184+AH184+AK184</f>
        <v>0</v>
      </c>
      <c r="AU184" s="6">
        <f t="shared" si="1597"/>
        <v>0</v>
      </c>
      <c r="AV184" s="6">
        <f t="shared" si="1597"/>
        <v>0</v>
      </c>
      <c r="AW184" s="6">
        <v>0.0</v>
      </c>
      <c r="AX184" s="6">
        <v>0.0</v>
      </c>
      <c r="AY184" s="6">
        <v>0.0</v>
      </c>
      <c r="AZ184" s="6">
        <v>0.0</v>
      </c>
      <c r="BA184" s="6">
        <v>0.0</v>
      </c>
      <c r="BB184" s="6">
        <v>0.0</v>
      </c>
      <c r="BC184" s="6">
        <v>0.0</v>
      </c>
      <c r="BD184" s="6">
        <v>0.0</v>
      </c>
      <c r="BE184" s="6">
        <v>0.0</v>
      </c>
      <c r="BF184" s="6">
        <v>0.0</v>
      </c>
      <c r="BG184" s="6">
        <v>0.0</v>
      </c>
      <c r="BH184" s="6">
        <v>0.0</v>
      </c>
      <c r="BI184" s="6">
        <f t="shared" ref="BI184:BK184" si="1598">+BC184+BF184+AW184+AZ184</f>
        <v>0</v>
      </c>
      <c r="BJ184" s="6">
        <f t="shared" si="1598"/>
        <v>0</v>
      </c>
      <c r="BK184" s="6">
        <f t="shared" si="1598"/>
        <v>0</v>
      </c>
      <c r="BL184" s="6">
        <v>0.0</v>
      </c>
      <c r="BM184" s="6">
        <v>0.0</v>
      </c>
      <c r="BN184" s="6">
        <v>0.0</v>
      </c>
      <c r="BO184" s="6">
        <v>0.0</v>
      </c>
      <c r="BP184" s="6">
        <v>0.0</v>
      </c>
      <c r="BQ184" s="6">
        <v>0.0</v>
      </c>
      <c r="BR184" s="6">
        <v>0.0</v>
      </c>
      <c r="BS184" s="6">
        <v>0.0</v>
      </c>
      <c r="BT184" s="6">
        <v>0.0</v>
      </c>
      <c r="BU184" s="6" t="str">
        <f t="shared" ref="BU184:BW184" si="1599">+BO184+BR184+#REF!+BL184</f>
        <v>#REF!</v>
      </c>
      <c r="BV184" s="6" t="str">
        <f t="shared" si="1599"/>
        <v>#REF!</v>
      </c>
      <c r="BW184" s="6" t="str">
        <f t="shared" si="1599"/>
        <v>#REF!</v>
      </c>
      <c r="BX184" s="6">
        <v>0.0</v>
      </c>
      <c r="BY184" s="6">
        <v>0.0</v>
      </c>
      <c r="BZ184" s="6">
        <v>0.0</v>
      </c>
      <c r="CA184" s="6">
        <v>0.0</v>
      </c>
      <c r="CB184" s="6">
        <v>0.0</v>
      </c>
      <c r="CC184" s="6">
        <v>0.0</v>
      </c>
      <c r="CD184" s="6">
        <v>0.0</v>
      </c>
      <c r="CE184" s="6">
        <v>0.0</v>
      </c>
      <c r="CF184" s="6">
        <v>0.0</v>
      </c>
      <c r="CG184" s="6" t="str">
        <f t="shared" ref="CG184:CI184" si="1600">+CA184+CD184+BX184+#REF!</f>
        <v>#REF!</v>
      </c>
      <c r="CH184" s="6" t="str">
        <f t="shared" si="1600"/>
        <v>#REF!</v>
      </c>
      <c r="CI184" s="6" t="str">
        <f t="shared" si="1600"/>
        <v>#REF!</v>
      </c>
      <c r="CJ184" s="6">
        <v>0.0</v>
      </c>
      <c r="CK184" s="6">
        <v>0.0</v>
      </c>
      <c r="CL184" s="6">
        <v>0.0</v>
      </c>
      <c r="CM184" s="6">
        <v>0.0</v>
      </c>
      <c r="CN184" s="6">
        <v>0.0</v>
      </c>
      <c r="CO184" s="6">
        <v>0.0</v>
      </c>
      <c r="CP184" s="6">
        <v>0.0</v>
      </c>
      <c r="CQ184" s="6">
        <v>0.0</v>
      </c>
      <c r="CR184" s="6">
        <v>0.0</v>
      </c>
      <c r="CS184" s="6">
        <v>0.0</v>
      </c>
      <c r="CT184" s="6">
        <v>0.0</v>
      </c>
      <c r="CU184" s="6">
        <v>0.0</v>
      </c>
      <c r="CV184" s="6">
        <f t="shared" ref="CV184:CX184" si="1601">+CP184+CS184+CJ184+CM184</f>
        <v>0</v>
      </c>
      <c r="CW184" s="6">
        <f t="shared" si="1601"/>
        <v>0</v>
      </c>
      <c r="CX184" s="6">
        <f t="shared" si="1601"/>
        <v>0</v>
      </c>
      <c r="CY184" s="6">
        <v>0.0</v>
      </c>
      <c r="CZ184" s="6">
        <v>0.0</v>
      </c>
      <c r="DA184" s="6">
        <v>0.0</v>
      </c>
      <c r="DB184" s="6">
        <v>0.0</v>
      </c>
      <c r="DC184" s="6">
        <v>0.0</v>
      </c>
      <c r="DD184" s="6">
        <v>0.0</v>
      </c>
      <c r="DE184" s="6">
        <v>0.0</v>
      </c>
      <c r="DF184" s="6">
        <v>0.0</v>
      </c>
      <c r="DG184" s="6">
        <v>0.0</v>
      </c>
      <c r="DH184" s="6">
        <v>0.0</v>
      </c>
      <c r="DI184" s="6">
        <v>0.0</v>
      </c>
      <c r="DJ184" s="6">
        <v>0.0</v>
      </c>
      <c r="DK184" s="6">
        <f t="shared" ref="DK184:DM184" si="1602">+DE184+DH184+CY184+DB184</f>
        <v>0</v>
      </c>
      <c r="DL184" s="6">
        <f t="shared" si="1602"/>
        <v>0</v>
      </c>
      <c r="DM184" s="6">
        <f t="shared" si="1602"/>
        <v>0</v>
      </c>
      <c r="DN184" s="6" t="str">
        <f t="shared" ref="DN184:DP184" si="1603">+P184+AE184+AT184+BI184+BU184+CG184+CV184</f>
        <v>#REF!</v>
      </c>
      <c r="DO184" s="6" t="str">
        <f t="shared" si="1603"/>
        <v>#REF!</v>
      </c>
      <c r="DP184" s="6" t="str">
        <f t="shared" si="1603"/>
        <v>#REF!</v>
      </c>
      <c r="DQ184" s="6" t="str">
        <f t="shared" si="19"/>
        <v>#REF!</v>
      </c>
    </row>
    <row r="185" ht="13.5" customHeight="1">
      <c r="A185" s="11">
        <v>45924.0</v>
      </c>
      <c r="B185" s="2" t="s">
        <v>713</v>
      </c>
      <c r="C185" s="2" t="s">
        <v>714</v>
      </c>
      <c r="D185" s="29" t="s">
        <v>715</v>
      </c>
      <c r="E185" s="2" t="s">
        <v>716</v>
      </c>
      <c r="F185" s="11" t="s">
        <v>717</v>
      </c>
      <c r="G185" s="11" t="s">
        <v>23</v>
      </c>
      <c r="H185" s="5">
        <v>1664288.27</v>
      </c>
      <c r="I185" s="5">
        <v>1664288.27</v>
      </c>
      <c r="J185" s="6">
        <v>0.0</v>
      </c>
      <c r="K185" s="6">
        <v>0.0</v>
      </c>
      <c r="L185" s="6">
        <v>0.0</v>
      </c>
      <c r="M185" s="6">
        <v>0.0</v>
      </c>
      <c r="N185" s="6">
        <v>0.0</v>
      </c>
      <c r="O185" s="6">
        <v>0.0</v>
      </c>
      <c r="P185" s="6">
        <f t="shared" ref="P185:R185" si="1604">+J185+M185</f>
        <v>0</v>
      </c>
      <c r="Q185" s="6">
        <f t="shared" si="1604"/>
        <v>0</v>
      </c>
      <c r="R185" s="6">
        <f t="shared" si="1604"/>
        <v>0</v>
      </c>
      <c r="S185" s="6">
        <v>0.0</v>
      </c>
      <c r="T185" s="6">
        <v>0.0</v>
      </c>
      <c r="U185" s="6">
        <v>0.0</v>
      </c>
      <c r="V185" s="6">
        <v>0.0</v>
      </c>
      <c r="W185" s="6">
        <v>0.0</v>
      </c>
      <c r="X185" s="6">
        <v>0.0</v>
      </c>
      <c r="Y185" s="6">
        <v>0.0</v>
      </c>
      <c r="Z185" s="6">
        <v>0.0</v>
      </c>
      <c r="AA185" s="6">
        <v>0.0</v>
      </c>
      <c r="AB185" s="6">
        <v>0.0</v>
      </c>
      <c r="AC185" s="6">
        <v>0.0</v>
      </c>
      <c r="AD185" s="6">
        <v>0.0</v>
      </c>
      <c r="AE185" s="6">
        <f t="shared" ref="AE185:AG185" si="1605">+Y185+AB185+S185+V185</f>
        <v>0</v>
      </c>
      <c r="AF185" s="6">
        <f t="shared" si="1605"/>
        <v>0</v>
      </c>
      <c r="AG185" s="6">
        <f t="shared" si="1605"/>
        <v>0</v>
      </c>
      <c r="AH185" s="6">
        <v>0.0</v>
      </c>
      <c r="AI185" s="6">
        <v>0.0</v>
      </c>
      <c r="AJ185" s="6">
        <v>0.0</v>
      </c>
      <c r="AK185" s="6">
        <v>0.0</v>
      </c>
      <c r="AL185" s="6">
        <v>0.0</v>
      </c>
      <c r="AM185" s="6">
        <v>0.0</v>
      </c>
      <c r="AN185" s="6">
        <v>0.0</v>
      </c>
      <c r="AO185" s="6">
        <v>0.0</v>
      </c>
      <c r="AP185" s="6">
        <v>0.0</v>
      </c>
      <c r="AQ185" s="6">
        <v>0.0</v>
      </c>
      <c r="AR185" s="6">
        <v>0.0</v>
      </c>
      <c r="AS185" s="6">
        <v>0.0</v>
      </c>
      <c r="AT185" s="6">
        <f t="shared" ref="AT185:AV185" si="1606">+AN185+AQ185+AH185+AK185</f>
        <v>0</v>
      </c>
      <c r="AU185" s="6">
        <f t="shared" si="1606"/>
        <v>0</v>
      </c>
      <c r="AV185" s="6">
        <f t="shared" si="1606"/>
        <v>0</v>
      </c>
      <c r="AW185" s="6">
        <v>0.0</v>
      </c>
      <c r="AX185" s="6">
        <v>0.0</v>
      </c>
      <c r="AY185" s="6">
        <v>0.0</v>
      </c>
      <c r="AZ185" s="6">
        <v>0.0</v>
      </c>
      <c r="BA185" s="6">
        <v>0.0</v>
      </c>
      <c r="BB185" s="6">
        <v>0.0</v>
      </c>
      <c r="BC185" s="6">
        <v>0.0</v>
      </c>
      <c r="BD185" s="6">
        <v>0.0</v>
      </c>
      <c r="BE185" s="6">
        <v>0.0</v>
      </c>
      <c r="BF185" s="6">
        <v>0.0</v>
      </c>
      <c r="BG185" s="6">
        <v>0.0</v>
      </c>
      <c r="BH185" s="6">
        <v>0.0</v>
      </c>
      <c r="BI185" s="6">
        <f t="shared" ref="BI185:BK185" si="1607">+BC185+BF185+AW185+AZ185</f>
        <v>0</v>
      </c>
      <c r="BJ185" s="6">
        <f t="shared" si="1607"/>
        <v>0</v>
      </c>
      <c r="BK185" s="6">
        <f t="shared" si="1607"/>
        <v>0</v>
      </c>
      <c r="BL185" s="6">
        <v>0.0</v>
      </c>
      <c r="BM185" s="6">
        <v>0.0</v>
      </c>
      <c r="BN185" s="6">
        <v>0.0</v>
      </c>
      <c r="BO185" s="6">
        <v>0.0</v>
      </c>
      <c r="BP185" s="6">
        <v>0.0</v>
      </c>
      <c r="BQ185" s="6">
        <v>0.0</v>
      </c>
      <c r="BR185" s="6">
        <v>0.0</v>
      </c>
      <c r="BS185" s="6">
        <v>0.0</v>
      </c>
      <c r="BT185" s="6">
        <v>0.0</v>
      </c>
      <c r="BU185" s="6" t="str">
        <f t="shared" ref="BU185:BW185" si="1608">+BO185+BR185+#REF!+BL185</f>
        <v>#REF!</v>
      </c>
      <c r="BV185" s="6" t="str">
        <f t="shared" si="1608"/>
        <v>#REF!</v>
      </c>
      <c r="BW185" s="6" t="str">
        <f t="shared" si="1608"/>
        <v>#REF!</v>
      </c>
      <c r="BX185" s="6">
        <v>0.0</v>
      </c>
      <c r="BY185" s="6">
        <v>0.0</v>
      </c>
      <c r="BZ185" s="6">
        <v>0.0</v>
      </c>
      <c r="CA185" s="6">
        <v>0.0</v>
      </c>
      <c r="CB185" s="6">
        <v>0.0</v>
      </c>
      <c r="CC185" s="6">
        <v>0.0</v>
      </c>
      <c r="CD185" s="6">
        <v>0.0</v>
      </c>
      <c r="CE185" s="6">
        <v>0.0</v>
      </c>
      <c r="CF185" s="6">
        <v>0.0</v>
      </c>
      <c r="CG185" s="6" t="str">
        <f t="shared" ref="CG185:CI185" si="1609">+CA185+CD185+BX185+#REF!</f>
        <v>#REF!</v>
      </c>
      <c r="CH185" s="6" t="str">
        <f t="shared" si="1609"/>
        <v>#REF!</v>
      </c>
      <c r="CI185" s="6" t="str">
        <f t="shared" si="1609"/>
        <v>#REF!</v>
      </c>
      <c r="CJ185" s="6">
        <v>0.0</v>
      </c>
      <c r="CK185" s="6">
        <v>0.0</v>
      </c>
      <c r="CL185" s="6">
        <v>0.0</v>
      </c>
      <c r="CM185" s="6">
        <v>0.0</v>
      </c>
      <c r="CN185" s="6">
        <v>0.0</v>
      </c>
      <c r="CO185" s="6">
        <v>300000.0</v>
      </c>
      <c r="CP185" s="6">
        <v>0.0</v>
      </c>
      <c r="CQ185" s="6">
        <v>0.0</v>
      </c>
      <c r="CR185" s="6">
        <v>0.0</v>
      </c>
      <c r="CS185" s="6">
        <v>0.0</v>
      </c>
      <c r="CT185" s="6">
        <v>0.0</v>
      </c>
      <c r="CU185" s="6">
        <v>0.0</v>
      </c>
      <c r="CV185" s="6">
        <f t="shared" ref="CV185:CX185" si="1610">+CP185+CS185+CJ185+CM185</f>
        <v>0</v>
      </c>
      <c r="CW185" s="6">
        <f t="shared" si="1610"/>
        <v>0</v>
      </c>
      <c r="CX185" s="6">
        <f t="shared" si="1610"/>
        <v>300000</v>
      </c>
      <c r="CY185" s="6">
        <v>0.0</v>
      </c>
      <c r="CZ185" s="6">
        <v>0.0</v>
      </c>
      <c r="DA185" s="6">
        <v>0.0</v>
      </c>
      <c r="DB185" s="6">
        <v>0.0</v>
      </c>
      <c r="DC185" s="6">
        <v>0.0</v>
      </c>
      <c r="DD185" s="6">
        <v>300000.0</v>
      </c>
      <c r="DE185" s="6">
        <v>0.0</v>
      </c>
      <c r="DF185" s="6">
        <v>0.0</v>
      </c>
      <c r="DG185" s="6">
        <v>0.0</v>
      </c>
      <c r="DH185" s="6">
        <v>0.0</v>
      </c>
      <c r="DI185" s="6">
        <v>0.0</v>
      </c>
      <c r="DJ185" s="6">
        <v>0.0</v>
      </c>
      <c r="DK185" s="6">
        <f t="shared" ref="DK185:DM185" si="1611">+DE185+DH185+CY185+DB185</f>
        <v>0</v>
      </c>
      <c r="DL185" s="6">
        <f t="shared" si="1611"/>
        <v>0</v>
      </c>
      <c r="DM185" s="6">
        <f t="shared" si="1611"/>
        <v>300000</v>
      </c>
      <c r="DN185" s="6" t="str">
        <f t="shared" ref="DN185:DP185" si="1612">+P185+AE185+AT185+BI185+BU185+CG185+CV185</f>
        <v>#REF!</v>
      </c>
      <c r="DO185" s="6" t="str">
        <f t="shared" si="1612"/>
        <v>#REF!</v>
      </c>
      <c r="DP185" s="6" t="str">
        <f t="shared" si="1612"/>
        <v>#REF!</v>
      </c>
      <c r="DQ185" s="6" t="str">
        <f t="shared" si="19"/>
        <v>#REF!</v>
      </c>
    </row>
    <row r="186" ht="13.5" customHeight="1">
      <c r="A186" s="11">
        <v>45924.0</v>
      </c>
      <c r="B186" s="2" t="s">
        <v>713</v>
      </c>
      <c r="C186" s="2" t="s">
        <v>714</v>
      </c>
      <c r="D186" s="29" t="s">
        <v>715</v>
      </c>
      <c r="E186" s="2" t="s">
        <v>716</v>
      </c>
      <c r="F186" s="11" t="s">
        <v>717</v>
      </c>
      <c r="G186" s="11" t="s">
        <v>23</v>
      </c>
      <c r="H186" s="5">
        <v>65046.88</v>
      </c>
      <c r="I186" s="5">
        <v>65046.88</v>
      </c>
      <c r="J186" s="6">
        <v>0.0</v>
      </c>
      <c r="K186" s="6">
        <v>0.0</v>
      </c>
      <c r="L186" s="6">
        <v>0.0</v>
      </c>
      <c r="M186" s="6">
        <v>0.0</v>
      </c>
      <c r="N186" s="6">
        <v>0.0</v>
      </c>
      <c r="O186" s="6">
        <v>0.0</v>
      </c>
      <c r="P186" s="6">
        <f t="shared" ref="P186:R186" si="1613">+J186+M186</f>
        <v>0</v>
      </c>
      <c r="Q186" s="6">
        <f t="shared" si="1613"/>
        <v>0</v>
      </c>
      <c r="R186" s="6">
        <f t="shared" si="1613"/>
        <v>0</v>
      </c>
      <c r="S186" s="6">
        <v>0.0</v>
      </c>
      <c r="T186" s="6">
        <v>0.0</v>
      </c>
      <c r="U186" s="6">
        <v>0.0</v>
      </c>
      <c r="V186" s="6">
        <v>0.0</v>
      </c>
      <c r="W186" s="6">
        <v>0.0</v>
      </c>
      <c r="X186" s="6">
        <v>0.0</v>
      </c>
      <c r="Y186" s="6">
        <v>0.0</v>
      </c>
      <c r="Z186" s="6">
        <v>0.0</v>
      </c>
      <c r="AA186" s="6">
        <v>0.0</v>
      </c>
      <c r="AB186" s="6">
        <v>0.0</v>
      </c>
      <c r="AC186" s="6">
        <v>0.0</v>
      </c>
      <c r="AD186" s="6">
        <v>0.0</v>
      </c>
      <c r="AE186" s="6">
        <f t="shared" ref="AE186:AG186" si="1614">+Y186+AB186+S186+V186</f>
        <v>0</v>
      </c>
      <c r="AF186" s="6">
        <f t="shared" si="1614"/>
        <v>0</v>
      </c>
      <c r="AG186" s="6">
        <f t="shared" si="1614"/>
        <v>0</v>
      </c>
      <c r="AH186" s="6">
        <v>0.0</v>
      </c>
      <c r="AI186" s="6">
        <v>0.0</v>
      </c>
      <c r="AJ186" s="6">
        <v>0.0</v>
      </c>
      <c r="AK186" s="6">
        <v>0.0</v>
      </c>
      <c r="AL186" s="6">
        <v>0.0</v>
      </c>
      <c r="AM186" s="6">
        <v>0.0</v>
      </c>
      <c r="AN186" s="6">
        <v>0.0</v>
      </c>
      <c r="AO186" s="6">
        <v>0.0</v>
      </c>
      <c r="AP186" s="6">
        <v>0.0</v>
      </c>
      <c r="AQ186" s="6">
        <v>0.0</v>
      </c>
      <c r="AR186" s="6">
        <v>0.0</v>
      </c>
      <c r="AS186" s="6">
        <v>0.0</v>
      </c>
      <c r="AT186" s="6">
        <f t="shared" ref="AT186:AV186" si="1615">+AN186+AQ186+AH186+AK186</f>
        <v>0</v>
      </c>
      <c r="AU186" s="6">
        <f t="shared" si="1615"/>
        <v>0</v>
      </c>
      <c r="AV186" s="6">
        <f t="shared" si="1615"/>
        <v>0</v>
      </c>
      <c r="AW186" s="6">
        <v>0.0</v>
      </c>
      <c r="AX186" s="6">
        <v>0.0</v>
      </c>
      <c r="AY186" s="6">
        <v>0.0</v>
      </c>
      <c r="AZ186" s="6">
        <v>0.0</v>
      </c>
      <c r="BA186" s="6">
        <v>0.0</v>
      </c>
      <c r="BB186" s="6">
        <v>0.0</v>
      </c>
      <c r="BC186" s="6">
        <v>0.0</v>
      </c>
      <c r="BD186" s="6">
        <v>0.0</v>
      </c>
      <c r="BE186" s="6">
        <v>0.0</v>
      </c>
      <c r="BF186" s="6">
        <v>0.0</v>
      </c>
      <c r="BG186" s="6">
        <v>0.0</v>
      </c>
      <c r="BH186" s="6">
        <v>0.0</v>
      </c>
      <c r="BI186" s="6">
        <f t="shared" ref="BI186:BK186" si="1616">+BC186+BF186+AW186+AZ186</f>
        <v>0</v>
      </c>
      <c r="BJ186" s="6">
        <f t="shared" si="1616"/>
        <v>0</v>
      </c>
      <c r="BK186" s="6">
        <f t="shared" si="1616"/>
        <v>0</v>
      </c>
      <c r="BL186" s="6">
        <v>0.0</v>
      </c>
      <c r="BM186" s="6">
        <v>0.0</v>
      </c>
      <c r="BN186" s="6">
        <v>0.0</v>
      </c>
      <c r="BO186" s="6">
        <v>0.0</v>
      </c>
      <c r="BP186" s="6">
        <v>0.0</v>
      </c>
      <c r="BQ186" s="6">
        <v>0.0</v>
      </c>
      <c r="BR186" s="6">
        <v>0.0</v>
      </c>
      <c r="BS186" s="6">
        <v>0.0</v>
      </c>
      <c r="BT186" s="6">
        <v>0.0</v>
      </c>
      <c r="BU186" s="6" t="str">
        <f t="shared" ref="BU186:BW186" si="1617">+BO186+BR186+#REF!+BL186</f>
        <v>#REF!</v>
      </c>
      <c r="BV186" s="6" t="str">
        <f t="shared" si="1617"/>
        <v>#REF!</v>
      </c>
      <c r="BW186" s="6" t="str">
        <f t="shared" si="1617"/>
        <v>#REF!</v>
      </c>
      <c r="BX186" s="6">
        <v>0.0</v>
      </c>
      <c r="BY186" s="6">
        <v>0.0</v>
      </c>
      <c r="BZ186" s="6">
        <v>0.0</v>
      </c>
      <c r="CA186" s="6">
        <v>0.0</v>
      </c>
      <c r="CB186" s="6">
        <v>0.0</v>
      </c>
      <c r="CC186" s="6">
        <v>0.0</v>
      </c>
      <c r="CD186" s="6">
        <v>0.0</v>
      </c>
      <c r="CE186" s="6">
        <v>0.0</v>
      </c>
      <c r="CF186" s="6">
        <v>0.0</v>
      </c>
      <c r="CG186" s="6" t="str">
        <f t="shared" ref="CG186:CI186" si="1618">+CA186+CD186+BX186+#REF!</f>
        <v>#REF!</v>
      </c>
      <c r="CH186" s="6" t="str">
        <f t="shared" si="1618"/>
        <v>#REF!</v>
      </c>
      <c r="CI186" s="6" t="str">
        <f t="shared" si="1618"/>
        <v>#REF!</v>
      </c>
      <c r="CJ186" s="6">
        <v>0.0</v>
      </c>
      <c r="CK186" s="6">
        <v>0.0</v>
      </c>
      <c r="CL186" s="6">
        <v>0.0</v>
      </c>
      <c r="CM186" s="6">
        <v>0.0</v>
      </c>
      <c r="CN186" s="6">
        <v>0.0</v>
      </c>
      <c r="CO186" s="6">
        <v>0.0</v>
      </c>
      <c r="CP186" s="6">
        <v>0.0</v>
      </c>
      <c r="CQ186" s="6">
        <v>0.0</v>
      </c>
      <c r="CR186" s="6">
        <v>0.0</v>
      </c>
      <c r="CS186" s="6">
        <v>0.0</v>
      </c>
      <c r="CT186" s="6">
        <v>0.0</v>
      </c>
      <c r="CU186" s="6">
        <v>0.0</v>
      </c>
      <c r="CV186" s="6">
        <f t="shared" ref="CV186:CX186" si="1619">+CP186+CS186+CJ186+CM186</f>
        <v>0</v>
      </c>
      <c r="CW186" s="6">
        <f t="shared" si="1619"/>
        <v>0</v>
      </c>
      <c r="CX186" s="6">
        <f t="shared" si="1619"/>
        <v>0</v>
      </c>
      <c r="CY186" s="6">
        <v>0.0</v>
      </c>
      <c r="CZ186" s="6">
        <v>0.0</v>
      </c>
      <c r="DA186" s="6">
        <v>0.0</v>
      </c>
      <c r="DB186" s="6">
        <v>0.0</v>
      </c>
      <c r="DC186" s="6">
        <v>0.0</v>
      </c>
      <c r="DD186" s="6">
        <v>0.0</v>
      </c>
      <c r="DE186" s="6">
        <v>0.0</v>
      </c>
      <c r="DF186" s="6">
        <v>0.0</v>
      </c>
      <c r="DG186" s="6">
        <v>0.0</v>
      </c>
      <c r="DH186" s="6">
        <v>0.0</v>
      </c>
      <c r="DI186" s="6">
        <v>0.0</v>
      </c>
      <c r="DJ186" s="6">
        <v>0.0</v>
      </c>
      <c r="DK186" s="6">
        <f t="shared" ref="DK186:DM186" si="1620">+DE186+DH186+CY186+DB186</f>
        <v>0</v>
      </c>
      <c r="DL186" s="6">
        <f t="shared" si="1620"/>
        <v>0</v>
      </c>
      <c r="DM186" s="6">
        <f t="shared" si="1620"/>
        <v>0</v>
      </c>
      <c r="DN186" s="6" t="str">
        <f t="shared" ref="DN186:DP186" si="1621">+P186+AE186+AT186+BI186+BU186+CG186+CV186</f>
        <v>#REF!</v>
      </c>
      <c r="DO186" s="6" t="str">
        <f t="shared" si="1621"/>
        <v>#REF!</v>
      </c>
      <c r="DP186" s="6" t="str">
        <f t="shared" si="1621"/>
        <v>#REF!</v>
      </c>
      <c r="DQ186" s="6" t="str">
        <f t="shared" si="19"/>
        <v>#REF!</v>
      </c>
    </row>
    <row r="187" ht="13.5" customHeight="1">
      <c r="A187" s="11">
        <v>46029.0</v>
      </c>
      <c r="B187" s="2" t="s">
        <v>718</v>
      </c>
      <c r="C187" s="2" t="s">
        <v>719</v>
      </c>
      <c r="D187" s="29" t="s">
        <v>720</v>
      </c>
      <c r="E187" s="2" t="s">
        <v>721</v>
      </c>
      <c r="F187" s="11" t="s">
        <v>722</v>
      </c>
      <c r="G187" s="11" t="s">
        <v>24</v>
      </c>
      <c r="H187" s="5">
        <v>822150.0</v>
      </c>
      <c r="I187" s="5">
        <v>822150.0</v>
      </c>
      <c r="J187" s="6">
        <v>0.0</v>
      </c>
      <c r="K187" s="6">
        <v>0.0</v>
      </c>
      <c r="L187" s="6">
        <v>0.0</v>
      </c>
      <c r="M187" s="6">
        <v>0.0</v>
      </c>
      <c r="N187" s="6">
        <v>0.0</v>
      </c>
      <c r="O187" s="6">
        <v>0.0</v>
      </c>
      <c r="P187" s="6">
        <f t="shared" ref="P187:R187" si="1622">+J187+M187</f>
        <v>0</v>
      </c>
      <c r="Q187" s="6">
        <f t="shared" si="1622"/>
        <v>0</v>
      </c>
      <c r="R187" s="6">
        <f t="shared" si="1622"/>
        <v>0</v>
      </c>
      <c r="S187" s="6">
        <v>0.0</v>
      </c>
      <c r="T187" s="6">
        <v>0.0</v>
      </c>
      <c r="U187" s="6">
        <v>0.0</v>
      </c>
      <c r="V187" s="6">
        <v>0.0</v>
      </c>
      <c r="W187" s="6">
        <v>0.0</v>
      </c>
      <c r="X187" s="6">
        <v>0.0</v>
      </c>
      <c r="Y187" s="6">
        <v>0.0</v>
      </c>
      <c r="Z187" s="6">
        <v>0.0</v>
      </c>
      <c r="AA187" s="6">
        <v>0.0</v>
      </c>
      <c r="AB187" s="6">
        <v>0.0</v>
      </c>
      <c r="AC187" s="6">
        <v>0.0</v>
      </c>
      <c r="AD187" s="6">
        <v>0.0</v>
      </c>
      <c r="AE187" s="6">
        <f t="shared" ref="AE187:AG187" si="1623">+Y187+AB187+S187+V187</f>
        <v>0</v>
      </c>
      <c r="AF187" s="6">
        <f t="shared" si="1623"/>
        <v>0</v>
      </c>
      <c r="AG187" s="6">
        <f t="shared" si="1623"/>
        <v>0</v>
      </c>
      <c r="AH187" s="6">
        <v>0.0</v>
      </c>
      <c r="AI187" s="6">
        <v>0.0</v>
      </c>
      <c r="AJ187" s="6">
        <v>0.0</v>
      </c>
      <c r="AK187" s="6">
        <v>0.0</v>
      </c>
      <c r="AL187" s="6">
        <v>0.0</v>
      </c>
      <c r="AM187" s="6">
        <v>0.0</v>
      </c>
      <c r="AN187" s="6">
        <v>0.0</v>
      </c>
      <c r="AO187" s="6">
        <v>0.0</v>
      </c>
      <c r="AP187" s="6">
        <v>0.0</v>
      </c>
      <c r="AQ187" s="6">
        <v>0.0</v>
      </c>
      <c r="AR187" s="6">
        <v>0.0</v>
      </c>
      <c r="AS187" s="6">
        <v>0.0</v>
      </c>
      <c r="AT187" s="6">
        <f t="shared" ref="AT187:AV187" si="1624">+AN187+AQ187+AH187+AK187</f>
        <v>0</v>
      </c>
      <c r="AU187" s="6">
        <f t="shared" si="1624"/>
        <v>0</v>
      </c>
      <c r="AV187" s="6">
        <f t="shared" si="1624"/>
        <v>0</v>
      </c>
      <c r="AW187" s="6">
        <v>0.0</v>
      </c>
      <c r="AX187" s="6">
        <v>0.0</v>
      </c>
      <c r="AY187" s="6">
        <v>0.0</v>
      </c>
      <c r="AZ187" s="6">
        <v>0.0</v>
      </c>
      <c r="BA187" s="6">
        <v>0.0</v>
      </c>
      <c r="BB187" s="6">
        <v>0.0</v>
      </c>
      <c r="BC187" s="6">
        <v>0.0</v>
      </c>
      <c r="BD187" s="6">
        <v>0.0</v>
      </c>
      <c r="BE187" s="6">
        <v>0.0</v>
      </c>
      <c r="BF187" s="6">
        <v>0.0</v>
      </c>
      <c r="BG187" s="6">
        <v>0.0</v>
      </c>
      <c r="BH187" s="6">
        <v>0.0</v>
      </c>
      <c r="BI187" s="6">
        <f t="shared" ref="BI187:BK187" si="1625">+BC187+BF187+AW187+AZ187</f>
        <v>0</v>
      </c>
      <c r="BJ187" s="6">
        <f t="shared" si="1625"/>
        <v>0</v>
      </c>
      <c r="BK187" s="6">
        <f t="shared" si="1625"/>
        <v>0</v>
      </c>
      <c r="BL187" s="6">
        <v>0.0</v>
      </c>
      <c r="BM187" s="6">
        <v>0.0</v>
      </c>
      <c r="BN187" s="6">
        <v>0.0</v>
      </c>
      <c r="BO187" s="6">
        <v>0.0</v>
      </c>
      <c r="BP187" s="6">
        <v>0.0</v>
      </c>
      <c r="BQ187" s="6">
        <v>0.0</v>
      </c>
      <c r="BR187" s="6">
        <v>0.0</v>
      </c>
      <c r="BS187" s="6">
        <v>0.0</v>
      </c>
      <c r="BT187" s="6">
        <v>0.0</v>
      </c>
      <c r="BU187" s="6" t="str">
        <f t="shared" ref="BU187:BW187" si="1626">+BO187+BR187+#REF!+BL187</f>
        <v>#REF!</v>
      </c>
      <c r="BV187" s="6" t="str">
        <f t="shared" si="1626"/>
        <v>#REF!</v>
      </c>
      <c r="BW187" s="6" t="str">
        <f t="shared" si="1626"/>
        <v>#REF!</v>
      </c>
      <c r="BX187" s="6">
        <v>0.0</v>
      </c>
      <c r="BY187" s="6">
        <v>0.0</v>
      </c>
      <c r="BZ187" s="6">
        <v>0.0</v>
      </c>
      <c r="CA187" s="6">
        <v>0.0</v>
      </c>
      <c r="CB187" s="6">
        <v>0.0</v>
      </c>
      <c r="CC187" s="6">
        <v>0.0</v>
      </c>
      <c r="CD187" s="6">
        <v>0.0</v>
      </c>
      <c r="CE187" s="6">
        <v>0.0</v>
      </c>
      <c r="CF187" s="6">
        <v>0.0</v>
      </c>
      <c r="CG187" s="6" t="str">
        <f t="shared" ref="CG187:CI187" si="1627">+CA187+CD187+BX187+#REF!</f>
        <v>#REF!</v>
      </c>
      <c r="CH187" s="6" t="str">
        <f t="shared" si="1627"/>
        <v>#REF!</v>
      </c>
      <c r="CI187" s="6" t="str">
        <f t="shared" si="1627"/>
        <v>#REF!</v>
      </c>
      <c r="CJ187" s="6">
        <v>0.0</v>
      </c>
      <c r="CK187" s="6">
        <v>0.0</v>
      </c>
      <c r="CL187" s="6">
        <v>0.0</v>
      </c>
      <c r="CM187" s="6">
        <v>0.0</v>
      </c>
      <c r="CN187" s="6">
        <v>0.0</v>
      </c>
      <c r="CO187" s="6">
        <v>0.0</v>
      </c>
      <c r="CP187" s="6">
        <v>0.0</v>
      </c>
      <c r="CQ187" s="6">
        <v>0.0</v>
      </c>
      <c r="CR187" s="6">
        <v>0.0</v>
      </c>
      <c r="CS187" s="6">
        <v>0.0</v>
      </c>
      <c r="CT187" s="6">
        <v>0.0</v>
      </c>
      <c r="CU187" s="6">
        <v>0.0</v>
      </c>
      <c r="CV187" s="6">
        <f t="shared" ref="CV187:CX187" si="1628">+CP187+CS187+CJ187+CM187</f>
        <v>0</v>
      </c>
      <c r="CW187" s="6">
        <f t="shared" si="1628"/>
        <v>0</v>
      </c>
      <c r="CX187" s="6">
        <f t="shared" si="1628"/>
        <v>0</v>
      </c>
      <c r="CY187" s="6">
        <v>0.0</v>
      </c>
      <c r="CZ187" s="6">
        <v>0.0</v>
      </c>
      <c r="DA187" s="6">
        <v>0.0</v>
      </c>
      <c r="DB187" s="6">
        <v>0.0</v>
      </c>
      <c r="DC187" s="6">
        <v>0.0</v>
      </c>
      <c r="DD187" s="6">
        <v>0.0</v>
      </c>
      <c r="DE187" s="6">
        <v>0.0</v>
      </c>
      <c r="DF187" s="6">
        <v>0.0</v>
      </c>
      <c r="DG187" s="6">
        <v>0.0</v>
      </c>
      <c r="DH187" s="6">
        <v>0.0</v>
      </c>
      <c r="DI187" s="6">
        <v>0.0</v>
      </c>
      <c r="DJ187" s="6">
        <v>0.0</v>
      </c>
      <c r="DK187" s="6">
        <f t="shared" ref="DK187:DM187" si="1629">+DE187+DH187+CY187+DB187</f>
        <v>0</v>
      </c>
      <c r="DL187" s="6">
        <f t="shared" si="1629"/>
        <v>0</v>
      </c>
      <c r="DM187" s="6">
        <f t="shared" si="1629"/>
        <v>0</v>
      </c>
      <c r="DN187" s="6" t="str">
        <f t="shared" ref="DN187:DP187" si="1630">+P187+AE187+AT187+BI187+BU187+CG187+CV187</f>
        <v>#REF!</v>
      </c>
      <c r="DO187" s="6" t="str">
        <f t="shared" si="1630"/>
        <v>#REF!</v>
      </c>
      <c r="DP187" s="6" t="str">
        <f t="shared" si="1630"/>
        <v>#REF!</v>
      </c>
      <c r="DQ187" s="6" t="str">
        <f t="shared" si="19"/>
        <v>#REF!</v>
      </c>
    </row>
    <row r="188" ht="13.5" customHeight="1">
      <c r="A188" s="11">
        <v>46031.0</v>
      </c>
      <c r="B188" s="2" t="s">
        <v>723</v>
      </c>
      <c r="C188" s="2" t="s">
        <v>724</v>
      </c>
      <c r="D188" s="29" t="s">
        <v>725</v>
      </c>
      <c r="E188" s="2" t="s">
        <v>726</v>
      </c>
      <c r="F188" s="11" t="s">
        <v>727</v>
      </c>
      <c r="G188" s="11" t="s">
        <v>24</v>
      </c>
      <c r="H188" s="5">
        <v>1479870.0</v>
      </c>
      <c r="I188" s="5">
        <v>1479870.0</v>
      </c>
      <c r="J188" s="6">
        <v>0.0</v>
      </c>
      <c r="K188" s="6">
        <v>0.0</v>
      </c>
      <c r="L188" s="6">
        <v>0.0</v>
      </c>
      <c r="M188" s="6">
        <v>0.0</v>
      </c>
      <c r="N188" s="6">
        <v>0.0</v>
      </c>
      <c r="O188" s="6">
        <v>0.0</v>
      </c>
      <c r="P188" s="6">
        <f t="shared" ref="P188:R188" si="1631">+J188+M188</f>
        <v>0</v>
      </c>
      <c r="Q188" s="6">
        <f t="shared" si="1631"/>
        <v>0</v>
      </c>
      <c r="R188" s="6">
        <f t="shared" si="1631"/>
        <v>0</v>
      </c>
      <c r="S188" s="6">
        <v>0.0</v>
      </c>
      <c r="T188" s="6">
        <v>0.0</v>
      </c>
      <c r="U188" s="6">
        <v>0.0</v>
      </c>
      <c r="V188" s="6">
        <v>0.0</v>
      </c>
      <c r="W188" s="6">
        <v>0.0</v>
      </c>
      <c r="X188" s="6">
        <v>0.0</v>
      </c>
      <c r="Y188" s="6">
        <v>0.0</v>
      </c>
      <c r="Z188" s="6">
        <v>0.0</v>
      </c>
      <c r="AA188" s="6">
        <v>0.0</v>
      </c>
      <c r="AB188" s="6">
        <v>0.0</v>
      </c>
      <c r="AC188" s="6">
        <v>0.0</v>
      </c>
      <c r="AD188" s="6">
        <v>0.0</v>
      </c>
      <c r="AE188" s="6">
        <f t="shared" ref="AE188:AG188" si="1632">+Y188+AB188+S188+V188</f>
        <v>0</v>
      </c>
      <c r="AF188" s="6">
        <f t="shared" si="1632"/>
        <v>0</v>
      </c>
      <c r="AG188" s="6">
        <f t="shared" si="1632"/>
        <v>0</v>
      </c>
      <c r="AH188" s="6">
        <v>0.0</v>
      </c>
      <c r="AI188" s="6">
        <v>0.0</v>
      </c>
      <c r="AJ188" s="6">
        <v>0.0</v>
      </c>
      <c r="AK188" s="6">
        <v>0.0</v>
      </c>
      <c r="AL188" s="6">
        <v>0.0</v>
      </c>
      <c r="AM188" s="6">
        <v>0.0</v>
      </c>
      <c r="AN188" s="6">
        <v>0.0</v>
      </c>
      <c r="AO188" s="6">
        <v>0.0</v>
      </c>
      <c r="AP188" s="6">
        <v>0.0</v>
      </c>
      <c r="AQ188" s="6">
        <v>0.0</v>
      </c>
      <c r="AR188" s="6">
        <v>0.0</v>
      </c>
      <c r="AS188" s="6">
        <v>0.0</v>
      </c>
      <c r="AT188" s="6">
        <f t="shared" ref="AT188:AV188" si="1633">+AN188+AQ188+AH188+AK188</f>
        <v>0</v>
      </c>
      <c r="AU188" s="6">
        <f t="shared" si="1633"/>
        <v>0</v>
      </c>
      <c r="AV188" s="6">
        <f t="shared" si="1633"/>
        <v>0</v>
      </c>
      <c r="AW188" s="6">
        <v>0.0</v>
      </c>
      <c r="AX188" s="6">
        <v>0.0</v>
      </c>
      <c r="AY188" s="6">
        <v>0.0</v>
      </c>
      <c r="AZ188" s="6">
        <v>0.0</v>
      </c>
      <c r="BA188" s="6">
        <v>0.0</v>
      </c>
      <c r="BB188" s="6">
        <v>0.0</v>
      </c>
      <c r="BC188" s="6">
        <v>0.0</v>
      </c>
      <c r="BD188" s="6">
        <v>0.0</v>
      </c>
      <c r="BE188" s="6">
        <v>0.0</v>
      </c>
      <c r="BF188" s="6">
        <v>0.0</v>
      </c>
      <c r="BG188" s="6">
        <v>0.0</v>
      </c>
      <c r="BH188" s="6">
        <v>0.0</v>
      </c>
      <c r="BI188" s="6">
        <f t="shared" ref="BI188:BK188" si="1634">+BC188+BF188+AW188+AZ188</f>
        <v>0</v>
      </c>
      <c r="BJ188" s="6">
        <f t="shared" si="1634"/>
        <v>0</v>
      </c>
      <c r="BK188" s="6">
        <f t="shared" si="1634"/>
        <v>0</v>
      </c>
      <c r="BL188" s="6">
        <v>0.0</v>
      </c>
      <c r="BM188" s="6">
        <v>0.0</v>
      </c>
      <c r="BN188" s="6">
        <v>0.0</v>
      </c>
      <c r="BO188" s="6">
        <v>0.0</v>
      </c>
      <c r="BP188" s="6">
        <v>0.0</v>
      </c>
      <c r="BQ188" s="6">
        <v>0.0</v>
      </c>
      <c r="BR188" s="6">
        <v>0.0</v>
      </c>
      <c r="BS188" s="6">
        <v>0.0</v>
      </c>
      <c r="BT188" s="6">
        <v>0.0</v>
      </c>
      <c r="BU188" s="6" t="str">
        <f t="shared" ref="BU188:BW188" si="1635">+BO188+BR188+#REF!+BL188</f>
        <v>#REF!</v>
      </c>
      <c r="BV188" s="6" t="str">
        <f t="shared" si="1635"/>
        <v>#REF!</v>
      </c>
      <c r="BW188" s="6" t="str">
        <f t="shared" si="1635"/>
        <v>#REF!</v>
      </c>
      <c r="BX188" s="6">
        <v>0.0</v>
      </c>
      <c r="BY188" s="6">
        <v>0.0</v>
      </c>
      <c r="BZ188" s="6">
        <v>0.0</v>
      </c>
      <c r="CA188" s="6">
        <v>0.0</v>
      </c>
      <c r="CB188" s="6">
        <v>0.0</v>
      </c>
      <c r="CC188" s="6">
        <v>0.0</v>
      </c>
      <c r="CD188" s="6">
        <v>0.0</v>
      </c>
      <c r="CE188" s="6">
        <v>0.0</v>
      </c>
      <c r="CF188" s="6">
        <v>0.0</v>
      </c>
      <c r="CG188" s="6" t="str">
        <f t="shared" ref="CG188:CI188" si="1636">+CA188+CD188+BX188+#REF!</f>
        <v>#REF!</v>
      </c>
      <c r="CH188" s="6" t="str">
        <f t="shared" si="1636"/>
        <v>#REF!</v>
      </c>
      <c r="CI188" s="6" t="str">
        <f t="shared" si="1636"/>
        <v>#REF!</v>
      </c>
      <c r="CJ188" s="6">
        <v>0.0</v>
      </c>
      <c r="CK188" s="6">
        <v>0.0</v>
      </c>
      <c r="CL188" s="6">
        <v>0.0</v>
      </c>
      <c r="CM188" s="6">
        <v>0.0</v>
      </c>
      <c r="CN188" s="6">
        <v>0.0</v>
      </c>
      <c r="CO188" s="6">
        <v>0.0</v>
      </c>
      <c r="CP188" s="6">
        <v>0.0</v>
      </c>
      <c r="CQ188" s="6">
        <v>0.0</v>
      </c>
      <c r="CR188" s="6">
        <v>0.0</v>
      </c>
      <c r="CS188" s="6">
        <v>0.0</v>
      </c>
      <c r="CT188" s="6">
        <v>0.0</v>
      </c>
      <c r="CU188" s="6">
        <v>0.0</v>
      </c>
      <c r="CV188" s="6">
        <f t="shared" ref="CV188:CX188" si="1637">+CP188+CS188+CJ188+CM188</f>
        <v>0</v>
      </c>
      <c r="CW188" s="6">
        <f t="shared" si="1637"/>
        <v>0</v>
      </c>
      <c r="CX188" s="6">
        <f t="shared" si="1637"/>
        <v>0</v>
      </c>
      <c r="CY188" s="6">
        <v>0.0</v>
      </c>
      <c r="CZ188" s="6">
        <v>0.0</v>
      </c>
      <c r="DA188" s="6">
        <v>0.0</v>
      </c>
      <c r="DB188" s="6">
        <v>0.0</v>
      </c>
      <c r="DC188" s="6">
        <v>0.0</v>
      </c>
      <c r="DD188" s="6">
        <v>0.0</v>
      </c>
      <c r="DE188" s="6">
        <v>0.0</v>
      </c>
      <c r="DF188" s="6">
        <v>0.0</v>
      </c>
      <c r="DG188" s="6">
        <v>0.0</v>
      </c>
      <c r="DH188" s="6">
        <v>0.0</v>
      </c>
      <c r="DI188" s="6">
        <v>0.0</v>
      </c>
      <c r="DJ188" s="6">
        <v>0.0</v>
      </c>
      <c r="DK188" s="6">
        <f t="shared" ref="DK188:DM188" si="1638">+DE188+DH188+CY188+DB188</f>
        <v>0</v>
      </c>
      <c r="DL188" s="6">
        <f t="shared" si="1638"/>
        <v>0</v>
      </c>
      <c r="DM188" s="6">
        <f t="shared" si="1638"/>
        <v>0</v>
      </c>
      <c r="DN188" s="6" t="str">
        <f t="shared" ref="DN188:DP188" si="1639">+P188+AE188+AT188+BI188+BU188+CG188+CV188</f>
        <v>#REF!</v>
      </c>
      <c r="DO188" s="6" t="str">
        <f t="shared" si="1639"/>
        <v>#REF!</v>
      </c>
      <c r="DP188" s="6" t="str">
        <f t="shared" si="1639"/>
        <v>#REF!</v>
      </c>
      <c r="DQ188" s="6" t="str">
        <f t="shared" si="19"/>
        <v>#REF!</v>
      </c>
    </row>
    <row r="189" ht="13.5" customHeight="1">
      <c r="A189" s="11">
        <v>46083.0</v>
      </c>
      <c r="B189" s="2" t="s">
        <v>728</v>
      </c>
      <c r="C189" s="2" t="s">
        <v>729</v>
      </c>
      <c r="D189" s="29" t="s">
        <v>730</v>
      </c>
      <c r="E189" s="2" t="s">
        <v>731</v>
      </c>
      <c r="F189" s="11" t="s">
        <v>722</v>
      </c>
      <c r="G189" s="11" t="s">
        <v>24</v>
      </c>
      <c r="H189" s="5">
        <v>250000.0</v>
      </c>
      <c r="I189" s="5">
        <v>250000.0</v>
      </c>
      <c r="J189" s="6">
        <v>0.0</v>
      </c>
      <c r="K189" s="6">
        <v>0.0</v>
      </c>
      <c r="L189" s="6">
        <v>0.0</v>
      </c>
      <c r="M189" s="6">
        <v>0.0</v>
      </c>
      <c r="N189" s="6">
        <v>0.0</v>
      </c>
      <c r="O189" s="6">
        <v>0.0</v>
      </c>
      <c r="P189" s="6">
        <f t="shared" ref="P189:R189" si="1640">+J189+M189</f>
        <v>0</v>
      </c>
      <c r="Q189" s="6">
        <f t="shared" si="1640"/>
        <v>0</v>
      </c>
      <c r="R189" s="6">
        <f t="shared" si="1640"/>
        <v>0</v>
      </c>
      <c r="S189" s="6">
        <v>0.0</v>
      </c>
      <c r="T189" s="6">
        <v>0.0</v>
      </c>
      <c r="U189" s="6">
        <v>0.0</v>
      </c>
      <c r="V189" s="6">
        <v>0.0</v>
      </c>
      <c r="W189" s="6">
        <v>0.0</v>
      </c>
      <c r="X189" s="6">
        <v>0.0</v>
      </c>
      <c r="Y189" s="6">
        <v>0.0</v>
      </c>
      <c r="Z189" s="6">
        <v>0.0</v>
      </c>
      <c r="AA189" s="6">
        <v>0.0</v>
      </c>
      <c r="AB189" s="6">
        <v>0.0</v>
      </c>
      <c r="AC189" s="6">
        <v>0.0</v>
      </c>
      <c r="AD189" s="6">
        <v>0.0</v>
      </c>
      <c r="AE189" s="6">
        <f t="shared" ref="AE189:AG189" si="1641">+Y189+AB189+S189+V189</f>
        <v>0</v>
      </c>
      <c r="AF189" s="6">
        <f t="shared" si="1641"/>
        <v>0</v>
      </c>
      <c r="AG189" s="6">
        <f t="shared" si="1641"/>
        <v>0</v>
      </c>
      <c r="AH189" s="6">
        <v>0.0</v>
      </c>
      <c r="AI189" s="6">
        <v>0.0</v>
      </c>
      <c r="AJ189" s="6">
        <v>0.0</v>
      </c>
      <c r="AK189" s="6">
        <v>0.0</v>
      </c>
      <c r="AL189" s="6">
        <v>0.0</v>
      </c>
      <c r="AM189" s="6">
        <v>0.0</v>
      </c>
      <c r="AN189" s="6">
        <v>0.0</v>
      </c>
      <c r="AO189" s="6">
        <v>0.0</v>
      </c>
      <c r="AP189" s="6">
        <v>0.0</v>
      </c>
      <c r="AQ189" s="6">
        <v>0.0</v>
      </c>
      <c r="AR189" s="6">
        <v>0.0</v>
      </c>
      <c r="AS189" s="6">
        <v>0.0</v>
      </c>
      <c r="AT189" s="6">
        <f t="shared" ref="AT189:AV189" si="1642">+AN189+AQ189+AH189+AK189</f>
        <v>0</v>
      </c>
      <c r="AU189" s="6">
        <f t="shared" si="1642"/>
        <v>0</v>
      </c>
      <c r="AV189" s="6">
        <f t="shared" si="1642"/>
        <v>0</v>
      </c>
      <c r="AW189" s="6">
        <v>0.0</v>
      </c>
      <c r="AX189" s="6">
        <v>0.0</v>
      </c>
      <c r="AY189" s="6">
        <v>0.0</v>
      </c>
      <c r="AZ189" s="6">
        <v>0.0</v>
      </c>
      <c r="BA189" s="6">
        <v>0.0</v>
      </c>
      <c r="BB189" s="6">
        <v>0.0</v>
      </c>
      <c r="BC189" s="6">
        <v>0.0</v>
      </c>
      <c r="BD189" s="6">
        <v>0.0</v>
      </c>
      <c r="BE189" s="6">
        <v>0.0</v>
      </c>
      <c r="BF189" s="6">
        <v>0.0</v>
      </c>
      <c r="BG189" s="6">
        <v>0.0</v>
      </c>
      <c r="BH189" s="6">
        <v>0.0</v>
      </c>
      <c r="BI189" s="6">
        <f t="shared" ref="BI189:BK189" si="1643">+BC189+BF189+AW189+AZ189</f>
        <v>0</v>
      </c>
      <c r="BJ189" s="6">
        <f t="shared" si="1643"/>
        <v>0</v>
      </c>
      <c r="BK189" s="6">
        <f t="shared" si="1643"/>
        <v>0</v>
      </c>
      <c r="BL189" s="6">
        <v>0.0</v>
      </c>
      <c r="BM189" s="6">
        <v>0.0</v>
      </c>
      <c r="BN189" s="6">
        <v>0.0</v>
      </c>
      <c r="BO189" s="6">
        <v>0.0</v>
      </c>
      <c r="BP189" s="6">
        <v>0.0</v>
      </c>
      <c r="BQ189" s="6">
        <v>0.0</v>
      </c>
      <c r="BR189" s="6">
        <v>0.0</v>
      </c>
      <c r="BS189" s="6">
        <v>0.0</v>
      </c>
      <c r="BT189" s="6">
        <v>0.0</v>
      </c>
      <c r="BU189" s="6" t="str">
        <f t="shared" ref="BU189:BW189" si="1644">+BO189+BR189+#REF!+BL189</f>
        <v>#REF!</v>
      </c>
      <c r="BV189" s="6" t="str">
        <f t="shared" si="1644"/>
        <v>#REF!</v>
      </c>
      <c r="BW189" s="6" t="str">
        <f t="shared" si="1644"/>
        <v>#REF!</v>
      </c>
      <c r="BX189" s="6">
        <v>0.0</v>
      </c>
      <c r="BY189" s="6">
        <v>0.0</v>
      </c>
      <c r="BZ189" s="6">
        <v>0.0</v>
      </c>
      <c r="CA189" s="6">
        <v>0.0</v>
      </c>
      <c r="CB189" s="6">
        <v>0.0</v>
      </c>
      <c r="CC189" s="6">
        <v>0.0</v>
      </c>
      <c r="CD189" s="6">
        <v>0.0</v>
      </c>
      <c r="CE189" s="6">
        <v>0.0</v>
      </c>
      <c r="CF189" s="6">
        <v>0.0</v>
      </c>
      <c r="CG189" s="6" t="str">
        <f t="shared" ref="CG189:CI189" si="1645">+CA189+CD189+BX189+#REF!</f>
        <v>#REF!</v>
      </c>
      <c r="CH189" s="6" t="str">
        <f t="shared" si="1645"/>
        <v>#REF!</v>
      </c>
      <c r="CI189" s="6" t="str">
        <f t="shared" si="1645"/>
        <v>#REF!</v>
      </c>
      <c r="CJ189" s="6">
        <v>0.0</v>
      </c>
      <c r="CK189" s="6">
        <v>0.0</v>
      </c>
      <c r="CL189" s="6">
        <v>0.0</v>
      </c>
      <c r="CM189" s="6">
        <v>0.0</v>
      </c>
      <c r="CN189" s="6">
        <v>0.0</v>
      </c>
      <c r="CO189" s="6">
        <v>0.0</v>
      </c>
      <c r="CP189" s="6">
        <v>0.0</v>
      </c>
      <c r="CQ189" s="6">
        <v>0.0</v>
      </c>
      <c r="CR189" s="6">
        <v>0.0</v>
      </c>
      <c r="CS189" s="6">
        <v>0.0</v>
      </c>
      <c r="CT189" s="6">
        <v>0.0</v>
      </c>
      <c r="CU189" s="6">
        <v>0.0</v>
      </c>
      <c r="CV189" s="6">
        <f t="shared" ref="CV189:CX189" si="1646">+CP189+CS189+CJ189+CM189</f>
        <v>0</v>
      </c>
      <c r="CW189" s="6">
        <f t="shared" si="1646"/>
        <v>0</v>
      </c>
      <c r="CX189" s="6">
        <f t="shared" si="1646"/>
        <v>0</v>
      </c>
      <c r="CY189" s="6">
        <v>0.0</v>
      </c>
      <c r="CZ189" s="6">
        <v>0.0</v>
      </c>
      <c r="DA189" s="6">
        <v>0.0</v>
      </c>
      <c r="DB189" s="6">
        <v>0.0</v>
      </c>
      <c r="DC189" s="6">
        <v>0.0</v>
      </c>
      <c r="DD189" s="6">
        <v>0.0</v>
      </c>
      <c r="DE189" s="6">
        <v>0.0</v>
      </c>
      <c r="DF189" s="6">
        <v>0.0</v>
      </c>
      <c r="DG189" s="6">
        <v>0.0</v>
      </c>
      <c r="DH189" s="6">
        <v>0.0</v>
      </c>
      <c r="DI189" s="6">
        <v>0.0</v>
      </c>
      <c r="DJ189" s="6">
        <v>0.0</v>
      </c>
      <c r="DK189" s="6">
        <f t="shared" ref="DK189:DM189" si="1647">+DE189+DH189+CY189+DB189</f>
        <v>0</v>
      </c>
      <c r="DL189" s="6">
        <f t="shared" si="1647"/>
        <v>0</v>
      </c>
      <c r="DM189" s="6">
        <f t="shared" si="1647"/>
        <v>0</v>
      </c>
      <c r="DN189" s="6" t="str">
        <f t="shared" ref="DN189:DP189" si="1648">+P189+AE189+AT189+BI189+BU189+CG189+CV189</f>
        <v>#REF!</v>
      </c>
      <c r="DO189" s="6" t="str">
        <f t="shared" si="1648"/>
        <v>#REF!</v>
      </c>
      <c r="DP189" s="6" t="str">
        <f t="shared" si="1648"/>
        <v>#REF!</v>
      </c>
      <c r="DQ189" s="6" t="str">
        <f t="shared" si="19"/>
        <v>#REF!</v>
      </c>
    </row>
    <row r="190" ht="13.5" customHeight="1">
      <c r="A190" s="11">
        <v>46084.0</v>
      </c>
      <c r="B190" s="2" t="s">
        <v>732</v>
      </c>
      <c r="C190" s="2" t="s">
        <v>733</v>
      </c>
      <c r="D190" s="29" t="s">
        <v>734</v>
      </c>
      <c r="E190" s="2" t="s">
        <v>735</v>
      </c>
      <c r="F190" s="11" t="s">
        <v>736</v>
      </c>
      <c r="G190" s="11" t="s">
        <v>24</v>
      </c>
      <c r="H190" s="5">
        <v>1000000.0</v>
      </c>
      <c r="I190" s="5">
        <v>1000000.0</v>
      </c>
      <c r="J190" s="6">
        <v>0.0</v>
      </c>
      <c r="K190" s="6">
        <v>0.0</v>
      </c>
      <c r="L190" s="6">
        <v>0.0</v>
      </c>
      <c r="M190" s="6">
        <v>0.0</v>
      </c>
      <c r="N190" s="6">
        <v>0.0</v>
      </c>
      <c r="O190" s="6">
        <v>0.0</v>
      </c>
      <c r="P190" s="6">
        <f t="shared" ref="P190:R190" si="1649">+J190+M190</f>
        <v>0</v>
      </c>
      <c r="Q190" s="6">
        <f t="shared" si="1649"/>
        <v>0</v>
      </c>
      <c r="R190" s="6">
        <f t="shared" si="1649"/>
        <v>0</v>
      </c>
      <c r="S190" s="6">
        <v>0.0</v>
      </c>
      <c r="T190" s="6">
        <v>0.0</v>
      </c>
      <c r="U190" s="6">
        <v>0.0</v>
      </c>
      <c r="V190" s="6">
        <v>0.0</v>
      </c>
      <c r="W190" s="6">
        <v>0.0</v>
      </c>
      <c r="X190" s="6">
        <v>0.0</v>
      </c>
      <c r="Y190" s="6">
        <v>0.0</v>
      </c>
      <c r="Z190" s="6">
        <v>0.0</v>
      </c>
      <c r="AA190" s="6">
        <v>0.0</v>
      </c>
      <c r="AB190" s="6">
        <v>0.0</v>
      </c>
      <c r="AC190" s="6">
        <v>0.0</v>
      </c>
      <c r="AD190" s="6">
        <v>0.0</v>
      </c>
      <c r="AE190" s="6">
        <f t="shared" ref="AE190:AG190" si="1650">+Y190+AB190+S190+V190</f>
        <v>0</v>
      </c>
      <c r="AF190" s="6">
        <f t="shared" si="1650"/>
        <v>0</v>
      </c>
      <c r="AG190" s="6">
        <f t="shared" si="1650"/>
        <v>0</v>
      </c>
      <c r="AH190" s="6">
        <v>0.0</v>
      </c>
      <c r="AI190" s="6">
        <v>0.0</v>
      </c>
      <c r="AJ190" s="6">
        <v>0.0</v>
      </c>
      <c r="AK190" s="6">
        <v>0.0</v>
      </c>
      <c r="AL190" s="6">
        <v>0.0</v>
      </c>
      <c r="AM190" s="6">
        <v>0.0</v>
      </c>
      <c r="AN190" s="6">
        <v>0.0</v>
      </c>
      <c r="AO190" s="6">
        <v>0.0</v>
      </c>
      <c r="AP190" s="6">
        <v>0.0</v>
      </c>
      <c r="AQ190" s="6">
        <v>0.0</v>
      </c>
      <c r="AR190" s="6">
        <v>0.0</v>
      </c>
      <c r="AS190" s="6">
        <v>0.0</v>
      </c>
      <c r="AT190" s="6">
        <f t="shared" ref="AT190:AV190" si="1651">+AN190+AQ190+AH190+AK190</f>
        <v>0</v>
      </c>
      <c r="AU190" s="6">
        <f t="shared" si="1651"/>
        <v>0</v>
      </c>
      <c r="AV190" s="6">
        <f t="shared" si="1651"/>
        <v>0</v>
      </c>
      <c r="AW190" s="6">
        <v>0.0</v>
      </c>
      <c r="AX190" s="6">
        <v>0.0</v>
      </c>
      <c r="AY190" s="6">
        <v>0.0</v>
      </c>
      <c r="AZ190" s="6">
        <v>0.0</v>
      </c>
      <c r="BA190" s="6">
        <v>0.0</v>
      </c>
      <c r="BB190" s="6">
        <v>0.0</v>
      </c>
      <c r="BC190" s="6">
        <v>0.0</v>
      </c>
      <c r="BD190" s="6">
        <v>0.0</v>
      </c>
      <c r="BE190" s="6">
        <v>0.0</v>
      </c>
      <c r="BF190" s="6">
        <v>0.0</v>
      </c>
      <c r="BG190" s="6">
        <v>0.0</v>
      </c>
      <c r="BH190" s="6">
        <v>0.0</v>
      </c>
      <c r="BI190" s="6">
        <f t="shared" ref="BI190:BK190" si="1652">+BC190+BF190+AW190+AZ190</f>
        <v>0</v>
      </c>
      <c r="BJ190" s="6">
        <f t="shared" si="1652"/>
        <v>0</v>
      </c>
      <c r="BK190" s="6">
        <f t="shared" si="1652"/>
        <v>0</v>
      </c>
      <c r="BL190" s="6">
        <v>0.0</v>
      </c>
      <c r="BM190" s="6">
        <v>0.0</v>
      </c>
      <c r="BN190" s="6">
        <v>0.0</v>
      </c>
      <c r="BO190" s="6">
        <v>0.0</v>
      </c>
      <c r="BP190" s="6">
        <v>0.0</v>
      </c>
      <c r="BQ190" s="6">
        <v>0.0</v>
      </c>
      <c r="BR190" s="6">
        <v>0.0</v>
      </c>
      <c r="BS190" s="6">
        <v>0.0</v>
      </c>
      <c r="BT190" s="6">
        <v>0.0</v>
      </c>
      <c r="BU190" s="6" t="str">
        <f t="shared" ref="BU190:BW190" si="1653">+BO190+BR190+#REF!+BL190</f>
        <v>#REF!</v>
      </c>
      <c r="BV190" s="6" t="str">
        <f t="shared" si="1653"/>
        <v>#REF!</v>
      </c>
      <c r="BW190" s="6" t="str">
        <f t="shared" si="1653"/>
        <v>#REF!</v>
      </c>
      <c r="BX190" s="6">
        <v>0.0</v>
      </c>
      <c r="BY190" s="6">
        <v>0.0</v>
      </c>
      <c r="BZ190" s="6">
        <v>0.0</v>
      </c>
      <c r="CA190" s="6">
        <v>0.0</v>
      </c>
      <c r="CB190" s="6">
        <v>0.0</v>
      </c>
      <c r="CC190" s="6">
        <v>0.0</v>
      </c>
      <c r="CD190" s="6">
        <v>0.0</v>
      </c>
      <c r="CE190" s="6">
        <v>0.0</v>
      </c>
      <c r="CF190" s="6">
        <v>0.0</v>
      </c>
      <c r="CG190" s="6" t="str">
        <f t="shared" ref="CG190:CI190" si="1654">+CA190+CD190+BX190+#REF!</f>
        <v>#REF!</v>
      </c>
      <c r="CH190" s="6" t="str">
        <f t="shared" si="1654"/>
        <v>#REF!</v>
      </c>
      <c r="CI190" s="6" t="str">
        <f t="shared" si="1654"/>
        <v>#REF!</v>
      </c>
      <c r="CJ190" s="6">
        <v>0.0</v>
      </c>
      <c r="CK190" s="6">
        <v>0.0</v>
      </c>
      <c r="CL190" s="6">
        <v>0.0</v>
      </c>
      <c r="CM190" s="6">
        <v>0.0</v>
      </c>
      <c r="CN190" s="6">
        <v>0.0</v>
      </c>
      <c r="CO190" s="6">
        <v>0.0</v>
      </c>
      <c r="CP190" s="6">
        <v>0.0</v>
      </c>
      <c r="CQ190" s="6">
        <v>0.0</v>
      </c>
      <c r="CR190" s="6">
        <v>0.0</v>
      </c>
      <c r="CS190" s="6">
        <v>0.0</v>
      </c>
      <c r="CT190" s="6">
        <v>0.0</v>
      </c>
      <c r="CU190" s="6">
        <v>0.0</v>
      </c>
      <c r="CV190" s="6">
        <f t="shared" ref="CV190:CX190" si="1655">+CP190+CS190+CJ190+CM190</f>
        <v>0</v>
      </c>
      <c r="CW190" s="6">
        <f t="shared" si="1655"/>
        <v>0</v>
      </c>
      <c r="CX190" s="6">
        <f t="shared" si="1655"/>
        <v>0</v>
      </c>
      <c r="CY190" s="6">
        <v>0.0</v>
      </c>
      <c r="CZ190" s="6">
        <v>0.0</v>
      </c>
      <c r="DA190" s="6">
        <v>0.0</v>
      </c>
      <c r="DB190" s="6">
        <v>0.0</v>
      </c>
      <c r="DC190" s="6">
        <v>0.0</v>
      </c>
      <c r="DD190" s="6">
        <v>0.0</v>
      </c>
      <c r="DE190" s="6">
        <v>0.0</v>
      </c>
      <c r="DF190" s="6">
        <v>0.0</v>
      </c>
      <c r="DG190" s="6">
        <v>0.0</v>
      </c>
      <c r="DH190" s="6">
        <v>0.0</v>
      </c>
      <c r="DI190" s="6">
        <v>0.0</v>
      </c>
      <c r="DJ190" s="6">
        <v>0.0</v>
      </c>
      <c r="DK190" s="6">
        <f t="shared" ref="DK190:DM190" si="1656">+DE190+DH190+CY190+DB190</f>
        <v>0</v>
      </c>
      <c r="DL190" s="6">
        <f t="shared" si="1656"/>
        <v>0</v>
      </c>
      <c r="DM190" s="6">
        <f t="shared" si="1656"/>
        <v>0</v>
      </c>
      <c r="DN190" s="6" t="str">
        <f t="shared" ref="DN190:DP190" si="1657">+P190+AE190+AT190+BI190+BU190+CG190+CV190</f>
        <v>#REF!</v>
      </c>
      <c r="DO190" s="6" t="str">
        <f t="shared" si="1657"/>
        <v>#REF!</v>
      </c>
      <c r="DP190" s="6" t="str">
        <f t="shared" si="1657"/>
        <v>#REF!</v>
      </c>
      <c r="DQ190" s="6" t="str">
        <f t="shared" si="19"/>
        <v>#REF!</v>
      </c>
    </row>
    <row r="191" ht="13.5" customHeight="1">
      <c r="A191" s="11">
        <v>46084.0</v>
      </c>
      <c r="B191" s="2" t="s">
        <v>737</v>
      </c>
      <c r="C191" s="2" t="s">
        <v>738</v>
      </c>
      <c r="D191" s="29" t="s">
        <v>739</v>
      </c>
      <c r="E191" s="2" t="s">
        <v>740</v>
      </c>
      <c r="F191" s="11" t="s">
        <v>741</v>
      </c>
      <c r="G191" s="11" t="s">
        <v>24</v>
      </c>
      <c r="H191" s="5">
        <v>800000.0</v>
      </c>
      <c r="I191" s="5">
        <v>800000.0</v>
      </c>
      <c r="J191" s="6">
        <v>0.0</v>
      </c>
      <c r="K191" s="6">
        <v>0.0</v>
      </c>
      <c r="L191" s="6">
        <v>0.0</v>
      </c>
      <c r="M191" s="6">
        <v>0.0</v>
      </c>
      <c r="N191" s="6">
        <v>0.0</v>
      </c>
      <c r="O191" s="6">
        <v>0.0</v>
      </c>
      <c r="P191" s="6">
        <f t="shared" ref="P191:R191" si="1658">+J191+M191</f>
        <v>0</v>
      </c>
      <c r="Q191" s="6">
        <f t="shared" si="1658"/>
        <v>0</v>
      </c>
      <c r="R191" s="6">
        <f t="shared" si="1658"/>
        <v>0</v>
      </c>
      <c r="S191" s="6">
        <v>0.0</v>
      </c>
      <c r="T191" s="6">
        <v>0.0</v>
      </c>
      <c r="U191" s="6">
        <v>0.0</v>
      </c>
      <c r="V191" s="6">
        <v>0.0</v>
      </c>
      <c r="W191" s="6">
        <v>0.0</v>
      </c>
      <c r="X191" s="6">
        <v>0.0</v>
      </c>
      <c r="Y191" s="6">
        <v>0.0</v>
      </c>
      <c r="Z191" s="6">
        <v>0.0</v>
      </c>
      <c r="AA191" s="6">
        <v>0.0</v>
      </c>
      <c r="AB191" s="6">
        <v>0.0</v>
      </c>
      <c r="AC191" s="6">
        <v>0.0</v>
      </c>
      <c r="AD191" s="6">
        <v>0.0</v>
      </c>
      <c r="AE191" s="6">
        <f t="shared" ref="AE191:AG191" si="1659">+Y191+AB191+S191+V191</f>
        <v>0</v>
      </c>
      <c r="AF191" s="6">
        <f t="shared" si="1659"/>
        <v>0</v>
      </c>
      <c r="AG191" s="6">
        <f t="shared" si="1659"/>
        <v>0</v>
      </c>
      <c r="AH191" s="6">
        <v>0.0</v>
      </c>
      <c r="AI191" s="6">
        <v>0.0</v>
      </c>
      <c r="AJ191" s="6">
        <v>0.0</v>
      </c>
      <c r="AK191" s="6">
        <v>0.0</v>
      </c>
      <c r="AL191" s="6">
        <v>0.0</v>
      </c>
      <c r="AM191" s="6">
        <v>0.0</v>
      </c>
      <c r="AN191" s="6">
        <v>0.0</v>
      </c>
      <c r="AO191" s="6">
        <v>0.0</v>
      </c>
      <c r="AP191" s="6">
        <v>0.0</v>
      </c>
      <c r="AQ191" s="6">
        <v>0.0</v>
      </c>
      <c r="AR191" s="6">
        <v>0.0</v>
      </c>
      <c r="AS191" s="6">
        <v>0.0</v>
      </c>
      <c r="AT191" s="6">
        <f t="shared" ref="AT191:AV191" si="1660">+AN191+AQ191+AH191+AK191</f>
        <v>0</v>
      </c>
      <c r="AU191" s="6">
        <f t="shared" si="1660"/>
        <v>0</v>
      </c>
      <c r="AV191" s="6">
        <f t="shared" si="1660"/>
        <v>0</v>
      </c>
      <c r="AW191" s="6">
        <v>0.0</v>
      </c>
      <c r="AX191" s="6">
        <v>0.0</v>
      </c>
      <c r="AY191" s="6">
        <v>0.0</v>
      </c>
      <c r="AZ191" s="6">
        <v>0.0</v>
      </c>
      <c r="BA191" s="6">
        <v>0.0</v>
      </c>
      <c r="BB191" s="6">
        <v>0.0</v>
      </c>
      <c r="BC191" s="6">
        <v>0.0</v>
      </c>
      <c r="BD191" s="6">
        <v>0.0</v>
      </c>
      <c r="BE191" s="6">
        <v>0.0</v>
      </c>
      <c r="BF191" s="6">
        <v>0.0</v>
      </c>
      <c r="BG191" s="6">
        <v>0.0</v>
      </c>
      <c r="BH191" s="6">
        <v>0.0</v>
      </c>
      <c r="BI191" s="6">
        <f t="shared" ref="BI191:BK191" si="1661">+BC191+BF191+AW191+AZ191</f>
        <v>0</v>
      </c>
      <c r="BJ191" s="6">
        <f t="shared" si="1661"/>
        <v>0</v>
      </c>
      <c r="BK191" s="6">
        <f t="shared" si="1661"/>
        <v>0</v>
      </c>
      <c r="BL191" s="6">
        <v>0.0</v>
      </c>
      <c r="BM191" s="6">
        <v>0.0</v>
      </c>
      <c r="BN191" s="6">
        <v>0.0</v>
      </c>
      <c r="BO191" s="6">
        <v>0.0</v>
      </c>
      <c r="BP191" s="6">
        <v>0.0</v>
      </c>
      <c r="BQ191" s="6">
        <v>0.0</v>
      </c>
      <c r="BR191" s="6">
        <v>0.0</v>
      </c>
      <c r="BS191" s="6">
        <v>0.0</v>
      </c>
      <c r="BT191" s="6">
        <v>0.0</v>
      </c>
      <c r="BU191" s="6" t="str">
        <f t="shared" ref="BU191:BW191" si="1662">+BO191+BR191+#REF!+BL191</f>
        <v>#REF!</v>
      </c>
      <c r="BV191" s="6" t="str">
        <f t="shared" si="1662"/>
        <v>#REF!</v>
      </c>
      <c r="BW191" s="6" t="str">
        <f t="shared" si="1662"/>
        <v>#REF!</v>
      </c>
      <c r="BX191" s="6">
        <v>0.0</v>
      </c>
      <c r="BY191" s="6">
        <v>0.0</v>
      </c>
      <c r="BZ191" s="6">
        <v>0.0</v>
      </c>
      <c r="CA191" s="6">
        <v>0.0</v>
      </c>
      <c r="CB191" s="6">
        <v>0.0</v>
      </c>
      <c r="CC191" s="6">
        <v>0.0</v>
      </c>
      <c r="CD191" s="6">
        <v>0.0</v>
      </c>
      <c r="CE191" s="6">
        <v>0.0</v>
      </c>
      <c r="CF191" s="6">
        <v>0.0</v>
      </c>
      <c r="CG191" s="6" t="str">
        <f t="shared" ref="CG191:CI191" si="1663">+CA191+CD191+BX191+#REF!</f>
        <v>#REF!</v>
      </c>
      <c r="CH191" s="6" t="str">
        <f t="shared" si="1663"/>
        <v>#REF!</v>
      </c>
      <c r="CI191" s="6" t="str">
        <f t="shared" si="1663"/>
        <v>#REF!</v>
      </c>
      <c r="CJ191" s="6">
        <v>0.0</v>
      </c>
      <c r="CK191" s="6">
        <v>0.0</v>
      </c>
      <c r="CL191" s="6">
        <v>0.0</v>
      </c>
      <c r="CM191" s="6">
        <v>0.0</v>
      </c>
      <c r="CN191" s="6">
        <v>0.0</v>
      </c>
      <c r="CO191" s="6">
        <v>0.0</v>
      </c>
      <c r="CP191" s="6">
        <v>0.0</v>
      </c>
      <c r="CQ191" s="6">
        <v>0.0</v>
      </c>
      <c r="CR191" s="6">
        <v>0.0</v>
      </c>
      <c r="CS191" s="6">
        <v>0.0</v>
      </c>
      <c r="CT191" s="6">
        <v>0.0</v>
      </c>
      <c r="CU191" s="6">
        <v>0.0</v>
      </c>
      <c r="CV191" s="6">
        <f t="shared" ref="CV191:CX191" si="1664">+CP191+CS191+CJ191+CM191</f>
        <v>0</v>
      </c>
      <c r="CW191" s="6">
        <f t="shared" si="1664"/>
        <v>0</v>
      </c>
      <c r="CX191" s="6">
        <f t="shared" si="1664"/>
        <v>0</v>
      </c>
      <c r="CY191" s="6">
        <v>0.0</v>
      </c>
      <c r="CZ191" s="6">
        <v>0.0</v>
      </c>
      <c r="DA191" s="6">
        <v>0.0</v>
      </c>
      <c r="DB191" s="6">
        <v>0.0</v>
      </c>
      <c r="DC191" s="6">
        <v>0.0</v>
      </c>
      <c r="DD191" s="6">
        <v>0.0</v>
      </c>
      <c r="DE191" s="6">
        <v>0.0</v>
      </c>
      <c r="DF191" s="6">
        <v>0.0</v>
      </c>
      <c r="DG191" s="6">
        <v>0.0</v>
      </c>
      <c r="DH191" s="6">
        <v>0.0</v>
      </c>
      <c r="DI191" s="6">
        <v>0.0</v>
      </c>
      <c r="DJ191" s="6">
        <v>0.0</v>
      </c>
      <c r="DK191" s="6">
        <f t="shared" ref="DK191:DM191" si="1665">+DE191+DH191+CY191+DB191</f>
        <v>0</v>
      </c>
      <c r="DL191" s="6">
        <f t="shared" si="1665"/>
        <v>0</v>
      </c>
      <c r="DM191" s="6">
        <f t="shared" si="1665"/>
        <v>0</v>
      </c>
      <c r="DN191" s="6" t="str">
        <f t="shared" ref="DN191:DP191" si="1666">+P191+AE191+AT191+BI191+BU191+CG191+CV191</f>
        <v>#REF!</v>
      </c>
      <c r="DO191" s="6" t="str">
        <f t="shared" si="1666"/>
        <v>#REF!</v>
      </c>
      <c r="DP191" s="6" t="str">
        <f t="shared" si="1666"/>
        <v>#REF!</v>
      </c>
      <c r="DQ191" s="6" t="str">
        <f t="shared" si="19"/>
        <v>#REF!</v>
      </c>
    </row>
    <row r="192" ht="13.5" customHeight="1">
      <c r="A192" s="11">
        <v>46083.0</v>
      </c>
      <c r="B192" s="2" t="s">
        <v>742</v>
      </c>
      <c r="C192" s="2" t="s">
        <v>743</v>
      </c>
      <c r="D192" s="29" t="s">
        <v>744</v>
      </c>
      <c r="E192" s="2" t="s">
        <v>745</v>
      </c>
      <c r="F192" s="11" t="s">
        <v>746</v>
      </c>
      <c r="G192" s="11" t="s">
        <v>24</v>
      </c>
      <c r="H192" s="5">
        <v>265000.0</v>
      </c>
      <c r="I192" s="5">
        <v>265000.0</v>
      </c>
      <c r="J192" s="6">
        <v>0.0</v>
      </c>
      <c r="K192" s="6">
        <v>0.0</v>
      </c>
      <c r="L192" s="6">
        <v>0.0</v>
      </c>
      <c r="M192" s="6">
        <v>0.0</v>
      </c>
      <c r="N192" s="6">
        <v>0.0</v>
      </c>
      <c r="O192" s="6">
        <v>0.0</v>
      </c>
      <c r="P192" s="6">
        <f t="shared" ref="P192:R192" si="1667">+J192+M192</f>
        <v>0</v>
      </c>
      <c r="Q192" s="6">
        <f t="shared" si="1667"/>
        <v>0</v>
      </c>
      <c r="R192" s="6">
        <f t="shared" si="1667"/>
        <v>0</v>
      </c>
      <c r="S192" s="6">
        <v>0.0</v>
      </c>
      <c r="T192" s="6">
        <v>0.0</v>
      </c>
      <c r="U192" s="6">
        <v>0.0</v>
      </c>
      <c r="V192" s="6">
        <v>0.0</v>
      </c>
      <c r="W192" s="6">
        <v>0.0</v>
      </c>
      <c r="X192" s="6">
        <v>0.0</v>
      </c>
      <c r="Y192" s="6">
        <v>0.0</v>
      </c>
      <c r="Z192" s="6">
        <v>0.0</v>
      </c>
      <c r="AA192" s="6">
        <v>0.0</v>
      </c>
      <c r="AB192" s="6">
        <v>0.0</v>
      </c>
      <c r="AC192" s="6">
        <v>0.0</v>
      </c>
      <c r="AD192" s="6">
        <v>0.0</v>
      </c>
      <c r="AE192" s="6">
        <f t="shared" ref="AE192:AG192" si="1668">+Y192+AB192+S192+V192</f>
        <v>0</v>
      </c>
      <c r="AF192" s="6">
        <f t="shared" si="1668"/>
        <v>0</v>
      </c>
      <c r="AG192" s="6">
        <f t="shared" si="1668"/>
        <v>0</v>
      </c>
      <c r="AH192" s="6">
        <v>0.0</v>
      </c>
      <c r="AI192" s="6">
        <v>0.0</v>
      </c>
      <c r="AJ192" s="6">
        <v>0.0</v>
      </c>
      <c r="AK192" s="6">
        <v>0.0</v>
      </c>
      <c r="AL192" s="6">
        <v>0.0</v>
      </c>
      <c r="AM192" s="6">
        <v>0.0</v>
      </c>
      <c r="AN192" s="6">
        <v>0.0</v>
      </c>
      <c r="AO192" s="6">
        <v>0.0</v>
      </c>
      <c r="AP192" s="6">
        <v>0.0</v>
      </c>
      <c r="AQ192" s="6">
        <v>0.0</v>
      </c>
      <c r="AR192" s="6">
        <v>0.0</v>
      </c>
      <c r="AS192" s="6">
        <v>0.0</v>
      </c>
      <c r="AT192" s="6">
        <f t="shared" ref="AT192:AV192" si="1669">+AN192+AQ192+AH192+AK192</f>
        <v>0</v>
      </c>
      <c r="AU192" s="6">
        <f t="shared" si="1669"/>
        <v>0</v>
      </c>
      <c r="AV192" s="6">
        <f t="shared" si="1669"/>
        <v>0</v>
      </c>
      <c r="AW192" s="6">
        <v>0.0</v>
      </c>
      <c r="AX192" s="6">
        <v>0.0</v>
      </c>
      <c r="AY192" s="6">
        <v>0.0</v>
      </c>
      <c r="AZ192" s="6">
        <v>0.0</v>
      </c>
      <c r="BA192" s="6">
        <v>0.0</v>
      </c>
      <c r="BB192" s="6">
        <v>0.0</v>
      </c>
      <c r="BC192" s="6">
        <v>0.0</v>
      </c>
      <c r="BD192" s="6">
        <v>0.0</v>
      </c>
      <c r="BE192" s="6">
        <v>0.0</v>
      </c>
      <c r="BF192" s="6">
        <v>0.0</v>
      </c>
      <c r="BG192" s="6">
        <v>0.0</v>
      </c>
      <c r="BH192" s="6">
        <v>0.0</v>
      </c>
      <c r="BI192" s="6">
        <f t="shared" ref="BI192:BK192" si="1670">+BC192+BF192+AW192+AZ192</f>
        <v>0</v>
      </c>
      <c r="BJ192" s="6">
        <f t="shared" si="1670"/>
        <v>0</v>
      </c>
      <c r="BK192" s="6">
        <f t="shared" si="1670"/>
        <v>0</v>
      </c>
      <c r="BL192" s="6">
        <v>0.0</v>
      </c>
      <c r="BM192" s="6">
        <v>0.0</v>
      </c>
      <c r="BN192" s="6">
        <v>0.0</v>
      </c>
      <c r="BO192" s="6">
        <v>0.0</v>
      </c>
      <c r="BP192" s="6">
        <v>0.0</v>
      </c>
      <c r="BQ192" s="6">
        <v>0.0</v>
      </c>
      <c r="BR192" s="6">
        <v>0.0</v>
      </c>
      <c r="BS192" s="6">
        <v>0.0</v>
      </c>
      <c r="BT192" s="6">
        <v>0.0</v>
      </c>
      <c r="BU192" s="6" t="str">
        <f t="shared" ref="BU192:BW192" si="1671">+BO192+BR192+#REF!+BL192</f>
        <v>#REF!</v>
      </c>
      <c r="BV192" s="6" t="str">
        <f t="shared" si="1671"/>
        <v>#REF!</v>
      </c>
      <c r="BW192" s="6" t="str">
        <f t="shared" si="1671"/>
        <v>#REF!</v>
      </c>
      <c r="BX192" s="6">
        <v>0.0</v>
      </c>
      <c r="BY192" s="6">
        <v>0.0</v>
      </c>
      <c r="BZ192" s="6">
        <v>0.0</v>
      </c>
      <c r="CA192" s="6">
        <v>0.0</v>
      </c>
      <c r="CB192" s="6">
        <v>0.0</v>
      </c>
      <c r="CC192" s="6">
        <v>0.0</v>
      </c>
      <c r="CD192" s="6">
        <v>0.0</v>
      </c>
      <c r="CE192" s="6">
        <v>0.0</v>
      </c>
      <c r="CF192" s="6">
        <v>0.0</v>
      </c>
      <c r="CG192" s="6" t="str">
        <f t="shared" ref="CG192:CI192" si="1672">+CA192+CD192+BX192+#REF!</f>
        <v>#REF!</v>
      </c>
      <c r="CH192" s="6" t="str">
        <f t="shared" si="1672"/>
        <v>#REF!</v>
      </c>
      <c r="CI192" s="6" t="str">
        <f t="shared" si="1672"/>
        <v>#REF!</v>
      </c>
      <c r="CJ192" s="6">
        <v>0.0</v>
      </c>
      <c r="CK192" s="6">
        <v>0.0</v>
      </c>
      <c r="CL192" s="6">
        <v>0.0</v>
      </c>
      <c r="CM192" s="6">
        <v>0.0</v>
      </c>
      <c r="CN192" s="6">
        <v>0.0</v>
      </c>
      <c r="CO192" s="6">
        <v>0.0</v>
      </c>
      <c r="CP192" s="6">
        <v>0.0</v>
      </c>
      <c r="CQ192" s="6">
        <v>0.0</v>
      </c>
      <c r="CR192" s="6">
        <v>0.0</v>
      </c>
      <c r="CS192" s="6">
        <v>0.0</v>
      </c>
      <c r="CT192" s="6">
        <v>0.0</v>
      </c>
      <c r="CU192" s="6">
        <v>0.0</v>
      </c>
      <c r="CV192" s="6">
        <f t="shared" ref="CV192:CX192" si="1673">+CP192+CS192+CJ192+CM192</f>
        <v>0</v>
      </c>
      <c r="CW192" s="6">
        <f t="shared" si="1673"/>
        <v>0</v>
      </c>
      <c r="CX192" s="6">
        <f t="shared" si="1673"/>
        <v>0</v>
      </c>
      <c r="CY192" s="6">
        <v>0.0</v>
      </c>
      <c r="CZ192" s="6">
        <v>0.0</v>
      </c>
      <c r="DA192" s="6">
        <v>0.0</v>
      </c>
      <c r="DB192" s="6">
        <v>0.0</v>
      </c>
      <c r="DC192" s="6">
        <v>0.0</v>
      </c>
      <c r="DD192" s="6">
        <v>0.0</v>
      </c>
      <c r="DE192" s="6">
        <v>0.0</v>
      </c>
      <c r="DF192" s="6">
        <v>0.0</v>
      </c>
      <c r="DG192" s="6">
        <v>0.0</v>
      </c>
      <c r="DH192" s="6">
        <v>0.0</v>
      </c>
      <c r="DI192" s="6">
        <v>0.0</v>
      </c>
      <c r="DJ192" s="6">
        <v>0.0</v>
      </c>
      <c r="DK192" s="6">
        <f t="shared" ref="DK192:DM192" si="1674">+DE192+DH192+CY192+DB192</f>
        <v>0</v>
      </c>
      <c r="DL192" s="6">
        <f t="shared" si="1674"/>
        <v>0</v>
      </c>
      <c r="DM192" s="6">
        <f t="shared" si="1674"/>
        <v>0</v>
      </c>
      <c r="DN192" s="6" t="str">
        <f t="shared" ref="DN192:DP192" si="1675">+P192+AE192+AT192+BI192+BU192+CG192+CV192</f>
        <v>#REF!</v>
      </c>
      <c r="DO192" s="6" t="str">
        <f t="shared" si="1675"/>
        <v>#REF!</v>
      </c>
      <c r="DP192" s="6" t="str">
        <f t="shared" si="1675"/>
        <v>#REF!</v>
      </c>
      <c r="DQ192" s="6" t="str">
        <f t="shared" si="19"/>
        <v>#REF!</v>
      </c>
    </row>
    <row r="193" ht="13.5" customHeight="1">
      <c r="A193" s="11">
        <v>46085.0</v>
      </c>
      <c r="B193" s="2" t="s">
        <v>747</v>
      </c>
      <c r="C193" s="2" t="s">
        <v>748</v>
      </c>
      <c r="D193" s="29" t="s">
        <v>749</v>
      </c>
      <c r="E193" s="2" t="s">
        <v>750</v>
      </c>
      <c r="F193" s="11" t="s">
        <v>751</v>
      </c>
      <c r="G193" s="11" t="s">
        <v>24</v>
      </c>
      <c r="H193" s="5">
        <v>750000.0</v>
      </c>
      <c r="I193" s="5">
        <v>750000.0</v>
      </c>
      <c r="J193" s="6">
        <v>0.0</v>
      </c>
      <c r="K193" s="6">
        <v>0.0</v>
      </c>
      <c r="L193" s="6">
        <v>0.0</v>
      </c>
      <c r="M193" s="6">
        <v>0.0</v>
      </c>
      <c r="N193" s="6">
        <v>0.0</v>
      </c>
      <c r="O193" s="6">
        <v>0.0</v>
      </c>
      <c r="P193" s="6">
        <f t="shared" ref="P193:R193" si="1676">+J193+M193</f>
        <v>0</v>
      </c>
      <c r="Q193" s="6">
        <f t="shared" si="1676"/>
        <v>0</v>
      </c>
      <c r="R193" s="6">
        <f t="shared" si="1676"/>
        <v>0</v>
      </c>
      <c r="S193" s="6">
        <v>0.0</v>
      </c>
      <c r="T193" s="6">
        <v>0.0</v>
      </c>
      <c r="U193" s="6">
        <v>0.0</v>
      </c>
      <c r="V193" s="6">
        <v>0.0</v>
      </c>
      <c r="W193" s="6">
        <v>0.0</v>
      </c>
      <c r="X193" s="6">
        <v>0.0</v>
      </c>
      <c r="Y193" s="6">
        <v>0.0</v>
      </c>
      <c r="Z193" s="6">
        <v>0.0</v>
      </c>
      <c r="AA193" s="6">
        <v>0.0</v>
      </c>
      <c r="AB193" s="6">
        <v>0.0</v>
      </c>
      <c r="AC193" s="6">
        <v>0.0</v>
      </c>
      <c r="AD193" s="6">
        <v>0.0</v>
      </c>
      <c r="AE193" s="6">
        <f t="shared" ref="AE193:AG193" si="1677">+Y193+AB193+S193+V193</f>
        <v>0</v>
      </c>
      <c r="AF193" s="6">
        <f t="shared" si="1677"/>
        <v>0</v>
      </c>
      <c r="AG193" s="6">
        <f t="shared" si="1677"/>
        <v>0</v>
      </c>
      <c r="AH193" s="6">
        <v>0.0</v>
      </c>
      <c r="AI193" s="6">
        <v>0.0</v>
      </c>
      <c r="AJ193" s="6">
        <v>0.0</v>
      </c>
      <c r="AK193" s="6">
        <v>0.0</v>
      </c>
      <c r="AL193" s="6">
        <v>0.0</v>
      </c>
      <c r="AM193" s="6">
        <v>0.0</v>
      </c>
      <c r="AN193" s="6">
        <v>0.0</v>
      </c>
      <c r="AO193" s="6">
        <v>0.0</v>
      </c>
      <c r="AP193" s="6">
        <v>0.0</v>
      </c>
      <c r="AQ193" s="6">
        <v>0.0</v>
      </c>
      <c r="AR193" s="6">
        <v>0.0</v>
      </c>
      <c r="AS193" s="6">
        <v>0.0</v>
      </c>
      <c r="AT193" s="6">
        <f t="shared" ref="AT193:AV193" si="1678">+AN193+AQ193+AH193+AK193</f>
        <v>0</v>
      </c>
      <c r="AU193" s="6">
        <f t="shared" si="1678"/>
        <v>0</v>
      </c>
      <c r="AV193" s="6">
        <f t="shared" si="1678"/>
        <v>0</v>
      </c>
      <c r="AW193" s="6">
        <v>0.0</v>
      </c>
      <c r="AX193" s="6">
        <v>0.0</v>
      </c>
      <c r="AY193" s="6">
        <v>0.0</v>
      </c>
      <c r="AZ193" s="6">
        <v>0.0</v>
      </c>
      <c r="BA193" s="6">
        <v>0.0</v>
      </c>
      <c r="BB193" s="6">
        <v>0.0</v>
      </c>
      <c r="BC193" s="6">
        <v>0.0</v>
      </c>
      <c r="BD193" s="6">
        <v>0.0</v>
      </c>
      <c r="BE193" s="6">
        <v>0.0</v>
      </c>
      <c r="BF193" s="6">
        <v>0.0</v>
      </c>
      <c r="BG193" s="6">
        <v>0.0</v>
      </c>
      <c r="BH193" s="6">
        <v>0.0</v>
      </c>
      <c r="BI193" s="6">
        <f t="shared" ref="BI193:BK193" si="1679">+BC193+BF193+AW193+AZ193</f>
        <v>0</v>
      </c>
      <c r="BJ193" s="6">
        <f t="shared" si="1679"/>
        <v>0</v>
      </c>
      <c r="BK193" s="6">
        <f t="shared" si="1679"/>
        <v>0</v>
      </c>
      <c r="BL193" s="6">
        <v>0.0</v>
      </c>
      <c r="BM193" s="6">
        <v>0.0</v>
      </c>
      <c r="BN193" s="6">
        <v>0.0</v>
      </c>
      <c r="BO193" s="6">
        <v>0.0</v>
      </c>
      <c r="BP193" s="6">
        <v>0.0</v>
      </c>
      <c r="BQ193" s="6">
        <v>0.0</v>
      </c>
      <c r="BR193" s="6">
        <v>0.0</v>
      </c>
      <c r="BS193" s="6">
        <v>0.0</v>
      </c>
      <c r="BT193" s="6">
        <v>0.0</v>
      </c>
      <c r="BU193" s="6" t="str">
        <f t="shared" ref="BU193:BW193" si="1680">+BO193+BR193+#REF!+BL193</f>
        <v>#REF!</v>
      </c>
      <c r="BV193" s="6" t="str">
        <f t="shared" si="1680"/>
        <v>#REF!</v>
      </c>
      <c r="BW193" s="6" t="str">
        <f t="shared" si="1680"/>
        <v>#REF!</v>
      </c>
      <c r="BX193" s="6">
        <v>0.0</v>
      </c>
      <c r="BY193" s="6">
        <v>0.0</v>
      </c>
      <c r="BZ193" s="6">
        <v>0.0</v>
      </c>
      <c r="CA193" s="6">
        <v>0.0</v>
      </c>
      <c r="CB193" s="6">
        <v>0.0</v>
      </c>
      <c r="CC193" s="6">
        <v>0.0</v>
      </c>
      <c r="CD193" s="6">
        <v>0.0</v>
      </c>
      <c r="CE193" s="6">
        <v>0.0</v>
      </c>
      <c r="CF193" s="6">
        <v>0.0</v>
      </c>
      <c r="CG193" s="6" t="str">
        <f t="shared" ref="CG193:CI193" si="1681">+CA193+CD193+BX193+#REF!</f>
        <v>#REF!</v>
      </c>
      <c r="CH193" s="6" t="str">
        <f t="shared" si="1681"/>
        <v>#REF!</v>
      </c>
      <c r="CI193" s="6" t="str">
        <f t="shared" si="1681"/>
        <v>#REF!</v>
      </c>
      <c r="CJ193" s="6">
        <v>0.0</v>
      </c>
      <c r="CK193" s="6">
        <v>0.0</v>
      </c>
      <c r="CL193" s="6">
        <v>0.0</v>
      </c>
      <c r="CM193" s="6">
        <v>0.0</v>
      </c>
      <c r="CN193" s="6">
        <v>0.0</v>
      </c>
      <c r="CO193" s="6">
        <v>0.0</v>
      </c>
      <c r="CP193" s="6">
        <v>0.0</v>
      </c>
      <c r="CQ193" s="6">
        <v>0.0</v>
      </c>
      <c r="CR193" s="6">
        <v>0.0</v>
      </c>
      <c r="CS193" s="6">
        <v>0.0</v>
      </c>
      <c r="CT193" s="6">
        <v>0.0</v>
      </c>
      <c r="CU193" s="6">
        <v>0.0</v>
      </c>
      <c r="CV193" s="6">
        <f t="shared" ref="CV193:CX193" si="1682">+CP193+CS193+CJ193+CM193</f>
        <v>0</v>
      </c>
      <c r="CW193" s="6">
        <f t="shared" si="1682"/>
        <v>0</v>
      </c>
      <c r="CX193" s="6">
        <f t="shared" si="1682"/>
        <v>0</v>
      </c>
      <c r="CY193" s="6">
        <v>0.0</v>
      </c>
      <c r="CZ193" s="6">
        <v>0.0</v>
      </c>
      <c r="DA193" s="6">
        <v>0.0</v>
      </c>
      <c r="DB193" s="6">
        <v>0.0</v>
      </c>
      <c r="DC193" s="6">
        <v>0.0</v>
      </c>
      <c r="DD193" s="6">
        <v>0.0</v>
      </c>
      <c r="DE193" s="6">
        <v>0.0</v>
      </c>
      <c r="DF193" s="6">
        <v>0.0</v>
      </c>
      <c r="DG193" s="6">
        <v>0.0</v>
      </c>
      <c r="DH193" s="6">
        <v>0.0</v>
      </c>
      <c r="DI193" s="6">
        <v>0.0</v>
      </c>
      <c r="DJ193" s="6">
        <v>0.0</v>
      </c>
      <c r="DK193" s="6">
        <f t="shared" ref="DK193:DM193" si="1683">+DE193+DH193+CY193+DB193</f>
        <v>0</v>
      </c>
      <c r="DL193" s="6">
        <f t="shared" si="1683"/>
        <v>0</v>
      </c>
      <c r="DM193" s="6">
        <f t="shared" si="1683"/>
        <v>0</v>
      </c>
      <c r="DN193" s="6" t="str">
        <f t="shared" ref="DN193:DP193" si="1684">+P193+AE193+AT193+BI193+BU193+CG193+CV193</f>
        <v>#REF!</v>
      </c>
      <c r="DO193" s="6" t="str">
        <f t="shared" si="1684"/>
        <v>#REF!</v>
      </c>
      <c r="DP193" s="6" t="str">
        <f t="shared" si="1684"/>
        <v>#REF!</v>
      </c>
      <c r="DQ193" s="6" t="str">
        <f t="shared" si="19"/>
        <v>#REF!</v>
      </c>
    </row>
    <row r="194" ht="13.5" customHeight="1">
      <c r="A194" s="11">
        <v>45540.0</v>
      </c>
      <c r="B194" s="2" t="s">
        <v>752</v>
      </c>
      <c r="C194" s="2" t="s">
        <v>753</v>
      </c>
      <c r="D194" s="29" t="s">
        <v>754</v>
      </c>
      <c r="E194" s="2" t="s">
        <v>755</v>
      </c>
      <c r="F194" s="11" t="s">
        <v>756</v>
      </c>
      <c r="G194" s="11" t="s">
        <v>19</v>
      </c>
      <c r="H194" s="5">
        <v>588627.0</v>
      </c>
      <c r="I194" s="5">
        <v>588627.0</v>
      </c>
      <c r="J194" s="6">
        <v>0.0</v>
      </c>
      <c r="K194" s="6">
        <v>0.0</v>
      </c>
      <c r="L194" s="6">
        <v>0.0</v>
      </c>
      <c r="M194" s="6">
        <v>0.0</v>
      </c>
      <c r="N194" s="6">
        <v>0.0</v>
      </c>
      <c r="O194" s="6">
        <v>0.0</v>
      </c>
      <c r="P194" s="6">
        <f t="shared" ref="P194:R194" si="1685">+J194+M194</f>
        <v>0</v>
      </c>
      <c r="Q194" s="6">
        <f t="shared" si="1685"/>
        <v>0</v>
      </c>
      <c r="R194" s="6">
        <f t="shared" si="1685"/>
        <v>0</v>
      </c>
      <c r="S194" s="6">
        <v>0.0</v>
      </c>
      <c r="T194" s="6">
        <v>0.0</v>
      </c>
      <c r="U194" s="6">
        <v>0.0</v>
      </c>
      <c r="V194" s="6">
        <v>0.0</v>
      </c>
      <c r="W194" s="6">
        <v>0.0</v>
      </c>
      <c r="X194" s="6">
        <v>0.0</v>
      </c>
      <c r="Y194" s="6">
        <v>0.0</v>
      </c>
      <c r="Z194" s="6">
        <v>0.0</v>
      </c>
      <c r="AA194" s="6">
        <v>0.0</v>
      </c>
      <c r="AB194" s="6">
        <v>0.0</v>
      </c>
      <c r="AC194" s="6">
        <v>0.0</v>
      </c>
      <c r="AD194" s="6">
        <v>0.0</v>
      </c>
      <c r="AE194" s="6">
        <f t="shared" ref="AE194:AG194" si="1686">+Y194+AB194+S194+V194</f>
        <v>0</v>
      </c>
      <c r="AF194" s="6">
        <f t="shared" si="1686"/>
        <v>0</v>
      </c>
      <c r="AG194" s="6">
        <f t="shared" si="1686"/>
        <v>0</v>
      </c>
      <c r="AH194" s="6">
        <v>0.0</v>
      </c>
      <c r="AI194" s="6">
        <v>0.0</v>
      </c>
      <c r="AJ194" s="6">
        <v>0.0</v>
      </c>
      <c r="AK194" s="6">
        <v>0.0</v>
      </c>
      <c r="AL194" s="6">
        <v>0.0</v>
      </c>
      <c r="AM194" s="6">
        <v>0.0</v>
      </c>
      <c r="AN194" s="6">
        <v>0.0</v>
      </c>
      <c r="AO194" s="6">
        <v>0.0</v>
      </c>
      <c r="AP194" s="6">
        <v>0.0</v>
      </c>
      <c r="AQ194" s="6">
        <v>0.0</v>
      </c>
      <c r="AR194" s="6">
        <v>0.0</v>
      </c>
      <c r="AS194" s="6">
        <v>0.0</v>
      </c>
      <c r="AT194" s="6">
        <f t="shared" ref="AT194:AV194" si="1687">+AN194+AQ194+AH194+AK194</f>
        <v>0</v>
      </c>
      <c r="AU194" s="6">
        <f t="shared" si="1687"/>
        <v>0</v>
      </c>
      <c r="AV194" s="6">
        <f t="shared" si="1687"/>
        <v>0</v>
      </c>
      <c r="AW194" s="6">
        <v>0.0</v>
      </c>
      <c r="AX194" s="6">
        <v>0.0</v>
      </c>
      <c r="AY194" s="6">
        <v>0.0</v>
      </c>
      <c r="AZ194" s="6">
        <v>0.0</v>
      </c>
      <c r="BA194" s="6">
        <v>0.0</v>
      </c>
      <c r="BB194" s="6">
        <v>0.0</v>
      </c>
      <c r="BC194" s="6">
        <v>0.0</v>
      </c>
      <c r="BD194" s="6">
        <v>0.0</v>
      </c>
      <c r="BE194" s="6">
        <v>0.0</v>
      </c>
      <c r="BF194" s="6">
        <v>0.0</v>
      </c>
      <c r="BG194" s="6">
        <v>0.0</v>
      </c>
      <c r="BH194" s="6">
        <v>0.0</v>
      </c>
      <c r="BI194" s="6">
        <f t="shared" ref="BI194:BK194" si="1688">+BC194+BF194+AW194+AZ194</f>
        <v>0</v>
      </c>
      <c r="BJ194" s="6">
        <f t="shared" si="1688"/>
        <v>0</v>
      </c>
      <c r="BK194" s="6">
        <f t="shared" si="1688"/>
        <v>0</v>
      </c>
      <c r="BL194" s="6">
        <v>0.0</v>
      </c>
      <c r="BM194" s="6">
        <v>0.0</v>
      </c>
      <c r="BN194" s="6">
        <v>0.0</v>
      </c>
      <c r="BO194" s="6">
        <v>0.0</v>
      </c>
      <c r="BP194" s="6">
        <v>0.0</v>
      </c>
      <c r="BQ194" s="6">
        <v>0.0</v>
      </c>
      <c r="BR194" s="6">
        <v>588627.0</v>
      </c>
      <c r="BS194" s="6">
        <v>588627.0</v>
      </c>
      <c r="BT194" s="6">
        <v>0.0</v>
      </c>
      <c r="BU194" s="6" t="str">
        <f t="shared" ref="BU194:BW194" si="1689">+BO194+BR194+#REF!+BL194</f>
        <v>#REF!</v>
      </c>
      <c r="BV194" s="6" t="str">
        <f t="shared" si="1689"/>
        <v>#REF!</v>
      </c>
      <c r="BW194" s="6" t="str">
        <f t="shared" si="1689"/>
        <v>#REF!</v>
      </c>
      <c r="BX194" s="6">
        <v>0.0</v>
      </c>
      <c r="BY194" s="6">
        <v>0.0</v>
      </c>
      <c r="BZ194" s="6">
        <v>588627.0</v>
      </c>
      <c r="CA194" s="6">
        <v>0.0</v>
      </c>
      <c r="CB194" s="6">
        <v>0.0</v>
      </c>
      <c r="CC194" s="6">
        <v>0.0</v>
      </c>
      <c r="CD194" s="6">
        <v>0.0</v>
      </c>
      <c r="CE194" s="6">
        <v>0.0</v>
      </c>
      <c r="CF194" s="6">
        <v>0.0</v>
      </c>
      <c r="CG194" s="6" t="str">
        <f t="shared" ref="CG194:CI194" si="1690">+CA194+CD194+BX194+#REF!</f>
        <v>#REF!</v>
      </c>
      <c r="CH194" s="6" t="str">
        <f t="shared" si="1690"/>
        <v>#REF!</v>
      </c>
      <c r="CI194" s="6" t="str">
        <f t="shared" si="1690"/>
        <v>#REF!</v>
      </c>
      <c r="CJ194" s="6">
        <v>0.0</v>
      </c>
      <c r="CK194" s="6">
        <v>0.0</v>
      </c>
      <c r="CL194" s="6">
        <v>0.0</v>
      </c>
      <c r="CM194" s="6">
        <v>0.0</v>
      </c>
      <c r="CN194" s="6">
        <v>0.0</v>
      </c>
      <c r="CO194" s="6">
        <v>0.0</v>
      </c>
      <c r="CP194" s="6">
        <v>0.0</v>
      </c>
      <c r="CQ194" s="6">
        <v>0.0</v>
      </c>
      <c r="CR194" s="6">
        <v>0.0</v>
      </c>
      <c r="CS194" s="6">
        <v>0.0</v>
      </c>
      <c r="CT194" s="6">
        <v>0.0</v>
      </c>
      <c r="CU194" s="6">
        <v>0.0</v>
      </c>
      <c r="CV194" s="6">
        <f t="shared" ref="CV194:CX194" si="1691">+CP194+CS194+CJ194+CM194</f>
        <v>0</v>
      </c>
      <c r="CW194" s="6">
        <f t="shared" si="1691"/>
        <v>0</v>
      </c>
      <c r="CX194" s="6">
        <f t="shared" si="1691"/>
        <v>0</v>
      </c>
      <c r="CY194" s="6">
        <v>0.0</v>
      </c>
      <c r="CZ194" s="6">
        <v>0.0</v>
      </c>
      <c r="DA194" s="6">
        <v>0.0</v>
      </c>
      <c r="DB194" s="6">
        <v>0.0</v>
      </c>
      <c r="DC194" s="6">
        <v>0.0</v>
      </c>
      <c r="DD194" s="6">
        <v>0.0</v>
      </c>
      <c r="DE194" s="6">
        <v>0.0</v>
      </c>
      <c r="DF194" s="6">
        <v>0.0</v>
      </c>
      <c r="DG194" s="6">
        <v>0.0</v>
      </c>
      <c r="DH194" s="6">
        <v>0.0</v>
      </c>
      <c r="DI194" s="6">
        <v>0.0</v>
      </c>
      <c r="DJ194" s="6">
        <v>0.0</v>
      </c>
      <c r="DK194" s="6">
        <f t="shared" ref="DK194:DM194" si="1692">+DE194+DH194+CY194+DB194</f>
        <v>0</v>
      </c>
      <c r="DL194" s="6">
        <f t="shared" si="1692"/>
        <v>0</v>
      </c>
      <c r="DM194" s="6">
        <f t="shared" si="1692"/>
        <v>0</v>
      </c>
      <c r="DN194" s="6" t="str">
        <f t="shared" ref="DN194:DP194" si="1693">+P194+AE194+AT194+BI194+BU194+CG194+CV194</f>
        <v>#REF!</v>
      </c>
      <c r="DO194" s="6" t="str">
        <f t="shared" si="1693"/>
        <v>#REF!</v>
      </c>
      <c r="DP194" s="6" t="str">
        <f t="shared" si="1693"/>
        <v>#REF!</v>
      </c>
      <c r="DQ194" s="6" t="str">
        <f t="shared" si="19"/>
        <v>#REF!</v>
      </c>
    </row>
    <row r="195" ht="13.5" customHeight="1">
      <c r="A195" s="11">
        <v>45637.0</v>
      </c>
      <c r="B195" s="2" t="s">
        <v>757</v>
      </c>
      <c r="C195" s="2" t="s">
        <v>758</v>
      </c>
      <c r="D195" s="29" t="s">
        <v>759</v>
      </c>
      <c r="E195" s="2" t="s">
        <v>760</v>
      </c>
      <c r="F195" s="11" t="s">
        <v>761</v>
      </c>
      <c r="G195" s="11" t="s">
        <v>20</v>
      </c>
      <c r="H195" s="5">
        <v>50000.0</v>
      </c>
      <c r="I195" s="5">
        <v>50000.0</v>
      </c>
      <c r="J195" s="6">
        <v>0.0</v>
      </c>
      <c r="K195" s="6">
        <v>0.0</v>
      </c>
      <c r="L195" s="6">
        <v>0.0</v>
      </c>
      <c r="M195" s="6">
        <v>0.0</v>
      </c>
      <c r="N195" s="6">
        <v>0.0</v>
      </c>
      <c r="O195" s="6">
        <v>0.0</v>
      </c>
      <c r="P195" s="6">
        <f t="shared" ref="P195:R195" si="1694">+J195+M195</f>
        <v>0</v>
      </c>
      <c r="Q195" s="6">
        <f t="shared" si="1694"/>
        <v>0</v>
      </c>
      <c r="R195" s="6">
        <f t="shared" si="1694"/>
        <v>0</v>
      </c>
      <c r="S195" s="6">
        <v>0.0</v>
      </c>
      <c r="T195" s="6">
        <v>0.0</v>
      </c>
      <c r="U195" s="6">
        <v>0.0</v>
      </c>
      <c r="V195" s="6">
        <v>0.0</v>
      </c>
      <c r="W195" s="6">
        <v>0.0</v>
      </c>
      <c r="X195" s="6">
        <v>0.0</v>
      </c>
      <c r="Y195" s="6">
        <v>0.0</v>
      </c>
      <c r="Z195" s="6">
        <v>0.0</v>
      </c>
      <c r="AA195" s="6">
        <v>0.0</v>
      </c>
      <c r="AB195" s="6">
        <v>0.0</v>
      </c>
      <c r="AC195" s="6">
        <v>0.0</v>
      </c>
      <c r="AD195" s="6">
        <v>0.0</v>
      </c>
      <c r="AE195" s="6">
        <f t="shared" ref="AE195:AG195" si="1695">+Y195+AB195+S195+V195</f>
        <v>0</v>
      </c>
      <c r="AF195" s="6">
        <f t="shared" si="1695"/>
        <v>0</v>
      </c>
      <c r="AG195" s="6">
        <f t="shared" si="1695"/>
        <v>0</v>
      </c>
      <c r="AH195" s="6">
        <v>0.0</v>
      </c>
      <c r="AI195" s="6">
        <v>0.0</v>
      </c>
      <c r="AJ195" s="6">
        <v>0.0</v>
      </c>
      <c r="AK195" s="6">
        <v>0.0</v>
      </c>
      <c r="AL195" s="6">
        <v>0.0</v>
      </c>
      <c r="AM195" s="6">
        <v>0.0</v>
      </c>
      <c r="AN195" s="6">
        <v>0.0</v>
      </c>
      <c r="AO195" s="6">
        <v>0.0</v>
      </c>
      <c r="AP195" s="6">
        <v>0.0</v>
      </c>
      <c r="AQ195" s="6">
        <v>0.0</v>
      </c>
      <c r="AR195" s="6">
        <v>0.0</v>
      </c>
      <c r="AS195" s="6">
        <v>0.0</v>
      </c>
      <c r="AT195" s="6">
        <f t="shared" ref="AT195:AV195" si="1696">+AN195+AQ195+AH195+AK195</f>
        <v>0</v>
      </c>
      <c r="AU195" s="6">
        <f t="shared" si="1696"/>
        <v>0</v>
      </c>
      <c r="AV195" s="6">
        <f t="shared" si="1696"/>
        <v>0</v>
      </c>
      <c r="AW195" s="6">
        <v>0.0</v>
      </c>
      <c r="AX195" s="6">
        <v>0.0</v>
      </c>
      <c r="AY195" s="6">
        <v>0.0</v>
      </c>
      <c r="AZ195" s="6">
        <v>0.0</v>
      </c>
      <c r="BA195" s="6">
        <v>0.0</v>
      </c>
      <c r="BB195" s="6">
        <v>0.0</v>
      </c>
      <c r="BC195" s="6">
        <v>0.0</v>
      </c>
      <c r="BD195" s="6">
        <v>0.0</v>
      </c>
      <c r="BE195" s="6">
        <v>0.0</v>
      </c>
      <c r="BF195" s="6">
        <v>0.0</v>
      </c>
      <c r="BG195" s="6">
        <v>0.0</v>
      </c>
      <c r="BH195" s="6">
        <v>0.0</v>
      </c>
      <c r="BI195" s="6">
        <f t="shared" ref="BI195:BK195" si="1697">+BC195+BF195+AW195+AZ195</f>
        <v>0</v>
      </c>
      <c r="BJ195" s="6">
        <f t="shared" si="1697"/>
        <v>0</v>
      </c>
      <c r="BK195" s="6">
        <f t="shared" si="1697"/>
        <v>0</v>
      </c>
      <c r="BL195" s="6">
        <v>0.0</v>
      </c>
      <c r="BM195" s="6">
        <v>0.0</v>
      </c>
      <c r="BN195" s="6">
        <v>0.0</v>
      </c>
      <c r="BO195" s="6">
        <v>0.0</v>
      </c>
      <c r="BP195" s="6">
        <v>0.0</v>
      </c>
      <c r="BQ195" s="6">
        <v>0.0</v>
      </c>
      <c r="BR195" s="6">
        <v>0.0</v>
      </c>
      <c r="BS195" s="6">
        <v>0.0</v>
      </c>
      <c r="BT195" s="6">
        <v>0.0</v>
      </c>
      <c r="BU195" s="6" t="str">
        <f t="shared" ref="BU195:BW195" si="1698">+BO195+BR195+#REF!+BL195</f>
        <v>#REF!</v>
      </c>
      <c r="BV195" s="6" t="str">
        <f t="shared" si="1698"/>
        <v>#REF!</v>
      </c>
      <c r="BW195" s="6" t="str">
        <f t="shared" si="1698"/>
        <v>#REF!</v>
      </c>
      <c r="BX195" s="6">
        <v>50000.0</v>
      </c>
      <c r="BY195" s="6">
        <v>50000.0</v>
      </c>
      <c r="BZ195" s="6">
        <v>0.0</v>
      </c>
      <c r="CA195" s="6">
        <v>0.0</v>
      </c>
      <c r="CB195" s="6">
        <v>0.0</v>
      </c>
      <c r="CC195" s="6">
        <v>0.0</v>
      </c>
      <c r="CD195" s="6">
        <v>0.0</v>
      </c>
      <c r="CE195" s="6">
        <v>0.0</v>
      </c>
      <c r="CF195" s="6">
        <v>0.0</v>
      </c>
      <c r="CG195" s="6" t="str">
        <f t="shared" ref="CG195:CI195" si="1699">+CA195+CD195+BX195+#REF!</f>
        <v>#REF!</v>
      </c>
      <c r="CH195" s="6" t="str">
        <f t="shared" si="1699"/>
        <v>#REF!</v>
      </c>
      <c r="CI195" s="6" t="str">
        <f t="shared" si="1699"/>
        <v>#REF!</v>
      </c>
      <c r="CJ195" s="6">
        <v>0.0</v>
      </c>
      <c r="CK195" s="6">
        <v>0.0</v>
      </c>
      <c r="CL195" s="6">
        <v>0.0</v>
      </c>
      <c r="CM195" s="6">
        <v>0.0</v>
      </c>
      <c r="CN195" s="6">
        <v>0.0</v>
      </c>
      <c r="CO195" s="6">
        <v>0.0</v>
      </c>
      <c r="CP195" s="6">
        <v>0.0</v>
      </c>
      <c r="CQ195" s="6">
        <v>0.0</v>
      </c>
      <c r="CR195" s="6">
        <v>0.0</v>
      </c>
      <c r="CS195" s="6">
        <v>0.0</v>
      </c>
      <c r="CT195" s="6">
        <v>0.0</v>
      </c>
      <c r="CU195" s="6">
        <v>0.0</v>
      </c>
      <c r="CV195" s="6">
        <f t="shared" ref="CV195:CX195" si="1700">+CP195+CS195+CJ195+CM195</f>
        <v>0</v>
      </c>
      <c r="CW195" s="6">
        <f t="shared" si="1700"/>
        <v>0</v>
      </c>
      <c r="CX195" s="6">
        <f t="shared" si="1700"/>
        <v>0</v>
      </c>
      <c r="CY195" s="6">
        <v>0.0</v>
      </c>
      <c r="CZ195" s="6">
        <v>0.0</v>
      </c>
      <c r="DA195" s="6">
        <v>0.0</v>
      </c>
      <c r="DB195" s="6">
        <v>0.0</v>
      </c>
      <c r="DC195" s="6">
        <v>0.0</v>
      </c>
      <c r="DD195" s="6">
        <v>0.0</v>
      </c>
      <c r="DE195" s="6">
        <v>0.0</v>
      </c>
      <c r="DF195" s="6">
        <v>0.0</v>
      </c>
      <c r="DG195" s="6">
        <v>0.0</v>
      </c>
      <c r="DH195" s="6">
        <v>0.0</v>
      </c>
      <c r="DI195" s="6">
        <v>0.0</v>
      </c>
      <c r="DJ195" s="6">
        <v>0.0</v>
      </c>
      <c r="DK195" s="6">
        <f t="shared" ref="DK195:DM195" si="1701">+DE195+DH195+CY195+DB195</f>
        <v>0</v>
      </c>
      <c r="DL195" s="6">
        <f t="shared" si="1701"/>
        <v>0</v>
      </c>
      <c r="DM195" s="6">
        <f t="shared" si="1701"/>
        <v>0</v>
      </c>
      <c r="DN195" s="6" t="str">
        <f t="shared" ref="DN195:DP195" si="1702">+P195+AE195+AT195+BI195+BU195+CG195+CV195</f>
        <v>#REF!</v>
      </c>
      <c r="DO195" s="6" t="str">
        <f t="shared" si="1702"/>
        <v>#REF!</v>
      </c>
      <c r="DP195" s="6" t="str">
        <f t="shared" si="1702"/>
        <v>#REF!</v>
      </c>
      <c r="DQ195" s="6" t="str">
        <f t="shared" si="19"/>
        <v>#REF!</v>
      </c>
    </row>
    <row r="196" ht="13.5" customHeight="1">
      <c r="A196" s="11">
        <v>45637.0</v>
      </c>
      <c r="B196" s="2" t="s">
        <v>757</v>
      </c>
      <c r="C196" s="2" t="s">
        <v>758</v>
      </c>
      <c r="D196" s="29" t="s">
        <v>759</v>
      </c>
      <c r="E196" s="2" t="s">
        <v>760</v>
      </c>
      <c r="F196" s="11" t="s">
        <v>761</v>
      </c>
      <c r="G196" s="11" t="s">
        <v>20</v>
      </c>
      <c r="H196" s="5">
        <v>6400000.0</v>
      </c>
      <c r="I196" s="5">
        <v>4699428.78</v>
      </c>
      <c r="J196" s="6">
        <v>0.0</v>
      </c>
      <c r="K196" s="6">
        <v>0.0</v>
      </c>
      <c r="L196" s="6">
        <v>0.0</v>
      </c>
      <c r="M196" s="6">
        <v>0.0</v>
      </c>
      <c r="N196" s="6">
        <v>0.0</v>
      </c>
      <c r="O196" s="6">
        <v>0.0</v>
      </c>
      <c r="P196" s="6">
        <f t="shared" ref="P196:R196" si="1703">+J196+M196</f>
        <v>0</v>
      </c>
      <c r="Q196" s="6">
        <f t="shared" si="1703"/>
        <v>0</v>
      </c>
      <c r="R196" s="6">
        <f t="shared" si="1703"/>
        <v>0</v>
      </c>
      <c r="S196" s="6">
        <v>0.0</v>
      </c>
      <c r="T196" s="6">
        <v>0.0</v>
      </c>
      <c r="U196" s="6">
        <v>0.0</v>
      </c>
      <c r="V196" s="6">
        <v>0.0</v>
      </c>
      <c r="W196" s="6">
        <v>0.0</v>
      </c>
      <c r="X196" s="6">
        <v>0.0</v>
      </c>
      <c r="Y196" s="6">
        <v>0.0</v>
      </c>
      <c r="Z196" s="6">
        <v>0.0</v>
      </c>
      <c r="AA196" s="6">
        <v>0.0</v>
      </c>
      <c r="AB196" s="6">
        <v>0.0</v>
      </c>
      <c r="AC196" s="6">
        <v>0.0</v>
      </c>
      <c r="AD196" s="6">
        <v>0.0</v>
      </c>
      <c r="AE196" s="6">
        <f t="shared" ref="AE196:AG196" si="1704">+Y196+AB196+S196+V196</f>
        <v>0</v>
      </c>
      <c r="AF196" s="6">
        <f t="shared" si="1704"/>
        <v>0</v>
      </c>
      <c r="AG196" s="6">
        <f t="shared" si="1704"/>
        <v>0</v>
      </c>
      <c r="AH196" s="6">
        <v>0.0</v>
      </c>
      <c r="AI196" s="6">
        <v>0.0</v>
      </c>
      <c r="AJ196" s="6">
        <v>0.0</v>
      </c>
      <c r="AK196" s="6">
        <v>0.0</v>
      </c>
      <c r="AL196" s="6">
        <v>0.0</v>
      </c>
      <c r="AM196" s="6">
        <v>0.0</v>
      </c>
      <c r="AN196" s="6">
        <v>0.0</v>
      </c>
      <c r="AO196" s="6">
        <v>0.0</v>
      </c>
      <c r="AP196" s="6">
        <v>0.0</v>
      </c>
      <c r="AQ196" s="6">
        <v>0.0</v>
      </c>
      <c r="AR196" s="6">
        <v>0.0</v>
      </c>
      <c r="AS196" s="6">
        <v>0.0</v>
      </c>
      <c r="AT196" s="6">
        <f t="shared" ref="AT196:AV196" si="1705">+AN196+AQ196+AH196+AK196</f>
        <v>0</v>
      </c>
      <c r="AU196" s="6">
        <f t="shared" si="1705"/>
        <v>0</v>
      </c>
      <c r="AV196" s="6">
        <f t="shared" si="1705"/>
        <v>0</v>
      </c>
      <c r="AW196" s="6">
        <v>0.0</v>
      </c>
      <c r="AX196" s="6">
        <v>0.0</v>
      </c>
      <c r="AY196" s="6">
        <v>0.0</v>
      </c>
      <c r="AZ196" s="6">
        <v>0.0</v>
      </c>
      <c r="BA196" s="6">
        <v>0.0</v>
      </c>
      <c r="BB196" s="6">
        <v>0.0</v>
      </c>
      <c r="BC196" s="6">
        <v>0.0</v>
      </c>
      <c r="BD196" s="6">
        <v>0.0</v>
      </c>
      <c r="BE196" s="6">
        <v>0.0</v>
      </c>
      <c r="BF196" s="6">
        <v>0.0</v>
      </c>
      <c r="BG196" s="6">
        <v>0.0</v>
      </c>
      <c r="BH196" s="6">
        <v>0.0</v>
      </c>
      <c r="BI196" s="6">
        <f t="shared" ref="BI196:BK196" si="1706">+BC196+BF196+AW196+AZ196</f>
        <v>0</v>
      </c>
      <c r="BJ196" s="6">
        <f t="shared" si="1706"/>
        <v>0</v>
      </c>
      <c r="BK196" s="6">
        <f t="shared" si="1706"/>
        <v>0</v>
      </c>
      <c r="BL196" s="6">
        <v>0.0</v>
      </c>
      <c r="BM196" s="6">
        <v>0.0</v>
      </c>
      <c r="BN196" s="6">
        <v>0.0</v>
      </c>
      <c r="BO196" s="6">
        <v>0.0</v>
      </c>
      <c r="BP196" s="6">
        <v>0.0</v>
      </c>
      <c r="BQ196" s="6">
        <v>0.0</v>
      </c>
      <c r="BR196" s="6">
        <v>0.0</v>
      </c>
      <c r="BS196" s="6">
        <v>0.0</v>
      </c>
      <c r="BT196" s="6">
        <v>0.0</v>
      </c>
      <c r="BU196" s="6" t="str">
        <f t="shared" ref="BU196:BW196" si="1707">+BO196+BR196+#REF!+BL196</f>
        <v>#REF!</v>
      </c>
      <c r="BV196" s="6" t="str">
        <f t="shared" si="1707"/>
        <v>#REF!</v>
      </c>
      <c r="BW196" s="6" t="str">
        <f t="shared" si="1707"/>
        <v>#REF!</v>
      </c>
      <c r="BX196" s="6">
        <v>6400000.0</v>
      </c>
      <c r="BY196" s="6">
        <v>4699428.78</v>
      </c>
      <c r="BZ196" s="6">
        <v>0.0</v>
      </c>
      <c r="CA196" s="6">
        <v>0.0</v>
      </c>
      <c r="CB196" s="6">
        <v>0.0</v>
      </c>
      <c r="CC196" s="6">
        <v>0.0</v>
      </c>
      <c r="CD196" s="6">
        <v>0.0</v>
      </c>
      <c r="CE196" s="6">
        <v>0.0</v>
      </c>
      <c r="CF196" s="6">
        <v>0.0</v>
      </c>
      <c r="CG196" s="6" t="str">
        <f t="shared" ref="CG196:CI196" si="1708">+CA196+CD196+BX196+#REF!</f>
        <v>#REF!</v>
      </c>
      <c r="CH196" s="6" t="str">
        <f t="shared" si="1708"/>
        <v>#REF!</v>
      </c>
      <c r="CI196" s="6" t="str">
        <f t="shared" si="1708"/>
        <v>#REF!</v>
      </c>
      <c r="CJ196" s="6">
        <v>0.0</v>
      </c>
      <c r="CK196" s="6">
        <v>0.0</v>
      </c>
      <c r="CL196" s="6">
        <v>0.0</v>
      </c>
      <c r="CM196" s="6">
        <v>0.0</v>
      </c>
      <c r="CN196" s="6">
        <v>0.0</v>
      </c>
      <c r="CO196" s="6">
        <v>0.0</v>
      </c>
      <c r="CP196" s="6">
        <v>0.0</v>
      </c>
      <c r="CQ196" s="6">
        <v>0.0</v>
      </c>
      <c r="CR196" s="6">
        <v>0.0</v>
      </c>
      <c r="CS196" s="6">
        <v>0.0</v>
      </c>
      <c r="CT196" s="6">
        <v>0.0</v>
      </c>
      <c r="CU196" s="6">
        <v>0.0</v>
      </c>
      <c r="CV196" s="6">
        <f t="shared" ref="CV196:CX196" si="1709">+CP196+CS196+CJ196+CM196</f>
        <v>0</v>
      </c>
      <c r="CW196" s="6">
        <f t="shared" si="1709"/>
        <v>0</v>
      </c>
      <c r="CX196" s="6">
        <f t="shared" si="1709"/>
        <v>0</v>
      </c>
      <c r="CY196" s="6">
        <v>0.0</v>
      </c>
      <c r="CZ196" s="6">
        <v>0.0</v>
      </c>
      <c r="DA196" s="6">
        <v>0.0</v>
      </c>
      <c r="DB196" s="6">
        <v>0.0</v>
      </c>
      <c r="DC196" s="6">
        <v>0.0</v>
      </c>
      <c r="DD196" s="6">
        <v>0.0</v>
      </c>
      <c r="DE196" s="6">
        <v>0.0</v>
      </c>
      <c r="DF196" s="6">
        <v>0.0</v>
      </c>
      <c r="DG196" s="6">
        <v>0.0</v>
      </c>
      <c r="DH196" s="6">
        <v>0.0</v>
      </c>
      <c r="DI196" s="6">
        <v>0.0</v>
      </c>
      <c r="DJ196" s="6">
        <v>0.0</v>
      </c>
      <c r="DK196" s="6">
        <f t="shared" ref="DK196:DM196" si="1710">+DE196+DH196+CY196+DB196</f>
        <v>0</v>
      </c>
      <c r="DL196" s="6">
        <f t="shared" si="1710"/>
        <v>0</v>
      </c>
      <c r="DM196" s="6">
        <f t="shared" si="1710"/>
        <v>0</v>
      </c>
      <c r="DN196" s="6" t="str">
        <f t="shared" ref="DN196:DP196" si="1711">+P196+AE196+AT196+BI196+BU196+CG196+CV196</f>
        <v>#REF!</v>
      </c>
      <c r="DO196" s="6" t="str">
        <f t="shared" si="1711"/>
        <v>#REF!</v>
      </c>
      <c r="DP196" s="6" t="str">
        <f t="shared" si="1711"/>
        <v>#REF!</v>
      </c>
      <c r="DQ196" s="6" t="str">
        <f t="shared" si="19"/>
        <v>#REF!</v>
      </c>
    </row>
    <row r="197" ht="13.5" customHeight="1">
      <c r="A197" s="11">
        <v>45994.0</v>
      </c>
      <c r="B197" s="2" t="s">
        <v>762</v>
      </c>
      <c r="C197" s="2" t="s">
        <v>758</v>
      </c>
      <c r="D197" s="29" t="s">
        <v>759</v>
      </c>
      <c r="E197" s="2" t="s">
        <v>760</v>
      </c>
      <c r="F197" s="11" t="s">
        <v>761</v>
      </c>
      <c r="G197" s="11" t="s">
        <v>20</v>
      </c>
      <c r="H197" s="5"/>
      <c r="I197" s="5">
        <v>1700571.21</v>
      </c>
      <c r="J197" s="6">
        <v>0.0</v>
      </c>
      <c r="K197" s="6">
        <v>0.0</v>
      </c>
      <c r="L197" s="6">
        <v>0.0</v>
      </c>
      <c r="M197" s="6">
        <v>0.0</v>
      </c>
      <c r="N197" s="6">
        <v>0.0</v>
      </c>
      <c r="O197" s="6">
        <v>0.0</v>
      </c>
      <c r="P197" s="6">
        <f t="shared" ref="P197:R197" si="1712">+J197+M197</f>
        <v>0</v>
      </c>
      <c r="Q197" s="6">
        <f t="shared" si="1712"/>
        <v>0</v>
      </c>
      <c r="R197" s="6">
        <f t="shared" si="1712"/>
        <v>0</v>
      </c>
      <c r="S197" s="6">
        <v>0.0</v>
      </c>
      <c r="T197" s="6">
        <v>0.0</v>
      </c>
      <c r="U197" s="6">
        <v>0.0</v>
      </c>
      <c r="V197" s="6">
        <v>0.0</v>
      </c>
      <c r="W197" s="6">
        <v>0.0</v>
      </c>
      <c r="X197" s="6">
        <v>0.0</v>
      </c>
      <c r="Y197" s="6">
        <v>0.0</v>
      </c>
      <c r="Z197" s="6">
        <v>0.0</v>
      </c>
      <c r="AA197" s="6">
        <v>0.0</v>
      </c>
      <c r="AB197" s="6">
        <v>0.0</v>
      </c>
      <c r="AC197" s="6">
        <v>0.0</v>
      </c>
      <c r="AD197" s="6">
        <v>0.0</v>
      </c>
      <c r="AE197" s="6">
        <f t="shared" ref="AE197:AG197" si="1713">+Y197+AB197+S197+V197</f>
        <v>0</v>
      </c>
      <c r="AF197" s="6">
        <f t="shared" si="1713"/>
        <v>0</v>
      </c>
      <c r="AG197" s="6">
        <f t="shared" si="1713"/>
        <v>0</v>
      </c>
      <c r="AH197" s="6">
        <v>0.0</v>
      </c>
      <c r="AI197" s="6">
        <v>0.0</v>
      </c>
      <c r="AJ197" s="6">
        <v>0.0</v>
      </c>
      <c r="AK197" s="6">
        <v>0.0</v>
      </c>
      <c r="AL197" s="6">
        <v>0.0</v>
      </c>
      <c r="AM197" s="6">
        <v>0.0</v>
      </c>
      <c r="AN197" s="6">
        <v>0.0</v>
      </c>
      <c r="AO197" s="6">
        <v>0.0</v>
      </c>
      <c r="AP197" s="6">
        <v>0.0</v>
      </c>
      <c r="AQ197" s="6">
        <v>0.0</v>
      </c>
      <c r="AR197" s="6">
        <v>0.0</v>
      </c>
      <c r="AS197" s="6">
        <v>0.0</v>
      </c>
      <c r="AT197" s="6">
        <f t="shared" ref="AT197:AV197" si="1714">+AN197+AQ197+AH197+AK197</f>
        <v>0</v>
      </c>
      <c r="AU197" s="6">
        <f t="shared" si="1714"/>
        <v>0</v>
      </c>
      <c r="AV197" s="6">
        <f t="shared" si="1714"/>
        <v>0</v>
      </c>
      <c r="AW197" s="6">
        <v>0.0</v>
      </c>
      <c r="AX197" s="6">
        <v>0.0</v>
      </c>
      <c r="AY197" s="6">
        <v>0.0</v>
      </c>
      <c r="AZ197" s="6">
        <v>0.0</v>
      </c>
      <c r="BA197" s="6">
        <v>0.0</v>
      </c>
      <c r="BB197" s="6">
        <v>0.0</v>
      </c>
      <c r="BC197" s="6">
        <v>0.0</v>
      </c>
      <c r="BD197" s="6">
        <v>0.0</v>
      </c>
      <c r="BE197" s="6">
        <v>0.0</v>
      </c>
      <c r="BF197" s="6">
        <v>0.0</v>
      </c>
      <c r="BG197" s="6">
        <v>0.0</v>
      </c>
      <c r="BH197" s="6">
        <v>0.0</v>
      </c>
      <c r="BI197" s="6">
        <f t="shared" ref="BI197:BK197" si="1715">+BC197+BF197+AW197+AZ197</f>
        <v>0</v>
      </c>
      <c r="BJ197" s="6">
        <f t="shared" si="1715"/>
        <v>0</v>
      </c>
      <c r="BK197" s="6">
        <f t="shared" si="1715"/>
        <v>0</v>
      </c>
      <c r="BL197" s="6">
        <v>0.0</v>
      </c>
      <c r="BM197" s="6">
        <v>0.0</v>
      </c>
      <c r="BN197" s="6">
        <v>0.0</v>
      </c>
      <c r="BO197" s="6">
        <v>0.0</v>
      </c>
      <c r="BP197" s="6">
        <v>0.0</v>
      </c>
      <c r="BQ197" s="6">
        <v>0.0</v>
      </c>
      <c r="BR197" s="6">
        <v>0.0</v>
      </c>
      <c r="BS197" s="6">
        <v>0.0</v>
      </c>
      <c r="BT197" s="6">
        <v>0.0</v>
      </c>
      <c r="BU197" s="6" t="str">
        <f t="shared" ref="BU197:BW197" si="1716">+BO197+BR197+#REF!+BL197</f>
        <v>#REF!</v>
      </c>
      <c r="BV197" s="6" t="str">
        <f t="shared" si="1716"/>
        <v>#REF!</v>
      </c>
      <c r="BW197" s="6" t="str">
        <f t="shared" si="1716"/>
        <v>#REF!</v>
      </c>
      <c r="BX197" s="6">
        <v>0.0</v>
      </c>
      <c r="BY197" s="6">
        <v>1700571.21</v>
      </c>
      <c r="BZ197" s="6">
        <v>0.0</v>
      </c>
      <c r="CA197" s="6">
        <v>0.0</v>
      </c>
      <c r="CB197" s="6">
        <v>0.0</v>
      </c>
      <c r="CC197" s="6">
        <v>0.0</v>
      </c>
      <c r="CD197" s="6">
        <v>0.0</v>
      </c>
      <c r="CE197" s="6">
        <v>0.0</v>
      </c>
      <c r="CF197" s="6">
        <v>0.0</v>
      </c>
      <c r="CG197" s="6" t="str">
        <f t="shared" ref="CG197:CI197" si="1717">+CA197+CD197+BX197+#REF!</f>
        <v>#REF!</v>
      </c>
      <c r="CH197" s="6" t="str">
        <f t="shared" si="1717"/>
        <v>#REF!</v>
      </c>
      <c r="CI197" s="6" t="str">
        <f t="shared" si="1717"/>
        <v>#REF!</v>
      </c>
      <c r="CJ197" s="6">
        <v>0.0</v>
      </c>
      <c r="CK197" s="6">
        <v>0.0</v>
      </c>
      <c r="CL197" s="6">
        <v>0.0</v>
      </c>
      <c r="CM197" s="6">
        <v>0.0</v>
      </c>
      <c r="CN197" s="6">
        <v>0.0</v>
      </c>
      <c r="CO197" s="6">
        <v>1700571.21</v>
      </c>
      <c r="CP197" s="6">
        <v>0.0</v>
      </c>
      <c r="CQ197" s="6">
        <v>0.0</v>
      </c>
      <c r="CR197" s="6">
        <v>0.0</v>
      </c>
      <c r="CS197" s="6">
        <v>0.0</v>
      </c>
      <c r="CT197" s="6">
        <v>0.0</v>
      </c>
      <c r="CU197" s="6">
        <v>0.0</v>
      </c>
      <c r="CV197" s="6">
        <f t="shared" ref="CV197:CX197" si="1718">+CP197+CS197+CJ197+CM197</f>
        <v>0</v>
      </c>
      <c r="CW197" s="6">
        <f t="shared" si="1718"/>
        <v>0</v>
      </c>
      <c r="CX197" s="6">
        <f t="shared" si="1718"/>
        <v>1700571.21</v>
      </c>
      <c r="CY197" s="6">
        <v>0.0</v>
      </c>
      <c r="CZ197" s="6">
        <v>0.0</v>
      </c>
      <c r="DA197" s="6">
        <v>0.0</v>
      </c>
      <c r="DB197" s="6">
        <v>0.0</v>
      </c>
      <c r="DC197" s="6">
        <v>0.0</v>
      </c>
      <c r="DD197" s="6">
        <v>1700571.21</v>
      </c>
      <c r="DE197" s="6">
        <v>0.0</v>
      </c>
      <c r="DF197" s="6">
        <v>0.0</v>
      </c>
      <c r="DG197" s="6">
        <v>0.0</v>
      </c>
      <c r="DH197" s="6">
        <v>0.0</v>
      </c>
      <c r="DI197" s="6">
        <v>0.0</v>
      </c>
      <c r="DJ197" s="6">
        <v>0.0</v>
      </c>
      <c r="DK197" s="6">
        <f t="shared" ref="DK197:DM197" si="1719">+DE197+DH197+CY197+DB197</f>
        <v>0</v>
      </c>
      <c r="DL197" s="6">
        <f t="shared" si="1719"/>
        <v>0</v>
      </c>
      <c r="DM197" s="6">
        <f t="shared" si="1719"/>
        <v>1700571.21</v>
      </c>
      <c r="DN197" s="6" t="str">
        <f t="shared" ref="DN197:DP197" si="1720">+P197+AE197+AT197+BI197+BU197+CG197+CV197</f>
        <v>#REF!</v>
      </c>
      <c r="DO197" s="6" t="str">
        <f t="shared" si="1720"/>
        <v>#REF!</v>
      </c>
      <c r="DP197" s="6" t="str">
        <f t="shared" si="1720"/>
        <v>#REF!</v>
      </c>
      <c r="DQ197" s="6" t="str">
        <f t="shared" si="19"/>
        <v>#REF!</v>
      </c>
    </row>
    <row r="198" ht="13.5" customHeight="1">
      <c r="A198" s="11">
        <v>46027.0</v>
      </c>
      <c r="B198" s="2" t="s">
        <v>763</v>
      </c>
      <c r="C198" s="2" t="s">
        <v>764</v>
      </c>
      <c r="D198" s="29" t="s">
        <v>765</v>
      </c>
      <c r="E198" s="2" t="s">
        <v>766</v>
      </c>
      <c r="F198" s="11" t="s">
        <v>767</v>
      </c>
      <c r="G198" s="11" t="s">
        <v>24</v>
      </c>
      <c r="H198" s="5">
        <v>3308467.83</v>
      </c>
      <c r="I198" s="5">
        <v>3308467.83</v>
      </c>
      <c r="J198" s="6">
        <v>0.0</v>
      </c>
      <c r="K198" s="6">
        <v>0.0</v>
      </c>
      <c r="L198" s="6">
        <v>0.0</v>
      </c>
      <c r="M198" s="6">
        <v>0.0</v>
      </c>
      <c r="N198" s="6">
        <v>0.0</v>
      </c>
      <c r="O198" s="6">
        <v>0.0</v>
      </c>
      <c r="P198" s="6">
        <f t="shared" ref="P198:R198" si="1721">+J198+M198</f>
        <v>0</v>
      </c>
      <c r="Q198" s="6">
        <f t="shared" si="1721"/>
        <v>0</v>
      </c>
      <c r="R198" s="6">
        <f t="shared" si="1721"/>
        <v>0</v>
      </c>
      <c r="S198" s="6">
        <v>0.0</v>
      </c>
      <c r="T198" s="6">
        <v>0.0</v>
      </c>
      <c r="U198" s="6">
        <v>0.0</v>
      </c>
      <c r="V198" s="6">
        <v>0.0</v>
      </c>
      <c r="W198" s="6">
        <v>0.0</v>
      </c>
      <c r="X198" s="6">
        <v>0.0</v>
      </c>
      <c r="Y198" s="6">
        <v>0.0</v>
      </c>
      <c r="Z198" s="6">
        <v>0.0</v>
      </c>
      <c r="AA198" s="6">
        <v>0.0</v>
      </c>
      <c r="AB198" s="6">
        <v>0.0</v>
      </c>
      <c r="AC198" s="6">
        <v>0.0</v>
      </c>
      <c r="AD198" s="6">
        <v>0.0</v>
      </c>
      <c r="AE198" s="6">
        <f t="shared" ref="AE198:AG198" si="1722">+Y198+AB198+S198+V198</f>
        <v>0</v>
      </c>
      <c r="AF198" s="6">
        <f t="shared" si="1722"/>
        <v>0</v>
      </c>
      <c r="AG198" s="6">
        <f t="shared" si="1722"/>
        <v>0</v>
      </c>
      <c r="AH198" s="6">
        <v>0.0</v>
      </c>
      <c r="AI198" s="6">
        <v>0.0</v>
      </c>
      <c r="AJ198" s="6">
        <v>0.0</v>
      </c>
      <c r="AK198" s="6">
        <v>0.0</v>
      </c>
      <c r="AL198" s="6">
        <v>0.0</v>
      </c>
      <c r="AM198" s="6">
        <v>0.0</v>
      </c>
      <c r="AN198" s="6">
        <v>0.0</v>
      </c>
      <c r="AO198" s="6">
        <v>0.0</v>
      </c>
      <c r="AP198" s="6">
        <v>0.0</v>
      </c>
      <c r="AQ198" s="6">
        <v>0.0</v>
      </c>
      <c r="AR198" s="6">
        <v>0.0</v>
      </c>
      <c r="AS198" s="6">
        <v>0.0</v>
      </c>
      <c r="AT198" s="6">
        <f t="shared" ref="AT198:AV198" si="1723">+AN198+AQ198+AH198+AK198</f>
        <v>0</v>
      </c>
      <c r="AU198" s="6">
        <f t="shared" si="1723"/>
        <v>0</v>
      </c>
      <c r="AV198" s="6">
        <f t="shared" si="1723"/>
        <v>0</v>
      </c>
      <c r="AW198" s="6">
        <v>0.0</v>
      </c>
      <c r="AX198" s="6">
        <v>0.0</v>
      </c>
      <c r="AY198" s="6">
        <v>0.0</v>
      </c>
      <c r="AZ198" s="6">
        <v>0.0</v>
      </c>
      <c r="BA198" s="6">
        <v>0.0</v>
      </c>
      <c r="BB198" s="6">
        <v>0.0</v>
      </c>
      <c r="BC198" s="6">
        <v>0.0</v>
      </c>
      <c r="BD198" s="6">
        <v>0.0</v>
      </c>
      <c r="BE198" s="6">
        <v>0.0</v>
      </c>
      <c r="BF198" s="6">
        <v>0.0</v>
      </c>
      <c r="BG198" s="6">
        <v>0.0</v>
      </c>
      <c r="BH198" s="6">
        <v>0.0</v>
      </c>
      <c r="BI198" s="6">
        <f t="shared" ref="BI198:BK198" si="1724">+BC198+BF198+AW198+AZ198</f>
        <v>0</v>
      </c>
      <c r="BJ198" s="6">
        <f t="shared" si="1724"/>
        <v>0</v>
      </c>
      <c r="BK198" s="6">
        <f t="shared" si="1724"/>
        <v>0</v>
      </c>
      <c r="BL198" s="6">
        <v>0.0</v>
      </c>
      <c r="BM198" s="6">
        <v>0.0</v>
      </c>
      <c r="BN198" s="6">
        <v>0.0</v>
      </c>
      <c r="BO198" s="6">
        <v>0.0</v>
      </c>
      <c r="BP198" s="6">
        <v>0.0</v>
      </c>
      <c r="BQ198" s="6">
        <v>0.0</v>
      </c>
      <c r="BR198" s="6">
        <v>0.0</v>
      </c>
      <c r="BS198" s="6">
        <v>0.0</v>
      </c>
      <c r="BT198" s="6">
        <v>0.0</v>
      </c>
      <c r="BU198" s="6" t="str">
        <f t="shared" ref="BU198:BW198" si="1725">+BO198+BR198+#REF!+BL198</f>
        <v>#REF!</v>
      </c>
      <c r="BV198" s="6" t="str">
        <f t="shared" si="1725"/>
        <v>#REF!</v>
      </c>
      <c r="BW198" s="6" t="str">
        <f t="shared" si="1725"/>
        <v>#REF!</v>
      </c>
      <c r="BX198" s="6">
        <v>0.0</v>
      </c>
      <c r="BY198" s="6">
        <v>0.0</v>
      </c>
      <c r="BZ198" s="6">
        <v>0.0</v>
      </c>
      <c r="CA198" s="6">
        <v>0.0</v>
      </c>
      <c r="CB198" s="6">
        <v>0.0</v>
      </c>
      <c r="CC198" s="6">
        <v>0.0</v>
      </c>
      <c r="CD198" s="6">
        <v>0.0</v>
      </c>
      <c r="CE198" s="6">
        <v>0.0</v>
      </c>
      <c r="CF198" s="6">
        <v>0.0</v>
      </c>
      <c r="CG198" s="6" t="str">
        <f t="shared" ref="CG198:CI198" si="1726">+CA198+CD198+BX198+#REF!</f>
        <v>#REF!</v>
      </c>
      <c r="CH198" s="6" t="str">
        <f t="shared" si="1726"/>
        <v>#REF!</v>
      </c>
      <c r="CI198" s="6" t="str">
        <f t="shared" si="1726"/>
        <v>#REF!</v>
      </c>
      <c r="CJ198" s="6">
        <v>0.0</v>
      </c>
      <c r="CK198" s="6">
        <v>0.0</v>
      </c>
      <c r="CL198" s="6">
        <v>0.0</v>
      </c>
      <c r="CM198" s="6">
        <v>3308467.83</v>
      </c>
      <c r="CN198" s="6">
        <v>3308467.83</v>
      </c>
      <c r="CO198" s="6">
        <v>0.0</v>
      </c>
      <c r="CP198" s="6">
        <v>0.0</v>
      </c>
      <c r="CQ198" s="6">
        <v>0.0</v>
      </c>
      <c r="CR198" s="6">
        <v>0.0</v>
      </c>
      <c r="CS198" s="6">
        <v>0.0</v>
      </c>
      <c r="CT198" s="6">
        <v>0.0</v>
      </c>
      <c r="CU198" s="6">
        <v>0.0</v>
      </c>
      <c r="CV198" s="6">
        <f t="shared" ref="CV198:CX198" si="1727">+CP198+CS198+CJ198+CM198</f>
        <v>3308467.83</v>
      </c>
      <c r="CW198" s="6">
        <f t="shared" si="1727"/>
        <v>3308467.83</v>
      </c>
      <c r="CX198" s="6">
        <f t="shared" si="1727"/>
        <v>0</v>
      </c>
      <c r="CY198" s="6">
        <v>0.0</v>
      </c>
      <c r="CZ198" s="6">
        <v>0.0</v>
      </c>
      <c r="DA198" s="6">
        <v>0.0</v>
      </c>
      <c r="DB198" s="6">
        <v>3308467.83</v>
      </c>
      <c r="DC198" s="6">
        <v>3308467.83</v>
      </c>
      <c r="DD198" s="6">
        <v>0.0</v>
      </c>
      <c r="DE198" s="6">
        <v>0.0</v>
      </c>
      <c r="DF198" s="6">
        <v>0.0</v>
      </c>
      <c r="DG198" s="6">
        <v>0.0</v>
      </c>
      <c r="DH198" s="6">
        <v>0.0</v>
      </c>
      <c r="DI198" s="6">
        <v>0.0</v>
      </c>
      <c r="DJ198" s="6">
        <v>0.0</v>
      </c>
      <c r="DK198" s="6">
        <f t="shared" ref="DK198:DM198" si="1728">+DE198+DH198+CY198+DB198</f>
        <v>3308467.83</v>
      </c>
      <c r="DL198" s="6">
        <f t="shared" si="1728"/>
        <v>3308467.83</v>
      </c>
      <c r="DM198" s="6">
        <f t="shared" si="1728"/>
        <v>0</v>
      </c>
      <c r="DN198" s="6" t="str">
        <f t="shared" ref="DN198:DP198" si="1729">+P198+AE198+AT198+BI198+BU198+CG198+CV198</f>
        <v>#REF!</v>
      </c>
      <c r="DO198" s="6" t="str">
        <f t="shared" si="1729"/>
        <v>#REF!</v>
      </c>
      <c r="DP198" s="6" t="str">
        <f t="shared" si="1729"/>
        <v>#REF!</v>
      </c>
      <c r="DQ198" s="6" t="str">
        <f t="shared" si="19"/>
        <v>#REF!</v>
      </c>
    </row>
    <row r="199" ht="13.5" customHeight="1">
      <c r="A199" s="11"/>
      <c r="B199" s="2"/>
      <c r="C199" s="2"/>
      <c r="D199" s="29"/>
      <c r="E199" s="2"/>
      <c r="F199" s="11"/>
      <c r="G199" s="11"/>
      <c r="H199" s="5"/>
      <c r="I199" s="5"/>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2"/>
      <c r="DO199" s="2"/>
      <c r="DP199" s="2"/>
      <c r="DQ199" s="2"/>
    </row>
    <row r="200" ht="13.5" customHeight="1">
      <c r="A200" s="38"/>
      <c r="B200" s="28"/>
      <c r="C200" s="28"/>
      <c r="D200" s="3"/>
      <c r="E200" s="28"/>
      <c r="F200" s="38"/>
      <c r="G200" s="39" t="s">
        <v>768</v>
      </c>
      <c r="H200" s="40">
        <f t="shared" ref="H200:DQ200" si="1730">SUM(H7:H199)</f>
        <v>282025533.5</v>
      </c>
      <c r="I200" s="40">
        <f t="shared" si="1730"/>
        <v>281025228.5</v>
      </c>
      <c r="J200" s="40">
        <f t="shared" si="1730"/>
        <v>0</v>
      </c>
      <c r="K200" s="40">
        <f t="shared" si="1730"/>
        <v>0</v>
      </c>
      <c r="L200" s="40">
        <f t="shared" si="1730"/>
        <v>0</v>
      </c>
      <c r="M200" s="40">
        <f t="shared" si="1730"/>
        <v>50404706</v>
      </c>
      <c r="N200" s="40">
        <f t="shared" si="1730"/>
        <v>50404706</v>
      </c>
      <c r="O200" s="40">
        <f t="shared" si="1730"/>
        <v>0</v>
      </c>
      <c r="P200" s="40">
        <f t="shared" si="1730"/>
        <v>50404706</v>
      </c>
      <c r="Q200" s="40">
        <f t="shared" si="1730"/>
        <v>50404706</v>
      </c>
      <c r="R200" s="40">
        <f t="shared" si="1730"/>
        <v>0</v>
      </c>
      <c r="S200" s="40">
        <f t="shared" si="1730"/>
        <v>9952107</v>
      </c>
      <c r="T200" s="40">
        <f t="shared" si="1730"/>
        <v>9952107</v>
      </c>
      <c r="U200" s="40">
        <f t="shared" si="1730"/>
        <v>7820000</v>
      </c>
      <c r="V200" s="40">
        <f t="shared" si="1730"/>
        <v>5541800</v>
      </c>
      <c r="W200" s="40">
        <f t="shared" si="1730"/>
        <v>5541800</v>
      </c>
      <c r="X200" s="40">
        <f t="shared" si="1730"/>
        <v>32180674</v>
      </c>
      <c r="Y200" s="40">
        <f t="shared" si="1730"/>
        <v>12119574.92</v>
      </c>
      <c r="Z200" s="40">
        <f t="shared" si="1730"/>
        <v>12119574.92</v>
      </c>
      <c r="AA200" s="40">
        <f t="shared" si="1730"/>
        <v>0</v>
      </c>
      <c r="AB200" s="40">
        <f t="shared" si="1730"/>
        <v>9258000</v>
      </c>
      <c r="AC200" s="40">
        <f t="shared" si="1730"/>
        <v>9258000</v>
      </c>
      <c r="AD200" s="40">
        <f t="shared" si="1730"/>
        <v>12437682</v>
      </c>
      <c r="AE200" s="40">
        <f t="shared" si="1730"/>
        <v>36871481.92</v>
      </c>
      <c r="AF200" s="40">
        <f t="shared" si="1730"/>
        <v>36871481.92</v>
      </c>
      <c r="AG200" s="40">
        <f t="shared" si="1730"/>
        <v>52438356</v>
      </c>
      <c r="AH200" s="40">
        <f t="shared" si="1730"/>
        <v>11619166</v>
      </c>
      <c r="AI200" s="40">
        <f t="shared" si="1730"/>
        <v>11619166</v>
      </c>
      <c r="AJ200" s="40">
        <f t="shared" si="1730"/>
        <v>9561000</v>
      </c>
      <c r="AK200" s="40">
        <f t="shared" si="1730"/>
        <v>833000</v>
      </c>
      <c r="AL200" s="40">
        <f t="shared" si="1730"/>
        <v>833000</v>
      </c>
      <c r="AM200" s="40">
        <f t="shared" si="1730"/>
        <v>7517375.17</v>
      </c>
      <c r="AN200" s="40">
        <f t="shared" si="1730"/>
        <v>11935297.49</v>
      </c>
      <c r="AO200" s="40">
        <f t="shared" si="1730"/>
        <v>11935297.49</v>
      </c>
      <c r="AP200" s="40">
        <f t="shared" si="1730"/>
        <v>5113666.67</v>
      </c>
      <c r="AQ200" s="40">
        <f t="shared" si="1730"/>
        <v>5084000</v>
      </c>
      <c r="AR200" s="40">
        <f t="shared" si="1730"/>
        <v>5084000</v>
      </c>
      <c r="AS200" s="40">
        <f t="shared" si="1730"/>
        <v>11803157.75</v>
      </c>
      <c r="AT200" s="40">
        <f t="shared" si="1730"/>
        <v>29471463.49</v>
      </c>
      <c r="AU200" s="40">
        <f t="shared" si="1730"/>
        <v>29471463.49</v>
      </c>
      <c r="AV200" s="40">
        <f t="shared" si="1730"/>
        <v>33995199.59</v>
      </c>
      <c r="AW200" s="40">
        <f t="shared" si="1730"/>
        <v>6206605.42</v>
      </c>
      <c r="AX200" s="40">
        <f t="shared" si="1730"/>
        <v>6206605.42</v>
      </c>
      <c r="AY200" s="40">
        <f t="shared" si="1730"/>
        <v>11390175.17</v>
      </c>
      <c r="AZ200" s="40">
        <f t="shared" si="1730"/>
        <v>2221221.98</v>
      </c>
      <c r="BA200" s="40">
        <f t="shared" si="1730"/>
        <v>2221221.98</v>
      </c>
      <c r="BB200" s="40">
        <f t="shared" si="1730"/>
        <v>14352496.15</v>
      </c>
      <c r="BC200" s="40">
        <f t="shared" si="1730"/>
        <v>30136862.99</v>
      </c>
      <c r="BD200" s="40">
        <f t="shared" si="1730"/>
        <v>30136862.99</v>
      </c>
      <c r="BE200" s="40">
        <f t="shared" si="1730"/>
        <v>6442483.21</v>
      </c>
      <c r="BF200" s="40">
        <f t="shared" si="1730"/>
        <v>19139489</v>
      </c>
      <c r="BG200" s="40">
        <f t="shared" si="1730"/>
        <v>19139489</v>
      </c>
      <c r="BH200" s="40">
        <f t="shared" si="1730"/>
        <v>9309384.75</v>
      </c>
      <c r="BI200" s="40">
        <f t="shared" si="1730"/>
        <v>57704179.39</v>
      </c>
      <c r="BJ200" s="40">
        <f t="shared" si="1730"/>
        <v>57704179.39</v>
      </c>
      <c r="BK200" s="40">
        <f t="shared" si="1730"/>
        <v>41494539.28</v>
      </c>
      <c r="BL200" s="40">
        <f t="shared" si="1730"/>
        <v>6110326.28</v>
      </c>
      <c r="BM200" s="40">
        <f t="shared" si="1730"/>
        <v>6110326.28</v>
      </c>
      <c r="BN200" s="40">
        <f t="shared" si="1730"/>
        <v>22557753.4</v>
      </c>
      <c r="BO200" s="40">
        <f t="shared" si="1730"/>
        <v>7775088.22</v>
      </c>
      <c r="BP200" s="40">
        <f t="shared" si="1730"/>
        <v>7775088.22</v>
      </c>
      <c r="BQ200" s="40">
        <f t="shared" si="1730"/>
        <v>7535527.8</v>
      </c>
      <c r="BR200" s="40">
        <f t="shared" si="1730"/>
        <v>14436900</v>
      </c>
      <c r="BS200" s="40">
        <f t="shared" si="1730"/>
        <v>14436900</v>
      </c>
      <c r="BT200" s="40">
        <f t="shared" si="1730"/>
        <v>9112124.65</v>
      </c>
      <c r="BU200" s="40" t="str">
        <f t="shared" si="1730"/>
        <v>#REF!</v>
      </c>
      <c r="BV200" s="40" t="str">
        <f t="shared" si="1730"/>
        <v>#REF!</v>
      </c>
      <c r="BW200" s="40" t="str">
        <f t="shared" si="1730"/>
        <v>#REF!</v>
      </c>
      <c r="BX200" s="40">
        <f t="shared" si="1730"/>
        <v>8568000</v>
      </c>
      <c r="BY200" s="40">
        <f t="shared" si="1730"/>
        <v>8567999.99</v>
      </c>
      <c r="BZ200" s="40">
        <f t="shared" si="1730"/>
        <v>23324421.05</v>
      </c>
      <c r="CA200" s="40">
        <f t="shared" si="1730"/>
        <v>10128565.24</v>
      </c>
      <c r="CB200" s="40">
        <f t="shared" si="1730"/>
        <v>10128565.24</v>
      </c>
      <c r="CC200" s="40">
        <f t="shared" si="1730"/>
        <v>4470000</v>
      </c>
      <c r="CD200" s="40">
        <f t="shared" si="1730"/>
        <v>15538000</v>
      </c>
      <c r="CE200" s="40">
        <f t="shared" si="1730"/>
        <v>14673253</v>
      </c>
      <c r="CF200" s="40">
        <f t="shared" si="1730"/>
        <v>6911766.45</v>
      </c>
      <c r="CG200" s="40" t="str">
        <f t="shared" si="1730"/>
        <v>#REF!</v>
      </c>
      <c r="CH200" s="40" t="str">
        <f t="shared" si="1730"/>
        <v>#REF!</v>
      </c>
      <c r="CI200" s="40" t="str">
        <f t="shared" si="1730"/>
        <v>#REF!</v>
      </c>
      <c r="CJ200" s="40">
        <f t="shared" si="1730"/>
        <v>4534335.15</v>
      </c>
      <c r="CK200" s="40">
        <f t="shared" si="1730"/>
        <v>4534335.15</v>
      </c>
      <c r="CL200" s="40">
        <f t="shared" si="1730"/>
        <v>6034338.9</v>
      </c>
      <c r="CM200" s="40">
        <f t="shared" si="1730"/>
        <v>8675487.83</v>
      </c>
      <c r="CN200" s="40">
        <f t="shared" si="1730"/>
        <v>8675487.83</v>
      </c>
      <c r="CO200" s="40">
        <f t="shared" si="1730"/>
        <v>8724031.45</v>
      </c>
      <c r="CP200" s="40">
        <f t="shared" si="1730"/>
        <v>0</v>
      </c>
      <c r="CQ200" s="40">
        <f t="shared" si="1730"/>
        <v>0</v>
      </c>
      <c r="CR200" s="40">
        <f t="shared" si="1730"/>
        <v>0</v>
      </c>
      <c r="CS200" s="40">
        <f t="shared" si="1730"/>
        <v>0</v>
      </c>
      <c r="CT200" s="40">
        <f t="shared" si="1730"/>
        <v>0</v>
      </c>
      <c r="CU200" s="40">
        <f t="shared" si="1730"/>
        <v>0</v>
      </c>
      <c r="CV200" s="40">
        <f t="shared" si="1730"/>
        <v>13209822.98</v>
      </c>
      <c r="CW200" s="40">
        <f t="shared" si="1730"/>
        <v>13209822.98</v>
      </c>
      <c r="CX200" s="40">
        <f t="shared" si="1730"/>
        <v>14758370.35</v>
      </c>
      <c r="CY200" s="40">
        <f t="shared" si="1730"/>
        <v>4534335.15</v>
      </c>
      <c r="CZ200" s="40">
        <f t="shared" si="1730"/>
        <v>4534335.15</v>
      </c>
      <c r="DA200" s="40">
        <f t="shared" si="1730"/>
        <v>6034338.9</v>
      </c>
      <c r="DB200" s="40">
        <f t="shared" si="1730"/>
        <v>8675487.83</v>
      </c>
      <c r="DC200" s="40">
        <f t="shared" si="1730"/>
        <v>8675487.83</v>
      </c>
      <c r="DD200" s="40">
        <f t="shared" si="1730"/>
        <v>8724031.45</v>
      </c>
      <c r="DE200" s="40">
        <f t="shared" si="1730"/>
        <v>0</v>
      </c>
      <c r="DF200" s="40">
        <f t="shared" si="1730"/>
        <v>0</v>
      </c>
      <c r="DG200" s="40">
        <f t="shared" si="1730"/>
        <v>0</v>
      </c>
      <c r="DH200" s="40">
        <f t="shared" si="1730"/>
        <v>0</v>
      </c>
      <c r="DI200" s="40">
        <f t="shared" si="1730"/>
        <v>0</v>
      </c>
      <c r="DJ200" s="40">
        <f t="shared" si="1730"/>
        <v>0</v>
      </c>
      <c r="DK200" s="40">
        <f t="shared" si="1730"/>
        <v>13209822.98</v>
      </c>
      <c r="DL200" s="40">
        <f t="shared" si="1730"/>
        <v>13209822.98</v>
      </c>
      <c r="DM200" s="40">
        <f t="shared" si="1730"/>
        <v>14758370.35</v>
      </c>
      <c r="DN200" s="40" t="str">
        <f t="shared" si="1730"/>
        <v>#REF!</v>
      </c>
      <c r="DO200" s="40" t="str">
        <f t="shared" si="1730"/>
        <v>#REF!</v>
      </c>
      <c r="DP200" s="40" t="str">
        <f t="shared" si="1730"/>
        <v>#REF!</v>
      </c>
      <c r="DQ200" s="40" t="str">
        <f t="shared" si="1730"/>
        <v>#REF!</v>
      </c>
      <c r="DR200" s="41"/>
      <c r="DS200" s="41"/>
      <c r="DT200" s="41"/>
    </row>
    <row r="201" ht="13.5" customHeight="1">
      <c r="A201" s="11"/>
      <c r="B201" s="2"/>
      <c r="C201" s="2"/>
      <c r="D201" s="29"/>
      <c r="E201" s="2"/>
      <c r="F201" s="11"/>
      <c r="G201" s="11"/>
      <c r="H201" s="5"/>
      <c r="I201" s="5"/>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2"/>
      <c r="DO201" s="2"/>
      <c r="DP201" s="2"/>
      <c r="DQ201" s="2"/>
    </row>
    <row r="202" ht="13.5" customHeight="1">
      <c r="A202" s="42" t="s">
        <v>769</v>
      </c>
      <c r="B202" s="43"/>
      <c r="C202" s="43"/>
      <c r="D202" s="44"/>
      <c r="E202" s="43"/>
      <c r="F202" s="45"/>
      <c r="G202" s="45"/>
      <c r="H202" s="36">
        <f>+'SF270 CA2 Source Data'!L222</f>
        <v>309025533.5</v>
      </c>
      <c r="I202" s="3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c r="CD202" s="46"/>
      <c r="CE202" s="46"/>
      <c r="CF202" s="46"/>
      <c r="CG202" s="46"/>
      <c r="CH202" s="46"/>
      <c r="CI202" s="46"/>
      <c r="CJ202" s="46"/>
      <c r="CK202" s="46"/>
      <c r="CL202" s="46"/>
      <c r="CM202" s="46"/>
      <c r="CN202" s="46"/>
      <c r="CO202" s="46"/>
      <c r="CP202" s="46"/>
      <c r="CQ202" s="46"/>
      <c r="CR202" s="46"/>
      <c r="CS202" s="46"/>
      <c r="CT202" s="46"/>
      <c r="CU202" s="46"/>
      <c r="CV202" s="46"/>
      <c r="CW202" s="46"/>
      <c r="CX202" s="46"/>
      <c r="CY202" s="46"/>
      <c r="CZ202" s="46"/>
      <c r="DA202" s="46"/>
      <c r="DB202" s="46"/>
      <c r="DC202" s="46"/>
      <c r="DD202" s="46"/>
      <c r="DE202" s="46"/>
      <c r="DF202" s="46"/>
      <c r="DG202" s="46"/>
      <c r="DH202" s="46"/>
      <c r="DI202" s="46"/>
      <c r="DJ202" s="46"/>
      <c r="DK202" s="46"/>
      <c r="DL202" s="46"/>
      <c r="DM202" s="46"/>
      <c r="DN202" s="43"/>
      <c r="DO202" s="43"/>
      <c r="DP202" s="43"/>
      <c r="DQ202" s="46">
        <f>+'SF270 CA2 Source Data'!BG222</f>
        <v>38316368.53</v>
      </c>
      <c r="DR202" s="41"/>
      <c r="DS202" s="41"/>
      <c r="DT202" s="41"/>
    </row>
    <row r="203" ht="13.5" customHeight="1">
      <c r="A203" s="45"/>
      <c r="B203" s="43"/>
      <c r="C203" s="43"/>
      <c r="D203" s="44"/>
      <c r="E203" s="43"/>
      <c r="F203" s="45"/>
      <c r="G203" s="45"/>
      <c r="H203" s="36"/>
      <c r="I203" s="3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c r="CD203" s="46"/>
      <c r="CE203" s="46"/>
      <c r="CF203" s="46"/>
      <c r="CG203" s="46"/>
      <c r="CH203" s="46"/>
      <c r="CI203" s="46"/>
      <c r="CJ203" s="46"/>
      <c r="CK203" s="46"/>
      <c r="CL203" s="46"/>
      <c r="CM203" s="46"/>
      <c r="CN203" s="46"/>
      <c r="CO203" s="46"/>
      <c r="CP203" s="46"/>
      <c r="CQ203" s="46"/>
      <c r="CR203" s="46"/>
      <c r="CS203" s="46"/>
      <c r="CT203" s="46"/>
      <c r="CU203" s="46"/>
      <c r="CV203" s="46"/>
      <c r="CW203" s="46"/>
      <c r="CX203" s="46"/>
      <c r="CY203" s="46"/>
      <c r="CZ203" s="46"/>
      <c r="DA203" s="46"/>
      <c r="DB203" s="46"/>
      <c r="DC203" s="46"/>
      <c r="DD203" s="46"/>
      <c r="DE203" s="46"/>
      <c r="DF203" s="46"/>
      <c r="DG203" s="46"/>
      <c r="DH203" s="46"/>
      <c r="DI203" s="46"/>
      <c r="DJ203" s="46"/>
      <c r="DK203" s="46"/>
      <c r="DL203" s="46"/>
      <c r="DM203" s="46"/>
      <c r="DN203" s="43"/>
      <c r="DO203" s="43"/>
      <c r="DP203" s="43"/>
      <c r="DQ203" s="43"/>
      <c r="DR203" s="41"/>
      <c r="DS203" s="41"/>
      <c r="DT203" s="41"/>
    </row>
    <row r="204" ht="13.5" customHeight="1">
      <c r="A204" s="45" t="s">
        <v>770</v>
      </c>
      <c r="B204" s="43"/>
      <c r="C204" s="43"/>
      <c r="D204" s="44"/>
      <c r="E204" s="43"/>
      <c r="F204" s="45"/>
      <c r="G204" s="45"/>
      <c r="H204" s="36">
        <f>+H200-H202</f>
        <v>-27000000</v>
      </c>
      <c r="I204" s="3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c r="CD204" s="46"/>
      <c r="CE204" s="46"/>
      <c r="CF204" s="46"/>
      <c r="CG204" s="46"/>
      <c r="CH204" s="46"/>
      <c r="CI204" s="46"/>
      <c r="CJ204" s="46"/>
      <c r="CK204" s="46"/>
      <c r="CL204" s="46"/>
      <c r="CM204" s="46"/>
      <c r="CN204" s="46"/>
      <c r="CO204" s="46"/>
      <c r="CP204" s="46"/>
      <c r="CQ204" s="46"/>
      <c r="CR204" s="46"/>
      <c r="CS204" s="46"/>
      <c r="CT204" s="46"/>
      <c r="CU204" s="46"/>
      <c r="CV204" s="46"/>
      <c r="CW204" s="46"/>
      <c r="CX204" s="46"/>
      <c r="CY204" s="46"/>
      <c r="CZ204" s="46"/>
      <c r="DA204" s="46"/>
      <c r="DB204" s="46"/>
      <c r="DC204" s="46"/>
      <c r="DD204" s="46"/>
      <c r="DE204" s="46"/>
      <c r="DF204" s="46"/>
      <c r="DG204" s="46"/>
      <c r="DH204" s="46"/>
      <c r="DI204" s="46"/>
      <c r="DJ204" s="46"/>
      <c r="DK204" s="46"/>
      <c r="DL204" s="46"/>
      <c r="DM204" s="46"/>
      <c r="DN204" s="43"/>
      <c r="DO204" s="43"/>
      <c r="DP204" s="43"/>
      <c r="DQ204" s="46" t="str">
        <f>+DQ200-DQ202</f>
        <v>#REF!</v>
      </c>
      <c r="DR204" s="41"/>
      <c r="DS204" s="41"/>
      <c r="DT204" s="41"/>
    </row>
    <row r="205" ht="13.5" customHeight="1">
      <c r="A205" s="11"/>
      <c r="B205" s="2"/>
      <c r="C205" s="2"/>
      <c r="D205" s="29"/>
      <c r="E205" s="2"/>
      <c r="F205" s="11"/>
      <c r="G205" s="11"/>
      <c r="H205" s="5"/>
      <c r="I205" s="5"/>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2"/>
      <c r="DO205" s="2"/>
      <c r="DP205" s="2"/>
      <c r="DQ205" s="2"/>
    </row>
    <row r="206" ht="13.5" customHeight="1">
      <c r="A206" s="11" t="s">
        <v>771</v>
      </c>
      <c r="B206" s="2"/>
      <c r="C206" s="2"/>
      <c r="D206" s="29"/>
      <c r="E206" s="2"/>
      <c r="F206" s="11"/>
      <c r="G206" s="11"/>
      <c r="H206" s="47">
        <f>309025533.52-27000000</f>
        <v>282025533.5</v>
      </c>
      <c r="I206" s="5"/>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2"/>
      <c r="DO206" s="2"/>
      <c r="DP206" s="2"/>
      <c r="DQ206" s="2"/>
    </row>
    <row r="207" ht="13.5" customHeight="1">
      <c r="A207" s="11"/>
      <c r="B207" s="2"/>
      <c r="C207" s="2"/>
      <c r="D207" s="29"/>
      <c r="E207" s="2"/>
      <c r="F207" s="11"/>
      <c r="G207" s="11"/>
      <c r="H207" s="5"/>
      <c r="I207" s="5"/>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2"/>
      <c r="DO207" s="2"/>
      <c r="DP207" s="2"/>
      <c r="DQ207" s="2"/>
    </row>
    <row r="208" ht="13.5" customHeight="1">
      <c r="A208" s="45" t="s">
        <v>772</v>
      </c>
      <c r="B208" s="2"/>
      <c r="C208" s="2"/>
      <c r="D208" s="29"/>
      <c r="E208" s="2"/>
      <c r="F208" s="11"/>
      <c r="G208" s="11"/>
      <c r="H208" s="5">
        <f>+H200-H206</f>
        <v>0</v>
      </c>
      <c r="I208" s="5"/>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2"/>
      <c r="DO208" s="2"/>
      <c r="DP208" s="2"/>
      <c r="DQ208" s="2"/>
    </row>
    <row r="209" ht="13.5" customHeight="1">
      <c r="A209" s="11"/>
      <c r="B209" s="2"/>
      <c r="C209" s="2"/>
      <c r="D209" s="29"/>
      <c r="E209" s="2"/>
      <c r="F209" s="11"/>
      <c r="G209" s="11"/>
      <c r="H209" s="5"/>
      <c r="I209" s="5"/>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2"/>
      <c r="DO209" s="2"/>
      <c r="DP209" s="2"/>
      <c r="DQ209" s="2"/>
    </row>
    <row r="210" ht="13.5" customHeight="1">
      <c r="A210" s="11"/>
      <c r="B210" s="2"/>
      <c r="C210" s="2"/>
      <c r="D210" s="29"/>
      <c r="E210" s="2"/>
      <c r="F210" s="11"/>
      <c r="G210" s="11"/>
      <c r="H210" s="5"/>
      <c r="I210" s="5"/>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2"/>
      <c r="DO210" s="2"/>
      <c r="DP210" s="2"/>
      <c r="DQ210" s="2"/>
    </row>
    <row r="211" ht="13.5" customHeight="1">
      <c r="A211" s="11"/>
      <c r="B211" s="2"/>
      <c r="C211" s="2"/>
      <c r="D211" s="29"/>
      <c r="E211" s="2"/>
      <c r="F211" s="11"/>
      <c r="G211" s="11"/>
      <c r="H211" s="5"/>
      <c r="I211" s="5"/>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2"/>
      <c r="DO211" s="2"/>
      <c r="DP211" s="2"/>
      <c r="DQ211" s="2"/>
    </row>
    <row r="212" ht="13.5" customHeight="1">
      <c r="A212" s="11"/>
      <c r="B212" s="2"/>
      <c r="C212" s="2"/>
      <c r="D212" s="29"/>
      <c r="E212" s="2"/>
      <c r="F212" s="11"/>
      <c r="G212" s="11"/>
      <c r="H212" s="5"/>
      <c r="I212" s="5"/>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2"/>
      <c r="DO212" s="2"/>
      <c r="DP212" s="2"/>
      <c r="DQ212" s="2"/>
    </row>
    <row r="213" ht="13.5" customHeight="1">
      <c r="A213" s="11"/>
      <c r="B213" s="2"/>
      <c r="C213" s="2"/>
      <c r="D213" s="29"/>
      <c r="E213" s="2"/>
      <c r="F213" s="11"/>
      <c r="G213" s="11"/>
      <c r="H213" s="5"/>
      <c r="I213" s="5"/>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2"/>
      <c r="DO213" s="2"/>
      <c r="DP213" s="2"/>
      <c r="DQ213" s="2"/>
    </row>
    <row r="214" ht="13.5" customHeight="1">
      <c r="A214" s="11"/>
      <c r="B214" s="2"/>
      <c r="C214" s="2"/>
      <c r="D214" s="29"/>
      <c r="E214" s="2"/>
      <c r="F214" s="11"/>
      <c r="G214" s="11"/>
      <c r="H214" s="5"/>
      <c r="I214" s="5"/>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2"/>
      <c r="DO214" s="2"/>
      <c r="DP214" s="2"/>
      <c r="DQ214" s="2"/>
    </row>
    <row r="215" ht="13.5" customHeight="1">
      <c r="A215" s="11"/>
      <c r="B215" s="2"/>
      <c r="C215" s="2"/>
      <c r="D215" s="29"/>
      <c r="E215" s="2"/>
      <c r="F215" s="11"/>
      <c r="G215" s="11"/>
      <c r="H215" s="5"/>
      <c r="I215" s="5"/>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2"/>
      <c r="DO215" s="2"/>
      <c r="DP215" s="2"/>
      <c r="DQ215" s="2"/>
    </row>
    <row r="216" ht="13.5" customHeight="1">
      <c r="A216" s="11"/>
      <c r="B216" s="2"/>
      <c r="C216" s="2"/>
      <c r="D216" s="29"/>
      <c r="E216" s="2"/>
      <c r="F216" s="11"/>
      <c r="G216" s="11"/>
      <c r="H216" s="5"/>
      <c r="I216" s="5"/>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2"/>
      <c r="DO216" s="2"/>
      <c r="DP216" s="2"/>
      <c r="DQ216" s="2"/>
    </row>
    <row r="217" ht="13.5" customHeight="1">
      <c r="A217" s="11"/>
      <c r="B217" s="2"/>
      <c r="C217" s="2"/>
      <c r="D217" s="29"/>
      <c r="E217" s="2"/>
      <c r="F217" s="11"/>
      <c r="G217" s="11"/>
      <c r="H217" s="5"/>
      <c r="I217" s="5"/>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2"/>
      <c r="DO217" s="2"/>
      <c r="DP217" s="2"/>
      <c r="DQ217" s="2"/>
    </row>
    <row r="218" ht="13.5" customHeight="1">
      <c r="A218" s="11"/>
      <c r="B218" s="2"/>
      <c r="C218" s="2"/>
      <c r="D218" s="29"/>
      <c r="E218" s="2"/>
      <c r="F218" s="11"/>
      <c r="G218" s="11"/>
      <c r="H218" s="5"/>
      <c r="I218" s="5"/>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2"/>
      <c r="DO218" s="2"/>
      <c r="DP218" s="2"/>
      <c r="DQ218" s="2"/>
    </row>
    <row r="219" ht="13.5" customHeight="1">
      <c r="A219" s="11"/>
      <c r="B219" s="2"/>
      <c r="C219" s="2"/>
      <c r="D219" s="29"/>
      <c r="E219" s="2"/>
      <c r="F219" s="11"/>
      <c r="G219" s="11"/>
      <c r="H219" s="5"/>
      <c r="I219" s="5"/>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2"/>
      <c r="DO219" s="2"/>
      <c r="DP219" s="2"/>
      <c r="DQ219" s="2"/>
    </row>
    <row r="220" ht="13.5" customHeight="1">
      <c r="A220" s="11"/>
      <c r="B220" s="2"/>
      <c r="C220" s="2"/>
      <c r="D220" s="29"/>
      <c r="E220" s="2"/>
      <c r="F220" s="11"/>
      <c r="G220" s="11"/>
      <c r="H220" s="5"/>
      <c r="I220" s="5"/>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2"/>
      <c r="DO220" s="2"/>
      <c r="DP220" s="2"/>
      <c r="DQ220" s="2"/>
    </row>
    <row r="221" ht="13.5" customHeight="1">
      <c r="A221" s="11"/>
      <c r="B221" s="2"/>
      <c r="C221" s="2"/>
      <c r="D221" s="29"/>
      <c r="E221" s="2"/>
      <c r="F221" s="11"/>
      <c r="G221" s="11"/>
      <c r="H221" s="5"/>
      <c r="I221" s="5"/>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2"/>
      <c r="DO221" s="2"/>
      <c r="DP221" s="2"/>
      <c r="DQ221" s="2"/>
    </row>
    <row r="222" ht="13.5" customHeight="1">
      <c r="A222" s="11"/>
      <c r="B222" s="2"/>
      <c r="C222" s="2"/>
      <c r="D222" s="29"/>
      <c r="E222" s="2"/>
      <c r="F222" s="11"/>
      <c r="G222" s="11"/>
      <c r="H222" s="5"/>
      <c r="I222" s="5"/>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2"/>
      <c r="DO222" s="2"/>
      <c r="DP222" s="2"/>
      <c r="DQ222" s="2"/>
    </row>
    <row r="223" ht="13.5" customHeight="1">
      <c r="A223" s="11"/>
      <c r="B223" s="2"/>
      <c r="C223" s="2"/>
      <c r="D223" s="29"/>
      <c r="E223" s="2"/>
      <c r="F223" s="11"/>
      <c r="G223" s="11"/>
      <c r="H223" s="5"/>
      <c r="I223" s="5"/>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2"/>
      <c r="DO223" s="2"/>
      <c r="DP223" s="2"/>
      <c r="DQ223" s="2"/>
    </row>
    <row r="224" ht="13.5" customHeight="1">
      <c r="A224" s="11"/>
      <c r="B224" s="2"/>
      <c r="C224" s="2"/>
      <c r="D224" s="29"/>
      <c r="E224" s="2"/>
      <c r="F224" s="11"/>
      <c r="G224" s="11"/>
      <c r="H224" s="5"/>
      <c r="I224" s="5"/>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2"/>
      <c r="DO224" s="2"/>
      <c r="DP224" s="2"/>
      <c r="DQ224" s="2"/>
    </row>
    <row r="225" ht="13.5" customHeight="1">
      <c r="A225" s="11"/>
      <c r="B225" s="2"/>
      <c r="C225" s="2"/>
      <c r="D225" s="29"/>
      <c r="E225" s="2"/>
      <c r="F225" s="11"/>
      <c r="G225" s="11"/>
      <c r="H225" s="5"/>
      <c r="I225" s="5"/>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2"/>
      <c r="DO225" s="2"/>
      <c r="DP225" s="2"/>
      <c r="DQ225" s="2"/>
    </row>
    <row r="226" ht="13.5" customHeight="1">
      <c r="A226" s="11"/>
      <c r="B226" s="2"/>
      <c r="C226" s="2"/>
      <c r="D226" s="29"/>
      <c r="E226" s="2"/>
      <c r="F226" s="11"/>
      <c r="G226" s="11"/>
      <c r="H226" s="5"/>
      <c r="I226" s="5"/>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2"/>
      <c r="DO226" s="2"/>
      <c r="DP226" s="2"/>
      <c r="DQ226" s="2"/>
    </row>
    <row r="227" ht="13.5" customHeight="1">
      <c r="A227" s="11"/>
      <c r="B227" s="2"/>
      <c r="C227" s="2"/>
      <c r="D227" s="29"/>
      <c r="E227" s="2"/>
      <c r="F227" s="11"/>
      <c r="G227" s="11"/>
      <c r="H227" s="5"/>
      <c r="I227" s="5"/>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2"/>
      <c r="DO227" s="2"/>
      <c r="DP227" s="2"/>
      <c r="DQ227" s="2"/>
    </row>
    <row r="228" ht="13.5" customHeight="1">
      <c r="A228" s="11"/>
      <c r="B228" s="2"/>
      <c r="C228" s="2"/>
      <c r="D228" s="29"/>
      <c r="E228" s="2"/>
      <c r="F228" s="11"/>
      <c r="G228" s="11"/>
      <c r="H228" s="5"/>
      <c r="I228" s="5"/>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2"/>
      <c r="DO228" s="2"/>
      <c r="DP228" s="2"/>
      <c r="DQ228" s="2"/>
    </row>
    <row r="229" ht="13.5" customHeight="1">
      <c r="A229" s="11"/>
      <c r="B229" s="2"/>
      <c r="C229" s="2"/>
      <c r="D229" s="29"/>
      <c r="E229" s="2"/>
      <c r="F229" s="11"/>
      <c r="G229" s="11"/>
      <c r="H229" s="5"/>
      <c r="I229" s="5"/>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2"/>
      <c r="DO229" s="2"/>
      <c r="DP229" s="2"/>
      <c r="DQ229" s="2"/>
    </row>
    <row r="230" ht="13.5" customHeight="1">
      <c r="A230" s="11"/>
      <c r="B230" s="2"/>
      <c r="C230" s="2"/>
      <c r="D230" s="29"/>
      <c r="E230" s="2"/>
      <c r="F230" s="11"/>
      <c r="G230" s="11"/>
      <c r="H230" s="5"/>
      <c r="I230" s="5"/>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2"/>
      <c r="DO230" s="2"/>
      <c r="DP230" s="2"/>
      <c r="DQ230" s="2"/>
    </row>
    <row r="231" ht="13.5" customHeight="1">
      <c r="A231" s="11"/>
      <c r="B231" s="2"/>
      <c r="C231" s="2"/>
      <c r="D231" s="29"/>
      <c r="E231" s="2"/>
      <c r="F231" s="11"/>
      <c r="G231" s="11"/>
      <c r="H231" s="5"/>
      <c r="I231" s="5"/>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2"/>
      <c r="DO231" s="2"/>
      <c r="DP231" s="2"/>
      <c r="DQ231" s="2"/>
    </row>
    <row r="232" ht="13.5" customHeight="1">
      <c r="A232" s="11"/>
      <c r="B232" s="2"/>
      <c r="C232" s="2"/>
      <c r="D232" s="29"/>
      <c r="E232" s="2"/>
      <c r="F232" s="11"/>
      <c r="G232" s="11"/>
      <c r="H232" s="5"/>
      <c r="I232" s="5"/>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2"/>
      <c r="DO232" s="2"/>
      <c r="DP232" s="2"/>
      <c r="DQ232" s="2"/>
    </row>
    <row r="233" ht="13.5" customHeight="1">
      <c r="A233" s="11"/>
      <c r="B233" s="2"/>
      <c r="C233" s="2"/>
      <c r="D233" s="29"/>
      <c r="E233" s="2"/>
      <c r="F233" s="11"/>
      <c r="G233" s="11"/>
      <c r="H233" s="5"/>
      <c r="I233" s="5"/>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2"/>
      <c r="DO233" s="2"/>
      <c r="DP233" s="2"/>
      <c r="DQ233" s="2"/>
    </row>
    <row r="234" ht="13.5" customHeight="1">
      <c r="A234" s="11"/>
      <c r="B234" s="2"/>
      <c r="C234" s="2"/>
      <c r="D234" s="29"/>
      <c r="E234" s="2"/>
      <c r="F234" s="11"/>
      <c r="G234" s="11"/>
      <c r="H234" s="5"/>
      <c r="I234" s="5"/>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2"/>
      <c r="DO234" s="2"/>
      <c r="DP234" s="2"/>
      <c r="DQ234" s="2"/>
    </row>
    <row r="235" ht="13.5" customHeight="1">
      <c r="A235" s="11"/>
      <c r="B235" s="2"/>
      <c r="C235" s="2"/>
      <c r="D235" s="29"/>
      <c r="E235" s="2"/>
      <c r="F235" s="11"/>
      <c r="G235" s="11"/>
      <c r="H235" s="5"/>
      <c r="I235" s="5"/>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2"/>
      <c r="DO235" s="2"/>
      <c r="DP235" s="2"/>
      <c r="DQ235" s="2"/>
    </row>
    <row r="236" ht="13.5" customHeight="1">
      <c r="A236" s="11"/>
      <c r="B236" s="2"/>
      <c r="C236" s="2"/>
      <c r="D236" s="29"/>
      <c r="E236" s="2"/>
      <c r="F236" s="11"/>
      <c r="G236" s="11"/>
      <c r="H236" s="5"/>
      <c r="I236" s="5"/>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2"/>
      <c r="DO236" s="2"/>
      <c r="DP236" s="2"/>
      <c r="DQ236" s="2"/>
    </row>
    <row r="237" ht="13.5" customHeight="1">
      <c r="A237" s="11"/>
      <c r="B237" s="2"/>
      <c r="C237" s="2"/>
      <c r="D237" s="29"/>
      <c r="E237" s="2"/>
      <c r="F237" s="11"/>
      <c r="G237" s="11"/>
      <c r="H237" s="5"/>
      <c r="I237" s="5"/>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2"/>
      <c r="DO237" s="2"/>
      <c r="DP237" s="2"/>
      <c r="DQ237" s="2"/>
    </row>
    <row r="238" ht="13.5" customHeight="1">
      <c r="A238" s="11"/>
      <c r="B238" s="2"/>
      <c r="C238" s="2"/>
      <c r="D238" s="29"/>
      <c r="E238" s="2"/>
      <c r="F238" s="11"/>
      <c r="G238" s="11"/>
      <c r="H238" s="5"/>
      <c r="I238" s="5"/>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2"/>
      <c r="DO238" s="2"/>
      <c r="DP238" s="2"/>
      <c r="DQ238" s="2"/>
    </row>
    <row r="239" ht="13.5" customHeight="1">
      <c r="A239" s="11"/>
      <c r="B239" s="2"/>
      <c r="C239" s="2"/>
      <c r="D239" s="29"/>
      <c r="E239" s="2"/>
      <c r="F239" s="11"/>
      <c r="G239" s="11"/>
      <c r="H239" s="5"/>
      <c r="I239" s="5"/>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2"/>
      <c r="DO239" s="2"/>
      <c r="DP239" s="2"/>
      <c r="DQ239" s="2"/>
    </row>
    <row r="240" ht="13.5" customHeight="1">
      <c r="A240" s="11"/>
      <c r="B240" s="2"/>
      <c r="C240" s="2"/>
      <c r="D240" s="29"/>
      <c r="E240" s="2"/>
      <c r="F240" s="11"/>
      <c r="G240" s="11"/>
      <c r="H240" s="5"/>
      <c r="I240" s="5"/>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2"/>
      <c r="DO240" s="2"/>
      <c r="DP240" s="2"/>
      <c r="DQ240" s="2"/>
    </row>
    <row r="241" ht="13.5" customHeight="1">
      <c r="A241" s="11"/>
      <c r="B241" s="2"/>
      <c r="C241" s="2"/>
      <c r="D241" s="29"/>
      <c r="E241" s="2"/>
      <c r="F241" s="11"/>
      <c r="G241" s="11"/>
      <c r="H241" s="5"/>
      <c r="I241" s="5"/>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2"/>
      <c r="DO241" s="2"/>
      <c r="DP241" s="2"/>
      <c r="DQ241" s="2"/>
    </row>
    <row r="242" ht="13.5" customHeight="1">
      <c r="A242" s="11"/>
      <c r="B242" s="2"/>
      <c r="C242" s="2"/>
      <c r="D242" s="29"/>
      <c r="E242" s="2"/>
      <c r="F242" s="11"/>
      <c r="G242" s="11"/>
      <c r="H242" s="5"/>
      <c r="I242" s="5"/>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2"/>
      <c r="DO242" s="2"/>
      <c r="DP242" s="2"/>
      <c r="DQ242" s="2"/>
    </row>
    <row r="243" ht="13.5" customHeight="1">
      <c r="A243" s="11"/>
      <c r="B243" s="2"/>
      <c r="C243" s="2"/>
      <c r="D243" s="29"/>
      <c r="E243" s="2"/>
      <c r="F243" s="11"/>
      <c r="G243" s="11"/>
      <c r="H243" s="5"/>
      <c r="I243" s="5"/>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2"/>
      <c r="DO243" s="2"/>
      <c r="DP243" s="2"/>
      <c r="DQ243" s="2"/>
    </row>
    <row r="244" ht="13.5" customHeight="1">
      <c r="A244" s="11"/>
      <c r="B244" s="2"/>
      <c r="C244" s="2"/>
      <c r="D244" s="29"/>
      <c r="E244" s="2"/>
      <c r="F244" s="11"/>
      <c r="G244" s="11"/>
      <c r="H244" s="5"/>
      <c r="I244" s="5"/>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2"/>
      <c r="DO244" s="2"/>
      <c r="DP244" s="2"/>
      <c r="DQ244" s="2"/>
    </row>
    <row r="245" ht="13.5" customHeight="1">
      <c r="A245" s="11"/>
      <c r="B245" s="2"/>
      <c r="C245" s="2"/>
      <c r="D245" s="29"/>
      <c r="E245" s="2"/>
      <c r="F245" s="11"/>
      <c r="G245" s="11"/>
      <c r="H245" s="5"/>
      <c r="I245" s="5"/>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2"/>
      <c r="DO245" s="2"/>
      <c r="DP245" s="2"/>
      <c r="DQ245" s="2"/>
    </row>
    <row r="246" ht="13.5" customHeight="1">
      <c r="A246" s="11"/>
      <c r="B246" s="2"/>
      <c r="C246" s="2"/>
      <c r="D246" s="29"/>
      <c r="E246" s="2"/>
      <c r="F246" s="11"/>
      <c r="G246" s="11"/>
      <c r="H246" s="5"/>
      <c r="I246" s="5"/>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2"/>
      <c r="DO246" s="2"/>
      <c r="DP246" s="2"/>
      <c r="DQ246" s="2"/>
    </row>
    <row r="247" ht="13.5" customHeight="1">
      <c r="A247" s="11"/>
      <c r="B247" s="2"/>
      <c r="C247" s="2"/>
      <c r="D247" s="29"/>
      <c r="E247" s="2"/>
      <c r="F247" s="11"/>
      <c r="G247" s="11"/>
      <c r="H247" s="5"/>
      <c r="I247" s="5"/>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2"/>
      <c r="DO247" s="2"/>
      <c r="DP247" s="2"/>
      <c r="DQ247" s="2"/>
    </row>
    <row r="248" ht="13.5" customHeight="1">
      <c r="A248" s="11"/>
      <c r="B248" s="2"/>
      <c r="C248" s="2"/>
      <c r="D248" s="29"/>
      <c r="E248" s="2"/>
      <c r="F248" s="11"/>
      <c r="G248" s="11"/>
      <c r="H248" s="5"/>
      <c r="I248" s="5"/>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2"/>
      <c r="DO248" s="2"/>
      <c r="DP248" s="2"/>
      <c r="DQ248" s="2"/>
    </row>
    <row r="249" ht="13.5" customHeight="1">
      <c r="A249" s="11"/>
      <c r="B249" s="2"/>
      <c r="C249" s="2"/>
      <c r="D249" s="29"/>
      <c r="E249" s="2"/>
      <c r="F249" s="11"/>
      <c r="G249" s="11"/>
      <c r="H249" s="5"/>
      <c r="I249" s="5"/>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2"/>
      <c r="DO249" s="2"/>
      <c r="DP249" s="2"/>
      <c r="DQ249" s="2"/>
    </row>
    <row r="250" ht="13.5" customHeight="1">
      <c r="A250" s="11"/>
      <c r="B250" s="2"/>
      <c r="C250" s="2"/>
      <c r="D250" s="29"/>
      <c r="E250" s="2"/>
      <c r="F250" s="11"/>
      <c r="G250" s="11"/>
      <c r="H250" s="5"/>
      <c r="I250" s="5"/>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2"/>
      <c r="DO250" s="2"/>
      <c r="DP250" s="2"/>
      <c r="DQ250" s="2"/>
    </row>
    <row r="251" ht="13.5" customHeight="1">
      <c r="A251" s="11"/>
      <c r="B251" s="2"/>
      <c r="C251" s="2"/>
      <c r="D251" s="29"/>
      <c r="E251" s="2"/>
      <c r="F251" s="11"/>
      <c r="G251" s="11"/>
      <c r="H251" s="5"/>
      <c r="I251" s="5"/>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2"/>
      <c r="DO251" s="2"/>
      <c r="DP251" s="2"/>
      <c r="DQ251" s="2"/>
    </row>
    <row r="252" ht="13.5" customHeight="1">
      <c r="A252" s="11"/>
      <c r="B252" s="2"/>
      <c r="C252" s="2"/>
      <c r="D252" s="29"/>
      <c r="E252" s="2"/>
      <c r="F252" s="11"/>
      <c r="G252" s="11"/>
      <c r="H252" s="5"/>
      <c r="I252" s="5"/>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2"/>
      <c r="DO252" s="2"/>
      <c r="DP252" s="2"/>
      <c r="DQ252" s="2"/>
    </row>
    <row r="253" ht="13.5" customHeight="1">
      <c r="A253" s="11"/>
      <c r="B253" s="2"/>
      <c r="C253" s="2"/>
      <c r="D253" s="29"/>
      <c r="E253" s="2"/>
      <c r="F253" s="11"/>
      <c r="G253" s="11"/>
      <c r="H253" s="5"/>
      <c r="I253" s="5"/>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2"/>
      <c r="DO253" s="2"/>
      <c r="DP253" s="2"/>
      <c r="DQ253" s="2"/>
    </row>
    <row r="254" ht="13.5" customHeight="1">
      <c r="A254" s="11"/>
      <c r="B254" s="2"/>
      <c r="C254" s="2"/>
      <c r="D254" s="29"/>
      <c r="E254" s="2"/>
      <c r="F254" s="11"/>
      <c r="G254" s="11"/>
      <c r="H254" s="5"/>
      <c r="I254" s="5"/>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2"/>
      <c r="DO254" s="2"/>
      <c r="DP254" s="2"/>
      <c r="DQ254" s="2"/>
    </row>
    <row r="255" ht="13.5" customHeight="1">
      <c r="A255" s="11"/>
      <c r="B255" s="2"/>
      <c r="C255" s="2"/>
      <c r="D255" s="29"/>
      <c r="E255" s="2"/>
      <c r="F255" s="11"/>
      <c r="G255" s="11"/>
      <c r="H255" s="5"/>
      <c r="I255" s="5"/>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2"/>
      <c r="DO255" s="2"/>
      <c r="DP255" s="2"/>
      <c r="DQ255" s="2"/>
    </row>
    <row r="256" ht="13.5" customHeight="1">
      <c r="A256" s="11"/>
      <c r="B256" s="2"/>
      <c r="C256" s="2"/>
      <c r="D256" s="29"/>
      <c r="E256" s="2"/>
      <c r="F256" s="11"/>
      <c r="G256" s="11"/>
      <c r="H256" s="5"/>
      <c r="I256" s="5"/>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2"/>
      <c r="DO256" s="2"/>
      <c r="DP256" s="2"/>
      <c r="DQ256" s="2"/>
    </row>
    <row r="257" ht="13.5" customHeight="1">
      <c r="A257" s="11"/>
      <c r="B257" s="2"/>
      <c r="C257" s="2"/>
      <c r="D257" s="29"/>
      <c r="E257" s="2"/>
      <c r="F257" s="11"/>
      <c r="G257" s="11"/>
      <c r="H257" s="5"/>
      <c r="I257" s="5"/>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2"/>
      <c r="DO257" s="2"/>
      <c r="DP257" s="2"/>
      <c r="DQ257" s="2"/>
    </row>
    <row r="258" ht="13.5" customHeight="1">
      <c r="A258" s="11"/>
      <c r="B258" s="2"/>
      <c r="C258" s="2"/>
      <c r="D258" s="29"/>
      <c r="E258" s="2"/>
      <c r="F258" s="11"/>
      <c r="G258" s="11"/>
      <c r="H258" s="5"/>
      <c r="I258" s="5"/>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2"/>
      <c r="DO258" s="2"/>
      <c r="DP258" s="2"/>
      <c r="DQ258" s="2"/>
    </row>
    <row r="259" ht="13.5" customHeight="1">
      <c r="A259" s="11"/>
      <c r="B259" s="2"/>
      <c r="C259" s="2"/>
      <c r="D259" s="29"/>
      <c r="E259" s="2"/>
      <c r="F259" s="11"/>
      <c r="G259" s="11"/>
      <c r="H259" s="5"/>
      <c r="I259" s="5"/>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2"/>
      <c r="DO259" s="2"/>
      <c r="DP259" s="2"/>
      <c r="DQ259" s="2"/>
    </row>
    <row r="260" ht="13.5" customHeight="1">
      <c r="A260" s="11"/>
      <c r="B260" s="2"/>
      <c r="C260" s="2"/>
      <c r="D260" s="29"/>
      <c r="E260" s="2"/>
      <c r="F260" s="11"/>
      <c r="G260" s="11"/>
      <c r="H260" s="5"/>
      <c r="I260" s="5"/>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2"/>
      <c r="DO260" s="2"/>
      <c r="DP260" s="2"/>
      <c r="DQ260" s="2"/>
    </row>
    <row r="261" ht="13.5" customHeight="1">
      <c r="A261" s="11"/>
      <c r="B261" s="2"/>
      <c r="C261" s="2"/>
      <c r="D261" s="29"/>
      <c r="E261" s="2"/>
      <c r="F261" s="11"/>
      <c r="G261" s="11"/>
      <c r="H261" s="5"/>
      <c r="I261" s="5"/>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2"/>
      <c r="DO261" s="2"/>
      <c r="DP261" s="2"/>
      <c r="DQ261" s="2"/>
    </row>
    <row r="262" ht="13.5" customHeight="1">
      <c r="A262" s="11"/>
      <c r="B262" s="2"/>
      <c r="C262" s="2"/>
      <c r="D262" s="29"/>
      <c r="E262" s="2"/>
      <c r="F262" s="11"/>
      <c r="G262" s="11"/>
      <c r="H262" s="5"/>
      <c r="I262" s="5"/>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2"/>
      <c r="DO262" s="2"/>
      <c r="DP262" s="2"/>
      <c r="DQ262" s="2"/>
    </row>
    <row r="263" ht="13.5" customHeight="1">
      <c r="A263" s="11"/>
      <c r="B263" s="2"/>
      <c r="C263" s="2"/>
      <c r="D263" s="29"/>
      <c r="E263" s="2"/>
      <c r="F263" s="11"/>
      <c r="G263" s="11"/>
      <c r="H263" s="5"/>
      <c r="I263" s="5"/>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2"/>
      <c r="DO263" s="2"/>
      <c r="DP263" s="2"/>
      <c r="DQ263" s="2"/>
    </row>
    <row r="264" ht="13.5" customHeight="1">
      <c r="A264" s="11"/>
      <c r="B264" s="2"/>
      <c r="C264" s="2"/>
      <c r="D264" s="29"/>
      <c r="E264" s="2"/>
      <c r="F264" s="11"/>
      <c r="G264" s="11"/>
      <c r="H264" s="5"/>
      <c r="I264" s="5"/>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2"/>
      <c r="DO264" s="2"/>
      <c r="DP264" s="2"/>
      <c r="DQ264" s="2"/>
    </row>
    <row r="265" ht="13.5" customHeight="1">
      <c r="A265" s="11"/>
      <c r="B265" s="2"/>
      <c r="C265" s="2"/>
      <c r="D265" s="29"/>
      <c r="E265" s="2"/>
      <c r="F265" s="11"/>
      <c r="G265" s="11"/>
      <c r="H265" s="5"/>
      <c r="I265" s="5"/>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2"/>
      <c r="DO265" s="2"/>
      <c r="DP265" s="2"/>
      <c r="DQ265" s="2"/>
    </row>
    <row r="266" ht="13.5" customHeight="1">
      <c r="A266" s="11"/>
      <c r="B266" s="2"/>
      <c r="C266" s="2"/>
      <c r="D266" s="29"/>
      <c r="E266" s="2"/>
      <c r="F266" s="11"/>
      <c r="G266" s="11"/>
      <c r="H266" s="5"/>
      <c r="I266" s="5"/>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2"/>
      <c r="DO266" s="2"/>
      <c r="DP266" s="2"/>
      <c r="DQ266" s="2"/>
    </row>
    <row r="267" ht="13.5" customHeight="1">
      <c r="A267" s="11"/>
      <c r="B267" s="2"/>
      <c r="C267" s="2"/>
      <c r="D267" s="29"/>
      <c r="E267" s="2"/>
      <c r="F267" s="11"/>
      <c r="G267" s="11"/>
      <c r="H267" s="5"/>
      <c r="I267" s="5"/>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2"/>
      <c r="DO267" s="2"/>
      <c r="DP267" s="2"/>
      <c r="DQ267" s="2"/>
    </row>
    <row r="268" ht="13.5" customHeight="1">
      <c r="A268" s="11"/>
      <c r="B268" s="2"/>
      <c r="C268" s="2"/>
      <c r="D268" s="29"/>
      <c r="E268" s="2"/>
      <c r="F268" s="11"/>
      <c r="G268" s="11"/>
      <c r="H268" s="5"/>
      <c r="I268" s="5"/>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2"/>
      <c r="DO268" s="2"/>
      <c r="DP268" s="2"/>
      <c r="DQ268" s="2"/>
    </row>
    <row r="269" ht="13.5" customHeight="1">
      <c r="A269" s="11"/>
      <c r="B269" s="2"/>
      <c r="C269" s="2"/>
      <c r="D269" s="29"/>
      <c r="E269" s="2"/>
      <c r="F269" s="11"/>
      <c r="G269" s="11"/>
      <c r="H269" s="5"/>
      <c r="I269" s="5"/>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2"/>
      <c r="DO269" s="2"/>
      <c r="DP269" s="2"/>
      <c r="DQ269" s="2"/>
    </row>
    <row r="270" ht="13.5" customHeight="1">
      <c r="A270" s="11"/>
      <c r="B270" s="2"/>
      <c r="C270" s="2"/>
      <c r="D270" s="29"/>
      <c r="E270" s="2"/>
      <c r="F270" s="11"/>
      <c r="G270" s="11"/>
      <c r="H270" s="5"/>
      <c r="I270" s="5"/>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2"/>
      <c r="DO270" s="2"/>
      <c r="DP270" s="2"/>
      <c r="DQ270" s="2"/>
    </row>
    <row r="271" ht="13.5" customHeight="1">
      <c r="A271" s="11"/>
      <c r="B271" s="2"/>
      <c r="C271" s="2"/>
      <c r="D271" s="29"/>
      <c r="E271" s="2"/>
      <c r="F271" s="11"/>
      <c r="G271" s="11"/>
      <c r="H271" s="5"/>
      <c r="I271" s="5"/>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2"/>
      <c r="DO271" s="2"/>
      <c r="DP271" s="2"/>
      <c r="DQ271" s="2"/>
    </row>
    <row r="272" ht="13.5" customHeight="1">
      <c r="A272" s="11"/>
      <c r="B272" s="2"/>
      <c r="C272" s="2"/>
      <c r="D272" s="29"/>
      <c r="E272" s="2"/>
      <c r="F272" s="11"/>
      <c r="G272" s="11"/>
      <c r="H272" s="5"/>
      <c r="I272" s="5"/>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2"/>
      <c r="DO272" s="2"/>
      <c r="DP272" s="2"/>
      <c r="DQ272" s="2"/>
    </row>
    <row r="273" ht="13.5" customHeight="1">
      <c r="A273" s="11"/>
      <c r="B273" s="2"/>
      <c r="C273" s="2"/>
      <c r="D273" s="29"/>
      <c r="E273" s="2"/>
      <c r="F273" s="11"/>
      <c r="G273" s="11"/>
      <c r="H273" s="5"/>
      <c r="I273" s="5"/>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2"/>
      <c r="DO273" s="2"/>
      <c r="DP273" s="2"/>
      <c r="DQ273" s="2"/>
    </row>
    <row r="274" ht="13.5" customHeight="1">
      <c r="A274" s="11"/>
      <c r="B274" s="2"/>
      <c r="C274" s="2"/>
      <c r="D274" s="29"/>
      <c r="E274" s="2"/>
      <c r="F274" s="11"/>
      <c r="G274" s="11"/>
      <c r="H274" s="5"/>
      <c r="I274" s="5"/>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2"/>
      <c r="DO274" s="2"/>
      <c r="DP274" s="2"/>
      <c r="DQ274" s="2"/>
    </row>
    <row r="275" ht="13.5" customHeight="1">
      <c r="A275" s="11"/>
      <c r="B275" s="2"/>
      <c r="C275" s="2"/>
      <c r="D275" s="29"/>
      <c r="E275" s="2"/>
      <c r="F275" s="11"/>
      <c r="G275" s="11"/>
      <c r="H275" s="5"/>
      <c r="I275" s="5"/>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2"/>
      <c r="DO275" s="2"/>
      <c r="DP275" s="2"/>
      <c r="DQ275" s="2"/>
    </row>
    <row r="276" ht="13.5" customHeight="1">
      <c r="A276" s="11"/>
      <c r="B276" s="2"/>
      <c r="C276" s="2"/>
      <c r="D276" s="29"/>
      <c r="E276" s="2"/>
      <c r="F276" s="11"/>
      <c r="G276" s="11"/>
      <c r="H276" s="5"/>
      <c r="I276" s="5"/>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2"/>
      <c r="DO276" s="2"/>
      <c r="DP276" s="2"/>
      <c r="DQ276" s="2"/>
    </row>
    <row r="277" ht="13.5" customHeight="1">
      <c r="A277" s="11"/>
      <c r="B277" s="2"/>
      <c r="C277" s="2"/>
      <c r="D277" s="29"/>
      <c r="E277" s="2"/>
      <c r="F277" s="11"/>
      <c r="G277" s="11"/>
      <c r="H277" s="5"/>
      <c r="I277" s="5"/>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2"/>
      <c r="DO277" s="2"/>
      <c r="DP277" s="2"/>
      <c r="DQ277" s="2"/>
    </row>
    <row r="278" ht="13.5" customHeight="1">
      <c r="A278" s="11"/>
      <c r="B278" s="2"/>
      <c r="C278" s="2"/>
      <c r="D278" s="29"/>
      <c r="E278" s="2"/>
      <c r="F278" s="11"/>
      <c r="G278" s="11"/>
      <c r="H278" s="5"/>
      <c r="I278" s="5"/>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2"/>
      <c r="DO278" s="2"/>
      <c r="DP278" s="2"/>
      <c r="DQ278" s="2"/>
    </row>
    <row r="279" ht="13.5" customHeight="1">
      <c r="A279" s="11"/>
      <c r="B279" s="2"/>
      <c r="C279" s="2"/>
      <c r="D279" s="29"/>
      <c r="E279" s="2"/>
      <c r="F279" s="11"/>
      <c r="G279" s="11"/>
      <c r="H279" s="5"/>
      <c r="I279" s="5"/>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2"/>
      <c r="DO279" s="2"/>
      <c r="DP279" s="2"/>
      <c r="DQ279" s="2"/>
    </row>
    <row r="280" ht="13.5" customHeight="1">
      <c r="A280" s="11"/>
      <c r="B280" s="2"/>
      <c r="C280" s="2"/>
      <c r="D280" s="29"/>
      <c r="E280" s="2"/>
      <c r="F280" s="11"/>
      <c r="G280" s="11"/>
      <c r="H280" s="5"/>
      <c r="I280" s="5"/>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2"/>
      <c r="DO280" s="2"/>
      <c r="DP280" s="2"/>
      <c r="DQ280" s="2"/>
    </row>
    <row r="281" ht="13.5" customHeight="1">
      <c r="A281" s="11"/>
      <c r="B281" s="2"/>
      <c r="C281" s="2"/>
      <c r="D281" s="29"/>
      <c r="E281" s="2"/>
      <c r="F281" s="11"/>
      <c r="G281" s="11"/>
      <c r="H281" s="5"/>
      <c r="I281" s="5"/>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2"/>
      <c r="DO281" s="2"/>
      <c r="DP281" s="2"/>
      <c r="DQ281" s="2"/>
    </row>
    <row r="282" ht="13.5" customHeight="1">
      <c r="A282" s="11"/>
      <c r="B282" s="2"/>
      <c r="C282" s="2"/>
      <c r="D282" s="29"/>
      <c r="E282" s="2"/>
      <c r="F282" s="11"/>
      <c r="G282" s="11"/>
      <c r="H282" s="5"/>
      <c r="I282" s="5"/>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2"/>
      <c r="DO282" s="2"/>
      <c r="DP282" s="2"/>
      <c r="DQ282" s="2"/>
    </row>
    <row r="283" ht="13.5" customHeight="1">
      <c r="A283" s="11"/>
      <c r="B283" s="2"/>
      <c r="C283" s="2"/>
      <c r="D283" s="29"/>
      <c r="E283" s="2"/>
      <c r="F283" s="11"/>
      <c r="G283" s="11"/>
      <c r="H283" s="5"/>
      <c r="I283" s="5"/>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2"/>
      <c r="DO283" s="2"/>
      <c r="DP283" s="2"/>
      <c r="DQ283" s="2"/>
    </row>
    <row r="284" ht="13.5" customHeight="1">
      <c r="A284" s="11"/>
      <c r="B284" s="2"/>
      <c r="C284" s="2"/>
      <c r="D284" s="29"/>
      <c r="E284" s="2"/>
      <c r="F284" s="11"/>
      <c r="G284" s="11"/>
      <c r="H284" s="5"/>
      <c r="I284" s="5"/>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2"/>
      <c r="DO284" s="2"/>
      <c r="DP284" s="2"/>
      <c r="DQ284" s="2"/>
    </row>
    <row r="285" ht="13.5" customHeight="1">
      <c r="A285" s="11"/>
      <c r="B285" s="2"/>
      <c r="C285" s="2"/>
      <c r="D285" s="29"/>
      <c r="E285" s="2"/>
      <c r="F285" s="11"/>
      <c r="G285" s="11"/>
      <c r="H285" s="5"/>
      <c r="I285" s="5"/>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2"/>
      <c r="DO285" s="2"/>
      <c r="DP285" s="2"/>
      <c r="DQ285" s="2"/>
    </row>
    <row r="286" ht="13.5" customHeight="1">
      <c r="A286" s="11"/>
      <c r="B286" s="2"/>
      <c r="C286" s="2"/>
      <c r="D286" s="29"/>
      <c r="E286" s="2"/>
      <c r="F286" s="11"/>
      <c r="G286" s="11"/>
      <c r="H286" s="5"/>
      <c r="I286" s="5"/>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2"/>
      <c r="DO286" s="2"/>
      <c r="DP286" s="2"/>
      <c r="DQ286" s="2"/>
    </row>
    <row r="287" ht="13.5" customHeight="1">
      <c r="A287" s="11"/>
      <c r="B287" s="2"/>
      <c r="C287" s="2"/>
      <c r="D287" s="29"/>
      <c r="E287" s="2"/>
      <c r="F287" s="11"/>
      <c r="G287" s="11"/>
      <c r="H287" s="5"/>
      <c r="I287" s="5"/>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2"/>
      <c r="DO287" s="2"/>
      <c r="DP287" s="2"/>
      <c r="DQ287" s="2"/>
    </row>
    <row r="288" ht="13.5" customHeight="1">
      <c r="A288" s="11"/>
      <c r="B288" s="2"/>
      <c r="C288" s="2"/>
      <c r="D288" s="29"/>
      <c r="E288" s="2"/>
      <c r="F288" s="11"/>
      <c r="G288" s="11"/>
      <c r="H288" s="5"/>
      <c r="I288" s="5"/>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2"/>
      <c r="DO288" s="2"/>
      <c r="DP288" s="2"/>
      <c r="DQ288" s="2"/>
    </row>
    <row r="289" ht="13.5" customHeight="1">
      <c r="A289" s="11"/>
      <c r="B289" s="2"/>
      <c r="C289" s="2"/>
      <c r="D289" s="29"/>
      <c r="E289" s="2"/>
      <c r="F289" s="11"/>
      <c r="G289" s="11"/>
      <c r="H289" s="5"/>
      <c r="I289" s="5"/>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2"/>
      <c r="DO289" s="2"/>
      <c r="DP289" s="2"/>
      <c r="DQ289" s="2"/>
    </row>
    <row r="290" ht="13.5" customHeight="1">
      <c r="A290" s="11"/>
      <c r="B290" s="2"/>
      <c r="C290" s="2"/>
      <c r="D290" s="29"/>
      <c r="E290" s="2"/>
      <c r="F290" s="11"/>
      <c r="G290" s="11"/>
      <c r="H290" s="5"/>
      <c r="I290" s="5"/>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2"/>
      <c r="DO290" s="2"/>
      <c r="DP290" s="2"/>
      <c r="DQ290" s="2"/>
    </row>
    <row r="291" ht="13.5" customHeight="1">
      <c r="A291" s="11"/>
      <c r="B291" s="2"/>
      <c r="C291" s="2"/>
      <c r="D291" s="29"/>
      <c r="E291" s="2"/>
      <c r="F291" s="11"/>
      <c r="G291" s="11"/>
      <c r="H291" s="5"/>
      <c r="I291" s="5"/>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2"/>
      <c r="DO291" s="2"/>
      <c r="DP291" s="2"/>
      <c r="DQ291" s="2"/>
    </row>
    <row r="292" ht="13.5" customHeight="1">
      <c r="A292" s="11"/>
      <c r="B292" s="2"/>
      <c r="C292" s="2"/>
      <c r="D292" s="29"/>
      <c r="E292" s="2"/>
      <c r="F292" s="11"/>
      <c r="G292" s="11"/>
      <c r="H292" s="5"/>
      <c r="I292" s="5"/>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2"/>
      <c r="DO292" s="2"/>
      <c r="DP292" s="2"/>
      <c r="DQ292" s="2"/>
    </row>
    <row r="293" ht="13.5" customHeight="1">
      <c r="A293" s="11"/>
      <c r="B293" s="2"/>
      <c r="C293" s="2"/>
      <c r="D293" s="29"/>
      <c r="E293" s="2"/>
      <c r="F293" s="11"/>
      <c r="G293" s="11"/>
      <c r="H293" s="5"/>
      <c r="I293" s="5"/>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2"/>
      <c r="DO293" s="2"/>
      <c r="DP293" s="2"/>
      <c r="DQ293" s="2"/>
    </row>
    <row r="294" ht="13.5" customHeight="1">
      <c r="A294" s="11"/>
      <c r="B294" s="2"/>
      <c r="C294" s="2"/>
      <c r="D294" s="29"/>
      <c r="E294" s="2"/>
      <c r="F294" s="11"/>
      <c r="G294" s="11"/>
      <c r="H294" s="5"/>
      <c r="I294" s="5"/>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2"/>
      <c r="DO294" s="2"/>
      <c r="DP294" s="2"/>
      <c r="DQ294" s="2"/>
    </row>
    <row r="295" ht="13.5" customHeight="1">
      <c r="A295" s="11"/>
      <c r="B295" s="2"/>
      <c r="C295" s="2"/>
      <c r="D295" s="29"/>
      <c r="E295" s="2"/>
      <c r="F295" s="11"/>
      <c r="G295" s="11"/>
      <c r="H295" s="5"/>
      <c r="I295" s="5"/>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2"/>
      <c r="DO295" s="2"/>
      <c r="DP295" s="2"/>
      <c r="DQ295" s="2"/>
    </row>
    <row r="296" ht="13.5" customHeight="1">
      <c r="A296" s="11"/>
      <c r="B296" s="2"/>
      <c r="C296" s="2"/>
      <c r="D296" s="29"/>
      <c r="E296" s="2"/>
      <c r="F296" s="11"/>
      <c r="G296" s="11"/>
      <c r="H296" s="5"/>
      <c r="I296" s="5"/>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2"/>
      <c r="DO296" s="2"/>
      <c r="DP296" s="2"/>
      <c r="DQ296" s="2"/>
    </row>
    <row r="297" ht="13.5" customHeight="1">
      <c r="A297" s="11"/>
      <c r="B297" s="2"/>
      <c r="C297" s="2"/>
      <c r="D297" s="29"/>
      <c r="E297" s="2"/>
      <c r="F297" s="11"/>
      <c r="G297" s="11"/>
      <c r="H297" s="5"/>
      <c r="I297" s="5"/>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2"/>
      <c r="DO297" s="2"/>
      <c r="DP297" s="2"/>
      <c r="DQ297" s="2"/>
    </row>
    <row r="298" ht="13.5" customHeight="1">
      <c r="A298" s="11"/>
      <c r="B298" s="2"/>
      <c r="C298" s="2"/>
      <c r="D298" s="29"/>
      <c r="E298" s="2"/>
      <c r="F298" s="11"/>
      <c r="G298" s="11"/>
      <c r="H298" s="5"/>
      <c r="I298" s="5"/>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2"/>
      <c r="DO298" s="2"/>
      <c r="DP298" s="2"/>
      <c r="DQ298" s="2"/>
    </row>
    <row r="299" ht="13.5" customHeight="1">
      <c r="A299" s="11"/>
      <c r="B299" s="2"/>
      <c r="C299" s="2"/>
      <c r="D299" s="29"/>
      <c r="E299" s="2"/>
      <c r="F299" s="11"/>
      <c r="G299" s="11"/>
      <c r="H299" s="5"/>
      <c r="I299" s="5"/>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2"/>
      <c r="DO299" s="2"/>
      <c r="DP299" s="2"/>
      <c r="DQ299" s="2"/>
    </row>
    <row r="300" ht="13.5" customHeight="1">
      <c r="A300" s="11"/>
      <c r="B300" s="2"/>
      <c r="C300" s="2"/>
      <c r="D300" s="29"/>
      <c r="E300" s="2"/>
      <c r="F300" s="11"/>
      <c r="G300" s="11"/>
      <c r="H300" s="5"/>
      <c r="I300" s="5"/>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2"/>
      <c r="DO300" s="2"/>
      <c r="DP300" s="2"/>
      <c r="DQ300" s="2"/>
    </row>
    <row r="301" ht="13.5" customHeight="1">
      <c r="A301" s="11"/>
      <c r="B301" s="2"/>
      <c r="C301" s="2"/>
      <c r="D301" s="29"/>
      <c r="E301" s="2"/>
      <c r="F301" s="11"/>
      <c r="G301" s="11"/>
      <c r="H301" s="5"/>
      <c r="I301" s="5"/>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2"/>
      <c r="DO301" s="2"/>
      <c r="DP301" s="2"/>
      <c r="DQ301" s="2"/>
    </row>
    <row r="302" ht="13.5" customHeight="1">
      <c r="A302" s="11"/>
      <c r="B302" s="2"/>
      <c r="C302" s="2"/>
      <c r="D302" s="29"/>
      <c r="E302" s="2"/>
      <c r="F302" s="11"/>
      <c r="G302" s="11"/>
      <c r="H302" s="5"/>
      <c r="I302" s="5"/>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2"/>
      <c r="DO302" s="2"/>
      <c r="DP302" s="2"/>
      <c r="DQ302" s="2"/>
    </row>
    <row r="303" ht="13.5" customHeight="1">
      <c r="A303" s="11"/>
      <c r="B303" s="2"/>
      <c r="C303" s="2"/>
      <c r="D303" s="29"/>
      <c r="E303" s="2"/>
      <c r="F303" s="11"/>
      <c r="G303" s="11"/>
      <c r="H303" s="5"/>
      <c r="I303" s="5"/>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2"/>
      <c r="DO303" s="2"/>
      <c r="DP303" s="2"/>
      <c r="DQ303" s="2"/>
    </row>
    <row r="304" ht="13.5" customHeight="1">
      <c r="A304" s="11"/>
      <c r="B304" s="2"/>
      <c r="C304" s="2"/>
      <c r="D304" s="29"/>
      <c r="E304" s="2"/>
      <c r="F304" s="11"/>
      <c r="G304" s="11"/>
      <c r="H304" s="5"/>
      <c r="I304" s="5"/>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2"/>
      <c r="DO304" s="2"/>
      <c r="DP304" s="2"/>
      <c r="DQ304" s="2"/>
    </row>
    <row r="305" ht="13.5" customHeight="1">
      <c r="A305" s="11"/>
      <c r="B305" s="2"/>
      <c r="C305" s="2"/>
      <c r="D305" s="29"/>
      <c r="E305" s="2"/>
      <c r="F305" s="11"/>
      <c r="G305" s="11"/>
      <c r="H305" s="5"/>
      <c r="I305" s="5"/>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2"/>
      <c r="DO305" s="2"/>
      <c r="DP305" s="2"/>
      <c r="DQ305" s="2"/>
    </row>
    <row r="306" ht="13.5" customHeight="1">
      <c r="A306" s="11"/>
      <c r="B306" s="2"/>
      <c r="C306" s="2"/>
      <c r="D306" s="29"/>
      <c r="E306" s="2"/>
      <c r="F306" s="11"/>
      <c r="G306" s="11"/>
      <c r="H306" s="5"/>
      <c r="I306" s="5"/>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2"/>
      <c r="DO306" s="2"/>
      <c r="DP306" s="2"/>
      <c r="DQ306" s="2"/>
    </row>
  </sheetData>
  <mergeCells count="73">
    <mergeCell ref="AZ4:BB4"/>
    <mergeCell ref="BC4:BE4"/>
    <mergeCell ref="AE4:AG4"/>
    <mergeCell ref="AH4:AJ4"/>
    <mergeCell ref="AK4:AM4"/>
    <mergeCell ref="AN4:AP4"/>
    <mergeCell ref="AQ4:AS4"/>
    <mergeCell ref="AT4:AV4"/>
    <mergeCell ref="AW4:AY4"/>
    <mergeCell ref="BF4:BH4"/>
    <mergeCell ref="BI4:BK4"/>
    <mergeCell ref="BL4:BN4"/>
    <mergeCell ref="BO4:BQ4"/>
    <mergeCell ref="BR4:BT4"/>
    <mergeCell ref="BU4:BW4"/>
    <mergeCell ref="BX4:BZ4"/>
    <mergeCell ref="CV4:CX4"/>
    <mergeCell ref="CY4:DA4"/>
    <mergeCell ref="CA4:CC4"/>
    <mergeCell ref="CD4:CF4"/>
    <mergeCell ref="CG4:CI4"/>
    <mergeCell ref="CJ4:CL4"/>
    <mergeCell ref="CM4:CO4"/>
    <mergeCell ref="CP4:CR4"/>
    <mergeCell ref="CS4:CU4"/>
    <mergeCell ref="AE3:AG3"/>
    <mergeCell ref="AH3:AJ3"/>
    <mergeCell ref="AK3:AM3"/>
    <mergeCell ref="AN3:AP3"/>
    <mergeCell ref="AQ3:AS3"/>
    <mergeCell ref="AT3:AV3"/>
    <mergeCell ref="AW3:AY3"/>
    <mergeCell ref="DE3:DG3"/>
    <mergeCell ref="DH3:DJ3"/>
    <mergeCell ref="DK3:DM3"/>
    <mergeCell ref="DB4:DD4"/>
    <mergeCell ref="DE4:DG4"/>
    <mergeCell ref="DH4:DJ4"/>
    <mergeCell ref="DK4:DM4"/>
    <mergeCell ref="DN4:DP4"/>
    <mergeCell ref="CJ3:CL3"/>
    <mergeCell ref="CM3:CO3"/>
    <mergeCell ref="CP3:CR3"/>
    <mergeCell ref="CS3:CU3"/>
    <mergeCell ref="CV3:CX3"/>
    <mergeCell ref="CY3:DA3"/>
    <mergeCell ref="DB3:DD3"/>
    <mergeCell ref="J3:L3"/>
    <mergeCell ref="M3:O3"/>
    <mergeCell ref="P3:R3"/>
    <mergeCell ref="S3:U3"/>
    <mergeCell ref="V3:X3"/>
    <mergeCell ref="Y3:AA3"/>
    <mergeCell ref="AB3:AD3"/>
    <mergeCell ref="J4:L4"/>
    <mergeCell ref="M4:O4"/>
    <mergeCell ref="P4:R4"/>
    <mergeCell ref="S4:U4"/>
    <mergeCell ref="V4:X4"/>
    <mergeCell ref="Y4:AA4"/>
    <mergeCell ref="AB4:AD4"/>
    <mergeCell ref="AZ3:BB3"/>
    <mergeCell ref="BC3:BE3"/>
    <mergeCell ref="BF3:BH3"/>
    <mergeCell ref="BI3:BK3"/>
    <mergeCell ref="BL3:BN3"/>
    <mergeCell ref="BO3:BQ3"/>
    <mergeCell ref="BR3:BT3"/>
    <mergeCell ref="BU3:BW3"/>
    <mergeCell ref="BX3:BZ3"/>
    <mergeCell ref="CA3:CC3"/>
    <mergeCell ref="CD3:CF3"/>
    <mergeCell ref="CG3:CI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10.71"/>
    <col customWidth="1" min="3" max="3" width="15.14"/>
    <col customWidth="1" min="4" max="4" width="11.71"/>
    <col customWidth="1" min="5" max="6" width="8.71"/>
  </cols>
  <sheetData>
    <row r="1" ht="15.0" customHeight="1">
      <c r="A1" s="48" t="s">
        <v>73</v>
      </c>
      <c r="B1" s="48" t="s">
        <v>773</v>
      </c>
      <c r="C1" s="48" t="s">
        <v>774</v>
      </c>
      <c r="D1" s="48" t="s">
        <v>775</v>
      </c>
    </row>
    <row r="2" ht="15.0" customHeight="1">
      <c r="A2" s="49" t="s">
        <v>776</v>
      </c>
      <c r="B2" s="50">
        <v>44012.0</v>
      </c>
      <c r="C2" s="49" t="s">
        <v>777</v>
      </c>
      <c r="D2" s="49">
        <v>0.0</v>
      </c>
    </row>
    <row r="3" ht="15.0" hidden="1" customHeight="1">
      <c r="A3" s="49" t="s">
        <v>778</v>
      </c>
      <c r="B3" s="50">
        <v>44012.0</v>
      </c>
      <c r="C3" s="49" t="s">
        <v>777</v>
      </c>
      <c r="D3" s="49">
        <v>0.0</v>
      </c>
    </row>
    <row r="4" ht="15.0" hidden="1" customHeight="1">
      <c r="A4" s="49" t="s">
        <v>92</v>
      </c>
      <c r="B4" s="50">
        <v>44012.0</v>
      </c>
      <c r="C4" s="49" t="s">
        <v>777</v>
      </c>
      <c r="D4" s="49">
        <v>0.0</v>
      </c>
    </row>
    <row r="5" ht="15.0" hidden="1" customHeight="1">
      <c r="A5" s="49" t="s">
        <v>97</v>
      </c>
      <c r="B5" s="50">
        <v>44012.0</v>
      </c>
      <c r="C5" s="49" t="s">
        <v>777</v>
      </c>
      <c r="D5" s="49">
        <v>0.0</v>
      </c>
    </row>
    <row r="6" ht="15.0" hidden="1" customHeight="1">
      <c r="A6" s="49" t="s">
        <v>102</v>
      </c>
      <c r="B6" s="50">
        <v>44012.0</v>
      </c>
      <c r="C6" s="49" t="s">
        <v>777</v>
      </c>
      <c r="D6" s="49">
        <v>0.0</v>
      </c>
    </row>
    <row r="7" ht="15.0" hidden="1" customHeight="1">
      <c r="A7" s="49" t="s">
        <v>106</v>
      </c>
      <c r="B7" s="50">
        <v>44012.0</v>
      </c>
      <c r="C7" s="49" t="s">
        <v>777</v>
      </c>
      <c r="D7" s="49">
        <v>0.0</v>
      </c>
    </row>
    <row r="8" ht="15.0" hidden="1" customHeight="1">
      <c r="A8" s="49" t="s">
        <v>111</v>
      </c>
      <c r="B8" s="50">
        <v>44012.0</v>
      </c>
      <c r="C8" s="49" t="s">
        <v>777</v>
      </c>
      <c r="D8" s="49">
        <v>0.0</v>
      </c>
    </row>
    <row r="9" ht="15.0" hidden="1" customHeight="1">
      <c r="A9" s="49" t="s">
        <v>116</v>
      </c>
      <c r="B9" s="50">
        <v>44012.0</v>
      </c>
      <c r="C9" s="49" t="s">
        <v>777</v>
      </c>
      <c r="D9" s="49">
        <v>0.0</v>
      </c>
    </row>
    <row r="10" ht="15.0" hidden="1" customHeight="1">
      <c r="A10" s="49" t="s">
        <v>120</v>
      </c>
      <c r="B10" s="50">
        <v>44012.0</v>
      </c>
      <c r="C10" s="49" t="s">
        <v>777</v>
      </c>
      <c r="D10" s="49">
        <v>0.0</v>
      </c>
    </row>
    <row r="11" ht="15.0" hidden="1" customHeight="1">
      <c r="A11" s="49" t="s">
        <v>125</v>
      </c>
      <c r="B11" s="50">
        <v>44012.0</v>
      </c>
      <c r="C11" s="49" t="s">
        <v>777</v>
      </c>
      <c r="D11" s="49">
        <v>0.0</v>
      </c>
    </row>
    <row r="12" ht="15.0" hidden="1" customHeight="1">
      <c r="A12" s="49" t="s">
        <v>130</v>
      </c>
      <c r="B12" s="50">
        <v>44012.0</v>
      </c>
      <c r="C12" s="49" t="s">
        <v>777</v>
      </c>
      <c r="D12" s="49">
        <v>0.0</v>
      </c>
    </row>
    <row r="13" ht="15.0" hidden="1" customHeight="1">
      <c r="A13" s="49" t="s">
        <v>137</v>
      </c>
      <c r="B13" s="50">
        <v>44012.0</v>
      </c>
      <c r="C13" s="49" t="s">
        <v>777</v>
      </c>
      <c r="D13" s="49">
        <v>0.0</v>
      </c>
    </row>
    <row r="14" ht="15.0" hidden="1" customHeight="1">
      <c r="A14" s="49" t="s">
        <v>142</v>
      </c>
      <c r="B14" s="50">
        <v>44012.0</v>
      </c>
      <c r="C14" s="49" t="s">
        <v>777</v>
      </c>
      <c r="D14" s="49">
        <v>0.0</v>
      </c>
    </row>
    <row r="15" ht="15.0" hidden="1" customHeight="1">
      <c r="A15" s="49" t="s">
        <v>147</v>
      </c>
      <c r="B15" s="50">
        <v>44012.0</v>
      </c>
      <c r="C15" s="49" t="s">
        <v>777</v>
      </c>
      <c r="D15" s="49">
        <v>0.0</v>
      </c>
    </row>
    <row r="16" ht="15.0" hidden="1" customHeight="1">
      <c r="A16" s="49" t="s">
        <v>152</v>
      </c>
      <c r="B16" s="50">
        <v>44012.0</v>
      </c>
      <c r="C16" s="49" t="s">
        <v>777</v>
      </c>
      <c r="D16" s="49">
        <v>0.0</v>
      </c>
    </row>
    <row r="17" ht="15.0" hidden="1" customHeight="1">
      <c r="A17" s="49" t="s">
        <v>157</v>
      </c>
      <c r="B17" s="50">
        <v>44012.0</v>
      </c>
      <c r="C17" s="49" t="s">
        <v>777</v>
      </c>
      <c r="D17" s="49">
        <v>0.0</v>
      </c>
    </row>
    <row r="18" ht="15.0" hidden="1" customHeight="1">
      <c r="A18" s="49" t="s">
        <v>162</v>
      </c>
      <c r="B18" s="50">
        <v>44012.0</v>
      </c>
      <c r="C18" s="49" t="s">
        <v>777</v>
      </c>
      <c r="D18" s="49">
        <v>0.0</v>
      </c>
    </row>
    <row r="19" ht="15.0" hidden="1" customHeight="1">
      <c r="A19" s="49" t="s">
        <v>167</v>
      </c>
      <c r="B19" s="50">
        <v>44012.0</v>
      </c>
      <c r="C19" s="49" t="s">
        <v>777</v>
      </c>
      <c r="D19" s="49">
        <v>0.0</v>
      </c>
    </row>
    <row r="20" ht="15.0" hidden="1" customHeight="1">
      <c r="A20" s="49" t="s">
        <v>172</v>
      </c>
      <c r="B20" s="50">
        <v>44012.0</v>
      </c>
      <c r="C20" s="49" t="s">
        <v>777</v>
      </c>
      <c r="D20" s="49">
        <v>0.0</v>
      </c>
    </row>
    <row r="21" ht="15.0" hidden="1" customHeight="1">
      <c r="A21" s="49" t="s">
        <v>177</v>
      </c>
      <c r="B21" s="50">
        <v>44012.0</v>
      </c>
      <c r="C21" s="49" t="s">
        <v>777</v>
      </c>
      <c r="D21" s="49">
        <v>0.0</v>
      </c>
    </row>
    <row r="22" ht="15.0" hidden="1" customHeight="1">
      <c r="A22" s="49" t="s">
        <v>182</v>
      </c>
      <c r="B22" s="50">
        <v>44012.0</v>
      </c>
      <c r="C22" s="49" t="s">
        <v>777</v>
      </c>
      <c r="D22" s="49">
        <v>0.0</v>
      </c>
    </row>
    <row r="23" ht="15.0" hidden="1" customHeight="1">
      <c r="A23" s="49" t="s">
        <v>187</v>
      </c>
      <c r="B23" s="50">
        <v>44012.0</v>
      </c>
      <c r="C23" s="49" t="s">
        <v>777</v>
      </c>
      <c r="D23" s="49">
        <v>0.0</v>
      </c>
    </row>
    <row r="24" ht="15.0" hidden="1" customHeight="1">
      <c r="A24" s="49" t="s">
        <v>192</v>
      </c>
      <c r="B24" s="50">
        <v>44012.0</v>
      </c>
      <c r="C24" s="49" t="s">
        <v>777</v>
      </c>
      <c r="D24" s="49">
        <v>0.0</v>
      </c>
    </row>
    <row r="25" ht="15.0" hidden="1" customHeight="1">
      <c r="A25" s="49" t="s">
        <v>197</v>
      </c>
      <c r="B25" s="50">
        <v>44012.0</v>
      </c>
      <c r="C25" s="49" t="s">
        <v>777</v>
      </c>
      <c r="D25" s="49">
        <v>0.0</v>
      </c>
    </row>
    <row r="26" ht="15.0" hidden="1" customHeight="1">
      <c r="A26" s="49" t="s">
        <v>202</v>
      </c>
      <c r="B26" s="50">
        <v>44012.0</v>
      </c>
      <c r="C26" s="49" t="s">
        <v>777</v>
      </c>
      <c r="D26" s="49">
        <v>0.0</v>
      </c>
    </row>
    <row r="27" ht="15.0" hidden="1" customHeight="1">
      <c r="A27" s="49" t="s">
        <v>206</v>
      </c>
      <c r="B27" s="50">
        <v>44012.0</v>
      </c>
      <c r="C27" s="49" t="s">
        <v>777</v>
      </c>
      <c r="D27" s="49">
        <v>0.0</v>
      </c>
    </row>
    <row r="28" ht="15.0" hidden="1" customHeight="1">
      <c r="A28" s="49" t="s">
        <v>211</v>
      </c>
      <c r="B28" s="50">
        <v>44012.0</v>
      </c>
      <c r="C28" s="49" t="s">
        <v>777</v>
      </c>
      <c r="D28" s="49">
        <v>0.0</v>
      </c>
    </row>
    <row r="29" ht="15.0" hidden="1" customHeight="1">
      <c r="A29" s="49" t="s">
        <v>779</v>
      </c>
      <c r="B29" s="50">
        <v>44012.0</v>
      </c>
      <c r="C29" s="49" t="s">
        <v>777</v>
      </c>
      <c r="D29" s="49">
        <v>0.0</v>
      </c>
    </row>
    <row r="30" ht="15.0" hidden="1" customHeight="1">
      <c r="A30" s="49" t="s">
        <v>221</v>
      </c>
      <c r="B30" s="50">
        <v>44012.0</v>
      </c>
      <c r="C30" s="49" t="s">
        <v>777</v>
      </c>
      <c r="D30" s="49">
        <v>0.0</v>
      </c>
    </row>
    <row r="31" ht="15.0" hidden="1" customHeight="1">
      <c r="A31" s="49" t="s">
        <v>226</v>
      </c>
      <c r="B31" s="50">
        <v>44012.0</v>
      </c>
      <c r="C31" s="49" t="s">
        <v>777</v>
      </c>
      <c r="D31" s="49">
        <v>0.0</v>
      </c>
    </row>
    <row r="32" ht="15.0" hidden="1" customHeight="1">
      <c r="A32" s="49" t="s">
        <v>231</v>
      </c>
      <c r="B32" s="50">
        <v>44012.0</v>
      </c>
      <c r="C32" s="49" t="s">
        <v>777</v>
      </c>
      <c r="D32" s="49">
        <v>0.0</v>
      </c>
    </row>
    <row r="33" ht="15.0" hidden="1" customHeight="1">
      <c r="A33" s="49" t="s">
        <v>236</v>
      </c>
      <c r="B33" s="50">
        <v>44012.0</v>
      </c>
      <c r="C33" s="49" t="s">
        <v>777</v>
      </c>
      <c r="D33" s="49">
        <v>0.0</v>
      </c>
    </row>
    <row r="34" ht="15.0" hidden="1" customHeight="1">
      <c r="A34" s="49" t="s">
        <v>242</v>
      </c>
      <c r="B34" s="50">
        <v>44012.0</v>
      </c>
      <c r="C34" s="49" t="s">
        <v>777</v>
      </c>
      <c r="D34" s="49">
        <v>0.0</v>
      </c>
    </row>
    <row r="35" ht="15.0" hidden="1" customHeight="1">
      <c r="A35" s="49" t="s">
        <v>248</v>
      </c>
      <c r="B35" s="50">
        <v>44012.0</v>
      </c>
      <c r="C35" s="49" t="s">
        <v>777</v>
      </c>
      <c r="D35" s="49">
        <v>0.0</v>
      </c>
    </row>
    <row r="36" ht="15.0" hidden="1" customHeight="1">
      <c r="A36" s="49" t="s">
        <v>253</v>
      </c>
      <c r="B36" s="50">
        <v>44012.0</v>
      </c>
      <c r="C36" s="49" t="s">
        <v>777</v>
      </c>
      <c r="D36" s="49">
        <v>0.0</v>
      </c>
    </row>
    <row r="37" ht="15.0" hidden="1" customHeight="1">
      <c r="A37" s="49" t="s">
        <v>258</v>
      </c>
      <c r="B37" s="50">
        <v>44012.0</v>
      </c>
      <c r="C37" s="49" t="s">
        <v>777</v>
      </c>
      <c r="D37" s="49">
        <v>0.0</v>
      </c>
    </row>
    <row r="38" ht="15.0" hidden="1" customHeight="1">
      <c r="A38" s="49" t="s">
        <v>263</v>
      </c>
      <c r="B38" s="50">
        <v>44012.0</v>
      </c>
      <c r="C38" s="49" t="s">
        <v>777</v>
      </c>
      <c r="D38" s="49">
        <v>0.0</v>
      </c>
    </row>
    <row r="39" ht="15.0" hidden="1" customHeight="1">
      <c r="A39" s="49" t="s">
        <v>268</v>
      </c>
      <c r="B39" s="50">
        <v>44012.0</v>
      </c>
      <c r="C39" s="49" t="s">
        <v>777</v>
      </c>
      <c r="D39" s="49">
        <v>0.0</v>
      </c>
    </row>
    <row r="40" ht="15.0" hidden="1" customHeight="1">
      <c r="A40" s="49" t="s">
        <v>273</v>
      </c>
      <c r="B40" s="50">
        <v>44012.0</v>
      </c>
      <c r="C40" s="49" t="s">
        <v>777</v>
      </c>
      <c r="D40" s="49">
        <v>0.0</v>
      </c>
    </row>
    <row r="41" ht="15.0" hidden="1" customHeight="1">
      <c r="A41" s="49" t="s">
        <v>278</v>
      </c>
      <c r="B41" s="50">
        <v>44012.0</v>
      </c>
      <c r="C41" s="49" t="s">
        <v>777</v>
      </c>
      <c r="D41" s="49">
        <v>0.0</v>
      </c>
    </row>
    <row r="42" ht="15.0" hidden="1" customHeight="1">
      <c r="A42" s="49" t="s">
        <v>283</v>
      </c>
      <c r="B42" s="50">
        <v>44012.0</v>
      </c>
      <c r="C42" s="49" t="s">
        <v>777</v>
      </c>
      <c r="D42" s="49">
        <v>0.0</v>
      </c>
    </row>
    <row r="43" ht="15.0" hidden="1" customHeight="1">
      <c r="A43" s="49" t="s">
        <v>288</v>
      </c>
      <c r="B43" s="50">
        <v>44012.0</v>
      </c>
      <c r="C43" s="49" t="s">
        <v>777</v>
      </c>
      <c r="D43" s="49">
        <v>0.0</v>
      </c>
    </row>
    <row r="44" ht="15.0" hidden="1" customHeight="1">
      <c r="A44" s="49" t="s">
        <v>293</v>
      </c>
      <c r="B44" s="50">
        <v>44012.0</v>
      </c>
      <c r="C44" s="49" t="s">
        <v>777</v>
      </c>
      <c r="D44" s="49">
        <v>0.0</v>
      </c>
    </row>
    <row r="45" ht="15.0" hidden="1" customHeight="1">
      <c r="A45" s="49" t="s">
        <v>298</v>
      </c>
      <c r="B45" s="50">
        <v>44012.0</v>
      </c>
      <c r="C45" s="49" t="s">
        <v>777</v>
      </c>
      <c r="D45" s="49">
        <v>0.0</v>
      </c>
    </row>
    <row r="46" ht="15.0" hidden="1" customHeight="1">
      <c r="A46" s="49" t="s">
        <v>303</v>
      </c>
      <c r="B46" s="50">
        <v>44012.0</v>
      </c>
      <c r="C46" s="49" t="s">
        <v>777</v>
      </c>
      <c r="D46" s="49">
        <v>0.0</v>
      </c>
    </row>
    <row r="47" ht="15.0" hidden="1" customHeight="1">
      <c r="A47" s="49" t="s">
        <v>307</v>
      </c>
      <c r="B47" s="50">
        <v>44012.0</v>
      </c>
      <c r="C47" s="49" t="s">
        <v>777</v>
      </c>
      <c r="D47" s="49">
        <v>0.0</v>
      </c>
    </row>
    <row r="48" ht="15.0" hidden="1" customHeight="1">
      <c r="A48" s="49" t="s">
        <v>313</v>
      </c>
      <c r="B48" s="50">
        <v>44012.0</v>
      </c>
      <c r="C48" s="49" t="s">
        <v>777</v>
      </c>
      <c r="D48" s="49">
        <v>0.0</v>
      </c>
    </row>
    <row r="49" ht="15.0" hidden="1" customHeight="1">
      <c r="A49" s="49" t="s">
        <v>318</v>
      </c>
      <c r="B49" s="50">
        <v>44012.0</v>
      </c>
      <c r="C49" s="49" t="s">
        <v>777</v>
      </c>
      <c r="D49" s="49">
        <v>0.0</v>
      </c>
    </row>
    <row r="50" ht="15.0" hidden="1" customHeight="1">
      <c r="A50" s="49" t="s">
        <v>323</v>
      </c>
      <c r="B50" s="50">
        <v>44012.0</v>
      </c>
      <c r="C50" s="49" t="s">
        <v>777</v>
      </c>
      <c r="D50" s="49">
        <v>0.0</v>
      </c>
    </row>
    <row r="51" ht="15.0" hidden="1" customHeight="1">
      <c r="A51" s="49" t="s">
        <v>328</v>
      </c>
      <c r="B51" s="50">
        <v>44012.0</v>
      </c>
      <c r="C51" s="49" t="s">
        <v>777</v>
      </c>
      <c r="D51" s="49">
        <v>0.0</v>
      </c>
    </row>
    <row r="52" ht="15.0" hidden="1" customHeight="1">
      <c r="A52" s="49" t="s">
        <v>335</v>
      </c>
      <c r="B52" s="50">
        <v>44012.0</v>
      </c>
      <c r="C52" s="49" t="s">
        <v>777</v>
      </c>
      <c r="D52" s="49">
        <v>0.0</v>
      </c>
    </row>
    <row r="53" ht="15.0" hidden="1" customHeight="1">
      <c r="A53" s="49" t="s">
        <v>340</v>
      </c>
      <c r="B53" s="50">
        <v>44012.0</v>
      </c>
      <c r="C53" s="49" t="s">
        <v>777</v>
      </c>
      <c r="D53" s="49">
        <v>0.0</v>
      </c>
    </row>
    <row r="54" ht="15.0" hidden="1" customHeight="1">
      <c r="A54" s="49" t="s">
        <v>345</v>
      </c>
      <c r="B54" s="50">
        <v>44012.0</v>
      </c>
      <c r="C54" s="49" t="s">
        <v>777</v>
      </c>
      <c r="D54" s="49">
        <v>0.0</v>
      </c>
    </row>
    <row r="55" ht="15.0" hidden="1" customHeight="1">
      <c r="A55" s="49" t="s">
        <v>350</v>
      </c>
      <c r="B55" s="50">
        <v>44012.0</v>
      </c>
      <c r="C55" s="49" t="s">
        <v>777</v>
      </c>
      <c r="D55" s="49">
        <v>0.0</v>
      </c>
    </row>
    <row r="56" ht="15.0" hidden="1" customHeight="1">
      <c r="A56" s="49" t="s">
        <v>355</v>
      </c>
      <c r="B56" s="50">
        <v>44012.0</v>
      </c>
      <c r="C56" s="49" t="s">
        <v>777</v>
      </c>
      <c r="D56" s="49">
        <v>0.0</v>
      </c>
    </row>
    <row r="57" ht="15.0" hidden="1" customHeight="1">
      <c r="A57" s="49" t="s">
        <v>360</v>
      </c>
      <c r="B57" s="50">
        <v>44012.0</v>
      </c>
      <c r="C57" s="49" t="s">
        <v>777</v>
      </c>
      <c r="D57" s="49">
        <v>0.0</v>
      </c>
    </row>
    <row r="58" ht="15.0" hidden="1" customHeight="1">
      <c r="A58" s="49" t="s">
        <v>365</v>
      </c>
      <c r="B58" s="50">
        <v>44012.0</v>
      </c>
      <c r="C58" s="49" t="s">
        <v>777</v>
      </c>
      <c r="D58" s="49">
        <v>0.0</v>
      </c>
    </row>
    <row r="59" ht="15.0" hidden="1" customHeight="1">
      <c r="A59" s="49" t="s">
        <v>370</v>
      </c>
      <c r="B59" s="50">
        <v>44012.0</v>
      </c>
      <c r="C59" s="49" t="s">
        <v>777</v>
      </c>
      <c r="D59" s="49">
        <v>0.0</v>
      </c>
    </row>
    <row r="60" ht="15.0" hidden="1" customHeight="1">
      <c r="A60" s="49" t="s">
        <v>375</v>
      </c>
      <c r="B60" s="50">
        <v>44012.0</v>
      </c>
      <c r="C60" s="49" t="s">
        <v>777</v>
      </c>
      <c r="D60" s="49">
        <v>0.0</v>
      </c>
    </row>
    <row r="61" ht="15.0" hidden="1" customHeight="1">
      <c r="A61" s="49" t="s">
        <v>380</v>
      </c>
      <c r="B61" s="50">
        <v>44012.0</v>
      </c>
      <c r="C61" s="49" t="s">
        <v>777</v>
      </c>
      <c r="D61" s="49">
        <v>0.0</v>
      </c>
    </row>
    <row r="62" ht="15.0" hidden="1" customHeight="1">
      <c r="A62" s="49" t="s">
        <v>385</v>
      </c>
      <c r="B62" s="50">
        <v>44012.0</v>
      </c>
      <c r="C62" s="49" t="s">
        <v>777</v>
      </c>
      <c r="D62" s="49">
        <v>0.0</v>
      </c>
    </row>
    <row r="63" ht="15.0" hidden="1" customHeight="1">
      <c r="A63" s="49" t="s">
        <v>390</v>
      </c>
      <c r="B63" s="50">
        <v>44012.0</v>
      </c>
      <c r="C63" s="49" t="s">
        <v>777</v>
      </c>
      <c r="D63" s="49">
        <v>0.0</v>
      </c>
    </row>
    <row r="64" ht="15.0" hidden="1" customHeight="1">
      <c r="A64" s="49" t="s">
        <v>395</v>
      </c>
      <c r="B64" s="50">
        <v>44012.0</v>
      </c>
      <c r="C64" s="49" t="s">
        <v>777</v>
      </c>
      <c r="D64" s="49">
        <v>0.0</v>
      </c>
    </row>
    <row r="65" ht="15.0" hidden="1" customHeight="1">
      <c r="A65" s="49" t="s">
        <v>400</v>
      </c>
      <c r="B65" s="50">
        <v>44012.0</v>
      </c>
      <c r="C65" s="49" t="s">
        <v>777</v>
      </c>
      <c r="D65" s="49">
        <v>0.0</v>
      </c>
    </row>
    <row r="66" ht="15.0" hidden="1" customHeight="1">
      <c r="A66" s="49" t="s">
        <v>405</v>
      </c>
      <c r="B66" s="50">
        <v>44012.0</v>
      </c>
      <c r="C66" s="49" t="s">
        <v>777</v>
      </c>
      <c r="D66" s="49">
        <v>0.0</v>
      </c>
    </row>
    <row r="67" ht="15.0" hidden="1" customHeight="1">
      <c r="A67" s="49" t="s">
        <v>410</v>
      </c>
      <c r="B67" s="50">
        <v>44012.0</v>
      </c>
      <c r="C67" s="49" t="s">
        <v>777</v>
      </c>
      <c r="D67" s="49">
        <v>0.0</v>
      </c>
    </row>
    <row r="68" ht="15.0" hidden="1" customHeight="1">
      <c r="A68" s="49" t="s">
        <v>415</v>
      </c>
      <c r="B68" s="50">
        <v>44012.0</v>
      </c>
      <c r="C68" s="49" t="s">
        <v>777</v>
      </c>
      <c r="D68" s="49">
        <v>0.0</v>
      </c>
    </row>
    <row r="69" ht="15.0" hidden="1" customHeight="1">
      <c r="A69" s="49" t="s">
        <v>420</v>
      </c>
      <c r="B69" s="50">
        <v>44012.0</v>
      </c>
      <c r="C69" s="49" t="s">
        <v>777</v>
      </c>
      <c r="D69" s="49">
        <v>0.0</v>
      </c>
    </row>
    <row r="70" ht="15.0" hidden="1" customHeight="1">
      <c r="A70" s="49" t="s">
        <v>425</v>
      </c>
      <c r="B70" s="50">
        <v>44012.0</v>
      </c>
      <c r="C70" s="49" t="s">
        <v>777</v>
      </c>
      <c r="D70" s="49">
        <v>0.0</v>
      </c>
    </row>
    <row r="71" ht="15.0" hidden="1" customHeight="1">
      <c r="A71" s="49" t="s">
        <v>430</v>
      </c>
      <c r="B71" s="50">
        <v>44012.0</v>
      </c>
      <c r="C71" s="49" t="s">
        <v>777</v>
      </c>
      <c r="D71" s="49">
        <v>0.0</v>
      </c>
    </row>
    <row r="72" ht="15.0" hidden="1" customHeight="1">
      <c r="A72" s="49" t="s">
        <v>434</v>
      </c>
      <c r="B72" s="50">
        <v>44012.0</v>
      </c>
      <c r="C72" s="49" t="s">
        <v>777</v>
      </c>
      <c r="D72" s="49">
        <v>0.0</v>
      </c>
    </row>
    <row r="73" ht="15.0" hidden="1" customHeight="1">
      <c r="A73" s="49" t="s">
        <v>439</v>
      </c>
      <c r="B73" s="50">
        <v>44012.0</v>
      </c>
      <c r="C73" s="49" t="s">
        <v>777</v>
      </c>
      <c r="D73" s="49">
        <v>0.0</v>
      </c>
    </row>
    <row r="74" ht="15.0" hidden="1" customHeight="1">
      <c r="A74" s="49" t="s">
        <v>444</v>
      </c>
      <c r="B74" s="50">
        <v>44012.0</v>
      </c>
      <c r="C74" s="49" t="s">
        <v>777</v>
      </c>
      <c r="D74" s="49">
        <v>0.0</v>
      </c>
    </row>
    <row r="75" ht="15.0" hidden="1" customHeight="1">
      <c r="A75" s="49" t="s">
        <v>449</v>
      </c>
      <c r="B75" s="50">
        <v>44012.0</v>
      </c>
      <c r="C75" s="49" t="s">
        <v>777</v>
      </c>
      <c r="D75" s="49">
        <v>0.0</v>
      </c>
    </row>
    <row r="76" ht="15.0" hidden="1" customHeight="1">
      <c r="A76" s="49" t="s">
        <v>455</v>
      </c>
      <c r="B76" s="50">
        <v>44012.0</v>
      </c>
      <c r="C76" s="49" t="s">
        <v>777</v>
      </c>
      <c r="D76" s="49">
        <v>0.0</v>
      </c>
    </row>
    <row r="77" ht="15.0" hidden="1" customHeight="1">
      <c r="A77" s="49" t="s">
        <v>470</v>
      </c>
      <c r="B77" s="50">
        <v>44012.0</v>
      </c>
      <c r="C77" s="49" t="s">
        <v>777</v>
      </c>
      <c r="D77" s="49">
        <v>0.0</v>
      </c>
    </row>
    <row r="78" ht="15.0" hidden="1" customHeight="1">
      <c r="A78" s="49" t="s">
        <v>476</v>
      </c>
      <c r="B78" s="50">
        <v>44012.0</v>
      </c>
      <c r="C78" s="49" t="s">
        <v>777</v>
      </c>
      <c r="D78" s="49">
        <v>0.0</v>
      </c>
    </row>
    <row r="79" ht="15.0" hidden="1" customHeight="1">
      <c r="A79" s="49" t="s">
        <v>481</v>
      </c>
      <c r="B79" s="50">
        <v>44012.0</v>
      </c>
      <c r="C79" s="49" t="s">
        <v>777</v>
      </c>
      <c r="D79" s="49">
        <v>0.0</v>
      </c>
    </row>
    <row r="80" ht="15.0" hidden="1" customHeight="1">
      <c r="A80" s="49" t="s">
        <v>486</v>
      </c>
      <c r="B80" s="50">
        <v>44012.0</v>
      </c>
      <c r="C80" s="49" t="s">
        <v>777</v>
      </c>
      <c r="D80" s="49">
        <v>0.0</v>
      </c>
    </row>
    <row r="81" ht="15.0" hidden="1" customHeight="1">
      <c r="A81" s="49" t="s">
        <v>491</v>
      </c>
      <c r="B81" s="50">
        <v>44012.0</v>
      </c>
      <c r="C81" s="49" t="s">
        <v>777</v>
      </c>
      <c r="D81" s="49">
        <v>0.0</v>
      </c>
    </row>
    <row r="82" ht="15.0" hidden="1" customHeight="1">
      <c r="A82" s="49" t="s">
        <v>496</v>
      </c>
      <c r="B82" s="50">
        <v>44012.0</v>
      </c>
      <c r="C82" s="49" t="s">
        <v>777</v>
      </c>
      <c r="D82" s="49">
        <v>0.0</v>
      </c>
    </row>
    <row r="83" ht="15.0" hidden="1" customHeight="1">
      <c r="A83" s="49" t="s">
        <v>501</v>
      </c>
      <c r="B83" s="50">
        <v>44012.0</v>
      </c>
      <c r="C83" s="49" t="s">
        <v>777</v>
      </c>
      <c r="D83" s="49">
        <v>0.0</v>
      </c>
    </row>
    <row r="84" ht="15.0" hidden="1" customHeight="1">
      <c r="A84" s="49" t="s">
        <v>506</v>
      </c>
      <c r="B84" s="50">
        <v>44012.0</v>
      </c>
      <c r="C84" s="49" t="s">
        <v>777</v>
      </c>
      <c r="D84" s="49">
        <v>0.0</v>
      </c>
    </row>
    <row r="85" ht="15.0" hidden="1" customHeight="1">
      <c r="A85" s="49" t="s">
        <v>512</v>
      </c>
      <c r="B85" s="50">
        <v>44012.0</v>
      </c>
      <c r="C85" s="49" t="s">
        <v>777</v>
      </c>
      <c r="D85" s="49">
        <v>0.0</v>
      </c>
    </row>
    <row r="86" ht="15.0" hidden="1" customHeight="1">
      <c r="A86" s="49" t="s">
        <v>517</v>
      </c>
      <c r="B86" s="50">
        <v>44012.0</v>
      </c>
      <c r="C86" s="49" t="s">
        <v>777</v>
      </c>
      <c r="D86" s="49">
        <v>0.0</v>
      </c>
    </row>
    <row r="87" ht="15.0" hidden="1" customHeight="1">
      <c r="A87" s="49" t="s">
        <v>522</v>
      </c>
      <c r="B87" s="50">
        <v>44012.0</v>
      </c>
      <c r="C87" s="49" t="s">
        <v>777</v>
      </c>
      <c r="D87" s="49">
        <v>0.0</v>
      </c>
    </row>
    <row r="88" ht="15.0" hidden="1" customHeight="1">
      <c r="A88" s="49" t="s">
        <v>528</v>
      </c>
      <c r="B88" s="50">
        <v>44012.0</v>
      </c>
      <c r="C88" s="49" t="s">
        <v>777</v>
      </c>
      <c r="D88" s="49">
        <v>0.0</v>
      </c>
    </row>
    <row r="89" ht="15.0" hidden="1" customHeight="1">
      <c r="A89" s="49" t="s">
        <v>533</v>
      </c>
      <c r="B89" s="50">
        <v>44012.0</v>
      </c>
      <c r="C89" s="49" t="s">
        <v>777</v>
      </c>
      <c r="D89" s="49">
        <v>0.0</v>
      </c>
    </row>
    <row r="90" ht="15.0" hidden="1" customHeight="1">
      <c r="A90" s="49" t="s">
        <v>538</v>
      </c>
      <c r="B90" s="50">
        <v>44012.0</v>
      </c>
      <c r="C90" s="49" t="s">
        <v>777</v>
      </c>
      <c r="D90" s="49">
        <v>0.0</v>
      </c>
    </row>
    <row r="91" ht="15.0" hidden="1" customHeight="1">
      <c r="A91" s="49" t="s">
        <v>546</v>
      </c>
      <c r="B91" s="50">
        <v>44012.0</v>
      </c>
      <c r="C91" s="49" t="s">
        <v>777</v>
      </c>
      <c r="D91" s="49">
        <v>0.0</v>
      </c>
    </row>
    <row r="92" ht="15.0" hidden="1" customHeight="1">
      <c r="A92" s="49" t="s">
        <v>551</v>
      </c>
      <c r="B92" s="50">
        <v>44012.0</v>
      </c>
      <c r="C92" s="49" t="s">
        <v>777</v>
      </c>
      <c r="D92" s="49">
        <v>0.0</v>
      </c>
    </row>
    <row r="93" ht="15.0" hidden="1" customHeight="1">
      <c r="A93" s="49" t="s">
        <v>556</v>
      </c>
      <c r="B93" s="50">
        <v>44012.0</v>
      </c>
      <c r="C93" s="49" t="s">
        <v>777</v>
      </c>
      <c r="D93" s="49">
        <v>0.0</v>
      </c>
    </row>
    <row r="94" ht="15.0" hidden="1" customHeight="1">
      <c r="A94" s="49" t="s">
        <v>561</v>
      </c>
      <c r="B94" s="50">
        <v>44012.0</v>
      </c>
      <c r="C94" s="49" t="s">
        <v>777</v>
      </c>
      <c r="D94" s="49">
        <v>0.0</v>
      </c>
    </row>
    <row r="95" ht="15.0" hidden="1" customHeight="1">
      <c r="A95" s="49" t="s">
        <v>566</v>
      </c>
      <c r="B95" s="50">
        <v>44012.0</v>
      </c>
      <c r="C95" s="49" t="s">
        <v>777</v>
      </c>
      <c r="D95" s="49">
        <v>0.0</v>
      </c>
    </row>
    <row r="96" ht="15.0" hidden="1" customHeight="1">
      <c r="A96" s="49" t="s">
        <v>571</v>
      </c>
      <c r="B96" s="50">
        <v>44012.0</v>
      </c>
      <c r="C96" s="49" t="s">
        <v>777</v>
      </c>
      <c r="D96" s="49">
        <v>0.0</v>
      </c>
    </row>
    <row r="97" ht="15.0" hidden="1" customHeight="1">
      <c r="A97" s="49" t="s">
        <v>576</v>
      </c>
      <c r="B97" s="50">
        <v>44012.0</v>
      </c>
      <c r="C97" s="49" t="s">
        <v>777</v>
      </c>
      <c r="D97" s="49">
        <v>0.0</v>
      </c>
    </row>
    <row r="98" ht="15.0" hidden="1" customHeight="1">
      <c r="A98" s="49" t="s">
        <v>581</v>
      </c>
      <c r="B98" s="50">
        <v>44012.0</v>
      </c>
      <c r="C98" s="49" t="s">
        <v>777</v>
      </c>
      <c r="D98" s="49">
        <v>0.0</v>
      </c>
    </row>
    <row r="99" ht="15.0" hidden="1" customHeight="1">
      <c r="A99" s="49" t="s">
        <v>586</v>
      </c>
      <c r="B99" s="50">
        <v>44012.0</v>
      </c>
      <c r="C99" s="49" t="s">
        <v>777</v>
      </c>
      <c r="D99" s="49">
        <v>0.0</v>
      </c>
    </row>
    <row r="100" ht="15.0" hidden="1" customHeight="1">
      <c r="A100" s="49" t="s">
        <v>754</v>
      </c>
      <c r="B100" s="50">
        <v>44012.0</v>
      </c>
      <c r="C100" s="49" t="s">
        <v>777</v>
      </c>
      <c r="D100" s="49">
        <v>0.0</v>
      </c>
    </row>
    <row r="101" ht="15.0" hidden="1" customHeight="1">
      <c r="A101" s="49" t="s">
        <v>591</v>
      </c>
      <c r="B101" s="50">
        <v>44012.0</v>
      </c>
      <c r="C101" s="49" t="s">
        <v>777</v>
      </c>
      <c r="D101" s="49">
        <v>0.0</v>
      </c>
    </row>
    <row r="102" ht="15.0" hidden="1" customHeight="1">
      <c r="A102" s="49" t="s">
        <v>759</v>
      </c>
      <c r="B102" s="50">
        <v>44012.0</v>
      </c>
      <c r="C102" s="49" t="s">
        <v>777</v>
      </c>
      <c r="D102" s="49">
        <v>0.0</v>
      </c>
    </row>
    <row r="103" ht="15.0" hidden="1" customHeight="1">
      <c r="A103" s="49" t="s">
        <v>596</v>
      </c>
      <c r="B103" s="50">
        <v>44012.0</v>
      </c>
      <c r="C103" s="49" t="s">
        <v>777</v>
      </c>
      <c r="D103" s="49">
        <v>0.0</v>
      </c>
    </row>
    <row r="104" ht="15.0" hidden="1" customHeight="1">
      <c r="A104" s="49" t="s">
        <v>602</v>
      </c>
      <c r="B104" s="50">
        <v>44012.0</v>
      </c>
      <c r="C104" s="49" t="s">
        <v>777</v>
      </c>
      <c r="D104" s="49">
        <v>0.0</v>
      </c>
    </row>
    <row r="105" ht="15.0" hidden="1" customHeight="1">
      <c r="A105" s="49" t="s">
        <v>607</v>
      </c>
      <c r="B105" s="50">
        <v>44012.0</v>
      </c>
      <c r="C105" s="49" t="s">
        <v>777</v>
      </c>
      <c r="D105" s="49">
        <v>0.0</v>
      </c>
    </row>
    <row r="106" ht="15.0" hidden="1" customHeight="1">
      <c r="A106" s="49" t="s">
        <v>612</v>
      </c>
      <c r="B106" s="50">
        <v>44012.0</v>
      </c>
      <c r="C106" s="49" t="s">
        <v>777</v>
      </c>
      <c r="D106" s="49">
        <v>0.0</v>
      </c>
    </row>
    <row r="107" ht="15.0" hidden="1" customHeight="1">
      <c r="A107" s="49" t="s">
        <v>617</v>
      </c>
      <c r="B107" s="50">
        <v>44012.0</v>
      </c>
      <c r="C107" s="49" t="s">
        <v>777</v>
      </c>
      <c r="D107" s="49">
        <v>0.0</v>
      </c>
    </row>
    <row r="108" ht="15.0" hidden="1" customHeight="1">
      <c r="A108" s="49" t="s">
        <v>622</v>
      </c>
      <c r="B108" s="50">
        <v>44012.0</v>
      </c>
      <c r="C108" s="49" t="s">
        <v>777</v>
      </c>
      <c r="D108" s="49">
        <v>0.0</v>
      </c>
    </row>
    <row r="109" ht="15.0" hidden="1" customHeight="1">
      <c r="A109" s="49" t="s">
        <v>627</v>
      </c>
      <c r="B109" s="50">
        <v>44012.0</v>
      </c>
      <c r="C109" s="49" t="s">
        <v>777</v>
      </c>
      <c r="D109" s="49">
        <v>0.0</v>
      </c>
    </row>
    <row r="110" ht="15.0" hidden="1" customHeight="1">
      <c r="A110" s="49" t="s">
        <v>631</v>
      </c>
      <c r="B110" s="50">
        <v>44012.0</v>
      </c>
      <c r="C110" s="49" t="s">
        <v>777</v>
      </c>
      <c r="D110" s="49">
        <v>0.0</v>
      </c>
    </row>
    <row r="111" ht="15.0" hidden="1" customHeight="1">
      <c r="A111" s="49" t="s">
        <v>636</v>
      </c>
      <c r="B111" s="50">
        <v>44012.0</v>
      </c>
      <c r="C111" s="49" t="s">
        <v>777</v>
      </c>
      <c r="D111" s="49">
        <v>0.0</v>
      </c>
    </row>
    <row r="112" ht="15.0" hidden="1" customHeight="1">
      <c r="A112" s="49" t="s">
        <v>640</v>
      </c>
      <c r="B112" s="50">
        <v>44012.0</v>
      </c>
      <c r="C112" s="49" t="s">
        <v>777</v>
      </c>
      <c r="D112" s="49">
        <v>0.0</v>
      </c>
    </row>
    <row r="113" ht="15.0" hidden="1" customHeight="1">
      <c r="A113" s="49" t="s">
        <v>644</v>
      </c>
      <c r="B113" s="50">
        <v>44012.0</v>
      </c>
      <c r="C113" s="49" t="s">
        <v>777</v>
      </c>
      <c r="D113" s="49">
        <v>0.0</v>
      </c>
    </row>
    <row r="114" ht="15.0" hidden="1" customHeight="1">
      <c r="A114" s="49" t="s">
        <v>649</v>
      </c>
      <c r="B114" s="50">
        <v>44012.0</v>
      </c>
      <c r="C114" s="49" t="s">
        <v>777</v>
      </c>
      <c r="D114" s="49">
        <v>0.0</v>
      </c>
    </row>
    <row r="115" ht="15.0" hidden="1" customHeight="1">
      <c r="A115" s="49" t="s">
        <v>654</v>
      </c>
      <c r="B115" s="50">
        <v>44012.0</v>
      </c>
      <c r="C115" s="49" t="s">
        <v>777</v>
      </c>
      <c r="D115" s="49">
        <v>0.0</v>
      </c>
    </row>
    <row r="116" ht="15.0" hidden="1" customHeight="1">
      <c r="A116" s="49" t="s">
        <v>659</v>
      </c>
      <c r="B116" s="50">
        <v>44012.0</v>
      </c>
      <c r="C116" s="49" t="s">
        <v>777</v>
      </c>
      <c r="D116" s="49">
        <v>0.0</v>
      </c>
    </row>
    <row r="117" ht="15.0" hidden="1" customHeight="1">
      <c r="A117" s="49" t="s">
        <v>664</v>
      </c>
      <c r="B117" s="50">
        <v>44012.0</v>
      </c>
      <c r="C117" s="49" t="s">
        <v>777</v>
      </c>
      <c r="D117" s="49">
        <v>0.0</v>
      </c>
    </row>
    <row r="118" ht="15.0" hidden="1" customHeight="1">
      <c r="A118" s="49" t="s">
        <v>669</v>
      </c>
      <c r="B118" s="50">
        <v>44012.0</v>
      </c>
      <c r="C118" s="49" t="s">
        <v>777</v>
      </c>
      <c r="D118" s="49">
        <v>0.0</v>
      </c>
    </row>
    <row r="119" ht="15.0" hidden="1" customHeight="1">
      <c r="A119" s="49" t="s">
        <v>674</v>
      </c>
      <c r="B119" s="50">
        <v>44012.0</v>
      </c>
      <c r="C119" s="49" t="s">
        <v>777</v>
      </c>
      <c r="D119" s="49">
        <v>0.0</v>
      </c>
    </row>
    <row r="120" ht="15.0" hidden="1" customHeight="1">
      <c r="A120" s="49" t="s">
        <v>679</v>
      </c>
      <c r="B120" s="50">
        <v>44012.0</v>
      </c>
      <c r="C120" s="49" t="s">
        <v>777</v>
      </c>
      <c r="D120" s="49">
        <v>0.0</v>
      </c>
    </row>
    <row r="121" ht="15.0" hidden="1" customHeight="1">
      <c r="A121" s="49" t="s">
        <v>684</v>
      </c>
      <c r="B121" s="50">
        <v>44012.0</v>
      </c>
      <c r="C121" s="49" t="s">
        <v>777</v>
      </c>
      <c r="D121" s="49">
        <v>0.0</v>
      </c>
    </row>
    <row r="122" ht="15.0" hidden="1" customHeight="1">
      <c r="A122" s="49" t="s">
        <v>689</v>
      </c>
      <c r="B122" s="50">
        <v>44012.0</v>
      </c>
      <c r="C122" s="49" t="s">
        <v>777</v>
      </c>
      <c r="D122" s="49">
        <v>0.0</v>
      </c>
    </row>
    <row r="123" ht="15.0" hidden="1" customHeight="1">
      <c r="A123" s="49" t="s">
        <v>694</v>
      </c>
      <c r="B123" s="50">
        <v>44012.0</v>
      </c>
      <c r="C123" s="49" t="s">
        <v>777</v>
      </c>
      <c r="D123" s="49">
        <v>0.0</v>
      </c>
    </row>
    <row r="124" ht="15.0" hidden="1" customHeight="1">
      <c r="A124" s="49" t="s">
        <v>699</v>
      </c>
      <c r="B124" s="50">
        <v>44012.0</v>
      </c>
      <c r="C124" s="49" t="s">
        <v>777</v>
      </c>
      <c r="D124" s="49">
        <v>0.0</v>
      </c>
    </row>
    <row r="125" ht="15.0" hidden="1" customHeight="1">
      <c r="A125" s="49" t="s">
        <v>705</v>
      </c>
      <c r="B125" s="50">
        <v>44012.0</v>
      </c>
      <c r="C125" s="49" t="s">
        <v>777</v>
      </c>
      <c r="D125" s="49">
        <v>0.0</v>
      </c>
    </row>
    <row r="126" ht="15.0" hidden="1" customHeight="1">
      <c r="A126" s="49" t="s">
        <v>710</v>
      </c>
      <c r="B126" s="50">
        <v>44012.0</v>
      </c>
      <c r="C126" s="49" t="s">
        <v>777</v>
      </c>
      <c r="D126" s="49">
        <v>0.0</v>
      </c>
    </row>
    <row r="127" ht="15.0" hidden="1" customHeight="1">
      <c r="A127" s="49" t="s">
        <v>715</v>
      </c>
      <c r="B127" s="50">
        <v>44012.0</v>
      </c>
      <c r="C127" s="49" t="s">
        <v>777</v>
      </c>
      <c r="D127" s="49">
        <v>0.0</v>
      </c>
    </row>
    <row r="128" ht="15.0" hidden="1" customHeight="1">
      <c r="A128" s="49" t="s">
        <v>765</v>
      </c>
      <c r="B128" s="50">
        <v>44012.0</v>
      </c>
      <c r="C128" s="49" t="s">
        <v>777</v>
      </c>
      <c r="D128" s="49">
        <v>0.0</v>
      </c>
    </row>
    <row r="129" ht="15.0" hidden="1" customHeight="1">
      <c r="A129" s="49" t="s">
        <v>720</v>
      </c>
      <c r="B129" s="50">
        <v>44012.0</v>
      </c>
      <c r="C129" s="49" t="s">
        <v>777</v>
      </c>
      <c r="D129" s="49">
        <v>0.0</v>
      </c>
    </row>
    <row r="130" ht="15.0" hidden="1" customHeight="1">
      <c r="A130" s="49" t="s">
        <v>725</v>
      </c>
      <c r="B130" s="50">
        <v>44012.0</v>
      </c>
      <c r="C130" s="49" t="s">
        <v>777</v>
      </c>
      <c r="D130" s="49">
        <v>0.0</v>
      </c>
    </row>
    <row r="131" ht="15.0" hidden="1" customHeight="1">
      <c r="A131" s="49" t="s">
        <v>730</v>
      </c>
      <c r="B131" s="50">
        <v>44012.0</v>
      </c>
      <c r="C131" s="49" t="s">
        <v>777</v>
      </c>
      <c r="D131" s="49">
        <v>0.0</v>
      </c>
    </row>
    <row r="132" ht="15.0" hidden="1" customHeight="1">
      <c r="A132" s="49" t="s">
        <v>734</v>
      </c>
      <c r="B132" s="50">
        <v>44012.0</v>
      </c>
      <c r="C132" s="49" t="s">
        <v>777</v>
      </c>
      <c r="D132" s="49">
        <v>0.0</v>
      </c>
    </row>
    <row r="133" ht="15.0" hidden="1" customHeight="1">
      <c r="A133" s="49" t="s">
        <v>739</v>
      </c>
      <c r="B133" s="50">
        <v>44012.0</v>
      </c>
      <c r="C133" s="49" t="s">
        <v>777</v>
      </c>
      <c r="D133" s="49">
        <v>0.0</v>
      </c>
    </row>
    <row r="134" ht="15.0" hidden="1" customHeight="1">
      <c r="A134" s="49" t="s">
        <v>744</v>
      </c>
      <c r="B134" s="50">
        <v>44012.0</v>
      </c>
      <c r="C134" s="49" t="s">
        <v>777</v>
      </c>
      <c r="D134" s="49">
        <v>0.0</v>
      </c>
    </row>
    <row r="135" ht="15.0" hidden="1" customHeight="1">
      <c r="A135" s="49" t="s">
        <v>749</v>
      </c>
      <c r="B135" s="50">
        <v>44012.0</v>
      </c>
      <c r="C135" s="49" t="s">
        <v>777</v>
      </c>
      <c r="D135" s="49">
        <v>0.0</v>
      </c>
    </row>
    <row r="136" ht="15.0" customHeight="1">
      <c r="A136" s="49" t="s">
        <v>776</v>
      </c>
      <c r="B136" s="50">
        <v>44012.0</v>
      </c>
      <c r="C136" s="49" t="s">
        <v>78</v>
      </c>
      <c r="D136" s="49">
        <v>0.0</v>
      </c>
    </row>
    <row r="137" ht="15.0" hidden="1" customHeight="1">
      <c r="A137" s="49" t="s">
        <v>778</v>
      </c>
      <c r="B137" s="50">
        <v>44012.0</v>
      </c>
      <c r="C137" s="49" t="s">
        <v>78</v>
      </c>
      <c r="D137" s="49">
        <v>0.0</v>
      </c>
    </row>
    <row r="138" ht="15.0" hidden="1" customHeight="1">
      <c r="A138" s="49" t="s">
        <v>92</v>
      </c>
      <c r="B138" s="50">
        <v>44012.0</v>
      </c>
      <c r="C138" s="49" t="s">
        <v>78</v>
      </c>
      <c r="D138" s="49">
        <v>0.0</v>
      </c>
    </row>
    <row r="139" ht="15.0" hidden="1" customHeight="1">
      <c r="A139" s="49" t="s">
        <v>97</v>
      </c>
      <c r="B139" s="50">
        <v>44012.0</v>
      </c>
      <c r="C139" s="49" t="s">
        <v>78</v>
      </c>
      <c r="D139" s="49">
        <v>0.0</v>
      </c>
    </row>
    <row r="140" ht="15.0" hidden="1" customHeight="1">
      <c r="A140" s="49" t="s">
        <v>102</v>
      </c>
      <c r="B140" s="50">
        <v>44012.0</v>
      </c>
      <c r="C140" s="49" t="s">
        <v>78</v>
      </c>
      <c r="D140" s="49">
        <v>0.0</v>
      </c>
    </row>
    <row r="141" ht="15.0" hidden="1" customHeight="1">
      <c r="A141" s="49" t="s">
        <v>106</v>
      </c>
      <c r="B141" s="50">
        <v>44012.0</v>
      </c>
      <c r="C141" s="49" t="s">
        <v>78</v>
      </c>
      <c r="D141" s="49">
        <v>0.0</v>
      </c>
    </row>
    <row r="142" ht="15.0" hidden="1" customHeight="1">
      <c r="A142" s="49" t="s">
        <v>111</v>
      </c>
      <c r="B142" s="50">
        <v>44012.0</v>
      </c>
      <c r="C142" s="49" t="s">
        <v>78</v>
      </c>
      <c r="D142" s="49">
        <v>0.0</v>
      </c>
    </row>
    <row r="143" ht="15.0" hidden="1" customHeight="1">
      <c r="A143" s="49" t="s">
        <v>116</v>
      </c>
      <c r="B143" s="50">
        <v>44012.0</v>
      </c>
      <c r="C143" s="49" t="s">
        <v>78</v>
      </c>
      <c r="D143" s="49">
        <v>0.0</v>
      </c>
    </row>
    <row r="144" ht="15.0" hidden="1" customHeight="1">
      <c r="A144" s="49" t="s">
        <v>120</v>
      </c>
      <c r="B144" s="50">
        <v>44012.0</v>
      </c>
      <c r="C144" s="49" t="s">
        <v>78</v>
      </c>
      <c r="D144" s="49">
        <v>0.0</v>
      </c>
    </row>
    <row r="145" ht="15.0" hidden="1" customHeight="1">
      <c r="A145" s="49" t="s">
        <v>125</v>
      </c>
      <c r="B145" s="50">
        <v>44012.0</v>
      </c>
      <c r="C145" s="49" t="s">
        <v>78</v>
      </c>
      <c r="D145" s="49">
        <v>0.0</v>
      </c>
    </row>
    <row r="146" ht="15.0" hidden="1" customHeight="1">
      <c r="A146" s="49" t="s">
        <v>130</v>
      </c>
      <c r="B146" s="50">
        <v>44012.0</v>
      </c>
      <c r="C146" s="49" t="s">
        <v>78</v>
      </c>
      <c r="D146" s="49">
        <v>0.0</v>
      </c>
    </row>
    <row r="147" ht="15.0" hidden="1" customHeight="1">
      <c r="A147" s="49" t="s">
        <v>137</v>
      </c>
      <c r="B147" s="50">
        <v>44012.0</v>
      </c>
      <c r="C147" s="49" t="s">
        <v>78</v>
      </c>
      <c r="D147" s="49">
        <v>0.0</v>
      </c>
    </row>
    <row r="148" ht="15.0" hidden="1" customHeight="1">
      <c r="A148" s="49" t="s">
        <v>142</v>
      </c>
      <c r="B148" s="50">
        <v>44012.0</v>
      </c>
      <c r="C148" s="49" t="s">
        <v>78</v>
      </c>
      <c r="D148" s="49">
        <v>0.0</v>
      </c>
    </row>
    <row r="149" ht="15.0" hidden="1" customHeight="1">
      <c r="A149" s="49" t="s">
        <v>147</v>
      </c>
      <c r="B149" s="50">
        <v>44012.0</v>
      </c>
      <c r="C149" s="49" t="s">
        <v>78</v>
      </c>
      <c r="D149" s="49">
        <v>0.0</v>
      </c>
    </row>
    <row r="150" ht="15.0" hidden="1" customHeight="1">
      <c r="A150" s="49" t="s">
        <v>152</v>
      </c>
      <c r="B150" s="50">
        <v>44012.0</v>
      </c>
      <c r="C150" s="49" t="s">
        <v>78</v>
      </c>
      <c r="D150" s="49">
        <v>0.0</v>
      </c>
    </row>
    <row r="151" ht="15.0" hidden="1" customHeight="1">
      <c r="A151" s="49" t="s">
        <v>157</v>
      </c>
      <c r="B151" s="50">
        <v>44012.0</v>
      </c>
      <c r="C151" s="49" t="s">
        <v>78</v>
      </c>
      <c r="D151" s="49">
        <v>0.0</v>
      </c>
    </row>
    <row r="152" ht="15.0" hidden="1" customHeight="1">
      <c r="A152" s="49" t="s">
        <v>162</v>
      </c>
      <c r="B152" s="50">
        <v>44012.0</v>
      </c>
      <c r="C152" s="49" t="s">
        <v>78</v>
      </c>
      <c r="D152" s="49">
        <v>0.0</v>
      </c>
    </row>
    <row r="153" ht="15.0" hidden="1" customHeight="1">
      <c r="A153" s="49" t="s">
        <v>167</v>
      </c>
      <c r="B153" s="50">
        <v>44012.0</v>
      </c>
      <c r="C153" s="49" t="s">
        <v>78</v>
      </c>
      <c r="D153" s="49">
        <v>0.0</v>
      </c>
    </row>
    <row r="154" ht="15.0" hidden="1" customHeight="1">
      <c r="A154" s="49" t="s">
        <v>172</v>
      </c>
      <c r="B154" s="50">
        <v>44012.0</v>
      </c>
      <c r="C154" s="49" t="s">
        <v>78</v>
      </c>
      <c r="D154" s="49">
        <v>0.0</v>
      </c>
    </row>
    <row r="155" ht="15.0" hidden="1" customHeight="1">
      <c r="A155" s="49" t="s">
        <v>177</v>
      </c>
      <c r="B155" s="50">
        <v>44012.0</v>
      </c>
      <c r="C155" s="49" t="s">
        <v>78</v>
      </c>
      <c r="D155" s="49">
        <v>0.0</v>
      </c>
    </row>
    <row r="156" ht="15.0" hidden="1" customHeight="1">
      <c r="A156" s="49" t="s">
        <v>182</v>
      </c>
      <c r="B156" s="50">
        <v>44012.0</v>
      </c>
      <c r="C156" s="49" t="s">
        <v>78</v>
      </c>
      <c r="D156" s="49">
        <v>0.0</v>
      </c>
    </row>
    <row r="157" ht="15.0" hidden="1" customHeight="1">
      <c r="A157" s="49" t="s">
        <v>187</v>
      </c>
      <c r="B157" s="50">
        <v>44012.0</v>
      </c>
      <c r="C157" s="49" t="s">
        <v>78</v>
      </c>
      <c r="D157" s="49">
        <v>0.0</v>
      </c>
    </row>
    <row r="158" ht="15.0" hidden="1" customHeight="1">
      <c r="A158" s="49" t="s">
        <v>192</v>
      </c>
      <c r="B158" s="50">
        <v>44012.0</v>
      </c>
      <c r="C158" s="49" t="s">
        <v>78</v>
      </c>
      <c r="D158" s="49">
        <v>0.0</v>
      </c>
    </row>
    <row r="159" ht="15.0" hidden="1" customHeight="1">
      <c r="A159" s="49" t="s">
        <v>197</v>
      </c>
      <c r="B159" s="50">
        <v>44012.0</v>
      </c>
      <c r="C159" s="49" t="s">
        <v>78</v>
      </c>
      <c r="D159" s="49">
        <v>0.0</v>
      </c>
    </row>
    <row r="160" ht="15.0" hidden="1" customHeight="1">
      <c r="A160" s="49" t="s">
        <v>202</v>
      </c>
      <c r="B160" s="50">
        <v>44012.0</v>
      </c>
      <c r="C160" s="49" t="s">
        <v>78</v>
      </c>
      <c r="D160" s="49">
        <v>0.0</v>
      </c>
    </row>
    <row r="161" ht="15.0" hidden="1" customHeight="1">
      <c r="A161" s="49" t="s">
        <v>206</v>
      </c>
      <c r="B161" s="50">
        <v>44012.0</v>
      </c>
      <c r="C161" s="49" t="s">
        <v>78</v>
      </c>
      <c r="D161" s="49">
        <v>0.0</v>
      </c>
    </row>
    <row r="162" ht="15.0" hidden="1" customHeight="1">
      <c r="A162" s="49" t="s">
        <v>211</v>
      </c>
      <c r="B162" s="50">
        <v>44012.0</v>
      </c>
      <c r="C162" s="49" t="s">
        <v>78</v>
      </c>
      <c r="D162" s="49">
        <v>0.0</v>
      </c>
    </row>
    <row r="163" ht="15.0" hidden="1" customHeight="1">
      <c r="A163" s="49" t="s">
        <v>779</v>
      </c>
      <c r="B163" s="50">
        <v>44012.0</v>
      </c>
      <c r="C163" s="49" t="s">
        <v>78</v>
      </c>
      <c r="D163" s="49">
        <v>0.0</v>
      </c>
    </row>
    <row r="164" ht="15.0" hidden="1" customHeight="1">
      <c r="A164" s="49" t="s">
        <v>221</v>
      </c>
      <c r="B164" s="50">
        <v>44012.0</v>
      </c>
      <c r="C164" s="49" t="s">
        <v>78</v>
      </c>
      <c r="D164" s="49">
        <v>0.0</v>
      </c>
    </row>
    <row r="165" ht="15.0" hidden="1" customHeight="1">
      <c r="A165" s="49" t="s">
        <v>226</v>
      </c>
      <c r="B165" s="50">
        <v>44012.0</v>
      </c>
      <c r="C165" s="49" t="s">
        <v>78</v>
      </c>
      <c r="D165" s="49">
        <v>0.0</v>
      </c>
    </row>
    <row r="166" ht="15.0" hidden="1" customHeight="1">
      <c r="A166" s="49" t="s">
        <v>231</v>
      </c>
      <c r="B166" s="50">
        <v>44012.0</v>
      </c>
      <c r="C166" s="49" t="s">
        <v>78</v>
      </c>
      <c r="D166" s="49">
        <v>0.0</v>
      </c>
    </row>
    <row r="167" ht="15.0" hidden="1" customHeight="1">
      <c r="A167" s="49" t="s">
        <v>236</v>
      </c>
      <c r="B167" s="50">
        <v>44012.0</v>
      </c>
      <c r="C167" s="49" t="s">
        <v>78</v>
      </c>
      <c r="D167" s="49">
        <v>0.0</v>
      </c>
    </row>
    <row r="168" ht="15.0" hidden="1" customHeight="1">
      <c r="A168" s="49" t="s">
        <v>242</v>
      </c>
      <c r="B168" s="50">
        <v>44012.0</v>
      </c>
      <c r="C168" s="49" t="s">
        <v>78</v>
      </c>
      <c r="D168" s="49">
        <v>0.0</v>
      </c>
    </row>
    <row r="169" ht="15.0" hidden="1" customHeight="1">
      <c r="A169" s="49" t="s">
        <v>248</v>
      </c>
      <c r="B169" s="50">
        <v>44012.0</v>
      </c>
      <c r="C169" s="49" t="s">
        <v>78</v>
      </c>
      <c r="D169" s="49">
        <v>0.0</v>
      </c>
    </row>
    <row r="170" ht="15.0" hidden="1" customHeight="1">
      <c r="A170" s="49" t="s">
        <v>253</v>
      </c>
      <c r="B170" s="50">
        <v>44012.0</v>
      </c>
      <c r="C170" s="49" t="s">
        <v>78</v>
      </c>
      <c r="D170" s="49">
        <v>0.0</v>
      </c>
    </row>
    <row r="171" ht="15.0" hidden="1" customHeight="1">
      <c r="A171" s="49" t="s">
        <v>258</v>
      </c>
      <c r="B171" s="50">
        <v>44012.0</v>
      </c>
      <c r="C171" s="49" t="s">
        <v>78</v>
      </c>
      <c r="D171" s="49">
        <v>0.0</v>
      </c>
    </row>
    <row r="172" ht="15.0" hidden="1" customHeight="1">
      <c r="A172" s="49" t="s">
        <v>263</v>
      </c>
      <c r="B172" s="50">
        <v>44012.0</v>
      </c>
      <c r="C172" s="49" t="s">
        <v>78</v>
      </c>
      <c r="D172" s="49">
        <v>0.0</v>
      </c>
    </row>
    <row r="173" ht="15.0" hidden="1" customHeight="1">
      <c r="A173" s="49" t="s">
        <v>268</v>
      </c>
      <c r="B173" s="50">
        <v>44012.0</v>
      </c>
      <c r="C173" s="49" t="s">
        <v>78</v>
      </c>
      <c r="D173" s="49">
        <v>0.0</v>
      </c>
    </row>
    <row r="174" ht="15.0" hidden="1" customHeight="1">
      <c r="A174" s="49" t="s">
        <v>273</v>
      </c>
      <c r="B174" s="50">
        <v>44012.0</v>
      </c>
      <c r="C174" s="49" t="s">
        <v>78</v>
      </c>
      <c r="D174" s="49">
        <v>0.0</v>
      </c>
    </row>
    <row r="175" ht="15.0" hidden="1" customHeight="1">
      <c r="A175" s="49" t="s">
        <v>278</v>
      </c>
      <c r="B175" s="50">
        <v>44012.0</v>
      </c>
      <c r="C175" s="49" t="s">
        <v>78</v>
      </c>
      <c r="D175" s="49">
        <v>0.0</v>
      </c>
    </row>
    <row r="176" ht="15.0" hidden="1" customHeight="1">
      <c r="A176" s="49" t="s">
        <v>283</v>
      </c>
      <c r="B176" s="50">
        <v>44012.0</v>
      </c>
      <c r="C176" s="49" t="s">
        <v>78</v>
      </c>
      <c r="D176" s="49">
        <v>0.0</v>
      </c>
    </row>
    <row r="177" ht="15.0" hidden="1" customHeight="1">
      <c r="A177" s="49" t="s">
        <v>288</v>
      </c>
      <c r="B177" s="50">
        <v>44012.0</v>
      </c>
      <c r="C177" s="49" t="s">
        <v>78</v>
      </c>
      <c r="D177" s="49">
        <v>0.0</v>
      </c>
    </row>
    <row r="178" ht="15.0" hidden="1" customHeight="1">
      <c r="A178" s="49" t="s">
        <v>293</v>
      </c>
      <c r="B178" s="50">
        <v>44012.0</v>
      </c>
      <c r="C178" s="49" t="s">
        <v>78</v>
      </c>
      <c r="D178" s="49">
        <v>0.0</v>
      </c>
    </row>
    <row r="179" ht="15.0" hidden="1" customHeight="1">
      <c r="A179" s="49" t="s">
        <v>298</v>
      </c>
      <c r="B179" s="50">
        <v>44012.0</v>
      </c>
      <c r="C179" s="49" t="s">
        <v>78</v>
      </c>
      <c r="D179" s="49">
        <v>0.0</v>
      </c>
    </row>
    <row r="180" ht="15.0" hidden="1" customHeight="1">
      <c r="A180" s="49" t="s">
        <v>303</v>
      </c>
      <c r="B180" s="50">
        <v>44012.0</v>
      </c>
      <c r="C180" s="49" t="s">
        <v>78</v>
      </c>
      <c r="D180" s="49">
        <v>0.0</v>
      </c>
    </row>
    <row r="181" ht="15.0" hidden="1" customHeight="1">
      <c r="A181" s="49" t="s">
        <v>307</v>
      </c>
      <c r="B181" s="50">
        <v>44012.0</v>
      </c>
      <c r="C181" s="49" t="s">
        <v>78</v>
      </c>
      <c r="D181" s="49">
        <v>0.0</v>
      </c>
    </row>
    <row r="182" ht="15.0" hidden="1" customHeight="1">
      <c r="A182" s="49" t="s">
        <v>313</v>
      </c>
      <c r="B182" s="50">
        <v>44012.0</v>
      </c>
      <c r="C182" s="49" t="s">
        <v>78</v>
      </c>
      <c r="D182" s="49">
        <v>0.0</v>
      </c>
    </row>
    <row r="183" ht="15.0" hidden="1" customHeight="1">
      <c r="A183" s="49" t="s">
        <v>318</v>
      </c>
      <c r="B183" s="50">
        <v>44012.0</v>
      </c>
      <c r="C183" s="49" t="s">
        <v>78</v>
      </c>
      <c r="D183" s="49">
        <v>0.0</v>
      </c>
    </row>
    <row r="184" ht="15.0" hidden="1" customHeight="1">
      <c r="A184" s="49" t="s">
        <v>323</v>
      </c>
      <c r="B184" s="50">
        <v>44012.0</v>
      </c>
      <c r="C184" s="49" t="s">
        <v>78</v>
      </c>
      <c r="D184" s="49">
        <v>0.0</v>
      </c>
    </row>
    <row r="185" ht="15.0" hidden="1" customHeight="1">
      <c r="A185" s="49" t="s">
        <v>328</v>
      </c>
      <c r="B185" s="50">
        <v>44012.0</v>
      </c>
      <c r="C185" s="49" t="s">
        <v>78</v>
      </c>
      <c r="D185" s="49">
        <v>0.0</v>
      </c>
    </row>
    <row r="186" ht="15.0" hidden="1" customHeight="1">
      <c r="A186" s="49" t="s">
        <v>335</v>
      </c>
      <c r="B186" s="50">
        <v>44012.0</v>
      </c>
      <c r="C186" s="49" t="s">
        <v>78</v>
      </c>
      <c r="D186" s="49">
        <v>0.0</v>
      </c>
    </row>
    <row r="187" ht="15.0" hidden="1" customHeight="1">
      <c r="A187" s="49" t="s">
        <v>340</v>
      </c>
      <c r="B187" s="50">
        <v>44012.0</v>
      </c>
      <c r="C187" s="49" t="s">
        <v>78</v>
      </c>
      <c r="D187" s="49">
        <v>0.0</v>
      </c>
    </row>
    <row r="188" ht="15.0" hidden="1" customHeight="1">
      <c r="A188" s="49" t="s">
        <v>345</v>
      </c>
      <c r="B188" s="50">
        <v>44012.0</v>
      </c>
      <c r="C188" s="49" t="s">
        <v>78</v>
      </c>
      <c r="D188" s="49">
        <v>0.0</v>
      </c>
    </row>
    <row r="189" ht="15.0" hidden="1" customHeight="1">
      <c r="A189" s="49" t="s">
        <v>350</v>
      </c>
      <c r="B189" s="50">
        <v>44012.0</v>
      </c>
      <c r="C189" s="49" t="s">
        <v>78</v>
      </c>
      <c r="D189" s="49">
        <v>0.0</v>
      </c>
    </row>
    <row r="190" ht="15.0" hidden="1" customHeight="1">
      <c r="A190" s="49" t="s">
        <v>355</v>
      </c>
      <c r="B190" s="50">
        <v>44012.0</v>
      </c>
      <c r="C190" s="49" t="s">
        <v>78</v>
      </c>
      <c r="D190" s="49">
        <v>0.0</v>
      </c>
    </row>
    <row r="191" ht="15.0" hidden="1" customHeight="1">
      <c r="A191" s="49" t="s">
        <v>360</v>
      </c>
      <c r="B191" s="50">
        <v>44012.0</v>
      </c>
      <c r="C191" s="49" t="s">
        <v>78</v>
      </c>
      <c r="D191" s="49">
        <v>0.0</v>
      </c>
    </row>
    <row r="192" ht="15.0" hidden="1" customHeight="1">
      <c r="A192" s="49" t="s">
        <v>365</v>
      </c>
      <c r="B192" s="50">
        <v>44012.0</v>
      </c>
      <c r="C192" s="49" t="s">
        <v>78</v>
      </c>
      <c r="D192" s="49">
        <v>0.0</v>
      </c>
    </row>
    <row r="193" ht="15.0" hidden="1" customHeight="1">
      <c r="A193" s="49" t="s">
        <v>370</v>
      </c>
      <c r="B193" s="50">
        <v>44012.0</v>
      </c>
      <c r="C193" s="49" t="s">
        <v>78</v>
      </c>
      <c r="D193" s="49">
        <v>0.0</v>
      </c>
    </row>
    <row r="194" ht="15.0" hidden="1" customHeight="1">
      <c r="A194" s="49" t="s">
        <v>375</v>
      </c>
      <c r="B194" s="50">
        <v>44012.0</v>
      </c>
      <c r="C194" s="49" t="s">
        <v>78</v>
      </c>
      <c r="D194" s="49">
        <v>0.0</v>
      </c>
    </row>
    <row r="195" ht="15.0" hidden="1" customHeight="1">
      <c r="A195" s="49" t="s">
        <v>380</v>
      </c>
      <c r="B195" s="50">
        <v>44012.0</v>
      </c>
      <c r="C195" s="49" t="s">
        <v>78</v>
      </c>
      <c r="D195" s="49">
        <v>0.0</v>
      </c>
    </row>
    <row r="196" ht="15.0" hidden="1" customHeight="1">
      <c r="A196" s="49" t="s">
        <v>385</v>
      </c>
      <c r="B196" s="50">
        <v>44012.0</v>
      </c>
      <c r="C196" s="49" t="s">
        <v>78</v>
      </c>
      <c r="D196" s="49">
        <v>0.0</v>
      </c>
    </row>
    <row r="197" ht="15.0" hidden="1" customHeight="1">
      <c r="A197" s="49" t="s">
        <v>390</v>
      </c>
      <c r="B197" s="50">
        <v>44012.0</v>
      </c>
      <c r="C197" s="49" t="s">
        <v>78</v>
      </c>
      <c r="D197" s="49">
        <v>0.0</v>
      </c>
    </row>
    <row r="198" ht="15.0" hidden="1" customHeight="1">
      <c r="A198" s="49" t="s">
        <v>395</v>
      </c>
      <c r="B198" s="50">
        <v>44012.0</v>
      </c>
      <c r="C198" s="49" t="s">
        <v>78</v>
      </c>
      <c r="D198" s="49">
        <v>0.0</v>
      </c>
    </row>
    <row r="199" ht="15.0" hidden="1" customHeight="1">
      <c r="A199" s="49" t="s">
        <v>400</v>
      </c>
      <c r="B199" s="50">
        <v>44012.0</v>
      </c>
      <c r="C199" s="49" t="s">
        <v>78</v>
      </c>
      <c r="D199" s="49">
        <v>0.0</v>
      </c>
    </row>
    <row r="200" ht="15.0" hidden="1" customHeight="1">
      <c r="A200" s="49" t="s">
        <v>405</v>
      </c>
      <c r="B200" s="50">
        <v>44012.0</v>
      </c>
      <c r="C200" s="49" t="s">
        <v>78</v>
      </c>
      <c r="D200" s="49">
        <v>0.0</v>
      </c>
    </row>
    <row r="201" ht="15.0" hidden="1" customHeight="1">
      <c r="A201" s="49" t="s">
        <v>410</v>
      </c>
      <c r="B201" s="50">
        <v>44012.0</v>
      </c>
      <c r="C201" s="49" t="s">
        <v>78</v>
      </c>
      <c r="D201" s="49">
        <v>0.0</v>
      </c>
    </row>
    <row r="202" ht="15.0" hidden="1" customHeight="1">
      <c r="A202" s="49" t="s">
        <v>415</v>
      </c>
      <c r="B202" s="50">
        <v>44012.0</v>
      </c>
      <c r="C202" s="49" t="s">
        <v>78</v>
      </c>
      <c r="D202" s="49">
        <v>0.0</v>
      </c>
    </row>
    <row r="203" ht="15.0" hidden="1" customHeight="1">
      <c r="A203" s="49" t="s">
        <v>420</v>
      </c>
      <c r="B203" s="50">
        <v>44012.0</v>
      </c>
      <c r="C203" s="49" t="s">
        <v>78</v>
      </c>
      <c r="D203" s="49">
        <v>0.0</v>
      </c>
    </row>
    <row r="204" ht="15.0" hidden="1" customHeight="1">
      <c r="A204" s="49" t="s">
        <v>425</v>
      </c>
      <c r="B204" s="50">
        <v>44012.0</v>
      </c>
      <c r="C204" s="49" t="s">
        <v>78</v>
      </c>
      <c r="D204" s="49">
        <v>0.0</v>
      </c>
    </row>
    <row r="205" ht="15.0" hidden="1" customHeight="1">
      <c r="A205" s="49" t="s">
        <v>430</v>
      </c>
      <c r="B205" s="50">
        <v>44012.0</v>
      </c>
      <c r="C205" s="49" t="s">
        <v>78</v>
      </c>
      <c r="D205" s="49">
        <v>0.0</v>
      </c>
    </row>
    <row r="206" ht="15.0" hidden="1" customHeight="1">
      <c r="A206" s="49" t="s">
        <v>434</v>
      </c>
      <c r="B206" s="50">
        <v>44012.0</v>
      </c>
      <c r="C206" s="49" t="s">
        <v>78</v>
      </c>
      <c r="D206" s="49">
        <v>0.0</v>
      </c>
    </row>
    <row r="207" ht="15.0" hidden="1" customHeight="1">
      <c r="A207" s="49" t="s">
        <v>439</v>
      </c>
      <c r="B207" s="50">
        <v>44012.0</v>
      </c>
      <c r="C207" s="49" t="s">
        <v>78</v>
      </c>
      <c r="D207" s="49">
        <v>0.0</v>
      </c>
    </row>
    <row r="208" ht="15.0" hidden="1" customHeight="1">
      <c r="A208" s="49" t="s">
        <v>444</v>
      </c>
      <c r="B208" s="50">
        <v>44012.0</v>
      </c>
      <c r="C208" s="49" t="s">
        <v>78</v>
      </c>
      <c r="D208" s="49">
        <v>0.0</v>
      </c>
    </row>
    <row r="209" ht="15.0" hidden="1" customHeight="1">
      <c r="A209" s="49" t="s">
        <v>449</v>
      </c>
      <c r="B209" s="50">
        <v>44012.0</v>
      </c>
      <c r="C209" s="49" t="s">
        <v>78</v>
      </c>
      <c r="D209" s="49">
        <v>0.0</v>
      </c>
    </row>
    <row r="210" ht="15.0" hidden="1" customHeight="1">
      <c r="A210" s="49" t="s">
        <v>455</v>
      </c>
      <c r="B210" s="50">
        <v>44012.0</v>
      </c>
      <c r="C210" s="49" t="s">
        <v>78</v>
      </c>
      <c r="D210" s="49">
        <v>0.0</v>
      </c>
    </row>
    <row r="211" ht="15.0" hidden="1" customHeight="1">
      <c r="A211" s="49" t="s">
        <v>470</v>
      </c>
      <c r="B211" s="50">
        <v>44012.0</v>
      </c>
      <c r="C211" s="49" t="s">
        <v>78</v>
      </c>
      <c r="D211" s="49">
        <v>0.0</v>
      </c>
    </row>
    <row r="212" ht="15.0" hidden="1" customHeight="1">
      <c r="A212" s="49" t="s">
        <v>476</v>
      </c>
      <c r="B212" s="50">
        <v>44012.0</v>
      </c>
      <c r="C212" s="49" t="s">
        <v>78</v>
      </c>
      <c r="D212" s="49">
        <v>0.0</v>
      </c>
    </row>
    <row r="213" ht="15.0" hidden="1" customHeight="1">
      <c r="A213" s="49" t="s">
        <v>481</v>
      </c>
      <c r="B213" s="50">
        <v>44012.0</v>
      </c>
      <c r="C213" s="49" t="s">
        <v>78</v>
      </c>
      <c r="D213" s="49">
        <v>0.0</v>
      </c>
    </row>
    <row r="214" ht="15.0" hidden="1" customHeight="1">
      <c r="A214" s="49" t="s">
        <v>486</v>
      </c>
      <c r="B214" s="50">
        <v>44012.0</v>
      </c>
      <c r="C214" s="49" t="s">
        <v>78</v>
      </c>
      <c r="D214" s="49">
        <v>0.0</v>
      </c>
    </row>
    <row r="215" ht="15.0" hidden="1" customHeight="1">
      <c r="A215" s="49" t="s">
        <v>491</v>
      </c>
      <c r="B215" s="50">
        <v>44012.0</v>
      </c>
      <c r="C215" s="49" t="s">
        <v>78</v>
      </c>
      <c r="D215" s="49">
        <v>0.0</v>
      </c>
    </row>
    <row r="216" ht="15.0" hidden="1" customHeight="1">
      <c r="A216" s="49" t="s">
        <v>496</v>
      </c>
      <c r="B216" s="50">
        <v>44012.0</v>
      </c>
      <c r="C216" s="49" t="s">
        <v>78</v>
      </c>
      <c r="D216" s="49">
        <v>0.0</v>
      </c>
    </row>
    <row r="217" ht="15.0" hidden="1" customHeight="1">
      <c r="A217" s="49" t="s">
        <v>501</v>
      </c>
      <c r="B217" s="50">
        <v>44012.0</v>
      </c>
      <c r="C217" s="49" t="s">
        <v>78</v>
      </c>
      <c r="D217" s="49">
        <v>0.0</v>
      </c>
    </row>
    <row r="218" ht="15.0" hidden="1" customHeight="1">
      <c r="A218" s="49" t="s">
        <v>506</v>
      </c>
      <c r="B218" s="50">
        <v>44012.0</v>
      </c>
      <c r="C218" s="49" t="s">
        <v>78</v>
      </c>
      <c r="D218" s="49">
        <v>0.0</v>
      </c>
    </row>
    <row r="219" ht="15.0" hidden="1" customHeight="1">
      <c r="A219" s="49" t="s">
        <v>512</v>
      </c>
      <c r="B219" s="50">
        <v>44012.0</v>
      </c>
      <c r="C219" s="49" t="s">
        <v>78</v>
      </c>
      <c r="D219" s="49">
        <v>0.0</v>
      </c>
    </row>
    <row r="220" ht="15.0" hidden="1" customHeight="1">
      <c r="A220" s="49" t="s">
        <v>517</v>
      </c>
      <c r="B220" s="50">
        <v>44012.0</v>
      </c>
      <c r="C220" s="49" t="s">
        <v>78</v>
      </c>
      <c r="D220" s="49">
        <v>0.0</v>
      </c>
    </row>
    <row r="221" ht="15.0" hidden="1" customHeight="1">
      <c r="A221" s="49" t="s">
        <v>522</v>
      </c>
      <c r="B221" s="50">
        <v>44012.0</v>
      </c>
      <c r="C221" s="49" t="s">
        <v>78</v>
      </c>
      <c r="D221" s="49">
        <v>0.0</v>
      </c>
    </row>
    <row r="222" ht="15.0" hidden="1" customHeight="1">
      <c r="A222" s="49" t="s">
        <v>528</v>
      </c>
      <c r="B222" s="50">
        <v>44012.0</v>
      </c>
      <c r="C222" s="49" t="s">
        <v>78</v>
      </c>
      <c r="D222" s="49">
        <v>0.0</v>
      </c>
    </row>
    <row r="223" ht="15.0" hidden="1" customHeight="1">
      <c r="A223" s="49" t="s">
        <v>533</v>
      </c>
      <c r="B223" s="50">
        <v>44012.0</v>
      </c>
      <c r="C223" s="49" t="s">
        <v>78</v>
      </c>
      <c r="D223" s="49">
        <v>0.0</v>
      </c>
    </row>
    <row r="224" ht="15.0" hidden="1" customHeight="1">
      <c r="A224" s="49" t="s">
        <v>538</v>
      </c>
      <c r="B224" s="50">
        <v>44012.0</v>
      </c>
      <c r="C224" s="49" t="s">
        <v>78</v>
      </c>
      <c r="D224" s="49">
        <v>0.0</v>
      </c>
    </row>
    <row r="225" ht="15.0" hidden="1" customHeight="1">
      <c r="A225" s="49" t="s">
        <v>546</v>
      </c>
      <c r="B225" s="50">
        <v>44012.0</v>
      </c>
      <c r="C225" s="49" t="s">
        <v>78</v>
      </c>
      <c r="D225" s="49">
        <v>0.0</v>
      </c>
    </row>
    <row r="226" ht="15.0" hidden="1" customHeight="1">
      <c r="A226" s="49" t="s">
        <v>551</v>
      </c>
      <c r="B226" s="50">
        <v>44012.0</v>
      </c>
      <c r="C226" s="49" t="s">
        <v>78</v>
      </c>
      <c r="D226" s="49">
        <v>0.0</v>
      </c>
    </row>
    <row r="227" ht="15.0" hidden="1" customHeight="1">
      <c r="A227" s="49" t="s">
        <v>556</v>
      </c>
      <c r="B227" s="50">
        <v>44012.0</v>
      </c>
      <c r="C227" s="49" t="s">
        <v>78</v>
      </c>
      <c r="D227" s="49">
        <v>0.0</v>
      </c>
    </row>
    <row r="228" ht="15.0" hidden="1" customHeight="1">
      <c r="A228" s="49" t="s">
        <v>561</v>
      </c>
      <c r="B228" s="50">
        <v>44012.0</v>
      </c>
      <c r="C228" s="49" t="s">
        <v>78</v>
      </c>
      <c r="D228" s="49">
        <v>0.0</v>
      </c>
    </row>
    <row r="229" ht="15.0" hidden="1" customHeight="1">
      <c r="A229" s="49" t="s">
        <v>566</v>
      </c>
      <c r="B229" s="50">
        <v>44012.0</v>
      </c>
      <c r="C229" s="49" t="s">
        <v>78</v>
      </c>
      <c r="D229" s="49">
        <v>0.0</v>
      </c>
    </row>
    <row r="230" ht="15.0" hidden="1" customHeight="1">
      <c r="A230" s="49" t="s">
        <v>571</v>
      </c>
      <c r="B230" s="50">
        <v>44012.0</v>
      </c>
      <c r="C230" s="49" t="s">
        <v>78</v>
      </c>
      <c r="D230" s="49">
        <v>0.0</v>
      </c>
    </row>
    <row r="231" ht="15.0" hidden="1" customHeight="1">
      <c r="A231" s="49" t="s">
        <v>576</v>
      </c>
      <c r="B231" s="50">
        <v>44012.0</v>
      </c>
      <c r="C231" s="49" t="s">
        <v>78</v>
      </c>
      <c r="D231" s="49">
        <v>0.0</v>
      </c>
    </row>
    <row r="232" ht="15.0" hidden="1" customHeight="1">
      <c r="A232" s="49" t="s">
        <v>581</v>
      </c>
      <c r="B232" s="50">
        <v>44012.0</v>
      </c>
      <c r="C232" s="49" t="s">
        <v>78</v>
      </c>
      <c r="D232" s="49">
        <v>0.0</v>
      </c>
    </row>
    <row r="233" ht="15.0" hidden="1" customHeight="1">
      <c r="A233" s="49" t="s">
        <v>586</v>
      </c>
      <c r="B233" s="50">
        <v>44012.0</v>
      </c>
      <c r="C233" s="49" t="s">
        <v>78</v>
      </c>
      <c r="D233" s="49">
        <v>0.0</v>
      </c>
    </row>
    <row r="234" ht="15.0" hidden="1" customHeight="1">
      <c r="A234" s="49" t="s">
        <v>754</v>
      </c>
      <c r="B234" s="50">
        <v>44012.0</v>
      </c>
      <c r="C234" s="49" t="s">
        <v>78</v>
      </c>
      <c r="D234" s="49">
        <v>0.0</v>
      </c>
    </row>
    <row r="235" ht="15.0" hidden="1" customHeight="1">
      <c r="A235" s="49" t="s">
        <v>591</v>
      </c>
      <c r="B235" s="50">
        <v>44012.0</v>
      </c>
      <c r="C235" s="49" t="s">
        <v>78</v>
      </c>
      <c r="D235" s="49">
        <v>0.0</v>
      </c>
    </row>
    <row r="236" ht="15.0" hidden="1" customHeight="1">
      <c r="A236" s="49" t="s">
        <v>759</v>
      </c>
      <c r="B236" s="50">
        <v>44012.0</v>
      </c>
      <c r="C236" s="49" t="s">
        <v>78</v>
      </c>
      <c r="D236" s="49">
        <v>0.0</v>
      </c>
    </row>
    <row r="237" ht="15.0" hidden="1" customHeight="1">
      <c r="A237" s="49" t="s">
        <v>596</v>
      </c>
      <c r="B237" s="50">
        <v>44012.0</v>
      </c>
      <c r="C237" s="49" t="s">
        <v>78</v>
      </c>
      <c r="D237" s="49">
        <v>0.0</v>
      </c>
    </row>
    <row r="238" ht="15.0" hidden="1" customHeight="1">
      <c r="A238" s="49" t="s">
        <v>602</v>
      </c>
      <c r="B238" s="50">
        <v>44012.0</v>
      </c>
      <c r="C238" s="49" t="s">
        <v>78</v>
      </c>
      <c r="D238" s="49">
        <v>0.0</v>
      </c>
    </row>
    <row r="239" ht="15.0" hidden="1" customHeight="1">
      <c r="A239" s="49" t="s">
        <v>607</v>
      </c>
      <c r="B239" s="50">
        <v>44012.0</v>
      </c>
      <c r="C239" s="49" t="s">
        <v>78</v>
      </c>
      <c r="D239" s="49">
        <v>0.0</v>
      </c>
    </row>
    <row r="240" ht="15.0" hidden="1" customHeight="1">
      <c r="A240" s="49" t="s">
        <v>612</v>
      </c>
      <c r="B240" s="50">
        <v>44012.0</v>
      </c>
      <c r="C240" s="49" t="s">
        <v>78</v>
      </c>
      <c r="D240" s="49">
        <v>0.0</v>
      </c>
    </row>
    <row r="241" ht="15.0" hidden="1" customHeight="1">
      <c r="A241" s="49" t="s">
        <v>617</v>
      </c>
      <c r="B241" s="50">
        <v>44012.0</v>
      </c>
      <c r="C241" s="49" t="s">
        <v>78</v>
      </c>
      <c r="D241" s="49">
        <v>0.0</v>
      </c>
    </row>
    <row r="242" ht="15.0" hidden="1" customHeight="1">
      <c r="A242" s="49" t="s">
        <v>622</v>
      </c>
      <c r="B242" s="50">
        <v>44012.0</v>
      </c>
      <c r="C242" s="49" t="s">
        <v>78</v>
      </c>
      <c r="D242" s="49">
        <v>0.0</v>
      </c>
    </row>
    <row r="243" ht="15.0" hidden="1" customHeight="1">
      <c r="A243" s="49" t="s">
        <v>627</v>
      </c>
      <c r="B243" s="50">
        <v>44012.0</v>
      </c>
      <c r="C243" s="49" t="s">
        <v>78</v>
      </c>
      <c r="D243" s="49">
        <v>0.0</v>
      </c>
    </row>
    <row r="244" ht="15.0" hidden="1" customHeight="1">
      <c r="A244" s="49" t="s">
        <v>631</v>
      </c>
      <c r="B244" s="50">
        <v>44012.0</v>
      </c>
      <c r="C244" s="49" t="s">
        <v>78</v>
      </c>
      <c r="D244" s="49">
        <v>0.0</v>
      </c>
    </row>
    <row r="245" ht="15.0" hidden="1" customHeight="1">
      <c r="A245" s="49" t="s">
        <v>636</v>
      </c>
      <c r="B245" s="50">
        <v>44012.0</v>
      </c>
      <c r="C245" s="49" t="s">
        <v>78</v>
      </c>
      <c r="D245" s="49">
        <v>0.0</v>
      </c>
    </row>
    <row r="246" ht="15.0" hidden="1" customHeight="1">
      <c r="A246" s="49" t="s">
        <v>640</v>
      </c>
      <c r="B246" s="50">
        <v>44012.0</v>
      </c>
      <c r="C246" s="49" t="s">
        <v>78</v>
      </c>
      <c r="D246" s="49">
        <v>0.0</v>
      </c>
    </row>
    <row r="247" ht="15.0" hidden="1" customHeight="1">
      <c r="A247" s="49" t="s">
        <v>644</v>
      </c>
      <c r="B247" s="50">
        <v>44012.0</v>
      </c>
      <c r="C247" s="49" t="s">
        <v>78</v>
      </c>
      <c r="D247" s="49">
        <v>0.0</v>
      </c>
    </row>
    <row r="248" ht="15.0" hidden="1" customHeight="1">
      <c r="A248" s="49" t="s">
        <v>649</v>
      </c>
      <c r="B248" s="50">
        <v>44012.0</v>
      </c>
      <c r="C248" s="49" t="s">
        <v>78</v>
      </c>
      <c r="D248" s="49">
        <v>0.0</v>
      </c>
    </row>
    <row r="249" ht="15.0" hidden="1" customHeight="1">
      <c r="A249" s="49" t="s">
        <v>654</v>
      </c>
      <c r="B249" s="50">
        <v>44012.0</v>
      </c>
      <c r="C249" s="49" t="s">
        <v>78</v>
      </c>
      <c r="D249" s="49">
        <v>0.0</v>
      </c>
    </row>
    <row r="250" ht="15.0" hidden="1" customHeight="1">
      <c r="A250" s="49" t="s">
        <v>659</v>
      </c>
      <c r="B250" s="50">
        <v>44012.0</v>
      </c>
      <c r="C250" s="49" t="s">
        <v>78</v>
      </c>
      <c r="D250" s="49">
        <v>0.0</v>
      </c>
    </row>
    <row r="251" ht="15.0" hidden="1" customHeight="1">
      <c r="A251" s="49" t="s">
        <v>664</v>
      </c>
      <c r="B251" s="50">
        <v>44012.0</v>
      </c>
      <c r="C251" s="49" t="s">
        <v>78</v>
      </c>
      <c r="D251" s="49">
        <v>0.0</v>
      </c>
    </row>
    <row r="252" ht="15.0" hidden="1" customHeight="1">
      <c r="A252" s="49" t="s">
        <v>669</v>
      </c>
      <c r="B252" s="50">
        <v>44012.0</v>
      </c>
      <c r="C252" s="49" t="s">
        <v>78</v>
      </c>
      <c r="D252" s="49">
        <v>0.0</v>
      </c>
    </row>
    <row r="253" ht="15.0" hidden="1" customHeight="1">
      <c r="A253" s="49" t="s">
        <v>674</v>
      </c>
      <c r="B253" s="50">
        <v>44012.0</v>
      </c>
      <c r="C253" s="49" t="s">
        <v>78</v>
      </c>
      <c r="D253" s="49">
        <v>0.0</v>
      </c>
    </row>
    <row r="254" ht="15.0" hidden="1" customHeight="1">
      <c r="A254" s="49" t="s">
        <v>679</v>
      </c>
      <c r="B254" s="50">
        <v>44012.0</v>
      </c>
      <c r="C254" s="49" t="s">
        <v>78</v>
      </c>
      <c r="D254" s="49">
        <v>0.0</v>
      </c>
    </row>
    <row r="255" ht="15.0" hidden="1" customHeight="1">
      <c r="A255" s="49" t="s">
        <v>684</v>
      </c>
      <c r="B255" s="50">
        <v>44012.0</v>
      </c>
      <c r="C255" s="49" t="s">
        <v>78</v>
      </c>
      <c r="D255" s="49">
        <v>0.0</v>
      </c>
    </row>
    <row r="256" ht="15.0" hidden="1" customHeight="1">
      <c r="A256" s="49" t="s">
        <v>689</v>
      </c>
      <c r="B256" s="50">
        <v>44012.0</v>
      </c>
      <c r="C256" s="49" t="s">
        <v>78</v>
      </c>
      <c r="D256" s="49">
        <v>0.0</v>
      </c>
    </row>
    <row r="257" ht="15.0" hidden="1" customHeight="1">
      <c r="A257" s="49" t="s">
        <v>694</v>
      </c>
      <c r="B257" s="50">
        <v>44012.0</v>
      </c>
      <c r="C257" s="49" t="s">
        <v>78</v>
      </c>
      <c r="D257" s="49">
        <v>0.0</v>
      </c>
    </row>
    <row r="258" ht="15.0" hidden="1" customHeight="1">
      <c r="A258" s="49" t="s">
        <v>699</v>
      </c>
      <c r="B258" s="50">
        <v>44012.0</v>
      </c>
      <c r="C258" s="49" t="s">
        <v>78</v>
      </c>
      <c r="D258" s="49">
        <v>0.0</v>
      </c>
    </row>
    <row r="259" ht="15.0" hidden="1" customHeight="1">
      <c r="A259" s="49" t="s">
        <v>705</v>
      </c>
      <c r="B259" s="50">
        <v>44012.0</v>
      </c>
      <c r="C259" s="49" t="s">
        <v>78</v>
      </c>
      <c r="D259" s="49">
        <v>0.0</v>
      </c>
    </row>
    <row r="260" ht="15.0" hidden="1" customHeight="1">
      <c r="A260" s="49" t="s">
        <v>710</v>
      </c>
      <c r="B260" s="50">
        <v>44012.0</v>
      </c>
      <c r="C260" s="49" t="s">
        <v>78</v>
      </c>
      <c r="D260" s="49">
        <v>0.0</v>
      </c>
    </row>
    <row r="261" ht="15.0" hidden="1" customHeight="1">
      <c r="A261" s="49" t="s">
        <v>715</v>
      </c>
      <c r="B261" s="50">
        <v>44012.0</v>
      </c>
      <c r="C261" s="49" t="s">
        <v>78</v>
      </c>
      <c r="D261" s="49">
        <v>0.0</v>
      </c>
    </row>
    <row r="262" ht="15.0" hidden="1" customHeight="1">
      <c r="A262" s="49" t="s">
        <v>765</v>
      </c>
      <c r="B262" s="50">
        <v>44012.0</v>
      </c>
      <c r="C262" s="49" t="s">
        <v>78</v>
      </c>
      <c r="D262" s="49">
        <v>0.0</v>
      </c>
    </row>
    <row r="263" ht="15.0" hidden="1" customHeight="1">
      <c r="A263" s="49" t="s">
        <v>720</v>
      </c>
      <c r="B263" s="50">
        <v>44012.0</v>
      </c>
      <c r="C263" s="49" t="s">
        <v>78</v>
      </c>
      <c r="D263" s="49">
        <v>0.0</v>
      </c>
    </row>
    <row r="264" ht="15.0" hidden="1" customHeight="1">
      <c r="A264" s="49" t="s">
        <v>725</v>
      </c>
      <c r="B264" s="50">
        <v>44012.0</v>
      </c>
      <c r="C264" s="49" t="s">
        <v>78</v>
      </c>
      <c r="D264" s="49">
        <v>0.0</v>
      </c>
    </row>
    <row r="265" ht="15.0" hidden="1" customHeight="1">
      <c r="A265" s="49" t="s">
        <v>730</v>
      </c>
      <c r="B265" s="50">
        <v>44012.0</v>
      </c>
      <c r="C265" s="49" t="s">
        <v>78</v>
      </c>
      <c r="D265" s="49">
        <v>0.0</v>
      </c>
    </row>
    <row r="266" ht="15.0" hidden="1" customHeight="1">
      <c r="A266" s="49" t="s">
        <v>734</v>
      </c>
      <c r="B266" s="50">
        <v>44012.0</v>
      </c>
      <c r="C266" s="49" t="s">
        <v>78</v>
      </c>
      <c r="D266" s="49">
        <v>0.0</v>
      </c>
    </row>
    <row r="267" ht="15.0" hidden="1" customHeight="1">
      <c r="A267" s="49" t="s">
        <v>739</v>
      </c>
      <c r="B267" s="50">
        <v>44012.0</v>
      </c>
      <c r="C267" s="49" t="s">
        <v>78</v>
      </c>
      <c r="D267" s="49">
        <v>0.0</v>
      </c>
    </row>
    <row r="268" ht="15.0" hidden="1" customHeight="1">
      <c r="A268" s="49" t="s">
        <v>744</v>
      </c>
      <c r="B268" s="50">
        <v>44012.0</v>
      </c>
      <c r="C268" s="49" t="s">
        <v>78</v>
      </c>
      <c r="D268" s="49">
        <v>0.0</v>
      </c>
    </row>
    <row r="269" ht="15.0" hidden="1" customHeight="1">
      <c r="A269" s="49" t="s">
        <v>749</v>
      </c>
      <c r="B269" s="50">
        <v>44012.0</v>
      </c>
      <c r="C269" s="49" t="s">
        <v>78</v>
      </c>
      <c r="D269" s="49">
        <v>0.0</v>
      </c>
    </row>
    <row r="270" ht="15.0" customHeight="1">
      <c r="A270" s="49" t="s">
        <v>776</v>
      </c>
      <c r="B270" s="50">
        <v>44012.0</v>
      </c>
      <c r="C270" s="49" t="s">
        <v>69</v>
      </c>
      <c r="D270" s="49">
        <v>0.0</v>
      </c>
    </row>
    <row r="271" ht="15.0" hidden="1" customHeight="1">
      <c r="A271" s="49" t="s">
        <v>778</v>
      </c>
      <c r="B271" s="50">
        <v>44012.0</v>
      </c>
      <c r="C271" s="49" t="s">
        <v>69</v>
      </c>
      <c r="D271" s="49">
        <v>0.0</v>
      </c>
    </row>
    <row r="272" ht="15.0" hidden="1" customHeight="1">
      <c r="A272" s="49" t="s">
        <v>92</v>
      </c>
      <c r="B272" s="50">
        <v>44012.0</v>
      </c>
      <c r="C272" s="49" t="s">
        <v>69</v>
      </c>
      <c r="D272" s="49">
        <v>0.0</v>
      </c>
    </row>
    <row r="273" ht="15.0" hidden="1" customHeight="1">
      <c r="A273" s="49" t="s">
        <v>97</v>
      </c>
      <c r="B273" s="50">
        <v>44012.0</v>
      </c>
      <c r="C273" s="49" t="s">
        <v>69</v>
      </c>
      <c r="D273" s="49">
        <v>0.0</v>
      </c>
    </row>
    <row r="274" ht="15.0" hidden="1" customHeight="1">
      <c r="A274" s="49" t="s">
        <v>102</v>
      </c>
      <c r="B274" s="50">
        <v>44012.0</v>
      </c>
      <c r="C274" s="49" t="s">
        <v>69</v>
      </c>
      <c r="D274" s="49">
        <v>0.0</v>
      </c>
    </row>
    <row r="275" ht="15.0" hidden="1" customHeight="1">
      <c r="A275" s="49" t="s">
        <v>106</v>
      </c>
      <c r="B275" s="50">
        <v>44012.0</v>
      </c>
      <c r="C275" s="49" t="s">
        <v>69</v>
      </c>
      <c r="D275" s="49">
        <v>0.0</v>
      </c>
    </row>
    <row r="276" ht="15.0" hidden="1" customHeight="1">
      <c r="A276" s="49" t="s">
        <v>111</v>
      </c>
      <c r="B276" s="50">
        <v>44012.0</v>
      </c>
      <c r="C276" s="49" t="s">
        <v>69</v>
      </c>
      <c r="D276" s="49">
        <v>0.0</v>
      </c>
    </row>
    <row r="277" ht="15.0" hidden="1" customHeight="1">
      <c r="A277" s="49" t="s">
        <v>116</v>
      </c>
      <c r="B277" s="50">
        <v>44012.0</v>
      </c>
      <c r="C277" s="49" t="s">
        <v>69</v>
      </c>
      <c r="D277" s="49">
        <v>0.0</v>
      </c>
    </row>
    <row r="278" ht="15.0" hidden="1" customHeight="1">
      <c r="A278" s="49" t="s">
        <v>120</v>
      </c>
      <c r="B278" s="50">
        <v>44012.0</v>
      </c>
      <c r="C278" s="49" t="s">
        <v>69</v>
      </c>
      <c r="D278" s="49">
        <v>0.0</v>
      </c>
    </row>
    <row r="279" ht="15.0" hidden="1" customHeight="1">
      <c r="A279" s="49" t="s">
        <v>125</v>
      </c>
      <c r="B279" s="50">
        <v>44012.0</v>
      </c>
      <c r="C279" s="49" t="s">
        <v>69</v>
      </c>
      <c r="D279" s="49">
        <v>0.0</v>
      </c>
    </row>
    <row r="280" ht="15.0" hidden="1" customHeight="1">
      <c r="A280" s="49" t="s">
        <v>130</v>
      </c>
      <c r="B280" s="50">
        <v>44012.0</v>
      </c>
      <c r="C280" s="49" t="s">
        <v>69</v>
      </c>
      <c r="D280" s="49">
        <v>0.0</v>
      </c>
    </row>
    <row r="281" ht="15.0" hidden="1" customHeight="1">
      <c r="A281" s="49" t="s">
        <v>137</v>
      </c>
      <c r="B281" s="50">
        <v>44012.0</v>
      </c>
      <c r="C281" s="49" t="s">
        <v>69</v>
      </c>
      <c r="D281" s="49">
        <v>0.0</v>
      </c>
    </row>
    <row r="282" ht="15.0" hidden="1" customHeight="1">
      <c r="A282" s="49" t="s">
        <v>142</v>
      </c>
      <c r="B282" s="50">
        <v>44012.0</v>
      </c>
      <c r="C282" s="49" t="s">
        <v>69</v>
      </c>
      <c r="D282" s="49">
        <v>0.0</v>
      </c>
    </row>
    <row r="283" ht="15.0" hidden="1" customHeight="1">
      <c r="A283" s="49" t="s">
        <v>147</v>
      </c>
      <c r="B283" s="50">
        <v>44012.0</v>
      </c>
      <c r="C283" s="49" t="s">
        <v>69</v>
      </c>
      <c r="D283" s="49">
        <v>0.0</v>
      </c>
    </row>
    <row r="284" ht="15.0" hidden="1" customHeight="1">
      <c r="A284" s="49" t="s">
        <v>152</v>
      </c>
      <c r="B284" s="50">
        <v>44012.0</v>
      </c>
      <c r="C284" s="49" t="s">
        <v>69</v>
      </c>
      <c r="D284" s="49">
        <v>0.0</v>
      </c>
    </row>
    <row r="285" ht="15.0" hidden="1" customHeight="1">
      <c r="A285" s="49" t="s">
        <v>157</v>
      </c>
      <c r="B285" s="50">
        <v>44012.0</v>
      </c>
      <c r="C285" s="49" t="s">
        <v>69</v>
      </c>
      <c r="D285" s="49">
        <v>0.0</v>
      </c>
    </row>
    <row r="286" ht="15.0" hidden="1" customHeight="1">
      <c r="A286" s="49" t="s">
        <v>162</v>
      </c>
      <c r="B286" s="50">
        <v>44012.0</v>
      </c>
      <c r="C286" s="49" t="s">
        <v>69</v>
      </c>
      <c r="D286" s="49">
        <v>0.0</v>
      </c>
    </row>
    <row r="287" ht="15.0" hidden="1" customHeight="1">
      <c r="A287" s="49" t="s">
        <v>167</v>
      </c>
      <c r="B287" s="50">
        <v>44012.0</v>
      </c>
      <c r="C287" s="49" t="s">
        <v>69</v>
      </c>
      <c r="D287" s="49">
        <v>0.0</v>
      </c>
    </row>
    <row r="288" ht="15.0" hidden="1" customHeight="1">
      <c r="A288" s="49" t="s">
        <v>172</v>
      </c>
      <c r="B288" s="50">
        <v>44012.0</v>
      </c>
      <c r="C288" s="49" t="s">
        <v>69</v>
      </c>
      <c r="D288" s="49">
        <v>0.0</v>
      </c>
    </row>
    <row r="289" ht="15.0" hidden="1" customHeight="1">
      <c r="A289" s="49" t="s">
        <v>177</v>
      </c>
      <c r="B289" s="50">
        <v>44012.0</v>
      </c>
      <c r="C289" s="49" t="s">
        <v>69</v>
      </c>
      <c r="D289" s="49">
        <v>0.0</v>
      </c>
    </row>
    <row r="290" ht="15.0" hidden="1" customHeight="1">
      <c r="A290" s="49" t="s">
        <v>182</v>
      </c>
      <c r="B290" s="50">
        <v>44012.0</v>
      </c>
      <c r="C290" s="49" t="s">
        <v>69</v>
      </c>
      <c r="D290" s="49">
        <v>0.0</v>
      </c>
    </row>
    <row r="291" ht="15.0" hidden="1" customHeight="1">
      <c r="A291" s="49" t="s">
        <v>187</v>
      </c>
      <c r="B291" s="50">
        <v>44012.0</v>
      </c>
      <c r="C291" s="49" t="s">
        <v>69</v>
      </c>
      <c r="D291" s="49">
        <v>0.0</v>
      </c>
    </row>
    <row r="292" ht="15.0" hidden="1" customHeight="1">
      <c r="A292" s="49" t="s">
        <v>192</v>
      </c>
      <c r="B292" s="50">
        <v>44012.0</v>
      </c>
      <c r="C292" s="49" t="s">
        <v>69</v>
      </c>
      <c r="D292" s="49">
        <v>0.0</v>
      </c>
    </row>
    <row r="293" ht="15.0" hidden="1" customHeight="1">
      <c r="A293" s="49" t="s">
        <v>197</v>
      </c>
      <c r="B293" s="50">
        <v>44012.0</v>
      </c>
      <c r="C293" s="49" t="s">
        <v>69</v>
      </c>
      <c r="D293" s="49">
        <v>0.0</v>
      </c>
    </row>
    <row r="294" ht="15.0" hidden="1" customHeight="1">
      <c r="A294" s="49" t="s">
        <v>202</v>
      </c>
      <c r="B294" s="50">
        <v>44012.0</v>
      </c>
      <c r="C294" s="49" t="s">
        <v>69</v>
      </c>
      <c r="D294" s="49">
        <v>0.0</v>
      </c>
    </row>
    <row r="295" ht="15.0" hidden="1" customHeight="1">
      <c r="A295" s="49" t="s">
        <v>206</v>
      </c>
      <c r="B295" s="50">
        <v>44012.0</v>
      </c>
      <c r="C295" s="49" t="s">
        <v>69</v>
      </c>
      <c r="D295" s="49">
        <v>0.0</v>
      </c>
    </row>
    <row r="296" ht="15.0" hidden="1" customHeight="1">
      <c r="A296" s="49" t="s">
        <v>211</v>
      </c>
      <c r="B296" s="50">
        <v>44012.0</v>
      </c>
      <c r="C296" s="49" t="s">
        <v>69</v>
      </c>
      <c r="D296" s="49">
        <v>0.0</v>
      </c>
    </row>
    <row r="297" ht="15.0" hidden="1" customHeight="1">
      <c r="A297" s="49" t="s">
        <v>779</v>
      </c>
      <c r="B297" s="50">
        <v>44012.0</v>
      </c>
      <c r="C297" s="49" t="s">
        <v>69</v>
      </c>
      <c r="D297" s="49">
        <v>0.0</v>
      </c>
    </row>
    <row r="298" ht="15.0" hidden="1" customHeight="1">
      <c r="A298" s="49" t="s">
        <v>221</v>
      </c>
      <c r="B298" s="50">
        <v>44012.0</v>
      </c>
      <c r="C298" s="49" t="s">
        <v>69</v>
      </c>
      <c r="D298" s="49">
        <v>0.0</v>
      </c>
    </row>
    <row r="299" ht="15.0" hidden="1" customHeight="1">
      <c r="A299" s="49" t="s">
        <v>226</v>
      </c>
      <c r="B299" s="50">
        <v>44012.0</v>
      </c>
      <c r="C299" s="49" t="s">
        <v>69</v>
      </c>
      <c r="D299" s="49">
        <v>0.0</v>
      </c>
    </row>
    <row r="300" ht="15.0" hidden="1" customHeight="1">
      <c r="A300" s="49" t="s">
        <v>231</v>
      </c>
      <c r="B300" s="50">
        <v>44012.0</v>
      </c>
      <c r="C300" s="49" t="s">
        <v>69</v>
      </c>
      <c r="D300" s="49">
        <v>0.0</v>
      </c>
    </row>
    <row r="301" ht="15.0" hidden="1" customHeight="1">
      <c r="A301" s="49" t="s">
        <v>236</v>
      </c>
      <c r="B301" s="50">
        <v>44012.0</v>
      </c>
      <c r="C301" s="49" t="s">
        <v>69</v>
      </c>
      <c r="D301" s="49">
        <v>0.0</v>
      </c>
    </row>
    <row r="302" ht="15.0" hidden="1" customHeight="1">
      <c r="A302" s="49" t="s">
        <v>242</v>
      </c>
      <c r="B302" s="50">
        <v>44012.0</v>
      </c>
      <c r="C302" s="49" t="s">
        <v>69</v>
      </c>
      <c r="D302" s="49">
        <v>0.0</v>
      </c>
    </row>
    <row r="303" ht="15.0" hidden="1" customHeight="1">
      <c r="A303" s="49" t="s">
        <v>248</v>
      </c>
      <c r="B303" s="50">
        <v>44012.0</v>
      </c>
      <c r="C303" s="49" t="s">
        <v>69</v>
      </c>
      <c r="D303" s="49">
        <v>0.0</v>
      </c>
    </row>
    <row r="304" ht="15.0" hidden="1" customHeight="1">
      <c r="A304" s="49" t="s">
        <v>253</v>
      </c>
      <c r="B304" s="50">
        <v>44012.0</v>
      </c>
      <c r="C304" s="49" t="s">
        <v>69</v>
      </c>
      <c r="D304" s="49">
        <v>0.0</v>
      </c>
    </row>
    <row r="305" ht="15.0" hidden="1" customHeight="1">
      <c r="A305" s="49" t="s">
        <v>258</v>
      </c>
      <c r="B305" s="50">
        <v>44012.0</v>
      </c>
      <c r="C305" s="49" t="s">
        <v>69</v>
      </c>
      <c r="D305" s="49">
        <v>0.0</v>
      </c>
    </row>
    <row r="306" ht="15.0" hidden="1" customHeight="1">
      <c r="A306" s="49" t="s">
        <v>263</v>
      </c>
      <c r="B306" s="50">
        <v>44012.0</v>
      </c>
      <c r="C306" s="49" t="s">
        <v>69</v>
      </c>
      <c r="D306" s="49">
        <v>0.0</v>
      </c>
    </row>
    <row r="307" ht="15.0" hidden="1" customHeight="1">
      <c r="A307" s="49" t="s">
        <v>268</v>
      </c>
      <c r="B307" s="50">
        <v>44012.0</v>
      </c>
      <c r="C307" s="49" t="s">
        <v>69</v>
      </c>
      <c r="D307" s="49">
        <v>0.0</v>
      </c>
    </row>
    <row r="308" ht="15.0" hidden="1" customHeight="1">
      <c r="A308" s="49" t="s">
        <v>273</v>
      </c>
      <c r="B308" s="50">
        <v>44012.0</v>
      </c>
      <c r="C308" s="49" t="s">
        <v>69</v>
      </c>
      <c r="D308" s="49">
        <v>0.0</v>
      </c>
    </row>
    <row r="309" ht="15.0" hidden="1" customHeight="1">
      <c r="A309" s="49" t="s">
        <v>278</v>
      </c>
      <c r="B309" s="50">
        <v>44012.0</v>
      </c>
      <c r="C309" s="49" t="s">
        <v>69</v>
      </c>
      <c r="D309" s="49">
        <v>0.0</v>
      </c>
    </row>
    <row r="310" ht="15.0" hidden="1" customHeight="1">
      <c r="A310" s="49" t="s">
        <v>283</v>
      </c>
      <c r="B310" s="50">
        <v>44012.0</v>
      </c>
      <c r="C310" s="49" t="s">
        <v>69</v>
      </c>
      <c r="D310" s="49">
        <v>0.0</v>
      </c>
    </row>
    <row r="311" ht="15.0" hidden="1" customHeight="1">
      <c r="A311" s="49" t="s">
        <v>288</v>
      </c>
      <c r="B311" s="50">
        <v>44012.0</v>
      </c>
      <c r="C311" s="49" t="s">
        <v>69</v>
      </c>
      <c r="D311" s="49">
        <v>0.0</v>
      </c>
    </row>
    <row r="312" ht="15.0" hidden="1" customHeight="1">
      <c r="A312" s="49" t="s">
        <v>293</v>
      </c>
      <c r="B312" s="50">
        <v>44012.0</v>
      </c>
      <c r="C312" s="49" t="s">
        <v>69</v>
      </c>
      <c r="D312" s="49">
        <v>0.0</v>
      </c>
    </row>
    <row r="313" ht="15.0" hidden="1" customHeight="1">
      <c r="A313" s="49" t="s">
        <v>298</v>
      </c>
      <c r="B313" s="50">
        <v>44012.0</v>
      </c>
      <c r="C313" s="49" t="s">
        <v>69</v>
      </c>
      <c r="D313" s="49">
        <v>0.0</v>
      </c>
    </row>
    <row r="314" ht="15.0" hidden="1" customHeight="1">
      <c r="A314" s="49" t="s">
        <v>303</v>
      </c>
      <c r="B314" s="50">
        <v>44012.0</v>
      </c>
      <c r="C314" s="49" t="s">
        <v>69</v>
      </c>
      <c r="D314" s="49">
        <v>0.0</v>
      </c>
    </row>
    <row r="315" ht="15.0" hidden="1" customHeight="1">
      <c r="A315" s="49" t="s">
        <v>307</v>
      </c>
      <c r="B315" s="50">
        <v>44012.0</v>
      </c>
      <c r="C315" s="49" t="s">
        <v>69</v>
      </c>
      <c r="D315" s="49">
        <v>0.0</v>
      </c>
    </row>
    <row r="316" ht="15.0" hidden="1" customHeight="1">
      <c r="A316" s="49" t="s">
        <v>313</v>
      </c>
      <c r="B316" s="50">
        <v>44012.0</v>
      </c>
      <c r="C316" s="49" t="s">
        <v>69</v>
      </c>
      <c r="D316" s="49">
        <v>0.0</v>
      </c>
    </row>
    <row r="317" ht="15.0" hidden="1" customHeight="1">
      <c r="A317" s="49" t="s">
        <v>318</v>
      </c>
      <c r="B317" s="50">
        <v>44012.0</v>
      </c>
      <c r="C317" s="49" t="s">
        <v>69</v>
      </c>
      <c r="D317" s="49">
        <v>0.0</v>
      </c>
    </row>
    <row r="318" ht="15.0" hidden="1" customHeight="1">
      <c r="A318" s="49" t="s">
        <v>323</v>
      </c>
      <c r="B318" s="50">
        <v>44012.0</v>
      </c>
      <c r="C318" s="49" t="s">
        <v>69</v>
      </c>
      <c r="D318" s="49">
        <v>0.0</v>
      </c>
    </row>
    <row r="319" ht="15.0" hidden="1" customHeight="1">
      <c r="A319" s="49" t="s">
        <v>328</v>
      </c>
      <c r="B319" s="50">
        <v>44012.0</v>
      </c>
      <c r="C319" s="49" t="s">
        <v>69</v>
      </c>
      <c r="D319" s="49">
        <v>0.0</v>
      </c>
    </row>
    <row r="320" ht="15.0" hidden="1" customHeight="1">
      <c r="A320" s="49" t="s">
        <v>335</v>
      </c>
      <c r="B320" s="50">
        <v>44012.0</v>
      </c>
      <c r="C320" s="49" t="s">
        <v>69</v>
      </c>
      <c r="D320" s="49">
        <v>0.0</v>
      </c>
    </row>
    <row r="321" ht="15.0" hidden="1" customHeight="1">
      <c r="A321" s="49" t="s">
        <v>340</v>
      </c>
      <c r="B321" s="50">
        <v>44012.0</v>
      </c>
      <c r="C321" s="49" t="s">
        <v>69</v>
      </c>
      <c r="D321" s="49">
        <v>0.0</v>
      </c>
    </row>
    <row r="322" ht="15.0" hidden="1" customHeight="1">
      <c r="A322" s="49" t="s">
        <v>345</v>
      </c>
      <c r="B322" s="50">
        <v>44012.0</v>
      </c>
      <c r="C322" s="49" t="s">
        <v>69</v>
      </c>
      <c r="D322" s="49">
        <v>0.0</v>
      </c>
    </row>
    <row r="323" ht="15.0" hidden="1" customHeight="1">
      <c r="A323" s="49" t="s">
        <v>350</v>
      </c>
      <c r="B323" s="50">
        <v>44012.0</v>
      </c>
      <c r="C323" s="49" t="s">
        <v>69</v>
      </c>
      <c r="D323" s="49">
        <v>0.0</v>
      </c>
    </row>
    <row r="324" ht="15.0" hidden="1" customHeight="1">
      <c r="A324" s="49" t="s">
        <v>355</v>
      </c>
      <c r="B324" s="50">
        <v>44012.0</v>
      </c>
      <c r="C324" s="49" t="s">
        <v>69</v>
      </c>
      <c r="D324" s="49">
        <v>0.0</v>
      </c>
    </row>
    <row r="325" ht="15.0" hidden="1" customHeight="1">
      <c r="A325" s="49" t="s">
        <v>360</v>
      </c>
      <c r="B325" s="50">
        <v>44012.0</v>
      </c>
      <c r="C325" s="49" t="s">
        <v>69</v>
      </c>
      <c r="D325" s="49">
        <v>0.0</v>
      </c>
    </row>
    <row r="326" ht="15.0" hidden="1" customHeight="1">
      <c r="A326" s="49" t="s">
        <v>365</v>
      </c>
      <c r="B326" s="50">
        <v>44012.0</v>
      </c>
      <c r="C326" s="49" t="s">
        <v>69</v>
      </c>
      <c r="D326" s="49">
        <v>0.0</v>
      </c>
    </row>
    <row r="327" ht="15.0" hidden="1" customHeight="1">
      <c r="A327" s="49" t="s">
        <v>370</v>
      </c>
      <c r="B327" s="50">
        <v>44012.0</v>
      </c>
      <c r="C327" s="49" t="s">
        <v>69</v>
      </c>
      <c r="D327" s="49">
        <v>0.0</v>
      </c>
    </row>
    <row r="328" ht="15.0" hidden="1" customHeight="1">
      <c r="A328" s="49" t="s">
        <v>375</v>
      </c>
      <c r="B328" s="50">
        <v>44012.0</v>
      </c>
      <c r="C328" s="49" t="s">
        <v>69</v>
      </c>
      <c r="D328" s="49">
        <v>0.0</v>
      </c>
    </row>
    <row r="329" ht="15.0" hidden="1" customHeight="1">
      <c r="A329" s="49" t="s">
        <v>380</v>
      </c>
      <c r="B329" s="50">
        <v>44012.0</v>
      </c>
      <c r="C329" s="49" t="s">
        <v>69</v>
      </c>
      <c r="D329" s="49">
        <v>0.0</v>
      </c>
    </row>
    <row r="330" ht="15.0" hidden="1" customHeight="1">
      <c r="A330" s="49" t="s">
        <v>385</v>
      </c>
      <c r="B330" s="50">
        <v>44012.0</v>
      </c>
      <c r="C330" s="49" t="s">
        <v>69</v>
      </c>
      <c r="D330" s="49">
        <v>0.0</v>
      </c>
    </row>
    <row r="331" ht="15.0" hidden="1" customHeight="1">
      <c r="A331" s="49" t="s">
        <v>390</v>
      </c>
      <c r="B331" s="50">
        <v>44012.0</v>
      </c>
      <c r="C331" s="49" t="s">
        <v>69</v>
      </c>
      <c r="D331" s="49">
        <v>0.0</v>
      </c>
    </row>
    <row r="332" ht="15.0" hidden="1" customHeight="1">
      <c r="A332" s="49" t="s">
        <v>395</v>
      </c>
      <c r="B332" s="50">
        <v>44012.0</v>
      </c>
      <c r="C332" s="49" t="s">
        <v>69</v>
      </c>
      <c r="D332" s="49">
        <v>0.0</v>
      </c>
    </row>
    <row r="333" ht="15.0" hidden="1" customHeight="1">
      <c r="A333" s="49" t="s">
        <v>400</v>
      </c>
      <c r="B333" s="50">
        <v>44012.0</v>
      </c>
      <c r="C333" s="49" t="s">
        <v>69</v>
      </c>
      <c r="D333" s="49">
        <v>0.0</v>
      </c>
    </row>
    <row r="334" ht="15.0" hidden="1" customHeight="1">
      <c r="A334" s="49" t="s">
        <v>405</v>
      </c>
      <c r="B334" s="50">
        <v>44012.0</v>
      </c>
      <c r="C334" s="49" t="s">
        <v>69</v>
      </c>
      <c r="D334" s="49">
        <v>0.0</v>
      </c>
    </row>
    <row r="335" ht="15.0" hidden="1" customHeight="1">
      <c r="A335" s="49" t="s">
        <v>410</v>
      </c>
      <c r="B335" s="50">
        <v>44012.0</v>
      </c>
      <c r="C335" s="49" t="s">
        <v>69</v>
      </c>
      <c r="D335" s="49">
        <v>0.0</v>
      </c>
    </row>
    <row r="336" ht="15.0" hidden="1" customHeight="1">
      <c r="A336" s="49" t="s">
        <v>415</v>
      </c>
      <c r="B336" s="50">
        <v>44012.0</v>
      </c>
      <c r="C336" s="49" t="s">
        <v>69</v>
      </c>
      <c r="D336" s="49">
        <v>0.0</v>
      </c>
    </row>
    <row r="337" ht="15.0" hidden="1" customHeight="1">
      <c r="A337" s="49" t="s">
        <v>420</v>
      </c>
      <c r="B337" s="50">
        <v>44012.0</v>
      </c>
      <c r="C337" s="49" t="s">
        <v>69</v>
      </c>
      <c r="D337" s="49">
        <v>0.0</v>
      </c>
    </row>
    <row r="338" ht="15.0" hidden="1" customHeight="1">
      <c r="A338" s="49" t="s">
        <v>425</v>
      </c>
      <c r="B338" s="50">
        <v>44012.0</v>
      </c>
      <c r="C338" s="49" t="s">
        <v>69</v>
      </c>
      <c r="D338" s="49">
        <v>0.0</v>
      </c>
    </row>
    <row r="339" ht="15.0" hidden="1" customHeight="1">
      <c r="A339" s="49" t="s">
        <v>430</v>
      </c>
      <c r="B339" s="50">
        <v>44012.0</v>
      </c>
      <c r="C339" s="49" t="s">
        <v>69</v>
      </c>
      <c r="D339" s="49">
        <v>0.0</v>
      </c>
    </row>
    <row r="340" ht="15.0" hidden="1" customHeight="1">
      <c r="A340" s="49" t="s">
        <v>434</v>
      </c>
      <c r="B340" s="50">
        <v>44012.0</v>
      </c>
      <c r="C340" s="49" t="s">
        <v>69</v>
      </c>
      <c r="D340" s="49">
        <v>0.0</v>
      </c>
    </row>
    <row r="341" ht="15.0" hidden="1" customHeight="1">
      <c r="A341" s="49" t="s">
        <v>439</v>
      </c>
      <c r="B341" s="50">
        <v>44012.0</v>
      </c>
      <c r="C341" s="49" t="s">
        <v>69</v>
      </c>
      <c r="D341" s="49">
        <v>0.0</v>
      </c>
    </row>
    <row r="342" ht="15.0" hidden="1" customHeight="1">
      <c r="A342" s="49" t="s">
        <v>444</v>
      </c>
      <c r="B342" s="50">
        <v>44012.0</v>
      </c>
      <c r="C342" s="49" t="s">
        <v>69</v>
      </c>
      <c r="D342" s="49">
        <v>0.0</v>
      </c>
    </row>
    <row r="343" ht="15.0" hidden="1" customHeight="1">
      <c r="A343" s="49" t="s">
        <v>449</v>
      </c>
      <c r="B343" s="50">
        <v>44012.0</v>
      </c>
      <c r="C343" s="49" t="s">
        <v>69</v>
      </c>
      <c r="D343" s="49">
        <v>0.0</v>
      </c>
    </row>
    <row r="344" ht="15.0" hidden="1" customHeight="1">
      <c r="A344" s="49" t="s">
        <v>455</v>
      </c>
      <c r="B344" s="50">
        <v>44012.0</v>
      </c>
      <c r="C344" s="49" t="s">
        <v>69</v>
      </c>
      <c r="D344" s="49">
        <v>0.0</v>
      </c>
    </row>
    <row r="345" ht="15.0" hidden="1" customHeight="1">
      <c r="A345" s="49" t="s">
        <v>470</v>
      </c>
      <c r="B345" s="50">
        <v>44012.0</v>
      </c>
      <c r="C345" s="49" t="s">
        <v>69</v>
      </c>
      <c r="D345" s="49">
        <v>0.0</v>
      </c>
    </row>
    <row r="346" ht="15.0" hidden="1" customHeight="1">
      <c r="A346" s="49" t="s">
        <v>476</v>
      </c>
      <c r="B346" s="50">
        <v>44012.0</v>
      </c>
      <c r="C346" s="49" t="s">
        <v>69</v>
      </c>
      <c r="D346" s="49">
        <v>0.0</v>
      </c>
    </row>
    <row r="347" ht="15.0" hidden="1" customHeight="1">
      <c r="A347" s="49" t="s">
        <v>481</v>
      </c>
      <c r="B347" s="50">
        <v>44012.0</v>
      </c>
      <c r="C347" s="49" t="s">
        <v>69</v>
      </c>
      <c r="D347" s="49">
        <v>0.0</v>
      </c>
    </row>
    <row r="348" ht="15.0" hidden="1" customHeight="1">
      <c r="A348" s="49" t="s">
        <v>486</v>
      </c>
      <c r="B348" s="50">
        <v>44012.0</v>
      </c>
      <c r="C348" s="49" t="s">
        <v>69</v>
      </c>
      <c r="D348" s="49">
        <v>0.0</v>
      </c>
    </row>
    <row r="349" ht="15.0" hidden="1" customHeight="1">
      <c r="A349" s="49" t="s">
        <v>491</v>
      </c>
      <c r="B349" s="50">
        <v>44012.0</v>
      </c>
      <c r="C349" s="49" t="s">
        <v>69</v>
      </c>
      <c r="D349" s="49">
        <v>0.0</v>
      </c>
    </row>
    <row r="350" ht="15.0" hidden="1" customHeight="1">
      <c r="A350" s="49" t="s">
        <v>496</v>
      </c>
      <c r="B350" s="50">
        <v>44012.0</v>
      </c>
      <c r="C350" s="49" t="s">
        <v>69</v>
      </c>
      <c r="D350" s="49">
        <v>0.0</v>
      </c>
    </row>
    <row r="351" ht="15.0" hidden="1" customHeight="1">
      <c r="A351" s="49" t="s">
        <v>501</v>
      </c>
      <c r="B351" s="50">
        <v>44012.0</v>
      </c>
      <c r="C351" s="49" t="s">
        <v>69</v>
      </c>
      <c r="D351" s="49">
        <v>0.0</v>
      </c>
    </row>
    <row r="352" ht="15.0" hidden="1" customHeight="1">
      <c r="A352" s="49" t="s">
        <v>506</v>
      </c>
      <c r="B352" s="50">
        <v>44012.0</v>
      </c>
      <c r="C352" s="49" t="s">
        <v>69</v>
      </c>
      <c r="D352" s="49">
        <v>0.0</v>
      </c>
    </row>
    <row r="353" ht="15.0" hidden="1" customHeight="1">
      <c r="A353" s="49" t="s">
        <v>512</v>
      </c>
      <c r="B353" s="50">
        <v>44012.0</v>
      </c>
      <c r="C353" s="49" t="s">
        <v>69</v>
      </c>
      <c r="D353" s="49">
        <v>0.0</v>
      </c>
    </row>
    <row r="354" ht="15.0" hidden="1" customHeight="1">
      <c r="A354" s="49" t="s">
        <v>517</v>
      </c>
      <c r="B354" s="50">
        <v>44012.0</v>
      </c>
      <c r="C354" s="49" t="s">
        <v>69</v>
      </c>
      <c r="D354" s="49">
        <v>0.0</v>
      </c>
    </row>
    <row r="355" ht="15.0" hidden="1" customHeight="1">
      <c r="A355" s="49" t="s">
        <v>522</v>
      </c>
      <c r="B355" s="50">
        <v>44012.0</v>
      </c>
      <c r="C355" s="49" t="s">
        <v>69</v>
      </c>
      <c r="D355" s="49">
        <v>0.0</v>
      </c>
    </row>
    <row r="356" ht="15.0" hidden="1" customHeight="1">
      <c r="A356" s="49" t="s">
        <v>528</v>
      </c>
      <c r="B356" s="50">
        <v>44012.0</v>
      </c>
      <c r="C356" s="49" t="s">
        <v>69</v>
      </c>
      <c r="D356" s="49">
        <v>0.0</v>
      </c>
    </row>
    <row r="357" ht="15.0" hidden="1" customHeight="1">
      <c r="A357" s="49" t="s">
        <v>533</v>
      </c>
      <c r="B357" s="50">
        <v>44012.0</v>
      </c>
      <c r="C357" s="49" t="s">
        <v>69</v>
      </c>
      <c r="D357" s="49">
        <v>0.0</v>
      </c>
    </row>
    <row r="358" ht="15.0" hidden="1" customHeight="1">
      <c r="A358" s="49" t="s">
        <v>538</v>
      </c>
      <c r="B358" s="50">
        <v>44012.0</v>
      </c>
      <c r="C358" s="49" t="s">
        <v>69</v>
      </c>
      <c r="D358" s="49">
        <v>0.0</v>
      </c>
    </row>
    <row r="359" ht="15.0" hidden="1" customHeight="1">
      <c r="A359" s="49" t="s">
        <v>546</v>
      </c>
      <c r="B359" s="50">
        <v>44012.0</v>
      </c>
      <c r="C359" s="49" t="s">
        <v>69</v>
      </c>
      <c r="D359" s="49">
        <v>0.0</v>
      </c>
    </row>
    <row r="360" ht="15.0" hidden="1" customHeight="1">
      <c r="A360" s="49" t="s">
        <v>551</v>
      </c>
      <c r="B360" s="50">
        <v>44012.0</v>
      </c>
      <c r="C360" s="49" t="s">
        <v>69</v>
      </c>
      <c r="D360" s="49">
        <v>0.0</v>
      </c>
    </row>
    <row r="361" ht="15.0" hidden="1" customHeight="1">
      <c r="A361" s="49" t="s">
        <v>556</v>
      </c>
      <c r="B361" s="50">
        <v>44012.0</v>
      </c>
      <c r="C361" s="49" t="s">
        <v>69</v>
      </c>
      <c r="D361" s="49">
        <v>0.0</v>
      </c>
    </row>
    <row r="362" ht="15.0" hidden="1" customHeight="1">
      <c r="A362" s="49" t="s">
        <v>561</v>
      </c>
      <c r="B362" s="50">
        <v>44012.0</v>
      </c>
      <c r="C362" s="49" t="s">
        <v>69</v>
      </c>
      <c r="D362" s="49">
        <v>0.0</v>
      </c>
    </row>
    <row r="363" ht="15.0" hidden="1" customHeight="1">
      <c r="A363" s="49" t="s">
        <v>566</v>
      </c>
      <c r="B363" s="50">
        <v>44012.0</v>
      </c>
      <c r="C363" s="49" t="s">
        <v>69</v>
      </c>
      <c r="D363" s="49">
        <v>0.0</v>
      </c>
    </row>
    <row r="364" ht="15.0" hidden="1" customHeight="1">
      <c r="A364" s="49" t="s">
        <v>571</v>
      </c>
      <c r="B364" s="50">
        <v>44012.0</v>
      </c>
      <c r="C364" s="49" t="s">
        <v>69</v>
      </c>
      <c r="D364" s="49">
        <v>0.0</v>
      </c>
    </row>
    <row r="365" ht="15.0" hidden="1" customHeight="1">
      <c r="A365" s="49" t="s">
        <v>576</v>
      </c>
      <c r="B365" s="50">
        <v>44012.0</v>
      </c>
      <c r="C365" s="49" t="s">
        <v>69</v>
      </c>
      <c r="D365" s="49">
        <v>0.0</v>
      </c>
    </row>
    <row r="366" ht="15.0" hidden="1" customHeight="1">
      <c r="A366" s="49" t="s">
        <v>581</v>
      </c>
      <c r="B366" s="50">
        <v>44012.0</v>
      </c>
      <c r="C366" s="49" t="s">
        <v>69</v>
      </c>
      <c r="D366" s="49">
        <v>0.0</v>
      </c>
    </row>
    <row r="367" ht="15.0" hidden="1" customHeight="1">
      <c r="A367" s="49" t="s">
        <v>586</v>
      </c>
      <c r="B367" s="50">
        <v>44012.0</v>
      </c>
      <c r="C367" s="49" t="s">
        <v>69</v>
      </c>
      <c r="D367" s="49">
        <v>0.0</v>
      </c>
    </row>
    <row r="368" ht="15.0" hidden="1" customHeight="1">
      <c r="A368" s="49" t="s">
        <v>754</v>
      </c>
      <c r="B368" s="50">
        <v>44012.0</v>
      </c>
      <c r="C368" s="49" t="s">
        <v>69</v>
      </c>
      <c r="D368" s="49">
        <v>0.0</v>
      </c>
    </row>
    <row r="369" ht="15.0" hidden="1" customHeight="1">
      <c r="A369" s="49" t="s">
        <v>591</v>
      </c>
      <c r="B369" s="50">
        <v>44012.0</v>
      </c>
      <c r="C369" s="49" t="s">
        <v>69</v>
      </c>
      <c r="D369" s="49">
        <v>0.0</v>
      </c>
    </row>
    <row r="370" ht="15.0" hidden="1" customHeight="1">
      <c r="A370" s="49" t="s">
        <v>759</v>
      </c>
      <c r="B370" s="50">
        <v>44012.0</v>
      </c>
      <c r="C370" s="49" t="s">
        <v>69</v>
      </c>
      <c r="D370" s="49">
        <v>0.0</v>
      </c>
    </row>
    <row r="371" ht="15.0" hidden="1" customHeight="1">
      <c r="A371" s="49" t="s">
        <v>596</v>
      </c>
      <c r="B371" s="50">
        <v>44012.0</v>
      </c>
      <c r="C371" s="49" t="s">
        <v>69</v>
      </c>
      <c r="D371" s="49">
        <v>0.0</v>
      </c>
    </row>
    <row r="372" ht="15.0" hidden="1" customHeight="1">
      <c r="A372" s="49" t="s">
        <v>602</v>
      </c>
      <c r="B372" s="50">
        <v>44012.0</v>
      </c>
      <c r="C372" s="49" t="s">
        <v>69</v>
      </c>
      <c r="D372" s="49">
        <v>0.0</v>
      </c>
    </row>
    <row r="373" ht="15.0" hidden="1" customHeight="1">
      <c r="A373" s="49" t="s">
        <v>607</v>
      </c>
      <c r="B373" s="50">
        <v>44012.0</v>
      </c>
      <c r="C373" s="49" t="s">
        <v>69</v>
      </c>
      <c r="D373" s="49">
        <v>0.0</v>
      </c>
    </row>
    <row r="374" ht="15.0" hidden="1" customHeight="1">
      <c r="A374" s="49" t="s">
        <v>612</v>
      </c>
      <c r="B374" s="50">
        <v>44012.0</v>
      </c>
      <c r="C374" s="49" t="s">
        <v>69</v>
      </c>
      <c r="D374" s="49">
        <v>0.0</v>
      </c>
    </row>
    <row r="375" ht="15.0" hidden="1" customHeight="1">
      <c r="A375" s="49" t="s">
        <v>617</v>
      </c>
      <c r="B375" s="50">
        <v>44012.0</v>
      </c>
      <c r="C375" s="49" t="s">
        <v>69</v>
      </c>
      <c r="D375" s="49">
        <v>0.0</v>
      </c>
    </row>
    <row r="376" ht="15.0" hidden="1" customHeight="1">
      <c r="A376" s="49" t="s">
        <v>622</v>
      </c>
      <c r="B376" s="50">
        <v>44012.0</v>
      </c>
      <c r="C376" s="49" t="s">
        <v>69</v>
      </c>
      <c r="D376" s="49">
        <v>0.0</v>
      </c>
    </row>
    <row r="377" ht="15.0" hidden="1" customHeight="1">
      <c r="A377" s="49" t="s">
        <v>627</v>
      </c>
      <c r="B377" s="50">
        <v>44012.0</v>
      </c>
      <c r="C377" s="49" t="s">
        <v>69</v>
      </c>
      <c r="D377" s="49">
        <v>0.0</v>
      </c>
    </row>
    <row r="378" ht="15.0" hidden="1" customHeight="1">
      <c r="A378" s="49" t="s">
        <v>631</v>
      </c>
      <c r="B378" s="50">
        <v>44012.0</v>
      </c>
      <c r="C378" s="49" t="s">
        <v>69</v>
      </c>
      <c r="D378" s="49">
        <v>0.0</v>
      </c>
    </row>
    <row r="379" ht="15.0" hidden="1" customHeight="1">
      <c r="A379" s="49" t="s">
        <v>636</v>
      </c>
      <c r="B379" s="50">
        <v>44012.0</v>
      </c>
      <c r="C379" s="49" t="s">
        <v>69</v>
      </c>
      <c r="D379" s="49">
        <v>0.0</v>
      </c>
    </row>
    <row r="380" ht="15.0" hidden="1" customHeight="1">
      <c r="A380" s="49" t="s">
        <v>640</v>
      </c>
      <c r="B380" s="50">
        <v>44012.0</v>
      </c>
      <c r="C380" s="49" t="s">
        <v>69</v>
      </c>
      <c r="D380" s="49">
        <v>0.0</v>
      </c>
    </row>
    <row r="381" ht="15.0" hidden="1" customHeight="1">
      <c r="A381" s="49" t="s">
        <v>644</v>
      </c>
      <c r="B381" s="50">
        <v>44012.0</v>
      </c>
      <c r="C381" s="49" t="s">
        <v>69</v>
      </c>
      <c r="D381" s="49">
        <v>0.0</v>
      </c>
    </row>
    <row r="382" ht="15.0" hidden="1" customHeight="1">
      <c r="A382" s="49" t="s">
        <v>649</v>
      </c>
      <c r="B382" s="50">
        <v>44012.0</v>
      </c>
      <c r="C382" s="49" t="s">
        <v>69</v>
      </c>
      <c r="D382" s="49">
        <v>0.0</v>
      </c>
    </row>
    <row r="383" ht="15.0" hidden="1" customHeight="1">
      <c r="A383" s="49" t="s">
        <v>654</v>
      </c>
      <c r="B383" s="50">
        <v>44012.0</v>
      </c>
      <c r="C383" s="49" t="s">
        <v>69</v>
      </c>
      <c r="D383" s="49">
        <v>0.0</v>
      </c>
    </row>
    <row r="384" ht="15.0" hidden="1" customHeight="1">
      <c r="A384" s="49" t="s">
        <v>659</v>
      </c>
      <c r="B384" s="50">
        <v>44012.0</v>
      </c>
      <c r="C384" s="49" t="s">
        <v>69</v>
      </c>
      <c r="D384" s="49">
        <v>0.0</v>
      </c>
    </row>
    <row r="385" ht="15.0" hidden="1" customHeight="1">
      <c r="A385" s="49" t="s">
        <v>664</v>
      </c>
      <c r="B385" s="50">
        <v>44012.0</v>
      </c>
      <c r="C385" s="49" t="s">
        <v>69</v>
      </c>
      <c r="D385" s="49">
        <v>0.0</v>
      </c>
    </row>
    <row r="386" ht="15.0" hidden="1" customHeight="1">
      <c r="A386" s="49" t="s">
        <v>669</v>
      </c>
      <c r="B386" s="50">
        <v>44012.0</v>
      </c>
      <c r="C386" s="49" t="s">
        <v>69</v>
      </c>
      <c r="D386" s="49">
        <v>0.0</v>
      </c>
    </row>
    <row r="387" ht="15.0" hidden="1" customHeight="1">
      <c r="A387" s="49" t="s">
        <v>674</v>
      </c>
      <c r="B387" s="50">
        <v>44012.0</v>
      </c>
      <c r="C387" s="49" t="s">
        <v>69</v>
      </c>
      <c r="D387" s="49">
        <v>0.0</v>
      </c>
    </row>
    <row r="388" ht="15.0" hidden="1" customHeight="1">
      <c r="A388" s="49" t="s">
        <v>679</v>
      </c>
      <c r="B388" s="50">
        <v>44012.0</v>
      </c>
      <c r="C388" s="49" t="s">
        <v>69</v>
      </c>
      <c r="D388" s="49">
        <v>0.0</v>
      </c>
    </row>
    <row r="389" ht="15.0" hidden="1" customHeight="1">
      <c r="A389" s="49" t="s">
        <v>684</v>
      </c>
      <c r="B389" s="50">
        <v>44012.0</v>
      </c>
      <c r="C389" s="49" t="s">
        <v>69</v>
      </c>
      <c r="D389" s="49">
        <v>0.0</v>
      </c>
    </row>
    <row r="390" ht="15.0" hidden="1" customHeight="1">
      <c r="A390" s="49" t="s">
        <v>689</v>
      </c>
      <c r="B390" s="50">
        <v>44012.0</v>
      </c>
      <c r="C390" s="49" t="s">
        <v>69</v>
      </c>
      <c r="D390" s="49">
        <v>0.0</v>
      </c>
    </row>
    <row r="391" ht="15.0" hidden="1" customHeight="1">
      <c r="A391" s="49" t="s">
        <v>694</v>
      </c>
      <c r="B391" s="50">
        <v>44012.0</v>
      </c>
      <c r="C391" s="49" t="s">
        <v>69</v>
      </c>
      <c r="D391" s="49">
        <v>0.0</v>
      </c>
    </row>
    <row r="392" ht="15.0" hidden="1" customHeight="1">
      <c r="A392" s="49" t="s">
        <v>699</v>
      </c>
      <c r="B392" s="50">
        <v>44012.0</v>
      </c>
      <c r="C392" s="49" t="s">
        <v>69</v>
      </c>
      <c r="D392" s="49">
        <v>0.0</v>
      </c>
    </row>
    <row r="393" ht="15.0" hidden="1" customHeight="1">
      <c r="A393" s="49" t="s">
        <v>705</v>
      </c>
      <c r="B393" s="50">
        <v>44012.0</v>
      </c>
      <c r="C393" s="49" t="s">
        <v>69</v>
      </c>
      <c r="D393" s="49">
        <v>0.0</v>
      </c>
    </row>
    <row r="394" ht="15.0" hidden="1" customHeight="1">
      <c r="A394" s="49" t="s">
        <v>710</v>
      </c>
      <c r="B394" s="50">
        <v>44012.0</v>
      </c>
      <c r="C394" s="49" t="s">
        <v>69</v>
      </c>
      <c r="D394" s="49">
        <v>0.0</v>
      </c>
    </row>
    <row r="395" ht="15.0" hidden="1" customHeight="1">
      <c r="A395" s="49" t="s">
        <v>715</v>
      </c>
      <c r="B395" s="50">
        <v>44012.0</v>
      </c>
      <c r="C395" s="49" t="s">
        <v>69</v>
      </c>
      <c r="D395" s="49">
        <v>0.0</v>
      </c>
    </row>
    <row r="396" ht="15.0" hidden="1" customHeight="1">
      <c r="A396" s="49" t="s">
        <v>765</v>
      </c>
      <c r="B396" s="50">
        <v>44012.0</v>
      </c>
      <c r="C396" s="49" t="s">
        <v>69</v>
      </c>
      <c r="D396" s="49">
        <v>0.0</v>
      </c>
    </row>
    <row r="397" ht="15.0" hidden="1" customHeight="1">
      <c r="A397" s="49" t="s">
        <v>720</v>
      </c>
      <c r="B397" s="50">
        <v>44012.0</v>
      </c>
      <c r="C397" s="49" t="s">
        <v>69</v>
      </c>
      <c r="D397" s="49">
        <v>0.0</v>
      </c>
    </row>
    <row r="398" ht="15.0" hidden="1" customHeight="1">
      <c r="A398" s="49" t="s">
        <v>725</v>
      </c>
      <c r="B398" s="50">
        <v>44012.0</v>
      </c>
      <c r="C398" s="49" t="s">
        <v>69</v>
      </c>
      <c r="D398" s="49">
        <v>0.0</v>
      </c>
    </row>
    <row r="399" ht="15.0" hidden="1" customHeight="1">
      <c r="A399" s="49" t="s">
        <v>730</v>
      </c>
      <c r="B399" s="50">
        <v>44012.0</v>
      </c>
      <c r="C399" s="49" t="s">
        <v>69</v>
      </c>
      <c r="D399" s="49">
        <v>0.0</v>
      </c>
    </row>
    <row r="400" ht="15.0" hidden="1" customHeight="1">
      <c r="A400" s="49" t="s">
        <v>734</v>
      </c>
      <c r="B400" s="50">
        <v>44012.0</v>
      </c>
      <c r="C400" s="49" t="s">
        <v>69</v>
      </c>
      <c r="D400" s="49">
        <v>0.0</v>
      </c>
    </row>
    <row r="401" ht="15.0" hidden="1" customHeight="1">
      <c r="A401" s="49" t="s">
        <v>739</v>
      </c>
      <c r="B401" s="50">
        <v>44012.0</v>
      </c>
      <c r="C401" s="49" t="s">
        <v>69</v>
      </c>
      <c r="D401" s="49">
        <v>0.0</v>
      </c>
    </row>
    <row r="402" ht="15.0" hidden="1" customHeight="1">
      <c r="A402" s="49" t="s">
        <v>744</v>
      </c>
      <c r="B402" s="50">
        <v>44012.0</v>
      </c>
      <c r="C402" s="49" t="s">
        <v>69</v>
      </c>
      <c r="D402" s="49">
        <v>0.0</v>
      </c>
    </row>
    <row r="403" ht="15.0" hidden="1" customHeight="1">
      <c r="A403" s="49" t="s">
        <v>749</v>
      </c>
      <c r="B403" s="50">
        <v>44012.0</v>
      </c>
      <c r="C403" s="49" t="s">
        <v>69</v>
      </c>
      <c r="D403" s="49">
        <v>0.0</v>
      </c>
    </row>
    <row r="404" ht="15.0" customHeight="1">
      <c r="A404" s="49" t="s">
        <v>776</v>
      </c>
      <c r="B404" s="50">
        <v>44012.0</v>
      </c>
      <c r="C404" s="49" t="s">
        <v>780</v>
      </c>
      <c r="D404" s="49">
        <v>0.0</v>
      </c>
    </row>
    <row r="405" ht="15.0" hidden="1" customHeight="1">
      <c r="A405" s="49" t="s">
        <v>778</v>
      </c>
      <c r="B405" s="50">
        <v>44012.0</v>
      </c>
      <c r="C405" s="49" t="s">
        <v>780</v>
      </c>
      <c r="D405" s="49">
        <v>0.0</v>
      </c>
    </row>
    <row r="406" ht="15.0" hidden="1" customHeight="1">
      <c r="A406" s="49" t="s">
        <v>92</v>
      </c>
      <c r="B406" s="50">
        <v>44012.0</v>
      </c>
      <c r="C406" s="49" t="s">
        <v>780</v>
      </c>
      <c r="D406" s="49">
        <v>0.0</v>
      </c>
    </row>
    <row r="407" ht="15.0" hidden="1" customHeight="1">
      <c r="A407" s="49" t="s">
        <v>97</v>
      </c>
      <c r="B407" s="50">
        <v>44012.0</v>
      </c>
      <c r="C407" s="49" t="s">
        <v>780</v>
      </c>
      <c r="D407" s="49">
        <v>0.0</v>
      </c>
    </row>
    <row r="408" ht="15.0" hidden="1" customHeight="1">
      <c r="A408" s="49" t="s">
        <v>102</v>
      </c>
      <c r="B408" s="50">
        <v>44012.0</v>
      </c>
      <c r="C408" s="49" t="s">
        <v>780</v>
      </c>
      <c r="D408" s="49">
        <v>0.0</v>
      </c>
    </row>
    <row r="409" ht="15.0" hidden="1" customHeight="1">
      <c r="A409" s="49" t="s">
        <v>106</v>
      </c>
      <c r="B409" s="50">
        <v>44012.0</v>
      </c>
      <c r="C409" s="49" t="s">
        <v>780</v>
      </c>
      <c r="D409" s="49">
        <v>0.0</v>
      </c>
    </row>
    <row r="410" ht="15.0" hidden="1" customHeight="1">
      <c r="A410" s="49" t="s">
        <v>111</v>
      </c>
      <c r="B410" s="50">
        <v>44012.0</v>
      </c>
      <c r="C410" s="49" t="s">
        <v>780</v>
      </c>
      <c r="D410" s="49">
        <v>0.0</v>
      </c>
    </row>
    <row r="411" ht="15.0" hidden="1" customHeight="1">
      <c r="A411" s="49" t="s">
        <v>116</v>
      </c>
      <c r="B411" s="50">
        <v>44012.0</v>
      </c>
      <c r="C411" s="49" t="s">
        <v>780</v>
      </c>
      <c r="D411" s="49">
        <v>0.0</v>
      </c>
    </row>
    <row r="412" ht="15.0" hidden="1" customHeight="1">
      <c r="A412" s="49" t="s">
        <v>120</v>
      </c>
      <c r="B412" s="50">
        <v>44012.0</v>
      </c>
      <c r="C412" s="49" t="s">
        <v>780</v>
      </c>
      <c r="D412" s="49">
        <v>0.0</v>
      </c>
    </row>
    <row r="413" ht="15.0" hidden="1" customHeight="1">
      <c r="A413" s="49" t="s">
        <v>125</v>
      </c>
      <c r="B413" s="50">
        <v>44012.0</v>
      </c>
      <c r="C413" s="49" t="s">
        <v>780</v>
      </c>
      <c r="D413" s="49">
        <v>0.0</v>
      </c>
    </row>
    <row r="414" ht="15.0" hidden="1" customHeight="1">
      <c r="A414" s="49" t="s">
        <v>130</v>
      </c>
      <c r="B414" s="50">
        <v>44012.0</v>
      </c>
      <c r="C414" s="49" t="s">
        <v>780</v>
      </c>
      <c r="D414" s="49">
        <v>0.0</v>
      </c>
    </row>
    <row r="415" ht="15.0" hidden="1" customHeight="1">
      <c r="A415" s="49" t="s">
        <v>137</v>
      </c>
      <c r="B415" s="50">
        <v>44012.0</v>
      </c>
      <c r="C415" s="49" t="s">
        <v>780</v>
      </c>
      <c r="D415" s="49">
        <v>0.0</v>
      </c>
    </row>
    <row r="416" ht="15.0" hidden="1" customHeight="1">
      <c r="A416" s="49" t="s">
        <v>142</v>
      </c>
      <c r="B416" s="50">
        <v>44012.0</v>
      </c>
      <c r="C416" s="49" t="s">
        <v>780</v>
      </c>
      <c r="D416" s="49">
        <v>0.0</v>
      </c>
    </row>
    <row r="417" ht="15.0" hidden="1" customHeight="1">
      <c r="A417" s="49" t="s">
        <v>147</v>
      </c>
      <c r="B417" s="50">
        <v>44012.0</v>
      </c>
      <c r="C417" s="49" t="s">
        <v>780</v>
      </c>
      <c r="D417" s="49">
        <v>0.0</v>
      </c>
    </row>
    <row r="418" ht="15.0" hidden="1" customHeight="1">
      <c r="A418" s="49" t="s">
        <v>152</v>
      </c>
      <c r="B418" s="50">
        <v>44012.0</v>
      </c>
      <c r="C418" s="49" t="s">
        <v>780</v>
      </c>
      <c r="D418" s="49">
        <v>0.0</v>
      </c>
    </row>
    <row r="419" ht="15.0" hidden="1" customHeight="1">
      <c r="A419" s="49" t="s">
        <v>157</v>
      </c>
      <c r="B419" s="50">
        <v>44012.0</v>
      </c>
      <c r="C419" s="49" t="s">
        <v>780</v>
      </c>
      <c r="D419" s="49">
        <v>0.0</v>
      </c>
    </row>
    <row r="420" ht="15.0" hidden="1" customHeight="1">
      <c r="A420" s="49" t="s">
        <v>162</v>
      </c>
      <c r="B420" s="50">
        <v>44012.0</v>
      </c>
      <c r="C420" s="49" t="s">
        <v>780</v>
      </c>
      <c r="D420" s="49">
        <v>0.0</v>
      </c>
    </row>
    <row r="421" ht="15.0" hidden="1" customHeight="1">
      <c r="A421" s="49" t="s">
        <v>167</v>
      </c>
      <c r="B421" s="50">
        <v>44012.0</v>
      </c>
      <c r="C421" s="49" t="s">
        <v>780</v>
      </c>
      <c r="D421" s="49">
        <v>0.0</v>
      </c>
    </row>
    <row r="422" ht="15.0" hidden="1" customHeight="1">
      <c r="A422" s="49" t="s">
        <v>172</v>
      </c>
      <c r="B422" s="50">
        <v>44012.0</v>
      </c>
      <c r="C422" s="49" t="s">
        <v>780</v>
      </c>
      <c r="D422" s="49">
        <v>0.0</v>
      </c>
    </row>
    <row r="423" ht="15.0" hidden="1" customHeight="1">
      <c r="A423" s="49" t="s">
        <v>177</v>
      </c>
      <c r="B423" s="50">
        <v>44012.0</v>
      </c>
      <c r="C423" s="49" t="s">
        <v>780</v>
      </c>
      <c r="D423" s="49">
        <v>0.0</v>
      </c>
    </row>
    <row r="424" ht="15.0" hidden="1" customHeight="1">
      <c r="A424" s="49" t="s">
        <v>182</v>
      </c>
      <c r="B424" s="50">
        <v>44012.0</v>
      </c>
      <c r="C424" s="49" t="s">
        <v>780</v>
      </c>
      <c r="D424" s="49">
        <v>0.0</v>
      </c>
    </row>
    <row r="425" ht="15.0" hidden="1" customHeight="1">
      <c r="A425" s="49" t="s">
        <v>187</v>
      </c>
      <c r="B425" s="50">
        <v>44012.0</v>
      </c>
      <c r="C425" s="49" t="s">
        <v>780</v>
      </c>
      <c r="D425" s="49">
        <v>0.0</v>
      </c>
    </row>
    <row r="426" ht="15.0" hidden="1" customHeight="1">
      <c r="A426" s="49" t="s">
        <v>192</v>
      </c>
      <c r="B426" s="50">
        <v>44012.0</v>
      </c>
      <c r="C426" s="49" t="s">
        <v>780</v>
      </c>
      <c r="D426" s="49">
        <v>0.0</v>
      </c>
    </row>
    <row r="427" ht="15.0" hidden="1" customHeight="1">
      <c r="A427" s="49" t="s">
        <v>197</v>
      </c>
      <c r="B427" s="50">
        <v>44012.0</v>
      </c>
      <c r="C427" s="49" t="s">
        <v>780</v>
      </c>
      <c r="D427" s="49">
        <v>0.0</v>
      </c>
    </row>
    <row r="428" ht="15.0" hidden="1" customHeight="1">
      <c r="A428" s="49" t="s">
        <v>202</v>
      </c>
      <c r="B428" s="50">
        <v>44012.0</v>
      </c>
      <c r="C428" s="49" t="s">
        <v>780</v>
      </c>
      <c r="D428" s="49">
        <v>0.0</v>
      </c>
    </row>
    <row r="429" ht="15.0" hidden="1" customHeight="1">
      <c r="A429" s="49" t="s">
        <v>206</v>
      </c>
      <c r="B429" s="50">
        <v>44012.0</v>
      </c>
      <c r="C429" s="49" t="s">
        <v>780</v>
      </c>
      <c r="D429" s="49">
        <v>0.0</v>
      </c>
    </row>
    <row r="430" ht="15.0" hidden="1" customHeight="1">
      <c r="A430" s="49" t="s">
        <v>211</v>
      </c>
      <c r="B430" s="50">
        <v>44012.0</v>
      </c>
      <c r="C430" s="49" t="s">
        <v>780</v>
      </c>
      <c r="D430" s="49">
        <v>0.0</v>
      </c>
    </row>
    <row r="431" ht="15.0" hidden="1" customHeight="1">
      <c r="A431" s="49" t="s">
        <v>779</v>
      </c>
      <c r="B431" s="50">
        <v>44012.0</v>
      </c>
      <c r="C431" s="49" t="s">
        <v>780</v>
      </c>
      <c r="D431" s="49">
        <v>0.0</v>
      </c>
    </row>
    <row r="432" ht="15.0" hidden="1" customHeight="1">
      <c r="A432" s="49" t="s">
        <v>221</v>
      </c>
      <c r="B432" s="50">
        <v>44012.0</v>
      </c>
      <c r="C432" s="49" t="s">
        <v>780</v>
      </c>
      <c r="D432" s="49">
        <v>0.0</v>
      </c>
    </row>
    <row r="433" ht="15.0" hidden="1" customHeight="1">
      <c r="A433" s="49" t="s">
        <v>226</v>
      </c>
      <c r="B433" s="50">
        <v>44012.0</v>
      </c>
      <c r="C433" s="49" t="s">
        <v>780</v>
      </c>
      <c r="D433" s="49">
        <v>0.0</v>
      </c>
    </row>
    <row r="434" ht="15.0" hidden="1" customHeight="1">
      <c r="A434" s="49" t="s">
        <v>231</v>
      </c>
      <c r="B434" s="50">
        <v>44012.0</v>
      </c>
      <c r="C434" s="49" t="s">
        <v>780</v>
      </c>
      <c r="D434" s="49">
        <v>0.0</v>
      </c>
    </row>
    <row r="435" ht="15.0" hidden="1" customHeight="1">
      <c r="A435" s="49" t="s">
        <v>236</v>
      </c>
      <c r="B435" s="50">
        <v>44012.0</v>
      </c>
      <c r="C435" s="49" t="s">
        <v>780</v>
      </c>
      <c r="D435" s="49">
        <v>0.0</v>
      </c>
    </row>
    <row r="436" ht="15.0" hidden="1" customHeight="1">
      <c r="A436" s="49" t="s">
        <v>242</v>
      </c>
      <c r="B436" s="50">
        <v>44012.0</v>
      </c>
      <c r="C436" s="49" t="s">
        <v>780</v>
      </c>
      <c r="D436" s="49">
        <v>0.0</v>
      </c>
    </row>
    <row r="437" ht="15.0" hidden="1" customHeight="1">
      <c r="A437" s="49" t="s">
        <v>248</v>
      </c>
      <c r="B437" s="50">
        <v>44012.0</v>
      </c>
      <c r="C437" s="49" t="s">
        <v>780</v>
      </c>
      <c r="D437" s="49">
        <v>0.0</v>
      </c>
    </row>
    <row r="438" ht="15.0" hidden="1" customHeight="1">
      <c r="A438" s="49" t="s">
        <v>253</v>
      </c>
      <c r="B438" s="50">
        <v>44012.0</v>
      </c>
      <c r="C438" s="49" t="s">
        <v>780</v>
      </c>
      <c r="D438" s="49">
        <v>0.0</v>
      </c>
    </row>
    <row r="439" ht="15.0" hidden="1" customHeight="1">
      <c r="A439" s="49" t="s">
        <v>258</v>
      </c>
      <c r="B439" s="50">
        <v>44012.0</v>
      </c>
      <c r="C439" s="49" t="s">
        <v>780</v>
      </c>
      <c r="D439" s="49">
        <v>0.0</v>
      </c>
    </row>
    <row r="440" ht="15.0" hidden="1" customHeight="1">
      <c r="A440" s="49" t="s">
        <v>263</v>
      </c>
      <c r="B440" s="50">
        <v>44012.0</v>
      </c>
      <c r="C440" s="49" t="s">
        <v>780</v>
      </c>
      <c r="D440" s="49">
        <v>0.0</v>
      </c>
    </row>
    <row r="441" ht="15.0" hidden="1" customHeight="1">
      <c r="A441" s="49" t="s">
        <v>268</v>
      </c>
      <c r="B441" s="50">
        <v>44012.0</v>
      </c>
      <c r="C441" s="49" t="s">
        <v>780</v>
      </c>
      <c r="D441" s="49">
        <v>0.0</v>
      </c>
    </row>
    <row r="442" ht="15.0" hidden="1" customHeight="1">
      <c r="A442" s="49" t="s">
        <v>273</v>
      </c>
      <c r="B442" s="50">
        <v>44012.0</v>
      </c>
      <c r="C442" s="49" t="s">
        <v>780</v>
      </c>
      <c r="D442" s="49">
        <v>0.0</v>
      </c>
    </row>
    <row r="443" ht="15.0" hidden="1" customHeight="1">
      <c r="A443" s="49" t="s">
        <v>278</v>
      </c>
      <c r="B443" s="50">
        <v>44012.0</v>
      </c>
      <c r="C443" s="49" t="s">
        <v>780</v>
      </c>
      <c r="D443" s="49">
        <v>0.0</v>
      </c>
    </row>
    <row r="444" ht="15.0" hidden="1" customHeight="1">
      <c r="A444" s="49" t="s">
        <v>283</v>
      </c>
      <c r="B444" s="50">
        <v>44012.0</v>
      </c>
      <c r="C444" s="49" t="s">
        <v>780</v>
      </c>
      <c r="D444" s="49">
        <v>0.0</v>
      </c>
    </row>
    <row r="445" ht="15.0" hidden="1" customHeight="1">
      <c r="A445" s="49" t="s">
        <v>288</v>
      </c>
      <c r="B445" s="50">
        <v>44012.0</v>
      </c>
      <c r="C445" s="49" t="s">
        <v>780</v>
      </c>
      <c r="D445" s="49">
        <v>0.0</v>
      </c>
    </row>
    <row r="446" ht="15.0" hidden="1" customHeight="1">
      <c r="A446" s="49" t="s">
        <v>293</v>
      </c>
      <c r="B446" s="50">
        <v>44012.0</v>
      </c>
      <c r="C446" s="49" t="s">
        <v>780</v>
      </c>
      <c r="D446" s="49">
        <v>0.0</v>
      </c>
    </row>
    <row r="447" ht="15.0" hidden="1" customHeight="1">
      <c r="A447" s="49" t="s">
        <v>298</v>
      </c>
      <c r="B447" s="50">
        <v>44012.0</v>
      </c>
      <c r="C447" s="49" t="s">
        <v>780</v>
      </c>
      <c r="D447" s="49">
        <v>0.0</v>
      </c>
    </row>
    <row r="448" ht="15.0" hidden="1" customHeight="1">
      <c r="A448" s="49" t="s">
        <v>303</v>
      </c>
      <c r="B448" s="50">
        <v>44012.0</v>
      </c>
      <c r="C448" s="49" t="s">
        <v>780</v>
      </c>
      <c r="D448" s="49">
        <v>0.0</v>
      </c>
    </row>
    <row r="449" ht="15.0" hidden="1" customHeight="1">
      <c r="A449" s="49" t="s">
        <v>307</v>
      </c>
      <c r="B449" s="50">
        <v>44012.0</v>
      </c>
      <c r="C449" s="49" t="s">
        <v>780</v>
      </c>
      <c r="D449" s="49">
        <v>0.0</v>
      </c>
    </row>
    <row r="450" ht="15.0" hidden="1" customHeight="1">
      <c r="A450" s="49" t="s">
        <v>313</v>
      </c>
      <c r="B450" s="50">
        <v>44012.0</v>
      </c>
      <c r="C450" s="49" t="s">
        <v>780</v>
      </c>
      <c r="D450" s="49">
        <v>0.0</v>
      </c>
    </row>
    <row r="451" ht="15.0" hidden="1" customHeight="1">
      <c r="A451" s="49" t="s">
        <v>318</v>
      </c>
      <c r="B451" s="50">
        <v>44012.0</v>
      </c>
      <c r="C451" s="49" t="s">
        <v>780</v>
      </c>
      <c r="D451" s="49">
        <v>0.0</v>
      </c>
    </row>
    <row r="452" ht="15.0" hidden="1" customHeight="1">
      <c r="A452" s="49" t="s">
        <v>323</v>
      </c>
      <c r="B452" s="50">
        <v>44012.0</v>
      </c>
      <c r="C452" s="49" t="s">
        <v>780</v>
      </c>
      <c r="D452" s="49">
        <v>0.0</v>
      </c>
    </row>
    <row r="453" ht="15.0" hidden="1" customHeight="1">
      <c r="A453" s="49" t="s">
        <v>328</v>
      </c>
      <c r="B453" s="50">
        <v>44012.0</v>
      </c>
      <c r="C453" s="49" t="s">
        <v>780</v>
      </c>
      <c r="D453" s="49">
        <v>0.0</v>
      </c>
    </row>
    <row r="454" ht="15.0" hidden="1" customHeight="1">
      <c r="A454" s="49" t="s">
        <v>335</v>
      </c>
      <c r="B454" s="50">
        <v>44012.0</v>
      </c>
      <c r="C454" s="49" t="s">
        <v>780</v>
      </c>
      <c r="D454" s="49">
        <v>0.0</v>
      </c>
    </row>
    <row r="455" ht="15.0" hidden="1" customHeight="1">
      <c r="A455" s="49" t="s">
        <v>340</v>
      </c>
      <c r="B455" s="50">
        <v>44012.0</v>
      </c>
      <c r="C455" s="49" t="s">
        <v>780</v>
      </c>
      <c r="D455" s="49">
        <v>0.0</v>
      </c>
    </row>
    <row r="456" ht="15.0" hidden="1" customHeight="1">
      <c r="A456" s="49" t="s">
        <v>345</v>
      </c>
      <c r="B456" s="50">
        <v>44012.0</v>
      </c>
      <c r="C456" s="49" t="s">
        <v>780</v>
      </c>
      <c r="D456" s="49">
        <v>0.0</v>
      </c>
    </row>
    <row r="457" ht="15.0" hidden="1" customHeight="1">
      <c r="A457" s="49" t="s">
        <v>350</v>
      </c>
      <c r="B457" s="50">
        <v>44012.0</v>
      </c>
      <c r="C457" s="49" t="s">
        <v>780</v>
      </c>
      <c r="D457" s="49">
        <v>0.0</v>
      </c>
    </row>
    <row r="458" ht="15.0" hidden="1" customHeight="1">
      <c r="A458" s="49" t="s">
        <v>355</v>
      </c>
      <c r="B458" s="50">
        <v>44012.0</v>
      </c>
      <c r="C458" s="49" t="s">
        <v>780</v>
      </c>
      <c r="D458" s="49">
        <v>0.0</v>
      </c>
    </row>
    <row r="459" ht="15.0" hidden="1" customHeight="1">
      <c r="A459" s="49" t="s">
        <v>360</v>
      </c>
      <c r="B459" s="50">
        <v>44012.0</v>
      </c>
      <c r="C459" s="49" t="s">
        <v>780</v>
      </c>
      <c r="D459" s="49">
        <v>0.0</v>
      </c>
    </row>
    <row r="460" ht="15.0" hidden="1" customHeight="1">
      <c r="A460" s="49" t="s">
        <v>365</v>
      </c>
      <c r="B460" s="50">
        <v>44012.0</v>
      </c>
      <c r="C460" s="49" t="s">
        <v>780</v>
      </c>
      <c r="D460" s="49">
        <v>0.0</v>
      </c>
    </row>
    <row r="461" ht="15.0" hidden="1" customHeight="1">
      <c r="A461" s="49" t="s">
        <v>370</v>
      </c>
      <c r="B461" s="50">
        <v>44012.0</v>
      </c>
      <c r="C461" s="49" t="s">
        <v>780</v>
      </c>
      <c r="D461" s="49">
        <v>0.0</v>
      </c>
    </row>
    <row r="462" ht="15.0" hidden="1" customHeight="1">
      <c r="A462" s="49" t="s">
        <v>375</v>
      </c>
      <c r="B462" s="50">
        <v>44012.0</v>
      </c>
      <c r="C462" s="49" t="s">
        <v>780</v>
      </c>
      <c r="D462" s="49">
        <v>0.0</v>
      </c>
    </row>
    <row r="463" ht="15.0" hidden="1" customHeight="1">
      <c r="A463" s="49" t="s">
        <v>380</v>
      </c>
      <c r="B463" s="50">
        <v>44012.0</v>
      </c>
      <c r="C463" s="49" t="s">
        <v>780</v>
      </c>
      <c r="D463" s="49">
        <v>0.0</v>
      </c>
    </row>
    <row r="464" ht="15.0" hidden="1" customHeight="1">
      <c r="A464" s="49" t="s">
        <v>385</v>
      </c>
      <c r="B464" s="50">
        <v>44012.0</v>
      </c>
      <c r="C464" s="49" t="s">
        <v>780</v>
      </c>
      <c r="D464" s="49">
        <v>0.0</v>
      </c>
    </row>
    <row r="465" ht="15.0" hidden="1" customHeight="1">
      <c r="A465" s="49" t="s">
        <v>390</v>
      </c>
      <c r="B465" s="50">
        <v>44012.0</v>
      </c>
      <c r="C465" s="49" t="s">
        <v>780</v>
      </c>
      <c r="D465" s="49">
        <v>0.0</v>
      </c>
    </row>
    <row r="466" ht="15.0" hidden="1" customHeight="1">
      <c r="A466" s="49" t="s">
        <v>395</v>
      </c>
      <c r="B466" s="50">
        <v>44012.0</v>
      </c>
      <c r="C466" s="49" t="s">
        <v>780</v>
      </c>
      <c r="D466" s="49">
        <v>0.0</v>
      </c>
    </row>
    <row r="467" ht="15.0" hidden="1" customHeight="1">
      <c r="A467" s="49" t="s">
        <v>400</v>
      </c>
      <c r="B467" s="50">
        <v>44012.0</v>
      </c>
      <c r="C467" s="49" t="s">
        <v>780</v>
      </c>
      <c r="D467" s="49">
        <v>0.0</v>
      </c>
    </row>
    <row r="468" ht="15.0" hidden="1" customHeight="1">
      <c r="A468" s="49" t="s">
        <v>405</v>
      </c>
      <c r="B468" s="50">
        <v>44012.0</v>
      </c>
      <c r="C468" s="49" t="s">
        <v>780</v>
      </c>
      <c r="D468" s="49">
        <v>0.0</v>
      </c>
    </row>
    <row r="469" ht="15.0" hidden="1" customHeight="1">
      <c r="A469" s="49" t="s">
        <v>410</v>
      </c>
      <c r="B469" s="50">
        <v>44012.0</v>
      </c>
      <c r="C469" s="49" t="s">
        <v>780</v>
      </c>
      <c r="D469" s="49">
        <v>0.0</v>
      </c>
    </row>
    <row r="470" ht="15.0" hidden="1" customHeight="1">
      <c r="A470" s="49" t="s">
        <v>415</v>
      </c>
      <c r="B470" s="50">
        <v>44012.0</v>
      </c>
      <c r="C470" s="49" t="s">
        <v>780</v>
      </c>
      <c r="D470" s="49">
        <v>0.0</v>
      </c>
    </row>
    <row r="471" ht="15.0" hidden="1" customHeight="1">
      <c r="A471" s="49" t="s">
        <v>420</v>
      </c>
      <c r="B471" s="50">
        <v>44012.0</v>
      </c>
      <c r="C471" s="49" t="s">
        <v>780</v>
      </c>
      <c r="D471" s="49">
        <v>0.0</v>
      </c>
    </row>
    <row r="472" ht="15.0" hidden="1" customHeight="1">
      <c r="A472" s="49" t="s">
        <v>425</v>
      </c>
      <c r="B472" s="50">
        <v>44012.0</v>
      </c>
      <c r="C472" s="49" t="s">
        <v>780</v>
      </c>
      <c r="D472" s="49">
        <v>0.0</v>
      </c>
    </row>
    <row r="473" ht="15.0" hidden="1" customHeight="1">
      <c r="A473" s="49" t="s">
        <v>430</v>
      </c>
      <c r="B473" s="50">
        <v>44012.0</v>
      </c>
      <c r="C473" s="49" t="s">
        <v>780</v>
      </c>
      <c r="D473" s="49">
        <v>0.0</v>
      </c>
    </row>
    <row r="474" ht="15.0" hidden="1" customHeight="1">
      <c r="A474" s="49" t="s">
        <v>434</v>
      </c>
      <c r="B474" s="50">
        <v>44012.0</v>
      </c>
      <c r="C474" s="49" t="s">
        <v>780</v>
      </c>
      <c r="D474" s="49">
        <v>0.0</v>
      </c>
    </row>
    <row r="475" ht="15.0" hidden="1" customHeight="1">
      <c r="A475" s="49" t="s">
        <v>439</v>
      </c>
      <c r="B475" s="50">
        <v>44012.0</v>
      </c>
      <c r="C475" s="49" t="s">
        <v>780</v>
      </c>
      <c r="D475" s="49">
        <v>0.0</v>
      </c>
    </row>
    <row r="476" ht="15.0" hidden="1" customHeight="1">
      <c r="A476" s="49" t="s">
        <v>444</v>
      </c>
      <c r="B476" s="50">
        <v>44012.0</v>
      </c>
      <c r="C476" s="49" t="s">
        <v>780</v>
      </c>
      <c r="D476" s="49">
        <v>0.0</v>
      </c>
    </row>
    <row r="477" ht="15.0" hidden="1" customHeight="1">
      <c r="A477" s="49" t="s">
        <v>449</v>
      </c>
      <c r="B477" s="50">
        <v>44012.0</v>
      </c>
      <c r="C477" s="49" t="s">
        <v>780</v>
      </c>
      <c r="D477" s="49">
        <v>0.0</v>
      </c>
    </row>
    <row r="478" ht="15.0" hidden="1" customHeight="1">
      <c r="A478" s="49" t="s">
        <v>455</v>
      </c>
      <c r="B478" s="50">
        <v>44012.0</v>
      </c>
      <c r="C478" s="49" t="s">
        <v>780</v>
      </c>
      <c r="D478" s="49">
        <v>0.0</v>
      </c>
    </row>
    <row r="479" ht="15.0" hidden="1" customHeight="1">
      <c r="A479" s="49" t="s">
        <v>470</v>
      </c>
      <c r="B479" s="50">
        <v>44012.0</v>
      </c>
      <c r="C479" s="49" t="s">
        <v>780</v>
      </c>
      <c r="D479" s="49">
        <v>0.0</v>
      </c>
    </row>
    <row r="480" ht="15.0" hidden="1" customHeight="1">
      <c r="A480" s="49" t="s">
        <v>476</v>
      </c>
      <c r="B480" s="50">
        <v>44012.0</v>
      </c>
      <c r="C480" s="49" t="s">
        <v>780</v>
      </c>
      <c r="D480" s="49">
        <v>0.0</v>
      </c>
    </row>
    <row r="481" ht="15.0" hidden="1" customHeight="1">
      <c r="A481" s="49" t="s">
        <v>481</v>
      </c>
      <c r="B481" s="50">
        <v>44012.0</v>
      </c>
      <c r="C481" s="49" t="s">
        <v>780</v>
      </c>
      <c r="D481" s="49">
        <v>0.0</v>
      </c>
    </row>
    <row r="482" ht="15.0" hidden="1" customHeight="1">
      <c r="A482" s="49" t="s">
        <v>486</v>
      </c>
      <c r="B482" s="50">
        <v>44012.0</v>
      </c>
      <c r="C482" s="49" t="s">
        <v>780</v>
      </c>
      <c r="D482" s="49">
        <v>0.0</v>
      </c>
    </row>
    <row r="483" ht="15.0" hidden="1" customHeight="1">
      <c r="A483" s="49" t="s">
        <v>491</v>
      </c>
      <c r="B483" s="50">
        <v>44012.0</v>
      </c>
      <c r="C483" s="49" t="s">
        <v>780</v>
      </c>
      <c r="D483" s="49">
        <v>0.0</v>
      </c>
    </row>
    <row r="484" ht="15.0" hidden="1" customHeight="1">
      <c r="A484" s="49" t="s">
        <v>496</v>
      </c>
      <c r="B484" s="50">
        <v>44012.0</v>
      </c>
      <c r="C484" s="49" t="s">
        <v>780</v>
      </c>
      <c r="D484" s="49">
        <v>0.0</v>
      </c>
    </row>
    <row r="485" ht="15.0" hidden="1" customHeight="1">
      <c r="A485" s="49" t="s">
        <v>501</v>
      </c>
      <c r="B485" s="50">
        <v>44012.0</v>
      </c>
      <c r="C485" s="49" t="s">
        <v>780</v>
      </c>
      <c r="D485" s="49">
        <v>0.0</v>
      </c>
    </row>
    <row r="486" ht="15.0" hidden="1" customHeight="1">
      <c r="A486" s="49" t="s">
        <v>506</v>
      </c>
      <c r="B486" s="50">
        <v>44012.0</v>
      </c>
      <c r="C486" s="49" t="s">
        <v>780</v>
      </c>
      <c r="D486" s="49">
        <v>0.0</v>
      </c>
    </row>
    <row r="487" ht="15.0" hidden="1" customHeight="1">
      <c r="A487" s="49" t="s">
        <v>512</v>
      </c>
      <c r="B487" s="50">
        <v>44012.0</v>
      </c>
      <c r="C487" s="49" t="s">
        <v>780</v>
      </c>
      <c r="D487" s="49">
        <v>0.0</v>
      </c>
    </row>
    <row r="488" ht="15.0" hidden="1" customHeight="1">
      <c r="A488" s="49" t="s">
        <v>517</v>
      </c>
      <c r="B488" s="50">
        <v>44012.0</v>
      </c>
      <c r="C488" s="49" t="s">
        <v>780</v>
      </c>
      <c r="D488" s="49">
        <v>0.0</v>
      </c>
    </row>
    <row r="489" ht="15.0" hidden="1" customHeight="1">
      <c r="A489" s="49" t="s">
        <v>522</v>
      </c>
      <c r="B489" s="50">
        <v>44012.0</v>
      </c>
      <c r="C489" s="49" t="s">
        <v>780</v>
      </c>
      <c r="D489" s="49">
        <v>0.0</v>
      </c>
    </row>
    <row r="490" ht="15.0" hidden="1" customHeight="1">
      <c r="A490" s="49" t="s">
        <v>528</v>
      </c>
      <c r="B490" s="50">
        <v>44012.0</v>
      </c>
      <c r="C490" s="49" t="s">
        <v>780</v>
      </c>
      <c r="D490" s="49">
        <v>0.0</v>
      </c>
    </row>
    <row r="491" ht="15.0" hidden="1" customHeight="1">
      <c r="A491" s="49" t="s">
        <v>533</v>
      </c>
      <c r="B491" s="50">
        <v>44012.0</v>
      </c>
      <c r="C491" s="49" t="s">
        <v>780</v>
      </c>
      <c r="D491" s="49">
        <v>0.0</v>
      </c>
    </row>
    <row r="492" ht="15.0" hidden="1" customHeight="1">
      <c r="A492" s="49" t="s">
        <v>538</v>
      </c>
      <c r="B492" s="50">
        <v>44012.0</v>
      </c>
      <c r="C492" s="49" t="s">
        <v>780</v>
      </c>
      <c r="D492" s="49">
        <v>0.0</v>
      </c>
    </row>
    <row r="493" ht="15.0" hidden="1" customHeight="1">
      <c r="A493" s="49" t="s">
        <v>546</v>
      </c>
      <c r="B493" s="50">
        <v>44012.0</v>
      </c>
      <c r="C493" s="49" t="s">
        <v>780</v>
      </c>
      <c r="D493" s="49">
        <v>0.0</v>
      </c>
    </row>
    <row r="494" ht="15.0" hidden="1" customHeight="1">
      <c r="A494" s="49" t="s">
        <v>551</v>
      </c>
      <c r="B494" s="50">
        <v>44012.0</v>
      </c>
      <c r="C494" s="49" t="s">
        <v>780</v>
      </c>
      <c r="D494" s="49">
        <v>0.0</v>
      </c>
    </row>
    <row r="495" ht="15.0" hidden="1" customHeight="1">
      <c r="A495" s="49" t="s">
        <v>556</v>
      </c>
      <c r="B495" s="50">
        <v>44012.0</v>
      </c>
      <c r="C495" s="49" t="s">
        <v>780</v>
      </c>
      <c r="D495" s="49">
        <v>0.0</v>
      </c>
    </row>
    <row r="496" ht="15.0" hidden="1" customHeight="1">
      <c r="A496" s="49" t="s">
        <v>561</v>
      </c>
      <c r="B496" s="50">
        <v>44012.0</v>
      </c>
      <c r="C496" s="49" t="s">
        <v>780</v>
      </c>
      <c r="D496" s="49">
        <v>0.0</v>
      </c>
    </row>
    <row r="497" ht="15.0" hidden="1" customHeight="1">
      <c r="A497" s="49" t="s">
        <v>566</v>
      </c>
      <c r="B497" s="50">
        <v>44012.0</v>
      </c>
      <c r="C497" s="49" t="s">
        <v>780</v>
      </c>
      <c r="D497" s="49">
        <v>0.0</v>
      </c>
    </row>
    <row r="498" ht="15.0" hidden="1" customHeight="1">
      <c r="A498" s="49" t="s">
        <v>571</v>
      </c>
      <c r="B498" s="50">
        <v>44012.0</v>
      </c>
      <c r="C498" s="49" t="s">
        <v>780</v>
      </c>
      <c r="D498" s="49">
        <v>0.0</v>
      </c>
    </row>
    <row r="499" ht="15.0" hidden="1" customHeight="1">
      <c r="A499" s="49" t="s">
        <v>576</v>
      </c>
      <c r="B499" s="50">
        <v>44012.0</v>
      </c>
      <c r="C499" s="49" t="s">
        <v>780</v>
      </c>
      <c r="D499" s="49">
        <v>0.0</v>
      </c>
    </row>
    <row r="500" ht="15.0" hidden="1" customHeight="1">
      <c r="A500" s="49" t="s">
        <v>581</v>
      </c>
      <c r="B500" s="50">
        <v>44012.0</v>
      </c>
      <c r="C500" s="49" t="s">
        <v>780</v>
      </c>
      <c r="D500" s="49">
        <v>0.0</v>
      </c>
    </row>
    <row r="501" ht="15.0" hidden="1" customHeight="1">
      <c r="A501" s="49" t="s">
        <v>586</v>
      </c>
      <c r="B501" s="50">
        <v>44012.0</v>
      </c>
      <c r="C501" s="49" t="s">
        <v>780</v>
      </c>
      <c r="D501" s="49">
        <v>0.0</v>
      </c>
    </row>
    <row r="502" ht="15.0" hidden="1" customHeight="1">
      <c r="A502" s="49" t="s">
        <v>754</v>
      </c>
      <c r="B502" s="50">
        <v>44012.0</v>
      </c>
      <c r="C502" s="49" t="s">
        <v>780</v>
      </c>
      <c r="D502" s="49">
        <v>0.0</v>
      </c>
    </row>
    <row r="503" ht="15.0" hidden="1" customHeight="1">
      <c r="A503" s="49" t="s">
        <v>591</v>
      </c>
      <c r="B503" s="50">
        <v>44012.0</v>
      </c>
      <c r="C503" s="49" t="s">
        <v>780</v>
      </c>
      <c r="D503" s="49">
        <v>0.0</v>
      </c>
    </row>
    <row r="504" ht="15.0" hidden="1" customHeight="1">
      <c r="A504" s="49" t="s">
        <v>759</v>
      </c>
      <c r="B504" s="50">
        <v>44012.0</v>
      </c>
      <c r="C504" s="49" t="s">
        <v>780</v>
      </c>
      <c r="D504" s="49">
        <v>0.0</v>
      </c>
    </row>
    <row r="505" ht="15.0" hidden="1" customHeight="1">
      <c r="A505" s="49" t="s">
        <v>596</v>
      </c>
      <c r="B505" s="50">
        <v>44012.0</v>
      </c>
      <c r="C505" s="49" t="s">
        <v>780</v>
      </c>
      <c r="D505" s="49">
        <v>0.0</v>
      </c>
    </row>
    <row r="506" ht="15.0" hidden="1" customHeight="1">
      <c r="A506" s="49" t="s">
        <v>602</v>
      </c>
      <c r="B506" s="50">
        <v>44012.0</v>
      </c>
      <c r="C506" s="49" t="s">
        <v>780</v>
      </c>
      <c r="D506" s="49">
        <v>0.0</v>
      </c>
    </row>
    <row r="507" ht="15.0" hidden="1" customHeight="1">
      <c r="A507" s="49" t="s">
        <v>607</v>
      </c>
      <c r="B507" s="50">
        <v>44012.0</v>
      </c>
      <c r="C507" s="49" t="s">
        <v>780</v>
      </c>
      <c r="D507" s="49">
        <v>0.0</v>
      </c>
    </row>
    <row r="508" ht="15.0" hidden="1" customHeight="1">
      <c r="A508" s="49" t="s">
        <v>612</v>
      </c>
      <c r="B508" s="50">
        <v>44012.0</v>
      </c>
      <c r="C508" s="49" t="s">
        <v>780</v>
      </c>
      <c r="D508" s="49">
        <v>0.0</v>
      </c>
    </row>
    <row r="509" ht="15.0" hidden="1" customHeight="1">
      <c r="A509" s="49" t="s">
        <v>617</v>
      </c>
      <c r="B509" s="50">
        <v>44012.0</v>
      </c>
      <c r="C509" s="49" t="s">
        <v>780</v>
      </c>
      <c r="D509" s="49">
        <v>0.0</v>
      </c>
    </row>
    <row r="510" ht="15.0" hidden="1" customHeight="1">
      <c r="A510" s="49" t="s">
        <v>622</v>
      </c>
      <c r="B510" s="50">
        <v>44012.0</v>
      </c>
      <c r="C510" s="49" t="s">
        <v>780</v>
      </c>
      <c r="D510" s="49">
        <v>0.0</v>
      </c>
    </row>
    <row r="511" ht="15.0" hidden="1" customHeight="1">
      <c r="A511" s="49" t="s">
        <v>627</v>
      </c>
      <c r="B511" s="50">
        <v>44012.0</v>
      </c>
      <c r="C511" s="49" t="s">
        <v>780</v>
      </c>
      <c r="D511" s="49">
        <v>0.0</v>
      </c>
    </row>
    <row r="512" ht="15.0" hidden="1" customHeight="1">
      <c r="A512" s="49" t="s">
        <v>631</v>
      </c>
      <c r="B512" s="50">
        <v>44012.0</v>
      </c>
      <c r="C512" s="49" t="s">
        <v>780</v>
      </c>
      <c r="D512" s="49">
        <v>0.0</v>
      </c>
    </row>
    <row r="513" ht="15.0" hidden="1" customHeight="1">
      <c r="A513" s="49" t="s">
        <v>636</v>
      </c>
      <c r="B513" s="50">
        <v>44012.0</v>
      </c>
      <c r="C513" s="49" t="s">
        <v>780</v>
      </c>
      <c r="D513" s="49">
        <v>0.0</v>
      </c>
    </row>
    <row r="514" ht="15.0" hidden="1" customHeight="1">
      <c r="A514" s="49" t="s">
        <v>640</v>
      </c>
      <c r="B514" s="50">
        <v>44012.0</v>
      </c>
      <c r="C514" s="49" t="s">
        <v>780</v>
      </c>
      <c r="D514" s="49">
        <v>0.0</v>
      </c>
    </row>
    <row r="515" ht="15.0" hidden="1" customHeight="1">
      <c r="A515" s="49" t="s">
        <v>644</v>
      </c>
      <c r="B515" s="50">
        <v>44012.0</v>
      </c>
      <c r="C515" s="49" t="s">
        <v>780</v>
      </c>
      <c r="D515" s="49">
        <v>0.0</v>
      </c>
    </row>
    <row r="516" ht="15.0" hidden="1" customHeight="1">
      <c r="A516" s="49" t="s">
        <v>649</v>
      </c>
      <c r="B516" s="50">
        <v>44012.0</v>
      </c>
      <c r="C516" s="49" t="s">
        <v>780</v>
      </c>
      <c r="D516" s="49">
        <v>0.0</v>
      </c>
    </row>
    <row r="517" ht="15.0" hidden="1" customHeight="1">
      <c r="A517" s="49" t="s">
        <v>654</v>
      </c>
      <c r="B517" s="50">
        <v>44012.0</v>
      </c>
      <c r="C517" s="49" t="s">
        <v>780</v>
      </c>
      <c r="D517" s="49">
        <v>0.0</v>
      </c>
    </row>
    <row r="518" ht="15.0" hidden="1" customHeight="1">
      <c r="A518" s="49" t="s">
        <v>659</v>
      </c>
      <c r="B518" s="50">
        <v>44012.0</v>
      </c>
      <c r="C518" s="49" t="s">
        <v>780</v>
      </c>
      <c r="D518" s="49">
        <v>0.0</v>
      </c>
    </row>
    <row r="519" ht="15.0" hidden="1" customHeight="1">
      <c r="A519" s="49" t="s">
        <v>664</v>
      </c>
      <c r="B519" s="50">
        <v>44012.0</v>
      </c>
      <c r="C519" s="49" t="s">
        <v>780</v>
      </c>
      <c r="D519" s="49">
        <v>0.0</v>
      </c>
    </row>
    <row r="520" ht="15.0" hidden="1" customHeight="1">
      <c r="A520" s="49" t="s">
        <v>669</v>
      </c>
      <c r="B520" s="50">
        <v>44012.0</v>
      </c>
      <c r="C520" s="49" t="s">
        <v>780</v>
      </c>
      <c r="D520" s="49">
        <v>0.0</v>
      </c>
    </row>
    <row r="521" ht="15.0" hidden="1" customHeight="1">
      <c r="A521" s="49" t="s">
        <v>674</v>
      </c>
      <c r="B521" s="50">
        <v>44012.0</v>
      </c>
      <c r="C521" s="49" t="s">
        <v>780</v>
      </c>
      <c r="D521" s="49">
        <v>0.0</v>
      </c>
    </row>
    <row r="522" ht="15.0" hidden="1" customHeight="1">
      <c r="A522" s="49" t="s">
        <v>679</v>
      </c>
      <c r="B522" s="50">
        <v>44012.0</v>
      </c>
      <c r="C522" s="49" t="s">
        <v>780</v>
      </c>
      <c r="D522" s="49">
        <v>0.0</v>
      </c>
    </row>
    <row r="523" ht="15.0" hidden="1" customHeight="1">
      <c r="A523" s="49" t="s">
        <v>684</v>
      </c>
      <c r="B523" s="50">
        <v>44012.0</v>
      </c>
      <c r="C523" s="49" t="s">
        <v>780</v>
      </c>
      <c r="D523" s="49">
        <v>0.0</v>
      </c>
    </row>
    <row r="524" ht="15.0" hidden="1" customHeight="1">
      <c r="A524" s="49" t="s">
        <v>689</v>
      </c>
      <c r="B524" s="50">
        <v>44012.0</v>
      </c>
      <c r="C524" s="49" t="s">
        <v>780</v>
      </c>
      <c r="D524" s="49">
        <v>0.0</v>
      </c>
    </row>
    <row r="525" ht="15.0" hidden="1" customHeight="1">
      <c r="A525" s="49" t="s">
        <v>694</v>
      </c>
      <c r="B525" s="50">
        <v>44012.0</v>
      </c>
      <c r="C525" s="49" t="s">
        <v>780</v>
      </c>
      <c r="D525" s="49">
        <v>0.0</v>
      </c>
    </row>
    <row r="526" ht="15.0" hidden="1" customHeight="1">
      <c r="A526" s="49" t="s">
        <v>699</v>
      </c>
      <c r="B526" s="50">
        <v>44012.0</v>
      </c>
      <c r="C526" s="49" t="s">
        <v>780</v>
      </c>
      <c r="D526" s="49">
        <v>0.0</v>
      </c>
    </row>
    <row r="527" ht="15.0" hidden="1" customHeight="1">
      <c r="A527" s="49" t="s">
        <v>705</v>
      </c>
      <c r="B527" s="50">
        <v>44012.0</v>
      </c>
      <c r="C527" s="49" t="s">
        <v>780</v>
      </c>
      <c r="D527" s="49">
        <v>0.0</v>
      </c>
    </row>
    <row r="528" ht="15.0" hidden="1" customHeight="1">
      <c r="A528" s="49" t="s">
        <v>710</v>
      </c>
      <c r="B528" s="50">
        <v>44012.0</v>
      </c>
      <c r="C528" s="49" t="s">
        <v>780</v>
      </c>
      <c r="D528" s="49">
        <v>0.0</v>
      </c>
    </row>
    <row r="529" ht="15.0" hidden="1" customHeight="1">
      <c r="A529" s="49" t="s">
        <v>715</v>
      </c>
      <c r="B529" s="50">
        <v>44012.0</v>
      </c>
      <c r="C529" s="49" t="s">
        <v>780</v>
      </c>
      <c r="D529" s="49">
        <v>0.0</v>
      </c>
    </row>
    <row r="530" ht="15.0" hidden="1" customHeight="1">
      <c r="A530" s="49" t="s">
        <v>765</v>
      </c>
      <c r="B530" s="50">
        <v>44012.0</v>
      </c>
      <c r="C530" s="49" t="s">
        <v>780</v>
      </c>
      <c r="D530" s="49">
        <v>0.0</v>
      </c>
    </row>
    <row r="531" ht="15.0" hidden="1" customHeight="1">
      <c r="A531" s="49" t="s">
        <v>720</v>
      </c>
      <c r="B531" s="50">
        <v>44012.0</v>
      </c>
      <c r="C531" s="49" t="s">
        <v>780</v>
      </c>
      <c r="D531" s="49">
        <v>0.0</v>
      </c>
    </row>
    <row r="532" ht="15.0" hidden="1" customHeight="1">
      <c r="A532" s="49" t="s">
        <v>725</v>
      </c>
      <c r="B532" s="50">
        <v>44012.0</v>
      </c>
      <c r="C532" s="49" t="s">
        <v>780</v>
      </c>
      <c r="D532" s="49">
        <v>0.0</v>
      </c>
    </row>
    <row r="533" ht="15.0" hidden="1" customHeight="1">
      <c r="A533" s="49" t="s">
        <v>730</v>
      </c>
      <c r="B533" s="50">
        <v>44012.0</v>
      </c>
      <c r="C533" s="49" t="s">
        <v>780</v>
      </c>
      <c r="D533" s="49">
        <v>0.0</v>
      </c>
    </row>
    <row r="534" ht="15.0" hidden="1" customHeight="1">
      <c r="A534" s="49" t="s">
        <v>734</v>
      </c>
      <c r="B534" s="50">
        <v>44012.0</v>
      </c>
      <c r="C534" s="49" t="s">
        <v>780</v>
      </c>
      <c r="D534" s="49">
        <v>0.0</v>
      </c>
    </row>
    <row r="535" ht="15.0" hidden="1" customHeight="1">
      <c r="A535" s="49" t="s">
        <v>739</v>
      </c>
      <c r="B535" s="50">
        <v>44012.0</v>
      </c>
      <c r="C535" s="49" t="s">
        <v>780</v>
      </c>
      <c r="D535" s="49">
        <v>0.0</v>
      </c>
    </row>
    <row r="536" ht="15.0" hidden="1" customHeight="1">
      <c r="A536" s="49" t="s">
        <v>744</v>
      </c>
      <c r="B536" s="50">
        <v>44012.0</v>
      </c>
      <c r="C536" s="49" t="s">
        <v>780</v>
      </c>
      <c r="D536" s="49">
        <v>0.0</v>
      </c>
    </row>
    <row r="537" ht="15.0" hidden="1" customHeight="1">
      <c r="A537" s="49" t="s">
        <v>749</v>
      </c>
      <c r="B537" s="50">
        <v>44012.0</v>
      </c>
      <c r="C537" s="49" t="s">
        <v>780</v>
      </c>
      <c r="D537" s="49">
        <v>0.0</v>
      </c>
    </row>
    <row r="538" ht="15.0" customHeight="1">
      <c r="A538" s="49" t="s">
        <v>776</v>
      </c>
      <c r="B538" s="50">
        <v>44104.0</v>
      </c>
      <c r="C538" s="49" t="s">
        <v>777</v>
      </c>
      <c r="D538" s="49">
        <v>2.71E7</v>
      </c>
    </row>
    <row r="539" ht="15.0" hidden="1" customHeight="1">
      <c r="A539" s="49" t="s">
        <v>778</v>
      </c>
      <c r="B539" s="50">
        <v>44104.0</v>
      </c>
      <c r="C539" s="49" t="s">
        <v>777</v>
      </c>
      <c r="D539" s="49">
        <v>900000.0</v>
      </c>
    </row>
    <row r="540" ht="15.0" hidden="1" customHeight="1">
      <c r="A540" s="49" t="s">
        <v>92</v>
      </c>
      <c r="B540" s="50">
        <v>44104.0</v>
      </c>
      <c r="C540" s="49" t="s">
        <v>777</v>
      </c>
      <c r="D540" s="49">
        <v>5651000.0</v>
      </c>
    </row>
    <row r="541" ht="15.0" hidden="1" customHeight="1">
      <c r="A541" s="49" t="s">
        <v>97</v>
      </c>
      <c r="B541" s="50">
        <v>44104.0</v>
      </c>
      <c r="C541" s="49" t="s">
        <v>777</v>
      </c>
      <c r="D541" s="49">
        <v>0.0</v>
      </c>
    </row>
    <row r="542" ht="15.0" hidden="1" customHeight="1">
      <c r="A542" s="49" t="s">
        <v>102</v>
      </c>
      <c r="B542" s="50">
        <v>44104.0</v>
      </c>
      <c r="C542" s="49" t="s">
        <v>777</v>
      </c>
      <c r="D542" s="49">
        <v>1000000.0</v>
      </c>
    </row>
    <row r="543" ht="15.0" hidden="1" customHeight="1">
      <c r="A543" s="49" t="s">
        <v>106</v>
      </c>
      <c r="B543" s="50">
        <v>44104.0</v>
      </c>
      <c r="C543" s="49" t="s">
        <v>777</v>
      </c>
      <c r="D543" s="49">
        <v>1849000.0</v>
      </c>
    </row>
    <row r="544" ht="15.0" hidden="1" customHeight="1">
      <c r="A544" s="49" t="s">
        <v>111</v>
      </c>
      <c r="B544" s="50">
        <v>44104.0</v>
      </c>
      <c r="C544" s="49" t="s">
        <v>777</v>
      </c>
      <c r="D544" s="49">
        <v>180000.0</v>
      </c>
    </row>
    <row r="545" ht="15.0" hidden="1" customHeight="1">
      <c r="A545" s="49" t="s">
        <v>116</v>
      </c>
      <c r="B545" s="50">
        <v>44104.0</v>
      </c>
      <c r="C545" s="49" t="s">
        <v>777</v>
      </c>
      <c r="D545" s="49">
        <v>800000.0</v>
      </c>
    </row>
    <row r="546" ht="15.0" hidden="1" customHeight="1">
      <c r="A546" s="49" t="s">
        <v>120</v>
      </c>
      <c r="B546" s="50">
        <v>44104.0</v>
      </c>
      <c r="C546" s="49" t="s">
        <v>777</v>
      </c>
      <c r="D546" s="49">
        <v>9391000.0</v>
      </c>
    </row>
    <row r="547" ht="15.0" hidden="1" customHeight="1">
      <c r="A547" s="49" t="s">
        <v>125</v>
      </c>
      <c r="B547" s="50">
        <v>44104.0</v>
      </c>
      <c r="C547" s="49" t="s">
        <v>777</v>
      </c>
      <c r="D547" s="49">
        <v>695780.0</v>
      </c>
    </row>
    <row r="548" ht="15.0" hidden="1" customHeight="1">
      <c r="A548" s="49" t="s">
        <v>130</v>
      </c>
      <c r="B548" s="50">
        <v>44104.0</v>
      </c>
      <c r="C548" s="49" t="s">
        <v>777</v>
      </c>
      <c r="D548" s="49">
        <v>2337926.0</v>
      </c>
    </row>
    <row r="549" ht="15.0" hidden="1" customHeight="1">
      <c r="A549" s="49" t="s">
        <v>137</v>
      </c>
      <c r="B549" s="50">
        <v>44104.0</v>
      </c>
      <c r="C549" s="49" t="s">
        <v>777</v>
      </c>
      <c r="D549" s="49">
        <v>0.0</v>
      </c>
    </row>
    <row r="550" ht="15.0" hidden="1" customHeight="1">
      <c r="A550" s="49" t="s">
        <v>142</v>
      </c>
      <c r="B550" s="50">
        <v>44104.0</v>
      </c>
      <c r="C550" s="49" t="s">
        <v>777</v>
      </c>
      <c r="D550" s="49">
        <v>500000.0</v>
      </c>
    </row>
    <row r="551" ht="15.0" hidden="1" customHeight="1">
      <c r="A551" s="49" t="s">
        <v>147</v>
      </c>
      <c r="B551" s="50">
        <v>44104.0</v>
      </c>
      <c r="C551" s="49" t="s">
        <v>777</v>
      </c>
      <c r="D551" s="49">
        <v>0.0</v>
      </c>
    </row>
    <row r="552" ht="15.0" hidden="1" customHeight="1">
      <c r="A552" s="49" t="s">
        <v>152</v>
      </c>
      <c r="B552" s="50">
        <v>44104.0</v>
      </c>
      <c r="C552" s="49" t="s">
        <v>777</v>
      </c>
      <c r="D552" s="49">
        <v>0.0</v>
      </c>
    </row>
    <row r="553" ht="15.0" hidden="1" customHeight="1">
      <c r="A553" s="49" t="s">
        <v>157</v>
      </c>
      <c r="B553" s="50">
        <v>44104.0</v>
      </c>
      <c r="C553" s="49" t="s">
        <v>777</v>
      </c>
      <c r="D553" s="49">
        <v>0.0</v>
      </c>
    </row>
    <row r="554" ht="15.0" hidden="1" customHeight="1">
      <c r="A554" s="49" t="s">
        <v>162</v>
      </c>
      <c r="B554" s="50">
        <v>44104.0</v>
      </c>
      <c r="C554" s="49" t="s">
        <v>777</v>
      </c>
      <c r="D554" s="49">
        <v>0.0</v>
      </c>
    </row>
    <row r="555" ht="15.0" hidden="1" customHeight="1">
      <c r="A555" s="49" t="s">
        <v>167</v>
      </c>
      <c r="B555" s="50">
        <v>44104.0</v>
      </c>
      <c r="C555" s="49" t="s">
        <v>777</v>
      </c>
      <c r="D555" s="49">
        <v>0.0</v>
      </c>
    </row>
    <row r="556" ht="15.0" hidden="1" customHeight="1">
      <c r="A556" s="49" t="s">
        <v>172</v>
      </c>
      <c r="B556" s="50">
        <v>44104.0</v>
      </c>
      <c r="C556" s="49" t="s">
        <v>777</v>
      </c>
      <c r="D556" s="49">
        <v>0.0</v>
      </c>
    </row>
    <row r="557" ht="15.0" hidden="1" customHeight="1">
      <c r="A557" s="49" t="s">
        <v>177</v>
      </c>
      <c r="B557" s="50">
        <v>44104.0</v>
      </c>
      <c r="C557" s="49" t="s">
        <v>777</v>
      </c>
      <c r="D557" s="49">
        <v>0.0</v>
      </c>
    </row>
    <row r="558" ht="15.0" hidden="1" customHeight="1">
      <c r="A558" s="49" t="s">
        <v>182</v>
      </c>
      <c r="B558" s="50">
        <v>44104.0</v>
      </c>
      <c r="C558" s="49" t="s">
        <v>777</v>
      </c>
      <c r="D558" s="49">
        <v>0.0</v>
      </c>
    </row>
    <row r="559" ht="15.0" hidden="1" customHeight="1">
      <c r="A559" s="49" t="s">
        <v>187</v>
      </c>
      <c r="B559" s="50">
        <v>44104.0</v>
      </c>
      <c r="C559" s="49" t="s">
        <v>777</v>
      </c>
      <c r="D559" s="49">
        <v>0.0</v>
      </c>
    </row>
    <row r="560" ht="15.0" hidden="1" customHeight="1">
      <c r="A560" s="49" t="s">
        <v>192</v>
      </c>
      <c r="B560" s="50">
        <v>44104.0</v>
      </c>
      <c r="C560" s="49" t="s">
        <v>777</v>
      </c>
      <c r="D560" s="49">
        <v>0.0</v>
      </c>
    </row>
    <row r="561" ht="15.0" hidden="1" customHeight="1">
      <c r="A561" s="49" t="s">
        <v>197</v>
      </c>
      <c r="B561" s="50">
        <v>44104.0</v>
      </c>
      <c r="C561" s="49" t="s">
        <v>777</v>
      </c>
      <c r="D561" s="49">
        <v>0.0</v>
      </c>
    </row>
    <row r="562" ht="15.0" hidden="1" customHeight="1">
      <c r="A562" s="49" t="s">
        <v>202</v>
      </c>
      <c r="B562" s="50">
        <v>44104.0</v>
      </c>
      <c r="C562" s="49" t="s">
        <v>777</v>
      </c>
      <c r="D562" s="49">
        <v>0.0</v>
      </c>
    </row>
    <row r="563" ht="15.0" hidden="1" customHeight="1">
      <c r="A563" s="49" t="s">
        <v>206</v>
      </c>
      <c r="B563" s="50">
        <v>44104.0</v>
      </c>
      <c r="C563" s="49" t="s">
        <v>777</v>
      </c>
      <c r="D563" s="49">
        <v>0.0</v>
      </c>
    </row>
    <row r="564" ht="15.0" hidden="1" customHeight="1">
      <c r="A564" s="49" t="s">
        <v>211</v>
      </c>
      <c r="B564" s="50">
        <v>44104.0</v>
      </c>
      <c r="C564" s="49" t="s">
        <v>777</v>
      </c>
      <c r="D564" s="49">
        <v>0.0</v>
      </c>
    </row>
    <row r="565" ht="15.0" hidden="1" customHeight="1">
      <c r="A565" s="49" t="s">
        <v>779</v>
      </c>
      <c r="B565" s="50">
        <v>44104.0</v>
      </c>
      <c r="C565" s="49" t="s">
        <v>777</v>
      </c>
      <c r="D565" s="49">
        <v>0.0</v>
      </c>
    </row>
    <row r="566" ht="15.0" hidden="1" customHeight="1">
      <c r="A566" s="49" t="s">
        <v>221</v>
      </c>
      <c r="B566" s="50">
        <v>44104.0</v>
      </c>
      <c r="C566" s="49" t="s">
        <v>777</v>
      </c>
      <c r="D566" s="49">
        <v>0.0</v>
      </c>
    </row>
    <row r="567" ht="15.0" hidden="1" customHeight="1">
      <c r="A567" s="49" t="s">
        <v>226</v>
      </c>
      <c r="B567" s="50">
        <v>44104.0</v>
      </c>
      <c r="C567" s="49" t="s">
        <v>777</v>
      </c>
      <c r="D567" s="49">
        <v>0.0</v>
      </c>
    </row>
    <row r="568" ht="15.0" hidden="1" customHeight="1">
      <c r="A568" s="49" t="s">
        <v>231</v>
      </c>
      <c r="B568" s="50">
        <v>44104.0</v>
      </c>
      <c r="C568" s="49" t="s">
        <v>777</v>
      </c>
      <c r="D568" s="49">
        <v>0.0</v>
      </c>
    </row>
    <row r="569" ht="15.0" hidden="1" customHeight="1">
      <c r="A569" s="49" t="s">
        <v>236</v>
      </c>
      <c r="B569" s="50">
        <v>44104.0</v>
      </c>
      <c r="C569" s="49" t="s">
        <v>777</v>
      </c>
      <c r="D569" s="49">
        <v>0.0</v>
      </c>
    </row>
    <row r="570" ht="15.0" hidden="1" customHeight="1">
      <c r="A570" s="49" t="s">
        <v>242</v>
      </c>
      <c r="B570" s="50">
        <v>44104.0</v>
      </c>
      <c r="C570" s="49" t="s">
        <v>777</v>
      </c>
      <c r="D570" s="49">
        <v>0.0</v>
      </c>
    </row>
    <row r="571" ht="15.0" hidden="1" customHeight="1">
      <c r="A571" s="49" t="s">
        <v>248</v>
      </c>
      <c r="B571" s="50">
        <v>44104.0</v>
      </c>
      <c r="C571" s="49" t="s">
        <v>777</v>
      </c>
      <c r="D571" s="49">
        <v>0.0</v>
      </c>
    </row>
    <row r="572" ht="15.0" hidden="1" customHeight="1">
      <c r="A572" s="49" t="s">
        <v>253</v>
      </c>
      <c r="B572" s="50">
        <v>44104.0</v>
      </c>
      <c r="C572" s="49" t="s">
        <v>777</v>
      </c>
      <c r="D572" s="49">
        <v>0.0</v>
      </c>
    </row>
    <row r="573" ht="15.0" hidden="1" customHeight="1">
      <c r="A573" s="49" t="s">
        <v>258</v>
      </c>
      <c r="B573" s="50">
        <v>44104.0</v>
      </c>
      <c r="C573" s="49" t="s">
        <v>777</v>
      </c>
      <c r="D573" s="49">
        <v>0.0</v>
      </c>
    </row>
    <row r="574" ht="15.0" hidden="1" customHeight="1">
      <c r="A574" s="49" t="s">
        <v>263</v>
      </c>
      <c r="B574" s="50">
        <v>44104.0</v>
      </c>
      <c r="C574" s="49" t="s">
        <v>777</v>
      </c>
      <c r="D574" s="49">
        <v>0.0</v>
      </c>
    </row>
    <row r="575" ht="15.0" hidden="1" customHeight="1">
      <c r="A575" s="49" t="s">
        <v>268</v>
      </c>
      <c r="B575" s="50">
        <v>44104.0</v>
      </c>
      <c r="C575" s="49" t="s">
        <v>777</v>
      </c>
      <c r="D575" s="49">
        <v>0.0</v>
      </c>
    </row>
    <row r="576" ht="15.0" hidden="1" customHeight="1">
      <c r="A576" s="49" t="s">
        <v>273</v>
      </c>
      <c r="B576" s="50">
        <v>44104.0</v>
      </c>
      <c r="C576" s="49" t="s">
        <v>777</v>
      </c>
      <c r="D576" s="49">
        <v>0.0</v>
      </c>
    </row>
    <row r="577" ht="15.0" hidden="1" customHeight="1">
      <c r="A577" s="49" t="s">
        <v>278</v>
      </c>
      <c r="B577" s="50">
        <v>44104.0</v>
      </c>
      <c r="C577" s="49" t="s">
        <v>777</v>
      </c>
      <c r="D577" s="49">
        <v>0.0</v>
      </c>
    </row>
    <row r="578" ht="15.0" hidden="1" customHeight="1">
      <c r="A578" s="49" t="s">
        <v>283</v>
      </c>
      <c r="B578" s="50">
        <v>44104.0</v>
      </c>
      <c r="C578" s="49" t="s">
        <v>777</v>
      </c>
      <c r="D578" s="49">
        <v>0.0</v>
      </c>
    </row>
    <row r="579" ht="15.0" hidden="1" customHeight="1">
      <c r="A579" s="49" t="s">
        <v>288</v>
      </c>
      <c r="B579" s="50">
        <v>44104.0</v>
      </c>
      <c r="C579" s="49" t="s">
        <v>777</v>
      </c>
      <c r="D579" s="49">
        <v>0.0</v>
      </c>
    </row>
    <row r="580" ht="15.0" hidden="1" customHeight="1">
      <c r="A580" s="49" t="s">
        <v>293</v>
      </c>
      <c r="B580" s="50">
        <v>44104.0</v>
      </c>
      <c r="C580" s="49" t="s">
        <v>777</v>
      </c>
      <c r="D580" s="49">
        <v>0.0</v>
      </c>
    </row>
    <row r="581" ht="15.0" hidden="1" customHeight="1">
      <c r="A581" s="49" t="s">
        <v>298</v>
      </c>
      <c r="B581" s="50">
        <v>44104.0</v>
      </c>
      <c r="C581" s="49" t="s">
        <v>777</v>
      </c>
      <c r="D581" s="49">
        <v>0.0</v>
      </c>
    </row>
    <row r="582" ht="15.0" hidden="1" customHeight="1">
      <c r="A582" s="49" t="s">
        <v>303</v>
      </c>
      <c r="B582" s="50">
        <v>44104.0</v>
      </c>
      <c r="C582" s="49" t="s">
        <v>777</v>
      </c>
      <c r="D582" s="49">
        <v>0.0</v>
      </c>
    </row>
    <row r="583" ht="15.0" hidden="1" customHeight="1">
      <c r="A583" s="49" t="s">
        <v>307</v>
      </c>
      <c r="B583" s="50">
        <v>44104.0</v>
      </c>
      <c r="C583" s="49" t="s">
        <v>777</v>
      </c>
      <c r="D583" s="49">
        <v>0.0</v>
      </c>
    </row>
    <row r="584" ht="15.0" hidden="1" customHeight="1">
      <c r="A584" s="49" t="s">
        <v>313</v>
      </c>
      <c r="B584" s="50">
        <v>44104.0</v>
      </c>
      <c r="C584" s="49" t="s">
        <v>777</v>
      </c>
      <c r="D584" s="49">
        <v>0.0</v>
      </c>
    </row>
    <row r="585" ht="15.0" hidden="1" customHeight="1">
      <c r="A585" s="49" t="s">
        <v>318</v>
      </c>
      <c r="B585" s="50">
        <v>44104.0</v>
      </c>
      <c r="C585" s="49" t="s">
        <v>777</v>
      </c>
      <c r="D585" s="49">
        <v>0.0</v>
      </c>
    </row>
    <row r="586" ht="15.0" hidden="1" customHeight="1">
      <c r="A586" s="49" t="s">
        <v>323</v>
      </c>
      <c r="B586" s="50">
        <v>44104.0</v>
      </c>
      <c r="C586" s="49" t="s">
        <v>777</v>
      </c>
      <c r="D586" s="49">
        <v>0.0</v>
      </c>
    </row>
    <row r="587" ht="15.0" hidden="1" customHeight="1">
      <c r="A587" s="49" t="s">
        <v>328</v>
      </c>
      <c r="B587" s="50">
        <v>44104.0</v>
      </c>
      <c r="C587" s="49" t="s">
        <v>777</v>
      </c>
      <c r="D587" s="49">
        <v>0.0</v>
      </c>
    </row>
    <row r="588" ht="15.0" hidden="1" customHeight="1">
      <c r="A588" s="49" t="s">
        <v>335</v>
      </c>
      <c r="B588" s="50">
        <v>44104.0</v>
      </c>
      <c r="C588" s="49" t="s">
        <v>777</v>
      </c>
      <c r="D588" s="49">
        <v>0.0</v>
      </c>
    </row>
    <row r="589" ht="15.0" hidden="1" customHeight="1">
      <c r="A589" s="49" t="s">
        <v>340</v>
      </c>
      <c r="B589" s="50">
        <v>44104.0</v>
      </c>
      <c r="C589" s="49" t="s">
        <v>777</v>
      </c>
      <c r="D589" s="49">
        <v>0.0</v>
      </c>
    </row>
    <row r="590" ht="15.0" hidden="1" customHeight="1">
      <c r="A590" s="49" t="s">
        <v>345</v>
      </c>
      <c r="B590" s="50">
        <v>44104.0</v>
      </c>
      <c r="C590" s="49" t="s">
        <v>777</v>
      </c>
      <c r="D590" s="49">
        <v>0.0</v>
      </c>
    </row>
    <row r="591" ht="15.0" hidden="1" customHeight="1">
      <c r="A591" s="49" t="s">
        <v>350</v>
      </c>
      <c r="B591" s="50">
        <v>44104.0</v>
      </c>
      <c r="C591" s="49" t="s">
        <v>777</v>
      </c>
      <c r="D591" s="49">
        <v>0.0</v>
      </c>
    </row>
    <row r="592" ht="15.0" hidden="1" customHeight="1">
      <c r="A592" s="49" t="s">
        <v>355</v>
      </c>
      <c r="B592" s="50">
        <v>44104.0</v>
      </c>
      <c r="C592" s="49" t="s">
        <v>777</v>
      </c>
      <c r="D592" s="49">
        <v>0.0</v>
      </c>
    </row>
    <row r="593" ht="15.0" hidden="1" customHeight="1">
      <c r="A593" s="49" t="s">
        <v>360</v>
      </c>
      <c r="B593" s="50">
        <v>44104.0</v>
      </c>
      <c r="C593" s="49" t="s">
        <v>777</v>
      </c>
      <c r="D593" s="49">
        <v>0.0</v>
      </c>
    </row>
    <row r="594" ht="15.0" hidden="1" customHeight="1">
      <c r="A594" s="49" t="s">
        <v>365</v>
      </c>
      <c r="B594" s="50">
        <v>44104.0</v>
      </c>
      <c r="C594" s="49" t="s">
        <v>777</v>
      </c>
      <c r="D594" s="49">
        <v>0.0</v>
      </c>
    </row>
    <row r="595" ht="15.0" hidden="1" customHeight="1">
      <c r="A595" s="49" t="s">
        <v>370</v>
      </c>
      <c r="B595" s="50">
        <v>44104.0</v>
      </c>
      <c r="C595" s="49" t="s">
        <v>777</v>
      </c>
      <c r="D595" s="49">
        <v>0.0</v>
      </c>
    </row>
    <row r="596" ht="15.0" hidden="1" customHeight="1">
      <c r="A596" s="49" t="s">
        <v>375</v>
      </c>
      <c r="B596" s="50">
        <v>44104.0</v>
      </c>
      <c r="C596" s="49" t="s">
        <v>777</v>
      </c>
      <c r="D596" s="49">
        <v>0.0</v>
      </c>
    </row>
    <row r="597" ht="15.0" hidden="1" customHeight="1">
      <c r="A597" s="49" t="s">
        <v>380</v>
      </c>
      <c r="B597" s="50">
        <v>44104.0</v>
      </c>
      <c r="C597" s="49" t="s">
        <v>777</v>
      </c>
      <c r="D597" s="49">
        <v>0.0</v>
      </c>
    </row>
    <row r="598" ht="15.0" hidden="1" customHeight="1">
      <c r="A598" s="49" t="s">
        <v>385</v>
      </c>
      <c r="B598" s="50">
        <v>44104.0</v>
      </c>
      <c r="C598" s="49" t="s">
        <v>777</v>
      </c>
      <c r="D598" s="49">
        <v>0.0</v>
      </c>
    </row>
    <row r="599" ht="15.0" hidden="1" customHeight="1">
      <c r="A599" s="49" t="s">
        <v>390</v>
      </c>
      <c r="B599" s="50">
        <v>44104.0</v>
      </c>
      <c r="C599" s="49" t="s">
        <v>777</v>
      </c>
      <c r="D599" s="49">
        <v>0.0</v>
      </c>
    </row>
    <row r="600" ht="15.0" hidden="1" customHeight="1">
      <c r="A600" s="49" t="s">
        <v>395</v>
      </c>
      <c r="B600" s="50">
        <v>44104.0</v>
      </c>
      <c r="C600" s="49" t="s">
        <v>777</v>
      </c>
      <c r="D600" s="49">
        <v>0.0</v>
      </c>
    </row>
    <row r="601" ht="15.0" hidden="1" customHeight="1">
      <c r="A601" s="49" t="s">
        <v>400</v>
      </c>
      <c r="B601" s="50">
        <v>44104.0</v>
      </c>
      <c r="C601" s="49" t="s">
        <v>777</v>
      </c>
      <c r="D601" s="49">
        <v>0.0</v>
      </c>
    </row>
    <row r="602" ht="15.0" hidden="1" customHeight="1">
      <c r="A602" s="49" t="s">
        <v>405</v>
      </c>
      <c r="B602" s="50">
        <v>44104.0</v>
      </c>
      <c r="C602" s="49" t="s">
        <v>777</v>
      </c>
      <c r="D602" s="49">
        <v>0.0</v>
      </c>
    </row>
    <row r="603" ht="15.0" hidden="1" customHeight="1">
      <c r="A603" s="49" t="s">
        <v>410</v>
      </c>
      <c r="B603" s="50">
        <v>44104.0</v>
      </c>
      <c r="C603" s="49" t="s">
        <v>777</v>
      </c>
      <c r="D603" s="49">
        <v>0.0</v>
      </c>
    </row>
    <row r="604" ht="15.0" hidden="1" customHeight="1">
      <c r="A604" s="49" t="s">
        <v>415</v>
      </c>
      <c r="B604" s="50">
        <v>44104.0</v>
      </c>
      <c r="C604" s="49" t="s">
        <v>777</v>
      </c>
      <c r="D604" s="49">
        <v>0.0</v>
      </c>
    </row>
    <row r="605" ht="15.0" hidden="1" customHeight="1">
      <c r="A605" s="49" t="s">
        <v>420</v>
      </c>
      <c r="B605" s="50">
        <v>44104.0</v>
      </c>
      <c r="C605" s="49" t="s">
        <v>777</v>
      </c>
      <c r="D605" s="49">
        <v>0.0</v>
      </c>
    </row>
    <row r="606" ht="15.0" hidden="1" customHeight="1">
      <c r="A606" s="49" t="s">
        <v>425</v>
      </c>
      <c r="B606" s="50">
        <v>44104.0</v>
      </c>
      <c r="C606" s="49" t="s">
        <v>777</v>
      </c>
      <c r="D606" s="49">
        <v>0.0</v>
      </c>
    </row>
    <row r="607" ht="15.0" hidden="1" customHeight="1">
      <c r="A607" s="49" t="s">
        <v>430</v>
      </c>
      <c r="B607" s="50">
        <v>44104.0</v>
      </c>
      <c r="C607" s="49" t="s">
        <v>777</v>
      </c>
      <c r="D607" s="49">
        <v>0.0</v>
      </c>
    </row>
    <row r="608" ht="15.0" hidden="1" customHeight="1">
      <c r="A608" s="49" t="s">
        <v>434</v>
      </c>
      <c r="B608" s="50">
        <v>44104.0</v>
      </c>
      <c r="C608" s="49" t="s">
        <v>777</v>
      </c>
      <c r="D608" s="49">
        <v>0.0</v>
      </c>
    </row>
    <row r="609" ht="15.0" hidden="1" customHeight="1">
      <c r="A609" s="49" t="s">
        <v>439</v>
      </c>
      <c r="B609" s="50">
        <v>44104.0</v>
      </c>
      <c r="C609" s="49" t="s">
        <v>777</v>
      </c>
      <c r="D609" s="49">
        <v>0.0</v>
      </c>
    </row>
    <row r="610" ht="15.0" hidden="1" customHeight="1">
      <c r="A610" s="49" t="s">
        <v>444</v>
      </c>
      <c r="B610" s="50">
        <v>44104.0</v>
      </c>
      <c r="C610" s="49" t="s">
        <v>777</v>
      </c>
      <c r="D610" s="49">
        <v>0.0</v>
      </c>
    </row>
    <row r="611" ht="15.0" hidden="1" customHeight="1">
      <c r="A611" s="49" t="s">
        <v>449</v>
      </c>
      <c r="B611" s="50">
        <v>44104.0</v>
      </c>
      <c r="C611" s="49" t="s">
        <v>777</v>
      </c>
      <c r="D611" s="49">
        <v>0.0</v>
      </c>
    </row>
    <row r="612" ht="15.0" hidden="1" customHeight="1">
      <c r="A612" s="49" t="s">
        <v>455</v>
      </c>
      <c r="B612" s="50">
        <v>44104.0</v>
      </c>
      <c r="C612" s="49" t="s">
        <v>777</v>
      </c>
      <c r="D612" s="49">
        <v>0.0</v>
      </c>
    </row>
    <row r="613" ht="15.0" hidden="1" customHeight="1">
      <c r="A613" s="49" t="s">
        <v>470</v>
      </c>
      <c r="B613" s="50">
        <v>44104.0</v>
      </c>
      <c r="C613" s="49" t="s">
        <v>777</v>
      </c>
      <c r="D613" s="49">
        <v>0.0</v>
      </c>
    </row>
    <row r="614" ht="15.0" hidden="1" customHeight="1">
      <c r="A614" s="49" t="s">
        <v>476</v>
      </c>
      <c r="B614" s="50">
        <v>44104.0</v>
      </c>
      <c r="C614" s="49" t="s">
        <v>777</v>
      </c>
      <c r="D614" s="49">
        <v>0.0</v>
      </c>
    </row>
    <row r="615" ht="15.0" hidden="1" customHeight="1">
      <c r="A615" s="49" t="s">
        <v>481</v>
      </c>
      <c r="B615" s="50">
        <v>44104.0</v>
      </c>
      <c r="C615" s="49" t="s">
        <v>777</v>
      </c>
      <c r="D615" s="49">
        <v>0.0</v>
      </c>
    </row>
    <row r="616" ht="15.0" hidden="1" customHeight="1">
      <c r="A616" s="49" t="s">
        <v>486</v>
      </c>
      <c r="B616" s="50">
        <v>44104.0</v>
      </c>
      <c r="C616" s="49" t="s">
        <v>777</v>
      </c>
      <c r="D616" s="49">
        <v>0.0</v>
      </c>
    </row>
    <row r="617" ht="15.0" hidden="1" customHeight="1">
      <c r="A617" s="49" t="s">
        <v>491</v>
      </c>
      <c r="B617" s="50">
        <v>44104.0</v>
      </c>
      <c r="C617" s="49" t="s">
        <v>777</v>
      </c>
      <c r="D617" s="49">
        <v>0.0</v>
      </c>
    </row>
    <row r="618" ht="15.0" hidden="1" customHeight="1">
      <c r="A618" s="49" t="s">
        <v>496</v>
      </c>
      <c r="B618" s="50">
        <v>44104.0</v>
      </c>
      <c r="C618" s="49" t="s">
        <v>777</v>
      </c>
      <c r="D618" s="49">
        <v>0.0</v>
      </c>
    </row>
    <row r="619" ht="15.0" hidden="1" customHeight="1">
      <c r="A619" s="49" t="s">
        <v>501</v>
      </c>
      <c r="B619" s="50">
        <v>44104.0</v>
      </c>
      <c r="C619" s="49" t="s">
        <v>777</v>
      </c>
      <c r="D619" s="49">
        <v>0.0</v>
      </c>
    </row>
    <row r="620" ht="15.0" hidden="1" customHeight="1">
      <c r="A620" s="49" t="s">
        <v>506</v>
      </c>
      <c r="B620" s="50">
        <v>44104.0</v>
      </c>
      <c r="C620" s="49" t="s">
        <v>777</v>
      </c>
      <c r="D620" s="49">
        <v>0.0</v>
      </c>
    </row>
    <row r="621" ht="15.0" hidden="1" customHeight="1">
      <c r="A621" s="49" t="s">
        <v>512</v>
      </c>
      <c r="B621" s="50">
        <v>44104.0</v>
      </c>
      <c r="C621" s="49" t="s">
        <v>777</v>
      </c>
      <c r="D621" s="49">
        <v>0.0</v>
      </c>
    </row>
    <row r="622" ht="15.0" hidden="1" customHeight="1">
      <c r="A622" s="49" t="s">
        <v>517</v>
      </c>
      <c r="B622" s="50">
        <v>44104.0</v>
      </c>
      <c r="C622" s="49" t="s">
        <v>777</v>
      </c>
      <c r="D622" s="49">
        <v>0.0</v>
      </c>
    </row>
    <row r="623" ht="15.0" hidden="1" customHeight="1">
      <c r="A623" s="49" t="s">
        <v>522</v>
      </c>
      <c r="B623" s="50">
        <v>44104.0</v>
      </c>
      <c r="C623" s="49" t="s">
        <v>777</v>
      </c>
      <c r="D623" s="49">
        <v>0.0</v>
      </c>
    </row>
    <row r="624" ht="15.0" hidden="1" customHeight="1">
      <c r="A624" s="49" t="s">
        <v>528</v>
      </c>
      <c r="B624" s="50">
        <v>44104.0</v>
      </c>
      <c r="C624" s="49" t="s">
        <v>777</v>
      </c>
      <c r="D624" s="49">
        <v>0.0</v>
      </c>
    </row>
    <row r="625" ht="15.0" hidden="1" customHeight="1">
      <c r="A625" s="49" t="s">
        <v>533</v>
      </c>
      <c r="B625" s="50">
        <v>44104.0</v>
      </c>
      <c r="C625" s="49" t="s">
        <v>777</v>
      </c>
      <c r="D625" s="49">
        <v>0.0</v>
      </c>
    </row>
    <row r="626" ht="15.0" hidden="1" customHeight="1">
      <c r="A626" s="49" t="s">
        <v>538</v>
      </c>
      <c r="B626" s="50">
        <v>44104.0</v>
      </c>
      <c r="C626" s="49" t="s">
        <v>777</v>
      </c>
      <c r="D626" s="49">
        <v>0.0</v>
      </c>
    </row>
    <row r="627" ht="15.0" hidden="1" customHeight="1">
      <c r="A627" s="49" t="s">
        <v>546</v>
      </c>
      <c r="B627" s="50">
        <v>44104.0</v>
      </c>
      <c r="C627" s="49" t="s">
        <v>777</v>
      </c>
      <c r="D627" s="49">
        <v>0.0</v>
      </c>
    </row>
    <row r="628" ht="15.0" hidden="1" customHeight="1">
      <c r="A628" s="49" t="s">
        <v>551</v>
      </c>
      <c r="B628" s="50">
        <v>44104.0</v>
      </c>
      <c r="C628" s="49" t="s">
        <v>777</v>
      </c>
      <c r="D628" s="49">
        <v>0.0</v>
      </c>
    </row>
    <row r="629" ht="15.0" hidden="1" customHeight="1">
      <c r="A629" s="49" t="s">
        <v>556</v>
      </c>
      <c r="B629" s="50">
        <v>44104.0</v>
      </c>
      <c r="C629" s="49" t="s">
        <v>777</v>
      </c>
      <c r="D629" s="49">
        <v>0.0</v>
      </c>
    </row>
    <row r="630" ht="15.0" hidden="1" customHeight="1">
      <c r="A630" s="49" t="s">
        <v>561</v>
      </c>
      <c r="B630" s="50">
        <v>44104.0</v>
      </c>
      <c r="C630" s="49" t="s">
        <v>777</v>
      </c>
      <c r="D630" s="49">
        <v>0.0</v>
      </c>
    </row>
    <row r="631" ht="15.0" hidden="1" customHeight="1">
      <c r="A631" s="49" t="s">
        <v>566</v>
      </c>
      <c r="B631" s="50">
        <v>44104.0</v>
      </c>
      <c r="C631" s="49" t="s">
        <v>777</v>
      </c>
      <c r="D631" s="49">
        <v>0.0</v>
      </c>
    </row>
    <row r="632" ht="15.0" hidden="1" customHeight="1">
      <c r="A632" s="49" t="s">
        <v>571</v>
      </c>
      <c r="B632" s="50">
        <v>44104.0</v>
      </c>
      <c r="C632" s="49" t="s">
        <v>777</v>
      </c>
      <c r="D632" s="49">
        <v>0.0</v>
      </c>
    </row>
    <row r="633" ht="15.0" hidden="1" customHeight="1">
      <c r="A633" s="49" t="s">
        <v>576</v>
      </c>
      <c r="B633" s="50">
        <v>44104.0</v>
      </c>
      <c r="C633" s="49" t="s">
        <v>777</v>
      </c>
      <c r="D633" s="49">
        <v>0.0</v>
      </c>
    </row>
    <row r="634" ht="15.0" hidden="1" customHeight="1">
      <c r="A634" s="49" t="s">
        <v>581</v>
      </c>
      <c r="B634" s="50">
        <v>44104.0</v>
      </c>
      <c r="C634" s="49" t="s">
        <v>777</v>
      </c>
      <c r="D634" s="49">
        <v>0.0</v>
      </c>
    </row>
    <row r="635" ht="15.0" hidden="1" customHeight="1">
      <c r="A635" s="49" t="s">
        <v>586</v>
      </c>
      <c r="B635" s="50">
        <v>44104.0</v>
      </c>
      <c r="C635" s="49" t="s">
        <v>777</v>
      </c>
      <c r="D635" s="49">
        <v>0.0</v>
      </c>
    </row>
    <row r="636" ht="15.0" hidden="1" customHeight="1">
      <c r="A636" s="49" t="s">
        <v>754</v>
      </c>
      <c r="B636" s="50">
        <v>44104.0</v>
      </c>
      <c r="C636" s="49" t="s">
        <v>777</v>
      </c>
      <c r="D636" s="49">
        <v>0.0</v>
      </c>
    </row>
    <row r="637" ht="15.0" hidden="1" customHeight="1">
      <c r="A637" s="49" t="s">
        <v>591</v>
      </c>
      <c r="B637" s="50">
        <v>44104.0</v>
      </c>
      <c r="C637" s="49" t="s">
        <v>777</v>
      </c>
      <c r="D637" s="49">
        <v>0.0</v>
      </c>
    </row>
    <row r="638" ht="15.0" hidden="1" customHeight="1">
      <c r="A638" s="49" t="s">
        <v>759</v>
      </c>
      <c r="B638" s="50">
        <v>44104.0</v>
      </c>
      <c r="C638" s="49" t="s">
        <v>777</v>
      </c>
      <c r="D638" s="49">
        <v>0.0</v>
      </c>
    </row>
    <row r="639" ht="15.0" hidden="1" customHeight="1">
      <c r="A639" s="49" t="s">
        <v>596</v>
      </c>
      <c r="B639" s="50">
        <v>44104.0</v>
      </c>
      <c r="C639" s="49" t="s">
        <v>777</v>
      </c>
      <c r="D639" s="49">
        <v>0.0</v>
      </c>
    </row>
    <row r="640" ht="15.0" hidden="1" customHeight="1">
      <c r="A640" s="49" t="s">
        <v>602</v>
      </c>
      <c r="B640" s="50">
        <v>44104.0</v>
      </c>
      <c r="C640" s="49" t="s">
        <v>777</v>
      </c>
      <c r="D640" s="49">
        <v>0.0</v>
      </c>
    </row>
    <row r="641" ht="15.0" hidden="1" customHeight="1">
      <c r="A641" s="49" t="s">
        <v>607</v>
      </c>
      <c r="B641" s="50">
        <v>44104.0</v>
      </c>
      <c r="C641" s="49" t="s">
        <v>777</v>
      </c>
      <c r="D641" s="49">
        <v>0.0</v>
      </c>
    </row>
    <row r="642" ht="15.0" hidden="1" customHeight="1">
      <c r="A642" s="49" t="s">
        <v>612</v>
      </c>
      <c r="B642" s="50">
        <v>44104.0</v>
      </c>
      <c r="C642" s="49" t="s">
        <v>777</v>
      </c>
      <c r="D642" s="49">
        <v>0.0</v>
      </c>
    </row>
    <row r="643" ht="15.0" hidden="1" customHeight="1">
      <c r="A643" s="49" t="s">
        <v>617</v>
      </c>
      <c r="B643" s="50">
        <v>44104.0</v>
      </c>
      <c r="C643" s="49" t="s">
        <v>777</v>
      </c>
      <c r="D643" s="49">
        <v>0.0</v>
      </c>
    </row>
    <row r="644" ht="15.0" hidden="1" customHeight="1">
      <c r="A644" s="49" t="s">
        <v>622</v>
      </c>
      <c r="B644" s="50">
        <v>44104.0</v>
      </c>
      <c r="C644" s="49" t="s">
        <v>777</v>
      </c>
      <c r="D644" s="49">
        <v>0.0</v>
      </c>
    </row>
    <row r="645" ht="15.0" hidden="1" customHeight="1">
      <c r="A645" s="49" t="s">
        <v>627</v>
      </c>
      <c r="B645" s="50">
        <v>44104.0</v>
      </c>
      <c r="C645" s="49" t="s">
        <v>777</v>
      </c>
      <c r="D645" s="49">
        <v>0.0</v>
      </c>
    </row>
    <row r="646" ht="15.0" hidden="1" customHeight="1">
      <c r="A646" s="49" t="s">
        <v>631</v>
      </c>
      <c r="B646" s="50">
        <v>44104.0</v>
      </c>
      <c r="C646" s="49" t="s">
        <v>777</v>
      </c>
      <c r="D646" s="49">
        <v>0.0</v>
      </c>
    </row>
    <row r="647" ht="15.0" hidden="1" customHeight="1">
      <c r="A647" s="49" t="s">
        <v>636</v>
      </c>
      <c r="B647" s="50">
        <v>44104.0</v>
      </c>
      <c r="C647" s="49" t="s">
        <v>777</v>
      </c>
      <c r="D647" s="49">
        <v>0.0</v>
      </c>
    </row>
    <row r="648" ht="15.0" hidden="1" customHeight="1">
      <c r="A648" s="49" t="s">
        <v>640</v>
      </c>
      <c r="B648" s="50">
        <v>44104.0</v>
      </c>
      <c r="C648" s="49" t="s">
        <v>777</v>
      </c>
      <c r="D648" s="49">
        <v>0.0</v>
      </c>
    </row>
    <row r="649" ht="15.0" hidden="1" customHeight="1">
      <c r="A649" s="49" t="s">
        <v>644</v>
      </c>
      <c r="B649" s="50">
        <v>44104.0</v>
      </c>
      <c r="C649" s="49" t="s">
        <v>777</v>
      </c>
      <c r="D649" s="49">
        <v>0.0</v>
      </c>
    </row>
    <row r="650" ht="15.0" hidden="1" customHeight="1">
      <c r="A650" s="49" t="s">
        <v>649</v>
      </c>
      <c r="B650" s="50">
        <v>44104.0</v>
      </c>
      <c r="C650" s="49" t="s">
        <v>777</v>
      </c>
      <c r="D650" s="49">
        <v>0.0</v>
      </c>
    </row>
    <row r="651" ht="15.0" hidden="1" customHeight="1">
      <c r="A651" s="49" t="s">
        <v>654</v>
      </c>
      <c r="B651" s="50">
        <v>44104.0</v>
      </c>
      <c r="C651" s="49" t="s">
        <v>777</v>
      </c>
      <c r="D651" s="49">
        <v>0.0</v>
      </c>
    </row>
    <row r="652" ht="15.0" hidden="1" customHeight="1">
      <c r="A652" s="49" t="s">
        <v>659</v>
      </c>
      <c r="B652" s="50">
        <v>44104.0</v>
      </c>
      <c r="C652" s="49" t="s">
        <v>777</v>
      </c>
      <c r="D652" s="49">
        <v>0.0</v>
      </c>
    </row>
    <row r="653" ht="15.0" hidden="1" customHeight="1">
      <c r="A653" s="49" t="s">
        <v>664</v>
      </c>
      <c r="B653" s="50">
        <v>44104.0</v>
      </c>
      <c r="C653" s="49" t="s">
        <v>777</v>
      </c>
      <c r="D653" s="49">
        <v>0.0</v>
      </c>
    </row>
    <row r="654" ht="15.0" hidden="1" customHeight="1">
      <c r="A654" s="49" t="s">
        <v>669</v>
      </c>
      <c r="B654" s="50">
        <v>44104.0</v>
      </c>
      <c r="C654" s="49" t="s">
        <v>777</v>
      </c>
      <c r="D654" s="49">
        <v>0.0</v>
      </c>
    </row>
    <row r="655" ht="15.0" hidden="1" customHeight="1">
      <c r="A655" s="49" t="s">
        <v>674</v>
      </c>
      <c r="B655" s="50">
        <v>44104.0</v>
      </c>
      <c r="C655" s="49" t="s">
        <v>777</v>
      </c>
      <c r="D655" s="49">
        <v>0.0</v>
      </c>
    </row>
    <row r="656" ht="15.0" hidden="1" customHeight="1">
      <c r="A656" s="49" t="s">
        <v>679</v>
      </c>
      <c r="B656" s="50">
        <v>44104.0</v>
      </c>
      <c r="C656" s="49" t="s">
        <v>777</v>
      </c>
      <c r="D656" s="49">
        <v>0.0</v>
      </c>
    </row>
    <row r="657" ht="15.0" hidden="1" customHeight="1">
      <c r="A657" s="49" t="s">
        <v>684</v>
      </c>
      <c r="B657" s="50">
        <v>44104.0</v>
      </c>
      <c r="C657" s="49" t="s">
        <v>777</v>
      </c>
      <c r="D657" s="49">
        <v>0.0</v>
      </c>
    </row>
    <row r="658" ht="15.0" hidden="1" customHeight="1">
      <c r="A658" s="49" t="s">
        <v>689</v>
      </c>
      <c r="B658" s="50">
        <v>44104.0</v>
      </c>
      <c r="C658" s="49" t="s">
        <v>777</v>
      </c>
      <c r="D658" s="49">
        <v>0.0</v>
      </c>
    </row>
    <row r="659" ht="15.0" hidden="1" customHeight="1">
      <c r="A659" s="49" t="s">
        <v>694</v>
      </c>
      <c r="B659" s="50">
        <v>44104.0</v>
      </c>
      <c r="C659" s="49" t="s">
        <v>777</v>
      </c>
      <c r="D659" s="49">
        <v>0.0</v>
      </c>
    </row>
    <row r="660" ht="15.0" hidden="1" customHeight="1">
      <c r="A660" s="49" t="s">
        <v>699</v>
      </c>
      <c r="B660" s="50">
        <v>44104.0</v>
      </c>
      <c r="C660" s="49" t="s">
        <v>777</v>
      </c>
      <c r="D660" s="49">
        <v>0.0</v>
      </c>
    </row>
    <row r="661" ht="15.0" hidden="1" customHeight="1">
      <c r="A661" s="49" t="s">
        <v>705</v>
      </c>
      <c r="B661" s="50">
        <v>44104.0</v>
      </c>
      <c r="C661" s="49" t="s">
        <v>777</v>
      </c>
      <c r="D661" s="49">
        <v>0.0</v>
      </c>
    </row>
    <row r="662" ht="15.0" hidden="1" customHeight="1">
      <c r="A662" s="49" t="s">
        <v>710</v>
      </c>
      <c r="B662" s="50">
        <v>44104.0</v>
      </c>
      <c r="C662" s="49" t="s">
        <v>777</v>
      </c>
      <c r="D662" s="49">
        <v>0.0</v>
      </c>
    </row>
    <row r="663" ht="15.0" hidden="1" customHeight="1">
      <c r="A663" s="49" t="s">
        <v>715</v>
      </c>
      <c r="B663" s="50">
        <v>44104.0</v>
      </c>
      <c r="C663" s="49" t="s">
        <v>777</v>
      </c>
      <c r="D663" s="49">
        <v>0.0</v>
      </c>
    </row>
    <row r="664" ht="15.0" hidden="1" customHeight="1">
      <c r="A664" s="49" t="s">
        <v>765</v>
      </c>
      <c r="B664" s="50">
        <v>44104.0</v>
      </c>
      <c r="C664" s="49" t="s">
        <v>777</v>
      </c>
      <c r="D664" s="49">
        <v>0.0</v>
      </c>
    </row>
    <row r="665" ht="15.0" hidden="1" customHeight="1">
      <c r="A665" s="49" t="s">
        <v>720</v>
      </c>
      <c r="B665" s="50">
        <v>44104.0</v>
      </c>
      <c r="C665" s="49" t="s">
        <v>777</v>
      </c>
      <c r="D665" s="49">
        <v>0.0</v>
      </c>
    </row>
    <row r="666" ht="15.0" hidden="1" customHeight="1">
      <c r="A666" s="49" t="s">
        <v>725</v>
      </c>
      <c r="B666" s="50">
        <v>44104.0</v>
      </c>
      <c r="C666" s="49" t="s">
        <v>777</v>
      </c>
      <c r="D666" s="49">
        <v>0.0</v>
      </c>
    </row>
    <row r="667" ht="15.0" hidden="1" customHeight="1">
      <c r="A667" s="49" t="s">
        <v>730</v>
      </c>
      <c r="B667" s="50">
        <v>44104.0</v>
      </c>
      <c r="C667" s="49" t="s">
        <v>777</v>
      </c>
      <c r="D667" s="49">
        <v>0.0</v>
      </c>
    </row>
    <row r="668" ht="15.0" hidden="1" customHeight="1">
      <c r="A668" s="49" t="s">
        <v>734</v>
      </c>
      <c r="B668" s="50">
        <v>44104.0</v>
      </c>
      <c r="C668" s="49" t="s">
        <v>777</v>
      </c>
      <c r="D668" s="49">
        <v>0.0</v>
      </c>
    </row>
    <row r="669" ht="15.0" hidden="1" customHeight="1">
      <c r="A669" s="49" t="s">
        <v>739</v>
      </c>
      <c r="B669" s="50">
        <v>44104.0</v>
      </c>
      <c r="C669" s="49" t="s">
        <v>777</v>
      </c>
      <c r="D669" s="49">
        <v>0.0</v>
      </c>
    </row>
    <row r="670" ht="15.0" hidden="1" customHeight="1">
      <c r="A670" s="49" t="s">
        <v>744</v>
      </c>
      <c r="B670" s="50">
        <v>44104.0</v>
      </c>
      <c r="C670" s="49" t="s">
        <v>777</v>
      </c>
      <c r="D670" s="49">
        <v>0.0</v>
      </c>
    </row>
    <row r="671" ht="15.0" hidden="1" customHeight="1">
      <c r="A671" s="49" t="s">
        <v>749</v>
      </c>
      <c r="B671" s="50">
        <v>44104.0</v>
      </c>
      <c r="C671" s="49" t="s">
        <v>777</v>
      </c>
      <c r="D671" s="49">
        <v>0.0</v>
      </c>
    </row>
    <row r="672" ht="15.0" customHeight="1">
      <c r="A672" s="49" t="s">
        <v>776</v>
      </c>
      <c r="B672" s="50">
        <v>44104.0</v>
      </c>
      <c r="C672" s="49" t="s">
        <v>78</v>
      </c>
      <c r="D672" s="49">
        <v>2.71E7</v>
      </c>
    </row>
    <row r="673" ht="15.0" hidden="1" customHeight="1">
      <c r="A673" s="49" t="s">
        <v>778</v>
      </c>
      <c r="B673" s="50">
        <v>44104.0</v>
      </c>
      <c r="C673" s="49" t="s">
        <v>78</v>
      </c>
      <c r="D673" s="49">
        <v>900000.0</v>
      </c>
    </row>
    <row r="674" ht="15.0" hidden="1" customHeight="1">
      <c r="A674" s="49" t="s">
        <v>92</v>
      </c>
      <c r="B674" s="50">
        <v>44104.0</v>
      </c>
      <c r="C674" s="49" t="s">
        <v>78</v>
      </c>
      <c r="D674" s="49">
        <v>5651000.0</v>
      </c>
    </row>
    <row r="675" ht="15.0" hidden="1" customHeight="1">
      <c r="A675" s="49" t="s">
        <v>97</v>
      </c>
      <c r="B675" s="50">
        <v>44104.0</v>
      </c>
      <c r="C675" s="49" t="s">
        <v>78</v>
      </c>
      <c r="D675" s="49">
        <v>0.0</v>
      </c>
    </row>
    <row r="676" ht="15.0" hidden="1" customHeight="1">
      <c r="A676" s="49" t="s">
        <v>102</v>
      </c>
      <c r="B676" s="50">
        <v>44104.0</v>
      </c>
      <c r="C676" s="49" t="s">
        <v>78</v>
      </c>
      <c r="D676" s="49">
        <v>1000000.0</v>
      </c>
    </row>
    <row r="677" ht="15.0" hidden="1" customHeight="1">
      <c r="A677" s="49" t="s">
        <v>106</v>
      </c>
      <c r="B677" s="50">
        <v>44104.0</v>
      </c>
      <c r="C677" s="49" t="s">
        <v>78</v>
      </c>
      <c r="D677" s="49">
        <v>1849000.0</v>
      </c>
    </row>
    <row r="678" ht="15.0" hidden="1" customHeight="1">
      <c r="A678" s="49" t="s">
        <v>111</v>
      </c>
      <c r="B678" s="50">
        <v>44104.0</v>
      </c>
      <c r="C678" s="49" t="s">
        <v>78</v>
      </c>
      <c r="D678" s="49">
        <v>180000.0</v>
      </c>
    </row>
    <row r="679" ht="15.0" hidden="1" customHeight="1">
      <c r="A679" s="49" t="s">
        <v>116</v>
      </c>
      <c r="B679" s="50">
        <v>44104.0</v>
      </c>
      <c r="C679" s="49" t="s">
        <v>78</v>
      </c>
      <c r="D679" s="49">
        <v>800000.0</v>
      </c>
    </row>
    <row r="680" ht="15.0" hidden="1" customHeight="1">
      <c r="A680" s="49" t="s">
        <v>120</v>
      </c>
      <c r="B680" s="50">
        <v>44104.0</v>
      </c>
      <c r="C680" s="49" t="s">
        <v>78</v>
      </c>
      <c r="D680" s="49">
        <v>9391000.0</v>
      </c>
    </row>
    <row r="681" ht="15.0" hidden="1" customHeight="1">
      <c r="A681" s="49" t="s">
        <v>125</v>
      </c>
      <c r="B681" s="50">
        <v>44104.0</v>
      </c>
      <c r="C681" s="49" t="s">
        <v>78</v>
      </c>
      <c r="D681" s="49">
        <v>695780.0</v>
      </c>
    </row>
    <row r="682" ht="15.0" hidden="1" customHeight="1">
      <c r="A682" s="49" t="s">
        <v>130</v>
      </c>
      <c r="B682" s="50">
        <v>44104.0</v>
      </c>
      <c r="C682" s="49" t="s">
        <v>78</v>
      </c>
      <c r="D682" s="49">
        <v>2337926.0</v>
      </c>
    </row>
    <row r="683" ht="15.0" hidden="1" customHeight="1">
      <c r="A683" s="49" t="s">
        <v>137</v>
      </c>
      <c r="B683" s="50">
        <v>44104.0</v>
      </c>
      <c r="C683" s="49" t="s">
        <v>78</v>
      </c>
      <c r="D683" s="49">
        <v>0.0</v>
      </c>
    </row>
    <row r="684" ht="15.0" hidden="1" customHeight="1">
      <c r="A684" s="49" t="s">
        <v>142</v>
      </c>
      <c r="B684" s="50">
        <v>44104.0</v>
      </c>
      <c r="C684" s="49" t="s">
        <v>78</v>
      </c>
      <c r="D684" s="49">
        <v>500000.0</v>
      </c>
    </row>
    <row r="685" ht="15.0" hidden="1" customHeight="1">
      <c r="A685" s="49" t="s">
        <v>147</v>
      </c>
      <c r="B685" s="50">
        <v>44104.0</v>
      </c>
      <c r="C685" s="49" t="s">
        <v>78</v>
      </c>
      <c r="D685" s="49">
        <v>0.0</v>
      </c>
    </row>
    <row r="686" ht="15.0" hidden="1" customHeight="1">
      <c r="A686" s="49" t="s">
        <v>152</v>
      </c>
      <c r="B686" s="50">
        <v>44104.0</v>
      </c>
      <c r="C686" s="49" t="s">
        <v>78</v>
      </c>
      <c r="D686" s="49">
        <v>0.0</v>
      </c>
    </row>
    <row r="687" ht="15.0" hidden="1" customHeight="1">
      <c r="A687" s="49" t="s">
        <v>157</v>
      </c>
      <c r="B687" s="50">
        <v>44104.0</v>
      </c>
      <c r="C687" s="49" t="s">
        <v>78</v>
      </c>
      <c r="D687" s="49">
        <v>0.0</v>
      </c>
    </row>
    <row r="688" ht="15.0" hidden="1" customHeight="1">
      <c r="A688" s="49" t="s">
        <v>162</v>
      </c>
      <c r="B688" s="50">
        <v>44104.0</v>
      </c>
      <c r="C688" s="49" t="s">
        <v>78</v>
      </c>
      <c r="D688" s="49">
        <v>0.0</v>
      </c>
    </row>
    <row r="689" ht="15.0" hidden="1" customHeight="1">
      <c r="A689" s="49" t="s">
        <v>167</v>
      </c>
      <c r="B689" s="50">
        <v>44104.0</v>
      </c>
      <c r="C689" s="49" t="s">
        <v>78</v>
      </c>
      <c r="D689" s="49">
        <v>0.0</v>
      </c>
    </row>
    <row r="690" ht="15.0" hidden="1" customHeight="1">
      <c r="A690" s="49" t="s">
        <v>172</v>
      </c>
      <c r="B690" s="50">
        <v>44104.0</v>
      </c>
      <c r="C690" s="49" t="s">
        <v>78</v>
      </c>
      <c r="D690" s="49">
        <v>0.0</v>
      </c>
    </row>
    <row r="691" ht="15.0" hidden="1" customHeight="1">
      <c r="A691" s="49" t="s">
        <v>177</v>
      </c>
      <c r="B691" s="50">
        <v>44104.0</v>
      </c>
      <c r="C691" s="49" t="s">
        <v>78</v>
      </c>
      <c r="D691" s="49">
        <v>0.0</v>
      </c>
    </row>
    <row r="692" ht="15.0" hidden="1" customHeight="1">
      <c r="A692" s="49" t="s">
        <v>182</v>
      </c>
      <c r="B692" s="50">
        <v>44104.0</v>
      </c>
      <c r="C692" s="49" t="s">
        <v>78</v>
      </c>
      <c r="D692" s="49">
        <v>0.0</v>
      </c>
    </row>
    <row r="693" ht="15.0" hidden="1" customHeight="1">
      <c r="A693" s="49" t="s">
        <v>187</v>
      </c>
      <c r="B693" s="50">
        <v>44104.0</v>
      </c>
      <c r="C693" s="49" t="s">
        <v>78</v>
      </c>
      <c r="D693" s="49">
        <v>0.0</v>
      </c>
    </row>
    <row r="694" ht="15.0" hidden="1" customHeight="1">
      <c r="A694" s="49" t="s">
        <v>192</v>
      </c>
      <c r="B694" s="50">
        <v>44104.0</v>
      </c>
      <c r="C694" s="49" t="s">
        <v>78</v>
      </c>
      <c r="D694" s="49">
        <v>0.0</v>
      </c>
    </row>
    <row r="695" ht="15.0" hidden="1" customHeight="1">
      <c r="A695" s="49" t="s">
        <v>197</v>
      </c>
      <c r="B695" s="50">
        <v>44104.0</v>
      </c>
      <c r="C695" s="49" t="s">
        <v>78</v>
      </c>
      <c r="D695" s="49">
        <v>0.0</v>
      </c>
    </row>
    <row r="696" ht="15.0" hidden="1" customHeight="1">
      <c r="A696" s="49" t="s">
        <v>202</v>
      </c>
      <c r="B696" s="50">
        <v>44104.0</v>
      </c>
      <c r="C696" s="49" t="s">
        <v>78</v>
      </c>
      <c r="D696" s="49">
        <v>0.0</v>
      </c>
    </row>
    <row r="697" ht="15.0" hidden="1" customHeight="1">
      <c r="A697" s="49" t="s">
        <v>206</v>
      </c>
      <c r="B697" s="50">
        <v>44104.0</v>
      </c>
      <c r="C697" s="49" t="s">
        <v>78</v>
      </c>
      <c r="D697" s="49">
        <v>0.0</v>
      </c>
    </row>
    <row r="698" ht="15.0" hidden="1" customHeight="1">
      <c r="A698" s="49" t="s">
        <v>211</v>
      </c>
      <c r="B698" s="50">
        <v>44104.0</v>
      </c>
      <c r="C698" s="49" t="s">
        <v>78</v>
      </c>
      <c r="D698" s="49">
        <v>0.0</v>
      </c>
    </row>
    <row r="699" ht="15.0" hidden="1" customHeight="1">
      <c r="A699" s="49" t="s">
        <v>779</v>
      </c>
      <c r="B699" s="50">
        <v>44104.0</v>
      </c>
      <c r="C699" s="49" t="s">
        <v>78</v>
      </c>
      <c r="D699" s="49">
        <v>0.0</v>
      </c>
    </row>
    <row r="700" ht="15.0" hidden="1" customHeight="1">
      <c r="A700" s="49" t="s">
        <v>221</v>
      </c>
      <c r="B700" s="50">
        <v>44104.0</v>
      </c>
      <c r="C700" s="49" t="s">
        <v>78</v>
      </c>
      <c r="D700" s="49">
        <v>0.0</v>
      </c>
    </row>
    <row r="701" ht="15.0" hidden="1" customHeight="1">
      <c r="A701" s="49" t="s">
        <v>226</v>
      </c>
      <c r="B701" s="50">
        <v>44104.0</v>
      </c>
      <c r="C701" s="49" t="s">
        <v>78</v>
      </c>
      <c r="D701" s="49">
        <v>0.0</v>
      </c>
    </row>
    <row r="702" ht="15.0" hidden="1" customHeight="1">
      <c r="A702" s="49" t="s">
        <v>231</v>
      </c>
      <c r="B702" s="50">
        <v>44104.0</v>
      </c>
      <c r="C702" s="49" t="s">
        <v>78</v>
      </c>
      <c r="D702" s="49">
        <v>0.0</v>
      </c>
    </row>
    <row r="703" ht="15.0" hidden="1" customHeight="1">
      <c r="A703" s="49" t="s">
        <v>236</v>
      </c>
      <c r="B703" s="50">
        <v>44104.0</v>
      </c>
      <c r="C703" s="49" t="s">
        <v>78</v>
      </c>
      <c r="D703" s="49">
        <v>0.0</v>
      </c>
    </row>
    <row r="704" ht="15.0" hidden="1" customHeight="1">
      <c r="A704" s="49" t="s">
        <v>242</v>
      </c>
      <c r="B704" s="50">
        <v>44104.0</v>
      </c>
      <c r="C704" s="49" t="s">
        <v>78</v>
      </c>
      <c r="D704" s="49">
        <v>0.0</v>
      </c>
    </row>
    <row r="705" ht="15.0" hidden="1" customHeight="1">
      <c r="A705" s="49" t="s">
        <v>248</v>
      </c>
      <c r="B705" s="50">
        <v>44104.0</v>
      </c>
      <c r="C705" s="49" t="s">
        <v>78</v>
      </c>
      <c r="D705" s="49">
        <v>0.0</v>
      </c>
    </row>
    <row r="706" ht="15.0" hidden="1" customHeight="1">
      <c r="A706" s="49" t="s">
        <v>253</v>
      </c>
      <c r="B706" s="50">
        <v>44104.0</v>
      </c>
      <c r="C706" s="49" t="s">
        <v>78</v>
      </c>
      <c r="D706" s="49">
        <v>0.0</v>
      </c>
    </row>
    <row r="707" ht="15.0" hidden="1" customHeight="1">
      <c r="A707" s="49" t="s">
        <v>258</v>
      </c>
      <c r="B707" s="50">
        <v>44104.0</v>
      </c>
      <c r="C707" s="49" t="s">
        <v>78</v>
      </c>
      <c r="D707" s="49">
        <v>0.0</v>
      </c>
    </row>
    <row r="708" ht="15.0" hidden="1" customHeight="1">
      <c r="A708" s="49" t="s">
        <v>263</v>
      </c>
      <c r="B708" s="50">
        <v>44104.0</v>
      </c>
      <c r="C708" s="49" t="s">
        <v>78</v>
      </c>
      <c r="D708" s="49">
        <v>0.0</v>
      </c>
    </row>
    <row r="709" ht="15.0" hidden="1" customHeight="1">
      <c r="A709" s="49" t="s">
        <v>268</v>
      </c>
      <c r="B709" s="50">
        <v>44104.0</v>
      </c>
      <c r="C709" s="49" t="s">
        <v>78</v>
      </c>
      <c r="D709" s="49">
        <v>0.0</v>
      </c>
    </row>
    <row r="710" ht="15.0" hidden="1" customHeight="1">
      <c r="A710" s="49" t="s">
        <v>273</v>
      </c>
      <c r="B710" s="50">
        <v>44104.0</v>
      </c>
      <c r="C710" s="49" t="s">
        <v>78</v>
      </c>
      <c r="D710" s="49">
        <v>0.0</v>
      </c>
    </row>
    <row r="711" ht="15.0" hidden="1" customHeight="1">
      <c r="A711" s="49" t="s">
        <v>278</v>
      </c>
      <c r="B711" s="50">
        <v>44104.0</v>
      </c>
      <c r="C711" s="49" t="s">
        <v>78</v>
      </c>
      <c r="D711" s="49">
        <v>0.0</v>
      </c>
    </row>
    <row r="712" ht="15.0" hidden="1" customHeight="1">
      <c r="A712" s="49" t="s">
        <v>283</v>
      </c>
      <c r="B712" s="50">
        <v>44104.0</v>
      </c>
      <c r="C712" s="49" t="s">
        <v>78</v>
      </c>
      <c r="D712" s="49">
        <v>0.0</v>
      </c>
    </row>
    <row r="713" ht="15.0" hidden="1" customHeight="1">
      <c r="A713" s="49" t="s">
        <v>288</v>
      </c>
      <c r="B713" s="50">
        <v>44104.0</v>
      </c>
      <c r="C713" s="49" t="s">
        <v>78</v>
      </c>
      <c r="D713" s="49">
        <v>0.0</v>
      </c>
    </row>
    <row r="714" ht="15.0" hidden="1" customHeight="1">
      <c r="A714" s="49" t="s">
        <v>293</v>
      </c>
      <c r="B714" s="50">
        <v>44104.0</v>
      </c>
      <c r="C714" s="49" t="s">
        <v>78</v>
      </c>
      <c r="D714" s="49">
        <v>0.0</v>
      </c>
    </row>
    <row r="715" ht="15.0" hidden="1" customHeight="1">
      <c r="A715" s="49" t="s">
        <v>298</v>
      </c>
      <c r="B715" s="50">
        <v>44104.0</v>
      </c>
      <c r="C715" s="49" t="s">
        <v>78</v>
      </c>
      <c r="D715" s="49">
        <v>0.0</v>
      </c>
    </row>
    <row r="716" ht="15.0" hidden="1" customHeight="1">
      <c r="A716" s="49" t="s">
        <v>303</v>
      </c>
      <c r="B716" s="50">
        <v>44104.0</v>
      </c>
      <c r="C716" s="49" t="s">
        <v>78</v>
      </c>
      <c r="D716" s="49">
        <v>0.0</v>
      </c>
    </row>
    <row r="717" ht="15.0" hidden="1" customHeight="1">
      <c r="A717" s="49" t="s">
        <v>307</v>
      </c>
      <c r="B717" s="50">
        <v>44104.0</v>
      </c>
      <c r="C717" s="49" t="s">
        <v>78</v>
      </c>
      <c r="D717" s="49">
        <v>0.0</v>
      </c>
    </row>
    <row r="718" ht="15.0" hidden="1" customHeight="1">
      <c r="A718" s="49" t="s">
        <v>313</v>
      </c>
      <c r="B718" s="50">
        <v>44104.0</v>
      </c>
      <c r="C718" s="49" t="s">
        <v>78</v>
      </c>
      <c r="D718" s="49">
        <v>0.0</v>
      </c>
    </row>
    <row r="719" ht="15.0" hidden="1" customHeight="1">
      <c r="A719" s="49" t="s">
        <v>318</v>
      </c>
      <c r="B719" s="50">
        <v>44104.0</v>
      </c>
      <c r="C719" s="49" t="s">
        <v>78</v>
      </c>
      <c r="D719" s="49">
        <v>0.0</v>
      </c>
    </row>
    <row r="720" ht="15.0" hidden="1" customHeight="1">
      <c r="A720" s="49" t="s">
        <v>323</v>
      </c>
      <c r="B720" s="50">
        <v>44104.0</v>
      </c>
      <c r="C720" s="49" t="s">
        <v>78</v>
      </c>
      <c r="D720" s="49">
        <v>0.0</v>
      </c>
    </row>
    <row r="721" ht="15.0" hidden="1" customHeight="1">
      <c r="A721" s="49" t="s">
        <v>328</v>
      </c>
      <c r="B721" s="50">
        <v>44104.0</v>
      </c>
      <c r="C721" s="49" t="s">
        <v>78</v>
      </c>
      <c r="D721" s="49">
        <v>0.0</v>
      </c>
    </row>
    <row r="722" ht="15.0" hidden="1" customHeight="1">
      <c r="A722" s="49" t="s">
        <v>335</v>
      </c>
      <c r="B722" s="50">
        <v>44104.0</v>
      </c>
      <c r="C722" s="49" t="s">
        <v>78</v>
      </c>
      <c r="D722" s="49">
        <v>0.0</v>
      </c>
    </row>
    <row r="723" ht="15.0" hidden="1" customHeight="1">
      <c r="A723" s="49" t="s">
        <v>340</v>
      </c>
      <c r="B723" s="50">
        <v>44104.0</v>
      </c>
      <c r="C723" s="49" t="s">
        <v>78</v>
      </c>
      <c r="D723" s="49">
        <v>0.0</v>
      </c>
    </row>
    <row r="724" ht="15.0" hidden="1" customHeight="1">
      <c r="A724" s="49" t="s">
        <v>345</v>
      </c>
      <c r="B724" s="50">
        <v>44104.0</v>
      </c>
      <c r="C724" s="49" t="s">
        <v>78</v>
      </c>
      <c r="D724" s="49">
        <v>0.0</v>
      </c>
    </row>
    <row r="725" ht="15.0" hidden="1" customHeight="1">
      <c r="A725" s="49" t="s">
        <v>350</v>
      </c>
      <c r="B725" s="50">
        <v>44104.0</v>
      </c>
      <c r="C725" s="49" t="s">
        <v>78</v>
      </c>
      <c r="D725" s="49">
        <v>0.0</v>
      </c>
    </row>
    <row r="726" ht="15.0" hidden="1" customHeight="1">
      <c r="A726" s="49" t="s">
        <v>355</v>
      </c>
      <c r="B726" s="50">
        <v>44104.0</v>
      </c>
      <c r="C726" s="49" t="s">
        <v>78</v>
      </c>
      <c r="D726" s="49">
        <v>0.0</v>
      </c>
    </row>
    <row r="727" ht="15.0" hidden="1" customHeight="1">
      <c r="A727" s="49" t="s">
        <v>360</v>
      </c>
      <c r="B727" s="50">
        <v>44104.0</v>
      </c>
      <c r="C727" s="49" t="s">
        <v>78</v>
      </c>
      <c r="D727" s="49">
        <v>0.0</v>
      </c>
    </row>
    <row r="728" ht="15.0" hidden="1" customHeight="1">
      <c r="A728" s="49" t="s">
        <v>365</v>
      </c>
      <c r="B728" s="50">
        <v>44104.0</v>
      </c>
      <c r="C728" s="49" t="s">
        <v>78</v>
      </c>
      <c r="D728" s="49">
        <v>0.0</v>
      </c>
    </row>
    <row r="729" ht="15.0" hidden="1" customHeight="1">
      <c r="A729" s="49" t="s">
        <v>370</v>
      </c>
      <c r="B729" s="50">
        <v>44104.0</v>
      </c>
      <c r="C729" s="49" t="s">
        <v>78</v>
      </c>
      <c r="D729" s="49">
        <v>0.0</v>
      </c>
    </row>
    <row r="730" ht="15.0" hidden="1" customHeight="1">
      <c r="A730" s="49" t="s">
        <v>375</v>
      </c>
      <c r="B730" s="50">
        <v>44104.0</v>
      </c>
      <c r="C730" s="49" t="s">
        <v>78</v>
      </c>
      <c r="D730" s="49">
        <v>0.0</v>
      </c>
    </row>
    <row r="731" ht="15.0" hidden="1" customHeight="1">
      <c r="A731" s="49" t="s">
        <v>380</v>
      </c>
      <c r="B731" s="50">
        <v>44104.0</v>
      </c>
      <c r="C731" s="49" t="s">
        <v>78</v>
      </c>
      <c r="D731" s="49">
        <v>0.0</v>
      </c>
    </row>
    <row r="732" ht="15.0" hidden="1" customHeight="1">
      <c r="A732" s="49" t="s">
        <v>385</v>
      </c>
      <c r="B732" s="50">
        <v>44104.0</v>
      </c>
      <c r="C732" s="49" t="s">
        <v>78</v>
      </c>
      <c r="D732" s="49">
        <v>0.0</v>
      </c>
    </row>
    <row r="733" ht="15.0" hidden="1" customHeight="1">
      <c r="A733" s="49" t="s">
        <v>390</v>
      </c>
      <c r="B733" s="50">
        <v>44104.0</v>
      </c>
      <c r="C733" s="49" t="s">
        <v>78</v>
      </c>
      <c r="D733" s="49">
        <v>0.0</v>
      </c>
    </row>
    <row r="734" ht="15.0" hidden="1" customHeight="1">
      <c r="A734" s="49" t="s">
        <v>395</v>
      </c>
      <c r="B734" s="50">
        <v>44104.0</v>
      </c>
      <c r="C734" s="49" t="s">
        <v>78</v>
      </c>
      <c r="D734" s="49">
        <v>0.0</v>
      </c>
    </row>
    <row r="735" ht="15.0" hidden="1" customHeight="1">
      <c r="A735" s="49" t="s">
        <v>400</v>
      </c>
      <c r="B735" s="50">
        <v>44104.0</v>
      </c>
      <c r="C735" s="49" t="s">
        <v>78</v>
      </c>
      <c r="D735" s="49">
        <v>0.0</v>
      </c>
    </row>
    <row r="736" ht="15.0" hidden="1" customHeight="1">
      <c r="A736" s="49" t="s">
        <v>405</v>
      </c>
      <c r="B736" s="50">
        <v>44104.0</v>
      </c>
      <c r="C736" s="49" t="s">
        <v>78</v>
      </c>
      <c r="D736" s="49">
        <v>0.0</v>
      </c>
    </row>
    <row r="737" ht="15.0" hidden="1" customHeight="1">
      <c r="A737" s="49" t="s">
        <v>410</v>
      </c>
      <c r="B737" s="50">
        <v>44104.0</v>
      </c>
      <c r="C737" s="49" t="s">
        <v>78</v>
      </c>
      <c r="D737" s="49">
        <v>0.0</v>
      </c>
    </row>
    <row r="738" ht="15.0" hidden="1" customHeight="1">
      <c r="A738" s="49" t="s">
        <v>415</v>
      </c>
      <c r="B738" s="50">
        <v>44104.0</v>
      </c>
      <c r="C738" s="49" t="s">
        <v>78</v>
      </c>
      <c r="D738" s="49">
        <v>0.0</v>
      </c>
    </row>
    <row r="739" ht="15.0" hidden="1" customHeight="1">
      <c r="A739" s="49" t="s">
        <v>420</v>
      </c>
      <c r="B739" s="50">
        <v>44104.0</v>
      </c>
      <c r="C739" s="49" t="s">
        <v>78</v>
      </c>
      <c r="D739" s="49">
        <v>0.0</v>
      </c>
    </row>
    <row r="740" ht="15.0" hidden="1" customHeight="1">
      <c r="A740" s="49" t="s">
        <v>425</v>
      </c>
      <c r="B740" s="50">
        <v>44104.0</v>
      </c>
      <c r="C740" s="49" t="s">
        <v>78</v>
      </c>
      <c r="D740" s="49">
        <v>0.0</v>
      </c>
    </row>
    <row r="741" ht="15.0" hidden="1" customHeight="1">
      <c r="A741" s="49" t="s">
        <v>430</v>
      </c>
      <c r="B741" s="50">
        <v>44104.0</v>
      </c>
      <c r="C741" s="49" t="s">
        <v>78</v>
      </c>
      <c r="D741" s="49">
        <v>0.0</v>
      </c>
    </row>
    <row r="742" ht="15.0" hidden="1" customHeight="1">
      <c r="A742" s="49" t="s">
        <v>434</v>
      </c>
      <c r="B742" s="50">
        <v>44104.0</v>
      </c>
      <c r="C742" s="49" t="s">
        <v>78</v>
      </c>
      <c r="D742" s="49">
        <v>0.0</v>
      </c>
    </row>
    <row r="743" ht="15.0" hidden="1" customHeight="1">
      <c r="A743" s="49" t="s">
        <v>439</v>
      </c>
      <c r="B743" s="50">
        <v>44104.0</v>
      </c>
      <c r="C743" s="49" t="s">
        <v>78</v>
      </c>
      <c r="D743" s="49">
        <v>0.0</v>
      </c>
    </row>
    <row r="744" ht="15.0" hidden="1" customHeight="1">
      <c r="A744" s="49" t="s">
        <v>444</v>
      </c>
      <c r="B744" s="50">
        <v>44104.0</v>
      </c>
      <c r="C744" s="49" t="s">
        <v>78</v>
      </c>
      <c r="D744" s="49">
        <v>0.0</v>
      </c>
    </row>
    <row r="745" ht="15.0" hidden="1" customHeight="1">
      <c r="A745" s="49" t="s">
        <v>449</v>
      </c>
      <c r="B745" s="50">
        <v>44104.0</v>
      </c>
      <c r="C745" s="49" t="s">
        <v>78</v>
      </c>
      <c r="D745" s="49">
        <v>0.0</v>
      </c>
    </row>
    <row r="746" ht="15.0" hidden="1" customHeight="1">
      <c r="A746" s="49" t="s">
        <v>455</v>
      </c>
      <c r="B746" s="50">
        <v>44104.0</v>
      </c>
      <c r="C746" s="49" t="s">
        <v>78</v>
      </c>
      <c r="D746" s="49">
        <v>0.0</v>
      </c>
    </row>
    <row r="747" ht="15.0" hidden="1" customHeight="1">
      <c r="A747" s="49" t="s">
        <v>470</v>
      </c>
      <c r="B747" s="50">
        <v>44104.0</v>
      </c>
      <c r="C747" s="49" t="s">
        <v>78</v>
      </c>
      <c r="D747" s="49">
        <v>0.0</v>
      </c>
    </row>
    <row r="748" ht="15.0" hidden="1" customHeight="1">
      <c r="A748" s="49" t="s">
        <v>476</v>
      </c>
      <c r="B748" s="50">
        <v>44104.0</v>
      </c>
      <c r="C748" s="49" t="s">
        <v>78</v>
      </c>
      <c r="D748" s="49">
        <v>0.0</v>
      </c>
    </row>
    <row r="749" ht="15.0" hidden="1" customHeight="1">
      <c r="A749" s="49" t="s">
        <v>481</v>
      </c>
      <c r="B749" s="50">
        <v>44104.0</v>
      </c>
      <c r="C749" s="49" t="s">
        <v>78</v>
      </c>
      <c r="D749" s="49">
        <v>0.0</v>
      </c>
    </row>
    <row r="750" ht="15.0" hidden="1" customHeight="1">
      <c r="A750" s="49" t="s">
        <v>486</v>
      </c>
      <c r="B750" s="50">
        <v>44104.0</v>
      </c>
      <c r="C750" s="49" t="s">
        <v>78</v>
      </c>
      <c r="D750" s="49">
        <v>0.0</v>
      </c>
    </row>
    <row r="751" ht="15.0" hidden="1" customHeight="1">
      <c r="A751" s="49" t="s">
        <v>491</v>
      </c>
      <c r="B751" s="50">
        <v>44104.0</v>
      </c>
      <c r="C751" s="49" t="s">
        <v>78</v>
      </c>
      <c r="D751" s="49">
        <v>0.0</v>
      </c>
    </row>
    <row r="752" ht="15.0" hidden="1" customHeight="1">
      <c r="A752" s="49" t="s">
        <v>496</v>
      </c>
      <c r="B752" s="50">
        <v>44104.0</v>
      </c>
      <c r="C752" s="49" t="s">
        <v>78</v>
      </c>
      <c r="D752" s="49">
        <v>0.0</v>
      </c>
    </row>
    <row r="753" ht="15.0" hidden="1" customHeight="1">
      <c r="A753" s="49" t="s">
        <v>501</v>
      </c>
      <c r="B753" s="50">
        <v>44104.0</v>
      </c>
      <c r="C753" s="49" t="s">
        <v>78</v>
      </c>
      <c r="D753" s="49">
        <v>0.0</v>
      </c>
    </row>
    <row r="754" ht="15.0" hidden="1" customHeight="1">
      <c r="A754" s="49" t="s">
        <v>506</v>
      </c>
      <c r="B754" s="50">
        <v>44104.0</v>
      </c>
      <c r="C754" s="49" t="s">
        <v>78</v>
      </c>
      <c r="D754" s="49">
        <v>0.0</v>
      </c>
    </row>
    <row r="755" ht="15.0" hidden="1" customHeight="1">
      <c r="A755" s="49" t="s">
        <v>512</v>
      </c>
      <c r="B755" s="50">
        <v>44104.0</v>
      </c>
      <c r="C755" s="49" t="s">
        <v>78</v>
      </c>
      <c r="D755" s="49">
        <v>0.0</v>
      </c>
    </row>
    <row r="756" ht="15.0" hidden="1" customHeight="1">
      <c r="A756" s="49" t="s">
        <v>517</v>
      </c>
      <c r="B756" s="50">
        <v>44104.0</v>
      </c>
      <c r="C756" s="49" t="s">
        <v>78</v>
      </c>
      <c r="D756" s="49">
        <v>0.0</v>
      </c>
    </row>
    <row r="757" ht="15.0" hidden="1" customHeight="1">
      <c r="A757" s="49" t="s">
        <v>522</v>
      </c>
      <c r="B757" s="50">
        <v>44104.0</v>
      </c>
      <c r="C757" s="49" t="s">
        <v>78</v>
      </c>
      <c r="D757" s="49">
        <v>0.0</v>
      </c>
    </row>
    <row r="758" ht="15.0" hidden="1" customHeight="1">
      <c r="A758" s="49" t="s">
        <v>528</v>
      </c>
      <c r="B758" s="50">
        <v>44104.0</v>
      </c>
      <c r="C758" s="49" t="s">
        <v>78</v>
      </c>
      <c r="D758" s="49">
        <v>0.0</v>
      </c>
    </row>
    <row r="759" ht="15.0" hidden="1" customHeight="1">
      <c r="A759" s="49" t="s">
        <v>533</v>
      </c>
      <c r="B759" s="50">
        <v>44104.0</v>
      </c>
      <c r="C759" s="49" t="s">
        <v>78</v>
      </c>
      <c r="D759" s="49">
        <v>0.0</v>
      </c>
    </row>
    <row r="760" ht="15.0" hidden="1" customHeight="1">
      <c r="A760" s="49" t="s">
        <v>538</v>
      </c>
      <c r="B760" s="50">
        <v>44104.0</v>
      </c>
      <c r="C760" s="49" t="s">
        <v>78</v>
      </c>
      <c r="D760" s="49">
        <v>0.0</v>
      </c>
    </row>
    <row r="761" ht="15.0" hidden="1" customHeight="1">
      <c r="A761" s="49" t="s">
        <v>546</v>
      </c>
      <c r="B761" s="50">
        <v>44104.0</v>
      </c>
      <c r="C761" s="49" t="s">
        <v>78</v>
      </c>
      <c r="D761" s="49">
        <v>0.0</v>
      </c>
    </row>
    <row r="762" ht="15.0" hidden="1" customHeight="1">
      <c r="A762" s="49" t="s">
        <v>551</v>
      </c>
      <c r="B762" s="50">
        <v>44104.0</v>
      </c>
      <c r="C762" s="49" t="s">
        <v>78</v>
      </c>
      <c r="D762" s="49">
        <v>0.0</v>
      </c>
    </row>
    <row r="763" ht="15.0" hidden="1" customHeight="1">
      <c r="A763" s="49" t="s">
        <v>556</v>
      </c>
      <c r="B763" s="50">
        <v>44104.0</v>
      </c>
      <c r="C763" s="49" t="s">
        <v>78</v>
      </c>
      <c r="D763" s="49">
        <v>0.0</v>
      </c>
    </row>
    <row r="764" ht="15.0" hidden="1" customHeight="1">
      <c r="A764" s="49" t="s">
        <v>561</v>
      </c>
      <c r="B764" s="50">
        <v>44104.0</v>
      </c>
      <c r="C764" s="49" t="s">
        <v>78</v>
      </c>
      <c r="D764" s="49">
        <v>0.0</v>
      </c>
    </row>
    <row r="765" ht="15.0" hidden="1" customHeight="1">
      <c r="A765" s="49" t="s">
        <v>566</v>
      </c>
      <c r="B765" s="50">
        <v>44104.0</v>
      </c>
      <c r="C765" s="49" t="s">
        <v>78</v>
      </c>
      <c r="D765" s="49">
        <v>0.0</v>
      </c>
    </row>
    <row r="766" ht="15.0" hidden="1" customHeight="1">
      <c r="A766" s="49" t="s">
        <v>571</v>
      </c>
      <c r="B766" s="50">
        <v>44104.0</v>
      </c>
      <c r="C766" s="49" t="s">
        <v>78</v>
      </c>
      <c r="D766" s="49">
        <v>0.0</v>
      </c>
    </row>
    <row r="767" ht="15.0" hidden="1" customHeight="1">
      <c r="A767" s="49" t="s">
        <v>576</v>
      </c>
      <c r="B767" s="50">
        <v>44104.0</v>
      </c>
      <c r="C767" s="49" t="s">
        <v>78</v>
      </c>
      <c r="D767" s="49">
        <v>0.0</v>
      </c>
    </row>
    <row r="768" ht="15.0" hidden="1" customHeight="1">
      <c r="A768" s="49" t="s">
        <v>581</v>
      </c>
      <c r="B768" s="50">
        <v>44104.0</v>
      </c>
      <c r="C768" s="49" t="s">
        <v>78</v>
      </c>
      <c r="D768" s="49">
        <v>0.0</v>
      </c>
    </row>
    <row r="769" ht="15.0" hidden="1" customHeight="1">
      <c r="A769" s="49" t="s">
        <v>586</v>
      </c>
      <c r="B769" s="50">
        <v>44104.0</v>
      </c>
      <c r="C769" s="49" t="s">
        <v>78</v>
      </c>
      <c r="D769" s="49">
        <v>0.0</v>
      </c>
    </row>
    <row r="770" ht="15.0" hidden="1" customHeight="1">
      <c r="A770" s="49" t="s">
        <v>754</v>
      </c>
      <c r="B770" s="50">
        <v>44104.0</v>
      </c>
      <c r="C770" s="49" t="s">
        <v>78</v>
      </c>
      <c r="D770" s="49">
        <v>0.0</v>
      </c>
    </row>
    <row r="771" ht="15.0" hidden="1" customHeight="1">
      <c r="A771" s="49" t="s">
        <v>591</v>
      </c>
      <c r="B771" s="50">
        <v>44104.0</v>
      </c>
      <c r="C771" s="49" t="s">
        <v>78</v>
      </c>
      <c r="D771" s="49">
        <v>0.0</v>
      </c>
    </row>
    <row r="772" ht="15.0" hidden="1" customHeight="1">
      <c r="A772" s="49" t="s">
        <v>759</v>
      </c>
      <c r="B772" s="50">
        <v>44104.0</v>
      </c>
      <c r="C772" s="49" t="s">
        <v>78</v>
      </c>
      <c r="D772" s="49">
        <v>0.0</v>
      </c>
    </row>
    <row r="773" ht="15.0" hidden="1" customHeight="1">
      <c r="A773" s="49" t="s">
        <v>596</v>
      </c>
      <c r="B773" s="50">
        <v>44104.0</v>
      </c>
      <c r="C773" s="49" t="s">
        <v>78</v>
      </c>
      <c r="D773" s="49">
        <v>0.0</v>
      </c>
    </row>
    <row r="774" ht="15.0" hidden="1" customHeight="1">
      <c r="A774" s="49" t="s">
        <v>602</v>
      </c>
      <c r="B774" s="50">
        <v>44104.0</v>
      </c>
      <c r="C774" s="49" t="s">
        <v>78</v>
      </c>
      <c r="D774" s="49">
        <v>0.0</v>
      </c>
    </row>
    <row r="775" ht="15.0" hidden="1" customHeight="1">
      <c r="A775" s="49" t="s">
        <v>607</v>
      </c>
      <c r="B775" s="50">
        <v>44104.0</v>
      </c>
      <c r="C775" s="49" t="s">
        <v>78</v>
      </c>
      <c r="D775" s="49">
        <v>0.0</v>
      </c>
    </row>
    <row r="776" ht="15.0" hidden="1" customHeight="1">
      <c r="A776" s="49" t="s">
        <v>612</v>
      </c>
      <c r="B776" s="50">
        <v>44104.0</v>
      </c>
      <c r="C776" s="49" t="s">
        <v>78</v>
      </c>
      <c r="D776" s="49">
        <v>0.0</v>
      </c>
    </row>
    <row r="777" ht="15.0" hidden="1" customHeight="1">
      <c r="A777" s="49" t="s">
        <v>617</v>
      </c>
      <c r="B777" s="50">
        <v>44104.0</v>
      </c>
      <c r="C777" s="49" t="s">
        <v>78</v>
      </c>
      <c r="D777" s="49">
        <v>0.0</v>
      </c>
    </row>
    <row r="778" ht="15.0" hidden="1" customHeight="1">
      <c r="A778" s="49" t="s">
        <v>622</v>
      </c>
      <c r="B778" s="50">
        <v>44104.0</v>
      </c>
      <c r="C778" s="49" t="s">
        <v>78</v>
      </c>
      <c r="D778" s="49">
        <v>0.0</v>
      </c>
    </row>
    <row r="779" ht="15.0" hidden="1" customHeight="1">
      <c r="A779" s="49" t="s">
        <v>627</v>
      </c>
      <c r="B779" s="50">
        <v>44104.0</v>
      </c>
      <c r="C779" s="49" t="s">
        <v>78</v>
      </c>
      <c r="D779" s="49">
        <v>0.0</v>
      </c>
    </row>
    <row r="780" ht="15.0" hidden="1" customHeight="1">
      <c r="A780" s="49" t="s">
        <v>631</v>
      </c>
      <c r="B780" s="50">
        <v>44104.0</v>
      </c>
      <c r="C780" s="49" t="s">
        <v>78</v>
      </c>
      <c r="D780" s="49">
        <v>0.0</v>
      </c>
    </row>
    <row r="781" ht="15.0" hidden="1" customHeight="1">
      <c r="A781" s="49" t="s">
        <v>636</v>
      </c>
      <c r="B781" s="50">
        <v>44104.0</v>
      </c>
      <c r="C781" s="49" t="s">
        <v>78</v>
      </c>
      <c r="D781" s="49">
        <v>0.0</v>
      </c>
    </row>
    <row r="782" ht="15.0" hidden="1" customHeight="1">
      <c r="A782" s="49" t="s">
        <v>640</v>
      </c>
      <c r="B782" s="50">
        <v>44104.0</v>
      </c>
      <c r="C782" s="49" t="s">
        <v>78</v>
      </c>
      <c r="D782" s="49">
        <v>0.0</v>
      </c>
    </row>
    <row r="783" ht="15.0" hidden="1" customHeight="1">
      <c r="A783" s="49" t="s">
        <v>644</v>
      </c>
      <c r="B783" s="50">
        <v>44104.0</v>
      </c>
      <c r="C783" s="49" t="s">
        <v>78</v>
      </c>
      <c r="D783" s="49">
        <v>0.0</v>
      </c>
    </row>
    <row r="784" ht="15.0" hidden="1" customHeight="1">
      <c r="A784" s="49" t="s">
        <v>649</v>
      </c>
      <c r="B784" s="50">
        <v>44104.0</v>
      </c>
      <c r="C784" s="49" t="s">
        <v>78</v>
      </c>
      <c r="D784" s="49">
        <v>0.0</v>
      </c>
    </row>
    <row r="785" ht="15.0" hidden="1" customHeight="1">
      <c r="A785" s="49" t="s">
        <v>654</v>
      </c>
      <c r="B785" s="50">
        <v>44104.0</v>
      </c>
      <c r="C785" s="49" t="s">
        <v>78</v>
      </c>
      <c r="D785" s="49">
        <v>0.0</v>
      </c>
    </row>
    <row r="786" ht="15.0" hidden="1" customHeight="1">
      <c r="A786" s="49" t="s">
        <v>659</v>
      </c>
      <c r="B786" s="50">
        <v>44104.0</v>
      </c>
      <c r="C786" s="49" t="s">
        <v>78</v>
      </c>
      <c r="D786" s="49">
        <v>0.0</v>
      </c>
    </row>
    <row r="787" ht="15.0" hidden="1" customHeight="1">
      <c r="A787" s="49" t="s">
        <v>664</v>
      </c>
      <c r="B787" s="50">
        <v>44104.0</v>
      </c>
      <c r="C787" s="49" t="s">
        <v>78</v>
      </c>
      <c r="D787" s="49">
        <v>0.0</v>
      </c>
    </row>
    <row r="788" ht="15.0" hidden="1" customHeight="1">
      <c r="A788" s="49" t="s">
        <v>669</v>
      </c>
      <c r="B788" s="50">
        <v>44104.0</v>
      </c>
      <c r="C788" s="49" t="s">
        <v>78</v>
      </c>
      <c r="D788" s="49">
        <v>0.0</v>
      </c>
    </row>
    <row r="789" ht="15.0" hidden="1" customHeight="1">
      <c r="A789" s="49" t="s">
        <v>674</v>
      </c>
      <c r="B789" s="50">
        <v>44104.0</v>
      </c>
      <c r="C789" s="49" t="s">
        <v>78</v>
      </c>
      <c r="D789" s="49">
        <v>0.0</v>
      </c>
    </row>
    <row r="790" ht="15.0" hidden="1" customHeight="1">
      <c r="A790" s="49" t="s">
        <v>679</v>
      </c>
      <c r="B790" s="50">
        <v>44104.0</v>
      </c>
      <c r="C790" s="49" t="s">
        <v>78</v>
      </c>
      <c r="D790" s="49">
        <v>0.0</v>
      </c>
    </row>
    <row r="791" ht="15.0" hidden="1" customHeight="1">
      <c r="A791" s="49" t="s">
        <v>684</v>
      </c>
      <c r="B791" s="50">
        <v>44104.0</v>
      </c>
      <c r="C791" s="49" t="s">
        <v>78</v>
      </c>
      <c r="D791" s="49">
        <v>0.0</v>
      </c>
    </row>
    <row r="792" ht="15.0" hidden="1" customHeight="1">
      <c r="A792" s="49" t="s">
        <v>689</v>
      </c>
      <c r="B792" s="50">
        <v>44104.0</v>
      </c>
      <c r="C792" s="49" t="s">
        <v>78</v>
      </c>
      <c r="D792" s="49">
        <v>0.0</v>
      </c>
    </row>
    <row r="793" ht="15.0" hidden="1" customHeight="1">
      <c r="A793" s="49" t="s">
        <v>694</v>
      </c>
      <c r="B793" s="50">
        <v>44104.0</v>
      </c>
      <c r="C793" s="49" t="s">
        <v>78</v>
      </c>
      <c r="D793" s="49">
        <v>0.0</v>
      </c>
    </row>
    <row r="794" ht="15.0" hidden="1" customHeight="1">
      <c r="A794" s="49" t="s">
        <v>699</v>
      </c>
      <c r="B794" s="50">
        <v>44104.0</v>
      </c>
      <c r="C794" s="49" t="s">
        <v>78</v>
      </c>
      <c r="D794" s="49">
        <v>0.0</v>
      </c>
    </row>
    <row r="795" ht="15.0" hidden="1" customHeight="1">
      <c r="A795" s="49" t="s">
        <v>705</v>
      </c>
      <c r="B795" s="50">
        <v>44104.0</v>
      </c>
      <c r="C795" s="49" t="s">
        <v>78</v>
      </c>
      <c r="D795" s="49">
        <v>0.0</v>
      </c>
    </row>
    <row r="796" ht="15.0" hidden="1" customHeight="1">
      <c r="A796" s="49" t="s">
        <v>710</v>
      </c>
      <c r="B796" s="50">
        <v>44104.0</v>
      </c>
      <c r="C796" s="49" t="s">
        <v>78</v>
      </c>
      <c r="D796" s="49">
        <v>0.0</v>
      </c>
    </row>
    <row r="797" ht="15.0" hidden="1" customHeight="1">
      <c r="A797" s="49" t="s">
        <v>715</v>
      </c>
      <c r="B797" s="50">
        <v>44104.0</v>
      </c>
      <c r="C797" s="49" t="s">
        <v>78</v>
      </c>
      <c r="D797" s="49">
        <v>0.0</v>
      </c>
    </row>
    <row r="798" ht="15.0" hidden="1" customHeight="1">
      <c r="A798" s="49" t="s">
        <v>765</v>
      </c>
      <c r="B798" s="50">
        <v>44104.0</v>
      </c>
      <c r="C798" s="49" t="s">
        <v>78</v>
      </c>
      <c r="D798" s="49">
        <v>0.0</v>
      </c>
    </row>
    <row r="799" ht="15.0" hidden="1" customHeight="1">
      <c r="A799" s="49" t="s">
        <v>720</v>
      </c>
      <c r="B799" s="50">
        <v>44104.0</v>
      </c>
      <c r="C799" s="49" t="s">
        <v>78</v>
      </c>
      <c r="D799" s="49">
        <v>0.0</v>
      </c>
    </row>
    <row r="800" ht="15.0" hidden="1" customHeight="1">
      <c r="A800" s="49" t="s">
        <v>725</v>
      </c>
      <c r="B800" s="50">
        <v>44104.0</v>
      </c>
      <c r="C800" s="49" t="s">
        <v>78</v>
      </c>
      <c r="D800" s="49">
        <v>0.0</v>
      </c>
    </row>
    <row r="801" ht="15.0" hidden="1" customHeight="1">
      <c r="A801" s="49" t="s">
        <v>730</v>
      </c>
      <c r="B801" s="50">
        <v>44104.0</v>
      </c>
      <c r="C801" s="49" t="s">
        <v>78</v>
      </c>
      <c r="D801" s="49">
        <v>0.0</v>
      </c>
    </row>
    <row r="802" ht="15.0" hidden="1" customHeight="1">
      <c r="A802" s="49" t="s">
        <v>734</v>
      </c>
      <c r="B802" s="50">
        <v>44104.0</v>
      </c>
      <c r="C802" s="49" t="s">
        <v>78</v>
      </c>
      <c r="D802" s="49">
        <v>0.0</v>
      </c>
    </row>
    <row r="803" ht="15.0" hidden="1" customHeight="1">
      <c r="A803" s="49" t="s">
        <v>739</v>
      </c>
      <c r="B803" s="50">
        <v>44104.0</v>
      </c>
      <c r="C803" s="49" t="s">
        <v>78</v>
      </c>
      <c r="D803" s="49">
        <v>0.0</v>
      </c>
    </row>
    <row r="804" ht="15.0" hidden="1" customHeight="1">
      <c r="A804" s="49" t="s">
        <v>744</v>
      </c>
      <c r="B804" s="50">
        <v>44104.0</v>
      </c>
      <c r="C804" s="49" t="s">
        <v>78</v>
      </c>
      <c r="D804" s="49">
        <v>0.0</v>
      </c>
    </row>
    <row r="805" ht="15.0" hidden="1" customHeight="1">
      <c r="A805" s="49" t="s">
        <v>749</v>
      </c>
      <c r="B805" s="50">
        <v>44104.0</v>
      </c>
      <c r="C805" s="49" t="s">
        <v>78</v>
      </c>
      <c r="D805" s="49">
        <v>0.0</v>
      </c>
    </row>
    <row r="806" ht="15.0" customHeight="1">
      <c r="A806" s="49" t="s">
        <v>776</v>
      </c>
      <c r="B806" s="50">
        <v>44104.0</v>
      </c>
      <c r="C806" s="49" t="s">
        <v>69</v>
      </c>
      <c r="D806" s="49">
        <v>0.0</v>
      </c>
    </row>
    <row r="807" ht="15.0" hidden="1" customHeight="1">
      <c r="A807" s="49" t="s">
        <v>778</v>
      </c>
      <c r="B807" s="50">
        <v>44104.0</v>
      </c>
      <c r="C807" s="49" t="s">
        <v>69</v>
      </c>
      <c r="D807" s="49">
        <v>0.0</v>
      </c>
    </row>
    <row r="808" ht="15.0" hidden="1" customHeight="1">
      <c r="A808" s="49" t="s">
        <v>92</v>
      </c>
      <c r="B808" s="50">
        <v>44104.0</v>
      </c>
      <c r="C808" s="49" t="s">
        <v>69</v>
      </c>
      <c r="D808" s="49">
        <v>0.0</v>
      </c>
    </row>
    <row r="809" ht="15.0" hidden="1" customHeight="1">
      <c r="A809" s="49" t="s">
        <v>97</v>
      </c>
      <c r="B809" s="50">
        <v>44104.0</v>
      </c>
      <c r="C809" s="49" t="s">
        <v>69</v>
      </c>
      <c r="D809" s="49">
        <v>0.0</v>
      </c>
    </row>
    <row r="810" ht="15.0" hidden="1" customHeight="1">
      <c r="A810" s="49" t="s">
        <v>102</v>
      </c>
      <c r="B810" s="50">
        <v>44104.0</v>
      </c>
      <c r="C810" s="49" t="s">
        <v>69</v>
      </c>
      <c r="D810" s="49">
        <v>0.0</v>
      </c>
    </row>
    <row r="811" ht="15.0" hidden="1" customHeight="1">
      <c r="A811" s="49" t="s">
        <v>106</v>
      </c>
      <c r="B811" s="50">
        <v>44104.0</v>
      </c>
      <c r="C811" s="49" t="s">
        <v>69</v>
      </c>
      <c r="D811" s="49">
        <v>0.0</v>
      </c>
    </row>
    <row r="812" ht="15.0" hidden="1" customHeight="1">
      <c r="A812" s="49" t="s">
        <v>111</v>
      </c>
      <c r="B812" s="50">
        <v>44104.0</v>
      </c>
      <c r="C812" s="49" t="s">
        <v>69</v>
      </c>
      <c r="D812" s="49">
        <v>0.0</v>
      </c>
    </row>
    <row r="813" ht="15.0" hidden="1" customHeight="1">
      <c r="A813" s="49" t="s">
        <v>116</v>
      </c>
      <c r="B813" s="50">
        <v>44104.0</v>
      </c>
      <c r="C813" s="49" t="s">
        <v>69</v>
      </c>
      <c r="D813" s="49">
        <v>0.0</v>
      </c>
    </row>
    <row r="814" ht="15.0" hidden="1" customHeight="1">
      <c r="A814" s="49" t="s">
        <v>120</v>
      </c>
      <c r="B814" s="50">
        <v>44104.0</v>
      </c>
      <c r="C814" s="49" t="s">
        <v>69</v>
      </c>
      <c r="D814" s="49">
        <v>0.0</v>
      </c>
    </row>
    <row r="815" ht="15.0" hidden="1" customHeight="1">
      <c r="A815" s="49" t="s">
        <v>125</v>
      </c>
      <c r="B815" s="50">
        <v>44104.0</v>
      </c>
      <c r="C815" s="49" t="s">
        <v>69</v>
      </c>
      <c r="D815" s="49">
        <v>0.0</v>
      </c>
    </row>
    <row r="816" ht="15.0" hidden="1" customHeight="1">
      <c r="A816" s="49" t="s">
        <v>130</v>
      </c>
      <c r="B816" s="50">
        <v>44104.0</v>
      </c>
      <c r="C816" s="49" t="s">
        <v>69</v>
      </c>
      <c r="D816" s="49">
        <v>0.0</v>
      </c>
    </row>
    <row r="817" ht="15.0" hidden="1" customHeight="1">
      <c r="A817" s="49" t="s">
        <v>137</v>
      </c>
      <c r="B817" s="50">
        <v>44104.0</v>
      </c>
      <c r="C817" s="49" t="s">
        <v>69</v>
      </c>
      <c r="D817" s="49">
        <v>0.0</v>
      </c>
    </row>
    <row r="818" ht="15.0" hidden="1" customHeight="1">
      <c r="A818" s="49" t="s">
        <v>142</v>
      </c>
      <c r="B818" s="50">
        <v>44104.0</v>
      </c>
      <c r="C818" s="49" t="s">
        <v>69</v>
      </c>
      <c r="D818" s="49">
        <v>0.0</v>
      </c>
    </row>
    <row r="819" ht="15.0" hidden="1" customHeight="1">
      <c r="A819" s="49" t="s">
        <v>147</v>
      </c>
      <c r="B819" s="50">
        <v>44104.0</v>
      </c>
      <c r="C819" s="49" t="s">
        <v>69</v>
      </c>
      <c r="D819" s="49">
        <v>0.0</v>
      </c>
    </row>
    <row r="820" ht="15.0" hidden="1" customHeight="1">
      <c r="A820" s="49" t="s">
        <v>152</v>
      </c>
      <c r="B820" s="50">
        <v>44104.0</v>
      </c>
      <c r="C820" s="49" t="s">
        <v>69</v>
      </c>
      <c r="D820" s="49">
        <v>0.0</v>
      </c>
    </row>
    <row r="821" ht="15.0" hidden="1" customHeight="1">
      <c r="A821" s="49" t="s">
        <v>157</v>
      </c>
      <c r="B821" s="50">
        <v>44104.0</v>
      </c>
      <c r="C821" s="49" t="s">
        <v>69</v>
      </c>
      <c r="D821" s="49">
        <v>0.0</v>
      </c>
    </row>
    <row r="822" ht="15.0" hidden="1" customHeight="1">
      <c r="A822" s="49" t="s">
        <v>162</v>
      </c>
      <c r="B822" s="50">
        <v>44104.0</v>
      </c>
      <c r="C822" s="49" t="s">
        <v>69</v>
      </c>
      <c r="D822" s="49">
        <v>0.0</v>
      </c>
    </row>
    <row r="823" ht="15.0" hidden="1" customHeight="1">
      <c r="A823" s="49" t="s">
        <v>167</v>
      </c>
      <c r="B823" s="50">
        <v>44104.0</v>
      </c>
      <c r="C823" s="49" t="s">
        <v>69</v>
      </c>
      <c r="D823" s="49">
        <v>0.0</v>
      </c>
    </row>
    <row r="824" ht="15.0" hidden="1" customHeight="1">
      <c r="A824" s="49" t="s">
        <v>172</v>
      </c>
      <c r="B824" s="50">
        <v>44104.0</v>
      </c>
      <c r="C824" s="49" t="s">
        <v>69</v>
      </c>
      <c r="D824" s="49">
        <v>0.0</v>
      </c>
    </row>
    <row r="825" ht="15.0" hidden="1" customHeight="1">
      <c r="A825" s="49" t="s">
        <v>177</v>
      </c>
      <c r="B825" s="50">
        <v>44104.0</v>
      </c>
      <c r="C825" s="49" t="s">
        <v>69</v>
      </c>
      <c r="D825" s="49">
        <v>0.0</v>
      </c>
    </row>
    <row r="826" ht="15.0" hidden="1" customHeight="1">
      <c r="A826" s="49" t="s">
        <v>182</v>
      </c>
      <c r="B826" s="50">
        <v>44104.0</v>
      </c>
      <c r="C826" s="49" t="s">
        <v>69</v>
      </c>
      <c r="D826" s="49">
        <v>0.0</v>
      </c>
    </row>
    <row r="827" ht="15.0" hidden="1" customHeight="1">
      <c r="A827" s="49" t="s">
        <v>187</v>
      </c>
      <c r="B827" s="50">
        <v>44104.0</v>
      </c>
      <c r="C827" s="49" t="s">
        <v>69</v>
      </c>
      <c r="D827" s="49">
        <v>0.0</v>
      </c>
    </row>
    <row r="828" ht="15.0" hidden="1" customHeight="1">
      <c r="A828" s="49" t="s">
        <v>192</v>
      </c>
      <c r="B828" s="50">
        <v>44104.0</v>
      </c>
      <c r="C828" s="49" t="s">
        <v>69</v>
      </c>
      <c r="D828" s="49">
        <v>0.0</v>
      </c>
    </row>
    <row r="829" ht="15.0" hidden="1" customHeight="1">
      <c r="A829" s="49" t="s">
        <v>197</v>
      </c>
      <c r="B829" s="50">
        <v>44104.0</v>
      </c>
      <c r="C829" s="49" t="s">
        <v>69</v>
      </c>
      <c r="D829" s="49">
        <v>0.0</v>
      </c>
    </row>
    <row r="830" ht="15.0" hidden="1" customHeight="1">
      <c r="A830" s="49" t="s">
        <v>202</v>
      </c>
      <c r="B830" s="50">
        <v>44104.0</v>
      </c>
      <c r="C830" s="49" t="s">
        <v>69</v>
      </c>
      <c r="D830" s="49">
        <v>0.0</v>
      </c>
    </row>
    <row r="831" ht="15.0" hidden="1" customHeight="1">
      <c r="A831" s="49" t="s">
        <v>206</v>
      </c>
      <c r="B831" s="50">
        <v>44104.0</v>
      </c>
      <c r="C831" s="49" t="s">
        <v>69</v>
      </c>
      <c r="D831" s="49">
        <v>0.0</v>
      </c>
    </row>
    <row r="832" ht="15.0" hidden="1" customHeight="1">
      <c r="A832" s="49" t="s">
        <v>211</v>
      </c>
      <c r="B832" s="50">
        <v>44104.0</v>
      </c>
      <c r="C832" s="49" t="s">
        <v>69</v>
      </c>
      <c r="D832" s="49">
        <v>0.0</v>
      </c>
    </row>
    <row r="833" ht="15.0" hidden="1" customHeight="1">
      <c r="A833" s="49" t="s">
        <v>779</v>
      </c>
      <c r="B833" s="50">
        <v>44104.0</v>
      </c>
      <c r="C833" s="49" t="s">
        <v>69</v>
      </c>
      <c r="D833" s="49">
        <v>0.0</v>
      </c>
    </row>
    <row r="834" ht="15.0" hidden="1" customHeight="1">
      <c r="A834" s="49" t="s">
        <v>221</v>
      </c>
      <c r="B834" s="50">
        <v>44104.0</v>
      </c>
      <c r="C834" s="49" t="s">
        <v>69</v>
      </c>
      <c r="D834" s="49">
        <v>0.0</v>
      </c>
    </row>
    <row r="835" ht="15.0" hidden="1" customHeight="1">
      <c r="A835" s="49" t="s">
        <v>226</v>
      </c>
      <c r="B835" s="50">
        <v>44104.0</v>
      </c>
      <c r="C835" s="49" t="s">
        <v>69</v>
      </c>
      <c r="D835" s="49">
        <v>0.0</v>
      </c>
    </row>
    <row r="836" ht="15.0" hidden="1" customHeight="1">
      <c r="A836" s="49" t="s">
        <v>231</v>
      </c>
      <c r="B836" s="50">
        <v>44104.0</v>
      </c>
      <c r="C836" s="49" t="s">
        <v>69</v>
      </c>
      <c r="D836" s="49">
        <v>0.0</v>
      </c>
    </row>
    <row r="837" ht="15.0" hidden="1" customHeight="1">
      <c r="A837" s="49" t="s">
        <v>236</v>
      </c>
      <c r="B837" s="50">
        <v>44104.0</v>
      </c>
      <c r="C837" s="49" t="s">
        <v>69</v>
      </c>
      <c r="D837" s="49">
        <v>0.0</v>
      </c>
    </row>
    <row r="838" ht="15.0" hidden="1" customHeight="1">
      <c r="A838" s="49" t="s">
        <v>242</v>
      </c>
      <c r="B838" s="50">
        <v>44104.0</v>
      </c>
      <c r="C838" s="49" t="s">
        <v>69</v>
      </c>
      <c r="D838" s="49">
        <v>0.0</v>
      </c>
    </row>
    <row r="839" ht="15.0" hidden="1" customHeight="1">
      <c r="A839" s="49" t="s">
        <v>248</v>
      </c>
      <c r="B839" s="50">
        <v>44104.0</v>
      </c>
      <c r="C839" s="49" t="s">
        <v>69</v>
      </c>
      <c r="D839" s="49">
        <v>0.0</v>
      </c>
    </row>
    <row r="840" ht="15.0" hidden="1" customHeight="1">
      <c r="A840" s="49" t="s">
        <v>253</v>
      </c>
      <c r="B840" s="50">
        <v>44104.0</v>
      </c>
      <c r="C840" s="49" t="s">
        <v>69</v>
      </c>
      <c r="D840" s="49">
        <v>0.0</v>
      </c>
    </row>
    <row r="841" ht="15.0" hidden="1" customHeight="1">
      <c r="A841" s="49" t="s">
        <v>258</v>
      </c>
      <c r="B841" s="50">
        <v>44104.0</v>
      </c>
      <c r="C841" s="49" t="s">
        <v>69</v>
      </c>
      <c r="D841" s="49">
        <v>0.0</v>
      </c>
    </row>
    <row r="842" ht="15.0" hidden="1" customHeight="1">
      <c r="A842" s="49" t="s">
        <v>263</v>
      </c>
      <c r="B842" s="50">
        <v>44104.0</v>
      </c>
      <c r="C842" s="49" t="s">
        <v>69</v>
      </c>
      <c r="D842" s="49">
        <v>0.0</v>
      </c>
    </row>
    <row r="843" ht="15.0" hidden="1" customHeight="1">
      <c r="A843" s="49" t="s">
        <v>268</v>
      </c>
      <c r="B843" s="50">
        <v>44104.0</v>
      </c>
      <c r="C843" s="49" t="s">
        <v>69</v>
      </c>
      <c r="D843" s="49">
        <v>0.0</v>
      </c>
    </row>
    <row r="844" ht="15.0" hidden="1" customHeight="1">
      <c r="A844" s="49" t="s">
        <v>273</v>
      </c>
      <c r="B844" s="50">
        <v>44104.0</v>
      </c>
      <c r="C844" s="49" t="s">
        <v>69</v>
      </c>
      <c r="D844" s="49">
        <v>0.0</v>
      </c>
    </row>
    <row r="845" ht="15.0" hidden="1" customHeight="1">
      <c r="A845" s="49" t="s">
        <v>278</v>
      </c>
      <c r="B845" s="50">
        <v>44104.0</v>
      </c>
      <c r="C845" s="49" t="s">
        <v>69</v>
      </c>
      <c r="D845" s="49">
        <v>0.0</v>
      </c>
    </row>
    <row r="846" ht="15.0" hidden="1" customHeight="1">
      <c r="A846" s="49" t="s">
        <v>283</v>
      </c>
      <c r="B846" s="50">
        <v>44104.0</v>
      </c>
      <c r="C846" s="49" t="s">
        <v>69</v>
      </c>
      <c r="D846" s="49">
        <v>0.0</v>
      </c>
    </row>
    <row r="847" ht="15.0" hidden="1" customHeight="1">
      <c r="A847" s="49" t="s">
        <v>288</v>
      </c>
      <c r="B847" s="50">
        <v>44104.0</v>
      </c>
      <c r="C847" s="49" t="s">
        <v>69</v>
      </c>
      <c r="D847" s="49">
        <v>0.0</v>
      </c>
    </row>
    <row r="848" ht="15.0" hidden="1" customHeight="1">
      <c r="A848" s="49" t="s">
        <v>293</v>
      </c>
      <c r="B848" s="50">
        <v>44104.0</v>
      </c>
      <c r="C848" s="49" t="s">
        <v>69</v>
      </c>
      <c r="D848" s="49">
        <v>0.0</v>
      </c>
    </row>
    <row r="849" ht="15.0" hidden="1" customHeight="1">
      <c r="A849" s="49" t="s">
        <v>298</v>
      </c>
      <c r="B849" s="50">
        <v>44104.0</v>
      </c>
      <c r="C849" s="49" t="s">
        <v>69</v>
      </c>
      <c r="D849" s="49">
        <v>0.0</v>
      </c>
    </row>
    <row r="850" ht="15.0" hidden="1" customHeight="1">
      <c r="A850" s="49" t="s">
        <v>303</v>
      </c>
      <c r="B850" s="50">
        <v>44104.0</v>
      </c>
      <c r="C850" s="49" t="s">
        <v>69</v>
      </c>
      <c r="D850" s="49">
        <v>0.0</v>
      </c>
    </row>
    <row r="851" ht="15.0" hidden="1" customHeight="1">
      <c r="A851" s="49" t="s">
        <v>307</v>
      </c>
      <c r="B851" s="50">
        <v>44104.0</v>
      </c>
      <c r="C851" s="49" t="s">
        <v>69</v>
      </c>
      <c r="D851" s="49">
        <v>0.0</v>
      </c>
    </row>
    <row r="852" ht="15.0" hidden="1" customHeight="1">
      <c r="A852" s="49" t="s">
        <v>313</v>
      </c>
      <c r="B852" s="50">
        <v>44104.0</v>
      </c>
      <c r="C852" s="49" t="s">
        <v>69</v>
      </c>
      <c r="D852" s="49">
        <v>0.0</v>
      </c>
    </row>
    <row r="853" ht="15.0" hidden="1" customHeight="1">
      <c r="A853" s="49" t="s">
        <v>318</v>
      </c>
      <c r="B853" s="50">
        <v>44104.0</v>
      </c>
      <c r="C853" s="49" t="s">
        <v>69</v>
      </c>
      <c r="D853" s="49">
        <v>0.0</v>
      </c>
    </row>
    <row r="854" ht="15.0" hidden="1" customHeight="1">
      <c r="A854" s="49" t="s">
        <v>323</v>
      </c>
      <c r="B854" s="50">
        <v>44104.0</v>
      </c>
      <c r="C854" s="49" t="s">
        <v>69</v>
      </c>
      <c r="D854" s="49">
        <v>0.0</v>
      </c>
    </row>
    <row r="855" ht="15.0" hidden="1" customHeight="1">
      <c r="A855" s="49" t="s">
        <v>328</v>
      </c>
      <c r="B855" s="50">
        <v>44104.0</v>
      </c>
      <c r="C855" s="49" t="s">
        <v>69</v>
      </c>
      <c r="D855" s="49">
        <v>0.0</v>
      </c>
    </row>
    <row r="856" ht="15.0" hidden="1" customHeight="1">
      <c r="A856" s="49" t="s">
        <v>335</v>
      </c>
      <c r="B856" s="50">
        <v>44104.0</v>
      </c>
      <c r="C856" s="49" t="s">
        <v>69</v>
      </c>
      <c r="D856" s="49">
        <v>0.0</v>
      </c>
    </row>
    <row r="857" ht="15.0" hidden="1" customHeight="1">
      <c r="A857" s="49" t="s">
        <v>340</v>
      </c>
      <c r="B857" s="50">
        <v>44104.0</v>
      </c>
      <c r="C857" s="49" t="s">
        <v>69</v>
      </c>
      <c r="D857" s="49">
        <v>0.0</v>
      </c>
    </row>
    <row r="858" ht="15.0" hidden="1" customHeight="1">
      <c r="A858" s="49" t="s">
        <v>345</v>
      </c>
      <c r="B858" s="50">
        <v>44104.0</v>
      </c>
      <c r="C858" s="49" t="s">
        <v>69</v>
      </c>
      <c r="D858" s="49">
        <v>0.0</v>
      </c>
    </row>
    <row r="859" ht="15.0" hidden="1" customHeight="1">
      <c r="A859" s="49" t="s">
        <v>350</v>
      </c>
      <c r="B859" s="50">
        <v>44104.0</v>
      </c>
      <c r="C859" s="49" t="s">
        <v>69</v>
      </c>
      <c r="D859" s="49">
        <v>0.0</v>
      </c>
    </row>
    <row r="860" ht="15.0" hidden="1" customHeight="1">
      <c r="A860" s="49" t="s">
        <v>355</v>
      </c>
      <c r="B860" s="50">
        <v>44104.0</v>
      </c>
      <c r="C860" s="49" t="s">
        <v>69</v>
      </c>
      <c r="D860" s="49">
        <v>0.0</v>
      </c>
    </row>
    <row r="861" ht="15.0" hidden="1" customHeight="1">
      <c r="A861" s="49" t="s">
        <v>360</v>
      </c>
      <c r="B861" s="50">
        <v>44104.0</v>
      </c>
      <c r="C861" s="49" t="s">
        <v>69</v>
      </c>
      <c r="D861" s="49">
        <v>0.0</v>
      </c>
    </row>
    <row r="862" ht="15.0" hidden="1" customHeight="1">
      <c r="A862" s="49" t="s">
        <v>365</v>
      </c>
      <c r="B862" s="50">
        <v>44104.0</v>
      </c>
      <c r="C862" s="49" t="s">
        <v>69</v>
      </c>
      <c r="D862" s="49">
        <v>0.0</v>
      </c>
    </row>
    <row r="863" ht="15.0" hidden="1" customHeight="1">
      <c r="A863" s="49" t="s">
        <v>370</v>
      </c>
      <c r="B863" s="50">
        <v>44104.0</v>
      </c>
      <c r="C863" s="49" t="s">
        <v>69</v>
      </c>
      <c r="D863" s="49">
        <v>0.0</v>
      </c>
    </row>
    <row r="864" ht="15.0" hidden="1" customHeight="1">
      <c r="A864" s="49" t="s">
        <v>375</v>
      </c>
      <c r="B864" s="50">
        <v>44104.0</v>
      </c>
      <c r="C864" s="49" t="s">
        <v>69</v>
      </c>
      <c r="D864" s="49">
        <v>0.0</v>
      </c>
    </row>
    <row r="865" ht="15.0" hidden="1" customHeight="1">
      <c r="A865" s="49" t="s">
        <v>380</v>
      </c>
      <c r="B865" s="50">
        <v>44104.0</v>
      </c>
      <c r="C865" s="49" t="s">
        <v>69</v>
      </c>
      <c r="D865" s="49">
        <v>0.0</v>
      </c>
    </row>
    <row r="866" ht="15.0" hidden="1" customHeight="1">
      <c r="A866" s="49" t="s">
        <v>385</v>
      </c>
      <c r="B866" s="50">
        <v>44104.0</v>
      </c>
      <c r="C866" s="49" t="s">
        <v>69</v>
      </c>
      <c r="D866" s="49">
        <v>0.0</v>
      </c>
    </row>
    <row r="867" ht="15.0" hidden="1" customHeight="1">
      <c r="A867" s="49" t="s">
        <v>390</v>
      </c>
      <c r="B867" s="50">
        <v>44104.0</v>
      </c>
      <c r="C867" s="49" t="s">
        <v>69</v>
      </c>
      <c r="D867" s="49">
        <v>0.0</v>
      </c>
    </row>
    <row r="868" ht="15.0" hidden="1" customHeight="1">
      <c r="A868" s="49" t="s">
        <v>395</v>
      </c>
      <c r="B868" s="50">
        <v>44104.0</v>
      </c>
      <c r="C868" s="49" t="s">
        <v>69</v>
      </c>
      <c r="D868" s="49">
        <v>0.0</v>
      </c>
    </row>
    <row r="869" ht="15.0" hidden="1" customHeight="1">
      <c r="A869" s="49" t="s">
        <v>400</v>
      </c>
      <c r="B869" s="50">
        <v>44104.0</v>
      </c>
      <c r="C869" s="49" t="s">
        <v>69</v>
      </c>
      <c r="D869" s="49">
        <v>0.0</v>
      </c>
    </row>
    <row r="870" ht="15.0" hidden="1" customHeight="1">
      <c r="A870" s="49" t="s">
        <v>405</v>
      </c>
      <c r="B870" s="50">
        <v>44104.0</v>
      </c>
      <c r="C870" s="49" t="s">
        <v>69</v>
      </c>
      <c r="D870" s="49">
        <v>0.0</v>
      </c>
    </row>
    <row r="871" ht="15.0" hidden="1" customHeight="1">
      <c r="A871" s="49" t="s">
        <v>410</v>
      </c>
      <c r="B871" s="50">
        <v>44104.0</v>
      </c>
      <c r="C871" s="49" t="s">
        <v>69</v>
      </c>
      <c r="D871" s="49">
        <v>0.0</v>
      </c>
    </row>
    <row r="872" ht="15.0" hidden="1" customHeight="1">
      <c r="A872" s="49" t="s">
        <v>415</v>
      </c>
      <c r="B872" s="50">
        <v>44104.0</v>
      </c>
      <c r="C872" s="49" t="s">
        <v>69</v>
      </c>
      <c r="D872" s="49">
        <v>0.0</v>
      </c>
    </row>
    <row r="873" ht="15.0" hidden="1" customHeight="1">
      <c r="A873" s="49" t="s">
        <v>420</v>
      </c>
      <c r="B873" s="50">
        <v>44104.0</v>
      </c>
      <c r="C873" s="49" t="s">
        <v>69</v>
      </c>
      <c r="D873" s="49">
        <v>0.0</v>
      </c>
    </row>
    <row r="874" ht="15.0" hidden="1" customHeight="1">
      <c r="A874" s="49" t="s">
        <v>425</v>
      </c>
      <c r="B874" s="50">
        <v>44104.0</v>
      </c>
      <c r="C874" s="49" t="s">
        <v>69</v>
      </c>
      <c r="D874" s="49">
        <v>0.0</v>
      </c>
    </row>
    <row r="875" ht="15.0" hidden="1" customHeight="1">
      <c r="A875" s="49" t="s">
        <v>430</v>
      </c>
      <c r="B875" s="50">
        <v>44104.0</v>
      </c>
      <c r="C875" s="49" t="s">
        <v>69</v>
      </c>
      <c r="D875" s="49">
        <v>0.0</v>
      </c>
    </row>
    <row r="876" ht="15.0" hidden="1" customHeight="1">
      <c r="A876" s="49" t="s">
        <v>434</v>
      </c>
      <c r="B876" s="50">
        <v>44104.0</v>
      </c>
      <c r="C876" s="49" t="s">
        <v>69</v>
      </c>
      <c r="D876" s="49">
        <v>0.0</v>
      </c>
    </row>
    <row r="877" ht="15.0" hidden="1" customHeight="1">
      <c r="A877" s="49" t="s">
        <v>439</v>
      </c>
      <c r="B877" s="50">
        <v>44104.0</v>
      </c>
      <c r="C877" s="49" t="s">
        <v>69</v>
      </c>
      <c r="D877" s="49">
        <v>0.0</v>
      </c>
    </row>
    <row r="878" ht="15.0" hidden="1" customHeight="1">
      <c r="A878" s="49" t="s">
        <v>444</v>
      </c>
      <c r="B878" s="50">
        <v>44104.0</v>
      </c>
      <c r="C878" s="49" t="s">
        <v>69</v>
      </c>
      <c r="D878" s="49">
        <v>0.0</v>
      </c>
    </row>
    <row r="879" ht="15.0" hidden="1" customHeight="1">
      <c r="A879" s="49" t="s">
        <v>449</v>
      </c>
      <c r="B879" s="50">
        <v>44104.0</v>
      </c>
      <c r="C879" s="49" t="s">
        <v>69</v>
      </c>
      <c r="D879" s="49">
        <v>0.0</v>
      </c>
    </row>
    <row r="880" ht="15.0" hidden="1" customHeight="1">
      <c r="A880" s="49" t="s">
        <v>455</v>
      </c>
      <c r="B880" s="50">
        <v>44104.0</v>
      </c>
      <c r="C880" s="49" t="s">
        <v>69</v>
      </c>
      <c r="D880" s="49">
        <v>0.0</v>
      </c>
    </row>
    <row r="881" ht="15.0" hidden="1" customHeight="1">
      <c r="A881" s="49" t="s">
        <v>470</v>
      </c>
      <c r="B881" s="50">
        <v>44104.0</v>
      </c>
      <c r="C881" s="49" t="s">
        <v>69</v>
      </c>
      <c r="D881" s="49">
        <v>0.0</v>
      </c>
    </row>
    <row r="882" ht="15.0" hidden="1" customHeight="1">
      <c r="A882" s="49" t="s">
        <v>476</v>
      </c>
      <c r="B882" s="50">
        <v>44104.0</v>
      </c>
      <c r="C882" s="49" t="s">
        <v>69</v>
      </c>
      <c r="D882" s="49">
        <v>0.0</v>
      </c>
    </row>
    <row r="883" ht="15.0" hidden="1" customHeight="1">
      <c r="A883" s="49" t="s">
        <v>481</v>
      </c>
      <c r="B883" s="50">
        <v>44104.0</v>
      </c>
      <c r="C883" s="49" t="s">
        <v>69</v>
      </c>
      <c r="D883" s="49">
        <v>0.0</v>
      </c>
    </row>
    <row r="884" ht="15.0" hidden="1" customHeight="1">
      <c r="A884" s="49" t="s">
        <v>486</v>
      </c>
      <c r="B884" s="50">
        <v>44104.0</v>
      </c>
      <c r="C884" s="49" t="s">
        <v>69</v>
      </c>
      <c r="D884" s="49">
        <v>0.0</v>
      </c>
    </row>
    <row r="885" ht="15.0" hidden="1" customHeight="1">
      <c r="A885" s="49" t="s">
        <v>491</v>
      </c>
      <c r="B885" s="50">
        <v>44104.0</v>
      </c>
      <c r="C885" s="49" t="s">
        <v>69</v>
      </c>
      <c r="D885" s="49">
        <v>0.0</v>
      </c>
    </row>
    <row r="886" ht="15.0" hidden="1" customHeight="1">
      <c r="A886" s="49" t="s">
        <v>496</v>
      </c>
      <c r="B886" s="50">
        <v>44104.0</v>
      </c>
      <c r="C886" s="49" t="s">
        <v>69</v>
      </c>
      <c r="D886" s="49">
        <v>0.0</v>
      </c>
    </row>
    <row r="887" ht="15.0" hidden="1" customHeight="1">
      <c r="A887" s="49" t="s">
        <v>501</v>
      </c>
      <c r="B887" s="50">
        <v>44104.0</v>
      </c>
      <c r="C887" s="49" t="s">
        <v>69</v>
      </c>
      <c r="D887" s="49">
        <v>0.0</v>
      </c>
    </row>
    <row r="888" ht="15.0" hidden="1" customHeight="1">
      <c r="A888" s="49" t="s">
        <v>506</v>
      </c>
      <c r="B888" s="50">
        <v>44104.0</v>
      </c>
      <c r="C888" s="49" t="s">
        <v>69</v>
      </c>
      <c r="D888" s="49">
        <v>0.0</v>
      </c>
    </row>
    <row r="889" ht="15.0" hidden="1" customHeight="1">
      <c r="A889" s="49" t="s">
        <v>512</v>
      </c>
      <c r="B889" s="50">
        <v>44104.0</v>
      </c>
      <c r="C889" s="49" t="s">
        <v>69</v>
      </c>
      <c r="D889" s="49">
        <v>0.0</v>
      </c>
    </row>
    <row r="890" ht="15.0" hidden="1" customHeight="1">
      <c r="A890" s="49" t="s">
        <v>517</v>
      </c>
      <c r="B890" s="50">
        <v>44104.0</v>
      </c>
      <c r="C890" s="49" t="s">
        <v>69</v>
      </c>
      <c r="D890" s="49">
        <v>0.0</v>
      </c>
    </row>
    <row r="891" ht="15.0" hidden="1" customHeight="1">
      <c r="A891" s="49" t="s">
        <v>522</v>
      </c>
      <c r="B891" s="50">
        <v>44104.0</v>
      </c>
      <c r="C891" s="49" t="s">
        <v>69</v>
      </c>
      <c r="D891" s="49">
        <v>0.0</v>
      </c>
    </row>
    <row r="892" ht="15.0" hidden="1" customHeight="1">
      <c r="A892" s="49" t="s">
        <v>528</v>
      </c>
      <c r="B892" s="50">
        <v>44104.0</v>
      </c>
      <c r="C892" s="49" t="s">
        <v>69</v>
      </c>
      <c r="D892" s="49">
        <v>0.0</v>
      </c>
    </row>
    <row r="893" ht="15.0" hidden="1" customHeight="1">
      <c r="A893" s="49" t="s">
        <v>533</v>
      </c>
      <c r="B893" s="50">
        <v>44104.0</v>
      </c>
      <c r="C893" s="49" t="s">
        <v>69</v>
      </c>
      <c r="D893" s="49">
        <v>0.0</v>
      </c>
    </row>
    <row r="894" ht="15.0" hidden="1" customHeight="1">
      <c r="A894" s="49" t="s">
        <v>538</v>
      </c>
      <c r="B894" s="50">
        <v>44104.0</v>
      </c>
      <c r="C894" s="49" t="s">
        <v>69</v>
      </c>
      <c r="D894" s="49">
        <v>0.0</v>
      </c>
    </row>
    <row r="895" ht="15.0" hidden="1" customHeight="1">
      <c r="A895" s="49" t="s">
        <v>546</v>
      </c>
      <c r="B895" s="50">
        <v>44104.0</v>
      </c>
      <c r="C895" s="49" t="s">
        <v>69</v>
      </c>
      <c r="D895" s="49">
        <v>0.0</v>
      </c>
    </row>
    <row r="896" ht="15.0" hidden="1" customHeight="1">
      <c r="A896" s="49" t="s">
        <v>551</v>
      </c>
      <c r="B896" s="50">
        <v>44104.0</v>
      </c>
      <c r="C896" s="49" t="s">
        <v>69</v>
      </c>
      <c r="D896" s="49">
        <v>0.0</v>
      </c>
    </row>
    <row r="897" ht="15.0" hidden="1" customHeight="1">
      <c r="A897" s="49" t="s">
        <v>556</v>
      </c>
      <c r="B897" s="50">
        <v>44104.0</v>
      </c>
      <c r="C897" s="49" t="s">
        <v>69</v>
      </c>
      <c r="D897" s="49">
        <v>0.0</v>
      </c>
    </row>
    <row r="898" ht="15.0" hidden="1" customHeight="1">
      <c r="A898" s="49" t="s">
        <v>561</v>
      </c>
      <c r="B898" s="50">
        <v>44104.0</v>
      </c>
      <c r="C898" s="49" t="s">
        <v>69</v>
      </c>
      <c r="D898" s="49">
        <v>0.0</v>
      </c>
    </row>
    <row r="899" ht="15.0" hidden="1" customHeight="1">
      <c r="A899" s="49" t="s">
        <v>566</v>
      </c>
      <c r="B899" s="50">
        <v>44104.0</v>
      </c>
      <c r="C899" s="49" t="s">
        <v>69</v>
      </c>
      <c r="D899" s="49">
        <v>0.0</v>
      </c>
    </row>
    <row r="900" ht="15.0" hidden="1" customHeight="1">
      <c r="A900" s="49" t="s">
        <v>571</v>
      </c>
      <c r="B900" s="50">
        <v>44104.0</v>
      </c>
      <c r="C900" s="49" t="s">
        <v>69</v>
      </c>
      <c r="D900" s="49">
        <v>0.0</v>
      </c>
    </row>
    <row r="901" ht="15.0" hidden="1" customHeight="1">
      <c r="A901" s="49" t="s">
        <v>576</v>
      </c>
      <c r="B901" s="50">
        <v>44104.0</v>
      </c>
      <c r="C901" s="49" t="s">
        <v>69</v>
      </c>
      <c r="D901" s="49">
        <v>0.0</v>
      </c>
    </row>
    <row r="902" ht="15.0" hidden="1" customHeight="1">
      <c r="A902" s="49" t="s">
        <v>581</v>
      </c>
      <c r="B902" s="50">
        <v>44104.0</v>
      </c>
      <c r="C902" s="49" t="s">
        <v>69</v>
      </c>
      <c r="D902" s="49">
        <v>0.0</v>
      </c>
    </row>
    <row r="903" ht="15.0" hidden="1" customHeight="1">
      <c r="A903" s="49" t="s">
        <v>586</v>
      </c>
      <c r="B903" s="50">
        <v>44104.0</v>
      </c>
      <c r="C903" s="49" t="s">
        <v>69</v>
      </c>
      <c r="D903" s="49">
        <v>0.0</v>
      </c>
    </row>
    <row r="904" ht="15.0" hidden="1" customHeight="1">
      <c r="A904" s="49" t="s">
        <v>754</v>
      </c>
      <c r="B904" s="50">
        <v>44104.0</v>
      </c>
      <c r="C904" s="49" t="s">
        <v>69</v>
      </c>
      <c r="D904" s="49">
        <v>0.0</v>
      </c>
    </row>
    <row r="905" ht="15.0" hidden="1" customHeight="1">
      <c r="A905" s="49" t="s">
        <v>591</v>
      </c>
      <c r="B905" s="50">
        <v>44104.0</v>
      </c>
      <c r="C905" s="49" t="s">
        <v>69</v>
      </c>
      <c r="D905" s="49">
        <v>0.0</v>
      </c>
    </row>
    <row r="906" ht="15.0" hidden="1" customHeight="1">
      <c r="A906" s="49" t="s">
        <v>759</v>
      </c>
      <c r="B906" s="50">
        <v>44104.0</v>
      </c>
      <c r="C906" s="49" t="s">
        <v>69</v>
      </c>
      <c r="D906" s="49">
        <v>0.0</v>
      </c>
    </row>
    <row r="907" ht="15.0" hidden="1" customHeight="1">
      <c r="A907" s="49" t="s">
        <v>596</v>
      </c>
      <c r="B907" s="50">
        <v>44104.0</v>
      </c>
      <c r="C907" s="49" t="s">
        <v>69</v>
      </c>
      <c r="D907" s="49">
        <v>0.0</v>
      </c>
    </row>
    <row r="908" ht="15.0" hidden="1" customHeight="1">
      <c r="A908" s="49" t="s">
        <v>602</v>
      </c>
      <c r="B908" s="50">
        <v>44104.0</v>
      </c>
      <c r="C908" s="49" t="s">
        <v>69</v>
      </c>
      <c r="D908" s="49">
        <v>0.0</v>
      </c>
    </row>
    <row r="909" ht="15.0" hidden="1" customHeight="1">
      <c r="A909" s="49" t="s">
        <v>607</v>
      </c>
      <c r="B909" s="50">
        <v>44104.0</v>
      </c>
      <c r="C909" s="49" t="s">
        <v>69</v>
      </c>
      <c r="D909" s="49">
        <v>0.0</v>
      </c>
    </row>
    <row r="910" ht="15.0" hidden="1" customHeight="1">
      <c r="A910" s="49" t="s">
        <v>612</v>
      </c>
      <c r="B910" s="50">
        <v>44104.0</v>
      </c>
      <c r="C910" s="49" t="s">
        <v>69</v>
      </c>
      <c r="D910" s="49">
        <v>0.0</v>
      </c>
    </row>
    <row r="911" ht="15.0" hidden="1" customHeight="1">
      <c r="A911" s="49" t="s">
        <v>617</v>
      </c>
      <c r="B911" s="50">
        <v>44104.0</v>
      </c>
      <c r="C911" s="49" t="s">
        <v>69</v>
      </c>
      <c r="D911" s="49">
        <v>0.0</v>
      </c>
    </row>
    <row r="912" ht="15.0" hidden="1" customHeight="1">
      <c r="A912" s="49" t="s">
        <v>622</v>
      </c>
      <c r="B912" s="50">
        <v>44104.0</v>
      </c>
      <c r="C912" s="49" t="s">
        <v>69</v>
      </c>
      <c r="D912" s="49">
        <v>0.0</v>
      </c>
    </row>
    <row r="913" ht="15.0" hidden="1" customHeight="1">
      <c r="A913" s="49" t="s">
        <v>627</v>
      </c>
      <c r="B913" s="50">
        <v>44104.0</v>
      </c>
      <c r="C913" s="49" t="s">
        <v>69</v>
      </c>
      <c r="D913" s="49">
        <v>0.0</v>
      </c>
    </row>
    <row r="914" ht="15.0" hidden="1" customHeight="1">
      <c r="A914" s="49" t="s">
        <v>631</v>
      </c>
      <c r="B914" s="50">
        <v>44104.0</v>
      </c>
      <c r="C914" s="49" t="s">
        <v>69</v>
      </c>
      <c r="D914" s="49">
        <v>0.0</v>
      </c>
    </row>
    <row r="915" ht="15.0" hidden="1" customHeight="1">
      <c r="A915" s="49" t="s">
        <v>636</v>
      </c>
      <c r="B915" s="50">
        <v>44104.0</v>
      </c>
      <c r="C915" s="49" t="s">
        <v>69</v>
      </c>
      <c r="D915" s="49">
        <v>0.0</v>
      </c>
    </row>
    <row r="916" ht="15.0" hidden="1" customHeight="1">
      <c r="A916" s="49" t="s">
        <v>640</v>
      </c>
      <c r="B916" s="50">
        <v>44104.0</v>
      </c>
      <c r="C916" s="49" t="s">
        <v>69</v>
      </c>
      <c r="D916" s="49">
        <v>0.0</v>
      </c>
    </row>
    <row r="917" ht="15.0" hidden="1" customHeight="1">
      <c r="A917" s="49" t="s">
        <v>644</v>
      </c>
      <c r="B917" s="50">
        <v>44104.0</v>
      </c>
      <c r="C917" s="49" t="s">
        <v>69</v>
      </c>
      <c r="D917" s="49">
        <v>0.0</v>
      </c>
    </row>
    <row r="918" ht="15.0" hidden="1" customHeight="1">
      <c r="A918" s="49" t="s">
        <v>649</v>
      </c>
      <c r="B918" s="50">
        <v>44104.0</v>
      </c>
      <c r="C918" s="49" t="s">
        <v>69</v>
      </c>
      <c r="D918" s="49">
        <v>0.0</v>
      </c>
    </row>
    <row r="919" ht="15.0" hidden="1" customHeight="1">
      <c r="A919" s="49" t="s">
        <v>654</v>
      </c>
      <c r="B919" s="50">
        <v>44104.0</v>
      </c>
      <c r="C919" s="49" t="s">
        <v>69</v>
      </c>
      <c r="D919" s="49">
        <v>0.0</v>
      </c>
    </row>
    <row r="920" ht="15.0" hidden="1" customHeight="1">
      <c r="A920" s="49" t="s">
        <v>659</v>
      </c>
      <c r="B920" s="50">
        <v>44104.0</v>
      </c>
      <c r="C920" s="49" t="s">
        <v>69</v>
      </c>
      <c r="D920" s="49">
        <v>0.0</v>
      </c>
    </row>
    <row r="921" ht="15.0" hidden="1" customHeight="1">
      <c r="A921" s="49" t="s">
        <v>664</v>
      </c>
      <c r="B921" s="50">
        <v>44104.0</v>
      </c>
      <c r="C921" s="49" t="s">
        <v>69</v>
      </c>
      <c r="D921" s="49">
        <v>0.0</v>
      </c>
    </row>
    <row r="922" ht="15.0" hidden="1" customHeight="1">
      <c r="A922" s="49" t="s">
        <v>669</v>
      </c>
      <c r="B922" s="50">
        <v>44104.0</v>
      </c>
      <c r="C922" s="49" t="s">
        <v>69</v>
      </c>
      <c r="D922" s="49">
        <v>0.0</v>
      </c>
    </row>
    <row r="923" ht="15.0" hidden="1" customHeight="1">
      <c r="A923" s="49" t="s">
        <v>674</v>
      </c>
      <c r="B923" s="50">
        <v>44104.0</v>
      </c>
      <c r="C923" s="49" t="s">
        <v>69</v>
      </c>
      <c r="D923" s="49">
        <v>0.0</v>
      </c>
    </row>
    <row r="924" ht="15.0" hidden="1" customHeight="1">
      <c r="A924" s="49" t="s">
        <v>679</v>
      </c>
      <c r="B924" s="50">
        <v>44104.0</v>
      </c>
      <c r="C924" s="49" t="s">
        <v>69</v>
      </c>
      <c r="D924" s="49">
        <v>0.0</v>
      </c>
    </row>
    <row r="925" ht="15.0" hidden="1" customHeight="1">
      <c r="A925" s="49" t="s">
        <v>684</v>
      </c>
      <c r="B925" s="50">
        <v>44104.0</v>
      </c>
      <c r="C925" s="49" t="s">
        <v>69</v>
      </c>
      <c r="D925" s="49">
        <v>0.0</v>
      </c>
    </row>
    <row r="926" ht="15.0" hidden="1" customHeight="1">
      <c r="A926" s="49" t="s">
        <v>689</v>
      </c>
      <c r="B926" s="50">
        <v>44104.0</v>
      </c>
      <c r="C926" s="49" t="s">
        <v>69</v>
      </c>
      <c r="D926" s="49">
        <v>0.0</v>
      </c>
    </row>
    <row r="927" ht="15.0" hidden="1" customHeight="1">
      <c r="A927" s="49" t="s">
        <v>694</v>
      </c>
      <c r="B927" s="50">
        <v>44104.0</v>
      </c>
      <c r="C927" s="49" t="s">
        <v>69</v>
      </c>
      <c r="D927" s="49">
        <v>0.0</v>
      </c>
    </row>
    <row r="928" ht="15.0" hidden="1" customHeight="1">
      <c r="A928" s="49" t="s">
        <v>699</v>
      </c>
      <c r="B928" s="50">
        <v>44104.0</v>
      </c>
      <c r="C928" s="49" t="s">
        <v>69</v>
      </c>
      <c r="D928" s="49">
        <v>0.0</v>
      </c>
    </row>
    <row r="929" ht="15.0" hidden="1" customHeight="1">
      <c r="A929" s="49" t="s">
        <v>705</v>
      </c>
      <c r="B929" s="50">
        <v>44104.0</v>
      </c>
      <c r="C929" s="49" t="s">
        <v>69</v>
      </c>
      <c r="D929" s="49">
        <v>0.0</v>
      </c>
    </row>
    <row r="930" ht="15.0" hidden="1" customHeight="1">
      <c r="A930" s="49" t="s">
        <v>710</v>
      </c>
      <c r="B930" s="50">
        <v>44104.0</v>
      </c>
      <c r="C930" s="49" t="s">
        <v>69</v>
      </c>
      <c r="D930" s="49">
        <v>0.0</v>
      </c>
    </row>
    <row r="931" ht="15.0" hidden="1" customHeight="1">
      <c r="A931" s="49" t="s">
        <v>715</v>
      </c>
      <c r="B931" s="50">
        <v>44104.0</v>
      </c>
      <c r="C931" s="49" t="s">
        <v>69</v>
      </c>
      <c r="D931" s="49">
        <v>0.0</v>
      </c>
    </row>
    <row r="932" ht="15.0" hidden="1" customHeight="1">
      <c r="A932" s="49" t="s">
        <v>765</v>
      </c>
      <c r="B932" s="50">
        <v>44104.0</v>
      </c>
      <c r="C932" s="49" t="s">
        <v>69</v>
      </c>
      <c r="D932" s="49">
        <v>0.0</v>
      </c>
    </row>
    <row r="933" ht="15.0" hidden="1" customHeight="1">
      <c r="A933" s="49" t="s">
        <v>720</v>
      </c>
      <c r="B933" s="50">
        <v>44104.0</v>
      </c>
      <c r="C933" s="49" t="s">
        <v>69</v>
      </c>
      <c r="D933" s="49">
        <v>0.0</v>
      </c>
    </row>
    <row r="934" ht="15.0" hidden="1" customHeight="1">
      <c r="A934" s="49" t="s">
        <v>725</v>
      </c>
      <c r="B934" s="50">
        <v>44104.0</v>
      </c>
      <c r="C934" s="49" t="s">
        <v>69</v>
      </c>
      <c r="D934" s="49">
        <v>0.0</v>
      </c>
    </row>
    <row r="935" ht="15.0" hidden="1" customHeight="1">
      <c r="A935" s="49" t="s">
        <v>730</v>
      </c>
      <c r="B935" s="50">
        <v>44104.0</v>
      </c>
      <c r="C935" s="49" t="s">
        <v>69</v>
      </c>
      <c r="D935" s="49">
        <v>0.0</v>
      </c>
    </row>
    <row r="936" ht="15.0" hidden="1" customHeight="1">
      <c r="A936" s="49" t="s">
        <v>734</v>
      </c>
      <c r="B936" s="50">
        <v>44104.0</v>
      </c>
      <c r="C936" s="49" t="s">
        <v>69</v>
      </c>
      <c r="D936" s="49">
        <v>0.0</v>
      </c>
    </row>
    <row r="937" ht="15.0" hidden="1" customHeight="1">
      <c r="A937" s="49" t="s">
        <v>739</v>
      </c>
      <c r="B937" s="50">
        <v>44104.0</v>
      </c>
      <c r="C937" s="49" t="s">
        <v>69</v>
      </c>
      <c r="D937" s="49">
        <v>0.0</v>
      </c>
    </row>
    <row r="938" ht="15.0" hidden="1" customHeight="1">
      <c r="A938" s="49" t="s">
        <v>744</v>
      </c>
      <c r="B938" s="50">
        <v>44104.0</v>
      </c>
      <c r="C938" s="49" t="s">
        <v>69</v>
      </c>
      <c r="D938" s="49">
        <v>0.0</v>
      </c>
    </row>
    <row r="939" ht="15.0" hidden="1" customHeight="1">
      <c r="A939" s="49" t="s">
        <v>749</v>
      </c>
      <c r="B939" s="50">
        <v>44104.0</v>
      </c>
      <c r="C939" s="49" t="s">
        <v>69</v>
      </c>
      <c r="D939" s="49">
        <v>0.0</v>
      </c>
    </row>
    <row r="940" ht="15.0" customHeight="1">
      <c r="A940" s="49" t="s">
        <v>776</v>
      </c>
      <c r="B940" s="50">
        <v>44104.0</v>
      </c>
      <c r="C940" s="49" t="s">
        <v>780</v>
      </c>
      <c r="D940" s="49">
        <v>2.71E7</v>
      </c>
    </row>
    <row r="941" ht="15.0" hidden="1" customHeight="1">
      <c r="A941" s="49" t="s">
        <v>778</v>
      </c>
      <c r="B941" s="50">
        <v>44104.0</v>
      </c>
      <c r="C941" s="49" t="s">
        <v>780</v>
      </c>
      <c r="D941" s="49">
        <v>900000.0</v>
      </c>
    </row>
    <row r="942" ht="15.0" hidden="1" customHeight="1">
      <c r="A942" s="49" t="s">
        <v>92</v>
      </c>
      <c r="B942" s="50">
        <v>44104.0</v>
      </c>
      <c r="C942" s="49" t="s">
        <v>780</v>
      </c>
      <c r="D942" s="49">
        <v>5651000.0</v>
      </c>
    </row>
    <row r="943" ht="15.0" hidden="1" customHeight="1">
      <c r="A943" s="49" t="s">
        <v>97</v>
      </c>
      <c r="B943" s="50">
        <v>44104.0</v>
      </c>
      <c r="C943" s="49" t="s">
        <v>780</v>
      </c>
      <c r="D943" s="49">
        <v>0.0</v>
      </c>
    </row>
    <row r="944" ht="15.0" hidden="1" customHeight="1">
      <c r="A944" s="49" t="s">
        <v>102</v>
      </c>
      <c r="B944" s="50">
        <v>44104.0</v>
      </c>
      <c r="C944" s="49" t="s">
        <v>780</v>
      </c>
      <c r="D944" s="49">
        <v>1000000.0</v>
      </c>
    </row>
    <row r="945" ht="15.0" hidden="1" customHeight="1">
      <c r="A945" s="49" t="s">
        <v>106</v>
      </c>
      <c r="B945" s="50">
        <v>44104.0</v>
      </c>
      <c r="C945" s="49" t="s">
        <v>780</v>
      </c>
      <c r="D945" s="49">
        <v>1849000.0</v>
      </c>
    </row>
    <row r="946" ht="15.0" hidden="1" customHeight="1">
      <c r="A946" s="49" t="s">
        <v>111</v>
      </c>
      <c r="B946" s="50">
        <v>44104.0</v>
      </c>
      <c r="C946" s="49" t="s">
        <v>780</v>
      </c>
      <c r="D946" s="49">
        <v>180000.0</v>
      </c>
    </row>
    <row r="947" ht="15.0" hidden="1" customHeight="1">
      <c r="A947" s="49" t="s">
        <v>116</v>
      </c>
      <c r="B947" s="50">
        <v>44104.0</v>
      </c>
      <c r="C947" s="49" t="s">
        <v>780</v>
      </c>
      <c r="D947" s="49">
        <v>800000.0</v>
      </c>
    </row>
    <row r="948" ht="15.0" hidden="1" customHeight="1">
      <c r="A948" s="49" t="s">
        <v>120</v>
      </c>
      <c r="B948" s="50">
        <v>44104.0</v>
      </c>
      <c r="C948" s="49" t="s">
        <v>780</v>
      </c>
      <c r="D948" s="49">
        <v>9391000.0</v>
      </c>
    </row>
    <row r="949" ht="15.0" hidden="1" customHeight="1">
      <c r="A949" s="49" t="s">
        <v>125</v>
      </c>
      <c r="B949" s="50">
        <v>44104.0</v>
      </c>
      <c r="C949" s="49" t="s">
        <v>780</v>
      </c>
      <c r="D949" s="49">
        <v>695780.0</v>
      </c>
    </row>
    <row r="950" ht="15.0" hidden="1" customHeight="1">
      <c r="A950" s="49" t="s">
        <v>130</v>
      </c>
      <c r="B950" s="50">
        <v>44104.0</v>
      </c>
      <c r="C950" s="49" t="s">
        <v>780</v>
      </c>
      <c r="D950" s="49">
        <v>2337926.0</v>
      </c>
    </row>
    <row r="951" ht="15.0" hidden="1" customHeight="1">
      <c r="A951" s="49" t="s">
        <v>137</v>
      </c>
      <c r="B951" s="50">
        <v>44104.0</v>
      </c>
      <c r="C951" s="49" t="s">
        <v>780</v>
      </c>
      <c r="D951" s="49">
        <v>0.0</v>
      </c>
    </row>
    <row r="952" ht="15.0" hidden="1" customHeight="1">
      <c r="A952" s="49" t="s">
        <v>142</v>
      </c>
      <c r="B952" s="50">
        <v>44104.0</v>
      </c>
      <c r="C952" s="49" t="s">
        <v>780</v>
      </c>
      <c r="D952" s="49">
        <v>500000.0</v>
      </c>
    </row>
    <row r="953" ht="15.0" hidden="1" customHeight="1">
      <c r="A953" s="49" t="s">
        <v>147</v>
      </c>
      <c r="B953" s="50">
        <v>44104.0</v>
      </c>
      <c r="C953" s="49" t="s">
        <v>780</v>
      </c>
      <c r="D953" s="49">
        <v>0.0</v>
      </c>
    </row>
    <row r="954" ht="15.0" hidden="1" customHeight="1">
      <c r="A954" s="49" t="s">
        <v>152</v>
      </c>
      <c r="B954" s="50">
        <v>44104.0</v>
      </c>
      <c r="C954" s="49" t="s">
        <v>780</v>
      </c>
      <c r="D954" s="49">
        <v>0.0</v>
      </c>
    </row>
    <row r="955" ht="15.0" hidden="1" customHeight="1">
      <c r="A955" s="49" t="s">
        <v>157</v>
      </c>
      <c r="B955" s="50">
        <v>44104.0</v>
      </c>
      <c r="C955" s="49" t="s">
        <v>780</v>
      </c>
      <c r="D955" s="49">
        <v>0.0</v>
      </c>
    </row>
    <row r="956" ht="15.0" hidden="1" customHeight="1">
      <c r="A956" s="49" t="s">
        <v>162</v>
      </c>
      <c r="B956" s="50">
        <v>44104.0</v>
      </c>
      <c r="C956" s="49" t="s">
        <v>780</v>
      </c>
      <c r="D956" s="49">
        <v>0.0</v>
      </c>
    </row>
    <row r="957" ht="15.0" hidden="1" customHeight="1">
      <c r="A957" s="49" t="s">
        <v>167</v>
      </c>
      <c r="B957" s="50">
        <v>44104.0</v>
      </c>
      <c r="C957" s="49" t="s">
        <v>780</v>
      </c>
      <c r="D957" s="49">
        <v>0.0</v>
      </c>
    </row>
    <row r="958" ht="15.0" hidden="1" customHeight="1">
      <c r="A958" s="49" t="s">
        <v>172</v>
      </c>
      <c r="B958" s="50">
        <v>44104.0</v>
      </c>
      <c r="C958" s="49" t="s">
        <v>780</v>
      </c>
      <c r="D958" s="49">
        <v>0.0</v>
      </c>
    </row>
    <row r="959" ht="15.0" hidden="1" customHeight="1">
      <c r="A959" s="49" t="s">
        <v>177</v>
      </c>
      <c r="B959" s="50">
        <v>44104.0</v>
      </c>
      <c r="C959" s="49" t="s">
        <v>780</v>
      </c>
      <c r="D959" s="49">
        <v>0.0</v>
      </c>
    </row>
    <row r="960" ht="15.0" hidden="1" customHeight="1">
      <c r="A960" s="49" t="s">
        <v>182</v>
      </c>
      <c r="B960" s="50">
        <v>44104.0</v>
      </c>
      <c r="C960" s="49" t="s">
        <v>780</v>
      </c>
      <c r="D960" s="49">
        <v>0.0</v>
      </c>
    </row>
    <row r="961" ht="15.0" hidden="1" customHeight="1">
      <c r="A961" s="49" t="s">
        <v>187</v>
      </c>
      <c r="B961" s="50">
        <v>44104.0</v>
      </c>
      <c r="C961" s="49" t="s">
        <v>780</v>
      </c>
      <c r="D961" s="49">
        <v>0.0</v>
      </c>
    </row>
    <row r="962" ht="15.0" hidden="1" customHeight="1">
      <c r="A962" s="49" t="s">
        <v>192</v>
      </c>
      <c r="B962" s="50">
        <v>44104.0</v>
      </c>
      <c r="C962" s="49" t="s">
        <v>780</v>
      </c>
      <c r="D962" s="49">
        <v>0.0</v>
      </c>
    </row>
    <row r="963" ht="15.0" hidden="1" customHeight="1">
      <c r="A963" s="49" t="s">
        <v>197</v>
      </c>
      <c r="B963" s="50">
        <v>44104.0</v>
      </c>
      <c r="C963" s="49" t="s">
        <v>780</v>
      </c>
      <c r="D963" s="49">
        <v>0.0</v>
      </c>
    </row>
    <row r="964" ht="15.0" hidden="1" customHeight="1">
      <c r="A964" s="49" t="s">
        <v>202</v>
      </c>
      <c r="B964" s="50">
        <v>44104.0</v>
      </c>
      <c r="C964" s="49" t="s">
        <v>780</v>
      </c>
      <c r="D964" s="49">
        <v>0.0</v>
      </c>
    </row>
    <row r="965" ht="15.0" hidden="1" customHeight="1">
      <c r="A965" s="49" t="s">
        <v>206</v>
      </c>
      <c r="B965" s="50">
        <v>44104.0</v>
      </c>
      <c r="C965" s="49" t="s">
        <v>780</v>
      </c>
      <c r="D965" s="49">
        <v>0.0</v>
      </c>
    </row>
    <row r="966" ht="15.0" hidden="1" customHeight="1">
      <c r="A966" s="49" t="s">
        <v>211</v>
      </c>
      <c r="B966" s="50">
        <v>44104.0</v>
      </c>
      <c r="C966" s="49" t="s">
        <v>780</v>
      </c>
      <c r="D966" s="49">
        <v>0.0</v>
      </c>
    </row>
    <row r="967" ht="15.0" hidden="1" customHeight="1">
      <c r="A967" s="49" t="s">
        <v>779</v>
      </c>
      <c r="B967" s="50">
        <v>44104.0</v>
      </c>
      <c r="C967" s="49" t="s">
        <v>780</v>
      </c>
      <c r="D967" s="49">
        <v>0.0</v>
      </c>
    </row>
    <row r="968" ht="15.0" hidden="1" customHeight="1">
      <c r="A968" s="49" t="s">
        <v>221</v>
      </c>
      <c r="B968" s="50">
        <v>44104.0</v>
      </c>
      <c r="C968" s="49" t="s">
        <v>780</v>
      </c>
      <c r="D968" s="49">
        <v>0.0</v>
      </c>
    </row>
    <row r="969" ht="15.0" hidden="1" customHeight="1">
      <c r="A969" s="49" t="s">
        <v>226</v>
      </c>
      <c r="B969" s="50">
        <v>44104.0</v>
      </c>
      <c r="C969" s="49" t="s">
        <v>780</v>
      </c>
      <c r="D969" s="49">
        <v>0.0</v>
      </c>
    </row>
    <row r="970" ht="15.0" hidden="1" customHeight="1">
      <c r="A970" s="49" t="s">
        <v>231</v>
      </c>
      <c r="B970" s="50">
        <v>44104.0</v>
      </c>
      <c r="C970" s="49" t="s">
        <v>780</v>
      </c>
      <c r="D970" s="49">
        <v>0.0</v>
      </c>
    </row>
    <row r="971" ht="15.0" hidden="1" customHeight="1">
      <c r="A971" s="49" t="s">
        <v>236</v>
      </c>
      <c r="B971" s="50">
        <v>44104.0</v>
      </c>
      <c r="C971" s="49" t="s">
        <v>780</v>
      </c>
      <c r="D971" s="49">
        <v>0.0</v>
      </c>
    </row>
    <row r="972" ht="15.0" hidden="1" customHeight="1">
      <c r="A972" s="49" t="s">
        <v>242</v>
      </c>
      <c r="B972" s="50">
        <v>44104.0</v>
      </c>
      <c r="C972" s="49" t="s">
        <v>780</v>
      </c>
      <c r="D972" s="49">
        <v>0.0</v>
      </c>
    </row>
    <row r="973" ht="15.0" hidden="1" customHeight="1">
      <c r="A973" s="49" t="s">
        <v>248</v>
      </c>
      <c r="B973" s="50">
        <v>44104.0</v>
      </c>
      <c r="C973" s="49" t="s">
        <v>780</v>
      </c>
      <c r="D973" s="49">
        <v>0.0</v>
      </c>
    </row>
    <row r="974" ht="15.0" hidden="1" customHeight="1">
      <c r="A974" s="49" t="s">
        <v>253</v>
      </c>
      <c r="B974" s="50">
        <v>44104.0</v>
      </c>
      <c r="C974" s="49" t="s">
        <v>780</v>
      </c>
      <c r="D974" s="49">
        <v>0.0</v>
      </c>
    </row>
    <row r="975" ht="15.0" hidden="1" customHeight="1">
      <c r="A975" s="49" t="s">
        <v>258</v>
      </c>
      <c r="B975" s="50">
        <v>44104.0</v>
      </c>
      <c r="C975" s="49" t="s">
        <v>780</v>
      </c>
      <c r="D975" s="49">
        <v>0.0</v>
      </c>
    </row>
    <row r="976" ht="15.0" hidden="1" customHeight="1">
      <c r="A976" s="49" t="s">
        <v>263</v>
      </c>
      <c r="B976" s="50">
        <v>44104.0</v>
      </c>
      <c r="C976" s="49" t="s">
        <v>780</v>
      </c>
      <c r="D976" s="49">
        <v>0.0</v>
      </c>
    </row>
    <row r="977" ht="15.0" hidden="1" customHeight="1">
      <c r="A977" s="49" t="s">
        <v>268</v>
      </c>
      <c r="B977" s="50">
        <v>44104.0</v>
      </c>
      <c r="C977" s="49" t="s">
        <v>780</v>
      </c>
      <c r="D977" s="49">
        <v>0.0</v>
      </c>
    </row>
    <row r="978" ht="15.0" hidden="1" customHeight="1">
      <c r="A978" s="49" t="s">
        <v>273</v>
      </c>
      <c r="B978" s="50">
        <v>44104.0</v>
      </c>
      <c r="C978" s="49" t="s">
        <v>780</v>
      </c>
      <c r="D978" s="49">
        <v>0.0</v>
      </c>
    </row>
    <row r="979" ht="15.0" hidden="1" customHeight="1">
      <c r="A979" s="49" t="s">
        <v>278</v>
      </c>
      <c r="B979" s="50">
        <v>44104.0</v>
      </c>
      <c r="C979" s="49" t="s">
        <v>780</v>
      </c>
      <c r="D979" s="49">
        <v>0.0</v>
      </c>
    </row>
    <row r="980" ht="15.0" hidden="1" customHeight="1">
      <c r="A980" s="49" t="s">
        <v>283</v>
      </c>
      <c r="B980" s="50">
        <v>44104.0</v>
      </c>
      <c r="C980" s="49" t="s">
        <v>780</v>
      </c>
      <c r="D980" s="49">
        <v>0.0</v>
      </c>
    </row>
    <row r="981" ht="15.0" hidden="1" customHeight="1">
      <c r="A981" s="49" t="s">
        <v>288</v>
      </c>
      <c r="B981" s="50">
        <v>44104.0</v>
      </c>
      <c r="C981" s="49" t="s">
        <v>780</v>
      </c>
      <c r="D981" s="49">
        <v>0.0</v>
      </c>
    </row>
    <row r="982" ht="15.0" hidden="1" customHeight="1">
      <c r="A982" s="49" t="s">
        <v>293</v>
      </c>
      <c r="B982" s="50">
        <v>44104.0</v>
      </c>
      <c r="C982" s="49" t="s">
        <v>780</v>
      </c>
      <c r="D982" s="49">
        <v>0.0</v>
      </c>
    </row>
    <row r="983" ht="15.0" hidden="1" customHeight="1">
      <c r="A983" s="49" t="s">
        <v>298</v>
      </c>
      <c r="B983" s="50">
        <v>44104.0</v>
      </c>
      <c r="C983" s="49" t="s">
        <v>780</v>
      </c>
      <c r="D983" s="49">
        <v>0.0</v>
      </c>
    </row>
    <row r="984" ht="15.0" hidden="1" customHeight="1">
      <c r="A984" s="49" t="s">
        <v>303</v>
      </c>
      <c r="B984" s="50">
        <v>44104.0</v>
      </c>
      <c r="C984" s="49" t="s">
        <v>780</v>
      </c>
      <c r="D984" s="49">
        <v>0.0</v>
      </c>
    </row>
    <row r="985" ht="15.0" hidden="1" customHeight="1">
      <c r="A985" s="49" t="s">
        <v>307</v>
      </c>
      <c r="B985" s="50">
        <v>44104.0</v>
      </c>
      <c r="C985" s="49" t="s">
        <v>780</v>
      </c>
      <c r="D985" s="49">
        <v>0.0</v>
      </c>
    </row>
    <row r="986" ht="15.0" hidden="1" customHeight="1">
      <c r="A986" s="49" t="s">
        <v>313</v>
      </c>
      <c r="B986" s="50">
        <v>44104.0</v>
      </c>
      <c r="C986" s="49" t="s">
        <v>780</v>
      </c>
      <c r="D986" s="49">
        <v>0.0</v>
      </c>
    </row>
    <row r="987" ht="15.0" hidden="1" customHeight="1">
      <c r="A987" s="49" t="s">
        <v>318</v>
      </c>
      <c r="B987" s="50">
        <v>44104.0</v>
      </c>
      <c r="C987" s="49" t="s">
        <v>780</v>
      </c>
      <c r="D987" s="49">
        <v>0.0</v>
      </c>
    </row>
    <row r="988" ht="15.0" hidden="1" customHeight="1">
      <c r="A988" s="49" t="s">
        <v>323</v>
      </c>
      <c r="B988" s="50">
        <v>44104.0</v>
      </c>
      <c r="C988" s="49" t="s">
        <v>780</v>
      </c>
      <c r="D988" s="49">
        <v>0.0</v>
      </c>
    </row>
    <row r="989" ht="15.0" hidden="1" customHeight="1">
      <c r="A989" s="49" t="s">
        <v>328</v>
      </c>
      <c r="B989" s="50">
        <v>44104.0</v>
      </c>
      <c r="C989" s="49" t="s">
        <v>780</v>
      </c>
      <c r="D989" s="49">
        <v>0.0</v>
      </c>
    </row>
    <row r="990" ht="15.0" hidden="1" customHeight="1">
      <c r="A990" s="49" t="s">
        <v>335</v>
      </c>
      <c r="B990" s="50">
        <v>44104.0</v>
      </c>
      <c r="C990" s="49" t="s">
        <v>780</v>
      </c>
      <c r="D990" s="49">
        <v>0.0</v>
      </c>
    </row>
    <row r="991" ht="15.0" hidden="1" customHeight="1">
      <c r="A991" s="49" t="s">
        <v>340</v>
      </c>
      <c r="B991" s="50">
        <v>44104.0</v>
      </c>
      <c r="C991" s="49" t="s">
        <v>780</v>
      </c>
      <c r="D991" s="49">
        <v>0.0</v>
      </c>
    </row>
    <row r="992" ht="15.0" hidden="1" customHeight="1">
      <c r="A992" s="49" t="s">
        <v>345</v>
      </c>
      <c r="B992" s="50">
        <v>44104.0</v>
      </c>
      <c r="C992" s="49" t="s">
        <v>780</v>
      </c>
      <c r="D992" s="49">
        <v>0.0</v>
      </c>
    </row>
    <row r="993" ht="15.0" hidden="1" customHeight="1">
      <c r="A993" s="49" t="s">
        <v>350</v>
      </c>
      <c r="B993" s="50">
        <v>44104.0</v>
      </c>
      <c r="C993" s="49" t="s">
        <v>780</v>
      </c>
      <c r="D993" s="49">
        <v>0.0</v>
      </c>
    </row>
    <row r="994" ht="15.0" hidden="1" customHeight="1">
      <c r="A994" s="49" t="s">
        <v>355</v>
      </c>
      <c r="B994" s="50">
        <v>44104.0</v>
      </c>
      <c r="C994" s="49" t="s">
        <v>780</v>
      </c>
      <c r="D994" s="49">
        <v>0.0</v>
      </c>
    </row>
    <row r="995" ht="15.0" hidden="1" customHeight="1">
      <c r="A995" s="49" t="s">
        <v>360</v>
      </c>
      <c r="B995" s="50">
        <v>44104.0</v>
      </c>
      <c r="C995" s="49" t="s">
        <v>780</v>
      </c>
      <c r="D995" s="49">
        <v>0.0</v>
      </c>
    </row>
    <row r="996" ht="15.0" hidden="1" customHeight="1">
      <c r="A996" s="49" t="s">
        <v>365</v>
      </c>
      <c r="B996" s="50">
        <v>44104.0</v>
      </c>
      <c r="C996" s="49" t="s">
        <v>780</v>
      </c>
      <c r="D996" s="49">
        <v>0.0</v>
      </c>
    </row>
    <row r="997" ht="15.0" hidden="1" customHeight="1">
      <c r="A997" s="49" t="s">
        <v>370</v>
      </c>
      <c r="B997" s="50">
        <v>44104.0</v>
      </c>
      <c r="C997" s="49" t="s">
        <v>780</v>
      </c>
      <c r="D997" s="49">
        <v>0.0</v>
      </c>
    </row>
    <row r="998" ht="15.0" hidden="1" customHeight="1">
      <c r="A998" s="49" t="s">
        <v>375</v>
      </c>
      <c r="B998" s="50">
        <v>44104.0</v>
      </c>
      <c r="C998" s="49" t="s">
        <v>780</v>
      </c>
      <c r="D998" s="49">
        <v>0.0</v>
      </c>
    </row>
    <row r="999" ht="15.0" hidden="1" customHeight="1">
      <c r="A999" s="49" t="s">
        <v>380</v>
      </c>
      <c r="B999" s="50">
        <v>44104.0</v>
      </c>
      <c r="C999" s="49" t="s">
        <v>780</v>
      </c>
      <c r="D999" s="49">
        <v>0.0</v>
      </c>
    </row>
    <row r="1000" ht="15.0" hidden="1" customHeight="1">
      <c r="A1000" s="49" t="s">
        <v>385</v>
      </c>
      <c r="B1000" s="50">
        <v>44104.0</v>
      </c>
      <c r="C1000" s="49" t="s">
        <v>780</v>
      </c>
      <c r="D1000" s="49">
        <v>0.0</v>
      </c>
    </row>
    <row r="1001" ht="15.0" hidden="1" customHeight="1">
      <c r="A1001" s="49" t="s">
        <v>390</v>
      </c>
      <c r="B1001" s="50">
        <v>44104.0</v>
      </c>
      <c r="C1001" s="49" t="s">
        <v>780</v>
      </c>
      <c r="D1001" s="49">
        <v>0.0</v>
      </c>
    </row>
    <row r="1002" ht="15.0" hidden="1" customHeight="1">
      <c r="A1002" s="49" t="s">
        <v>395</v>
      </c>
      <c r="B1002" s="50">
        <v>44104.0</v>
      </c>
      <c r="C1002" s="49" t="s">
        <v>780</v>
      </c>
      <c r="D1002" s="49">
        <v>0.0</v>
      </c>
    </row>
    <row r="1003" ht="15.0" hidden="1" customHeight="1">
      <c r="A1003" s="49" t="s">
        <v>400</v>
      </c>
      <c r="B1003" s="50">
        <v>44104.0</v>
      </c>
      <c r="C1003" s="49" t="s">
        <v>780</v>
      </c>
      <c r="D1003" s="49">
        <v>0.0</v>
      </c>
    </row>
    <row r="1004" ht="15.0" hidden="1" customHeight="1">
      <c r="A1004" s="49" t="s">
        <v>405</v>
      </c>
      <c r="B1004" s="50">
        <v>44104.0</v>
      </c>
      <c r="C1004" s="49" t="s">
        <v>780</v>
      </c>
      <c r="D1004" s="49">
        <v>0.0</v>
      </c>
    </row>
    <row r="1005" ht="15.0" hidden="1" customHeight="1">
      <c r="A1005" s="49" t="s">
        <v>410</v>
      </c>
      <c r="B1005" s="50">
        <v>44104.0</v>
      </c>
      <c r="C1005" s="49" t="s">
        <v>780</v>
      </c>
      <c r="D1005" s="49">
        <v>0.0</v>
      </c>
    </row>
    <row r="1006" ht="15.0" hidden="1" customHeight="1">
      <c r="A1006" s="49" t="s">
        <v>415</v>
      </c>
      <c r="B1006" s="50">
        <v>44104.0</v>
      </c>
      <c r="C1006" s="49" t="s">
        <v>780</v>
      </c>
      <c r="D1006" s="49">
        <v>0.0</v>
      </c>
    </row>
    <row r="1007" ht="15.0" hidden="1" customHeight="1">
      <c r="A1007" s="49" t="s">
        <v>420</v>
      </c>
      <c r="B1007" s="50">
        <v>44104.0</v>
      </c>
      <c r="C1007" s="49" t="s">
        <v>780</v>
      </c>
      <c r="D1007" s="49">
        <v>0.0</v>
      </c>
    </row>
    <row r="1008" ht="15.0" hidden="1" customHeight="1">
      <c r="A1008" s="49" t="s">
        <v>425</v>
      </c>
      <c r="B1008" s="50">
        <v>44104.0</v>
      </c>
      <c r="C1008" s="49" t="s">
        <v>780</v>
      </c>
      <c r="D1008" s="49">
        <v>0.0</v>
      </c>
    </row>
    <row r="1009" ht="15.0" hidden="1" customHeight="1">
      <c r="A1009" s="49" t="s">
        <v>430</v>
      </c>
      <c r="B1009" s="50">
        <v>44104.0</v>
      </c>
      <c r="C1009" s="49" t="s">
        <v>780</v>
      </c>
      <c r="D1009" s="49">
        <v>0.0</v>
      </c>
    </row>
    <row r="1010" ht="15.0" hidden="1" customHeight="1">
      <c r="A1010" s="49" t="s">
        <v>434</v>
      </c>
      <c r="B1010" s="50">
        <v>44104.0</v>
      </c>
      <c r="C1010" s="49" t="s">
        <v>780</v>
      </c>
      <c r="D1010" s="49">
        <v>0.0</v>
      </c>
    </row>
    <row r="1011" ht="15.0" hidden="1" customHeight="1">
      <c r="A1011" s="49" t="s">
        <v>439</v>
      </c>
      <c r="B1011" s="50">
        <v>44104.0</v>
      </c>
      <c r="C1011" s="49" t="s">
        <v>780</v>
      </c>
      <c r="D1011" s="49">
        <v>0.0</v>
      </c>
    </row>
    <row r="1012" ht="15.0" hidden="1" customHeight="1">
      <c r="A1012" s="49" t="s">
        <v>444</v>
      </c>
      <c r="B1012" s="50">
        <v>44104.0</v>
      </c>
      <c r="C1012" s="49" t="s">
        <v>780</v>
      </c>
      <c r="D1012" s="49">
        <v>0.0</v>
      </c>
    </row>
    <row r="1013" ht="15.0" hidden="1" customHeight="1">
      <c r="A1013" s="49" t="s">
        <v>449</v>
      </c>
      <c r="B1013" s="50">
        <v>44104.0</v>
      </c>
      <c r="C1013" s="49" t="s">
        <v>780</v>
      </c>
      <c r="D1013" s="49">
        <v>0.0</v>
      </c>
    </row>
    <row r="1014" ht="15.0" hidden="1" customHeight="1">
      <c r="A1014" s="49" t="s">
        <v>455</v>
      </c>
      <c r="B1014" s="50">
        <v>44104.0</v>
      </c>
      <c r="C1014" s="49" t="s">
        <v>780</v>
      </c>
      <c r="D1014" s="49">
        <v>0.0</v>
      </c>
    </row>
    <row r="1015" ht="15.0" hidden="1" customHeight="1">
      <c r="A1015" s="49" t="s">
        <v>470</v>
      </c>
      <c r="B1015" s="50">
        <v>44104.0</v>
      </c>
      <c r="C1015" s="49" t="s">
        <v>780</v>
      </c>
      <c r="D1015" s="49">
        <v>0.0</v>
      </c>
    </row>
    <row r="1016" ht="15.0" hidden="1" customHeight="1">
      <c r="A1016" s="49" t="s">
        <v>476</v>
      </c>
      <c r="B1016" s="50">
        <v>44104.0</v>
      </c>
      <c r="C1016" s="49" t="s">
        <v>780</v>
      </c>
      <c r="D1016" s="49">
        <v>0.0</v>
      </c>
    </row>
    <row r="1017" ht="15.0" hidden="1" customHeight="1">
      <c r="A1017" s="49" t="s">
        <v>481</v>
      </c>
      <c r="B1017" s="50">
        <v>44104.0</v>
      </c>
      <c r="C1017" s="49" t="s">
        <v>780</v>
      </c>
      <c r="D1017" s="49">
        <v>0.0</v>
      </c>
    </row>
    <row r="1018" ht="15.0" hidden="1" customHeight="1">
      <c r="A1018" s="49" t="s">
        <v>486</v>
      </c>
      <c r="B1018" s="50">
        <v>44104.0</v>
      </c>
      <c r="C1018" s="49" t="s">
        <v>780</v>
      </c>
      <c r="D1018" s="49">
        <v>0.0</v>
      </c>
    </row>
    <row r="1019" ht="15.0" hidden="1" customHeight="1">
      <c r="A1019" s="49" t="s">
        <v>491</v>
      </c>
      <c r="B1019" s="50">
        <v>44104.0</v>
      </c>
      <c r="C1019" s="49" t="s">
        <v>780</v>
      </c>
      <c r="D1019" s="49">
        <v>0.0</v>
      </c>
    </row>
    <row r="1020" ht="15.0" hidden="1" customHeight="1">
      <c r="A1020" s="49" t="s">
        <v>496</v>
      </c>
      <c r="B1020" s="50">
        <v>44104.0</v>
      </c>
      <c r="C1020" s="49" t="s">
        <v>780</v>
      </c>
      <c r="D1020" s="49">
        <v>0.0</v>
      </c>
    </row>
    <row r="1021" ht="15.0" hidden="1" customHeight="1">
      <c r="A1021" s="49" t="s">
        <v>501</v>
      </c>
      <c r="B1021" s="50">
        <v>44104.0</v>
      </c>
      <c r="C1021" s="49" t="s">
        <v>780</v>
      </c>
      <c r="D1021" s="49">
        <v>0.0</v>
      </c>
    </row>
    <row r="1022" ht="15.0" hidden="1" customHeight="1">
      <c r="A1022" s="49" t="s">
        <v>506</v>
      </c>
      <c r="B1022" s="50">
        <v>44104.0</v>
      </c>
      <c r="C1022" s="49" t="s">
        <v>780</v>
      </c>
      <c r="D1022" s="49">
        <v>0.0</v>
      </c>
    </row>
    <row r="1023" ht="15.0" hidden="1" customHeight="1">
      <c r="A1023" s="49" t="s">
        <v>512</v>
      </c>
      <c r="B1023" s="50">
        <v>44104.0</v>
      </c>
      <c r="C1023" s="49" t="s">
        <v>780</v>
      </c>
      <c r="D1023" s="49">
        <v>0.0</v>
      </c>
    </row>
    <row r="1024" ht="15.0" hidden="1" customHeight="1">
      <c r="A1024" s="49" t="s">
        <v>517</v>
      </c>
      <c r="B1024" s="50">
        <v>44104.0</v>
      </c>
      <c r="C1024" s="49" t="s">
        <v>780</v>
      </c>
      <c r="D1024" s="49">
        <v>0.0</v>
      </c>
    </row>
    <row r="1025" ht="15.0" hidden="1" customHeight="1">
      <c r="A1025" s="49" t="s">
        <v>522</v>
      </c>
      <c r="B1025" s="50">
        <v>44104.0</v>
      </c>
      <c r="C1025" s="49" t="s">
        <v>780</v>
      </c>
      <c r="D1025" s="49">
        <v>0.0</v>
      </c>
    </row>
    <row r="1026" ht="15.0" hidden="1" customHeight="1">
      <c r="A1026" s="49" t="s">
        <v>528</v>
      </c>
      <c r="B1026" s="50">
        <v>44104.0</v>
      </c>
      <c r="C1026" s="49" t="s">
        <v>780</v>
      </c>
      <c r="D1026" s="49">
        <v>0.0</v>
      </c>
    </row>
    <row r="1027" ht="15.0" hidden="1" customHeight="1">
      <c r="A1027" s="49" t="s">
        <v>533</v>
      </c>
      <c r="B1027" s="50">
        <v>44104.0</v>
      </c>
      <c r="C1027" s="49" t="s">
        <v>780</v>
      </c>
      <c r="D1027" s="49">
        <v>0.0</v>
      </c>
    </row>
    <row r="1028" ht="15.0" hidden="1" customHeight="1">
      <c r="A1028" s="49" t="s">
        <v>538</v>
      </c>
      <c r="B1028" s="50">
        <v>44104.0</v>
      </c>
      <c r="C1028" s="49" t="s">
        <v>780</v>
      </c>
      <c r="D1028" s="49">
        <v>0.0</v>
      </c>
    </row>
    <row r="1029" ht="15.0" hidden="1" customHeight="1">
      <c r="A1029" s="49" t="s">
        <v>546</v>
      </c>
      <c r="B1029" s="50">
        <v>44104.0</v>
      </c>
      <c r="C1029" s="49" t="s">
        <v>780</v>
      </c>
      <c r="D1029" s="49">
        <v>0.0</v>
      </c>
    </row>
    <row r="1030" ht="15.0" hidden="1" customHeight="1">
      <c r="A1030" s="49" t="s">
        <v>551</v>
      </c>
      <c r="B1030" s="50">
        <v>44104.0</v>
      </c>
      <c r="C1030" s="49" t="s">
        <v>780</v>
      </c>
      <c r="D1030" s="49">
        <v>0.0</v>
      </c>
    </row>
    <row r="1031" ht="15.0" hidden="1" customHeight="1">
      <c r="A1031" s="49" t="s">
        <v>556</v>
      </c>
      <c r="B1031" s="50">
        <v>44104.0</v>
      </c>
      <c r="C1031" s="49" t="s">
        <v>780</v>
      </c>
      <c r="D1031" s="49">
        <v>0.0</v>
      </c>
    </row>
    <row r="1032" ht="15.0" hidden="1" customHeight="1">
      <c r="A1032" s="49" t="s">
        <v>561</v>
      </c>
      <c r="B1032" s="50">
        <v>44104.0</v>
      </c>
      <c r="C1032" s="49" t="s">
        <v>780</v>
      </c>
      <c r="D1032" s="49">
        <v>0.0</v>
      </c>
    </row>
    <row r="1033" ht="15.0" hidden="1" customHeight="1">
      <c r="A1033" s="49" t="s">
        <v>566</v>
      </c>
      <c r="B1033" s="50">
        <v>44104.0</v>
      </c>
      <c r="C1033" s="49" t="s">
        <v>780</v>
      </c>
      <c r="D1033" s="49">
        <v>0.0</v>
      </c>
    </row>
    <row r="1034" ht="15.0" hidden="1" customHeight="1">
      <c r="A1034" s="49" t="s">
        <v>571</v>
      </c>
      <c r="B1034" s="50">
        <v>44104.0</v>
      </c>
      <c r="C1034" s="49" t="s">
        <v>780</v>
      </c>
      <c r="D1034" s="49">
        <v>0.0</v>
      </c>
    </row>
    <row r="1035" ht="15.0" hidden="1" customHeight="1">
      <c r="A1035" s="49" t="s">
        <v>576</v>
      </c>
      <c r="B1035" s="50">
        <v>44104.0</v>
      </c>
      <c r="C1035" s="49" t="s">
        <v>780</v>
      </c>
      <c r="D1035" s="49">
        <v>0.0</v>
      </c>
    </row>
    <row r="1036" ht="15.0" hidden="1" customHeight="1">
      <c r="A1036" s="49" t="s">
        <v>581</v>
      </c>
      <c r="B1036" s="50">
        <v>44104.0</v>
      </c>
      <c r="C1036" s="49" t="s">
        <v>780</v>
      </c>
      <c r="D1036" s="49">
        <v>0.0</v>
      </c>
    </row>
    <row r="1037" ht="15.0" hidden="1" customHeight="1">
      <c r="A1037" s="49" t="s">
        <v>586</v>
      </c>
      <c r="B1037" s="50">
        <v>44104.0</v>
      </c>
      <c r="C1037" s="49" t="s">
        <v>780</v>
      </c>
      <c r="D1037" s="49">
        <v>0.0</v>
      </c>
    </row>
    <row r="1038" ht="15.0" hidden="1" customHeight="1">
      <c r="A1038" s="49" t="s">
        <v>754</v>
      </c>
      <c r="B1038" s="50">
        <v>44104.0</v>
      </c>
      <c r="C1038" s="49" t="s">
        <v>780</v>
      </c>
      <c r="D1038" s="49">
        <v>0.0</v>
      </c>
    </row>
    <row r="1039" ht="15.0" hidden="1" customHeight="1">
      <c r="A1039" s="49" t="s">
        <v>591</v>
      </c>
      <c r="B1039" s="50">
        <v>44104.0</v>
      </c>
      <c r="C1039" s="49" t="s">
        <v>780</v>
      </c>
      <c r="D1039" s="49">
        <v>0.0</v>
      </c>
    </row>
    <row r="1040" ht="15.0" hidden="1" customHeight="1">
      <c r="A1040" s="49" t="s">
        <v>759</v>
      </c>
      <c r="B1040" s="50">
        <v>44104.0</v>
      </c>
      <c r="C1040" s="49" t="s">
        <v>780</v>
      </c>
      <c r="D1040" s="49">
        <v>0.0</v>
      </c>
    </row>
    <row r="1041" ht="15.0" hidden="1" customHeight="1">
      <c r="A1041" s="49" t="s">
        <v>596</v>
      </c>
      <c r="B1041" s="50">
        <v>44104.0</v>
      </c>
      <c r="C1041" s="49" t="s">
        <v>780</v>
      </c>
      <c r="D1041" s="49">
        <v>0.0</v>
      </c>
    </row>
    <row r="1042" ht="15.0" hidden="1" customHeight="1">
      <c r="A1042" s="49" t="s">
        <v>602</v>
      </c>
      <c r="B1042" s="50">
        <v>44104.0</v>
      </c>
      <c r="C1042" s="49" t="s">
        <v>780</v>
      </c>
      <c r="D1042" s="49">
        <v>0.0</v>
      </c>
    </row>
    <row r="1043" ht="15.0" hidden="1" customHeight="1">
      <c r="A1043" s="49" t="s">
        <v>607</v>
      </c>
      <c r="B1043" s="50">
        <v>44104.0</v>
      </c>
      <c r="C1043" s="49" t="s">
        <v>780</v>
      </c>
      <c r="D1043" s="49">
        <v>0.0</v>
      </c>
    </row>
    <row r="1044" ht="15.0" hidden="1" customHeight="1">
      <c r="A1044" s="49" t="s">
        <v>612</v>
      </c>
      <c r="B1044" s="50">
        <v>44104.0</v>
      </c>
      <c r="C1044" s="49" t="s">
        <v>780</v>
      </c>
      <c r="D1044" s="49">
        <v>0.0</v>
      </c>
    </row>
    <row r="1045" ht="15.0" hidden="1" customHeight="1">
      <c r="A1045" s="49" t="s">
        <v>617</v>
      </c>
      <c r="B1045" s="50">
        <v>44104.0</v>
      </c>
      <c r="C1045" s="49" t="s">
        <v>780</v>
      </c>
      <c r="D1045" s="49">
        <v>0.0</v>
      </c>
    </row>
    <row r="1046" ht="15.0" hidden="1" customHeight="1">
      <c r="A1046" s="49" t="s">
        <v>622</v>
      </c>
      <c r="B1046" s="50">
        <v>44104.0</v>
      </c>
      <c r="C1046" s="49" t="s">
        <v>780</v>
      </c>
      <c r="D1046" s="49">
        <v>0.0</v>
      </c>
    </row>
    <row r="1047" ht="15.0" hidden="1" customHeight="1">
      <c r="A1047" s="49" t="s">
        <v>627</v>
      </c>
      <c r="B1047" s="50">
        <v>44104.0</v>
      </c>
      <c r="C1047" s="49" t="s">
        <v>780</v>
      </c>
      <c r="D1047" s="49">
        <v>0.0</v>
      </c>
    </row>
    <row r="1048" ht="15.0" hidden="1" customHeight="1">
      <c r="A1048" s="49" t="s">
        <v>631</v>
      </c>
      <c r="B1048" s="50">
        <v>44104.0</v>
      </c>
      <c r="C1048" s="49" t="s">
        <v>780</v>
      </c>
      <c r="D1048" s="49">
        <v>0.0</v>
      </c>
    </row>
    <row r="1049" ht="15.0" hidden="1" customHeight="1">
      <c r="A1049" s="49" t="s">
        <v>636</v>
      </c>
      <c r="B1049" s="50">
        <v>44104.0</v>
      </c>
      <c r="C1049" s="49" t="s">
        <v>780</v>
      </c>
      <c r="D1049" s="49">
        <v>0.0</v>
      </c>
    </row>
    <row r="1050" ht="15.0" hidden="1" customHeight="1">
      <c r="A1050" s="49" t="s">
        <v>640</v>
      </c>
      <c r="B1050" s="50">
        <v>44104.0</v>
      </c>
      <c r="C1050" s="49" t="s">
        <v>780</v>
      </c>
      <c r="D1050" s="49">
        <v>0.0</v>
      </c>
    </row>
    <row r="1051" ht="15.0" hidden="1" customHeight="1">
      <c r="A1051" s="49" t="s">
        <v>644</v>
      </c>
      <c r="B1051" s="50">
        <v>44104.0</v>
      </c>
      <c r="C1051" s="49" t="s">
        <v>780</v>
      </c>
      <c r="D1051" s="49">
        <v>0.0</v>
      </c>
    </row>
    <row r="1052" ht="15.0" hidden="1" customHeight="1">
      <c r="A1052" s="49" t="s">
        <v>649</v>
      </c>
      <c r="B1052" s="50">
        <v>44104.0</v>
      </c>
      <c r="C1052" s="49" t="s">
        <v>780</v>
      </c>
      <c r="D1052" s="49">
        <v>0.0</v>
      </c>
    </row>
    <row r="1053" ht="15.0" hidden="1" customHeight="1">
      <c r="A1053" s="49" t="s">
        <v>654</v>
      </c>
      <c r="B1053" s="50">
        <v>44104.0</v>
      </c>
      <c r="C1053" s="49" t="s">
        <v>780</v>
      </c>
      <c r="D1053" s="49">
        <v>0.0</v>
      </c>
    </row>
    <row r="1054" ht="15.0" hidden="1" customHeight="1">
      <c r="A1054" s="49" t="s">
        <v>659</v>
      </c>
      <c r="B1054" s="50">
        <v>44104.0</v>
      </c>
      <c r="C1054" s="49" t="s">
        <v>780</v>
      </c>
      <c r="D1054" s="49">
        <v>0.0</v>
      </c>
    </row>
    <row r="1055" ht="15.0" hidden="1" customHeight="1">
      <c r="A1055" s="49" t="s">
        <v>664</v>
      </c>
      <c r="B1055" s="50">
        <v>44104.0</v>
      </c>
      <c r="C1055" s="49" t="s">
        <v>780</v>
      </c>
      <c r="D1055" s="49">
        <v>0.0</v>
      </c>
    </row>
    <row r="1056" ht="15.0" hidden="1" customHeight="1">
      <c r="A1056" s="49" t="s">
        <v>669</v>
      </c>
      <c r="B1056" s="50">
        <v>44104.0</v>
      </c>
      <c r="C1056" s="49" t="s">
        <v>780</v>
      </c>
      <c r="D1056" s="49">
        <v>0.0</v>
      </c>
    </row>
    <row r="1057" ht="15.0" hidden="1" customHeight="1">
      <c r="A1057" s="49" t="s">
        <v>674</v>
      </c>
      <c r="B1057" s="50">
        <v>44104.0</v>
      </c>
      <c r="C1057" s="49" t="s">
        <v>780</v>
      </c>
      <c r="D1057" s="49">
        <v>0.0</v>
      </c>
    </row>
    <row r="1058" ht="15.0" hidden="1" customHeight="1">
      <c r="A1058" s="49" t="s">
        <v>679</v>
      </c>
      <c r="B1058" s="50">
        <v>44104.0</v>
      </c>
      <c r="C1058" s="49" t="s">
        <v>780</v>
      </c>
      <c r="D1058" s="49">
        <v>0.0</v>
      </c>
    </row>
    <row r="1059" ht="15.0" hidden="1" customHeight="1">
      <c r="A1059" s="49" t="s">
        <v>684</v>
      </c>
      <c r="B1059" s="50">
        <v>44104.0</v>
      </c>
      <c r="C1059" s="49" t="s">
        <v>780</v>
      </c>
      <c r="D1059" s="49">
        <v>0.0</v>
      </c>
    </row>
    <row r="1060" ht="15.0" hidden="1" customHeight="1">
      <c r="A1060" s="49" t="s">
        <v>689</v>
      </c>
      <c r="B1060" s="50">
        <v>44104.0</v>
      </c>
      <c r="C1060" s="49" t="s">
        <v>780</v>
      </c>
      <c r="D1060" s="49">
        <v>0.0</v>
      </c>
    </row>
    <row r="1061" ht="15.0" hidden="1" customHeight="1">
      <c r="A1061" s="49" t="s">
        <v>694</v>
      </c>
      <c r="B1061" s="50">
        <v>44104.0</v>
      </c>
      <c r="C1061" s="49" t="s">
        <v>780</v>
      </c>
      <c r="D1061" s="49">
        <v>0.0</v>
      </c>
    </row>
    <row r="1062" ht="15.0" hidden="1" customHeight="1">
      <c r="A1062" s="49" t="s">
        <v>699</v>
      </c>
      <c r="B1062" s="50">
        <v>44104.0</v>
      </c>
      <c r="C1062" s="49" t="s">
        <v>780</v>
      </c>
      <c r="D1062" s="49">
        <v>0.0</v>
      </c>
    </row>
    <row r="1063" ht="15.0" hidden="1" customHeight="1">
      <c r="A1063" s="49" t="s">
        <v>705</v>
      </c>
      <c r="B1063" s="50">
        <v>44104.0</v>
      </c>
      <c r="C1063" s="49" t="s">
        <v>780</v>
      </c>
      <c r="D1063" s="49">
        <v>0.0</v>
      </c>
    </row>
    <row r="1064" ht="15.0" hidden="1" customHeight="1">
      <c r="A1064" s="49" t="s">
        <v>710</v>
      </c>
      <c r="B1064" s="50">
        <v>44104.0</v>
      </c>
      <c r="C1064" s="49" t="s">
        <v>780</v>
      </c>
      <c r="D1064" s="49">
        <v>0.0</v>
      </c>
    </row>
    <row r="1065" ht="15.0" hidden="1" customHeight="1">
      <c r="A1065" s="49" t="s">
        <v>715</v>
      </c>
      <c r="B1065" s="50">
        <v>44104.0</v>
      </c>
      <c r="C1065" s="49" t="s">
        <v>780</v>
      </c>
      <c r="D1065" s="49">
        <v>0.0</v>
      </c>
    </row>
    <row r="1066" ht="15.0" hidden="1" customHeight="1">
      <c r="A1066" s="49" t="s">
        <v>765</v>
      </c>
      <c r="B1066" s="50">
        <v>44104.0</v>
      </c>
      <c r="C1066" s="49" t="s">
        <v>780</v>
      </c>
      <c r="D1066" s="49">
        <v>0.0</v>
      </c>
    </row>
    <row r="1067" ht="15.0" hidden="1" customHeight="1">
      <c r="A1067" s="49" t="s">
        <v>720</v>
      </c>
      <c r="B1067" s="50">
        <v>44104.0</v>
      </c>
      <c r="C1067" s="49" t="s">
        <v>780</v>
      </c>
      <c r="D1067" s="49">
        <v>0.0</v>
      </c>
    </row>
    <row r="1068" ht="15.0" hidden="1" customHeight="1">
      <c r="A1068" s="49" t="s">
        <v>725</v>
      </c>
      <c r="B1068" s="50">
        <v>44104.0</v>
      </c>
      <c r="C1068" s="49" t="s">
        <v>780</v>
      </c>
      <c r="D1068" s="49">
        <v>0.0</v>
      </c>
    </row>
    <row r="1069" ht="15.0" hidden="1" customHeight="1">
      <c r="A1069" s="49" t="s">
        <v>730</v>
      </c>
      <c r="B1069" s="50">
        <v>44104.0</v>
      </c>
      <c r="C1069" s="49" t="s">
        <v>780</v>
      </c>
      <c r="D1069" s="49">
        <v>0.0</v>
      </c>
    </row>
    <row r="1070" ht="15.0" hidden="1" customHeight="1">
      <c r="A1070" s="49" t="s">
        <v>734</v>
      </c>
      <c r="B1070" s="50">
        <v>44104.0</v>
      </c>
      <c r="C1070" s="49" t="s">
        <v>780</v>
      </c>
      <c r="D1070" s="49">
        <v>0.0</v>
      </c>
    </row>
    <row r="1071" ht="15.0" hidden="1" customHeight="1">
      <c r="A1071" s="49" t="s">
        <v>739</v>
      </c>
      <c r="B1071" s="50">
        <v>44104.0</v>
      </c>
      <c r="C1071" s="49" t="s">
        <v>780</v>
      </c>
      <c r="D1071" s="49">
        <v>0.0</v>
      </c>
    </row>
    <row r="1072" ht="15.0" hidden="1" customHeight="1">
      <c r="A1072" s="49" t="s">
        <v>744</v>
      </c>
      <c r="B1072" s="50">
        <v>44104.0</v>
      </c>
      <c r="C1072" s="49" t="s">
        <v>780</v>
      </c>
      <c r="D1072" s="49">
        <v>0.0</v>
      </c>
    </row>
    <row r="1073" ht="15.0" hidden="1" customHeight="1">
      <c r="A1073" s="49" t="s">
        <v>749</v>
      </c>
      <c r="B1073" s="50">
        <v>44104.0</v>
      </c>
      <c r="C1073" s="49" t="s">
        <v>780</v>
      </c>
      <c r="D1073" s="49">
        <v>0.0</v>
      </c>
    </row>
    <row r="1074" ht="15.0" customHeight="1">
      <c r="A1074" s="49" t="s">
        <v>776</v>
      </c>
      <c r="B1074" s="50">
        <v>44196.0</v>
      </c>
      <c r="C1074" s="49" t="s">
        <v>777</v>
      </c>
      <c r="D1074" s="49">
        <v>0.0</v>
      </c>
    </row>
    <row r="1075" ht="15.0" hidden="1" customHeight="1">
      <c r="A1075" s="49" t="s">
        <v>778</v>
      </c>
      <c r="B1075" s="50">
        <v>44196.0</v>
      </c>
      <c r="C1075" s="49" t="s">
        <v>777</v>
      </c>
      <c r="D1075" s="49">
        <v>0.0</v>
      </c>
    </row>
    <row r="1076" ht="15.0" hidden="1" customHeight="1">
      <c r="A1076" s="49" t="s">
        <v>92</v>
      </c>
      <c r="B1076" s="50">
        <v>44196.0</v>
      </c>
      <c r="C1076" s="49" t="s">
        <v>777</v>
      </c>
      <c r="D1076" s="49">
        <v>0.0</v>
      </c>
    </row>
    <row r="1077" ht="15.0" hidden="1" customHeight="1">
      <c r="A1077" s="49" t="s">
        <v>97</v>
      </c>
      <c r="B1077" s="50">
        <v>44196.0</v>
      </c>
      <c r="C1077" s="49" t="s">
        <v>777</v>
      </c>
      <c r="D1077" s="49">
        <v>1100000.0</v>
      </c>
    </row>
    <row r="1078" ht="15.0" hidden="1" customHeight="1">
      <c r="A1078" s="49" t="s">
        <v>102</v>
      </c>
      <c r="B1078" s="50">
        <v>44196.0</v>
      </c>
      <c r="C1078" s="49" t="s">
        <v>777</v>
      </c>
      <c r="D1078" s="49">
        <v>0.0</v>
      </c>
    </row>
    <row r="1079" ht="15.0" hidden="1" customHeight="1">
      <c r="A1079" s="49" t="s">
        <v>106</v>
      </c>
      <c r="B1079" s="50">
        <v>44196.0</v>
      </c>
      <c r="C1079" s="49" t="s">
        <v>777</v>
      </c>
      <c r="D1079" s="49">
        <v>0.0</v>
      </c>
    </row>
    <row r="1080" ht="15.0" hidden="1" customHeight="1">
      <c r="A1080" s="49" t="s">
        <v>111</v>
      </c>
      <c r="B1080" s="50">
        <v>44196.0</v>
      </c>
      <c r="C1080" s="49" t="s">
        <v>777</v>
      </c>
      <c r="D1080" s="49">
        <v>0.0</v>
      </c>
    </row>
    <row r="1081" ht="15.0" hidden="1" customHeight="1">
      <c r="A1081" s="49" t="s">
        <v>116</v>
      </c>
      <c r="B1081" s="50">
        <v>44196.0</v>
      </c>
      <c r="C1081" s="49" t="s">
        <v>777</v>
      </c>
      <c r="D1081" s="49">
        <v>0.0</v>
      </c>
    </row>
    <row r="1082" ht="15.0" hidden="1" customHeight="1">
      <c r="A1082" s="49" t="s">
        <v>120</v>
      </c>
      <c r="B1082" s="50">
        <v>44196.0</v>
      </c>
      <c r="C1082" s="49" t="s">
        <v>777</v>
      </c>
      <c r="D1082" s="49">
        <v>0.0</v>
      </c>
    </row>
    <row r="1083" ht="15.0" hidden="1" customHeight="1">
      <c r="A1083" s="49" t="s">
        <v>125</v>
      </c>
      <c r="B1083" s="50">
        <v>44196.0</v>
      </c>
      <c r="C1083" s="49" t="s">
        <v>777</v>
      </c>
      <c r="D1083" s="49">
        <v>0.0</v>
      </c>
    </row>
    <row r="1084" ht="15.0" hidden="1" customHeight="1">
      <c r="A1084" s="49" t="s">
        <v>130</v>
      </c>
      <c r="B1084" s="50">
        <v>44196.0</v>
      </c>
      <c r="C1084" s="49" t="s">
        <v>777</v>
      </c>
      <c r="D1084" s="49">
        <v>0.0</v>
      </c>
    </row>
    <row r="1085" ht="15.0" hidden="1" customHeight="1">
      <c r="A1085" s="49" t="s">
        <v>137</v>
      </c>
      <c r="B1085" s="50">
        <v>44196.0</v>
      </c>
      <c r="C1085" s="49" t="s">
        <v>777</v>
      </c>
      <c r="D1085" s="49">
        <v>368522.0</v>
      </c>
    </row>
    <row r="1086" ht="15.0" hidden="1" customHeight="1">
      <c r="A1086" s="49" t="s">
        <v>142</v>
      </c>
      <c r="B1086" s="50">
        <v>44196.0</v>
      </c>
      <c r="C1086" s="49" t="s">
        <v>777</v>
      </c>
      <c r="D1086" s="49">
        <v>0.0</v>
      </c>
    </row>
    <row r="1087" ht="15.0" hidden="1" customHeight="1">
      <c r="A1087" s="49" t="s">
        <v>147</v>
      </c>
      <c r="B1087" s="50">
        <v>44196.0</v>
      </c>
      <c r="C1087" s="49" t="s">
        <v>777</v>
      </c>
      <c r="D1087" s="49">
        <v>506000.0</v>
      </c>
    </row>
    <row r="1088" ht="15.0" hidden="1" customHeight="1">
      <c r="A1088" s="49" t="s">
        <v>152</v>
      </c>
      <c r="B1088" s="50">
        <v>44196.0</v>
      </c>
      <c r="C1088" s="49" t="s">
        <v>777</v>
      </c>
      <c r="D1088" s="49">
        <v>217425.0</v>
      </c>
    </row>
    <row r="1089" ht="15.0" hidden="1" customHeight="1">
      <c r="A1089" s="49" t="s">
        <v>157</v>
      </c>
      <c r="B1089" s="50">
        <v>44196.0</v>
      </c>
      <c r="C1089" s="49" t="s">
        <v>777</v>
      </c>
      <c r="D1089" s="49">
        <v>0.0</v>
      </c>
    </row>
    <row r="1090" ht="15.0" hidden="1" customHeight="1">
      <c r="A1090" s="49" t="s">
        <v>162</v>
      </c>
      <c r="B1090" s="50">
        <v>44196.0</v>
      </c>
      <c r="C1090" s="49" t="s">
        <v>777</v>
      </c>
      <c r="D1090" s="49">
        <v>5314000.0</v>
      </c>
    </row>
    <row r="1091" ht="15.0" hidden="1" customHeight="1">
      <c r="A1091" s="49" t="s">
        <v>167</v>
      </c>
      <c r="B1091" s="50">
        <v>44196.0</v>
      </c>
      <c r="C1091" s="49" t="s">
        <v>777</v>
      </c>
      <c r="D1091" s="49">
        <v>1750000.0</v>
      </c>
    </row>
    <row r="1092" ht="15.0" hidden="1" customHeight="1">
      <c r="A1092" s="49" t="s">
        <v>172</v>
      </c>
      <c r="B1092" s="50">
        <v>44196.0</v>
      </c>
      <c r="C1092" s="49" t="s">
        <v>777</v>
      </c>
      <c r="D1092" s="49">
        <v>596160.0</v>
      </c>
    </row>
    <row r="1093" ht="15.0" hidden="1" customHeight="1">
      <c r="A1093" s="49" t="s">
        <v>177</v>
      </c>
      <c r="B1093" s="50">
        <v>44196.0</v>
      </c>
      <c r="C1093" s="49" t="s">
        <v>777</v>
      </c>
      <c r="D1093" s="49">
        <v>0.0</v>
      </c>
    </row>
    <row r="1094" ht="15.0" hidden="1" customHeight="1">
      <c r="A1094" s="49" t="s">
        <v>182</v>
      </c>
      <c r="B1094" s="50">
        <v>44196.0</v>
      </c>
      <c r="C1094" s="49" t="s">
        <v>777</v>
      </c>
      <c r="D1094" s="49">
        <v>0.0</v>
      </c>
    </row>
    <row r="1095" ht="15.0" hidden="1" customHeight="1">
      <c r="A1095" s="49" t="s">
        <v>187</v>
      </c>
      <c r="B1095" s="50">
        <v>44196.0</v>
      </c>
      <c r="C1095" s="49" t="s">
        <v>777</v>
      </c>
      <c r="D1095" s="49">
        <v>0.0</v>
      </c>
    </row>
    <row r="1096" ht="15.0" hidden="1" customHeight="1">
      <c r="A1096" s="49" t="s">
        <v>192</v>
      </c>
      <c r="B1096" s="50">
        <v>44196.0</v>
      </c>
      <c r="C1096" s="49" t="s">
        <v>777</v>
      </c>
      <c r="D1096" s="49">
        <v>0.0</v>
      </c>
    </row>
    <row r="1097" ht="15.0" hidden="1" customHeight="1">
      <c r="A1097" s="49" t="s">
        <v>197</v>
      </c>
      <c r="B1097" s="50">
        <v>44196.0</v>
      </c>
      <c r="C1097" s="49" t="s">
        <v>777</v>
      </c>
      <c r="D1097" s="49">
        <v>0.0</v>
      </c>
    </row>
    <row r="1098" ht="15.0" hidden="1" customHeight="1">
      <c r="A1098" s="49" t="s">
        <v>202</v>
      </c>
      <c r="B1098" s="50">
        <v>44196.0</v>
      </c>
      <c r="C1098" s="49" t="s">
        <v>777</v>
      </c>
      <c r="D1098" s="49">
        <v>0.0</v>
      </c>
    </row>
    <row r="1099" ht="15.0" hidden="1" customHeight="1">
      <c r="A1099" s="49" t="s">
        <v>206</v>
      </c>
      <c r="B1099" s="50">
        <v>44196.0</v>
      </c>
      <c r="C1099" s="49" t="s">
        <v>777</v>
      </c>
      <c r="D1099" s="49">
        <v>0.0</v>
      </c>
    </row>
    <row r="1100" ht="15.0" hidden="1" customHeight="1">
      <c r="A1100" s="49" t="s">
        <v>211</v>
      </c>
      <c r="B1100" s="50">
        <v>44196.0</v>
      </c>
      <c r="C1100" s="49" t="s">
        <v>777</v>
      </c>
      <c r="D1100" s="49">
        <v>0.0</v>
      </c>
    </row>
    <row r="1101" ht="15.0" hidden="1" customHeight="1">
      <c r="A1101" s="49" t="s">
        <v>779</v>
      </c>
      <c r="B1101" s="50">
        <v>44196.0</v>
      </c>
      <c r="C1101" s="49" t="s">
        <v>777</v>
      </c>
      <c r="D1101" s="49">
        <v>100000.0</v>
      </c>
    </row>
    <row r="1102" ht="15.0" hidden="1" customHeight="1">
      <c r="A1102" s="49" t="s">
        <v>221</v>
      </c>
      <c r="B1102" s="50">
        <v>44196.0</v>
      </c>
      <c r="C1102" s="49" t="s">
        <v>777</v>
      </c>
      <c r="D1102" s="49">
        <v>0.0</v>
      </c>
    </row>
    <row r="1103" ht="15.0" hidden="1" customHeight="1">
      <c r="A1103" s="49" t="s">
        <v>226</v>
      </c>
      <c r="B1103" s="50">
        <v>44196.0</v>
      </c>
      <c r="C1103" s="49" t="s">
        <v>777</v>
      </c>
      <c r="D1103" s="49">
        <v>0.0</v>
      </c>
    </row>
    <row r="1104" ht="15.0" hidden="1" customHeight="1">
      <c r="A1104" s="49" t="s">
        <v>231</v>
      </c>
      <c r="B1104" s="50">
        <v>44196.0</v>
      </c>
      <c r="C1104" s="49" t="s">
        <v>777</v>
      </c>
      <c r="D1104" s="49">
        <v>0.0</v>
      </c>
    </row>
    <row r="1105" ht="15.0" hidden="1" customHeight="1">
      <c r="A1105" s="49" t="s">
        <v>236</v>
      </c>
      <c r="B1105" s="50">
        <v>44196.0</v>
      </c>
      <c r="C1105" s="49" t="s">
        <v>777</v>
      </c>
      <c r="D1105" s="49">
        <v>0.0</v>
      </c>
    </row>
    <row r="1106" ht="15.0" hidden="1" customHeight="1">
      <c r="A1106" s="49" t="s">
        <v>242</v>
      </c>
      <c r="B1106" s="50">
        <v>44196.0</v>
      </c>
      <c r="C1106" s="49" t="s">
        <v>777</v>
      </c>
      <c r="D1106" s="49">
        <v>0.0</v>
      </c>
    </row>
    <row r="1107" ht="15.0" hidden="1" customHeight="1">
      <c r="A1107" s="49" t="s">
        <v>248</v>
      </c>
      <c r="B1107" s="50">
        <v>44196.0</v>
      </c>
      <c r="C1107" s="49" t="s">
        <v>777</v>
      </c>
      <c r="D1107" s="49">
        <v>0.0</v>
      </c>
    </row>
    <row r="1108" ht="15.0" hidden="1" customHeight="1">
      <c r="A1108" s="49" t="s">
        <v>253</v>
      </c>
      <c r="B1108" s="50">
        <v>44196.0</v>
      </c>
      <c r="C1108" s="49" t="s">
        <v>777</v>
      </c>
      <c r="D1108" s="49">
        <v>0.0</v>
      </c>
    </row>
    <row r="1109" ht="15.0" hidden="1" customHeight="1">
      <c r="A1109" s="49" t="s">
        <v>258</v>
      </c>
      <c r="B1109" s="50">
        <v>44196.0</v>
      </c>
      <c r="C1109" s="49" t="s">
        <v>777</v>
      </c>
      <c r="D1109" s="49">
        <v>0.0</v>
      </c>
    </row>
    <row r="1110" ht="15.0" hidden="1" customHeight="1">
      <c r="A1110" s="49" t="s">
        <v>263</v>
      </c>
      <c r="B1110" s="50">
        <v>44196.0</v>
      </c>
      <c r="C1110" s="49" t="s">
        <v>777</v>
      </c>
      <c r="D1110" s="49">
        <v>0.0</v>
      </c>
    </row>
    <row r="1111" ht="15.0" hidden="1" customHeight="1">
      <c r="A1111" s="49" t="s">
        <v>268</v>
      </c>
      <c r="B1111" s="50">
        <v>44196.0</v>
      </c>
      <c r="C1111" s="49" t="s">
        <v>777</v>
      </c>
      <c r="D1111" s="49">
        <v>0.0</v>
      </c>
    </row>
    <row r="1112" ht="15.0" hidden="1" customHeight="1">
      <c r="A1112" s="49" t="s">
        <v>273</v>
      </c>
      <c r="B1112" s="50">
        <v>44196.0</v>
      </c>
      <c r="C1112" s="49" t="s">
        <v>777</v>
      </c>
      <c r="D1112" s="49">
        <v>0.0</v>
      </c>
    </row>
    <row r="1113" ht="15.0" hidden="1" customHeight="1">
      <c r="A1113" s="49" t="s">
        <v>278</v>
      </c>
      <c r="B1113" s="50">
        <v>44196.0</v>
      </c>
      <c r="C1113" s="49" t="s">
        <v>777</v>
      </c>
      <c r="D1113" s="49">
        <v>0.0</v>
      </c>
    </row>
    <row r="1114" ht="15.0" hidden="1" customHeight="1">
      <c r="A1114" s="49" t="s">
        <v>283</v>
      </c>
      <c r="B1114" s="50">
        <v>44196.0</v>
      </c>
      <c r="C1114" s="49" t="s">
        <v>777</v>
      </c>
      <c r="D1114" s="49">
        <v>0.0</v>
      </c>
    </row>
    <row r="1115" ht="15.0" hidden="1" customHeight="1">
      <c r="A1115" s="49" t="s">
        <v>288</v>
      </c>
      <c r="B1115" s="50">
        <v>44196.0</v>
      </c>
      <c r="C1115" s="49" t="s">
        <v>777</v>
      </c>
      <c r="D1115" s="49">
        <v>0.0</v>
      </c>
    </row>
    <row r="1116" ht="15.0" hidden="1" customHeight="1">
      <c r="A1116" s="49" t="s">
        <v>293</v>
      </c>
      <c r="B1116" s="50">
        <v>44196.0</v>
      </c>
      <c r="C1116" s="49" t="s">
        <v>777</v>
      </c>
      <c r="D1116" s="49">
        <v>0.0</v>
      </c>
    </row>
    <row r="1117" ht="15.0" hidden="1" customHeight="1">
      <c r="A1117" s="49" t="s">
        <v>298</v>
      </c>
      <c r="B1117" s="50">
        <v>44196.0</v>
      </c>
      <c r="C1117" s="49" t="s">
        <v>777</v>
      </c>
      <c r="D1117" s="49">
        <v>0.0</v>
      </c>
    </row>
    <row r="1118" ht="15.0" hidden="1" customHeight="1">
      <c r="A1118" s="49" t="s">
        <v>303</v>
      </c>
      <c r="B1118" s="50">
        <v>44196.0</v>
      </c>
      <c r="C1118" s="49" t="s">
        <v>777</v>
      </c>
      <c r="D1118" s="49">
        <v>0.0</v>
      </c>
    </row>
    <row r="1119" ht="15.0" hidden="1" customHeight="1">
      <c r="A1119" s="49" t="s">
        <v>307</v>
      </c>
      <c r="B1119" s="50">
        <v>44196.0</v>
      </c>
      <c r="C1119" s="49" t="s">
        <v>777</v>
      </c>
      <c r="D1119" s="49">
        <v>0.0</v>
      </c>
    </row>
    <row r="1120" ht="15.0" hidden="1" customHeight="1">
      <c r="A1120" s="49" t="s">
        <v>313</v>
      </c>
      <c r="B1120" s="50">
        <v>44196.0</v>
      </c>
      <c r="C1120" s="49" t="s">
        <v>777</v>
      </c>
      <c r="D1120" s="49">
        <v>0.0</v>
      </c>
    </row>
    <row r="1121" ht="15.0" hidden="1" customHeight="1">
      <c r="A1121" s="49" t="s">
        <v>318</v>
      </c>
      <c r="B1121" s="50">
        <v>44196.0</v>
      </c>
      <c r="C1121" s="49" t="s">
        <v>777</v>
      </c>
      <c r="D1121" s="49">
        <v>0.0</v>
      </c>
    </row>
    <row r="1122" ht="15.0" hidden="1" customHeight="1">
      <c r="A1122" s="49" t="s">
        <v>323</v>
      </c>
      <c r="B1122" s="50">
        <v>44196.0</v>
      </c>
      <c r="C1122" s="49" t="s">
        <v>777</v>
      </c>
      <c r="D1122" s="49">
        <v>0.0</v>
      </c>
    </row>
    <row r="1123" ht="15.0" hidden="1" customHeight="1">
      <c r="A1123" s="49" t="s">
        <v>328</v>
      </c>
      <c r="B1123" s="50">
        <v>44196.0</v>
      </c>
      <c r="C1123" s="49" t="s">
        <v>777</v>
      </c>
      <c r="D1123" s="49">
        <v>0.0</v>
      </c>
    </row>
    <row r="1124" ht="15.0" hidden="1" customHeight="1">
      <c r="A1124" s="49" t="s">
        <v>335</v>
      </c>
      <c r="B1124" s="50">
        <v>44196.0</v>
      </c>
      <c r="C1124" s="49" t="s">
        <v>777</v>
      </c>
      <c r="D1124" s="49">
        <v>0.0</v>
      </c>
    </row>
    <row r="1125" ht="15.0" hidden="1" customHeight="1">
      <c r="A1125" s="49" t="s">
        <v>340</v>
      </c>
      <c r="B1125" s="50">
        <v>44196.0</v>
      </c>
      <c r="C1125" s="49" t="s">
        <v>777</v>
      </c>
      <c r="D1125" s="49">
        <v>0.0</v>
      </c>
    </row>
    <row r="1126" ht="15.0" hidden="1" customHeight="1">
      <c r="A1126" s="49" t="s">
        <v>345</v>
      </c>
      <c r="B1126" s="50">
        <v>44196.0</v>
      </c>
      <c r="C1126" s="49" t="s">
        <v>777</v>
      </c>
      <c r="D1126" s="49">
        <v>0.0</v>
      </c>
    </row>
    <row r="1127" ht="15.0" hidden="1" customHeight="1">
      <c r="A1127" s="49" t="s">
        <v>350</v>
      </c>
      <c r="B1127" s="50">
        <v>44196.0</v>
      </c>
      <c r="C1127" s="49" t="s">
        <v>777</v>
      </c>
      <c r="D1127" s="49">
        <v>0.0</v>
      </c>
    </row>
    <row r="1128" ht="15.0" hidden="1" customHeight="1">
      <c r="A1128" s="49" t="s">
        <v>355</v>
      </c>
      <c r="B1128" s="50">
        <v>44196.0</v>
      </c>
      <c r="C1128" s="49" t="s">
        <v>777</v>
      </c>
      <c r="D1128" s="49">
        <v>0.0</v>
      </c>
    </row>
    <row r="1129" ht="15.0" hidden="1" customHeight="1">
      <c r="A1129" s="49" t="s">
        <v>360</v>
      </c>
      <c r="B1129" s="50">
        <v>44196.0</v>
      </c>
      <c r="C1129" s="49" t="s">
        <v>777</v>
      </c>
      <c r="D1129" s="49">
        <v>0.0</v>
      </c>
    </row>
    <row r="1130" ht="15.0" hidden="1" customHeight="1">
      <c r="A1130" s="49" t="s">
        <v>365</v>
      </c>
      <c r="B1130" s="50">
        <v>44196.0</v>
      </c>
      <c r="C1130" s="49" t="s">
        <v>777</v>
      </c>
      <c r="D1130" s="49">
        <v>0.0</v>
      </c>
    </row>
    <row r="1131" ht="15.0" hidden="1" customHeight="1">
      <c r="A1131" s="49" t="s">
        <v>370</v>
      </c>
      <c r="B1131" s="50">
        <v>44196.0</v>
      </c>
      <c r="C1131" s="49" t="s">
        <v>777</v>
      </c>
      <c r="D1131" s="49">
        <v>0.0</v>
      </c>
    </row>
    <row r="1132" ht="15.0" hidden="1" customHeight="1">
      <c r="A1132" s="49" t="s">
        <v>375</v>
      </c>
      <c r="B1132" s="50">
        <v>44196.0</v>
      </c>
      <c r="C1132" s="49" t="s">
        <v>777</v>
      </c>
      <c r="D1132" s="49">
        <v>0.0</v>
      </c>
    </row>
    <row r="1133" ht="15.0" hidden="1" customHeight="1">
      <c r="A1133" s="49" t="s">
        <v>380</v>
      </c>
      <c r="B1133" s="50">
        <v>44196.0</v>
      </c>
      <c r="C1133" s="49" t="s">
        <v>777</v>
      </c>
      <c r="D1133" s="49">
        <v>0.0</v>
      </c>
    </row>
    <row r="1134" ht="15.0" hidden="1" customHeight="1">
      <c r="A1134" s="49" t="s">
        <v>385</v>
      </c>
      <c r="B1134" s="50">
        <v>44196.0</v>
      </c>
      <c r="C1134" s="49" t="s">
        <v>777</v>
      </c>
      <c r="D1134" s="49">
        <v>0.0</v>
      </c>
    </row>
    <row r="1135" ht="15.0" hidden="1" customHeight="1">
      <c r="A1135" s="49" t="s">
        <v>390</v>
      </c>
      <c r="B1135" s="50">
        <v>44196.0</v>
      </c>
      <c r="C1135" s="49" t="s">
        <v>777</v>
      </c>
      <c r="D1135" s="49">
        <v>0.0</v>
      </c>
    </row>
    <row r="1136" ht="15.0" hidden="1" customHeight="1">
      <c r="A1136" s="49" t="s">
        <v>395</v>
      </c>
      <c r="B1136" s="50">
        <v>44196.0</v>
      </c>
      <c r="C1136" s="49" t="s">
        <v>777</v>
      </c>
      <c r="D1136" s="49">
        <v>0.0</v>
      </c>
    </row>
    <row r="1137" ht="15.0" hidden="1" customHeight="1">
      <c r="A1137" s="49" t="s">
        <v>400</v>
      </c>
      <c r="B1137" s="50">
        <v>44196.0</v>
      </c>
      <c r="C1137" s="49" t="s">
        <v>777</v>
      </c>
      <c r="D1137" s="49">
        <v>0.0</v>
      </c>
    </row>
    <row r="1138" ht="15.0" hidden="1" customHeight="1">
      <c r="A1138" s="49" t="s">
        <v>405</v>
      </c>
      <c r="B1138" s="50">
        <v>44196.0</v>
      </c>
      <c r="C1138" s="49" t="s">
        <v>777</v>
      </c>
      <c r="D1138" s="49">
        <v>0.0</v>
      </c>
    </row>
    <row r="1139" ht="15.0" hidden="1" customHeight="1">
      <c r="A1139" s="49" t="s">
        <v>410</v>
      </c>
      <c r="B1139" s="50">
        <v>44196.0</v>
      </c>
      <c r="C1139" s="49" t="s">
        <v>777</v>
      </c>
      <c r="D1139" s="49">
        <v>0.0</v>
      </c>
    </row>
    <row r="1140" ht="15.0" hidden="1" customHeight="1">
      <c r="A1140" s="49" t="s">
        <v>415</v>
      </c>
      <c r="B1140" s="50">
        <v>44196.0</v>
      </c>
      <c r="C1140" s="49" t="s">
        <v>777</v>
      </c>
      <c r="D1140" s="49">
        <v>0.0</v>
      </c>
    </row>
    <row r="1141" ht="15.0" hidden="1" customHeight="1">
      <c r="A1141" s="49" t="s">
        <v>420</v>
      </c>
      <c r="B1141" s="50">
        <v>44196.0</v>
      </c>
      <c r="C1141" s="49" t="s">
        <v>777</v>
      </c>
      <c r="D1141" s="49">
        <v>0.0</v>
      </c>
    </row>
    <row r="1142" ht="15.0" hidden="1" customHeight="1">
      <c r="A1142" s="49" t="s">
        <v>425</v>
      </c>
      <c r="B1142" s="50">
        <v>44196.0</v>
      </c>
      <c r="C1142" s="49" t="s">
        <v>777</v>
      </c>
      <c r="D1142" s="49">
        <v>0.0</v>
      </c>
    </row>
    <row r="1143" ht="15.0" hidden="1" customHeight="1">
      <c r="A1143" s="49" t="s">
        <v>430</v>
      </c>
      <c r="B1143" s="50">
        <v>44196.0</v>
      </c>
      <c r="C1143" s="49" t="s">
        <v>777</v>
      </c>
      <c r="D1143" s="49">
        <v>0.0</v>
      </c>
    </row>
    <row r="1144" ht="15.0" hidden="1" customHeight="1">
      <c r="A1144" s="49" t="s">
        <v>434</v>
      </c>
      <c r="B1144" s="50">
        <v>44196.0</v>
      </c>
      <c r="C1144" s="49" t="s">
        <v>777</v>
      </c>
      <c r="D1144" s="49">
        <v>0.0</v>
      </c>
    </row>
    <row r="1145" ht="15.0" hidden="1" customHeight="1">
      <c r="A1145" s="49" t="s">
        <v>439</v>
      </c>
      <c r="B1145" s="50">
        <v>44196.0</v>
      </c>
      <c r="C1145" s="49" t="s">
        <v>777</v>
      </c>
      <c r="D1145" s="49">
        <v>0.0</v>
      </c>
    </row>
    <row r="1146" ht="15.0" hidden="1" customHeight="1">
      <c r="A1146" s="49" t="s">
        <v>444</v>
      </c>
      <c r="B1146" s="50">
        <v>44196.0</v>
      </c>
      <c r="C1146" s="49" t="s">
        <v>777</v>
      </c>
      <c r="D1146" s="49">
        <v>0.0</v>
      </c>
    </row>
    <row r="1147" ht="15.0" hidden="1" customHeight="1">
      <c r="A1147" s="49" t="s">
        <v>449</v>
      </c>
      <c r="B1147" s="50">
        <v>44196.0</v>
      </c>
      <c r="C1147" s="49" t="s">
        <v>777</v>
      </c>
      <c r="D1147" s="49">
        <v>0.0</v>
      </c>
    </row>
    <row r="1148" ht="15.0" hidden="1" customHeight="1">
      <c r="A1148" s="49" t="s">
        <v>455</v>
      </c>
      <c r="B1148" s="50">
        <v>44196.0</v>
      </c>
      <c r="C1148" s="49" t="s">
        <v>777</v>
      </c>
      <c r="D1148" s="49">
        <v>0.0</v>
      </c>
    </row>
    <row r="1149" ht="15.0" hidden="1" customHeight="1">
      <c r="A1149" s="49" t="s">
        <v>470</v>
      </c>
      <c r="B1149" s="50">
        <v>44196.0</v>
      </c>
      <c r="C1149" s="49" t="s">
        <v>777</v>
      </c>
      <c r="D1149" s="49">
        <v>0.0</v>
      </c>
    </row>
    <row r="1150" ht="15.0" hidden="1" customHeight="1">
      <c r="A1150" s="49" t="s">
        <v>476</v>
      </c>
      <c r="B1150" s="50">
        <v>44196.0</v>
      </c>
      <c r="C1150" s="49" t="s">
        <v>777</v>
      </c>
      <c r="D1150" s="49">
        <v>0.0</v>
      </c>
    </row>
    <row r="1151" ht="15.0" hidden="1" customHeight="1">
      <c r="A1151" s="49" t="s">
        <v>481</v>
      </c>
      <c r="B1151" s="50">
        <v>44196.0</v>
      </c>
      <c r="C1151" s="49" t="s">
        <v>777</v>
      </c>
      <c r="D1151" s="49">
        <v>0.0</v>
      </c>
    </row>
    <row r="1152" ht="15.0" hidden="1" customHeight="1">
      <c r="A1152" s="49" t="s">
        <v>486</v>
      </c>
      <c r="B1152" s="50">
        <v>44196.0</v>
      </c>
      <c r="C1152" s="49" t="s">
        <v>777</v>
      </c>
      <c r="D1152" s="49">
        <v>0.0</v>
      </c>
    </row>
    <row r="1153" ht="15.0" hidden="1" customHeight="1">
      <c r="A1153" s="49" t="s">
        <v>491</v>
      </c>
      <c r="B1153" s="50">
        <v>44196.0</v>
      </c>
      <c r="C1153" s="49" t="s">
        <v>777</v>
      </c>
      <c r="D1153" s="49">
        <v>0.0</v>
      </c>
    </row>
    <row r="1154" ht="15.0" hidden="1" customHeight="1">
      <c r="A1154" s="49" t="s">
        <v>496</v>
      </c>
      <c r="B1154" s="50">
        <v>44196.0</v>
      </c>
      <c r="C1154" s="49" t="s">
        <v>777</v>
      </c>
      <c r="D1154" s="49">
        <v>0.0</v>
      </c>
    </row>
    <row r="1155" ht="15.0" hidden="1" customHeight="1">
      <c r="A1155" s="49" t="s">
        <v>501</v>
      </c>
      <c r="B1155" s="50">
        <v>44196.0</v>
      </c>
      <c r="C1155" s="49" t="s">
        <v>777</v>
      </c>
      <c r="D1155" s="49">
        <v>0.0</v>
      </c>
    </row>
    <row r="1156" ht="15.0" hidden="1" customHeight="1">
      <c r="A1156" s="49" t="s">
        <v>506</v>
      </c>
      <c r="B1156" s="50">
        <v>44196.0</v>
      </c>
      <c r="C1156" s="49" t="s">
        <v>777</v>
      </c>
      <c r="D1156" s="49">
        <v>0.0</v>
      </c>
    </row>
    <row r="1157" ht="15.0" hidden="1" customHeight="1">
      <c r="A1157" s="49" t="s">
        <v>512</v>
      </c>
      <c r="B1157" s="50">
        <v>44196.0</v>
      </c>
      <c r="C1157" s="49" t="s">
        <v>777</v>
      </c>
      <c r="D1157" s="49">
        <v>0.0</v>
      </c>
    </row>
    <row r="1158" ht="15.0" hidden="1" customHeight="1">
      <c r="A1158" s="49" t="s">
        <v>517</v>
      </c>
      <c r="B1158" s="50">
        <v>44196.0</v>
      </c>
      <c r="C1158" s="49" t="s">
        <v>777</v>
      </c>
      <c r="D1158" s="49">
        <v>0.0</v>
      </c>
    </row>
    <row r="1159" ht="15.0" hidden="1" customHeight="1">
      <c r="A1159" s="49" t="s">
        <v>522</v>
      </c>
      <c r="B1159" s="50">
        <v>44196.0</v>
      </c>
      <c r="C1159" s="49" t="s">
        <v>777</v>
      </c>
      <c r="D1159" s="49">
        <v>0.0</v>
      </c>
    </row>
    <row r="1160" ht="15.0" hidden="1" customHeight="1">
      <c r="A1160" s="49" t="s">
        <v>528</v>
      </c>
      <c r="B1160" s="50">
        <v>44196.0</v>
      </c>
      <c r="C1160" s="49" t="s">
        <v>777</v>
      </c>
      <c r="D1160" s="49">
        <v>0.0</v>
      </c>
    </row>
    <row r="1161" ht="15.0" hidden="1" customHeight="1">
      <c r="A1161" s="49" t="s">
        <v>533</v>
      </c>
      <c r="B1161" s="50">
        <v>44196.0</v>
      </c>
      <c r="C1161" s="49" t="s">
        <v>777</v>
      </c>
      <c r="D1161" s="49">
        <v>0.0</v>
      </c>
    </row>
    <row r="1162" ht="15.0" hidden="1" customHeight="1">
      <c r="A1162" s="49" t="s">
        <v>538</v>
      </c>
      <c r="B1162" s="50">
        <v>44196.0</v>
      </c>
      <c r="C1162" s="49" t="s">
        <v>777</v>
      </c>
      <c r="D1162" s="49">
        <v>0.0</v>
      </c>
    </row>
    <row r="1163" ht="15.0" hidden="1" customHeight="1">
      <c r="A1163" s="49" t="s">
        <v>546</v>
      </c>
      <c r="B1163" s="50">
        <v>44196.0</v>
      </c>
      <c r="C1163" s="49" t="s">
        <v>777</v>
      </c>
      <c r="D1163" s="49">
        <v>0.0</v>
      </c>
    </row>
    <row r="1164" ht="15.0" hidden="1" customHeight="1">
      <c r="A1164" s="49" t="s">
        <v>551</v>
      </c>
      <c r="B1164" s="50">
        <v>44196.0</v>
      </c>
      <c r="C1164" s="49" t="s">
        <v>777</v>
      </c>
      <c r="D1164" s="49">
        <v>0.0</v>
      </c>
    </row>
    <row r="1165" ht="15.0" hidden="1" customHeight="1">
      <c r="A1165" s="49" t="s">
        <v>556</v>
      </c>
      <c r="B1165" s="50">
        <v>44196.0</v>
      </c>
      <c r="C1165" s="49" t="s">
        <v>777</v>
      </c>
      <c r="D1165" s="49">
        <v>0.0</v>
      </c>
    </row>
    <row r="1166" ht="15.0" hidden="1" customHeight="1">
      <c r="A1166" s="49" t="s">
        <v>561</v>
      </c>
      <c r="B1166" s="50">
        <v>44196.0</v>
      </c>
      <c r="C1166" s="49" t="s">
        <v>777</v>
      </c>
      <c r="D1166" s="49">
        <v>0.0</v>
      </c>
    </row>
    <row r="1167" ht="15.0" hidden="1" customHeight="1">
      <c r="A1167" s="49" t="s">
        <v>566</v>
      </c>
      <c r="B1167" s="50">
        <v>44196.0</v>
      </c>
      <c r="C1167" s="49" t="s">
        <v>777</v>
      </c>
      <c r="D1167" s="49">
        <v>0.0</v>
      </c>
    </row>
    <row r="1168" ht="15.0" hidden="1" customHeight="1">
      <c r="A1168" s="49" t="s">
        <v>571</v>
      </c>
      <c r="B1168" s="50">
        <v>44196.0</v>
      </c>
      <c r="C1168" s="49" t="s">
        <v>777</v>
      </c>
      <c r="D1168" s="49">
        <v>0.0</v>
      </c>
    </row>
    <row r="1169" ht="15.0" hidden="1" customHeight="1">
      <c r="A1169" s="49" t="s">
        <v>576</v>
      </c>
      <c r="B1169" s="50">
        <v>44196.0</v>
      </c>
      <c r="C1169" s="49" t="s">
        <v>777</v>
      </c>
      <c r="D1169" s="49">
        <v>0.0</v>
      </c>
    </row>
    <row r="1170" ht="15.0" hidden="1" customHeight="1">
      <c r="A1170" s="49" t="s">
        <v>581</v>
      </c>
      <c r="B1170" s="50">
        <v>44196.0</v>
      </c>
      <c r="C1170" s="49" t="s">
        <v>777</v>
      </c>
      <c r="D1170" s="49">
        <v>0.0</v>
      </c>
    </row>
    <row r="1171" ht="15.0" hidden="1" customHeight="1">
      <c r="A1171" s="49" t="s">
        <v>586</v>
      </c>
      <c r="B1171" s="50">
        <v>44196.0</v>
      </c>
      <c r="C1171" s="49" t="s">
        <v>777</v>
      </c>
      <c r="D1171" s="49">
        <v>0.0</v>
      </c>
    </row>
    <row r="1172" ht="15.0" hidden="1" customHeight="1">
      <c r="A1172" s="49" t="s">
        <v>754</v>
      </c>
      <c r="B1172" s="50">
        <v>44196.0</v>
      </c>
      <c r="C1172" s="49" t="s">
        <v>777</v>
      </c>
      <c r="D1172" s="49">
        <v>0.0</v>
      </c>
    </row>
    <row r="1173" ht="15.0" hidden="1" customHeight="1">
      <c r="A1173" s="49" t="s">
        <v>591</v>
      </c>
      <c r="B1173" s="50">
        <v>44196.0</v>
      </c>
      <c r="C1173" s="49" t="s">
        <v>777</v>
      </c>
      <c r="D1173" s="49">
        <v>0.0</v>
      </c>
    </row>
    <row r="1174" ht="15.0" hidden="1" customHeight="1">
      <c r="A1174" s="49" t="s">
        <v>759</v>
      </c>
      <c r="B1174" s="50">
        <v>44196.0</v>
      </c>
      <c r="C1174" s="49" t="s">
        <v>777</v>
      </c>
      <c r="D1174" s="49">
        <v>0.0</v>
      </c>
    </row>
    <row r="1175" ht="15.0" hidden="1" customHeight="1">
      <c r="A1175" s="49" t="s">
        <v>596</v>
      </c>
      <c r="B1175" s="50">
        <v>44196.0</v>
      </c>
      <c r="C1175" s="49" t="s">
        <v>777</v>
      </c>
      <c r="D1175" s="49">
        <v>0.0</v>
      </c>
    </row>
    <row r="1176" ht="15.0" hidden="1" customHeight="1">
      <c r="A1176" s="49" t="s">
        <v>602</v>
      </c>
      <c r="B1176" s="50">
        <v>44196.0</v>
      </c>
      <c r="C1176" s="49" t="s">
        <v>777</v>
      </c>
      <c r="D1176" s="49">
        <v>0.0</v>
      </c>
    </row>
    <row r="1177" ht="15.0" hidden="1" customHeight="1">
      <c r="A1177" s="49" t="s">
        <v>607</v>
      </c>
      <c r="B1177" s="50">
        <v>44196.0</v>
      </c>
      <c r="C1177" s="49" t="s">
        <v>777</v>
      </c>
      <c r="D1177" s="49">
        <v>0.0</v>
      </c>
    </row>
    <row r="1178" ht="15.0" hidden="1" customHeight="1">
      <c r="A1178" s="49" t="s">
        <v>612</v>
      </c>
      <c r="B1178" s="50">
        <v>44196.0</v>
      </c>
      <c r="C1178" s="49" t="s">
        <v>777</v>
      </c>
      <c r="D1178" s="49">
        <v>0.0</v>
      </c>
    </row>
    <row r="1179" ht="15.0" hidden="1" customHeight="1">
      <c r="A1179" s="49" t="s">
        <v>617</v>
      </c>
      <c r="B1179" s="50">
        <v>44196.0</v>
      </c>
      <c r="C1179" s="49" t="s">
        <v>777</v>
      </c>
      <c r="D1179" s="49">
        <v>0.0</v>
      </c>
    </row>
    <row r="1180" ht="15.0" hidden="1" customHeight="1">
      <c r="A1180" s="49" t="s">
        <v>622</v>
      </c>
      <c r="B1180" s="50">
        <v>44196.0</v>
      </c>
      <c r="C1180" s="49" t="s">
        <v>777</v>
      </c>
      <c r="D1180" s="49">
        <v>0.0</v>
      </c>
    </row>
    <row r="1181" ht="15.0" hidden="1" customHeight="1">
      <c r="A1181" s="49" t="s">
        <v>627</v>
      </c>
      <c r="B1181" s="50">
        <v>44196.0</v>
      </c>
      <c r="C1181" s="49" t="s">
        <v>777</v>
      </c>
      <c r="D1181" s="49">
        <v>0.0</v>
      </c>
    </row>
    <row r="1182" ht="15.0" hidden="1" customHeight="1">
      <c r="A1182" s="49" t="s">
        <v>631</v>
      </c>
      <c r="B1182" s="50">
        <v>44196.0</v>
      </c>
      <c r="C1182" s="49" t="s">
        <v>777</v>
      </c>
      <c r="D1182" s="49">
        <v>0.0</v>
      </c>
    </row>
    <row r="1183" ht="15.0" hidden="1" customHeight="1">
      <c r="A1183" s="49" t="s">
        <v>636</v>
      </c>
      <c r="B1183" s="50">
        <v>44196.0</v>
      </c>
      <c r="C1183" s="49" t="s">
        <v>777</v>
      </c>
      <c r="D1183" s="49">
        <v>0.0</v>
      </c>
    </row>
    <row r="1184" ht="15.0" hidden="1" customHeight="1">
      <c r="A1184" s="49" t="s">
        <v>640</v>
      </c>
      <c r="B1184" s="50">
        <v>44196.0</v>
      </c>
      <c r="C1184" s="49" t="s">
        <v>777</v>
      </c>
      <c r="D1184" s="49">
        <v>0.0</v>
      </c>
    </row>
    <row r="1185" ht="15.0" hidden="1" customHeight="1">
      <c r="A1185" s="49" t="s">
        <v>644</v>
      </c>
      <c r="B1185" s="50">
        <v>44196.0</v>
      </c>
      <c r="C1185" s="49" t="s">
        <v>777</v>
      </c>
      <c r="D1185" s="49">
        <v>0.0</v>
      </c>
    </row>
    <row r="1186" ht="15.0" hidden="1" customHeight="1">
      <c r="A1186" s="49" t="s">
        <v>649</v>
      </c>
      <c r="B1186" s="50">
        <v>44196.0</v>
      </c>
      <c r="C1186" s="49" t="s">
        <v>777</v>
      </c>
      <c r="D1186" s="49">
        <v>0.0</v>
      </c>
    </row>
    <row r="1187" ht="15.0" hidden="1" customHeight="1">
      <c r="A1187" s="49" t="s">
        <v>654</v>
      </c>
      <c r="B1187" s="50">
        <v>44196.0</v>
      </c>
      <c r="C1187" s="49" t="s">
        <v>777</v>
      </c>
      <c r="D1187" s="49">
        <v>0.0</v>
      </c>
    </row>
    <row r="1188" ht="15.0" hidden="1" customHeight="1">
      <c r="A1188" s="49" t="s">
        <v>659</v>
      </c>
      <c r="B1188" s="50">
        <v>44196.0</v>
      </c>
      <c r="C1188" s="49" t="s">
        <v>777</v>
      </c>
      <c r="D1188" s="49">
        <v>0.0</v>
      </c>
    </row>
    <row r="1189" ht="15.0" hidden="1" customHeight="1">
      <c r="A1189" s="49" t="s">
        <v>664</v>
      </c>
      <c r="B1189" s="50">
        <v>44196.0</v>
      </c>
      <c r="C1189" s="49" t="s">
        <v>777</v>
      </c>
      <c r="D1189" s="49">
        <v>0.0</v>
      </c>
    </row>
    <row r="1190" ht="15.0" hidden="1" customHeight="1">
      <c r="A1190" s="49" t="s">
        <v>669</v>
      </c>
      <c r="B1190" s="50">
        <v>44196.0</v>
      </c>
      <c r="C1190" s="49" t="s">
        <v>777</v>
      </c>
      <c r="D1190" s="49">
        <v>0.0</v>
      </c>
    </row>
    <row r="1191" ht="15.0" hidden="1" customHeight="1">
      <c r="A1191" s="49" t="s">
        <v>674</v>
      </c>
      <c r="B1191" s="50">
        <v>44196.0</v>
      </c>
      <c r="C1191" s="49" t="s">
        <v>777</v>
      </c>
      <c r="D1191" s="49">
        <v>0.0</v>
      </c>
    </row>
    <row r="1192" ht="15.0" hidden="1" customHeight="1">
      <c r="A1192" s="49" t="s">
        <v>679</v>
      </c>
      <c r="B1192" s="50">
        <v>44196.0</v>
      </c>
      <c r="C1192" s="49" t="s">
        <v>777</v>
      </c>
      <c r="D1192" s="49">
        <v>0.0</v>
      </c>
    </row>
    <row r="1193" ht="15.0" hidden="1" customHeight="1">
      <c r="A1193" s="49" t="s">
        <v>684</v>
      </c>
      <c r="B1193" s="50">
        <v>44196.0</v>
      </c>
      <c r="C1193" s="49" t="s">
        <v>777</v>
      </c>
      <c r="D1193" s="49">
        <v>0.0</v>
      </c>
    </row>
    <row r="1194" ht="15.0" hidden="1" customHeight="1">
      <c r="A1194" s="49" t="s">
        <v>689</v>
      </c>
      <c r="B1194" s="50">
        <v>44196.0</v>
      </c>
      <c r="C1194" s="49" t="s">
        <v>777</v>
      </c>
      <c r="D1194" s="49">
        <v>0.0</v>
      </c>
    </row>
    <row r="1195" ht="15.0" hidden="1" customHeight="1">
      <c r="A1195" s="49" t="s">
        <v>694</v>
      </c>
      <c r="B1195" s="50">
        <v>44196.0</v>
      </c>
      <c r="C1195" s="49" t="s">
        <v>777</v>
      </c>
      <c r="D1195" s="49">
        <v>0.0</v>
      </c>
    </row>
    <row r="1196" ht="15.0" hidden="1" customHeight="1">
      <c r="A1196" s="49" t="s">
        <v>699</v>
      </c>
      <c r="B1196" s="50">
        <v>44196.0</v>
      </c>
      <c r="C1196" s="49" t="s">
        <v>777</v>
      </c>
      <c r="D1196" s="49">
        <v>0.0</v>
      </c>
    </row>
    <row r="1197" ht="15.0" hidden="1" customHeight="1">
      <c r="A1197" s="49" t="s">
        <v>705</v>
      </c>
      <c r="B1197" s="50">
        <v>44196.0</v>
      </c>
      <c r="C1197" s="49" t="s">
        <v>777</v>
      </c>
      <c r="D1197" s="49">
        <v>0.0</v>
      </c>
    </row>
    <row r="1198" ht="15.0" hidden="1" customHeight="1">
      <c r="A1198" s="49" t="s">
        <v>710</v>
      </c>
      <c r="B1198" s="50">
        <v>44196.0</v>
      </c>
      <c r="C1198" s="49" t="s">
        <v>777</v>
      </c>
      <c r="D1198" s="49">
        <v>0.0</v>
      </c>
    </row>
    <row r="1199" ht="15.0" hidden="1" customHeight="1">
      <c r="A1199" s="49" t="s">
        <v>715</v>
      </c>
      <c r="B1199" s="50">
        <v>44196.0</v>
      </c>
      <c r="C1199" s="49" t="s">
        <v>777</v>
      </c>
      <c r="D1199" s="49">
        <v>0.0</v>
      </c>
    </row>
    <row r="1200" ht="15.0" hidden="1" customHeight="1">
      <c r="A1200" s="49" t="s">
        <v>765</v>
      </c>
      <c r="B1200" s="50">
        <v>44196.0</v>
      </c>
      <c r="C1200" s="49" t="s">
        <v>777</v>
      </c>
      <c r="D1200" s="49">
        <v>0.0</v>
      </c>
    </row>
    <row r="1201" ht="15.0" hidden="1" customHeight="1">
      <c r="A1201" s="49" t="s">
        <v>720</v>
      </c>
      <c r="B1201" s="50">
        <v>44196.0</v>
      </c>
      <c r="C1201" s="49" t="s">
        <v>777</v>
      </c>
      <c r="D1201" s="49">
        <v>0.0</v>
      </c>
    </row>
    <row r="1202" ht="15.0" hidden="1" customHeight="1">
      <c r="A1202" s="49" t="s">
        <v>725</v>
      </c>
      <c r="B1202" s="50">
        <v>44196.0</v>
      </c>
      <c r="C1202" s="49" t="s">
        <v>777</v>
      </c>
      <c r="D1202" s="49">
        <v>0.0</v>
      </c>
    </row>
    <row r="1203" ht="15.0" hidden="1" customHeight="1">
      <c r="A1203" s="49" t="s">
        <v>730</v>
      </c>
      <c r="B1203" s="50">
        <v>44196.0</v>
      </c>
      <c r="C1203" s="49" t="s">
        <v>777</v>
      </c>
      <c r="D1203" s="49">
        <v>0.0</v>
      </c>
    </row>
    <row r="1204" ht="15.0" hidden="1" customHeight="1">
      <c r="A1204" s="49" t="s">
        <v>734</v>
      </c>
      <c r="B1204" s="50">
        <v>44196.0</v>
      </c>
      <c r="C1204" s="49" t="s">
        <v>777</v>
      </c>
      <c r="D1204" s="49">
        <v>0.0</v>
      </c>
    </row>
    <row r="1205" ht="15.0" hidden="1" customHeight="1">
      <c r="A1205" s="49" t="s">
        <v>739</v>
      </c>
      <c r="B1205" s="50">
        <v>44196.0</v>
      </c>
      <c r="C1205" s="49" t="s">
        <v>777</v>
      </c>
      <c r="D1205" s="49">
        <v>0.0</v>
      </c>
    </row>
    <row r="1206" ht="15.0" hidden="1" customHeight="1">
      <c r="A1206" s="49" t="s">
        <v>744</v>
      </c>
      <c r="B1206" s="50">
        <v>44196.0</v>
      </c>
      <c r="C1206" s="49" t="s">
        <v>777</v>
      </c>
      <c r="D1206" s="49">
        <v>0.0</v>
      </c>
    </row>
    <row r="1207" ht="15.0" hidden="1" customHeight="1">
      <c r="A1207" s="49" t="s">
        <v>749</v>
      </c>
      <c r="B1207" s="50">
        <v>44196.0</v>
      </c>
      <c r="C1207" s="49" t="s">
        <v>777</v>
      </c>
      <c r="D1207" s="49">
        <v>0.0</v>
      </c>
    </row>
    <row r="1208" ht="15.0" customHeight="1">
      <c r="A1208" s="49" t="s">
        <v>776</v>
      </c>
      <c r="B1208" s="50">
        <v>44196.0</v>
      </c>
      <c r="C1208" s="49" t="s">
        <v>78</v>
      </c>
      <c r="D1208" s="49">
        <v>0.0</v>
      </c>
    </row>
    <row r="1209" ht="15.0" hidden="1" customHeight="1">
      <c r="A1209" s="49" t="s">
        <v>778</v>
      </c>
      <c r="B1209" s="50">
        <v>44196.0</v>
      </c>
      <c r="C1209" s="49" t="s">
        <v>78</v>
      </c>
      <c r="D1209" s="49">
        <v>0.0</v>
      </c>
    </row>
    <row r="1210" ht="15.0" hidden="1" customHeight="1">
      <c r="A1210" s="49" t="s">
        <v>92</v>
      </c>
      <c r="B1210" s="50">
        <v>44196.0</v>
      </c>
      <c r="C1210" s="49" t="s">
        <v>78</v>
      </c>
      <c r="D1210" s="49">
        <v>0.0</v>
      </c>
    </row>
    <row r="1211" ht="15.0" hidden="1" customHeight="1">
      <c r="A1211" s="49" t="s">
        <v>97</v>
      </c>
      <c r="B1211" s="50">
        <v>44196.0</v>
      </c>
      <c r="C1211" s="49" t="s">
        <v>78</v>
      </c>
      <c r="D1211" s="49">
        <v>1100000.0</v>
      </c>
    </row>
    <row r="1212" ht="15.0" hidden="1" customHeight="1">
      <c r="A1212" s="49" t="s">
        <v>102</v>
      </c>
      <c r="B1212" s="50">
        <v>44196.0</v>
      </c>
      <c r="C1212" s="49" t="s">
        <v>78</v>
      </c>
      <c r="D1212" s="49">
        <v>0.0</v>
      </c>
    </row>
    <row r="1213" ht="15.0" hidden="1" customHeight="1">
      <c r="A1213" s="49" t="s">
        <v>106</v>
      </c>
      <c r="B1213" s="50">
        <v>44196.0</v>
      </c>
      <c r="C1213" s="49" t="s">
        <v>78</v>
      </c>
      <c r="D1213" s="49">
        <v>0.0</v>
      </c>
    </row>
    <row r="1214" ht="15.0" hidden="1" customHeight="1">
      <c r="A1214" s="49" t="s">
        <v>111</v>
      </c>
      <c r="B1214" s="50">
        <v>44196.0</v>
      </c>
      <c r="C1214" s="49" t="s">
        <v>78</v>
      </c>
      <c r="D1214" s="49">
        <v>0.0</v>
      </c>
    </row>
    <row r="1215" ht="15.0" hidden="1" customHeight="1">
      <c r="A1215" s="49" t="s">
        <v>116</v>
      </c>
      <c r="B1215" s="50">
        <v>44196.0</v>
      </c>
      <c r="C1215" s="49" t="s">
        <v>78</v>
      </c>
      <c r="D1215" s="49">
        <v>0.0</v>
      </c>
    </row>
    <row r="1216" ht="15.0" hidden="1" customHeight="1">
      <c r="A1216" s="49" t="s">
        <v>120</v>
      </c>
      <c r="B1216" s="50">
        <v>44196.0</v>
      </c>
      <c r="C1216" s="49" t="s">
        <v>78</v>
      </c>
      <c r="D1216" s="49">
        <v>0.0</v>
      </c>
    </row>
    <row r="1217" ht="15.0" hidden="1" customHeight="1">
      <c r="A1217" s="49" t="s">
        <v>125</v>
      </c>
      <c r="B1217" s="50">
        <v>44196.0</v>
      </c>
      <c r="C1217" s="49" t="s">
        <v>78</v>
      </c>
      <c r="D1217" s="49">
        <v>0.0</v>
      </c>
    </row>
    <row r="1218" ht="15.0" hidden="1" customHeight="1">
      <c r="A1218" s="49" t="s">
        <v>130</v>
      </c>
      <c r="B1218" s="50">
        <v>44196.0</v>
      </c>
      <c r="C1218" s="49" t="s">
        <v>78</v>
      </c>
      <c r="D1218" s="49">
        <v>0.0</v>
      </c>
    </row>
    <row r="1219" ht="15.0" hidden="1" customHeight="1">
      <c r="A1219" s="49" t="s">
        <v>137</v>
      </c>
      <c r="B1219" s="50">
        <v>44196.0</v>
      </c>
      <c r="C1219" s="49" t="s">
        <v>78</v>
      </c>
      <c r="D1219" s="49">
        <v>368522.0</v>
      </c>
    </row>
    <row r="1220" ht="15.0" hidden="1" customHeight="1">
      <c r="A1220" s="49" t="s">
        <v>142</v>
      </c>
      <c r="B1220" s="50">
        <v>44196.0</v>
      </c>
      <c r="C1220" s="49" t="s">
        <v>78</v>
      </c>
      <c r="D1220" s="49">
        <v>0.0</v>
      </c>
    </row>
    <row r="1221" ht="15.0" hidden="1" customHeight="1">
      <c r="A1221" s="49" t="s">
        <v>147</v>
      </c>
      <c r="B1221" s="50">
        <v>44196.0</v>
      </c>
      <c r="C1221" s="49" t="s">
        <v>78</v>
      </c>
      <c r="D1221" s="49">
        <v>506000.0</v>
      </c>
    </row>
    <row r="1222" ht="15.0" hidden="1" customHeight="1">
      <c r="A1222" s="49" t="s">
        <v>152</v>
      </c>
      <c r="B1222" s="50">
        <v>44196.0</v>
      </c>
      <c r="C1222" s="49" t="s">
        <v>78</v>
      </c>
      <c r="D1222" s="49">
        <v>217425.0</v>
      </c>
    </row>
    <row r="1223" ht="15.0" hidden="1" customHeight="1">
      <c r="A1223" s="49" t="s">
        <v>157</v>
      </c>
      <c r="B1223" s="50">
        <v>44196.0</v>
      </c>
      <c r="C1223" s="49" t="s">
        <v>78</v>
      </c>
      <c r="D1223" s="49">
        <v>0.0</v>
      </c>
    </row>
    <row r="1224" ht="15.0" hidden="1" customHeight="1">
      <c r="A1224" s="49" t="s">
        <v>162</v>
      </c>
      <c r="B1224" s="50">
        <v>44196.0</v>
      </c>
      <c r="C1224" s="49" t="s">
        <v>78</v>
      </c>
      <c r="D1224" s="49">
        <v>5314000.0</v>
      </c>
    </row>
    <row r="1225" ht="15.0" hidden="1" customHeight="1">
      <c r="A1225" s="49" t="s">
        <v>167</v>
      </c>
      <c r="B1225" s="50">
        <v>44196.0</v>
      </c>
      <c r="C1225" s="49" t="s">
        <v>78</v>
      </c>
      <c r="D1225" s="49">
        <v>1750000.0</v>
      </c>
    </row>
    <row r="1226" ht="15.0" hidden="1" customHeight="1">
      <c r="A1226" s="49" t="s">
        <v>172</v>
      </c>
      <c r="B1226" s="50">
        <v>44196.0</v>
      </c>
      <c r="C1226" s="49" t="s">
        <v>78</v>
      </c>
      <c r="D1226" s="49">
        <v>596160.0</v>
      </c>
    </row>
    <row r="1227" ht="15.0" hidden="1" customHeight="1">
      <c r="A1227" s="49" t="s">
        <v>177</v>
      </c>
      <c r="B1227" s="50">
        <v>44196.0</v>
      </c>
      <c r="C1227" s="49" t="s">
        <v>78</v>
      </c>
      <c r="D1227" s="49">
        <v>0.0</v>
      </c>
    </row>
    <row r="1228" ht="15.0" hidden="1" customHeight="1">
      <c r="A1228" s="49" t="s">
        <v>182</v>
      </c>
      <c r="B1228" s="50">
        <v>44196.0</v>
      </c>
      <c r="C1228" s="49" t="s">
        <v>78</v>
      </c>
      <c r="D1228" s="49">
        <v>0.0</v>
      </c>
    </row>
    <row r="1229" ht="15.0" hidden="1" customHeight="1">
      <c r="A1229" s="49" t="s">
        <v>187</v>
      </c>
      <c r="B1229" s="50">
        <v>44196.0</v>
      </c>
      <c r="C1229" s="49" t="s">
        <v>78</v>
      </c>
      <c r="D1229" s="49">
        <v>0.0</v>
      </c>
    </row>
    <row r="1230" ht="15.0" hidden="1" customHeight="1">
      <c r="A1230" s="49" t="s">
        <v>192</v>
      </c>
      <c r="B1230" s="50">
        <v>44196.0</v>
      </c>
      <c r="C1230" s="49" t="s">
        <v>78</v>
      </c>
      <c r="D1230" s="49">
        <v>0.0</v>
      </c>
    </row>
    <row r="1231" ht="15.0" hidden="1" customHeight="1">
      <c r="A1231" s="49" t="s">
        <v>197</v>
      </c>
      <c r="B1231" s="50">
        <v>44196.0</v>
      </c>
      <c r="C1231" s="49" t="s">
        <v>78</v>
      </c>
      <c r="D1231" s="49">
        <v>0.0</v>
      </c>
    </row>
    <row r="1232" ht="15.0" hidden="1" customHeight="1">
      <c r="A1232" s="49" t="s">
        <v>202</v>
      </c>
      <c r="B1232" s="50">
        <v>44196.0</v>
      </c>
      <c r="C1232" s="49" t="s">
        <v>78</v>
      </c>
      <c r="D1232" s="49">
        <v>0.0</v>
      </c>
    </row>
    <row r="1233" ht="15.0" hidden="1" customHeight="1">
      <c r="A1233" s="49" t="s">
        <v>206</v>
      </c>
      <c r="B1233" s="50">
        <v>44196.0</v>
      </c>
      <c r="C1233" s="49" t="s">
        <v>78</v>
      </c>
      <c r="D1233" s="49">
        <v>0.0</v>
      </c>
    </row>
    <row r="1234" ht="15.0" hidden="1" customHeight="1">
      <c r="A1234" s="49" t="s">
        <v>211</v>
      </c>
      <c r="B1234" s="50">
        <v>44196.0</v>
      </c>
      <c r="C1234" s="49" t="s">
        <v>78</v>
      </c>
      <c r="D1234" s="49">
        <v>0.0</v>
      </c>
    </row>
    <row r="1235" ht="15.0" hidden="1" customHeight="1">
      <c r="A1235" s="49" t="s">
        <v>779</v>
      </c>
      <c r="B1235" s="50">
        <v>44196.0</v>
      </c>
      <c r="C1235" s="49" t="s">
        <v>78</v>
      </c>
      <c r="D1235" s="49">
        <v>100000.0</v>
      </c>
    </row>
    <row r="1236" ht="15.0" hidden="1" customHeight="1">
      <c r="A1236" s="49" t="s">
        <v>221</v>
      </c>
      <c r="B1236" s="50">
        <v>44196.0</v>
      </c>
      <c r="C1236" s="49" t="s">
        <v>78</v>
      </c>
      <c r="D1236" s="49">
        <v>0.0</v>
      </c>
    </row>
    <row r="1237" ht="15.0" hidden="1" customHeight="1">
      <c r="A1237" s="49" t="s">
        <v>226</v>
      </c>
      <c r="B1237" s="50">
        <v>44196.0</v>
      </c>
      <c r="C1237" s="49" t="s">
        <v>78</v>
      </c>
      <c r="D1237" s="49">
        <v>0.0</v>
      </c>
    </row>
    <row r="1238" ht="15.0" hidden="1" customHeight="1">
      <c r="A1238" s="49" t="s">
        <v>231</v>
      </c>
      <c r="B1238" s="50">
        <v>44196.0</v>
      </c>
      <c r="C1238" s="49" t="s">
        <v>78</v>
      </c>
      <c r="D1238" s="49">
        <v>0.0</v>
      </c>
    </row>
    <row r="1239" ht="15.0" hidden="1" customHeight="1">
      <c r="A1239" s="49" t="s">
        <v>236</v>
      </c>
      <c r="B1239" s="50">
        <v>44196.0</v>
      </c>
      <c r="C1239" s="49" t="s">
        <v>78</v>
      </c>
      <c r="D1239" s="49">
        <v>0.0</v>
      </c>
    </row>
    <row r="1240" ht="15.0" hidden="1" customHeight="1">
      <c r="A1240" s="49" t="s">
        <v>242</v>
      </c>
      <c r="B1240" s="50">
        <v>44196.0</v>
      </c>
      <c r="C1240" s="49" t="s">
        <v>78</v>
      </c>
      <c r="D1240" s="49">
        <v>0.0</v>
      </c>
    </row>
    <row r="1241" ht="15.0" hidden="1" customHeight="1">
      <c r="A1241" s="49" t="s">
        <v>248</v>
      </c>
      <c r="B1241" s="50">
        <v>44196.0</v>
      </c>
      <c r="C1241" s="49" t="s">
        <v>78</v>
      </c>
      <c r="D1241" s="49">
        <v>0.0</v>
      </c>
    </row>
    <row r="1242" ht="15.0" hidden="1" customHeight="1">
      <c r="A1242" s="49" t="s">
        <v>253</v>
      </c>
      <c r="B1242" s="50">
        <v>44196.0</v>
      </c>
      <c r="C1242" s="49" t="s">
        <v>78</v>
      </c>
      <c r="D1242" s="49">
        <v>0.0</v>
      </c>
    </row>
    <row r="1243" ht="15.0" hidden="1" customHeight="1">
      <c r="A1243" s="49" t="s">
        <v>258</v>
      </c>
      <c r="B1243" s="50">
        <v>44196.0</v>
      </c>
      <c r="C1243" s="49" t="s">
        <v>78</v>
      </c>
      <c r="D1243" s="49">
        <v>0.0</v>
      </c>
    </row>
    <row r="1244" ht="15.0" hidden="1" customHeight="1">
      <c r="A1244" s="49" t="s">
        <v>263</v>
      </c>
      <c r="B1244" s="50">
        <v>44196.0</v>
      </c>
      <c r="C1244" s="49" t="s">
        <v>78</v>
      </c>
      <c r="D1244" s="49">
        <v>0.0</v>
      </c>
    </row>
    <row r="1245" ht="15.0" hidden="1" customHeight="1">
      <c r="A1245" s="49" t="s">
        <v>268</v>
      </c>
      <c r="B1245" s="50">
        <v>44196.0</v>
      </c>
      <c r="C1245" s="49" t="s">
        <v>78</v>
      </c>
      <c r="D1245" s="49">
        <v>0.0</v>
      </c>
    </row>
    <row r="1246" ht="15.0" hidden="1" customHeight="1">
      <c r="A1246" s="49" t="s">
        <v>273</v>
      </c>
      <c r="B1246" s="50">
        <v>44196.0</v>
      </c>
      <c r="C1246" s="49" t="s">
        <v>78</v>
      </c>
      <c r="D1246" s="49">
        <v>0.0</v>
      </c>
    </row>
    <row r="1247" ht="15.0" hidden="1" customHeight="1">
      <c r="A1247" s="49" t="s">
        <v>278</v>
      </c>
      <c r="B1247" s="50">
        <v>44196.0</v>
      </c>
      <c r="C1247" s="49" t="s">
        <v>78</v>
      </c>
      <c r="D1247" s="49">
        <v>0.0</v>
      </c>
    </row>
    <row r="1248" ht="15.0" hidden="1" customHeight="1">
      <c r="A1248" s="49" t="s">
        <v>283</v>
      </c>
      <c r="B1248" s="50">
        <v>44196.0</v>
      </c>
      <c r="C1248" s="49" t="s">
        <v>78</v>
      </c>
      <c r="D1248" s="49">
        <v>0.0</v>
      </c>
    </row>
    <row r="1249" ht="15.0" hidden="1" customHeight="1">
      <c r="A1249" s="49" t="s">
        <v>288</v>
      </c>
      <c r="B1249" s="50">
        <v>44196.0</v>
      </c>
      <c r="C1249" s="49" t="s">
        <v>78</v>
      </c>
      <c r="D1249" s="49">
        <v>0.0</v>
      </c>
    </row>
    <row r="1250" ht="15.0" hidden="1" customHeight="1">
      <c r="A1250" s="49" t="s">
        <v>293</v>
      </c>
      <c r="B1250" s="50">
        <v>44196.0</v>
      </c>
      <c r="C1250" s="49" t="s">
        <v>78</v>
      </c>
      <c r="D1250" s="49">
        <v>0.0</v>
      </c>
    </row>
    <row r="1251" ht="15.0" hidden="1" customHeight="1">
      <c r="A1251" s="49" t="s">
        <v>298</v>
      </c>
      <c r="B1251" s="50">
        <v>44196.0</v>
      </c>
      <c r="C1251" s="49" t="s">
        <v>78</v>
      </c>
      <c r="D1251" s="49">
        <v>0.0</v>
      </c>
    </row>
    <row r="1252" ht="15.0" hidden="1" customHeight="1">
      <c r="A1252" s="49" t="s">
        <v>303</v>
      </c>
      <c r="B1252" s="50">
        <v>44196.0</v>
      </c>
      <c r="C1252" s="49" t="s">
        <v>78</v>
      </c>
      <c r="D1252" s="49">
        <v>0.0</v>
      </c>
    </row>
    <row r="1253" ht="15.0" hidden="1" customHeight="1">
      <c r="A1253" s="49" t="s">
        <v>307</v>
      </c>
      <c r="B1253" s="50">
        <v>44196.0</v>
      </c>
      <c r="C1253" s="49" t="s">
        <v>78</v>
      </c>
      <c r="D1253" s="49">
        <v>0.0</v>
      </c>
    </row>
    <row r="1254" ht="15.0" hidden="1" customHeight="1">
      <c r="A1254" s="49" t="s">
        <v>313</v>
      </c>
      <c r="B1254" s="50">
        <v>44196.0</v>
      </c>
      <c r="C1254" s="49" t="s">
        <v>78</v>
      </c>
      <c r="D1254" s="49">
        <v>0.0</v>
      </c>
    </row>
    <row r="1255" ht="15.0" hidden="1" customHeight="1">
      <c r="A1255" s="49" t="s">
        <v>318</v>
      </c>
      <c r="B1255" s="50">
        <v>44196.0</v>
      </c>
      <c r="C1255" s="49" t="s">
        <v>78</v>
      </c>
      <c r="D1255" s="49">
        <v>0.0</v>
      </c>
    </row>
    <row r="1256" ht="15.0" hidden="1" customHeight="1">
      <c r="A1256" s="49" t="s">
        <v>323</v>
      </c>
      <c r="B1256" s="50">
        <v>44196.0</v>
      </c>
      <c r="C1256" s="49" t="s">
        <v>78</v>
      </c>
      <c r="D1256" s="49">
        <v>0.0</v>
      </c>
    </row>
    <row r="1257" ht="15.0" hidden="1" customHeight="1">
      <c r="A1257" s="49" t="s">
        <v>328</v>
      </c>
      <c r="B1257" s="50">
        <v>44196.0</v>
      </c>
      <c r="C1257" s="49" t="s">
        <v>78</v>
      </c>
      <c r="D1257" s="49">
        <v>0.0</v>
      </c>
    </row>
    <row r="1258" ht="15.0" hidden="1" customHeight="1">
      <c r="A1258" s="49" t="s">
        <v>335</v>
      </c>
      <c r="B1258" s="50">
        <v>44196.0</v>
      </c>
      <c r="C1258" s="49" t="s">
        <v>78</v>
      </c>
      <c r="D1258" s="49">
        <v>0.0</v>
      </c>
    </row>
    <row r="1259" ht="15.0" hidden="1" customHeight="1">
      <c r="A1259" s="49" t="s">
        <v>340</v>
      </c>
      <c r="B1259" s="50">
        <v>44196.0</v>
      </c>
      <c r="C1259" s="49" t="s">
        <v>78</v>
      </c>
      <c r="D1259" s="49">
        <v>0.0</v>
      </c>
    </row>
    <row r="1260" ht="15.0" hidden="1" customHeight="1">
      <c r="A1260" s="49" t="s">
        <v>345</v>
      </c>
      <c r="B1260" s="50">
        <v>44196.0</v>
      </c>
      <c r="C1260" s="49" t="s">
        <v>78</v>
      </c>
      <c r="D1260" s="49">
        <v>0.0</v>
      </c>
    </row>
    <row r="1261" ht="15.0" hidden="1" customHeight="1">
      <c r="A1261" s="49" t="s">
        <v>350</v>
      </c>
      <c r="B1261" s="50">
        <v>44196.0</v>
      </c>
      <c r="C1261" s="49" t="s">
        <v>78</v>
      </c>
      <c r="D1261" s="49">
        <v>0.0</v>
      </c>
    </row>
    <row r="1262" ht="15.0" hidden="1" customHeight="1">
      <c r="A1262" s="49" t="s">
        <v>355</v>
      </c>
      <c r="B1262" s="50">
        <v>44196.0</v>
      </c>
      <c r="C1262" s="49" t="s">
        <v>78</v>
      </c>
      <c r="D1262" s="49">
        <v>0.0</v>
      </c>
    </row>
    <row r="1263" ht="15.0" hidden="1" customHeight="1">
      <c r="A1263" s="49" t="s">
        <v>360</v>
      </c>
      <c r="B1263" s="50">
        <v>44196.0</v>
      </c>
      <c r="C1263" s="49" t="s">
        <v>78</v>
      </c>
      <c r="D1263" s="49">
        <v>0.0</v>
      </c>
    </row>
    <row r="1264" ht="15.0" hidden="1" customHeight="1">
      <c r="A1264" s="49" t="s">
        <v>365</v>
      </c>
      <c r="B1264" s="50">
        <v>44196.0</v>
      </c>
      <c r="C1264" s="49" t="s">
        <v>78</v>
      </c>
      <c r="D1264" s="49">
        <v>0.0</v>
      </c>
    </row>
    <row r="1265" ht="15.0" hidden="1" customHeight="1">
      <c r="A1265" s="49" t="s">
        <v>370</v>
      </c>
      <c r="B1265" s="50">
        <v>44196.0</v>
      </c>
      <c r="C1265" s="49" t="s">
        <v>78</v>
      </c>
      <c r="D1265" s="49">
        <v>0.0</v>
      </c>
    </row>
    <row r="1266" ht="15.0" hidden="1" customHeight="1">
      <c r="A1266" s="49" t="s">
        <v>375</v>
      </c>
      <c r="B1266" s="50">
        <v>44196.0</v>
      </c>
      <c r="C1266" s="49" t="s">
        <v>78</v>
      </c>
      <c r="D1266" s="49">
        <v>0.0</v>
      </c>
    </row>
    <row r="1267" ht="15.0" hidden="1" customHeight="1">
      <c r="A1267" s="49" t="s">
        <v>380</v>
      </c>
      <c r="B1267" s="50">
        <v>44196.0</v>
      </c>
      <c r="C1267" s="49" t="s">
        <v>78</v>
      </c>
      <c r="D1267" s="49">
        <v>0.0</v>
      </c>
    </row>
    <row r="1268" ht="15.0" hidden="1" customHeight="1">
      <c r="A1268" s="49" t="s">
        <v>385</v>
      </c>
      <c r="B1268" s="50">
        <v>44196.0</v>
      </c>
      <c r="C1268" s="49" t="s">
        <v>78</v>
      </c>
      <c r="D1268" s="49">
        <v>0.0</v>
      </c>
    </row>
    <row r="1269" ht="15.0" hidden="1" customHeight="1">
      <c r="A1269" s="49" t="s">
        <v>390</v>
      </c>
      <c r="B1269" s="50">
        <v>44196.0</v>
      </c>
      <c r="C1269" s="49" t="s">
        <v>78</v>
      </c>
      <c r="D1269" s="49">
        <v>0.0</v>
      </c>
    </row>
    <row r="1270" ht="15.0" hidden="1" customHeight="1">
      <c r="A1270" s="49" t="s">
        <v>395</v>
      </c>
      <c r="B1270" s="50">
        <v>44196.0</v>
      </c>
      <c r="C1270" s="49" t="s">
        <v>78</v>
      </c>
      <c r="D1270" s="49">
        <v>0.0</v>
      </c>
    </row>
    <row r="1271" ht="15.0" hidden="1" customHeight="1">
      <c r="A1271" s="49" t="s">
        <v>400</v>
      </c>
      <c r="B1271" s="50">
        <v>44196.0</v>
      </c>
      <c r="C1271" s="49" t="s">
        <v>78</v>
      </c>
      <c r="D1271" s="49">
        <v>0.0</v>
      </c>
    </row>
    <row r="1272" ht="15.0" hidden="1" customHeight="1">
      <c r="A1272" s="49" t="s">
        <v>405</v>
      </c>
      <c r="B1272" s="50">
        <v>44196.0</v>
      </c>
      <c r="C1272" s="49" t="s">
        <v>78</v>
      </c>
      <c r="D1272" s="49">
        <v>0.0</v>
      </c>
    </row>
    <row r="1273" ht="15.0" hidden="1" customHeight="1">
      <c r="A1273" s="49" t="s">
        <v>410</v>
      </c>
      <c r="B1273" s="50">
        <v>44196.0</v>
      </c>
      <c r="C1273" s="49" t="s">
        <v>78</v>
      </c>
      <c r="D1273" s="49">
        <v>0.0</v>
      </c>
    </row>
    <row r="1274" ht="15.0" hidden="1" customHeight="1">
      <c r="A1274" s="49" t="s">
        <v>415</v>
      </c>
      <c r="B1274" s="50">
        <v>44196.0</v>
      </c>
      <c r="C1274" s="49" t="s">
        <v>78</v>
      </c>
      <c r="D1274" s="49">
        <v>0.0</v>
      </c>
    </row>
    <row r="1275" ht="15.0" hidden="1" customHeight="1">
      <c r="A1275" s="49" t="s">
        <v>420</v>
      </c>
      <c r="B1275" s="50">
        <v>44196.0</v>
      </c>
      <c r="C1275" s="49" t="s">
        <v>78</v>
      </c>
      <c r="D1275" s="49">
        <v>0.0</v>
      </c>
    </row>
    <row r="1276" ht="15.0" hidden="1" customHeight="1">
      <c r="A1276" s="49" t="s">
        <v>425</v>
      </c>
      <c r="B1276" s="50">
        <v>44196.0</v>
      </c>
      <c r="C1276" s="49" t="s">
        <v>78</v>
      </c>
      <c r="D1276" s="49">
        <v>0.0</v>
      </c>
    </row>
    <row r="1277" ht="15.0" hidden="1" customHeight="1">
      <c r="A1277" s="49" t="s">
        <v>430</v>
      </c>
      <c r="B1277" s="50">
        <v>44196.0</v>
      </c>
      <c r="C1277" s="49" t="s">
        <v>78</v>
      </c>
      <c r="D1277" s="49">
        <v>0.0</v>
      </c>
    </row>
    <row r="1278" ht="15.0" hidden="1" customHeight="1">
      <c r="A1278" s="49" t="s">
        <v>434</v>
      </c>
      <c r="B1278" s="50">
        <v>44196.0</v>
      </c>
      <c r="C1278" s="49" t="s">
        <v>78</v>
      </c>
      <c r="D1278" s="49">
        <v>0.0</v>
      </c>
    </row>
    <row r="1279" ht="15.0" hidden="1" customHeight="1">
      <c r="A1279" s="49" t="s">
        <v>439</v>
      </c>
      <c r="B1279" s="50">
        <v>44196.0</v>
      </c>
      <c r="C1279" s="49" t="s">
        <v>78</v>
      </c>
      <c r="D1279" s="49">
        <v>0.0</v>
      </c>
    </row>
    <row r="1280" ht="15.0" hidden="1" customHeight="1">
      <c r="A1280" s="49" t="s">
        <v>444</v>
      </c>
      <c r="B1280" s="50">
        <v>44196.0</v>
      </c>
      <c r="C1280" s="49" t="s">
        <v>78</v>
      </c>
      <c r="D1280" s="49">
        <v>0.0</v>
      </c>
    </row>
    <row r="1281" ht="15.0" hidden="1" customHeight="1">
      <c r="A1281" s="49" t="s">
        <v>449</v>
      </c>
      <c r="B1281" s="50">
        <v>44196.0</v>
      </c>
      <c r="C1281" s="49" t="s">
        <v>78</v>
      </c>
      <c r="D1281" s="49">
        <v>0.0</v>
      </c>
    </row>
    <row r="1282" ht="15.0" hidden="1" customHeight="1">
      <c r="A1282" s="49" t="s">
        <v>455</v>
      </c>
      <c r="B1282" s="50">
        <v>44196.0</v>
      </c>
      <c r="C1282" s="49" t="s">
        <v>78</v>
      </c>
      <c r="D1282" s="49">
        <v>0.0</v>
      </c>
    </row>
    <row r="1283" ht="15.0" hidden="1" customHeight="1">
      <c r="A1283" s="49" t="s">
        <v>470</v>
      </c>
      <c r="B1283" s="50">
        <v>44196.0</v>
      </c>
      <c r="C1283" s="49" t="s">
        <v>78</v>
      </c>
      <c r="D1283" s="49">
        <v>0.0</v>
      </c>
    </row>
    <row r="1284" ht="15.0" hidden="1" customHeight="1">
      <c r="A1284" s="49" t="s">
        <v>476</v>
      </c>
      <c r="B1284" s="50">
        <v>44196.0</v>
      </c>
      <c r="C1284" s="49" t="s">
        <v>78</v>
      </c>
      <c r="D1284" s="49">
        <v>0.0</v>
      </c>
    </row>
    <row r="1285" ht="15.0" hidden="1" customHeight="1">
      <c r="A1285" s="49" t="s">
        <v>481</v>
      </c>
      <c r="B1285" s="50">
        <v>44196.0</v>
      </c>
      <c r="C1285" s="49" t="s">
        <v>78</v>
      </c>
      <c r="D1285" s="49">
        <v>0.0</v>
      </c>
    </row>
    <row r="1286" ht="15.0" hidden="1" customHeight="1">
      <c r="A1286" s="49" t="s">
        <v>486</v>
      </c>
      <c r="B1286" s="50">
        <v>44196.0</v>
      </c>
      <c r="C1286" s="49" t="s">
        <v>78</v>
      </c>
      <c r="D1286" s="49">
        <v>0.0</v>
      </c>
    </row>
    <row r="1287" ht="15.0" hidden="1" customHeight="1">
      <c r="A1287" s="49" t="s">
        <v>491</v>
      </c>
      <c r="B1287" s="50">
        <v>44196.0</v>
      </c>
      <c r="C1287" s="49" t="s">
        <v>78</v>
      </c>
      <c r="D1287" s="49">
        <v>0.0</v>
      </c>
    </row>
    <row r="1288" ht="15.0" hidden="1" customHeight="1">
      <c r="A1288" s="49" t="s">
        <v>496</v>
      </c>
      <c r="B1288" s="50">
        <v>44196.0</v>
      </c>
      <c r="C1288" s="49" t="s">
        <v>78</v>
      </c>
      <c r="D1288" s="49">
        <v>0.0</v>
      </c>
    </row>
    <row r="1289" ht="15.0" hidden="1" customHeight="1">
      <c r="A1289" s="49" t="s">
        <v>501</v>
      </c>
      <c r="B1289" s="50">
        <v>44196.0</v>
      </c>
      <c r="C1289" s="49" t="s">
        <v>78</v>
      </c>
      <c r="D1289" s="49">
        <v>0.0</v>
      </c>
    </row>
    <row r="1290" ht="15.0" hidden="1" customHeight="1">
      <c r="A1290" s="49" t="s">
        <v>506</v>
      </c>
      <c r="B1290" s="50">
        <v>44196.0</v>
      </c>
      <c r="C1290" s="49" t="s">
        <v>78</v>
      </c>
      <c r="D1290" s="49">
        <v>0.0</v>
      </c>
    </row>
    <row r="1291" ht="15.0" hidden="1" customHeight="1">
      <c r="A1291" s="49" t="s">
        <v>512</v>
      </c>
      <c r="B1291" s="50">
        <v>44196.0</v>
      </c>
      <c r="C1291" s="49" t="s">
        <v>78</v>
      </c>
      <c r="D1291" s="49">
        <v>0.0</v>
      </c>
    </row>
    <row r="1292" ht="15.0" hidden="1" customHeight="1">
      <c r="A1292" s="49" t="s">
        <v>517</v>
      </c>
      <c r="B1292" s="50">
        <v>44196.0</v>
      </c>
      <c r="C1292" s="49" t="s">
        <v>78</v>
      </c>
      <c r="D1292" s="49">
        <v>0.0</v>
      </c>
    </row>
    <row r="1293" ht="15.0" hidden="1" customHeight="1">
      <c r="A1293" s="49" t="s">
        <v>522</v>
      </c>
      <c r="B1293" s="50">
        <v>44196.0</v>
      </c>
      <c r="C1293" s="49" t="s">
        <v>78</v>
      </c>
      <c r="D1293" s="49">
        <v>0.0</v>
      </c>
    </row>
    <row r="1294" ht="15.0" hidden="1" customHeight="1">
      <c r="A1294" s="49" t="s">
        <v>528</v>
      </c>
      <c r="B1294" s="50">
        <v>44196.0</v>
      </c>
      <c r="C1294" s="49" t="s">
        <v>78</v>
      </c>
      <c r="D1294" s="49">
        <v>0.0</v>
      </c>
    </row>
    <row r="1295" ht="15.0" hidden="1" customHeight="1">
      <c r="A1295" s="49" t="s">
        <v>533</v>
      </c>
      <c r="B1295" s="50">
        <v>44196.0</v>
      </c>
      <c r="C1295" s="49" t="s">
        <v>78</v>
      </c>
      <c r="D1295" s="49">
        <v>0.0</v>
      </c>
    </row>
    <row r="1296" ht="15.0" hidden="1" customHeight="1">
      <c r="A1296" s="49" t="s">
        <v>538</v>
      </c>
      <c r="B1296" s="50">
        <v>44196.0</v>
      </c>
      <c r="C1296" s="49" t="s">
        <v>78</v>
      </c>
      <c r="D1296" s="49">
        <v>0.0</v>
      </c>
    </row>
    <row r="1297" ht="15.0" hidden="1" customHeight="1">
      <c r="A1297" s="49" t="s">
        <v>546</v>
      </c>
      <c r="B1297" s="50">
        <v>44196.0</v>
      </c>
      <c r="C1297" s="49" t="s">
        <v>78</v>
      </c>
      <c r="D1297" s="49">
        <v>0.0</v>
      </c>
    </row>
    <row r="1298" ht="15.0" hidden="1" customHeight="1">
      <c r="A1298" s="49" t="s">
        <v>551</v>
      </c>
      <c r="B1298" s="50">
        <v>44196.0</v>
      </c>
      <c r="C1298" s="49" t="s">
        <v>78</v>
      </c>
      <c r="D1298" s="49">
        <v>0.0</v>
      </c>
    </row>
    <row r="1299" ht="15.0" hidden="1" customHeight="1">
      <c r="A1299" s="49" t="s">
        <v>556</v>
      </c>
      <c r="B1299" s="50">
        <v>44196.0</v>
      </c>
      <c r="C1299" s="49" t="s">
        <v>78</v>
      </c>
      <c r="D1299" s="49">
        <v>0.0</v>
      </c>
    </row>
    <row r="1300" ht="15.0" hidden="1" customHeight="1">
      <c r="A1300" s="49" t="s">
        <v>561</v>
      </c>
      <c r="B1300" s="50">
        <v>44196.0</v>
      </c>
      <c r="C1300" s="49" t="s">
        <v>78</v>
      </c>
      <c r="D1300" s="49">
        <v>0.0</v>
      </c>
    </row>
    <row r="1301" ht="15.0" hidden="1" customHeight="1">
      <c r="A1301" s="49" t="s">
        <v>566</v>
      </c>
      <c r="B1301" s="50">
        <v>44196.0</v>
      </c>
      <c r="C1301" s="49" t="s">
        <v>78</v>
      </c>
      <c r="D1301" s="49">
        <v>0.0</v>
      </c>
    </row>
    <row r="1302" ht="15.0" hidden="1" customHeight="1">
      <c r="A1302" s="49" t="s">
        <v>571</v>
      </c>
      <c r="B1302" s="50">
        <v>44196.0</v>
      </c>
      <c r="C1302" s="49" t="s">
        <v>78</v>
      </c>
      <c r="D1302" s="49">
        <v>0.0</v>
      </c>
    </row>
    <row r="1303" ht="15.0" hidden="1" customHeight="1">
      <c r="A1303" s="49" t="s">
        <v>576</v>
      </c>
      <c r="B1303" s="50">
        <v>44196.0</v>
      </c>
      <c r="C1303" s="49" t="s">
        <v>78</v>
      </c>
      <c r="D1303" s="49">
        <v>0.0</v>
      </c>
    </row>
    <row r="1304" ht="15.0" hidden="1" customHeight="1">
      <c r="A1304" s="49" t="s">
        <v>581</v>
      </c>
      <c r="B1304" s="50">
        <v>44196.0</v>
      </c>
      <c r="C1304" s="49" t="s">
        <v>78</v>
      </c>
      <c r="D1304" s="49">
        <v>0.0</v>
      </c>
    </row>
    <row r="1305" ht="15.0" hidden="1" customHeight="1">
      <c r="A1305" s="49" t="s">
        <v>586</v>
      </c>
      <c r="B1305" s="50">
        <v>44196.0</v>
      </c>
      <c r="C1305" s="49" t="s">
        <v>78</v>
      </c>
      <c r="D1305" s="49">
        <v>0.0</v>
      </c>
    </row>
    <row r="1306" ht="15.0" hidden="1" customHeight="1">
      <c r="A1306" s="49" t="s">
        <v>754</v>
      </c>
      <c r="B1306" s="50">
        <v>44196.0</v>
      </c>
      <c r="C1306" s="49" t="s">
        <v>78</v>
      </c>
      <c r="D1306" s="49">
        <v>0.0</v>
      </c>
    </row>
    <row r="1307" ht="15.0" hidden="1" customHeight="1">
      <c r="A1307" s="49" t="s">
        <v>591</v>
      </c>
      <c r="B1307" s="50">
        <v>44196.0</v>
      </c>
      <c r="C1307" s="49" t="s">
        <v>78</v>
      </c>
      <c r="D1307" s="49">
        <v>0.0</v>
      </c>
    </row>
    <row r="1308" ht="15.0" hidden="1" customHeight="1">
      <c r="A1308" s="49" t="s">
        <v>759</v>
      </c>
      <c r="B1308" s="50">
        <v>44196.0</v>
      </c>
      <c r="C1308" s="49" t="s">
        <v>78</v>
      </c>
      <c r="D1308" s="49">
        <v>0.0</v>
      </c>
    </row>
    <row r="1309" ht="15.0" hidden="1" customHeight="1">
      <c r="A1309" s="49" t="s">
        <v>596</v>
      </c>
      <c r="B1309" s="50">
        <v>44196.0</v>
      </c>
      <c r="C1309" s="49" t="s">
        <v>78</v>
      </c>
      <c r="D1309" s="49">
        <v>0.0</v>
      </c>
    </row>
    <row r="1310" ht="15.0" hidden="1" customHeight="1">
      <c r="A1310" s="49" t="s">
        <v>602</v>
      </c>
      <c r="B1310" s="50">
        <v>44196.0</v>
      </c>
      <c r="C1310" s="49" t="s">
        <v>78</v>
      </c>
      <c r="D1310" s="49">
        <v>0.0</v>
      </c>
    </row>
    <row r="1311" ht="15.0" hidden="1" customHeight="1">
      <c r="A1311" s="49" t="s">
        <v>607</v>
      </c>
      <c r="B1311" s="50">
        <v>44196.0</v>
      </c>
      <c r="C1311" s="49" t="s">
        <v>78</v>
      </c>
      <c r="D1311" s="49">
        <v>0.0</v>
      </c>
    </row>
    <row r="1312" ht="15.0" hidden="1" customHeight="1">
      <c r="A1312" s="49" t="s">
        <v>612</v>
      </c>
      <c r="B1312" s="50">
        <v>44196.0</v>
      </c>
      <c r="C1312" s="49" t="s">
        <v>78</v>
      </c>
      <c r="D1312" s="49">
        <v>0.0</v>
      </c>
    </row>
    <row r="1313" ht="15.0" hidden="1" customHeight="1">
      <c r="A1313" s="49" t="s">
        <v>617</v>
      </c>
      <c r="B1313" s="50">
        <v>44196.0</v>
      </c>
      <c r="C1313" s="49" t="s">
        <v>78</v>
      </c>
      <c r="D1313" s="49">
        <v>0.0</v>
      </c>
    </row>
    <row r="1314" ht="15.0" hidden="1" customHeight="1">
      <c r="A1314" s="49" t="s">
        <v>622</v>
      </c>
      <c r="B1314" s="50">
        <v>44196.0</v>
      </c>
      <c r="C1314" s="49" t="s">
        <v>78</v>
      </c>
      <c r="D1314" s="49">
        <v>0.0</v>
      </c>
    </row>
    <row r="1315" ht="15.0" hidden="1" customHeight="1">
      <c r="A1315" s="49" t="s">
        <v>627</v>
      </c>
      <c r="B1315" s="50">
        <v>44196.0</v>
      </c>
      <c r="C1315" s="49" t="s">
        <v>78</v>
      </c>
      <c r="D1315" s="49">
        <v>0.0</v>
      </c>
    </row>
    <row r="1316" ht="15.0" hidden="1" customHeight="1">
      <c r="A1316" s="49" t="s">
        <v>631</v>
      </c>
      <c r="B1316" s="50">
        <v>44196.0</v>
      </c>
      <c r="C1316" s="49" t="s">
        <v>78</v>
      </c>
      <c r="D1316" s="49">
        <v>0.0</v>
      </c>
    </row>
    <row r="1317" ht="15.0" hidden="1" customHeight="1">
      <c r="A1317" s="49" t="s">
        <v>636</v>
      </c>
      <c r="B1317" s="50">
        <v>44196.0</v>
      </c>
      <c r="C1317" s="49" t="s">
        <v>78</v>
      </c>
      <c r="D1317" s="49">
        <v>0.0</v>
      </c>
    </row>
    <row r="1318" ht="15.0" hidden="1" customHeight="1">
      <c r="A1318" s="49" t="s">
        <v>640</v>
      </c>
      <c r="B1318" s="50">
        <v>44196.0</v>
      </c>
      <c r="C1318" s="49" t="s">
        <v>78</v>
      </c>
      <c r="D1318" s="49">
        <v>0.0</v>
      </c>
    </row>
    <row r="1319" ht="15.0" hidden="1" customHeight="1">
      <c r="A1319" s="49" t="s">
        <v>644</v>
      </c>
      <c r="B1319" s="50">
        <v>44196.0</v>
      </c>
      <c r="C1319" s="49" t="s">
        <v>78</v>
      </c>
      <c r="D1319" s="49">
        <v>0.0</v>
      </c>
    </row>
    <row r="1320" ht="15.0" hidden="1" customHeight="1">
      <c r="A1320" s="49" t="s">
        <v>649</v>
      </c>
      <c r="B1320" s="50">
        <v>44196.0</v>
      </c>
      <c r="C1320" s="49" t="s">
        <v>78</v>
      </c>
      <c r="D1320" s="49">
        <v>0.0</v>
      </c>
    </row>
    <row r="1321" ht="15.0" hidden="1" customHeight="1">
      <c r="A1321" s="49" t="s">
        <v>654</v>
      </c>
      <c r="B1321" s="50">
        <v>44196.0</v>
      </c>
      <c r="C1321" s="49" t="s">
        <v>78</v>
      </c>
      <c r="D1321" s="49">
        <v>0.0</v>
      </c>
    </row>
    <row r="1322" ht="15.0" hidden="1" customHeight="1">
      <c r="A1322" s="49" t="s">
        <v>659</v>
      </c>
      <c r="B1322" s="50">
        <v>44196.0</v>
      </c>
      <c r="C1322" s="49" t="s">
        <v>78</v>
      </c>
      <c r="D1322" s="49">
        <v>0.0</v>
      </c>
    </row>
    <row r="1323" ht="15.0" hidden="1" customHeight="1">
      <c r="A1323" s="49" t="s">
        <v>664</v>
      </c>
      <c r="B1323" s="50">
        <v>44196.0</v>
      </c>
      <c r="C1323" s="49" t="s">
        <v>78</v>
      </c>
      <c r="D1323" s="49">
        <v>0.0</v>
      </c>
    </row>
    <row r="1324" ht="15.0" hidden="1" customHeight="1">
      <c r="A1324" s="49" t="s">
        <v>669</v>
      </c>
      <c r="B1324" s="50">
        <v>44196.0</v>
      </c>
      <c r="C1324" s="49" t="s">
        <v>78</v>
      </c>
      <c r="D1324" s="49">
        <v>0.0</v>
      </c>
    </row>
    <row r="1325" ht="15.0" hidden="1" customHeight="1">
      <c r="A1325" s="49" t="s">
        <v>674</v>
      </c>
      <c r="B1325" s="50">
        <v>44196.0</v>
      </c>
      <c r="C1325" s="49" t="s">
        <v>78</v>
      </c>
      <c r="D1325" s="49">
        <v>0.0</v>
      </c>
    </row>
    <row r="1326" ht="15.0" hidden="1" customHeight="1">
      <c r="A1326" s="49" t="s">
        <v>679</v>
      </c>
      <c r="B1326" s="50">
        <v>44196.0</v>
      </c>
      <c r="C1326" s="49" t="s">
        <v>78</v>
      </c>
      <c r="D1326" s="49">
        <v>0.0</v>
      </c>
    </row>
    <row r="1327" ht="15.0" hidden="1" customHeight="1">
      <c r="A1327" s="49" t="s">
        <v>684</v>
      </c>
      <c r="B1327" s="50">
        <v>44196.0</v>
      </c>
      <c r="C1327" s="49" t="s">
        <v>78</v>
      </c>
      <c r="D1327" s="49">
        <v>0.0</v>
      </c>
    </row>
    <row r="1328" ht="15.0" hidden="1" customHeight="1">
      <c r="A1328" s="49" t="s">
        <v>689</v>
      </c>
      <c r="B1328" s="50">
        <v>44196.0</v>
      </c>
      <c r="C1328" s="49" t="s">
        <v>78</v>
      </c>
      <c r="D1328" s="49">
        <v>0.0</v>
      </c>
    </row>
    <row r="1329" ht="15.0" hidden="1" customHeight="1">
      <c r="A1329" s="49" t="s">
        <v>694</v>
      </c>
      <c r="B1329" s="50">
        <v>44196.0</v>
      </c>
      <c r="C1329" s="49" t="s">
        <v>78</v>
      </c>
      <c r="D1329" s="49">
        <v>0.0</v>
      </c>
    </row>
    <row r="1330" ht="15.0" hidden="1" customHeight="1">
      <c r="A1330" s="49" t="s">
        <v>699</v>
      </c>
      <c r="B1330" s="50">
        <v>44196.0</v>
      </c>
      <c r="C1330" s="49" t="s">
        <v>78</v>
      </c>
      <c r="D1330" s="49">
        <v>0.0</v>
      </c>
    </row>
    <row r="1331" ht="15.0" hidden="1" customHeight="1">
      <c r="A1331" s="49" t="s">
        <v>705</v>
      </c>
      <c r="B1331" s="50">
        <v>44196.0</v>
      </c>
      <c r="C1331" s="49" t="s">
        <v>78</v>
      </c>
      <c r="D1331" s="49">
        <v>0.0</v>
      </c>
    </row>
    <row r="1332" ht="15.0" hidden="1" customHeight="1">
      <c r="A1332" s="49" t="s">
        <v>710</v>
      </c>
      <c r="B1332" s="50">
        <v>44196.0</v>
      </c>
      <c r="C1332" s="49" t="s">
        <v>78</v>
      </c>
      <c r="D1332" s="49">
        <v>0.0</v>
      </c>
    </row>
    <row r="1333" ht="15.0" hidden="1" customHeight="1">
      <c r="A1333" s="49" t="s">
        <v>715</v>
      </c>
      <c r="B1333" s="50">
        <v>44196.0</v>
      </c>
      <c r="C1333" s="49" t="s">
        <v>78</v>
      </c>
      <c r="D1333" s="49">
        <v>0.0</v>
      </c>
    </row>
    <row r="1334" ht="15.0" hidden="1" customHeight="1">
      <c r="A1334" s="49" t="s">
        <v>765</v>
      </c>
      <c r="B1334" s="50">
        <v>44196.0</v>
      </c>
      <c r="C1334" s="49" t="s">
        <v>78</v>
      </c>
      <c r="D1334" s="49">
        <v>0.0</v>
      </c>
    </row>
    <row r="1335" ht="15.0" hidden="1" customHeight="1">
      <c r="A1335" s="49" t="s">
        <v>720</v>
      </c>
      <c r="B1335" s="50">
        <v>44196.0</v>
      </c>
      <c r="C1335" s="49" t="s">
        <v>78</v>
      </c>
      <c r="D1335" s="49">
        <v>0.0</v>
      </c>
    </row>
    <row r="1336" ht="15.0" hidden="1" customHeight="1">
      <c r="A1336" s="49" t="s">
        <v>725</v>
      </c>
      <c r="B1336" s="50">
        <v>44196.0</v>
      </c>
      <c r="C1336" s="49" t="s">
        <v>78</v>
      </c>
      <c r="D1336" s="49">
        <v>0.0</v>
      </c>
    </row>
    <row r="1337" ht="15.0" hidden="1" customHeight="1">
      <c r="A1337" s="49" t="s">
        <v>730</v>
      </c>
      <c r="B1337" s="50">
        <v>44196.0</v>
      </c>
      <c r="C1337" s="49" t="s">
        <v>78</v>
      </c>
      <c r="D1337" s="49">
        <v>0.0</v>
      </c>
    </row>
    <row r="1338" ht="15.0" hidden="1" customHeight="1">
      <c r="A1338" s="49" t="s">
        <v>734</v>
      </c>
      <c r="B1338" s="50">
        <v>44196.0</v>
      </c>
      <c r="C1338" s="49" t="s">
        <v>78</v>
      </c>
      <c r="D1338" s="49">
        <v>0.0</v>
      </c>
    </row>
    <row r="1339" ht="15.0" hidden="1" customHeight="1">
      <c r="A1339" s="49" t="s">
        <v>739</v>
      </c>
      <c r="B1339" s="50">
        <v>44196.0</v>
      </c>
      <c r="C1339" s="49" t="s">
        <v>78</v>
      </c>
      <c r="D1339" s="49">
        <v>0.0</v>
      </c>
    </row>
    <row r="1340" ht="15.0" hidden="1" customHeight="1">
      <c r="A1340" s="49" t="s">
        <v>744</v>
      </c>
      <c r="B1340" s="50">
        <v>44196.0</v>
      </c>
      <c r="C1340" s="49" t="s">
        <v>78</v>
      </c>
      <c r="D1340" s="49">
        <v>0.0</v>
      </c>
    </row>
    <row r="1341" ht="15.0" hidden="1" customHeight="1">
      <c r="A1341" s="49" t="s">
        <v>749</v>
      </c>
      <c r="B1341" s="50">
        <v>44196.0</v>
      </c>
      <c r="C1341" s="49" t="s">
        <v>78</v>
      </c>
      <c r="D1341" s="49">
        <v>0.0</v>
      </c>
    </row>
    <row r="1342" ht="15.0" customHeight="1">
      <c r="A1342" s="49" t="s">
        <v>776</v>
      </c>
      <c r="B1342" s="50">
        <v>44196.0</v>
      </c>
      <c r="C1342" s="49" t="s">
        <v>69</v>
      </c>
      <c r="D1342" s="49">
        <v>5500000.0</v>
      </c>
    </row>
    <row r="1343" ht="15.0" hidden="1" customHeight="1">
      <c r="A1343" s="49" t="s">
        <v>778</v>
      </c>
      <c r="B1343" s="50">
        <v>44196.0</v>
      </c>
      <c r="C1343" s="49" t="s">
        <v>69</v>
      </c>
      <c r="D1343" s="49">
        <v>200000.0</v>
      </c>
    </row>
    <row r="1344" ht="15.0" hidden="1" customHeight="1">
      <c r="A1344" s="49" t="s">
        <v>92</v>
      </c>
      <c r="B1344" s="50">
        <v>44196.0</v>
      </c>
      <c r="C1344" s="49" t="s">
        <v>69</v>
      </c>
      <c r="D1344" s="49">
        <v>900000.0</v>
      </c>
    </row>
    <row r="1345" ht="15.0" hidden="1" customHeight="1">
      <c r="A1345" s="49" t="s">
        <v>97</v>
      </c>
      <c r="B1345" s="50">
        <v>44196.0</v>
      </c>
      <c r="C1345" s="49" t="s">
        <v>69</v>
      </c>
      <c r="D1345" s="49">
        <v>0.0</v>
      </c>
    </row>
    <row r="1346" ht="15.0" hidden="1" customHeight="1">
      <c r="A1346" s="49" t="s">
        <v>102</v>
      </c>
      <c r="B1346" s="50">
        <v>44196.0</v>
      </c>
      <c r="C1346" s="49" t="s">
        <v>69</v>
      </c>
      <c r="D1346" s="49">
        <v>750000.0</v>
      </c>
    </row>
    <row r="1347" ht="15.0" hidden="1" customHeight="1">
      <c r="A1347" s="49" t="s">
        <v>106</v>
      </c>
      <c r="B1347" s="50">
        <v>44196.0</v>
      </c>
      <c r="C1347" s="49" t="s">
        <v>69</v>
      </c>
      <c r="D1347" s="49">
        <v>0.0</v>
      </c>
    </row>
    <row r="1348" ht="15.0" hidden="1" customHeight="1">
      <c r="A1348" s="49" t="s">
        <v>111</v>
      </c>
      <c r="B1348" s="50">
        <v>44196.0</v>
      </c>
      <c r="C1348" s="49" t="s">
        <v>69</v>
      </c>
      <c r="D1348" s="49">
        <v>0.0</v>
      </c>
    </row>
    <row r="1349" ht="15.0" hidden="1" customHeight="1">
      <c r="A1349" s="49" t="s">
        <v>116</v>
      </c>
      <c r="B1349" s="50">
        <v>44196.0</v>
      </c>
      <c r="C1349" s="49" t="s">
        <v>69</v>
      </c>
      <c r="D1349" s="49">
        <v>0.0</v>
      </c>
    </row>
    <row r="1350" ht="15.0" hidden="1" customHeight="1">
      <c r="A1350" s="49" t="s">
        <v>120</v>
      </c>
      <c r="B1350" s="50">
        <v>44196.0</v>
      </c>
      <c r="C1350" s="49" t="s">
        <v>69</v>
      </c>
      <c r="D1350" s="49">
        <v>350000.0</v>
      </c>
    </row>
    <row r="1351" ht="15.0" hidden="1" customHeight="1">
      <c r="A1351" s="49" t="s">
        <v>125</v>
      </c>
      <c r="B1351" s="50">
        <v>44196.0</v>
      </c>
      <c r="C1351" s="49" t="s">
        <v>69</v>
      </c>
      <c r="D1351" s="49">
        <v>120000.0</v>
      </c>
    </row>
    <row r="1352" ht="15.0" hidden="1" customHeight="1">
      <c r="A1352" s="49" t="s">
        <v>130</v>
      </c>
      <c r="B1352" s="50">
        <v>44196.0</v>
      </c>
      <c r="C1352" s="49" t="s">
        <v>69</v>
      </c>
      <c r="D1352" s="49">
        <v>0.0</v>
      </c>
    </row>
    <row r="1353" ht="15.0" hidden="1" customHeight="1">
      <c r="A1353" s="49" t="s">
        <v>137</v>
      </c>
      <c r="B1353" s="50">
        <v>44196.0</v>
      </c>
      <c r="C1353" s="49" t="s">
        <v>69</v>
      </c>
      <c r="D1353" s="49">
        <v>0.0</v>
      </c>
    </row>
    <row r="1354" ht="15.0" hidden="1" customHeight="1">
      <c r="A1354" s="49" t="s">
        <v>142</v>
      </c>
      <c r="B1354" s="50">
        <v>44196.0</v>
      </c>
      <c r="C1354" s="49" t="s">
        <v>69</v>
      </c>
      <c r="D1354" s="49">
        <v>0.0</v>
      </c>
    </row>
    <row r="1355" ht="15.0" hidden="1" customHeight="1">
      <c r="A1355" s="49" t="s">
        <v>147</v>
      </c>
      <c r="B1355" s="50">
        <v>44196.0</v>
      </c>
      <c r="C1355" s="49" t="s">
        <v>69</v>
      </c>
      <c r="D1355" s="49">
        <v>0.0</v>
      </c>
    </row>
    <row r="1356" ht="15.0" hidden="1" customHeight="1">
      <c r="A1356" s="49" t="s">
        <v>152</v>
      </c>
      <c r="B1356" s="50">
        <v>44196.0</v>
      </c>
      <c r="C1356" s="49" t="s">
        <v>69</v>
      </c>
      <c r="D1356" s="49">
        <v>0.0</v>
      </c>
    </row>
    <row r="1357" ht="15.0" hidden="1" customHeight="1">
      <c r="A1357" s="49" t="s">
        <v>157</v>
      </c>
      <c r="B1357" s="50">
        <v>44196.0</v>
      </c>
      <c r="C1357" s="49" t="s">
        <v>69</v>
      </c>
      <c r="D1357" s="49">
        <v>0.0</v>
      </c>
    </row>
    <row r="1358" ht="15.0" hidden="1" customHeight="1">
      <c r="A1358" s="49" t="s">
        <v>162</v>
      </c>
      <c r="B1358" s="50">
        <v>44196.0</v>
      </c>
      <c r="C1358" s="49" t="s">
        <v>69</v>
      </c>
      <c r="D1358" s="49">
        <v>0.0</v>
      </c>
    </row>
    <row r="1359" ht="15.0" hidden="1" customHeight="1">
      <c r="A1359" s="49" t="s">
        <v>167</v>
      </c>
      <c r="B1359" s="50">
        <v>44196.0</v>
      </c>
      <c r="C1359" s="49" t="s">
        <v>69</v>
      </c>
      <c r="D1359" s="49">
        <v>0.0</v>
      </c>
    </row>
    <row r="1360" ht="15.0" hidden="1" customHeight="1">
      <c r="A1360" s="49" t="s">
        <v>172</v>
      </c>
      <c r="B1360" s="50">
        <v>44196.0</v>
      </c>
      <c r="C1360" s="49" t="s">
        <v>69</v>
      </c>
      <c r="D1360" s="49">
        <v>0.0</v>
      </c>
    </row>
    <row r="1361" ht="15.0" hidden="1" customHeight="1">
      <c r="A1361" s="49" t="s">
        <v>177</v>
      </c>
      <c r="B1361" s="50">
        <v>44196.0</v>
      </c>
      <c r="C1361" s="49" t="s">
        <v>69</v>
      </c>
      <c r="D1361" s="49">
        <v>0.0</v>
      </c>
    </row>
    <row r="1362" ht="15.0" hidden="1" customHeight="1">
      <c r="A1362" s="49" t="s">
        <v>182</v>
      </c>
      <c r="B1362" s="50">
        <v>44196.0</v>
      </c>
      <c r="C1362" s="49" t="s">
        <v>69</v>
      </c>
      <c r="D1362" s="49">
        <v>0.0</v>
      </c>
    </row>
    <row r="1363" ht="15.0" hidden="1" customHeight="1">
      <c r="A1363" s="49" t="s">
        <v>187</v>
      </c>
      <c r="B1363" s="50">
        <v>44196.0</v>
      </c>
      <c r="C1363" s="49" t="s">
        <v>69</v>
      </c>
      <c r="D1363" s="49">
        <v>0.0</v>
      </c>
    </row>
    <row r="1364" ht="15.0" hidden="1" customHeight="1">
      <c r="A1364" s="49" t="s">
        <v>192</v>
      </c>
      <c r="B1364" s="50">
        <v>44196.0</v>
      </c>
      <c r="C1364" s="49" t="s">
        <v>69</v>
      </c>
      <c r="D1364" s="49">
        <v>0.0</v>
      </c>
    </row>
    <row r="1365" ht="15.0" hidden="1" customHeight="1">
      <c r="A1365" s="49" t="s">
        <v>197</v>
      </c>
      <c r="B1365" s="50">
        <v>44196.0</v>
      </c>
      <c r="C1365" s="49" t="s">
        <v>69</v>
      </c>
      <c r="D1365" s="49">
        <v>0.0</v>
      </c>
    </row>
    <row r="1366" ht="15.0" hidden="1" customHeight="1">
      <c r="A1366" s="49" t="s">
        <v>202</v>
      </c>
      <c r="B1366" s="50">
        <v>44196.0</v>
      </c>
      <c r="C1366" s="49" t="s">
        <v>69</v>
      </c>
      <c r="D1366" s="49">
        <v>0.0</v>
      </c>
    </row>
    <row r="1367" ht="15.0" hidden="1" customHeight="1">
      <c r="A1367" s="49" t="s">
        <v>206</v>
      </c>
      <c r="B1367" s="50">
        <v>44196.0</v>
      </c>
      <c r="C1367" s="49" t="s">
        <v>69</v>
      </c>
      <c r="D1367" s="49">
        <v>0.0</v>
      </c>
    </row>
    <row r="1368" ht="15.0" hidden="1" customHeight="1">
      <c r="A1368" s="49" t="s">
        <v>211</v>
      </c>
      <c r="B1368" s="50">
        <v>44196.0</v>
      </c>
      <c r="C1368" s="49" t="s">
        <v>69</v>
      </c>
      <c r="D1368" s="49">
        <v>0.0</v>
      </c>
    </row>
    <row r="1369" ht="15.0" hidden="1" customHeight="1">
      <c r="A1369" s="49" t="s">
        <v>779</v>
      </c>
      <c r="B1369" s="50">
        <v>44196.0</v>
      </c>
      <c r="C1369" s="49" t="s">
        <v>69</v>
      </c>
      <c r="D1369" s="49">
        <v>0.0</v>
      </c>
    </row>
    <row r="1370" ht="15.0" hidden="1" customHeight="1">
      <c r="A1370" s="49" t="s">
        <v>221</v>
      </c>
      <c r="B1370" s="50">
        <v>44196.0</v>
      </c>
      <c r="C1370" s="49" t="s">
        <v>69</v>
      </c>
      <c r="D1370" s="49">
        <v>0.0</v>
      </c>
    </row>
    <row r="1371" ht="15.0" hidden="1" customHeight="1">
      <c r="A1371" s="49" t="s">
        <v>226</v>
      </c>
      <c r="B1371" s="50">
        <v>44196.0</v>
      </c>
      <c r="C1371" s="49" t="s">
        <v>69</v>
      </c>
      <c r="D1371" s="49">
        <v>0.0</v>
      </c>
    </row>
    <row r="1372" ht="15.0" hidden="1" customHeight="1">
      <c r="A1372" s="49" t="s">
        <v>231</v>
      </c>
      <c r="B1372" s="50">
        <v>44196.0</v>
      </c>
      <c r="C1372" s="49" t="s">
        <v>69</v>
      </c>
      <c r="D1372" s="49">
        <v>0.0</v>
      </c>
    </row>
    <row r="1373" ht="15.0" hidden="1" customHeight="1">
      <c r="A1373" s="49" t="s">
        <v>236</v>
      </c>
      <c r="B1373" s="50">
        <v>44196.0</v>
      </c>
      <c r="C1373" s="49" t="s">
        <v>69</v>
      </c>
      <c r="D1373" s="49">
        <v>0.0</v>
      </c>
    </row>
    <row r="1374" ht="15.0" hidden="1" customHeight="1">
      <c r="A1374" s="49" t="s">
        <v>242</v>
      </c>
      <c r="B1374" s="50">
        <v>44196.0</v>
      </c>
      <c r="C1374" s="49" t="s">
        <v>69</v>
      </c>
      <c r="D1374" s="49">
        <v>0.0</v>
      </c>
    </row>
    <row r="1375" ht="15.0" hidden="1" customHeight="1">
      <c r="A1375" s="49" t="s">
        <v>248</v>
      </c>
      <c r="B1375" s="50">
        <v>44196.0</v>
      </c>
      <c r="C1375" s="49" t="s">
        <v>69</v>
      </c>
      <c r="D1375" s="49">
        <v>0.0</v>
      </c>
    </row>
    <row r="1376" ht="15.0" hidden="1" customHeight="1">
      <c r="A1376" s="49" t="s">
        <v>253</v>
      </c>
      <c r="B1376" s="50">
        <v>44196.0</v>
      </c>
      <c r="C1376" s="49" t="s">
        <v>69</v>
      </c>
      <c r="D1376" s="49">
        <v>0.0</v>
      </c>
    </row>
    <row r="1377" ht="15.0" hidden="1" customHeight="1">
      <c r="A1377" s="49" t="s">
        <v>258</v>
      </c>
      <c r="B1377" s="50">
        <v>44196.0</v>
      </c>
      <c r="C1377" s="49" t="s">
        <v>69</v>
      </c>
      <c r="D1377" s="49">
        <v>0.0</v>
      </c>
    </row>
    <row r="1378" ht="15.0" hidden="1" customHeight="1">
      <c r="A1378" s="49" t="s">
        <v>263</v>
      </c>
      <c r="B1378" s="50">
        <v>44196.0</v>
      </c>
      <c r="C1378" s="49" t="s">
        <v>69</v>
      </c>
      <c r="D1378" s="49">
        <v>0.0</v>
      </c>
    </row>
    <row r="1379" ht="15.0" hidden="1" customHeight="1">
      <c r="A1379" s="49" t="s">
        <v>268</v>
      </c>
      <c r="B1379" s="50">
        <v>44196.0</v>
      </c>
      <c r="C1379" s="49" t="s">
        <v>69</v>
      </c>
      <c r="D1379" s="49">
        <v>0.0</v>
      </c>
    </row>
    <row r="1380" ht="15.0" hidden="1" customHeight="1">
      <c r="A1380" s="49" t="s">
        <v>273</v>
      </c>
      <c r="B1380" s="50">
        <v>44196.0</v>
      </c>
      <c r="C1380" s="49" t="s">
        <v>69</v>
      </c>
      <c r="D1380" s="49">
        <v>0.0</v>
      </c>
    </row>
    <row r="1381" ht="15.0" hidden="1" customHeight="1">
      <c r="A1381" s="49" t="s">
        <v>278</v>
      </c>
      <c r="B1381" s="50">
        <v>44196.0</v>
      </c>
      <c r="C1381" s="49" t="s">
        <v>69</v>
      </c>
      <c r="D1381" s="49">
        <v>0.0</v>
      </c>
    </row>
    <row r="1382" ht="15.0" hidden="1" customHeight="1">
      <c r="A1382" s="49" t="s">
        <v>283</v>
      </c>
      <c r="B1382" s="50">
        <v>44196.0</v>
      </c>
      <c r="C1382" s="49" t="s">
        <v>69</v>
      </c>
      <c r="D1382" s="49">
        <v>0.0</v>
      </c>
    </row>
    <row r="1383" ht="15.0" hidden="1" customHeight="1">
      <c r="A1383" s="49" t="s">
        <v>288</v>
      </c>
      <c r="B1383" s="50">
        <v>44196.0</v>
      </c>
      <c r="C1383" s="49" t="s">
        <v>69</v>
      </c>
      <c r="D1383" s="49">
        <v>0.0</v>
      </c>
    </row>
    <row r="1384" ht="15.0" hidden="1" customHeight="1">
      <c r="A1384" s="49" t="s">
        <v>293</v>
      </c>
      <c r="B1384" s="50">
        <v>44196.0</v>
      </c>
      <c r="C1384" s="49" t="s">
        <v>69</v>
      </c>
      <c r="D1384" s="49">
        <v>0.0</v>
      </c>
    </row>
    <row r="1385" ht="15.0" hidden="1" customHeight="1">
      <c r="A1385" s="49" t="s">
        <v>298</v>
      </c>
      <c r="B1385" s="50">
        <v>44196.0</v>
      </c>
      <c r="C1385" s="49" t="s">
        <v>69</v>
      </c>
      <c r="D1385" s="49">
        <v>0.0</v>
      </c>
    </row>
    <row r="1386" ht="15.0" hidden="1" customHeight="1">
      <c r="A1386" s="49" t="s">
        <v>303</v>
      </c>
      <c r="B1386" s="50">
        <v>44196.0</v>
      </c>
      <c r="C1386" s="49" t="s">
        <v>69</v>
      </c>
      <c r="D1386" s="49">
        <v>0.0</v>
      </c>
    </row>
    <row r="1387" ht="15.0" hidden="1" customHeight="1">
      <c r="A1387" s="49" t="s">
        <v>307</v>
      </c>
      <c r="B1387" s="50">
        <v>44196.0</v>
      </c>
      <c r="C1387" s="49" t="s">
        <v>69</v>
      </c>
      <c r="D1387" s="49">
        <v>0.0</v>
      </c>
    </row>
    <row r="1388" ht="15.0" hidden="1" customHeight="1">
      <c r="A1388" s="49" t="s">
        <v>313</v>
      </c>
      <c r="B1388" s="50">
        <v>44196.0</v>
      </c>
      <c r="C1388" s="49" t="s">
        <v>69</v>
      </c>
      <c r="D1388" s="49">
        <v>0.0</v>
      </c>
    </row>
    <row r="1389" ht="15.0" hidden="1" customHeight="1">
      <c r="A1389" s="49" t="s">
        <v>318</v>
      </c>
      <c r="B1389" s="50">
        <v>44196.0</v>
      </c>
      <c r="C1389" s="49" t="s">
        <v>69</v>
      </c>
      <c r="D1389" s="49">
        <v>0.0</v>
      </c>
    </row>
    <row r="1390" ht="15.0" hidden="1" customHeight="1">
      <c r="A1390" s="49" t="s">
        <v>323</v>
      </c>
      <c r="B1390" s="50">
        <v>44196.0</v>
      </c>
      <c r="C1390" s="49" t="s">
        <v>69</v>
      </c>
      <c r="D1390" s="49">
        <v>0.0</v>
      </c>
    </row>
    <row r="1391" ht="15.0" hidden="1" customHeight="1">
      <c r="A1391" s="49" t="s">
        <v>328</v>
      </c>
      <c r="B1391" s="50">
        <v>44196.0</v>
      </c>
      <c r="C1391" s="49" t="s">
        <v>69</v>
      </c>
      <c r="D1391" s="49">
        <v>0.0</v>
      </c>
    </row>
    <row r="1392" ht="15.0" hidden="1" customHeight="1">
      <c r="A1392" s="49" t="s">
        <v>335</v>
      </c>
      <c r="B1392" s="50">
        <v>44196.0</v>
      </c>
      <c r="C1392" s="49" t="s">
        <v>69</v>
      </c>
      <c r="D1392" s="49">
        <v>0.0</v>
      </c>
    </row>
    <row r="1393" ht="15.0" hidden="1" customHeight="1">
      <c r="A1393" s="49" t="s">
        <v>340</v>
      </c>
      <c r="B1393" s="50">
        <v>44196.0</v>
      </c>
      <c r="C1393" s="49" t="s">
        <v>69</v>
      </c>
      <c r="D1393" s="49">
        <v>0.0</v>
      </c>
    </row>
    <row r="1394" ht="15.0" hidden="1" customHeight="1">
      <c r="A1394" s="49" t="s">
        <v>345</v>
      </c>
      <c r="B1394" s="50">
        <v>44196.0</v>
      </c>
      <c r="C1394" s="49" t="s">
        <v>69</v>
      </c>
      <c r="D1394" s="49">
        <v>0.0</v>
      </c>
    </row>
    <row r="1395" ht="15.0" hidden="1" customHeight="1">
      <c r="A1395" s="49" t="s">
        <v>350</v>
      </c>
      <c r="B1395" s="50">
        <v>44196.0</v>
      </c>
      <c r="C1395" s="49" t="s">
        <v>69</v>
      </c>
      <c r="D1395" s="49">
        <v>0.0</v>
      </c>
    </row>
    <row r="1396" ht="15.0" hidden="1" customHeight="1">
      <c r="A1396" s="49" t="s">
        <v>355</v>
      </c>
      <c r="B1396" s="50">
        <v>44196.0</v>
      </c>
      <c r="C1396" s="49" t="s">
        <v>69</v>
      </c>
      <c r="D1396" s="49">
        <v>0.0</v>
      </c>
    </row>
    <row r="1397" ht="15.0" hidden="1" customHeight="1">
      <c r="A1397" s="49" t="s">
        <v>360</v>
      </c>
      <c r="B1397" s="50">
        <v>44196.0</v>
      </c>
      <c r="C1397" s="49" t="s">
        <v>69</v>
      </c>
      <c r="D1397" s="49">
        <v>0.0</v>
      </c>
    </row>
    <row r="1398" ht="15.0" hidden="1" customHeight="1">
      <c r="A1398" s="49" t="s">
        <v>365</v>
      </c>
      <c r="B1398" s="50">
        <v>44196.0</v>
      </c>
      <c r="C1398" s="49" t="s">
        <v>69</v>
      </c>
      <c r="D1398" s="49">
        <v>0.0</v>
      </c>
    </row>
    <row r="1399" ht="15.0" hidden="1" customHeight="1">
      <c r="A1399" s="49" t="s">
        <v>370</v>
      </c>
      <c r="B1399" s="50">
        <v>44196.0</v>
      </c>
      <c r="C1399" s="49" t="s">
        <v>69</v>
      </c>
      <c r="D1399" s="49">
        <v>0.0</v>
      </c>
    </row>
    <row r="1400" ht="15.0" hidden="1" customHeight="1">
      <c r="A1400" s="49" t="s">
        <v>375</v>
      </c>
      <c r="B1400" s="50">
        <v>44196.0</v>
      </c>
      <c r="C1400" s="49" t="s">
        <v>69</v>
      </c>
      <c r="D1400" s="49">
        <v>0.0</v>
      </c>
    </row>
    <row r="1401" ht="15.0" hidden="1" customHeight="1">
      <c r="A1401" s="49" t="s">
        <v>380</v>
      </c>
      <c r="B1401" s="50">
        <v>44196.0</v>
      </c>
      <c r="C1401" s="49" t="s">
        <v>69</v>
      </c>
      <c r="D1401" s="49">
        <v>0.0</v>
      </c>
    </row>
    <row r="1402" ht="15.0" hidden="1" customHeight="1">
      <c r="A1402" s="49" t="s">
        <v>385</v>
      </c>
      <c r="B1402" s="50">
        <v>44196.0</v>
      </c>
      <c r="C1402" s="49" t="s">
        <v>69</v>
      </c>
      <c r="D1402" s="49">
        <v>0.0</v>
      </c>
    </row>
    <row r="1403" ht="15.0" hidden="1" customHeight="1">
      <c r="A1403" s="49" t="s">
        <v>390</v>
      </c>
      <c r="B1403" s="50">
        <v>44196.0</v>
      </c>
      <c r="C1403" s="49" t="s">
        <v>69</v>
      </c>
      <c r="D1403" s="49">
        <v>0.0</v>
      </c>
    </row>
    <row r="1404" ht="15.0" hidden="1" customHeight="1">
      <c r="A1404" s="49" t="s">
        <v>395</v>
      </c>
      <c r="B1404" s="50">
        <v>44196.0</v>
      </c>
      <c r="C1404" s="49" t="s">
        <v>69</v>
      </c>
      <c r="D1404" s="49">
        <v>0.0</v>
      </c>
    </row>
    <row r="1405" ht="15.0" hidden="1" customHeight="1">
      <c r="A1405" s="49" t="s">
        <v>400</v>
      </c>
      <c r="B1405" s="50">
        <v>44196.0</v>
      </c>
      <c r="C1405" s="49" t="s">
        <v>69</v>
      </c>
      <c r="D1405" s="49">
        <v>0.0</v>
      </c>
    </row>
    <row r="1406" ht="15.0" hidden="1" customHeight="1">
      <c r="A1406" s="49" t="s">
        <v>405</v>
      </c>
      <c r="B1406" s="50">
        <v>44196.0</v>
      </c>
      <c r="C1406" s="49" t="s">
        <v>69</v>
      </c>
      <c r="D1406" s="49">
        <v>0.0</v>
      </c>
    </row>
    <row r="1407" ht="15.0" hidden="1" customHeight="1">
      <c r="A1407" s="49" t="s">
        <v>410</v>
      </c>
      <c r="B1407" s="50">
        <v>44196.0</v>
      </c>
      <c r="C1407" s="49" t="s">
        <v>69</v>
      </c>
      <c r="D1407" s="49">
        <v>0.0</v>
      </c>
    </row>
    <row r="1408" ht="15.0" hidden="1" customHeight="1">
      <c r="A1408" s="49" t="s">
        <v>415</v>
      </c>
      <c r="B1408" s="50">
        <v>44196.0</v>
      </c>
      <c r="C1408" s="49" t="s">
        <v>69</v>
      </c>
      <c r="D1408" s="49">
        <v>0.0</v>
      </c>
    </row>
    <row r="1409" ht="15.0" hidden="1" customHeight="1">
      <c r="A1409" s="49" t="s">
        <v>420</v>
      </c>
      <c r="B1409" s="50">
        <v>44196.0</v>
      </c>
      <c r="C1409" s="49" t="s">
        <v>69</v>
      </c>
      <c r="D1409" s="49">
        <v>0.0</v>
      </c>
    </row>
    <row r="1410" ht="15.0" hidden="1" customHeight="1">
      <c r="A1410" s="49" t="s">
        <v>425</v>
      </c>
      <c r="B1410" s="50">
        <v>44196.0</v>
      </c>
      <c r="C1410" s="49" t="s">
        <v>69</v>
      </c>
      <c r="D1410" s="49">
        <v>0.0</v>
      </c>
    </row>
    <row r="1411" ht="15.0" hidden="1" customHeight="1">
      <c r="A1411" s="49" t="s">
        <v>430</v>
      </c>
      <c r="B1411" s="50">
        <v>44196.0</v>
      </c>
      <c r="C1411" s="49" t="s">
        <v>69</v>
      </c>
      <c r="D1411" s="49">
        <v>0.0</v>
      </c>
    </row>
    <row r="1412" ht="15.0" hidden="1" customHeight="1">
      <c r="A1412" s="49" t="s">
        <v>434</v>
      </c>
      <c r="B1412" s="50">
        <v>44196.0</v>
      </c>
      <c r="C1412" s="49" t="s">
        <v>69</v>
      </c>
      <c r="D1412" s="49">
        <v>0.0</v>
      </c>
    </row>
    <row r="1413" ht="15.0" hidden="1" customHeight="1">
      <c r="A1413" s="49" t="s">
        <v>439</v>
      </c>
      <c r="B1413" s="50">
        <v>44196.0</v>
      </c>
      <c r="C1413" s="49" t="s">
        <v>69</v>
      </c>
      <c r="D1413" s="49">
        <v>0.0</v>
      </c>
    </row>
    <row r="1414" ht="15.0" hidden="1" customHeight="1">
      <c r="A1414" s="49" t="s">
        <v>444</v>
      </c>
      <c r="B1414" s="50">
        <v>44196.0</v>
      </c>
      <c r="C1414" s="49" t="s">
        <v>69</v>
      </c>
      <c r="D1414" s="49">
        <v>0.0</v>
      </c>
    </row>
    <row r="1415" ht="15.0" hidden="1" customHeight="1">
      <c r="A1415" s="49" t="s">
        <v>449</v>
      </c>
      <c r="B1415" s="50">
        <v>44196.0</v>
      </c>
      <c r="C1415" s="49" t="s">
        <v>69</v>
      </c>
      <c r="D1415" s="49">
        <v>0.0</v>
      </c>
    </row>
    <row r="1416" ht="15.0" hidden="1" customHeight="1">
      <c r="A1416" s="49" t="s">
        <v>455</v>
      </c>
      <c r="B1416" s="50">
        <v>44196.0</v>
      </c>
      <c r="C1416" s="49" t="s">
        <v>69</v>
      </c>
      <c r="D1416" s="49">
        <v>0.0</v>
      </c>
    </row>
    <row r="1417" ht="15.0" hidden="1" customHeight="1">
      <c r="A1417" s="49" t="s">
        <v>470</v>
      </c>
      <c r="B1417" s="50">
        <v>44196.0</v>
      </c>
      <c r="C1417" s="49" t="s">
        <v>69</v>
      </c>
      <c r="D1417" s="49">
        <v>0.0</v>
      </c>
    </row>
    <row r="1418" ht="15.0" hidden="1" customHeight="1">
      <c r="A1418" s="49" t="s">
        <v>476</v>
      </c>
      <c r="B1418" s="50">
        <v>44196.0</v>
      </c>
      <c r="C1418" s="49" t="s">
        <v>69</v>
      </c>
      <c r="D1418" s="49">
        <v>0.0</v>
      </c>
    </row>
    <row r="1419" ht="15.0" hidden="1" customHeight="1">
      <c r="A1419" s="49" t="s">
        <v>481</v>
      </c>
      <c r="B1419" s="50">
        <v>44196.0</v>
      </c>
      <c r="C1419" s="49" t="s">
        <v>69</v>
      </c>
      <c r="D1419" s="49">
        <v>0.0</v>
      </c>
    </row>
    <row r="1420" ht="15.0" hidden="1" customHeight="1">
      <c r="A1420" s="49" t="s">
        <v>486</v>
      </c>
      <c r="B1420" s="50">
        <v>44196.0</v>
      </c>
      <c r="C1420" s="49" t="s">
        <v>69</v>
      </c>
      <c r="D1420" s="49">
        <v>0.0</v>
      </c>
    </row>
    <row r="1421" ht="15.0" hidden="1" customHeight="1">
      <c r="A1421" s="49" t="s">
        <v>491</v>
      </c>
      <c r="B1421" s="50">
        <v>44196.0</v>
      </c>
      <c r="C1421" s="49" t="s">
        <v>69</v>
      </c>
      <c r="D1421" s="49">
        <v>0.0</v>
      </c>
    </row>
    <row r="1422" ht="15.0" hidden="1" customHeight="1">
      <c r="A1422" s="49" t="s">
        <v>496</v>
      </c>
      <c r="B1422" s="50">
        <v>44196.0</v>
      </c>
      <c r="C1422" s="49" t="s">
        <v>69</v>
      </c>
      <c r="D1422" s="49">
        <v>0.0</v>
      </c>
    </row>
    <row r="1423" ht="15.0" hidden="1" customHeight="1">
      <c r="A1423" s="49" t="s">
        <v>501</v>
      </c>
      <c r="B1423" s="50">
        <v>44196.0</v>
      </c>
      <c r="C1423" s="49" t="s">
        <v>69</v>
      </c>
      <c r="D1423" s="49">
        <v>0.0</v>
      </c>
    </row>
    <row r="1424" ht="15.0" hidden="1" customHeight="1">
      <c r="A1424" s="49" t="s">
        <v>506</v>
      </c>
      <c r="B1424" s="50">
        <v>44196.0</v>
      </c>
      <c r="C1424" s="49" t="s">
        <v>69</v>
      </c>
      <c r="D1424" s="49">
        <v>0.0</v>
      </c>
    </row>
    <row r="1425" ht="15.0" hidden="1" customHeight="1">
      <c r="A1425" s="49" t="s">
        <v>512</v>
      </c>
      <c r="B1425" s="50">
        <v>44196.0</v>
      </c>
      <c r="C1425" s="49" t="s">
        <v>69</v>
      </c>
      <c r="D1425" s="49">
        <v>0.0</v>
      </c>
    </row>
    <row r="1426" ht="15.0" hidden="1" customHeight="1">
      <c r="A1426" s="49" t="s">
        <v>517</v>
      </c>
      <c r="B1426" s="50">
        <v>44196.0</v>
      </c>
      <c r="C1426" s="49" t="s">
        <v>69</v>
      </c>
      <c r="D1426" s="49">
        <v>0.0</v>
      </c>
    </row>
    <row r="1427" ht="15.0" hidden="1" customHeight="1">
      <c r="A1427" s="49" t="s">
        <v>522</v>
      </c>
      <c r="B1427" s="50">
        <v>44196.0</v>
      </c>
      <c r="C1427" s="49" t="s">
        <v>69</v>
      </c>
      <c r="D1427" s="49">
        <v>0.0</v>
      </c>
    </row>
    <row r="1428" ht="15.0" hidden="1" customHeight="1">
      <c r="A1428" s="49" t="s">
        <v>528</v>
      </c>
      <c r="B1428" s="50">
        <v>44196.0</v>
      </c>
      <c r="C1428" s="49" t="s">
        <v>69</v>
      </c>
      <c r="D1428" s="49">
        <v>0.0</v>
      </c>
    </row>
    <row r="1429" ht="15.0" hidden="1" customHeight="1">
      <c r="A1429" s="49" t="s">
        <v>533</v>
      </c>
      <c r="B1429" s="50">
        <v>44196.0</v>
      </c>
      <c r="C1429" s="49" t="s">
        <v>69</v>
      </c>
      <c r="D1429" s="49">
        <v>0.0</v>
      </c>
    </row>
    <row r="1430" ht="15.0" hidden="1" customHeight="1">
      <c r="A1430" s="49" t="s">
        <v>538</v>
      </c>
      <c r="B1430" s="50">
        <v>44196.0</v>
      </c>
      <c r="C1430" s="49" t="s">
        <v>69</v>
      </c>
      <c r="D1430" s="49">
        <v>0.0</v>
      </c>
    </row>
    <row r="1431" ht="15.0" hidden="1" customHeight="1">
      <c r="A1431" s="49" t="s">
        <v>546</v>
      </c>
      <c r="B1431" s="50">
        <v>44196.0</v>
      </c>
      <c r="C1431" s="49" t="s">
        <v>69</v>
      </c>
      <c r="D1431" s="49">
        <v>0.0</v>
      </c>
    </row>
    <row r="1432" ht="15.0" hidden="1" customHeight="1">
      <c r="A1432" s="49" t="s">
        <v>551</v>
      </c>
      <c r="B1432" s="50">
        <v>44196.0</v>
      </c>
      <c r="C1432" s="49" t="s">
        <v>69</v>
      </c>
      <c r="D1432" s="49">
        <v>0.0</v>
      </c>
    </row>
    <row r="1433" ht="15.0" hidden="1" customHeight="1">
      <c r="A1433" s="49" t="s">
        <v>556</v>
      </c>
      <c r="B1433" s="50">
        <v>44196.0</v>
      </c>
      <c r="C1433" s="49" t="s">
        <v>69</v>
      </c>
      <c r="D1433" s="49">
        <v>0.0</v>
      </c>
    </row>
    <row r="1434" ht="15.0" hidden="1" customHeight="1">
      <c r="A1434" s="49" t="s">
        <v>561</v>
      </c>
      <c r="B1434" s="50">
        <v>44196.0</v>
      </c>
      <c r="C1434" s="49" t="s">
        <v>69</v>
      </c>
      <c r="D1434" s="49">
        <v>0.0</v>
      </c>
    </row>
    <row r="1435" ht="15.0" hidden="1" customHeight="1">
      <c r="A1435" s="49" t="s">
        <v>566</v>
      </c>
      <c r="B1435" s="50">
        <v>44196.0</v>
      </c>
      <c r="C1435" s="49" t="s">
        <v>69</v>
      </c>
      <c r="D1435" s="49">
        <v>0.0</v>
      </c>
    </row>
    <row r="1436" ht="15.0" hidden="1" customHeight="1">
      <c r="A1436" s="49" t="s">
        <v>571</v>
      </c>
      <c r="B1436" s="50">
        <v>44196.0</v>
      </c>
      <c r="C1436" s="49" t="s">
        <v>69</v>
      </c>
      <c r="D1436" s="49">
        <v>0.0</v>
      </c>
    </row>
    <row r="1437" ht="15.0" hidden="1" customHeight="1">
      <c r="A1437" s="49" t="s">
        <v>576</v>
      </c>
      <c r="B1437" s="50">
        <v>44196.0</v>
      </c>
      <c r="C1437" s="49" t="s">
        <v>69</v>
      </c>
      <c r="D1437" s="49">
        <v>0.0</v>
      </c>
    </row>
    <row r="1438" ht="15.0" hidden="1" customHeight="1">
      <c r="A1438" s="49" t="s">
        <v>581</v>
      </c>
      <c r="B1438" s="50">
        <v>44196.0</v>
      </c>
      <c r="C1438" s="49" t="s">
        <v>69</v>
      </c>
      <c r="D1438" s="49">
        <v>0.0</v>
      </c>
    </row>
    <row r="1439" ht="15.0" hidden="1" customHeight="1">
      <c r="A1439" s="49" t="s">
        <v>586</v>
      </c>
      <c r="B1439" s="50">
        <v>44196.0</v>
      </c>
      <c r="C1439" s="49" t="s">
        <v>69</v>
      </c>
      <c r="D1439" s="49">
        <v>0.0</v>
      </c>
    </row>
    <row r="1440" ht="15.0" hidden="1" customHeight="1">
      <c r="A1440" s="49" t="s">
        <v>754</v>
      </c>
      <c r="B1440" s="50">
        <v>44196.0</v>
      </c>
      <c r="C1440" s="49" t="s">
        <v>69</v>
      </c>
      <c r="D1440" s="49">
        <v>0.0</v>
      </c>
    </row>
    <row r="1441" ht="15.0" hidden="1" customHeight="1">
      <c r="A1441" s="49" t="s">
        <v>591</v>
      </c>
      <c r="B1441" s="50">
        <v>44196.0</v>
      </c>
      <c r="C1441" s="49" t="s">
        <v>69</v>
      </c>
      <c r="D1441" s="49">
        <v>0.0</v>
      </c>
    </row>
    <row r="1442" ht="15.0" hidden="1" customHeight="1">
      <c r="A1442" s="49" t="s">
        <v>759</v>
      </c>
      <c r="B1442" s="50">
        <v>44196.0</v>
      </c>
      <c r="C1442" s="49" t="s">
        <v>69</v>
      </c>
      <c r="D1442" s="49">
        <v>0.0</v>
      </c>
    </row>
    <row r="1443" ht="15.0" hidden="1" customHeight="1">
      <c r="A1443" s="49" t="s">
        <v>596</v>
      </c>
      <c r="B1443" s="50">
        <v>44196.0</v>
      </c>
      <c r="C1443" s="49" t="s">
        <v>69</v>
      </c>
      <c r="D1443" s="49">
        <v>0.0</v>
      </c>
    </row>
    <row r="1444" ht="15.0" hidden="1" customHeight="1">
      <c r="A1444" s="49" t="s">
        <v>602</v>
      </c>
      <c r="B1444" s="50">
        <v>44196.0</v>
      </c>
      <c r="C1444" s="49" t="s">
        <v>69</v>
      </c>
      <c r="D1444" s="49">
        <v>0.0</v>
      </c>
    </row>
    <row r="1445" ht="15.0" hidden="1" customHeight="1">
      <c r="A1445" s="49" t="s">
        <v>607</v>
      </c>
      <c r="B1445" s="50">
        <v>44196.0</v>
      </c>
      <c r="C1445" s="49" t="s">
        <v>69</v>
      </c>
      <c r="D1445" s="49">
        <v>0.0</v>
      </c>
    </row>
    <row r="1446" ht="15.0" hidden="1" customHeight="1">
      <c r="A1446" s="49" t="s">
        <v>612</v>
      </c>
      <c r="B1446" s="50">
        <v>44196.0</v>
      </c>
      <c r="C1446" s="49" t="s">
        <v>69</v>
      </c>
      <c r="D1446" s="49">
        <v>0.0</v>
      </c>
    </row>
    <row r="1447" ht="15.0" hidden="1" customHeight="1">
      <c r="A1447" s="49" t="s">
        <v>617</v>
      </c>
      <c r="B1447" s="50">
        <v>44196.0</v>
      </c>
      <c r="C1447" s="49" t="s">
        <v>69</v>
      </c>
      <c r="D1447" s="49">
        <v>0.0</v>
      </c>
    </row>
    <row r="1448" ht="15.0" hidden="1" customHeight="1">
      <c r="A1448" s="49" t="s">
        <v>622</v>
      </c>
      <c r="B1448" s="50">
        <v>44196.0</v>
      </c>
      <c r="C1448" s="49" t="s">
        <v>69</v>
      </c>
      <c r="D1448" s="49">
        <v>0.0</v>
      </c>
    </row>
    <row r="1449" ht="15.0" hidden="1" customHeight="1">
      <c r="A1449" s="49" t="s">
        <v>627</v>
      </c>
      <c r="B1449" s="50">
        <v>44196.0</v>
      </c>
      <c r="C1449" s="49" t="s">
        <v>69</v>
      </c>
      <c r="D1449" s="49">
        <v>0.0</v>
      </c>
    </row>
    <row r="1450" ht="15.0" hidden="1" customHeight="1">
      <c r="A1450" s="49" t="s">
        <v>631</v>
      </c>
      <c r="B1450" s="50">
        <v>44196.0</v>
      </c>
      <c r="C1450" s="49" t="s">
        <v>69</v>
      </c>
      <c r="D1450" s="49">
        <v>0.0</v>
      </c>
    </row>
    <row r="1451" ht="15.0" hidden="1" customHeight="1">
      <c r="A1451" s="49" t="s">
        <v>636</v>
      </c>
      <c r="B1451" s="50">
        <v>44196.0</v>
      </c>
      <c r="C1451" s="49" t="s">
        <v>69</v>
      </c>
      <c r="D1451" s="49">
        <v>0.0</v>
      </c>
    </row>
    <row r="1452" ht="15.0" hidden="1" customHeight="1">
      <c r="A1452" s="49" t="s">
        <v>640</v>
      </c>
      <c r="B1452" s="50">
        <v>44196.0</v>
      </c>
      <c r="C1452" s="49" t="s">
        <v>69</v>
      </c>
      <c r="D1452" s="49">
        <v>0.0</v>
      </c>
    </row>
    <row r="1453" ht="15.0" hidden="1" customHeight="1">
      <c r="A1453" s="49" t="s">
        <v>644</v>
      </c>
      <c r="B1453" s="50">
        <v>44196.0</v>
      </c>
      <c r="C1453" s="49" t="s">
        <v>69</v>
      </c>
      <c r="D1453" s="49">
        <v>0.0</v>
      </c>
    </row>
    <row r="1454" ht="15.0" hidden="1" customHeight="1">
      <c r="A1454" s="49" t="s">
        <v>649</v>
      </c>
      <c r="B1454" s="50">
        <v>44196.0</v>
      </c>
      <c r="C1454" s="49" t="s">
        <v>69</v>
      </c>
      <c r="D1454" s="49">
        <v>0.0</v>
      </c>
    </row>
    <row r="1455" ht="15.0" hidden="1" customHeight="1">
      <c r="A1455" s="49" t="s">
        <v>654</v>
      </c>
      <c r="B1455" s="50">
        <v>44196.0</v>
      </c>
      <c r="C1455" s="49" t="s">
        <v>69</v>
      </c>
      <c r="D1455" s="49">
        <v>0.0</v>
      </c>
    </row>
    <row r="1456" ht="15.0" hidden="1" customHeight="1">
      <c r="A1456" s="49" t="s">
        <v>659</v>
      </c>
      <c r="B1456" s="50">
        <v>44196.0</v>
      </c>
      <c r="C1456" s="49" t="s">
        <v>69</v>
      </c>
      <c r="D1456" s="49">
        <v>0.0</v>
      </c>
    </row>
    <row r="1457" ht="15.0" hidden="1" customHeight="1">
      <c r="A1457" s="49" t="s">
        <v>664</v>
      </c>
      <c r="B1457" s="50">
        <v>44196.0</v>
      </c>
      <c r="C1457" s="49" t="s">
        <v>69</v>
      </c>
      <c r="D1457" s="49">
        <v>0.0</v>
      </c>
    </row>
    <row r="1458" ht="15.0" hidden="1" customHeight="1">
      <c r="A1458" s="49" t="s">
        <v>669</v>
      </c>
      <c r="B1458" s="50">
        <v>44196.0</v>
      </c>
      <c r="C1458" s="49" t="s">
        <v>69</v>
      </c>
      <c r="D1458" s="49">
        <v>0.0</v>
      </c>
    </row>
    <row r="1459" ht="15.0" hidden="1" customHeight="1">
      <c r="A1459" s="49" t="s">
        <v>674</v>
      </c>
      <c r="B1459" s="50">
        <v>44196.0</v>
      </c>
      <c r="C1459" s="49" t="s">
        <v>69</v>
      </c>
      <c r="D1459" s="49">
        <v>0.0</v>
      </c>
    </row>
    <row r="1460" ht="15.0" hidden="1" customHeight="1">
      <c r="A1460" s="49" t="s">
        <v>679</v>
      </c>
      <c r="B1460" s="50">
        <v>44196.0</v>
      </c>
      <c r="C1460" s="49" t="s">
        <v>69</v>
      </c>
      <c r="D1460" s="49">
        <v>0.0</v>
      </c>
    </row>
    <row r="1461" ht="15.0" hidden="1" customHeight="1">
      <c r="A1461" s="49" t="s">
        <v>684</v>
      </c>
      <c r="B1461" s="50">
        <v>44196.0</v>
      </c>
      <c r="C1461" s="49" t="s">
        <v>69</v>
      </c>
      <c r="D1461" s="49">
        <v>0.0</v>
      </c>
    </row>
    <row r="1462" ht="15.0" hidden="1" customHeight="1">
      <c r="A1462" s="49" t="s">
        <v>689</v>
      </c>
      <c r="B1462" s="50">
        <v>44196.0</v>
      </c>
      <c r="C1462" s="49" t="s">
        <v>69</v>
      </c>
      <c r="D1462" s="49">
        <v>0.0</v>
      </c>
    </row>
    <row r="1463" ht="15.0" hidden="1" customHeight="1">
      <c r="A1463" s="49" t="s">
        <v>694</v>
      </c>
      <c r="B1463" s="50">
        <v>44196.0</v>
      </c>
      <c r="C1463" s="49" t="s">
        <v>69</v>
      </c>
      <c r="D1463" s="49">
        <v>0.0</v>
      </c>
    </row>
    <row r="1464" ht="15.0" hidden="1" customHeight="1">
      <c r="A1464" s="49" t="s">
        <v>699</v>
      </c>
      <c r="B1464" s="50">
        <v>44196.0</v>
      </c>
      <c r="C1464" s="49" t="s">
        <v>69</v>
      </c>
      <c r="D1464" s="49">
        <v>0.0</v>
      </c>
    </row>
    <row r="1465" ht="15.0" hidden="1" customHeight="1">
      <c r="A1465" s="49" t="s">
        <v>705</v>
      </c>
      <c r="B1465" s="50">
        <v>44196.0</v>
      </c>
      <c r="C1465" s="49" t="s">
        <v>69</v>
      </c>
      <c r="D1465" s="49">
        <v>0.0</v>
      </c>
    </row>
    <row r="1466" ht="15.0" hidden="1" customHeight="1">
      <c r="A1466" s="49" t="s">
        <v>710</v>
      </c>
      <c r="B1466" s="50">
        <v>44196.0</v>
      </c>
      <c r="C1466" s="49" t="s">
        <v>69</v>
      </c>
      <c r="D1466" s="49">
        <v>0.0</v>
      </c>
    </row>
    <row r="1467" ht="15.0" hidden="1" customHeight="1">
      <c r="A1467" s="49" t="s">
        <v>715</v>
      </c>
      <c r="B1467" s="50">
        <v>44196.0</v>
      </c>
      <c r="C1467" s="49" t="s">
        <v>69</v>
      </c>
      <c r="D1467" s="49">
        <v>0.0</v>
      </c>
    </row>
    <row r="1468" ht="15.0" hidden="1" customHeight="1">
      <c r="A1468" s="49" t="s">
        <v>765</v>
      </c>
      <c r="B1468" s="50">
        <v>44196.0</v>
      </c>
      <c r="C1468" s="49" t="s">
        <v>69</v>
      </c>
      <c r="D1468" s="49">
        <v>0.0</v>
      </c>
    </row>
    <row r="1469" ht="15.0" hidden="1" customHeight="1">
      <c r="A1469" s="49" t="s">
        <v>720</v>
      </c>
      <c r="B1469" s="50">
        <v>44196.0</v>
      </c>
      <c r="C1469" s="49" t="s">
        <v>69</v>
      </c>
      <c r="D1469" s="49">
        <v>0.0</v>
      </c>
    </row>
    <row r="1470" ht="15.0" hidden="1" customHeight="1">
      <c r="A1470" s="49" t="s">
        <v>725</v>
      </c>
      <c r="B1470" s="50">
        <v>44196.0</v>
      </c>
      <c r="C1470" s="49" t="s">
        <v>69</v>
      </c>
      <c r="D1470" s="49">
        <v>0.0</v>
      </c>
    </row>
    <row r="1471" ht="15.0" hidden="1" customHeight="1">
      <c r="A1471" s="49" t="s">
        <v>730</v>
      </c>
      <c r="B1471" s="50">
        <v>44196.0</v>
      </c>
      <c r="C1471" s="49" t="s">
        <v>69</v>
      </c>
      <c r="D1471" s="49">
        <v>0.0</v>
      </c>
    </row>
    <row r="1472" ht="15.0" hidden="1" customHeight="1">
      <c r="A1472" s="49" t="s">
        <v>734</v>
      </c>
      <c r="B1472" s="50">
        <v>44196.0</v>
      </c>
      <c r="C1472" s="49" t="s">
        <v>69</v>
      </c>
      <c r="D1472" s="49">
        <v>0.0</v>
      </c>
    </row>
    <row r="1473" ht="15.0" hidden="1" customHeight="1">
      <c r="A1473" s="49" t="s">
        <v>739</v>
      </c>
      <c r="B1473" s="50">
        <v>44196.0</v>
      </c>
      <c r="C1473" s="49" t="s">
        <v>69</v>
      </c>
      <c r="D1473" s="49">
        <v>0.0</v>
      </c>
    </row>
    <row r="1474" ht="15.0" hidden="1" customHeight="1">
      <c r="A1474" s="49" t="s">
        <v>744</v>
      </c>
      <c r="B1474" s="50">
        <v>44196.0</v>
      </c>
      <c r="C1474" s="49" t="s">
        <v>69</v>
      </c>
      <c r="D1474" s="49">
        <v>0.0</v>
      </c>
    </row>
    <row r="1475" ht="15.0" hidden="1" customHeight="1">
      <c r="A1475" s="49" t="s">
        <v>749</v>
      </c>
      <c r="B1475" s="50">
        <v>44196.0</v>
      </c>
      <c r="C1475" s="49" t="s">
        <v>69</v>
      </c>
      <c r="D1475" s="49">
        <v>0.0</v>
      </c>
    </row>
    <row r="1476" ht="15.0" customHeight="1">
      <c r="A1476" s="49" t="s">
        <v>776</v>
      </c>
      <c r="B1476" s="50">
        <v>44196.0</v>
      </c>
      <c r="C1476" s="49" t="s">
        <v>780</v>
      </c>
      <c r="D1476" s="49">
        <v>-5500000.0</v>
      </c>
    </row>
    <row r="1477" ht="15.0" hidden="1" customHeight="1">
      <c r="A1477" s="49" t="s">
        <v>778</v>
      </c>
      <c r="B1477" s="50">
        <v>44196.0</v>
      </c>
      <c r="C1477" s="49" t="s">
        <v>780</v>
      </c>
      <c r="D1477" s="49">
        <v>-200000.0</v>
      </c>
    </row>
    <row r="1478" ht="15.0" hidden="1" customHeight="1">
      <c r="A1478" s="49" t="s">
        <v>92</v>
      </c>
      <c r="B1478" s="50">
        <v>44196.0</v>
      </c>
      <c r="C1478" s="49" t="s">
        <v>780</v>
      </c>
      <c r="D1478" s="49">
        <v>-900000.0</v>
      </c>
    </row>
    <row r="1479" ht="15.0" hidden="1" customHeight="1">
      <c r="A1479" s="49" t="s">
        <v>97</v>
      </c>
      <c r="B1479" s="50">
        <v>44196.0</v>
      </c>
      <c r="C1479" s="49" t="s">
        <v>780</v>
      </c>
      <c r="D1479" s="49">
        <v>1100000.0</v>
      </c>
    </row>
    <row r="1480" ht="15.0" hidden="1" customHeight="1">
      <c r="A1480" s="49" t="s">
        <v>102</v>
      </c>
      <c r="B1480" s="50">
        <v>44196.0</v>
      </c>
      <c r="C1480" s="49" t="s">
        <v>780</v>
      </c>
      <c r="D1480" s="49">
        <v>-750000.0</v>
      </c>
    </row>
    <row r="1481" ht="15.0" hidden="1" customHeight="1">
      <c r="A1481" s="49" t="s">
        <v>106</v>
      </c>
      <c r="B1481" s="50">
        <v>44196.0</v>
      </c>
      <c r="C1481" s="49" t="s">
        <v>780</v>
      </c>
      <c r="D1481" s="49">
        <v>0.0</v>
      </c>
    </row>
    <row r="1482" ht="15.0" hidden="1" customHeight="1">
      <c r="A1482" s="49" t="s">
        <v>111</v>
      </c>
      <c r="B1482" s="50">
        <v>44196.0</v>
      </c>
      <c r="C1482" s="49" t="s">
        <v>780</v>
      </c>
      <c r="D1482" s="49">
        <v>0.0</v>
      </c>
    </row>
    <row r="1483" ht="15.0" hidden="1" customHeight="1">
      <c r="A1483" s="49" t="s">
        <v>116</v>
      </c>
      <c r="B1483" s="50">
        <v>44196.0</v>
      </c>
      <c r="C1483" s="49" t="s">
        <v>780</v>
      </c>
      <c r="D1483" s="49">
        <v>0.0</v>
      </c>
    </row>
    <row r="1484" ht="15.0" hidden="1" customHeight="1">
      <c r="A1484" s="49" t="s">
        <v>120</v>
      </c>
      <c r="B1484" s="50">
        <v>44196.0</v>
      </c>
      <c r="C1484" s="49" t="s">
        <v>780</v>
      </c>
      <c r="D1484" s="49">
        <v>-350000.0</v>
      </c>
    </row>
    <row r="1485" ht="15.0" hidden="1" customHeight="1">
      <c r="A1485" s="49" t="s">
        <v>125</v>
      </c>
      <c r="B1485" s="50">
        <v>44196.0</v>
      </c>
      <c r="C1485" s="49" t="s">
        <v>780</v>
      </c>
      <c r="D1485" s="49">
        <v>-120000.0</v>
      </c>
    </row>
    <row r="1486" ht="15.0" hidden="1" customHeight="1">
      <c r="A1486" s="49" t="s">
        <v>130</v>
      </c>
      <c r="B1486" s="50">
        <v>44196.0</v>
      </c>
      <c r="C1486" s="49" t="s">
        <v>780</v>
      </c>
      <c r="D1486" s="49">
        <v>0.0</v>
      </c>
    </row>
    <row r="1487" ht="15.0" hidden="1" customHeight="1">
      <c r="A1487" s="49" t="s">
        <v>137</v>
      </c>
      <c r="B1487" s="50">
        <v>44196.0</v>
      </c>
      <c r="C1487" s="49" t="s">
        <v>780</v>
      </c>
      <c r="D1487" s="49">
        <v>368522.0</v>
      </c>
    </row>
    <row r="1488" ht="15.0" hidden="1" customHeight="1">
      <c r="A1488" s="49" t="s">
        <v>142</v>
      </c>
      <c r="B1488" s="50">
        <v>44196.0</v>
      </c>
      <c r="C1488" s="49" t="s">
        <v>780</v>
      </c>
      <c r="D1488" s="49">
        <v>0.0</v>
      </c>
    </row>
    <row r="1489" ht="15.0" hidden="1" customHeight="1">
      <c r="A1489" s="49" t="s">
        <v>147</v>
      </c>
      <c r="B1489" s="50">
        <v>44196.0</v>
      </c>
      <c r="C1489" s="49" t="s">
        <v>780</v>
      </c>
      <c r="D1489" s="49">
        <v>506000.0</v>
      </c>
    </row>
    <row r="1490" ht="15.0" hidden="1" customHeight="1">
      <c r="A1490" s="49" t="s">
        <v>152</v>
      </c>
      <c r="B1490" s="50">
        <v>44196.0</v>
      </c>
      <c r="C1490" s="49" t="s">
        <v>780</v>
      </c>
      <c r="D1490" s="49">
        <v>217425.0</v>
      </c>
    </row>
    <row r="1491" ht="15.0" hidden="1" customHeight="1">
      <c r="A1491" s="49" t="s">
        <v>157</v>
      </c>
      <c r="B1491" s="50">
        <v>44196.0</v>
      </c>
      <c r="C1491" s="49" t="s">
        <v>780</v>
      </c>
      <c r="D1491" s="49">
        <v>0.0</v>
      </c>
    </row>
    <row r="1492" ht="15.0" hidden="1" customHeight="1">
      <c r="A1492" s="49" t="s">
        <v>162</v>
      </c>
      <c r="B1492" s="50">
        <v>44196.0</v>
      </c>
      <c r="C1492" s="49" t="s">
        <v>780</v>
      </c>
      <c r="D1492" s="49">
        <v>5314000.0</v>
      </c>
    </row>
    <row r="1493" ht="15.0" hidden="1" customHeight="1">
      <c r="A1493" s="49" t="s">
        <v>167</v>
      </c>
      <c r="B1493" s="50">
        <v>44196.0</v>
      </c>
      <c r="C1493" s="49" t="s">
        <v>780</v>
      </c>
      <c r="D1493" s="49">
        <v>1750000.0</v>
      </c>
    </row>
    <row r="1494" ht="15.0" hidden="1" customHeight="1">
      <c r="A1494" s="49" t="s">
        <v>172</v>
      </c>
      <c r="B1494" s="50">
        <v>44196.0</v>
      </c>
      <c r="C1494" s="49" t="s">
        <v>780</v>
      </c>
      <c r="D1494" s="49">
        <v>596160.0</v>
      </c>
    </row>
    <row r="1495" ht="15.0" hidden="1" customHeight="1">
      <c r="A1495" s="49" t="s">
        <v>177</v>
      </c>
      <c r="B1495" s="50">
        <v>44196.0</v>
      </c>
      <c r="C1495" s="49" t="s">
        <v>780</v>
      </c>
      <c r="D1495" s="49">
        <v>0.0</v>
      </c>
    </row>
    <row r="1496" ht="15.0" hidden="1" customHeight="1">
      <c r="A1496" s="49" t="s">
        <v>182</v>
      </c>
      <c r="B1496" s="50">
        <v>44196.0</v>
      </c>
      <c r="C1496" s="49" t="s">
        <v>780</v>
      </c>
      <c r="D1496" s="49">
        <v>0.0</v>
      </c>
    </row>
    <row r="1497" ht="15.0" hidden="1" customHeight="1">
      <c r="A1497" s="49" t="s">
        <v>187</v>
      </c>
      <c r="B1497" s="50">
        <v>44196.0</v>
      </c>
      <c r="C1497" s="49" t="s">
        <v>780</v>
      </c>
      <c r="D1497" s="49">
        <v>0.0</v>
      </c>
    </row>
    <row r="1498" ht="15.0" hidden="1" customHeight="1">
      <c r="A1498" s="49" t="s">
        <v>192</v>
      </c>
      <c r="B1498" s="50">
        <v>44196.0</v>
      </c>
      <c r="C1498" s="49" t="s">
        <v>780</v>
      </c>
      <c r="D1498" s="49">
        <v>0.0</v>
      </c>
    </row>
    <row r="1499" ht="15.0" hidden="1" customHeight="1">
      <c r="A1499" s="49" t="s">
        <v>197</v>
      </c>
      <c r="B1499" s="50">
        <v>44196.0</v>
      </c>
      <c r="C1499" s="49" t="s">
        <v>780</v>
      </c>
      <c r="D1499" s="49">
        <v>0.0</v>
      </c>
    </row>
    <row r="1500" ht="15.0" hidden="1" customHeight="1">
      <c r="A1500" s="49" t="s">
        <v>202</v>
      </c>
      <c r="B1500" s="50">
        <v>44196.0</v>
      </c>
      <c r="C1500" s="49" t="s">
        <v>780</v>
      </c>
      <c r="D1500" s="49">
        <v>0.0</v>
      </c>
    </row>
    <row r="1501" ht="15.0" hidden="1" customHeight="1">
      <c r="A1501" s="49" t="s">
        <v>206</v>
      </c>
      <c r="B1501" s="50">
        <v>44196.0</v>
      </c>
      <c r="C1501" s="49" t="s">
        <v>780</v>
      </c>
      <c r="D1501" s="49">
        <v>0.0</v>
      </c>
    </row>
    <row r="1502" ht="15.0" hidden="1" customHeight="1">
      <c r="A1502" s="49" t="s">
        <v>211</v>
      </c>
      <c r="B1502" s="50">
        <v>44196.0</v>
      </c>
      <c r="C1502" s="49" t="s">
        <v>780</v>
      </c>
      <c r="D1502" s="49">
        <v>0.0</v>
      </c>
    </row>
    <row r="1503" ht="15.0" hidden="1" customHeight="1">
      <c r="A1503" s="49" t="s">
        <v>779</v>
      </c>
      <c r="B1503" s="50">
        <v>44196.0</v>
      </c>
      <c r="C1503" s="49" t="s">
        <v>780</v>
      </c>
      <c r="D1503" s="49">
        <v>100000.0</v>
      </c>
    </row>
    <row r="1504" ht="15.0" hidden="1" customHeight="1">
      <c r="A1504" s="49" t="s">
        <v>221</v>
      </c>
      <c r="B1504" s="50">
        <v>44196.0</v>
      </c>
      <c r="C1504" s="49" t="s">
        <v>780</v>
      </c>
      <c r="D1504" s="49">
        <v>0.0</v>
      </c>
    </row>
    <row r="1505" ht="15.0" hidden="1" customHeight="1">
      <c r="A1505" s="49" t="s">
        <v>226</v>
      </c>
      <c r="B1505" s="50">
        <v>44196.0</v>
      </c>
      <c r="C1505" s="49" t="s">
        <v>780</v>
      </c>
      <c r="D1505" s="49">
        <v>0.0</v>
      </c>
    </row>
    <row r="1506" ht="15.0" hidden="1" customHeight="1">
      <c r="A1506" s="49" t="s">
        <v>231</v>
      </c>
      <c r="B1506" s="50">
        <v>44196.0</v>
      </c>
      <c r="C1506" s="49" t="s">
        <v>780</v>
      </c>
      <c r="D1506" s="49">
        <v>0.0</v>
      </c>
    </row>
    <row r="1507" ht="15.0" hidden="1" customHeight="1">
      <c r="A1507" s="49" t="s">
        <v>236</v>
      </c>
      <c r="B1507" s="50">
        <v>44196.0</v>
      </c>
      <c r="C1507" s="49" t="s">
        <v>780</v>
      </c>
      <c r="D1507" s="49">
        <v>0.0</v>
      </c>
    </row>
    <row r="1508" ht="15.0" hidden="1" customHeight="1">
      <c r="A1508" s="49" t="s">
        <v>242</v>
      </c>
      <c r="B1508" s="50">
        <v>44196.0</v>
      </c>
      <c r="C1508" s="49" t="s">
        <v>780</v>
      </c>
      <c r="D1508" s="49">
        <v>0.0</v>
      </c>
    </row>
    <row r="1509" ht="15.0" hidden="1" customHeight="1">
      <c r="A1509" s="49" t="s">
        <v>248</v>
      </c>
      <c r="B1509" s="50">
        <v>44196.0</v>
      </c>
      <c r="C1509" s="49" t="s">
        <v>780</v>
      </c>
      <c r="D1509" s="49">
        <v>0.0</v>
      </c>
    </row>
    <row r="1510" ht="15.0" hidden="1" customHeight="1">
      <c r="A1510" s="49" t="s">
        <v>253</v>
      </c>
      <c r="B1510" s="50">
        <v>44196.0</v>
      </c>
      <c r="C1510" s="49" t="s">
        <v>780</v>
      </c>
      <c r="D1510" s="49">
        <v>0.0</v>
      </c>
    </row>
    <row r="1511" ht="15.0" hidden="1" customHeight="1">
      <c r="A1511" s="49" t="s">
        <v>258</v>
      </c>
      <c r="B1511" s="50">
        <v>44196.0</v>
      </c>
      <c r="C1511" s="49" t="s">
        <v>780</v>
      </c>
      <c r="D1511" s="49">
        <v>0.0</v>
      </c>
    </row>
    <row r="1512" ht="15.0" hidden="1" customHeight="1">
      <c r="A1512" s="49" t="s">
        <v>263</v>
      </c>
      <c r="B1512" s="50">
        <v>44196.0</v>
      </c>
      <c r="C1512" s="49" t="s">
        <v>780</v>
      </c>
      <c r="D1512" s="49">
        <v>0.0</v>
      </c>
    </row>
    <row r="1513" ht="15.0" hidden="1" customHeight="1">
      <c r="A1513" s="49" t="s">
        <v>268</v>
      </c>
      <c r="B1513" s="50">
        <v>44196.0</v>
      </c>
      <c r="C1513" s="49" t="s">
        <v>780</v>
      </c>
      <c r="D1513" s="49">
        <v>0.0</v>
      </c>
    </row>
    <row r="1514" ht="15.0" hidden="1" customHeight="1">
      <c r="A1514" s="49" t="s">
        <v>273</v>
      </c>
      <c r="B1514" s="50">
        <v>44196.0</v>
      </c>
      <c r="C1514" s="49" t="s">
        <v>780</v>
      </c>
      <c r="D1514" s="49">
        <v>0.0</v>
      </c>
    </row>
    <row r="1515" ht="15.0" hidden="1" customHeight="1">
      <c r="A1515" s="49" t="s">
        <v>278</v>
      </c>
      <c r="B1515" s="50">
        <v>44196.0</v>
      </c>
      <c r="C1515" s="49" t="s">
        <v>780</v>
      </c>
      <c r="D1515" s="49">
        <v>0.0</v>
      </c>
    </row>
    <row r="1516" ht="15.0" hidden="1" customHeight="1">
      <c r="A1516" s="49" t="s">
        <v>283</v>
      </c>
      <c r="B1516" s="50">
        <v>44196.0</v>
      </c>
      <c r="C1516" s="49" t="s">
        <v>780</v>
      </c>
      <c r="D1516" s="49">
        <v>0.0</v>
      </c>
    </row>
    <row r="1517" ht="15.0" hidden="1" customHeight="1">
      <c r="A1517" s="49" t="s">
        <v>288</v>
      </c>
      <c r="B1517" s="50">
        <v>44196.0</v>
      </c>
      <c r="C1517" s="49" t="s">
        <v>780</v>
      </c>
      <c r="D1517" s="49">
        <v>0.0</v>
      </c>
    </row>
    <row r="1518" ht="15.0" hidden="1" customHeight="1">
      <c r="A1518" s="49" t="s">
        <v>293</v>
      </c>
      <c r="B1518" s="50">
        <v>44196.0</v>
      </c>
      <c r="C1518" s="49" t="s">
        <v>780</v>
      </c>
      <c r="D1518" s="49">
        <v>0.0</v>
      </c>
    </row>
    <row r="1519" ht="15.0" hidden="1" customHeight="1">
      <c r="A1519" s="49" t="s">
        <v>298</v>
      </c>
      <c r="B1519" s="50">
        <v>44196.0</v>
      </c>
      <c r="C1519" s="49" t="s">
        <v>780</v>
      </c>
      <c r="D1519" s="49">
        <v>0.0</v>
      </c>
    </row>
    <row r="1520" ht="15.0" hidden="1" customHeight="1">
      <c r="A1520" s="49" t="s">
        <v>303</v>
      </c>
      <c r="B1520" s="50">
        <v>44196.0</v>
      </c>
      <c r="C1520" s="49" t="s">
        <v>780</v>
      </c>
      <c r="D1520" s="49">
        <v>0.0</v>
      </c>
    </row>
    <row r="1521" ht="15.0" hidden="1" customHeight="1">
      <c r="A1521" s="49" t="s">
        <v>307</v>
      </c>
      <c r="B1521" s="50">
        <v>44196.0</v>
      </c>
      <c r="C1521" s="49" t="s">
        <v>780</v>
      </c>
      <c r="D1521" s="49">
        <v>0.0</v>
      </c>
    </row>
    <row r="1522" ht="15.0" hidden="1" customHeight="1">
      <c r="A1522" s="49" t="s">
        <v>313</v>
      </c>
      <c r="B1522" s="50">
        <v>44196.0</v>
      </c>
      <c r="C1522" s="49" t="s">
        <v>780</v>
      </c>
      <c r="D1522" s="49">
        <v>0.0</v>
      </c>
    </row>
    <row r="1523" ht="15.0" hidden="1" customHeight="1">
      <c r="A1523" s="49" t="s">
        <v>318</v>
      </c>
      <c r="B1523" s="50">
        <v>44196.0</v>
      </c>
      <c r="C1523" s="49" t="s">
        <v>780</v>
      </c>
      <c r="D1523" s="49">
        <v>0.0</v>
      </c>
    </row>
    <row r="1524" ht="15.0" hidden="1" customHeight="1">
      <c r="A1524" s="49" t="s">
        <v>323</v>
      </c>
      <c r="B1524" s="50">
        <v>44196.0</v>
      </c>
      <c r="C1524" s="49" t="s">
        <v>780</v>
      </c>
      <c r="D1524" s="49">
        <v>0.0</v>
      </c>
    </row>
    <row r="1525" ht="15.0" hidden="1" customHeight="1">
      <c r="A1525" s="49" t="s">
        <v>328</v>
      </c>
      <c r="B1525" s="50">
        <v>44196.0</v>
      </c>
      <c r="C1525" s="49" t="s">
        <v>780</v>
      </c>
      <c r="D1525" s="49">
        <v>0.0</v>
      </c>
    </row>
    <row r="1526" ht="15.0" hidden="1" customHeight="1">
      <c r="A1526" s="49" t="s">
        <v>335</v>
      </c>
      <c r="B1526" s="50">
        <v>44196.0</v>
      </c>
      <c r="C1526" s="49" t="s">
        <v>780</v>
      </c>
      <c r="D1526" s="49">
        <v>0.0</v>
      </c>
    </row>
    <row r="1527" ht="15.0" hidden="1" customHeight="1">
      <c r="A1527" s="49" t="s">
        <v>340</v>
      </c>
      <c r="B1527" s="50">
        <v>44196.0</v>
      </c>
      <c r="C1527" s="49" t="s">
        <v>780</v>
      </c>
      <c r="D1527" s="49">
        <v>0.0</v>
      </c>
    </row>
    <row r="1528" ht="15.0" hidden="1" customHeight="1">
      <c r="A1528" s="49" t="s">
        <v>345</v>
      </c>
      <c r="B1528" s="50">
        <v>44196.0</v>
      </c>
      <c r="C1528" s="49" t="s">
        <v>780</v>
      </c>
      <c r="D1528" s="49">
        <v>0.0</v>
      </c>
    </row>
    <row r="1529" ht="15.0" hidden="1" customHeight="1">
      <c r="A1529" s="49" t="s">
        <v>350</v>
      </c>
      <c r="B1529" s="50">
        <v>44196.0</v>
      </c>
      <c r="C1529" s="49" t="s">
        <v>780</v>
      </c>
      <c r="D1529" s="49">
        <v>0.0</v>
      </c>
    </row>
    <row r="1530" ht="15.0" hidden="1" customHeight="1">
      <c r="A1530" s="49" t="s">
        <v>355</v>
      </c>
      <c r="B1530" s="50">
        <v>44196.0</v>
      </c>
      <c r="C1530" s="49" t="s">
        <v>780</v>
      </c>
      <c r="D1530" s="49">
        <v>0.0</v>
      </c>
    </row>
    <row r="1531" ht="15.0" hidden="1" customHeight="1">
      <c r="A1531" s="49" t="s">
        <v>360</v>
      </c>
      <c r="B1531" s="50">
        <v>44196.0</v>
      </c>
      <c r="C1531" s="49" t="s">
        <v>780</v>
      </c>
      <c r="D1531" s="49">
        <v>0.0</v>
      </c>
    </row>
    <row r="1532" ht="15.0" hidden="1" customHeight="1">
      <c r="A1532" s="49" t="s">
        <v>365</v>
      </c>
      <c r="B1532" s="50">
        <v>44196.0</v>
      </c>
      <c r="C1532" s="49" t="s">
        <v>780</v>
      </c>
      <c r="D1532" s="49">
        <v>0.0</v>
      </c>
    </row>
    <row r="1533" ht="15.0" hidden="1" customHeight="1">
      <c r="A1533" s="49" t="s">
        <v>370</v>
      </c>
      <c r="B1533" s="50">
        <v>44196.0</v>
      </c>
      <c r="C1533" s="49" t="s">
        <v>780</v>
      </c>
      <c r="D1533" s="49">
        <v>0.0</v>
      </c>
    </row>
    <row r="1534" ht="15.0" hidden="1" customHeight="1">
      <c r="A1534" s="49" t="s">
        <v>375</v>
      </c>
      <c r="B1534" s="50">
        <v>44196.0</v>
      </c>
      <c r="C1534" s="49" t="s">
        <v>780</v>
      </c>
      <c r="D1534" s="49">
        <v>0.0</v>
      </c>
    </row>
    <row r="1535" ht="15.0" hidden="1" customHeight="1">
      <c r="A1535" s="49" t="s">
        <v>380</v>
      </c>
      <c r="B1535" s="50">
        <v>44196.0</v>
      </c>
      <c r="C1535" s="49" t="s">
        <v>780</v>
      </c>
      <c r="D1535" s="49">
        <v>0.0</v>
      </c>
    </row>
    <row r="1536" ht="15.0" hidden="1" customHeight="1">
      <c r="A1536" s="49" t="s">
        <v>385</v>
      </c>
      <c r="B1536" s="50">
        <v>44196.0</v>
      </c>
      <c r="C1536" s="49" t="s">
        <v>780</v>
      </c>
      <c r="D1536" s="49">
        <v>0.0</v>
      </c>
    </row>
    <row r="1537" ht="15.0" hidden="1" customHeight="1">
      <c r="A1537" s="49" t="s">
        <v>390</v>
      </c>
      <c r="B1537" s="50">
        <v>44196.0</v>
      </c>
      <c r="C1537" s="49" t="s">
        <v>780</v>
      </c>
      <c r="D1537" s="49">
        <v>0.0</v>
      </c>
    </row>
    <row r="1538" ht="15.0" hidden="1" customHeight="1">
      <c r="A1538" s="49" t="s">
        <v>395</v>
      </c>
      <c r="B1538" s="50">
        <v>44196.0</v>
      </c>
      <c r="C1538" s="49" t="s">
        <v>780</v>
      </c>
      <c r="D1538" s="49">
        <v>0.0</v>
      </c>
    </row>
    <row r="1539" ht="15.0" hidden="1" customHeight="1">
      <c r="A1539" s="49" t="s">
        <v>400</v>
      </c>
      <c r="B1539" s="50">
        <v>44196.0</v>
      </c>
      <c r="C1539" s="49" t="s">
        <v>780</v>
      </c>
      <c r="D1539" s="49">
        <v>0.0</v>
      </c>
    </row>
    <row r="1540" ht="15.0" hidden="1" customHeight="1">
      <c r="A1540" s="49" t="s">
        <v>405</v>
      </c>
      <c r="B1540" s="50">
        <v>44196.0</v>
      </c>
      <c r="C1540" s="49" t="s">
        <v>780</v>
      </c>
      <c r="D1540" s="49">
        <v>0.0</v>
      </c>
    </row>
    <row r="1541" ht="15.0" hidden="1" customHeight="1">
      <c r="A1541" s="49" t="s">
        <v>410</v>
      </c>
      <c r="B1541" s="50">
        <v>44196.0</v>
      </c>
      <c r="C1541" s="49" t="s">
        <v>780</v>
      </c>
      <c r="D1541" s="49">
        <v>0.0</v>
      </c>
    </row>
    <row r="1542" ht="15.0" hidden="1" customHeight="1">
      <c r="A1542" s="49" t="s">
        <v>415</v>
      </c>
      <c r="B1542" s="50">
        <v>44196.0</v>
      </c>
      <c r="C1542" s="49" t="s">
        <v>780</v>
      </c>
      <c r="D1542" s="49">
        <v>0.0</v>
      </c>
    </row>
    <row r="1543" ht="15.0" hidden="1" customHeight="1">
      <c r="A1543" s="49" t="s">
        <v>420</v>
      </c>
      <c r="B1543" s="50">
        <v>44196.0</v>
      </c>
      <c r="C1543" s="49" t="s">
        <v>780</v>
      </c>
      <c r="D1543" s="49">
        <v>0.0</v>
      </c>
    </row>
    <row r="1544" ht="15.0" hidden="1" customHeight="1">
      <c r="A1544" s="49" t="s">
        <v>425</v>
      </c>
      <c r="B1544" s="50">
        <v>44196.0</v>
      </c>
      <c r="C1544" s="49" t="s">
        <v>780</v>
      </c>
      <c r="D1544" s="49">
        <v>0.0</v>
      </c>
    </row>
    <row r="1545" ht="15.0" hidden="1" customHeight="1">
      <c r="A1545" s="49" t="s">
        <v>430</v>
      </c>
      <c r="B1545" s="50">
        <v>44196.0</v>
      </c>
      <c r="C1545" s="49" t="s">
        <v>780</v>
      </c>
      <c r="D1545" s="49">
        <v>0.0</v>
      </c>
    </row>
    <row r="1546" ht="15.0" hidden="1" customHeight="1">
      <c r="A1546" s="49" t="s">
        <v>434</v>
      </c>
      <c r="B1546" s="50">
        <v>44196.0</v>
      </c>
      <c r="C1546" s="49" t="s">
        <v>780</v>
      </c>
      <c r="D1546" s="49">
        <v>0.0</v>
      </c>
    </row>
    <row r="1547" ht="15.0" hidden="1" customHeight="1">
      <c r="A1547" s="49" t="s">
        <v>439</v>
      </c>
      <c r="B1547" s="50">
        <v>44196.0</v>
      </c>
      <c r="C1547" s="49" t="s">
        <v>780</v>
      </c>
      <c r="D1547" s="49">
        <v>0.0</v>
      </c>
    </row>
    <row r="1548" ht="15.0" hidden="1" customHeight="1">
      <c r="A1548" s="49" t="s">
        <v>444</v>
      </c>
      <c r="B1548" s="50">
        <v>44196.0</v>
      </c>
      <c r="C1548" s="49" t="s">
        <v>780</v>
      </c>
      <c r="D1548" s="49">
        <v>0.0</v>
      </c>
    </row>
    <row r="1549" ht="15.0" hidden="1" customHeight="1">
      <c r="A1549" s="49" t="s">
        <v>449</v>
      </c>
      <c r="B1549" s="50">
        <v>44196.0</v>
      </c>
      <c r="C1549" s="49" t="s">
        <v>780</v>
      </c>
      <c r="D1549" s="49">
        <v>0.0</v>
      </c>
    </row>
    <row r="1550" ht="15.0" hidden="1" customHeight="1">
      <c r="A1550" s="49" t="s">
        <v>455</v>
      </c>
      <c r="B1550" s="50">
        <v>44196.0</v>
      </c>
      <c r="C1550" s="49" t="s">
        <v>780</v>
      </c>
      <c r="D1550" s="49">
        <v>0.0</v>
      </c>
    </row>
    <row r="1551" ht="15.0" hidden="1" customHeight="1">
      <c r="A1551" s="49" t="s">
        <v>470</v>
      </c>
      <c r="B1551" s="50">
        <v>44196.0</v>
      </c>
      <c r="C1551" s="49" t="s">
        <v>780</v>
      </c>
      <c r="D1551" s="49">
        <v>0.0</v>
      </c>
    </row>
    <row r="1552" ht="15.0" hidden="1" customHeight="1">
      <c r="A1552" s="49" t="s">
        <v>476</v>
      </c>
      <c r="B1552" s="50">
        <v>44196.0</v>
      </c>
      <c r="C1552" s="49" t="s">
        <v>780</v>
      </c>
      <c r="D1552" s="49">
        <v>0.0</v>
      </c>
    </row>
    <row r="1553" ht="15.0" hidden="1" customHeight="1">
      <c r="A1553" s="49" t="s">
        <v>481</v>
      </c>
      <c r="B1553" s="50">
        <v>44196.0</v>
      </c>
      <c r="C1553" s="49" t="s">
        <v>780</v>
      </c>
      <c r="D1553" s="49">
        <v>0.0</v>
      </c>
    </row>
    <row r="1554" ht="15.0" hidden="1" customHeight="1">
      <c r="A1554" s="49" t="s">
        <v>486</v>
      </c>
      <c r="B1554" s="50">
        <v>44196.0</v>
      </c>
      <c r="C1554" s="49" t="s">
        <v>780</v>
      </c>
      <c r="D1554" s="49">
        <v>0.0</v>
      </c>
    </row>
    <row r="1555" ht="15.0" hidden="1" customHeight="1">
      <c r="A1555" s="49" t="s">
        <v>491</v>
      </c>
      <c r="B1555" s="50">
        <v>44196.0</v>
      </c>
      <c r="C1555" s="49" t="s">
        <v>780</v>
      </c>
      <c r="D1555" s="49">
        <v>0.0</v>
      </c>
    </row>
    <row r="1556" ht="15.0" hidden="1" customHeight="1">
      <c r="A1556" s="49" t="s">
        <v>496</v>
      </c>
      <c r="B1556" s="50">
        <v>44196.0</v>
      </c>
      <c r="C1556" s="49" t="s">
        <v>780</v>
      </c>
      <c r="D1556" s="49">
        <v>0.0</v>
      </c>
    </row>
    <row r="1557" ht="15.0" hidden="1" customHeight="1">
      <c r="A1557" s="49" t="s">
        <v>501</v>
      </c>
      <c r="B1557" s="50">
        <v>44196.0</v>
      </c>
      <c r="C1557" s="49" t="s">
        <v>780</v>
      </c>
      <c r="D1557" s="49">
        <v>0.0</v>
      </c>
    </row>
    <row r="1558" ht="15.0" hidden="1" customHeight="1">
      <c r="A1558" s="49" t="s">
        <v>506</v>
      </c>
      <c r="B1558" s="50">
        <v>44196.0</v>
      </c>
      <c r="C1558" s="49" t="s">
        <v>780</v>
      </c>
      <c r="D1558" s="49">
        <v>0.0</v>
      </c>
    </row>
    <row r="1559" ht="15.0" hidden="1" customHeight="1">
      <c r="A1559" s="49" t="s">
        <v>512</v>
      </c>
      <c r="B1559" s="50">
        <v>44196.0</v>
      </c>
      <c r="C1559" s="49" t="s">
        <v>780</v>
      </c>
      <c r="D1559" s="49">
        <v>0.0</v>
      </c>
    </row>
    <row r="1560" ht="15.0" hidden="1" customHeight="1">
      <c r="A1560" s="49" t="s">
        <v>517</v>
      </c>
      <c r="B1560" s="50">
        <v>44196.0</v>
      </c>
      <c r="C1560" s="49" t="s">
        <v>780</v>
      </c>
      <c r="D1560" s="49">
        <v>0.0</v>
      </c>
    </row>
    <row r="1561" ht="15.0" hidden="1" customHeight="1">
      <c r="A1561" s="49" t="s">
        <v>522</v>
      </c>
      <c r="B1561" s="50">
        <v>44196.0</v>
      </c>
      <c r="C1561" s="49" t="s">
        <v>780</v>
      </c>
      <c r="D1561" s="49">
        <v>0.0</v>
      </c>
    </row>
    <row r="1562" ht="15.0" hidden="1" customHeight="1">
      <c r="A1562" s="49" t="s">
        <v>528</v>
      </c>
      <c r="B1562" s="50">
        <v>44196.0</v>
      </c>
      <c r="C1562" s="49" t="s">
        <v>780</v>
      </c>
      <c r="D1562" s="49">
        <v>0.0</v>
      </c>
    </row>
    <row r="1563" ht="15.0" hidden="1" customHeight="1">
      <c r="A1563" s="49" t="s">
        <v>533</v>
      </c>
      <c r="B1563" s="50">
        <v>44196.0</v>
      </c>
      <c r="C1563" s="49" t="s">
        <v>780</v>
      </c>
      <c r="D1563" s="49">
        <v>0.0</v>
      </c>
    </row>
    <row r="1564" ht="15.0" hidden="1" customHeight="1">
      <c r="A1564" s="49" t="s">
        <v>538</v>
      </c>
      <c r="B1564" s="50">
        <v>44196.0</v>
      </c>
      <c r="C1564" s="49" t="s">
        <v>780</v>
      </c>
      <c r="D1564" s="49">
        <v>0.0</v>
      </c>
    </row>
    <row r="1565" ht="15.0" hidden="1" customHeight="1">
      <c r="A1565" s="49" t="s">
        <v>546</v>
      </c>
      <c r="B1565" s="50">
        <v>44196.0</v>
      </c>
      <c r="C1565" s="49" t="s">
        <v>780</v>
      </c>
      <c r="D1565" s="49">
        <v>0.0</v>
      </c>
    </row>
    <row r="1566" ht="15.0" hidden="1" customHeight="1">
      <c r="A1566" s="49" t="s">
        <v>551</v>
      </c>
      <c r="B1566" s="50">
        <v>44196.0</v>
      </c>
      <c r="C1566" s="49" t="s">
        <v>780</v>
      </c>
      <c r="D1566" s="49">
        <v>0.0</v>
      </c>
    </row>
    <row r="1567" ht="15.0" hidden="1" customHeight="1">
      <c r="A1567" s="49" t="s">
        <v>556</v>
      </c>
      <c r="B1567" s="50">
        <v>44196.0</v>
      </c>
      <c r="C1567" s="49" t="s">
        <v>780</v>
      </c>
      <c r="D1567" s="49">
        <v>0.0</v>
      </c>
    </row>
    <row r="1568" ht="15.0" hidden="1" customHeight="1">
      <c r="A1568" s="49" t="s">
        <v>561</v>
      </c>
      <c r="B1568" s="50">
        <v>44196.0</v>
      </c>
      <c r="C1568" s="49" t="s">
        <v>780</v>
      </c>
      <c r="D1568" s="49">
        <v>0.0</v>
      </c>
    </row>
    <row r="1569" ht="15.0" hidden="1" customHeight="1">
      <c r="A1569" s="49" t="s">
        <v>566</v>
      </c>
      <c r="B1569" s="50">
        <v>44196.0</v>
      </c>
      <c r="C1569" s="49" t="s">
        <v>780</v>
      </c>
      <c r="D1569" s="49">
        <v>0.0</v>
      </c>
    </row>
    <row r="1570" ht="15.0" hidden="1" customHeight="1">
      <c r="A1570" s="49" t="s">
        <v>571</v>
      </c>
      <c r="B1570" s="50">
        <v>44196.0</v>
      </c>
      <c r="C1570" s="49" t="s">
        <v>780</v>
      </c>
      <c r="D1570" s="49">
        <v>0.0</v>
      </c>
    </row>
    <row r="1571" ht="15.0" hidden="1" customHeight="1">
      <c r="A1571" s="49" t="s">
        <v>576</v>
      </c>
      <c r="B1571" s="50">
        <v>44196.0</v>
      </c>
      <c r="C1571" s="49" t="s">
        <v>780</v>
      </c>
      <c r="D1571" s="49">
        <v>0.0</v>
      </c>
    </row>
    <row r="1572" ht="15.0" hidden="1" customHeight="1">
      <c r="A1572" s="49" t="s">
        <v>581</v>
      </c>
      <c r="B1572" s="50">
        <v>44196.0</v>
      </c>
      <c r="C1572" s="49" t="s">
        <v>780</v>
      </c>
      <c r="D1572" s="49">
        <v>0.0</v>
      </c>
    </row>
    <row r="1573" ht="15.0" hidden="1" customHeight="1">
      <c r="A1573" s="49" t="s">
        <v>586</v>
      </c>
      <c r="B1573" s="50">
        <v>44196.0</v>
      </c>
      <c r="C1573" s="49" t="s">
        <v>780</v>
      </c>
      <c r="D1573" s="49">
        <v>0.0</v>
      </c>
    </row>
    <row r="1574" ht="15.0" hidden="1" customHeight="1">
      <c r="A1574" s="49" t="s">
        <v>754</v>
      </c>
      <c r="B1574" s="50">
        <v>44196.0</v>
      </c>
      <c r="C1574" s="49" t="s">
        <v>780</v>
      </c>
      <c r="D1574" s="49">
        <v>0.0</v>
      </c>
    </row>
    <row r="1575" ht="15.0" hidden="1" customHeight="1">
      <c r="A1575" s="49" t="s">
        <v>591</v>
      </c>
      <c r="B1575" s="50">
        <v>44196.0</v>
      </c>
      <c r="C1575" s="49" t="s">
        <v>780</v>
      </c>
      <c r="D1575" s="49">
        <v>0.0</v>
      </c>
    </row>
    <row r="1576" ht="15.0" hidden="1" customHeight="1">
      <c r="A1576" s="49" t="s">
        <v>759</v>
      </c>
      <c r="B1576" s="50">
        <v>44196.0</v>
      </c>
      <c r="C1576" s="49" t="s">
        <v>780</v>
      </c>
      <c r="D1576" s="49">
        <v>0.0</v>
      </c>
    </row>
    <row r="1577" ht="15.0" hidden="1" customHeight="1">
      <c r="A1577" s="49" t="s">
        <v>596</v>
      </c>
      <c r="B1577" s="50">
        <v>44196.0</v>
      </c>
      <c r="C1577" s="49" t="s">
        <v>780</v>
      </c>
      <c r="D1577" s="49">
        <v>0.0</v>
      </c>
    </row>
    <row r="1578" ht="15.0" hidden="1" customHeight="1">
      <c r="A1578" s="49" t="s">
        <v>602</v>
      </c>
      <c r="B1578" s="50">
        <v>44196.0</v>
      </c>
      <c r="C1578" s="49" t="s">
        <v>780</v>
      </c>
      <c r="D1578" s="49">
        <v>0.0</v>
      </c>
    </row>
    <row r="1579" ht="15.0" hidden="1" customHeight="1">
      <c r="A1579" s="49" t="s">
        <v>607</v>
      </c>
      <c r="B1579" s="50">
        <v>44196.0</v>
      </c>
      <c r="C1579" s="49" t="s">
        <v>780</v>
      </c>
      <c r="D1579" s="49">
        <v>0.0</v>
      </c>
    </row>
    <row r="1580" ht="15.0" hidden="1" customHeight="1">
      <c r="A1580" s="49" t="s">
        <v>612</v>
      </c>
      <c r="B1580" s="50">
        <v>44196.0</v>
      </c>
      <c r="C1580" s="49" t="s">
        <v>780</v>
      </c>
      <c r="D1580" s="49">
        <v>0.0</v>
      </c>
    </row>
    <row r="1581" ht="15.0" hidden="1" customHeight="1">
      <c r="A1581" s="49" t="s">
        <v>617</v>
      </c>
      <c r="B1581" s="50">
        <v>44196.0</v>
      </c>
      <c r="C1581" s="49" t="s">
        <v>780</v>
      </c>
      <c r="D1581" s="49">
        <v>0.0</v>
      </c>
    </row>
    <row r="1582" ht="15.0" hidden="1" customHeight="1">
      <c r="A1582" s="49" t="s">
        <v>622</v>
      </c>
      <c r="B1582" s="50">
        <v>44196.0</v>
      </c>
      <c r="C1582" s="49" t="s">
        <v>780</v>
      </c>
      <c r="D1582" s="49">
        <v>0.0</v>
      </c>
    </row>
    <row r="1583" ht="15.0" hidden="1" customHeight="1">
      <c r="A1583" s="49" t="s">
        <v>627</v>
      </c>
      <c r="B1583" s="50">
        <v>44196.0</v>
      </c>
      <c r="C1583" s="49" t="s">
        <v>780</v>
      </c>
      <c r="D1583" s="49">
        <v>0.0</v>
      </c>
    </row>
    <row r="1584" ht="15.0" hidden="1" customHeight="1">
      <c r="A1584" s="49" t="s">
        <v>631</v>
      </c>
      <c r="B1584" s="50">
        <v>44196.0</v>
      </c>
      <c r="C1584" s="49" t="s">
        <v>780</v>
      </c>
      <c r="D1584" s="49">
        <v>0.0</v>
      </c>
    </row>
    <row r="1585" ht="15.0" hidden="1" customHeight="1">
      <c r="A1585" s="49" t="s">
        <v>636</v>
      </c>
      <c r="B1585" s="50">
        <v>44196.0</v>
      </c>
      <c r="C1585" s="49" t="s">
        <v>780</v>
      </c>
      <c r="D1585" s="49">
        <v>0.0</v>
      </c>
    </row>
    <row r="1586" ht="15.0" hidden="1" customHeight="1">
      <c r="A1586" s="49" t="s">
        <v>640</v>
      </c>
      <c r="B1586" s="50">
        <v>44196.0</v>
      </c>
      <c r="C1586" s="49" t="s">
        <v>780</v>
      </c>
      <c r="D1586" s="49">
        <v>0.0</v>
      </c>
    </row>
    <row r="1587" ht="15.0" hidden="1" customHeight="1">
      <c r="A1587" s="49" t="s">
        <v>644</v>
      </c>
      <c r="B1587" s="50">
        <v>44196.0</v>
      </c>
      <c r="C1587" s="49" t="s">
        <v>780</v>
      </c>
      <c r="D1587" s="49">
        <v>0.0</v>
      </c>
    </row>
    <row r="1588" ht="15.0" hidden="1" customHeight="1">
      <c r="A1588" s="49" t="s">
        <v>649</v>
      </c>
      <c r="B1588" s="50">
        <v>44196.0</v>
      </c>
      <c r="C1588" s="49" t="s">
        <v>780</v>
      </c>
      <c r="D1588" s="49">
        <v>0.0</v>
      </c>
    </row>
    <row r="1589" ht="15.0" hidden="1" customHeight="1">
      <c r="A1589" s="49" t="s">
        <v>654</v>
      </c>
      <c r="B1589" s="50">
        <v>44196.0</v>
      </c>
      <c r="C1589" s="49" t="s">
        <v>780</v>
      </c>
      <c r="D1589" s="49">
        <v>0.0</v>
      </c>
    </row>
    <row r="1590" ht="15.0" hidden="1" customHeight="1">
      <c r="A1590" s="49" t="s">
        <v>659</v>
      </c>
      <c r="B1590" s="50">
        <v>44196.0</v>
      </c>
      <c r="C1590" s="49" t="s">
        <v>780</v>
      </c>
      <c r="D1590" s="49">
        <v>0.0</v>
      </c>
    </row>
    <row r="1591" ht="15.0" hidden="1" customHeight="1">
      <c r="A1591" s="49" t="s">
        <v>664</v>
      </c>
      <c r="B1591" s="50">
        <v>44196.0</v>
      </c>
      <c r="C1591" s="49" t="s">
        <v>780</v>
      </c>
      <c r="D1591" s="49">
        <v>0.0</v>
      </c>
    </row>
    <row r="1592" ht="15.0" hidden="1" customHeight="1">
      <c r="A1592" s="49" t="s">
        <v>669</v>
      </c>
      <c r="B1592" s="50">
        <v>44196.0</v>
      </c>
      <c r="C1592" s="49" t="s">
        <v>780</v>
      </c>
      <c r="D1592" s="49">
        <v>0.0</v>
      </c>
    </row>
    <row r="1593" ht="15.0" hidden="1" customHeight="1">
      <c r="A1593" s="49" t="s">
        <v>674</v>
      </c>
      <c r="B1593" s="50">
        <v>44196.0</v>
      </c>
      <c r="C1593" s="49" t="s">
        <v>780</v>
      </c>
      <c r="D1593" s="49">
        <v>0.0</v>
      </c>
    </row>
    <row r="1594" ht="15.0" hidden="1" customHeight="1">
      <c r="A1594" s="49" t="s">
        <v>679</v>
      </c>
      <c r="B1594" s="50">
        <v>44196.0</v>
      </c>
      <c r="C1594" s="49" t="s">
        <v>780</v>
      </c>
      <c r="D1594" s="49">
        <v>0.0</v>
      </c>
    </row>
    <row r="1595" ht="15.0" hidden="1" customHeight="1">
      <c r="A1595" s="49" t="s">
        <v>684</v>
      </c>
      <c r="B1595" s="50">
        <v>44196.0</v>
      </c>
      <c r="C1595" s="49" t="s">
        <v>780</v>
      </c>
      <c r="D1595" s="49">
        <v>0.0</v>
      </c>
    </row>
    <row r="1596" ht="15.0" hidden="1" customHeight="1">
      <c r="A1596" s="49" t="s">
        <v>689</v>
      </c>
      <c r="B1596" s="50">
        <v>44196.0</v>
      </c>
      <c r="C1596" s="49" t="s">
        <v>780</v>
      </c>
      <c r="D1596" s="49">
        <v>0.0</v>
      </c>
    </row>
    <row r="1597" ht="15.0" hidden="1" customHeight="1">
      <c r="A1597" s="49" t="s">
        <v>694</v>
      </c>
      <c r="B1597" s="50">
        <v>44196.0</v>
      </c>
      <c r="C1597" s="49" t="s">
        <v>780</v>
      </c>
      <c r="D1597" s="49">
        <v>0.0</v>
      </c>
    </row>
    <row r="1598" ht="15.0" hidden="1" customHeight="1">
      <c r="A1598" s="49" t="s">
        <v>699</v>
      </c>
      <c r="B1598" s="50">
        <v>44196.0</v>
      </c>
      <c r="C1598" s="49" t="s">
        <v>780</v>
      </c>
      <c r="D1598" s="49">
        <v>0.0</v>
      </c>
    </row>
    <row r="1599" ht="15.0" hidden="1" customHeight="1">
      <c r="A1599" s="49" t="s">
        <v>705</v>
      </c>
      <c r="B1599" s="50">
        <v>44196.0</v>
      </c>
      <c r="C1599" s="49" t="s">
        <v>780</v>
      </c>
      <c r="D1599" s="49">
        <v>0.0</v>
      </c>
    </row>
    <row r="1600" ht="15.0" hidden="1" customHeight="1">
      <c r="A1600" s="49" t="s">
        <v>710</v>
      </c>
      <c r="B1600" s="50">
        <v>44196.0</v>
      </c>
      <c r="C1600" s="49" t="s">
        <v>780</v>
      </c>
      <c r="D1600" s="49">
        <v>0.0</v>
      </c>
    </row>
    <row r="1601" ht="15.0" hidden="1" customHeight="1">
      <c r="A1601" s="49" t="s">
        <v>715</v>
      </c>
      <c r="B1601" s="50">
        <v>44196.0</v>
      </c>
      <c r="C1601" s="49" t="s">
        <v>780</v>
      </c>
      <c r="D1601" s="49">
        <v>0.0</v>
      </c>
    </row>
    <row r="1602" ht="15.0" hidden="1" customHeight="1">
      <c r="A1602" s="49" t="s">
        <v>765</v>
      </c>
      <c r="B1602" s="50">
        <v>44196.0</v>
      </c>
      <c r="C1602" s="49" t="s">
        <v>780</v>
      </c>
      <c r="D1602" s="49">
        <v>0.0</v>
      </c>
    </row>
    <row r="1603" ht="15.0" hidden="1" customHeight="1">
      <c r="A1603" s="49" t="s">
        <v>720</v>
      </c>
      <c r="B1603" s="50">
        <v>44196.0</v>
      </c>
      <c r="C1603" s="49" t="s">
        <v>780</v>
      </c>
      <c r="D1603" s="49">
        <v>0.0</v>
      </c>
    </row>
    <row r="1604" ht="15.0" hidden="1" customHeight="1">
      <c r="A1604" s="49" t="s">
        <v>725</v>
      </c>
      <c r="B1604" s="50">
        <v>44196.0</v>
      </c>
      <c r="C1604" s="49" t="s">
        <v>780</v>
      </c>
      <c r="D1604" s="49">
        <v>0.0</v>
      </c>
    </row>
    <row r="1605" ht="15.0" hidden="1" customHeight="1">
      <c r="A1605" s="49" t="s">
        <v>730</v>
      </c>
      <c r="B1605" s="50">
        <v>44196.0</v>
      </c>
      <c r="C1605" s="49" t="s">
        <v>780</v>
      </c>
      <c r="D1605" s="49">
        <v>0.0</v>
      </c>
    </row>
    <row r="1606" ht="15.0" hidden="1" customHeight="1">
      <c r="A1606" s="49" t="s">
        <v>734</v>
      </c>
      <c r="B1606" s="50">
        <v>44196.0</v>
      </c>
      <c r="C1606" s="49" t="s">
        <v>780</v>
      </c>
      <c r="D1606" s="49">
        <v>0.0</v>
      </c>
    </row>
    <row r="1607" ht="15.0" hidden="1" customHeight="1">
      <c r="A1607" s="49" t="s">
        <v>739</v>
      </c>
      <c r="B1607" s="50">
        <v>44196.0</v>
      </c>
      <c r="C1607" s="49" t="s">
        <v>780</v>
      </c>
      <c r="D1607" s="49">
        <v>0.0</v>
      </c>
    </row>
    <row r="1608" ht="15.0" hidden="1" customHeight="1">
      <c r="A1608" s="49" t="s">
        <v>744</v>
      </c>
      <c r="B1608" s="50">
        <v>44196.0</v>
      </c>
      <c r="C1608" s="49" t="s">
        <v>780</v>
      </c>
      <c r="D1608" s="49">
        <v>0.0</v>
      </c>
    </row>
    <row r="1609" ht="15.0" hidden="1" customHeight="1">
      <c r="A1609" s="49" t="s">
        <v>749</v>
      </c>
      <c r="B1609" s="50">
        <v>44196.0</v>
      </c>
      <c r="C1609" s="49" t="s">
        <v>780</v>
      </c>
      <c r="D1609" s="49">
        <v>0.0</v>
      </c>
    </row>
    <row r="1610" ht="15.0" customHeight="1">
      <c r="A1610" s="49" t="s">
        <v>776</v>
      </c>
      <c r="B1610" s="50">
        <v>44285.0</v>
      </c>
      <c r="C1610" s="49" t="s">
        <v>777</v>
      </c>
      <c r="D1610" s="49">
        <v>0.0</v>
      </c>
    </row>
    <row r="1611" ht="15.0" hidden="1" customHeight="1">
      <c r="A1611" s="49" t="s">
        <v>778</v>
      </c>
      <c r="B1611" s="50">
        <v>44285.0</v>
      </c>
      <c r="C1611" s="49" t="s">
        <v>777</v>
      </c>
      <c r="D1611" s="49">
        <v>0.0</v>
      </c>
    </row>
    <row r="1612" ht="15.0" hidden="1" customHeight="1">
      <c r="A1612" s="49" t="s">
        <v>92</v>
      </c>
      <c r="B1612" s="50">
        <v>44285.0</v>
      </c>
      <c r="C1612" s="49" t="s">
        <v>777</v>
      </c>
      <c r="D1612" s="49">
        <v>0.0</v>
      </c>
    </row>
    <row r="1613" ht="15.0" hidden="1" customHeight="1">
      <c r="A1613" s="49" t="s">
        <v>97</v>
      </c>
      <c r="B1613" s="50">
        <v>44285.0</v>
      </c>
      <c r="C1613" s="49" t="s">
        <v>777</v>
      </c>
      <c r="D1613" s="49">
        <v>0.0</v>
      </c>
    </row>
    <row r="1614" ht="15.0" hidden="1" customHeight="1">
      <c r="A1614" s="49" t="s">
        <v>102</v>
      </c>
      <c r="B1614" s="50">
        <v>44285.0</v>
      </c>
      <c r="C1614" s="49" t="s">
        <v>777</v>
      </c>
      <c r="D1614" s="49">
        <v>0.0</v>
      </c>
    </row>
    <row r="1615" ht="15.0" hidden="1" customHeight="1">
      <c r="A1615" s="49" t="s">
        <v>106</v>
      </c>
      <c r="B1615" s="50">
        <v>44285.0</v>
      </c>
      <c r="C1615" s="49" t="s">
        <v>777</v>
      </c>
      <c r="D1615" s="49">
        <v>0.0</v>
      </c>
    </row>
    <row r="1616" ht="15.0" hidden="1" customHeight="1">
      <c r="A1616" s="49" t="s">
        <v>111</v>
      </c>
      <c r="B1616" s="50">
        <v>44285.0</v>
      </c>
      <c r="C1616" s="49" t="s">
        <v>777</v>
      </c>
      <c r="D1616" s="49">
        <v>0.0</v>
      </c>
    </row>
    <row r="1617" ht="15.0" hidden="1" customHeight="1">
      <c r="A1617" s="49" t="s">
        <v>116</v>
      </c>
      <c r="B1617" s="50">
        <v>44285.0</v>
      </c>
      <c r="C1617" s="49" t="s">
        <v>777</v>
      </c>
      <c r="D1617" s="49">
        <v>0.0</v>
      </c>
    </row>
    <row r="1618" ht="15.0" hidden="1" customHeight="1">
      <c r="A1618" s="49" t="s">
        <v>120</v>
      </c>
      <c r="B1618" s="50">
        <v>44285.0</v>
      </c>
      <c r="C1618" s="49" t="s">
        <v>777</v>
      </c>
      <c r="D1618" s="49">
        <v>0.0</v>
      </c>
    </row>
    <row r="1619" ht="15.0" hidden="1" customHeight="1">
      <c r="A1619" s="49" t="s">
        <v>125</v>
      </c>
      <c r="B1619" s="50">
        <v>44285.0</v>
      </c>
      <c r="C1619" s="49" t="s">
        <v>777</v>
      </c>
      <c r="D1619" s="49">
        <v>0.0</v>
      </c>
    </row>
    <row r="1620" ht="15.0" hidden="1" customHeight="1">
      <c r="A1620" s="49" t="s">
        <v>130</v>
      </c>
      <c r="B1620" s="50">
        <v>44285.0</v>
      </c>
      <c r="C1620" s="49" t="s">
        <v>777</v>
      </c>
      <c r="D1620" s="49">
        <v>0.0</v>
      </c>
    </row>
    <row r="1621" ht="15.0" hidden="1" customHeight="1">
      <c r="A1621" s="49" t="s">
        <v>137</v>
      </c>
      <c r="B1621" s="50">
        <v>44285.0</v>
      </c>
      <c r="C1621" s="49" t="s">
        <v>777</v>
      </c>
      <c r="D1621" s="49">
        <v>0.0</v>
      </c>
    </row>
    <row r="1622" ht="15.0" hidden="1" customHeight="1">
      <c r="A1622" s="49" t="s">
        <v>142</v>
      </c>
      <c r="B1622" s="50">
        <v>44285.0</v>
      </c>
      <c r="C1622" s="49" t="s">
        <v>777</v>
      </c>
      <c r="D1622" s="49">
        <v>0.0</v>
      </c>
    </row>
    <row r="1623" ht="15.0" hidden="1" customHeight="1">
      <c r="A1623" s="49" t="s">
        <v>147</v>
      </c>
      <c r="B1623" s="50">
        <v>44285.0</v>
      </c>
      <c r="C1623" s="49" t="s">
        <v>777</v>
      </c>
      <c r="D1623" s="49">
        <v>0.0</v>
      </c>
    </row>
    <row r="1624" ht="15.0" hidden="1" customHeight="1">
      <c r="A1624" s="49" t="s">
        <v>152</v>
      </c>
      <c r="B1624" s="50">
        <v>44285.0</v>
      </c>
      <c r="C1624" s="49" t="s">
        <v>777</v>
      </c>
      <c r="D1624" s="49">
        <v>0.0</v>
      </c>
    </row>
    <row r="1625" ht="15.0" hidden="1" customHeight="1">
      <c r="A1625" s="49" t="s">
        <v>157</v>
      </c>
      <c r="B1625" s="50">
        <v>44285.0</v>
      </c>
      <c r="C1625" s="49" t="s">
        <v>777</v>
      </c>
      <c r="D1625" s="49">
        <v>175000.0</v>
      </c>
    </row>
    <row r="1626" ht="15.0" hidden="1" customHeight="1">
      <c r="A1626" s="49" t="s">
        <v>162</v>
      </c>
      <c r="B1626" s="50">
        <v>44285.0</v>
      </c>
      <c r="C1626" s="49" t="s">
        <v>777</v>
      </c>
      <c r="D1626" s="49">
        <v>0.0</v>
      </c>
    </row>
    <row r="1627" ht="15.0" hidden="1" customHeight="1">
      <c r="A1627" s="49" t="s">
        <v>167</v>
      </c>
      <c r="B1627" s="50">
        <v>44285.0</v>
      </c>
      <c r="C1627" s="49" t="s">
        <v>777</v>
      </c>
      <c r="D1627" s="49">
        <v>0.0</v>
      </c>
    </row>
    <row r="1628" ht="15.0" hidden="1" customHeight="1">
      <c r="A1628" s="49" t="s">
        <v>172</v>
      </c>
      <c r="B1628" s="50">
        <v>44285.0</v>
      </c>
      <c r="C1628" s="49" t="s">
        <v>777</v>
      </c>
      <c r="D1628" s="49">
        <v>0.0</v>
      </c>
    </row>
    <row r="1629" ht="15.0" hidden="1" customHeight="1">
      <c r="A1629" s="49" t="s">
        <v>177</v>
      </c>
      <c r="B1629" s="50">
        <v>44285.0</v>
      </c>
      <c r="C1629" s="49" t="s">
        <v>777</v>
      </c>
      <c r="D1629" s="49">
        <v>4388400.0</v>
      </c>
    </row>
    <row r="1630" ht="15.0" hidden="1" customHeight="1">
      <c r="A1630" s="49" t="s">
        <v>182</v>
      </c>
      <c r="B1630" s="50">
        <v>44285.0</v>
      </c>
      <c r="C1630" s="49" t="s">
        <v>777</v>
      </c>
      <c r="D1630" s="49">
        <v>700000.0</v>
      </c>
    </row>
    <row r="1631" ht="15.0" hidden="1" customHeight="1">
      <c r="A1631" s="49" t="s">
        <v>187</v>
      </c>
      <c r="B1631" s="50">
        <v>44285.0</v>
      </c>
      <c r="C1631" s="49" t="s">
        <v>777</v>
      </c>
      <c r="D1631" s="49">
        <v>165000.0</v>
      </c>
    </row>
    <row r="1632" ht="15.0" hidden="1" customHeight="1">
      <c r="A1632" s="49" t="s">
        <v>192</v>
      </c>
      <c r="B1632" s="50">
        <v>44285.0</v>
      </c>
      <c r="C1632" s="49" t="s">
        <v>777</v>
      </c>
      <c r="D1632" s="49">
        <v>0.0</v>
      </c>
    </row>
    <row r="1633" ht="15.0" hidden="1" customHeight="1">
      <c r="A1633" s="49" t="s">
        <v>197</v>
      </c>
      <c r="B1633" s="50">
        <v>44285.0</v>
      </c>
      <c r="C1633" s="49" t="s">
        <v>777</v>
      </c>
      <c r="D1633" s="49">
        <v>0.0</v>
      </c>
    </row>
    <row r="1634" ht="15.0" hidden="1" customHeight="1">
      <c r="A1634" s="49" t="s">
        <v>202</v>
      </c>
      <c r="B1634" s="50">
        <v>44285.0</v>
      </c>
      <c r="C1634" s="49" t="s">
        <v>777</v>
      </c>
      <c r="D1634" s="49">
        <v>0.0</v>
      </c>
    </row>
    <row r="1635" ht="15.0" hidden="1" customHeight="1">
      <c r="A1635" s="49" t="s">
        <v>206</v>
      </c>
      <c r="B1635" s="50">
        <v>44285.0</v>
      </c>
      <c r="C1635" s="49" t="s">
        <v>777</v>
      </c>
      <c r="D1635" s="49">
        <v>0.0</v>
      </c>
    </row>
    <row r="1636" ht="15.0" hidden="1" customHeight="1">
      <c r="A1636" s="49" t="s">
        <v>211</v>
      </c>
      <c r="B1636" s="50">
        <v>44285.0</v>
      </c>
      <c r="C1636" s="49" t="s">
        <v>777</v>
      </c>
      <c r="D1636" s="49">
        <v>0.0</v>
      </c>
    </row>
    <row r="1637" ht="15.0" hidden="1" customHeight="1">
      <c r="A1637" s="49" t="s">
        <v>779</v>
      </c>
      <c r="B1637" s="50">
        <v>44285.0</v>
      </c>
      <c r="C1637" s="49" t="s">
        <v>777</v>
      </c>
      <c r="D1637" s="49">
        <v>0.0</v>
      </c>
    </row>
    <row r="1638" ht="15.0" hidden="1" customHeight="1">
      <c r="A1638" s="49" t="s">
        <v>221</v>
      </c>
      <c r="B1638" s="50">
        <v>44285.0</v>
      </c>
      <c r="C1638" s="49" t="s">
        <v>777</v>
      </c>
      <c r="D1638" s="49">
        <v>0.0</v>
      </c>
    </row>
    <row r="1639" ht="15.0" hidden="1" customHeight="1">
      <c r="A1639" s="49" t="s">
        <v>226</v>
      </c>
      <c r="B1639" s="50">
        <v>44285.0</v>
      </c>
      <c r="C1639" s="49" t="s">
        <v>777</v>
      </c>
      <c r="D1639" s="49">
        <v>0.0</v>
      </c>
    </row>
    <row r="1640" ht="15.0" hidden="1" customHeight="1">
      <c r="A1640" s="49" t="s">
        <v>231</v>
      </c>
      <c r="B1640" s="50">
        <v>44285.0</v>
      </c>
      <c r="C1640" s="49" t="s">
        <v>777</v>
      </c>
      <c r="D1640" s="49">
        <v>0.0</v>
      </c>
    </row>
    <row r="1641" ht="15.0" hidden="1" customHeight="1">
      <c r="A1641" s="49" t="s">
        <v>236</v>
      </c>
      <c r="B1641" s="50">
        <v>44285.0</v>
      </c>
      <c r="C1641" s="49" t="s">
        <v>777</v>
      </c>
      <c r="D1641" s="49">
        <v>0.0</v>
      </c>
    </row>
    <row r="1642" ht="15.0" hidden="1" customHeight="1">
      <c r="A1642" s="49" t="s">
        <v>242</v>
      </c>
      <c r="B1642" s="50">
        <v>44285.0</v>
      </c>
      <c r="C1642" s="49" t="s">
        <v>777</v>
      </c>
      <c r="D1642" s="49">
        <v>0.0</v>
      </c>
    </row>
    <row r="1643" ht="15.0" hidden="1" customHeight="1">
      <c r="A1643" s="49" t="s">
        <v>248</v>
      </c>
      <c r="B1643" s="50">
        <v>44285.0</v>
      </c>
      <c r="C1643" s="49" t="s">
        <v>777</v>
      </c>
      <c r="D1643" s="49">
        <v>0.0</v>
      </c>
    </row>
    <row r="1644" ht="15.0" hidden="1" customHeight="1">
      <c r="A1644" s="49" t="s">
        <v>253</v>
      </c>
      <c r="B1644" s="50">
        <v>44285.0</v>
      </c>
      <c r="C1644" s="49" t="s">
        <v>777</v>
      </c>
      <c r="D1644" s="49">
        <v>0.0</v>
      </c>
    </row>
    <row r="1645" ht="15.0" hidden="1" customHeight="1">
      <c r="A1645" s="49" t="s">
        <v>258</v>
      </c>
      <c r="B1645" s="50">
        <v>44285.0</v>
      </c>
      <c r="C1645" s="49" t="s">
        <v>777</v>
      </c>
      <c r="D1645" s="49">
        <v>0.0</v>
      </c>
    </row>
    <row r="1646" ht="15.0" hidden="1" customHeight="1">
      <c r="A1646" s="49" t="s">
        <v>263</v>
      </c>
      <c r="B1646" s="50">
        <v>44285.0</v>
      </c>
      <c r="C1646" s="49" t="s">
        <v>777</v>
      </c>
      <c r="D1646" s="49">
        <v>0.0</v>
      </c>
    </row>
    <row r="1647" ht="15.0" hidden="1" customHeight="1">
      <c r="A1647" s="49" t="s">
        <v>268</v>
      </c>
      <c r="B1647" s="50">
        <v>44285.0</v>
      </c>
      <c r="C1647" s="49" t="s">
        <v>777</v>
      </c>
      <c r="D1647" s="49">
        <v>0.0</v>
      </c>
    </row>
    <row r="1648" ht="15.0" hidden="1" customHeight="1">
      <c r="A1648" s="49" t="s">
        <v>273</v>
      </c>
      <c r="B1648" s="50">
        <v>44285.0</v>
      </c>
      <c r="C1648" s="49" t="s">
        <v>777</v>
      </c>
      <c r="D1648" s="49">
        <v>113400.0</v>
      </c>
    </row>
    <row r="1649" ht="15.0" hidden="1" customHeight="1">
      <c r="A1649" s="49" t="s">
        <v>278</v>
      </c>
      <c r="B1649" s="50">
        <v>44285.0</v>
      </c>
      <c r="C1649" s="49" t="s">
        <v>777</v>
      </c>
      <c r="D1649" s="49">
        <v>0.0</v>
      </c>
    </row>
    <row r="1650" ht="15.0" hidden="1" customHeight="1">
      <c r="A1650" s="49" t="s">
        <v>283</v>
      </c>
      <c r="B1650" s="50">
        <v>44285.0</v>
      </c>
      <c r="C1650" s="49" t="s">
        <v>777</v>
      </c>
      <c r="D1650" s="49">
        <v>0.0</v>
      </c>
    </row>
    <row r="1651" ht="15.0" hidden="1" customHeight="1">
      <c r="A1651" s="49" t="s">
        <v>288</v>
      </c>
      <c r="B1651" s="50">
        <v>44285.0</v>
      </c>
      <c r="C1651" s="49" t="s">
        <v>777</v>
      </c>
      <c r="D1651" s="49">
        <v>0.0</v>
      </c>
    </row>
    <row r="1652" ht="15.0" hidden="1" customHeight="1">
      <c r="A1652" s="49" t="s">
        <v>293</v>
      </c>
      <c r="B1652" s="50">
        <v>44285.0</v>
      </c>
      <c r="C1652" s="49" t="s">
        <v>777</v>
      </c>
      <c r="D1652" s="49">
        <v>0.0</v>
      </c>
    </row>
    <row r="1653" ht="15.0" hidden="1" customHeight="1">
      <c r="A1653" s="49" t="s">
        <v>298</v>
      </c>
      <c r="B1653" s="50">
        <v>44285.0</v>
      </c>
      <c r="C1653" s="49" t="s">
        <v>777</v>
      </c>
      <c r="D1653" s="49">
        <v>0.0</v>
      </c>
    </row>
    <row r="1654" ht="15.0" hidden="1" customHeight="1">
      <c r="A1654" s="49" t="s">
        <v>303</v>
      </c>
      <c r="B1654" s="50">
        <v>44285.0</v>
      </c>
      <c r="C1654" s="49" t="s">
        <v>777</v>
      </c>
      <c r="D1654" s="49">
        <v>0.0</v>
      </c>
    </row>
    <row r="1655" ht="15.0" hidden="1" customHeight="1">
      <c r="A1655" s="49" t="s">
        <v>307</v>
      </c>
      <c r="B1655" s="50">
        <v>44285.0</v>
      </c>
      <c r="C1655" s="49" t="s">
        <v>777</v>
      </c>
      <c r="D1655" s="49">
        <v>0.0</v>
      </c>
    </row>
    <row r="1656" ht="15.0" hidden="1" customHeight="1">
      <c r="A1656" s="49" t="s">
        <v>313</v>
      </c>
      <c r="B1656" s="50">
        <v>44285.0</v>
      </c>
      <c r="C1656" s="49" t="s">
        <v>777</v>
      </c>
      <c r="D1656" s="49">
        <v>0.0</v>
      </c>
    </row>
    <row r="1657" ht="15.0" hidden="1" customHeight="1">
      <c r="A1657" s="49" t="s">
        <v>318</v>
      </c>
      <c r="B1657" s="50">
        <v>44285.0</v>
      </c>
      <c r="C1657" s="49" t="s">
        <v>777</v>
      </c>
      <c r="D1657" s="49">
        <v>0.0</v>
      </c>
    </row>
    <row r="1658" ht="15.0" hidden="1" customHeight="1">
      <c r="A1658" s="49" t="s">
        <v>323</v>
      </c>
      <c r="B1658" s="50">
        <v>44285.0</v>
      </c>
      <c r="C1658" s="49" t="s">
        <v>777</v>
      </c>
      <c r="D1658" s="49">
        <v>0.0</v>
      </c>
    </row>
    <row r="1659" ht="15.0" hidden="1" customHeight="1">
      <c r="A1659" s="49" t="s">
        <v>328</v>
      </c>
      <c r="B1659" s="50">
        <v>44285.0</v>
      </c>
      <c r="C1659" s="49" t="s">
        <v>777</v>
      </c>
      <c r="D1659" s="49">
        <v>0.0</v>
      </c>
    </row>
    <row r="1660" ht="15.0" hidden="1" customHeight="1">
      <c r="A1660" s="49" t="s">
        <v>335</v>
      </c>
      <c r="B1660" s="50">
        <v>44285.0</v>
      </c>
      <c r="C1660" s="49" t="s">
        <v>777</v>
      </c>
      <c r="D1660" s="49">
        <v>0.0</v>
      </c>
    </row>
    <row r="1661" ht="15.0" hidden="1" customHeight="1">
      <c r="A1661" s="49" t="s">
        <v>340</v>
      </c>
      <c r="B1661" s="50">
        <v>44285.0</v>
      </c>
      <c r="C1661" s="49" t="s">
        <v>777</v>
      </c>
      <c r="D1661" s="49">
        <v>0.0</v>
      </c>
    </row>
    <row r="1662" ht="15.0" hidden="1" customHeight="1">
      <c r="A1662" s="49" t="s">
        <v>345</v>
      </c>
      <c r="B1662" s="50">
        <v>44285.0</v>
      </c>
      <c r="C1662" s="49" t="s">
        <v>777</v>
      </c>
      <c r="D1662" s="49">
        <v>0.0</v>
      </c>
    </row>
    <row r="1663" ht="15.0" hidden="1" customHeight="1">
      <c r="A1663" s="49" t="s">
        <v>350</v>
      </c>
      <c r="B1663" s="50">
        <v>44285.0</v>
      </c>
      <c r="C1663" s="49" t="s">
        <v>777</v>
      </c>
      <c r="D1663" s="49">
        <v>0.0</v>
      </c>
    </row>
    <row r="1664" ht="15.0" hidden="1" customHeight="1">
      <c r="A1664" s="49" t="s">
        <v>355</v>
      </c>
      <c r="B1664" s="50">
        <v>44285.0</v>
      </c>
      <c r="C1664" s="49" t="s">
        <v>777</v>
      </c>
      <c r="D1664" s="49">
        <v>0.0</v>
      </c>
    </row>
    <row r="1665" ht="15.0" hidden="1" customHeight="1">
      <c r="A1665" s="49" t="s">
        <v>360</v>
      </c>
      <c r="B1665" s="50">
        <v>44285.0</v>
      </c>
      <c r="C1665" s="49" t="s">
        <v>777</v>
      </c>
      <c r="D1665" s="49">
        <v>0.0</v>
      </c>
    </row>
    <row r="1666" ht="15.0" hidden="1" customHeight="1">
      <c r="A1666" s="49" t="s">
        <v>365</v>
      </c>
      <c r="B1666" s="50">
        <v>44285.0</v>
      </c>
      <c r="C1666" s="49" t="s">
        <v>777</v>
      </c>
      <c r="D1666" s="49">
        <v>0.0</v>
      </c>
    </row>
    <row r="1667" ht="15.0" hidden="1" customHeight="1">
      <c r="A1667" s="49" t="s">
        <v>370</v>
      </c>
      <c r="B1667" s="50">
        <v>44285.0</v>
      </c>
      <c r="C1667" s="49" t="s">
        <v>777</v>
      </c>
      <c r="D1667" s="49">
        <v>0.0</v>
      </c>
    </row>
    <row r="1668" ht="15.0" hidden="1" customHeight="1">
      <c r="A1668" s="49" t="s">
        <v>375</v>
      </c>
      <c r="B1668" s="50">
        <v>44285.0</v>
      </c>
      <c r="C1668" s="49" t="s">
        <v>777</v>
      </c>
      <c r="D1668" s="49">
        <v>0.0</v>
      </c>
    </row>
    <row r="1669" ht="15.0" hidden="1" customHeight="1">
      <c r="A1669" s="49" t="s">
        <v>380</v>
      </c>
      <c r="B1669" s="50">
        <v>44285.0</v>
      </c>
      <c r="C1669" s="49" t="s">
        <v>777</v>
      </c>
      <c r="D1669" s="49">
        <v>0.0</v>
      </c>
    </row>
    <row r="1670" ht="15.0" hidden="1" customHeight="1">
      <c r="A1670" s="49" t="s">
        <v>385</v>
      </c>
      <c r="B1670" s="50">
        <v>44285.0</v>
      </c>
      <c r="C1670" s="49" t="s">
        <v>777</v>
      </c>
      <c r="D1670" s="49">
        <v>0.0</v>
      </c>
    </row>
    <row r="1671" ht="15.0" hidden="1" customHeight="1">
      <c r="A1671" s="49" t="s">
        <v>390</v>
      </c>
      <c r="B1671" s="50">
        <v>44285.0</v>
      </c>
      <c r="C1671" s="49" t="s">
        <v>777</v>
      </c>
      <c r="D1671" s="49">
        <v>0.0</v>
      </c>
    </row>
    <row r="1672" ht="15.0" hidden="1" customHeight="1">
      <c r="A1672" s="49" t="s">
        <v>395</v>
      </c>
      <c r="B1672" s="50">
        <v>44285.0</v>
      </c>
      <c r="C1672" s="49" t="s">
        <v>777</v>
      </c>
      <c r="D1672" s="49">
        <v>0.0</v>
      </c>
    </row>
    <row r="1673" ht="15.0" hidden="1" customHeight="1">
      <c r="A1673" s="49" t="s">
        <v>400</v>
      </c>
      <c r="B1673" s="50">
        <v>44285.0</v>
      </c>
      <c r="C1673" s="49" t="s">
        <v>777</v>
      </c>
      <c r="D1673" s="49">
        <v>0.0</v>
      </c>
    </row>
    <row r="1674" ht="15.0" hidden="1" customHeight="1">
      <c r="A1674" s="49" t="s">
        <v>405</v>
      </c>
      <c r="B1674" s="50">
        <v>44285.0</v>
      </c>
      <c r="C1674" s="49" t="s">
        <v>777</v>
      </c>
      <c r="D1674" s="49">
        <v>0.0</v>
      </c>
    </row>
    <row r="1675" ht="15.0" hidden="1" customHeight="1">
      <c r="A1675" s="49" t="s">
        <v>410</v>
      </c>
      <c r="B1675" s="50">
        <v>44285.0</v>
      </c>
      <c r="C1675" s="49" t="s">
        <v>777</v>
      </c>
      <c r="D1675" s="49">
        <v>0.0</v>
      </c>
    </row>
    <row r="1676" ht="15.0" hidden="1" customHeight="1">
      <c r="A1676" s="49" t="s">
        <v>415</v>
      </c>
      <c r="B1676" s="50">
        <v>44285.0</v>
      </c>
      <c r="C1676" s="49" t="s">
        <v>777</v>
      </c>
      <c r="D1676" s="49">
        <v>0.0</v>
      </c>
    </row>
    <row r="1677" ht="15.0" hidden="1" customHeight="1">
      <c r="A1677" s="49" t="s">
        <v>420</v>
      </c>
      <c r="B1677" s="50">
        <v>44285.0</v>
      </c>
      <c r="C1677" s="49" t="s">
        <v>777</v>
      </c>
      <c r="D1677" s="49">
        <v>0.0</v>
      </c>
    </row>
    <row r="1678" ht="15.0" hidden="1" customHeight="1">
      <c r="A1678" s="49" t="s">
        <v>425</v>
      </c>
      <c r="B1678" s="50">
        <v>44285.0</v>
      </c>
      <c r="C1678" s="49" t="s">
        <v>777</v>
      </c>
      <c r="D1678" s="49">
        <v>0.0</v>
      </c>
    </row>
    <row r="1679" ht="15.0" hidden="1" customHeight="1">
      <c r="A1679" s="49" t="s">
        <v>430</v>
      </c>
      <c r="B1679" s="50">
        <v>44285.0</v>
      </c>
      <c r="C1679" s="49" t="s">
        <v>777</v>
      </c>
      <c r="D1679" s="49">
        <v>0.0</v>
      </c>
    </row>
    <row r="1680" ht="15.0" hidden="1" customHeight="1">
      <c r="A1680" s="49" t="s">
        <v>434</v>
      </c>
      <c r="B1680" s="50">
        <v>44285.0</v>
      </c>
      <c r="C1680" s="49" t="s">
        <v>777</v>
      </c>
      <c r="D1680" s="49">
        <v>0.0</v>
      </c>
    </row>
    <row r="1681" ht="15.0" hidden="1" customHeight="1">
      <c r="A1681" s="49" t="s">
        <v>439</v>
      </c>
      <c r="B1681" s="50">
        <v>44285.0</v>
      </c>
      <c r="C1681" s="49" t="s">
        <v>777</v>
      </c>
      <c r="D1681" s="49">
        <v>0.0</v>
      </c>
    </row>
    <row r="1682" ht="15.0" hidden="1" customHeight="1">
      <c r="A1682" s="49" t="s">
        <v>444</v>
      </c>
      <c r="B1682" s="50">
        <v>44285.0</v>
      </c>
      <c r="C1682" s="49" t="s">
        <v>777</v>
      </c>
      <c r="D1682" s="49">
        <v>0.0</v>
      </c>
    </row>
    <row r="1683" ht="15.0" hidden="1" customHeight="1">
      <c r="A1683" s="49" t="s">
        <v>449</v>
      </c>
      <c r="B1683" s="50">
        <v>44285.0</v>
      </c>
      <c r="C1683" s="49" t="s">
        <v>777</v>
      </c>
      <c r="D1683" s="49">
        <v>0.0</v>
      </c>
    </row>
    <row r="1684" ht="15.0" hidden="1" customHeight="1">
      <c r="A1684" s="49" t="s">
        <v>455</v>
      </c>
      <c r="B1684" s="50">
        <v>44285.0</v>
      </c>
      <c r="C1684" s="49" t="s">
        <v>777</v>
      </c>
      <c r="D1684" s="49">
        <v>0.0</v>
      </c>
    </row>
    <row r="1685" ht="15.0" hidden="1" customHeight="1">
      <c r="A1685" s="49" t="s">
        <v>470</v>
      </c>
      <c r="B1685" s="50">
        <v>44285.0</v>
      </c>
      <c r="C1685" s="49" t="s">
        <v>777</v>
      </c>
      <c r="D1685" s="49">
        <v>0.0</v>
      </c>
    </row>
    <row r="1686" ht="15.0" hidden="1" customHeight="1">
      <c r="A1686" s="49" t="s">
        <v>476</v>
      </c>
      <c r="B1686" s="50">
        <v>44285.0</v>
      </c>
      <c r="C1686" s="49" t="s">
        <v>777</v>
      </c>
      <c r="D1686" s="49">
        <v>0.0</v>
      </c>
    </row>
    <row r="1687" ht="15.0" hidden="1" customHeight="1">
      <c r="A1687" s="49" t="s">
        <v>481</v>
      </c>
      <c r="B1687" s="50">
        <v>44285.0</v>
      </c>
      <c r="C1687" s="49" t="s">
        <v>777</v>
      </c>
      <c r="D1687" s="49">
        <v>0.0</v>
      </c>
    </row>
    <row r="1688" ht="15.0" hidden="1" customHeight="1">
      <c r="A1688" s="49" t="s">
        <v>486</v>
      </c>
      <c r="B1688" s="50">
        <v>44285.0</v>
      </c>
      <c r="C1688" s="49" t="s">
        <v>777</v>
      </c>
      <c r="D1688" s="49">
        <v>0.0</v>
      </c>
    </row>
    <row r="1689" ht="15.0" hidden="1" customHeight="1">
      <c r="A1689" s="49" t="s">
        <v>491</v>
      </c>
      <c r="B1689" s="50">
        <v>44285.0</v>
      </c>
      <c r="C1689" s="49" t="s">
        <v>777</v>
      </c>
      <c r="D1689" s="49">
        <v>0.0</v>
      </c>
    </row>
    <row r="1690" ht="15.0" hidden="1" customHeight="1">
      <c r="A1690" s="49" t="s">
        <v>496</v>
      </c>
      <c r="B1690" s="50">
        <v>44285.0</v>
      </c>
      <c r="C1690" s="49" t="s">
        <v>777</v>
      </c>
      <c r="D1690" s="49">
        <v>0.0</v>
      </c>
    </row>
    <row r="1691" ht="15.0" hidden="1" customHeight="1">
      <c r="A1691" s="49" t="s">
        <v>501</v>
      </c>
      <c r="B1691" s="50">
        <v>44285.0</v>
      </c>
      <c r="C1691" s="49" t="s">
        <v>777</v>
      </c>
      <c r="D1691" s="49">
        <v>0.0</v>
      </c>
    </row>
    <row r="1692" ht="15.0" hidden="1" customHeight="1">
      <c r="A1692" s="49" t="s">
        <v>506</v>
      </c>
      <c r="B1692" s="50">
        <v>44285.0</v>
      </c>
      <c r="C1692" s="49" t="s">
        <v>777</v>
      </c>
      <c r="D1692" s="49">
        <v>0.0</v>
      </c>
    </row>
    <row r="1693" ht="15.0" hidden="1" customHeight="1">
      <c r="A1693" s="49" t="s">
        <v>512</v>
      </c>
      <c r="B1693" s="50">
        <v>44285.0</v>
      </c>
      <c r="C1693" s="49" t="s">
        <v>777</v>
      </c>
      <c r="D1693" s="49">
        <v>0.0</v>
      </c>
    </row>
    <row r="1694" ht="15.0" hidden="1" customHeight="1">
      <c r="A1694" s="49" t="s">
        <v>517</v>
      </c>
      <c r="B1694" s="50">
        <v>44285.0</v>
      </c>
      <c r="C1694" s="49" t="s">
        <v>777</v>
      </c>
      <c r="D1694" s="49">
        <v>0.0</v>
      </c>
    </row>
    <row r="1695" ht="15.0" hidden="1" customHeight="1">
      <c r="A1695" s="49" t="s">
        <v>522</v>
      </c>
      <c r="B1695" s="50">
        <v>44285.0</v>
      </c>
      <c r="C1695" s="49" t="s">
        <v>777</v>
      </c>
      <c r="D1695" s="49">
        <v>0.0</v>
      </c>
    </row>
    <row r="1696" ht="15.0" hidden="1" customHeight="1">
      <c r="A1696" s="49" t="s">
        <v>528</v>
      </c>
      <c r="B1696" s="50">
        <v>44285.0</v>
      </c>
      <c r="C1696" s="49" t="s">
        <v>777</v>
      </c>
      <c r="D1696" s="49">
        <v>0.0</v>
      </c>
    </row>
    <row r="1697" ht="15.0" hidden="1" customHeight="1">
      <c r="A1697" s="49" t="s">
        <v>533</v>
      </c>
      <c r="B1697" s="50">
        <v>44285.0</v>
      </c>
      <c r="C1697" s="49" t="s">
        <v>777</v>
      </c>
      <c r="D1697" s="49">
        <v>0.0</v>
      </c>
    </row>
    <row r="1698" ht="15.0" hidden="1" customHeight="1">
      <c r="A1698" s="49" t="s">
        <v>538</v>
      </c>
      <c r="B1698" s="50">
        <v>44285.0</v>
      </c>
      <c r="C1698" s="49" t="s">
        <v>777</v>
      </c>
      <c r="D1698" s="49">
        <v>0.0</v>
      </c>
    </row>
    <row r="1699" ht="15.0" hidden="1" customHeight="1">
      <c r="A1699" s="49" t="s">
        <v>546</v>
      </c>
      <c r="B1699" s="50">
        <v>44285.0</v>
      </c>
      <c r="C1699" s="49" t="s">
        <v>777</v>
      </c>
      <c r="D1699" s="49">
        <v>0.0</v>
      </c>
    </row>
    <row r="1700" ht="15.0" hidden="1" customHeight="1">
      <c r="A1700" s="49" t="s">
        <v>551</v>
      </c>
      <c r="B1700" s="50">
        <v>44285.0</v>
      </c>
      <c r="C1700" s="49" t="s">
        <v>777</v>
      </c>
      <c r="D1700" s="49">
        <v>0.0</v>
      </c>
    </row>
    <row r="1701" ht="15.0" hidden="1" customHeight="1">
      <c r="A1701" s="49" t="s">
        <v>556</v>
      </c>
      <c r="B1701" s="50">
        <v>44285.0</v>
      </c>
      <c r="C1701" s="49" t="s">
        <v>777</v>
      </c>
      <c r="D1701" s="49">
        <v>0.0</v>
      </c>
    </row>
    <row r="1702" ht="15.0" hidden="1" customHeight="1">
      <c r="A1702" s="49" t="s">
        <v>561</v>
      </c>
      <c r="B1702" s="50">
        <v>44285.0</v>
      </c>
      <c r="C1702" s="49" t="s">
        <v>777</v>
      </c>
      <c r="D1702" s="49">
        <v>0.0</v>
      </c>
    </row>
    <row r="1703" ht="15.0" hidden="1" customHeight="1">
      <c r="A1703" s="49" t="s">
        <v>566</v>
      </c>
      <c r="B1703" s="50">
        <v>44285.0</v>
      </c>
      <c r="C1703" s="49" t="s">
        <v>777</v>
      </c>
      <c r="D1703" s="49">
        <v>0.0</v>
      </c>
    </row>
    <row r="1704" ht="15.0" hidden="1" customHeight="1">
      <c r="A1704" s="49" t="s">
        <v>571</v>
      </c>
      <c r="B1704" s="50">
        <v>44285.0</v>
      </c>
      <c r="C1704" s="49" t="s">
        <v>777</v>
      </c>
      <c r="D1704" s="49">
        <v>0.0</v>
      </c>
    </row>
    <row r="1705" ht="15.0" hidden="1" customHeight="1">
      <c r="A1705" s="49" t="s">
        <v>576</v>
      </c>
      <c r="B1705" s="50">
        <v>44285.0</v>
      </c>
      <c r="C1705" s="49" t="s">
        <v>777</v>
      </c>
      <c r="D1705" s="49">
        <v>0.0</v>
      </c>
    </row>
    <row r="1706" ht="15.0" hidden="1" customHeight="1">
      <c r="A1706" s="49" t="s">
        <v>581</v>
      </c>
      <c r="B1706" s="50">
        <v>44285.0</v>
      </c>
      <c r="C1706" s="49" t="s">
        <v>777</v>
      </c>
      <c r="D1706" s="49">
        <v>0.0</v>
      </c>
    </row>
    <row r="1707" ht="15.0" hidden="1" customHeight="1">
      <c r="A1707" s="49" t="s">
        <v>586</v>
      </c>
      <c r="B1707" s="50">
        <v>44285.0</v>
      </c>
      <c r="C1707" s="49" t="s">
        <v>777</v>
      </c>
      <c r="D1707" s="49">
        <v>0.0</v>
      </c>
    </row>
    <row r="1708" ht="15.0" hidden="1" customHeight="1">
      <c r="A1708" s="49" t="s">
        <v>754</v>
      </c>
      <c r="B1708" s="50">
        <v>44285.0</v>
      </c>
      <c r="C1708" s="49" t="s">
        <v>777</v>
      </c>
      <c r="D1708" s="49">
        <v>0.0</v>
      </c>
    </row>
    <row r="1709" ht="15.0" hidden="1" customHeight="1">
      <c r="A1709" s="49" t="s">
        <v>591</v>
      </c>
      <c r="B1709" s="50">
        <v>44285.0</v>
      </c>
      <c r="C1709" s="49" t="s">
        <v>777</v>
      </c>
      <c r="D1709" s="49">
        <v>0.0</v>
      </c>
    </row>
    <row r="1710" ht="15.0" hidden="1" customHeight="1">
      <c r="A1710" s="49" t="s">
        <v>759</v>
      </c>
      <c r="B1710" s="50">
        <v>44285.0</v>
      </c>
      <c r="C1710" s="49" t="s">
        <v>777</v>
      </c>
      <c r="D1710" s="49">
        <v>0.0</v>
      </c>
    </row>
    <row r="1711" ht="15.0" hidden="1" customHeight="1">
      <c r="A1711" s="49" t="s">
        <v>596</v>
      </c>
      <c r="B1711" s="50">
        <v>44285.0</v>
      </c>
      <c r="C1711" s="49" t="s">
        <v>777</v>
      </c>
      <c r="D1711" s="49">
        <v>0.0</v>
      </c>
    </row>
    <row r="1712" ht="15.0" hidden="1" customHeight="1">
      <c r="A1712" s="49" t="s">
        <v>602</v>
      </c>
      <c r="B1712" s="50">
        <v>44285.0</v>
      </c>
      <c r="C1712" s="49" t="s">
        <v>777</v>
      </c>
      <c r="D1712" s="49">
        <v>0.0</v>
      </c>
    </row>
    <row r="1713" ht="15.0" hidden="1" customHeight="1">
      <c r="A1713" s="49" t="s">
        <v>607</v>
      </c>
      <c r="B1713" s="50">
        <v>44285.0</v>
      </c>
      <c r="C1713" s="49" t="s">
        <v>777</v>
      </c>
      <c r="D1713" s="49">
        <v>0.0</v>
      </c>
    </row>
    <row r="1714" ht="15.0" hidden="1" customHeight="1">
      <c r="A1714" s="49" t="s">
        <v>612</v>
      </c>
      <c r="B1714" s="50">
        <v>44285.0</v>
      </c>
      <c r="C1714" s="49" t="s">
        <v>777</v>
      </c>
      <c r="D1714" s="49">
        <v>0.0</v>
      </c>
    </row>
    <row r="1715" ht="15.0" hidden="1" customHeight="1">
      <c r="A1715" s="49" t="s">
        <v>617</v>
      </c>
      <c r="B1715" s="50">
        <v>44285.0</v>
      </c>
      <c r="C1715" s="49" t="s">
        <v>777</v>
      </c>
      <c r="D1715" s="49">
        <v>0.0</v>
      </c>
    </row>
    <row r="1716" ht="15.0" hidden="1" customHeight="1">
      <c r="A1716" s="49" t="s">
        <v>622</v>
      </c>
      <c r="B1716" s="50">
        <v>44285.0</v>
      </c>
      <c r="C1716" s="49" t="s">
        <v>777</v>
      </c>
      <c r="D1716" s="49">
        <v>0.0</v>
      </c>
    </row>
    <row r="1717" ht="15.0" hidden="1" customHeight="1">
      <c r="A1717" s="49" t="s">
        <v>627</v>
      </c>
      <c r="B1717" s="50">
        <v>44285.0</v>
      </c>
      <c r="C1717" s="49" t="s">
        <v>777</v>
      </c>
      <c r="D1717" s="49">
        <v>0.0</v>
      </c>
    </row>
    <row r="1718" ht="15.0" hidden="1" customHeight="1">
      <c r="A1718" s="49" t="s">
        <v>631</v>
      </c>
      <c r="B1718" s="50">
        <v>44285.0</v>
      </c>
      <c r="C1718" s="49" t="s">
        <v>777</v>
      </c>
      <c r="D1718" s="49">
        <v>0.0</v>
      </c>
    </row>
    <row r="1719" ht="15.0" hidden="1" customHeight="1">
      <c r="A1719" s="49" t="s">
        <v>636</v>
      </c>
      <c r="B1719" s="50">
        <v>44285.0</v>
      </c>
      <c r="C1719" s="49" t="s">
        <v>777</v>
      </c>
      <c r="D1719" s="49">
        <v>0.0</v>
      </c>
    </row>
    <row r="1720" ht="15.0" hidden="1" customHeight="1">
      <c r="A1720" s="49" t="s">
        <v>640</v>
      </c>
      <c r="B1720" s="50">
        <v>44285.0</v>
      </c>
      <c r="C1720" s="49" t="s">
        <v>777</v>
      </c>
      <c r="D1720" s="49">
        <v>0.0</v>
      </c>
    </row>
    <row r="1721" ht="15.0" hidden="1" customHeight="1">
      <c r="A1721" s="49" t="s">
        <v>644</v>
      </c>
      <c r="B1721" s="50">
        <v>44285.0</v>
      </c>
      <c r="C1721" s="49" t="s">
        <v>777</v>
      </c>
      <c r="D1721" s="49">
        <v>0.0</v>
      </c>
    </row>
    <row r="1722" ht="15.0" hidden="1" customHeight="1">
      <c r="A1722" s="49" t="s">
        <v>649</v>
      </c>
      <c r="B1722" s="50">
        <v>44285.0</v>
      </c>
      <c r="C1722" s="49" t="s">
        <v>777</v>
      </c>
      <c r="D1722" s="49">
        <v>0.0</v>
      </c>
    </row>
    <row r="1723" ht="15.0" hidden="1" customHeight="1">
      <c r="A1723" s="49" t="s">
        <v>654</v>
      </c>
      <c r="B1723" s="50">
        <v>44285.0</v>
      </c>
      <c r="C1723" s="49" t="s">
        <v>777</v>
      </c>
      <c r="D1723" s="49">
        <v>0.0</v>
      </c>
    </row>
    <row r="1724" ht="15.0" hidden="1" customHeight="1">
      <c r="A1724" s="49" t="s">
        <v>659</v>
      </c>
      <c r="B1724" s="50">
        <v>44285.0</v>
      </c>
      <c r="C1724" s="49" t="s">
        <v>777</v>
      </c>
      <c r="D1724" s="49">
        <v>0.0</v>
      </c>
    </row>
    <row r="1725" ht="15.0" hidden="1" customHeight="1">
      <c r="A1725" s="49" t="s">
        <v>664</v>
      </c>
      <c r="B1725" s="50">
        <v>44285.0</v>
      </c>
      <c r="C1725" s="49" t="s">
        <v>777</v>
      </c>
      <c r="D1725" s="49">
        <v>0.0</v>
      </c>
    </row>
    <row r="1726" ht="15.0" hidden="1" customHeight="1">
      <c r="A1726" s="49" t="s">
        <v>669</v>
      </c>
      <c r="B1726" s="50">
        <v>44285.0</v>
      </c>
      <c r="C1726" s="49" t="s">
        <v>777</v>
      </c>
      <c r="D1726" s="49">
        <v>0.0</v>
      </c>
    </row>
    <row r="1727" ht="15.0" hidden="1" customHeight="1">
      <c r="A1727" s="49" t="s">
        <v>674</v>
      </c>
      <c r="B1727" s="50">
        <v>44285.0</v>
      </c>
      <c r="C1727" s="49" t="s">
        <v>777</v>
      </c>
      <c r="D1727" s="49">
        <v>0.0</v>
      </c>
    </row>
    <row r="1728" ht="15.0" hidden="1" customHeight="1">
      <c r="A1728" s="49" t="s">
        <v>679</v>
      </c>
      <c r="B1728" s="50">
        <v>44285.0</v>
      </c>
      <c r="C1728" s="49" t="s">
        <v>777</v>
      </c>
      <c r="D1728" s="49">
        <v>0.0</v>
      </c>
    </row>
    <row r="1729" ht="15.0" hidden="1" customHeight="1">
      <c r="A1729" s="49" t="s">
        <v>684</v>
      </c>
      <c r="B1729" s="50">
        <v>44285.0</v>
      </c>
      <c r="C1729" s="49" t="s">
        <v>777</v>
      </c>
      <c r="D1729" s="49">
        <v>0.0</v>
      </c>
    </row>
    <row r="1730" ht="15.0" hidden="1" customHeight="1">
      <c r="A1730" s="49" t="s">
        <v>689</v>
      </c>
      <c r="B1730" s="50">
        <v>44285.0</v>
      </c>
      <c r="C1730" s="49" t="s">
        <v>777</v>
      </c>
      <c r="D1730" s="49">
        <v>0.0</v>
      </c>
    </row>
    <row r="1731" ht="15.0" hidden="1" customHeight="1">
      <c r="A1731" s="49" t="s">
        <v>694</v>
      </c>
      <c r="B1731" s="50">
        <v>44285.0</v>
      </c>
      <c r="C1731" s="49" t="s">
        <v>777</v>
      </c>
      <c r="D1731" s="49">
        <v>0.0</v>
      </c>
    </row>
    <row r="1732" ht="15.0" hidden="1" customHeight="1">
      <c r="A1732" s="49" t="s">
        <v>699</v>
      </c>
      <c r="B1732" s="50">
        <v>44285.0</v>
      </c>
      <c r="C1732" s="49" t="s">
        <v>777</v>
      </c>
      <c r="D1732" s="49">
        <v>0.0</v>
      </c>
    </row>
    <row r="1733" ht="15.0" hidden="1" customHeight="1">
      <c r="A1733" s="49" t="s">
        <v>705</v>
      </c>
      <c r="B1733" s="50">
        <v>44285.0</v>
      </c>
      <c r="C1733" s="49" t="s">
        <v>777</v>
      </c>
      <c r="D1733" s="49">
        <v>0.0</v>
      </c>
    </row>
    <row r="1734" ht="15.0" hidden="1" customHeight="1">
      <c r="A1734" s="49" t="s">
        <v>710</v>
      </c>
      <c r="B1734" s="50">
        <v>44285.0</v>
      </c>
      <c r="C1734" s="49" t="s">
        <v>777</v>
      </c>
      <c r="D1734" s="49">
        <v>0.0</v>
      </c>
    </row>
    <row r="1735" ht="15.0" hidden="1" customHeight="1">
      <c r="A1735" s="49" t="s">
        <v>715</v>
      </c>
      <c r="B1735" s="50">
        <v>44285.0</v>
      </c>
      <c r="C1735" s="49" t="s">
        <v>777</v>
      </c>
      <c r="D1735" s="49">
        <v>0.0</v>
      </c>
    </row>
    <row r="1736" ht="15.0" hidden="1" customHeight="1">
      <c r="A1736" s="49" t="s">
        <v>765</v>
      </c>
      <c r="B1736" s="50">
        <v>44285.0</v>
      </c>
      <c r="C1736" s="49" t="s">
        <v>777</v>
      </c>
      <c r="D1736" s="49">
        <v>0.0</v>
      </c>
    </row>
    <row r="1737" ht="15.0" hidden="1" customHeight="1">
      <c r="A1737" s="49" t="s">
        <v>720</v>
      </c>
      <c r="B1737" s="50">
        <v>44285.0</v>
      </c>
      <c r="C1737" s="49" t="s">
        <v>777</v>
      </c>
      <c r="D1737" s="49">
        <v>0.0</v>
      </c>
    </row>
    <row r="1738" ht="15.0" hidden="1" customHeight="1">
      <c r="A1738" s="49" t="s">
        <v>725</v>
      </c>
      <c r="B1738" s="50">
        <v>44285.0</v>
      </c>
      <c r="C1738" s="49" t="s">
        <v>777</v>
      </c>
      <c r="D1738" s="49">
        <v>0.0</v>
      </c>
    </row>
    <row r="1739" ht="15.0" hidden="1" customHeight="1">
      <c r="A1739" s="49" t="s">
        <v>730</v>
      </c>
      <c r="B1739" s="50">
        <v>44285.0</v>
      </c>
      <c r="C1739" s="49" t="s">
        <v>777</v>
      </c>
      <c r="D1739" s="49">
        <v>0.0</v>
      </c>
    </row>
    <row r="1740" ht="15.0" hidden="1" customHeight="1">
      <c r="A1740" s="49" t="s">
        <v>734</v>
      </c>
      <c r="B1740" s="50">
        <v>44285.0</v>
      </c>
      <c r="C1740" s="49" t="s">
        <v>777</v>
      </c>
      <c r="D1740" s="49">
        <v>0.0</v>
      </c>
    </row>
    <row r="1741" ht="15.0" hidden="1" customHeight="1">
      <c r="A1741" s="49" t="s">
        <v>739</v>
      </c>
      <c r="B1741" s="50">
        <v>44285.0</v>
      </c>
      <c r="C1741" s="49" t="s">
        <v>777</v>
      </c>
      <c r="D1741" s="49">
        <v>0.0</v>
      </c>
    </row>
    <row r="1742" ht="15.0" hidden="1" customHeight="1">
      <c r="A1742" s="49" t="s">
        <v>744</v>
      </c>
      <c r="B1742" s="50">
        <v>44285.0</v>
      </c>
      <c r="C1742" s="49" t="s">
        <v>777</v>
      </c>
      <c r="D1742" s="49">
        <v>0.0</v>
      </c>
    </row>
    <row r="1743" ht="15.0" hidden="1" customHeight="1">
      <c r="A1743" s="49" t="s">
        <v>749</v>
      </c>
      <c r="B1743" s="50">
        <v>44285.0</v>
      </c>
      <c r="C1743" s="49" t="s">
        <v>777</v>
      </c>
      <c r="D1743" s="49">
        <v>0.0</v>
      </c>
    </row>
    <row r="1744" ht="15.0" customHeight="1">
      <c r="A1744" s="49" t="s">
        <v>776</v>
      </c>
      <c r="B1744" s="50">
        <v>44285.0</v>
      </c>
      <c r="C1744" s="49" t="s">
        <v>78</v>
      </c>
      <c r="D1744" s="49">
        <v>0.0</v>
      </c>
    </row>
    <row r="1745" ht="15.0" hidden="1" customHeight="1">
      <c r="A1745" s="49" t="s">
        <v>778</v>
      </c>
      <c r="B1745" s="50">
        <v>44285.0</v>
      </c>
      <c r="C1745" s="49" t="s">
        <v>78</v>
      </c>
      <c r="D1745" s="49">
        <v>0.0</v>
      </c>
    </row>
    <row r="1746" ht="15.0" hidden="1" customHeight="1">
      <c r="A1746" s="49" t="s">
        <v>92</v>
      </c>
      <c r="B1746" s="50">
        <v>44285.0</v>
      </c>
      <c r="C1746" s="49" t="s">
        <v>78</v>
      </c>
      <c r="D1746" s="49">
        <v>0.0</v>
      </c>
    </row>
    <row r="1747" ht="15.0" hidden="1" customHeight="1">
      <c r="A1747" s="49" t="s">
        <v>97</v>
      </c>
      <c r="B1747" s="50">
        <v>44285.0</v>
      </c>
      <c r="C1747" s="49" t="s">
        <v>78</v>
      </c>
      <c r="D1747" s="49">
        <v>0.0</v>
      </c>
    </row>
    <row r="1748" ht="15.0" hidden="1" customHeight="1">
      <c r="A1748" s="49" t="s">
        <v>102</v>
      </c>
      <c r="B1748" s="50">
        <v>44285.0</v>
      </c>
      <c r="C1748" s="49" t="s">
        <v>78</v>
      </c>
      <c r="D1748" s="49">
        <v>0.0</v>
      </c>
    </row>
    <row r="1749" ht="15.0" hidden="1" customHeight="1">
      <c r="A1749" s="49" t="s">
        <v>106</v>
      </c>
      <c r="B1749" s="50">
        <v>44285.0</v>
      </c>
      <c r="C1749" s="49" t="s">
        <v>78</v>
      </c>
      <c r="D1749" s="49">
        <v>0.0</v>
      </c>
    </row>
    <row r="1750" ht="15.0" hidden="1" customHeight="1">
      <c r="A1750" s="49" t="s">
        <v>111</v>
      </c>
      <c r="B1750" s="50">
        <v>44285.0</v>
      </c>
      <c r="C1750" s="49" t="s">
        <v>78</v>
      </c>
      <c r="D1750" s="49">
        <v>0.0</v>
      </c>
    </row>
    <row r="1751" ht="15.0" hidden="1" customHeight="1">
      <c r="A1751" s="49" t="s">
        <v>116</v>
      </c>
      <c r="B1751" s="50">
        <v>44285.0</v>
      </c>
      <c r="C1751" s="49" t="s">
        <v>78</v>
      </c>
      <c r="D1751" s="49">
        <v>0.0</v>
      </c>
    </row>
    <row r="1752" ht="15.0" hidden="1" customHeight="1">
      <c r="A1752" s="49" t="s">
        <v>120</v>
      </c>
      <c r="B1752" s="50">
        <v>44285.0</v>
      </c>
      <c r="C1752" s="49" t="s">
        <v>78</v>
      </c>
      <c r="D1752" s="49">
        <v>0.0</v>
      </c>
    </row>
    <row r="1753" ht="15.0" hidden="1" customHeight="1">
      <c r="A1753" s="49" t="s">
        <v>125</v>
      </c>
      <c r="B1753" s="50">
        <v>44285.0</v>
      </c>
      <c r="C1753" s="49" t="s">
        <v>78</v>
      </c>
      <c r="D1753" s="49">
        <v>0.0</v>
      </c>
    </row>
    <row r="1754" ht="15.0" hidden="1" customHeight="1">
      <c r="A1754" s="49" t="s">
        <v>130</v>
      </c>
      <c r="B1754" s="50">
        <v>44285.0</v>
      </c>
      <c r="C1754" s="49" t="s">
        <v>78</v>
      </c>
      <c r="D1754" s="49">
        <v>0.0</v>
      </c>
    </row>
    <row r="1755" ht="15.0" hidden="1" customHeight="1">
      <c r="A1755" s="49" t="s">
        <v>137</v>
      </c>
      <c r="B1755" s="50">
        <v>44285.0</v>
      </c>
      <c r="C1755" s="49" t="s">
        <v>78</v>
      </c>
      <c r="D1755" s="49">
        <v>0.0</v>
      </c>
    </row>
    <row r="1756" ht="15.0" hidden="1" customHeight="1">
      <c r="A1756" s="49" t="s">
        <v>142</v>
      </c>
      <c r="B1756" s="50">
        <v>44285.0</v>
      </c>
      <c r="C1756" s="49" t="s">
        <v>78</v>
      </c>
      <c r="D1756" s="49">
        <v>0.0</v>
      </c>
    </row>
    <row r="1757" ht="15.0" hidden="1" customHeight="1">
      <c r="A1757" s="49" t="s">
        <v>147</v>
      </c>
      <c r="B1757" s="50">
        <v>44285.0</v>
      </c>
      <c r="C1757" s="49" t="s">
        <v>78</v>
      </c>
      <c r="D1757" s="49">
        <v>0.0</v>
      </c>
    </row>
    <row r="1758" ht="15.0" hidden="1" customHeight="1">
      <c r="A1758" s="49" t="s">
        <v>152</v>
      </c>
      <c r="B1758" s="50">
        <v>44285.0</v>
      </c>
      <c r="C1758" s="49" t="s">
        <v>78</v>
      </c>
      <c r="D1758" s="49">
        <v>0.0</v>
      </c>
    </row>
    <row r="1759" ht="15.0" hidden="1" customHeight="1">
      <c r="A1759" s="49" t="s">
        <v>157</v>
      </c>
      <c r="B1759" s="50">
        <v>44285.0</v>
      </c>
      <c r="C1759" s="49" t="s">
        <v>78</v>
      </c>
      <c r="D1759" s="49">
        <v>175000.0</v>
      </c>
    </row>
    <row r="1760" ht="15.0" hidden="1" customHeight="1">
      <c r="A1760" s="49" t="s">
        <v>162</v>
      </c>
      <c r="B1760" s="50">
        <v>44285.0</v>
      </c>
      <c r="C1760" s="49" t="s">
        <v>78</v>
      </c>
      <c r="D1760" s="49">
        <v>0.0</v>
      </c>
    </row>
    <row r="1761" ht="15.0" hidden="1" customHeight="1">
      <c r="A1761" s="49" t="s">
        <v>167</v>
      </c>
      <c r="B1761" s="50">
        <v>44285.0</v>
      </c>
      <c r="C1761" s="49" t="s">
        <v>78</v>
      </c>
      <c r="D1761" s="49">
        <v>0.0</v>
      </c>
    </row>
    <row r="1762" ht="15.0" hidden="1" customHeight="1">
      <c r="A1762" s="49" t="s">
        <v>172</v>
      </c>
      <c r="B1762" s="50">
        <v>44285.0</v>
      </c>
      <c r="C1762" s="49" t="s">
        <v>78</v>
      </c>
      <c r="D1762" s="49">
        <v>0.0</v>
      </c>
    </row>
    <row r="1763" ht="15.0" hidden="1" customHeight="1">
      <c r="A1763" s="49" t="s">
        <v>177</v>
      </c>
      <c r="B1763" s="50">
        <v>44285.0</v>
      </c>
      <c r="C1763" s="49" t="s">
        <v>78</v>
      </c>
      <c r="D1763" s="49">
        <v>4388400.0</v>
      </c>
    </row>
    <row r="1764" ht="15.0" hidden="1" customHeight="1">
      <c r="A1764" s="49" t="s">
        <v>182</v>
      </c>
      <c r="B1764" s="50">
        <v>44285.0</v>
      </c>
      <c r="C1764" s="49" t="s">
        <v>78</v>
      </c>
      <c r="D1764" s="49">
        <v>700000.0</v>
      </c>
    </row>
    <row r="1765" ht="15.0" hidden="1" customHeight="1">
      <c r="A1765" s="49" t="s">
        <v>187</v>
      </c>
      <c r="B1765" s="50">
        <v>44285.0</v>
      </c>
      <c r="C1765" s="49" t="s">
        <v>78</v>
      </c>
      <c r="D1765" s="49">
        <v>165000.0</v>
      </c>
    </row>
    <row r="1766" ht="15.0" hidden="1" customHeight="1">
      <c r="A1766" s="49" t="s">
        <v>192</v>
      </c>
      <c r="B1766" s="50">
        <v>44285.0</v>
      </c>
      <c r="C1766" s="49" t="s">
        <v>78</v>
      </c>
      <c r="D1766" s="49">
        <v>0.0</v>
      </c>
    </row>
    <row r="1767" ht="15.0" hidden="1" customHeight="1">
      <c r="A1767" s="49" t="s">
        <v>197</v>
      </c>
      <c r="B1767" s="50">
        <v>44285.0</v>
      </c>
      <c r="C1767" s="49" t="s">
        <v>78</v>
      </c>
      <c r="D1767" s="49">
        <v>0.0</v>
      </c>
    </row>
    <row r="1768" ht="15.0" hidden="1" customHeight="1">
      <c r="A1768" s="49" t="s">
        <v>202</v>
      </c>
      <c r="B1768" s="50">
        <v>44285.0</v>
      </c>
      <c r="C1768" s="49" t="s">
        <v>78</v>
      </c>
      <c r="D1768" s="49">
        <v>0.0</v>
      </c>
    </row>
    <row r="1769" ht="15.0" hidden="1" customHeight="1">
      <c r="A1769" s="49" t="s">
        <v>206</v>
      </c>
      <c r="B1769" s="50">
        <v>44285.0</v>
      </c>
      <c r="C1769" s="49" t="s">
        <v>78</v>
      </c>
      <c r="D1769" s="49">
        <v>0.0</v>
      </c>
    </row>
    <row r="1770" ht="15.0" hidden="1" customHeight="1">
      <c r="A1770" s="49" t="s">
        <v>211</v>
      </c>
      <c r="B1770" s="50">
        <v>44285.0</v>
      </c>
      <c r="C1770" s="49" t="s">
        <v>78</v>
      </c>
      <c r="D1770" s="49">
        <v>0.0</v>
      </c>
    </row>
    <row r="1771" ht="15.0" hidden="1" customHeight="1">
      <c r="A1771" s="49" t="s">
        <v>779</v>
      </c>
      <c r="B1771" s="50">
        <v>44285.0</v>
      </c>
      <c r="C1771" s="49" t="s">
        <v>78</v>
      </c>
      <c r="D1771" s="49">
        <v>0.0</v>
      </c>
    </row>
    <row r="1772" ht="15.0" hidden="1" customHeight="1">
      <c r="A1772" s="49" t="s">
        <v>221</v>
      </c>
      <c r="B1772" s="50">
        <v>44285.0</v>
      </c>
      <c r="C1772" s="49" t="s">
        <v>78</v>
      </c>
      <c r="D1772" s="49">
        <v>0.0</v>
      </c>
    </row>
    <row r="1773" ht="15.0" hidden="1" customHeight="1">
      <c r="A1773" s="49" t="s">
        <v>226</v>
      </c>
      <c r="B1773" s="50">
        <v>44285.0</v>
      </c>
      <c r="C1773" s="49" t="s">
        <v>78</v>
      </c>
      <c r="D1773" s="49">
        <v>0.0</v>
      </c>
    </row>
    <row r="1774" ht="15.0" hidden="1" customHeight="1">
      <c r="A1774" s="49" t="s">
        <v>231</v>
      </c>
      <c r="B1774" s="50">
        <v>44285.0</v>
      </c>
      <c r="C1774" s="49" t="s">
        <v>78</v>
      </c>
      <c r="D1774" s="49">
        <v>0.0</v>
      </c>
    </row>
    <row r="1775" ht="15.0" hidden="1" customHeight="1">
      <c r="A1775" s="49" t="s">
        <v>236</v>
      </c>
      <c r="B1775" s="50">
        <v>44285.0</v>
      </c>
      <c r="C1775" s="49" t="s">
        <v>78</v>
      </c>
      <c r="D1775" s="49">
        <v>0.0</v>
      </c>
    </row>
    <row r="1776" ht="15.0" hidden="1" customHeight="1">
      <c r="A1776" s="49" t="s">
        <v>242</v>
      </c>
      <c r="B1776" s="50">
        <v>44285.0</v>
      </c>
      <c r="C1776" s="49" t="s">
        <v>78</v>
      </c>
      <c r="D1776" s="49">
        <v>0.0</v>
      </c>
    </row>
    <row r="1777" ht="15.0" hidden="1" customHeight="1">
      <c r="A1777" s="49" t="s">
        <v>248</v>
      </c>
      <c r="B1777" s="50">
        <v>44285.0</v>
      </c>
      <c r="C1777" s="49" t="s">
        <v>78</v>
      </c>
      <c r="D1777" s="49">
        <v>0.0</v>
      </c>
    </row>
    <row r="1778" ht="15.0" hidden="1" customHeight="1">
      <c r="A1778" s="49" t="s">
        <v>253</v>
      </c>
      <c r="B1778" s="50">
        <v>44285.0</v>
      </c>
      <c r="C1778" s="49" t="s">
        <v>78</v>
      </c>
      <c r="D1778" s="49">
        <v>0.0</v>
      </c>
    </row>
    <row r="1779" ht="15.0" hidden="1" customHeight="1">
      <c r="A1779" s="49" t="s">
        <v>258</v>
      </c>
      <c r="B1779" s="50">
        <v>44285.0</v>
      </c>
      <c r="C1779" s="49" t="s">
        <v>78</v>
      </c>
      <c r="D1779" s="49">
        <v>0.0</v>
      </c>
    </row>
    <row r="1780" ht="15.0" hidden="1" customHeight="1">
      <c r="A1780" s="49" t="s">
        <v>263</v>
      </c>
      <c r="B1780" s="50">
        <v>44285.0</v>
      </c>
      <c r="C1780" s="49" t="s">
        <v>78</v>
      </c>
      <c r="D1780" s="49">
        <v>0.0</v>
      </c>
    </row>
    <row r="1781" ht="15.0" hidden="1" customHeight="1">
      <c r="A1781" s="49" t="s">
        <v>268</v>
      </c>
      <c r="B1781" s="50">
        <v>44285.0</v>
      </c>
      <c r="C1781" s="49" t="s">
        <v>78</v>
      </c>
      <c r="D1781" s="49">
        <v>0.0</v>
      </c>
    </row>
    <row r="1782" ht="15.0" hidden="1" customHeight="1">
      <c r="A1782" s="49" t="s">
        <v>273</v>
      </c>
      <c r="B1782" s="50">
        <v>44285.0</v>
      </c>
      <c r="C1782" s="49" t="s">
        <v>78</v>
      </c>
      <c r="D1782" s="49">
        <v>113400.0</v>
      </c>
    </row>
    <row r="1783" ht="15.0" hidden="1" customHeight="1">
      <c r="A1783" s="49" t="s">
        <v>278</v>
      </c>
      <c r="B1783" s="50">
        <v>44285.0</v>
      </c>
      <c r="C1783" s="49" t="s">
        <v>78</v>
      </c>
      <c r="D1783" s="49">
        <v>0.0</v>
      </c>
    </row>
    <row r="1784" ht="15.0" hidden="1" customHeight="1">
      <c r="A1784" s="49" t="s">
        <v>283</v>
      </c>
      <c r="B1784" s="50">
        <v>44285.0</v>
      </c>
      <c r="C1784" s="49" t="s">
        <v>78</v>
      </c>
      <c r="D1784" s="49">
        <v>0.0</v>
      </c>
    </row>
    <row r="1785" ht="15.0" hidden="1" customHeight="1">
      <c r="A1785" s="49" t="s">
        <v>288</v>
      </c>
      <c r="B1785" s="50">
        <v>44285.0</v>
      </c>
      <c r="C1785" s="49" t="s">
        <v>78</v>
      </c>
      <c r="D1785" s="49">
        <v>0.0</v>
      </c>
    </row>
    <row r="1786" ht="15.0" hidden="1" customHeight="1">
      <c r="A1786" s="49" t="s">
        <v>293</v>
      </c>
      <c r="B1786" s="50">
        <v>44285.0</v>
      </c>
      <c r="C1786" s="49" t="s">
        <v>78</v>
      </c>
      <c r="D1786" s="49">
        <v>0.0</v>
      </c>
    </row>
    <row r="1787" ht="15.0" hidden="1" customHeight="1">
      <c r="A1787" s="49" t="s">
        <v>298</v>
      </c>
      <c r="B1787" s="50">
        <v>44285.0</v>
      </c>
      <c r="C1787" s="49" t="s">
        <v>78</v>
      </c>
      <c r="D1787" s="49">
        <v>0.0</v>
      </c>
    </row>
    <row r="1788" ht="15.0" hidden="1" customHeight="1">
      <c r="A1788" s="49" t="s">
        <v>303</v>
      </c>
      <c r="B1788" s="50">
        <v>44285.0</v>
      </c>
      <c r="C1788" s="49" t="s">
        <v>78</v>
      </c>
      <c r="D1788" s="49">
        <v>0.0</v>
      </c>
    </row>
    <row r="1789" ht="15.0" hidden="1" customHeight="1">
      <c r="A1789" s="49" t="s">
        <v>307</v>
      </c>
      <c r="B1789" s="50">
        <v>44285.0</v>
      </c>
      <c r="C1789" s="49" t="s">
        <v>78</v>
      </c>
      <c r="D1789" s="49">
        <v>0.0</v>
      </c>
    </row>
    <row r="1790" ht="15.0" hidden="1" customHeight="1">
      <c r="A1790" s="49" t="s">
        <v>313</v>
      </c>
      <c r="B1790" s="50">
        <v>44285.0</v>
      </c>
      <c r="C1790" s="49" t="s">
        <v>78</v>
      </c>
      <c r="D1790" s="49">
        <v>0.0</v>
      </c>
    </row>
    <row r="1791" ht="15.0" hidden="1" customHeight="1">
      <c r="A1791" s="49" t="s">
        <v>318</v>
      </c>
      <c r="B1791" s="50">
        <v>44285.0</v>
      </c>
      <c r="C1791" s="49" t="s">
        <v>78</v>
      </c>
      <c r="D1791" s="49">
        <v>0.0</v>
      </c>
    </row>
    <row r="1792" ht="15.0" hidden="1" customHeight="1">
      <c r="A1792" s="49" t="s">
        <v>323</v>
      </c>
      <c r="B1792" s="50">
        <v>44285.0</v>
      </c>
      <c r="C1792" s="49" t="s">
        <v>78</v>
      </c>
      <c r="D1792" s="49">
        <v>0.0</v>
      </c>
    </row>
    <row r="1793" ht="15.0" hidden="1" customHeight="1">
      <c r="A1793" s="49" t="s">
        <v>328</v>
      </c>
      <c r="B1793" s="50">
        <v>44285.0</v>
      </c>
      <c r="C1793" s="49" t="s">
        <v>78</v>
      </c>
      <c r="D1793" s="49">
        <v>0.0</v>
      </c>
    </row>
    <row r="1794" ht="15.0" hidden="1" customHeight="1">
      <c r="A1794" s="49" t="s">
        <v>335</v>
      </c>
      <c r="B1794" s="50">
        <v>44285.0</v>
      </c>
      <c r="C1794" s="49" t="s">
        <v>78</v>
      </c>
      <c r="D1794" s="49">
        <v>0.0</v>
      </c>
    </row>
    <row r="1795" ht="15.0" hidden="1" customHeight="1">
      <c r="A1795" s="49" t="s">
        <v>340</v>
      </c>
      <c r="B1795" s="50">
        <v>44285.0</v>
      </c>
      <c r="C1795" s="49" t="s">
        <v>78</v>
      </c>
      <c r="D1795" s="49">
        <v>0.0</v>
      </c>
    </row>
    <row r="1796" ht="15.0" hidden="1" customHeight="1">
      <c r="A1796" s="49" t="s">
        <v>345</v>
      </c>
      <c r="B1796" s="50">
        <v>44285.0</v>
      </c>
      <c r="C1796" s="49" t="s">
        <v>78</v>
      </c>
      <c r="D1796" s="49">
        <v>0.0</v>
      </c>
    </row>
    <row r="1797" ht="15.0" hidden="1" customHeight="1">
      <c r="A1797" s="49" t="s">
        <v>350</v>
      </c>
      <c r="B1797" s="50">
        <v>44285.0</v>
      </c>
      <c r="C1797" s="49" t="s">
        <v>78</v>
      </c>
      <c r="D1797" s="49">
        <v>0.0</v>
      </c>
    </row>
    <row r="1798" ht="15.0" hidden="1" customHeight="1">
      <c r="A1798" s="49" t="s">
        <v>355</v>
      </c>
      <c r="B1798" s="50">
        <v>44285.0</v>
      </c>
      <c r="C1798" s="49" t="s">
        <v>78</v>
      </c>
      <c r="D1798" s="49">
        <v>0.0</v>
      </c>
    </row>
    <row r="1799" ht="15.0" hidden="1" customHeight="1">
      <c r="A1799" s="49" t="s">
        <v>360</v>
      </c>
      <c r="B1799" s="50">
        <v>44285.0</v>
      </c>
      <c r="C1799" s="49" t="s">
        <v>78</v>
      </c>
      <c r="D1799" s="49">
        <v>0.0</v>
      </c>
    </row>
    <row r="1800" ht="15.0" hidden="1" customHeight="1">
      <c r="A1800" s="49" t="s">
        <v>365</v>
      </c>
      <c r="B1800" s="50">
        <v>44285.0</v>
      </c>
      <c r="C1800" s="49" t="s">
        <v>78</v>
      </c>
      <c r="D1800" s="49">
        <v>0.0</v>
      </c>
    </row>
    <row r="1801" ht="15.0" hidden="1" customHeight="1">
      <c r="A1801" s="49" t="s">
        <v>370</v>
      </c>
      <c r="B1801" s="50">
        <v>44285.0</v>
      </c>
      <c r="C1801" s="49" t="s">
        <v>78</v>
      </c>
      <c r="D1801" s="49">
        <v>0.0</v>
      </c>
    </row>
    <row r="1802" ht="15.0" hidden="1" customHeight="1">
      <c r="A1802" s="49" t="s">
        <v>375</v>
      </c>
      <c r="B1802" s="50">
        <v>44285.0</v>
      </c>
      <c r="C1802" s="49" t="s">
        <v>78</v>
      </c>
      <c r="D1802" s="49">
        <v>0.0</v>
      </c>
    </row>
    <row r="1803" ht="15.0" hidden="1" customHeight="1">
      <c r="A1803" s="49" t="s">
        <v>380</v>
      </c>
      <c r="B1803" s="50">
        <v>44285.0</v>
      </c>
      <c r="C1803" s="49" t="s">
        <v>78</v>
      </c>
      <c r="D1803" s="49">
        <v>0.0</v>
      </c>
    </row>
    <row r="1804" ht="15.0" hidden="1" customHeight="1">
      <c r="A1804" s="49" t="s">
        <v>385</v>
      </c>
      <c r="B1804" s="50">
        <v>44285.0</v>
      </c>
      <c r="C1804" s="49" t="s">
        <v>78</v>
      </c>
      <c r="D1804" s="49">
        <v>0.0</v>
      </c>
    </row>
    <row r="1805" ht="15.0" hidden="1" customHeight="1">
      <c r="A1805" s="49" t="s">
        <v>390</v>
      </c>
      <c r="B1805" s="50">
        <v>44285.0</v>
      </c>
      <c r="C1805" s="49" t="s">
        <v>78</v>
      </c>
      <c r="D1805" s="49">
        <v>0.0</v>
      </c>
    </row>
    <row r="1806" ht="15.0" hidden="1" customHeight="1">
      <c r="A1806" s="49" t="s">
        <v>395</v>
      </c>
      <c r="B1806" s="50">
        <v>44285.0</v>
      </c>
      <c r="C1806" s="49" t="s">
        <v>78</v>
      </c>
      <c r="D1806" s="49">
        <v>0.0</v>
      </c>
    </row>
    <row r="1807" ht="15.0" hidden="1" customHeight="1">
      <c r="A1807" s="49" t="s">
        <v>400</v>
      </c>
      <c r="B1807" s="50">
        <v>44285.0</v>
      </c>
      <c r="C1807" s="49" t="s">
        <v>78</v>
      </c>
      <c r="D1807" s="49">
        <v>0.0</v>
      </c>
    </row>
    <row r="1808" ht="15.0" hidden="1" customHeight="1">
      <c r="A1808" s="49" t="s">
        <v>405</v>
      </c>
      <c r="B1808" s="50">
        <v>44285.0</v>
      </c>
      <c r="C1808" s="49" t="s">
        <v>78</v>
      </c>
      <c r="D1808" s="49">
        <v>0.0</v>
      </c>
    </row>
    <row r="1809" ht="15.0" hidden="1" customHeight="1">
      <c r="A1809" s="49" t="s">
        <v>410</v>
      </c>
      <c r="B1809" s="50">
        <v>44285.0</v>
      </c>
      <c r="C1809" s="49" t="s">
        <v>78</v>
      </c>
      <c r="D1809" s="49">
        <v>0.0</v>
      </c>
    </row>
    <row r="1810" ht="15.0" hidden="1" customHeight="1">
      <c r="A1810" s="49" t="s">
        <v>415</v>
      </c>
      <c r="B1810" s="50">
        <v>44285.0</v>
      </c>
      <c r="C1810" s="49" t="s">
        <v>78</v>
      </c>
      <c r="D1810" s="49">
        <v>0.0</v>
      </c>
    </row>
    <row r="1811" ht="15.0" hidden="1" customHeight="1">
      <c r="A1811" s="49" t="s">
        <v>420</v>
      </c>
      <c r="B1811" s="50">
        <v>44285.0</v>
      </c>
      <c r="C1811" s="49" t="s">
        <v>78</v>
      </c>
      <c r="D1811" s="49">
        <v>0.0</v>
      </c>
    </row>
    <row r="1812" ht="15.0" hidden="1" customHeight="1">
      <c r="A1812" s="49" t="s">
        <v>425</v>
      </c>
      <c r="B1812" s="50">
        <v>44285.0</v>
      </c>
      <c r="C1812" s="49" t="s">
        <v>78</v>
      </c>
      <c r="D1812" s="49">
        <v>0.0</v>
      </c>
    </row>
    <row r="1813" ht="15.0" hidden="1" customHeight="1">
      <c r="A1813" s="49" t="s">
        <v>430</v>
      </c>
      <c r="B1813" s="50">
        <v>44285.0</v>
      </c>
      <c r="C1813" s="49" t="s">
        <v>78</v>
      </c>
      <c r="D1813" s="49">
        <v>0.0</v>
      </c>
    </row>
    <row r="1814" ht="15.0" hidden="1" customHeight="1">
      <c r="A1814" s="49" t="s">
        <v>434</v>
      </c>
      <c r="B1814" s="50">
        <v>44285.0</v>
      </c>
      <c r="C1814" s="49" t="s">
        <v>78</v>
      </c>
      <c r="D1814" s="49">
        <v>0.0</v>
      </c>
    </row>
    <row r="1815" ht="15.0" hidden="1" customHeight="1">
      <c r="A1815" s="49" t="s">
        <v>439</v>
      </c>
      <c r="B1815" s="50">
        <v>44285.0</v>
      </c>
      <c r="C1815" s="49" t="s">
        <v>78</v>
      </c>
      <c r="D1815" s="49">
        <v>0.0</v>
      </c>
    </row>
    <row r="1816" ht="15.0" hidden="1" customHeight="1">
      <c r="A1816" s="49" t="s">
        <v>444</v>
      </c>
      <c r="B1816" s="50">
        <v>44285.0</v>
      </c>
      <c r="C1816" s="49" t="s">
        <v>78</v>
      </c>
      <c r="D1816" s="49">
        <v>0.0</v>
      </c>
    </row>
    <row r="1817" ht="15.0" hidden="1" customHeight="1">
      <c r="A1817" s="49" t="s">
        <v>449</v>
      </c>
      <c r="B1817" s="50">
        <v>44285.0</v>
      </c>
      <c r="C1817" s="49" t="s">
        <v>78</v>
      </c>
      <c r="D1817" s="49">
        <v>0.0</v>
      </c>
    </row>
    <row r="1818" ht="15.0" hidden="1" customHeight="1">
      <c r="A1818" s="49" t="s">
        <v>455</v>
      </c>
      <c r="B1818" s="50">
        <v>44285.0</v>
      </c>
      <c r="C1818" s="49" t="s">
        <v>78</v>
      </c>
      <c r="D1818" s="49">
        <v>0.0</v>
      </c>
    </row>
    <row r="1819" ht="15.0" hidden="1" customHeight="1">
      <c r="A1819" s="49" t="s">
        <v>470</v>
      </c>
      <c r="B1819" s="50">
        <v>44285.0</v>
      </c>
      <c r="C1819" s="49" t="s">
        <v>78</v>
      </c>
      <c r="D1819" s="49">
        <v>0.0</v>
      </c>
    </row>
    <row r="1820" ht="15.0" hidden="1" customHeight="1">
      <c r="A1820" s="49" t="s">
        <v>476</v>
      </c>
      <c r="B1820" s="50">
        <v>44285.0</v>
      </c>
      <c r="C1820" s="49" t="s">
        <v>78</v>
      </c>
      <c r="D1820" s="49">
        <v>0.0</v>
      </c>
    </row>
    <row r="1821" ht="15.0" hidden="1" customHeight="1">
      <c r="A1821" s="49" t="s">
        <v>481</v>
      </c>
      <c r="B1821" s="50">
        <v>44285.0</v>
      </c>
      <c r="C1821" s="49" t="s">
        <v>78</v>
      </c>
      <c r="D1821" s="49">
        <v>0.0</v>
      </c>
    </row>
    <row r="1822" ht="15.0" hidden="1" customHeight="1">
      <c r="A1822" s="49" t="s">
        <v>486</v>
      </c>
      <c r="B1822" s="50">
        <v>44285.0</v>
      </c>
      <c r="C1822" s="49" t="s">
        <v>78</v>
      </c>
      <c r="D1822" s="49">
        <v>0.0</v>
      </c>
    </row>
    <row r="1823" ht="15.0" hidden="1" customHeight="1">
      <c r="A1823" s="49" t="s">
        <v>491</v>
      </c>
      <c r="B1823" s="50">
        <v>44285.0</v>
      </c>
      <c r="C1823" s="49" t="s">
        <v>78</v>
      </c>
      <c r="D1823" s="49">
        <v>0.0</v>
      </c>
    </row>
    <row r="1824" ht="15.0" hidden="1" customHeight="1">
      <c r="A1824" s="49" t="s">
        <v>496</v>
      </c>
      <c r="B1824" s="50">
        <v>44285.0</v>
      </c>
      <c r="C1824" s="49" t="s">
        <v>78</v>
      </c>
      <c r="D1824" s="49">
        <v>0.0</v>
      </c>
    </row>
    <row r="1825" ht="15.0" hidden="1" customHeight="1">
      <c r="A1825" s="49" t="s">
        <v>501</v>
      </c>
      <c r="B1825" s="50">
        <v>44285.0</v>
      </c>
      <c r="C1825" s="49" t="s">
        <v>78</v>
      </c>
      <c r="D1825" s="49">
        <v>0.0</v>
      </c>
    </row>
    <row r="1826" ht="15.0" hidden="1" customHeight="1">
      <c r="A1826" s="49" t="s">
        <v>506</v>
      </c>
      <c r="B1826" s="50">
        <v>44285.0</v>
      </c>
      <c r="C1826" s="49" t="s">
        <v>78</v>
      </c>
      <c r="D1826" s="49">
        <v>0.0</v>
      </c>
    </row>
    <row r="1827" ht="15.0" hidden="1" customHeight="1">
      <c r="A1827" s="49" t="s">
        <v>512</v>
      </c>
      <c r="B1827" s="50">
        <v>44285.0</v>
      </c>
      <c r="C1827" s="49" t="s">
        <v>78</v>
      </c>
      <c r="D1827" s="49">
        <v>0.0</v>
      </c>
    </row>
    <row r="1828" ht="15.0" hidden="1" customHeight="1">
      <c r="A1828" s="49" t="s">
        <v>517</v>
      </c>
      <c r="B1828" s="50">
        <v>44285.0</v>
      </c>
      <c r="C1828" s="49" t="s">
        <v>78</v>
      </c>
      <c r="D1828" s="49">
        <v>0.0</v>
      </c>
    </row>
    <row r="1829" ht="15.0" hidden="1" customHeight="1">
      <c r="A1829" s="49" t="s">
        <v>522</v>
      </c>
      <c r="B1829" s="50">
        <v>44285.0</v>
      </c>
      <c r="C1829" s="49" t="s">
        <v>78</v>
      </c>
      <c r="D1829" s="49">
        <v>0.0</v>
      </c>
    </row>
    <row r="1830" ht="15.0" hidden="1" customHeight="1">
      <c r="A1830" s="49" t="s">
        <v>528</v>
      </c>
      <c r="B1830" s="50">
        <v>44285.0</v>
      </c>
      <c r="C1830" s="49" t="s">
        <v>78</v>
      </c>
      <c r="D1830" s="49">
        <v>0.0</v>
      </c>
    </row>
    <row r="1831" ht="15.0" hidden="1" customHeight="1">
      <c r="A1831" s="49" t="s">
        <v>533</v>
      </c>
      <c r="B1831" s="50">
        <v>44285.0</v>
      </c>
      <c r="C1831" s="49" t="s">
        <v>78</v>
      </c>
      <c r="D1831" s="49">
        <v>0.0</v>
      </c>
    </row>
    <row r="1832" ht="15.0" hidden="1" customHeight="1">
      <c r="A1832" s="49" t="s">
        <v>538</v>
      </c>
      <c r="B1832" s="50">
        <v>44285.0</v>
      </c>
      <c r="C1832" s="49" t="s">
        <v>78</v>
      </c>
      <c r="D1832" s="49">
        <v>0.0</v>
      </c>
    </row>
    <row r="1833" ht="15.0" hidden="1" customHeight="1">
      <c r="A1833" s="49" t="s">
        <v>546</v>
      </c>
      <c r="B1833" s="50">
        <v>44285.0</v>
      </c>
      <c r="C1833" s="49" t="s">
        <v>78</v>
      </c>
      <c r="D1833" s="49">
        <v>0.0</v>
      </c>
    </row>
    <row r="1834" ht="15.0" hidden="1" customHeight="1">
      <c r="A1834" s="49" t="s">
        <v>551</v>
      </c>
      <c r="B1834" s="50">
        <v>44285.0</v>
      </c>
      <c r="C1834" s="49" t="s">
        <v>78</v>
      </c>
      <c r="D1834" s="49">
        <v>0.0</v>
      </c>
    </row>
    <row r="1835" ht="15.0" hidden="1" customHeight="1">
      <c r="A1835" s="49" t="s">
        <v>556</v>
      </c>
      <c r="B1835" s="50">
        <v>44285.0</v>
      </c>
      <c r="C1835" s="49" t="s">
        <v>78</v>
      </c>
      <c r="D1835" s="49">
        <v>0.0</v>
      </c>
    </row>
    <row r="1836" ht="15.0" hidden="1" customHeight="1">
      <c r="A1836" s="49" t="s">
        <v>561</v>
      </c>
      <c r="B1836" s="50">
        <v>44285.0</v>
      </c>
      <c r="C1836" s="49" t="s">
        <v>78</v>
      </c>
      <c r="D1836" s="49">
        <v>0.0</v>
      </c>
    </row>
    <row r="1837" ht="15.0" hidden="1" customHeight="1">
      <c r="A1837" s="49" t="s">
        <v>566</v>
      </c>
      <c r="B1837" s="50">
        <v>44285.0</v>
      </c>
      <c r="C1837" s="49" t="s">
        <v>78</v>
      </c>
      <c r="D1837" s="49">
        <v>0.0</v>
      </c>
    </row>
    <row r="1838" ht="15.0" hidden="1" customHeight="1">
      <c r="A1838" s="49" t="s">
        <v>571</v>
      </c>
      <c r="B1838" s="50">
        <v>44285.0</v>
      </c>
      <c r="C1838" s="49" t="s">
        <v>78</v>
      </c>
      <c r="D1838" s="49">
        <v>0.0</v>
      </c>
    </row>
    <row r="1839" ht="15.0" hidden="1" customHeight="1">
      <c r="A1839" s="49" t="s">
        <v>576</v>
      </c>
      <c r="B1839" s="50">
        <v>44285.0</v>
      </c>
      <c r="C1839" s="49" t="s">
        <v>78</v>
      </c>
      <c r="D1839" s="49">
        <v>0.0</v>
      </c>
    </row>
    <row r="1840" ht="15.0" hidden="1" customHeight="1">
      <c r="A1840" s="49" t="s">
        <v>581</v>
      </c>
      <c r="B1840" s="50">
        <v>44285.0</v>
      </c>
      <c r="C1840" s="49" t="s">
        <v>78</v>
      </c>
      <c r="D1840" s="49">
        <v>0.0</v>
      </c>
    </row>
    <row r="1841" ht="15.0" hidden="1" customHeight="1">
      <c r="A1841" s="49" t="s">
        <v>586</v>
      </c>
      <c r="B1841" s="50">
        <v>44285.0</v>
      </c>
      <c r="C1841" s="49" t="s">
        <v>78</v>
      </c>
      <c r="D1841" s="49">
        <v>0.0</v>
      </c>
    </row>
    <row r="1842" ht="15.0" hidden="1" customHeight="1">
      <c r="A1842" s="49" t="s">
        <v>754</v>
      </c>
      <c r="B1842" s="50">
        <v>44285.0</v>
      </c>
      <c r="C1842" s="49" t="s">
        <v>78</v>
      </c>
      <c r="D1842" s="49">
        <v>0.0</v>
      </c>
    </row>
    <row r="1843" ht="15.0" hidden="1" customHeight="1">
      <c r="A1843" s="49" t="s">
        <v>591</v>
      </c>
      <c r="B1843" s="50">
        <v>44285.0</v>
      </c>
      <c r="C1843" s="49" t="s">
        <v>78</v>
      </c>
      <c r="D1843" s="49">
        <v>0.0</v>
      </c>
    </row>
    <row r="1844" ht="15.0" hidden="1" customHeight="1">
      <c r="A1844" s="49" t="s">
        <v>759</v>
      </c>
      <c r="B1844" s="50">
        <v>44285.0</v>
      </c>
      <c r="C1844" s="49" t="s">
        <v>78</v>
      </c>
      <c r="D1844" s="49">
        <v>0.0</v>
      </c>
    </row>
    <row r="1845" ht="15.0" hidden="1" customHeight="1">
      <c r="A1845" s="49" t="s">
        <v>596</v>
      </c>
      <c r="B1845" s="50">
        <v>44285.0</v>
      </c>
      <c r="C1845" s="49" t="s">
        <v>78</v>
      </c>
      <c r="D1845" s="49">
        <v>0.0</v>
      </c>
    </row>
    <row r="1846" ht="15.0" hidden="1" customHeight="1">
      <c r="A1846" s="49" t="s">
        <v>602</v>
      </c>
      <c r="B1846" s="50">
        <v>44285.0</v>
      </c>
      <c r="C1846" s="49" t="s">
        <v>78</v>
      </c>
      <c r="D1846" s="49">
        <v>0.0</v>
      </c>
    </row>
    <row r="1847" ht="15.0" hidden="1" customHeight="1">
      <c r="A1847" s="49" t="s">
        <v>607</v>
      </c>
      <c r="B1847" s="50">
        <v>44285.0</v>
      </c>
      <c r="C1847" s="49" t="s">
        <v>78</v>
      </c>
      <c r="D1847" s="49">
        <v>0.0</v>
      </c>
    </row>
    <row r="1848" ht="15.0" hidden="1" customHeight="1">
      <c r="A1848" s="49" t="s">
        <v>612</v>
      </c>
      <c r="B1848" s="50">
        <v>44285.0</v>
      </c>
      <c r="C1848" s="49" t="s">
        <v>78</v>
      </c>
      <c r="D1848" s="49">
        <v>0.0</v>
      </c>
    </row>
    <row r="1849" ht="15.0" hidden="1" customHeight="1">
      <c r="A1849" s="49" t="s">
        <v>617</v>
      </c>
      <c r="B1849" s="50">
        <v>44285.0</v>
      </c>
      <c r="C1849" s="49" t="s">
        <v>78</v>
      </c>
      <c r="D1849" s="49">
        <v>0.0</v>
      </c>
    </row>
    <row r="1850" ht="15.0" hidden="1" customHeight="1">
      <c r="A1850" s="49" t="s">
        <v>622</v>
      </c>
      <c r="B1850" s="50">
        <v>44285.0</v>
      </c>
      <c r="C1850" s="49" t="s">
        <v>78</v>
      </c>
      <c r="D1850" s="49">
        <v>0.0</v>
      </c>
    </row>
    <row r="1851" ht="15.0" hidden="1" customHeight="1">
      <c r="A1851" s="49" t="s">
        <v>627</v>
      </c>
      <c r="B1851" s="50">
        <v>44285.0</v>
      </c>
      <c r="C1851" s="49" t="s">
        <v>78</v>
      </c>
      <c r="D1851" s="49">
        <v>0.0</v>
      </c>
    </row>
    <row r="1852" ht="15.0" hidden="1" customHeight="1">
      <c r="A1852" s="49" t="s">
        <v>631</v>
      </c>
      <c r="B1852" s="50">
        <v>44285.0</v>
      </c>
      <c r="C1852" s="49" t="s">
        <v>78</v>
      </c>
      <c r="D1852" s="49">
        <v>0.0</v>
      </c>
    </row>
    <row r="1853" ht="15.0" hidden="1" customHeight="1">
      <c r="A1853" s="49" t="s">
        <v>636</v>
      </c>
      <c r="B1853" s="50">
        <v>44285.0</v>
      </c>
      <c r="C1853" s="49" t="s">
        <v>78</v>
      </c>
      <c r="D1853" s="49">
        <v>0.0</v>
      </c>
    </row>
    <row r="1854" ht="15.0" hidden="1" customHeight="1">
      <c r="A1854" s="49" t="s">
        <v>640</v>
      </c>
      <c r="B1854" s="50">
        <v>44285.0</v>
      </c>
      <c r="C1854" s="49" t="s">
        <v>78</v>
      </c>
      <c r="D1854" s="49">
        <v>0.0</v>
      </c>
    </row>
    <row r="1855" ht="15.0" hidden="1" customHeight="1">
      <c r="A1855" s="49" t="s">
        <v>644</v>
      </c>
      <c r="B1855" s="50">
        <v>44285.0</v>
      </c>
      <c r="C1855" s="49" t="s">
        <v>78</v>
      </c>
      <c r="D1855" s="49">
        <v>0.0</v>
      </c>
    </row>
    <row r="1856" ht="15.0" hidden="1" customHeight="1">
      <c r="A1856" s="49" t="s">
        <v>649</v>
      </c>
      <c r="B1856" s="50">
        <v>44285.0</v>
      </c>
      <c r="C1856" s="49" t="s">
        <v>78</v>
      </c>
      <c r="D1856" s="49">
        <v>0.0</v>
      </c>
    </row>
    <row r="1857" ht="15.0" hidden="1" customHeight="1">
      <c r="A1857" s="49" t="s">
        <v>654</v>
      </c>
      <c r="B1857" s="50">
        <v>44285.0</v>
      </c>
      <c r="C1857" s="49" t="s">
        <v>78</v>
      </c>
      <c r="D1857" s="49">
        <v>0.0</v>
      </c>
    </row>
    <row r="1858" ht="15.0" hidden="1" customHeight="1">
      <c r="A1858" s="49" t="s">
        <v>659</v>
      </c>
      <c r="B1858" s="50">
        <v>44285.0</v>
      </c>
      <c r="C1858" s="49" t="s">
        <v>78</v>
      </c>
      <c r="D1858" s="49">
        <v>0.0</v>
      </c>
    </row>
    <row r="1859" ht="15.0" hidden="1" customHeight="1">
      <c r="A1859" s="49" t="s">
        <v>664</v>
      </c>
      <c r="B1859" s="50">
        <v>44285.0</v>
      </c>
      <c r="C1859" s="49" t="s">
        <v>78</v>
      </c>
      <c r="D1859" s="49">
        <v>0.0</v>
      </c>
    </row>
    <row r="1860" ht="15.0" hidden="1" customHeight="1">
      <c r="A1860" s="49" t="s">
        <v>669</v>
      </c>
      <c r="B1860" s="50">
        <v>44285.0</v>
      </c>
      <c r="C1860" s="49" t="s">
        <v>78</v>
      </c>
      <c r="D1860" s="49">
        <v>0.0</v>
      </c>
    </row>
    <row r="1861" ht="15.0" hidden="1" customHeight="1">
      <c r="A1861" s="49" t="s">
        <v>674</v>
      </c>
      <c r="B1861" s="50">
        <v>44285.0</v>
      </c>
      <c r="C1861" s="49" t="s">
        <v>78</v>
      </c>
      <c r="D1861" s="49">
        <v>0.0</v>
      </c>
    </row>
    <row r="1862" ht="15.0" hidden="1" customHeight="1">
      <c r="A1862" s="49" t="s">
        <v>679</v>
      </c>
      <c r="B1862" s="50">
        <v>44285.0</v>
      </c>
      <c r="C1862" s="49" t="s">
        <v>78</v>
      </c>
      <c r="D1862" s="49">
        <v>0.0</v>
      </c>
    </row>
    <row r="1863" ht="15.0" hidden="1" customHeight="1">
      <c r="A1863" s="49" t="s">
        <v>684</v>
      </c>
      <c r="B1863" s="50">
        <v>44285.0</v>
      </c>
      <c r="C1863" s="49" t="s">
        <v>78</v>
      </c>
      <c r="D1863" s="49">
        <v>0.0</v>
      </c>
    </row>
    <row r="1864" ht="15.0" hidden="1" customHeight="1">
      <c r="A1864" s="49" t="s">
        <v>689</v>
      </c>
      <c r="B1864" s="50">
        <v>44285.0</v>
      </c>
      <c r="C1864" s="49" t="s">
        <v>78</v>
      </c>
      <c r="D1864" s="49">
        <v>0.0</v>
      </c>
    </row>
    <row r="1865" ht="15.0" hidden="1" customHeight="1">
      <c r="A1865" s="49" t="s">
        <v>694</v>
      </c>
      <c r="B1865" s="50">
        <v>44285.0</v>
      </c>
      <c r="C1865" s="49" t="s">
        <v>78</v>
      </c>
      <c r="D1865" s="49">
        <v>0.0</v>
      </c>
    </row>
    <row r="1866" ht="15.0" hidden="1" customHeight="1">
      <c r="A1866" s="49" t="s">
        <v>699</v>
      </c>
      <c r="B1866" s="50">
        <v>44285.0</v>
      </c>
      <c r="C1866" s="49" t="s">
        <v>78</v>
      </c>
      <c r="D1866" s="49">
        <v>0.0</v>
      </c>
    </row>
    <row r="1867" ht="15.0" hidden="1" customHeight="1">
      <c r="A1867" s="49" t="s">
        <v>705</v>
      </c>
      <c r="B1867" s="50">
        <v>44285.0</v>
      </c>
      <c r="C1867" s="49" t="s">
        <v>78</v>
      </c>
      <c r="D1867" s="49">
        <v>0.0</v>
      </c>
    </row>
    <row r="1868" ht="15.0" hidden="1" customHeight="1">
      <c r="A1868" s="49" t="s">
        <v>710</v>
      </c>
      <c r="B1868" s="50">
        <v>44285.0</v>
      </c>
      <c r="C1868" s="49" t="s">
        <v>78</v>
      </c>
      <c r="D1868" s="49">
        <v>0.0</v>
      </c>
    </row>
    <row r="1869" ht="15.0" hidden="1" customHeight="1">
      <c r="A1869" s="49" t="s">
        <v>715</v>
      </c>
      <c r="B1869" s="50">
        <v>44285.0</v>
      </c>
      <c r="C1869" s="49" t="s">
        <v>78</v>
      </c>
      <c r="D1869" s="49">
        <v>0.0</v>
      </c>
    </row>
    <row r="1870" ht="15.0" hidden="1" customHeight="1">
      <c r="A1870" s="49" t="s">
        <v>765</v>
      </c>
      <c r="B1870" s="50">
        <v>44285.0</v>
      </c>
      <c r="C1870" s="49" t="s">
        <v>78</v>
      </c>
      <c r="D1870" s="49">
        <v>0.0</v>
      </c>
    </row>
    <row r="1871" ht="15.0" hidden="1" customHeight="1">
      <c r="A1871" s="49" t="s">
        <v>720</v>
      </c>
      <c r="B1871" s="50">
        <v>44285.0</v>
      </c>
      <c r="C1871" s="49" t="s">
        <v>78</v>
      </c>
      <c r="D1871" s="49">
        <v>0.0</v>
      </c>
    </row>
    <row r="1872" ht="15.0" hidden="1" customHeight="1">
      <c r="A1872" s="49" t="s">
        <v>725</v>
      </c>
      <c r="B1872" s="50">
        <v>44285.0</v>
      </c>
      <c r="C1872" s="49" t="s">
        <v>78</v>
      </c>
      <c r="D1872" s="49">
        <v>0.0</v>
      </c>
    </row>
    <row r="1873" ht="15.0" hidden="1" customHeight="1">
      <c r="A1873" s="49" t="s">
        <v>730</v>
      </c>
      <c r="B1873" s="50">
        <v>44285.0</v>
      </c>
      <c r="C1873" s="49" t="s">
        <v>78</v>
      </c>
      <c r="D1873" s="49">
        <v>0.0</v>
      </c>
    </row>
    <row r="1874" ht="15.0" hidden="1" customHeight="1">
      <c r="A1874" s="49" t="s">
        <v>734</v>
      </c>
      <c r="B1874" s="50">
        <v>44285.0</v>
      </c>
      <c r="C1874" s="49" t="s">
        <v>78</v>
      </c>
      <c r="D1874" s="49">
        <v>0.0</v>
      </c>
    </row>
    <row r="1875" ht="15.0" hidden="1" customHeight="1">
      <c r="A1875" s="49" t="s">
        <v>739</v>
      </c>
      <c r="B1875" s="50">
        <v>44285.0</v>
      </c>
      <c r="C1875" s="49" t="s">
        <v>78</v>
      </c>
      <c r="D1875" s="49">
        <v>0.0</v>
      </c>
    </row>
    <row r="1876" ht="15.0" hidden="1" customHeight="1">
      <c r="A1876" s="49" t="s">
        <v>744</v>
      </c>
      <c r="B1876" s="50">
        <v>44285.0</v>
      </c>
      <c r="C1876" s="49" t="s">
        <v>78</v>
      </c>
      <c r="D1876" s="49">
        <v>0.0</v>
      </c>
    </row>
    <row r="1877" ht="15.0" hidden="1" customHeight="1">
      <c r="A1877" s="49" t="s">
        <v>749</v>
      </c>
      <c r="B1877" s="50">
        <v>44285.0</v>
      </c>
      <c r="C1877" s="49" t="s">
        <v>78</v>
      </c>
      <c r="D1877" s="49">
        <v>0.0</v>
      </c>
    </row>
    <row r="1878" ht="15.0" customHeight="1">
      <c r="A1878" s="49" t="s">
        <v>776</v>
      </c>
      <c r="B1878" s="50">
        <v>44285.0</v>
      </c>
      <c r="C1878" s="49" t="s">
        <v>69</v>
      </c>
      <c r="D1878" s="49">
        <v>2.16E7</v>
      </c>
    </row>
    <row r="1879" ht="15.0" hidden="1" customHeight="1">
      <c r="A1879" s="49" t="s">
        <v>778</v>
      </c>
      <c r="B1879" s="50">
        <v>44285.0</v>
      </c>
      <c r="C1879" s="49" t="s">
        <v>69</v>
      </c>
      <c r="D1879" s="49">
        <v>700000.0</v>
      </c>
    </row>
    <row r="1880" ht="15.0" hidden="1" customHeight="1">
      <c r="A1880" s="49" t="s">
        <v>92</v>
      </c>
      <c r="B1880" s="50">
        <v>44285.0</v>
      </c>
      <c r="C1880" s="49" t="s">
        <v>69</v>
      </c>
      <c r="D1880" s="49">
        <v>1900000.0</v>
      </c>
    </row>
    <row r="1881" ht="15.0" hidden="1" customHeight="1">
      <c r="A1881" s="49" t="s">
        <v>97</v>
      </c>
      <c r="B1881" s="50">
        <v>44285.0</v>
      </c>
      <c r="C1881" s="49" t="s">
        <v>69</v>
      </c>
      <c r="D1881" s="49">
        <v>500000.0</v>
      </c>
    </row>
    <row r="1882" ht="15.0" hidden="1" customHeight="1">
      <c r="A1882" s="49" t="s">
        <v>102</v>
      </c>
      <c r="B1882" s="50">
        <v>44285.0</v>
      </c>
      <c r="C1882" s="49" t="s">
        <v>69</v>
      </c>
      <c r="D1882" s="49">
        <v>250000.0</v>
      </c>
    </row>
    <row r="1883" ht="15.0" hidden="1" customHeight="1">
      <c r="A1883" s="49" t="s">
        <v>106</v>
      </c>
      <c r="B1883" s="50">
        <v>44285.0</v>
      </c>
      <c r="C1883" s="49" t="s">
        <v>69</v>
      </c>
      <c r="D1883" s="49">
        <v>481000.0</v>
      </c>
    </row>
    <row r="1884" ht="15.0" hidden="1" customHeight="1">
      <c r="A1884" s="49" t="s">
        <v>111</v>
      </c>
      <c r="B1884" s="50">
        <v>44285.0</v>
      </c>
      <c r="C1884" s="49" t="s">
        <v>69</v>
      </c>
      <c r="D1884" s="49">
        <v>180000.0</v>
      </c>
    </row>
    <row r="1885" ht="15.0" hidden="1" customHeight="1">
      <c r="A1885" s="49" t="s">
        <v>116</v>
      </c>
      <c r="B1885" s="50">
        <v>44285.0</v>
      </c>
      <c r="C1885" s="49" t="s">
        <v>69</v>
      </c>
      <c r="D1885" s="49">
        <v>800000.0</v>
      </c>
    </row>
    <row r="1886" ht="15.0" hidden="1" customHeight="1">
      <c r="A1886" s="49" t="s">
        <v>120</v>
      </c>
      <c r="B1886" s="50">
        <v>44285.0</v>
      </c>
      <c r="C1886" s="49" t="s">
        <v>69</v>
      </c>
      <c r="D1886" s="49">
        <v>250000.0</v>
      </c>
    </row>
    <row r="1887" ht="15.0" hidden="1" customHeight="1">
      <c r="A1887" s="49" t="s">
        <v>125</v>
      </c>
      <c r="B1887" s="50">
        <v>44285.0</v>
      </c>
      <c r="C1887" s="49" t="s">
        <v>69</v>
      </c>
      <c r="D1887" s="49">
        <v>200000.0</v>
      </c>
    </row>
    <row r="1888" ht="15.0" hidden="1" customHeight="1">
      <c r="A1888" s="49" t="s">
        <v>130</v>
      </c>
      <c r="B1888" s="50">
        <v>44285.0</v>
      </c>
      <c r="C1888" s="49" t="s">
        <v>69</v>
      </c>
      <c r="D1888" s="49">
        <v>714249.0</v>
      </c>
    </row>
    <row r="1889" ht="15.0" hidden="1" customHeight="1">
      <c r="A1889" s="49" t="s">
        <v>137</v>
      </c>
      <c r="B1889" s="50">
        <v>44285.0</v>
      </c>
      <c r="C1889" s="49" t="s">
        <v>69</v>
      </c>
      <c r="D1889" s="49">
        <v>357000.0</v>
      </c>
    </row>
    <row r="1890" ht="15.0" hidden="1" customHeight="1">
      <c r="A1890" s="49" t="s">
        <v>142</v>
      </c>
      <c r="B1890" s="50">
        <v>44285.0</v>
      </c>
      <c r="C1890" s="49" t="s">
        <v>69</v>
      </c>
      <c r="D1890" s="49">
        <v>500000.0</v>
      </c>
    </row>
    <row r="1891" ht="15.0" hidden="1" customHeight="1">
      <c r="A1891" s="49" t="s">
        <v>147</v>
      </c>
      <c r="B1891" s="50">
        <v>44285.0</v>
      </c>
      <c r="C1891" s="49" t="s">
        <v>69</v>
      </c>
      <c r="D1891" s="49">
        <v>50000.0</v>
      </c>
    </row>
    <row r="1892" ht="15.0" hidden="1" customHeight="1">
      <c r="A1892" s="49" t="s">
        <v>152</v>
      </c>
      <c r="B1892" s="50">
        <v>44285.0</v>
      </c>
      <c r="C1892" s="49" t="s">
        <v>69</v>
      </c>
      <c r="D1892" s="49">
        <v>217425.0</v>
      </c>
    </row>
    <row r="1893" ht="15.0" hidden="1" customHeight="1">
      <c r="A1893" s="49" t="s">
        <v>157</v>
      </c>
      <c r="B1893" s="50">
        <v>44285.0</v>
      </c>
      <c r="C1893" s="49" t="s">
        <v>69</v>
      </c>
      <c r="D1893" s="49">
        <v>50000.0</v>
      </c>
    </row>
    <row r="1894" ht="15.0" hidden="1" customHeight="1">
      <c r="A1894" s="49" t="s">
        <v>162</v>
      </c>
      <c r="B1894" s="50">
        <v>44285.0</v>
      </c>
      <c r="C1894" s="49" t="s">
        <v>69</v>
      </c>
      <c r="D1894" s="49">
        <v>961000.0</v>
      </c>
    </row>
    <row r="1895" ht="15.0" hidden="1" customHeight="1">
      <c r="A1895" s="49" t="s">
        <v>167</v>
      </c>
      <c r="B1895" s="50">
        <v>44285.0</v>
      </c>
      <c r="C1895" s="49" t="s">
        <v>69</v>
      </c>
      <c r="D1895" s="49">
        <v>1750000.0</v>
      </c>
    </row>
    <row r="1896" ht="15.0" hidden="1" customHeight="1">
      <c r="A1896" s="49" t="s">
        <v>172</v>
      </c>
      <c r="B1896" s="50">
        <v>44285.0</v>
      </c>
      <c r="C1896" s="49" t="s">
        <v>69</v>
      </c>
      <c r="D1896" s="49">
        <v>370000.0</v>
      </c>
    </row>
    <row r="1897" ht="15.0" hidden="1" customHeight="1">
      <c r="A1897" s="49" t="s">
        <v>177</v>
      </c>
      <c r="B1897" s="50">
        <v>44285.0</v>
      </c>
      <c r="C1897" s="49" t="s">
        <v>69</v>
      </c>
      <c r="D1897" s="49">
        <v>100000.0</v>
      </c>
    </row>
    <row r="1898" ht="15.0" hidden="1" customHeight="1">
      <c r="A1898" s="49" t="s">
        <v>182</v>
      </c>
      <c r="B1898" s="50">
        <v>44285.0</v>
      </c>
      <c r="C1898" s="49" t="s">
        <v>69</v>
      </c>
      <c r="D1898" s="49">
        <v>250000.0</v>
      </c>
    </row>
    <row r="1899" ht="15.0" hidden="1" customHeight="1">
      <c r="A1899" s="49" t="s">
        <v>187</v>
      </c>
      <c r="B1899" s="50">
        <v>44285.0</v>
      </c>
      <c r="C1899" s="49" t="s">
        <v>69</v>
      </c>
      <c r="D1899" s="49">
        <v>0.0</v>
      </c>
    </row>
    <row r="1900" ht="15.0" hidden="1" customHeight="1">
      <c r="A1900" s="49" t="s">
        <v>192</v>
      </c>
      <c r="B1900" s="50">
        <v>44285.0</v>
      </c>
      <c r="C1900" s="49" t="s">
        <v>69</v>
      </c>
      <c r="D1900" s="49">
        <v>0.0</v>
      </c>
    </row>
    <row r="1901" ht="15.0" hidden="1" customHeight="1">
      <c r="A1901" s="49" t="s">
        <v>197</v>
      </c>
      <c r="B1901" s="50">
        <v>44285.0</v>
      </c>
      <c r="C1901" s="49" t="s">
        <v>69</v>
      </c>
      <c r="D1901" s="49">
        <v>0.0</v>
      </c>
    </row>
    <row r="1902" ht="15.0" hidden="1" customHeight="1">
      <c r="A1902" s="49" t="s">
        <v>202</v>
      </c>
      <c r="B1902" s="50">
        <v>44285.0</v>
      </c>
      <c r="C1902" s="49" t="s">
        <v>69</v>
      </c>
      <c r="D1902" s="49">
        <v>0.0</v>
      </c>
    </row>
    <row r="1903" ht="15.0" hidden="1" customHeight="1">
      <c r="A1903" s="49" t="s">
        <v>206</v>
      </c>
      <c r="B1903" s="50">
        <v>44285.0</v>
      </c>
      <c r="C1903" s="49" t="s">
        <v>69</v>
      </c>
      <c r="D1903" s="49">
        <v>0.0</v>
      </c>
    </row>
    <row r="1904" ht="15.0" hidden="1" customHeight="1">
      <c r="A1904" s="49" t="s">
        <v>211</v>
      </c>
      <c r="B1904" s="50">
        <v>44285.0</v>
      </c>
      <c r="C1904" s="49" t="s">
        <v>69</v>
      </c>
      <c r="D1904" s="49">
        <v>0.0</v>
      </c>
    </row>
    <row r="1905" ht="15.0" hidden="1" customHeight="1">
      <c r="A1905" s="49" t="s">
        <v>779</v>
      </c>
      <c r="B1905" s="50">
        <v>44285.0</v>
      </c>
      <c r="C1905" s="49" t="s">
        <v>69</v>
      </c>
      <c r="D1905" s="49">
        <v>0.0</v>
      </c>
    </row>
    <row r="1906" ht="15.0" hidden="1" customHeight="1">
      <c r="A1906" s="49" t="s">
        <v>221</v>
      </c>
      <c r="B1906" s="50">
        <v>44285.0</v>
      </c>
      <c r="C1906" s="49" t="s">
        <v>69</v>
      </c>
      <c r="D1906" s="49">
        <v>0.0</v>
      </c>
    </row>
    <row r="1907" ht="15.0" hidden="1" customHeight="1">
      <c r="A1907" s="49" t="s">
        <v>226</v>
      </c>
      <c r="B1907" s="50">
        <v>44285.0</v>
      </c>
      <c r="C1907" s="49" t="s">
        <v>69</v>
      </c>
      <c r="D1907" s="49">
        <v>0.0</v>
      </c>
    </row>
    <row r="1908" ht="15.0" hidden="1" customHeight="1">
      <c r="A1908" s="49" t="s">
        <v>231</v>
      </c>
      <c r="B1908" s="50">
        <v>44285.0</v>
      </c>
      <c r="C1908" s="49" t="s">
        <v>69</v>
      </c>
      <c r="D1908" s="49">
        <v>0.0</v>
      </c>
    </row>
    <row r="1909" ht="15.0" hidden="1" customHeight="1">
      <c r="A1909" s="49" t="s">
        <v>236</v>
      </c>
      <c r="B1909" s="50">
        <v>44285.0</v>
      </c>
      <c r="C1909" s="49" t="s">
        <v>69</v>
      </c>
      <c r="D1909" s="49">
        <v>0.0</v>
      </c>
    </row>
    <row r="1910" ht="15.0" hidden="1" customHeight="1">
      <c r="A1910" s="49" t="s">
        <v>242</v>
      </c>
      <c r="B1910" s="50">
        <v>44285.0</v>
      </c>
      <c r="C1910" s="49" t="s">
        <v>69</v>
      </c>
      <c r="D1910" s="49">
        <v>0.0</v>
      </c>
    </row>
    <row r="1911" ht="15.0" hidden="1" customHeight="1">
      <c r="A1911" s="49" t="s">
        <v>248</v>
      </c>
      <c r="B1911" s="50">
        <v>44285.0</v>
      </c>
      <c r="C1911" s="49" t="s">
        <v>69</v>
      </c>
      <c r="D1911" s="49">
        <v>0.0</v>
      </c>
    </row>
    <row r="1912" ht="15.0" hidden="1" customHeight="1">
      <c r="A1912" s="49" t="s">
        <v>253</v>
      </c>
      <c r="B1912" s="50">
        <v>44285.0</v>
      </c>
      <c r="C1912" s="49" t="s">
        <v>69</v>
      </c>
      <c r="D1912" s="49">
        <v>0.0</v>
      </c>
    </row>
    <row r="1913" ht="15.0" hidden="1" customHeight="1">
      <c r="A1913" s="49" t="s">
        <v>258</v>
      </c>
      <c r="B1913" s="50">
        <v>44285.0</v>
      </c>
      <c r="C1913" s="49" t="s">
        <v>69</v>
      </c>
      <c r="D1913" s="49">
        <v>0.0</v>
      </c>
    </row>
    <row r="1914" ht="15.0" hidden="1" customHeight="1">
      <c r="A1914" s="49" t="s">
        <v>263</v>
      </c>
      <c r="B1914" s="50">
        <v>44285.0</v>
      </c>
      <c r="C1914" s="49" t="s">
        <v>69</v>
      </c>
      <c r="D1914" s="49">
        <v>0.0</v>
      </c>
    </row>
    <row r="1915" ht="15.0" hidden="1" customHeight="1">
      <c r="A1915" s="49" t="s">
        <v>268</v>
      </c>
      <c r="B1915" s="50">
        <v>44285.0</v>
      </c>
      <c r="C1915" s="49" t="s">
        <v>69</v>
      </c>
      <c r="D1915" s="49">
        <v>0.0</v>
      </c>
    </row>
    <row r="1916" ht="15.0" hidden="1" customHeight="1">
      <c r="A1916" s="49" t="s">
        <v>273</v>
      </c>
      <c r="B1916" s="50">
        <v>44285.0</v>
      </c>
      <c r="C1916" s="49" t="s">
        <v>69</v>
      </c>
      <c r="D1916" s="49">
        <v>0.0</v>
      </c>
    </row>
    <row r="1917" ht="15.0" hidden="1" customHeight="1">
      <c r="A1917" s="49" t="s">
        <v>278</v>
      </c>
      <c r="B1917" s="50">
        <v>44285.0</v>
      </c>
      <c r="C1917" s="49" t="s">
        <v>69</v>
      </c>
      <c r="D1917" s="49">
        <v>0.0</v>
      </c>
    </row>
    <row r="1918" ht="15.0" hidden="1" customHeight="1">
      <c r="A1918" s="49" t="s">
        <v>283</v>
      </c>
      <c r="B1918" s="50">
        <v>44285.0</v>
      </c>
      <c r="C1918" s="49" t="s">
        <v>69</v>
      </c>
      <c r="D1918" s="49">
        <v>0.0</v>
      </c>
    </row>
    <row r="1919" ht="15.0" hidden="1" customHeight="1">
      <c r="A1919" s="49" t="s">
        <v>288</v>
      </c>
      <c r="B1919" s="50">
        <v>44285.0</v>
      </c>
      <c r="C1919" s="49" t="s">
        <v>69</v>
      </c>
      <c r="D1919" s="49">
        <v>0.0</v>
      </c>
    </row>
    <row r="1920" ht="15.0" hidden="1" customHeight="1">
      <c r="A1920" s="49" t="s">
        <v>293</v>
      </c>
      <c r="B1920" s="50">
        <v>44285.0</v>
      </c>
      <c r="C1920" s="49" t="s">
        <v>69</v>
      </c>
      <c r="D1920" s="49">
        <v>0.0</v>
      </c>
    </row>
    <row r="1921" ht="15.0" hidden="1" customHeight="1">
      <c r="A1921" s="49" t="s">
        <v>298</v>
      </c>
      <c r="B1921" s="50">
        <v>44285.0</v>
      </c>
      <c r="C1921" s="49" t="s">
        <v>69</v>
      </c>
      <c r="D1921" s="49">
        <v>0.0</v>
      </c>
    </row>
    <row r="1922" ht="15.0" hidden="1" customHeight="1">
      <c r="A1922" s="49" t="s">
        <v>303</v>
      </c>
      <c r="B1922" s="50">
        <v>44285.0</v>
      </c>
      <c r="C1922" s="49" t="s">
        <v>69</v>
      </c>
      <c r="D1922" s="49">
        <v>0.0</v>
      </c>
    </row>
    <row r="1923" ht="15.0" hidden="1" customHeight="1">
      <c r="A1923" s="49" t="s">
        <v>307</v>
      </c>
      <c r="B1923" s="50">
        <v>44285.0</v>
      </c>
      <c r="C1923" s="49" t="s">
        <v>69</v>
      </c>
      <c r="D1923" s="49">
        <v>0.0</v>
      </c>
    </row>
    <row r="1924" ht="15.0" hidden="1" customHeight="1">
      <c r="A1924" s="49" t="s">
        <v>313</v>
      </c>
      <c r="B1924" s="50">
        <v>44285.0</v>
      </c>
      <c r="C1924" s="49" t="s">
        <v>69</v>
      </c>
      <c r="D1924" s="49">
        <v>0.0</v>
      </c>
    </row>
    <row r="1925" ht="15.0" hidden="1" customHeight="1">
      <c r="A1925" s="49" t="s">
        <v>318</v>
      </c>
      <c r="B1925" s="50">
        <v>44285.0</v>
      </c>
      <c r="C1925" s="49" t="s">
        <v>69</v>
      </c>
      <c r="D1925" s="49">
        <v>0.0</v>
      </c>
    </row>
    <row r="1926" ht="15.0" hidden="1" customHeight="1">
      <c r="A1926" s="49" t="s">
        <v>323</v>
      </c>
      <c r="B1926" s="50">
        <v>44285.0</v>
      </c>
      <c r="C1926" s="49" t="s">
        <v>69</v>
      </c>
      <c r="D1926" s="49">
        <v>0.0</v>
      </c>
    </row>
    <row r="1927" ht="15.0" hidden="1" customHeight="1">
      <c r="A1927" s="49" t="s">
        <v>328</v>
      </c>
      <c r="B1927" s="50">
        <v>44285.0</v>
      </c>
      <c r="C1927" s="49" t="s">
        <v>69</v>
      </c>
      <c r="D1927" s="49">
        <v>0.0</v>
      </c>
    </row>
    <row r="1928" ht="15.0" hidden="1" customHeight="1">
      <c r="A1928" s="49" t="s">
        <v>335</v>
      </c>
      <c r="B1928" s="50">
        <v>44285.0</v>
      </c>
      <c r="C1928" s="49" t="s">
        <v>69</v>
      </c>
      <c r="D1928" s="49">
        <v>0.0</v>
      </c>
    </row>
    <row r="1929" ht="15.0" hidden="1" customHeight="1">
      <c r="A1929" s="49" t="s">
        <v>340</v>
      </c>
      <c r="B1929" s="50">
        <v>44285.0</v>
      </c>
      <c r="C1929" s="49" t="s">
        <v>69</v>
      </c>
      <c r="D1929" s="49">
        <v>0.0</v>
      </c>
    </row>
    <row r="1930" ht="15.0" hidden="1" customHeight="1">
      <c r="A1930" s="49" t="s">
        <v>345</v>
      </c>
      <c r="B1930" s="50">
        <v>44285.0</v>
      </c>
      <c r="C1930" s="49" t="s">
        <v>69</v>
      </c>
      <c r="D1930" s="49">
        <v>0.0</v>
      </c>
    </row>
    <row r="1931" ht="15.0" hidden="1" customHeight="1">
      <c r="A1931" s="49" t="s">
        <v>350</v>
      </c>
      <c r="B1931" s="50">
        <v>44285.0</v>
      </c>
      <c r="C1931" s="49" t="s">
        <v>69</v>
      </c>
      <c r="D1931" s="49">
        <v>0.0</v>
      </c>
    </row>
    <row r="1932" ht="15.0" hidden="1" customHeight="1">
      <c r="A1932" s="49" t="s">
        <v>355</v>
      </c>
      <c r="B1932" s="50">
        <v>44285.0</v>
      </c>
      <c r="C1932" s="49" t="s">
        <v>69</v>
      </c>
      <c r="D1932" s="49">
        <v>0.0</v>
      </c>
    </row>
    <row r="1933" ht="15.0" hidden="1" customHeight="1">
      <c r="A1933" s="49" t="s">
        <v>360</v>
      </c>
      <c r="B1933" s="50">
        <v>44285.0</v>
      </c>
      <c r="C1933" s="49" t="s">
        <v>69</v>
      </c>
      <c r="D1933" s="49">
        <v>0.0</v>
      </c>
    </row>
    <row r="1934" ht="15.0" hidden="1" customHeight="1">
      <c r="A1934" s="49" t="s">
        <v>365</v>
      </c>
      <c r="B1934" s="50">
        <v>44285.0</v>
      </c>
      <c r="C1934" s="49" t="s">
        <v>69</v>
      </c>
      <c r="D1934" s="49">
        <v>0.0</v>
      </c>
    </row>
    <row r="1935" ht="15.0" hidden="1" customHeight="1">
      <c r="A1935" s="49" t="s">
        <v>370</v>
      </c>
      <c r="B1935" s="50">
        <v>44285.0</v>
      </c>
      <c r="C1935" s="49" t="s">
        <v>69</v>
      </c>
      <c r="D1935" s="49">
        <v>0.0</v>
      </c>
    </row>
    <row r="1936" ht="15.0" hidden="1" customHeight="1">
      <c r="A1936" s="49" t="s">
        <v>375</v>
      </c>
      <c r="B1936" s="50">
        <v>44285.0</v>
      </c>
      <c r="C1936" s="49" t="s">
        <v>69</v>
      </c>
      <c r="D1936" s="49">
        <v>0.0</v>
      </c>
    </row>
    <row r="1937" ht="15.0" hidden="1" customHeight="1">
      <c r="A1937" s="49" t="s">
        <v>380</v>
      </c>
      <c r="B1937" s="50">
        <v>44285.0</v>
      </c>
      <c r="C1937" s="49" t="s">
        <v>69</v>
      </c>
      <c r="D1937" s="49">
        <v>0.0</v>
      </c>
    </row>
    <row r="1938" ht="15.0" hidden="1" customHeight="1">
      <c r="A1938" s="49" t="s">
        <v>385</v>
      </c>
      <c r="B1938" s="50">
        <v>44285.0</v>
      </c>
      <c r="C1938" s="49" t="s">
        <v>69</v>
      </c>
      <c r="D1938" s="49">
        <v>0.0</v>
      </c>
    </row>
    <row r="1939" ht="15.0" hidden="1" customHeight="1">
      <c r="A1939" s="49" t="s">
        <v>390</v>
      </c>
      <c r="B1939" s="50">
        <v>44285.0</v>
      </c>
      <c r="C1939" s="49" t="s">
        <v>69</v>
      </c>
      <c r="D1939" s="49">
        <v>0.0</v>
      </c>
    </row>
    <row r="1940" ht="15.0" hidden="1" customHeight="1">
      <c r="A1940" s="49" t="s">
        <v>395</v>
      </c>
      <c r="B1940" s="50">
        <v>44285.0</v>
      </c>
      <c r="C1940" s="49" t="s">
        <v>69</v>
      </c>
      <c r="D1940" s="49">
        <v>0.0</v>
      </c>
    </row>
    <row r="1941" ht="15.0" hidden="1" customHeight="1">
      <c r="A1941" s="49" t="s">
        <v>400</v>
      </c>
      <c r="B1941" s="50">
        <v>44285.0</v>
      </c>
      <c r="C1941" s="49" t="s">
        <v>69</v>
      </c>
      <c r="D1941" s="49">
        <v>0.0</v>
      </c>
    </row>
    <row r="1942" ht="15.0" hidden="1" customHeight="1">
      <c r="A1942" s="49" t="s">
        <v>405</v>
      </c>
      <c r="B1942" s="50">
        <v>44285.0</v>
      </c>
      <c r="C1942" s="49" t="s">
        <v>69</v>
      </c>
      <c r="D1942" s="49">
        <v>0.0</v>
      </c>
    </row>
    <row r="1943" ht="15.0" hidden="1" customHeight="1">
      <c r="A1943" s="49" t="s">
        <v>410</v>
      </c>
      <c r="B1943" s="50">
        <v>44285.0</v>
      </c>
      <c r="C1943" s="49" t="s">
        <v>69</v>
      </c>
      <c r="D1943" s="49">
        <v>0.0</v>
      </c>
    </row>
    <row r="1944" ht="15.0" hidden="1" customHeight="1">
      <c r="A1944" s="49" t="s">
        <v>415</v>
      </c>
      <c r="B1944" s="50">
        <v>44285.0</v>
      </c>
      <c r="C1944" s="49" t="s">
        <v>69</v>
      </c>
      <c r="D1944" s="49">
        <v>0.0</v>
      </c>
    </row>
    <row r="1945" ht="15.0" hidden="1" customHeight="1">
      <c r="A1945" s="49" t="s">
        <v>420</v>
      </c>
      <c r="B1945" s="50">
        <v>44285.0</v>
      </c>
      <c r="C1945" s="49" t="s">
        <v>69</v>
      </c>
      <c r="D1945" s="49">
        <v>0.0</v>
      </c>
    </row>
    <row r="1946" ht="15.0" hidden="1" customHeight="1">
      <c r="A1946" s="49" t="s">
        <v>425</v>
      </c>
      <c r="B1946" s="50">
        <v>44285.0</v>
      </c>
      <c r="C1946" s="49" t="s">
        <v>69</v>
      </c>
      <c r="D1946" s="49">
        <v>0.0</v>
      </c>
    </row>
    <row r="1947" ht="15.0" hidden="1" customHeight="1">
      <c r="A1947" s="49" t="s">
        <v>430</v>
      </c>
      <c r="B1947" s="50">
        <v>44285.0</v>
      </c>
      <c r="C1947" s="49" t="s">
        <v>69</v>
      </c>
      <c r="D1947" s="49">
        <v>0.0</v>
      </c>
    </row>
    <row r="1948" ht="15.0" hidden="1" customHeight="1">
      <c r="A1948" s="49" t="s">
        <v>434</v>
      </c>
      <c r="B1948" s="50">
        <v>44285.0</v>
      </c>
      <c r="C1948" s="49" t="s">
        <v>69</v>
      </c>
      <c r="D1948" s="49">
        <v>0.0</v>
      </c>
    </row>
    <row r="1949" ht="15.0" hidden="1" customHeight="1">
      <c r="A1949" s="49" t="s">
        <v>439</v>
      </c>
      <c r="B1949" s="50">
        <v>44285.0</v>
      </c>
      <c r="C1949" s="49" t="s">
        <v>69</v>
      </c>
      <c r="D1949" s="49">
        <v>0.0</v>
      </c>
    </row>
    <row r="1950" ht="15.0" hidden="1" customHeight="1">
      <c r="A1950" s="49" t="s">
        <v>444</v>
      </c>
      <c r="B1950" s="50">
        <v>44285.0</v>
      </c>
      <c r="C1950" s="49" t="s">
        <v>69</v>
      </c>
      <c r="D1950" s="49">
        <v>0.0</v>
      </c>
    </row>
    <row r="1951" ht="15.0" hidden="1" customHeight="1">
      <c r="A1951" s="49" t="s">
        <v>449</v>
      </c>
      <c r="B1951" s="50">
        <v>44285.0</v>
      </c>
      <c r="C1951" s="49" t="s">
        <v>69</v>
      </c>
      <c r="D1951" s="49">
        <v>0.0</v>
      </c>
    </row>
    <row r="1952" ht="15.0" hidden="1" customHeight="1">
      <c r="A1952" s="49" t="s">
        <v>455</v>
      </c>
      <c r="B1952" s="50">
        <v>44285.0</v>
      </c>
      <c r="C1952" s="49" t="s">
        <v>69</v>
      </c>
      <c r="D1952" s="49">
        <v>0.0</v>
      </c>
    </row>
    <row r="1953" ht="15.0" hidden="1" customHeight="1">
      <c r="A1953" s="49" t="s">
        <v>470</v>
      </c>
      <c r="B1953" s="50">
        <v>44285.0</v>
      </c>
      <c r="C1953" s="49" t="s">
        <v>69</v>
      </c>
      <c r="D1953" s="49">
        <v>0.0</v>
      </c>
    </row>
    <row r="1954" ht="15.0" hidden="1" customHeight="1">
      <c r="A1954" s="49" t="s">
        <v>476</v>
      </c>
      <c r="B1954" s="50">
        <v>44285.0</v>
      </c>
      <c r="C1954" s="49" t="s">
        <v>69</v>
      </c>
      <c r="D1954" s="49">
        <v>0.0</v>
      </c>
    </row>
    <row r="1955" ht="15.0" hidden="1" customHeight="1">
      <c r="A1955" s="49" t="s">
        <v>481</v>
      </c>
      <c r="B1955" s="50">
        <v>44285.0</v>
      </c>
      <c r="C1955" s="49" t="s">
        <v>69</v>
      </c>
      <c r="D1955" s="49">
        <v>0.0</v>
      </c>
    </row>
    <row r="1956" ht="15.0" hidden="1" customHeight="1">
      <c r="A1956" s="49" t="s">
        <v>486</v>
      </c>
      <c r="B1956" s="50">
        <v>44285.0</v>
      </c>
      <c r="C1956" s="49" t="s">
        <v>69</v>
      </c>
      <c r="D1956" s="49">
        <v>0.0</v>
      </c>
    </row>
    <row r="1957" ht="15.0" hidden="1" customHeight="1">
      <c r="A1957" s="49" t="s">
        <v>491</v>
      </c>
      <c r="B1957" s="50">
        <v>44285.0</v>
      </c>
      <c r="C1957" s="49" t="s">
        <v>69</v>
      </c>
      <c r="D1957" s="49">
        <v>0.0</v>
      </c>
    </row>
    <row r="1958" ht="15.0" hidden="1" customHeight="1">
      <c r="A1958" s="49" t="s">
        <v>496</v>
      </c>
      <c r="B1958" s="50">
        <v>44285.0</v>
      </c>
      <c r="C1958" s="49" t="s">
        <v>69</v>
      </c>
      <c r="D1958" s="49">
        <v>0.0</v>
      </c>
    </row>
    <row r="1959" ht="15.0" hidden="1" customHeight="1">
      <c r="A1959" s="49" t="s">
        <v>501</v>
      </c>
      <c r="B1959" s="50">
        <v>44285.0</v>
      </c>
      <c r="C1959" s="49" t="s">
        <v>69</v>
      </c>
      <c r="D1959" s="49">
        <v>0.0</v>
      </c>
    </row>
    <row r="1960" ht="15.0" hidden="1" customHeight="1">
      <c r="A1960" s="49" t="s">
        <v>506</v>
      </c>
      <c r="B1960" s="50">
        <v>44285.0</v>
      </c>
      <c r="C1960" s="49" t="s">
        <v>69</v>
      </c>
      <c r="D1960" s="49">
        <v>0.0</v>
      </c>
    </row>
    <row r="1961" ht="15.0" hidden="1" customHeight="1">
      <c r="A1961" s="49" t="s">
        <v>512</v>
      </c>
      <c r="B1961" s="50">
        <v>44285.0</v>
      </c>
      <c r="C1961" s="49" t="s">
        <v>69</v>
      </c>
      <c r="D1961" s="49">
        <v>0.0</v>
      </c>
    </row>
    <row r="1962" ht="15.0" hidden="1" customHeight="1">
      <c r="A1962" s="49" t="s">
        <v>517</v>
      </c>
      <c r="B1962" s="50">
        <v>44285.0</v>
      </c>
      <c r="C1962" s="49" t="s">
        <v>69</v>
      </c>
      <c r="D1962" s="49">
        <v>0.0</v>
      </c>
    </row>
    <row r="1963" ht="15.0" hidden="1" customHeight="1">
      <c r="A1963" s="49" t="s">
        <v>522</v>
      </c>
      <c r="B1963" s="50">
        <v>44285.0</v>
      </c>
      <c r="C1963" s="49" t="s">
        <v>69</v>
      </c>
      <c r="D1963" s="49">
        <v>0.0</v>
      </c>
    </row>
    <row r="1964" ht="15.0" hidden="1" customHeight="1">
      <c r="A1964" s="49" t="s">
        <v>528</v>
      </c>
      <c r="B1964" s="50">
        <v>44285.0</v>
      </c>
      <c r="C1964" s="49" t="s">
        <v>69</v>
      </c>
      <c r="D1964" s="49">
        <v>0.0</v>
      </c>
    </row>
    <row r="1965" ht="15.0" hidden="1" customHeight="1">
      <c r="A1965" s="49" t="s">
        <v>533</v>
      </c>
      <c r="B1965" s="50">
        <v>44285.0</v>
      </c>
      <c r="C1965" s="49" t="s">
        <v>69</v>
      </c>
      <c r="D1965" s="49">
        <v>0.0</v>
      </c>
    </row>
    <row r="1966" ht="15.0" hidden="1" customHeight="1">
      <c r="A1966" s="49" t="s">
        <v>538</v>
      </c>
      <c r="B1966" s="50">
        <v>44285.0</v>
      </c>
      <c r="C1966" s="49" t="s">
        <v>69</v>
      </c>
      <c r="D1966" s="49">
        <v>0.0</v>
      </c>
    </row>
    <row r="1967" ht="15.0" hidden="1" customHeight="1">
      <c r="A1967" s="49" t="s">
        <v>546</v>
      </c>
      <c r="B1967" s="50">
        <v>44285.0</v>
      </c>
      <c r="C1967" s="49" t="s">
        <v>69</v>
      </c>
      <c r="D1967" s="49">
        <v>0.0</v>
      </c>
    </row>
    <row r="1968" ht="15.0" hidden="1" customHeight="1">
      <c r="A1968" s="49" t="s">
        <v>551</v>
      </c>
      <c r="B1968" s="50">
        <v>44285.0</v>
      </c>
      <c r="C1968" s="49" t="s">
        <v>69</v>
      </c>
      <c r="D1968" s="49">
        <v>0.0</v>
      </c>
    </row>
    <row r="1969" ht="15.0" hidden="1" customHeight="1">
      <c r="A1969" s="49" t="s">
        <v>556</v>
      </c>
      <c r="B1969" s="50">
        <v>44285.0</v>
      </c>
      <c r="C1969" s="49" t="s">
        <v>69</v>
      </c>
      <c r="D1969" s="49">
        <v>0.0</v>
      </c>
    </row>
    <row r="1970" ht="15.0" hidden="1" customHeight="1">
      <c r="A1970" s="49" t="s">
        <v>561</v>
      </c>
      <c r="B1970" s="50">
        <v>44285.0</v>
      </c>
      <c r="C1970" s="49" t="s">
        <v>69</v>
      </c>
      <c r="D1970" s="49">
        <v>0.0</v>
      </c>
    </row>
    <row r="1971" ht="15.0" hidden="1" customHeight="1">
      <c r="A1971" s="49" t="s">
        <v>566</v>
      </c>
      <c r="B1971" s="50">
        <v>44285.0</v>
      </c>
      <c r="C1971" s="49" t="s">
        <v>69</v>
      </c>
      <c r="D1971" s="49">
        <v>0.0</v>
      </c>
    </row>
    <row r="1972" ht="15.0" hidden="1" customHeight="1">
      <c r="A1972" s="49" t="s">
        <v>571</v>
      </c>
      <c r="B1972" s="50">
        <v>44285.0</v>
      </c>
      <c r="C1972" s="49" t="s">
        <v>69</v>
      </c>
      <c r="D1972" s="49">
        <v>0.0</v>
      </c>
    </row>
    <row r="1973" ht="15.0" hidden="1" customHeight="1">
      <c r="A1973" s="49" t="s">
        <v>576</v>
      </c>
      <c r="B1973" s="50">
        <v>44285.0</v>
      </c>
      <c r="C1973" s="49" t="s">
        <v>69</v>
      </c>
      <c r="D1973" s="49">
        <v>0.0</v>
      </c>
    </row>
    <row r="1974" ht="15.0" hidden="1" customHeight="1">
      <c r="A1974" s="49" t="s">
        <v>581</v>
      </c>
      <c r="B1974" s="50">
        <v>44285.0</v>
      </c>
      <c r="C1974" s="49" t="s">
        <v>69</v>
      </c>
      <c r="D1974" s="49">
        <v>0.0</v>
      </c>
    </row>
    <row r="1975" ht="15.0" hidden="1" customHeight="1">
      <c r="A1975" s="49" t="s">
        <v>586</v>
      </c>
      <c r="B1975" s="50">
        <v>44285.0</v>
      </c>
      <c r="C1975" s="49" t="s">
        <v>69</v>
      </c>
      <c r="D1975" s="49">
        <v>0.0</v>
      </c>
    </row>
    <row r="1976" ht="15.0" hidden="1" customHeight="1">
      <c r="A1976" s="49" t="s">
        <v>754</v>
      </c>
      <c r="B1976" s="50">
        <v>44285.0</v>
      </c>
      <c r="C1976" s="49" t="s">
        <v>69</v>
      </c>
      <c r="D1976" s="49">
        <v>0.0</v>
      </c>
    </row>
    <row r="1977" ht="15.0" hidden="1" customHeight="1">
      <c r="A1977" s="49" t="s">
        <v>591</v>
      </c>
      <c r="B1977" s="50">
        <v>44285.0</v>
      </c>
      <c r="C1977" s="49" t="s">
        <v>69</v>
      </c>
      <c r="D1977" s="49">
        <v>0.0</v>
      </c>
    </row>
    <row r="1978" ht="15.0" hidden="1" customHeight="1">
      <c r="A1978" s="49" t="s">
        <v>759</v>
      </c>
      <c r="B1978" s="50">
        <v>44285.0</v>
      </c>
      <c r="C1978" s="49" t="s">
        <v>69</v>
      </c>
      <c r="D1978" s="49">
        <v>0.0</v>
      </c>
    </row>
    <row r="1979" ht="15.0" hidden="1" customHeight="1">
      <c r="A1979" s="49" t="s">
        <v>596</v>
      </c>
      <c r="B1979" s="50">
        <v>44285.0</v>
      </c>
      <c r="C1979" s="49" t="s">
        <v>69</v>
      </c>
      <c r="D1979" s="49">
        <v>0.0</v>
      </c>
    </row>
    <row r="1980" ht="15.0" hidden="1" customHeight="1">
      <c r="A1980" s="49" t="s">
        <v>602</v>
      </c>
      <c r="B1980" s="50">
        <v>44285.0</v>
      </c>
      <c r="C1980" s="49" t="s">
        <v>69</v>
      </c>
      <c r="D1980" s="49">
        <v>0.0</v>
      </c>
    </row>
    <row r="1981" ht="15.0" hidden="1" customHeight="1">
      <c r="A1981" s="49" t="s">
        <v>607</v>
      </c>
      <c r="B1981" s="50">
        <v>44285.0</v>
      </c>
      <c r="C1981" s="49" t="s">
        <v>69</v>
      </c>
      <c r="D1981" s="49">
        <v>0.0</v>
      </c>
    </row>
    <row r="1982" ht="15.0" hidden="1" customHeight="1">
      <c r="A1982" s="49" t="s">
        <v>612</v>
      </c>
      <c r="B1982" s="50">
        <v>44285.0</v>
      </c>
      <c r="C1982" s="49" t="s">
        <v>69</v>
      </c>
      <c r="D1982" s="49">
        <v>0.0</v>
      </c>
    </row>
    <row r="1983" ht="15.0" hidden="1" customHeight="1">
      <c r="A1983" s="49" t="s">
        <v>617</v>
      </c>
      <c r="B1983" s="50">
        <v>44285.0</v>
      </c>
      <c r="C1983" s="49" t="s">
        <v>69</v>
      </c>
      <c r="D1983" s="49">
        <v>0.0</v>
      </c>
    </row>
    <row r="1984" ht="15.0" hidden="1" customHeight="1">
      <c r="A1984" s="49" t="s">
        <v>622</v>
      </c>
      <c r="B1984" s="50">
        <v>44285.0</v>
      </c>
      <c r="C1984" s="49" t="s">
        <v>69</v>
      </c>
      <c r="D1984" s="49">
        <v>0.0</v>
      </c>
    </row>
    <row r="1985" ht="15.0" hidden="1" customHeight="1">
      <c r="A1985" s="49" t="s">
        <v>627</v>
      </c>
      <c r="B1985" s="50">
        <v>44285.0</v>
      </c>
      <c r="C1985" s="49" t="s">
        <v>69</v>
      </c>
      <c r="D1985" s="49">
        <v>0.0</v>
      </c>
    </row>
    <row r="1986" ht="15.0" hidden="1" customHeight="1">
      <c r="A1986" s="49" t="s">
        <v>631</v>
      </c>
      <c r="B1986" s="50">
        <v>44285.0</v>
      </c>
      <c r="C1986" s="49" t="s">
        <v>69</v>
      </c>
      <c r="D1986" s="49">
        <v>0.0</v>
      </c>
    </row>
    <row r="1987" ht="15.0" hidden="1" customHeight="1">
      <c r="A1987" s="49" t="s">
        <v>636</v>
      </c>
      <c r="B1987" s="50">
        <v>44285.0</v>
      </c>
      <c r="C1987" s="49" t="s">
        <v>69</v>
      </c>
      <c r="D1987" s="49">
        <v>0.0</v>
      </c>
    </row>
    <row r="1988" ht="15.0" hidden="1" customHeight="1">
      <c r="A1988" s="49" t="s">
        <v>640</v>
      </c>
      <c r="B1988" s="50">
        <v>44285.0</v>
      </c>
      <c r="C1988" s="49" t="s">
        <v>69</v>
      </c>
      <c r="D1988" s="49">
        <v>0.0</v>
      </c>
    </row>
    <row r="1989" ht="15.0" hidden="1" customHeight="1">
      <c r="A1989" s="49" t="s">
        <v>644</v>
      </c>
      <c r="B1989" s="50">
        <v>44285.0</v>
      </c>
      <c r="C1989" s="49" t="s">
        <v>69</v>
      </c>
      <c r="D1989" s="49">
        <v>0.0</v>
      </c>
    </row>
    <row r="1990" ht="15.0" hidden="1" customHeight="1">
      <c r="A1990" s="49" t="s">
        <v>649</v>
      </c>
      <c r="B1990" s="50">
        <v>44285.0</v>
      </c>
      <c r="C1990" s="49" t="s">
        <v>69</v>
      </c>
      <c r="D1990" s="49">
        <v>0.0</v>
      </c>
    </row>
    <row r="1991" ht="15.0" hidden="1" customHeight="1">
      <c r="A1991" s="49" t="s">
        <v>654</v>
      </c>
      <c r="B1991" s="50">
        <v>44285.0</v>
      </c>
      <c r="C1991" s="49" t="s">
        <v>69</v>
      </c>
      <c r="D1991" s="49">
        <v>0.0</v>
      </c>
    </row>
    <row r="1992" ht="15.0" hidden="1" customHeight="1">
      <c r="A1992" s="49" t="s">
        <v>659</v>
      </c>
      <c r="B1992" s="50">
        <v>44285.0</v>
      </c>
      <c r="C1992" s="49" t="s">
        <v>69</v>
      </c>
      <c r="D1992" s="49">
        <v>0.0</v>
      </c>
    </row>
    <row r="1993" ht="15.0" hidden="1" customHeight="1">
      <c r="A1993" s="49" t="s">
        <v>664</v>
      </c>
      <c r="B1993" s="50">
        <v>44285.0</v>
      </c>
      <c r="C1993" s="49" t="s">
        <v>69</v>
      </c>
      <c r="D1993" s="49">
        <v>0.0</v>
      </c>
    </row>
    <row r="1994" ht="15.0" hidden="1" customHeight="1">
      <c r="A1994" s="49" t="s">
        <v>669</v>
      </c>
      <c r="B1994" s="50">
        <v>44285.0</v>
      </c>
      <c r="C1994" s="49" t="s">
        <v>69</v>
      </c>
      <c r="D1994" s="49">
        <v>0.0</v>
      </c>
    </row>
    <row r="1995" ht="15.0" hidden="1" customHeight="1">
      <c r="A1995" s="49" t="s">
        <v>674</v>
      </c>
      <c r="B1995" s="50">
        <v>44285.0</v>
      </c>
      <c r="C1995" s="49" t="s">
        <v>69</v>
      </c>
      <c r="D1995" s="49">
        <v>0.0</v>
      </c>
    </row>
    <row r="1996" ht="15.0" hidden="1" customHeight="1">
      <c r="A1996" s="49" t="s">
        <v>679</v>
      </c>
      <c r="B1996" s="50">
        <v>44285.0</v>
      </c>
      <c r="C1996" s="49" t="s">
        <v>69</v>
      </c>
      <c r="D1996" s="49">
        <v>0.0</v>
      </c>
    </row>
    <row r="1997" ht="15.0" hidden="1" customHeight="1">
      <c r="A1997" s="49" t="s">
        <v>684</v>
      </c>
      <c r="B1997" s="50">
        <v>44285.0</v>
      </c>
      <c r="C1997" s="49" t="s">
        <v>69</v>
      </c>
      <c r="D1997" s="49">
        <v>0.0</v>
      </c>
    </row>
    <row r="1998" ht="15.0" hidden="1" customHeight="1">
      <c r="A1998" s="49" t="s">
        <v>689</v>
      </c>
      <c r="B1998" s="50">
        <v>44285.0</v>
      </c>
      <c r="C1998" s="49" t="s">
        <v>69</v>
      </c>
      <c r="D1998" s="49">
        <v>0.0</v>
      </c>
    </row>
    <row r="1999" ht="15.0" hidden="1" customHeight="1">
      <c r="A1999" s="49" t="s">
        <v>694</v>
      </c>
      <c r="B1999" s="50">
        <v>44285.0</v>
      </c>
      <c r="C1999" s="49" t="s">
        <v>69</v>
      </c>
      <c r="D1999" s="49">
        <v>0.0</v>
      </c>
    </row>
    <row r="2000" ht="15.0" hidden="1" customHeight="1">
      <c r="A2000" s="49" t="s">
        <v>699</v>
      </c>
      <c r="B2000" s="50">
        <v>44285.0</v>
      </c>
      <c r="C2000" s="49" t="s">
        <v>69</v>
      </c>
      <c r="D2000" s="49">
        <v>0.0</v>
      </c>
    </row>
    <row r="2001" ht="15.0" hidden="1" customHeight="1">
      <c r="A2001" s="49" t="s">
        <v>705</v>
      </c>
      <c r="B2001" s="50">
        <v>44285.0</v>
      </c>
      <c r="C2001" s="49" t="s">
        <v>69</v>
      </c>
      <c r="D2001" s="49">
        <v>0.0</v>
      </c>
    </row>
    <row r="2002" ht="15.0" hidden="1" customHeight="1">
      <c r="A2002" s="49" t="s">
        <v>710</v>
      </c>
      <c r="B2002" s="50">
        <v>44285.0</v>
      </c>
      <c r="C2002" s="49" t="s">
        <v>69</v>
      </c>
      <c r="D2002" s="49">
        <v>0.0</v>
      </c>
    </row>
    <row r="2003" ht="15.0" hidden="1" customHeight="1">
      <c r="A2003" s="49" t="s">
        <v>715</v>
      </c>
      <c r="B2003" s="50">
        <v>44285.0</v>
      </c>
      <c r="C2003" s="49" t="s">
        <v>69</v>
      </c>
      <c r="D2003" s="49">
        <v>0.0</v>
      </c>
    </row>
    <row r="2004" ht="15.0" hidden="1" customHeight="1">
      <c r="A2004" s="49" t="s">
        <v>765</v>
      </c>
      <c r="B2004" s="50">
        <v>44285.0</v>
      </c>
      <c r="C2004" s="49" t="s">
        <v>69</v>
      </c>
      <c r="D2004" s="49">
        <v>0.0</v>
      </c>
    </row>
    <row r="2005" ht="15.0" hidden="1" customHeight="1">
      <c r="A2005" s="49" t="s">
        <v>720</v>
      </c>
      <c r="B2005" s="50">
        <v>44285.0</v>
      </c>
      <c r="C2005" s="49" t="s">
        <v>69</v>
      </c>
      <c r="D2005" s="49">
        <v>0.0</v>
      </c>
    </row>
    <row r="2006" ht="15.0" hidden="1" customHeight="1">
      <c r="A2006" s="49" t="s">
        <v>725</v>
      </c>
      <c r="B2006" s="50">
        <v>44285.0</v>
      </c>
      <c r="C2006" s="49" t="s">
        <v>69</v>
      </c>
      <c r="D2006" s="49">
        <v>0.0</v>
      </c>
    </row>
    <row r="2007" ht="15.0" hidden="1" customHeight="1">
      <c r="A2007" s="49" t="s">
        <v>730</v>
      </c>
      <c r="B2007" s="50">
        <v>44285.0</v>
      </c>
      <c r="C2007" s="49" t="s">
        <v>69</v>
      </c>
      <c r="D2007" s="49">
        <v>0.0</v>
      </c>
    </row>
    <row r="2008" ht="15.0" hidden="1" customHeight="1">
      <c r="A2008" s="49" t="s">
        <v>734</v>
      </c>
      <c r="B2008" s="50">
        <v>44285.0</v>
      </c>
      <c r="C2008" s="49" t="s">
        <v>69</v>
      </c>
      <c r="D2008" s="49">
        <v>0.0</v>
      </c>
    </row>
    <row r="2009" ht="15.0" hidden="1" customHeight="1">
      <c r="A2009" s="49" t="s">
        <v>739</v>
      </c>
      <c r="B2009" s="50">
        <v>44285.0</v>
      </c>
      <c r="C2009" s="49" t="s">
        <v>69</v>
      </c>
      <c r="D2009" s="49">
        <v>0.0</v>
      </c>
    </row>
    <row r="2010" ht="15.0" hidden="1" customHeight="1">
      <c r="A2010" s="49" t="s">
        <v>744</v>
      </c>
      <c r="B2010" s="50">
        <v>44285.0</v>
      </c>
      <c r="C2010" s="49" t="s">
        <v>69</v>
      </c>
      <c r="D2010" s="49">
        <v>0.0</v>
      </c>
    </row>
    <row r="2011" ht="15.0" hidden="1" customHeight="1">
      <c r="A2011" s="49" t="s">
        <v>749</v>
      </c>
      <c r="B2011" s="50">
        <v>44285.0</v>
      </c>
      <c r="C2011" s="49" t="s">
        <v>69</v>
      </c>
      <c r="D2011" s="49">
        <v>0.0</v>
      </c>
    </row>
    <row r="2012" ht="15.0" customHeight="1">
      <c r="A2012" s="49" t="s">
        <v>776</v>
      </c>
      <c r="B2012" s="50">
        <v>44285.0</v>
      </c>
      <c r="C2012" s="49" t="s">
        <v>780</v>
      </c>
      <c r="D2012" s="49">
        <v>-2.16E7</v>
      </c>
    </row>
    <row r="2013" ht="15.0" hidden="1" customHeight="1">
      <c r="A2013" s="49" t="s">
        <v>778</v>
      </c>
      <c r="B2013" s="50">
        <v>44285.0</v>
      </c>
      <c r="C2013" s="49" t="s">
        <v>780</v>
      </c>
      <c r="D2013" s="49">
        <v>-700000.0</v>
      </c>
    </row>
    <row r="2014" ht="15.0" hidden="1" customHeight="1">
      <c r="A2014" s="49" t="s">
        <v>92</v>
      </c>
      <c r="B2014" s="50">
        <v>44285.0</v>
      </c>
      <c r="C2014" s="49" t="s">
        <v>780</v>
      </c>
      <c r="D2014" s="49">
        <v>-1900000.0</v>
      </c>
    </row>
    <row r="2015" ht="15.0" hidden="1" customHeight="1">
      <c r="A2015" s="49" t="s">
        <v>97</v>
      </c>
      <c r="B2015" s="50">
        <v>44285.0</v>
      </c>
      <c r="C2015" s="49" t="s">
        <v>780</v>
      </c>
      <c r="D2015" s="49">
        <v>-500000.0</v>
      </c>
    </row>
    <row r="2016" ht="15.0" hidden="1" customHeight="1">
      <c r="A2016" s="49" t="s">
        <v>102</v>
      </c>
      <c r="B2016" s="50">
        <v>44285.0</v>
      </c>
      <c r="C2016" s="49" t="s">
        <v>780</v>
      </c>
      <c r="D2016" s="49">
        <v>-250000.0</v>
      </c>
    </row>
    <row r="2017" ht="15.0" hidden="1" customHeight="1">
      <c r="A2017" s="49" t="s">
        <v>106</v>
      </c>
      <c r="B2017" s="50">
        <v>44285.0</v>
      </c>
      <c r="C2017" s="49" t="s">
        <v>780</v>
      </c>
      <c r="D2017" s="49">
        <v>-481000.0</v>
      </c>
    </row>
    <row r="2018" ht="15.0" hidden="1" customHeight="1">
      <c r="A2018" s="49" t="s">
        <v>111</v>
      </c>
      <c r="B2018" s="50">
        <v>44285.0</v>
      </c>
      <c r="C2018" s="49" t="s">
        <v>780</v>
      </c>
      <c r="D2018" s="49">
        <v>-180000.0</v>
      </c>
    </row>
    <row r="2019" ht="15.0" hidden="1" customHeight="1">
      <c r="A2019" s="49" t="s">
        <v>116</v>
      </c>
      <c r="B2019" s="50">
        <v>44285.0</v>
      </c>
      <c r="C2019" s="49" t="s">
        <v>780</v>
      </c>
      <c r="D2019" s="49">
        <v>-800000.0</v>
      </c>
    </row>
    <row r="2020" ht="15.0" hidden="1" customHeight="1">
      <c r="A2020" s="49" t="s">
        <v>120</v>
      </c>
      <c r="B2020" s="50">
        <v>44285.0</v>
      </c>
      <c r="C2020" s="49" t="s">
        <v>780</v>
      </c>
      <c r="D2020" s="49">
        <v>-250000.0</v>
      </c>
    </row>
    <row r="2021" ht="15.0" hidden="1" customHeight="1">
      <c r="A2021" s="49" t="s">
        <v>125</v>
      </c>
      <c r="B2021" s="50">
        <v>44285.0</v>
      </c>
      <c r="C2021" s="49" t="s">
        <v>780</v>
      </c>
      <c r="D2021" s="49">
        <v>-200000.0</v>
      </c>
    </row>
    <row r="2022" ht="15.0" hidden="1" customHeight="1">
      <c r="A2022" s="49" t="s">
        <v>130</v>
      </c>
      <c r="B2022" s="50">
        <v>44285.0</v>
      </c>
      <c r="C2022" s="49" t="s">
        <v>780</v>
      </c>
      <c r="D2022" s="49">
        <v>-714249.0</v>
      </c>
    </row>
    <row r="2023" ht="15.0" hidden="1" customHeight="1">
      <c r="A2023" s="49" t="s">
        <v>137</v>
      </c>
      <c r="B2023" s="50">
        <v>44285.0</v>
      </c>
      <c r="C2023" s="49" t="s">
        <v>780</v>
      </c>
      <c r="D2023" s="49">
        <v>-357000.0</v>
      </c>
    </row>
    <row r="2024" ht="15.0" hidden="1" customHeight="1">
      <c r="A2024" s="49" t="s">
        <v>142</v>
      </c>
      <c r="B2024" s="50">
        <v>44285.0</v>
      </c>
      <c r="C2024" s="49" t="s">
        <v>780</v>
      </c>
      <c r="D2024" s="49">
        <v>-500000.0</v>
      </c>
    </row>
    <row r="2025" ht="15.0" hidden="1" customHeight="1">
      <c r="A2025" s="49" t="s">
        <v>147</v>
      </c>
      <c r="B2025" s="50">
        <v>44285.0</v>
      </c>
      <c r="C2025" s="49" t="s">
        <v>780</v>
      </c>
      <c r="D2025" s="49">
        <v>-50000.0</v>
      </c>
    </row>
    <row r="2026" ht="15.0" hidden="1" customHeight="1">
      <c r="A2026" s="49" t="s">
        <v>152</v>
      </c>
      <c r="B2026" s="50">
        <v>44285.0</v>
      </c>
      <c r="C2026" s="49" t="s">
        <v>780</v>
      </c>
      <c r="D2026" s="49">
        <v>-217425.0</v>
      </c>
    </row>
    <row r="2027" ht="15.0" hidden="1" customHeight="1">
      <c r="A2027" s="49" t="s">
        <v>157</v>
      </c>
      <c r="B2027" s="50">
        <v>44285.0</v>
      </c>
      <c r="C2027" s="49" t="s">
        <v>780</v>
      </c>
      <c r="D2027" s="49">
        <v>125000.0</v>
      </c>
    </row>
    <row r="2028" ht="15.0" hidden="1" customHeight="1">
      <c r="A2028" s="49" t="s">
        <v>162</v>
      </c>
      <c r="B2028" s="50">
        <v>44285.0</v>
      </c>
      <c r="C2028" s="49" t="s">
        <v>780</v>
      </c>
      <c r="D2028" s="49">
        <v>-961000.0</v>
      </c>
    </row>
    <row r="2029" ht="15.0" hidden="1" customHeight="1">
      <c r="A2029" s="49" t="s">
        <v>167</v>
      </c>
      <c r="B2029" s="50">
        <v>44285.0</v>
      </c>
      <c r="C2029" s="49" t="s">
        <v>780</v>
      </c>
      <c r="D2029" s="49">
        <v>-1750000.0</v>
      </c>
    </row>
    <row r="2030" ht="15.0" hidden="1" customHeight="1">
      <c r="A2030" s="49" t="s">
        <v>172</v>
      </c>
      <c r="B2030" s="50">
        <v>44285.0</v>
      </c>
      <c r="C2030" s="49" t="s">
        <v>780</v>
      </c>
      <c r="D2030" s="49">
        <v>-370000.0</v>
      </c>
    </row>
    <row r="2031" ht="15.0" hidden="1" customHeight="1">
      <c r="A2031" s="49" t="s">
        <v>177</v>
      </c>
      <c r="B2031" s="50">
        <v>44285.0</v>
      </c>
      <c r="C2031" s="49" t="s">
        <v>780</v>
      </c>
      <c r="D2031" s="49">
        <v>4288400.0</v>
      </c>
    </row>
    <row r="2032" ht="15.0" hidden="1" customHeight="1">
      <c r="A2032" s="49" t="s">
        <v>182</v>
      </c>
      <c r="B2032" s="50">
        <v>44285.0</v>
      </c>
      <c r="C2032" s="49" t="s">
        <v>780</v>
      </c>
      <c r="D2032" s="49">
        <v>450000.0</v>
      </c>
    </row>
    <row r="2033" ht="15.0" hidden="1" customHeight="1">
      <c r="A2033" s="49" t="s">
        <v>187</v>
      </c>
      <c r="B2033" s="50">
        <v>44285.0</v>
      </c>
      <c r="C2033" s="49" t="s">
        <v>780</v>
      </c>
      <c r="D2033" s="49">
        <v>165000.0</v>
      </c>
    </row>
    <row r="2034" ht="15.0" hidden="1" customHeight="1">
      <c r="A2034" s="49" t="s">
        <v>192</v>
      </c>
      <c r="B2034" s="50">
        <v>44285.0</v>
      </c>
      <c r="C2034" s="49" t="s">
        <v>780</v>
      </c>
      <c r="D2034" s="49">
        <v>0.0</v>
      </c>
    </row>
    <row r="2035" ht="15.0" hidden="1" customHeight="1">
      <c r="A2035" s="49" t="s">
        <v>197</v>
      </c>
      <c r="B2035" s="50">
        <v>44285.0</v>
      </c>
      <c r="C2035" s="49" t="s">
        <v>780</v>
      </c>
      <c r="D2035" s="49">
        <v>0.0</v>
      </c>
    </row>
    <row r="2036" ht="15.0" hidden="1" customHeight="1">
      <c r="A2036" s="49" t="s">
        <v>202</v>
      </c>
      <c r="B2036" s="50">
        <v>44285.0</v>
      </c>
      <c r="C2036" s="49" t="s">
        <v>780</v>
      </c>
      <c r="D2036" s="49">
        <v>0.0</v>
      </c>
    </row>
    <row r="2037" ht="15.0" hidden="1" customHeight="1">
      <c r="A2037" s="49" t="s">
        <v>206</v>
      </c>
      <c r="B2037" s="50">
        <v>44285.0</v>
      </c>
      <c r="C2037" s="49" t="s">
        <v>780</v>
      </c>
      <c r="D2037" s="49">
        <v>0.0</v>
      </c>
    </row>
    <row r="2038" ht="15.0" hidden="1" customHeight="1">
      <c r="A2038" s="49" t="s">
        <v>211</v>
      </c>
      <c r="B2038" s="50">
        <v>44285.0</v>
      </c>
      <c r="C2038" s="49" t="s">
        <v>780</v>
      </c>
      <c r="D2038" s="49">
        <v>0.0</v>
      </c>
    </row>
    <row r="2039" ht="15.0" hidden="1" customHeight="1">
      <c r="A2039" s="49" t="s">
        <v>779</v>
      </c>
      <c r="B2039" s="50">
        <v>44285.0</v>
      </c>
      <c r="C2039" s="49" t="s">
        <v>780</v>
      </c>
      <c r="D2039" s="49">
        <v>0.0</v>
      </c>
    </row>
    <row r="2040" ht="15.0" hidden="1" customHeight="1">
      <c r="A2040" s="49" t="s">
        <v>221</v>
      </c>
      <c r="B2040" s="50">
        <v>44285.0</v>
      </c>
      <c r="C2040" s="49" t="s">
        <v>780</v>
      </c>
      <c r="D2040" s="49">
        <v>0.0</v>
      </c>
    </row>
    <row r="2041" ht="15.0" hidden="1" customHeight="1">
      <c r="A2041" s="49" t="s">
        <v>226</v>
      </c>
      <c r="B2041" s="50">
        <v>44285.0</v>
      </c>
      <c r="C2041" s="49" t="s">
        <v>780</v>
      </c>
      <c r="D2041" s="49">
        <v>0.0</v>
      </c>
    </row>
    <row r="2042" ht="15.0" hidden="1" customHeight="1">
      <c r="A2042" s="49" t="s">
        <v>231</v>
      </c>
      <c r="B2042" s="50">
        <v>44285.0</v>
      </c>
      <c r="C2042" s="49" t="s">
        <v>780</v>
      </c>
      <c r="D2042" s="49">
        <v>0.0</v>
      </c>
    </row>
    <row r="2043" ht="15.0" hidden="1" customHeight="1">
      <c r="A2043" s="49" t="s">
        <v>236</v>
      </c>
      <c r="B2043" s="50">
        <v>44285.0</v>
      </c>
      <c r="C2043" s="49" t="s">
        <v>780</v>
      </c>
      <c r="D2043" s="49">
        <v>0.0</v>
      </c>
    </row>
    <row r="2044" ht="15.0" hidden="1" customHeight="1">
      <c r="A2044" s="49" t="s">
        <v>242</v>
      </c>
      <c r="B2044" s="50">
        <v>44285.0</v>
      </c>
      <c r="C2044" s="49" t="s">
        <v>780</v>
      </c>
      <c r="D2044" s="49">
        <v>0.0</v>
      </c>
    </row>
    <row r="2045" ht="15.0" hidden="1" customHeight="1">
      <c r="A2045" s="49" t="s">
        <v>248</v>
      </c>
      <c r="B2045" s="50">
        <v>44285.0</v>
      </c>
      <c r="C2045" s="49" t="s">
        <v>780</v>
      </c>
      <c r="D2045" s="49">
        <v>0.0</v>
      </c>
    </row>
    <row r="2046" ht="15.0" hidden="1" customHeight="1">
      <c r="A2046" s="49" t="s">
        <v>253</v>
      </c>
      <c r="B2046" s="50">
        <v>44285.0</v>
      </c>
      <c r="C2046" s="49" t="s">
        <v>780</v>
      </c>
      <c r="D2046" s="49">
        <v>0.0</v>
      </c>
    </row>
    <row r="2047" ht="15.0" hidden="1" customHeight="1">
      <c r="A2047" s="49" t="s">
        <v>258</v>
      </c>
      <c r="B2047" s="50">
        <v>44285.0</v>
      </c>
      <c r="C2047" s="49" t="s">
        <v>780</v>
      </c>
      <c r="D2047" s="49">
        <v>0.0</v>
      </c>
    </row>
    <row r="2048" ht="15.0" hidden="1" customHeight="1">
      <c r="A2048" s="49" t="s">
        <v>263</v>
      </c>
      <c r="B2048" s="50">
        <v>44285.0</v>
      </c>
      <c r="C2048" s="49" t="s">
        <v>780</v>
      </c>
      <c r="D2048" s="49">
        <v>0.0</v>
      </c>
    </row>
    <row r="2049" ht="15.0" hidden="1" customHeight="1">
      <c r="A2049" s="49" t="s">
        <v>268</v>
      </c>
      <c r="B2049" s="50">
        <v>44285.0</v>
      </c>
      <c r="C2049" s="49" t="s">
        <v>780</v>
      </c>
      <c r="D2049" s="49">
        <v>0.0</v>
      </c>
    </row>
    <row r="2050" ht="15.0" hidden="1" customHeight="1">
      <c r="A2050" s="49" t="s">
        <v>273</v>
      </c>
      <c r="B2050" s="50">
        <v>44285.0</v>
      </c>
      <c r="C2050" s="49" t="s">
        <v>780</v>
      </c>
      <c r="D2050" s="49">
        <v>113400.0</v>
      </c>
    </row>
    <row r="2051" ht="15.0" hidden="1" customHeight="1">
      <c r="A2051" s="49" t="s">
        <v>278</v>
      </c>
      <c r="B2051" s="50">
        <v>44285.0</v>
      </c>
      <c r="C2051" s="49" t="s">
        <v>780</v>
      </c>
      <c r="D2051" s="49">
        <v>0.0</v>
      </c>
    </row>
    <row r="2052" ht="15.0" hidden="1" customHeight="1">
      <c r="A2052" s="49" t="s">
        <v>283</v>
      </c>
      <c r="B2052" s="50">
        <v>44285.0</v>
      </c>
      <c r="C2052" s="49" t="s">
        <v>780</v>
      </c>
      <c r="D2052" s="49">
        <v>0.0</v>
      </c>
    </row>
    <row r="2053" ht="15.0" hidden="1" customHeight="1">
      <c r="A2053" s="49" t="s">
        <v>288</v>
      </c>
      <c r="B2053" s="50">
        <v>44285.0</v>
      </c>
      <c r="C2053" s="49" t="s">
        <v>780</v>
      </c>
      <c r="D2053" s="49">
        <v>0.0</v>
      </c>
    </row>
    <row r="2054" ht="15.0" hidden="1" customHeight="1">
      <c r="A2054" s="49" t="s">
        <v>293</v>
      </c>
      <c r="B2054" s="50">
        <v>44285.0</v>
      </c>
      <c r="C2054" s="49" t="s">
        <v>780</v>
      </c>
      <c r="D2054" s="49">
        <v>0.0</v>
      </c>
    </row>
    <row r="2055" ht="15.0" hidden="1" customHeight="1">
      <c r="A2055" s="49" t="s">
        <v>298</v>
      </c>
      <c r="B2055" s="50">
        <v>44285.0</v>
      </c>
      <c r="C2055" s="49" t="s">
        <v>780</v>
      </c>
      <c r="D2055" s="49">
        <v>0.0</v>
      </c>
    </row>
    <row r="2056" ht="15.0" hidden="1" customHeight="1">
      <c r="A2056" s="49" t="s">
        <v>303</v>
      </c>
      <c r="B2056" s="50">
        <v>44285.0</v>
      </c>
      <c r="C2056" s="49" t="s">
        <v>780</v>
      </c>
      <c r="D2056" s="49">
        <v>0.0</v>
      </c>
    </row>
    <row r="2057" ht="15.0" hidden="1" customHeight="1">
      <c r="A2057" s="49" t="s">
        <v>307</v>
      </c>
      <c r="B2057" s="50">
        <v>44285.0</v>
      </c>
      <c r="C2057" s="49" t="s">
        <v>780</v>
      </c>
      <c r="D2057" s="49">
        <v>0.0</v>
      </c>
    </row>
    <row r="2058" ht="15.0" hidden="1" customHeight="1">
      <c r="A2058" s="49" t="s">
        <v>313</v>
      </c>
      <c r="B2058" s="50">
        <v>44285.0</v>
      </c>
      <c r="C2058" s="49" t="s">
        <v>780</v>
      </c>
      <c r="D2058" s="49">
        <v>0.0</v>
      </c>
    </row>
    <row r="2059" ht="15.0" hidden="1" customHeight="1">
      <c r="A2059" s="49" t="s">
        <v>318</v>
      </c>
      <c r="B2059" s="50">
        <v>44285.0</v>
      </c>
      <c r="C2059" s="49" t="s">
        <v>780</v>
      </c>
      <c r="D2059" s="49">
        <v>0.0</v>
      </c>
    </row>
    <row r="2060" ht="15.0" hidden="1" customHeight="1">
      <c r="A2060" s="49" t="s">
        <v>323</v>
      </c>
      <c r="B2060" s="50">
        <v>44285.0</v>
      </c>
      <c r="C2060" s="49" t="s">
        <v>780</v>
      </c>
      <c r="D2060" s="49">
        <v>0.0</v>
      </c>
    </row>
    <row r="2061" ht="15.0" hidden="1" customHeight="1">
      <c r="A2061" s="49" t="s">
        <v>328</v>
      </c>
      <c r="B2061" s="50">
        <v>44285.0</v>
      </c>
      <c r="C2061" s="49" t="s">
        <v>780</v>
      </c>
      <c r="D2061" s="49">
        <v>0.0</v>
      </c>
    </row>
    <row r="2062" ht="15.0" hidden="1" customHeight="1">
      <c r="A2062" s="49" t="s">
        <v>335</v>
      </c>
      <c r="B2062" s="50">
        <v>44285.0</v>
      </c>
      <c r="C2062" s="49" t="s">
        <v>780</v>
      </c>
      <c r="D2062" s="49">
        <v>0.0</v>
      </c>
    </row>
    <row r="2063" ht="15.0" hidden="1" customHeight="1">
      <c r="A2063" s="49" t="s">
        <v>340</v>
      </c>
      <c r="B2063" s="50">
        <v>44285.0</v>
      </c>
      <c r="C2063" s="49" t="s">
        <v>780</v>
      </c>
      <c r="D2063" s="49">
        <v>0.0</v>
      </c>
    </row>
    <row r="2064" ht="15.0" hidden="1" customHeight="1">
      <c r="A2064" s="49" t="s">
        <v>345</v>
      </c>
      <c r="B2064" s="50">
        <v>44285.0</v>
      </c>
      <c r="C2064" s="49" t="s">
        <v>780</v>
      </c>
      <c r="D2064" s="49">
        <v>0.0</v>
      </c>
    </row>
    <row r="2065" ht="15.0" hidden="1" customHeight="1">
      <c r="A2065" s="49" t="s">
        <v>350</v>
      </c>
      <c r="B2065" s="50">
        <v>44285.0</v>
      </c>
      <c r="C2065" s="49" t="s">
        <v>780</v>
      </c>
      <c r="D2065" s="49">
        <v>0.0</v>
      </c>
    </row>
    <row r="2066" ht="15.0" hidden="1" customHeight="1">
      <c r="A2066" s="49" t="s">
        <v>355</v>
      </c>
      <c r="B2066" s="50">
        <v>44285.0</v>
      </c>
      <c r="C2066" s="49" t="s">
        <v>780</v>
      </c>
      <c r="D2066" s="49">
        <v>0.0</v>
      </c>
    </row>
    <row r="2067" ht="15.0" hidden="1" customHeight="1">
      <c r="A2067" s="49" t="s">
        <v>360</v>
      </c>
      <c r="B2067" s="50">
        <v>44285.0</v>
      </c>
      <c r="C2067" s="49" t="s">
        <v>780</v>
      </c>
      <c r="D2067" s="49">
        <v>0.0</v>
      </c>
    </row>
    <row r="2068" ht="15.0" hidden="1" customHeight="1">
      <c r="A2068" s="49" t="s">
        <v>365</v>
      </c>
      <c r="B2068" s="50">
        <v>44285.0</v>
      </c>
      <c r="C2068" s="49" t="s">
        <v>780</v>
      </c>
      <c r="D2068" s="49">
        <v>0.0</v>
      </c>
    </row>
    <row r="2069" ht="15.0" hidden="1" customHeight="1">
      <c r="A2069" s="49" t="s">
        <v>370</v>
      </c>
      <c r="B2069" s="50">
        <v>44285.0</v>
      </c>
      <c r="C2069" s="49" t="s">
        <v>780</v>
      </c>
      <c r="D2069" s="49">
        <v>0.0</v>
      </c>
    </row>
    <row r="2070" ht="15.0" hidden="1" customHeight="1">
      <c r="A2070" s="49" t="s">
        <v>375</v>
      </c>
      <c r="B2070" s="50">
        <v>44285.0</v>
      </c>
      <c r="C2070" s="49" t="s">
        <v>780</v>
      </c>
      <c r="D2070" s="49">
        <v>0.0</v>
      </c>
    </row>
    <row r="2071" ht="15.0" hidden="1" customHeight="1">
      <c r="A2071" s="49" t="s">
        <v>380</v>
      </c>
      <c r="B2071" s="50">
        <v>44285.0</v>
      </c>
      <c r="C2071" s="49" t="s">
        <v>780</v>
      </c>
      <c r="D2071" s="49">
        <v>0.0</v>
      </c>
    </row>
    <row r="2072" ht="15.0" hidden="1" customHeight="1">
      <c r="A2072" s="49" t="s">
        <v>385</v>
      </c>
      <c r="B2072" s="50">
        <v>44285.0</v>
      </c>
      <c r="C2072" s="49" t="s">
        <v>780</v>
      </c>
      <c r="D2072" s="49">
        <v>0.0</v>
      </c>
    </row>
    <row r="2073" ht="15.0" hidden="1" customHeight="1">
      <c r="A2073" s="49" t="s">
        <v>390</v>
      </c>
      <c r="B2073" s="50">
        <v>44285.0</v>
      </c>
      <c r="C2073" s="49" t="s">
        <v>780</v>
      </c>
      <c r="D2073" s="49">
        <v>0.0</v>
      </c>
    </row>
    <row r="2074" ht="15.0" hidden="1" customHeight="1">
      <c r="A2074" s="49" t="s">
        <v>395</v>
      </c>
      <c r="B2074" s="50">
        <v>44285.0</v>
      </c>
      <c r="C2074" s="49" t="s">
        <v>780</v>
      </c>
      <c r="D2074" s="49">
        <v>0.0</v>
      </c>
    </row>
    <row r="2075" ht="15.0" hidden="1" customHeight="1">
      <c r="A2075" s="49" t="s">
        <v>400</v>
      </c>
      <c r="B2075" s="50">
        <v>44285.0</v>
      </c>
      <c r="C2075" s="49" t="s">
        <v>780</v>
      </c>
      <c r="D2075" s="49">
        <v>0.0</v>
      </c>
    </row>
    <row r="2076" ht="15.0" hidden="1" customHeight="1">
      <c r="A2076" s="49" t="s">
        <v>405</v>
      </c>
      <c r="B2076" s="50">
        <v>44285.0</v>
      </c>
      <c r="C2076" s="49" t="s">
        <v>780</v>
      </c>
      <c r="D2076" s="49">
        <v>0.0</v>
      </c>
    </row>
    <row r="2077" ht="15.0" hidden="1" customHeight="1">
      <c r="A2077" s="49" t="s">
        <v>410</v>
      </c>
      <c r="B2077" s="50">
        <v>44285.0</v>
      </c>
      <c r="C2077" s="49" t="s">
        <v>780</v>
      </c>
      <c r="D2077" s="49">
        <v>0.0</v>
      </c>
    </row>
    <row r="2078" ht="15.0" hidden="1" customHeight="1">
      <c r="A2078" s="49" t="s">
        <v>415</v>
      </c>
      <c r="B2078" s="50">
        <v>44285.0</v>
      </c>
      <c r="C2078" s="49" t="s">
        <v>780</v>
      </c>
      <c r="D2078" s="49">
        <v>0.0</v>
      </c>
    </row>
    <row r="2079" ht="15.0" hidden="1" customHeight="1">
      <c r="A2079" s="49" t="s">
        <v>420</v>
      </c>
      <c r="B2079" s="50">
        <v>44285.0</v>
      </c>
      <c r="C2079" s="49" t="s">
        <v>780</v>
      </c>
      <c r="D2079" s="49">
        <v>0.0</v>
      </c>
    </row>
    <row r="2080" ht="15.0" hidden="1" customHeight="1">
      <c r="A2080" s="49" t="s">
        <v>425</v>
      </c>
      <c r="B2080" s="50">
        <v>44285.0</v>
      </c>
      <c r="C2080" s="49" t="s">
        <v>780</v>
      </c>
      <c r="D2080" s="49">
        <v>0.0</v>
      </c>
    </row>
    <row r="2081" ht="15.0" hidden="1" customHeight="1">
      <c r="A2081" s="49" t="s">
        <v>430</v>
      </c>
      <c r="B2081" s="50">
        <v>44285.0</v>
      </c>
      <c r="C2081" s="49" t="s">
        <v>780</v>
      </c>
      <c r="D2081" s="49">
        <v>0.0</v>
      </c>
    </row>
    <row r="2082" ht="15.0" hidden="1" customHeight="1">
      <c r="A2082" s="49" t="s">
        <v>434</v>
      </c>
      <c r="B2082" s="50">
        <v>44285.0</v>
      </c>
      <c r="C2082" s="49" t="s">
        <v>780</v>
      </c>
      <c r="D2082" s="49">
        <v>0.0</v>
      </c>
    </row>
    <row r="2083" ht="15.0" hidden="1" customHeight="1">
      <c r="A2083" s="49" t="s">
        <v>439</v>
      </c>
      <c r="B2083" s="50">
        <v>44285.0</v>
      </c>
      <c r="C2083" s="49" t="s">
        <v>780</v>
      </c>
      <c r="D2083" s="49">
        <v>0.0</v>
      </c>
    </row>
    <row r="2084" ht="15.0" hidden="1" customHeight="1">
      <c r="A2084" s="49" t="s">
        <v>444</v>
      </c>
      <c r="B2084" s="50">
        <v>44285.0</v>
      </c>
      <c r="C2084" s="49" t="s">
        <v>780</v>
      </c>
      <c r="D2084" s="49">
        <v>0.0</v>
      </c>
    </row>
    <row r="2085" ht="15.0" hidden="1" customHeight="1">
      <c r="A2085" s="49" t="s">
        <v>449</v>
      </c>
      <c r="B2085" s="50">
        <v>44285.0</v>
      </c>
      <c r="C2085" s="49" t="s">
        <v>780</v>
      </c>
      <c r="D2085" s="49">
        <v>0.0</v>
      </c>
    </row>
    <row r="2086" ht="15.0" hidden="1" customHeight="1">
      <c r="A2086" s="49" t="s">
        <v>455</v>
      </c>
      <c r="B2086" s="50">
        <v>44285.0</v>
      </c>
      <c r="C2086" s="49" t="s">
        <v>780</v>
      </c>
      <c r="D2086" s="49">
        <v>0.0</v>
      </c>
    </row>
    <row r="2087" ht="15.0" hidden="1" customHeight="1">
      <c r="A2087" s="49" t="s">
        <v>470</v>
      </c>
      <c r="B2087" s="50">
        <v>44285.0</v>
      </c>
      <c r="C2087" s="49" t="s">
        <v>780</v>
      </c>
      <c r="D2087" s="49">
        <v>0.0</v>
      </c>
    </row>
    <row r="2088" ht="15.0" hidden="1" customHeight="1">
      <c r="A2088" s="49" t="s">
        <v>476</v>
      </c>
      <c r="B2088" s="50">
        <v>44285.0</v>
      </c>
      <c r="C2088" s="49" t="s">
        <v>780</v>
      </c>
      <c r="D2088" s="49">
        <v>0.0</v>
      </c>
    </row>
    <row r="2089" ht="15.0" hidden="1" customHeight="1">
      <c r="A2089" s="49" t="s">
        <v>481</v>
      </c>
      <c r="B2089" s="50">
        <v>44285.0</v>
      </c>
      <c r="C2089" s="49" t="s">
        <v>780</v>
      </c>
      <c r="D2089" s="49">
        <v>0.0</v>
      </c>
    </row>
    <row r="2090" ht="15.0" hidden="1" customHeight="1">
      <c r="A2090" s="49" t="s">
        <v>486</v>
      </c>
      <c r="B2090" s="50">
        <v>44285.0</v>
      </c>
      <c r="C2090" s="49" t="s">
        <v>780</v>
      </c>
      <c r="D2090" s="49">
        <v>0.0</v>
      </c>
    </row>
    <row r="2091" ht="15.0" hidden="1" customHeight="1">
      <c r="A2091" s="49" t="s">
        <v>491</v>
      </c>
      <c r="B2091" s="50">
        <v>44285.0</v>
      </c>
      <c r="C2091" s="49" t="s">
        <v>780</v>
      </c>
      <c r="D2091" s="49">
        <v>0.0</v>
      </c>
    </row>
    <row r="2092" ht="15.0" hidden="1" customHeight="1">
      <c r="A2092" s="49" t="s">
        <v>496</v>
      </c>
      <c r="B2092" s="50">
        <v>44285.0</v>
      </c>
      <c r="C2092" s="49" t="s">
        <v>780</v>
      </c>
      <c r="D2092" s="49">
        <v>0.0</v>
      </c>
    </row>
    <row r="2093" ht="15.0" hidden="1" customHeight="1">
      <c r="A2093" s="49" t="s">
        <v>501</v>
      </c>
      <c r="B2093" s="50">
        <v>44285.0</v>
      </c>
      <c r="C2093" s="49" t="s">
        <v>780</v>
      </c>
      <c r="D2093" s="49">
        <v>0.0</v>
      </c>
    </row>
    <row r="2094" ht="15.0" hidden="1" customHeight="1">
      <c r="A2094" s="49" t="s">
        <v>506</v>
      </c>
      <c r="B2094" s="50">
        <v>44285.0</v>
      </c>
      <c r="C2094" s="49" t="s">
        <v>780</v>
      </c>
      <c r="D2094" s="49">
        <v>0.0</v>
      </c>
    </row>
    <row r="2095" ht="15.0" hidden="1" customHeight="1">
      <c r="A2095" s="49" t="s">
        <v>512</v>
      </c>
      <c r="B2095" s="50">
        <v>44285.0</v>
      </c>
      <c r="C2095" s="49" t="s">
        <v>780</v>
      </c>
      <c r="D2095" s="49">
        <v>0.0</v>
      </c>
    </row>
    <row r="2096" ht="15.0" hidden="1" customHeight="1">
      <c r="A2096" s="49" t="s">
        <v>517</v>
      </c>
      <c r="B2096" s="50">
        <v>44285.0</v>
      </c>
      <c r="C2096" s="49" t="s">
        <v>780</v>
      </c>
      <c r="D2096" s="49">
        <v>0.0</v>
      </c>
    </row>
    <row r="2097" ht="15.0" hidden="1" customHeight="1">
      <c r="A2097" s="49" t="s">
        <v>522</v>
      </c>
      <c r="B2097" s="50">
        <v>44285.0</v>
      </c>
      <c r="C2097" s="49" t="s">
        <v>780</v>
      </c>
      <c r="D2097" s="49">
        <v>0.0</v>
      </c>
    </row>
    <row r="2098" ht="15.0" hidden="1" customHeight="1">
      <c r="A2098" s="49" t="s">
        <v>528</v>
      </c>
      <c r="B2098" s="50">
        <v>44285.0</v>
      </c>
      <c r="C2098" s="49" t="s">
        <v>780</v>
      </c>
      <c r="D2098" s="49">
        <v>0.0</v>
      </c>
    </row>
    <row r="2099" ht="15.0" hidden="1" customHeight="1">
      <c r="A2099" s="49" t="s">
        <v>533</v>
      </c>
      <c r="B2099" s="50">
        <v>44285.0</v>
      </c>
      <c r="C2099" s="49" t="s">
        <v>780</v>
      </c>
      <c r="D2099" s="49">
        <v>0.0</v>
      </c>
    </row>
    <row r="2100" ht="15.0" hidden="1" customHeight="1">
      <c r="A2100" s="49" t="s">
        <v>538</v>
      </c>
      <c r="B2100" s="50">
        <v>44285.0</v>
      </c>
      <c r="C2100" s="49" t="s">
        <v>780</v>
      </c>
      <c r="D2100" s="49">
        <v>0.0</v>
      </c>
    </row>
    <row r="2101" ht="15.0" hidden="1" customHeight="1">
      <c r="A2101" s="49" t="s">
        <v>546</v>
      </c>
      <c r="B2101" s="50">
        <v>44285.0</v>
      </c>
      <c r="C2101" s="49" t="s">
        <v>780</v>
      </c>
      <c r="D2101" s="49">
        <v>0.0</v>
      </c>
    </row>
    <row r="2102" ht="15.0" hidden="1" customHeight="1">
      <c r="A2102" s="49" t="s">
        <v>551</v>
      </c>
      <c r="B2102" s="50">
        <v>44285.0</v>
      </c>
      <c r="C2102" s="49" t="s">
        <v>780</v>
      </c>
      <c r="D2102" s="49">
        <v>0.0</v>
      </c>
    </row>
    <row r="2103" ht="15.0" hidden="1" customHeight="1">
      <c r="A2103" s="49" t="s">
        <v>556</v>
      </c>
      <c r="B2103" s="50">
        <v>44285.0</v>
      </c>
      <c r="C2103" s="49" t="s">
        <v>780</v>
      </c>
      <c r="D2103" s="49">
        <v>0.0</v>
      </c>
    </row>
    <row r="2104" ht="15.0" hidden="1" customHeight="1">
      <c r="A2104" s="49" t="s">
        <v>561</v>
      </c>
      <c r="B2104" s="50">
        <v>44285.0</v>
      </c>
      <c r="C2104" s="49" t="s">
        <v>780</v>
      </c>
      <c r="D2104" s="49">
        <v>0.0</v>
      </c>
    </row>
    <row r="2105" ht="15.0" hidden="1" customHeight="1">
      <c r="A2105" s="49" t="s">
        <v>566</v>
      </c>
      <c r="B2105" s="50">
        <v>44285.0</v>
      </c>
      <c r="C2105" s="49" t="s">
        <v>780</v>
      </c>
      <c r="D2105" s="49">
        <v>0.0</v>
      </c>
    </row>
    <row r="2106" ht="15.0" hidden="1" customHeight="1">
      <c r="A2106" s="49" t="s">
        <v>571</v>
      </c>
      <c r="B2106" s="50">
        <v>44285.0</v>
      </c>
      <c r="C2106" s="49" t="s">
        <v>780</v>
      </c>
      <c r="D2106" s="49">
        <v>0.0</v>
      </c>
    </row>
    <row r="2107" ht="15.0" hidden="1" customHeight="1">
      <c r="A2107" s="49" t="s">
        <v>576</v>
      </c>
      <c r="B2107" s="50">
        <v>44285.0</v>
      </c>
      <c r="C2107" s="49" t="s">
        <v>780</v>
      </c>
      <c r="D2107" s="49">
        <v>0.0</v>
      </c>
    </row>
    <row r="2108" ht="15.0" hidden="1" customHeight="1">
      <c r="A2108" s="49" t="s">
        <v>581</v>
      </c>
      <c r="B2108" s="50">
        <v>44285.0</v>
      </c>
      <c r="C2108" s="49" t="s">
        <v>780</v>
      </c>
      <c r="D2108" s="49">
        <v>0.0</v>
      </c>
    </row>
    <row r="2109" ht="15.0" hidden="1" customHeight="1">
      <c r="A2109" s="49" t="s">
        <v>586</v>
      </c>
      <c r="B2109" s="50">
        <v>44285.0</v>
      </c>
      <c r="C2109" s="49" t="s">
        <v>780</v>
      </c>
      <c r="D2109" s="49">
        <v>0.0</v>
      </c>
    </row>
    <row r="2110" ht="15.0" hidden="1" customHeight="1">
      <c r="A2110" s="49" t="s">
        <v>754</v>
      </c>
      <c r="B2110" s="50">
        <v>44285.0</v>
      </c>
      <c r="C2110" s="49" t="s">
        <v>780</v>
      </c>
      <c r="D2110" s="49">
        <v>0.0</v>
      </c>
    </row>
    <row r="2111" ht="15.0" hidden="1" customHeight="1">
      <c r="A2111" s="49" t="s">
        <v>591</v>
      </c>
      <c r="B2111" s="50">
        <v>44285.0</v>
      </c>
      <c r="C2111" s="49" t="s">
        <v>780</v>
      </c>
      <c r="D2111" s="49">
        <v>0.0</v>
      </c>
    </row>
    <row r="2112" ht="15.0" hidden="1" customHeight="1">
      <c r="A2112" s="49" t="s">
        <v>759</v>
      </c>
      <c r="B2112" s="50">
        <v>44285.0</v>
      </c>
      <c r="C2112" s="49" t="s">
        <v>780</v>
      </c>
      <c r="D2112" s="49">
        <v>0.0</v>
      </c>
    </row>
    <row r="2113" ht="15.0" hidden="1" customHeight="1">
      <c r="A2113" s="49" t="s">
        <v>596</v>
      </c>
      <c r="B2113" s="50">
        <v>44285.0</v>
      </c>
      <c r="C2113" s="49" t="s">
        <v>780</v>
      </c>
      <c r="D2113" s="49">
        <v>0.0</v>
      </c>
    </row>
    <row r="2114" ht="15.0" hidden="1" customHeight="1">
      <c r="A2114" s="49" t="s">
        <v>602</v>
      </c>
      <c r="B2114" s="50">
        <v>44285.0</v>
      </c>
      <c r="C2114" s="49" t="s">
        <v>780</v>
      </c>
      <c r="D2114" s="49">
        <v>0.0</v>
      </c>
    </row>
    <row r="2115" ht="15.0" hidden="1" customHeight="1">
      <c r="A2115" s="49" t="s">
        <v>607</v>
      </c>
      <c r="B2115" s="50">
        <v>44285.0</v>
      </c>
      <c r="C2115" s="49" t="s">
        <v>780</v>
      </c>
      <c r="D2115" s="49">
        <v>0.0</v>
      </c>
    </row>
    <row r="2116" ht="15.0" hidden="1" customHeight="1">
      <c r="A2116" s="49" t="s">
        <v>612</v>
      </c>
      <c r="B2116" s="50">
        <v>44285.0</v>
      </c>
      <c r="C2116" s="49" t="s">
        <v>780</v>
      </c>
      <c r="D2116" s="49">
        <v>0.0</v>
      </c>
    </row>
    <row r="2117" ht="15.0" hidden="1" customHeight="1">
      <c r="A2117" s="49" t="s">
        <v>617</v>
      </c>
      <c r="B2117" s="50">
        <v>44285.0</v>
      </c>
      <c r="C2117" s="49" t="s">
        <v>780</v>
      </c>
      <c r="D2117" s="49">
        <v>0.0</v>
      </c>
    </row>
    <row r="2118" ht="15.0" hidden="1" customHeight="1">
      <c r="A2118" s="49" t="s">
        <v>622</v>
      </c>
      <c r="B2118" s="50">
        <v>44285.0</v>
      </c>
      <c r="C2118" s="49" t="s">
        <v>780</v>
      </c>
      <c r="D2118" s="49">
        <v>0.0</v>
      </c>
    </row>
    <row r="2119" ht="15.0" hidden="1" customHeight="1">
      <c r="A2119" s="49" t="s">
        <v>627</v>
      </c>
      <c r="B2119" s="50">
        <v>44285.0</v>
      </c>
      <c r="C2119" s="49" t="s">
        <v>780</v>
      </c>
      <c r="D2119" s="49">
        <v>0.0</v>
      </c>
    </row>
    <row r="2120" ht="15.0" hidden="1" customHeight="1">
      <c r="A2120" s="49" t="s">
        <v>631</v>
      </c>
      <c r="B2120" s="50">
        <v>44285.0</v>
      </c>
      <c r="C2120" s="49" t="s">
        <v>780</v>
      </c>
      <c r="D2120" s="49">
        <v>0.0</v>
      </c>
    </row>
    <row r="2121" ht="15.0" hidden="1" customHeight="1">
      <c r="A2121" s="49" t="s">
        <v>636</v>
      </c>
      <c r="B2121" s="50">
        <v>44285.0</v>
      </c>
      <c r="C2121" s="49" t="s">
        <v>780</v>
      </c>
      <c r="D2121" s="49">
        <v>0.0</v>
      </c>
    </row>
    <row r="2122" ht="15.0" hidden="1" customHeight="1">
      <c r="A2122" s="49" t="s">
        <v>640</v>
      </c>
      <c r="B2122" s="50">
        <v>44285.0</v>
      </c>
      <c r="C2122" s="49" t="s">
        <v>780</v>
      </c>
      <c r="D2122" s="49">
        <v>0.0</v>
      </c>
    </row>
    <row r="2123" ht="15.0" hidden="1" customHeight="1">
      <c r="A2123" s="49" t="s">
        <v>644</v>
      </c>
      <c r="B2123" s="50">
        <v>44285.0</v>
      </c>
      <c r="C2123" s="49" t="s">
        <v>780</v>
      </c>
      <c r="D2123" s="49">
        <v>0.0</v>
      </c>
    </row>
    <row r="2124" ht="15.0" hidden="1" customHeight="1">
      <c r="A2124" s="49" t="s">
        <v>649</v>
      </c>
      <c r="B2124" s="50">
        <v>44285.0</v>
      </c>
      <c r="C2124" s="49" t="s">
        <v>780</v>
      </c>
      <c r="D2124" s="49">
        <v>0.0</v>
      </c>
    </row>
    <row r="2125" ht="15.0" hidden="1" customHeight="1">
      <c r="A2125" s="49" t="s">
        <v>654</v>
      </c>
      <c r="B2125" s="50">
        <v>44285.0</v>
      </c>
      <c r="C2125" s="49" t="s">
        <v>780</v>
      </c>
      <c r="D2125" s="49">
        <v>0.0</v>
      </c>
    </row>
    <row r="2126" ht="15.0" hidden="1" customHeight="1">
      <c r="A2126" s="49" t="s">
        <v>659</v>
      </c>
      <c r="B2126" s="50">
        <v>44285.0</v>
      </c>
      <c r="C2126" s="49" t="s">
        <v>780</v>
      </c>
      <c r="D2126" s="49">
        <v>0.0</v>
      </c>
    </row>
    <row r="2127" ht="15.0" hidden="1" customHeight="1">
      <c r="A2127" s="49" t="s">
        <v>664</v>
      </c>
      <c r="B2127" s="50">
        <v>44285.0</v>
      </c>
      <c r="C2127" s="49" t="s">
        <v>780</v>
      </c>
      <c r="D2127" s="49">
        <v>0.0</v>
      </c>
    </row>
    <row r="2128" ht="15.0" hidden="1" customHeight="1">
      <c r="A2128" s="49" t="s">
        <v>669</v>
      </c>
      <c r="B2128" s="50">
        <v>44285.0</v>
      </c>
      <c r="C2128" s="49" t="s">
        <v>780</v>
      </c>
      <c r="D2128" s="49">
        <v>0.0</v>
      </c>
    </row>
    <row r="2129" ht="15.0" hidden="1" customHeight="1">
      <c r="A2129" s="49" t="s">
        <v>674</v>
      </c>
      <c r="B2129" s="50">
        <v>44285.0</v>
      </c>
      <c r="C2129" s="49" t="s">
        <v>780</v>
      </c>
      <c r="D2129" s="49">
        <v>0.0</v>
      </c>
    </row>
    <row r="2130" ht="15.0" hidden="1" customHeight="1">
      <c r="A2130" s="49" t="s">
        <v>679</v>
      </c>
      <c r="B2130" s="50">
        <v>44285.0</v>
      </c>
      <c r="C2130" s="49" t="s">
        <v>780</v>
      </c>
      <c r="D2130" s="49">
        <v>0.0</v>
      </c>
    </row>
    <row r="2131" ht="15.0" hidden="1" customHeight="1">
      <c r="A2131" s="49" t="s">
        <v>684</v>
      </c>
      <c r="B2131" s="50">
        <v>44285.0</v>
      </c>
      <c r="C2131" s="49" t="s">
        <v>780</v>
      </c>
      <c r="D2131" s="49">
        <v>0.0</v>
      </c>
    </row>
    <row r="2132" ht="15.0" hidden="1" customHeight="1">
      <c r="A2132" s="49" t="s">
        <v>689</v>
      </c>
      <c r="B2132" s="50">
        <v>44285.0</v>
      </c>
      <c r="C2132" s="49" t="s">
        <v>780</v>
      </c>
      <c r="D2132" s="49">
        <v>0.0</v>
      </c>
    </row>
    <row r="2133" ht="15.0" hidden="1" customHeight="1">
      <c r="A2133" s="49" t="s">
        <v>694</v>
      </c>
      <c r="B2133" s="50">
        <v>44285.0</v>
      </c>
      <c r="C2133" s="49" t="s">
        <v>780</v>
      </c>
      <c r="D2133" s="49">
        <v>0.0</v>
      </c>
    </row>
    <row r="2134" ht="15.0" hidden="1" customHeight="1">
      <c r="A2134" s="49" t="s">
        <v>699</v>
      </c>
      <c r="B2134" s="50">
        <v>44285.0</v>
      </c>
      <c r="C2134" s="49" t="s">
        <v>780</v>
      </c>
      <c r="D2134" s="49">
        <v>0.0</v>
      </c>
    </row>
    <row r="2135" ht="15.0" hidden="1" customHeight="1">
      <c r="A2135" s="49" t="s">
        <v>705</v>
      </c>
      <c r="B2135" s="50">
        <v>44285.0</v>
      </c>
      <c r="C2135" s="49" t="s">
        <v>780</v>
      </c>
      <c r="D2135" s="49">
        <v>0.0</v>
      </c>
    </row>
    <row r="2136" ht="15.0" hidden="1" customHeight="1">
      <c r="A2136" s="49" t="s">
        <v>710</v>
      </c>
      <c r="B2136" s="50">
        <v>44285.0</v>
      </c>
      <c r="C2136" s="49" t="s">
        <v>780</v>
      </c>
      <c r="D2136" s="49">
        <v>0.0</v>
      </c>
    </row>
    <row r="2137" ht="15.0" hidden="1" customHeight="1">
      <c r="A2137" s="49" t="s">
        <v>715</v>
      </c>
      <c r="B2137" s="50">
        <v>44285.0</v>
      </c>
      <c r="C2137" s="49" t="s">
        <v>780</v>
      </c>
      <c r="D2137" s="49">
        <v>0.0</v>
      </c>
    </row>
    <row r="2138" ht="15.0" hidden="1" customHeight="1">
      <c r="A2138" s="49" t="s">
        <v>765</v>
      </c>
      <c r="B2138" s="50">
        <v>44285.0</v>
      </c>
      <c r="C2138" s="49" t="s">
        <v>780</v>
      </c>
      <c r="D2138" s="49">
        <v>0.0</v>
      </c>
    </row>
    <row r="2139" ht="15.0" hidden="1" customHeight="1">
      <c r="A2139" s="49" t="s">
        <v>720</v>
      </c>
      <c r="B2139" s="50">
        <v>44285.0</v>
      </c>
      <c r="C2139" s="49" t="s">
        <v>780</v>
      </c>
      <c r="D2139" s="49">
        <v>0.0</v>
      </c>
    </row>
    <row r="2140" ht="15.0" hidden="1" customHeight="1">
      <c r="A2140" s="49" t="s">
        <v>725</v>
      </c>
      <c r="B2140" s="50">
        <v>44285.0</v>
      </c>
      <c r="C2140" s="49" t="s">
        <v>780</v>
      </c>
      <c r="D2140" s="49">
        <v>0.0</v>
      </c>
    </row>
    <row r="2141" ht="15.0" hidden="1" customHeight="1">
      <c r="A2141" s="49" t="s">
        <v>730</v>
      </c>
      <c r="B2141" s="50">
        <v>44285.0</v>
      </c>
      <c r="C2141" s="49" t="s">
        <v>780</v>
      </c>
      <c r="D2141" s="49">
        <v>0.0</v>
      </c>
    </row>
    <row r="2142" ht="15.0" hidden="1" customHeight="1">
      <c r="A2142" s="49" t="s">
        <v>734</v>
      </c>
      <c r="B2142" s="50">
        <v>44285.0</v>
      </c>
      <c r="C2142" s="49" t="s">
        <v>780</v>
      </c>
      <c r="D2142" s="49">
        <v>0.0</v>
      </c>
    </row>
    <row r="2143" ht="15.0" hidden="1" customHeight="1">
      <c r="A2143" s="49" t="s">
        <v>739</v>
      </c>
      <c r="B2143" s="50">
        <v>44285.0</v>
      </c>
      <c r="C2143" s="49" t="s">
        <v>780</v>
      </c>
      <c r="D2143" s="49">
        <v>0.0</v>
      </c>
    </row>
    <row r="2144" ht="15.0" hidden="1" customHeight="1">
      <c r="A2144" s="49" t="s">
        <v>744</v>
      </c>
      <c r="B2144" s="50">
        <v>44285.0</v>
      </c>
      <c r="C2144" s="49" t="s">
        <v>780</v>
      </c>
      <c r="D2144" s="49">
        <v>0.0</v>
      </c>
    </row>
    <row r="2145" ht="15.0" hidden="1" customHeight="1">
      <c r="A2145" s="49" t="s">
        <v>749</v>
      </c>
      <c r="B2145" s="50">
        <v>44285.0</v>
      </c>
      <c r="C2145" s="49" t="s">
        <v>780</v>
      </c>
      <c r="D2145" s="49">
        <v>0.0</v>
      </c>
    </row>
    <row r="2146" ht="15.0" customHeight="1">
      <c r="A2146" s="49" t="s">
        <v>776</v>
      </c>
      <c r="B2146" s="50">
        <v>44377.0</v>
      </c>
      <c r="C2146" s="49" t="s">
        <v>777</v>
      </c>
      <c r="D2146" s="49">
        <v>0.0</v>
      </c>
    </row>
    <row r="2147" ht="15.0" hidden="1" customHeight="1">
      <c r="A2147" s="49" t="s">
        <v>778</v>
      </c>
      <c r="B2147" s="50">
        <v>44377.0</v>
      </c>
      <c r="C2147" s="49" t="s">
        <v>777</v>
      </c>
      <c r="D2147" s="49">
        <v>0.0</v>
      </c>
    </row>
    <row r="2148" ht="15.0" hidden="1" customHeight="1">
      <c r="A2148" s="49" t="s">
        <v>92</v>
      </c>
      <c r="B2148" s="50">
        <v>44377.0</v>
      </c>
      <c r="C2148" s="49" t="s">
        <v>777</v>
      </c>
      <c r="D2148" s="49">
        <v>0.0</v>
      </c>
    </row>
    <row r="2149" ht="15.0" hidden="1" customHeight="1">
      <c r="A2149" s="49" t="s">
        <v>97</v>
      </c>
      <c r="B2149" s="50">
        <v>44377.0</v>
      </c>
      <c r="C2149" s="49" t="s">
        <v>777</v>
      </c>
      <c r="D2149" s="49">
        <v>0.0</v>
      </c>
    </row>
    <row r="2150" ht="15.0" hidden="1" customHeight="1">
      <c r="A2150" s="49" t="s">
        <v>102</v>
      </c>
      <c r="B2150" s="50">
        <v>44377.0</v>
      </c>
      <c r="C2150" s="49" t="s">
        <v>777</v>
      </c>
      <c r="D2150" s="49">
        <v>0.0</v>
      </c>
    </row>
    <row r="2151" ht="15.0" hidden="1" customHeight="1">
      <c r="A2151" s="49" t="s">
        <v>106</v>
      </c>
      <c r="B2151" s="50">
        <v>44377.0</v>
      </c>
      <c r="C2151" s="49" t="s">
        <v>777</v>
      </c>
      <c r="D2151" s="49">
        <v>0.0</v>
      </c>
    </row>
    <row r="2152" ht="15.0" hidden="1" customHeight="1">
      <c r="A2152" s="49" t="s">
        <v>111</v>
      </c>
      <c r="B2152" s="50">
        <v>44377.0</v>
      </c>
      <c r="C2152" s="49" t="s">
        <v>777</v>
      </c>
      <c r="D2152" s="49">
        <v>0.0</v>
      </c>
    </row>
    <row r="2153" ht="15.0" hidden="1" customHeight="1">
      <c r="A2153" s="49" t="s">
        <v>116</v>
      </c>
      <c r="B2153" s="50">
        <v>44377.0</v>
      </c>
      <c r="C2153" s="49" t="s">
        <v>777</v>
      </c>
      <c r="D2153" s="49">
        <v>0.0</v>
      </c>
    </row>
    <row r="2154" ht="15.0" hidden="1" customHeight="1">
      <c r="A2154" s="49" t="s">
        <v>120</v>
      </c>
      <c r="B2154" s="50">
        <v>44377.0</v>
      </c>
      <c r="C2154" s="49" t="s">
        <v>777</v>
      </c>
      <c r="D2154" s="49">
        <v>0.0</v>
      </c>
    </row>
    <row r="2155" ht="15.0" hidden="1" customHeight="1">
      <c r="A2155" s="49" t="s">
        <v>125</v>
      </c>
      <c r="B2155" s="50">
        <v>44377.0</v>
      </c>
      <c r="C2155" s="49" t="s">
        <v>777</v>
      </c>
      <c r="D2155" s="49">
        <v>0.0</v>
      </c>
    </row>
    <row r="2156" ht="15.0" hidden="1" customHeight="1">
      <c r="A2156" s="49" t="s">
        <v>130</v>
      </c>
      <c r="B2156" s="50">
        <v>44377.0</v>
      </c>
      <c r="C2156" s="49" t="s">
        <v>777</v>
      </c>
      <c r="D2156" s="49">
        <v>0.0</v>
      </c>
    </row>
    <row r="2157" ht="15.0" hidden="1" customHeight="1">
      <c r="A2157" s="49" t="s">
        <v>137</v>
      </c>
      <c r="B2157" s="50">
        <v>44377.0</v>
      </c>
      <c r="C2157" s="49" t="s">
        <v>777</v>
      </c>
      <c r="D2157" s="49">
        <v>0.0</v>
      </c>
    </row>
    <row r="2158" ht="15.0" hidden="1" customHeight="1">
      <c r="A2158" s="49" t="s">
        <v>142</v>
      </c>
      <c r="B2158" s="50">
        <v>44377.0</v>
      </c>
      <c r="C2158" s="49" t="s">
        <v>777</v>
      </c>
      <c r="D2158" s="49">
        <v>0.0</v>
      </c>
    </row>
    <row r="2159" ht="15.0" hidden="1" customHeight="1">
      <c r="A2159" s="49" t="s">
        <v>147</v>
      </c>
      <c r="B2159" s="50">
        <v>44377.0</v>
      </c>
      <c r="C2159" s="49" t="s">
        <v>777</v>
      </c>
      <c r="D2159" s="49">
        <v>0.0</v>
      </c>
    </row>
    <row r="2160" ht="15.0" hidden="1" customHeight="1">
      <c r="A2160" s="49" t="s">
        <v>152</v>
      </c>
      <c r="B2160" s="50">
        <v>44377.0</v>
      </c>
      <c r="C2160" s="49" t="s">
        <v>777</v>
      </c>
      <c r="D2160" s="49">
        <v>0.0</v>
      </c>
    </row>
    <row r="2161" ht="15.0" hidden="1" customHeight="1">
      <c r="A2161" s="49" t="s">
        <v>157</v>
      </c>
      <c r="B2161" s="50">
        <v>44377.0</v>
      </c>
      <c r="C2161" s="49" t="s">
        <v>777</v>
      </c>
      <c r="D2161" s="49">
        <v>0.0</v>
      </c>
    </row>
    <row r="2162" ht="15.0" hidden="1" customHeight="1">
      <c r="A2162" s="49" t="s">
        <v>162</v>
      </c>
      <c r="B2162" s="50">
        <v>44377.0</v>
      </c>
      <c r="C2162" s="49" t="s">
        <v>777</v>
      </c>
      <c r="D2162" s="49">
        <v>0.0</v>
      </c>
    </row>
    <row r="2163" ht="15.0" hidden="1" customHeight="1">
      <c r="A2163" s="49" t="s">
        <v>167</v>
      </c>
      <c r="B2163" s="50">
        <v>44377.0</v>
      </c>
      <c r="C2163" s="49" t="s">
        <v>777</v>
      </c>
      <c r="D2163" s="49">
        <v>0.0</v>
      </c>
    </row>
    <row r="2164" ht="15.0" hidden="1" customHeight="1">
      <c r="A2164" s="49" t="s">
        <v>172</v>
      </c>
      <c r="B2164" s="50">
        <v>44377.0</v>
      </c>
      <c r="C2164" s="49" t="s">
        <v>777</v>
      </c>
      <c r="D2164" s="49">
        <v>0.0</v>
      </c>
    </row>
    <row r="2165" ht="15.0" hidden="1" customHeight="1">
      <c r="A2165" s="49" t="s">
        <v>177</v>
      </c>
      <c r="B2165" s="50">
        <v>44377.0</v>
      </c>
      <c r="C2165" s="49" t="s">
        <v>777</v>
      </c>
      <c r="D2165" s="49">
        <v>0.0</v>
      </c>
    </row>
    <row r="2166" ht="15.0" hidden="1" customHeight="1">
      <c r="A2166" s="49" t="s">
        <v>182</v>
      </c>
      <c r="B2166" s="50">
        <v>44377.0</v>
      </c>
      <c r="C2166" s="49" t="s">
        <v>777</v>
      </c>
      <c r="D2166" s="49">
        <v>0.0</v>
      </c>
    </row>
    <row r="2167" ht="15.0" hidden="1" customHeight="1">
      <c r="A2167" s="49" t="s">
        <v>187</v>
      </c>
      <c r="B2167" s="50">
        <v>44377.0</v>
      </c>
      <c r="C2167" s="49" t="s">
        <v>777</v>
      </c>
      <c r="D2167" s="49">
        <v>0.0</v>
      </c>
    </row>
    <row r="2168" ht="15.0" hidden="1" customHeight="1">
      <c r="A2168" s="49" t="s">
        <v>192</v>
      </c>
      <c r="B2168" s="50">
        <v>44377.0</v>
      </c>
      <c r="C2168" s="49" t="s">
        <v>777</v>
      </c>
      <c r="D2168" s="49">
        <v>4125000.0</v>
      </c>
    </row>
    <row r="2169" ht="15.0" hidden="1" customHeight="1">
      <c r="A2169" s="49" t="s">
        <v>197</v>
      </c>
      <c r="B2169" s="50">
        <v>44377.0</v>
      </c>
      <c r="C2169" s="49" t="s">
        <v>777</v>
      </c>
      <c r="D2169" s="49">
        <v>630924.61</v>
      </c>
    </row>
    <row r="2170" ht="15.0" hidden="1" customHeight="1">
      <c r="A2170" s="49" t="s">
        <v>202</v>
      </c>
      <c r="B2170" s="50">
        <v>44377.0</v>
      </c>
      <c r="C2170" s="49" t="s">
        <v>777</v>
      </c>
      <c r="D2170" s="49">
        <v>3788001.31</v>
      </c>
    </row>
    <row r="2171" ht="15.0" hidden="1" customHeight="1">
      <c r="A2171" s="49" t="s">
        <v>206</v>
      </c>
      <c r="B2171" s="50">
        <v>44377.0</v>
      </c>
      <c r="C2171" s="49" t="s">
        <v>777</v>
      </c>
      <c r="D2171" s="49">
        <v>110000.0</v>
      </c>
    </row>
    <row r="2172" ht="15.0" hidden="1" customHeight="1">
      <c r="A2172" s="49" t="s">
        <v>211</v>
      </c>
      <c r="B2172" s="50">
        <v>44377.0</v>
      </c>
      <c r="C2172" s="49" t="s">
        <v>777</v>
      </c>
      <c r="D2172" s="49">
        <v>750000.0</v>
      </c>
    </row>
    <row r="2173" ht="15.0" hidden="1" customHeight="1">
      <c r="A2173" s="49" t="s">
        <v>779</v>
      </c>
      <c r="B2173" s="50">
        <v>44377.0</v>
      </c>
      <c r="C2173" s="49" t="s">
        <v>777</v>
      </c>
      <c r="D2173" s="49">
        <v>0.0</v>
      </c>
    </row>
    <row r="2174" ht="15.0" hidden="1" customHeight="1">
      <c r="A2174" s="49" t="s">
        <v>221</v>
      </c>
      <c r="B2174" s="50">
        <v>44377.0</v>
      </c>
      <c r="C2174" s="49" t="s">
        <v>777</v>
      </c>
      <c r="D2174" s="49">
        <v>0.0</v>
      </c>
    </row>
    <row r="2175" ht="15.0" hidden="1" customHeight="1">
      <c r="A2175" s="49" t="s">
        <v>226</v>
      </c>
      <c r="B2175" s="50">
        <v>44377.0</v>
      </c>
      <c r="C2175" s="49" t="s">
        <v>777</v>
      </c>
      <c r="D2175" s="49">
        <v>0.0</v>
      </c>
    </row>
    <row r="2176" ht="15.0" hidden="1" customHeight="1">
      <c r="A2176" s="49" t="s">
        <v>231</v>
      </c>
      <c r="B2176" s="50">
        <v>44377.0</v>
      </c>
      <c r="C2176" s="49" t="s">
        <v>777</v>
      </c>
      <c r="D2176" s="49">
        <v>0.0</v>
      </c>
    </row>
    <row r="2177" ht="15.0" hidden="1" customHeight="1">
      <c r="A2177" s="49" t="s">
        <v>236</v>
      </c>
      <c r="B2177" s="50">
        <v>44377.0</v>
      </c>
      <c r="C2177" s="49" t="s">
        <v>777</v>
      </c>
      <c r="D2177" s="49">
        <v>0.0</v>
      </c>
    </row>
    <row r="2178" ht="15.0" hidden="1" customHeight="1">
      <c r="A2178" s="49" t="s">
        <v>242</v>
      </c>
      <c r="B2178" s="50">
        <v>44377.0</v>
      </c>
      <c r="C2178" s="49" t="s">
        <v>777</v>
      </c>
      <c r="D2178" s="49">
        <v>0.0</v>
      </c>
    </row>
    <row r="2179" ht="15.0" hidden="1" customHeight="1">
      <c r="A2179" s="49" t="s">
        <v>248</v>
      </c>
      <c r="B2179" s="50">
        <v>44377.0</v>
      </c>
      <c r="C2179" s="49" t="s">
        <v>777</v>
      </c>
      <c r="D2179" s="49">
        <v>0.0</v>
      </c>
    </row>
    <row r="2180" ht="15.0" hidden="1" customHeight="1">
      <c r="A2180" s="49" t="s">
        <v>253</v>
      </c>
      <c r="B2180" s="50">
        <v>44377.0</v>
      </c>
      <c r="C2180" s="49" t="s">
        <v>777</v>
      </c>
      <c r="D2180" s="49">
        <v>2715649.0</v>
      </c>
    </row>
    <row r="2181" ht="15.0" hidden="1" customHeight="1">
      <c r="A2181" s="49" t="s">
        <v>258</v>
      </c>
      <c r="B2181" s="50">
        <v>44377.0</v>
      </c>
      <c r="C2181" s="49" t="s">
        <v>777</v>
      </c>
      <c r="D2181" s="49">
        <v>0.0</v>
      </c>
    </row>
    <row r="2182" ht="15.0" hidden="1" customHeight="1">
      <c r="A2182" s="49" t="s">
        <v>263</v>
      </c>
      <c r="B2182" s="50">
        <v>44377.0</v>
      </c>
      <c r="C2182" s="49" t="s">
        <v>777</v>
      </c>
      <c r="D2182" s="49">
        <v>0.0</v>
      </c>
    </row>
    <row r="2183" ht="15.0" hidden="1" customHeight="1">
      <c r="A2183" s="49" t="s">
        <v>268</v>
      </c>
      <c r="B2183" s="50">
        <v>44377.0</v>
      </c>
      <c r="C2183" s="49" t="s">
        <v>777</v>
      </c>
      <c r="D2183" s="49">
        <v>0.0</v>
      </c>
    </row>
    <row r="2184" ht="15.0" hidden="1" customHeight="1">
      <c r="A2184" s="49" t="s">
        <v>273</v>
      </c>
      <c r="B2184" s="50">
        <v>44377.0</v>
      </c>
      <c r="C2184" s="49" t="s">
        <v>777</v>
      </c>
      <c r="D2184" s="49">
        <v>0.0</v>
      </c>
    </row>
    <row r="2185" ht="15.0" hidden="1" customHeight="1">
      <c r="A2185" s="49" t="s">
        <v>278</v>
      </c>
      <c r="B2185" s="50">
        <v>44377.0</v>
      </c>
      <c r="C2185" s="49" t="s">
        <v>777</v>
      </c>
      <c r="D2185" s="49">
        <v>0.0</v>
      </c>
    </row>
    <row r="2186" ht="15.0" hidden="1" customHeight="1">
      <c r="A2186" s="49" t="s">
        <v>283</v>
      </c>
      <c r="B2186" s="50">
        <v>44377.0</v>
      </c>
      <c r="C2186" s="49" t="s">
        <v>777</v>
      </c>
      <c r="D2186" s="49">
        <v>0.0</v>
      </c>
    </row>
    <row r="2187" ht="15.0" hidden="1" customHeight="1">
      <c r="A2187" s="49" t="s">
        <v>288</v>
      </c>
      <c r="B2187" s="50">
        <v>44377.0</v>
      </c>
      <c r="C2187" s="49" t="s">
        <v>777</v>
      </c>
      <c r="D2187" s="49">
        <v>0.0</v>
      </c>
    </row>
    <row r="2188" ht="15.0" hidden="1" customHeight="1">
      <c r="A2188" s="49" t="s">
        <v>293</v>
      </c>
      <c r="B2188" s="50">
        <v>44377.0</v>
      </c>
      <c r="C2188" s="49" t="s">
        <v>777</v>
      </c>
      <c r="D2188" s="49">
        <v>0.0</v>
      </c>
    </row>
    <row r="2189" ht="15.0" hidden="1" customHeight="1">
      <c r="A2189" s="49" t="s">
        <v>298</v>
      </c>
      <c r="B2189" s="50">
        <v>44377.0</v>
      </c>
      <c r="C2189" s="49" t="s">
        <v>777</v>
      </c>
      <c r="D2189" s="49">
        <v>0.0</v>
      </c>
    </row>
    <row r="2190" ht="15.0" hidden="1" customHeight="1">
      <c r="A2190" s="49" t="s">
        <v>303</v>
      </c>
      <c r="B2190" s="50">
        <v>44377.0</v>
      </c>
      <c r="C2190" s="49" t="s">
        <v>777</v>
      </c>
      <c r="D2190" s="49">
        <v>0.0</v>
      </c>
    </row>
    <row r="2191" ht="15.0" hidden="1" customHeight="1">
      <c r="A2191" s="49" t="s">
        <v>307</v>
      </c>
      <c r="B2191" s="50">
        <v>44377.0</v>
      </c>
      <c r="C2191" s="49" t="s">
        <v>777</v>
      </c>
      <c r="D2191" s="49">
        <v>0.0</v>
      </c>
    </row>
    <row r="2192" ht="15.0" hidden="1" customHeight="1">
      <c r="A2192" s="49" t="s">
        <v>313</v>
      </c>
      <c r="B2192" s="50">
        <v>44377.0</v>
      </c>
      <c r="C2192" s="49" t="s">
        <v>777</v>
      </c>
      <c r="D2192" s="49">
        <v>0.0</v>
      </c>
    </row>
    <row r="2193" ht="15.0" hidden="1" customHeight="1">
      <c r="A2193" s="49" t="s">
        <v>318</v>
      </c>
      <c r="B2193" s="50">
        <v>44377.0</v>
      </c>
      <c r="C2193" s="49" t="s">
        <v>777</v>
      </c>
      <c r="D2193" s="49">
        <v>0.0</v>
      </c>
    </row>
    <row r="2194" ht="15.0" hidden="1" customHeight="1">
      <c r="A2194" s="49" t="s">
        <v>323</v>
      </c>
      <c r="B2194" s="50">
        <v>44377.0</v>
      </c>
      <c r="C2194" s="49" t="s">
        <v>777</v>
      </c>
      <c r="D2194" s="49">
        <v>0.0</v>
      </c>
    </row>
    <row r="2195" ht="15.0" hidden="1" customHeight="1">
      <c r="A2195" s="49" t="s">
        <v>328</v>
      </c>
      <c r="B2195" s="50">
        <v>44377.0</v>
      </c>
      <c r="C2195" s="49" t="s">
        <v>777</v>
      </c>
      <c r="D2195" s="49">
        <v>0.0</v>
      </c>
    </row>
    <row r="2196" ht="15.0" hidden="1" customHeight="1">
      <c r="A2196" s="49" t="s">
        <v>335</v>
      </c>
      <c r="B2196" s="50">
        <v>44377.0</v>
      </c>
      <c r="C2196" s="49" t="s">
        <v>777</v>
      </c>
      <c r="D2196" s="49">
        <v>0.0</v>
      </c>
    </row>
    <row r="2197" ht="15.0" hidden="1" customHeight="1">
      <c r="A2197" s="49" t="s">
        <v>340</v>
      </c>
      <c r="B2197" s="50">
        <v>44377.0</v>
      </c>
      <c r="C2197" s="49" t="s">
        <v>777</v>
      </c>
      <c r="D2197" s="49">
        <v>0.0</v>
      </c>
    </row>
    <row r="2198" ht="15.0" hidden="1" customHeight="1">
      <c r="A2198" s="49" t="s">
        <v>345</v>
      </c>
      <c r="B2198" s="50">
        <v>44377.0</v>
      </c>
      <c r="C2198" s="49" t="s">
        <v>777</v>
      </c>
      <c r="D2198" s="49">
        <v>0.0</v>
      </c>
    </row>
    <row r="2199" ht="15.0" hidden="1" customHeight="1">
      <c r="A2199" s="49" t="s">
        <v>350</v>
      </c>
      <c r="B2199" s="50">
        <v>44377.0</v>
      </c>
      <c r="C2199" s="49" t="s">
        <v>777</v>
      </c>
      <c r="D2199" s="49">
        <v>0.0</v>
      </c>
    </row>
    <row r="2200" ht="15.0" hidden="1" customHeight="1">
      <c r="A2200" s="49" t="s">
        <v>355</v>
      </c>
      <c r="B2200" s="50">
        <v>44377.0</v>
      </c>
      <c r="C2200" s="49" t="s">
        <v>777</v>
      </c>
      <c r="D2200" s="49">
        <v>0.0</v>
      </c>
    </row>
    <row r="2201" ht="15.0" hidden="1" customHeight="1">
      <c r="A2201" s="49" t="s">
        <v>360</v>
      </c>
      <c r="B2201" s="50">
        <v>44377.0</v>
      </c>
      <c r="C2201" s="49" t="s">
        <v>777</v>
      </c>
      <c r="D2201" s="49">
        <v>0.0</v>
      </c>
    </row>
    <row r="2202" ht="15.0" hidden="1" customHeight="1">
      <c r="A2202" s="49" t="s">
        <v>365</v>
      </c>
      <c r="B2202" s="50">
        <v>44377.0</v>
      </c>
      <c r="C2202" s="49" t="s">
        <v>777</v>
      </c>
      <c r="D2202" s="49">
        <v>0.0</v>
      </c>
    </row>
    <row r="2203" ht="15.0" hidden="1" customHeight="1">
      <c r="A2203" s="49" t="s">
        <v>370</v>
      </c>
      <c r="B2203" s="50">
        <v>44377.0</v>
      </c>
      <c r="C2203" s="49" t="s">
        <v>777</v>
      </c>
      <c r="D2203" s="49">
        <v>0.0</v>
      </c>
    </row>
    <row r="2204" ht="15.0" hidden="1" customHeight="1">
      <c r="A2204" s="49" t="s">
        <v>375</v>
      </c>
      <c r="B2204" s="50">
        <v>44377.0</v>
      </c>
      <c r="C2204" s="49" t="s">
        <v>777</v>
      </c>
      <c r="D2204" s="49">
        <v>0.0</v>
      </c>
    </row>
    <row r="2205" ht="15.0" hidden="1" customHeight="1">
      <c r="A2205" s="49" t="s">
        <v>380</v>
      </c>
      <c r="B2205" s="50">
        <v>44377.0</v>
      </c>
      <c r="C2205" s="49" t="s">
        <v>777</v>
      </c>
      <c r="D2205" s="49">
        <v>0.0</v>
      </c>
    </row>
    <row r="2206" ht="15.0" hidden="1" customHeight="1">
      <c r="A2206" s="49" t="s">
        <v>385</v>
      </c>
      <c r="B2206" s="50">
        <v>44377.0</v>
      </c>
      <c r="C2206" s="49" t="s">
        <v>777</v>
      </c>
      <c r="D2206" s="49">
        <v>0.0</v>
      </c>
    </row>
    <row r="2207" ht="15.0" hidden="1" customHeight="1">
      <c r="A2207" s="49" t="s">
        <v>390</v>
      </c>
      <c r="B2207" s="50">
        <v>44377.0</v>
      </c>
      <c r="C2207" s="49" t="s">
        <v>777</v>
      </c>
      <c r="D2207" s="49">
        <v>0.0</v>
      </c>
    </row>
    <row r="2208" ht="15.0" hidden="1" customHeight="1">
      <c r="A2208" s="49" t="s">
        <v>395</v>
      </c>
      <c r="B2208" s="50">
        <v>44377.0</v>
      </c>
      <c r="C2208" s="49" t="s">
        <v>777</v>
      </c>
      <c r="D2208" s="49">
        <v>0.0</v>
      </c>
    </row>
    <row r="2209" ht="15.0" hidden="1" customHeight="1">
      <c r="A2209" s="49" t="s">
        <v>400</v>
      </c>
      <c r="B2209" s="50">
        <v>44377.0</v>
      </c>
      <c r="C2209" s="49" t="s">
        <v>777</v>
      </c>
      <c r="D2209" s="49">
        <v>0.0</v>
      </c>
    </row>
    <row r="2210" ht="15.0" hidden="1" customHeight="1">
      <c r="A2210" s="49" t="s">
        <v>405</v>
      </c>
      <c r="B2210" s="50">
        <v>44377.0</v>
      </c>
      <c r="C2210" s="49" t="s">
        <v>777</v>
      </c>
      <c r="D2210" s="49">
        <v>0.0</v>
      </c>
    </row>
    <row r="2211" ht="15.0" hidden="1" customHeight="1">
      <c r="A2211" s="49" t="s">
        <v>410</v>
      </c>
      <c r="B2211" s="50">
        <v>44377.0</v>
      </c>
      <c r="C2211" s="49" t="s">
        <v>777</v>
      </c>
      <c r="D2211" s="49">
        <v>0.0</v>
      </c>
    </row>
    <row r="2212" ht="15.0" hidden="1" customHeight="1">
      <c r="A2212" s="49" t="s">
        <v>415</v>
      </c>
      <c r="B2212" s="50">
        <v>44377.0</v>
      </c>
      <c r="C2212" s="49" t="s">
        <v>777</v>
      </c>
      <c r="D2212" s="49">
        <v>0.0</v>
      </c>
    </row>
    <row r="2213" ht="15.0" hidden="1" customHeight="1">
      <c r="A2213" s="49" t="s">
        <v>420</v>
      </c>
      <c r="B2213" s="50">
        <v>44377.0</v>
      </c>
      <c r="C2213" s="49" t="s">
        <v>777</v>
      </c>
      <c r="D2213" s="49">
        <v>0.0</v>
      </c>
    </row>
    <row r="2214" ht="15.0" hidden="1" customHeight="1">
      <c r="A2214" s="49" t="s">
        <v>425</v>
      </c>
      <c r="B2214" s="50">
        <v>44377.0</v>
      </c>
      <c r="C2214" s="49" t="s">
        <v>777</v>
      </c>
      <c r="D2214" s="49">
        <v>0.0</v>
      </c>
    </row>
    <row r="2215" ht="15.0" hidden="1" customHeight="1">
      <c r="A2215" s="49" t="s">
        <v>430</v>
      </c>
      <c r="B2215" s="50">
        <v>44377.0</v>
      </c>
      <c r="C2215" s="49" t="s">
        <v>777</v>
      </c>
      <c r="D2215" s="49">
        <v>0.0</v>
      </c>
    </row>
    <row r="2216" ht="15.0" hidden="1" customHeight="1">
      <c r="A2216" s="49" t="s">
        <v>434</v>
      </c>
      <c r="B2216" s="50">
        <v>44377.0</v>
      </c>
      <c r="C2216" s="49" t="s">
        <v>777</v>
      </c>
      <c r="D2216" s="49">
        <v>0.0</v>
      </c>
    </row>
    <row r="2217" ht="15.0" hidden="1" customHeight="1">
      <c r="A2217" s="49" t="s">
        <v>439</v>
      </c>
      <c r="B2217" s="50">
        <v>44377.0</v>
      </c>
      <c r="C2217" s="49" t="s">
        <v>777</v>
      </c>
      <c r="D2217" s="49">
        <v>0.0</v>
      </c>
    </row>
    <row r="2218" ht="15.0" hidden="1" customHeight="1">
      <c r="A2218" s="49" t="s">
        <v>444</v>
      </c>
      <c r="B2218" s="50">
        <v>44377.0</v>
      </c>
      <c r="C2218" s="49" t="s">
        <v>777</v>
      </c>
      <c r="D2218" s="49">
        <v>0.0</v>
      </c>
    </row>
    <row r="2219" ht="15.0" hidden="1" customHeight="1">
      <c r="A2219" s="49" t="s">
        <v>449</v>
      </c>
      <c r="B2219" s="50">
        <v>44377.0</v>
      </c>
      <c r="C2219" s="49" t="s">
        <v>777</v>
      </c>
      <c r="D2219" s="49">
        <v>0.0</v>
      </c>
    </row>
    <row r="2220" ht="15.0" hidden="1" customHeight="1">
      <c r="A2220" s="49" t="s">
        <v>455</v>
      </c>
      <c r="B2220" s="50">
        <v>44377.0</v>
      </c>
      <c r="C2220" s="49" t="s">
        <v>777</v>
      </c>
      <c r="D2220" s="49">
        <v>0.0</v>
      </c>
    </row>
    <row r="2221" ht="15.0" hidden="1" customHeight="1">
      <c r="A2221" s="49" t="s">
        <v>470</v>
      </c>
      <c r="B2221" s="50">
        <v>44377.0</v>
      </c>
      <c r="C2221" s="49" t="s">
        <v>777</v>
      </c>
      <c r="D2221" s="49">
        <v>0.0</v>
      </c>
    </row>
    <row r="2222" ht="15.0" hidden="1" customHeight="1">
      <c r="A2222" s="49" t="s">
        <v>476</v>
      </c>
      <c r="B2222" s="50">
        <v>44377.0</v>
      </c>
      <c r="C2222" s="49" t="s">
        <v>777</v>
      </c>
      <c r="D2222" s="49">
        <v>0.0</v>
      </c>
    </row>
    <row r="2223" ht="15.0" hidden="1" customHeight="1">
      <c r="A2223" s="49" t="s">
        <v>481</v>
      </c>
      <c r="B2223" s="50">
        <v>44377.0</v>
      </c>
      <c r="C2223" s="49" t="s">
        <v>777</v>
      </c>
      <c r="D2223" s="49">
        <v>0.0</v>
      </c>
    </row>
    <row r="2224" ht="15.0" hidden="1" customHeight="1">
      <c r="A2224" s="49" t="s">
        <v>486</v>
      </c>
      <c r="B2224" s="50">
        <v>44377.0</v>
      </c>
      <c r="C2224" s="49" t="s">
        <v>777</v>
      </c>
      <c r="D2224" s="49">
        <v>0.0</v>
      </c>
    </row>
    <row r="2225" ht="15.0" hidden="1" customHeight="1">
      <c r="A2225" s="49" t="s">
        <v>491</v>
      </c>
      <c r="B2225" s="50">
        <v>44377.0</v>
      </c>
      <c r="C2225" s="49" t="s">
        <v>777</v>
      </c>
      <c r="D2225" s="49">
        <v>0.0</v>
      </c>
    </row>
    <row r="2226" ht="15.0" hidden="1" customHeight="1">
      <c r="A2226" s="49" t="s">
        <v>496</v>
      </c>
      <c r="B2226" s="50">
        <v>44377.0</v>
      </c>
      <c r="C2226" s="49" t="s">
        <v>777</v>
      </c>
      <c r="D2226" s="49">
        <v>0.0</v>
      </c>
    </row>
    <row r="2227" ht="15.0" hidden="1" customHeight="1">
      <c r="A2227" s="49" t="s">
        <v>501</v>
      </c>
      <c r="B2227" s="50">
        <v>44377.0</v>
      </c>
      <c r="C2227" s="49" t="s">
        <v>777</v>
      </c>
      <c r="D2227" s="49">
        <v>0.0</v>
      </c>
    </row>
    <row r="2228" ht="15.0" hidden="1" customHeight="1">
      <c r="A2228" s="49" t="s">
        <v>506</v>
      </c>
      <c r="B2228" s="50">
        <v>44377.0</v>
      </c>
      <c r="C2228" s="49" t="s">
        <v>777</v>
      </c>
      <c r="D2228" s="49">
        <v>0.0</v>
      </c>
    </row>
    <row r="2229" ht="15.0" hidden="1" customHeight="1">
      <c r="A2229" s="49" t="s">
        <v>512</v>
      </c>
      <c r="B2229" s="50">
        <v>44377.0</v>
      </c>
      <c r="C2229" s="49" t="s">
        <v>777</v>
      </c>
      <c r="D2229" s="49">
        <v>0.0</v>
      </c>
    </row>
    <row r="2230" ht="15.0" hidden="1" customHeight="1">
      <c r="A2230" s="49" t="s">
        <v>517</v>
      </c>
      <c r="B2230" s="50">
        <v>44377.0</v>
      </c>
      <c r="C2230" s="49" t="s">
        <v>777</v>
      </c>
      <c r="D2230" s="49">
        <v>0.0</v>
      </c>
    </row>
    <row r="2231" ht="15.0" hidden="1" customHeight="1">
      <c r="A2231" s="49" t="s">
        <v>522</v>
      </c>
      <c r="B2231" s="50">
        <v>44377.0</v>
      </c>
      <c r="C2231" s="49" t="s">
        <v>777</v>
      </c>
      <c r="D2231" s="49">
        <v>0.0</v>
      </c>
    </row>
    <row r="2232" ht="15.0" hidden="1" customHeight="1">
      <c r="A2232" s="49" t="s">
        <v>528</v>
      </c>
      <c r="B2232" s="50">
        <v>44377.0</v>
      </c>
      <c r="C2232" s="49" t="s">
        <v>777</v>
      </c>
      <c r="D2232" s="49">
        <v>0.0</v>
      </c>
    </row>
    <row r="2233" ht="15.0" hidden="1" customHeight="1">
      <c r="A2233" s="49" t="s">
        <v>533</v>
      </c>
      <c r="B2233" s="50">
        <v>44377.0</v>
      </c>
      <c r="C2233" s="49" t="s">
        <v>777</v>
      </c>
      <c r="D2233" s="49">
        <v>0.0</v>
      </c>
    </row>
    <row r="2234" ht="15.0" hidden="1" customHeight="1">
      <c r="A2234" s="49" t="s">
        <v>538</v>
      </c>
      <c r="B2234" s="50">
        <v>44377.0</v>
      </c>
      <c r="C2234" s="49" t="s">
        <v>777</v>
      </c>
      <c r="D2234" s="49">
        <v>0.0</v>
      </c>
    </row>
    <row r="2235" ht="15.0" hidden="1" customHeight="1">
      <c r="A2235" s="49" t="s">
        <v>546</v>
      </c>
      <c r="B2235" s="50">
        <v>44377.0</v>
      </c>
      <c r="C2235" s="49" t="s">
        <v>777</v>
      </c>
      <c r="D2235" s="49">
        <v>0.0</v>
      </c>
    </row>
    <row r="2236" ht="15.0" hidden="1" customHeight="1">
      <c r="A2236" s="49" t="s">
        <v>551</v>
      </c>
      <c r="B2236" s="50">
        <v>44377.0</v>
      </c>
      <c r="C2236" s="49" t="s">
        <v>777</v>
      </c>
      <c r="D2236" s="49">
        <v>0.0</v>
      </c>
    </row>
    <row r="2237" ht="15.0" hidden="1" customHeight="1">
      <c r="A2237" s="49" t="s">
        <v>556</v>
      </c>
      <c r="B2237" s="50">
        <v>44377.0</v>
      </c>
      <c r="C2237" s="49" t="s">
        <v>777</v>
      </c>
      <c r="D2237" s="49">
        <v>0.0</v>
      </c>
    </row>
    <row r="2238" ht="15.0" hidden="1" customHeight="1">
      <c r="A2238" s="49" t="s">
        <v>561</v>
      </c>
      <c r="B2238" s="50">
        <v>44377.0</v>
      </c>
      <c r="C2238" s="49" t="s">
        <v>777</v>
      </c>
      <c r="D2238" s="49">
        <v>0.0</v>
      </c>
    </row>
    <row r="2239" ht="15.0" hidden="1" customHeight="1">
      <c r="A2239" s="49" t="s">
        <v>566</v>
      </c>
      <c r="B2239" s="50">
        <v>44377.0</v>
      </c>
      <c r="C2239" s="49" t="s">
        <v>777</v>
      </c>
      <c r="D2239" s="49">
        <v>0.0</v>
      </c>
    </row>
    <row r="2240" ht="15.0" hidden="1" customHeight="1">
      <c r="A2240" s="49" t="s">
        <v>571</v>
      </c>
      <c r="B2240" s="50">
        <v>44377.0</v>
      </c>
      <c r="C2240" s="49" t="s">
        <v>777</v>
      </c>
      <c r="D2240" s="49">
        <v>0.0</v>
      </c>
    </row>
    <row r="2241" ht="15.0" hidden="1" customHeight="1">
      <c r="A2241" s="49" t="s">
        <v>576</v>
      </c>
      <c r="B2241" s="50">
        <v>44377.0</v>
      </c>
      <c r="C2241" s="49" t="s">
        <v>777</v>
      </c>
      <c r="D2241" s="49">
        <v>0.0</v>
      </c>
    </row>
    <row r="2242" ht="15.0" hidden="1" customHeight="1">
      <c r="A2242" s="49" t="s">
        <v>581</v>
      </c>
      <c r="B2242" s="50">
        <v>44377.0</v>
      </c>
      <c r="C2242" s="49" t="s">
        <v>777</v>
      </c>
      <c r="D2242" s="49">
        <v>0.0</v>
      </c>
    </row>
    <row r="2243" ht="15.0" hidden="1" customHeight="1">
      <c r="A2243" s="49" t="s">
        <v>586</v>
      </c>
      <c r="B2243" s="50">
        <v>44377.0</v>
      </c>
      <c r="C2243" s="49" t="s">
        <v>777</v>
      </c>
      <c r="D2243" s="49">
        <v>0.0</v>
      </c>
    </row>
    <row r="2244" ht="15.0" hidden="1" customHeight="1">
      <c r="A2244" s="49" t="s">
        <v>754</v>
      </c>
      <c r="B2244" s="50">
        <v>44377.0</v>
      </c>
      <c r="C2244" s="49" t="s">
        <v>777</v>
      </c>
      <c r="D2244" s="49">
        <v>0.0</v>
      </c>
    </row>
    <row r="2245" ht="15.0" hidden="1" customHeight="1">
      <c r="A2245" s="49" t="s">
        <v>591</v>
      </c>
      <c r="B2245" s="50">
        <v>44377.0</v>
      </c>
      <c r="C2245" s="49" t="s">
        <v>777</v>
      </c>
      <c r="D2245" s="49">
        <v>0.0</v>
      </c>
    </row>
    <row r="2246" ht="15.0" hidden="1" customHeight="1">
      <c r="A2246" s="49" t="s">
        <v>759</v>
      </c>
      <c r="B2246" s="50">
        <v>44377.0</v>
      </c>
      <c r="C2246" s="49" t="s">
        <v>777</v>
      </c>
      <c r="D2246" s="49">
        <v>0.0</v>
      </c>
    </row>
    <row r="2247" ht="15.0" hidden="1" customHeight="1">
      <c r="A2247" s="49" t="s">
        <v>596</v>
      </c>
      <c r="B2247" s="50">
        <v>44377.0</v>
      </c>
      <c r="C2247" s="49" t="s">
        <v>777</v>
      </c>
      <c r="D2247" s="49">
        <v>0.0</v>
      </c>
    </row>
    <row r="2248" ht="15.0" hidden="1" customHeight="1">
      <c r="A2248" s="49" t="s">
        <v>602</v>
      </c>
      <c r="B2248" s="50">
        <v>44377.0</v>
      </c>
      <c r="C2248" s="49" t="s">
        <v>777</v>
      </c>
      <c r="D2248" s="49">
        <v>0.0</v>
      </c>
    </row>
    <row r="2249" ht="15.0" hidden="1" customHeight="1">
      <c r="A2249" s="49" t="s">
        <v>607</v>
      </c>
      <c r="B2249" s="50">
        <v>44377.0</v>
      </c>
      <c r="C2249" s="49" t="s">
        <v>777</v>
      </c>
      <c r="D2249" s="49">
        <v>0.0</v>
      </c>
    </row>
    <row r="2250" ht="15.0" hidden="1" customHeight="1">
      <c r="A2250" s="49" t="s">
        <v>612</v>
      </c>
      <c r="B2250" s="50">
        <v>44377.0</v>
      </c>
      <c r="C2250" s="49" t="s">
        <v>777</v>
      </c>
      <c r="D2250" s="49">
        <v>0.0</v>
      </c>
    </row>
    <row r="2251" ht="15.0" hidden="1" customHeight="1">
      <c r="A2251" s="49" t="s">
        <v>617</v>
      </c>
      <c r="B2251" s="50">
        <v>44377.0</v>
      </c>
      <c r="C2251" s="49" t="s">
        <v>777</v>
      </c>
      <c r="D2251" s="49">
        <v>0.0</v>
      </c>
    </row>
    <row r="2252" ht="15.0" hidden="1" customHeight="1">
      <c r="A2252" s="49" t="s">
        <v>622</v>
      </c>
      <c r="B2252" s="50">
        <v>44377.0</v>
      </c>
      <c r="C2252" s="49" t="s">
        <v>777</v>
      </c>
      <c r="D2252" s="49">
        <v>0.0</v>
      </c>
    </row>
    <row r="2253" ht="15.0" hidden="1" customHeight="1">
      <c r="A2253" s="49" t="s">
        <v>627</v>
      </c>
      <c r="B2253" s="50">
        <v>44377.0</v>
      </c>
      <c r="C2253" s="49" t="s">
        <v>777</v>
      </c>
      <c r="D2253" s="49">
        <v>0.0</v>
      </c>
    </row>
    <row r="2254" ht="15.0" hidden="1" customHeight="1">
      <c r="A2254" s="49" t="s">
        <v>631</v>
      </c>
      <c r="B2254" s="50">
        <v>44377.0</v>
      </c>
      <c r="C2254" s="49" t="s">
        <v>777</v>
      </c>
      <c r="D2254" s="49">
        <v>0.0</v>
      </c>
    </row>
    <row r="2255" ht="15.0" hidden="1" customHeight="1">
      <c r="A2255" s="49" t="s">
        <v>636</v>
      </c>
      <c r="B2255" s="50">
        <v>44377.0</v>
      </c>
      <c r="C2255" s="49" t="s">
        <v>777</v>
      </c>
      <c r="D2255" s="49">
        <v>0.0</v>
      </c>
    </row>
    <row r="2256" ht="15.0" hidden="1" customHeight="1">
      <c r="A2256" s="49" t="s">
        <v>640</v>
      </c>
      <c r="B2256" s="50">
        <v>44377.0</v>
      </c>
      <c r="C2256" s="49" t="s">
        <v>777</v>
      </c>
      <c r="D2256" s="49">
        <v>0.0</v>
      </c>
    </row>
    <row r="2257" ht="15.0" hidden="1" customHeight="1">
      <c r="A2257" s="49" t="s">
        <v>644</v>
      </c>
      <c r="B2257" s="50">
        <v>44377.0</v>
      </c>
      <c r="C2257" s="49" t="s">
        <v>777</v>
      </c>
      <c r="D2257" s="49">
        <v>0.0</v>
      </c>
    </row>
    <row r="2258" ht="15.0" hidden="1" customHeight="1">
      <c r="A2258" s="49" t="s">
        <v>649</v>
      </c>
      <c r="B2258" s="50">
        <v>44377.0</v>
      </c>
      <c r="C2258" s="49" t="s">
        <v>777</v>
      </c>
      <c r="D2258" s="49">
        <v>0.0</v>
      </c>
    </row>
    <row r="2259" ht="15.0" hidden="1" customHeight="1">
      <c r="A2259" s="49" t="s">
        <v>654</v>
      </c>
      <c r="B2259" s="50">
        <v>44377.0</v>
      </c>
      <c r="C2259" s="49" t="s">
        <v>777</v>
      </c>
      <c r="D2259" s="49">
        <v>0.0</v>
      </c>
    </row>
    <row r="2260" ht="15.0" hidden="1" customHeight="1">
      <c r="A2260" s="49" t="s">
        <v>659</v>
      </c>
      <c r="B2260" s="50">
        <v>44377.0</v>
      </c>
      <c r="C2260" s="49" t="s">
        <v>777</v>
      </c>
      <c r="D2260" s="49">
        <v>0.0</v>
      </c>
    </row>
    <row r="2261" ht="15.0" hidden="1" customHeight="1">
      <c r="A2261" s="49" t="s">
        <v>664</v>
      </c>
      <c r="B2261" s="50">
        <v>44377.0</v>
      </c>
      <c r="C2261" s="49" t="s">
        <v>777</v>
      </c>
      <c r="D2261" s="49">
        <v>0.0</v>
      </c>
    </row>
    <row r="2262" ht="15.0" hidden="1" customHeight="1">
      <c r="A2262" s="49" t="s">
        <v>669</v>
      </c>
      <c r="B2262" s="50">
        <v>44377.0</v>
      </c>
      <c r="C2262" s="49" t="s">
        <v>777</v>
      </c>
      <c r="D2262" s="49">
        <v>0.0</v>
      </c>
    </row>
    <row r="2263" ht="15.0" hidden="1" customHeight="1">
      <c r="A2263" s="49" t="s">
        <v>674</v>
      </c>
      <c r="B2263" s="50">
        <v>44377.0</v>
      </c>
      <c r="C2263" s="49" t="s">
        <v>777</v>
      </c>
      <c r="D2263" s="49">
        <v>0.0</v>
      </c>
    </row>
    <row r="2264" ht="15.0" hidden="1" customHeight="1">
      <c r="A2264" s="49" t="s">
        <v>679</v>
      </c>
      <c r="B2264" s="50">
        <v>44377.0</v>
      </c>
      <c r="C2264" s="49" t="s">
        <v>777</v>
      </c>
      <c r="D2264" s="49">
        <v>0.0</v>
      </c>
    </row>
    <row r="2265" ht="15.0" hidden="1" customHeight="1">
      <c r="A2265" s="49" t="s">
        <v>684</v>
      </c>
      <c r="B2265" s="50">
        <v>44377.0</v>
      </c>
      <c r="C2265" s="49" t="s">
        <v>777</v>
      </c>
      <c r="D2265" s="49">
        <v>0.0</v>
      </c>
    </row>
    <row r="2266" ht="15.0" hidden="1" customHeight="1">
      <c r="A2266" s="49" t="s">
        <v>689</v>
      </c>
      <c r="B2266" s="50">
        <v>44377.0</v>
      </c>
      <c r="C2266" s="49" t="s">
        <v>777</v>
      </c>
      <c r="D2266" s="49">
        <v>0.0</v>
      </c>
    </row>
    <row r="2267" ht="15.0" hidden="1" customHeight="1">
      <c r="A2267" s="49" t="s">
        <v>694</v>
      </c>
      <c r="B2267" s="50">
        <v>44377.0</v>
      </c>
      <c r="C2267" s="49" t="s">
        <v>777</v>
      </c>
      <c r="D2267" s="49">
        <v>0.0</v>
      </c>
    </row>
    <row r="2268" ht="15.0" hidden="1" customHeight="1">
      <c r="A2268" s="49" t="s">
        <v>699</v>
      </c>
      <c r="B2268" s="50">
        <v>44377.0</v>
      </c>
      <c r="C2268" s="49" t="s">
        <v>777</v>
      </c>
      <c r="D2268" s="49">
        <v>0.0</v>
      </c>
    </row>
    <row r="2269" ht="15.0" hidden="1" customHeight="1">
      <c r="A2269" s="49" t="s">
        <v>705</v>
      </c>
      <c r="B2269" s="50">
        <v>44377.0</v>
      </c>
      <c r="C2269" s="49" t="s">
        <v>777</v>
      </c>
      <c r="D2269" s="49">
        <v>0.0</v>
      </c>
    </row>
    <row r="2270" ht="15.0" hidden="1" customHeight="1">
      <c r="A2270" s="49" t="s">
        <v>710</v>
      </c>
      <c r="B2270" s="50">
        <v>44377.0</v>
      </c>
      <c r="C2270" s="49" t="s">
        <v>777</v>
      </c>
      <c r="D2270" s="49">
        <v>0.0</v>
      </c>
    </row>
    <row r="2271" ht="15.0" hidden="1" customHeight="1">
      <c r="A2271" s="49" t="s">
        <v>715</v>
      </c>
      <c r="B2271" s="50">
        <v>44377.0</v>
      </c>
      <c r="C2271" s="49" t="s">
        <v>777</v>
      </c>
      <c r="D2271" s="49">
        <v>0.0</v>
      </c>
    </row>
    <row r="2272" ht="15.0" hidden="1" customHeight="1">
      <c r="A2272" s="49" t="s">
        <v>765</v>
      </c>
      <c r="B2272" s="50">
        <v>44377.0</v>
      </c>
      <c r="C2272" s="49" t="s">
        <v>777</v>
      </c>
      <c r="D2272" s="49">
        <v>0.0</v>
      </c>
    </row>
    <row r="2273" ht="15.0" hidden="1" customHeight="1">
      <c r="A2273" s="49" t="s">
        <v>720</v>
      </c>
      <c r="B2273" s="50">
        <v>44377.0</v>
      </c>
      <c r="C2273" s="49" t="s">
        <v>777</v>
      </c>
      <c r="D2273" s="49">
        <v>0.0</v>
      </c>
    </row>
    <row r="2274" ht="15.0" hidden="1" customHeight="1">
      <c r="A2274" s="49" t="s">
        <v>725</v>
      </c>
      <c r="B2274" s="50">
        <v>44377.0</v>
      </c>
      <c r="C2274" s="49" t="s">
        <v>777</v>
      </c>
      <c r="D2274" s="49">
        <v>0.0</v>
      </c>
    </row>
    <row r="2275" ht="15.0" hidden="1" customHeight="1">
      <c r="A2275" s="49" t="s">
        <v>730</v>
      </c>
      <c r="B2275" s="50">
        <v>44377.0</v>
      </c>
      <c r="C2275" s="49" t="s">
        <v>777</v>
      </c>
      <c r="D2275" s="49">
        <v>0.0</v>
      </c>
    </row>
    <row r="2276" ht="15.0" hidden="1" customHeight="1">
      <c r="A2276" s="49" t="s">
        <v>734</v>
      </c>
      <c r="B2276" s="50">
        <v>44377.0</v>
      </c>
      <c r="C2276" s="49" t="s">
        <v>777</v>
      </c>
      <c r="D2276" s="49">
        <v>0.0</v>
      </c>
    </row>
    <row r="2277" ht="15.0" hidden="1" customHeight="1">
      <c r="A2277" s="49" t="s">
        <v>739</v>
      </c>
      <c r="B2277" s="50">
        <v>44377.0</v>
      </c>
      <c r="C2277" s="49" t="s">
        <v>777</v>
      </c>
      <c r="D2277" s="49">
        <v>0.0</v>
      </c>
    </row>
    <row r="2278" ht="15.0" hidden="1" customHeight="1">
      <c r="A2278" s="49" t="s">
        <v>744</v>
      </c>
      <c r="B2278" s="50">
        <v>44377.0</v>
      </c>
      <c r="C2278" s="49" t="s">
        <v>777</v>
      </c>
      <c r="D2278" s="49">
        <v>0.0</v>
      </c>
    </row>
    <row r="2279" ht="15.0" hidden="1" customHeight="1">
      <c r="A2279" s="49" t="s">
        <v>749</v>
      </c>
      <c r="B2279" s="50">
        <v>44377.0</v>
      </c>
      <c r="C2279" s="49" t="s">
        <v>777</v>
      </c>
      <c r="D2279" s="49">
        <v>0.0</v>
      </c>
    </row>
    <row r="2280" ht="15.0" customHeight="1">
      <c r="A2280" s="49" t="s">
        <v>776</v>
      </c>
      <c r="B2280" s="50">
        <v>44377.0</v>
      </c>
      <c r="C2280" s="49" t="s">
        <v>78</v>
      </c>
      <c r="D2280" s="49">
        <v>0.0</v>
      </c>
    </row>
    <row r="2281" ht="15.0" hidden="1" customHeight="1">
      <c r="A2281" s="49" t="s">
        <v>778</v>
      </c>
      <c r="B2281" s="50">
        <v>44377.0</v>
      </c>
      <c r="C2281" s="49" t="s">
        <v>78</v>
      </c>
      <c r="D2281" s="49">
        <v>0.0</v>
      </c>
    </row>
    <row r="2282" ht="15.0" hidden="1" customHeight="1">
      <c r="A2282" s="49" t="s">
        <v>92</v>
      </c>
      <c r="B2282" s="50">
        <v>44377.0</v>
      </c>
      <c r="C2282" s="49" t="s">
        <v>78</v>
      </c>
      <c r="D2282" s="49">
        <v>0.0</v>
      </c>
    </row>
    <row r="2283" ht="15.0" hidden="1" customHeight="1">
      <c r="A2283" s="49" t="s">
        <v>97</v>
      </c>
      <c r="B2283" s="50">
        <v>44377.0</v>
      </c>
      <c r="C2283" s="49" t="s">
        <v>78</v>
      </c>
      <c r="D2283" s="49">
        <v>0.0</v>
      </c>
    </row>
    <row r="2284" ht="15.0" hidden="1" customHeight="1">
      <c r="A2284" s="49" t="s">
        <v>102</v>
      </c>
      <c r="B2284" s="50">
        <v>44377.0</v>
      </c>
      <c r="C2284" s="49" t="s">
        <v>78</v>
      </c>
      <c r="D2284" s="49">
        <v>0.0</v>
      </c>
    </row>
    <row r="2285" ht="15.0" hidden="1" customHeight="1">
      <c r="A2285" s="49" t="s">
        <v>106</v>
      </c>
      <c r="B2285" s="50">
        <v>44377.0</v>
      </c>
      <c r="C2285" s="49" t="s">
        <v>78</v>
      </c>
      <c r="D2285" s="49">
        <v>0.0</v>
      </c>
    </row>
    <row r="2286" ht="15.0" hidden="1" customHeight="1">
      <c r="A2286" s="49" t="s">
        <v>111</v>
      </c>
      <c r="B2286" s="50">
        <v>44377.0</v>
      </c>
      <c r="C2286" s="49" t="s">
        <v>78</v>
      </c>
      <c r="D2286" s="49">
        <v>0.0</v>
      </c>
    </row>
    <row r="2287" ht="15.0" hidden="1" customHeight="1">
      <c r="A2287" s="49" t="s">
        <v>116</v>
      </c>
      <c r="B2287" s="50">
        <v>44377.0</v>
      </c>
      <c r="C2287" s="49" t="s">
        <v>78</v>
      </c>
      <c r="D2287" s="49">
        <v>0.0</v>
      </c>
    </row>
    <row r="2288" ht="15.0" hidden="1" customHeight="1">
      <c r="A2288" s="49" t="s">
        <v>120</v>
      </c>
      <c r="B2288" s="50">
        <v>44377.0</v>
      </c>
      <c r="C2288" s="49" t="s">
        <v>78</v>
      </c>
      <c r="D2288" s="49">
        <v>0.0</v>
      </c>
    </row>
    <row r="2289" ht="15.0" hidden="1" customHeight="1">
      <c r="A2289" s="49" t="s">
        <v>125</v>
      </c>
      <c r="B2289" s="50">
        <v>44377.0</v>
      </c>
      <c r="C2289" s="49" t="s">
        <v>78</v>
      </c>
      <c r="D2289" s="49">
        <v>0.0</v>
      </c>
    </row>
    <row r="2290" ht="15.0" hidden="1" customHeight="1">
      <c r="A2290" s="49" t="s">
        <v>130</v>
      </c>
      <c r="B2290" s="50">
        <v>44377.0</v>
      </c>
      <c r="C2290" s="49" t="s">
        <v>78</v>
      </c>
      <c r="D2290" s="49">
        <v>0.0</v>
      </c>
    </row>
    <row r="2291" ht="15.0" hidden="1" customHeight="1">
      <c r="A2291" s="49" t="s">
        <v>137</v>
      </c>
      <c r="B2291" s="50">
        <v>44377.0</v>
      </c>
      <c r="C2291" s="49" t="s">
        <v>78</v>
      </c>
      <c r="D2291" s="49">
        <v>0.0</v>
      </c>
    </row>
    <row r="2292" ht="15.0" hidden="1" customHeight="1">
      <c r="A2292" s="49" t="s">
        <v>142</v>
      </c>
      <c r="B2292" s="50">
        <v>44377.0</v>
      </c>
      <c r="C2292" s="49" t="s">
        <v>78</v>
      </c>
      <c r="D2292" s="49">
        <v>0.0</v>
      </c>
    </row>
    <row r="2293" ht="15.0" hidden="1" customHeight="1">
      <c r="A2293" s="49" t="s">
        <v>147</v>
      </c>
      <c r="B2293" s="50">
        <v>44377.0</v>
      </c>
      <c r="C2293" s="49" t="s">
        <v>78</v>
      </c>
      <c r="D2293" s="49">
        <v>0.0</v>
      </c>
    </row>
    <row r="2294" ht="15.0" hidden="1" customHeight="1">
      <c r="A2294" s="49" t="s">
        <v>152</v>
      </c>
      <c r="B2294" s="50">
        <v>44377.0</v>
      </c>
      <c r="C2294" s="49" t="s">
        <v>78</v>
      </c>
      <c r="D2294" s="49">
        <v>0.0</v>
      </c>
    </row>
    <row r="2295" ht="15.0" hidden="1" customHeight="1">
      <c r="A2295" s="49" t="s">
        <v>157</v>
      </c>
      <c r="B2295" s="50">
        <v>44377.0</v>
      </c>
      <c r="C2295" s="49" t="s">
        <v>78</v>
      </c>
      <c r="D2295" s="49">
        <v>0.0</v>
      </c>
    </row>
    <row r="2296" ht="15.0" hidden="1" customHeight="1">
      <c r="A2296" s="49" t="s">
        <v>162</v>
      </c>
      <c r="B2296" s="50">
        <v>44377.0</v>
      </c>
      <c r="C2296" s="49" t="s">
        <v>78</v>
      </c>
      <c r="D2296" s="49">
        <v>0.0</v>
      </c>
    </row>
    <row r="2297" ht="15.0" hidden="1" customHeight="1">
      <c r="A2297" s="49" t="s">
        <v>167</v>
      </c>
      <c r="B2297" s="50">
        <v>44377.0</v>
      </c>
      <c r="C2297" s="49" t="s">
        <v>78</v>
      </c>
      <c r="D2297" s="49">
        <v>0.0</v>
      </c>
    </row>
    <row r="2298" ht="15.0" hidden="1" customHeight="1">
      <c r="A2298" s="49" t="s">
        <v>172</v>
      </c>
      <c r="B2298" s="50">
        <v>44377.0</v>
      </c>
      <c r="C2298" s="49" t="s">
        <v>78</v>
      </c>
      <c r="D2298" s="49">
        <v>0.0</v>
      </c>
    </row>
    <row r="2299" ht="15.0" hidden="1" customHeight="1">
      <c r="A2299" s="49" t="s">
        <v>177</v>
      </c>
      <c r="B2299" s="50">
        <v>44377.0</v>
      </c>
      <c r="C2299" s="49" t="s">
        <v>78</v>
      </c>
      <c r="D2299" s="49">
        <v>0.0</v>
      </c>
    </row>
    <row r="2300" ht="15.0" hidden="1" customHeight="1">
      <c r="A2300" s="49" t="s">
        <v>182</v>
      </c>
      <c r="B2300" s="50">
        <v>44377.0</v>
      </c>
      <c r="C2300" s="49" t="s">
        <v>78</v>
      </c>
      <c r="D2300" s="49">
        <v>0.0</v>
      </c>
    </row>
    <row r="2301" ht="15.0" hidden="1" customHeight="1">
      <c r="A2301" s="49" t="s">
        <v>187</v>
      </c>
      <c r="B2301" s="50">
        <v>44377.0</v>
      </c>
      <c r="C2301" s="49" t="s">
        <v>78</v>
      </c>
      <c r="D2301" s="49">
        <v>0.0</v>
      </c>
    </row>
    <row r="2302" ht="15.0" hidden="1" customHeight="1">
      <c r="A2302" s="49" t="s">
        <v>192</v>
      </c>
      <c r="B2302" s="50">
        <v>44377.0</v>
      </c>
      <c r="C2302" s="49" t="s">
        <v>78</v>
      </c>
      <c r="D2302" s="49">
        <v>4125000.0</v>
      </c>
    </row>
    <row r="2303" ht="15.0" hidden="1" customHeight="1">
      <c r="A2303" s="49" t="s">
        <v>197</v>
      </c>
      <c r="B2303" s="50">
        <v>44377.0</v>
      </c>
      <c r="C2303" s="49" t="s">
        <v>78</v>
      </c>
      <c r="D2303" s="49">
        <v>630924.61</v>
      </c>
    </row>
    <row r="2304" ht="15.0" hidden="1" customHeight="1">
      <c r="A2304" s="49" t="s">
        <v>202</v>
      </c>
      <c r="B2304" s="50">
        <v>44377.0</v>
      </c>
      <c r="C2304" s="49" t="s">
        <v>78</v>
      </c>
      <c r="D2304" s="49">
        <v>3788001.31</v>
      </c>
    </row>
    <row r="2305" ht="15.0" hidden="1" customHeight="1">
      <c r="A2305" s="49" t="s">
        <v>206</v>
      </c>
      <c r="B2305" s="50">
        <v>44377.0</v>
      </c>
      <c r="C2305" s="49" t="s">
        <v>78</v>
      </c>
      <c r="D2305" s="49">
        <v>110000.0</v>
      </c>
    </row>
    <row r="2306" ht="15.0" hidden="1" customHeight="1">
      <c r="A2306" s="49" t="s">
        <v>211</v>
      </c>
      <c r="B2306" s="50">
        <v>44377.0</v>
      </c>
      <c r="C2306" s="49" t="s">
        <v>78</v>
      </c>
      <c r="D2306" s="49">
        <v>750000.0</v>
      </c>
    </row>
    <row r="2307" ht="15.0" hidden="1" customHeight="1">
      <c r="A2307" s="49" t="s">
        <v>779</v>
      </c>
      <c r="B2307" s="50">
        <v>44377.0</v>
      </c>
      <c r="C2307" s="49" t="s">
        <v>78</v>
      </c>
      <c r="D2307" s="49">
        <v>0.0</v>
      </c>
    </row>
    <row r="2308" ht="15.0" hidden="1" customHeight="1">
      <c r="A2308" s="49" t="s">
        <v>221</v>
      </c>
      <c r="B2308" s="50">
        <v>44377.0</v>
      </c>
      <c r="C2308" s="49" t="s">
        <v>78</v>
      </c>
      <c r="D2308" s="49">
        <v>0.0</v>
      </c>
    </row>
    <row r="2309" ht="15.0" hidden="1" customHeight="1">
      <c r="A2309" s="49" t="s">
        <v>226</v>
      </c>
      <c r="B2309" s="50">
        <v>44377.0</v>
      </c>
      <c r="C2309" s="49" t="s">
        <v>78</v>
      </c>
      <c r="D2309" s="49">
        <v>0.0</v>
      </c>
    </row>
    <row r="2310" ht="15.0" hidden="1" customHeight="1">
      <c r="A2310" s="49" t="s">
        <v>231</v>
      </c>
      <c r="B2310" s="50">
        <v>44377.0</v>
      </c>
      <c r="C2310" s="49" t="s">
        <v>78</v>
      </c>
      <c r="D2310" s="49">
        <v>0.0</v>
      </c>
    </row>
    <row r="2311" ht="15.0" hidden="1" customHeight="1">
      <c r="A2311" s="49" t="s">
        <v>236</v>
      </c>
      <c r="B2311" s="50">
        <v>44377.0</v>
      </c>
      <c r="C2311" s="49" t="s">
        <v>78</v>
      </c>
      <c r="D2311" s="49">
        <v>0.0</v>
      </c>
    </row>
    <row r="2312" ht="15.0" hidden="1" customHeight="1">
      <c r="A2312" s="49" t="s">
        <v>242</v>
      </c>
      <c r="B2312" s="50">
        <v>44377.0</v>
      </c>
      <c r="C2312" s="49" t="s">
        <v>78</v>
      </c>
      <c r="D2312" s="49">
        <v>0.0</v>
      </c>
    </row>
    <row r="2313" ht="15.0" hidden="1" customHeight="1">
      <c r="A2313" s="49" t="s">
        <v>248</v>
      </c>
      <c r="B2313" s="50">
        <v>44377.0</v>
      </c>
      <c r="C2313" s="49" t="s">
        <v>78</v>
      </c>
      <c r="D2313" s="49">
        <v>0.0</v>
      </c>
    </row>
    <row r="2314" ht="15.0" hidden="1" customHeight="1">
      <c r="A2314" s="49" t="s">
        <v>253</v>
      </c>
      <c r="B2314" s="50">
        <v>44377.0</v>
      </c>
      <c r="C2314" s="49" t="s">
        <v>78</v>
      </c>
      <c r="D2314" s="49">
        <v>2715649.0</v>
      </c>
    </row>
    <row r="2315" ht="15.0" hidden="1" customHeight="1">
      <c r="A2315" s="49" t="s">
        <v>258</v>
      </c>
      <c r="B2315" s="50">
        <v>44377.0</v>
      </c>
      <c r="C2315" s="49" t="s">
        <v>78</v>
      </c>
      <c r="D2315" s="49">
        <v>0.0</v>
      </c>
    </row>
    <row r="2316" ht="15.0" hidden="1" customHeight="1">
      <c r="A2316" s="49" t="s">
        <v>263</v>
      </c>
      <c r="B2316" s="50">
        <v>44377.0</v>
      </c>
      <c r="C2316" s="49" t="s">
        <v>78</v>
      </c>
      <c r="D2316" s="49">
        <v>0.0</v>
      </c>
    </row>
    <row r="2317" ht="15.0" hidden="1" customHeight="1">
      <c r="A2317" s="49" t="s">
        <v>268</v>
      </c>
      <c r="B2317" s="50">
        <v>44377.0</v>
      </c>
      <c r="C2317" s="49" t="s">
        <v>78</v>
      </c>
      <c r="D2317" s="49">
        <v>0.0</v>
      </c>
    </row>
    <row r="2318" ht="15.0" hidden="1" customHeight="1">
      <c r="A2318" s="49" t="s">
        <v>273</v>
      </c>
      <c r="B2318" s="50">
        <v>44377.0</v>
      </c>
      <c r="C2318" s="49" t="s">
        <v>78</v>
      </c>
      <c r="D2318" s="49">
        <v>0.0</v>
      </c>
    </row>
    <row r="2319" ht="15.0" hidden="1" customHeight="1">
      <c r="A2319" s="49" t="s">
        <v>278</v>
      </c>
      <c r="B2319" s="50">
        <v>44377.0</v>
      </c>
      <c r="C2319" s="49" t="s">
        <v>78</v>
      </c>
      <c r="D2319" s="49">
        <v>0.0</v>
      </c>
    </row>
    <row r="2320" ht="15.0" hidden="1" customHeight="1">
      <c r="A2320" s="49" t="s">
        <v>283</v>
      </c>
      <c r="B2320" s="50">
        <v>44377.0</v>
      </c>
      <c r="C2320" s="49" t="s">
        <v>78</v>
      </c>
      <c r="D2320" s="49">
        <v>0.0</v>
      </c>
    </row>
    <row r="2321" ht="15.0" hidden="1" customHeight="1">
      <c r="A2321" s="49" t="s">
        <v>288</v>
      </c>
      <c r="B2321" s="50">
        <v>44377.0</v>
      </c>
      <c r="C2321" s="49" t="s">
        <v>78</v>
      </c>
      <c r="D2321" s="49">
        <v>0.0</v>
      </c>
    </row>
    <row r="2322" ht="15.0" hidden="1" customHeight="1">
      <c r="A2322" s="49" t="s">
        <v>293</v>
      </c>
      <c r="B2322" s="50">
        <v>44377.0</v>
      </c>
      <c r="C2322" s="49" t="s">
        <v>78</v>
      </c>
      <c r="D2322" s="49">
        <v>0.0</v>
      </c>
    </row>
    <row r="2323" ht="15.0" hidden="1" customHeight="1">
      <c r="A2323" s="49" t="s">
        <v>298</v>
      </c>
      <c r="B2323" s="50">
        <v>44377.0</v>
      </c>
      <c r="C2323" s="49" t="s">
        <v>78</v>
      </c>
      <c r="D2323" s="49">
        <v>0.0</v>
      </c>
    </row>
    <row r="2324" ht="15.0" hidden="1" customHeight="1">
      <c r="A2324" s="49" t="s">
        <v>303</v>
      </c>
      <c r="B2324" s="50">
        <v>44377.0</v>
      </c>
      <c r="C2324" s="49" t="s">
        <v>78</v>
      </c>
      <c r="D2324" s="49">
        <v>0.0</v>
      </c>
    </row>
    <row r="2325" ht="15.0" hidden="1" customHeight="1">
      <c r="A2325" s="49" t="s">
        <v>307</v>
      </c>
      <c r="B2325" s="50">
        <v>44377.0</v>
      </c>
      <c r="C2325" s="49" t="s">
        <v>78</v>
      </c>
      <c r="D2325" s="49">
        <v>0.0</v>
      </c>
    </row>
    <row r="2326" ht="15.0" hidden="1" customHeight="1">
      <c r="A2326" s="49" t="s">
        <v>313</v>
      </c>
      <c r="B2326" s="50">
        <v>44377.0</v>
      </c>
      <c r="C2326" s="49" t="s">
        <v>78</v>
      </c>
      <c r="D2326" s="49">
        <v>0.0</v>
      </c>
    </row>
    <row r="2327" ht="15.0" hidden="1" customHeight="1">
      <c r="A2327" s="49" t="s">
        <v>318</v>
      </c>
      <c r="B2327" s="50">
        <v>44377.0</v>
      </c>
      <c r="C2327" s="49" t="s">
        <v>78</v>
      </c>
      <c r="D2327" s="49">
        <v>0.0</v>
      </c>
    </row>
    <row r="2328" ht="15.0" hidden="1" customHeight="1">
      <c r="A2328" s="49" t="s">
        <v>323</v>
      </c>
      <c r="B2328" s="50">
        <v>44377.0</v>
      </c>
      <c r="C2328" s="49" t="s">
        <v>78</v>
      </c>
      <c r="D2328" s="49">
        <v>0.0</v>
      </c>
    </row>
    <row r="2329" ht="15.0" hidden="1" customHeight="1">
      <c r="A2329" s="49" t="s">
        <v>328</v>
      </c>
      <c r="B2329" s="50">
        <v>44377.0</v>
      </c>
      <c r="C2329" s="49" t="s">
        <v>78</v>
      </c>
      <c r="D2329" s="49">
        <v>0.0</v>
      </c>
    </row>
    <row r="2330" ht="15.0" hidden="1" customHeight="1">
      <c r="A2330" s="49" t="s">
        <v>335</v>
      </c>
      <c r="B2330" s="50">
        <v>44377.0</v>
      </c>
      <c r="C2330" s="49" t="s">
        <v>78</v>
      </c>
      <c r="D2330" s="49">
        <v>0.0</v>
      </c>
    </row>
    <row r="2331" ht="15.0" hidden="1" customHeight="1">
      <c r="A2331" s="49" t="s">
        <v>340</v>
      </c>
      <c r="B2331" s="50">
        <v>44377.0</v>
      </c>
      <c r="C2331" s="49" t="s">
        <v>78</v>
      </c>
      <c r="D2331" s="49">
        <v>0.0</v>
      </c>
    </row>
    <row r="2332" ht="15.0" hidden="1" customHeight="1">
      <c r="A2332" s="49" t="s">
        <v>345</v>
      </c>
      <c r="B2332" s="50">
        <v>44377.0</v>
      </c>
      <c r="C2332" s="49" t="s">
        <v>78</v>
      </c>
      <c r="D2332" s="49">
        <v>0.0</v>
      </c>
    </row>
    <row r="2333" ht="15.0" hidden="1" customHeight="1">
      <c r="A2333" s="49" t="s">
        <v>350</v>
      </c>
      <c r="B2333" s="50">
        <v>44377.0</v>
      </c>
      <c r="C2333" s="49" t="s">
        <v>78</v>
      </c>
      <c r="D2333" s="49">
        <v>0.0</v>
      </c>
    </row>
    <row r="2334" ht="15.0" hidden="1" customHeight="1">
      <c r="A2334" s="49" t="s">
        <v>355</v>
      </c>
      <c r="B2334" s="50">
        <v>44377.0</v>
      </c>
      <c r="C2334" s="49" t="s">
        <v>78</v>
      </c>
      <c r="D2334" s="49">
        <v>0.0</v>
      </c>
    </row>
    <row r="2335" ht="15.0" hidden="1" customHeight="1">
      <c r="A2335" s="49" t="s">
        <v>360</v>
      </c>
      <c r="B2335" s="50">
        <v>44377.0</v>
      </c>
      <c r="C2335" s="49" t="s">
        <v>78</v>
      </c>
      <c r="D2335" s="49">
        <v>0.0</v>
      </c>
    </row>
    <row r="2336" ht="15.0" hidden="1" customHeight="1">
      <c r="A2336" s="49" t="s">
        <v>365</v>
      </c>
      <c r="B2336" s="50">
        <v>44377.0</v>
      </c>
      <c r="C2336" s="49" t="s">
        <v>78</v>
      </c>
      <c r="D2336" s="49">
        <v>0.0</v>
      </c>
    </row>
    <row r="2337" ht="15.0" hidden="1" customHeight="1">
      <c r="A2337" s="49" t="s">
        <v>370</v>
      </c>
      <c r="B2337" s="50">
        <v>44377.0</v>
      </c>
      <c r="C2337" s="49" t="s">
        <v>78</v>
      </c>
      <c r="D2337" s="49">
        <v>0.0</v>
      </c>
    </row>
    <row r="2338" ht="15.0" hidden="1" customHeight="1">
      <c r="A2338" s="49" t="s">
        <v>375</v>
      </c>
      <c r="B2338" s="50">
        <v>44377.0</v>
      </c>
      <c r="C2338" s="49" t="s">
        <v>78</v>
      </c>
      <c r="D2338" s="49">
        <v>0.0</v>
      </c>
    </row>
    <row r="2339" ht="15.0" hidden="1" customHeight="1">
      <c r="A2339" s="49" t="s">
        <v>380</v>
      </c>
      <c r="B2339" s="50">
        <v>44377.0</v>
      </c>
      <c r="C2339" s="49" t="s">
        <v>78</v>
      </c>
      <c r="D2339" s="49">
        <v>0.0</v>
      </c>
    </row>
    <row r="2340" ht="15.0" hidden="1" customHeight="1">
      <c r="A2340" s="49" t="s">
        <v>385</v>
      </c>
      <c r="B2340" s="50">
        <v>44377.0</v>
      </c>
      <c r="C2340" s="49" t="s">
        <v>78</v>
      </c>
      <c r="D2340" s="49">
        <v>0.0</v>
      </c>
    </row>
    <row r="2341" ht="15.0" hidden="1" customHeight="1">
      <c r="A2341" s="49" t="s">
        <v>390</v>
      </c>
      <c r="B2341" s="50">
        <v>44377.0</v>
      </c>
      <c r="C2341" s="49" t="s">
        <v>78</v>
      </c>
      <c r="D2341" s="49">
        <v>0.0</v>
      </c>
    </row>
    <row r="2342" ht="15.0" hidden="1" customHeight="1">
      <c r="A2342" s="49" t="s">
        <v>395</v>
      </c>
      <c r="B2342" s="50">
        <v>44377.0</v>
      </c>
      <c r="C2342" s="49" t="s">
        <v>78</v>
      </c>
      <c r="D2342" s="49">
        <v>0.0</v>
      </c>
    </row>
    <row r="2343" ht="15.0" hidden="1" customHeight="1">
      <c r="A2343" s="49" t="s">
        <v>400</v>
      </c>
      <c r="B2343" s="50">
        <v>44377.0</v>
      </c>
      <c r="C2343" s="49" t="s">
        <v>78</v>
      </c>
      <c r="D2343" s="49">
        <v>0.0</v>
      </c>
    </row>
    <row r="2344" ht="15.0" hidden="1" customHeight="1">
      <c r="A2344" s="49" t="s">
        <v>405</v>
      </c>
      <c r="B2344" s="50">
        <v>44377.0</v>
      </c>
      <c r="C2344" s="49" t="s">
        <v>78</v>
      </c>
      <c r="D2344" s="49">
        <v>0.0</v>
      </c>
    </row>
    <row r="2345" ht="15.0" hidden="1" customHeight="1">
      <c r="A2345" s="49" t="s">
        <v>410</v>
      </c>
      <c r="B2345" s="50">
        <v>44377.0</v>
      </c>
      <c r="C2345" s="49" t="s">
        <v>78</v>
      </c>
      <c r="D2345" s="49">
        <v>0.0</v>
      </c>
    </row>
    <row r="2346" ht="15.0" hidden="1" customHeight="1">
      <c r="A2346" s="49" t="s">
        <v>415</v>
      </c>
      <c r="B2346" s="50">
        <v>44377.0</v>
      </c>
      <c r="C2346" s="49" t="s">
        <v>78</v>
      </c>
      <c r="D2346" s="49">
        <v>0.0</v>
      </c>
    </row>
    <row r="2347" ht="15.0" hidden="1" customHeight="1">
      <c r="A2347" s="49" t="s">
        <v>420</v>
      </c>
      <c r="B2347" s="50">
        <v>44377.0</v>
      </c>
      <c r="C2347" s="49" t="s">
        <v>78</v>
      </c>
      <c r="D2347" s="49">
        <v>0.0</v>
      </c>
    </row>
    <row r="2348" ht="15.0" hidden="1" customHeight="1">
      <c r="A2348" s="49" t="s">
        <v>425</v>
      </c>
      <c r="B2348" s="50">
        <v>44377.0</v>
      </c>
      <c r="C2348" s="49" t="s">
        <v>78</v>
      </c>
      <c r="D2348" s="49">
        <v>0.0</v>
      </c>
    </row>
    <row r="2349" ht="15.0" hidden="1" customHeight="1">
      <c r="A2349" s="49" t="s">
        <v>430</v>
      </c>
      <c r="B2349" s="50">
        <v>44377.0</v>
      </c>
      <c r="C2349" s="49" t="s">
        <v>78</v>
      </c>
      <c r="D2349" s="49">
        <v>0.0</v>
      </c>
    </row>
    <row r="2350" ht="15.0" hidden="1" customHeight="1">
      <c r="A2350" s="49" t="s">
        <v>434</v>
      </c>
      <c r="B2350" s="50">
        <v>44377.0</v>
      </c>
      <c r="C2350" s="49" t="s">
        <v>78</v>
      </c>
      <c r="D2350" s="49">
        <v>0.0</v>
      </c>
    </row>
    <row r="2351" ht="15.0" hidden="1" customHeight="1">
      <c r="A2351" s="49" t="s">
        <v>439</v>
      </c>
      <c r="B2351" s="50">
        <v>44377.0</v>
      </c>
      <c r="C2351" s="49" t="s">
        <v>78</v>
      </c>
      <c r="D2351" s="49">
        <v>0.0</v>
      </c>
    </row>
    <row r="2352" ht="15.0" hidden="1" customHeight="1">
      <c r="A2352" s="49" t="s">
        <v>444</v>
      </c>
      <c r="B2352" s="50">
        <v>44377.0</v>
      </c>
      <c r="C2352" s="49" t="s">
        <v>78</v>
      </c>
      <c r="D2352" s="49">
        <v>0.0</v>
      </c>
    </row>
    <row r="2353" ht="15.0" hidden="1" customHeight="1">
      <c r="A2353" s="49" t="s">
        <v>449</v>
      </c>
      <c r="B2353" s="50">
        <v>44377.0</v>
      </c>
      <c r="C2353" s="49" t="s">
        <v>78</v>
      </c>
      <c r="D2353" s="49">
        <v>0.0</v>
      </c>
    </row>
    <row r="2354" ht="15.0" hidden="1" customHeight="1">
      <c r="A2354" s="49" t="s">
        <v>455</v>
      </c>
      <c r="B2354" s="50">
        <v>44377.0</v>
      </c>
      <c r="C2354" s="49" t="s">
        <v>78</v>
      </c>
      <c r="D2354" s="49">
        <v>0.0</v>
      </c>
    </row>
    <row r="2355" ht="15.0" hidden="1" customHeight="1">
      <c r="A2355" s="49" t="s">
        <v>470</v>
      </c>
      <c r="B2355" s="50">
        <v>44377.0</v>
      </c>
      <c r="C2355" s="49" t="s">
        <v>78</v>
      </c>
      <c r="D2355" s="49">
        <v>0.0</v>
      </c>
    </row>
    <row r="2356" ht="15.0" hidden="1" customHeight="1">
      <c r="A2356" s="49" t="s">
        <v>476</v>
      </c>
      <c r="B2356" s="50">
        <v>44377.0</v>
      </c>
      <c r="C2356" s="49" t="s">
        <v>78</v>
      </c>
      <c r="D2356" s="49">
        <v>0.0</v>
      </c>
    </row>
    <row r="2357" ht="15.0" hidden="1" customHeight="1">
      <c r="A2357" s="49" t="s">
        <v>481</v>
      </c>
      <c r="B2357" s="50">
        <v>44377.0</v>
      </c>
      <c r="C2357" s="49" t="s">
        <v>78</v>
      </c>
      <c r="D2357" s="49">
        <v>0.0</v>
      </c>
    </row>
    <row r="2358" ht="15.0" hidden="1" customHeight="1">
      <c r="A2358" s="49" t="s">
        <v>486</v>
      </c>
      <c r="B2358" s="50">
        <v>44377.0</v>
      </c>
      <c r="C2358" s="49" t="s">
        <v>78</v>
      </c>
      <c r="D2358" s="49">
        <v>0.0</v>
      </c>
    </row>
    <row r="2359" ht="15.0" hidden="1" customHeight="1">
      <c r="A2359" s="49" t="s">
        <v>491</v>
      </c>
      <c r="B2359" s="50">
        <v>44377.0</v>
      </c>
      <c r="C2359" s="49" t="s">
        <v>78</v>
      </c>
      <c r="D2359" s="49">
        <v>0.0</v>
      </c>
    </row>
    <row r="2360" ht="15.0" hidden="1" customHeight="1">
      <c r="A2360" s="49" t="s">
        <v>496</v>
      </c>
      <c r="B2360" s="50">
        <v>44377.0</v>
      </c>
      <c r="C2360" s="49" t="s">
        <v>78</v>
      </c>
      <c r="D2360" s="49">
        <v>0.0</v>
      </c>
    </row>
    <row r="2361" ht="15.0" hidden="1" customHeight="1">
      <c r="A2361" s="49" t="s">
        <v>501</v>
      </c>
      <c r="B2361" s="50">
        <v>44377.0</v>
      </c>
      <c r="C2361" s="49" t="s">
        <v>78</v>
      </c>
      <c r="D2361" s="49">
        <v>0.0</v>
      </c>
    </row>
    <row r="2362" ht="15.0" hidden="1" customHeight="1">
      <c r="A2362" s="49" t="s">
        <v>506</v>
      </c>
      <c r="B2362" s="50">
        <v>44377.0</v>
      </c>
      <c r="C2362" s="49" t="s">
        <v>78</v>
      </c>
      <c r="D2362" s="49">
        <v>0.0</v>
      </c>
    </row>
    <row r="2363" ht="15.0" hidden="1" customHeight="1">
      <c r="A2363" s="49" t="s">
        <v>512</v>
      </c>
      <c r="B2363" s="50">
        <v>44377.0</v>
      </c>
      <c r="C2363" s="49" t="s">
        <v>78</v>
      </c>
      <c r="D2363" s="49">
        <v>0.0</v>
      </c>
    </row>
    <row r="2364" ht="15.0" hidden="1" customHeight="1">
      <c r="A2364" s="49" t="s">
        <v>517</v>
      </c>
      <c r="B2364" s="50">
        <v>44377.0</v>
      </c>
      <c r="C2364" s="49" t="s">
        <v>78</v>
      </c>
      <c r="D2364" s="49">
        <v>0.0</v>
      </c>
    </row>
    <row r="2365" ht="15.0" hidden="1" customHeight="1">
      <c r="A2365" s="49" t="s">
        <v>522</v>
      </c>
      <c r="B2365" s="50">
        <v>44377.0</v>
      </c>
      <c r="C2365" s="49" t="s">
        <v>78</v>
      </c>
      <c r="D2365" s="49">
        <v>0.0</v>
      </c>
    </row>
    <row r="2366" ht="15.0" hidden="1" customHeight="1">
      <c r="A2366" s="49" t="s">
        <v>528</v>
      </c>
      <c r="B2366" s="50">
        <v>44377.0</v>
      </c>
      <c r="C2366" s="49" t="s">
        <v>78</v>
      </c>
      <c r="D2366" s="49">
        <v>0.0</v>
      </c>
    </row>
    <row r="2367" ht="15.0" hidden="1" customHeight="1">
      <c r="A2367" s="49" t="s">
        <v>533</v>
      </c>
      <c r="B2367" s="50">
        <v>44377.0</v>
      </c>
      <c r="C2367" s="49" t="s">
        <v>78</v>
      </c>
      <c r="D2367" s="49">
        <v>0.0</v>
      </c>
    </row>
    <row r="2368" ht="15.0" hidden="1" customHeight="1">
      <c r="A2368" s="49" t="s">
        <v>538</v>
      </c>
      <c r="B2368" s="50">
        <v>44377.0</v>
      </c>
      <c r="C2368" s="49" t="s">
        <v>78</v>
      </c>
      <c r="D2368" s="49">
        <v>0.0</v>
      </c>
    </row>
    <row r="2369" ht="15.0" hidden="1" customHeight="1">
      <c r="A2369" s="49" t="s">
        <v>546</v>
      </c>
      <c r="B2369" s="50">
        <v>44377.0</v>
      </c>
      <c r="C2369" s="49" t="s">
        <v>78</v>
      </c>
      <c r="D2369" s="49">
        <v>0.0</v>
      </c>
    </row>
    <row r="2370" ht="15.0" hidden="1" customHeight="1">
      <c r="A2370" s="49" t="s">
        <v>551</v>
      </c>
      <c r="B2370" s="50">
        <v>44377.0</v>
      </c>
      <c r="C2370" s="49" t="s">
        <v>78</v>
      </c>
      <c r="D2370" s="49">
        <v>0.0</v>
      </c>
    </row>
    <row r="2371" ht="15.0" hidden="1" customHeight="1">
      <c r="A2371" s="49" t="s">
        <v>556</v>
      </c>
      <c r="B2371" s="50">
        <v>44377.0</v>
      </c>
      <c r="C2371" s="49" t="s">
        <v>78</v>
      </c>
      <c r="D2371" s="49">
        <v>0.0</v>
      </c>
    </row>
    <row r="2372" ht="15.0" hidden="1" customHeight="1">
      <c r="A2372" s="49" t="s">
        <v>561</v>
      </c>
      <c r="B2372" s="50">
        <v>44377.0</v>
      </c>
      <c r="C2372" s="49" t="s">
        <v>78</v>
      </c>
      <c r="D2372" s="49">
        <v>0.0</v>
      </c>
    </row>
    <row r="2373" ht="15.0" hidden="1" customHeight="1">
      <c r="A2373" s="49" t="s">
        <v>566</v>
      </c>
      <c r="B2373" s="50">
        <v>44377.0</v>
      </c>
      <c r="C2373" s="49" t="s">
        <v>78</v>
      </c>
      <c r="D2373" s="49">
        <v>0.0</v>
      </c>
    </row>
    <row r="2374" ht="15.0" hidden="1" customHeight="1">
      <c r="A2374" s="49" t="s">
        <v>571</v>
      </c>
      <c r="B2374" s="50">
        <v>44377.0</v>
      </c>
      <c r="C2374" s="49" t="s">
        <v>78</v>
      </c>
      <c r="D2374" s="49">
        <v>0.0</v>
      </c>
    </row>
    <row r="2375" ht="15.0" hidden="1" customHeight="1">
      <c r="A2375" s="49" t="s">
        <v>576</v>
      </c>
      <c r="B2375" s="50">
        <v>44377.0</v>
      </c>
      <c r="C2375" s="49" t="s">
        <v>78</v>
      </c>
      <c r="D2375" s="49">
        <v>0.0</v>
      </c>
    </row>
    <row r="2376" ht="15.0" hidden="1" customHeight="1">
      <c r="A2376" s="49" t="s">
        <v>581</v>
      </c>
      <c r="B2376" s="50">
        <v>44377.0</v>
      </c>
      <c r="C2376" s="49" t="s">
        <v>78</v>
      </c>
      <c r="D2376" s="49">
        <v>0.0</v>
      </c>
    </row>
    <row r="2377" ht="15.0" hidden="1" customHeight="1">
      <c r="A2377" s="49" t="s">
        <v>586</v>
      </c>
      <c r="B2377" s="50">
        <v>44377.0</v>
      </c>
      <c r="C2377" s="49" t="s">
        <v>78</v>
      </c>
      <c r="D2377" s="49">
        <v>0.0</v>
      </c>
    </row>
    <row r="2378" ht="15.0" hidden="1" customHeight="1">
      <c r="A2378" s="49" t="s">
        <v>754</v>
      </c>
      <c r="B2378" s="50">
        <v>44377.0</v>
      </c>
      <c r="C2378" s="49" t="s">
        <v>78</v>
      </c>
      <c r="D2378" s="49">
        <v>0.0</v>
      </c>
    </row>
    <row r="2379" ht="15.0" hidden="1" customHeight="1">
      <c r="A2379" s="49" t="s">
        <v>591</v>
      </c>
      <c r="B2379" s="50">
        <v>44377.0</v>
      </c>
      <c r="C2379" s="49" t="s">
        <v>78</v>
      </c>
      <c r="D2379" s="49">
        <v>0.0</v>
      </c>
    </row>
    <row r="2380" ht="15.0" hidden="1" customHeight="1">
      <c r="A2380" s="49" t="s">
        <v>759</v>
      </c>
      <c r="B2380" s="50">
        <v>44377.0</v>
      </c>
      <c r="C2380" s="49" t="s">
        <v>78</v>
      </c>
      <c r="D2380" s="49">
        <v>0.0</v>
      </c>
    </row>
    <row r="2381" ht="15.0" hidden="1" customHeight="1">
      <c r="A2381" s="49" t="s">
        <v>596</v>
      </c>
      <c r="B2381" s="50">
        <v>44377.0</v>
      </c>
      <c r="C2381" s="49" t="s">
        <v>78</v>
      </c>
      <c r="D2381" s="49">
        <v>0.0</v>
      </c>
    </row>
    <row r="2382" ht="15.0" hidden="1" customHeight="1">
      <c r="A2382" s="49" t="s">
        <v>602</v>
      </c>
      <c r="B2382" s="50">
        <v>44377.0</v>
      </c>
      <c r="C2382" s="49" t="s">
        <v>78</v>
      </c>
      <c r="D2382" s="49">
        <v>0.0</v>
      </c>
    </row>
    <row r="2383" ht="15.0" hidden="1" customHeight="1">
      <c r="A2383" s="49" t="s">
        <v>607</v>
      </c>
      <c r="B2383" s="50">
        <v>44377.0</v>
      </c>
      <c r="C2383" s="49" t="s">
        <v>78</v>
      </c>
      <c r="D2383" s="49">
        <v>0.0</v>
      </c>
    </row>
    <row r="2384" ht="15.0" hidden="1" customHeight="1">
      <c r="A2384" s="49" t="s">
        <v>612</v>
      </c>
      <c r="B2384" s="50">
        <v>44377.0</v>
      </c>
      <c r="C2384" s="49" t="s">
        <v>78</v>
      </c>
      <c r="D2384" s="49">
        <v>0.0</v>
      </c>
    </row>
    <row r="2385" ht="15.0" hidden="1" customHeight="1">
      <c r="A2385" s="49" t="s">
        <v>617</v>
      </c>
      <c r="B2385" s="50">
        <v>44377.0</v>
      </c>
      <c r="C2385" s="49" t="s">
        <v>78</v>
      </c>
      <c r="D2385" s="49">
        <v>0.0</v>
      </c>
    </row>
    <row r="2386" ht="15.0" hidden="1" customHeight="1">
      <c r="A2386" s="49" t="s">
        <v>622</v>
      </c>
      <c r="B2386" s="50">
        <v>44377.0</v>
      </c>
      <c r="C2386" s="49" t="s">
        <v>78</v>
      </c>
      <c r="D2386" s="49">
        <v>0.0</v>
      </c>
    </row>
    <row r="2387" ht="15.0" hidden="1" customHeight="1">
      <c r="A2387" s="49" t="s">
        <v>627</v>
      </c>
      <c r="B2387" s="50">
        <v>44377.0</v>
      </c>
      <c r="C2387" s="49" t="s">
        <v>78</v>
      </c>
      <c r="D2387" s="49">
        <v>0.0</v>
      </c>
    </row>
    <row r="2388" ht="15.0" hidden="1" customHeight="1">
      <c r="A2388" s="49" t="s">
        <v>631</v>
      </c>
      <c r="B2388" s="50">
        <v>44377.0</v>
      </c>
      <c r="C2388" s="49" t="s">
        <v>78</v>
      </c>
      <c r="D2388" s="49">
        <v>0.0</v>
      </c>
    </row>
    <row r="2389" ht="15.0" hidden="1" customHeight="1">
      <c r="A2389" s="49" t="s">
        <v>636</v>
      </c>
      <c r="B2389" s="50">
        <v>44377.0</v>
      </c>
      <c r="C2389" s="49" t="s">
        <v>78</v>
      </c>
      <c r="D2389" s="49">
        <v>0.0</v>
      </c>
    </row>
    <row r="2390" ht="15.0" hidden="1" customHeight="1">
      <c r="A2390" s="49" t="s">
        <v>640</v>
      </c>
      <c r="B2390" s="50">
        <v>44377.0</v>
      </c>
      <c r="C2390" s="49" t="s">
        <v>78</v>
      </c>
      <c r="D2390" s="49">
        <v>0.0</v>
      </c>
    </row>
    <row r="2391" ht="15.0" hidden="1" customHeight="1">
      <c r="A2391" s="49" t="s">
        <v>644</v>
      </c>
      <c r="B2391" s="50">
        <v>44377.0</v>
      </c>
      <c r="C2391" s="49" t="s">
        <v>78</v>
      </c>
      <c r="D2391" s="49">
        <v>0.0</v>
      </c>
    </row>
    <row r="2392" ht="15.0" hidden="1" customHeight="1">
      <c r="A2392" s="49" t="s">
        <v>649</v>
      </c>
      <c r="B2392" s="50">
        <v>44377.0</v>
      </c>
      <c r="C2392" s="49" t="s">
        <v>78</v>
      </c>
      <c r="D2392" s="49">
        <v>0.0</v>
      </c>
    </row>
    <row r="2393" ht="15.0" hidden="1" customHeight="1">
      <c r="A2393" s="49" t="s">
        <v>654</v>
      </c>
      <c r="B2393" s="50">
        <v>44377.0</v>
      </c>
      <c r="C2393" s="49" t="s">
        <v>78</v>
      </c>
      <c r="D2393" s="49">
        <v>0.0</v>
      </c>
    </row>
    <row r="2394" ht="15.0" hidden="1" customHeight="1">
      <c r="A2394" s="49" t="s">
        <v>659</v>
      </c>
      <c r="B2394" s="50">
        <v>44377.0</v>
      </c>
      <c r="C2394" s="49" t="s">
        <v>78</v>
      </c>
      <c r="D2394" s="49">
        <v>0.0</v>
      </c>
    </row>
    <row r="2395" ht="15.0" hidden="1" customHeight="1">
      <c r="A2395" s="49" t="s">
        <v>664</v>
      </c>
      <c r="B2395" s="50">
        <v>44377.0</v>
      </c>
      <c r="C2395" s="49" t="s">
        <v>78</v>
      </c>
      <c r="D2395" s="49">
        <v>0.0</v>
      </c>
    </row>
    <row r="2396" ht="15.0" hidden="1" customHeight="1">
      <c r="A2396" s="49" t="s">
        <v>669</v>
      </c>
      <c r="B2396" s="50">
        <v>44377.0</v>
      </c>
      <c r="C2396" s="49" t="s">
        <v>78</v>
      </c>
      <c r="D2396" s="49">
        <v>0.0</v>
      </c>
    </row>
    <row r="2397" ht="15.0" hidden="1" customHeight="1">
      <c r="A2397" s="49" t="s">
        <v>674</v>
      </c>
      <c r="B2397" s="50">
        <v>44377.0</v>
      </c>
      <c r="C2397" s="49" t="s">
        <v>78</v>
      </c>
      <c r="D2397" s="49">
        <v>0.0</v>
      </c>
    </row>
    <row r="2398" ht="15.0" hidden="1" customHeight="1">
      <c r="A2398" s="49" t="s">
        <v>679</v>
      </c>
      <c r="B2398" s="50">
        <v>44377.0</v>
      </c>
      <c r="C2398" s="49" t="s">
        <v>78</v>
      </c>
      <c r="D2398" s="49">
        <v>0.0</v>
      </c>
    </row>
    <row r="2399" ht="15.0" hidden="1" customHeight="1">
      <c r="A2399" s="49" t="s">
        <v>684</v>
      </c>
      <c r="B2399" s="50">
        <v>44377.0</v>
      </c>
      <c r="C2399" s="49" t="s">
        <v>78</v>
      </c>
      <c r="D2399" s="49">
        <v>0.0</v>
      </c>
    </row>
    <row r="2400" ht="15.0" hidden="1" customHeight="1">
      <c r="A2400" s="49" t="s">
        <v>689</v>
      </c>
      <c r="B2400" s="50">
        <v>44377.0</v>
      </c>
      <c r="C2400" s="49" t="s">
        <v>78</v>
      </c>
      <c r="D2400" s="49">
        <v>0.0</v>
      </c>
    </row>
    <row r="2401" ht="15.0" hidden="1" customHeight="1">
      <c r="A2401" s="49" t="s">
        <v>694</v>
      </c>
      <c r="B2401" s="50">
        <v>44377.0</v>
      </c>
      <c r="C2401" s="49" t="s">
        <v>78</v>
      </c>
      <c r="D2401" s="49">
        <v>0.0</v>
      </c>
    </row>
    <row r="2402" ht="15.0" hidden="1" customHeight="1">
      <c r="A2402" s="49" t="s">
        <v>699</v>
      </c>
      <c r="B2402" s="50">
        <v>44377.0</v>
      </c>
      <c r="C2402" s="49" t="s">
        <v>78</v>
      </c>
      <c r="D2402" s="49">
        <v>0.0</v>
      </c>
    </row>
    <row r="2403" ht="15.0" hidden="1" customHeight="1">
      <c r="A2403" s="49" t="s">
        <v>705</v>
      </c>
      <c r="B2403" s="50">
        <v>44377.0</v>
      </c>
      <c r="C2403" s="49" t="s">
        <v>78</v>
      </c>
      <c r="D2403" s="49">
        <v>0.0</v>
      </c>
    </row>
    <row r="2404" ht="15.0" hidden="1" customHeight="1">
      <c r="A2404" s="49" t="s">
        <v>710</v>
      </c>
      <c r="B2404" s="50">
        <v>44377.0</v>
      </c>
      <c r="C2404" s="49" t="s">
        <v>78</v>
      </c>
      <c r="D2404" s="49">
        <v>0.0</v>
      </c>
    </row>
    <row r="2405" ht="15.0" hidden="1" customHeight="1">
      <c r="A2405" s="49" t="s">
        <v>715</v>
      </c>
      <c r="B2405" s="50">
        <v>44377.0</v>
      </c>
      <c r="C2405" s="49" t="s">
        <v>78</v>
      </c>
      <c r="D2405" s="49">
        <v>0.0</v>
      </c>
    </row>
    <row r="2406" ht="15.0" hidden="1" customHeight="1">
      <c r="A2406" s="49" t="s">
        <v>765</v>
      </c>
      <c r="B2406" s="50">
        <v>44377.0</v>
      </c>
      <c r="C2406" s="49" t="s">
        <v>78</v>
      </c>
      <c r="D2406" s="49">
        <v>0.0</v>
      </c>
    </row>
    <row r="2407" ht="15.0" hidden="1" customHeight="1">
      <c r="A2407" s="49" t="s">
        <v>720</v>
      </c>
      <c r="B2407" s="50">
        <v>44377.0</v>
      </c>
      <c r="C2407" s="49" t="s">
        <v>78</v>
      </c>
      <c r="D2407" s="49">
        <v>0.0</v>
      </c>
    </row>
    <row r="2408" ht="15.0" hidden="1" customHeight="1">
      <c r="A2408" s="49" t="s">
        <v>725</v>
      </c>
      <c r="B2408" s="50">
        <v>44377.0</v>
      </c>
      <c r="C2408" s="49" t="s">
        <v>78</v>
      </c>
      <c r="D2408" s="49">
        <v>0.0</v>
      </c>
    </row>
    <row r="2409" ht="15.0" hidden="1" customHeight="1">
      <c r="A2409" s="49" t="s">
        <v>730</v>
      </c>
      <c r="B2409" s="50">
        <v>44377.0</v>
      </c>
      <c r="C2409" s="49" t="s">
        <v>78</v>
      </c>
      <c r="D2409" s="49">
        <v>0.0</v>
      </c>
    </row>
    <row r="2410" ht="15.0" hidden="1" customHeight="1">
      <c r="A2410" s="49" t="s">
        <v>734</v>
      </c>
      <c r="B2410" s="50">
        <v>44377.0</v>
      </c>
      <c r="C2410" s="49" t="s">
        <v>78</v>
      </c>
      <c r="D2410" s="49">
        <v>0.0</v>
      </c>
    </row>
    <row r="2411" ht="15.0" hidden="1" customHeight="1">
      <c r="A2411" s="49" t="s">
        <v>739</v>
      </c>
      <c r="B2411" s="50">
        <v>44377.0</v>
      </c>
      <c r="C2411" s="49" t="s">
        <v>78</v>
      </c>
      <c r="D2411" s="49">
        <v>0.0</v>
      </c>
    </row>
    <row r="2412" ht="15.0" hidden="1" customHeight="1">
      <c r="A2412" s="49" t="s">
        <v>744</v>
      </c>
      <c r="B2412" s="50">
        <v>44377.0</v>
      </c>
      <c r="C2412" s="49" t="s">
        <v>78</v>
      </c>
      <c r="D2412" s="49">
        <v>0.0</v>
      </c>
    </row>
    <row r="2413" ht="15.0" hidden="1" customHeight="1">
      <c r="A2413" s="49" t="s">
        <v>749</v>
      </c>
      <c r="B2413" s="50">
        <v>44377.0</v>
      </c>
      <c r="C2413" s="49" t="s">
        <v>78</v>
      </c>
      <c r="D2413" s="49">
        <v>0.0</v>
      </c>
    </row>
    <row r="2414" ht="15.0" customHeight="1">
      <c r="A2414" s="49" t="s">
        <v>776</v>
      </c>
      <c r="B2414" s="50">
        <v>44377.0</v>
      </c>
      <c r="C2414" s="49" t="s">
        <v>69</v>
      </c>
      <c r="D2414" s="49">
        <v>0.0</v>
      </c>
    </row>
    <row r="2415" ht="15.0" hidden="1" customHeight="1">
      <c r="A2415" s="49" t="s">
        <v>778</v>
      </c>
      <c r="B2415" s="50">
        <v>44377.0</v>
      </c>
      <c r="C2415" s="49" t="s">
        <v>69</v>
      </c>
      <c r="D2415" s="49">
        <v>0.0</v>
      </c>
    </row>
    <row r="2416" ht="15.0" hidden="1" customHeight="1">
      <c r="A2416" s="49" t="s">
        <v>92</v>
      </c>
      <c r="B2416" s="50">
        <v>44377.0</v>
      </c>
      <c r="C2416" s="49" t="s">
        <v>69</v>
      </c>
      <c r="D2416" s="49">
        <v>0.0</v>
      </c>
    </row>
    <row r="2417" ht="15.0" hidden="1" customHeight="1">
      <c r="A2417" s="49" t="s">
        <v>97</v>
      </c>
      <c r="B2417" s="50">
        <v>44377.0</v>
      </c>
      <c r="C2417" s="49" t="s">
        <v>69</v>
      </c>
      <c r="D2417" s="49">
        <v>0.0</v>
      </c>
    </row>
    <row r="2418" ht="15.0" hidden="1" customHeight="1">
      <c r="A2418" s="49" t="s">
        <v>102</v>
      </c>
      <c r="B2418" s="50">
        <v>44377.0</v>
      </c>
      <c r="C2418" s="49" t="s">
        <v>69</v>
      </c>
      <c r="D2418" s="49">
        <v>0.0</v>
      </c>
    </row>
    <row r="2419" ht="15.0" hidden="1" customHeight="1">
      <c r="A2419" s="49" t="s">
        <v>106</v>
      </c>
      <c r="B2419" s="50">
        <v>44377.0</v>
      </c>
      <c r="C2419" s="49" t="s">
        <v>69</v>
      </c>
      <c r="D2419" s="49">
        <v>0.0</v>
      </c>
    </row>
    <row r="2420" ht="15.0" hidden="1" customHeight="1">
      <c r="A2420" s="49" t="s">
        <v>111</v>
      </c>
      <c r="B2420" s="50">
        <v>44377.0</v>
      </c>
      <c r="C2420" s="49" t="s">
        <v>69</v>
      </c>
      <c r="D2420" s="49">
        <v>0.0</v>
      </c>
    </row>
    <row r="2421" ht="15.0" hidden="1" customHeight="1">
      <c r="A2421" s="49" t="s">
        <v>116</v>
      </c>
      <c r="B2421" s="50">
        <v>44377.0</v>
      </c>
      <c r="C2421" s="49" t="s">
        <v>69</v>
      </c>
      <c r="D2421" s="49">
        <v>0.0</v>
      </c>
    </row>
    <row r="2422" ht="15.0" hidden="1" customHeight="1">
      <c r="A2422" s="49" t="s">
        <v>120</v>
      </c>
      <c r="B2422" s="50">
        <v>44377.0</v>
      </c>
      <c r="C2422" s="49" t="s">
        <v>69</v>
      </c>
      <c r="D2422" s="49">
        <v>0.0</v>
      </c>
    </row>
    <row r="2423" ht="15.0" hidden="1" customHeight="1">
      <c r="A2423" s="49" t="s">
        <v>125</v>
      </c>
      <c r="B2423" s="50">
        <v>44377.0</v>
      </c>
      <c r="C2423" s="49" t="s">
        <v>69</v>
      </c>
      <c r="D2423" s="49">
        <v>0.0</v>
      </c>
    </row>
    <row r="2424" ht="15.0" hidden="1" customHeight="1">
      <c r="A2424" s="49" t="s">
        <v>130</v>
      </c>
      <c r="B2424" s="50">
        <v>44377.0</v>
      </c>
      <c r="C2424" s="49" t="s">
        <v>69</v>
      </c>
      <c r="D2424" s="49">
        <v>0.0</v>
      </c>
    </row>
    <row r="2425" ht="15.0" hidden="1" customHeight="1">
      <c r="A2425" s="49" t="s">
        <v>137</v>
      </c>
      <c r="B2425" s="50">
        <v>44377.0</v>
      </c>
      <c r="C2425" s="49" t="s">
        <v>69</v>
      </c>
      <c r="D2425" s="49">
        <v>0.0</v>
      </c>
    </row>
    <row r="2426" ht="15.0" hidden="1" customHeight="1">
      <c r="A2426" s="49" t="s">
        <v>142</v>
      </c>
      <c r="B2426" s="50">
        <v>44377.0</v>
      </c>
      <c r="C2426" s="49" t="s">
        <v>69</v>
      </c>
      <c r="D2426" s="49">
        <v>0.0</v>
      </c>
    </row>
    <row r="2427" ht="15.0" hidden="1" customHeight="1">
      <c r="A2427" s="49" t="s">
        <v>147</v>
      </c>
      <c r="B2427" s="50">
        <v>44377.0</v>
      </c>
      <c r="C2427" s="49" t="s">
        <v>69</v>
      </c>
      <c r="D2427" s="49">
        <v>0.0</v>
      </c>
    </row>
    <row r="2428" ht="15.0" hidden="1" customHeight="1">
      <c r="A2428" s="49" t="s">
        <v>152</v>
      </c>
      <c r="B2428" s="50">
        <v>44377.0</v>
      </c>
      <c r="C2428" s="49" t="s">
        <v>69</v>
      </c>
      <c r="D2428" s="49">
        <v>0.0</v>
      </c>
    </row>
    <row r="2429" ht="15.0" hidden="1" customHeight="1">
      <c r="A2429" s="49" t="s">
        <v>157</v>
      </c>
      <c r="B2429" s="50">
        <v>44377.0</v>
      </c>
      <c r="C2429" s="49" t="s">
        <v>69</v>
      </c>
      <c r="D2429" s="49">
        <v>0.0</v>
      </c>
    </row>
    <row r="2430" ht="15.0" hidden="1" customHeight="1">
      <c r="A2430" s="49" t="s">
        <v>162</v>
      </c>
      <c r="B2430" s="50">
        <v>44377.0</v>
      </c>
      <c r="C2430" s="49" t="s">
        <v>69</v>
      </c>
      <c r="D2430" s="49">
        <v>0.0</v>
      </c>
    </row>
    <row r="2431" ht="15.0" hidden="1" customHeight="1">
      <c r="A2431" s="49" t="s">
        <v>167</v>
      </c>
      <c r="B2431" s="50">
        <v>44377.0</v>
      </c>
      <c r="C2431" s="49" t="s">
        <v>69</v>
      </c>
      <c r="D2431" s="49">
        <v>0.0</v>
      </c>
    </row>
    <row r="2432" ht="15.0" hidden="1" customHeight="1">
      <c r="A2432" s="49" t="s">
        <v>172</v>
      </c>
      <c r="B2432" s="50">
        <v>44377.0</v>
      </c>
      <c r="C2432" s="49" t="s">
        <v>69</v>
      </c>
      <c r="D2432" s="49">
        <v>0.0</v>
      </c>
    </row>
    <row r="2433" ht="15.0" hidden="1" customHeight="1">
      <c r="A2433" s="49" t="s">
        <v>177</v>
      </c>
      <c r="B2433" s="50">
        <v>44377.0</v>
      </c>
      <c r="C2433" s="49" t="s">
        <v>69</v>
      </c>
      <c r="D2433" s="49">
        <v>0.0</v>
      </c>
    </row>
    <row r="2434" ht="15.0" hidden="1" customHeight="1">
      <c r="A2434" s="49" t="s">
        <v>182</v>
      </c>
      <c r="B2434" s="50">
        <v>44377.0</v>
      </c>
      <c r="C2434" s="49" t="s">
        <v>69</v>
      </c>
      <c r="D2434" s="49">
        <v>0.0</v>
      </c>
    </row>
    <row r="2435" ht="15.0" hidden="1" customHeight="1">
      <c r="A2435" s="49" t="s">
        <v>187</v>
      </c>
      <c r="B2435" s="50">
        <v>44377.0</v>
      </c>
      <c r="C2435" s="49" t="s">
        <v>69</v>
      </c>
      <c r="D2435" s="49">
        <v>0.0</v>
      </c>
    </row>
    <row r="2436" ht="15.0" hidden="1" customHeight="1">
      <c r="A2436" s="49" t="s">
        <v>192</v>
      </c>
      <c r="B2436" s="50">
        <v>44377.0</v>
      </c>
      <c r="C2436" s="49" t="s">
        <v>69</v>
      </c>
      <c r="D2436" s="49">
        <v>0.0</v>
      </c>
    </row>
    <row r="2437" ht="15.0" hidden="1" customHeight="1">
      <c r="A2437" s="49" t="s">
        <v>197</v>
      </c>
      <c r="B2437" s="50">
        <v>44377.0</v>
      </c>
      <c r="C2437" s="49" t="s">
        <v>69</v>
      </c>
      <c r="D2437" s="49">
        <v>0.0</v>
      </c>
    </row>
    <row r="2438" ht="15.0" hidden="1" customHeight="1">
      <c r="A2438" s="49" t="s">
        <v>202</v>
      </c>
      <c r="B2438" s="50">
        <v>44377.0</v>
      </c>
      <c r="C2438" s="49" t="s">
        <v>69</v>
      </c>
      <c r="D2438" s="49">
        <v>0.0</v>
      </c>
    </row>
    <row r="2439" ht="15.0" hidden="1" customHeight="1">
      <c r="A2439" s="49" t="s">
        <v>206</v>
      </c>
      <c r="B2439" s="50">
        <v>44377.0</v>
      </c>
      <c r="C2439" s="49" t="s">
        <v>69</v>
      </c>
      <c r="D2439" s="49">
        <v>0.0</v>
      </c>
    </row>
    <row r="2440" ht="15.0" hidden="1" customHeight="1">
      <c r="A2440" s="49" t="s">
        <v>211</v>
      </c>
      <c r="B2440" s="50">
        <v>44377.0</v>
      </c>
      <c r="C2440" s="49" t="s">
        <v>69</v>
      </c>
      <c r="D2440" s="49">
        <v>0.0</v>
      </c>
    </row>
    <row r="2441" ht="15.0" hidden="1" customHeight="1">
      <c r="A2441" s="49" t="s">
        <v>779</v>
      </c>
      <c r="B2441" s="50">
        <v>44377.0</v>
      </c>
      <c r="C2441" s="49" t="s">
        <v>69</v>
      </c>
      <c r="D2441" s="49">
        <v>0.0</v>
      </c>
    </row>
    <row r="2442" ht="15.0" hidden="1" customHeight="1">
      <c r="A2442" s="49" t="s">
        <v>221</v>
      </c>
      <c r="B2442" s="50">
        <v>44377.0</v>
      </c>
      <c r="C2442" s="49" t="s">
        <v>69</v>
      </c>
      <c r="D2442" s="49">
        <v>0.0</v>
      </c>
    </row>
    <row r="2443" ht="15.0" hidden="1" customHeight="1">
      <c r="A2443" s="49" t="s">
        <v>226</v>
      </c>
      <c r="B2443" s="50">
        <v>44377.0</v>
      </c>
      <c r="C2443" s="49" t="s">
        <v>69</v>
      </c>
      <c r="D2443" s="49">
        <v>0.0</v>
      </c>
    </row>
    <row r="2444" ht="15.0" hidden="1" customHeight="1">
      <c r="A2444" s="49" t="s">
        <v>231</v>
      </c>
      <c r="B2444" s="50">
        <v>44377.0</v>
      </c>
      <c r="C2444" s="49" t="s">
        <v>69</v>
      </c>
      <c r="D2444" s="49">
        <v>0.0</v>
      </c>
    </row>
    <row r="2445" ht="15.0" hidden="1" customHeight="1">
      <c r="A2445" s="49" t="s">
        <v>236</v>
      </c>
      <c r="B2445" s="50">
        <v>44377.0</v>
      </c>
      <c r="C2445" s="49" t="s">
        <v>69</v>
      </c>
      <c r="D2445" s="49">
        <v>0.0</v>
      </c>
    </row>
    <row r="2446" ht="15.0" hidden="1" customHeight="1">
      <c r="A2446" s="49" t="s">
        <v>242</v>
      </c>
      <c r="B2446" s="50">
        <v>44377.0</v>
      </c>
      <c r="C2446" s="49" t="s">
        <v>69</v>
      </c>
      <c r="D2446" s="49">
        <v>0.0</v>
      </c>
    </row>
    <row r="2447" ht="15.0" hidden="1" customHeight="1">
      <c r="A2447" s="49" t="s">
        <v>248</v>
      </c>
      <c r="B2447" s="50">
        <v>44377.0</v>
      </c>
      <c r="C2447" s="49" t="s">
        <v>69</v>
      </c>
      <c r="D2447" s="49">
        <v>0.0</v>
      </c>
    </row>
    <row r="2448" ht="15.0" hidden="1" customHeight="1">
      <c r="A2448" s="49" t="s">
        <v>253</v>
      </c>
      <c r="B2448" s="50">
        <v>44377.0</v>
      </c>
      <c r="C2448" s="49" t="s">
        <v>69</v>
      </c>
      <c r="D2448" s="49">
        <v>0.0</v>
      </c>
    </row>
    <row r="2449" ht="15.0" hidden="1" customHeight="1">
      <c r="A2449" s="49" t="s">
        <v>258</v>
      </c>
      <c r="B2449" s="50">
        <v>44377.0</v>
      </c>
      <c r="C2449" s="49" t="s">
        <v>69</v>
      </c>
      <c r="D2449" s="49">
        <v>0.0</v>
      </c>
    </row>
    <row r="2450" ht="15.0" hidden="1" customHeight="1">
      <c r="A2450" s="49" t="s">
        <v>263</v>
      </c>
      <c r="B2450" s="50">
        <v>44377.0</v>
      </c>
      <c r="C2450" s="49" t="s">
        <v>69</v>
      </c>
      <c r="D2450" s="49">
        <v>0.0</v>
      </c>
    </row>
    <row r="2451" ht="15.0" hidden="1" customHeight="1">
      <c r="A2451" s="49" t="s">
        <v>268</v>
      </c>
      <c r="B2451" s="50">
        <v>44377.0</v>
      </c>
      <c r="C2451" s="49" t="s">
        <v>69</v>
      </c>
      <c r="D2451" s="49">
        <v>0.0</v>
      </c>
    </row>
    <row r="2452" ht="15.0" hidden="1" customHeight="1">
      <c r="A2452" s="49" t="s">
        <v>273</v>
      </c>
      <c r="B2452" s="50">
        <v>44377.0</v>
      </c>
      <c r="C2452" s="49" t="s">
        <v>69</v>
      </c>
      <c r="D2452" s="49">
        <v>0.0</v>
      </c>
    </row>
    <row r="2453" ht="15.0" hidden="1" customHeight="1">
      <c r="A2453" s="49" t="s">
        <v>278</v>
      </c>
      <c r="B2453" s="50">
        <v>44377.0</v>
      </c>
      <c r="C2453" s="49" t="s">
        <v>69</v>
      </c>
      <c r="D2453" s="49">
        <v>0.0</v>
      </c>
    </row>
    <row r="2454" ht="15.0" hidden="1" customHeight="1">
      <c r="A2454" s="49" t="s">
        <v>283</v>
      </c>
      <c r="B2454" s="50">
        <v>44377.0</v>
      </c>
      <c r="C2454" s="49" t="s">
        <v>69</v>
      </c>
      <c r="D2454" s="49">
        <v>0.0</v>
      </c>
    </row>
    <row r="2455" ht="15.0" hidden="1" customHeight="1">
      <c r="A2455" s="49" t="s">
        <v>288</v>
      </c>
      <c r="B2455" s="50">
        <v>44377.0</v>
      </c>
      <c r="C2455" s="49" t="s">
        <v>69</v>
      </c>
      <c r="D2455" s="49">
        <v>0.0</v>
      </c>
    </row>
    <row r="2456" ht="15.0" hidden="1" customHeight="1">
      <c r="A2456" s="49" t="s">
        <v>293</v>
      </c>
      <c r="B2456" s="50">
        <v>44377.0</v>
      </c>
      <c r="C2456" s="49" t="s">
        <v>69</v>
      </c>
      <c r="D2456" s="49">
        <v>0.0</v>
      </c>
    </row>
    <row r="2457" ht="15.0" hidden="1" customHeight="1">
      <c r="A2457" s="49" t="s">
        <v>298</v>
      </c>
      <c r="B2457" s="50">
        <v>44377.0</v>
      </c>
      <c r="C2457" s="49" t="s">
        <v>69</v>
      </c>
      <c r="D2457" s="49">
        <v>0.0</v>
      </c>
    </row>
    <row r="2458" ht="15.0" hidden="1" customHeight="1">
      <c r="A2458" s="49" t="s">
        <v>303</v>
      </c>
      <c r="B2458" s="50">
        <v>44377.0</v>
      </c>
      <c r="C2458" s="49" t="s">
        <v>69</v>
      </c>
      <c r="D2458" s="49">
        <v>0.0</v>
      </c>
    </row>
    <row r="2459" ht="15.0" hidden="1" customHeight="1">
      <c r="A2459" s="49" t="s">
        <v>307</v>
      </c>
      <c r="B2459" s="50">
        <v>44377.0</v>
      </c>
      <c r="C2459" s="49" t="s">
        <v>69</v>
      </c>
      <c r="D2459" s="49">
        <v>0.0</v>
      </c>
    </row>
    <row r="2460" ht="15.0" hidden="1" customHeight="1">
      <c r="A2460" s="49" t="s">
        <v>313</v>
      </c>
      <c r="B2460" s="50">
        <v>44377.0</v>
      </c>
      <c r="C2460" s="49" t="s">
        <v>69</v>
      </c>
      <c r="D2460" s="49">
        <v>0.0</v>
      </c>
    </row>
    <row r="2461" ht="15.0" hidden="1" customHeight="1">
      <c r="A2461" s="49" t="s">
        <v>318</v>
      </c>
      <c r="B2461" s="50">
        <v>44377.0</v>
      </c>
      <c r="C2461" s="49" t="s">
        <v>69</v>
      </c>
      <c r="D2461" s="49">
        <v>0.0</v>
      </c>
    </row>
    <row r="2462" ht="15.0" hidden="1" customHeight="1">
      <c r="A2462" s="49" t="s">
        <v>323</v>
      </c>
      <c r="B2462" s="50">
        <v>44377.0</v>
      </c>
      <c r="C2462" s="49" t="s">
        <v>69</v>
      </c>
      <c r="D2462" s="49">
        <v>0.0</v>
      </c>
    </row>
    <row r="2463" ht="15.0" hidden="1" customHeight="1">
      <c r="A2463" s="49" t="s">
        <v>328</v>
      </c>
      <c r="B2463" s="50">
        <v>44377.0</v>
      </c>
      <c r="C2463" s="49" t="s">
        <v>69</v>
      </c>
      <c r="D2463" s="49">
        <v>0.0</v>
      </c>
    </row>
    <row r="2464" ht="15.0" hidden="1" customHeight="1">
      <c r="A2464" s="49" t="s">
        <v>335</v>
      </c>
      <c r="B2464" s="50">
        <v>44377.0</v>
      </c>
      <c r="C2464" s="49" t="s">
        <v>69</v>
      </c>
      <c r="D2464" s="49">
        <v>0.0</v>
      </c>
    </row>
    <row r="2465" ht="15.0" hidden="1" customHeight="1">
      <c r="A2465" s="49" t="s">
        <v>340</v>
      </c>
      <c r="B2465" s="50">
        <v>44377.0</v>
      </c>
      <c r="C2465" s="49" t="s">
        <v>69</v>
      </c>
      <c r="D2465" s="49">
        <v>0.0</v>
      </c>
    </row>
    <row r="2466" ht="15.0" hidden="1" customHeight="1">
      <c r="A2466" s="49" t="s">
        <v>345</v>
      </c>
      <c r="B2466" s="50">
        <v>44377.0</v>
      </c>
      <c r="C2466" s="49" t="s">
        <v>69</v>
      </c>
      <c r="D2466" s="49">
        <v>0.0</v>
      </c>
    </row>
    <row r="2467" ht="15.0" hidden="1" customHeight="1">
      <c r="A2467" s="49" t="s">
        <v>350</v>
      </c>
      <c r="B2467" s="50">
        <v>44377.0</v>
      </c>
      <c r="C2467" s="49" t="s">
        <v>69</v>
      </c>
      <c r="D2467" s="49">
        <v>0.0</v>
      </c>
    </row>
    <row r="2468" ht="15.0" hidden="1" customHeight="1">
      <c r="A2468" s="49" t="s">
        <v>355</v>
      </c>
      <c r="B2468" s="50">
        <v>44377.0</v>
      </c>
      <c r="C2468" s="49" t="s">
        <v>69</v>
      </c>
      <c r="D2468" s="49">
        <v>0.0</v>
      </c>
    </row>
    <row r="2469" ht="15.0" hidden="1" customHeight="1">
      <c r="A2469" s="49" t="s">
        <v>360</v>
      </c>
      <c r="B2469" s="50">
        <v>44377.0</v>
      </c>
      <c r="C2469" s="49" t="s">
        <v>69</v>
      </c>
      <c r="D2469" s="49">
        <v>0.0</v>
      </c>
    </row>
    <row r="2470" ht="15.0" hidden="1" customHeight="1">
      <c r="A2470" s="49" t="s">
        <v>365</v>
      </c>
      <c r="B2470" s="50">
        <v>44377.0</v>
      </c>
      <c r="C2470" s="49" t="s">
        <v>69</v>
      </c>
      <c r="D2470" s="49">
        <v>0.0</v>
      </c>
    </row>
    <row r="2471" ht="15.0" hidden="1" customHeight="1">
      <c r="A2471" s="49" t="s">
        <v>370</v>
      </c>
      <c r="B2471" s="50">
        <v>44377.0</v>
      </c>
      <c r="C2471" s="49" t="s">
        <v>69</v>
      </c>
      <c r="D2471" s="49">
        <v>0.0</v>
      </c>
    </row>
    <row r="2472" ht="15.0" hidden="1" customHeight="1">
      <c r="A2472" s="49" t="s">
        <v>375</v>
      </c>
      <c r="B2472" s="50">
        <v>44377.0</v>
      </c>
      <c r="C2472" s="49" t="s">
        <v>69</v>
      </c>
      <c r="D2472" s="49">
        <v>0.0</v>
      </c>
    </row>
    <row r="2473" ht="15.0" hidden="1" customHeight="1">
      <c r="A2473" s="49" t="s">
        <v>380</v>
      </c>
      <c r="B2473" s="50">
        <v>44377.0</v>
      </c>
      <c r="C2473" s="49" t="s">
        <v>69</v>
      </c>
      <c r="D2473" s="49">
        <v>0.0</v>
      </c>
    </row>
    <row r="2474" ht="15.0" hidden="1" customHeight="1">
      <c r="A2474" s="49" t="s">
        <v>385</v>
      </c>
      <c r="B2474" s="50">
        <v>44377.0</v>
      </c>
      <c r="C2474" s="49" t="s">
        <v>69</v>
      </c>
      <c r="D2474" s="49">
        <v>0.0</v>
      </c>
    </row>
    <row r="2475" ht="15.0" hidden="1" customHeight="1">
      <c r="A2475" s="49" t="s">
        <v>390</v>
      </c>
      <c r="B2475" s="50">
        <v>44377.0</v>
      </c>
      <c r="C2475" s="49" t="s">
        <v>69</v>
      </c>
      <c r="D2475" s="49">
        <v>0.0</v>
      </c>
    </row>
    <row r="2476" ht="15.0" hidden="1" customHeight="1">
      <c r="A2476" s="49" t="s">
        <v>395</v>
      </c>
      <c r="B2476" s="50">
        <v>44377.0</v>
      </c>
      <c r="C2476" s="49" t="s">
        <v>69</v>
      </c>
      <c r="D2476" s="49">
        <v>0.0</v>
      </c>
    </row>
    <row r="2477" ht="15.0" hidden="1" customHeight="1">
      <c r="A2477" s="49" t="s">
        <v>400</v>
      </c>
      <c r="B2477" s="50">
        <v>44377.0</v>
      </c>
      <c r="C2477" s="49" t="s">
        <v>69</v>
      </c>
      <c r="D2477" s="49">
        <v>0.0</v>
      </c>
    </row>
    <row r="2478" ht="15.0" hidden="1" customHeight="1">
      <c r="A2478" s="49" t="s">
        <v>405</v>
      </c>
      <c r="B2478" s="50">
        <v>44377.0</v>
      </c>
      <c r="C2478" s="49" t="s">
        <v>69</v>
      </c>
      <c r="D2478" s="49">
        <v>0.0</v>
      </c>
    </row>
    <row r="2479" ht="15.0" hidden="1" customHeight="1">
      <c r="A2479" s="49" t="s">
        <v>410</v>
      </c>
      <c r="B2479" s="50">
        <v>44377.0</v>
      </c>
      <c r="C2479" s="49" t="s">
        <v>69</v>
      </c>
      <c r="D2479" s="49">
        <v>0.0</v>
      </c>
    </row>
    <row r="2480" ht="15.0" hidden="1" customHeight="1">
      <c r="A2480" s="49" t="s">
        <v>415</v>
      </c>
      <c r="B2480" s="50">
        <v>44377.0</v>
      </c>
      <c r="C2480" s="49" t="s">
        <v>69</v>
      </c>
      <c r="D2480" s="49">
        <v>0.0</v>
      </c>
    </row>
    <row r="2481" ht="15.0" hidden="1" customHeight="1">
      <c r="A2481" s="49" t="s">
        <v>420</v>
      </c>
      <c r="B2481" s="50">
        <v>44377.0</v>
      </c>
      <c r="C2481" s="49" t="s">
        <v>69</v>
      </c>
      <c r="D2481" s="49">
        <v>0.0</v>
      </c>
    </row>
    <row r="2482" ht="15.0" hidden="1" customHeight="1">
      <c r="A2482" s="49" t="s">
        <v>425</v>
      </c>
      <c r="B2482" s="50">
        <v>44377.0</v>
      </c>
      <c r="C2482" s="49" t="s">
        <v>69</v>
      </c>
      <c r="D2482" s="49">
        <v>0.0</v>
      </c>
    </row>
    <row r="2483" ht="15.0" hidden="1" customHeight="1">
      <c r="A2483" s="49" t="s">
        <v>430</v>
      </c>
      <c r="B2483" s="50">
        <v>44377.0</v>
      </c>
      <c r="C2483" s="49" t="s">
        <v>69</v>
      </c>
      <c r="D2483" s="49">
        <v>0.0</v>
      </c>
    </row>
    <row r="2484" ht="15.0" hidden="1" customHeight="1">
      <c r="A2484" s="49" t="s">
        <v>434</v>
      </c>
      <c r="B2484" s="50">
        <v>44377.0</v>
      </c>
      <c r="C2484" s="49" t="s">
        <v>69</v>
      </c>
      <c r="D2484" s="49">
        <v>0.0</v>
      </c>
    </row>
    <row r="2485" ht="15.0" hidden="1" customHeight="1">
      <c r="A2485" s="49" t="s">
        <v>439</v>
      </c>
      <c r="B2485" s="50">
        <v>44377.0</v>
      </c>
      <c r="C2485" s="49" t="s">
        <v>69</v>
      </c>
      <c r="D2485" s="49">
        <v>0.0</v>
      </c>
    </row>
    <row r="2486" ht="15.0" hidden="1" customHeight="1">
      <c r="A2486" s="49" t="s">
        <v>444</v>
      </c>
      <c r="B2486" s="50">
        <v>44377.0</v>
      </c>
      <c r="C2486" s="49" t="s">
        <v>69</v>
      </c>
      <c r="D2486" s="49">
        <v>0.0</v>
      </c>
    </row>
    <row r="2487" ht="15.0" hidden="1" customHeight="1">
      <c r="A2487" s="49" t="s">
        <v>449</v>
      </c>
      <c r="B2487" s="50">
        <v>44377.0</v>
      </c>
      <c r="C2487" s="49" t="s">
        <v>69</v>
      </c>
      <c r="D2487" s="49">
        <v>0.0</v>
      </c>
    </row>
    <row r="2488" ht="15.0" hidden="1" customHeight="1">
      <c r="A2488" s="49" t="s">
        <v>455</v>
      </c>
      <c r="B2488" s="50">
        <v>44377.0</v>
      </c>
      <c r="C2488" s="49" t="s">
        <v>69</v>
      </c>
      <c r="D2488" s="49">
        <v>0.0</v>
      </c>
    </row>
    <row r="2489" ht="15.0" hidden="1" customHeight="1">
      <c r="A2489" s="49" t="s">
        <v>470</v>
      </c>
      <c r="B2489" s="50">
        <v>44377.0</v>
      </c>
      <c r="C2489" s="49" t="s">
        <v>69</v>
      </c>
      <c r="D2489" s="49">
        <v>0.0</v>
      </c>
    </row>
    <row r="2490" ht="15.0" hidden="1" customHeight="1">
      <c r="A2490" s="49" t="s">
        <v>476</v>
      </c>
      <c r="B2490" s="50">
        <v>44377.0</v>
      </c>
      <c r="C2490" s="49" t="s">
        <v>69</v>
      </c>
      <c r="D2490" s="49">
        <v>0.0</v>
      </c>
    </row>
    <row r="2491" ht="15.0" hidden="1" customHeight="1">
      <c r="A2491" s="49" t="s">
        <v>481</v>
      </c>
      <c r="B2491" s="50">
        <v>44377.0</v>
      </c>
      <c r="C2491" s="49" t="s">
        <v>69</v>
      </c>
      <c r="D2491" s="49">
        <v>0.0</v>
      </c>
    </row>
    <row r="2492" ht="15.0" hidden="1" customHeight="1">
      <c r="A2492" s="49" t="s">
        <v>486</v>
      </c>
      <c r="B2492" s="50">
        <v>44377.0</v>
      </c>
      <c r="C2492" s="49" t="s">
        <v>69</v>
      </c>
      <c r="D2492" s="49">
        <v>0.0</v>
      </c>
    </row>
    <row r="2493" ht="15.0" hidden="1" customHeight="1">
      <c r="A2493" s="49" t="s">
        <v>491</v>
      </c>
      <c r="B2493" s="50">
        <v>44377.0</v>
      </c>
      <c r="C2493" s="49" t="s">
        <v>69</v>
      </c>
      <c r="D2493" s="49">
        <v>0.0</v>
      </c>
    </row>
    <row r="2494" ht="15.0" hidden="1" customHeight="1">
      <c r="A2494" s="49" t="s">
        <v>496</v>
      </c>
      <c r="B2494" s="50">
        <v>44377.0</v>
      </c>
      <c r="C2494" s="49" t="s">
        <v>69</v>
      </c>
      <c r="D2494" s="49">
        <v>0.0</v>
      </c>
    </row>
    <row r="2495" ht="15.0" hidden="1" customHeight="1">
      <c r="A2495" s="49" t="s">
        <v>501</v>
      </c>
      <c r="B2495" s="50">
        <v>44377.0</v>
      </c>
      <c r="C2495" s="49" t="s">
        <v>69</v>
      </c>
      <c r="D2495" s="49">
        <v>0.0</v>
      </c>
    </row>
    <row r="2496" ht="15.0" hidden="1" customHeight="1">
      <c r="A2496" s="49" t="s">
        <v>506</v>
      </c>
      <c r="B2496" s="50">
        <v>44377.0</v>
      </c>
      <c r="C2496" s="49" t="s">
        <v>69</v>
      </c>
      <c r="D2496" s="49">
        <v>0.0</v>
      </c>
    </row>
    <row r="2497" ht="15.0" hidden="1" customHeight="1">
      <c r="A2497" s="49" t="s">
        <v>512</v>
      </c>
      <c r="B2497" s="50">
        <v>44377.0</v>
      </c>
      <c r="C2497" s="49" t="s">
        <v>69</v>
      </c>
      <c r="D2497" s="49">
        <v>0.0</v>
      </c>
    </row>
    <row r="2498" ht="15.0" hidden="1" customHeight="1">
      <c r="A2498" s="49" t="s">
        <v>517</v>
      </c>
      <c r="B2498" s="50">
        <v>44377.0</v>
      </c>
      <c r="C2498" s="49" t="s">
        <v>69</v>
      </c>
      <c r="D2498" s="49">
        <v>0.0</v>
      </c>
    </row>
    <row r="2499" ht="15.0" hidden="1" customHeight="1">
      <c r="A2499" s="49" t="s">
        <v>522</v>
      </c>
      <c r="B2499" s="50">
        <v>44377.0</v>
      </c>
      <c r="C2499" s="49" t="s">
        <v>69</v>
      </c>
      <c r="D2499" s="49">
        <v>0.0</v>
      </c>
    </row>
    <row r="2500" ht="15.0" hidden="1" customHeight="1">
      <c r="A2500" s="49" t="s">
        <v>528</v>
      </c>
      <c r="B2500" s="50">
        <v>44377.0</v>
      </c>
      <c r="C2500" s="49" t="s">
        <v>69</v>
      </c>
      <c r="D2500" s="49">
        <v>0.0</v>
      </c>
    </row>
    <row r="2501" ht="15.0" hidden="1" customHeight="1">
      <c r="A2501" s="49" t="s">
        <v>533</v>
      </c>
      <c r="B2501" s="50">
        <v>44377.0</v>
      </c>
      <c r="C2501" s="49" t="s">
        <v>69</v>
      </c>
      <c r="D2501" s="49">
        <v>0.0</v>
      </c>
    </row>
    <row r="2502" ht="15.0" hidden="1" customHeight="1">
      <c r="A2502" s="49" t="s">
        <v>538</v>
      </c>
      <c r="B2502" s="50">
        <v>44377.0</v>
      </c>
      <c r="C2502" s="49" t="s">
        <v>69</v>
      </c>
      <c r="D2502" s="49">
        <v>0.0</v>
      </c>
    </row>
    <row r="2503" ht="15.0" hidden="1" customHeight="1">
      <c r="A2503" s="49" t="s">
        <v>546</v>
      </c>
      <c r="B2503" s="50">
        <v>44377.0</v>
      </c>
      <c r="C2503" s="49" t="s">
        <v>69</v>
      </c>
      <c r="D2503" s="49">
        <v>0.0</v>
      </c>
    </row>
    <row r="2504" ht="15.0" hidden="1" customHeight="1">
      <c r="A2504" s="49" t="s">
        <v>551</v>
      </c>
      <c r="B2504" s="50">
        <v>44377.0</v>
      </c>
      <c r="C2504" s="49" t="s">
        <v>69</v>
      </c>
      <c r="D2504" s="49">
        <v>0.0</v>
      </c>
    </row>
    <row r="2505" ht="15.0" hidden="1" customHeight="1">
      <c r="A2505" s="49" t="s">
        <v>556</v>
      </c>
      <c r="B2505" s="50">
        <v>44377.0</v>
      </c>
      <c r="C2505" s="49" t="s">
        <v>69</v>
      </c>
      <c r="D2505" s="49">
        <v>0.0</v>
      </c>
    </row>
    <row r="2506" ht="15.0" hidden="1" customHeight="1">
      <c r="A2506" s="49" t="s">
        <v>561</v>
      </c>
      <c r="B2506" s="50">
        <v>44377.0</v>
      </c>
      <c r="C2506" s="49" t="s">
        <v>69</v>
      </c>
      <c r="D2506" s="49">
        <v>0.0</v>
      </c>
    </row>
    <row r="2507" ht="15.0" hidden="1" customHeight="1">
      <c r="A2507" s="49" t="s">
        <v>566</v>
      </c>
      <c r="B2507" s="50">
        <v>44377.0</v>
      </c>
      <c r="C2507" s="49" t="s">
        <v>69</v>
      </c>
      <c r="D2507" s="49">
        <v>0.0</v>
      </c>
    </row>
    <row r="2508" ht="15.0" hidden="1" customHeight="1">
      <c r="A2508" s="49" t="s">
        <v>571</v>
      </c>
      <c r="B2508" s="50">
        <v>44377.0</v>
      </c>
      <c r="C2508" s="49" t="s">
        <v>69</v>
      </c>
      <c r="D2508" s="49">
        <v>0.0</v>
      </c>
    </row>
    <row r="2509" ht="15.0" hidden="1" customHeight="1">
      <c r="A2509" s="49" t="s">
        <v>576</v>
      </c>
      <c r="B2509" s="50">
        <v>44377.0</v>
      </c>
      <c r="C2509" s="49" t="s">
        <v>69</v>
      </c>
      <c r="D2509" s="49">
        <v>0.0</v>
      </c>
    </row>
    <row r="2510" ht="15.0" hidden="1" customHeight="1">
      <c r="A2510" s="49" t="s">
        <v>581</v>
      </c>
      <c r="B2510" s="50">
        <v>44377.0</v>
      </c>
      <c r="C2510" s="49" t="s">
        <v>69</v>
      </c>
      <c r="D2510" s="49">
        <v>0.0</v>
      </c>
    </row>
    <row r="2511" ht="15.0" hidden="1" customHeight="1">
      <c r="A2511" s="49" t="s">
        <v>586</v>
      </c>
      <c r="B2511" s="50">
        <v>44377.0</v>
      </c>
      <c r="C2511" s="49" t="s">
        <v>69</v>
      </c>
      <c r="D2511" s="49">
        <v>0.0</v>
      </c>
    </row>
    <row r="2512" ht="15.0" hidden="1" customHeight="1">
      <c r="A2512" s="49" t="s">
        <v>754</v>
      </c>
      <c r="B2512" s="50">
        <v>44377.0</v>
      </c>
      <c r="C2512" s="49" t="s">
        <v>69</v>
      </c>
      <c r="D2512" s="49">
        <v>0.0</v>
      </c>
    </row>
    <row r="2513" ht="15.0" hidden="1" customHeight="1">
      <c r="A2513" s="49" t="s">
        <v>591</v>
      </c>
      <c r="B2513" s="50">
        <v>44377.0</v>
      </c>
      <c r="C2513" s="49" t="s">
        <v>69</v>
      </c>
      <c r="D2513" s="49">
        <v>0.0</v>
      </c>
    </row>
    <row r="2514" ht="15.0" hidden="1" customHeight="1">
      <c r="A2514" s="49" t="s">
        <v>759</v>
      </c>
      <c r="B2514" s="50">
        <v>44377.0</v>
      </c>
      <c r="C2514" s="49" t="s">
        <v>69</v>
      </c>
      <c r="D2514" s="49">
        <v>0.0</v>
      </c>
    </row>
    <row r="2515" ht="15.0" hidden="1" customHeight="1">
      <c r="A2515" s="49" t="s">
        <v>596</v>
      </c>
      <c r="B2515" s="50">
        <v>44377.0</v>
      </c>
      <c r="C2515" s="49" t="s">
        <v>69</v>
      </c>
      <c r="D2515" s="49">
        <v>0.0</v>
      </c>
    </row>
    <row r="2516" ht="15.0" hidden="1" customHeight="1">
      <c r="A2516" s="49" t="s">
        <v>602</v>
      </c>
      <c r="B2516" s="50">
        <v>44377.0</v>
      </c>
      <c r="C2516" s="49" t="s">
        <v>69</v>
      </c>
      <c r="D2516" s="49">
        <v>0.0</v>
      </c>
    </row>
    <row r="2517" ht="15.0" hidden="1" customHeight="1">
      <c r="A2517" s="49" t="s">
        <v>607</v>
      </c>
      <c r="B2517" s="50">
        <v>44377.0</v>
      </c>
      <c r="C2517" s="49" t="s">
        <v>69</v>
      </c>
      <c r="D2517" s="49">
        <v>0.0</v>
      </c>
    </row>
    <row r="2518" ht="15.0" hidden="1" customHeight="1">
      <c r="A2518" s="49" t="s">
        <v>612</v>
      </c>
      <c r="B2518" s="50">
        <v>44377.0</v>
      </c>
      <c r="C2518" s="49" t="s">
        <v>69</v>
      </c>
      <c r="D2518" s="49">
        <v>0.0</v>
      </c>
    </row>
    <row r="2519" ht="15.0" hidden="1" customHeight="1">
      <c r="A2519" s="49" t="s">
        <v>617</v>
      </c>
      <c r="B2519" s="50">
        <v>44377.0</v>
      </c>
      <c r="C2519" s="49" t="s">
        <v>69</v>
      </c>
      <c r="D2519" s="49">
        <v>0.0</v>
      </c>
    </row>
    <row r="2520" ht="15.0" hidden="1" customHeight="1">
      <c r="A2520" s="49" t="s">
        <v>622</v>
      </c>
      <c r="B2520" s="50">
        <v>44377.0</v>
      </c>
      <c r="C2520" s="49" t="s">
        <v>69</v>
      </c>
      <c r="D2520" s="49">
        <v>0.0</v>
      </c>
    </row>
    <row r="2521" ht="15.0" hidden="1" customHeight="1">
      <c r="A2521" s="49" t="s">
        <v>627</v>
      </c>
      <c r="B2521" s="50">
        <v>44377.0</v>
      </c>
      <c r="C2521" s="49" t="s">
        <v>69</v>
      </c>
      <c r="D2521" s="49">
        <v>0.0</v>
      </c>
    </row>
    <row r="2522" ht="15.0" hidden="1" customHeight="1">
      <c r="A2522" s="49" t="s">
        <v>631</v>
      </c>
      <c r="B2522" s="50">
        <v>44377.0</v>
      </c>
      <c r="C2522" s="49" t="s">
        <v>69</v>
      </c>
      <c r="D2522" s="49">
        <v>0.0</v>
      </c>
    </row>
    <row r="2523" ht="15.0" hidden="1" customHeight="1">
      <c r="A2523" s="49" t="s">
        <v>636</v>
      </c>
      <c r="B2523" s="50">
        <v>44377.0</v>
      </c>
      <c r="C2523" s="49" t="s">
        <v>69</v>
      </c>
      <c r="D2523" s="49">
        <v>0.0</v>
      </c>
    </row>
    <row r="2524" ht="15.0" hidden="1" customHeight="1">
      <c r="A2524" s="49" t="s">
        <v>640</v>
      </c>
      <c r="B2524" s="50">
        <v>44377.0</v>
      </c>
      <c r="C2524" s="49" t="s">
        <v>69</v>
      </c>
      <c r="D2524" s="49">
        <v>0.0</v>
      </c>
    </row>
    <row r="2525" ht="15.0" hidden="1" customHeight="1">
      <c r="A2525" s="49" t="s">
        <v>644</v>
      </c>
      <c r="B2525" s="50">
        <v>44377.0</v>
      </c>
      <c r="C2525" s="49" t="s">
        <v>69</v>
      </c>
      <c r="D2525" s="49">
        <v>0.0</v>
      </c>
    </row>
    <row r="2526" ht="15.0" hidden="1" customHeight="1">
      <c r="A2526" s="49" t="s">
        <v>649</v>
      </c>
      <c r="B2526" s="50">
        <v>44377.0</v>
      </c>
      <c r="C2526" s="49" t="s">
        <v>69</v>
      </c>
      <c r="D2526" s="49">
        <v>0.0</v>
      </c>
    </row>
    <row r="2527" ht="15.0" hidden="1" customHeight="1">
      <c r="A2527" s="49" t="s">
        <v>654</v>
      </c>
      <c r="B2527" s="50">
        <v>44377.0</v>
      </c>
      <c r="C2527" s="49" t="s">
        <v>69</v>
      </c>
      <c r="D2527" s="49">
        <v>0.0</v>
      </c>
    </row>
    <row r="2528" ht="15.0" hidden="1" customHeight="1">
      <c r="A2528" s="49" t="s">
        <v>659</v>
      </c>
      <c r="B2528" s="50">
        <v>44377.0</v>
      </c>
      <c r="C2528" s="49" t="s">
        <v>69</v>
      </c>
      <c r="D2528" s="49">
        <v>0.0</v>
      </c>
    </row>
    <row r="2529" ht="15.0" hidden="1" customHeight="1">
      <c r="A2529" s="49" t="s">
        <v>664</v>
      </c>
      <c r="B2529" s="50">
        <v>44377.0</v>
      </c>
      <c r="C2529" s="49" t="s">
        <v>69</v>
      </c>
      <c r="D2529" s="49">
        <v>0.0</v>
      </c>
    </row>
    <row r="2530" ht="15.0" hidden="1" customHeight="1">
      <c r="A2530" s="49" t="s">
        <v>669</v>
      </c>
      <c r="B2530" s="50">
        <v>44377.0</v>
      </c>
      <c r="C2530" s="49" t="s">
        <v>69</v>
      </c>
      <c r="D2530" s="49">
        <v>0.0</v>
      </c>
    </row>
    <row r="2531" ht="15.0" hidden="1" customHeight="1">
      <c r="A2531" s="49" t="s">
        <v>674</v>
      </c>
      <c r="B2531" s="50">
        <v>44377.0</v>
      </c>
      <c r="C2531" s="49" t="s">
        <v>69</v>
      </c>
      <c r="D2531" s="49">
        <v>0.0</v>
      </c>
    </row>
    <row r="2532" ht="15.0" hidden="1" customHeight="1">
      <c r="A2532" s="49" t="s">
        <v>679</v>
      </c>
      <c r="B2532" s="50">
        <v>44377.0</v>
      </c>
      <c r="C2532" s="49" t="s">
        <v>69</v>
      </c>
      <c r="D2532" s="49">
        <v>0.0</v>
      </c>
    </row>
    <row r="2533" ht="15.0" hidden="1" customHeight="1">
      <c r="A2533" s="49" t="s">
        <v>684</v>
      </c>
      <c r="B2533" s="50">
        <v>44377.0</v>
      </c>
      <c r="C2533" s="49" t="s">
        <v>69</v>
      </c>
      <c r="D2533" s="49">
        <v>0.0</v>
      </c>
    </row>
    <row r="2534" ht="15.0" hidden="1" customHeight="1">
      <c r="A2534" s="49" t="s">
        <v>689</v>
      </c>
      <c r="B2534" s="50">
        <v>44377.0</v>
      </c>
      <c r="C2534" s="49" t="s">
        <v>69</v>
      </c>
      <c r="D2534" s="49">
        <v>0.0</v>
      </c>
    </row>
    <row r="2535" ht="15.0" hidden="1" customHeight="1">
      <c r="A2535" s="49" t="s">
        <v>694</v>
      </c>
      <c r="B2535" s="50">
        <v>44377.0</v>
      </c>
      <c r="C2535" s="49" t="s">
        <v>69</v>
      </c>
      <c r="D2535" s="49">
        <v>0.0</v>
      </c>
    </row>
    <row r="2536" ht="15.0" hidden="1" customHeight="1">
      <c r="A2536" s="49" t="s">
        <v>699</v>
      </c>
      <c r="B2536" s="50">
        <v>44377.0</v>
      </c>
      <c r="C2536" s="49" t="s">
        <v>69</v>
      </c>
      <c r="D2536" s="49">
        <v>0.0</v>
      </c>
    </row>
    <row r="2537" ht="15.0" hidden="1" customHeight="1">
      <c r="A2537" s="49" t="s">
        <v>705</v>
      </c>
      <c r="B2537" s="50">
        <v>44377.0</v>
      </c>
      <c r="C2537" s="49" t="s">
        <v>69</v>
      </c>
      <c r="D2537" s="49">
        <v>0.0</v>
      </c>
    </row>
    <row r="2538" ht="15.0" hidden="1" customHeight="1">
      <c r="A2538" s="49" t="s">
        <v>710</v>
      </c>
      <c r="B2538" s="50">
        <v>44377.0</v>
      </c>
      <c r="C2538" s="49" t="s">
        <v>69</v>
      </c>
      <c r="D2538" s="49">
        <v>0.0</v>
      </c>
    </row>
    <row r="2539" ht="15.0" hidden="1" customHeight="1">
      <c r="A2539" s="49" t="s">
        <v>715</v>
      </c>
      <c r="B2539" s="50">
        <v>44377.0</v>
      </c>
      <c r="C2539" s="49" t="s">
        <v>69</v>
      </c>
      <c r="D2539" s="49">
        <v>0.0</v>
      </c>
    </row>
    <row r="2540" ht="15.0" hidden="1" customHeight="1">
      <c r="A2540" s="49" t="s">
        <v>765</v>
      </c>
      <c r="B2540" s="50">
        <v>44377.0</v>
      </c>
      <c r="C2540" s="49" t="s">
        <v>69</v>
      </c>
      <c r="D2540" s="49">
        <v>0.0</v>
      </c>
    </row>
    <row r="2541" ht="15.0" hidden="1" customHeight="1">
      <c r="A2541" s="49" t="s">
        <v>720</v>
      </c>
      <c r="B2541" s="50">
        <v>44377.0</v>
      </c>
      <c r="C2541" s="49" t="s">
        <v>69</v>
      </c>
      <c r="D2541" s="49">
        <v>0.0</v>
      </c>
    </row>
    <row r="2542" ht="15.0" hidden="1" customHeight="1">
      <c r="A2542" s="49" t="s">
        <v>725</v>
      </c>
      <c r="B2542" s="50">
        <v>44377.0</v>
      </c>
      <c r="C2542" s="49" t="s">
        <v>69</v>
      </c>
      <c r="D2542" s="49">
        <v>0.0</v>
      </c>
    </row>
    <row r="2543" ht="15.0" hidden="1" customHeight="1">
      <c r="A2543" s="49" t="s">
        <v>730</v>
      </c>
      <c r="B2543" s="50">
        <v>44377.0</v>
      </c>
      <c r="C2543" s="49" t="s">
        <v>69</v>
      </c>
      <c r="D2543" s="49">
        <v>0.0</v>
      </c>
    </row>
    <row r="2544" ht="15.0" hidden="1" customHeight="1">
      <c r="A2544" s="49" t="s">
        <v>734</v>
      </c>
      <c r="B2544" s="50">
        <v>44377.0</v>
      </c>
      <c r="C2544" s="49" t="s">
        <v>69</v>
      </c>
      <c r="D2544" s="49">
        <v>0.0</v>
      </c>
    </row>
    <row r="2545" ht="15.0" hidden="1" customHeight="1">
      <c r="A2545" s="49" t="s">
        <v>739</v>
      </c>
      <c r="B2545" s="50">
        <v>44377.0</v>
      </c>
      <c r="C2545" s="49" t="s">
        <v>69</v>
      </c>
      <c r="D2545" s="49">
        <v>0.0</v>
      </c>
    </row>
    <row r="2546" ht="15.0" hidden="1" customHeight="1">
      <c r="A2546" s="49" t="s">
        <v>744</v>
      </c>
      <c r="B2546" s="50">
        <v>44377.0</v>
      </c>
      <c r="C2546" s="49" t="s">
        <v>69</v>
      </c>
      <c r="D2546" s="49">
        <v>0.0</v>
      </c>
    </row>
    <row r="2547" ht="15.0" hidden="1" customHeight="1">
      <c r="A2547" s="49" t="s">
        <v>749</v>
      </c>
      <c r="B2547" s="50">
        <v>44377.0</v>
      </c>
      <c r="C2547" s="49" t="s">
        <v>69</v>
      </c>
      <c r="D2547" s="49">
        <v>0.0</v>
      </c>
    </row>
    <row r="2548" ht="15.0" customHeight="1">
      <c r="A2548" s="49" t="s">
        <v>776</v>
      </c>
      <c r="B2548" s="50">
        <v>44377.0</v>
      </c>
      <c r="C2548" s="49" t="s">
        <v>780</v>
      </c>
      <c r="D2548" s="49">
        <v>0.0</v>
      </c>
    </row>
    <row r="2549" ht="15.0" hidden="1" customHeight="1">
      <c r="A2549" s="49" t="s">
        <v>778</v>
      </c>
      <c r="B2549" s="50">
        <v>44377.0</v>
      </c>
      <c r="C2549" s="49" t="s">
        <v>780</v>
      </c>
      <c r="D2549" s="49">
        <v>0.0</v>
      </c>
    </row>
    <row r="2550" ht="15.0" hidden="1" customHeight="1">
      <c r="A2550" s="49" t="s">
        <v>92</v>
      </c>
      <c r="B2550" s="50">
        <v>44377.0</v>
      </c>
      <c r="C2550" s="49" t="s">
        <v>780</v>
      </c>
      <c r="D2550" s="49">
        <v>0.0</v>
      </c>
    </row>
    <row r="2551" ht="15.0" hidden="1" customHeight="1">
      <c r="A2551" s="49" t="s">
        <v>97</v>
      </c>
      <c r="B2551" s="50">
        <v>44377.0</v>
      </c>
      <c r="C2551" s="49" t="s">
        <v>780</v>
      </c>
      <c r="D2551" s="49">
        <v>0.0</v>
      </c>
    </row>
    <row r="2552" ht="15.0" hidden="1" customHeight="1">
      <c r="A2552" s="49" t="s">
        <v>102</v>
      </c>
      <c r="B2552" s="50">
        <v>44377.0</v>
      </c>
      <c r="C2552" s="49" t="s">
        <v>780</v>
      </c>
      <c r="D2552" s="49">
        <v>0.0</v>
      </c>
    </row>
    <row r="2553" ht="15.0" hidden="1" customHeight="1">
      <c r="A2553" s="49" t="s">
        <v>106</v>
      </c>
      <c r="B2553" s="50">
        <v>44377.0</v>
      </c>
      <c r="C2553" s="49" t="s">
        <v>780</v>
      </c>
      <c r="D2553" s="49">
        <v>0.0</v>
      </c>
    </row>
    <row r="2554" ht="15.0" hidden="1" customHeight="1">
      <c r="A2554" s="49" t="s">
        <v>111</v>
      </c>
      <c r="B2554" s="50">
        <v>44377.0</v>
      </c>
      <c r="C2554" s="49" t="s">
        <v>780</v>
      </c>
      <c r="D2554" s="49">
        <v>0.0</v>
      </c>
    </row>
    <row r="2555" ht="15.0" hidden="1" customHeight="1">
      <c r="A2555" s="49" t="s">
        <v>116</v>
      </c>
      <c r="B2555" s="50">
        <v>44377.0</v>
      </c>
      <c r="C2555" s="49" t="s">
        <v>780</v>
      </c>
      <c r="D2555" s="49">
        <v>0.0</v>
      </c>
    </row>
    <row r="2556" ht="15.0" hidden="1" customHeight="1">
      <c r="A2556" s="49" t="s">
        <v>120</v>
      </c>
      <c r="B2556" s="50">
        <v>44377.0</v>
      </c>
      <c r="C2556" s="49" t="s">
        <v>780</v>
      </c>
      <c r="D2556" s="49">
        <v>0.0</v>
      </c>
    </row>
    <row r="2557" ht="15.0" hidden="1" customHeight="1">
      <c r="A2557" s="49" t="s">
        <v>125</v>
      </c>
      <c r="B2557" s="50">
        <v>44377.0</v>
      </c>
      <c r="C2557" s="49" t="s">
        <v>780</v>
      </c>
      <c r="D2557" s="49">
        <v>0.0</v>
      </c>
    </row>
    <row r="2558" ht="15.0" hidden="1" customHeight="1">
      <c r="A2558" s="49" t="s">
        <v>130</v>
      </c>
      <c r="B2558" s="50">
        <v>44377.0</v>
      </c>
      <c r="C2558" s="49" t="s">
        <v>780</v>
      </c>
      <c r="D2558" s="49">
        <v>0.0</v>
      </c>
    </row>
    <row r="2559" ht="15.0" hidden="1" customHeight="1">
      <c r="A2559" s="49" t="s">
        <v>137</v>
      </c>
      <c r="B2559" s="50">
        <v>44377.0</v>
      </c>
      <c r="C2559" s="49" t="s">
        <v>780</v>
      </c>
      <c r="D2559" s="49">
        <v>0.0</v>
      </c>
    </row>
    <row r="2560" ht="15.0" hidden="1" customHeight="1">
      <c r="A2560" s="49" t="s">
        <v>142</v>
      </c>
      <c r="B2560" s="50">
        <v>44377.0</v>
      </c>
      <c r="C2560" s="49" t="s">
        <v>780</v>
      </c>
      <c r="D2560" s="49">
        <v>0.0</v>
      </c>
    </row>
    <row r="2561" ht="15.0" hidden="1" customHeight="1">
      <c r="A2561" s="49" t="s">
        <v>147</v>
      </c>
      <c r="B2561" s="50">
        <v>44377.0</v>
      </c>
      <c r="C2561" s="49" t="s">
        <v>780</v>
      </c>
      <c r="D2561" s="49">
        <v>0.0</v>
      </c>
    </row>
    <row r="2562" ht="15.0" hidden="1" customHeight="1">
      <c r="A2562" s="49" t="s">
        <v>152</v>
      </c>
      <c r="B2562" s="50">
        <v>44377.0</v>
      </c>
      <c r="C2562" s="49" t="s">
        <v>780</v>
      </c>
      <c r="D2562" s="49">
        <v>0.0</v>
      </c>
    </row>
    <row r="2563" ht="15.0" hidden="1" customHeight="1">
      <c r="A2563" s="49" t="s">
        <v>157</v>
      </c>
      <c r="B2563" s="50">
        <v>44377.0</v>
      </c>
      <c r="C2563" s="49" t="s">
        <v>780</v>
      </c>
      <c r="D2563" s="49">
        <v>0.0</v>
      </c>
    </row>
    <row r="2564" ht="15.0" hidden="1" customHeight="1">
      <c r="A2564" s="49" t="s">
        <v>162</v>
      </c>
      <c r="B2564" s="50">
        <v>44377.0</v>
      </c>
      <c r="C2564" s="49" t="s">
        <v>780</v>
      </c>
      <c r="D2564" s="49">
        <v>0.0</v>
      </c>
    </row>
    <row r="2565" ht="15.0" hidden="1" customHeight="1">
      <c r="A2565" s="49" t="s">
        <v>167</v>
      </c>
      <c r="B2565" s="50">
        <v>44377.0</v>
      </c>
      <c r="C2565" s="49" t="s">
        <v>780</v>
      </c>
      <c r="D2565" s="49">
        <v>0.0</v>
      </c>
    </row>
    <row r="2566" ht="15.0" hidden="1" customHeight="1">
      <c r="A2566" s="49" t="s">
        <v>172</v>
      </c>
      <c r="B2566" s="50">
        <v>44377.0</v>
      </c>
      <c r="C2566" s="49" t="s">
        <v>780</v>
      </c>
      <c r="D2566" s="49">
        <v>0.0</v>
      </c>
    </row>
    <row r="2567" ht="15.0" hidden="1" customHeight="1">
      <c r="A2567" s="49" t="s">
        <v>177</v>
      </c>
      <c r="B2567" s="50">
        <v>44377.0</v>
      </c>
      <c r="C2567" s="49" t="s">
        <v>780</v>
      </c>
      <c r="D2567" s="49">
        <v>0.0</v>
      </c>
    </row>
    <row r="2568" ht="15.0" hidden="1" customHeight="1">
      <c r="A2568" s="49" t="s">
        <v>182</v>
      </c>
      <c r="B2568" s="50">
        <v>44377.0</v>
      </c>
      <c r="C2568" s="49" t="s">
        <v>780</v>
      </c>
      <c r="D2568" s="49">
        <v>0.0</v>
      </c>
    </row>
    <row r="2569" ht="15.0" hidden="1" customHeight="1">
      <c r="A2569" s="49" t="s">
        <v>187</v>
      </c>
      <c r="B2569" s="50">
        <v>44377.0</v>
      </c>
      <c r="C2569" s="49" t="s">
        <v>780</v>
      </c>
      <c r="D2569" s="49">
        <v>0.0</v>
      </c>
    </row>
    <row r="2570" ht="15.0" hidden="1" customHeight="1">
      <c r="A2570" s="49" t="s">
        <v>192</v>
      </c>
      <c r="B2570" s="50">
        <v>44377.0</v>
      </c>
      <c r="C2570" s="49" t="s">
        <v>780</v>
      </c>
      <c r="D2570" s="49">
        <v>4125000.0</v>
      </c>
    </row>
    <row r="2571" ht="15.0" hidden="1" customHeight="1">
      <c r="A2571" s="49" t="s">
        <v>197</v>
      </c>
      <c r="B2571" s="50">
        <v>44377.0</v>
      </c>
      <c r="C2571" s="49" t="s">
        <v>780</v>
      </c>
      <c r="D2571" s="49">
        <v>630924.61</v>
      </c>
    </row>
    <row r="2572" ht="15.0" hidden="1" customHeight="1">
      <c r="A2572" s="49" t="s">
        <v>202</v>
      </c>
      <c r="B2572" s="50">
        <v>44377.0</v>
      </c>
      <c r="C2572" s="49" t="s">
        <v>780</v>
      </c>
      <c r="D2572" s="49">
        <v>3788001.31</v>
      </c>
    </row>
    <row r="2573" ht="15.0" hidden="1" customHeight="1">
      <c r="A2573" s="49" t="s">
        <v>206</v>
      </c>
      <c r="B2573" s="50">
        <v>44377.0</v>
      </c>
      <c r="C2573" s="49" t="s">
        <v>780</v>
      </c>
      <c r="D2573" s="49">
        <v>110000.0</v>
      </c>
    </row>
    <row r="2574" ht="15.0" hidden="1" customHeight="1">
      <c r="A2574" s="49" t="s">
        <v>211</v>
      </c>
      <c r="B2574" s="50">
        <v>44377.0</v>
      </c>
      <c r="C2574" s="49" t="s">
        <v>780</v>
      </c>
      <c r="D2574" s="49">
        <v>750000.0</v>
      </c>
    </row>
    <row r="2575" ht="15.0" hidden="1" customHeight="1">
      <c r="A2575" s="49" t="s">
        <v>779</v>
      </c>
      <c r="B2575" s="50">
        <v>44377.0</v>
      </c>
      <c r="C2575" s="49" t="s">
        <v>780</v>
      </c>
      <c r="D2575" s="49">
        <v>0.0</v>
      </c>
    </row>
    <row r="2576" ht="15.0" hidden="1" customHeight="1">
      <c r="A2576" s="49" t="s">
        <v>221</v>
      </c>
      <c r="B2576" s="50">
        <v>44377.0</v>
      </c>
      <c r="C2576" s="49" t="s">
        <v>780</v>
      </c>
      <c r="D2576" s="49">
        <v>0.0</v>
      </c>
    </row>
    <row r="2577" ht="15.0" hidden="1" customHeight="1">
      <c r="A2577" s="49" t="s">
        <v>226</v>
      </c>
      <c r="B2577" s="50">
        <v>44377.0</v>
      </c>
      <c r="C2577" s="49" t="s">
        <v>780</v>
      </c>
      <c r="D2577" s="49">
        <v>0.0</v>
      </c>
    </row>
    <row r="2578" ht="15.0" hidden="1" customHeight="1">
      <c r="A2578" s="49" t="s">
        <v>231</v>
      </c>
      <c r="B2578" s="50">
        <v>44377.0</v>
      </c>
      <c r="C2578" s="49" t="s">
        <v>780</v>
      </c>
      <c r="D2578" s="49">
        <v>0.0</v>
      </c>
    </row>
    <row r="2579" ht="15.0" hidden="1" customHeight="1">
      <c r="A2579" s="49" t="s">
        <v>236</v>
      </c>
      <c r="B2579" s="50">
        <v>44377.0</v>
      </c>
      <c r="C2579" s="49" t="s">
        <v>780</v>
      </c>
      <c r="D2579" s="49">
        <v>0.0</v>
      </c>
    </row>
    <row r="2580" ht="15.0" hidden="1" customHeight="1">
      <c r="A2580" s="49" t="s">
        <v>242</v>
      </c>
      <c r="B2580" s="50">
        <v>44377.0</v>
      </c>
      <c r="C2580" s="49" t="s">
        <v>780</v>
      </c>
      <c r="D2580" s="49">
        <v>0.0</v>
      </c>
    </row>
    <row r="2581" ht="15.0" hidden="1" customHeight="1">
      <c r="A2581" s="49" t="s">
        <v>248</v>
      </c>
      <c r="B2581" s="50">
        <v>44377.0</v>
      </c>
      <c r="C2581" s="49" t="s">
        <v>780</v>
      </c>
      <c r="D2581" s="49">
        <v>0.0</v>
      </c>
    </row>
    <row r="2582" ht="15.0" hidden="1" customHeight="1">
      <c r="A2582" s="49" t="s">
        <v>253</v>
      </c>
      <c r="B2582" s="50">
        <v>44377.0</v>
      </c>
      <c r="C2582" s="49" t="s">
        <v>780</v>
      </c>
      <c r="D2582" s="49">
        <v>2715649.0</v>
      </c>
    </row>
    <row r="2583" ht="15.0" hidden="1" customHeight="1">
      <c r="A2583" s="49" t="s">
        <v>258</v>
      </c>
      <c r="B2583" s="50">
        <v>44377.0</v>
      </c>
      <c r="C2583" s="49" t="s">
        <v>780</v>
      </c>
      <c r="D2583" s="49">
        <v>0.0</v>
      </c>
    </row>
    <row r="2584" ht="15.0" hidden="1" customHeight="1">
      <c r="A2584" s="49" t="s">
        <v>263</v>
      </c>
      <c r="B2584" s="50">
        <v>44377.0</v>
      </c>
      <c r="C2584" s="49" t="s">
        <v>780</v>
      </c>
      <c r="D2584" s="49">
        <v>0.0</v>
      </c>
    </row>
    <row r="2585" ht="15.0" hidden="1" customHeight="1">
      <c r="A2585" s="49" t="s">
        <v>268</v>
      </c>
      <c r="B2585" s="50">
        <v>44377.0</v>
      </c>
      <c r="C2585" s="49" t="s">
        <v>780</v>
      </c>
      <c r="D2585" s="49">
        <v>0.0</v>
      </c>
    </row>
    <row r="2586" ht="15.0" hidden="1" customHeight="1">
      <c r="A2586" s="49" t="s">
        <v>273</v>
      </c>
      <c r="B2586" s="50">
        <v>44377.0</v>
      </c>
      <c r="C2586" s="49" t="s">
        <v>780</v>
      </c>
      <c r="D2586" s="49">
        <v>0.0</v>
      </c>
    </row>
    <row r="2587" ht="15.0" hidden="1" customHeight="1">
      <c r="A2587" s="49" t="s">
        <v>278</v>
      </c>
      <c r="B2587" s="50">
        <v>44377.0</v>
      </c>
      <c r="C2587" s="49" t="s">
        <v>780</v>
      </c>
      <c r="D2587" s="49">
        <v>0.0</v>
      </c>
    </row>
    <row r="2588" ht="15.0" hidden="1" customHeight="1">
      <c r="A2588" s="49" t="s">
        <v>283</v>
      </c>
      <c r="B2588" s="50">
        <v>44377.0</v>
      </c>
      <c r="C2588" s="49" t="s">
        <v>780</v>
      </c>
      <c r="D2588" s="49">
        <v>0.0</v>
      </c>
    </row>
    <row r="2589" ht="15.0" hidden="1" customHeight="1">
      <c r="A2589" s="49" t="s">
        <v>288</v>
      </c>
      <c r="B2589" s="50">
        <v>44377.0</v>
      </c>
      <c r="C2589" s="49" t="s">
        <v>780</v>
      </c>
      <c r="D2589" s="49">
        <v>0.0</v>
      </c>
    </row>
    <row r="2590" ht="15.0" hidden="1" customHeight="1">
      <c r="A2590" s="49" t="s">
        <v>293</v>
      </c>
      <c r="B2590" s="50">
        <v>44377.0</v>
      </c>
      <c r="C2590" s="49" t="s">
        <v>780</v>
      </c>
      <c r="D2590" s="49">
        <v>0.0</v>
      </c>
    </row>
    <row r="2591" ht="15.0" hidden="1" customHeight="1">
      <c r="A2591" s="49" t="s">
        <v>298</v>
      </c>
      <c r="B2591" s="50">
        <v>44377.0</v>
      </c>
      <c r="C2591" s="49" t="s">
        <v>780</v>
      </c>
      <c r="D2591" s="49">
        <v>0.0</v>
      </c>
    </row>
    <row r="2592" ht="15.0" hidden="1" customHeight="1">
      <c r="A2592" s="49" t="s">
        <v>303</v>
      </c>
      <c r="B2592" s="50">
        <v>44377.0</v>
      </c>
      <c r="C2592" s="49" t="s">
        <v>780</v>
      </c>
      <c r="D2592" s="49">
        <v>0.0</v>
      </c>
    </row>
    <row r="2593" ht="15.0" hidden="1" customHeight="1">
      <c r="A2593" s="49" t="s">
        <v>307</v>
      </c>
      <c r="B2593" s="50">
        <v>44377.0</v>
      </c>
      <c r="C2593" s="49" t="s">
        <v>780</v>
      </c>
      <c r="D2593" s="49">
        <v>0.0</v>
      </c>
    </row>
    <row r="2594" ht="15.0" hidden="1" customHeight="1">
      <c r="A2594" s="49" t="s">
        <v>313</v>
      </c>
      <c r="B2594" s="50">
        <v>44377.0</v>
      </c>
      <c r="C2594" s="49" t="s">
        <v>780</v>
      </c>
      <c r="D2594" s="49">
        <v>0.0</v>
      </c>
    </row>
    <row r="2595" ht="15.0" hidden="1" customHeight="1">
      <c r="A2595" s="49" t="s">
        <v>318</v>
      </c>
      <c r="B2595" s="50">
        <v>44377.0</v>
      </c>
      <c r="C2595" s="49" t="s">
        <v>780</v>
      </c>
      <c r="D2595" s="49">
        <v>0.0</v>
      </c>
    </row>
    <row r="2596" ht="15.0" hidden="1" customHeight="1">
      <c r="A2596" s="49" t="s">
        <v>323</v>
      </c>
      <c r="B2596" s="50">
        <v>44377.0</v>
      </c>
      <c r="C2596" s="49" t="s">
        <v>780</v>
      </c>
      <c r="D2596" s="49">
        <v>0.0</v>
      </c>
    </row>
    <row r="2597" ht="15.0" hidden="1" customHeight="1">
      <c r="A2597" s="49" t="s">
        <v>328</v>
      </c>
      <c r="B2597" s="50">
        <v>44377.0</v>
      </c>
      <c r="C2597" s="49" t="s">
        <v>780</v>
      </c>
      <c r="D2597" s="49">
        <v>0.0</v>
      </c>
    </row>
    <row r="2598" ht="15.0" hidden="1" customHeight="1">
      <c r="A2598" s="49" t="s">
        <v>335</v>
      </c>
      <c r="B2598" s="50">
        <v>44377.0</v>
      </c>
      <c r="C2598" s="49" t="s">
        <v>780</v>
      </c>
      <c r="D2598" s="49">
        <v>0.0</v>
      </c>
    </row>
    <row r="2599" ht="15.0" hidden="1" customHeight="1">
      <c r="A2599" s="49" t="s">
        <v>340</v>
      </c>
      <c r="B2599" s="50">
        <v>44377.0</v>
      </c>
      <c r="C2599" s="49" t="s">
        <v>780</v>
      </c>
      <c r="D2599" s="49">
        <v>0.0</v>
      </c>
    </row>
    <row r="2600" ht="15.0" hidden="1" customHeight="1">
      <c r="A2600" s="49" t="s">
        <v>345</v>
      </c>
      <c r="B2600" s="50">
        <v>44377.0</v>
      </c>
      <c r="C2600" s="49" t="s">
        <v>780</v>
      </c>
      <c r="D2600" s="49">
        <v>0.0</v>
      </c>
    </row>
    <row r="2601" ht="15.0" hidden="1" customHeight="1">
      <c r="A2601" s="49" t="s">
        <v>350</v>
      </c>
      <c r="B2601" s="50">
        <v>44377.0</v>
      </c>
      <c r="C2601" s="49" t="s">
        <v>780</v>
      </c>
      <c r="D2601" s="49">
        <v>0.0</v>
      </c>
    </row>
    <row r="2602" ht="15.0" hidden="1" customHeight="1">
      <c r="A2602" s="49" t="s">
        <v>355</v>
      </c>
      <c r="B2602" s="50">
        <v>44377.0</v>
      </c>
      <c r="C2602" s="49" t="s">
        <v>780</v>
      </c>
      <c r="D2602" s="49">
        <v>0.0</v>
      </c>
    </row>
    <row r="2603" ht="15.0" hidden="1" customHeight="1">
      <c r="A2603" s="49" t="s">
        <v>360</v>
      </c>
      <c r="B2603" s="50">
        <v>44377.0</v>
      </c>
      <c r="C2603" s="49" t="s">
        <v>780</v>
      </c>
      <c r="D2603" s="49">
        <v>0.0</v>
      </c>
    </row>
    <row r="2604" ht="15.0" hidden="1" customHeight="1">
      <c r="A2604" s="49" t="s">
        <v>365</v>
      </c>
      <c r="B2604" s="50">
        <v>44377.0</v>
      </c>
      <c r="C2604" s="49" t="s">
        <v>780</v>
      </c>
      <c r="D2604" s="49">
        <v>0.0</v>
      </c>
    </row>
    <row r="2605" ht="15.0" hidden="1" customHeight="1">
      <c r="A2605" s="49" t="s">
        <v>370</v>
      </c>
      <c r="B2605" s="50">
        <v>44377.0</v>
      </c>
      <c r="C2605" s="49" t="s">
        <v>780</v>
      </c>
      <c r="D2605" s="49">
        <v>0.0</v>
      </c>
    </row>
    <row r="2606" ht="15.0" hidden="1" customHeight="1">
      <c r="A2606" s="49" t="s">
        <v>375</v>
      </c>
      <c r="B2606" s="50">
        <v>44377.0</v>
      </c>
      <c r="C2606" s="49" t="s">
        <v>780</v>
      </c>
      <c r="D2606" s="49">
        <v>0.0</v>
      </c>
    </row>
    <row r="2607" ht="15.0" hidden="1" customHeight="1">
      <c r="A2607" s="49" t="s">
        <v>380</v>
      </c>
      <c r="B2607" s="50">
        <v>44377.0</v>
      </c>
      <c r="C2607" s="49" t="s">
        <v>780</v>
      </c>
      <c r="D2607" s="49">
        <v>0.0</v>
      </c>
    </row>
    <row r="2608" ht="15.0" hidden="1" customHeight="1">
      <c r="A2608" s="49" t="s">
        <v>385</v>
      </c>
      <c r="B2608" s="50">
        <v>44377.0</v>
      </c>
      <c r="C2608" s="49" t="s">
        <v>780</v>
      </c>
      <c r="D2608" s="49">
        <v>0.0</v>
      </c>
    </row>
    <row r="2609" ht="15.0" hidden="1" customHeight="1">
      <c r="A2609" s="49" t="s">
        <v>390</v>
      </c>
      <c r="B2609" s="50">
        <v>44377.0</v>
      </c>
      <c r="C2609" s="49" t="s">
        <v>780</v>
      </c>
      <c r="D2609" s="49">
        <v>0.0</v>
      </c>
    </row>
    <row r="2610" ht="15.0" hidden="1" customHeight="1">
      <c r="A2610" s="49" t="s">
        <v>395</v>
      </c>
      <c r="B2610" s="50">
        <v>44377.0</v>
      </c>
      <c r="C2610" s="49" t="s">
        <v>780</v>
      </c>
      <c r="D2610" s="49">
        <v>0.0</v>
      </c>
    </row>
    <row r="2611" ht="15.0" hidden="1" customHeight="1">
      <c r="A2611" s="49" t="s">
        <v>400</v>
      </c>
      <c r="B2611" s="50">
        <v>44377.0</v>
      </c>
      <c r="C2611" s="49" t="s">
        <v>780</v>
      </c>
      <c r="D2611" s="49">
        <v>0.0</v>
      </c>
    </row>
    <row r="2612" ht="15.0" hidden="1" customHeight="1">
      <c r="A2612" s="49" t="s">
        <v>405</v>
      </c>
      <c r="B2612" s="50">
        <v>44377.0</v>
      </c>
      <c r="C2612" s="49" t="s">
        <v>780</v>
      </c>
      <c r="D2612" s="49">
        <v>0.0</v>
      </c>
    </row>
    <row r="2613" ht="15.0" hidden="1" customHeight="1">
      <c r="A2613" s="49" t="s">
        <v>410</v>
      </c>
      <c r="B2613" s="50">
        <v>44377.0</v>
      </c>
      <c r="C2613" s="49" t="s">
        <v>780</v>
      </c>
      <c r="D2613" s="49">
        <v>0.0</v>
      </c>
    </row>
    <row r="2614" ht="15.0" hidden="1" customHeight="1">
      <c r="A2614" s="49" t="s">
        <v>415</v>
      </c>
      <c r="B2614" s="50">
        <v>44377.0</v>
      </c>
      <c r="C2614" s="49" t="s">
        <v>780</v>
      </c>
      <c r="D2614" s="49">
        <v>0.0</v>
      </c>
    </row>
    <row r="2615" ht="15.0" hidden="1" customHeight="1">
      <c r="A2615" s="49" t="s">
        <v>420</v>
      </c>
      <c r="B2615" s="50">
        <v>44377.0</v>
      </c>
      <c r="C2615" s="49" t="s">
        <v>780</v>
      </c>
      <c r="D2615" s="49">
        <v>0.0</v>
      </c>
    </row>
    <row r="2616" ht="15.0" hidden="1" customHeight="1">
      <c r="A2616" s="49" t="s">
        <v>425</v>
      </c>
      <c r="B2616" s="50">
        <v>44377.0</v>
      </c>
      <c r="C2616" s="49" t="s">
        <v>780</v>
      </c>
      <c r="D2616" s="49">
        <v>0.0</v>
      </c>
    </row>
    <row r="2617" ht="15.0" hidden="1" customHeight="1">
      <c r="A2617" s="49" t="s">
        <v>430</v>
      </c>
      <c r="B2617" s="50">
        <v>44377.0</v>
      </c>
      <c r="C2617" s="49" t="s">
        <v>780</v>
      </c>
      <c r="D2617" s="49">
        <v>0.0</v>
      </c>
    </row>
    <row r="2618" ht="15.0" hidden="1" customHeight="1">
      <c r="A2618" s="49" t="s">
        <v>434</v>
      </c>
      <c r="B2618" s="50">
        <v>44377.0</v>
      </c>
      <c r="C2618" s="49" t="s">
        <v>780</v>
      </c>
      <c r="D2618" s="49">
        <v>0.0</v>
      </c>
    </row>
    <row r="2619" ht="15.0" hidden="1" customHeight="1">
      <c r="A2619" s="49" t="s">
        <v>439</v>
      </c>
      <c r="B2619" s="50">
        <v>44377.0</v>
      </c>
      <c r="C2619" s="49" t="s">
        <v>780</v>
      </c>
      <c r="D2619" s="49">
        <v>0.0</v>
      </c>
    </row>
    <row r="2620" ht="15.0" hidden="1" customHeight="1">
      <c r="A2620" s="49" t="s">
        <v>444</v>
      </c>
      <c r="B2620" s="50">
        <v>44377.0</v>
      </c>
      <c r="C2620" s="49" t="s">
        <v>780</v>
      </c>
      <c r="D2620" s="49">
        <v>0.0</v>
      </c>
    </row>
    <row r="2621" ht="15.0" hidden="1" customHeight="1">
      <c r="A2621" s="49" t="s">
        <v>449</v>
      </c>
      <c r="B2621" s="50">
        <v>44377.0</v>
      </c>
      <c r="C2621" s="49" t="s">
        <v>780</v>
      </c>
      <c r="D2621" s="49">
        <v>0.0</v>
      </c>
    </row>
    <row r="2622" ht="15.0" hidden="1" customHeight="1">
      <c r="A2622" s="49" t="s">
        <v>455</v>
      </c>
      <c r="B2622" s="50">
        <v>44377.0</v>
      </c>
      <c r="C2622" s="49" t="s">
        <v>780</v>
      </c>
      <c r="D2622" s="49">
        <v>0.0</v>
      </c>
    </row>
    <row r="2623" ht="15.0" hidden="1" customHeight="1">
      <c r="A2623" s="49" t="s">
        <v>470</v>
      </c>
      <c r="B2623" s="50">
        <v>44377.0</v>
      </c>
      <c r="C2623" s="49" t="s">
        <v>780</v>
      </c>
      <c r="D2623" s="49">
        <v>0.0</v>
      </c>
    </row>
    <row r="2624" ht="15.0" hidden="1" customHeight="1">
      <c r="A2624" s="49" t="s">
        <v>476</v>
      </c>
      <c r="B2624" s="50">
        <v>44377.0</v>
      </c>
      <c r="C2624" s="49" t="s">
        <v>780</v>
      </c>
      <c r="D2624" s="49">
        <v>0.0</v>
      </c>
    </row>
    <row r="2625" ht="15.0" hidden="1" customHeight="1">
      <c r="A2625" s="49" t="s">
        <v>481</v>
      </c>
      <c r="B2625" s="50">
        <v>44377.0</v>
      </c>
      <c r="C2625" s="49" t="s">
        <v>780</v>
      </c>
      <c r="D2625" s="49">
        <v>0.0</v>
      </c>
    </row>
    <row r="2626" ht="15.0" hidden="1" customHeight="1">
      <c r="A2626" s="49" t="s">
        <v>486</v>
      </c>
      <c r="B2626" s="50">
        <v>44377.0</v>
      </c>
      <c r="C2626" s="49" t="s">
        <v>780</v>
      </c>
      <c r="D2626" s="49">
        <v>0.0</v>
      </c>
    </row>
    <row r="2627" ht="15.0" hidden="1" customHeight="1">
      <c r="A2627" s="49" t="s">
        <v>491</v>
      </c>
      <c r="B2627" s="50">
        <v>44377.0</v>
      </c>
      <c r="C2627" s="49" t="s">
        <v>780</v>
      </c>
      <c r="D2627" s="49">
        <v>0.0</v>
      </c>
    </row>
    <row r="2628" ht="15.0" hidden="1" customHeight="1">
      <c r="A2628" s="49" t="s">
        <v>496</v>
      </c>
      <c r="B2628" s="50">
        <v>44377.0</v>
      </c>
      <c r="C2628" s="49" t="s">
        <v>780</v>
      </c>
      <c r="D2628" s="49">
        <v>0.0</v>
      </c>
    </row>
    <row r="2629" ht="15.0" hidden="1" customHeight="1">
      <c r="A2629" s="49" t="s">
        <v>501</v>
      </c>
      <c r="B2629" s="50">
        <v>44377.0</v>
      </c>
      <c r="C2629" s="49" t="s">
        <v>780</v>
      </c>
      <c r="D2629" s="49">
        <v>0.0</v>
      </c>
    </row>
    <row r="2630" ht="15.0" hidden="1" customHeight="1">
      <c r="A2630" s="49" t="s">
        <v>506</v>
      </c>
      <c r="B2630" s="50">
        <v>44377.0</v>
      </c>
      <c r="C2630" s="49" t="s">
        <v>780</v>
      </c>
      <c r="D2630" s="49">
        <v>0.0</v>
      </c>
    </row>
    <row r="2631" ht="15.0" hidden="1" customHeight="1">
      <c r="A2631" s="49" t="s">
        <v>512</v>
      </c>
      <c r="B2631" s="50">
        <v>44377.0</v>
      </c>
      <c r="C2631" s="49" t="s">
        <v>780</v>
      </c>
      <c r="D2631" s="49">
        <v>0.0</v>
      </c>
    </row>
    <row r="2632" ht="15.0" hidden="1" customHeight="1">
      <c r="A2632" s="49" t="s">
        <v>517</v>
      </c>
      <c r="B2632" s="50">
        <v>44377.0</v>
      </c>
      <c r="C2632" s="49" t="s">
        <v>780</v>
      </c>
      <c r="D2632" s="49">
        <v>0.0</v>
      </c>
    </row>
    <row r="2633" ht="15.0" hidden="1" customHeight="1">
      <c r="A2633" s="49" t="s">
        <v>522</v>
      </c>
      <c r="B2633" s="50">
        <v>44377.0</v>
      </c>
      <c r="C2633" s="49" t="s">
        <v>780</v>
      </c>
      <c r="D2633" s="49">
        <v>0.0</v>
      </c>
    </row>
    <row r="2634" ht="15.0" hidden="1" customHeight="1">
      <c r="A2634" s="49" t="s">
        <v>528</v>
      </c>
      <c r="B2634" s="50">
        <v>44377.0</v>
      </c>
      <c r="C2634" s="49" t="s">
        <v>780</v>
      </c>
      <c r="D2634" s="49">
        <v>0.0</v>
      </c>
    </row>
    <row r="2635" ht="15.0" hidden="1" customHeight="1">
      <c r="A2635" s="49" t="s">
        <v>533</v>
      </c>
      <c r="B2635" s="50">
        <v>44377.0</v>
      </c>
      <c r="C2635" s="49" t="s">
        <v>780</v>
      </c>
      <c r="D2635" s="49">
        <v>0.0</v>
      </c>
    </row>
    <row r="2636" ht="15.0" hidden="1" customHeight="1">
      <c r="A2636" s="49" t="s">
        <v>538</v>
      </c>
      <c r="B2636" s="50">
        <v>44377.0</v>
      </c>
      <c r="C2636" s="49" t="s">
        <v>780</v>
      </c>
      <c r="D2636" s="49">
        <v>0.0</v>
      </c>
    </row>
    <row r="2637" ht="15.0" hidden="1" customHeight="1">
      <c r="A2637" s="49" t="s">
        <v>546</v>
      </c>
      <c r="B2637" s="50">
        <v>44377.0</v>
      </c>
      <c r="C2637" s="49" t="s">
        <v>780</v>
      </c>
      <c r="D2637" s="49">
        <v>0.0</v>
      </c>
    </row>
    <row r="2638" ht="15.0" hidden="1" customHeight="1">
      <c r="A2638" s="49" t="s">
        <v>551</v>
      </c>
      <c r="B2638" s="50">
        <v>44377.0</v>
      </c>
      <c r="C2638" s="49" t="s">
        <v>780</v>
      </c>
      <c r="D2638" s="49">
        <v>0.0</v>
      </c>
    </row>
    <row r="2639" ht="15.0" hidden="1" customHeight="1">
      <c r="A2639" s="49" t="s">
        <v>556</v>
      </c>
      <c r="B2639" s="50">
        <v>44377.0</v>
      </c>
      <c r="C2639" s="49" t="s">
        <v>780</v>
      </c>
      <c r="D2639" s="49">
        <v>0.0</v>
      </c>
    </row>
    <row r="2640" ht="15.0" hidden="1" customHeight="1">
      <c r="A2640" s="49" t="s">
        <v>561</v>
      </c>
      <c r="B2640" s="50">
        <v>44377.0</v>
      </c>
      <c r="C2640" s="49" t="s">
        <v>780</v>
      </c>
      <c r="D2640" s="49">
        <v>0.0</v>
      </c>
    </row>
    <row r="2641" ht="15.0" hidden="1" customHeight="1">
      <c r="A2641" s="49" t="s">
        <v>566</v>
      </c>
      <c r="B2641" s="50">
        <v>44377.0</v>
      </c>
      <c r="C2641" s="49" t="s">
        <v>780</v>
      </c>
      <c r="D2641" s="49">
        <v>0.0</v>
      </c>
    </row>
    <row r="2642" ht="15.0" hidden="1" customHeight="1">
      <c r="A2642" s="49" t="s">
        <v>571</v>
      </c>
      <c r="B2642" s="50">
        <v>44377.0</v>
      </c>
      <c r="C2642" s="49" t="s">
        <v>780</v>
      </c>
      <c r="D2642" s="49">
        <v>0.0</v>
      </c>
    </row>
    <row r="2643" ht="15.0" hidden="1" customHeight="1">
      <c r="A2643" s="49" t="s">
        <v>576</v>
      </c>
      <c r="B2643" s="50">
        <v>44377.0</v>
      </c>
      <c r="C2643" s="49" t="s">
        <v>780</v>
      </c>
      <c r="D2643" s="49">
        <v>0.0</v>
      </c>
    </row>
    <row r="2644" ht="15.0" hidden="1" customHeight="1">
      <c r="A2644" s="49" t="s">
        <v>581</v>
      </c>
      <c r="B2644" s="50">
        <v>44377.0</v>
      </c>
      <c r="C2644" s="49" t="s">
        <v>780</v>
      </c>
      <c r="D2644" s="49">
        <v>0.0</v>
      </c>
    </row>
    <row r="2645" ht="15.0" hidden="1" customHeight="1">
      <c r="A2645" s="49" t="s">
        <v>586</v>
      </c>
      <c r="B2645" s="50">
        <v>44377.0</v>
      </c>
      <c r="C2645" s="49" t="s">
        <v>780</v>
      </c>
      <c r="D2645" s="49">
        <v>0.0</v>
      </c>
    </row>
    <row r="2646" ht="15.0" hidden="1" customHeight="1">
      <c r="A2646" s="49" t="s">
        <v>754</v>
      </c>
      <c r="B2646" s="50">
        <v>44377.0</v>
      </c>
      <c r="C2646" s="49" t="s">
        <v>780</v>
      </c>
      <c r="D2646" s="49">
        <v>0.0</v>
      </c>
    </row>
    <row r="2647" ht="15.0" hidden="1" customHeight="1">
      <c r="A2647" s="49" t="s">
        <v>591</v>
      </c>
      <c r="B2647" s="50">
        <v>44377.0</v>
      </c>
      <c r="C2647" s="49" t="s">
        <v>780</v>
      </c>
      <c r="D2647" s="49">
        <v>0.0</v>
      </c>
    </row>
    <row r="2648" ht="15.0" hidden="1" customHeight="1">
      <c r="A2648" s="49" t="s">
        <v>759</v>
      </c>
      <c r="B2648" s="50">
        <v>44377.0</v>
      </c>
      <c r="C2648" s="49" t="s">
        <v>780</v>
      </c>
      <c r="D2648" s="49">
        <v>0.0</v>
      </c>
    </row>
    <row r="2649" ht="15.0" hidden="1" customHeight="1">
      <c r="A2649" s="49" t="s">
        <v>596</v>
      </c>
      <c r="B2649" s="50">
        <v>44377.0</v>
      </c>
      <c r="C2649" s="49" t="s">
        <v>780</v>
      </c>
      <c r="D2649" s="49">
        <v>0.0</v>
      </c>
    </row>
    <row r="2650" ht="15.0" hidden="1" customHeight="1">
      <c r="A2650" s="49" t="s">
        <v>602</v>
      </c>
      <c r="B2650" s="50">
        <v>44377.0</v>
      </c>
      <c r="C2650" s="49" t="s">
        <v>780</v>
      </c>
      <c r="D2650" s="49">
        <v>0.0</v>
      </c>
    </row>
    <row r="2651" ht="15.0" hidden="1" customHeight="1">
      <c r="A2651" s="49" t="s">
        <v>607</v>
      </c>
      <c r="B2651" s="50">
        <v>44377.0</v>
      </c>
      <c r="C2651" s="49" t="s">
        <v>780</v>
      </c>
      <c r="D2651" s="49">
        <v>0.0</v>
      </c>
    </row>
    <row r="2652" ht="15.0" hidden="1" customHeight="1">
      <c r="A2652" s="49" t="s">
        <v>612</v>
      </c>
      <c r="B2652" s="50">
        <v>44377.0</v>
      </c>
      <c r="C2652" s="49" t="s">
        <v>780</v>
      </c>
      <c r="D2652" s="49">
        <v>0.0</v>
      </c>
    </row>
    <row r="2653" ht="15.0" hidden="1" customHeight="1">
      <c r="A2653" s="49" t="s">
        <v>617</v>
      </c>
      <c r="B2653" s="50">
        <v>44377.0</v>
      </c>
      <c r="C2653" s="49" t="s">
        <v>780</v>
      </c>
      <c r="D2653" s="49">
        <v>0.0</v>
      </c>
    </row>
    <row r="2654" ht="15.0" hidden="1" customHeight="1">
      <c r="A2654" s="49" t="s">
        <v>622</v>
      </c>
      <c r="B2654" s="50">
        <v>44377.0</v>
      </c>
      <c r="C2654" s="49" t="s">
        <v>780</v>
      </c>
      <c r="D2654" s="49">
        <v>0.0</v>
      </c>
    </row>
    <row r="2655" ht="15.0" hidden="1" customHeight="1">
      <c r="A2655" s="49" t="s">
        <v>627</v>
      </c>
      <c r="B2655" s="50">
        <v>44377.0</v>
      </c>
      <c r="C2655" s="49" t="s">
        <v>780</v>
      </c>
      <c r="D2655" s="49">
        <v>0.0</v>
      </c>
    </row>
    <row r="2656" ht="15.0" hidden="1" customHeight="1">
      <c r="A2656" s="49" t="s">
        <v>631</v>
      </c>
      <c r="B2656" s="50">
        <v>44377.0</v>
      </c>
      <c r="C2656" s="49" t="s">
        <v>780</v>
      </c>
      <c r="D2656" s="49">
        <v>0.0</v>
      </c>
    </row>
    <row r="2657" ht="15.0" hidden="1" customHeight="1">
      <c r="A2657" s="49" t="s">
        <v>636</v>
      </c>
      <c r="B2657" s="50">
        <v>44377.0</v>
      </c>
      <c r="C2657" s="49" t="s">
        <v>780</v>
      </c>
      <c r="D2657" s="49">
        <v>0.0</v>
      </c>
    </row>
    <row r="2658" ht="15.0" hidden="1" customHeight="1">
      <c r="A2658" s="49" t="s">
        <v>640</v>
      </c>
      <c r="B2658" s="50">
        <v>44377.0</v>
      </c>
      <c r="C2658" s="49" t="s">
        <v>780</v>
      </c>
      <c r="D2658" s="49">
        <v>0.0</v>
      </c>
    </row>
    <row r="2659" ht="15.0" hidden="1" customHeight="1">
      <c r="A2659" s="49" t="s">
        <v>644</v>
      </c>
      <c r="B2659" s="50">
        <v>44377.0</v>
      </c>
      <c r="C2659" s="49" t="s">
        <v>780</v>
      </c>
      <c r="D2659" s="49">
        <v>0.0</v>
      </c>
    </row>
    <row r="2660" ht="15.0" hidden="1" customHeight="1">
      <c r="A2660" s="49" t="s">
        <v>649</v>
      </c>
      <c r="B2660" s="50">
        <v>44377.0</v>
      </c>
      <c r="C2660" s="49" t="s">
        <v>780</v>
      </c>
      <c r="D2660" s="49">
        <v>0.0</v>
      </c>
    </row>
    <row r="2661" ht="15.0" hidden="1" customHeight="1">
      <c r="A2661" s="49" t="s">
        <v>654</v>
      </c>
      <c r="B2661" s="50">
        <v>44377.0</v>
      </c>
      <c r="C2661" s="49" t="s">
        <v>780</v>
      </c>
      <c r="D2661" s="49">
        <v>0.0</v>
      </c>
    </row>
    <row r="2662" ht="15.0" hidden="1" customHeight="1">
      <c r="A2662" s="49" t="s">
        <v>659</v>
      </c>
      <c r="B2662" s="50">
        <v>44377.0</v>
      </c>
      <c r="C2662" s="49" t="s">
        <v>780</v>
      </c>
      <c r="D2662" s="49">
        <v>0.0</v>
      </c>
    </row>
    <row r="2663" ht="15.0" hidden="1" customHeight="1">
      <c r="A2663" s="49" t="s">
        <v>664</v>
      </c>
      <c r="B2663" s="50">
        <v>44377.0</v>
      </c>
      <c r="C2663" s="49" t="s">
        <v>780</v>
      </c>
      <c r="D2663" s="49">
        <v>0.0</v>
      </c>
    </row>
    <row r="2664" ht="15.0" hidden="1" customHeight="1">
      <c r="A2664" s="49" t="s">
        <v>669</v>
      </c>
      <c r="B2664" s="50">
        <v>44377.0</v>
      </c>
      <c r="C2664" s="49" t="s">
        <v>780</v>
      </c>
      <c r="D2664" s="49">
        <v>0.0</v>
      </c>
    </row>
    <row r="2665" ht="15.0" hidden="1" customHeight="1">
      <c r="A2665" s="49" t="s">
        <v>674</v>
      </c>
      <c r="B2665" s="50">
        <v>44377.0</v>
      </c>
      <c r="C2665" s="49" t="s">
        <v>780</v>
      </c>
      <c r="D2665" s="49">
        <v>0.0</v>
      </c>
    </row>
    <row r="2666" ht="15.0" hidden="1" customHeight="1">
      <c r="A2666" s="49" t="s">
        <v>679</v>
      </c>
      <c r="B2666" s="50">
        <v>44377.0</v>
      </c>
      <c r="C2666" s="49" t="s">
        <v>780</v>
      </c>
      <c r="D2666" s="49">
        <v>0.0</v>
      </c>
    </row>
    <row r="2667" ht="15.0" hidden="1" customHeight="1">
      <c r="A2667" s="49" t="s">
        <v>684</v>
      </c>
      <c r="B2667" s="50">
        <v>44377.0</v>
      </c>
      <c r="C2667" s="49" t="s">
        <v>780</v>
      </c>
      <c r="D2667" s="49">
        <v>0.0</v>
      </c>
    </row>
    <row r="2668" ht="15.0" hidden="1" customHeight="1">
      <c r="A2668" s="49" t="s">
        <v>689</v>
      </c>
      <c r="B2668" s="50">
        <v>44377.0</v>
      </c>
      <c r="C2668" s="49" t="s">
        <v>780</v>
      </c>
      <c r="D2668" s="49">
        <v>0.0</v>
      </c>
    </row>
    <row r="2669" ht="15.0" hidden="1" customHeight="1">
      <c r="A2669" s="49" t="s">
        <v>694</v>
      </c>
      <c r="B2669" s="50">
        <v>44377.0</v>
      </c>
      <c r="C2669" s="49" t="s">
        <v>780</v>
      </c>
      <c r="D2669" s="49">
        <v>0.0</v>
      </c>
    </row>
    <row r="2670" ht="15.0" hidden="1" customHeight="1">
      <c r="A2670" s="49" t="s">
        <v>699</v>
      </c>
      <c r="B2670" s="50">
        <v>44377.0</v>
      </c>
      <c r="C2670" s="49" t="s">
        <v>780</v>
      </c>
      <c r="D2670" s="49">
        <v>0.0</v>
      </c>
    </row>
    <row r="2671" ht="15.0" hidden="1" customHeight="1">
      <c r="A2671" s="49" t="s">
        <v>705</v>
      </c>
      <c r="B2671" s="50">
        <v>44377.0</v>
      </c>
      <c r="C2671" s="49" t="s">
        <v>780</v>
      </c>
      <c r="D2671" s="49">
        <v>0.0</v>
      </c>
    </row>
    <row r="2672" ht="15.0" hidden="1" customHeight="1">
      <c r="A2672" s="49" t="s">
        <v>710</v>
      </c>
      <c r="B2672" s="50">
        <v>44377.0</v>
      </c>
      <c r="C2672" s="49" t="s">
        <v>780</v>
      </c>
      <c r="D2672" s="49">
        <v>0.0</v>
      </c>
    </row>
    <row r="2673" ht="15.0" hidden="1" customHeight="1">
      <c r="A2673" s="49" t="s">
        <v>715</v>
      </c>
      <c r="B2673" s="50">
        <v>44377.0</v>
      </c>
      <c r="C2673" s="49" t="s">
        <v>780</v>
      </c>
      <c r="D2673" s="49">
        <v>0.0</v>
      </c>
    </row>
    <row r="2674" ht="15.0" hidden="1" customHeight="1">
      <c r="A2674" s="49" t="s">
        <v>765</v>
      </c>
      <c r="B2674" s="50">
        <v>44377.0</v>
      </c>
      <c r="C2674" s="49" t="s">
        <v>780</v>
      </c>
      <c r="D2674" s="49">
        <v>0.0</v>
      </c>
    </row>
    <row r="2675" ht="15.0" hidden="1" customHeight="1">
      <c r="A2675" s="49" t="s">
        <v>720</v>
      </c>
      <c r="B2675" s="50">
        <v>44377.0</v>
      </c>
      <c r="C2675" s="49" t="s">
        <v>780</v>
      </c>
      <c r="D2675" s="49">
        <v>0.0</v>
      </c>
    </row>
    <row r="2676" ht="15.0" hidden="1" customHeight="1">
      <c r="A2676" s="49" t="s">
        <v>725</v>
      </c>
      <c r="B2676" s="50">
        <v>44377.0</v>
      </c>
      <c r="C2676" s="49" t="s">
        <v>780</v>
      </c>
      <c r="D2676" s="49">
        <v>0.0</v>
      </c>
    </row>
    <row r="2677" ht="15.0" hidden="1" customHeight="1">
      <c r="A2677" s="49" t="s">
        <v>730</v>
      </c>
      <c r="B2677" s="50">
        <v>44377.0</v>
      </c>
      <c r="C2677" s="49" t="s">
        <v>780</v>
      </c>
      <c r="D2677" s="49">
        <v>0.0</v>
      </c>
    </row>
    <row r="2678" ht="15.0" hidden="1" customHeight="1">
      <c r="A2678" s="49" t="s">
        <v>734</v>
      </c>
      <c r="B2678" s="50">
        <v>44377.0</v>
      </c>
      <c r="C2678" s="49" t="s">
        <v>780</v>
      </c>
      <c r="D2678" s="49">
        <v>0.0</v>
      </c>
    </row>
    <row r="2679" ht="15.0" hidden="1" customHeight="1">
      <c r="A2679" s="49" t="s">
        <v>739</v>
      </c>
      <c r="B2679" s="50">
        <v>44377.0</v>
      </c>
      <c r="C2679" s="49" t="s">
        <v>780</v>
      </c>
      <c r="D2679" s="49">
        <v>0.0</v>
      </c>
    </row>
    <row r="2680" ht="15.0" hidden="1" customHeight="1">
      <c r="A2680" s="49" t="s">
        <v>744</v>
      </c>
      <c r="B2680" s="50">
        <v>44377.0</v>
      </c>
      <c r="C2680" s="49" t="s">
        <v>780</v>
      </c>
      <c r="D2680" s="49">
        <v>0.0</v>
      </c>
    </row>
    <row r="2681" ht="15.0" hidden="1" customHeight="1">
      <c r="A2681" s="49" t="s">
        <v>749</v>
      </c>
      <c r="B2681" s="50">
        <v>44377.0</v>
      </c>
      <c r="C2681" s="49" t="s">
        <v>780</v>
      </c>
      <c r="D2681" s="49">
        <v>0.0</v>
      </c>
    </row>
    <row r="2682" ht="15.0" customHeight="1">
      <c r="A2682" s="49" t="s">
        <v>776</v>
      </c>
      <c r="B2682" s="50">
        <v>44469.0</v>
      </c>
      <c r="C2682" s="49" t="s">
        <v>777</v>
      </c>
      <c r="D2682" s="49">
        <v>0.0</v>
      </c>
    </row>
    <row r="2683" ht="15.0" hidden="1" customHeight="1">
      <c r="A2683" s="49" t="s">
        <v>778</v>
      </c>
      <c r="B2683" s="50">
        <v>44469.0</v>
      </c>
      <c r="C2683" s="49" t="s">
        <v>777</v>
      </c>
      <c r="D2683" s="49">
        <v>0.0</v>
      </c>
    </row>
    <row r="2684" ht="15.0" hidden="1" customHeight="1">
      <c r="A2684" s="49" t="s">
        <v>92</v>
      </c>
      <c r="B2684" s="50">
        <v>44469.0</v>
      </c>
      <c r="C2684" s="49" t="s">
        <v>777</v>
      </c>
      <c r="D2684" s="49">
        <v>0.0</v>
      </c>
    </row>
    <row r="2685" ht="15.0" hidden="1" customHeight="1">
      <c r="A2685" s="49" t="s">
        <v>97</v>
      </c>
      <c r="B2685" s="50">
        <v>44469.0</v>
      </c>
      <c r="C2685" s="49" t="s">
        <v>777</v>
      </c>
      <c r="D2685" s="49">
        <v>0.0</v>
      </c>
    </row>
    <row r="2686" ht="15.0" hidden="1" customHeight="1">
      <c r="A2686" s="49" t="s">
        <v>102</v>
      </c>
      <c r="B2686" s="50">
        <v>44469.0</v>
      </c>
      <c r="C2686" s="49" t="s">
        <v>777</v>
      </c>
      <c r="D2686" s="49">
        <v>0.0</v>
      </c>
    </row>
    <row r="2687" ht="15.0" hidden="1" customHeight="1">
      <c r="A2687" s="49" t="s">
        <v>106</v>
      </c>
      <c r="B2687" s="50">
        <v>44469.0</v>
      </c>
      <c r="C2687" s="49" t="s">
        <v>777</v>
      </c>
      <c r="D2687" s="49">
        <v>0.0</v>
      </c>
    </row>
    <row r="2688" ht="15.0" hidden="1" customHeight="1">
      <c r="A2688" s="49" t="s">
        <v>111</v>
      </c>
      <c r="B2688" s="50">
        <v>44469.0</v>
      </c>
      <c r="C2688" s="49" t="s">
        <v>777</v>
      </c>
      <c r="D2688" s="49">
        <v>0.0</v>
      </c>
    </row>
    <row r="2689" ht="15.0" hidden="1" customHeight="1">
      <c r="A2689" s="49" t="s">
        <v>116</v>
      </c>
      <c r="B2689" s="50">
        <v>44469.0</v>
      </c>
      <c r="C2689" s="49" t="s">
        <v>777</v>
      </c>
      <c r="D2689" s="49">
        <v>0.0</v>
      </c>
    </row>
    <row r="2690" ht="15.0" hidden="1" customHeight="1">
      <c r="A2690" s="49" t="s">
        <v>120</v>
      </c>
      <c r="B2690" s="50">
        <v>44469.0</v>
      </c>
      <c r="C2690" s="49" t="s">
        <v>777</v>
      </c>
      <c r="D2690" s="49">
        <v>0.0</v>
      </c>
    </row>
    <row r="2691" ht="15.0" hidden="1" customHeight="1">
      <c r="A2691" s="49" t="s">
        <v>125</v>
      </c>
      <c r="B2691" s="50">
        <v>44469.0</v>
      </c>
      <c r="C2691" s="49" t="s">
        <v>777</v>
      </c>
      <c r="D2691" s="49">
        <v>0.0</v>
      </c>
    </row>
    <row r="2692" ht="15.0" hidden="1" customHeight="1">
      <c r="A2692" s="49" t="s">
        <v>130</v>
      </c>
      <c r="B2692" s="50">
        <v>44469.0</v>
      </c>
      <c r="C2692" s="49" t="s">
        <v>777</v>
      </c>
      <c r="D2692" s="49">
        <v>0.0</v>
      </c>
    </row>
    <row r="2693" ht="15.0" hidden="1" customHeight="1">
      <c r="A2693" s="49" t="s">
        <v>137</v>
      </c>
      <c r="B2693" s="50">
        <v>44469.0</v>
      </c>
      <c r="C2693" s="49" t="s">
        <v>777</v>
      </c>
      <c r="D2693" s="49">
        <v>0.0</v>
      </c>
    </row>
    <row r="2694" ht="15.0" hidden="1" customHeight="1">
      <c r="A2694" s="49" t="s">
        <v>142</v>
      </c>
      <c r="B2694" s="50">
        <v>44469.0</v>
      </c>
      <c r="C2694" s="49" t="s">
        <v>777</v>
      </c>
      <c r="D2694" s="49">
        <v>0.0</v>
      </c>
    </row>
    <row r="2695" ht="15.0" hidden="1" customHeight="1">
      <c r="A2695" s="49" t="s">
        <v>147</v>
      </c>
      <c r="B2695" s="50">
        <v>44469.0</v>
      </c>
      <c r="C2695" s="49" t="s">
        <v>777</v>
      </c>
      <c r="D2695" s="49">
        <v>0.0</v>
      </c>
    </row>
    <row r="2696" ht="15.0" hidden="1" customHeight="1">
      <c r="A2696" s="49" t="s">
        <v>152</v>
      </c>
      <c r="B2696" s="50">
        <v>44469.0</v>
      </c>
      <c r="C2696" s="49" t="s">
        <v>777</v>
      </c>
      <c r="D2696" s="49">
        <v>0.0</v>
      </c>
    </row>
    <row r="2697" ht="15.0" hidden="1" customHeight="1">
      <c r="A2697" s="49" t="s">
        <v>157</v>
      </c>
      <c r="B2697" s="50">
        <v>44469.0</v>
      </c>
      <c r="C2697" s="49" t="s">
        <v>777</v>
      </c>
      <c r="D2697" s="49">
        <v>0.0</v>
      </c>
    </row>
    <row r="2698" ht="15.0" hidden="1" customHeight="1">
      <c r="A2698" s="49" t="s">
        <v>162</v>
      </c>
      <c r="B2698" s="50">
        <v>44469.0</v>
      </c>
      <c r="C2698" s="49" t="s">
        <v>777</v>
      </c>
      <c r="D2698" s="49">
        <v>0.0</v>
      </c>
    </row>
    <row r="2699" ht="15.0" hidden="1" customHeight="1">
      <c r="A2699" s="49" t="s">
        <v>167</v>
      </c>
      <c r="B2699" s="50">
        <v>44469.0</v>
      </c>
      <c r="C2699" s="49" t="s">
        <v>777</v>
      </c>
      <c r="D2699" s="49">
        <v>0.0</v>
      </c>
    </row>
    <row r="2700" ht="15.0" hidden="1" customHeight="1">
      <c r="A2700" s="49" t="s">
        <v>172</v>
      </c>
      <c r="B2700" s="50">
        <v>44469.0</v>
      </c>
      <c r="C2700" s="49" t="s">
        <v>777</v>
      </c>
      <c r="D2700" s="49">
        <v>0.0</v>
      </c>
    </row>
    <row r="2701" ht="15.0" hidden="1" customHeight="1">
      <c r="A2701" s="49" t="s">
        <v>177</v>
      </c>
      <c r="B2701" s="50">
        <v>44469.0</v>
      </c>
      <c r="C2701" s="49" t="s">
        <v>777</v>
      </c>
      <c r="D2701" s="49">
        <v>0.0</v>
      </c>
    </row>
    <row r="2702" ht="15.0" hidden="1" customHeight="1">
      <c r="A2702" s="49" t="s">
        <v>182</v>
      </c>
      <c r="B2702" s="50">
        <v>44469.0</v>
      </c>
      <c r="C2702" s="49" t="s">
        <v>777</v>
      </c>
      <c r="D2702" s="49">
        <v>0.0</v>
      </c>
    </row>
    <row r="2703" ht="15.0" hidden="1" customHeight="1">
      <c r="A2703" s="49" t="s">
        <v>187</v>
      </c>
      <c r="B2703" s="50">
        <v>44469.0</v>
      </c>
      <c r="C2703" s="49" t="s">
        <v>777</v>
      </c>
      <c r="D2703" s="49">
        <v>0.0</v>
      </c>
    </row>
    <row r="2704" ht="15.0" hidden="1" customHeight="1">
      <c r="A2704" s="49" t="s">
        <v>192</v>
      </c>
      <c r="B2704" s="50">
        <v>44469.0</v>
      </c>
      <c r="C2704" s="49" t="s">
        <v>777</v>
      </c>
      <c r="D2704" s="49">
        <v>0.0</v>
      </c>
    </row>
    <row r="2705" ht="15.0" hidden="1" customHeight="1">
      <c r="A2705" s="49" t="s">
        <v>197</v>
      </c>
      <c r="B2705" s="50">
        <v>44469.0</v>
      </c>
      <c r="C2705" s="49" t="s">
        <v>777</v>
      </c>
      <c r="D2705" s="49">
        <v>0.0</v>
      </c>
    </row>
    <row r="2706" ht="15.0" hidden="1" customHeight="1">
      <c r="A2706" s="49" t="s">
        <v>202</v>
      </c>
      <c r="B2706" s="50">
        <v>44469.0</v>
      </c>
      <c r="C2706" s="49" t="s">
        <v>777</v>
      </c>
      <c r="D2706" s="49">
        <v>0.0</v>
      </c>
    </row>
    <row r="2707" ht="15.0" hidden="1" customHeight="1">
      <c r="A2707" s="49" t="s">
        <v>206</v>
      </c>
      <c r="B2707" s="50">
        <v>44469.0</v>
      </c>
      <c r="C2707" s="49" t="s">
        <v>777</v>
      </c>
      <c r="D2707" s="49">
        <v>0.0</v>
      </c>
    </row>
    <row r="2708" ht="15.0" hidden="1" customHeight="1">
      <c r="A2708" s="49" t="s">
        <v>211</v>
      </c>
      <c r="B2708" s="50">
        <v>44469.0</v>
      </c>
      <c r="C2708" s="49" t="s">
        <v>777</v>
      </c>
      <c r="D2708" s="49">
        <v>0.0</v>
      </c>
    </row>
    <row r="2709" ht="15.0" hidden="1" customHeight="1">
      <c r="A2709" s="49" t="s">
        <v>779</v>
      </c>
      <c r="B2709" s="50">
        <v>44469.0</v>
      </c>
      <c r="C2709" s="49" t="s">
        <v>777</v>
      </c>
      <c r="D2709" s="49">
        <v>0.0</v>
      </c>
    </row>
    <row r="2710" ht="15.0" hidden="1" customHeight="1">
      <c r="A2710" s="49" t="s">
        <v>221</v>
      </c>
      <c r="B2710" s="50">
        <v>44469.0</v>
      </c>
      <c r="C2710" s="49" t="s">
        <v>777</v>
      </c>
      <c r="D2710" s="49">
        <v>192000.0</v>
      </c>
    </row>
    <row r="2711" ht="15.0" hidden="1" customHeight="1">
      <c r="A2711" s="49" t="s">
        <v>226</v>
      </c>
      <c r="B2711" s="50">
        <v>44469.0</v>
      </c>
      <c r="C2711" s="49" t="s">
        <v>777</v>
      </c>
      <c r="D2711" s="49">
        <v>3515000.0</v>
      </c>
    </row>
    <row r="2712" ht="15.0" hidden="1" customHeight="1">
      <c r="A2712" s="49" t="s">
        <v>231</v>
      </c>
      <c r="B2712" s="50">
        <v>44469.0</v>
      </c>
      <c r="C2712" s="49" t="s">
        <v>777</v>
      </c>
      <c r="D2712" s="49">
        <v>653000.0</v>
      </c>
    </row>
    <row r="2713" ht="15.0" hidden="1" customHeight="1">
      <c r="A2713" s="49" t="s">
        <v>236</v>
      </c>
      <c r="B2713" s="50">
        <v>44469.0</v>
      </c>
      <c r="C2713" s="49" t="s">
        <v>777</v>
      </c>
      <c r="D2713" s="49">
        <v>770000.0</v>
      </c>
    </row>
    <row r="2714" ht="15.0" hidden="1" customHeight="1">
      <c r="A2714" s="49" t="s">
        <v>242</v>
      </c>
      <c r="B2714" s="50">
        <v>44469.0</v>
      </c>
      <c r="C2714" s="49" t="s">
        <v>777</v>
      </c>
      <c r="D2714" s="49">
        <v>0.0</v>
      </c>
    </row>
    <row r="2715" ht="15.0" hidden="1" customHeight="1">
      <c r="A2715" s="49" t="s">
        <v>248</v>
      </c>
      <c r="B2715" s="50">
        <v>44469.0</v>
      </c>
      <c r="C2715" s="49" t="s">
        <v>777</v>
      </c>
      <c r="D2715" s="49">
        <v>4128000.0</v>
      </c>
    </row>
    <row r="2716" ht="15.0" hidden="1" customHeight="1">
      <c r="A2716" s="49" t="s">
        <v>253</v>
      </c>
      <c r="B2716" s="50">
        <v>44469.0</v>
      </c>
      <c r="C2716" s="49" t="s">
        <v>777</v>
      </c>
      <c r="D2716" s="49">
        <v>0.0</v>
      </c>
    </row>
    <row r="2717" ht="15.0" hidden="1" customHeight="1">
      <c r="A2717" s="49" t="s">
        <v>258</v>
      </c>
      <c r="B2717" s="50">
        <v>44469.0</v>
      </c>
      <c r="C2717" s="49" t="s">
        <v>777</v>
      </c>
      <c r="D2717" s="49">
        <v>0.0</v>
      </c>
    </row>
    <row r="2718" ht="15.0" hidden="1" customHeight="1">
      <c r="A2718" s="49" t="s">
        <v>263</v>
      </c>
      <c r="B2718" s="50">
        <v>44469.0</v>
      </c>
      <c r="C2718" s="49" t="s">
        <v>777</v>
      </c>
      <c r="D2718" s="49">
        <v>0.0</v>
      </c>
    </row>
    <row r="2719" ht="15.0" hidden="1" customHeight="1">
      <c r="A2719" s="49" t="s">
        <v>268</v>
      </c>
      <c r="B2719" s="50">
        <v>44469.0</v>
      </c>
      <c r="C2719" s="49" t="s">
        <v>777</v>
      </c>
      <c r="D2719" s="49">
        <v>0.0</v>
      </c>
    </row>
    <row r="2720" ht="15.0" hidden="1" customHeight="1">
      <c r="A2720" s="49" t="s">
        <v>273</v>
      </c>
      <c r="B2720" s="50">
        <v>44469.0</v>
      </c>
      <c r="C2720" s="49" t="s">
        <v>777</v>
      </c>
      <c r="D2720" s="49">
        <v>0.0</v>
      </c>
    </row>
    <row r="2721" ht="15.0" hidden="1" customHeight="1">
      <c r="A2721" s="49" t="s">
        <v>278</v>
      </c>
      <c r="B2721" s="50">
        <v>44469.0</v>
      </c>
      <c r="C2721" s="49" t="s">
        <v>777</v>
      </c>
      <c r="D2721" s="49">
        <v>0.0</v>
      </c>
    </row>
    <row r="2722" ht="15.0" hidden="1" customHeight="1">
      <c r="A2722" s="49" t="s">
        <v>283</v>
      </c>
      <c r="B2722" s="50">
        <v>44469.0</v>
      </c>
      <c r="C2722" s="49" t="s">
        <v>777</v>
      </c>
      <c r="D2722" s="49">
        <v>0.0</v>
      </c>
    </row>
    <row r="2723" ht="15.0" hidden="1" customHeight="1">
      <c r="A2723" s="49" t="s">
        <v>288</v>
      </c>
      <c r="B2723" s="50">
        <v>44469.0</v>
      </c>
      <c r="C2723" s="49" t="s">
        <v>777</v>
      </c>
      <c r="D2723" s="49">
        <v>0.0</v>
      </c>
    </row>
    <row r="2724" ht="15.0" hidden="1" customHeight="1">
      <c r="A2724" s="49" t="s">
        <v>293</v>
      </c>
      <c r="B2724" s="50">
        <v>44469.0</v>
      </c>
      <c r="C2724" s="49" t="s">
        <v>777</v>
      </c>
      <c r="D2724" s="49">
        <v>0.0</v>
      </c>
    </row>
    <row r="2725" ht="15.0" hidden="1" customHeight="1">
      <c r="A2725" s="49" t="s">
        <v>298</v>
      </c>
      <c r="B2725" s="50">
        <v>44469.0</v>
      </c>
      <c r="C2725" s="49" t="s">
        <v>777</v>
      </c>
      <c r="D2725" s="49">
        <v>0.0</v>
      </c>
    </row>
    <row r="2726" ht="15.0" hidden="1" customHeight="1">
      <c r="A2726" s="49" t="s">
        <v>303</v>
      </c>
      <c r="B2726" s="50">
        <v>44469.0</v>
      </c>
      <c r="C2726" s="49" t="s">
        <v>777</v>
      </c>
      <c r="D2726" s="49">
        <v>0.0</v>
      </c>
    </row>
    <row r="2727" ht="15.0" hidden="1" customHeight="1">
      <c r="A2727" s="49" t="s">
        <v>307</v>
      </c>
      <c r="B2727" s="50">
        <v>44469.0</v>
      </c>
      <c r="C2727" s="49" t="s">
        <v>777</v>
      </c>
      <c r="D2727" s="49">
        <v>0.0</v>
      </c>
    </row>
    <row r="2728" ht="15.0" hidden="1" customHeight="1">
      <c r="A2728" s="49" t="s">
        <v>313</v>
      </c>
      <c r="B2728" s="50">
        <v>44469.0</v>
      </c>
      <c r="C2728" s="49" t="s">
        <v>777</v>
      </c>
      <c r="D2728" s="49">
        <v>0.0</v>
      </c>
    </row>
    <row r="2729" ht="15.0" hidden="1" customHeight="1">
      <c r="A2729" s="49" t="s">
        <v>318</v>
      </c>
      <c r="B2729" s="50">
        <v>44469.0</v>
      </c>
      <c r="C2729" s="49" t="s">
        <v>777</v>
      </c>
      <c r="D2729" s="49">
        <v>0.0</v>
      </c>
    </row>
    <row r="2730" ht="15.0" hidden="1" customHeight="1">
      <c r="A2730" s="49" t="s">
        <v>323</v>
      </c>
      <c r="B2730" s="50">
        <v>44469.0</v>
      </c>
      <c r="C2730" s="49" t="s">
        <v>777</v>
      </c>
      <c r="D2730" s="49">
        <v>0.0</v>
      </c>
    </row>
    <row r="2731" ht="15.0" hidden="1" customHeight="1">
      <c r="A2731" s="49" t="s">
        <v>328</v>
      </c>
      <c r="B2731" s="50">
        <v>44469.0</v>
      </c>
      <c r="C2731" s="49" t="s">
        <v>777</v>
      </c>
      <c r="D2731" s="49">
        <v>0.0</v>
      </c>
    </row>
    <row r="2732" ht="15.0" hidden="1" customHeight="1">
      <c r="A2732" s="49" t="s">
        <v>335</v>
      </c>
      <c r="B2732" s="50">
        <v>44469.0</v>
      </c>
      <c r="C2732" s="49" t="s">
        <v>777</v>
      </c>
      <c r="D2732" s="49">
        <v>0.0</v>
      </c>
    </row>
    <row r="2733" ht="15.0" hidden="1" customHeight="1">
      <c r="A2733" s="49" t="s">
        <v>340</v>
      </c>
      <c r="B2733" s="50">
        <v>44469.0</v>
      </c>
      <c r="C2733" s="49" t="s">
        <v>777</v>
      </c>
      <c r="D2733" s="49">
        <v>0.0</v>
      </c>
    </row>
    <row r="2734" ht="15.0" hidden="1" customHeight="1">
      <c r="A2734" s="49" t="s">
        <v>345</v>
      </c>
      <c r="B2734" s="50">
        <v>44469.0</v>
      </c>
      <c r="C2734" s="49" t="s">
        <v>777</v>
      </c>
      <c r="D2734" s="49">
        <v>0.0</v>
      </c>
    </row>
    <row r="2735" ht="15.0" hidden="1" customHeight="1">
      <c r="A2735" s="49" t="s">
        <v>350</v>
      </c>
      <c r="B2735" s="50">
        <v>44469.0</v>
      </c>
      <c r="C2735" s="49" t="s">
        <v>777</v>
      </c>
      <c r="D2735" s="49">
        <v>0.0</v>
      </c>
    </row>
    <row r="2736" ht="15.0" hidden="1" customHeight="1">
      <c r="A2736" s="49" t="s">
        <v>355</v>
      </c>
      <c r="B2736" s="50">
        <v>44469.0</v>
      </c>
      <c r="C2736" s="49" t="s">
        <v>777</v>
      </c>
      <c r="D2736" s="49">
        <v>0.0</v>
      </c>
    </row>
    <row r="2737" ht="15.0" hidden="1" customHeight="1">
      <c r="A2737" s="49" t="s">
        <v>360</v>
      </c>
      <c r="B2737" s="50">
        <v>44469.0</v>
      </c>
      <c r="C2737" s="49" t="s">
        <v>777</v>
      </c>
      <c r="D2737" s="49">
        <v>0.0</v>
      </c>
    </row>
    <row r="2738" ht="15.0" hidden="1" customHeight="1">
      <c r="A2738" s="49" t="s">
        <v>365</v>
      </c>
      <c r="B2738" s="50">
        <v>44469.0</v>
      </c>
      <c r="C2738" s="49" t="s">
        <v>777</v>
      </c>
      <c r="D2738" s="49">
        <v>0.0</v>
      </c>
    </row>
    <row r="2739" ht="15.0" hidden="1" customHeight="1">
      <c r="A2739" s="49" t="s">
        <v>370</v>
      </c>
      <c r="B2739" s="50">
        <v>44469.0</v>
      </c>
      <c r="C2739" s="49" t="s">
        <v>777</v>
      </c>
      <c r="D2739" s="49">
        <v>0.0</v>
      </c>
    </row>
    <row r="2740" ht="15.0" hidden="1" customHeight="1">
      <c r="A2740" s="49" t="s">
        <v>375</v>
      </c>
      <c r="B2740" s="50">
        <v>44469.0</v>
      </c>
      <c r="C2740" s="49" t="s">
        <v>777</v>
      </c>
      <c r="D2740" s="49">
        <v>0.0</v>
      </c>
    </row>
    <row r="2741" ht="15.0" hidden="1" customHeight="1">
      <c r="A2741" s="49" t="s">
        <v>380</v>
      </c>
      <c r="B2741" s="50">
        <v>44469.0</v>
      </c>
      <c r="C2741" s="49" t="s">
        <v>777</v>
      </c>
      <c r="D2741" s="49">
        <v>0.0</v>
      </c>
    </row>
    <row r="2742" ht="15.0" hidden="1" customHeight="1">
      <c r="A2742" s="49" t="s">
        <v>385</v>
      </c>
      <c r="B2742" s="50">
        <v>44469.0</v>
      </c>
      <c r="C2742" s="49" t="s">
        <v>777</v>
      </c>
      <c r="D2742" s="49">
        <v>0.0</v>
      </c>
    </row>
    <row r="2743" ht="15.0" hidden="1" customHeight="1">
      <c r="A2743" s="49" t="s">
        <v>390</v>
      </c>
      <c r="B2743" s="50">
        <v>44469.0</v>
      </c>
      <c r="C2743" s="49" t="s">
        <v>777</v>
      </c>
      <c r="D2743" s="49">
        <v>0.0</v>
      </c>
    </row>
    <row r="2744" ht="15.0" hidden="1" customHeight="1">
      <c r="A2744" s="49" t="s">
        <v>395</v>
      </c>
      <c r="B2744" s="50">
        <v>44469.0</v>
      </c>
      <c r="C2744" s="49" t="s">
        <v>777</v>
      </c>
      <c r="D2744" s="49">
        <v>0.0</v>
      </c>
    </row>
    <row r="2745" ht="15.0" hidden="1" customHeight="1">
      <c r="A2745" s="49" t="s">
        <v>400</v>
      </c>
      <c r="B2745" s="50">
        <v>44469.0</v>
      </c>
      <c r="C2745" s="49" t="s">
        <v>777</v>
      </c>
      <c r="D2745" s="49">
        <v>0.0</v>
      </c>
    </row>
    <row r="2746" ht="15.0" hidden="1" customHeight="1">
      <c r="A2746" s="49" t="s">
        <v>405</v>
      </c>
      <c r="B2746" s="50">
        <v>44469.0</v>
      </c>
      <c r="C2746" s="49" t="s">
        <v>777</v>
      </c>
      <c r="D2746" s="49">
        <v>0.0</v>
      </c>
    </row>
    <row r="2747" ht="15.0" hidden="1" customHeight="1">
      <c r="A2747" s="49" t="s">
        <v>410</v>
      </c>
      <c r="B2747" s="50">
        <v>44469.0</v>
      </c>
      <c r="C2747" s="49" t="s">
        <v>777</v>
      </c>
      <c r="D2747" s="49">
        <v>0.0</v>
      </c>
    </row>
    <row r="2748" ht="15.0" hidden="1" customHeight="1">
      <c r="A2748" s="49" t="s">
        <v>415</v>
      </c>
      <c r="B2748" s="50">
        <v>44469.0</v>
      </c>
      <c r="C2748" s="49" t="s">
        <v>777</v>
      </c>
      <c r="D2748" s="49">
        <v>0.0</v>
      </c>
    </row>
    <row r="2749" ht="15.0" hidden="1" customHeight="1">
      <c r="A2749" s="49" t="s">
        <v>420</v>
      </c>
      <c r="B2749" s="50">
        <v>44469.0</v>
      </c>
      <c r="C2749" s="49" t="s">
        <v>777</v>
      </c>
      <c r="D2749" s="49">
        <v>0.0</v>
      </c>
    </row>
    <row r="2750" ht="15.0" hidden="1" customHeight="1">
      <c r="A2750" s="49" t="s">
        <v>425</v>
      </c>
      <c r="B2750" s="50">
        <v>44469.0</v>
      </c>
      <c r="C2750" s="49" t="s">
        <v>777</v>
      </c>
      <c r="D2750" s="49">
        <v>0.0</v>
      </c>
    </row>
    <row r="2751" ht="15.0" hidden="1" customHeight="1">
      <c r="A2751" s="49" t="s">
        <v>430</v>
      </c>
      <c r="B2751" s="50">
        <v>44469.0</v>
      </c>
      <c r="C2751" s="49" t="s">
        <v>777</v>
      </c>
      <c r="D2751" s="49">
        <v>0.0</v>
      </c>
    </row>
    <row r="2752" ht="15.0" hidden="1" customHeight="1">
      <c r="A2752" s="49" t="s">
        <v>434</v>
      </c>
      <c r="B2752" s="50">
        <v>44469.0</v>
      </c>
      <c r="C2752" s="49" t="s">
        <v>777</v>
      </c>
      <c r="D2752" s="49">
        <v>0.0</v>
      </c>
    </row>
    <row r="2753" ht="15.0" hidden="1" customHeight="1">
      <c r="A2753" s="49" t="s">
        <v>439</v>
      </c>
      <c r="B2753" s="50">
        <v>44469.0</v>
      </c>
      <c r="C2753" s="49" t="s">
        <v>777</v>
      </c>
      <c r="D2753" s="49">
        <v>0.0</v>
      </c>
    </row>
    <row r="2754" ht="15.0" hidden="1" customHeight="1">
      <c r="A2754" s="49" t="s">
        <v>444</v>
      </c>
      <c r="B2754" s="50">
        <v>44469.0</v>
      </c>
      <c r="C2754" s="49" t="s">
        <v>777</v>
      </c>
      <c r="D2754" s="49">
        <v>0.0</v>
      </c>
    </row>
    <row r="2755" ht="15.0" hidden="1" customHeight="1">
      <c r="A2755" s="49" t="s">
        <v>449</v>
      </c>
      <c r="B2755" s="50">
        <v>44469.0</v>
      </c>
      <c r="C2755" s="49" t="s">
        <v>777</v>
      </c>
      <c r="D2755" s="49">
        <v>0.0</v>
      </c>
    </row>
    <row r="2756" ht="15.0" hidden="1" customHeight="1">
      <c r="A2756" s="49" t="s">
        <v>455</v>
      </c>
      <c r="B2756" s="50">
        <v>44469.0</v>
      </c>
      <c r="C2756" s="49" t="s">
        <v>777</v>
      </c>
      <c r="D2756" s="49">
        <v>0.0</v>
      </c>
    </row>
    <row r="2757" ht="15.0" hidden="1" customHeight="1">
      <c r="A2757" s="49" t="s">
        <v>470</v>
      </c>
      <c r="B2757" s="50">
        <v>44469.0</v>
      </c>
      <c r="C2757" s="49" t="s">
        <v>777</v>
      </c>
      <c r="D2757" s="49">
        <v>0.0</v>
      </c>
    </row>
    <row r="2758" ht="15.0" hidden="1" customHeight="1">
      <c r="A2758" s="49" t="s">
        <v>476</v>
      </c>
      <c r="B2758" s="50">
        <v>44469.0</v>
      </c>
      <c r="C2758" s="49" t="s">
        <v>777</v>
      </c>
      <c r="D2758" s="49">
        <v>0.0</v>
      </c>
    </row>
    <row r="2759" ht="15.0" hidden="1" customHeight="1">
      <c r="A2759" s="49" t="s">
        <v>481</v>
      </c>
      <c r="B2759" s="50">
        <v>44469.0</v>
      </c>
      <c r="C2759" s="49" t="s">
        <v>777</v>
      </c>
      <c r="D2759" s="49">
        <v>0.0</v>
      </c>
    </row>
    <row r="2760" ht="15.0" hidden="1" customHeight="1">
      <c r="A2760" s="49" t="s">
        <v>486</v>
      </c>
      <c r="B2760" s="50">
        <v>44469.0</v>
      </c>
      <c r="C2760" s="49" t="s">
        <v>777</v>
      </c>
      <c r="D2760" s="49">
        <v>0.0</v>
      </c>
    </row>
    <row r="2761" ht="15.0" hidden="1" customHeight="1">
      <c r="A2761" s="49" t="s">
        <v>491</v>
      </c>
      <c r="B2761" s="50">
        <v>44469.0</v>
      </c>
      <c r="C2761" s="49" t="s">
        <v>777</v>
      </c>
      <c r="D2761" s="49">
        <v>0.0</v>
      </c>
    </row>
    <row r="2762" ht="15.0" hidden="1" customHeight="1">
      <c r="A2762" s="49" t="s">
        <v>496</v>
      </c>
      <c r="B2762" s="50">
        <v>44469.0</v>
      </c>
      <c r="C2762" s="49" t="s">
        <v>777</v>
      </c>
      <c r="D2762" s="49">
        <v>0.0</v>
      </c>
    </row>
    <row r="2763" ht="15.0" hidden="1" customHeight="1">
      <c r="A2763" s="49" t="s">
        <v>501</v>
      </c>
      <c r="B2763" s="50">
        <v>44469.0</v>
      </c>
      <c r="C2763" s="49" t="s">
        <v>777</v>
      </c>
      <c r="D2763" s="49">
        <v>0.0</v>
      </c>
    </row>
    <row r="2764" ht="15.0" hidden="1" customHeight="1">
      <c r="A2764" s="49" t="s">
        <v>506</v>
      </c>
      <c r="B2764" s="50">
        <v>44469.0</v>
      </c>
      <c r="C2764" s="49" t="s">
        <v>777</v>
      </c>
      <c r="D2764" s="49">
        <v>0.0</v>
      </c>
    </row>
    <row r="2765" ht="15.0" hidden="1" customHeight="1">
      <c r="A2765" s="49" t="s">
        <v>512</v>
      </c>
      <c r="B2765" s="50">
        <v>44469.0</v>
      </c>
      <c r="C2765" s="49" t="s">
        <v>777</v>
      </c>
      <c r="D2765" s="49">
        <v>0.0</v>
      </c>
    </row>
    <row r="2766" ht="15.0" hidden="1" customHeight="1">
      <c r="A2766" s="49" t="s">
        <v>517</v>
      </c>
      <c r="B2766" s="50">
        <v>44469.0</v>
      </c>
      <c r="C2766" s="49" t="s">
        <v>777</v>
      </c>
      <c r="D2766" s="49">
        <v>0.0</v>
      </c>
    </row>
    <row r="2767" ht="15.0" hidden="1" customHeight="1">
      <c r="A2767" s="49" t="s">
        <v>522</v>
      </c>
      <c r="B2767" s="50">
        <v>44469.0</v>
      </c>
      <c r="C2767" s="49" t="s">
        <v>777</v>
      </c>
      <c r="D2767" s="49">
        <v>0.0</v>
      </c>
    </row>
    <row r="2768" ht="15.0" hidden="1" customHeight="1">
      <c r="A2768" s="49" t="s">
        <v>528</v>
      </c>
      <c r="B2768" s="50">
        <v>44469.0</v>
      </c>
      <c r="C2768" s="49" t="s">
        <v>777</v>
      </c>
      <c r="D2768" s="49">
        <v>0.0</v>
      </c>
    </row>
    <row r="2769" ht="15.0" hidden="1" customHeight="1">
      <c r="A2769" s="49" t="s">
        <v>533</v>
      </c>
      <c r="B2769" s="50">
        <v>44469.0</v>
      </c>
      <c r="C2769" s="49" t="s">
        <v>777</v>
      </c>
      <c r="D2769" s="49">
        <v>0.0</v>
      </c>
    </row>
    <row r="2770" ht="15.0" hidden="1" customHeight="1">
      <c r="A2770" s="49" t="s">
        <v>538</v>
      </c>
      <c r="B2770" s="50">
        <v>44469.0</v>
      </c>
      <c r="C2770" s="49" t="s">
        <v>777</v>
      </c>
      <c r="D2770" s="49">
        <v>0.0</v>
      </c>
    </row>
    <row r="2771" ht="15.0" hidden="1" customHeight="1">
      <c r="A2771" s="49" t="s">
        <v>546</v>
      </c>
      <c r="B2771" s="50">
        <v>44469.0</v>
      </c>
      <c r="C2771" s="49" t="s">
        <v>777</v>
      </c>
      <c r="D2771" s="49">
        <v>0.0</v>
      </c>
    </row>
    <row r="2772" ht="15.0" hidden="1" customHeight="1">
      <c r="A2772" s="49" t="s">
        <v>551</v>
      </c>
      <c r="B2772" s="50">
        <v>44469.0</v>
      </c>
      <c r="C2772" s="49" t="s">
        <v>777</v>
      </c>
      <c r="D2772" s="49">
        <v>0.0</v>
      </c>
    </row>
    <row r="2773" ht="15.0" hidden="1" customHeight="1">
      <c r="A2773" s="49" t="s">
        <v>556</v>
      </c>
      <c r="B2773" s="50">
        <v>44469.0</v>
      </c>
      <c r="C2773" s="49" t="s">
        <v>777</v>
      </c>
      <c r="D2773" s="49">
        <v>0.0</v>
      </c>
    </row>
    <row r="2774" ht="15.0" hidden="1" customHeight="1">
      <c r="A2774" s="49" t="s">
        <v>561</v>
      </c>
      <c r="B2774" s="50">
        <v>44469.0</v>
      </c>
      <c r="C2774" s="49" t="s">
        <v>777</v>
      </c>
      <c r="D2774" s="49">
        <v>0.0</v>
      </c>
    </row>
    <row r="2775" ht="15.0" hidden="1" customHeight="1">
      <c r="A2775" s="49" t="s">
        <v>566</v>
      </c>
      <c r="B2775" s="50">
        <v>44469.0</v>
      </c>
      <c r="C2775" s="49" t="s">
        <v>777</v>
      </c>
      <c r="D2775" s="49">
        <v>0.0</v>
      </c>
    </row>
    <row r="2776" ht="15.0" hidden="1" customHeight="1">
      <c r="A2776" s="49" t="s">
        <v>571</v>
      </c>
      <c r="B2776" s="50">
        <v>44469.0</v>
      </c>
      <c r="C2776" s="49" t="s">
        <v>777</v>
      </c>
      <c r="D2776" s="49">
        <v>0.0</v>
      </c>
    </row>
    <row r="2777" ht="15.0" hidden="1" customHeight="1">
      <c r="A2777" s="49" t="s">
        <v>576</v>
      </c>
      <c r="B2777" s="50">
        <v>44469.0</v>
      </c>
      <c r="C2777" s="49" t="s">
        <v>777</v>
      </c>
      <c r="D2777" s="49">
        <v>0.0</v>
      </c>
    </row>
    <row r="2778" ht="15.0" hidden="1" customHeight="1">
      <c r="A2778" s="49" t="s">
        <v>581</v>
      </c>
      <c r="B2778" s="50">
        <v>44469.0</v>
      </c>
      <c r="C2778" s="49" t="s">
        <v>777</v>
      </c>
      <c r="D2778" s="49">
        <v>0.0</v>
      </c>
    </row>
    <row r="2779" ht="15.0" hidden="1" customHeight="1">
      <c r="A2779" s="49" t="s">
        <v>586</v>
      </c>
      <c r="B2779" s="50">
        <v>44469.0</v>
      </c>
      <c r="C2779" s="49" t="s">
        <v>777</v>
      </c>
      <c r="D2779" s="49">
        <v>0.0</v>
      </c>
    </row>
    <row r="2780" ht="15.0" hidden="1" customHeight="1">
      <c r="A2780" s="49" t="s">
        <v>754</v>
      </c>
      <c r="B2780" s="50">
        <v>44469.0</v>
      </c>
      <c r="C2780" s="49" t="s">
        <v>777</v>
      </c>
      <c r="D2780" s="49">
        <v>0.0</v>
      </c>
    </row>
    <row r="2781" ht="15.0" hidden="1" customHeight="1">
      <c r="A2781" s="49" t="s">
        <v>591</v>
      </c>
      <c r="B2781" s="50">
        <v>44469.0</v>
      </c>
      <c r="C2781" s="49" t="s">
        <v>777</v>
      </c>
      <c r="D2781" s="49">
        <v>0.0</v>
      </c>
    </row>
    <row r="2782" ht="15.0" hidden="1" customHeight="1">
      <c r="A2782" s="49" t="s">
        <v>759</v>
      </c>
      <c r="B2782" s="50">
        <v>44469.0</v>
      </c>
      <c r="C2782" s="49" t="s">
        <v>777</v>
      </c>
      <c r="D2782" s="49">
        <v>0.0</v>
      </c>
    </row>
    <row r="2783" ht="15.0" hidden="1" customHeight="1">
      <c r="A2783" s="49" t="s">
        <v>596</v>
      </c>
      <c r="B2783" s="50">
        <v>44469.0</v>
      </c>
      <c r="C2783" s="49" t="s">
        <v>777</v>
      </c>
      <c r="D2783" s="49">
        <v>0.0</v>
      </c>
    </row>
    <row r="2784" ht="15.0" hidden="1" customHeight="1">
      <c r="A2784" s="49" t="s">
        <v>602</v>
      </c>
      <c r="B2784" s="50">
        <v>44469.0</v>
      </c>
      <c r="C2784" s="49" t="s">
        <v>777</v>
      </c>
      <c r="D2784" s="49">
        <v>0.0</v>
      </c>
    </row>
    <row r="2785" ht="15.0" hidden="1" customHeight="1">
      <c r="A2785" s="49" t="s">
        <v>607</v>
      </c>
      <c r="B2785" s="50">
        <v>44469.0</v>
      </c>
      <c r="C2785" s="49" t="s">
        <v>777</v>
      </c>
      <c r="D2785" s="49">
        <v>0.0</v>
      </c>
    </row>
    <row r="2786" ht="15.0" hidden="1" customHeight="1">
      <c r="A2786" s="49" t="s">
        <v>612</v>
      </c>
      <c r="B2786" s="50">
        <v>44469.0</v>
      </c>
      <c r="C2786" s="49" t="s">
        <v>777</v>
      </c>
      <c r="D2786" s="49">
        <v>0.0</v>
      </c>
    </row>
    <row r="2787" ht="15.0" hidden="1" customHeight="1">
      <c r="A2787" s="49" t="s">
        <v>617</v>
      </c>
      <c r="B2787" s="50">
        <v>44469.0</v>
      </c>
      <c r="C2787" s="49" t="s">
        <v>777</v>
      </c>
      <c r="D2787" s="49">
        <v>0.0</v>
      </c>
    </row>
    <row r="2788" ht="15.0" hidden="1" customHeight="1">
      <c r="A2788" s="49" t="s">
        <v>622</v>
      </c>
      <c r="B2788" s="50">
        <v>44469.0</v>
      </c>
      <c r="C2788" s="49" t="s">
        <v>777</v>
      </c>
      <c r="D2788" s="49">
        <v>0.0</v>
      </c>
    </row>
    <row r="2789" ht="15.0" hidden="1" customHeight="1">
      <c r="A2789" s="49" t="s">
        <v>627</v>
      </c>
      <c r="B2789" s="50">
        <v>44469.0</v>
      </c>
      <c r="C2789" s="49" t="s">
        <v>777</v>
      </c>
      <c r="D2789" s="49">
        <v>0.0</v>
      </c>
    </row>
    <row r="2790" ht="15.0" hidden="1" customHeight="1">
      <c r="A2790" s="49" t="s">
        <v>631</v>
      </c>
      <c r="B2790" s="50">
        <v>44469.0</v>
      </c>
      <c r="C2790" s="49" t="s">
        <v>777</v>
      </c>
      <c r="D2790" s="49">
        <v>0.0</v>
      </c>
    </row>
    <row r="2791" ht="15.0" hidden="1" customHeight="1">
      <c r="A2791" s="49" t="s">
        <v>636</v>
      </c>
      <c r="B2791" s="50">
        <v>44469.0</v>
      </c>
      <c r="C2791" s="49" t="s">
        <v>777</v>
      </c>
      <c r="D2791" s="49">
        <v>0.0</v>
      </c>
    </row>
    <row r="2792" ht="15.0" hidden="1" customHeight="1">
      <c r="A2792" s="49" t="s">
        <v>640</v>
      </c>
      <c r="B2792" s="50">
        <v>44469.0</v>
      </c>
      <c r="C2792" s="49" t="s">
        <v>777</v>
      </c>
      <c r="D2792" s="49">
        <v>0.0</v>
      </c>
    </row>
    <row r="2793" ht="15.0" hidden="1" customHeight="1">
      <c r="A2793" s="49" t="s">
        <v>644</v>
      </c>
      <c r="B2793" s="50">
        <v>44469.0</v>
      </c>
      <c r="C2793" s="49" t="s">
        <v>777</v>
      </c>
      <c r="D2793" s="49">
        <v>0.0</v>
      </c>
    </row>
    <row r="2794" ht="15.0" hidden="1" customHeight="1">
      <c r="A2794" s="49" t="s">
        <v>649</v>
      </c>
      <c r="B2794" s="50">
        <v>44469.0</v>
      </c>
      <c r="C2794" s="49" t="s">
        <v>777</v>
      </c>
      <c r="D2794" s="49">
        <v>0.0</v>
      </c>
    </row>
    <row r="2795" ht="15.0" hidden="1" customHeight="1">
      <c r="A2795" s="49" t="s">
        <v>654</v>
      </c>
      <c r="B2795" s="50">
        <v>44469.0</v>
      </c>
      <c r="C2795" s="49" t="s">
        <v>777</v>
      </c>
      <c r="D2795" s="49">
        <v>0.0</v>
      </c>
    </row>
    <row r="2796" ht="15.0" hidden="1" customHeight="1">
      <c r="A2796" s="49" t="s">
        <v>659</v>
      </c>
      <c r="B2796" s="50">
        <v>44469.0</v>
      </c>
      <c r="C2796" s="49" t="s">
        <v>777</v>
      </c>
      <c r="D2796" s="49">
        <v>0.0</v>
      </c>
    </row>
    <row r="2797" ht="15.0" hidden="1" customHeight="1">
      <c r="A2797" s="49" t="s">
        <v>664</v>
      </c>
      <c r="B2797" s="50">
        <v>44469.0</v>
      </c>
      <c r="C2797" s="49" t="s">
        <v>777</v>
      </c>
      <c r="D2797" s="49">
        <v>0.0</v>
      </c>
    </row>
    <row r="2798" ht="15.0" hidden="1" customHeight="1">
      <c r="A2798" s="49" t="s">
        <v>669</v>
      </c>
      <c r="B2798" s="50">
        <v>44469.0</v>
      </c>
      <c r="C2798" s="49" t="s">
        <v>777</v>
      </c>
      <c r="D2798" s="49">
        <v>0.0</v>
      </c>
    </row>
    <row r="2799" ht="15.0" hidden="1" customHeight="1">
      <c r="A2799" s="49" t="s">
        <v>674</v>
      </c>
      <c r="B2799" s="50">
        <v>44469.0</v>
      </c>
      <c r="C2799" s="49" t="s">
        <v>777</v>
      </c>
      <c r="D2799" s="49">
        <v>0.0</v>
      </c>
    </row>
    <row r="2800" ht="15.0" hidden="1" customHeight="1">
      <c r="A2800" s="49" t="s">
        <v>679</v>
      </c>
      <c r="B2800" s="50">
        <v>44469.0</v>
      </c>
      <c r="C2800" s="49" t="s">
        <v>777</v>
      </c>
      <c r="D2800" s="49">
        <v>0.0</v>
      </c>
    </row>
    <row r="2801" ht="15.0" hidden="1" customHeight="1">
      <c r="A2801" s="49" t="s">
        <v>684</v>
      </c>
      <c r="B2801" s="50">
        <v>44469.0</v>
      </c>
      <c r="C2801" s="49" t="s">
        <v>777</v>
      </c>
      <c r="D2801" s="49">
        <v>0.0</v>
      </c>
    </row>
    <row r="2802" ht="15.0" hidden="1" customHeight="1">
      <c r="A2802" s="49" t="s">
        <v>689</v>
      </c>
      <c r="B2802" s="50">
        <v>44469.0</v>
      </c>
      <c r="C2802" s="49" t="s">
        <v>777</v>
      </c>
      <c r="D2802" s="49">
        <v>0.0</v>
      </c>
    </row>
    <row r="2803" ht="15.0" hidden="1" customHeight="1">
      <c r="A2803" s="49" t="s">
        <v>694</v>
      </c>
      <c r="B2803" s="50">
        <v>44469.0</v>
      </c>
      <c r="C2803" s="49" t="s">
        <v>777</v>
      </c>
      <c r="D2803" s="49">
        <v>0.0</v>
      </c>
    </row>
    <row r="2804" ht="15.0" hidden="1" customHeight="1">
      <c r="A2804" s="49" t="s">
        <v>699</v>
      </c>
      <c r="B2804" s="50">
        <v>44469.0</v>
      </c>
      <c r="C2804" s="49" t="s">
        <v>777</v>
      </c>
      <c r="D2804" s="49">
        <v>0.0</v>
      </c>
    </row>
    <row r="2805" ht="15.0" hidden="1" customHeight="1">
      <c r="A2805" s="49" t="s">
        <v>705</v>
      </c>
      <c r="B2805" s="50">
        <v>44469.0</v>
      </c>
      <c r="C2805" s="49" t="s">
        <v>777</v>
      </c>
      <c r="D2805" s="49">
        <v>0.0</v>
      </c>
    </row>
    <row r="2806" ht="15.0" hidden="1" customHeight="1">
      <c r="A2806" s="49" t="s">
        <v>710</v>
      </c>
      <c r="B2806" s="50">
        <v>44469.0</v>
      </c>
      <c r="C2806" s="49" t="s">
        <v>777</v>
      </c>
      <c r="D2806" s="49">
        <v>0.0</v>
      </c>
    </row>
    <row r="2807" ht="15.0" hidden="1" customHeight="1">
      <c r="A2807" s="49" t="s">
        <v>715</v>
      </c>
      <c r="B2807" s="50">
        <v>44469.0</v>
      </c>
      <c r="C2807" s="49" t="s">
        <v>777</v>
      </c>
      <c r="D2807" s="49">
        <v>0.0</v>
      </c>
    </row>
    <row r="2808" ht="15.0" hidden="1" customHeight="1">
      <c r="A2808" s="49" t="s">
        <v>765</v>
      </c>
      <c r="B2808" s="50">
        <v>44469.0</v>
      </c>
      <c r="C2808" s="49" t="s">
        <v>777</v>
      </c>
      <c r="D2808" s="49">
        <v>0.0</v>
      </c>
    </row>
    <row r="2809" ht="15.0" hidden="1" customHeight="1">
      <c r="A2809" s="49" t="s">
        <v>720</v>
      </c>
      <c r="B2809" s="50">
        <v>44469.0</v>
      </c>
      <c r="C2809" s="49" t="s">
        <v>777</v>
      </c>
      <c r="D2809" s="49">
        <v>0.0</v>
      </c>
    </row>
    <row r="2810" ht="15.0" hidden="1" customHeight="1">
      <c r="A2810" s="49" t="s">
        <v>725</v>
      </c>
      <c r="B2810" s="50">
        <v>44469.0</v>
      </c>
      <c r="C2810" s="49" t="s">
        <v>777</v>
      </c>
      <c r="D2810" s="49">
        <v>0.0</v>
      </c>
    </row>
    <row r="2811" ht="15.0" hidden="1" customHeight="1">
      <c r="A2811" s="49" t="s">
        <v>730</v>
      </c>
      <c r="B2811" s="50">
        <v>44469.0</v>
      </c>
      <c r="C2811" s="49" t="s">
        <v>777</v>
      </c>
      <c r="D2811" s="49">
        <v>0.0</v>
      </c>
    </row>
    <row r="2812" ht="15.0" hidden="1" customHeight="1">
      <c r="A2812" s="49" t="s">
        <v>734</v>
      </c>
      <c r="B2812" s="50">
        <v>44469.0</v>
      </c>
      <c r="C2812" s="49" t="s">
        <v>777</v>
      </c>
      <c r="D2812" s="49">
        <v>0.0</v>
      </c>
    </row>
    <row r="2813" ht="15.0" hidden="1" customHeight="1">
      <c r="A2813" s="49" t="s">
        <v>739</v>
      </c>
      <c r="B2813" s="50">
        <v>44469.0</v>
      </c>
      <c r="C2813" s="49" t="s">
        <v>777</v>
      </c>
      <c r="D2813" s="49">
        <v>0.0</v>
      </c>
    </row>
    <row r="2814" ht="15.0" hidden="1" customHeight="1">
      <c r="A2814" s="49" t="s">
        <v>744</v>
      </c>
      <c r="B2814" s="50">
        <v>44469.0</v>
      </c>
      <c r="C2814" s="49" t="s">
        <v>777</v>
      </c>
      <c r="D2814" s="49">
        <v>0.0</v>
      </c>
    </row>
    <row r="2815" ht="15.0" hidden="1" customHeight="1">
      <c r="A2815" s="49" t="s">
        <v>749</v>
      </c>
      <c r="B2815" s="50">
        <v>44469.0</v>
      </c>
      <c r="C2815" s="49" t="s">
        <v>777</v>
      </c>
      <c r="D2815" s="49">
        <v>0.0</v>
      </c>
    </row>
    <row r="2816" ht="15.0" customHeight="1">
      <c r="A2816" s="49" t="s">
        <v>776</v>
      </c>
      <c r="B2816" s="50">
        <v>44469.0</v>
      </c>
      <c r="C2816" s="49" t="s">
        <v>78</v>
      </c>
      <c r="D2816" s="49">
        <v>0.0</v>
      </c>
    </row>
    <row r="2817" ht="15.0" hidden="1" customHeight="1">
      <c r="A2817" s="49" t="s">
        <v>778</v>
      </c>
      <c r="B2817" s="50">
        <v>44469.0</v>
      </c>
      <c r="C2817" s="49" t="s">
        <v>78</v>
      </c>
      <c r="D2817" s="49">
        <v>0.0</v>
      </c>
    </row>
    <row r="2818" ht="15.0" hidden="1" customHeight="1">
      <c r="A2818" s="49" t="s">
        <v>92</v>
      </c>
      <c r="B2818" s="50">
        <v>44469.0</v>
      </c>
      <c r="C2818" s="49" t="s">
        <v>78</v>
      </c>
      <c r="D2818" s="49">
        <v>0.0</v>
      </c>
    </row>
    <row r="2819" ht="15.0" hidden="1" customHeight="1">
      <c r="A2819" s="49" t="s">
        <v>97</v>
      </c>
      <c r="B2819" s="50">
        <v>44469.0</v>
      </c>
      <c r="C2819" s="49" t="s">
        <v>78</v>
      </c>
      <c r="D2819" s="49">
        <v>0.0</v>
      </c>
    </row>
    <row r="2820" ht="15.0" hidden="1" customHeight="1">
      <c r="A2820" s="49" t="s">
        <v>102</v>
      </c>
      <c r="B2820" s="50">
        <v>44469.0</v>
      </c>
      <c r="C2820" s="49" t="s">
        <v>78</v>
      </c>
      <c r="D2820" s="49">
        <v>0.0</v>
      </c>
    </row>
    <row r="2821" ht="15.0" hidden="1" customHeight="1">
      <c r="A2821" s="49" t="s">
        <v>106</v>
      </c>
      <c r="B2821" s="50">
        <v>44469.0</v>
      </c>
      <c r="C2821" s="49" t="s">
        <v>78</v>
      </c>
      <c r="D2821" s="49">
        <v>0.0</v>
      </c>
    </row>
    <row r="2822" ht="15.0" hidden="1" customHeight="1">
      <c r="A2822" s="49" t="s">
        <v>111</v>
      </c>
      <c r="B2822" s="50">
        <v>44469.0</v>
      </c>
      <c r="C2822" s="49" t="s">
        <v>78</v>
      </c>
      <c r="D2822" s="49">
        <v>0.0</v>
      </c>
    </row>
    <row r="2823" ht="15.0" hidden="1" customHeight="1">
      <c r="A2823" s="49" t="s">
        <v>116</v>
      </c>
      <c r="B2823" s="50">
        <v>44469.0</v>
      </c>
      <c r="C2823" s="49" t="s">
        <v>78</v>
      </c>
      <c r="D2823" s="49">
        <v>0.0</v>
      </c>
    </row>
    <row r="2824" ht="15.0" hidden="1" customHeight="1">
      <c r="A2824" s="49" t="s">
        <v>120</v>
      </c>
      <c r="B2824" s="50">
        <v>44469.0</v>
      </c>
      <c r="C2824" s="49" t="s">
        <v>78</v>
      </c>
      <c r="D2824" s="49">
        <v>0.0</v>
      </c>
    </row>
    <row r="2825" ht="15.0" hidden="1" customHeight="1">
      <c r="A2825" s="49" t="s">
        <v>125</v>
      </c>
      <c r="B2825" s="50">
        <v>44469.0</v>
      </c>
      <c r="C2825" s="49" t="s">
        <v>78</v>
      </c>
      <c r="D2825" s="49">
        <v>0.0</v>
      </c>
    </row>
    <row r="2826" ht="15.0" hidden="1" customHeight="1">
      <c r="A2826" s="49" t="s">
        <v>130</v>
      </c>
      <c r="B2826" s="50">
        <v>44469.0</v>
      </c>
      <c r="C2826" s="49" t="s">
        <v>78</v>
      </c>
      <c r="D2826" s="49">
        <v>0.0</v>
      </c>
    </row>
    <row r="2827" ht="15.0" hidden="1" customHeight="1">
      <c r="A2827" s="49" t="s">
        <v>137</v>
      </c>
      <c r="B2827" s="50">
        <v>44469.0</v>
      </c>
      <c r="C2827" s="49" t="s">
        <v>78</v>
      </c>
      <c r="D2827" s="49">
        <v>0.0</v>
      </c>
    </row>
    <row r="2828" ht="15.0" hidden="1" customHeight="1">
      <c r="A2828" s="49" t="s">
        <v>142</v>
      </c>
      <c r="B2828" s="50">
        <v>44469.0</v>
      </c>
      <c r="C2828" s="49" t="s">
        <v>78</v>
      </c>
      <c r="D2828" s="49">
        <v>0.0</v>
      </c>
    </row>
    <row r="2829" ht="15.0" hidden="1" customHeight="1">
      <c r="A2829" s="49" t="s">
        <v>147</v>
      </c>
      <c r="B2829" s="50">
        <v>44469.0</v>
      </c>
      <c r="C2829" s="49" t="s">
        <v>78</v>
      </c>
      <c r="D2829" s="49">
        <v>0.0</v>
      </c>
    </row>
    <row r="2830" ht="15.0" hidden="1" customHeight="1">
      <c r="A2830" s="49" t="s">
        <v>152</v>
      </c>
      <c r="B2830" s="50">
        <v>44469.0</v>
      </c>
      <c r="C2830" s="49" t="s">
        <v>78</v>
      </c>
      <c r="D2830" s="49">
        <v>0.0</v>
      </c>
    </row>
    <row r="2831" ht="15.0" hidden="1" customHeight="1">
      <c r="A2831" s="49" t="s">
        <v>157</v>
      </c>
      <c r="B2831" s="50">
        <v>44469.0</v>
      </c>
      <c r="C2831" s="49" t="s">
        <v>78</v>
      </c>
      <c r="D2831" s="49">
        <v>0.0</v>
      </c>
    </row>
    <row r="2832" ht="15.0" hidden="1" customHeight="1">
      <c r="A2832" s="49" t="s">
        <v>162</v>
      </c>
      <c r="B2832" s="50">
        <v>44469.0</v>
      </c>
      <c r="C2832" s="49" t="s">
        <v>78</v>
      </c>
      <c r="D2832" s="49">
        <v>0.0</v>
      </c>
    </row>
    <row r="2833" ht="15.0" hidden="1" customHeight="1">
      <c r="A2833" s="49" t="s">
        <v>167</v>
      </c>
      <c r="B2833" s="50">
        <v>44469.0</v>
      </c>
      <c r="C2833" s="49" t="s">
        <v>78</v>
      </c>
      <c r="D2833" s="49">
        <v>0.0</v>
      </c>
    </row>
    <row r="2834" ht="15.0" hidden="1" customHeight="1">
      <c r="A2834" s="49" t="s">
        <v>172</v>
      </c>
      <c r="B2834" s="50">
        <v>44469.0</v>
      </c>
      <c r="C2834" s="49" t="s">
        <v>78</v>
      </c>
      <c r="D2834" s="49">
        <v>0.0</v>
      </c>
    </row>
    <row r="2835" ht="15.0" hidden="1" customHeight="1">
      <c r="A2835" s="49" t="s">
        <v>177</v>
      </c>
      <c r="B2835" s="50">
        <v>44469.0</v>
      </c>
      <c r="C2835" s="49" t="s">
        <v>78</v>
      </c>
      <c r="D2835" s="49">
        <v>0.0</v>
      </c>
    </row>
    <row r="2836" ht="15.0" hidden="1" customHeight="1">
      <c r="A2836" s="49" t="s">
        <v>182</v>
      </c>
      <c r="B2836" s="50">
        <v>44469.0</v>
      </c>
      <c r="C2836" s="49" t="s">
        <v>78</v>
      </c>
      <c r="D2836" s="49">
        <v>0.0</v>
      </c>
    </row>
    <row r="2837" ht="15.0" hidden="1" customHeight="1">
      <c r="A2837" s="49" t="s">
        <v>187</v>
      </c>
      <c r="B2837" s="50">
        <v>44469.0</v>
      </c>
      <c r="C2837" s="49" t="s">
        <v>78</v>
      </c>
      <c r="D2837" s="49">
        <v>0.0</v>
      </c>
    </row>
    <row r="2838" ht="15.0" hidden="1" customHeight="1">
      <c r="A2838" s="49" t="s">
        <v>192</v>
      </c>
      <c r="B2838" s="50">
        <v>44469.0</v>
      </c>
      <c r="C2838" s="49" t="s">
        <v>78</v>
      </c>
      <c r="D2838" s="49">
        <v>0.0</v>
      </c>
    </row>
    <row r="2839" ht="15.0" hidden="1" customHeight="1">
      <c r="A2839" s="49" t="s">
        <v>197</v>
      </c>
      <c r="B2839" s="50">
        <v>44469.0</v>
      </c>
      <c r="C2839" s="49" t="s">
        <v>78</v>
      </c>
      <c r="D2839" s="49">
        <v>0.0</v>
      </c>
    </row>
    <row r="2840" ht="15.0" hidden="1" customHeight="1">
      <c r="A2840" s="49" t="s">
        <v>202</v>
      </c>
      <c r="B2840" s="50">
        <v>44469.0</v>
      </c>
      <c r="C2840" s="49" t="s">
        <v>78</v>
      </c>
      <c r="D2840" s="49">
        <v>0.0</v>
      </c>
    </row>
    <row r="2841" ht="15.0" hidden="1" customHeight="1">
      <c r="A2841" s="49" t="s">
        <v>206</v>
      </c>
      <c r="B2841" s="50">
        <v>44469.0</v>
      </c>
      <c r="C2841" s="49" t="s">
        <v>78</v>
      </c>
      <c r="D2841" s="49">
        <v>0.0</v>
      </c>
    </row>
    <row r="2842" ht="15.0" hidden="1" customHeight="1">
      <c r="A2842" s="49" t="s">
        <v>211</v>
      </c>
      <c r="B2842" s="50">
        <v>44469.0</v>
      </c>
      <c r="C2842" s="49" t="s">
        <v>78</v>
      </c>
      <c r="D2842" s="49">
        <v>0.0</v>
      </c>
    </row>
    <row r="2843" ht="15.0" hidden="1" customHeight="1">
      <c r="A2843" s="49" t="s">
        <v>779</v>
      </c>
      <c r="B2843" s="50">
        <v>44469.0</v>
      </c>
      <c r="C2843" s="49" t="s">
        <v>78</v>
      </c>
      <c r="D2843" s="49">
        <v>0.0</v>
      </c>
    </row>
    <row r="2844" ht="15.0" hidden="1" customHeight="1">
      <c r="A2844" s="49" t="s">
        <v>221</v>
      </c>
      <c r="B2844" s="50">
        <v>44469.0</v>
      </c>
      <c r="C2844" s="49" t="s">
        <v>78</v>
      </c>
      <c r="D2844" s="49">
        <v>192000.0</v>
      </c>
    </row>
    <row r="2845" ht="15.0" hidden="1" customHeight="1">
      <c r="A2845" s="49" t="s">
        <v>226</v>
      </c>
      <c r="B2845" s="50">
        <v>44469.0</v>
      </c>
      <c r="C2845" s="49" t="s">
        <v>78</v>
      </c>
      <c r="D2845" s="49">
        <v>3515000.0</v>
      </c>
    </row>
    <row r="2846" ht="15.0" hidden="1" customHeight="1">
      <c r="A2846" s="49" t="s">
        <v>231</v>
      </c>
      <c r="B2846" s="50">
        <v>44469.0</v>
      </c>
      <c r="C2846" s="49" t="s">
        <v>78</v>
      </c>
      <c r="D2846" s="49">
        <v>653000.0</v>
      </c>
    </row>
    <row r="2847" ht="15.0" hidden="1" customHeight="1">
      <c r="A2847" s="49" t="s">
        <v>236</v>
      </c>
      <c r="B2847" s="50">
        <v>44469.0</v>
      </c>
      <c r="C2847" s="49" t="s">
        <v>78</v>
      </c>
      <c r="D2847" s="49">
        <v>770000.0</v>
      </c>
    </row>
    <row r="2848" ht="15.0" hidden="1" customHeight="1">
      <c r="A2848" s="49" t="s">
        <v>242</v>
      </c>
      <c r="B2848" s="50">
        <v>44469.0</v>
      </c>
      <c r="C2848" s="49" t="s">
        <v>78</v>
      </c>
      <c r="D2848" s="49">
        <v>0.0</v>
      </c>
    </row>
    <row r="2849" ht="15.0" hidden="1" customHeight="1">
      <c r="A2849" s="49" t="s">
        <v>248</v>
      </c>
      <c r="B2849" s="50">
        <v>44469.0</v>
      </c>
      <c r="C2849" s="49" t="s">
        <v>78</v>
      </c>
      <c r="D2849" s="49">
        <v>4128000.0</v>
      </c>
    </row>
    <row r="2850" ht="15.0" hidden="1" customHeight="1">
      <c r="A2850" s="49" t="s">
        <v>253</v>
      </c>
      <c r="B2850" s="50">
        <v>44469.0</v>
      </c>
      <c r="C2850" s="49" t="s">
        <v>78</v>
      </c>
      <c r="D2850" s="49">
        <v>0.0</v>
      </c>
    </row>
    <row r="2851" ht="15.0" hidden="1" customHeight="1">
      <c r="A2851" s="49" t="s">
        <v>258</v>
      </c>
      <c r="B2851" s="50">
        <v>44469.0</v>
      </c>
      <c r="C2851" s="49" t="s">
        <v>78</v>
      </c>
      <c r="D2851" s="49">
        <v>0.0</v>
      </c>
    </row>
    <row r="2852" ht="15.0" hidden="1" customHeight="1">
      <c r="A2852" s="49" t="s">
        <v>263</v>
      </c>
      <c r="B2852" s="50">
        <v>44469.0</v>
      </c>
      <c r="C2852" s="49" t="s">
        <v>78</v>
      </c>
      <c r="D2852" s="49">
        <v>0.0</v>
      </c>
    </row>
    <row r="2853" ht="15.0" hidden="1" customHeight="1">
      <c r="A2853" s="49" t="s">
        <v>268</v>
      </c>
      <c r="B2853" s="50">
        <v>44469.0</v>
      </c>
      <c r="C2853" s="49" t="s">
        <v>78</v>
      </c>
      <c r="D2853" s="49">
        <v>0.0</v>
      </c>
    </row>
    <row r="2854" ht="15.0" hidden="1" customHeight="1">
      <c r="A2854" s="49" t="s">
        <v>273</v>
      </c>
      <c r="B2854" s="50">
        <v>44469.0</v>
      </c>
      <c r="C2854" s="49" t="s">
        <v>78</v>
      </c>
      <c r="D2854" s="49">
        <v>0.0</v>
      </c>
    </row>
    <row r="2855" ht="15.0" hidden="1" customHeight="1">
      <c r="A2855" s="49" t="s">
        <v>278</v>
      </c>
      <c r="B2855" s="50">
        <v>44469.0</v>
      </c>
      <c r="C2855" s="49" t="s">
        <v>78</v>
      </c>
      <c r="D2855" s="49">
        <v>0.0</v>
      </c>
    </row>
    <row r="2856" ht="15.0" hidden="1" customHeight="1">
      <c r="A2856" s="49" t="s">
        <v>283</v>
      </c>
      <c r="B2856" s="50">
        <v>44469.0</v>
      </c>
      <c r="C2856" s="49" t="s">
        <v>78</v>
      </c>
      <c r="D2856" s="49">
        <v>0.0</v>
      </c>
    </row>
    <row r="2857" ht="15.0" hidden="1" customHeight="1">
      <c r="A2857" s="49" t="s">
        <v>288</v>
      </c>
      <c r="B2857" s="50">
        <v>44469.0</v>
      </c>
      <c r="C2857" s="49" t="s">
        <v>78</v>
      </c>
      <c r="D2857" s="49">
        <v>0.0</v>
      </c>
    </row>
    <row r="2858" ht="15.0" hidden="1" customHeight="1">
      <c r="A2858" s="49" t="s">
        <v>293</v>
      </c>
      <c r="B2858" s="50">
        <v>44469.0</v>
      </c>
      <c r="C2858" s="49" t="s">
        <v>78</v>
      </c>
      <c r="D2858" s="49">
        <v>0.0</v>
      </c>
    </row>
    <row r="2859" ht="15.0" hidden="1" customHeight="1">
      <c r="A2859" s="49" t="s">
        <v>298</v>
      </c>
      <c r="B2859" s="50">
        <v>44469.0</v>
      </c>
      <c r="C2859" s="49" t="s">
        <v>78</v>
      </c>
      <c r="D2859" s="49">
        <v>0.0</v>
      </c>
    </row>
    <row r="2860" ht="15.0" hidden="1" customHeight="1">
      <c r="A2860" s="49" t="s">
        <v>303</v>
      </c>
      <c r="B2860" s="50">
        <v>44469.0</v>
      </c>
      <c r="C2860" s="49" t="s">
        <v>78</v>
      </c>
      <c r="D2860" s="49">
        <v>0.0</v>
      </c>
    </row>
    <row r="2861" ht="15.0" hidden="1" customHeight="1">
      <c r="A2861" s="49" t="s">
        <v>307</v>
      </c>
      <c r="B2861" s="50">
        <v>44469.0</v>
      </c>
      <c r="C2861" s="49" t="s">
        <v>78</v>
      </c>
      <c r="D2861" s="49">
        <v>0.0</v>
      </c>
    </row>
    <row r="2862" ht="15.0" hidden="1" customHeight="1">
      <c r="A2862" s="49" t="s">
        <v>313</v>
      </c>
      <c r="B2862" s="50">
        <v>44469.0</v>
      </c>
      <c r="C2862" s="49" t="s">
        <v>78</v>
      </c>
      <c r="D2862" s="49">
        <v>0.0</v>
      </c>
    </row>
    <row r="2863" ht="15.0" hidden="1" customHeight="1">
      <c r="A2863" s="49" t="s">
        <v>318</v>
      </c>
      <c r="B2863" s="50">
        <v>44469.0</v>
      </c>
      <c r="C2863" s="49" t="s">
        <v>78</v>
      </c>
      <c r="D2863" s="49">
        <v>0.0</v>
      </c>
    </row>
    <row r="2864" ht="15.0" hidden="1" customHeight="1">
      <c r="A2864" s="49" t="s">
        <v>323</v>
      </c>
      <c r="B2864" s="50">
        <v>44469.0</v>
      </c>
      <c r="C2864" s="49" t="s">
        <v>78</v>
      </c>
      <c r="D2864" s="49">
        <v>0.0</v>
      </c>
    </row>
    <row r="2865" ht="15.0" hidden="1" customHeight="1">
      <c r="A2865" s="49" t="s">
        <v>328</v>
      </c>
      <c r="B2865" s="50">
        <v>44469.0</v>
      </c>
      <c r="C2865" s="49" t="s">
        <v>78</v>
      </c>
      <c r="D2865" s="49">
        <v>0.0</v>
      </c>
    </row>
    <row r="2866" ht="15.0" hidden="1" customHeight="1">
      <c r="A2866" s="49" t="s">
        <v>335</v>
      </c>
      <c r="B2866" s="50">
        <v>44469.0</v>
      </c>
      <c r="C2866" s="49" t="s">
        <v>78</v>
      </c>
      <c r="D2866" s="49">
        <v>0.0</v>
      </c>
    </row>
    <row r="2867" ht="15.0" hidden="1" customHeight="1">
      <c r="A2867" s="49" t="s">
        <v>340</v>
      </c>
      <c r="B2867" s="50">
        <v>44469.0</v>
      </c>
      <c r="C2867" s="49" t="s">
        <v>78</v>
      </c>
      <c r="D2867" s="49">
        <v>0.0</v>
      </c>
    </row>
    <row r="2868" ht="15.0" hidden="1" customHeight="1">
      <c r="A2868" s="49" t="s">
        <v>345</v>
      </c>
      <c r="B2868" s="50">
        <v>44469.0</v>
      </c>
      <c r="C2868" s="49" t="s">
        <v>78</v>
      </c>
      <c r="D2868" s="49">
        <v>0.0</v>
      </c>
    </row>
    <row r="2869" ht="15.0" hidden="1" customHeight="1">
      <c r="A2869" s="49" t="s">
        <v>350</v>
      </c>
      <c r="B2869" s="50">
        <v>44469.0</v>
      </c>
      <c r="C2869" s="49" t="s">
        <v>78</v>
      </c>
      <c r="D2869" s="49">
        <v>0.0</v>
      </c>
    </row>
    <row r="2870" ht="15.0" hidden="1" customHeight="1">
      <c r="A2870" s="49" t="s">
        <v>355</v>
      </c>
      <c r="B2870" s="50">
        <v>44469.0</v>
      </c>
      <c r="C2870" s="49" t="s">
        <v>78</v>
      </c>
      <c r="D2870" s="49">
        <v>0.0</v>
      </c>
    </row>
    <row r="2871" ht="15.0" hidden="1" customHeight="1">
      <c r="A2871" s="49" t="s">
        <v>360</v>
      </c>
      <c r="B2871" s="50">
        <v>44469.0</v>
      </c>
      <c r="C2871" s="49" t="s">
        <v>78</v>
      </c>
      <c r="D2871" s="49">
        <v>0.0</v>
      </c>
    </row>
    <row r="2872" ht="15.0" hidden="1" customHeight="1">
      <c r="A2872" s="49" t="s">
        <v>365</v>
      </c>
      <c r="B2872" s="50">
        <v>44469.0</v>
      </c>
      <c r="C2872" s="49" t="s">
        <v>78</v>
      </c>
      <c r="D2872" s="49">
        <v>0.0</v>
      </c>
    </row>
    <row r="2873" ht="15.0" hidden="1" customHeight="1">
      <c r="A2873" s="49" t="s">
        <v>370</v>
      </c>
      <c r="B2873" s="50">
        <v>44469.0</v>
      </c>
      <c r="C2873" s="49" t="s">
        <v>78</v>
      </c>
      <c r="D2873" s="49">
        <v>0.0</v>
      </c>
    </row>
    <row r="2874" ht="15.0" hidden="1" customHeight="1">
      <c r="A2874" s="49" t="s">
        <v>375</v>
      </c>
      <c r="B2874" s="50">
        <v>44469.0</v>
      </c>
      <c r="C2874" s="49" t="s">
        <v>78</v>
      </c>
      <c r="D2874" s="49">
        <v>0.0</v>
      </c>
    </row>
    <row r="2875" ht="15.0" hidden="1" customHeight="1">
      <c r="A2875" s="49" t="s">
        <v>380</v>
      </c>
      <c r="B2875" s="50">
        <v>44469.0</v>
      </c>
      <c r="C2875" s="49" t="s">
        <v>78</v>
      </c>
      <c r="D2875" s="49">
        <v>0.0</v>
      </c>
    </row>
    <row r="2876" ht="15.0" hidden="1" customHeight="1">
      <c r="A2876" s="49" t="s">
        <v>385</v>
      </c>
      <c r="B2876" s="50">
        <v>44469.0</v>
      </c>
      <c r="C2876" s="49" t="s">
        <v>78</v>
      </c>
      <c r="D2876" s="49">
        <v>0.0</v>
      </c>
    </row>
    <row r="2877" ht="15.0" hidden="1" customHeight="1">
      <c r="A2877" s="49" t="s">
        <v>390</v>
      </c>
      <c r="B2877" s="50">
        <v>44469.0</v>
      </c>
      <c r="C2877" s="49" t="s">
        <v>78</v>
      </c>
      <c r="D2877" s="49">
        <v>0.0</v>
      </c>
    </row>
    <row r="2878" ht="15.0" hidden="1" customHeight="1">
      <c r="A2878" s="49" t="s">
        <v>395</v>
      </c>
      <c r="B2878" s="50">
        <v>44469.0</v>
      </c>
      <c r="C2878" s="49" t="s">
        <v>78</v>
      </c>
      <c r="D2878" s="49">
        <v>0.0</v>
      </c>
    </row>
    <row r="2879" ht="15.0" hidden="1" customHeight="1">
      <c r="A2879" s="49" t="s">
        <v>400</v>
      </c>
      <c r="B2879" s="50">
        <v>44469.0</v>
      </c>
      <c r="C2879" s="49" t="s">
        <v>78</v>
      </c>
      <c r="D2879" s="49">
        <v>0.0</v>
      </c>
    </row>
    <row r="2880" ht="15.0" hidden="1" customHeight="1">
      <c r="A2880" s="49" t="s">
        <v>405</v>
      </c>
      <c r="B2880" s="50">
        <v>44469.0</v>
      </c>
      <c r="C2880" s="49" t="s">
        <v>78</v>
      </c>
      <c r="D2880" s="49">
        <v>0.0</v>
      </c>
    </row>
    <row r="2881" ht="15.0" hidden="1" customHeight="1">
      <c r="A2881" s="49" t="s">
        <v>410</v>
      </c>
      <c r="B2881" s="50">
        <v>44469.0</v>
      </c>
      <c r="C2881" s="49" t="s">
        <v>78</v>
      </c>
      <c r="D2881" s="49">
        <v>0.0</v>
      </c>
    </row>
    <row r="2882" ht="15.0" hidden="1" customHeight="1">
      <c r="A2882" s="49" t="s">
        <v>415</v>
      </c>
      <c r="B2882" s="50">
        <v>44469.0</v>
      </c>
      <c r="C2882" s="49" t="s">
        <v>78</v>
      </c>
      <c r="D2882" s="49">
        <v>0.0</v>
      </c>
    </row>
    <row r="2883" ht="15.0" hidden="1" customHeight="1">
      <c r="A2883" s="49" t="s">
        <v>420</v>
      </c>
      <c r="B2883" s="50">
        <v>44469.0</v>
      </c>
      <c r="C2883" s="49" t="s">
        <v>78</v>
      </c>
      <c r="D2883" s="49">
        <v>0.0</v>
      </c>
    </row>
    <row r="2884" ht="15.0" hidden="1" customHeight="1">
      <c r="A2884" s="49" t="s">
        <v>425</v>
      </c>
      <c r="B2884" s="50">
        <v>44469.0</v>
      </c>
      <c r="C2884" s="49" t="s">
        <v>78</v>
      </c>
      <c r="D2884" s="49">
        <v>0.0</v>
      </c>
    </row>
    <row r="2885" ht="15.0" hidden="1" customHeight="1">
      <c r="A2885" s="49" t="s">
        <v>430</v>
      </c>
      <c r="B2885" s="50">
        <v>44469.0</v>
      </c>
      <c r="C2885" s="49" t="s">
        <v>78</v>
      </c>
      <c r="D2885" s="49">
        <v>0.0</v>
      </c>
    </row>
    <row r="2886" ht="15.0" hidden="1" customHeight="1">
      <c r="A2886" s="49" t="s">
        <v>434</v>
      </c>
      <c r="B2886" s="50">
        <v>44469.0</v>
      </c>
      <c r="C2886" s="49" t="s">
        <v>78</v>
      </c>
      <c r="D2886" s="49">
        <v>0.0</v>
      </c>
    </row>
    <row r="2887" ht="15.0" hidden="1" customHeight="1">
      <c r="A2887" s="49" t="s">
        <v>439</v>
      </c>
      <c r="B2887" s="50">
        <v>44469.0</v>
      </c>
      <c r="C2887" s="49" t="s">
        <v>78</v>
      </c>
      <c r="D2887" s="49">
        <v>0.0</v>
      </c>
    </row>
    <row r="2888" ht="15.0" hidden="1" customHeight="1">
      <c r="A2888" s="49" t="s">
        <v>444</v>
      </c>
      <c r="B2888" s="50">
        <v>44469.0</v>
      </c>
      <c r="C2888" s="49" t="s">
        <v>78</v>
      </c>
      <c r="D2888" s="49">
        <v>0.0</v>
      </c>
    </row>
    <row r="2889" ht="15.0" hidden="1" customHeight="1">
      <c r="A2889" s="49" t="s">
        <v>449</v>
      </c>
      <c r="B2889" s="50">
        <v>44469.0</v>
      </c>
      <c r="C2889" s="49" t="s">
        <v>78</v>
      </c>
      <c r="D2889" s="49">
        <v>0.0</v>
      </c>
    </row>
    <row r="2890" ht="15.0" hidden="1" customHeight="1">
      <c r="A2890" s="49" t="s">
        <v>455</v>
      </c>
      <c r="B2890" s="50">
        <v>44469.0</v>
      </c>
      <c r="C2890" s="49" t="s">
        <v>78</v>
      </c>
      <c r="D2890" s="49">
        <v>0.0</v>
      </c>
    </row>
    <row r="2891" ht="15.0" hidden="1" customHeight="1">
      <c r="A2891" s="49" t="s">
        <v>470</v>
      </c>
      <c r="B2891" s="50">
        <v>44469.0</v>
      </c>
      <c r="C2891" s="49" t="s">
        <v>78</v>
      </c>
      <c r="D2891" s="49">
        <v>0.0</v>
      </c>
    </row>
    <row r="2892" ht="15.0" hidden="1" customHeight="1">
      <c r="A2892" s="49" t="s">
        <v>476</v>
      </c>
      <c r="B2892" s="50">
        <v>44469.0</v>
      </c>
      <c r="C2892" s="49" t="s">
        <v>78</v>
      </c>
      <c r="D2892" s="49">
        <v>0.0</v>
      </c>
    </row>
    <row r="2893" ht="15.0" hidden="1" customHeight="1">
      <c r="A2893" s="49" t="s">
        <v>481</v>
      </c>
      <c r="B2893" s="50">
        <v>44469.0</v>
      </c>
      <c r="C2893" s="49" t="s">
        <v>78</v>
      </c>
      <c r="D2893" s="49">
        <v>0.0</v>
      </c>
    </row>
    <row r="2894" ht="15.0" hidden="1" customHeight="1">
      <c r="A2894" s="49" t="s">
        <v>486</v>
      </c>
      <c r="B2894" s="50">
        <v>44469.0</v>
      </c>
      <c r="C2894" s="49" t="s">
        <v>78</v>
      </c>
      <c r="D2894" s="49">
        <v>0.0</v>
      </c>
    </row>
    <row r="2895" ht="15.0" hidden="1" customHeight="1">
      <c r="A2895" s="49" t="s">
        <v>491</v>
      </c>
      <c r="B2895" s="50">
        <v>44469.0</v>
      </c>
      <c r="C2895" s="49" t="s">
        <v>78</v>
      </c>
      <c r="D2895" s="49">
        <v>0.0</v>
      </c>
    </row>
    <row r="2896" ht="15.0" hidden="1" customHeight="1">
      <c r="A2896" s="49" t="s">
        <v>496</v>
      </c>
      <c r="B2896" s="50">
        <v>44469.0</v>
      </c>
      <c r="C2896" s="49" t="s">
        <v>78</v>
      </c>
      <c r="D2896" s="49">
        <v>0.0</v>
      </c>
    </row>
    <row r="2897" ht="15.0" hidden="1" customHeight="1">
      <c r="A2897" s="49" t="s">
        <v>501</v>
      </c>
      <c r="B2897" s="50">
        <v>44469.0</v>
      </c>
      <c r="C2897" s="49" t="s">
        <v>78</v>
      </c>
      <c r="D2897" s="49">
        <v>0.0</v>
      </c>
    </row>
    <row r="2898" ht="15.0" hidden="1" customHeight="1">
      <c r="A2898" s="49" t="s">
        <v>506</v>
      </c>
      <c r="B2898" s="50">
        <v>44469.0</v>
      </c>
      <c r="C2898" s="49" t="s">
        <v>78</v>
      </c>
      <c r="D2898" s="49">
        <v>0.0</v>
      </c>
    </row>
    <row r="2899" ht="15.0" hidden="1" customHeight="1">
      <c r="A2899" s="49" t="s">
        <v>512</v>
      </c>
      <c r="B2899" s="50">
        <v>44469.0</v>
      </c>
      <c r="C2899" s="49" t="s">
        <v>78</v>
      </c>
      <c r="D2899" s="49">
        <v>0.0</v>
      </c>
    </row>
    <row r="2900" ht="15.0" hidden="1" customHeight="1">
      <c r="A2900" s="49" t="s">
        <v>517</v>
      </c>
      <c r="B2900" s="50">
        <v>44469.0</v>
      </c>
      <c r="C2900" s="49" t="s">
        <v>78</v>
      </c>
      <c r="D2900" s="49">
        <v>0.0</v>
      </c>
    </row>
    <row r="2901" ht="15.0" hidden="1" customHeight="1">
      <c r="A2901" s="49" t="s">
        <v>522</v>
      </c>
      <c r="B2901" s="50">
        <v>44469.0</v>
      </c>
      <c r="C2901" s="49" t="s">
        <v>78</v>
      </c>
      <c r="D2901" s="49">
        <v>0.0</v>
      </c>
    </row>
    <row r="2902" ht="15.0" hidden="1" customHeight="1">
      <c r="A2902" s="49" t="s">
        <v>528</v>
      </c>
      <c r="B2902" s="50">
        <v>44469.0</v>
      </c>
      <c r="C2902" s="49" t="s">
        <v>78</v>
      </c>
      <c r="D2902" s="49">
        <v>0.0</v>
      </c>
    </row>
    <row r="2903" ht="15.0" hidden="1" customHeight="1">
      <c r="A2903" s="49" t="s">
        <v>533</v>
      </c>
      <c r="B2903" s="50">
        <v>44469.0</v>
      </c>
      <c r="C2903" s="49" t="s">
        <v>78</v>
      </c>
      <c r="D2903" s="49">
        <v>0.0</v>
      </c>
    </row>
    <row r="2904" ht="15.0" hidden="1" customHeight="1">
      <c r="A2904" s="49" t="s">
        <v>538</v>
      </c>
      <c r="B2904" s="50">
        <v>44469.0</v>
      </c>
      <c r="C2904" s="49" t="s">
        <v>78</v>
      </c>
      <c r="D2904" s="49">
        <v>0.0</v>
      </c>
    </row>
    <row r="2905" ht="15.0" hidden="1" customHeight="1">
      <c r="A2905" s="49" t="s">
        <v>546</v>
      </c>
      <c r="B2905" s="50">
        <v>44469.0</v>
      </c>
      <c r="C2905" s="49" t="s">
        <v>78</v>
      </c>
      <c r="D2905" s="49">
        <v>0.0</v>
      </c>
    </row>
    <row r="2906" ht="15.0" hidden="1" customHeight="1">
      <c r="A2906" s="49" t="s">
        <v>551</v>
      </c>
      <c r="B2906" s="50">
        <v>44469.0</v>
      </c>
      <c r="C2906" s="49" t="s">
        <v>78</v>
      </c>
      <c r="D2906" s="49">
        <v>0.0</v>
      </c>
    </row>
    <row r="2907" ht="15.0" hidden="1" customHeight="1">
      <c r="A2907" s="49" t="s">
        <v>556</v>
      </c>
      <c r="B2907" s="50">
        <v>44469.0</v>
      </c>
      <c r="C2907" s="49" t="s">
        <v>78</v>
      </c>
      <c r="D2907" s="49">
        <v>0.0</v>
      </c>
    </row>
    <row r="2908" ht="15.0" hidden="1" customHeight="1">
      <c r="A2908" s="49" t="s">
        <v>561</v>
      </c>
      <c r="B2908" s="50">
        <v>44469.0</v>
      </c>
      <c r="C2908" s="49" t="s">
        <v>78</v>
      </c>
      <c r="D2908" s="49">
        <v>0.0</v>
      </c>
    </row>
    <row r="2909" ht="15.0" hidden="1" customHeight="1">
      <c r="A2909" s="49" t="s">
        <v>566</v>
      </c>
      <c r="B2909" s="50">
        <v>44469.0</v>
      </c>
      <c r="C2909" s="49" t="s">
        <v>78</v>
      </c>
      <c r="D2909" s="49">
        <v>0.0</v>
      </c>
    </row>
    <row r="2910" ht="15.0" hidden="1" customHeight="1">
      <c r="A2910" s="49" t="s">
        <v>571</v>
      </c>
      <c r="B2910" s="50">
        <v>44469.0</v>
      </c>
      <c r="C2910" s="49" t="s">
        <v>78</v>
      </c>
      <c r="D2910" s="49">
        <v>0.0</v>
      </c>
    </row>
    <row r="2911" ht="15.0" hidden="1" customHeight="1">
      <c r="A2911" s="49" t="s">
        <v>576</v>
      </c>
      <c r="B2911" s="50">
        <v>44469.0</v>
      </c>
      <c r="C2911" s="49" t="s">
        <v>78</v>
      </c>
      <c r="D2911" s="49">
        <v>0.0</v>
      </c>
    </row>
    <row r="2912" ht="15.0" hidden="1" customHeight="1">
      <c r="A2912" s="49" t="s">
        <v>581</v>
      </c>
      <c r="B2912" s="50">
        <v>44469.0</v>
      </c>
      <c r="C2912" s="49" t="s">
        <v>78</v>
      </c>
      <c r="D2912" s="49">
        <v>0.0</v>
      </c>
    </row>
    <row r="2913" ht="15.0" hidden="1" customHeight="1">
      <c r="A2913" s="49" t="s">
        <v>586</v>
      </c>
      <c r="B2913" s="50">
        <v>44469.0</v>
      </c>
      <c r="C2913" s="49" t="s">
        <v>78</v>
      </c>
      <c r="D2913" s="49">
        <v>0.0</v>
      </c>
    </row>
    <row r="2914" ht="15.0" hidden="1" customHeight="1">
      <c r="A2914" s="49" t="s">
        <v>754</v>
      </c>
      <c r="B2914" s="50">
        <v>44469.0</v>
      </c>
      <c r="C2914" s="49" t="s">
        <v>78</v>
      </c>
      <c r="D2914" s="49">
        <v>0.0</v>
      </c>
    </row>
    <row r="2915" ht="15.0" hidden="1" customHeight="1">
      <c r="A2915" s="49" t="s">
        <v>591</v>
      </c>
      <c r="B2915" s="50">
        <v>44469.0</v>
      </c>
      <c r="C2915" s="49" t="s">
        <v>78</v>
      </c>
      <c r="D2915" s="49">
        <v>0.0</v>
      </c>
    </row>
    <row r="2916" ht="15.0" hidden="1" customHeight="1">
      <c r="A2916" s="49" t="s">
        <v>759</v>
      </c>
      <c r="B2916" s="50">
        <v>44469.0</v>
      </c>
      <c r="C2916" s="49" t="s">
        <v>78</v>
      </c>
      <c r="D2916" s="49">
        <v>0.0</v>
      </c>
    </row>
    <row r="2917" ht="15.0" hidden="1" customHeight="1">
      <c r="A2917" s="49" t="s">
        <v>596</v>
      </c>
      <c r="B2917" s="50">
        <v>44469.0</v>
      </c>
      <c r="C2917" s="49" t="s">
        <v>78</v>
      </c>
      <c r="D2917" s="49">
        <v>0.0</v>
      </c>
    </row>
    <row r="2918" ht="15.0" hidden="1" customHeight="1">
      <c r="A2918" s="49" t="s">
        <v>602</v>
      </c>
      <c r="B2918" s="50">
        <v>44469.0</v>
      </c>
      <c r="C2918" s="49" t="s">
        <v>78</v>
      </c>
      <c r="D2918" s="49">
        <v>0.0</v>
      </c>
    </row>
    <row r="2919" ht="15.0" hidden="1" customHeight="1">
      <c r="A2919" s="49" t="s">
        <v>607</v>
      </c>
      <c r="B2919" s="50">
        <v>44469.0</v>
      </c>
      <c r="C2919" s="49" t="s">
        <v>78</v>
      </c>
      <c r="D2919" s="49">
        <v>0.0</v>
      </c>
    </row>
    <row r="2920" ht="15.0" hidden="1" customHeight="1">
      <c r="A2920" s="49" t="s">
        <v>612</v>
      </c>
      <c r="B2920" s="50">
        <v>44469.0</v>
      </c>
      <c r="C2920" s="49" t="s">
        <v>78</v>
      </c>
      <c r="D2920" s="49">
        <v>0.0</v>
      </c>
    </row>
    <row r="2921" ht="15.0" hidden="1" customHeight="1">
      <c r="A2921" s="49" t="s">
        <v>617</v>
      </c>
      <c r="B2921" s="50">
        <v>44469.0</v>
      </c>
      <c r="C2921" s="49" t="s">
        <v>78</v>
      </c>
      <c r="D2921" s="49">
        <v>0.0</v>
      </c>
    </row>
    <row r="2922" ht="15.0" hidden="1" customHeight="1">
      <c r="A2922" s="49" t="s">
        <v>622</v>
      </c>
      <c r="B2922" s="50">
        <v>44469.0</v>
      </c>
      <c r="C2922" s="49" t="s">
        <v>78</v>
      </c>
      <c r="D2922" s="49">
        <v>0.0</v>
      </c>
    </row>
    <row r="2923" ht="15.0" hidden="1" customHeight="1">
      <c r="A2923" s="49" t="s">
        <v>627</v>
      </c>
      <c r="B2923" s="50">
        <v>44469.0</v>
      </c>
      <c r="C2923" s="49" t="s">
        <v>78</v>
      </c>
      <c r="D2923" s="49">
        <v>0.0</v>
      </c>
    </row>
    <row r="2924" ht="15.0" hidden="1" customHeight="1">
      <c r="A2924" s="49" t="s">
        <v>631</v>
      </c>
      <c r="B2924" s="50">
        <v>44469.0</v>
      </c>
      <c r="C2924" s="49" t="s">
        <v>78</v>
      </c>
      <c r="D2924" s="49">
        <v>0.0</v>
      </c>
    </row>
    <row r="2925" ht="15.0" hidden="1" customHeight="1">
      <c r="A2925" s="49" t="s">
        <v>636</v>
      </c>
      <c r="B2925" s="50">
        <v>44469.0</v>
      </c>
      <c r="C2925" s="49" t="s">
        <v>78</v>
      </c>
      <c r="D2925" s="49">
        <v>0.0</v>
      </c>
    </row>
    <row r="2926" ht="15.0" hidden="1" customHeight="1">
      <c r="A2926" s="49" t="s">
        <v>640</v>
      </c>
      <c r="B2926" s="50">
        <v>44469.0</v>
      </c>
      <c r="C2926" s="49" t="s">
        <v>78</v>
      </c>
      <c r="D2926" s="49">
        <v>0.0</v>
      </c>
    </row>
    <row r="2927" ht="15.0" hidden="1" customHeight="1">
      <c r="A2927" s="49" t="s">
        <v>644</v>
      </c>
      <c r="B2927" s="50">
        <v>44469.0</v>
      </c>
      <c r="C2927" s="49" t="s">
        <v>78</v>
      </c>
      <c r="D2927" s="49">
        <v>0.0</v>
      </c>
    </row>
    <row r="2928" ht="15.0" hidden="1" customHeight="1">
      <c r="A2928" s="49" t="s">
        <v>649</v>
      </c>
      <c r="B2928" s="50">
        <v>44469.0</v>
      </c>
      <c r="C2928" s="49" t="s">
        <v>78</v>
      </c>
      <c r="D2928" s="49">
        <v>0.0</v>
      </c>
    </row>
    <row r="2929" ht="15.0" hidden="1" customHeight="1">
      <c r="A2929" s="49" t="s">
        <v>654</v>
      </c>
      <c r="B2929" s="50">
        <v>44469.0</v>
      </c>
      <c r="C2929" s="49" t="s">
        <v>78</v>
      </c>
      <c r="D2929" s="49">
        <v>0.0</v>
      </c>
    </row>
    <row r="2930" ht="15.0" hidden="1" customHeight="1">
      <c r="A2930" s="49" t="s">
        <v>659</v>
      </c>
      <c r="B2930" s="50">
        <v>44469.0</v>
      </c>
      <c r="C2930" s="49" t="s">
        <v>78</v>
      </c>
      <c r="D2930" s="49">
        <v>0.0</v>
      </c>
    </row>
    <row r="2931" ht="15.0" hidden="1" customHeight="1">
      <c r="A2931" s="49" t="s">
        <v>664</v>
      </c>
      <c r="B2931" s="50">
        <v>44469.0</v>
      </c>
      <c r="C2931" s="49" t="s">
        <v>78</v>
      </c>
      <c r="D2931" s="49">
        <v>0.0</v>
      </c>
    </row>
    <row r="2932" ht="15.0" hidden="1" customHeight="1">
      <c r="A2932" s="49" t="s">
        <v>669</v>
      </c>
      <c r="B2932" s="50">
        <v>44469.0</v>
      </c>
      <c r="C2932" s="49" t="s">
        <v>78</v>
      </c>
      <c r="D2932" s="49">
        <v>0.0</v>
      </c>
    </row>
    <row r="2933" ht="15.0" hidden="1" customHeight="1">
      <c r="A2933" s="49" t="s">
        <v>674</v>
      </c>
      <c r="B2933" s="50">
        <v>44469.0</v>
      </c>
      <c r="C2933" s="49" t="s">
        <v>78</v>
      </c>
      <c r="D2933" s="49">
        <v>0.0</v>
      </c>
    </row>
    <row r="2934" ht="15.0" hidden="1" customHeight="1">
      <c r="A2934" s="49" t="s">
        <v>679</v>
      </c>
      <c r="B2934" s="50">
        <v>44469.0</v>
      </c>
      <c r="C2934" s="49" t="s">
        <v>78</v>
      </c>
      <c r="D2934" s="49">
        <v>0.0</v>
      </c>
    </row>
    <row r="2935" ht="15.0" hidden="1" customHeight="1">
      <c r="A2935" s="49" t="s">
        <v>684</v>
      </c>
      <c r="B2935" s="50">
        <v>44469.0</v>
      </c>
      <c r="C2935" s="49" t="s">
        <v>78</v>
      </c>
      <c r="D2935" s="49">
        <v>0.0</v>
      </c>
    </row>
    <row r="2936" ht="15.0" hidden="1" customHeight="1">
      <c r="A2936" s="49" t="s">
        <v>689</v>
      </c>
      <c r="B2936" s="50">
        <v>44469.0</v>
      </c>
      <c r="C2936" s="49" t="s">
        <v>78</v>
      </c>
      <c r="D2936" s="49">
        <v>0.0</v>
      </c>
    </row>
    <row r="2937" ht="15.0" hidden="1" customHeight="1">
      <c r="A2937" s="49" t="s">
        <v>694</v>
      </c>
      <c r="B2937" s="50">
        <v>44469.0</v>
      </c>
      <c r="C2937" s="49" t="s">
        <v>78</v>
      </c>
      <c r="D2937" s="49">
        <v>0.0</v>
      </c>
    </row>
    <row r="2938" ht="15.0" hidden="1" customHeight="1">
      <c r="A2938" s="49" t="s">
        <v>699</v>
      </c>
      <c r="B2938" s="50">
        <v>44469.0</v>
      </c>
      <c r="C2938" s="49" t="s">
        <v>78</v>
      </c>
      <c r="D2938" s="49">
        <v>0.0</v>
      </c>
    </row>
    <row r="2939" ht="15.0" hidden="1" customHeight="1">
      <c r="A2939" s="49" t="s">
        <v>705</v>
      </c>
      <c r="B2939" s="50">
        <v>44469.0</v>
      </c>
      <c r="C2939" s="49" t="s">
        <v>78</v>
      </c>
      <c r="D2939" s="49">
        <v>0.0</v>
      </c>
    </row>
    <row r="2940" ht="15.0" hidden="1" customHeight="1">
      <c r="A2940" s="49" t="s">
        <v>710</v>
      </c>
      <c r="B2940" s="50">
        <v>44469.0</v>
      </c>
      <c r="C2940" s="49" t="s">
        <v>78</v>
      </c>
      <c r="D2940" s="49">
        <v>0.0</v>
      </c>
    </row>
    <row r="2941" ht="15.0" hidden="1" customHeight="1">
      <c r="A2941" s="49" t="s">
        <v>715</v>
      </c>
      <c r="B2941" s="50">
        <v>44469.0</v>
      </c>
      <c r="C2941" s="49" t="s">
        <v>78</v>
      </c>
      <c r="D2941" s="49">
        <v>0.0</v>
      </c>
    </row>
    <row r="2942" ht="15.0" hidden="1" customHeight="1">
      <c r="A2942" s="49" t="s">
        <v>765</v>
      </c>
      <c r="B2942" s="50">
        <v>44469.0</v>
      </c>
      <c r="C2942" s="49" t="s">
        <v>78</v>
      </c>
      <c r="D2942" s="49">
        <v>0.0</v>
      </c>
    </row>
    <row r="2943" ht="15.0" hidden="1" customHeight="1">
      <c r="A2943" s="49" t="s">
        <v>720</v>
      </c>
      <c r="B2943" s="50">
        <v>44469.0</v>
      </c>
      <c r="C2943" s="49" t="s">
        <v>78</v>
      </c>
      <c r="D2943" s="49">
        <v>0.0</v>
      </c>
    </row>
    <row r="2944" ht="15.0" hidden="1" customHeight="1">
      <c r="A2944" s="49" t="s">
        <v>725</v>
      </c>
      <c r="B2944" s="50">
        <v>44469.0</v>
      </c>
      <c r="C2944" s="49" t="s">
        <v>78</v>
      </c>
      <c r="D2944" s="49">
        <v>0.0</v>
      </c>
    </row>
    <row r="2945" ht="15.0" hidden="1" customHeight="1">
      <c r="A2945" s="49" t="s">
        <v>730</v>
      </c>
      <c r="B2945" s="50">
        <v>44469.0</v>
      </c>
      <c r="C2945" s="49" t="s">
        <v>78</v>
      </c>
      <c r="D2945" s="49">
        <v>0.0</v>
      </c>
    </row>
    <row r="2946" ht="15.0" hidden="1" customHeight="1">
      <c r="A2946" s="49" t="s">
        <v>734</v>
      </c>
      <c r="B2946" s="50">
        <v>44469.0</v>
      </c>
      <c r="C2946" s="49" t="s">
        <v>78</v>
      </c>
      <c r="D2946" s="49">
        <v>0.0</v>
      </c>
    </row>
    <row r="2947" ht="15.0" hidden="1" customHeight="1">
      <c r="A2947" s="49" t="s">
        <v>739</v>
      </c>
      <c r="B2947" s="50">
        <v>44469.0</v>
      </c>
      <c r="C2947" s="49" t="s">
        <v>78</v>
      </c>
      <c r="D2947" s="49">
        <v>0.0</v>
      </c>
    </row>
    <row r="2948" ht="15.0" hidden="1" customHeight="1">
      <c r="A2948" s="49" t="s">
        <v>744</v>
      </c>
      <c r="B2948" s="50">
        <v>44469.0</v>
      </c>
      <c r="C2948" s="49" t="s">
        <v>78</v>
      </c>
      <c r="D2948" s="49">
        <v>0.0</v>
      </c>
    </row>
    <row r="2949" ht="15.0" hidden="1" customHeight="1">
      <c r="A2949" s="49" t="s">
        <v>749</v>
      </c>
      <c r="B2949" s="50">
        <v>44469.0</v>
      </c>
      <c r="C2949" s="49" t="s">
        <v>78</v>
      </c>
      <c r="D2949" s="49">
        <v>0.0</v>
      </c>
    </row>
    <row r="2950" ht="15.0" customHeight="1">
      <c r="A2950" s="49" t="s">
        <v>776</v>
      </c>
      <c r="B2950" s="50">
        <v>44469.0</v>
      </c>
      <c r="C2950" s="49" t="s">
        <v>69</v>
      </c>
      <c r="D2950" s="49">
        <v>0.0</v>
      </c>
    </row>
    <row r="2951" ht="15.0" hidden="1" customHeight="1">
      <c r="A2951" s="49" t="s">
        <v>778</v>
      </c>
      <c r="B2951" s="50">
        <v>44469.0</v>
      </c>
      <c r="C2951" s="49" t="s">
        <v>69</v>
      </c>
      <c r="D2951" s="49">
        <v>0.0</v>
      </c>
    </row>
    <row r="2952" ht="15.0" hidden="1" customHeight="1">
      <c r="A2952" s="49" t="s">
        <v>92</v>
      </c>
      <c r="B2952" s="50">
        <v>44469.0</v>
      </c>
      <c r="C2952" s="49" t="s">
        <v>69</v>
      </c>
      <c r="D2952" s="49">
        <v>1500000.0</v>
      </c>
    </row>
    <row r="2953" ht="15.0" hidden="1" customHeight="1">
      <c r="A2953" s="49" t="s">
        <v>97</v>
      </c>
      <c r="B2953" s="50">
        <v>44469.0</v>
      </c>
      <c r="C2953" s="49" t="s">
        <v>69</v>
      </c>
      <c r="D2953" s="49">
        <v>600000.0</v>
      </c>
    </row>
    <row r="2954" ht="15.0" hidden="1" customHeight="1">
      <c r="A2954" s="49" t="s">
        <v>102</v>
      </c>
      <c r="B2954" s="50">
        <v>44469.0</v>
      </c>
      <c r="C2954" s="49" t="s">
        <v>69</v>
      </c>
      <c r="D2954" s="49">
        <v>0.0</v>
      </c>
    </row>
    <row r="2955" ht="15.0" hidden="1" customHeight="1">
      <c r="A2955" s="49" t="s">
        <v>106</v>
      </c>
      <c r="B2955" s="50">
        <v>44469.0</v>
      </c>
      <c r="C2955" s="49" t="s">
        <v>69</v>
      </c>
      <c r="D2955" s="49">
        <v>0.0</v>
      </c>
    </row>
    <row r="2956" ht="15.0" hidden="1" customHeight="1">
      <c r="A2956" s="49" t="s">
        <v>111</v>
      </c>
      <c r="B2956" s="50">
        <v>44469.0</v>
      </c>
      <c r="C2956" s="49" t="s">
        <v>69</v>
      </c>
      <c r="D2956" s="49">
        <v>0.0</v>
      </c>
    </row>
    <row r="2957" ht="15.0" hidden="1" customHeight="1">
      <c r="A2957" s="49" t="s">
        <v>116</v>
      </c>
      <c r="B2957" s="50">
        <v>44469.0</v>
      </c>
      <c r="C2957" s="49" t="s">
        <v>69</v>
      </c>
      <c r="D2957" s="49">
        <v>0.0</v>
      </c>
    </row>
    <row r="2958" ht="15.0" hidden="1" customHeight="1">
      <c r="A2958" s="49" t="s">
        <v>120</v>
      </c>
      <c r="B2958" s="50">
        <v>44469.0</v>
      </c>
      <c r="C2958" s="49" t="s">
        <v>69</v>
      </c>
      <c r="D2958" s="49">
        <v>1200000.0</v>
      </c>
    </row>
    <row r="2959" ht="15.0" hidden="1" customHeight="1">
      <c r="A2959" s="49" t="s">
        <v>125</v>
      </c>
      <c r="B2959" s="50">
        <v>44469.0</v>
      </c>
      <c r="C2959" s="49" t="s">
        <v>69</v>
      </c>
      <c r="D2959" s="49">
        <v>0.0</v>
      </c>
    </row>
    <row r="2960" ht="15.0" hidden="1" customHeight="1">
      <c r="A2960" s="49" t="s">
        <v>130</v>
      </c>
      <c r="B2960" s="50">
        <v>44469.0</v>
      </c>
      <c r="C2960" s="49" t="s">
        <v>69</v>
      </c>
      <c r="D2960" s="49">
        <v>200000.0</v>
      </c>
    </row>
    <row r="2961" ht="15.0" hidden="1" customHeight="1">
      <c r="A2961" s="49" t="s">
        <v>137</v>
      </c>
      <c r="B2961" s="50">
        <v>44469.0</v>
      </c>
      <c r="C2961" s="49" t="s">
        <v>69</v>
      </c>
      <c r="D2961" s="49">
        <v>11522.0</v>
      </c>
    </row>
    <row r="2962" ht="15.0" hidden="1" customHeight="1">
      <c r="A2962" s="49" t="s">
        <v>142</v>
      </c>
      <c r="B2962" s="50">
        <v>44469.0</v>
      </c>
      <c r="C2962" s="49" t="s">
        <v>69</v>
      </c>
      <c r="D2962" s="49">
        <v>0.0</v>
      </c>
    </row>
    <row r="2963" ht="15.0" hidden="1" customHeight="1">
      <c r="A2963" s="49" t="s">
        <v>147</v>
      </c>
      <c r="B2963" s="50">
        <v>44469.0</v>
      </c>
      <c r="C2963" s="49" t="s">
        <v>69</v>
      </c>
      <c r="D2963" s="49">
        <v>200000.0</v>
      </c>
    </row>
    <row r="2964" ht="15.0" hidden="1" customHeight="1">
      <c r="A2964" s="49" t="s">
        <v>152</v>
      </c>
      <c r="B2964" s="50">
        <v>44469.0</v>
      </c>
      <c r="C2964" s="49" t="s">
        <v>69</v>
      </c>
      <c r="D2964" s="49">
        <v>0.0</v>
      </c>
    </row>
    <row r="2965" ht="15.0" hidden="1" customHeight="1">
      <c r="A2965" s="49" t="s">
        <v>157</v>
      </c>
      <c r="B2965" s="50">
        <v>44469.0</v>
      </c>
      <c r="C2965" s="49" t="s">
        <v>69</v>
      </c>
      <c r="D2965" s="49">
        <v>0.0</v>
      </c>
    </row>
    <row r="2966" ht="15.0" hidden="1" customHeight="1">
      <c r="A2966" s="49" t="s">
        <v>162</v>
      </c>
      <c r="B2966" s="50">
        <v>44469.0</v>
      </c>
      <c r="C2966" s="49" t="s">
        <v>69</v>
      </c>
      <c r="D2966" s="49">
        <v>1500000.0</v>
      </c>
    </row>
    <row r="2967" ht="15.0" hidden="1" customHeight="1">
      <c r="A2967" s="49" t="s">
        <v>167</v>
      </c>
      <c r="B2967" s="50">
        <v>44469.0</v>
      </c>
      <c r="C2967" s="49" t="s">
        <v>69</v>
      </c>
      <c r="D2967" s="49">
        <v>0.0</v>
      </c>
    </row>
    <row r="2968" ht="15.0" hidden="1" customHeight="1">
      <c r="A2968" s="49" t="s">
        <v>172</v>
      </c>
      <c r="B2968" s="50">
        <v>44469.0</v>
      </c>
      <c r="C2968" s="49" t="s">
        <v>69</v>
      </c>
      <c r="D2968" s="49">
        <v>226160.0</v>
      </c>
    </row>
    <row r="2969" ht="15.0" hidden="1" customHeight="1">
      <c r="A2969" s="49" t="s">
        <v>177</v>
      </c>
      <c r="B2969" s="50">
        <v>44469.0</v>
      </c>
      <c r="C2969" s="49" t="s">
        <v>69</v>
      </c>
      <c r="D2969" s="49">
        <v>500000.0</v>
      </c>
    </row>
    <row r="2970" ht="15.0" hidden="1" customHeight="1">
      <c r="A2970" s="49" t="s">
        <v>182</v>
      </c>
      <c r="B2970" s="50">
        <v>44469.0</v>
      </c>
      <c r="C2970" s="49" t="s">
        <v>69</v>
      </c>
      <c r="D2970" s="49">
        <v>100000.0</v>
      </c>
    </row>
    <row r="2971" ht="15.0" hidden="1" customHeight="1">
      <c r="A2971" s="49" t="s">
        <v>187</v>
      </c>
      <c r="B2971" s="50">
        <v>44469.0</v>
      </c>
      <c r="C2971" s="49" t="s">
        <v>69</v>
      </c>
      <c r="D2971" s="49">
        <v>165000.0</v>
      </c>
    </row>
    <row r="2972" ht="15.0" hidden="1" customHeight="1">
      <c r="A2972" s="49" t="s">
        <v>192</v>
      </c>
      <c r="B2972" s="50">
        <v>44469.0</v>
      </c>
      <c r="C2972" s="49" t="s">
        <v>69</v>
      </c>
      <c r="D2972" s="49">
        <v>4125000.0</v>
      </c>
    </row>
    <row r="2973" ht="15.0" hidden="1" customHeight="1">
      <c r="A2973" s="49" t="s">
        <v>197</v>
      </c>
      <c r="B2973" s="50">
        <v>44469.0</v>
      </c>
      <c r="C2973" s="49" t="s">
        <v>69</v>
      </c>
      <c r="D2973" s="49">
        <v>200000.0</v>
      </c>
    </row>
    <row r="2974" ht="15.0" hidden="1" customHeight="1">
      <c r="A2974" s="49" t="s">
        <v>202</v>
      </c>
      <c r="B2974" s="50">
        <v>44469.0</v>
      </c>
      <c r="C2974" s="49" t="s">
        <v>69</v>
      </c>
      <c r="D2974" s="49">
        <v>1770000.0</v>
      </c>
    </row>
    <row r="2975" ht="15.0" hidden="1" customHeight="1">
      <c r="A2975" s="49" t="s">
        <v>206</v>
      </c>
      <c r="B2975" s="50">
        <v>44469.0</v>
      </c>
      <c r="C2975" s="49" t="s">
        <v>69</v>
      </c>
      <c r="D2975" s="49">
        <v>90000.0</v>
      </c>
    </row>
    <row r="2976" ht="15.0" hidden="1" customHeight="1">
      <c r="A2976" s="49" t="s">
        <v>211</v>
      </c>
      <c r="B2976" s="50">
        <v>44469.0</v>
      </c>
      <c r="C2976" s="49" t="s">
        <v>69</v>
      </c>
      <c r="D2976" s="49">
        <v>0.0</v>
      </c>
    </row>
    <row r="2977" ht="15.0" hidden="1" customHeight="1">
      <c r="A2977" s="49" t="s">
        <v>779</v>
      </c>
      <c r="B2977" s="50">
        <v>44469.0</v>
      </c>
      <c r="C2977" s="49" t="s">
        <v>69</v>
      </c>
      <c r="D2977" s="49">
        <v>50000.0</v>
      </c>
    </row>
    <row r="2978" ht="15.0" hidden="1" customHeight="1">
      <c r="A2978" s="49" t="s">
        <v>221</v>
      </c>
      <c r="B2978" s="50">
        <v>44469.0</v>
      </c>
      <c r="C2978" s="49" t="s">
        <v>69</v>
      </c>
      <c r="D2978" s="49">
        <v>0.0</v>
      </c>
    </row>
    <row r="2979" ht="15.0" hidden="1" customHeight="1">
      <c r="A2979" s="49" t="s">
        <v>226</v>
      </c>
      <c r="B2979" s="50">
        <v>44469.0</v>
      </c>
      <c r="C2979" s="49" t="s">
        <v>69</v>
      </c>
      <c r="D2979" s="49">
        <v>0.0</v>
      </c>
    </row>
    <row r="2980" ht="15.0" hidden="1" customHeight="1">
      <c r="A2980" s="49" t="s">
        <v>231</v>
      </c>
      <c r="B2980" s="50">
        <v>44469.0</v>
      </c>
      <c r="C2980" s="49" t="s">
        <v>69</v>
      </c>
      <c r="D2980" s="49">
        <v>0.0</v>
      </c>
    </row>
    <row r="2981" ht="15.0" hidden="1" customHeight="1">
      <c r="A2981" s="49" t="s">
        <v>236</v>
      </c>
      <c r="B2981" s="50">
        <v>44469.0</v>
      </c>
      <c r="C2981" s="49" t="s">
        <v>69</v>
      </c>
      <c r="D2981" s="49">
        <v>0.0</v>
      </c>
    </row>
    <row r="2982" ht="15.0" hidden="1" customHeight="1">
      <c r="A2982" s="49" t="s">
        <v>242</v>
      </c>
      <c r="B2982" s="50">
        <v>44469.0</v>
      </c>
      <c r="C2982" s="49" t="s">
        <v>69</v>
      </c>
      <c r="D2982" s="49">
        <v>0.0</v>
      </c>
    </row>
    <row r="2983" ht="15.0" hidden="1" customHeight="1">
      <c r="A2983" s="49" t="s">
        <v>248</v>
      </c>
      <c r="B2983" s="50">
        <v>44469.0</v>
      </c>
      <c r="C2983" s="49" t="s">
        <v>69</v>
      </c>
      <c r="D2983" s="49">
        <v>0.0</v>
      </c>
    </row>
    <row r="2984" ht="15.0" hidden="1" customHeight="1">
      <c r="A2984" s="49" t="s">
        <v>253</v>
      </c>
      <c r="B2984" s="50">
        <v>44469.0</v>
      </c>
      <c r="C2984" s="49" t="s">
        <v>69</v>
      </c>
      <c r="D2984" s="49">
        <v>0.0</v>
      </c>
    </row>
    <row r="2985" ht="15.0" hidden="1" customHeight="1">
      <c r="A2985" s="49" t="s">
        <v>258</v>
      </c>
      <c r="B2985" s="50">
        <v>44469.0</v>
      </c>
      <c r="C2985" s="49" t="s">
        <v>69</v>
      </c>
      <c r="D2985" s="49">
        <v>0.0</v>
      </c>
    </row>
    <row r="2986" ht="15.0" hidden="1" customHeight="1">
      <c r="A2986" s="49" t="s">
        <v>263</v>
      </c>
      <c r="B2986" s="50">
        <v>44469.0</v>
      </c>
      <c r="C2986" s="49" t="s">
        <v>69</v>
      </c>
      <c r="D2986" s="49">
        <v>0.0</v>
      </c>
    </row>
    <row r="2987" ht="15.0" hidden="1" customHeight="1">
      <c r="A2987" s="49" t="s">
        <v>268</v>
      </c>
      <c r="B2987" s="50">
        <v>44469.0</v>
      </c>
      <c r="C2987" s="49" t="s">
        <v>69</v>
      </c>
      <c r="D2987" s="49">
        <v>0.0</v>
      </c>
    </row>
    <row r="2988" ht="15.0" hidden="1" customHeight="1">
      <c r="A2988" s="49" t="s">
        <v>273</v>
      </c>
      <c r="B2988" s="50">
        <v>44469.0</v>
      </c>
      <c r="C2988" s="49" t="s">
        <v>69</v>
      </c>
      <c r="D2988" s="49">
        <v>0.0</v>
      </c>
    </row>
    <row r="2989" ht="15.0" hidden="1" customHeight="1">
      <c r="A2989" s="49" t="s">
        <v>278</v>
      </c>
      <c r="B2989" s="50">
        <v>44469.0</v>
      </c>
      <c r="C2989" s="49" t="s">
        <v>69</v>
      </c>
      <c r="D2989" s="49">
        <v>0.0</v>
      </c>
    </row>
    <row r="2990" ht="15.0" hidden="1" customHeight="1">
      <c r="A2990" s="49" t="s">
        <v>283</v>
      </c>
      <c r="B2990" s="50">
        <v>44469.0</v>
      </c>
      <c r="C2990" s="49" t="s">
        <v>69</v>
      </c>
      <c r="D2990" s="49">
        <v>0.0</v>
      </c>
    </row>
    <row r="2991" ht="15.0" hidden="1" customHeight="1">
      <c r="A2991" s="49" t="s">
        <v>288</v>
      </c>
      <c r="B2991" s="50">
        <v>44469.0</v>
      </c>
      <c r="C2991" s="49" t="s">
        <v>69</v>
      </c>
      <c r="D2991" s="49">
        <v>0.0</v>
      </c>
    </row>
    <row r="2992" ht="15.0" hidden="1" customHeight="1">
      <c r="A2992" s="49" t="s">
        <v>293</v>
      </c>
      <c r="B2992" s="50">
        <v>44469.0</v>
      </c>
      <c r="C2992" s="49" t="s">
        <v>69</v>
      </c>
      <c r="D2992" s="49">
        <v>0.0</v>
      </c>
    </row>
    <row r="2993" ht="15.0" hidden="1" customHeight="1">
      <c r="A2993" s="49" t="s">
        <v>298</v>
      </c>
      <c r="B2993" s="50">
        <v>44469.0</v>
      </c>
      <c r="C2993" s="49" t="s">
        <v>69</v>
      </c>
      <c r="D2993" s="49">
        <v>0.0</v>
      </c>
    </row>
    <row r="2994" ht="15.0" hidden="1" customHeight="1">
      <c r="A2994" s="49" t="s">
        <v>303</v>
      </c>
      <c r="B2994" s="50">
        <v>44469.0</v>
      </c>
      <c r="C2994" s="49" t="s">
        <v>69</v>
      </c>
      <c r="D2994" s="49">
        <v>0.0</v>
      </c>
    </row>
    <row r="2995" ht="15.0" hidden="1" customHeight="1">
      <c r="A2995" s="49" t="s">
        <v>307</v>
      </c>
      <c r="B2995" s="50">
        <v>44469.0</v>
      </c>
      <c r="C2995" s="49" t="s">
        <v>69</v>
      </c>
      <c r="D2995" s="49">
        <v>0.0</v>
      </c>
    </row>
    <row r="2996" ht="15.0" hidden="1" customHeight="1">
      <c r="A2996" s="49" t="s">
        <v>313</v>
      </c>
      <c r="B2996" s="50">
        <v>44469.0</v>
      </c>
      <c r="C2996" s="49" t="s">
        <v>69</v>
      </c>
      <c r="D2996" s="49">
        <v>0.0</v>
      </c>
    </row>
    <row r="2997" ht="15.0" hidden="1" customHeight="1">
      <c r="A2997" s="49" t="s">
        <v>318</v>
      </c>
      <c r="B2997" s="50">
        <v>44469.0</v>
      </c>
      <c r="C2997" s="49" t="s">
        <v>69</v>
      </c>
      <c r="D2997" s="49">
        <v>0.0</v>
      </c>
    </row>
    <row r="2998" ht="15.0" hidden="1" customHeight="1">
      <c r="A2998" s="49" t="s">
        <v>323</v>
      </c>
      <c r="B2998" s="50">
        <v>44469.0</v>
      </c>
      <c r="C2998" s="49" t="s">
        <v>69</v>
      </c>
      <c r="D2998" s="49">
        <v>0.0</v>
      </c>
    </row>
    <row r="2999" ht="15.0" hidden="1" customHeight="1">
      <c r="A2999" s="49" t="s">
        <v>328</v>
      </c>
      <c r="B2999" s="50">
        <v>44469.0</v>
      </c>
      <c r="C2999" s="49" t="s">
        <v>69</v>
      </c>
      <c r="D2999" s="49">
        <v>0.0</v>
      </c>
    </row>
    <row r="3000" ht="15.0" hidden="1" customHeight="1">
      <c r="A3000" s="49" t="s">
        <v>335</v>
      </c>
      <c r="B3000" s="50">
        <v>44469.0</v>
      </c>
      <c r="C3000" s="49" t="s">
        <v>69</v>
      </c>
      <c r="D3000" s="49">
        <v>0.0</v>
      </c>
    </row>
    <row r="3001" ht="15.0" hidden="1" customHeight="1">
      <c r="A3001" s="49" t="s">
        <v>340</v>
      </c>
      <c r="B3001" s="50">
        <v>44469.0</v>
      </c>
      <c r="C3001" s="49" t="s">
        <v>69</v>
      </c>
      <c r="D3001" s="49">
        <v>0.0</v>
      </c>
    </row>
    <row r="3002" ht="15.0" hidden="1" customHeight="1">
      <c r="A3002" s="49" t="s">
        <v>345</v>
      </c>
      <c r="B3002" s="50">
        <v>44469.0</v>
      </c>
      <c r="C3002" s="49" t="s">
        <v>69</v>
      </c>
      <c r="D3002" s="49">
        <v>0.0</v>
      </c>
    </row>
    <row r="3003" ht="15.0" hidden="1" customHeight="1">
      <c r="A3003" s="49" t="s">
        <v>350</v>
      </c>
      <c r="B3003" s="50">
        <v>44469.0</v>
      </c>
      <c r="C3003" s="49" t="s">
        <v>69</v>
      </c>
      <c r="D3003" s="49">
        <v>0.0</v>
      </c>
    </row>
    <row r="3004" ht="15.0" hidden="1" customHeight="1">
      <c r="A3004" s="49" t="s">
        <v>355</v>
      </c>
      <c r="B3004" s="50">
        <v>44469.0</v>
      </c>
      <c r="C3004" s="49" t="s">
        <v>69</v>
      </c>
      <c r="D3004" s="49">
        <v>0.0</v>
      </c>
    </row>
    <row r="3005" ht="15.0" hidden="1" customHeight="1">
      <c r="A3005" s="49" t="s">
        <v>360</v>
      </c>
      <c r="B3005" s="50">
        <v>44469.0</v>
      </c>
      <c r="C3005" s="49" t="s">
        <v>69</v>
      </c>
      <c r="D3005" s="49">
        <v>0.0</v>
      </c>
    </row>
    <row r="3006" ht="15.0" hidden="1" customHeight="1">
      <c r="A3006" s="49" t="s">
        <v>365</v>
      </c>
      <c r="B3006" s="50">
        <v>44469.0</v>
      </c>
      <c r="C3006" s="49" t="s">
        <v>69</v>
      </c>
      <c r="D3006" s="49">
        <v>0.0</v>
      </c>
    </row>
    <row r="3007" ht="15.0" hidden="1" customHeight="1">
      <c r="A3007" s="49" t="s">
        <v>370</v>
      </c>
      <c r="B3007" s="50">
        <v>44469.0</v>
      </c>
      <c r="C3007" s="49" t="s">
        <v>69</v>
      </c>
      <c r="D3007" s="49">
        <v>0.0</v>
      </c>
    </row>
    <row r="3008" ht="15.0" hidden="1" customHeight="1">
      <c r="A3008" s="49" t="s">
        <v>375</v>
      </c>
      <c r="B3008" s="50">
        <v>44469.0</v>
      </c>
      <c r="C3008" s="49" t="s">
        <v>69</v>
      </c>
      <c r="D3008" s="49">
        <v>0.0</v>
      </c>
    </row>
    <row r="3009" ht="15.0" hidden="1" customHeight="1">
      <c r="A3009" s="49" t="s">
        <v>380</v>
      </c>
      <c r="B3009" s="50">
        <v>44469.0</v>
      </c>
      <c r="C3009" s="49" t="s">
        <v>69</v>
      </c>
      <c r="D3009" s="49">
        <v>0.0</v>
      </c>
    </row>
    <row r="3010" ht="15.0" hidden="1" customHeight="1">
      <c r="A3010" s="49" t="s">
        <v>385</v>
      </c>
      <c r="B3010" s="50">
        <v>44469.0</v>
      </c>
      <c r="C3010" s="49" t="s">
        <v>69</v>
      </c>
      <c r="D3010" s="49">
        <v>0.0</v>
      </c>
    </row>
    <row r="3011" ht="15.0" hidden="1" customHeight="1">
      <c r="A3011" s="49" t="s">
        <v>390</v>
      </c>
      <c r="B3011" s="50">
        <v>44469.0</v>
      </c>
      <c r="C3011" s="49" t="s">
        <v>69</v>
      </c>
      <c r="D3011" s="49">
        <v>0.0</v>
      </c>
    </row>
    <row r="3012" ht="15.0" hidden="1" customHeight="1">
      <c r="A3012" s="49" t="s">
        <v>395</v>
      </c>
      <c r="B3012" s="50">
        <v>44469.0</v>
      </c>
      <c r="C3012" s="49" t="s">
        <v>69</v>
      </c>
      <c r="D3012" s="49">
        <v>0.0</v>
      </c>
    </row>
    <row r="3013" ht="15.0" hidden="1" customHeight="1">
      <c r="A3013" s="49" t="s">
        <v>400</v>
      </c>
      <c r="B3013" s="50">
        <v>44469.0</v>
      </c>
      <c r="C3013" s="49" t="s">
        <v>69</v>
      </c>
      <c r="D3013" s="49">
        <v>0.0</v>
      </c>
    </row>
    <row r="3014" ht="15.0" hidden="1" customHeight="1">
      <c r="A3014" s="49" t="s">
        <v>405</v>
      </c>
      <c r="B3014" s="50">
        <v>44469.0</v>
      </c>
      <c r="C3014" s="49" t="s">
        <v>69</v>
      </c>
      <c r="D3014" s="49">
        <v>0.0</v>
      </c>
    </row>
    <row r="3015" ht="15.0" hidden="1" customHeight="1">
      <c r="A3015" s="49" t="s">
        <v>410</v>
      </c>
      <c r="B3015" s="50">
        <v>44469.0</v>
      </c>
      <c r="C3015" s="49" t="s">
        <v>69</v>
      </c>
      <c r="D3015" s="49">
        <v>0.0</v>
      </c>
    </row>
    <row r="3016" ht="15.0" hidden="1" customHeight="1">
      <c r="A3016" s="49" t="s">
        <v>415</v>
      </c>
      <c r="B3016" s="50">
        <v>44469.0</v>
      </c>
      <c r="C3016" s="49" t="s">
        <v>69</v>
      </c>
      <c r="D3016" s="49">
        <v>0.0</v>
      </c>
    </row>
    <row r="3017" ht="15.0" hidden="1" customHeight="1">
      <c r="A3017" s="49" t="s">
        <v>420</v>
      </c>
      <c r="B3017" s="50">
        <v>44469.0</v>
      </c>
      <c r="C3017" s="49" t="s">
        <v>69</v>
      </c>
      <c r="D3017" s="49">
        <v>0.0</v>
      </c>
    </row>
    <row r="3018" ht="15.0" hidden="1" customHeight="1">
      <c r="A3018" s="49" t="s">
        <v>425</v>
      </c>
      <c r="B3018" s="50">
        <v>44469.0</v>
      </c>
      <c r="C3018" s="49" t="s">
        <v>69</v>
      </c>
      <c r="D3018" s="49">
        <v>0.0</v>
      </c>
    </row>
    <row r="3019" ht="15.0" hidden="1" customHeight="1">
      <c r="A3019" s="49" t="s">
        <v>430</v>
      </c>
      <c r="B3019" s="50">
        <v>44469.0</v>
      </c>
      <c r="C3019" s="49" t="s">
        <v>69</v>
      </c>
      <c r="D3019" s="49">
        <v>0.0</v>
      </c>
    </row>
    <row r="3020" ht="15.0" hidden="1" customHeight="1">
      <c r="A3020" s="49" t="s">
        <v>434</v>
      </c>
      <c r="B3020" s="50">
        <v>44469.0</v>
      </c>
      <c r="C3020" s="49" t="s">
        <v>69</v>
      </c>
      <c r="D3020" s="49">
        <v>0.0</v>
      </c>
    </row>
    <row r="3021" ht="15.0" hidden="1" customHeight="1">
      <c r="A3021" s="49" t="s">
        <v>439</v>
      </c>
      <c r="B3021" s="50">
        <v>44469.0</v>
      </c>
      <c r="C3021" s="49" t="s">
        <v>69</v>
      </c>
      <c r="D3021" s="49">
        <v>0.0</v>
      </c>
    </row>
    <row r="3022" ht="15.0" hidden="1" customHeight="1">
      <c r="A3022" s="49" t="s">
        <v>444</v>
      </c>
      <c r="B3022" s="50">
        <v>44469.0</v>
      </c>
      <c r="C3022" s="49" t="s">
        <v>69</v>
      </c>
      <c r="D3022" s="49">
        <v>0.0</v>
      </c>
    </row>
    <row r="3023" ht="15.0" hidden="1" customHeight="1">
      <c r="A3023" s="49" t="s">
        <v>449</v>
      </c>
      <c r="B3023" s="50">
        <v>44469.0</v>
      </c>
      <c r="C3023" s="49" t="s">
        <v>69</v>
      </c>
      <c r="D3023" s="49">
        <v>0.0</v>
      </c>
    </row>
    <row r="3024" ht="15.0" hidden="1" customHeight="1">
      <c r="A3024" s="49" t="s">
        <v>455</v>
      </c>
      <c r="B3024" s="50">
        <v>44469.0</v>
      </c>
      <c r="C3024" s="49" t="s">
        <v>69</v>
      </c>
      <c r="D3024" s="49">
        <v>0.0</v>
      </c>
    </row>
    <row r="3025" ht="15.0" hidden="1" customHeight="1">
      <c r="A3025" s="49" t="s">
        <v>470</v>
      </c>
      <c r="B3025" s="50">
        <v>44469.0</v>
      </c>
      <c r="C3025" s="49" t="s">
        <v>69</v>
      </c>
      <c r="D3025" s="49">
        <v>0.0</v>
      </c>
    </row>
    <row r="3026" ht="15.0" hidden="1" customHeight="1">
      <c r="A3026" s="49" t="s">
        <v>476</v>
      </c>
      <c r="B3026" s="50">
        <v>44469.0</v>
      </c>
      <c r="C3026" s="49" t="s">
        <v>69</v>
      </c>
      <c r="D3026" s="49">
        <v>0.0</v>
      </c>
    </row>
    <row r="3027" ht="15.0" hidden="1" customHeight="1">
      <c r="A3027" s="49" t="s">
        <v>481</v>
      </c>
      <c r="B3027" s="50">
        <v>44469.0</v>
      </c>
      <c r="C3027" s="49" t="s">
        <v>69</v>
      </c>
      <c r="D3027" s="49">
        <v>0.0</v>
      </c>
    </row>
    <row r="3028" ht="15.0" hidden="1" customHeight="1">
      <c r="A3028" s="49" t="s">
        <v>486</v>
      </c>
      <c r="B3028" s="50">
        <v>44469.0</v>
      </c>
      <c r="C3028" s="49" t="s">
        <v>69</v>
      </c>
      <c r="D3028" s="49">
        <v>0.0</v>
      </c>
    </row>
    <row r="3029" ht="15.0" hidden="1" customHeight="1">
      <c r="A3029" s="49" t="s">
        <v>491</v>
      </c>
      <c r="B3029" s="50">
        <v>44469.0</v>
      </c>
      <c r="C3029" s="49" t="s">
        <v>69</v>
      </c>
      <c r="D3029" s="49">
        <v>0.0</v>
      </c>
    </row>
    <row r="3030" ht="15.0" hidden="1" customHeight="1">
      <c r="A3030" s="49" t="s">
        <v>496</v>
      </c>
      <c r="B3030" s="50">
        <v>44469.0</v>
      </c>
      <c r="C3030" s="49" t="s">
        <v>69</v>
      </c>
      <c r="D3030" s="49">
        <v>0.0</v>
      </c>
    </row>
    <row r="3031" ht="15.0" hidden="1" customHeight="1">
      <c r="A3031" s="49" t="s">
        <v>501</v>
      </c>
      <c r="B3031" s="50">
        <v>44469.0</v>
      </c>
      <c r="C3031" s="49" t="s">
        <v>69</v>
      </c>
      <c r="D3031" s="49">
        <v>0.0</v>
      </c>
    </row>
    <row r="3032" ht="15.0" hidden="1" customHeight="1">
      <c r="A3032" s="49" t="s">
        <v>506</v>
      </c>
      <c r="B3032" s="50">
        <v>44469.0</v>
      </c>
      <c r="C3032" s="49" t="s">
        <v>69</v>
      </c>
      <c r="D3032" s="49">
        <v>0.0</v>
      </c>
    </row>
    <row r="3033" ht="15.0" hidden="1" customHeight="1">
      <c r="A3033" s="49" t="s">
        <v>512</v>
      </c>
      <c r="B3033" s="50">
        <v>44469.0</v>
      </c>
      <c r="C3033" s="49" t="s">
        <v>69</v>
      </c>
      <c r="D3033" s="49">
        <v>0.0</v>
      </c>
    </row>
    <row r="3034" ht="15.0" hidden="1" customHeight="1">
      <c r="A3034" s="49" t="s">
        <v>517</v>
      </c>
      <c r="B3034" s="50">
        <v>44469.0</v>
      </c>
      <c r="C3034" s="49" t="s">
        <v>69</v>
      </c>
      <c r="D3034" s="49">
        <v>0.0</v>
      </c>
    </row>
    <row r="3035" ht="15.0" hidden="1" customHeight="1">
      <c r="A3035" s="49" t="s">
        <v>522</v>
      </c>
      <c r="B3035" s="50">
        <v>44469.0</v>
      </c>
      <c r="C3035" s="49" t="s">
        <v>69</v>
      </c>
      <c r="D3035" s="49">
        <v>0.0</v>
      </c>
    </row>
    <row r="3036" ht="15.0" hidden="1" customHeight="1">
      <c r="A3036" s="49" t="s">
        <v>528</v>
      </c>
      <c r="B3036" s="50">
        <v>44469.0</v>
      </c>
      <c r="C3036" s="49" t="s">
        <v>69</v>
      </c>
      <c r="D3036" s="49">
        <v>0.0</v>
      </c>
    </row>
    <row r="3037" ht="15.0" hidden="1" customHeight="1">
      <c r="A3037" s="49" t="s">
        <v>533</v>
      </c>
      <c r="B3037" s="50">
        <v>44469.0</v>
      </c>
      <c r="C3037" s="49" t="s">
        <v>69</v>
      </c>
      <c r="D3037" s="49">
        <v>0.0</v>
      </c>
    </row>
    <row r="3038" ht="15.0" hidden="1" customHeight="1">
      <c r="A3038" s="49" t="s">
        <v>538</v>
      </c>
      <c r="B3038" s="50">
        <v>44469.0</v>
      </c>
      <c r="C3038" s="49" t="s">
        <v>69</v>
      </c>
      <c r="D3038" s="49">
        <v>0.0</v>
      </c>
    </row>
    <row r="3039" ht="15.0" hidden="1" customHeight="1">
      <c r="A3039" s="49" t="s">
        <v>546</v>
      </c>
      <c r="B3039" s="50">
        <v>44469.0</v>
      </c>
      <c r="C3039" s="49" t="s">
        <v>69</v>
      </c>
      <c r="D3039" s="49">
        <v>0.0</v>
      </c>
    </row>
    <row r="3040" ht="15.0" hidden="1" customHeight="1">
      <c r="A3040" s="49" t="s">
        <v>551</v>
      </c>
      <c r="B3040" s="50">
        <v>44469.0</v>
      </c>
      <c r="C3040" s="49" t="s">
        <v>69</v>
      </c>
      <c r="D3040" s="49">
        <v>0.0</v>
      </c>
    </row>
    <row r="3041" ht="15.0" hidden="1" customHeight="1">
      <c r="A3041" s="49" t="s">
        <v>556</v>
      </c>
      <c r="B3041" s="50">
        <v>44469.0</v>
      </c>
      <c r="C3041" s="49" t="s">
        <v>69</v>
      </c>
      <c r="D3041" s="49">
        <v>0.0</v>
      </c>
    </row>
    <row r="3042" ht="15.0" hidden="1" customHeight="1">
      <c r="A3042" s="49" t="s">
        <v>561</v>
      </c>
      <c r="B3042" s="50">
        <v>44469.0</v>
      </c>
      <c r="C3042" s="49" t="s">
        <v>69</v>
      </c>
      <c r="D3042" s="49">
        <v>0.0</v>
      </c>
    </row>
    <row r="3043" ht="15.0" hidden="1" customHeight="1">
      <c r="A3043" s="49" t="s">
        <v>566</v>
      </c>
      <c r="B3043" s="50">
        <v>44469.0</v>
      </c>
      <c r="C3043" s="49" t="s">
        <v>69</v>
      </c>
      <c r="D3043" s="49">
        <v>0.0</v>
      </c>
    </row>
    <row r="3044" ht="15.0" hidden="1" customHeight="1">
      <c r="A3044" s="49" t="s">
        <v>571</v>
      </c>
      <c r="B3044" s="50">
        <v>44469.0</v>
      </c>
      <c r="C3044" s="49" t="s">
        <v>69</v>
      </c>
      <c r="D3044" s="49">
        <v>0.0</v>
      </c>
    </row>
    <row r="3045" ht="15.0" hidden="1" customHeight="1">
      <c r="A3045" s="49" t="s">
        <v>576</v>
      </c>
      <c r="B3045" s="50">
        <v>44469.0</v>
      </c>
      <c r="C3045" s="49" t="s">
        <v>69</v>
      </c>
      <c r="D3045" s="49">
        <v>0.0</v>
      </c>
    </row>
    <row r="3046" ht="15.0" hidden="1" customHeight="1">
      <c r="A3046" s="49" t="s">
        <v>581</v>
      </c>
      <c r="B3046" s="50">
        <v>44469.0</v>
      </c>
      <c r="C3046" s="49" t="s">
        <v>69</v>
      </c>
      <c r="D3046" s="49">
        <v>0.0</v>
      </c>
    </row>
    <row r="3047" ht="15.0" hidden="1" customHeight="1">
      <c r="A3047" s="49" t="s">
        <v>586</v>
      </c>
      <c r="B3047" s="50">
        <v>44469.0</v>
      </c>
      <c r="C3047" s="49" t="s">
        <v>69</v>
      </c>
      <c r="D3047" s="49">
        <v>0.0</v>
      </c>
    </row>
    <row r="3048" ht="15.0" hidden="1" customHeight="1">
      <c r="A3048" s="49" t="s">
        <v>754</v>
      </c>
      <c r="B3048" s="50">
        <v>44469.0</v>
      </c>
      <c r="C3048" s="49" t="s">
        <v>69</v>
      </c>
      <c r="D3048" s="49">
        <v>0.0</v>
      </c>
    </row>
    <row r="3049" ht="15.0" hidden="1" customHeight="1">
      <c r="A3049" s="49" t="s">
        <v>591</v>
      </c>
      <c r="B3049" s="50">
        <v>44469.0</v>
      </c>
      <c r="C3049" s="49" t="s">
        <v>69</v>
      </c>
      <c r="D3049" s="49">
        <v>0.0</v>
      </c>
    </row>
    <row r="3050" ht="15.0" hidden="1" customHeight="1">
      <c r="A3050" s="49" t="s">
        <v>759</v>
      </c>
      <c r="B3050" s="50">
        <v>44469.0</v>
      </c>
      <c r="C3050" s="49" t="s">
        <v>69</v>
      </c>
      <c r="D3050" s="49">
        <v>0.0</v>
      </c>
    </row>
    <row r="3051" ht="15.0" hidden="1" customHeight="1">
      <c r="A3051" s="49" t="s">
        <v>596</v>
      </c>
      <c r="B3051" s="50">
        <v>44469.0</v>
      </c>
      <c r="C3051" s="49" t="s">
        <v>69</v>
      </c>
      <c r="D3051" s="49">
        <v>0.0</v>
      </c>
    </row>
    <row r="3052" ht="15.0" hidden="1" customHeight="1">
      <c r="A3052" s="49" t="s">
        <v>602</v>
      </c>
      <c r="B3052" s="50">
        <v>44469.0</v>
      </c>
      <c r="C3052" s="49" t="s">
        <v>69</v>
      </c>
      <c r="D3052" s="49">
        <v>0.0</v>
      </c>
    </row>
    <row r="3053" ht="15.0" hidden="1" customHeight="1">
      <c r="A3053" s="49" t="s">
        <v>607</v>
      </c>
      <c r="B3053" s="50">
        <v>44469.0</v>
      </c>
      <c r="C3053" s="49" t="s">
        <v>69</v>
      </c>
      <c r="D3053" s="49">
        <v>0.0</v>
      </c>
    </row>
    <row r="3054" ht="15.0" hidden="1" customHeight="1">
      <c r="A3054" s="49" t="s">
        <v>612</v>
      </c>
      <c r="B3054" s="50">
        <v>44469.0</v>
      </c>
      <c r="C3054" s="49" t="s">
        <v>69</v>
      </c>
      <c r="D3054" s="49">
        <v>0.0</v>
      </c>
    </row>
    <row r="3055" ht="15.0" hidden="1" customHeight="1">
      <c r="A3055" s="49" t="s">
        <v>617</v>
      </c>
      <c r="B3055" s="50">
        <v>44469.0</v>
      </c>
      <c r="C3055" s="49" t="s">
        <v>69</v>
      </c>
      <c r="D3055" s="49">
        <v>0.0</v>
      </c>
    </row>
    <row r="3056" ht="15.0" hidden="1" customHeight="1">
      <c r="A3056" s="49" t="s">
        <v>622</v>
      </c>
      <c r="B3056" s="50">
        <v>44469.0</v>
      </c>
      <c r="C3056" s="49" t="s">
        <v>69</v>
      </c>
      <c r="D3056" s="49">
        <v>0.0</v>
      </c>
    </row>
    <row r="3057" ht="15.0" hidden="1" customHeight="1">
      <c r="A3057" s="49" t="s">
        <v>627</v>
      </c>
      <c r="B3057" s="50">
        <v>44469.0</v>
      </c>
      <c r="C3057" s="49" t="s">
        <v>69</v>
      </c>
      <c r="D3057" s="49">
        <v>0.0</v>
      </c>
    </row>
    <row r="3058" ht="15.0" hidden="1" customHeight="1">
      <c r="A3058" s="49" t="s">
        <v>631</v>
      </c>
      <c r="B3058" s="50">
        <v>44469.0</v>
      </c>
      <c r="C3058" s="49" t="s">
        <v>69</v>
      </c>
      <c r="D3058" s="49">
        <v>0.0</v>
      </c>
    </row>
    <row r="3059" ht="15.0" hidden="1" customHeight="1">
      <c r="A3059" s="49" t="s">
        <v>636</v>
      </c>
      <c r="B3059" s="50">
        <v>44469.0</v>
      </c>
      <c r="C3059" s="49" t="s">
        <v>69</v>
      </c>
      <c r="D3059" s="49">
        <v>0.0</v>
      </c>
    </row>
    <row r="3060" ht="15.0" hidden="1" customHeight="1">
      <c r="A3060" s="49" t="s">
        <v>640</v>
      </c>
      <c r="B3060" s="50">
        <v>44469.0</v>
      </c>
      <c r="C3060" s="49" t="s">
        <v>69</v>
      </c>
      <c r="D3060" s="49">
        <v>0.0</v>
      </c>
    </row>
    <row r="3061" ht="15.0" hidden="1" customHeight="1">
      <c r="A3061" s="49" t="s">
        <v>644</v>
      </c>
      <c r="B3061" s="50">
        <v>44469.0</v>
      </c>
      <c r="C3061" s="49" t="s">
        <v>69</v>
      </c>
      <c r="D3061" s="49">
        <v>0.0</v>
      </c>
    </row>
    <row r="3062" ht="15.0" hidden="1" customHeight="1">
      <c r="A3062" s="49" t="s">
        <v>649</v>
      </c>
      <c r="B3062" s="50">
        <v>44469.0</v>
      </c>
      <c r="C3062" s="49" t="s">
        <v>69</v>
      </c>
      <c r="D3062" s="49">
        <v>0.0</v>
      </c>
    </row>
    <row r="3063" ht="15.0" hidden="1" customHeight="1">
      <c r="A3063" s="49" t="s">
        <v>654</v>
      </c>
      <c r="B3063" s="50">
        <v>44469.0</v>
      </c>
      <c r="C3063" s="49" t="s">
        <v>69</v>
      </c>
      <c r="D3063" s="49">
        <v>0.0</v>
      </c>
    </row>
    <row r="3064" ht="15.0" hidden="1" customHeight="1">
      <c r="A3064" s="49" t="s">
        <v>659</v>
      </c>
      <c r="B3064" s="50">
        <v>44469.0</v>
      </c>
      <c r="C3064" s="49" t="s">
        <v>69</v>
      </c>
      <c r="D3064" s="49">
        <v>0.0</v>
      </c>
    </row>
    <row r="3065" ht="15.0" hidden="1" customHeight="1">
      <c r="A3065" s="49" t="s">
        <v>664</v>
      </c>
      <c r="B3065" s="50">
        <v>44469.0</v>
      </c>
      <c r="C3065" s="49" t="s">
        <v>69</v>
      </c>
      <c r="D3065" s="49">
        <v>0.0</v>
      </c>
    </row>
    <row r="3066" ht="15.0" hidden="1" customHeight="1">
      <c r="A3066" s="49" t="s">
        <v>669</v>
      </c>
      <c r="B3066" s="50">
        <v>44469.0</v>
      </c>
      <c r="C3066" s="49" t="s">
        <v>69</v>
      </c>
      <c r="D3066" s="49">
        <v>0.0</v>
      </c>
    </row>
    <row r="3067" ht="15.0" hidden="1" customHeight="1">
      <c r="A3067" s="49" t="s">
        <v>674</v>
      </c>
      <c r="B3067" s="50">
        <v>44469.0</v>
      </c>
      <c r="C3067" s="49" t="s">
        <v>69</v>
      </c>
      <c r="D3067" s="49">
        <v>0.0</v>
      </c>
    </row>
    <row r="3068" ht="15.0" hidden="1" customHeight="1">
      <c r="A3068" s="49" t="s">
        <v>679</v>
      </c>
      <c r="B3068" s="50">
        <v>44469.0</v>
      </c>
      <c r="C3068" s="49" t="s">
        <v>69</v>
      </c>
      <c r="D3068" s="49">
        <v>0.0</v>
      </c>
    </row>
    <row r="3069" ht="15.0" hidden="1" customHeight="1">
      <c r="A3069" s="49" t="s">
        <v>684</v>
      </c>
      <c r="B3069" s="50">
        <v>44469.0</v>
      </c>
      <c r="C3069" s="49" t="s">
        <v>69</v>
      </c>
      <c r="D3069" s="49">
        <v>0.0</v>
      </c>
    </row>
    <row r="3070" ht="15.0" hidden="1" customHeight="1">
      <c r="A3070" s="49" t="s">
        <v>689</v>
      </c>
      <c r="B3070" s="50">
        <v>44469.0</v>
      </c>
      <c r="C3070" s="49" t="s">
        <v>69</v>
      </c>
      <c r="D3070" s="49">
        <v>0.0</v>
      </c>
    </row>
    <row r="3071" ht="15.0" hidden="1" customHeight="1">
      <c r="A3071" s="49" t="s">
        <v>694</v>
      </c>
      <c r="B3071" s="50">
        <v>44469.0</v>
      </c>
      <c r="C3071" s="49" t="s">
        <v>69</v>
      </c>
      <c r="D3071" s="49">
        <v>0.0</v>
      </c>
    </row>
    <row r="3072" ht="15.0" hidden="1" customHeight="1">
      <c r="A3072" s="49" t="s">
        <v>699</v>
      </c>
      <c r="B3072" s="50">
        <v>44469.0</v>
      </c>
      <c r="C3072" s="49" t="s">
        <v>69</v>
      </c>
      <c r="D3072" s="49">
        <v>0.0</v>
      </c>
    </row>
    <row r="3073" ht="15.0" hidden="1" customHeight="1">
      <c r="A3073" s="49" t="s">
        <v>705</v>
      </c>
      <c r="B3073" s="50">
        <v>44469.0</v>
      </c>
      <c r="C3073" s="49" t="s">
        <v>69</v>
      </c>
      <c r="D3073" s="49">
        <v>0.0</v>
      </c>
    </row>
    <row r="3074" ht="15.0" hidden="1" customHeight="1">
      <c r="A3074" s="49" t="s">
        <v>710</v>
      </c>
      <c r="B3074" s="50">
        <v>44469.0</v>
      </c>
      <c r="C3074" s="49" t="s">
        <v>69</v>
      </c>
      <c r="D3074" s="49">
        <v>0.0</v>
      </c>
    </row>
    <row r="3075" ht="15.0" hidden="1" customHeight="1">
      <c r="A3075" s="49" t="s">
        <v>715</v>
      </c>
      <c r="B3075" s="50">
        <v>44469.0</v>
      </c>
      <c r="C3075" s="49" t="s">
        <v>69</v>
      </c>
      <c r="D3075" s="49">
        <v>0.0</v>
      </c>
    </row>
    <row r="3076" ht="15.0" hidden="1" customHeight="1">
      <c r="A3076" s="49" t="s">
        <v>765</v>
      </c>
      <c r="B3076" s="50">
        <v>44469.0</v>
      </c>
      <c r="C3076" s="49" t="s">
        <v>69</v>
      </c>
      <c r="D3076" s="49">
        <v>0.0</v>
      </c>
    </row>
    <row r="3077" ht="15.0" hidden="1" customHeight="1">
      <c r="A3077" s="49" t="s">
        <v>720</v>
      </c>
      <c r="B3077" s="50">
        <v>44469.0</v>
      </c>
      <c r="C3077" s="49" t="s">
        <v>69</v>
      </c>
      <c r="D3077" s="49">
        <v>0.0</v>
      </c>
    </row>
    <row r="3078" ht="15.0" hidden="1" customHeight="1">
      <c r="A3078" s="49" t="s">
        <v>725</v>
      </c>
      <c r="B3078" s="50">
        <v>44469.0</v>
      </c>
      <c r="C3078" s="49" t="s">
        <v>69</v>
      </c>
      <c r="D3078" s="49">
        <v>0.0</v>
      </c>
    </row>
    <row r="3079" ht="15.0" hidden="1" customHeight="1">
      <c r="A3079" s="49" t="s">
        <v>730</v>
      </c>
      <c r="B3079" s="50">
        <v>44469.0</v>
      </c>
      <c r="C3079" s="49" t="s">
        <v>69</v>
      </c>
      <c r="D3079" s="49">
        <v>0.0</v>
      </c>
    </row>
    <row r="3080" ht="15.0" hidden="1" customHeight="1">
      <c r="A3080" s="49" t="s">
        <v>734</v>
      </c>
      <c r="B3080" s="50">
        <v>44469.0</v>
      </c>
      <c r="C3080" s="49" t="s">
        <v>69</v>
      </c>
      <c r="D3080" s="49">
        <v>0.0</v>
      </c>
    </row>
    <row r="3081" ht="15.0" hidden="1" customHeight="1">
      <c r="A3081" s="49" t="s">
        <v>739</v>
      </c>
      <c r="B3081" s="50">
        <v>44469.0</v>
      </c>
      <c r="C3081" s="49" t="s">
        <v>69</v>
      </c>
      <c r="D3081" s="49">
        <v>0.0</v>
      </c>
    </row>
    <row r="3082" ht="15.0" hidden="1" customHeight="1">
      <c r="A3082" s="49" t="s">
        <v>744</v>
      </c>
      <c r="B3082" s="50">
        <v>44469.0</v>
      </c>
      <c r="C3082" s="49" t="s">
        <v>69</v>
      </c>
      <c r="D3082" s="49">
        <v>0.0</v>
      </c>
    </row>
    <row r="3083" ht="15.0" hidden="1" customHeight="1">
      <c r="A3083" s="49" t="s">
        <v>749</v>
      </c>
      <c r="B3083" s="50">
        <v>44469.0</v>
      </c>
      <c r="C3083" s="49" t="s">
        <v>69</v>
      </c>
      <c r="D3083" s="49">
        <v>0.0</v>
      </c>
    </row>
    <row r="3084" ht="15.0" customHeight="1">
      <c r="A3084" s="49" t="s">
        <v>776</v>
      </c>
      <c r="B3084" s="50">
        <v>44469.0</v>
      </c>
      <c r="C3084" s="49" t="s">
        <v>780</v>
      </c>
      <c r="D3084" s="49">
        <v>0.0</v>
      </c>
    </row>
    <row r="3085" ht="15.0" hidden="1" customHeight="1">
      <c r="A3085" s="49" t="s">
        <v>778</v>
      </c>
      <c r="B3085" s="50">
        <v>44469.0</v>
      </c>
      <c r="C3085" s="49" t="s">
        <v>780</v>
      </c>
      <c r="D3085" s="49">
        <v>0.0</v>
      </c>
    </row>
    <row r="3086" ht="15.0" hidden="1" customHeight="1">
      <c r="A3086" s="49" t="s">
        <v>92</v>
      </c>
      <c r="B3086" s="50">
        <v>44469.0</v>
      </c>
      <c r="C3086" s="49" t="s">
        <v>780</v>
      </c>
      <c r="D3086" s="49">
        <v>-1500000.0</v>
      </c>
    </row>
    <row r="3087" ht="15.0" hidden="1" customHeight="1">
      <c r="A3087" s="49" t="s">
        <v>97</v>
      </c>
      <c r="B3087" s="50">
        <v>44469.0</v>
      </c>
      <c r="C3087" s="49" t="s">
        <v>780</v>
      </c>
      <c r="D3087" s="49">
        <v>-600000.0</v>
      </c>
    </row>
    <row r="3088" ht="15.0" hidden="1" customHeight="1">
      <c r="A3088" s="49" t="s">
        <v>102</v>
      </c>
      <c r="B3088" s="50">
        <v>44469.0</v>
      </c>
      <c r="C3088" s="49" t="s">
        <v>780</v>
      </c>
      <c r="D3088" s="49">
        <v>0.0</v>
      </c>
    </row>
    <row r="3089" ht="15.0" hidden="1" customHeight="1">
      <c r="A3089" s="49" t="s">
        <v>106</v>
      </c>
      <c r="B3089" s="50">
        <v>44469.0</v>
      </c>
      <c r="C3089" s="49" t="s">
        <v>780</v>
      </c>
      <c r="D3089" s="49">
        <v>0.0</v>
      </c>
    </row>
    <row r="3090" ht="15.0" hidden="1" customHeight="1">
      <c r="A3090" s="49" t="s">
        <v>111</v>
      </c>
      <c r="B3090" s="50">
        <v>44469.0</v>
      </c>
      <c r="C3090" s="49" t="s">
        <v>780</v>
      </c>
      <c r="D3090" s="49">
        <v>0.0</v>
      </c>
    </row>
    <row r="3091" ht="15.0" hidden="1" customHeight="1">
      <c r="A3091" s="49" t="s">
        <v>116</v>
      </c>
      <c r="B3091" s="50">
        <v>44469.0</v>
      </c>
      <c r="C3091" s="49" t="s">
        <v>780</v>
      </c>
      <c r="D3091" s="49">
        <v>0.0</v>
      </c>
    </row>
    <row r="3092" ht="15.0" hidden="1" customHeight="1">
      <c r="A3092" s="49" t="s">
        <v>120</v>
      </c>
      <c r="B3092" s="50">
        <v>44469.0</v>
      </c>
      <c r="C3092" s="49" t="s">
        <v>780</v>
      </c>
      <c r="D3092" s="49">
        <v>-1200000.0</v>
      </c>
    </row>
    <row r="3093" ht="15.0" hidden="1" customHeight="1">
      <c r="A3093" s="49" t="s">
        <v>125</v>
      </c>
      <c r="B3093" s="50">
        <v>44469.0</v>
      </c>
      <c r="C3093" s="49" t="s">
        <v>780</v>
      </c>
      <c r="D3093" s="49">
        <v>0.0</v>
      </c>
    </row>
    <row r="3094" ht="15.0" hidden="1" customHeight="1">
      <c r="A3094" s="49" t="s">
        <v>130</v>
      </c>
      <c r="B3094" s="50">
        <v>44469.0</v>
      </c>
      <c r="C3094" s="49" t="s">
        <v>780</v>
      </c>
      <c r="D3094" s="49">
        <v>-200000.0</v>
      </c>
    </row>
    <row r="3095" ht="15.0" hidden="1" customHeight="1">
      <c r="A3095" s="49" t="s">
        <v>137</v>
      </c>
      <c r="B3095" s="50">
        <v>44469.0</v>
      </c>
      <c r="C3095" s="49" t="s">
        <v>780</v>
      </c>
      <c r="D3095" s="49">
        <v>-11522.0</v>
      </c>
    </row>
    <row r="3096" ht="15.0" hidden="1" customHeight="1">
      <c r="A3096" s="49" t="s">
        <v>142</v>
      </c>
      <c r="B3096" s="50">
        <v>44469.0</v>
      </c>
      <c r="C3096" s="49" t="s">
        <v>780</v>
      </c>
      <c r="D3096" s="49">
        <v>0.0</v>
      </c>
    </row>
    <row r="3097" ht="15.0" hidden="1" customHeight="1">
      <c r="A3097" s="49" t="s">
        <v>147</v>
      </c>
      <c r="B3097" s="50">
        <v>44469.0</v>
      </c>
      <c r="C3097" s="49" t="s">
        <v>780</v>
      </c>
      <c r="D3097" s="49">
        <v>-200000.0</v>
      </c>
    </row>
    <row r="3098" ht="15.0" hidden="1" customHeight="1">
      <c r="A3098" s="49" t="s">
        <v>152</v>
      </c>
      <c r="B3098" s="50">
        <v>44469.0</v>
      </c>
      <c r="C3098" s="49" t="s">
        <v>780</v>
      </c>
      <c r="D3098" s="49">
        <v>0.0</v>
      </c>
    </row>
    <row r="3099" ht="15.0" hidden="1" customHeight="1">
      <c r="A3099" s="49" t="s">
        <v>157</v>
      </c>
      <c r="B3099" s="50">
        <v>44469.0</v>
      </c>
      <c r="C3099" s="49" t="s">
        <v>780</v>
      </c>
      <c r="D3099" s="49">
        <v>0.0</v>
      </c>
    </row>
    <row r="3100" ht="15.0" hidden="1" customHeight="1">
      <c r="A3100" s="49" t="s">
        <v>162</v>
      </c>
      <c r="B3100" s="50">
        <v>44469.0</v>
      </c>
      <c r="C3100" s="49" t="s">
        <v>780</v>
      </c>
      <c r="D3100" s="49">
        <v>-1500000.0</v>
      </c>
    </row>
    <row r="3101" ht="15.0" hidden="1" customHeight="1">
      <c r="A3101" s="49" t="s">
        <v>167</v>
      </c>
      <c r="B3101" s="50">
        <v>44469.0</v>
      </c>
      <c r="C3101" s="49" t="s">
        <v>780</v>
      </c>
      <c r="D3101" s="49">
        <v>0.0</v>
      </c>
    </row>
    <row r="3102" ht="15.0" hidden="1" customHeight="1">
      <c r="A3102" s="49" t="s">
        <v>172</v>
      </c>
      <c r="B3102" s="50">
        <v>44469.0</v>
      </c>
      <c r="C3102" s="49" t="s">
        <v>780</v>
      </c>
      <c r="D3102" s="49">
        <v>-226160.0</v>
      </c>
    </row>
    <row r="3103" ht="15.0" hidden="1" customHeight="1">
      <c r="A3103" s="49" t="s">
        <v>177</v>
      </c>
      <c r="B3103" s="50">
        <v>44469.0</v>
      </c>
      <c r="C3103" s="49" t="s">
        <v>780</v>
      </c>
      <c r="D3103" s="49">
        <v>-500000.0</v>
      </c>
    </row>
    <row r="3104" ht="15.0" hidden="1" customHeight="1">
      <c r="A3104" s="49" t="s">
        <v>182</v>
      </c>
      <c r="B3104" s="50">
        <v>44469.0</v>
      </c>
      <c r="C3104" s="49" t="s">
        <v>780</v>
      </c>
      <c r="D3104" s="49">
        <v>-100000.0</v>
      </c>
    </row>
    <row r="3105" ht="15.0" hidden="1" customHeight="1">
      <c r="A3105" s="49" t="s">
        <v>187</v>
      </c>
      <c r="B3105" s="50">
        <v>44469.0</v>
      </c>
      <c r="C3105" s="49" t="s">
        <v>780</v>
      </c>
      <c r="D3105" s="49">
        <v>-165000.0</v>
      </c>
    </row>
    <row r="3106" ht="15.0" hidden="1" customHeight="1">
      <c r="A3106" s="49" t="s">
        <v>192</v>
      </c>
      <c r="B3106" s="50">
        <v>44469.0</v>
      </c>
      <c r="C3106" s="49" t="s">
        <v>780</v>
      </c>
      <c r="D3106" s="49">
        <v>-4125000.0</v>
      </c>
    </row>
    <row r="3107" ht="15.0" hidden="1" customHeight="1">
      <c r="A3107" s="49" t="s">
        <v>197</v>
      </c>
      <c r="B3107" s="50">
        <v>44469.0</v>
      </c>
      <c r="C3107" s="49" t="s">
        <v>780</v>
      </c>
      <c r="D3107" s="49">
        <v>-200000.0</v>
      </c>
    </row>
    <row r="3108" ht="15.0" hidden="1" customHeight="1">
      <c r="A3108" s="49" t="s">
        <v>202</v>
      </c>
      <c r="B3108" s="50">
        <v>44469.0</v>
      </c>
      <c r="C3108" s="49" t="s">
        <v>780</v>
      </c>
      <c r="D3108" s="49">
        <v>-1770000.0</v>
      </c>
    </row>
    <row r="3109" ht="15.0" hidden="1" customHeight="1">
      <c r="A3109" s="49" t="s">
        <v>206</v>
      </c>
      <c r="B3109" s="50">
        <v>44469.0</v>
      </c>
      <c r="C3109" s="49" t="s">
        <v>780</v>
      </c>
      <c r="D3109" s="49">
        <v>-90000.0</v>
      </c>
    </row>
    <row r="3110" ht="15.0" hidden="1" customHeight="1">
      <c r="A3110" s="49" t="s">
        <v>211</v>
      </c>
      <c r="B3110" s="50">
        <v>44469.0</v>
      </c>
      <c r="C3110" s="49" t="s">
        <v>780</v>
      </c>
      <c r="D3110" s="49">
        <v>0.0</v>
      </c>
    </row>
    <row r="3111" ht="15.0" hidden="1" customHeight="1">
      <c r="A3111" s="49" t="s">
        <v>779</v>
      </c>
      <c r="B3111" s="50">
        <v>44469.0</v>
      </c>
      <c r="C3111" s="49" t="s">
        <v>780</v>
      </c>
      <c r="D3111" s="49">
        <v>-50000.0</v>
      </c>
    </row>
    <row r="3112" ht="15.0" hidden="1" customHeight="1">
      <c r="A3112" s="49" t="s">
        <v>221</v>
      </c>
      <c r="B3112" s="50">
        <v>44469.0</v>
      </c>
      <c r="C3112" s="49" t="s">
        <v>780</v>
      </c>
      <c r="D3112" s="49">
        <v>192000.0</v>
      </c>
    </row>
    <row r="3113" ht="15.0" hidden="1" customHeight="1">
      <c r="A3113" s="49" t="s">
        <v>226</v>
      </c>
      <c r="B3113" s="50">
        <v>44469.0</v>
      </c>
      <c r="C3113" s="49" t="s">
        <v>780</v>
      </c>
      <c r="D3113" s="49">
        <v>3515000.0</v>
      </c>
    </row>
    <row r="3114" ht="15.0" hidden="1" customHeight="1">
      <c r="A3114" s="49" t="s">
        <v>231</v>
      </c>
      <c r="B3114" s="50">
        <v>44469.0</v>
      </c>
      <c r="C3114" s="49" t="s">
        <v>780</v>
      </c>
      <c r="D3114" s="49">
        <v>653000.0</v>
      </c>
    </row>
    <row r="3115" ht="15.0" hidden="1" customHeight="1">
      <c r="A3115" s="49" t="s">
        <v>236</v>
      </c>
      <c r="B3115" s="50">
        <v>44469.0</v>
      </c>
      <c r="C3115" s="49" t="s">
        <v>780</v>
      </c>
      <c r="D3115" s="49">
        <v>770000.0</v>
      </c>
    </row>
    <row r="3116" ht="15.0" hidden="1" customHeight="1">
      <c r="A3116" s="49" t="s">
        <v>242</v>
      </c>
      <c r="B3116" s="50">
        <v>44469.0</v>
      </c>
      <c r="C3116" s="49" t="s">
        <v>780</v>
      </c>
      <c r="D3116" s="49">
        <v>0.0</v>
      </c>
    </row>
    <row r="3117" ht="15.0" hidden="1" customHeight="1">
      <c r="A3117" s="49" t="s">
        <v>248</v>
      </c>
      <c r="B3117" s="50">
        <v>44469.0</v>
      </c>
      <c r="C3117" s="49" t="s">
        <v>780</v>
      </c>
      <c r="D3117" s="49">
        <v>4128000.0</v>
      </c>
    </row>
    <row r="3118" ht="15.0" hidden="1" customHeight="1">
      <c r="A3118" s="49" t="s">
        <v>253</v>
      </c>
      <c r="B3118" s="50">
        <v>44469.0</v>
      </c>
      <c r="C3118" s="49" t="s">
        <v>780</v>
      </c>
      <c r="D3118" s="49">
        <v>0.0</v>
      </c>
    </row>
    <row r="3119" ht="15.0" hidden="1" customHeight="1">
      <c r="A3119" s="49" t="s">
        <v>258</v>
      </c>
      <c r="B3119" s="50">
        <v>44469.0</v>
      </c>
      <c r="C3119" s="49" t="s">
        <v>780</v>
      </c>
      <c r="D3119" s="49">
        <v>0.0</v>
      </c>
    </row>
    <row r="3120" ht="15.0" hidden="1" customHeight="1">
      <c r="A3120" s="49" t="s">
        <v>263</v>
      </c>
      <c r="B3120" s="50">
        <v>44469.0</v>
      </c>
      <c r="C3120" s="49" t="s">
        <v>780</v>
      </c>
      <c r="D3120" s="49">
        <v>0.0</v>
      </c>
    </row>
    <row r="3121" ht="15.0" hidden="1" customHeight="1">
      <c r="A3121" s="49" t="s">
        <v>268</v>
      </c>
      <c r="B3121" s="50">
        <v>44469.0</v>
      </c>
      <c r="C3121" s="49" t="s">
        <v>780</v>
      </c>
      <c r="D3121" s="49">
        <v>0.0</v>
      </c>
    </row>
    <row r="3122" ht="15.0" hidden="1" customHeight="1">
      <c r="A3122" s="49" t="s">
        <v>273</v>
      </c>
      <c r="B3122" s="50">
        <v>44469.0</v>
      </c>
      <c r="C3122" s="49" t="s">
        <v>780</v>
      </c>
      <c r="D3122" s="49">
        <v>0.0</v>
      </c>
    </row>
    <row r="3123" ht="15.0" hidden="1" customHeight="1">
      <c r="A3123" s="49" t="s">
        <v>278</v>
      </c>
      <c r="B3123" s="50">
        <v>44469.0</v>
      </c>
      <c r="C3123" s="49" t="s">
        <v>780</v>
      </c>
      <c r="D3123" s="49">
        <v>0.0</v>
      </c>
    </row>
    <row r="3124" ht="15.0" hidden="1" customHeight="1">
      <c r="A3124" s="49" t="s">
        <v>283</v>
      </c>
      <c r="B3124" s="50">
        <v>44469.0</v>
      </c>
      <c r="C3124" s="49" t="s">
        <v>780</v>
      </c>
      <c r="D3124" s="49">
        <v>0.0</v>
      </c>
    </row>
    <row r="3125" ht="15.0" hidden="1" customHeight="1">
      <c r="A3125" s="49" t="s">
        <v>288</v>
      </c>
      <c r="B3125" s="50">
        <v>44469.0</v>
      </c>
      <c r="C3125" s="49" t="s">
        <v>780</v>
      </c>
      <c r="D3125" s="49">
        <v>0.0</v>
      </c>
    </row>
    <row r="3126" ht="15.0" hidden="1" customHeight="1">
      <c r="A3126" s="49" t="s">
        <v>293</v>
      </c>
      <c r="B3126" s="50">
        <v>44469.0</v>
      </c>
      <c r="C3126" s="49" t="s">
        <v>780</v>
      </c>
      <c r="D3126" s="49">
        <v>0.0</v>
      </c>
    </row>
    <row r="3127" ht="15.0" hidden="1" customHeight="1">
      <c r="A3127" s="49" t="s">
        <v>298</v>
      </c>
      <c r="B3127" s="50">
        <v>44469.0</v>
      </c>
      <c r="C3127" s="49" t="s">
        <v>780</v>
      </c>
      <c r="D3127" s="49">
        <v>0.0</v>
      </c>
    </row>
    <row r="3128" ht="15.0" hidden="1" customHeight="1">
      <c r="A3128" s="49" t="s">
        <v>303</v>
      </c>
      <c r="B3128" s="50">
        <v>44469.0</v>
      </c>
      <c r="C3128" s="49" t="s">
        <v>780</v>
      </c>
      <c r="D3128" s="49">
        <v>0.0</v>
      </c>
    </row>
    <row r="3129" ht="15.0" hidden="1" customHeight="1">
      <c r="A3129" s="49" t="s">
        <v>307</v>
      </c>
      <c r="B3129" s="50">
        <v>44469.0</v>
      </c>
      <c r="C3129" s="49" t="s">
        <v>780</v>
      </c>
      <c r="D3129" s="49">
        <v>0.0</v>
      </c>
    </row>
    <row r="3130" ht="15.0" hidden="1" customHeight="1">
      <c r="A3130" s="49" t="s">
        <v>313</v>
      </c>
      <c r="B3130" s="50">
        <v>44469.0</v>
      </c>
      <c r="C3130" s="49" t="s">
        <v>780</v>
      </c>
      <c r="D3130" s="49">
        <v>0.0</v>
      </c>
    </row>
    <row r="3131" ht="15.0" hidden="1" customHeight="1">
      <c r="A3131" s="49" t="s">
        <v>318</v>
      </c>
      <c r="B3131" s="50">
        <v>44469.0</v>
      </c>
      <c r="C3131" s="49" t="s">
        <v>780</v>
      </c>
      <c r="D3131" s="49">
        <v>0.0</v>
      </c>
    </row>
    <row r="3132" ht="15.0" hidden="1" customHeight="1">
      <c r="A3132" s="49" t="s">
        <v>323</v>
      </c>
      <c r="B3132" s="50">
        <v>44469.0</v>
      </c>
      <c r="C3132" s="49" t="s">
        <v>780</v>
      </c>
      <c r="D3132" s="49">
        <v>0.0</v>
      </c>
    </row>
    <row r="3133" ht="15.0" hidden="1" customHeight="1">
      <c r="A3133" s="49" t="s">
        <v>328</v>
      </c>
      <c r="B3133" s="50">
        <v>44469.0</v>
      </c>
      <c r="C3133" s="49" t="s">
        <v>780</v>
      </c>
      <c r="D3133" s="49">
        <v>0.0</v>
      </c>
    </row>
    <row r="3134" ht="15.0" hidden="1" customHeight="1">
      <c r="A3134" s="49" t="s">
        <v>335</v>
      </c>
      <c r="B3134" s="50">
        <v>44469.0</v>
      </c>
      <c r="C3134" s="49" t="s">
        <v>780</v>
      </c>
      <c r="D3134" s="49">
        <v>0.0</v>
      </c>
    </row>
    <row r="3135" ht="15.0" hidden="1" customHeight="1">
      <c r="A3135" s="49" t="s">
        <v>340</v>
      </c>
      <c r="B3135" s="50">
        <v>44469.0</v>
      </c>
      <c r="C3135" s="49" t="s">
        <v>780</v>
      </c>
      <c r="D3135" s="49">
        <v>0.0</v>
      </c>
    </row>
    <row r="3136" ht="15.0" hidden="1" customHeight="1">
      <c r="A3136" s="49" t="s">
        <v>345</v>
      </c>
      <c r="B3136" s="50">
        <v>44469.0</v>
      </c>
      <c r="C3136" s="49" t="s">
        <v>780</v>
      </c>
      <c r="D3136" s="49">
        <v>0.0</v>
      </c>
    </row>
    <row r="3137" ht="15.0" hidden="1" customHeight="1">
      <c r="A3137" s="49" t="s">
        <v>350</v>
      </c>
      <c r="B3137" s="50">
        <v>44469.0</v>
      </c>
      <c r="C3137" s="49" t="s">
        <v>780</v>
      </c>
      <c r="D3137" s="49">
        <v>0.0</v>
      </c>
    </row>
    <row r="3138" ht="15.0" hidden="1" customHeight="1">
      <c r="A3138" s="49" t="s">
        <v>355</v>
      </c>
      <c r="B3138" s="50">
        <v>44469.0</v>
      </c>
      <c r="C3138" s="49" t="s">
        <v>780</v>
      </c>
      <c r="D3138" s="49">
        <v>0.0</v>
      </c>
    </row>
    <row r="3139" ht="15.0" hidden="1" customHeight="1">
      <c r="A3139" s="49" t="s">
        <v>360</v>
      </c>
      <c r="B3139" s="50">
        <v>44469.0</v>
      </c>
      <c r="C3139" s="49" t="s">
        <v>780</v>
      </c>
      <c r="D3139" s="49">
        <v>0.0</v>
      </c>
    </row>
    <row r="3140" ht="15.0" hidden="1" customHeight="1">
      <c r="A3140" s="49" t="s">
        <v>365</v>
      </c>
      <c r="B3140" s="50">
        <v>44469.0</v>
      </c>
      <c r="C3140" s="49" t="s">
        <v>780</v>
      </c>
      <c r="D3140" s="49">
        <v>0.0</v>
      </c>
    </row>
    <row r="3141" ht="15.0" hidden="1" customHeight="1">
      <c r="A3141" s="49" t="s">
        <v>370</v>
      </c>
      <c r="B3141" s="50">
        <v>44469.0</v>
      </c>
      <c r="C3141" s="49" t="s">
        <v>780</v>
      </c>
      <c r="D3141" s="49">
        <v>0.0</v>
      </c>
    </row>
    <row r="3142" ht="15.0" hidden="1" customHeight="1">
      <c r="A3142" s="49" t="s">
        <v>375</v>
      </c>
      <c r="B3142" s="50">
        <v>44469.0</v>
      </c>
      <c r="C3142" s="49" t="s">
        <v>780</v>
      </c>
      <c r="D3142" s="49">
        <v>0.0</v>
      </c>
    </row>
    <row r="3143" ht="15.0" hidden="1" customHeight="1">
      <c r="A3143" s="49" t="s">
        <v>380</v>
      </c>
      <c r="B3143" s="50">
        <v>44469.0</v>
      </c>
      <c r="C3143" s="49" t="s">
        <v>780</v>
      </c>
      <c r="D3143" s="49">
        <v>0.0</v>
      </c>
    </row>
    <row r="3144" ht="15.0" hidden="1" customHeight="1">
      <c r="A3144" s="49" t="s">
        <v>385</v>
      </c>
      <c r="B3144" s="50">
        <v>44469.0</v>
      </c>
      <c r="C3144" s="49" t="s">
        <v>780</v>
      </c>
      <c r="D3144" s="49">
        <v>0.0</v>
      </c>
    </row>
    <row r="3145" ht="15.0" hidden="1" customHeight="1">
      <c r="A3145" s="49" t="s">
        <v>390</v>
      </c>
      <c r="B3145" s="50">
        <v>44469.0</v>
      </c>
      <c r="C3145" s="49" t="s">
        <v>780</v>
      </c>
      <c r="D3145" s="49">
        <v>0.0</v>
      </c>
    </row>
    <row r="3146" ht="15.0" hidden="1" customHeight="1">
      <c r="A3146" s="49" t="s">
        <v>395</v>
      </c>
      <c r="B3146" s="50">
        <v>44469.0</v>
      </c>
      <c r="C3146" s="49" t="s">
        <v>780</v>
      </c>
      <c r="D3146" s="49">
        <v>0.0</v>
      </c>
    </row>
    <row r="3147" ht="15.0" hidden="1" customHeight="1">
      <c r="A3147" s="49" t="s">
        <v>400</v>
      </c>
      <c r="B3147" s="50">
        <v>44469.0</v>
      </c>
      <c r="C3147" s="49" t="s">
        <v>780</v>
      </c>
      <c r="D3147" s="49">
        <v>0.0</v>
      </c>
    </row>
    <row r="3148" ht="15.0" hidden="1" customHeight="1">
      <c r="A3148" s="49" t="s">
        <v>405</v>
      </c>
      <c r="B3148" s="50">
        <v>44469.0</v>
      </c>
      <c r="C3148" s="49" t="s">
        <v>780</v>
      </c>
      <c r="D3148" s="49">
        <v>0.0</v>
      </c>
    </row>
    <row r="3149" ht="15.0" hidden="1" customHeight="1">
      <c r="A3149" s="49" t="s">
        <v>410</v>
      </c>
      <c r="B3149" s="50">
        <v>44469.0</v>
      </c>
      <c r="C3149" s="49" t="s">
        <v>780</v>
      </c>
      <c r="D3149" s="49">
        <v>0.0</v>
      </c>
    </row>
    <row r="3150" ht="15.0" hidden="1" customHeight="1">
      <c r="A3150" s="49" t="s">
        <v>415</v>
      </c>
      <c r="B3150" s="50">
        <v>44469.0</v>
      </c>
      <c r="C3150" s="49" t="s">
        <v>780</v>
      </c>
      <c r="D3150" s="49">
        <v>0.0</v>
      </c>
    </row>
    <row r="3151" ht="15.0" hidden="1" customHeight="1">
      <c r="A3151" s="49" t="s">
        <v>420</v>
      </c>
      <c r="B3151" s="50">
        <v>44469.0</v>
      </c>
      <c r="C3151" s="49" t="s">
        <v>780</v>
      </c>
      <c r="D3151" s="49">
        <v>0.0</v>
      </c>
    </row>
    <row r="3152" ht="15.0" hidden="1" customHeight="1">
      <c r="A3152" s="49" t="s">
        <v>425</v>
      </c>
      <c r="B3152" s="50">
        <v>44469.0</v>
      </c>
      <c r="C3152" s="49" t="s">
        <v>780</v>
      </c>
      <c r="D3152" s="49">
        <v>0.0</v>
      </c>
    </row>
    <row r="3153" ht="15.0" hidden="1" customHeight="1">
      <c r="A3153" s="49" t="s">
        <v>430</v>
      </c>
      <c r="B3153" s="50">
        <v>44469.0</v>
      </c>
      <c r="C3153" s="49" t="s">
        <v>780</v>
      </c>
      <c r="D3153" s="49">
        <v>0.0</v>
      </c>
    </row>
    <row r="3154" ht="15.0" hidden="1" customHeight="1">
      <c r="A3154" s="49" t="s">
        <v>434</v>
      </c>
      <c r="B3154" s="50">
        <v>44469.0</v>
      </c>
      <c r="C3154" s="49" t="s">
        <v>780</v>
      </c>
      <c r="D3154" s="49">
        <v>0.0</v>
      </c>
    </row>
    <row r="3155" ht="15.0" hidden="1" customHeight="1">
      <c r="A3155" s="49" t="s">
        <v>439</v>
      </c>
      <c r="B3155" s="50">
        <v>44469.0</v>
      </c>
      <c r="C3155" s="49" t="s">
        <v>780</v>
      </c>
      <c r="D3155" s="49">
        <v>0.0</v>
      </c>
    </row>
    <row r="3156" ht="15.0" hidden="1" customHeight="1">
      <c r="A3156" s="49" t="s">
        <v>444</v>
      </c>
      <c r="B3156" s="50">
        <v>44469.0</v>
      </c>
      <c r="C3156" s="49" t="s">
        <v>780</v>
      </c>
      <c r="D3156" s="49">
        <v>0.0</v>
      </c>
    </row>
    <row r="3157" ht="15.0" hidden="1" customHeight="1">
      <c r="A3157" s="49" t="s">
        <v>449</v>
      </c>
      <c r="B3157" s="50">
        <v>44469.0</v>
      </c>
      <c r="C3157" s="49" t="s">
        <v>780</v>
      </c>
      <c r="D3157" s="49">
        <v>0.0</v>
      </c>
    </row>
    <row r="3158" ht="15.0" hidden="1" customHeight="1">
      <c r="A3158" s="49" t="s">
        <v>455</v>
      </c>
      <c r="B3158" s="50">
        <v>44469.0</v>
      </c>
      <c r="C3158" s="49" t="s">
        <v>780</v>
      </c>
      <c r="D3158" s="49">
        <v>0.0</v>
      </c>
    </row>
    <row r="3159" ht="15.0" hidden="1" customHeight="1">
      <c r="A3159" s="49" t="s">
        <v>470</v>
      </c>
      <c r="B3159" s="50">
        <v>44469.0</v>
      </c>
      <c r="C3159" s="49" t="s">
        <v>780</v>
      </c>
      <c r="D3159" s="49">
        <v>0.0</v>
      </c>
    </row>
    <row r="3160" ht="15.0" hidden="1" customHeight="1">
      <c r="A3160" s="49" t="s">
        <v>476</v>
      </c>
      <c r="B3160" s="50">
        <v>44469.0</v>
      </c>
      <c r="C3160" s="49" t="s">
        <v>780</v>
      </c>
      <c r="D3160" s="49">
        <v>0.0</v>
      </c>
    </row>
    <row r="3161" ht="15.0" hidden="1" customHeight="1">
      <c r="A3161" s="49" t="s">
        <v>481</v>
      </c>
      <c r="B3161" s="50">
        <v>44469.0</v>
      </c>
      <c r="C3161" s="49" t="s">
        <v>780</v>
      </c>
      <c r="D3161" s="49">
        <v>0.0</v>
      </c>
    </row>
    <row r="3162" ht="15.0" hidden="1" customHeight="1">
      <c r="A3162" s="49" t="s">
        <v>486</v>
      </c>
      <c r="B3162" s="50">
        <v>44469.0</v>
      </c>
      <c r="C3162" s="49" t="s">
        <v>780</v>
      </c>
      <c r="D3162" s="49">
        <v>0.0</v>
      </c>
    </row>
    <row r="3163" ht="15.0" hidden="1" customHeight="1">
      <c r="A3163" s="49" t="s">
        <v>491</v>
      </c>
      <c r="B3163" s="50">
        <v>44469.0</v>
      </c>
      <c r="C3163" s="49" t="s">
        <v>780</v>
      </c>
      <c r="D3163" s="49">
        <v>0.0</v>
      </c>
    </row>
    <row r="3164" ht="15.0" hidden="1" customHeight="1">
      <c r="A3164" s="49" t="s">
        <v>496</v>
      </c>
      <c r="B3164" s="50">
        <v>44469.0</v>
      </c>
      <c r="C3164" s="49" t="s">
        <v>780</v>
      </c>
      <c r="D3164" s="49">
        <v>0.0</v>
      </c>
    </row>
    <row r="3165" ht="15.0" hidden="1" customHeight="1">
      <c r="A3165" s="49" t="s">
        <v>501</v>
      </c>
      <c r="B3165" s="50">
        <v>44469.0</v>
      </c>
      <c r="C3165" s="49" t="s">
        <v>780</v>
      </c>
      <c r="D3165" s="49">
        <v>0.0</v>
      </c>
    </row>
    <row r="3166" ht="15.0" hidden="1" customHeight="1">
      <c r="A3166" s="49" t="s">
        <v>506</v>
      </c>
      <c r="B3166" s="50">
        <v>44469.0</v>
      </c>
      <c r="C3166" s="49" t="s">
        <v>780</v>
      </c>
      <c r="D3166" s="49">
        <v>0.0</v>
      </c>
    </row>
    <row r="3167" ht="15.0" hidden="1" customHeight="1">
      <c r="A3167" s="49" t="s">
        <v>512</v>
      </c>
      <c r="B3167" s="50">
        <v>44469.0</v>
      </c>
      <c r="C3167" s="49" t="s">
        <v>780</v>
      </c>
      <c r="D3167" s="49">
        <v>0.0</v>
      </c>
    </row>
    <row r="3168" ht="15.0" hidden="1" customHeight="1">
      <c r="A3168" s="49" t="s">
        <v>517</v>
      </c>
      <c r="B3168" s="50">
        <v>44469.0</v>
      </c>
      <c r="C3168" s="49" t="s">
        <v>780</v>
      </c>
      <c r="D3168" s="49">
        <v>0.0</v>
      </c>
    </row>
    <row r="3169" ht="15.0" hidden="1" customHeight="1">
      <c r="A3169" s="49" t="s">
        <v>522</v>
      </c>
      <c r="B3169" s="50">
        <v>44469.0</v>
      </c>
      <c r="C3169" s="49" t="s">
        <v>780</v>
      </c>
      <c r="D3169" s="49">
        <v>0.0</v>
      </c>
    </row>
    <row r="3170" ht="15.0" hidden="1" customHeight="1">
      <c r="A3170" s="49" t="s">
        <v>528</v>
      </c>
      <c r="B3170" s="50">
        <v>44469.0</v>
      </c>
      <c r="C3170" s="49" t="s">
        <v>780</v>
      </c>
      <c r="D3170" s="49">
        <v>0.0</v>
      </c>
    </row>
    <row r="3171" ht="15.0" hidden="1" customHeight="1">
      <c r="A3171" s="49" t="s">
        <v>533</v>
      </c>
      <c r="B3171" s="50">
        <v>44469.0</v>
      </c>
      <c r="C3171" s="49" t="s">
        <v>780</v>
      </c>
      <c r="D3171" s="49">
        <v>0.0</v>
      </c>
    </row>
    <row r="3172" ht="15.0" hidden="1" customHeight="1">
      <c r="A3172" s="49" t="s">
        <v>538</v>
      </c>
      <c r="B3172" s="50">
        <v>44469.0</v>
      </c>
      <c r="C3172" s="49" t="s">
        <v>780</v>
      </c>
      <c r="D3172" s="49">
        <v>0.0</v>
      </c>
    </row>
    <row r="3173" ht="15.0" hidden="1" customHeight="1">
      <c r="A3173" s="49" t="s">
        <v>546</v>
      </c>
      <c r="B3173" s="50">
        <v>44469.0</v>
      </c>
      <c r="C3173" s="49" t="s">
        <v>780</v>
      </c>
      <c r="D3173" s="49">
        <v>0.0</v>
      </c>
    </row>
    <row r="3174" ht="15.0" hidden="1" customHeight="1">
      <c r="A3174" s="49" t="s">
        <v>551</v>
      </c>
      <c r="B3174" s="50">
        <v>44469.0</v>
      </c>
      <c r="C3174" s="49" t="s">
        <v>780</v>
      </c>
      <c r="D3174" s="49">
        <v>0.0</v>
      </c>
    </row>
    <row r="3175" ht="15.0" hidden="1" customHeight="1">
      <c r="A3175" s="49" t="s">
        <v>556</v>
      </c>
      <c r="B3175" s="50">
        <v>44469.0</v>
      </c>
      <c r="C3175" s="49" t="s">
        <v>780</v>
      </c>
      <c r="D3175" s="49">
        <v>0.0</v>
      </c>
    </row>
    <row r="3176" ht="15.0" hidden="1" customHeight="1">
      <c r="A3176" s="49" t="s">
        <v>561</v>
      </c>
      <c r="B3176" s="50">
        <v>44469.0</v>
      </c>
      <c r="C3176" s="49" t="s">
        <v>780</v>
      </c>
      <c r="D3176" s="49">
        <v>0.0</v>
      </c>
    </row>
    <row r="3177" ht="15.0" hidden="1" customHeight="1">
      <c r="A3177" s="49" t="s">
        <v>566</v>
      </c>
      <c r="B3177" s="50">
        <v>44469.0</v>
      </c>
      <c r="C3177" s="49" t="s">
        <v>780</v>
      </c>
      <c r="D3177" s="49">
        <v>0.0</v>
      </c>
    </row>
    <row r="3178" ht="15.0" hidden="1" customHeight="1">
      <c r="A3178" s="49" t="s">
        <v>571</v>
      </c>
      <c r="B3178" s="50">
        <v>44469.0</v>
      </c>
      <c r="C3178" s="49" t="s">
        <v>780</v>
      </c>
      <c r="D3178" s="49">
        <v>0.0</v>
      </c>
    </row>
    <row r="3179" ht="15.0" hidden="1" customHeight="1">
      <c r="A3179" s="49" t="s">
        <v>576</v>
      </c>
      <c r="B3179" s="50">
        <v>44469.0</v>
      </c>
      <c r="C3179" s="49" t="s">
        <v>780</v>
      </c>
      <c r="D3179" s="49">
        <v>0.0</v>
      </c>
    </row>
    <row r="3180" ht="15.0" hidden="1" customHeight="1">
      <c r="A3180" s="49" t="s">
        <v>581</v>
      </c>
      <c r="B3180" s="50">
        <v>44469.0</v>
      </c>
      <c r="C3180" s="49" t="s">
        <v>780</v>
      </c>
      <c r="D3180" s="49">
        <v>0.0</v>
      </c>
    </row>
    <row r="3181" ht="15.0" hidden="1" customHeight="1">
      <c r="A3181" s="49" t="s">
        <v>586</v>
      </c>
      <c r="B3181" s="50">
        <v>44469.0</v>
      </c>
      <c r="C3181" s="49" t="s">
        <v>780</v>
      </c>
      <c r="D3181" s="49">
        <v>0.0</v>
      </c>
    </row>
    <row r="3182" ht="15.0" hidden="1" customHeight="1">
      <c r="A3182" s="49" t="s">
        <v>754</v>
      </c>
      <c r="B3182" s="50">
        <v>44469.0</v>
      </c>
      <c r="C3182" s="49" t="s">
        <v>780</v>
      </c>
      <c r="D3182" s="49">
        <v>0.0</v>
      </c>
    </row>
    <row r="3183" ht="15.0" hidden="1" customHeight="1">
      <c r="A3183" s="49" t="s">
        <v>591</v>
      </c>
      <c r="B3183" s="50">
        <v>44469.0</v>
      </c>
      <c r="C3183" s="49" t="s">
        <v>780</v>
      </c>
      <c r="D3183" s="49">
        <v>0.0</v>
      </c>
    </row>
    <row r="3184" ht="15.0" hidden="1" customHeight="1">
      <c r="A3184" s="49" t="s">
        <v>759</v>
      </c>
      <c r="B3184" s="50">
        <v>44469.0</v>
      </c>
      <c r="C3184" s="49" t="s">
        <v>780</v>
      </c>
      <c r="D3184" s="49">
        <v>0.0</v>
      </c>
    </row>
    <row r="3185" ht="15.0" hidden="1" customHeight="1">
      <c r="A3185" s="49" t="s">
        <v>596</v>
      </c>
      <c r="B3185" s="50">
        <v>44469.0</v>
      </c>
      <c r="C3185" s="49" t="s">
        <v>780</v>
      </c>
      <c r="D3185" s="49">
        <v>0.0</v>
      </c>
    </row>
    <row r="3186" ht="15.0" hidden="1" customHeight="1">
      <c r="A3186" s="49" t="s">
        <v>602</v>
      </c>
      <c r="B3186" s="50">
        <v>44469.0</v>
      </c>
      <c r="C3186" s="49" t="s">
        <v>780</v>
      </c>
      <c r="D3186" s="49">
        <v>0.0</v>
      </c>
    </row>
    <row r="3187" ht="15.0" hidden="1" customHeight="1">
      <c r="A3187" s="49" t="s">
        <v>607</v>
      </c>
      <c r="B3187" s="50">
        <v>44469.0</v>
      </c>
      <c r="C3187" s="49" t="s">
        <v>780</v>
      </c>
      <c r="D3187" s="49">
        <v>0.0</v>
      </c>
    </row>
    <row r="3188" ht="15.0" hidden="1" customHeight="1">
      <c r="A3188" s="49" t="s">
        <v>612</v>
      </c>
      <c r="B3188" s="50">
        <v>44469.0</v>
      </c>
      <c r="C3188" s="49" t="s">
        <v>780</v>
      </c>
      <c r="D3188" s="49">
        <v>0.0</v>
      </c>
    </row>
    <row r="3189" ht="15.0" hidden="1" customHeight="1">
      <c r="A3189" s="49" t="s">
        <v>617</v>
      </c>
      <c r="B3189" s="50">
        <v>44469.0</v>
      </c>
      <c r="C3189" s="49" t="s">
        <v>780</v>
      </c>
      <c r="D3189" s="49">
        <v>0.0</v>
      </c>
    </row>
    <row r="3190" ht="15.0" hidden="1" customHeight="1">
      <c r="A3190" s="49" t="s">
        <v>622</v>
      </c>
      <c r="B3190" s="50">
        <v>44469.0</v>
      </c>
      <c r="C3190" s="49" t="s">
        <v>780</v>
      </c>
      <c r="D3190" s="49">
        <v>0.0</v>
      </c>
    </row>
    <row r="3191" ht="15.0" hidden="1" customHeight="1">
      <c r="A3191" s="49" t="s">
        <v>627</v>
      </c>
      <c r="B3191" s="50">
        <v>44469.0</v>
      </c>
      <c r="C3191" s="49" t="s">
        <v>780</v>
      </c>
      <c r="D3191" s="49">
        <v>0.0</v>
      </c>
    </row>
    <row r="3192" ht="15.0" hidden="1" customHeight="1">
      <c r="A3192" s="49" t="s">
        <v>631</v>
      </c>
      <c r="B3192" s="50">
        <v>44469.0</v>
      </c>
      <c r="C3192" s="49" t="s">
        <v>780</v>
      </c>
      <c r="D3192" s="49">
        <v>0.0</v>
      </c>
    </row>
    <row r="3193" ht="15.0" hidden="1" customHeight="1">
      <c r="A3193" s="49" t="s">
        <v>636</v>
      </c>
      <c r="B3193" s="50">
        <v>44469.0</v>
      </c>
      <c r="C3193" s="49" t="s">
        <v>780</v>
      </c>
      <c r="D3193" s="49">
        <v>0.0</v>
      </c>
    </row>
    <row r="3194" ht="15.0" hidden="1" customHeight="1">
      <c r="A3194" s="49" t="s">
        <v>640</v>
      </c>
      <c r="B3194" s="50">
        <v>44469.0</v>
      </c>
      <c r="C3194" s="49" t="s">
        <v>780</v>
      </c>
      <c r="D3194" s="49">
        <v>0.0</v>
      </c>
    </row>
    <row r="3195" ht="15.0" hidden="1" customHeight="1">
      <c r="A3195" s="49" t="s">
        <v>644</v>
      </c>
      <c r="B3195" s="50">
        <v>44469.0</v>
      </c>
      <c r="C3195" s="49" t="s">
        <v>780</v>
      </c>
      <c r="D3195" s="49">
        <v>0.0</v>
      </c>
    </row>
    <row r="3196" ht="15.0" hidden="1" customHeight="1">
      <c r="A3196" s="49" t="s">
        <v>649</v>
      </c>
      <c r="B3196" s="50">
        <v>44469.0</v>
      </c>
      <c r="C3196" s="49" t="s">
        <v>780</v>
      </c>
      <c r="D3196" s="49">
        <v>0.0</v>
      </c>
    </row>
    <row r="3197" ht="15.0" hidden="1" customHeight="1">
      <c r="A3197" s="49" t="s">
        <v>654</v>
      </c>
      <c r="B3197" s="50">
        <v>44469.0</v>
      </c>
      <c r="C3197" s="49" t="s">
        <v>780</v>
      </c>
      <c r="D3197" s="49">
        <v>0.0</v>
      </c>
    </row>
    <row r="3198" ht="15.0" hidden="1" customHeight="1">
      <c r="A3198" s="49" t="s">
        <v>659</v>
      </c>
      <c r="B3198" s="50">
        <v>44469.0</v>
      </c>
      <c r="C3198" s="49" t="s">
        <v>780</v>
      </c>
      <c r="D3198" s="49">
        <v>0.0</v>
      </c>
    </row>
    <row r="3199" ht="15.0" hidden="1" customHeight="1">
      <c r="A3199" s="49" t="s">
        <v>664</v>
      </c>
      <c r="B3199" s="50">
        <v>44469.0</v>
      </c>
      <c r="C3199" s="49" t="s">
        <v>780</v>
      </c>
      <c r="D3199" s="49">
        <v>0.0</v>
      </c>
    </row>
    <row r="3200" ht="15.0" hidden="1" customHeight="1">
      <c r="A3200" s="49" t="s">
        <v>669</v>
      </c>
      <c r="B3200" s="50">
        <v>44469.0</v>
      </c>
      <c r="C3200" s="49" t="s">
        <v>780</v>
      </c>
      <c r="D3200" s="49">
        <v>0.0</v>
      </c>
    </row>
    <row r="3201" ht="15.0" hidden="1" customHeight="1">
      <c r="A3201" s="49" t="s">
        <v>674</v>
      </c>
      <c r="B3201" s="50">
        <v>44469.0</v>
      </c>
      <c r="C3201" s="49" t="s">
        <v>780</v>
      </c>
      <c r="D3201" s="49">
        <v>0.0</v>
      </c>
    </row>
    <row r="3202" ht="15.0" hidden="1" customHeight="1">
      <c r="A3202" s="49" t="s">
        <v>679</v>
      </c>
      <c r="B3202" s="50">
        <v>44469.0</v>
      </c>
      <c r="C3202" s="49" t="s">
        <v>780</v>
      </c>
      <c r="D3202" s="49">
        <v>0.0</v>
      </c>
    </row>
    <row r="3203" ht="15.0" hidden="1" customHeight="1">
      <c r="A3203" s="49" t="s">
        <v>684</v>
      </c>
      <c r="B3203" s="50">
        <v>44469.0</v>
      </c>
      <c r="C3203" s="49" t="s">
        <v>780</v>
      </c>
      <c r="D3203" s="49">
        <v>0.0</v>
      </c>
    </row>
    <row r="3204" ht="15.0" hidden="1" customHeight="1">
      <c r="A3204" s="49" t="s">
        <v>689</v>
      </c>
      <c r="B3204" s="50">
        <v>44469.0</v>
      </c>
      <c r="C3204" s="49" t="s">
        <v>780</v>
      </c>
      <c r="D3204" s="49">
        <v>0.0</v>
      </c>
    </row>
    <row r="3205" ht="15.0" hidden="1" customHeight="1">
      <c r="A3205" s="49" t="s">
        <v>694</v>
      </c>
      <c r="B3205" s="50">
        <v>44469.0</v>
      </c>
      <c r="C3205" s="49" t="s">
        <v>780</v>
      </c>
      <c r="D3205" s="49">
        <v>0.0</v>
      </c>
    </row>
    <row r="3206" ht="15.0" hidden="1" customHeight="1">
      <c r="A3206" s="49" t="s">
        <v>699</v>
      </c>
      <c r="B3206" s="50">
        <v>44469.0</v>
      </c>
      <c r="C3206" s="49" t="s">
        <v>780</v>
      </c>
      <c r="D3206" s="49">
        <v>0.0</v>
      </c>
    </row>
    <row r="3207" ht="15.0" hidden="1" customHeight="1">
      <c r="A3207" s="49" t="s">
        <v>705</v>
      </c>
      <c r="B3207" s="50">
        <v>44469.0</v>
      </c>
      <c r="C3207" s="49" t="s">
        <v>780</v>
      </c>
      <c r="D3207" s="49">
        <v>0.0</v>
      </c>
    </row>
    <row r="3208" ht="15.0" hidden="1" customHeight="1">
      <c r="A3208" s="49" t="s">
        <v>710</v>
      </c>
      <c r="B3208" s="50">
        <v>44469.0</v>
      </c>
      <c r="C3208" s="49" t="s">
        <v>780</v>
      </c>
      <c r="D3208" s="49">
        <v>0.0</v>
      </c>
    </row>
    <row r="3209" ht="15.0" hidden="1" customHeight="1">
      <c r="A3209" s="49" t="s">
        <v>715</v>
      </c>
      <c r="B3209" s="50">
        <v>44469.0</v>
      </c>
      <c r="C3209" s="49" t="s">
        <v>780</v>
      </c>
      <c r="D3209" s="49">
        <v>0.0</v>
      </c>
    </row>
    <row r="3210" ht="15.0" hidden="1" customHeight="1">
      <c r="A3210" s="49" t="s">
        <v>765</v>
      </c>
      <c r="B3210" s="50">
        <v>44469.0</v>
      </c>
      <c r="C3210" s="49" t="s">
        <v>780</v>
      </c>
      <c r="D3210" s="49">
        <v>0.0</v>
      </c>
    </row>
    <row r="3211" ht="15.0" hidden="1" customHeight="1">
      <c r="A3211" s="49" t="s">
        <v>720</v>
      </c>
      <c r="B3211" s="50">
        <v>44469.0</v>
      </c>
      <c r="C3211" s="49" t="s">
        <v>780</v>
      </c>
      <c r="D3211" s="49">
        <v>0.0</v>
      </c>
    </row>
    <row r="3212" ht="15.0" hidden="1" customHeight="1">
      <c r="A3212" s="49" t="s">
        <v>725</v>
      </c>
      <c r="B3212" s="50">
        <v>44469.0</v>
      </c>
      <c r="C3212" s="49" t="s">
        <v>780</v>
      </c>
      <c r="D3212" s="49">
        <v>0.0</v>
      </c>
    </row>
    <row r="3213" ht="15.0" hidden="1" customHeight="1">
      <c r="A3213" s="49" t="s">
        <v>730</v>
      </c>
      <c r="B3213" s="50">
        <v>44469.0</v>
      </c>
      <c r="C3213" s="49" t="s">
        <v>780</v>
      </c>
      <c r="D3213" s="49">
        <v>0.0</v>
      </c>
    </row>
    <row r="3214" ht="15.0" hidden="1" customHeight="1">
      <c r="A3214" s="49" t="s">
        <v>734</v>
      </c>
      <c r="B3214" s="50">
        <v>44469.0</v>
      </c>
      <c r="C3214" s="49" t="s">
        <v>780</v>
      </c>
      <c r="D3214" s="49">
        <v>0.0</v>
      </c>
    </row>
    <row r="3215" ht="15.0" hidden="1" customHeight="1">
      <c r="A3215" s="49" t="s">
        <v>739</v>
      </c>
      <c r="B3215" s="50">
        <v>44469.0</v>
      </c>
      <c r="C3215" s="49" t="s">
        <v>780</v>
      </c>
      <c r="D3215" s="49">
        <v>0.0</v>
      </c>
    </row>
    <row r="3216" ht="15.0" hidden="1" customHeight="1">
      <c r="A3216" s="49" t="s">
        <v>744</v>
      </c>
      <c r="B3216" s="50">
        <v>44469.0</v>
      </c>
      <c r="C3216" s="49" t="s">
        <v>780</v>
      </c>
      <c r="D3216" s="49">
        <v>0.0</v>
      </c>
    </row>
    <row r="3217" ht="15.0" hidden="1" customHeight="1">
      <c r="A3217" s="49" t="s">
        <v>749</v>
      </c>
      <c r="B3217" s="50">
        <v>44469.0</v>
      </c>
      <c r="C3217" s="49" t="s">
        <v>780</v>
      </c>
      <c r="D3217" s="49">
        <v>0.0</v>
      </c>
    </row>
    <row r="3218" ht="15.0" customHeight="1">
      <c r="A3218" s="49" t="s">
        <v>776</v>
      </c>
      <c r="B3218" s="50">
        <v>44561.0</v>
      </c>
      <c r="C3218" s="49" t="s">
        <v>777</v>
      </c>
      <c r="D3218" s="49">
        <v>0.0</v>
      </c>
    </row>
    <row r="3219" ht="15.0" hidden="1" customHeight="1">
      <c r="A3219" s="49" t="s">
        <v>778</v>
      </c>
      <c r="B3219" s="50">
        <v>44561.0</v>
      </c>
      <c r="C3219" s="49" t="s">
        <v>777</v>
      </c>
      <c r="D3219" s="49">
        <v>0.0</v>
      </c>
    </row>
    <row r="3220" ht="15.0" hidden="1" customHeight="1">
      <c r="A3220" s="49" t="s">
        <v>92</v>
      </c>
      <c r="B3220" s="50">
        <v>44561.0</v>
      </c>
      <c r="C3220" s="49" t="s">
        <v>777</v>
      </c>
      <c r="D3220" s="49">
        <v>0.0</v>
      </c>
    </row>
    <row r="3221" ht="15.0" hidden="1" customHeight="1">
      <c r="A3221" s="49" t="s">
        <v>97</v>
      </c>
      <c r="B3221" s="50">
        <v>44561.0</v>
      </c>
      <c r="C3221" s="49" t="s">
        <v>777</v>
      </c>
      <c r="D3221" s="49">
        <v>0.0</v>
      </c>
    </row>
    <row r="3222" ht="15.0" hidden="1" customHeight="1">
      <c r="A3222" s="49" t="s">
        <v>102</v>
      </c>
      <c r="B3222" s="50">
        <v>44561.0</v>
      </c>
      <c r="C3222" s="49" t="s">
        <v>777</v>
      </c>
      <c r="D3222" s="49">
        <v>0.0</v>
      </c>
    </row>
    <row r="3223" ht="15.0" hidden="1" customHeight="1">
      <c r="A3223" s="49" t="s">
        <v>106</v>
      </c>
      <c r="B3223" s="50">
        <v>44561.0</v>
      </c>
      <c r="C3223" s="49" t="s">
        <v>777</v>
      </c>
      <c r="D3223" s="49">
        <v>0.0</v>
      </c>
    </row>
    <row r="3224" ht="15.0" hidden="1" customHeight="1">
      <c r="A3224" s="49" t="s">
        <v>111</v>
      </c>
      <c r="B3224" s="50">
        <v>44561.0</v>
      </c>
      <c r="C3224" s="49" t="s">
        <v>777</v>
      </c>
      <c r="D3224" s="49">
        <v>0.0</v>
      </c>
    </row>
    <row r="3225" ht="15.0" hidden="1" customHeight="1">
      <c r="A3225" s="49" t="s">
        <v>116</v>
      </c>
      <c r="B3225" s="50">
        <v>44561.0</v>
      </c>
      <c r="C3225" s="49" t="s">
        <v>777</v>
      </c>
      <c r="D3225" s="49">
        <v>0.0</v>
      </c>
    </row>
    <row r="3226" ht="15.0" hidden="1" customHeight="1">
      <c r="A3226" s="49" t="s">
        <v>120</v>
      </c>
      <c r="B3226" s="50">
        <v>44561.0</v>
      </c>
      <c r="C3226" s="49" t="s">
        <v>777</v>
      </c>
      <c r="D3226" s="49">
        <v>0.0</v>
      </c>
    </row>
    <row r="3227" ht="15.0" hidden="1" customHeight="1">
      <c r="A3227" s="49" t="s">
        <v>125</v>
      </c>
      <c r="B3227" s="50">
        <v>44561.0</v>
      </c>
      <c r="C3227" s="49" t="s">
        <v>777</v>
      </c>
      <c r="D3227" s="49">
        <v>0.0</v>
      </c>
    </row>
    <row r="3228" ht="15.0" hidden="1" customHeight="1">
      <c r="A3228" s="49" t="s">
        <v>130</v>
      </c>
      <c r="B3228" s="50">
        <v>44561.0</v>
      </c>
      <c r="C3228" s="49" t="s">
        <v>777</v>
      </c>
      <c r="D3228" s="49">
        <v>0.0</v>
      </c>
    </row>
    <row r="3229" ht="15.0" hidden="1" customHeight="1">
      <c r="A3229" s="49" t="s">
        <v>137</v>
      </c>
      <c r="B3229" s="50">
        <v>44561.0</v>
      </c>
      <c r="C3229" s="49" t="s">
        <v>777</v>
      </c>
      <c r="D3229" s="49">
        <v>0.0</v>
      </c>
    </row>
    <row r="3230" ht="15.0" hidden="1" customHeight="1">
      <c r="A3230" s="49" t="s">
        <v>142</v>
      </c>
      <c r="B3230" s="50">
        <v>44561.0</v>
      </c>
      <c r="C3230" s="49" t="s">
        <v>777</v>
      </c>
      <c r="D3230" s="49">
        <v>0.0</v>
      </c>
    </row>
    <row r="3231" ht="15.0" hidden="1" customHeight="1">
      <c r="A3231" s="49" t="s">
        <v>147</v>
      </c>
      <c r="B3231" s="50">
        <v>44561.0</v>
      </c>
      <c r="C3231" s="49" t="s">
        <v>777</v>
      </c>
      <c r="D3231" s="49">
        <v>0.0</v>
      </c>
    </row>
    <row r="3232" ht="15.0" hidden="1" customHeight="1">
      <c r="A3232" s="49" t="s">
        <v>152</v>
      </c>
      <c r="B3232" s="50">
        <v>44561.0</v>
      </c>
      <c r="C3232" s="49" t="s">
        <v>777</v>
      </c>
      <c r="D3232" s="49">
        <v>0.0</v>
      </c>
    </row>
    <row r="3233" ht="15.0" hidden="1" customHeight="1">
      <c r="A3233" s="49" t="s">
        <v>157</v>
      </c>
      <c r="B3233" s="50">
        <v>44561.0</v>
      </c>
      <c r="C3233" s="49" t="s">
        <v>777</v>
      </c>
      <c r="D3233" s="49">
        <v>0.0</v>
      </c>
    </row>
    <row r="3234" ht="15.0" hidden="1" customHeight="1">
      <c r="A3234" s="49" t="s">
        <v>162</v>
      </c>
      <c r="B3234" s="50">
        <v>44561.0</v>
      </c>
      <c r="C3234" s="49" t="s">
        <v>777</v>
      </c>
      <c r="D3234" s="49">
        <v>0.0</v>
      </c>
    </row>
    <row r="3235" ht="15.0" hidden="1" customHeight="1">
      <c r="A3235" s="49" t="s">
        <v>167</v>
      </c>
      <c r="B3235" s="50">
        <v>44561.0</v>
      </c>
      <c r="C3235" s="49" t="s">
        <v>777</v>
      </c>
      <c r="D3235" s="49">
        <v>0.0</v>
      </c>
    </row>
    <row r="3236" ht="15.0" hidden="1" customHeight="1">
      <c r="A3236" s="49" t="s">
        <v>172</v>
      </c>
      <c r="B3236" s="50">
        <v>44561.0</v>
      </c>
      <c r="C3236" s="49" t="s">
        <v>777</v>
      </c>
      <c r="D3236" s="49">
        <v>0.0</v>
      </c>
    </row>
    <row r="3237" ht="15.0" hidden="1" customHeight="1">
      <c r="A3237" s="49" t="s">
        <v>177</v>
      </c>
      <c r="B3237" s="50">
        <v>44561.0</v>
      </c>
      <c r="C3237" s="49" t="s">
        <v>777</v>
      </c>
      <c r="D3237" s="49">
        <v>0.0</v>
      </c>
    </row>
    <row r="3238" ht="15.0" hidden="1" customHeight="1">
      <c r="A3238" s="49" t="s">
        <v>182</v>
      </c>
      <c r="B3238" s="50">
        <v>44561.0</v>
      </c>
      <c r="C3238" s="49" t="s">
        <v>777</v>
      </c>
      <c r="D3238" s="49">
        <v>0.0</v>
      </c>
    </row>
    <row r="3239" ht="15.0" hidden="1" customHeight="1">
      <c r="A3239" s="49" t="s">
        <v>187</v>
      </c>
      <c r="B3239" s="50">
        <v>44561.0</v>
      </c>
      <c r="C3239" s="49" t="s">
        <v>777</v>
      </c>
      <c r="D3239" s="49">
        <v>0.0</v>
      </c>
    </row>
    <row r="3240" ht="15.0" hidden="1" customHeight="1">
      <c r="A3240" s="49" t="s">
        <v>192</v>
      </c>
      <c r="B3240" s="50">
        <v>44561.0</v>
      </c>
      <c r="C3240" s="49" t="s">
        <v>777</v>
      </c>
      <c r="D3240" s="49">
        <v>0.0</v>
      </c>
    </row>
    <row r="3241" ht="15.0" hidden="1" customHeight="1">
      <c r="A3241" s="49" t="s">
        <v>197</v>
      </c>
      <c r="B3241" s="50">
        <v>44561.0</v>
      </c>
      <c r="C3241" s="49" t="s">
        <v>777</v>
      </c>
      <c r="D3241" s="49">
        <v>0.0</v>
      </c>
    </row>
    <row r="3242" ht="15.0" hidden="1" customHeight="1">
      <c r="A3242" s="49" t="s">
        <v>202</v>
      </c>
      <c r="B3242" s="50">
        <v>44561.0</v>
      </c>
      <c r="C3242" s="49" t="s">
        <v>777</v>
      </c>
      <c r="D3242" s="49">
        <v>0.0</v>
      </c>
    </row>
    <row r="3243" ht="15.0" hidden="1" customHeight="1">
      <c r="A3243" s="49" t="s">
        <v>206</v>
      </c>
      <c r="B3243" s="50">
        <v>44561.0</v>
      </c>
      <c r="C3243" s="49" t="s">
        <v>777</v>
      </c>
      <c r="D3243" s="49">
        <v>0.0</v>
      </c>
    </row>
    <row r="3244" ht="15.0" hidden="1" customHeight="1">
      <c r="A3244" s="49" t="s">
        <v>211</v>
      </c>
      <c r="B3244" s="50">
        <v>44561.0</v>
      </c>
      <c r="C3244" s="49" t="s">
        <v>777</v>
      </c>
      <c r="D3244" s="49">
        <v>0.0</v>
      </c>
    </row>
    <row r="3245" ht="15.0" hidden="1" customHeight="1">
      <c r="A3245" s="49" t="s">
        <v>779</v>
      </c>
      <c r="B3245" s="50">
        <v>44561.0</v>
      </c>
      <c r="C3245" s="49" t="s">
        <v>777</v>
      </c>
      <c r="D3245" s="49">
        <v>0.0</v>
      </c>
    </row>
    <row r="3246" ht="15.0" hidden="1" customHeight="1">
      <c r="A3246" s="49" t="s">
        <v>221</v>
      </c>
      <c r="B3246" s="50">
        <v>44561.0</v>
      </c>
      <c r="C3246" s="49" t="s">
        <v>777</v>
      </c>
      <c r="D3246" s="49">
        <v>0.0</v>
      </c>
    </row>
    <row r="3247" ht="15.0" hidden="1" customHeight="1">
      <c r="A3247" s="49" t="s">
        <v>226</v>
      </c>
      <c r="B3247" s="50">
        <v>44561.0</v>
      </c>
      <c r="C3247" s="49" t="s">
        <v>777</v>
      </c>
      <c r="D3247" s="49">
        <v>0.0</v>
      </c>
    </row>
    <row r="3248" ht="15.0" hidden="1" customHeight="1">
      <c r="A3248" s="49" t="s">
        <v>231</v>
      </c>
      <c r="B3248" s="50">
        <v>44561.0</v>
      </c>
      <c r="C3248" s="49" t="s">
        <v>777</v>
      </c>
      <c r="D3248" s="49">
        <v>0.0</v>
      </c>
    </row>
    <row r="3249" ht="15.0" hidden="1" customHeight="1">
      <c r="A3249" s="49" t="s">
        <v>236</v>
      </c>
      <c r="B3249" s="50">
        <v>44561.0</v>
      </c>
      <c r="C3249" s="49" t="s">
        <v>777</v>
      </c>
      <c r="D3249" s="49">
        <v>0.0</v>
      </c>
    </row>
    <row r="3250" ht="15.0" hidden="1" customHeight="1">
      <c r="A3250" s="49" t="s">
        <v>242</v>
      </c>
      <c r="B3250" s="50">
        <v>44561.0</v>
      </c>
      <c r="C3250" s="49" t="s">
        <v>777</v>
      </c>
      <c r="D3250" s="49">
        <v>9359166.0</v>
      </c>
    </row>
    <row r="3251" ht="15.0" hidden="1" customHeight="1">
      <c r="A3251" s="49" t="s">
        <v>248</v>
      </c>
      <c r="B3251" s="50">
        <v>44561.0</v>
      </c>
      <c r="C3251" s="49" t="s">
        <v>777</v>
      </c>
      <c r="D3251" s="49">
        <v>0.0</v>
      </c>
    </row>
    <row r="3252" ht="15.0" hidden="1" customHeight="1">
      <c r="A3252" s="49" t="s">
        <v>253</v>
      </c>
      <c r="B3252" s="50">
        <v>44561.0</v>
      </c>
      <c r="C3252" s="49" t="s">
        <v>777</v>
      </c>
      <c r="D3252" s="49">
        <v>0.0</v>
      </c>
    </row>
    <row r="3253" ht="15.0" hidden="1" customHeight="1">
      <c r="A3253" s="49" t="s">
        <v>258</v>
      </c>
      <c r="B3253" s="50">
        <v>44561.0</v>
      </c>
      <c r="C3253" s="49" t="s">
        <v>777</v>
      </c>
      <c r="D3253" s="49">
        <v>100000.0</v>
      </c>
    </row>
    <row r="3254" ht="15.0" hidden="1" customHeight="1">
      <c r="A3254" s="49" t="s">
        <v>263</v>
      </c>
      <c r="B3254" s="50">
        <v>44561.0</v>
      </c>
      <c r="C3254" s="49" t="s">
        <v>777</v>
      </c>
      <c r="D3254" s="49">
        <v>2160000.0</v>
      </c>
    </row>
    <row r="3255" ht="15.0" hidden="1" customHeight="1">
      <c r="A3255" s="49" t="s">
        <v>268</v>
      </c>
      <c r="B3255" s="50">
        <v>44561.0</v>
      </c>
      <c r="C3255" s="49" t="s">
        <v>777</v>
      </c>
      <c r="D3255" s="49">
        <v>0.0</v>
      </c>
    </row>
    <row r="3256" ht="15.0" hidden="1" customHeight="1">
      <c r="A3256" s="49" t="s">
        <v>273</v>
      </c>
      <c r="B3256" s="50">
        <v>44561.0</v>
      </c>
      <c r="C3256" s="49" t="s">
        <v>777</v>
      </c>
      <c r="D3256" s="49">
        <v>0.0</v>
      </c>
    </row>
    <row r="3257" ht="15.0" hidden="1" customHeight="1">
      <c r="A3257" s="49" t="s">
        <v>278</v>
      </c>
      <c r="B3257" s="50">
        <v>44561.0</v>
      </c>
      <c r="C3257" s="49" t="s">
        <v>777</v>
      </c>
      <c r="D3257" s="49">
        <v>0.0</v>
      </c>
    </row>
    <row r="3258" ht="15.0" hidden="1" customHeight="1">
      <c r="A3258" s="49" t="s">
        <v>283</v>
      </c>
      <c r="B3258" s="50">
        <v>44561.0</v>
      </c>
      <c r="C3258" s="49" t="s">
        <v>777</v>
      </c>
      <c r="D3258" s="49">
        <v>0.0</v>
      </c>
    </row>
    <row r="3259" ht="15.0" hidden="1" customHeight="1">
      <c r="A3259" s="49" t="s">
        <v>288</v>
      </c>
      <c r="B3259" s="50">
        <v>44561.0</v>
      </c>
      <c r="C3259" s="49" t="s">
        <v>777</v>
      </c>
      <c r="D3259" s="49">
        <v>0.0</v>
      </c>
    </row>
    <row r="3260" ht="15.0" hidden="1" customHeight="1">
      <c r="A3260" s="49" t="s">
        <v>293</v>
      </c>
      <c r="B3260" s="50">
        <v>44561.0</v>
      </c>
      <c r="C3260" s="49" t="s">
        <v>777</v>
      </c>
      <c r="D3260" s="49">
        <v>0.0</v>
      </c>
    </row>
    <row r="3261" ht="15.0" hidden="1" customHeight="1">
      <c r="A3261" s="49" t="s">
        <v>298</v>
      </c>
      <c r="B3261" s="50">
        <v>44561.0</v>
      </c>
      <c r="C3261" s="49" t="s">
        <v>777</v>
      </c>
      <c r="D3261" s="49">
        <v>0.0</v>
      </c>
    </row>
    <row r="3262" ht="15.0" hidden="1" customHeight="1">
      <c r="A3262" s="49" t="s">
        <v>303</v>
      </c>
      <c r="B3262" s="50">
        <v>44561.0</v>
      </c>
      <c r="C3262" s="49" t="s">
        <v>777</v>
      </c>
      <c r="D3262" s="49">
        <v>0.0</v>
      </c>
    </row>
    <row r="3263" ht="15.0" hidden="1" customHeight="1">
      <c r="A3263" s="49" t="s">
        <v>307</v>
      </c>
      <c r="B3263" s="50">
        <v>44561.0</v>
      </c>
      <c r="C3263" s="49" t="s">
        <v>777</v>
      </c>
      <c r="D3263" s="49">
        <v>0.0</v>
      </c>
    </row>
    <row r="3264" ht="15.0" hidden="1" customHeight="1">
      <c r="A3264" s="49" t="s">
        <v>313</v>
      </c>
      <c r="B3264" s="50">
        <v>44561.0</v>
      </c>
      <c r="C3264" s="49" t="s">
        <v>777</v>
      </c>
      <c r="D3264" s="49">
        <v>0.0</v>
      </c>
    </row>
    <row r="3265" ht="15.0" hidden="1" customHeight="1">
      <c r="A3265" s="49" t="s">
        <v>318</v>
      </c>
      <c r="B3265" s="50">
        <v>44561.0</v>
      </c>
      <c r="C3265" s="49" t="s">
        <v>777</v>
      </c>
      <c r="D3265" s="49">
        <v>0.0</v>
      </c>
    </row>
    <row r="3266" ht="15.0" hidden="1" customHeight="1">
      <c r="A3266" s="49" t="s">
        <v>323</v>
      </c>
      <c r="B3266" s="50">
        <v>44561.0</v>
      </c>
      <c r="C3266" s="49" t="s">
        <v>777</v>
      </c>
      <c r="D3266" s="49">
        <v>0.0</v>
      </c>
    </row>
    <row r="3267" ht="15.0" hidden="1" customHeight="1">
      <c r="A3267" s="49" t="s">
        <v>328</v>
      </c>
      <c r="B3267" s="50">
        <v>44561.0</v>
      </c>
      <c r="C3267" s="49" t="s">
        <v>777</v>
      </c>
      <c r="D3267" s="49">
        <v>0.0</v>
      </c>
    </row>
    <row r="3268" ht="15.0" hidden="1" customHeight="1">
      <c r="A3268" s="49" t="s">
        <v>335</v>
      </c>
      <c r="B3268" s="50">
        <v>44561.0</v>
      </c>
      <c r="C3268" s="49" t="s">
        <v>777</v>
      </c>
      <c r="D3268" s="49">
        <v>0.0</v>
      </c>
    </row>
    <row r="3269" ht="15.0" hidden="1" customHeight="1">
      <c r="A3269" s="49" t="s">
        <v>340</v>
      </c>
      <c r="B3269" s="50">
        <v>44561.0</v>
      </c>
      <c r="C3269" s="49" t="s">
        <v>777</v>
      </c>
      <c r="D3269" s="49">
        <v>0.0</v>
      </c>
    </row>
    <row r="3270" ht="15.0" hidden="1" customHeight="1">
      <c r="A3270" s="49" t="s">
        <v>345</v>
      </c>
      <c r="B3270" s="50">
        <v>44561.0</v>
      </c>
      <c r="C3270" s="49" t="s">
        <v>777</v>
      </c>
      <c r="D3270" s="49">
        <v>0.0</v>
      </c>
    </row>
    <row r="3271" ht="15.0" hidden="1" customHeight="1">
      <c r="A3271" s="49" t="s">
        <v>350</v>
      </c>
      <c r="B3271" s="50">
        <v>44561.0</v>
      </c>
      <c r="C3271" s="49" t="s">
        <v>777</v>
      </c>
      <c r="D3271" s="49">
        <v>0.0</v>
      </c>
    </row>
    <row r="3272" ht="15.0" hidden="1" customHeight="1">
      <c r="A3272" s="49" t="s">
        <v>355</v>
      </c>
      <c r="B3272" s="50">
        <v>44561.0</v>
      </c>
      <c r="C3272" s="49" t="s">
        <v>777</v>
      </c>
      <c r="D3272" s="49">
        <v>0.0</v>
      </c>
    </row>
    <row r="3273" ht="15.0" hidden="1" customHeight="1">
      <c r="A3273" s="49" t="s">
        <v>360</v>
      </c>
      <c r="B3273" s="50">
        <v>44561.0</v>
      </c>
      <c r="C3273" s="49" t="s">
        <v>777</v>
      </c>
      <c r="D3273" s="49">
        <v>0.0</v>
      </c>
    </row>
    <row r="3274" ht="15.0" hidden="1" customHeight="1">
      <c r="A3274" s="49" t="s">
        <v>365</v>
      </c>
      <c r="B3274" s="50">
        <v>44561.0</v>
      </c>
      <c r="C3274" s="49" t="s">
        <v>777</v>
      </c>
      <c r="D3274" s="49">
        <v>0.0</v>
      </c>
    </row>
    <row r="3275" ht="15.0" hidden="1" customHeight="1">
      <c r="A3275" s="49" t="s">
        <v>370</v>
      </c>
      <c r="B3275" s="50">
        <v>44561.0</v>
      </c>
      <c r="C3275" s="49" t="s">
        <v>777</v>
      </c>
      <c r="D3275" s="49">
        <v>0.0</v>
      </c>
    </row>
    <row r="3276" ht="15.0" hidden="1" customHeight="1">
      <c r="A3276" s="49" t="s">
        <v>375</v>
      </c>
      <c r="B3276" s="50">
        <v>44561.0</v>
      </c>
      <c r="C3276" s="49" t="s">
        <v>777</v>
      </c>
      <c r="D3276" s="49">
        <v>0.0</v>
      </c>
    </row>
    <row r="3277" ht="15.0" hidden="1" customHeight="1">
      <c r="A3277" s="49" t="s">
        <v>380</v>
      </c>
      <c r="B3277" s="50">
        <v>44561.0</v>
      </c>
      <c r="C3277" s="49" t="s">
        <v>777</v>
      </c>
      <c r="D3277" s="49">
        <v>0.0</v>
      </c>
    </row>
    <row r="3278" ht="15.0" hidden="1" customHeight="1">
      <c r="A3278" s="49" t="s">
        <v>385</v>
      </c>
      <c r="B3278" s="50">
        <v>44561.0</v>
      </c>
      <c r="C3278" s="49" t="s">
        <v>777</v>
      </c>
      <c r="D3278" s="49">
        <v>0.0</v>
      </c>
    </row>
    <row r="3279" ht="15.0" hidden="1" customHeight="1">
      <c r="A3279" s="49" t="s">
        <v>390</v>
      </c>
      <c r="B3279" s="50">
        <v>44561.0</v>
      </c>
      <c r="C3279" s="49" t="s">
        <v>777</v>
      </c>
      <c r="D3279" s="49">
        <v>0.0</v>
      </c>
    </row>
    <row r="3280" ht="15.0" hidden="1" customHeight="1">
      <c r="A3280" s="49" t="s">
        <v>395</v>
      </c>
      <c r="B3280" s="50">
        <v>44561.0</v>
      </c>
      <c r="C3280" s="49" t="s">
        <v>777</v>
      </c>
      <c r="D3280" s="49">
        <v>0.0</v>
      </c>
    </row>
    <row r="3281" ht="15.0" hidden="1" customHeight="1">
      <c r="A3281" s="49" t="s">
        <v>400</v>
      </c>
      <c r="B3281" s="50">
        <v>44561.0</v>
      </c>
      <c r="C3281" s="49" t="s">
        <v>777</v>
      </c>
      <c r="D3281" s="49">
        <v>0.0</v>
      </c>
    </row>
    <row r="3282" ht="15.0" hidden="1" customHeight="1">
      <c r="A3282" s="49" t="s">
        <v>405</v>
      </c>
      <c r="B3282" s="50">
        <v>44561.0</v>
      </c>
      <c r="C3282" s="49" t="s">
        <v>777</v>
      </c>
      <c r="D3282" s="49">
        <v>0.0</v>
      </c>
    </row>
    <row r="3283" ht="15.0" hidden="1" customHeight="1">
      <c r="A3283" s="49" t="s">
        <v>410</v>
      </c>
      <c r="B3283" s="50">
        <v>44561.0</v>
      </c>
      <c r="C3283" s="49" t="s">
        <v>777</v>
      </c>
      <c r="D3283" s="49">
        <v>0.0</v>
      </c>
    </row>
    <row r="3284" ht="15.0" hidden="1" customHeight="1">
      <c r="A3284" s="49" t="s">
        <v>415</v>
      </c>
      <c r="B3284" s="50">
        <v>44561.0</v>
      </c>
      <c r="C3284" s="49" t="s">
        <v>777</v>
      </c>
      <c r="D3284" s="49">
        <v>0.0</v>
      </c>
    </row>
    <row r="3285" ht="15.0" hidden="1" customHeight="1">
      <c r="A3285" s="49" t="s">
        <v>420</v>
      </c>
      <c r="B3285" s="50">
        <v>44561.0</v>
      </c>
      <c r="C3285" s="49" t="s">
        <v>777</v>
      </c>
      <c r="D3285" s="49">
        <v>0.0</v>
      </c>
    </row>
    <row r="3286" ht="15.0" hidden="1" customHeight="1">
      <c r="A3286" s="49" t="s">
        <v>425</v>
      </c>
      <c r="B3286" s="50">
        <v>44561.0</v>
      </c>
      <c r="C3286" s="49" t="s">
        <v>777</v>
      </c>
      <c r="D3286" s="49">
        <v>0.0</v>
      </c>
    </row>
    <row r="3287" ht="15.0" hidden="1" customHeight="1">
      <c r="A3287" s="49" t="s">
        <v>430</v>
      </c>
      <c r="B3287" s="50">
        <v>44561.0</v>
      </c>
      <c r="C3287" s="49" t="s">
        <v>777</v>
      </c>
      <c r="D3287" s="49">
        <v>0.0</v>
      </c>
    </row>
    <row r="3288" ht="15.0" hidden="1" customHeight="1">
      <c r="A3288" s="49" t="s">
        <v>434</v>
      </c>
      <c r="B3288" s="50">
        <v>44561.0</v>
      </c>
      <c r="C3288" s="49" t="s">
        <v>777</v>
      </c>
      <c r="D3288" s="49">
        <v>0.0</v>
      </c>
    </row>
    <row r="3289" ht="15.0" hidden="1" customHeight="1">
      <c r="A3289" s="49" t="s">
        <v>439</v>
      </c>
      <c r="B3289" s="50">
        <v>44561.0</v>
      </c>
      <c r="C3289" s="49" t="s">
        <v>777</v>
      </c>
      <c r="D3289" s="49">
        <v>0.0</v>
      </c>
    </row>
    <row r="3290" ht="15.0" hidden="1" customHeight="1">
      <c r="A3290" s="49" t="s">
        <v>444</v>
      </c>
      <c r="B3290" s="50">
        <v>44561.0</v>
      </c>
      <c r="C3290" s="49" t="s">
        <v>777</v>
      </c>
      <c r="D3290" s="49">
        <v>0.0</v>
      </c>
    </row>
    <row r="3291" ht="15.0" hidden="1" customHeight="1">
      <c r="A3291" s="49" t="s">
        <v>449</v>
      </c>
      <c r="B3291" s="50">
        <v>44561.0</v>
      </c>
      <c r="C3291" s="49" t="s">
        <v>777</v>
      </c>
      <c r="D3291" s="49">
        <v>0.0</v>
      </c>
    </row>
    <row r="3292" ht="15.0" hidden="1" customHeight="1">
      <c r="A3292" s="49" t="s">
        <v>455</v>
      </c>
      <c r="B3292" s="50">
        <v>44561.0</v>
      </c>
      <c r="C3292" s="49" t="s">
        <v>777</v>
      </c>
      <c r="D3292" s="49">
        <v>0.0</v>
      </c>
    </row>
    <row r="3293" ht="15.0" hidden="1" customHeight="1">
      <c r="A3293" s="49" t="s">
        <v>470</v>
      </c>
      <c r="B3293" s="50">
        <v>44561.0</v>
      </c>
      <c r="C3293" s="49" t="s">
        <v>777</v>
      </c>
      <c r="D3293" s="49">
        <v>0.0</v>
      </c>
    </row>
    <row r="3294" ht="15.0" hidden="1" customHeight="1">
      <c r="A3294" s="49" t="s">
        <v>476</v>
      </c>
      <c r="B3294" s="50">
        <v>44561.0</v>
      </c>
      <c r="C3294" s="49" t="s">
        <v>777</v>
      </c>
      <c r="D3294" s="49">
        <v>0.0</v>
      </c>
    </row>
    <row r="3295" ht="15.0" hidden="1" customHeight="1">
      <c r="A3295" s="49" t="s">
        <v>481</v>
      </c>
      <c r="B3295" s="50">
        <v>44561.0</v>
      </c>
      <c r="C3295" s="49" t="s">
        <v>777</v>
      </c>
      <c r="D3295" s="49">
        <v>0.0</v>
      </c>
    </row>
    <row r="3296" ht="15.0" hidden="1" customHeight="1">
      <c r="A3296" s="49" t="s">
        <v>486</v>
      </c>
      <c r="B3296" s="50">
        <v>44561.0</v>
      </c>
      <c r="C3296" s="49" t="s">
        <v>777</v>
      </c>
      <c r="D3296" s="49">
        <v>0.0</v>
      </c>
    </row>
    <row r="3297" ht="15.0" hidden="1" customHeight="1">
      <c r="A3297" s="49" t="s">
        <v>491</v>
      </c>
      <c r="B3297" s="50">
        <v>44561.0</v>
      </c>
      <c r="C3297" s="49" t="s">
        <v>777</v>
      </c>
      <c r="D3297" s="49">
        <v>0.0</v>
      </c>
    </row>
    <row r="3298" ht="15.0" hidden="1" customHeight="1">
      <c r="A3298" s="49" t="s">
        <v>496</v>
      </c>
      <c r="B3298" s="50">
        <v>44561.0</v>
      </c>
      <c r="C3298" s="49" t="s">
        <v>777</v>
      </c>
      <c r="D3298" s="49">
        <v>0.0</v>
      </c>
    </row>
    <row r="3299" ht="15.0" hidden="1" customHeight="1">
      <c r="A3299" s="49" t="s">
        <v>501</v>
      </c>
      <c r="B3299" s="50">
        <v>44561.0</v>
      </c>
      <c r="C3299" s="49" t="s">
        <v>777</v>
      </c>
      <c r="D3299" s="49">
        <v>0.0</v>
      </c>
    </row>
    <row r="3300" ht="15.0" hidden="1" customHeight="1">
      <c r="A3300" s="49" t="s">
        <v>506</v>
      </c>
      <c r="B3300" s="50">
        <v>44561.0</v>
      </c>
      <c r="C3300" s="49" t="s">
        <v>777</v>
      </c>
      <c r="D3300" s="49">
        <v>0.0</v>
      </c>
    </row>
    <row r="3301" ht="15.0" hidden="1" customHeight="1">
      <c r="A3301" s="49" t="s">
        <v>512</v>
      </c>
      <c r="B3301" s="50">
        <v>44561.0</v>
      </c>
      <c r="C3301" s="49" t="s">
        <v>777</v>
      </c>
      <c r="D3301" s="49">
        <v>0.0</v>
      </c>
    </row>
    <row r="3302" ht="15.0" hidden="1" customHeight="1">
      <c r="A3302" s="49" t="s">
        <v>517</v>
      </c>
      <c r="B3302" s="50">
        <v>44561.0</v>
      </c>
      <c r="C3302" s="49" t="s">
        <v>777</v>
      </c>
      <c r="D3302" s="49">
        <v>0.0</v>
      </c>
    </row>
    <row r="3303" ht="15.0" hidden="1" customHeight="1">
      <c r="A3303" s="49" t="s">
        <v>522</v>
      </c>
      <c r="B3303" s="50">
        <v>44561.0</v>
      </c>
      <c r="C3303" s="49" t="s">
        <v>777</v>
      </c>
      <c r="D3303" s="49">
        <v>0.0</v>
      </c>
    </row>
    <row r="3304" ht="15.0" hidden="1" customHeight="1">
      <c r="A3304" s="49" t="s">
        <v>528</v>
      </c>
      <c r="B3304" s="50">
        <v>44561.0</v>
      </c>
      <c r="C3304" s="49" t="s">
        <v>777</v>
      </c>
      <c r="D3304" s="49">
        <v>0.0</v>
      </c>
    </row>
    <row r="3305" ht="15.0" hidden="1" customHeight="1">
      <c r="A3305" s="49" t="s">
        <v>533</v>
      </c>
      <c r="B3305" s="50">
        <v>44561.0</v>
      </c>
      <c r="C3305" s="49" t="s">
        <v>777</v>
      </c>
      <c r="D3305" s="49">
        <v>0.0</v>
      </c>
    </row>
    <row r="3306" ht="15.0" hidden="1" customHeight="1">
      <c r="A3306" s="49" t="s">
        <v>538</v>
      </c>
      <c r="B3306" s="50">
        <v>44561.0</v>
      </c>
      <c r="C3306" s="49" t="s">
        <v>777</v>
      </c>
      <c r="D3306" s="49">
        <v>0.0</v>
      </c>
    </row>
    <row r="3307" ht="15.0" hidden="1" customHeight="1">
      <c r="A3307" s="49" t="s">
        <v>546</v>
      </c>
      <c r="B3307" s="50">
        <v>44561.0</v>
      </c>
      <c r="C3307" s="49" t="s">
        <v>777</v>
      </c>
      <c r="D3307" s="49">
        <v>0.0</v>
      </c>
    </row>
    <row r="3308" ht="15.0" hidden="1" customHeight="1">
      <c r="A3308" s="49" t="s">
        <v>551</v>
      </c>
      <c r="B3308" s="50">
        <v>44561.0</v>
      </c>
      <c r="C3308" s="49" t="s">
        <v>777</v>
      </c>
      <c r="D3308" s="49">
        <v>0.0</v>
      </c>
    </row>
    <row r="3309" ht="15.0" hidden="1" customHeight="1">
      <c r="A3309" s="49" t="s">
        <v>556</v>
      </c>
      <c r="B3309" s="50">
        <v>44561.0</v>
      </c>
      <c r="C3309" s="49" t="s">
        <v>777</v>
      </c>
      <c r="D3309" s="49">
        <v>0.0</v>
      </c>
    </row>
    <row r="3310" ht="15.0" hidden="1" customHeight="1">
      <c r="A3310" s="49" t="s">
        <v>561</v>
      </c>
      <c r="B3310" s="50">
        <v>44561.0</v>
      </c>
      <c r="C3310" s="49" t="s">
        <v>777</v>
      </c>
      <c r="D3310" s="49">
        <v>0.0</v>
      </c>
    </row>
    <row r="3311" ht="15.0" hidden="1" customHeight="1">
      <c r="A3311" s="49" t="s">
        <v>566</v>
      </c>
      <c r="B3311" s="50">
        <v>44561.0</v>
      </c>
      <c r="C3311" s="49" t="s">
        <v>777</v>
      </c>
      <c r="D3311" s="49">
        <v>0.0</v>
      </c>
    </row>
    <row r="3312" ht="15.0" hidden="1" customHeight="1">
      <c r="A3312" s="49" t="s">
        <v>571</v>
      </c>
      <c r="B3312" s="50">
        <v>44561.0</v>
      </c>
      <c r="C3312" s="49" t="s">
        <v>777</v>
      </c>
      <c r="D3312" s="49">
        <v>0.0</v>
      </c>
    </row>
    <row r="3313" ht="15.0" hidden="1" customHeight="1">
      <c r="A3313" s="49" t="s">
        <v>576</v>
      </c>
      <c r="B3313" s="50">
        <v>44561.0</v>
      </c>
      <c r="C3313" s="49" t="s">
        <v>777</v>
      </c>
      <c r="D3313" s="49">
        <v>0.0</v>
      </c>
    </row>
    <row r="3314" ht="15.0" hidden="1" customHeight="1">
      <c r="A3314" s="49" t="s">
        <v>581</v>
      </c>
      <c r="B3314" s="50">
        <v>44561.0</v>
      </c>
      <c r="C3314" s="49" t="s">
        <v>777</v>
      </c>
      <c r="D3314" s="49">
        <v>0.0</v>
      </c>
    </row>
    <row r="3315" ht="15.0" hidden="1" customHeight="1">
      <c r="A3315" s="49" t="s">
        <v>586</v>
      </c>
      <c r="B3315" s="50">
        <v>44561.0</v>
      </c>
      <c r="C3315" s="49" t="s">
        <v>777</v>
      </c>
      <c r="D3315" s="49">
        <v>0.0</v>
      </c>
    </row>
    <row r="3316" ht="15.0" hidden="1" customHeight="1">
      <c r="A3316" s="49" t="s">
        <v>754</v>
      </c>
      <c r="B3316" s="50">
        <v>44561.0</v>
      </c>
      <c r="C3316" s="49" t="s">
        <v>777</v>
      </c>
      <c r="D3316" s="49">
        <v>0.0</v>
      </c>
    </row>
    <row r="3317" ht="15.0" hidden="1" customHeight="1">
      <c r="A3317" s="49" t="s">
        <v>591</v>
      </c>
      <c r="B3317" s="50">
        <v>44561.0</v>
      </c>
      <c r="C3317" s="49" t="s">
        <v>777</v>
      </c>
      <c r="D3317" s="49">
        <v>0.0</v>
      </c>
    </row>
    <row r="3318" ht="15.0" hidden="1" customHeight="1">
      <c r="A3318" s="49" t="s">
        <v>759</v>
      </c>
      <c r="B3318" s="50">
        <v>44561.0</v>
      </c>
      <c r="C3318" s="49" t="s">
        <v>777</v>
      </c>
      <c r="D3318" s="49">
        <v>0.0</v>
      </c>
    </row>
    <row r="3319" ht="15.0" hidden="1" customHeight="1">
      <c r="A3319" s="49" t="s">
        <v>596</v>
      </c>
      <c r="B3319" s="50">
        <v>44561.0</v>
      </c>
      <c r="C3319" s="49" t="s">
        <v>777</v>
      </c>
      <c r="D3319" s="49">
        <v>0.0</v>
      </c>
    </row>
    <row r="3320" ht="15.0" hidden="1" customHeight="1">
      <c r="A3320" s="49" t="s">
        <v>602</v>
      </c>
      <c r="B3320" s="50">
        <v>44561.0</v>
      </c>
      <c r="C3320" s="49" t="s">
        <v>777</v>
      </c>
      <c r="D3320" s="49">
        <v>0.0</v>
      </c>
    </row>
    <row r="3321" ht="15.0" hidden="1" customHeight="1">
      <c r="A3321" s="49" t="s">
        <v>607</v>
      </c>
      <c r="B3321" s="50">
        <v>44561.0</v>
      </c>
      <c r="C3321" s="49" t="s">
        <v>777</v>
      </c>
      <c r="D3321" s="49">
        <v>0.0</v>
      </c>
    </row>
    <row r="3322" ht="15.0" hidden="1" customHeight="1">
      <c r="A3322" s="49" t="s">
        <v>612</v>
      </c>
      <c r="B3322" s="50">
        <v>44561.0</v>
      </c>
      <c r="C3322" s="49" t="s">
        <v>777</v>
      </c>
      <c r="D3322" s="49">
        <v>0.0</v>
      </c>
    </row>
    <row r="3323" ht="15.0" hidden="1" customHeight="1">
      <c r="A3323" s="49" t="s">
        <v>617</v>
      </c>
      <c r="B3323" s="50">
        <v>44561.0</v>
      </c>
      <c r="C3323" s="49" t="s">
        <v>777</v>
      </c>
      <c r="D3323" s="49">
        <v>0.0</v>
      </c>
    </row>
    <row r="3324" ht="15.0" hidden="1" customHeight="1">
      <c r="A3324" s="49" t="s">
        <v>622</v>
      </c>
      <c r="B3324" s="50">
        <v>44561.0</v>
      </c>
      <c r="C3324" s="49" t="s">
        <v>777</v>
      </c>
      <c r="D3324" s="49">
        <v>0.0</v>
      </c>
    </row>
    <row r="3325" ht="15.0" hidden="1" customHeight="1">
      <c r="A3325" s="49" t="s">
        <v>627</v>
      </c>
      <c r="B3325" s="50">
        <v>44561.0</v>
      </c>
      <c r="C3325" s="49" t="s">
        <v>777</v>
      </c>
      <c r="D3325" s="49">
        <v>0.0</v>
      </c>
    </row>
    <row r="3326" ht="15.0" hidden="1" customHeight="1">
      <c r="A3326" s="49" t="s">
        <v>631</v>
      </c>
      <c r="B3326" s="50">
        <v>44561.0</v>
      </c>
      <c r="C3326" s="49" t="s">
        <v>777</v>
      </c>
      <c r="D3326" s="49">
        <v>0.0</v>
      </c>
    </row>
    <row r="3327" ht="15.0" hidden="1" customHeight="1">
      <c r="A3327" s="49" t="s">
        <v>636</v>
      </c>
      <c r="B3327" s="50">
        <v>44561.0</v>
      </c>
      <c r="C3327" s="49" t="s">
        <v>777</v>
      </c>
      <c r="D3327" s="49">
        <v>0.0</v>
      </c>
    </row>
    <row r="3328" ht="15.0" hidden="1" customHeight="1">
      <c r="A3328" s="49" t="s">
        <v>640</v>
      </c>
      <c r="B3328" s="50">
        <v>44561.0</v>
      </c>
      <c r="C3328" s="49" t="s">
        <v>777</v>
      </c>
      <c r="D3328" s="49">
        <v>0.0</v>
      </c>
    </row>
    <row r="3329" ht="15.0" hidden="1" customHeight="1">
      <c r="A3329" s="49" t="s">
        <v>644</v>
      </c>
      <c r="B3329" s="50">
        <v>44561.0</v>
      </c>
      <c r="C3329" s="49" t="s">
        <v>777</v>
      </c>
      <c r="D3329" s="49">
        <v>0.0</v>
      </c>
    </row>
    <row r="3330" ht="15.0" hidden="1" customHeight="1">
      <c r="A3330" s="49" t="s">
        <v>649</v>
      </c>
      <c r="B3330" s="50">
        <v>44561.0</v>
      </c>
      <c r="C3330" s="49" t="s">
        <v>777</v>
      </c>
      <c r="D3330" s="49">
        <v>0.0</v>
      </c>
    </row>
    <row r="3331" ht="15.0" hidden="1" customHeight="1">
      <c r="A3331" s="49" t="s">
        <v>654</v>
      </c>
      <c r="B3331" s="50">
        <v>44561.0</v>
      </c>
      <c r="C3331" s="49" t="s">
        <v>777</v>
      </c>
      <c r="D3331" s="49">
        <v>0.0</v>
      </c>
    </row>
    <row r="3332" ht="15.0" hidden="1" customHeight="1">
      <c r="A3332" s="49" t="s">
        <v>659</v>
      </c>
      <c r="B3332" s="50">
        <v>44561.0</v>
      </c>
      <c r="C3332" s="49" t="s">
        <v>777</v>
      </c>
      <c r="D3332" s="49">
        <v>0.0</v>
      </c>
    </row>
    <row r="3333" ht="15.0" hidden="1" customHeight="1">
      <c r="A3333" s="49" t="s">
        <v>664</v>
      </c>
      <c r="B3333" s="50">
        <v>44561.0</v>
      </c>
      <c r="C3333" s="49" t="s">
        <v>777</v>
      </c>
      <c r="D3333" s="49">
        <v>0.0</v>
      </c>
    </row>
    <row r="3334" ht="15.0" hidden="1" customHeight="1">
      <c r="A3334" s="49" t="s">
        <v>669</v>
      </c>
      <c r="B3334" s="50">
        <v>44561.0</v>
      </c>
      <c r="C3334" s="49" t="s">
        <v>777</v>
      </c>
      <c r="D3334" s="49">
        <v>0.0</v>
      </c>
    </row>
    <row r="3335" ht="15.0" hidden="1" customHeight="1">
      <c r="A3335" s="49" t="s">
        <v>674</v>
      </c>
      <c r="B3335" s="50">
        <v>44561.0</v>
      </c>
      <c r="C3335" s="49" t="s">
        <v>777</v>
      </c>
      <c r="D3335" s="49">
        <v>0.0</v>
      </c>
    </row>
    <row r="3336" ht="15.0" hidden="1" customHeight="1">
      <c r="A3336" s="49" t="s">
        <v>679</v>
      </c>
      <c r="B3336" s="50">
        <v>44561.0</v>
      </c>
      <c r="C3336" s="49" t="s">
        <v>777</v>
      </c>
      <c r="D3336" s="49">
        <v>0.0</v>
      </c>
    </row>
    <row r="3337" ht="15.0" hidden="1" customHeight="1">
      <c r="A3337" s="49" t="s">
        <v>684</v>
      </c>
      <c r="B3337" s="50">
        <v>44561.0</v>
      </c>
      <c r="C3337" s="49" t="s">
        <v>777</v>
      </c>
      <c r="D3337" s="49">
        <v>0.0</v>
      </c>
    </row>
    <row r="3338" ht="15.0" hidden="1" customHeight="1">
      <c r="A3338" s="49" t="s">
        <v>689</v>
      </c>
      <c r="B3338" s="50">
        <v>44561.0</v>
      </c>
      <c r="C3338" s="49" t="s">
        <v>777</v>
      </c>
      <c r="D3338" s="49">
        <v>0.0</v>
      </c>
    </row>
    <row r="3339" ht="15.0" hidden="1" customHeight="1">
      <c r="A3339" s="49" t="s">
        <v>694</v>
      </c>
      <c r="B3339" s="50">
        <v>44561.0</v>
      </c>
      <c r="C3339" s="49" t="s">
        <v>777</v>
      </c>
      <c r="D3339" s="49">
        <v>0.0</v>
      </c>
    </row>
    <row r="3340" ht="15.0" hidden="1" customHeight="1">
      <c r="A3340" s="49" t="s">
        <v>699</v>
      </c>
      <c r="B3340" s="50">
        <v>44561.0</v>
      </c>
      <c r="C3340" s="49" t="s">
        <v>777</v>
      </c>
      <c r="D3340" s="49">
        <v>0.0</v>
      </c>
    </row>
    <row r="3341" ht="15.0" hidden="1" customHeight="1">
      <c r="A3341" s="49" t="s">
        <v>705</v>
      </c>
      <c r="B3341" s="50">
        <v>44561.0</v>
      </c>
      <c r="C3341" s="49" t="s">
        <v>777</v>
      </c>
      <c r="D3341" s="49">
        <v>0.0</v>
      </c>
    </row>
    <row r="3342" ht="15.0" hidden="1" customHeight="1">
      <c r="A3342" s="49" t="s">
        <v>710</v>
      </c>
      <c r="B3342" s="50">
        <v>44561.0</v>
      </c>
      <c r="C3342" s="49" t="s">
        <v>777</v>
      </c>
      <c r="D3342" s="49">
        <v>0.0</v>
      </c>
    </row>
    <row r="3343" ht="15.0" hidden="1" customHeight="1">
      <c r="A3343" s="49" t="s">
        <v>715</v>
      </c>
      <c r="B3343" s="50">
        <v>44561.0</v>
      </c>
      <c r="C3343" s="49" t="s">
        <v>777</v>
      </c>
      <c r="D3343" s="49">
        <v>0.0</v>
      </c>
    </row>
    <row r="3344" ht="15.0" hidden="1" customHeight="1">
      <c r="A3344" s="49" t="s">
        <v>765</v>
      </c>
      <c r="B3344" s="50">
        <v>44561.0</v>
      </c>
      <c r="C3344" s="49" t="s">
        <v>777</v>
      </c>
      <c r="D3344" s="49">
        <v>0.0</v>
      </c>
    </row>
    <row r="3345" ht="15.0" hidden="1" customHeight="1">
      <c r="A3345" s="49" t="s">
        <v>720</v>
      </c>
      <c r="B3345" s="50">
        <v>44561.0</v>
      </c>
      <c r="C3345" s="49" t="s">
        <v>777</v>
      </c>
      <c r="D3345" s="49">
        <v>0.0</v>
      </c>
    </row>
    <row r="3346" ht="15.0" hidden="1" customHeight="1">
      <c r="A3346" s="49" t="s">
        <v>725</v>
      </c>
      <c r="B3346" s="50">
        <v>44561.0</v>
      </c>
      <c r="C3346" s="49" t="s">
        <v>777</v>
      </c>
      <c r="D3346" s="49">
        <v>0.0</v>
      </c>
    </row>
    <row r="3347" ht="15.0" hidden="1" customHeight="1">
      <c r="A3347" s="49" t="s">
        <v>730</v>
      </c>
      <c r="B3347" s="50">
        <v>44561.0</v>
      </c>
      <c r="C3347" s="49" t="s">
        <v>777</v>
      </c>
      <c r="D3347" s="49">
        <v>0.0</v>
      </c>
    </row>
    <row r="3348" ht="15.0" hidden="1" customHeight="1">
      <c r="A3348" s="49" t="s">
        <v>734</v>
      </c>
      <c r="B3348" s="50">
        <v>44561.0</v>
      </c>
      <c r="C3348" s="49" t="s">
        <v>777</v>
      </c>
      <c r="D3348" s="49">
        <v>0.0</v>
      </c>
    </row>
    <row r="3349" ht="15.0" hidden="1" customHeight="1">
      <c r="A3349" s="49" t="s">
        <v>739</v>
      </c>
      <c r="B3349" s="50">
        <v>44561.0</v>
      </c>
      <c r="C3349" s="49" t="s">
        <v>777</v>
      </c>
      <c r="D3349" s="49">
        <v>0.0</v>
      </c>
    </row>
    <row r="3350" ht="15.0" hidden="1" customHeight="1">
      <c r="A3350" s="49" t="s">
        <v>744</v>
      </c>
      <c r="B3350" s="50">
        <v>44561.0</v>
      </c>
      <c r="C3350" s="49" t="s">
        <v>777</v>
      </c>
      <c r="D3350" s="49">
        <v>0.0</v>
      </c>
    </row>
    <row r="3351" ht="15.0" hidden="1" customHeight="1">
      <c r="A3351" s="49" t="s">
        <v>749</v>
      </c>
      <c r="B3351" s="50">
        <v>44561.0</v>
      </c>
      <c r="C3351" s="49" t="s">
        <v>777</v>
      </c>
      <c r="D3351" s="49">
        <v>0.0</v>
      </c>
    </row>
    <row r="3352" ht="15.0" customHeight="1">
      <c r="A3352" s="49" t="s">
        <v>776</v>
      </c>
      <c r="B3352" s="50">
        <v>44561.0</v>
      </c>
      <c r="C3352" s="49" t="s">
        <v>78</v>
      </c>
      <c r="D3352" s="49">
        <v>0.0</v>
      </c>
    </row>
    <row r="3353" ht="15.0" hidden="1" customHeight="1">
      <c r="A3353" s="49" t="s">
        <v>778</v>
      </c>
      <c r="B3353" s="50">
        <v>44561.0</v>
      </c>
      <c r="C3353" s="49" t="s">
        <v>78</v>
      </c>
      <c r="D3353" s="49">
        <v>0.0</v>
      </c>
    </row>
    <row r="3354" ht="15.0" hidden="1" customHeight="1">
      <c r="A3354" s="49" t="s">
        <v>92</v>
      </c>
      <c r="B3354" s="50">
        <v>44561.0</v>
      </c>
      <c r="C3354" s="49" t="s">
        <v>78</v>
      </c>
      <c r="D3354" s="49">
        <v>0.0</v>
      </c>
    </row>
    <row r="3355" ht="15.0" hidden="1" customHeight="1">
      <c r="A3355" s="49" t="s">
        <v>97</v>
      </c>
      <c r="B3355" s="50">
        <v>44561.0</v>
      </c>
      <c r="C3355" s="49" t="s">
        <v>78</v>
      </c>
      <c r="D3355" s="49">
        <v>0.0</v>
      </c>
    </row>
    <row r="3356" ht="15.0" hidden="1" customHeight="1">
      <c r="A3356" s="49" t="s">
        <v>102</v>
      </c>
      <c r="B3356" s="50">
        <v>44561.0</v>
      </c>
      <c r="C3356" s="49" t="s">
        <v>78</v>
      </c>
      <c r="D3356" s="49">
        <v>0.0</v>
      </c>
    </row>
    <row r="3357" ht="15.0" hidden="1" customHeight="1">
      <c r="A3357" s="49" t="s">
        <v>106</v>
      </c>
      <c r="B3357" s="50">
        <v>44561.0</v>
      </c>
      <c r="C3357" s="49" t="s">
        <v>78</v>
      </c>
      <c r="D3357" s="49">
        <v>0.0</v>
      </c>
    </row>
    <row r="3358" ht="15.0" hidden="1" customHeight="1">
      <c r="A3358" s="49" t="s">
        <v>111</v>
      </c>
      <c r="B3358" s="50">
        <v>44561.0</v>
      </c>
      <c r="C3358" s="49" t="s">
        <v>78</v>
      </c>
      <c r="D3358" s="49">
        <v>0.0</v>
      </c>
    </row>
    <row r="3359" ht="15.0" hidden="1" customHeight="1">
      <c r="A3359" s="49" t="s">
        <v>116</v>
      </c>
      <c r="B3359" s="50">
        <v>44561.0</v>
      </c>
      <c r="C3359" s="49" t="s">
        <v>78</v>
      </c>
      <c r="D3359" s="49">
        <v>0.0</v>
      </c>
    </row>
    <row r="3360" ht="15.0" hidden="1" customHeight="1">
      <c r="A3360" s="49" t="s">
        <v>120</v>
      </c>
      <c r="B3360" s="50">
        <v>44561.0</v>
      </c>
      <c r="C3360" s="49" t="s">
        <v>78</v>
      </c>
      <c r="D3360" s="49">
        <v>0.0</v>
      </c>
    </row>
    <row r="3361" ht="15.0" hidden="1" customHeight="1">
      <c r="A3361" s="49" t="s">
        <v>125</v>
      </c>
      <c r="B3361" s="50">
        <v>44561.0</v>
      </c>
      <c r="C3361" s="49" t="s">
        <v>78</v>
      </c>
      <c r="D3361" s="49">
        <v>0.0</v>
      </c>
    </row>
    <row r="3362" ht="15.0" hidden="1" customHeight="1">
      <c r="A3362" s="49" t="s">
        <v>130</v>
      </c>
      <c r="B3362" s="50">
        <v>44561.0</v>
      </c>
      <c r="C3362" s="49" t="s">
        <v>78</v>
      </c>
      <c r="D3362" s="49">
        <v>0.0</v>
      </c>
    </row>
    <row r="3363" ht="15.0" hidden="1" customHeight="1">
      <c r="A3363" s="49" t="s">
        <v>137</v>
      </c>
      <c r="B3363" s="50">
        <v>44561.0</v>
      </c>
      <c r="C3363" s="49" t="s">
        <v>78</v>
      </c>
      <c r="D3363" s="49">
        <v>0.0</v>
      </c>
    </row>
    <row r="3364" ht="15.0" hidden="1" customHeight="1">
      <c r="A3364" s="49" t="s">
        <v>142</v>
      </c>
      <c r="B3364" s="50">
        <v>44561.0</v>
      </c>
      <c r="C3364" s="49" t="s">
        <v>78</v>
      </c>
      <c r="D3364" s="49">
        <v>0.0</v>
      </c>
    </row>
    <row r="3365" ht="15.0" hidden="1" customHeight="1">
      <c r="A3365" s="49" t="s">
        <v>147</v>
      </c>
      <c r="B3365" s="50">
        <v>44561.0</v>
      </c>
      <c r="C3365" s="49" t="s">
        <v>78</v>
      </c>
      <c r="D3365" s="49">
        <v>0.0</v>
      </c>
    </row>
    <row r="3366" ht="15.0" hidden="1" customHeight="1">
      <c r="A3366" s="49" t="s">
        <v>152</v>
      </c>
      <c r="B3366" s="50">
        <v>44561.0</v>
      </c>
      <c r="C3366" s="49" t="s">
        <v>78</v>
      </c>
      <c r="D3366" s="49">
        <v>0.0</v>
      </c>
    </row>
    <row r="3367" ht="15.0" hidden="1" customHeight="1">
      <c r="A3367" s="49" t="s">
        <v>157</v>
      </c>
      <c r="B3367" s="50">
        <v>44561.0</v>
      </c>
      <c r="C3367" s="49" t="s">
        <v>78</v>
      </c>
      <c r="D3367" s="49">
        <v>0.0</v>
      </c>
    </row>
    <row r="3368" ht="15.0" hidden="1" customHeight="1">
      <c r="A3368" s="49" t="s">
        <v>162</v>
      </c>
      <c r="B3368" s="50">
        <v>44561.0</v>
      </c>
      <c r="C3368" s="49" t="s">
        <v>78</v>
      </c>
      <c r="D3368" s="49">
        <v>0.0</v>
      </c>
    </row>
    <row r="3369" ht="15.0" hidden="1" customHeight="1">
      <c r="A3369" s="49" t="s">
        <v>167</v>
      </c>
      <c r="B3369" s="50">
        <v>44561.0</v>
      </c>
      <c r="C3369" s="49" t="s">
        <v>78</v>
      </c>
      <c r="D3369" s="49">
        <v>0.0</v>
      </c>
    </row>
    <row r="3370" ht="15.0" hidden="1" customHeight="1">
      <c r="A3370" s="49" t="s">
        <v>172</v>
      </c>
      <c r="B3370" s="50">
        <v>44561.0</v>
      </c>
      <c r="C3370" s="49" t="s">
        <v>78</v>
      </c>
      <c r="D3370" s="49">
        <v>0.0</v>
      </c>
    </row>
    <row r="3371" ht="15.0" hidden="1" customHeight="1">
      <c r="A3371" s="49" t="s">
        <v>177</v>
      </c>
      <c r="B3371" s="50">
        <v>44561.0</v>
      </c>
      <c r="C3371" s="49" t="s">
        <v>78</v>
      </c>
      <c r="D3371" s="49">
        <v>0.0</v>
      </c>
    </row>
    <row r="3372" ht="15.0" hidden="1" customHeight="1">
      <c r="A3372" s="49" t="s">
        <v>182</v>
      </c>
      <c r="B3372" s="50">
        <v>44561.0</v>
      </c>
      <c r="C3372" s="49" t="s">
        <v>78</v>
      </c>
      <c r="D3372" s="49">
        <v>0.0</v>
      </c>
    </row>
    <row r="3373" ht="15.0" hidden="1" customHeight="1">
      <c r="A3373" s="49" t="s">
        <v>187</v>
      </c>
      <c r="B3373" s="50">
        <v>44561.0</v>
      </c>
      <c r="C3373" s="49" t="s">
        <v>78</v>
      </c>
      <c r="D3373" s="49">
        <v>0.0</v>
      </c>
    </row>
    <row r="3374" ht="15.0" hidden="1" customHeight="1">
      <c r="A3374" s="49" t="s">
        <v>192</v>
      </c>
      <c r="B3374" s="50">
        <v>44561.0</v>
      </c>
      <c r="C3374" s="49" t="s">
        <v>78</v>
      </c>
      <c r="D3374" s="49">
        <v>0.0</v>
      </c>
    </row>
    <row r="3375" ht="15.0" hidden="1" customHeight="1">
      <c r="A3375" s="49" t="s">
        <v>197</v>
      </c>
      <c r="B3375" s="50">
        <v>44561.0</v>
      </c>
      <c r="C3375" s="49" t="s">
        <v>78</v>
      </c>
      <c r="D3375" s="49">
        <v>0.0</v>
      </c>
    </row>
    <row r="3376" ht="15.0" hidden="1" customHeight="1">
      <c r="A3376" s="49" t="s">
        <v>202</v>
      </c>
      <c r="B3376" s="50">
        <v>44561.0</v>
      </c>
      <c r="C3376" s="49" t="s">
        <v>78</v>
      </c>
      <c r="D3376" s="49">
        <v>0.0</v>
      </c>
    </row>
    <row r="3377" ht="15.0" hidden="1" customHeight="1">
      <c r="A3377" s="49" t="s">
        <v>206</v>
      </c>
      <c r="B3377" s="50">
        <v>44561.0</v>
      </c>
      <c r="C3377" s="49" t="s">
        <v>78</v>
      </c>
      <c r="D3377" s="49">
        <v>0.0</v>
      </c>
    </row>
    <row r="3378" ht="15.0" hidden="1" customHeight="1">
      <c r="A3378" s="49" t="s">
        <v>211</v>
      </c>
      <c r="B3378" s="50">
        <v>44561.0</v>
      </c>
      <c r="C3378" s="49" t="s">
        <v>78</v>
      </c>
      <c r="D3378" s="49">
        <v>0.0</v>
      </c>
    </row>
    <row r="3379" ht="15.0" hidden="1" customHeight="1">
      <c r="A3379" s="49" t="s">
        <v>779</v>
      </c>
      <c r="B3379" s="50">
        <v>44561.0</v>
      </c>
      <c r="C3379" s="49" t="s">
        <v>78</v>
      </c>
      <c r="D3379" s="49">
        <v>0.0</v>
      </c>
    </row>
    <row r="3380" ht="15.0" hidden="1" customHeight="1">
      <c r="A3380" s="49" t="s">
        <v>221</v>
      </c>
      <c r="B3380" s="50">
        <v>44561.0</v>
      </c>
      <c r="C3380" s="49" t="s">
        <v>78</v>
      </c>
      <c r="D3380" s="49">
        <v>0.0</v>
      </c>
    </row>
    <row r="3381" ht="15.0" hidden="1" customHeight="1">
      <c r="A3381" s="49" t="s">
        <v>226</v>
      </c>
      <c r="B3381" s="50">
        <v>44561.0</v>
      </c>
      <c r="C3381" s="49" t="s">
        <v>78</v>
      </c>
      <c r="D3381" s="49">
        <v>0.0</v>
      </c>
    </row>
    <row r="3382" ht="15.0" hidden="1" customHeight="1">
      <c r="A3382" s="49" t="s">
        <v>231</v>
      </c>
      <c r="B3382" s="50">
        <v>44561.0</v>
      </c>
      <c r="C3382" s="49" t="s">
        <v>78</v>
      </c>
      <c r="D3382" s="49">
        <v>0.0</v>
      </c>
    </row>
    <row r="3383" ht="15.0" hidden="1" customHeight="1">
      <c r="A3383" s="49" t="s">
        <v>236</v>
      </c>
      <c r="B3383" s="50">
        <v>44561.0</v>
      </c>
      <c r="C3383" s="49" t="s">
        <v>78</v>
      </c>
      <c r="D3383" s="49">
        <v>0.0</v>
      </c>
    </row>
    <row r="3384" ht="15.0" hidden="1" customHeight="1">
      <c r="A3384" s="49" t="s">
        <v>242</v>
      </c>
      <c r="B3384" s="50">
        <v>44561.0</v>
      </c>
      <c r="C3384" s="49" t="s">
        <v>78</v>
      </c>
      <c r="D3384" s="49">
        <v>9359166.0</v>
      </c>
    </row>
    <row r="3385" ht="15.0" hidden="1" customHeight="1">
      <c r="A3385" s="49" t="s">
        <v>248</v>
      </c>
      <c r="B3385" s="50">
        <v>44561.0</v>
      </c>
      <c r="C3385" s="49" t="s">
        <v>78</v>
      </c>
      <c r="D3385" s="49">
        <v>0.0</v>
      </c>
    </row>
    <row r="3386" ht="15.0" hidden="1" customHeight="1">
      <c r="A3386" s="49" t="s">
        <v>253</v>
      </c>
      <c r="B3386" s="50">
        <v>44561.0</v>
      </c>
      <c r="C3386" s="49" t="s">
        <v>78</v>
      </c>
      <c r="D3386" s="49">
        <v>0.0</v>
      </c>
    </row>
    <row r="3387" ht="15.0" hidden="1" customHeight="1">
      <c r="A3387" s="49" t="s">
        <v>258</v>
      </c>
      <c r="B3387" s="50">
        <v>44561.0</v>
      </c>
      <c r="C3387" s="49" t="s">
        <v>78</v>
      </c>
      <c r="D3387" s="49">
        <v>100000.0</v>
      </c>
    </row>
    <row r="3388" ht="15.0" hidden="1" customHeight="1">
      <c r="A3388" s="49" t="s">
        <v>263</v>
      </c>
      <c r="B3388" s="50">
        <v>44561.0</v>
      </c>
      <c r="C3388" s="49" t="s">
        <v>78</v>
      </c>
      <c r="D3388" s="49">
        <v>2160000.0</v>
      </c>
    </row>
    <row r="3389" ht="15.0" hidden="1" customHeight="1">
      <c r="A3389" s="49" t="s">
        <v>268</v>
      </c>
      <c r="B3389" s="50">
        <v>44561.0</v>
      </c>
      <c r="C3389" s="49" t="s">
        <v>78</v>
      </c>
      <c r="D3389" s="49">
        <v>0.0</v>
      </c>
    </row>
    <row r="3390" ht="15.0" hidden="1" customHeight="1">
      <c r="A3390" s="49" t="s">
        <v>273</v>
      </c>
      <c r="B3390" s="50">
        <v>44561.0</v>
      </c>
      <c r="C3390" s="49" t="s">
        <v>78</v>
      </c>
      <c r="D3390" s="49">
        <v>0.0</v>
      </c>
    </row>
    <row r="3391" ht="15.0" hidden="1" customHeight="1">
      <c r="A3391" s="49" t="s">
        <v>278</v>
      </c>
      <c r="B3391" s="50">
        <v>44561.0</v>
      </c>
      <c r="C3391" s="49" t="s">
        <v>78</v>
      </c>
      <c r="D3391" s="49">
        <v>0.0</v>
      </c>
    </row>
    <row r="3392" ht="15.0" hidden="1" customHeight="1">
      <c r="A3392" s="49" t="s">
        <v>283</v>
      </c>
      <c r="B3392" s="50">
        <v>44561.0</v>
      </c>
      <c r="C3392" s="49" t="s">
        <v>78</v>
      </c>
      <c r="D3392" s="49">
        <v>0.0</v>
      </c>
    </row>
    <row r="3393" ht="15.0" hidden="1" customHeight="1">
      <c r="A3393" s="49" t="s">
        <v>288</v>
      </c>
      <c r="B3393" s="50">
        <v>44561.0</v>
      </c>
      <c r="C3393" s="49" t="s">
        <v>78</v>
      </c>
      <c r="D3393" s="49">
        <v>0.0</v>
      </c>
    </row>
    <row r="3394" ht="15.0" hidden="1" customHeight="1">
      <c r="A3394" s="49" t="s">
        <v>293</v>
      </c>
      <c r="B3394" s="50">
        <v>44561.0</v>
      </c>
      <c r="C3394" s="49" t="s">
        <v>78</v>
      </c>
      <c r="D3394" s="49">
        <v>0.0</v>
      </c>
    </row>
    <row r="3395" ht="15.0" hidden="1" customHeight="1">
      <c r="A3395" s="49" t="s">
        <v>298</v>
      </c>
      <c r="B3395" s="50">
        <v>44561.0</v>
      </c>
      <c r="C3395" s="49" t="s">
        <v>78</v>
      </c>
      <c r="D3395" s="49">
        <v>0.0</v>
      </c>
    </row>
    <row r="3396" ht="15.0" hidden="1" customHeight="1">
      <c r="A3396" s="49" t="s">
        <v>303</v>
      </c>
      <c r="B3396" s="50">
        <v>44561.0</v>
      </c>
      <c r="C3396" s="49" t="s">
        <v>78</v>
      </c>
      <c r="D3396" s="49">
        <v>0.0</v>
      </c>
    </row>
    <row r="3397" ht="15.0" hidden="1" customHeight="1">
      <c r="A3397" s="49" t="s">
        <v>307</v>
      </c>
      <c r="B3397" s="50">
        <v>44561.0</v>
      </c>
      <c r="C3397" s="49" t="s">
        <v>78</v>
      </c>
      <c r="D3397" s="49">
        <v>0.0</v>
      </c>
    </row>
    <row r="3398" ht="15.0" hidden="1" customHeight="1">
      <c r="A3398" s="49" t="s">
        <v>313</v>
      </c>
      <c r="B3398" s="50">
        <v>44561.0</v>
      </c>
      <c r="C3398" s="49" t="s">
        <v>78</v>
      </c>
      <c r="D3398" s="49">
        <v>0.0</v>
      </c>
    </row>
    <row r="3399" ht="15.0" hidden="1" customHeight="1">
      <c r="A3399" s="49" t="s">
        <v>318</v>
      </c>
      <c r="B3399" s="50">
        <v>44561.0</v>
      </c>
      <c r="C3399" s="49" t="s">
        <v>78</v>
      </c>
      <c r="D3399" s="49">
        <v>0.0</v>
      </c>
    </row>
    <row r="3400" ht="15.0" hidden="1" customHeight="1">
      <c r="A3400" s="49" t="s">
        <v>323</v>
      </c>
      <c r="B3400" s="50">
        <v>44561.0</v>
      </c>
      <c r="C3400" s="49" t="s">
        <v>78</v>
      </c>
      <c r="D3400" s="49">
        <v>0.0</v>
      </c>
    </row>
    <row r="3401" ht="15.0" hidden="1" customHeight="1">
      <c r="A3401" s="49" t="s">
        <v>328</v>
      </c>
      <c r="B3401" s="50">
        <v>44561.0</v>
      </c>
      <c r="C3401" s="49" t="s">
        <v>78</v>
      </c>
      <c r="D3401" s="49">
        <v>0.0</v>
      </c>
    </row>
    <row r="3402" ht="15.0" hidden="1" customHeight="1">
      <c r="A3402" s="49" t="s">
        <v>335</v>
      </c>
      <c r="B3402" s="50">
        <v>44561.0</v>
      </c>
      <c r="C3402" s="49" t="s">
        <v>78</v>
      </c>
      <c r="D3402" s="49">
        <v>0.0</v>
      </c>
    </row>
    <row r="3403" ht="15.0" hidden="1" customHeight="1">
      <c r="A3403" s="49" t="s">
        <v>340</v>
      </c>
      <c r="B3403" s="50">
        <v>44561.0</v>
      </c>
      <c r="C3403" s="49" t="s">
        <v>78</v>
      </c>
      <c r="D3403" s="49">
        <v>0.0</v>
      </c>
    </row>
    <row r="3404" ht="15.0" hidden="1" customHeight="1">
      <c r="A3404" s="49" t="s">
        <v>345</v>
      </c>
      <c r="B3404" s="50">
        <v>44561.0</v>
      </c>
      <c r="C3404" s="49" t="s">
        <v>78</v>
      </c>
      <c r="D3404" s="49">
        <v>0.0</v>
      </c>
    </row>
    <row r="3405" ht="15.0" hidden="1" customHeight="1">
      <c r="A3405" s="49" t="s">
        <v>350</v>
      </c>
      <c r="B3405" s="50">
        <v>44561.0</v>
      </c>
      <c r="C3405" s="49" t="s">
        <v>78</v>
      </c>
      <c r="D3405" s="49">
        <v>0.0</v>
      </c>
    </row>
    <row r="3406" ht="15.0" hidden="1" customHeight="1">
      <c r="A3406" s="49" t="s">
        <v>355</v>
      </c>
      <c r="B3406" s="50">
        <v>44561.0</v>
      </c>
      <c r="C3406" s="49" t="s">
        <v>78</v>
      </c>
      <c r="D3406" s="49">
        <v>0.0</v>
      </c>
    </row>
    <row r="3407" ht="15.0" hidden="1" customHeight="1">
      <c r="A3407" s="49" t="s">
        <v>360</v>
      </c>
      <c r="B3407" s="50">
        <v>44561.0</v>
      </c>
      <c r="C3407" s="49" t="s">
        <v>78</v>
      </c>
      <c r="D3407" s="49">
        <v>0.0</v>
      </c>
    </row>
    <row r="3408" ht="15.0" hidden="1" customHeight="1">
      <c r="A3408" s="49" t="s">
        <v>365</v>
      </c>
      <c r="B3408" s="50">
        <v>44561.0</v>
      </c>
      <c r="C3408" s="49" t="s">
        <v>78</v>
      </c>
      <c r="D3408" s="49">
        <v>0.0</v>
      </c>
    </row>
    <row r="3409" ht="15.0" hidden="1" customHeight="1">
      <c r="A3409" s="49" t="s">
        <v>370</v>
      </c>
      <c r="B3409" s="50">
        <v>44561.0</v>
      </c>
      <c r="C3409" s="49" t="s">
        <v>78</v>
      </c>
      <c r="D3409" s="49">
        <v>0.0</v>
      </c>
    </row>
    <row r="3410" ht="15.0" hidden="1" customHeight="1">
      <c r="A3410" s="49" t="s">
        <v>375</v>
      </c>
      <c r="B3410" s="50">
        <v>44561.0</v>
      </c>
      <c r="C3410" s="49" t="s">
        <v>78</v>
      </c>
      <c r="D3410" s="49">
        <v>0.0</v>
      </c>
    </row>
    <row r="3411" ht="15.0" hidden="1" customHeight="1">
      <c r="A3411" s="49" t="s">
        <v>380</v>
      </c>
      <c r="B3411" s="50">
        <v>44561.0</v>
      </c>
      <c r="C3411" s="49" t="s">
        <v>78</v>
      </c>
      <c r="D3411" s="49">
        <v>0.0</v>
      </c>
    </row>
    <row r="3412" ht="15.0" hidden="1" customHeight="1">
      <c r="A3412" s="49" t="s">
        <v>385</v>
      </c>
      <c r="B3412" s="50">
        <v>44561.0</v>
      </c>
      <c r="C3412" s="49" t="s">
        <v>78</v>
      </c>
      <c r="D3412" s="49">
        <v>0.0</v>
      </c>
    </row>
    <row r="3413" ht="15.0" hidden="1" customHeight="1">
      <c r="A3413" s="49" t="s">
        <v>390</v>
      </c>
      <c r="B3413" s="50">
        <v>44561.0</v>
      </c>
      <c r="C3413" s="49" t="s">
        <v>78</v>
      </c>
      <c r="D3413" s="49">
        <v>0.0</v>
      </c>
    </row>
    <row r="3414" ht="15.0" hidden="1" customHeight="1">
      <c r="A3414" s="49" t="s">
        <v>395</v>
      </c>
      <c r="B3414" s="50">
        <v>44561.0</v>
      </c>
      <c r="C3414" s="49" t="s">
        <v>78</v>
      </c>
      <c r="D3414" s="49">
        <v>0.0</v>
      </c>
    </row>
    <row r="3415" ht="15.0" hidden="1" customHeight="1">
      <c r="A3415" s="49" t="s">
        <v>400</v>
      </c>
      <c r="B3415" s="50">
        <v>44561.0</v>
      </c>
      <c r="C3415" s="49" t="s">
        <v>78</v>
      </c>
      <c r="D3415" s="49">
        <v>0.0</v>
      </c>
    </row>
    <row r="3416" ht="15.0" hidden="1" customHeight="1">
      <c r="A3416" s="49" t="s">
        <v>405</v>
      </c>
      <c r="B3416" s="50">
        <v>44561.0</v>
      </c>
      <c r="C3416" s="49" t="s">
        <v>78</v>
      </c>
      <c r="D3416" s="49">
        <v>0.0</v>
      </c>
    </row>
    <row r="3417" ht="15.0" hidden="1" customHeight="1">
      <c r="A3417" s="49" t="s">
        <v>410</v>
      </c>
      <c r="B3417" s="50">
        <v>44561.0</v>
      </c>
      <c r="C3417" s="49" t="s">
        <v>78</v>
      </c>
      <c r="D3417" s="49">
        <v>0.0</v>
      </c>
    </row>
    <row r="3418" ht="15.0" hidden="1" customHeight="1">
      <c r="A3418" s="49" t="s">
        <v>415</v>
      </c>
      <c r="B3418" s="50">
        <v>44561.0</v>
      </c>
      <c r="C3418" s="49" t="s">
        <v>78</v>
      </c>
      <c r="D3418" s="49">
        <v>0.0</v>
      </c>
    </row>
    <row r="3419" ht="15.0" hidden="1" customHeight="1">
      <c r="A3419" s="49" t="s">
        <v>420</v>
      </c>
      <c r="B3419" s="50">
        <v>44561.0</v>
      </c>
      <c r="C3419" s="49" t="s">
        <v>78</v>
      </c>
      <c r="D3419" s="49">
        <v>0.0</v>
      </c>
    </row>
    <row r="3420" ht="15.0" hidden="1" customHeight="1">
      <c r="A3420" s="49" t="s">
        <v>425</v>
      </c>
      <c r="B3420" s="50">
        <v>44561.0</v>
      </c>
      <c r="C3420" s="49" t="s">
        <v>78</v>
      </c>
      <c r="D3420" s="49">
        <v>0.0</v>
      </c>
    </row>
    <row r="3421" ht="15.0" hidden="1" customHeight="1">
      <c r="A3421" s="49" t="s">
        <v>430</v>
      </c>
      <c r="B3421" s="50">
        <v>44561.0</v>
      </c>
      <c r="C3421" s="49" t="s">
        <v>78</v>
      </c>
      <c r="D3421" s="49">
        <v>0.0</v>
      </c>
    </row>
    <row r="3422" ht="15.0" hidden="1" customHeight="1">
      <c r="A3422" s="49" t="s">
        <v>434</v>
      </c>
      <c r="B3422" s="50">
        <v>44561.0</v>
      </c>
      <c r="C3422" s="49" t="s">
        <v>78</v>
      </c>
      <c r="D3422" s="49">
        <v>0.0</v>
      </c>
    </row>
    <row r="3423" ht="15.0" hidden="1" customHeight="1">
      <c r="A3423" s="49" t="s">
        <v>439</v>
      </c>
      <c r="B3423" s="50">
        <v>44561.0</v>
      </c>
      <c r="C3423" s="49" t="s">
        <v>78</v>
      </c>
      <c r="D3423" s="49">
        <v>0.0</v>
      </c>
    </row>
    <row r="3424" ht="15.0" hidden="1" customHeight="1">
      <c r="A3424" s="49" t="s">
        <v>444</v>
      </c>
      <c r="B3424" s="50">
        <v>44561.0</v>
      </c>
      <c r="C3424" s="49" t="s">
        <v>78</v>
      </c>
      <c r="D3424" s="49">
        <v>0.0</v>
      </c>
    </row>
    <row r="3425" ht="15.0" hidden="1" customHeight="1">
      <c r="A3425" s="49" t="s">
        <v>449</v>
      </c>
      <c r="B3425" s="50">
        <v>44561.0</v>
      </c>
      <c r="C3425" s="49" t="s">
        <v>78</v>
      </c>
      <c r="D3425" s="49">
        <v>0.0</v>
      </c>
    </row>
    <row r="3426" ht="15.0" hidden="1" customHeight="1">
      <c r="A3426" s="49" t="s">
        <v>455</v>
      </c>
      <c r="B3426" s="50">
        <v>44561.0</v>
      </c>
      <c r="C3426" s="49" t="s">
        <v>78</v>
      </c>
      <c r="D3426" s="49">
        <v>0.0</v>
      </c>
    </row>
    <row r="3427" ht="15.0" hidden="1" customHeight="1">
      <c r="A3427" s="49" t="s">
        <v>470</v>
      </c>
      <c r="B3427" s="50">
        <v>44561.0</v>
      </c>
      <c r="C3427" s="49" t="s">
        <v>78</v>
      </c>
      <c r="D3427" s="49">
        <v>0.0</v>
      </c>
    </row>
    <row r="3428" ht="15.0" hidden="1" customHeight="1">
      <c r="A3428" s="49" t="s">
        <v>476</v>
      </c>
      <c r="B3428" s="50">
        <v>44561.0</v>
      </c>
      <c r="C3428" s="49" t="s">
        <v>78</v>
      </c>
      <c r="D3428" s="49">
        <v>0.0</v>
      </c>
    </row>
    <row r="3429" ht="15.0" hidden="1" customHeight="1">
      <c r="A3429" s="49" t="s">
        <v>481</v>
      </c>
      <c r="B3429" s="50">
        <v>44561.0</v>
      </c>
      <c r="C3429" s="49" t="s">
        <v>78</v>
      </c>
      <c r="D3429" s="49">
        <v>0.0</v>
      </c>
    </row>
    <row r="3430" ht="15.0" hidden="1" customHeight="1">
      <c r="A3430" s="49" t="s">
        <v>486</v>
      </c>
      <c r="B3430" s="50">
        <v>44561.0</v>
      </c>
      <c r="C3430" s="49" t="s">
        <v>78</v>
      </c>
      <c r="D3430" s="49">
        <v>0.0</v>
      </c>
    </row>
    <row r="3431" ht="15.0" hidden="1" customHeight="1">
      <c r="A3431" s="49" t="s">
        <v>491</v>
      </c>
      <c r="B3431" s="50">
        <v>44561.0</v>
      </c>
      <c r="C3431" s="49" t="s">
        <v>78</v>
      </c>
      <c r="D3431" s="49">
        <v>0.0</v>
      </c>
    </row>
    <row r="3432" ht="15.0" hidden="1" customHeight="1">
      <c r="A3432" s="49" t="s">
        <v>496</v>
      </c>
      <c r="B3432" s="50">
        <v>44561.0</v>
      </c>
      <c r="C3432" s="49" t="s">
        <v>78</v>
      </c>
      <c r="D3432" s="49">
        <v>0.0</v>
      </c>
    </row>
    <row r="3433" ht="15.0" hidden="1" customHeight="1">
      <c r="A3433" s="49" t="s">
        <v>501</v>
      </c>
      <c r="B3433" s="50">
        <v>44561.0</v>
      </c>
      <c r="C3433" s="49" t="s">
        <v>78</v>
      </c>
      <c r="D3433" s="49">
        <v>0.0</v>
      </c>
    </row>
    <row r="3434" ht="15.0" hidden="1" customHeight="1">
      <c r="A3434" s="49" t="s">
        <v>506</v>
      </c>
      <c r="B3434" s="50">
        <v>44561.0</v>
      </c>
      <c r="C3434" s="49" t="s">
        <v>78</v>
      </c>
      <c r="D3434" s="49">
        <v>0.0</v>
      </c>
    </row>
    <row r="3435" ht="15.0" hidden="1" customHeight="1">
      <c r="A3435" s="49" t="s">
        <v>512</v>
      </c>
      <c r="B3435" s="50">
        <v>44561.0</v>
      </c>
      <c r="C3435" s="49" t="s">
        <v>78</v>
      </c>
      <c r="D3435" s="49">
        <v>0.0</v>
      </c>
    </row>
    <row r="3436" ht="15.0" hidden="1" customHeight="1">
      <c r="A3436" s="49" t="s">
        <v>517</v>
      </c>
      <c r="B3436" s="50">
        <v>44561.0</v>
      </c>
      <c r="C3436" s="49" t="s">
        <v>78</v>
      </c>
      <c r="D3436" s="49">
        <v>0.0</v>
      </c>
    </row>
    <row r="3437" ht="15.0" hidden="1" customHeight="1">
      <c r="A3437" s="49" t="s">
        <v>522</v>
      </c>
      <c r="B3437" s="50">
        <v>44561.0</v>
      </c>
      <c r="C3437" s="49" t="s">
        <v>78</v>
      </c>
      <c r="D3437" s="49">
        <v>0.0</v>
      </c>
    </row>
    <row r="3438" ht="15.0" hidden="1" customHeight="1">
      <c r="A3438" s="49" t="s">
        <v>528</v>
      </c>
      <c r="B3438" s="50">
        <v>44561.0</v>
      </c>
      <c r="C3438" s="49" t="s">
        <v>78</v>
      </c>
      <c r="D3438" s="49">
        <v>0.0</v>
      </c>
    </row>
    <row r="3439" ht="15.0" hidden="1" customHeight="1">
      <c r="A3439" s="49" t="s">
        <v>533</v>
      </c>
      <c r="B3439" s="50">
        <v>44561.0</v>
      </c>
      <c r="C3439" s="49" t="s">
        <v>78</v>
      </c>
      <c r="D3439" s="49">
        <v>0.0</v>
      </c>
    </row>
    <row r="3440" ht="15.0" hidden="1" customHeight="1">
      <c r="A3440" s="49" t="s">
        <v>538</v>
      </c>
      <c r="B3440" s="50">
        <v>44561.0</v>
      </c>
      <c r="C3440" s="49" t="s">
        <v>78</v>
      </c>
      <c r="D3440" s="49">
        <v>0.0</v>
      </c>
    </row>
    <row r="3441" ht="15.0" hidden="1" customHeight="1">
      <c r="A3441" s="49" t="s">
        <v>546</v>
      </c>
      <c r="B3441" s="50">
        <v>44561.0</v>
      </c>
      <c r="C3441" s="49" t="s">
        <v>78</v>
      </c>
      <c r="D3441" s="49">
        <v>0.0</v>
      </c>
    </row>
    <row r="3442" ht="15.0" hidden="1" customHeight="1">
      <c r="A3442" s="49" t="s">
        <v>551</v>
      </c>
      <c r="B3442" s="50">
        <v>44561.0</v>
      </c>
      <c r="C3442" s="49" t="s">
        <v>78</v>
      </c>
      <c r="D3442" s="49">
        <v>0.0</v>
      </c>
    </row>
    <row r="3443" ht="15.0" hidden="1" customHeight="1">
      <c r="A3443" s="49" t="s">
        <v>556</v>
      </c>
      <c r="B3443" s="50">
        <v>44561.0</v>
      </c>
      <c r="C3443" s="49" t="s">
        <v>78</v>
      </c>
      <c r="D3443" s="49">
        <v>0.0</v>
      </c>
    </row>
    <row r="3444" ht="15.0" hidden="1" customHeight="1">
      <c r="A3444" s="49" t="s">
        <v>561</v>
      </c>
      <c r="B3444" s="50">
        <v>44561.0</v>
      </c>
      <c r="C3444" s="49" t="s">
        <v>78</v>
      </c>
      <c r="D3444" s="49">
        <v>0.0</v>
      </c>
    </row>
    <row r="3445" ht="15.0" hidden="1" customHeight="1">
      <c r="A3445" s="49" t="s">
        <v>566</v>
      </c>
      <c r="B3445" s="50">
        <v>44561.0</v>
      </c>
      <c r="C3445" s="49" t="s">
        <v>78</v>
      </c>
      <c r="D3445" s="49">
        <v>0.0</v>
      </c>
    </row>
    <row r="3446" ht="15.0" hidden="1" customHeight="1">
      <c r="A3446" s="49" t="s">
        <v>571</v>
      </c>
      <c r="B3446" s="50">
        <v>44561.0</v>
      </c>
      <c r="C3446" s="49" t="s">
        <v>78</v>
      </c>
      <c r="D3446" s="49">
        <v>0.0</v>
      </c>
    </row>
    <row r="3447" ht="15.0" hidden="1" customHeight="1">
      <c r="A3447" s="49" t="s">
        <v>576</v>
      </c>
      <c r="B3447" s="50">
        <v>44561.0</v>
      </c>
      <c r="C3447" s="49" t="s">
        <v>78</v>
      </c>
      <c r="D3447" s="49">
        <v>0.0</v>
      </c>
    </row>
    <row r="3448" ht="15.0" hidden="1" customHeight="1">
      <c r="A3448" s="49" t="s">
        <v>581</v>
      </c>
      <c r="B3448" s="50">
        <v>44561.0</v>
      </c>
      <c r="C3448" s="49" t="s">
        <v>78</v>
      </c>
      <c r="D3448" s="49">
        <v>0.0</v>
      </c>
    </row>
    <row r="3449" ht="15.0" hidden="1" customHeight="1">
      <c r="A3449" s="49" t="s">
        <v>586</v>
      </c>
      <c r="B3449" s="50">
        <v>44561.0</v>
      </c>
      <c r="C3449" s="49" t="s">
        <v>78</v>
      </c>
      <c r="D3449" s="49">
        <v>0.0</v>
      </c>
    </row>
    <row r="3450" ht="15.0" hidden="1" customHeight="1">
      <c r="A3450" s="49" t="s">
        <v>754</v>
      </c>
      <c r="B3450" s="50">
        <v>44561.0</v>
      </c>
      <c r="C3450" s="49" t="s">
        <v>78</v>
      </c>
      <c r="D3450" s="49">
        <v>0.0</v>
      </c>
    </row>
    <row r="3451" ht="15.0" hidden="1" customHeight="1">
      <c r="A3451" s="49" t="s">
        <v>591</v>
      </c>
      <c r="B3451" s="50">
        <v>44561.0</v>
      </c>
      <c r="C3451" s="49" t="s">
        <v>78</v>
      </c>
      <c r="D3451" s="49">
        <v>0.0</v>
      </c>
    </row>
    <row r="3452" ht="15.0" hidden="1" customHeight="1">
      <c r="A3452" s="49" t="s">
        <v>759</v>
      </c>
      <c r="B3452" s="50">
        <v>44561.0</v>
      </c>
      <c r="C3452" s="49" t="s">
        <v>78</v>
      </c>
      <c r="D3452" s="49">
        <v>0.0</v>
      </c>
    </row>
    <row r="3453" ht="15.0" hidden="1" customHeight="1">
      <c r="A3453" s="49" t="s">
        <v>596</v>
      </c>
      <c r="B3453" s="50">
        <v>44561.0</v>
      </c>
      <c r="C3453" s="49" t="s">
        <v>78</v>
      </c>
      <c r="D3453" s="49">
        <v>0.0</v>
      </c>
    </row>
    <row r="3454" ht="15.0" hidden="1" customHeight="1">
      <c r="A3454" s="49" t="s">
        <v>602</v>
      </c>
      <c r="B3454" s="50">
        <v>44561.0</v>
      </c>
      <c r="C3454" s="49" t="s">
        <v>78</v>
      </c>
      <c r="D3454" s="49">
        <v>0.0</v>
      </c>
    </row>
    <row r="3455" ht="15.0" hidden="1" customHeight="1">
      <c r="A3455" s="49" t="s">
        <v>607</v>
      </c>
      <c r="B3455" s="50">
        <v>44561.0</v>
      </c>
      <c r="C3455" s="49" t="s">
        <v>78</v>
      </c>
      <c r="D3455" s="49">
        <v>0.0</v>
      </c>
    </row>
    <row r="3456" ht="15.0" hidden="1" customHeight="1">
      <c r="A3456" s="49" t="s">
        <v>612</v>
      </c>
      <c r="B3456" s="50">
        <v>44561.0</v>
      </c>
      <c r="C3456" s="49" t="s">
        <v>78</v>
      </c>
      <c r="D3456" s="49">
        <v>0.0</v>
      </c>
    </row>
    <row r="3457" ht="15.0" hidden="1" customHeight="1">
      <c r="A3457" s="49" t="s">
        <v>617</v>
      </c>
      <c r="B3457" s="50">
        <v>44561.0</v>
      </c>
      <c r="C3457" s="49" t="s">
        <v>78</v>
      </c>
      <c r="D3457" s="49">
        <v>0.0</v>
      </c>
    </row>
    <row r="3458" ht="15.0" hidden="1" customHeight="1">
      <c r="A3458" s="49" t="s">
        <v>622</v>
      </c>
      <c r="B3458" s="50">
        <v>44561.0</v>
      </c>
      <c r="C3458" s="49" t="s">
        <v>78</v>
      </c>
      <c r="D3458" s="49">
        <v>0.0</v>
      </c>
    </row>
    <row r="3459" ht="15.0" hidden="1" customHeight="1">
      <c r="A3459" s="49" t="s">
        <v>627</v>
      </c>
      <c r="B3459" s="50">
        <v>44561.0</v>
      </c>
      <c r="C3459" s="49" t="s">
        <v>78</v>
      </c>
      <c r="D3459" s="49">
        <v>0.0</v>
      </c>
    </row>
    <row r="3460" ht="15.0" hidden="1" customHeight="1">
      <c r="A3460" s="49" t="s">
        <v>631</v>
      </c>
      <c r="B3460" s="50">
        <v>44561.0</v>
      </c>
      <c r="C3460" s="49" t="s">
        <v>78</v>
      </c>
      <c r="D3460" s="49">
        <v>0.0</v>
      </c>
    </row>
    <row r="3461" ht="15.0" hidden="1" customHeight="1">
      <c r="A3461" s="49" t="s">
        <v>636</v>
      </c>
      <c r="B3461" s="50">
        <v>44561.0</v>
      </c>
      <c r="C3461" s="49" t="s">
        <v>78</v>
      </c>
      <c r="D3461" s="49">
        <v>0.0</v>
      </c>
    </row>
    <row r="3462" ht="15.0" hidden="1" customHeight="1">
      <c r="A3462" s="49" t="s">
        <v>640</v>
      </c>
      <c r="B3462" s="50">
        <v>44561.0</v>
      </c>
      <c r="C3462" s="49" t="s">
        <v>78</v>
      </c>
      <c r="D3462" s="49">
        <v>0.0</v>
      </c>
    </row>
    <row r="3463" ht="15.0" hidden="1" customHeight="1">
      <c r="A3463" s="49" t="s">
        <v>644</v>
      </c>
      <c r="B3463" s="50">
        <v>44561.0</v>
      </c>
      <c r="C3463" s="49" t="s">
        <v>78</v>
      </c>
      <c r="D3463" s="49">
        <v>0.0</v>
      </c>
    </row>
    <row r="3464" ht="15.0" hidden="1" customHeight="1">
      <c r="A3464" s="49" t="s">
        <v>649</v>
      </c>
      <c r="B3464" s="50">
        <v>44561.0</v>
      </c>
      <c r="C3464" s="49" t="s">
        <v>78</v>
      </c>
      <c r="D3464" s="49">
        <v>0.0</v>
      </c>
    </row>
    <row r="3465" ht="15.0" hidden="1" customHeight="1">
      <c r="A3465" s="49" t="s">
        <v>654</v>
      </c>
      <c r="B3465" s="50">
        <v>44561.0</v>
      </c>
      <c r="C3465" s="49" t="s">
        <v>78</v>
      </c>
      <c r="D3465" s="49">
        <v>0.0</v>
      </c>
    </row>
    <row r="3466" ht="15.0" hidden="1" customHeight="1">
      <c r="A3466" s="49" t="s">
        <v>659</v>
      </c>
      <c r="B3466" s="50">
        <v>44561.0</v>
      </c>
      <c r="C3466" s="49" t="s">
        <v>78</v>
      </c>
      <c r="D3466" s="49">
        <v>0.0</v>
      </c>
    </row>
    <row r="3467" ht="15.0" hidden="1" customHeight="1">
      <c r="A3467" s="49" t="s">
        <v>664</v>
      </c>
      <c r="B3467" s="50">
        <v>44561.0</v>
      </c>
      <c r="C3467" s="49" t="s">
        <v>78</v>
      </c>
      <c r="D3467" s="49">
        <v>0.0</v>
      </c>
    </row>
    <row r="3468" ht="15.0" hidden="1" customHeight="1">
      <c r="A3468" s="49" t="s">
        <v>669</v>
      </c>
      <c r="B3468" s="50">
        <v>44561.0</v>
      </c>
      <c r="C3468" s="49" t="s">
        <v>78</v>
      </c>
      <c r="D3468" s="49">
        <v>0.0</v>
      </c>
    </row>
    <row r="3469" ht="15.0" hidden="1" customHeight="1">
      <c r="A3469" s="49" t="s">
        <v>674</v>
      </c>
      <c r="B3469" s="50">
        <v>44561.0</v>
      </c>
      <c r="C3469" s="49" t="s">
        <v>78</v>
      </c>
      <c r="D3469" s="49">
        <v>0.0</v>
      </c>
    </row>
    <row r="3470" ht="15.0" hidden="1" customHeight="1">
      <c r="A3470" s="49" t="s">
        <v>679</v>
      </c>
      <c r="B3470" s="50">
        <v>44561.0</v>
      </c>
      <c r="C3470" s="49" t="s">
        <v>78</v>
      </c>
      <c r="D3470" s="49">
        <v>0.0</v>
      </c>
    </row>
    <row r="3471" ht="15.0" hidden="1" customHeight="1">
      <c r="A3471" s="49" t="s">
        <v>684</v>
      </c>
      <c r="B3471" s="50">
        <v>44561.0</v>
      </c>
      <c r="C3471" s="49" t="s">
        <v>78</v>
      </c>
      <c r="D3471" s="49">
        <v>0.0</v>
      </c>
    </row>
    <row r="3472" ht="15.0" hidden="1" customHeight="1">
      <c r="A3472" s="49" t="s">
        <v>689</v>
      </c>
      <c r="B3472" s="50">
        <v>44561.0</v>
      </c>
      <c r="C3472" s="49" t="s">
        <v>78</v>
      </c>
      <c r="D3472" s="49">
        <v>0.0</v>
      </c>
    </row>
    <row r="3473" ht="15.0" hidden="1" customHeight="1">
      <c r="A3473" s="49" t="s">
        <v>694</v>
      </c>
      <c r="B3473" s="50">
        <v>44561.0</v>
      </c>
      <c r="C3473" s="49" t="s">
        <v>78</v>
      </c>
      <c r="D3473" s="49">
        <v>0.0</v>
      </c>
    </row>
    <row r="3474" ht="15.0" hidden="1" customHeight="1">
      <c r="A3474" s="49" t="s">
        <v>699</v>
      </c>
      <c r="B3474" s="50">
        <v>44561.0</v>
      </c>
      <c r="C3474" s="49" t="s">
        <v>78</v>
      </c>
      <c r="D3474" s="49">
        <v>0.0</v>
      </c>
    </row>
    <row r="3475" ht="15.0" hidden="1" customHeight="1">
      <c r="A3475" s="49" t="s">
        <v>705</v>
      </c>
      <c r="B3475" s="50">
        <v>44561.0</v>
      </c>
      <c r="C3475" s="49" t="s">
        <v>78</v>
      </c>
      <c r="D3475" s="49">
        <v>0.0</v>
      </c>
    </row>
    <row r="3476" ht="15.0" hidden="1" customHeight="1">
      <c r="A3476" s="49" t="s">
        <v>710</v>
      </c>
      <c r="B3476" s="50">
        <v>44561.0</v>
      </c>
      <c r="C3476" s="49" t="s">
        <v>78</v>
      </c>
      <c r="D3476" s="49">
        <v>0.0</v>
      </c>
    </row>
    <row r="3477" ht="15.0" hidden="1" customHeight="1">
      <c r="A3477" s="49" t="s">
        <v>715</v>
      </c>
      <c r="B3477" s="50">
        <v>44561.0</v>
      </c>
      <c r="C3477" s="49" t="s">
        <v>78</v>
      </c>
      <c r="D3477" s="49">
        <v>0.0</v>
      </c>
    </row>
    <row r="3478" ht="15.0" hidden="1" customHeight="1">
      <c r="A3478" s="49" t="s">
        <v>765</v>
      </c>
      <c r="B3478" s="50">
        <v>44561.0</v>
      </c>
      <c r="C3478" s="49" t="s">
        <v>78</v>
      </c>
      <c r="D3478" s="49">
        <v>0.0</v>
      </c>
    </row>
    <row r="3479" ht="15.0" hidden="1" customHeight="1">
      <c r="A3479" s="49" t="s">
        <v>720</v>
      </c>
      <c r="B3479" s="50">
        <v>44561.0</v>
      </c>
      <c r="C3479" s="49" t="s">
        <v>78</v>
      </c>
      <c r="D3479" s="49">
        <v>0.0</v>
      </c>
    </row>
    <row r="3480" ht="15.0" hidden="1" customHeight="1">
      <c r="A3480" s="49" t="s">
        <v>725</v>
      </c>
      <c r="B3480" s="50">
        <v>44561.0</v>
      </c>
      <c r="C3480" s="49" t="s">
        <v>78</v>
      </c>
      <c r="D3480" s="49">
        <v>0.0</v>
      </c>
    </row>
    <row r="3481" ht="15.0" hidden="1" customHeight="1">
      <c r="A3481" s="49" t="s">
        <v>730</v>
      </c>
      <c r="B3481" s="50">
        <v>44561.0</v>
      </c>
      <c r="C3481" s="49" t="s">
        <v>78</v>
      </c>
      <c r="D3481" s="49">
        <v>0.0</v>
      </c>
    </row>
    <row r="3482" ht="15.0" hidden="1" customHeight="1">
      <c r="A3482" s="49" t="s">
        <v>734</v>
      </c>
      <c r="B3482" s="50">
        <v>44561.0</v>
      </c>
      <c r="C3482" s="49" t="s">
        <v>78</v>
      </c>
      <c r="D3482" s="49">
        <v>0.0</v>
      </c>
    </row>
    <row r="3483" ht="15.0" hidden="1" customHeight="1">
      <c r="A3483" s="49" t="s">
        <v>739</v>
      </c>
      <c r="B3483" s="50">
        <v>44561.0</v>
      </c>
      <c r="C3483" s="49" t="s">
        <v>78</v>
      </c>
      <c r="D3483" s="49">
        <v>0.0</v>
      </c>
    </row>
    <row r="3484" ht="15.0" hidden="1" customHeight="1">
      <c r="A3484" s="49" t="s">
        <v>744</v>
      </c>
      <c r="B3484" s="50">
        <v>44561.0</v>
      </c>
      <c r="C3484" s="49" t="s">
        <v>78</v>
      </c>
      <c r="D3484" s="49">
        <v>0.0</v>
      </c>
    </row>
    <row r="3485" ht="15.0" hidden="1" customHeight="1">
      <c r="A3485" s="49" t="s">
        <v>749</v>
      </c>
      <c r="B3485" s="50">
        <v>44561.0</v>
      </c>
      <c r="C3485" s="49" t="s">
        <v>78</v>
      </c>
      <c r="D3485" s="49">
        <v>0.0</v>
      </c>
    </row>
    <row r="3486" ht="15.0" customHeight="1">
      <c r="A3486" s="49" t="s">
        <v>776</v>
      </c>
      <c r="B3486" s="50">
        <v>44561.0</v>
      </c>
      <c r="C3486" s="49" t="s">
        <v>69</v>
      </c>
      <c r="D3486" s="49">
        <v>0.0</v>
      </c>
    </row>
    <row r="3487" ht="15.0" hidden="1" customHeight="1">
      <c r="A3487" s="49" t="s">
        <v>778</v>
      </c>
      <c r="B3487" s="50">
        <v>44561.0</v>
      </c>
      <c r="C3487" s="49" t="s">
        <v>69</v>
      </c>
      <c r="D3487" s="49">
        <v>0.0</v>
      </c>
    </row>
    <row r="3488" ht="15.0" hidden="1" customHeight="1">
      <c r="A3488" s="49" t="s">
        <v>92</v>
      </c>
      <c r="B3488" s="50">
        <v>44561.0</v>
      </c>
      <c r="C3488" s="49" t="s">
        <v>69</v>
      </c>
      <c r="D3488" s="49">
        <v>1351000.0</v>
      </c>
    </row>
    <row r="3489" ht="15.0" hidden="1" customHeight="1">
      <c r="A3489" s="49" t="s">
        <v>97</v>
      </c>
      <c r="B3489" s="50">
        <v>44561.0</v>
      </c>
      <c r="C3489" s="49" t="s">
        <v>69</v>
      </c>
      <c r="D3489" s="49">
        <v>0.0</v>
      </c>
    </row>
    <row r="3490" ht="15.0" hidden="1" customHeight="1">
      <c r="A3490" s="49" t="s">
        <v>102</v>
      </c>
      <c r="B3490" s="50">
        <v>44561.0</v>
      </c>
      <c r="C3490" s="49" t="s">
        <v>69</v>
      </c>
      <c r="D3490" s="49">
        <v>0.0</v>
      </c>
    </row>
    <row r="3491" ht="15.0" hidden="1" customHeight="1">
      <c r="A3491" s="49" t="s">
        <v>106</v>
      </c>
      <c r="B3491" s="50">
        <v>44561.0</v>
      </c>
      <c r="C3491" s="49" t="s">
        <v>69</v>
      </c>
      <c r="D3491" s="49">
        <v>0.0</v>
      </c>
    </row>
    <row r="3492" ht="15.0" hidden="1" customHeight="1">
      <c r="A3492" s="49" t="s">
        <v>111</v>
      </c>
      <c r="B3492" s="50">
        <v>44561.0</v>
      </c>
      <c r="C3492" s="49" t="s">
        <v>69</v>
      </c>
      <c r="D3492" s="49">
        <v>0.0</v>
      </c>
    </row>
    <row r="3493" ht="15.0" hidden="1" customHeight="1">
      <c r="A3493" s="49" t="s">
        <v>116</v>
      </c>
      <c r="B3493" s="50">
        <v>44561.0</v>
      </c>
      <c r="C3493" s="49" t="s">
        <v>69</v>
      </c>
      <c r="D3493" s="49">
        <v>0.0</v>
      </c>
    </row>
    <row r="3494" ht="15.0" hidden="1" customHeight="1">
      <c r="A3494" s="49" t="s">
        <v>120</v>
      </c>
      <c r="B3494" s="50">
        <v>44561.0</v>
      </c>
      <c r="C3494" s="49" t="s">
        <v>69</v>
      </c>
      <c r="D3494" s="49">
        <v>1200000.0</v>
      </c>
    </row>
    <row r="3495" ht="15.0" hidden="1" customHeight="1">
      <c r="A3495" s="49" t="s">
        <v>125</v>
      </c>
      <c r="B3495" s="50">
        <v>44561.0</v>
      </c>
      <c r="C3495" s="49" t="s">
        <v>69</v>
      </c>
      <c r="D3495" s="49">
        <v>200000.0</v>
      </c>
    </row>
    <row r="3496" ht="15.0" hidden="1" customHeight="1">
      <c r="A3496" s="49" t="s">
        <v>130</v>
      </c>
      <c r="B3496" s="50">
        <v>44561.0</v>
      </c>
      <c r="C3496" s="49" t="s">
        <v>69</v>
      </c>
      <c r="D3496" s="49">
        <v>700000.0</v>
      </c>
    </row>
    <row r="3497" ht="15.0" hidden="1" customHeight="1">
      <c r="A3497" s="49" t="s">
        <v>137</v>
      </c>
      <c r="B3497" s="50">
        <v>44561.0</v>
      </c>
      <c r="C3497" s="49" t="s">
        <v>69</v>
      </c>
      <c r="D3497" s="49">
        <v>0.0</v>
      </c>
    </row>
    <row r="3498" ht="15.0" hidden="1" customHeight="1">
      <c r="A3498" s="49" t="s">
        <v>142</v>
      </c>
      <c r="B3498" s="50">
        <v>44561.0</v>
      </c>
      <c r="C3498" s="49" t="s">
        <v>69</v>
      </c>
      <c r="D3498" s="49">
        <v>0.0</v>
      </c>
    </row>
    <row r="3499" ht="15.0" hidden="1" customHeight="1">
      <c r="A3499" s="49" t="s">
        <v>147</v>
      </c>
      <c r="B3499" s="50">
        <v>44561.0</v>
      </c>
      <c r="C3499" s="49" t="s">
        <v>69</v>
      </c>
      <c r="D3499" s="49">
        <v>0.0</v>
      </c>
    </row>
    <row r="3500" ht="15.0" hidden="1" customHeight="1">
      <c r="A3500" s="49" t="s">
        <v>152</v>
      </c>
      <c r="B3500" s="50">
        <v>44561.0</v>
      </c>
      <c r="C3500" s="49" t="s">
        <v>69</v>
      </c>
      <c r="D3500" s="49">
        <v>0.0</v>
      </c>
    </row>
    <row r="3501" ht="15.0" hidden="1" customHeight="1">
      <c r="A3501" s="49" t="s">
        <v>157</v>
      </c>
      <c r="B3501" s="50">
        <v>44561.0</v>
      </c>
      <c r="C3501" s="49" t="s">
        <v>69</v>
      </c>
      <c r="D3501" s="49">
        <v>0.0</v>
      </c>
    </row>
    <row r="3502" ht="15.0" hidden="1" customHeight="1">
      <c r="A3502" s="49" t="s">
        <v>162</v>
      </c>
      <c r="B3502" s="50">
        <v>44561.0</v>
      </c>
      <c r="C3502" s="49" t="s">
        <v>69</v>
      </c>
      <c r="D3502" s="49">
        <v>0.0</v>
      </c>
    </row>
    <row r="3503" ht="15.0" hidden="1" customHeight="1">
      <c r="A3503" s="49" t="s">
        <v>167</v>
      </c>
      <c r="B3503" s="50">
        <v>44561.0</v>
      </c>
      <c r="C3503" s="49" t="s">
        <v>69</v>
      </c>
      <c r="D3503" s="49">
        <v>0.0</v>
      </c>
    </row>
    <row r="3504" ht="15.0" hidden="1" customHeight="1">
      <c r="A3504" s="49" t="s">
        <v>172</v>
      </c>
      <c r="B3504" s="50">
        <v>44561.0</v>
      </c>
      <c r="C3504" s="49" t="s">
        <v>69</v>
      </c>
      <c r="D3504" s="49">
        <v>0.0</v>
      </c>
    </row>
    <row r="3505" ht="15.0" hidden="1" customHeight="1">
      <c r="A3505" s="49" t="s">
        <v>177</v>
      </c>
      <c r="B3505" s="50">
        <v>44561.0</v>
      </c>
      <c r="C3505" s="49" t="s">
        <v>69</v>
      </c>
      <c r="D3505" s="49">
        <v>150000.0</v>
      </c>
    </row>
    <row r="3506" ht="15.0" hidden="1" customHeight="1">
      <c r="A3506" s="49" t="s">
        <v>182</v>
      </c>
      <c r="B3506" s="50">
        <v>44561.0</v>
      </c>
      <c r="C3506" s="49" t="s">
        <v>69</v>
      </c>
      <c r="D3506" s="49">
        <v>250000.0</v>
      </c>
    </row>
    <row r="3507" ht="15.0" hidden="1" customHeight="1">
      <c r="A3507" s="49" t="s">
        <v>187</v>
      </c>
      <c r="B3507" s="50">
        <v>44561.0</v>
      </c>
      <c r="C3507" s="49" t="s">
        <v>69</v>
      </c>
      <c r="D3507" s="49">
        <v>0.0</v>
      </c>
    </row>
    <row r="3508" ht="15.0" hidden="1" customHeight="1">
      <c r="A3508" s="49" t="s">
        <v>192</v>
      </c>
      <c r="B3508" s="50">
        <v>44561.0</v>
      </c>
      <c r="C3508" s="49" t="s">
        <v>69</v>
      </c>
      <c r="D3508" s="49">
        <v>0.0</v>
      </c>
    </row>
    <row r="3509" ht="15.0" hidden="1" customHeight="1">
      <c r="A3509" s="49" t="s">
        <v>197</v>
      </c>
      <c r="B3509" s="50">
        <v>44561.0</v>
      </c>
      <c r="C3509" s="49" t="s">
        <v>69</v>
      </c>
      <c r="D3509" s="49">
        <v>100000.0</v>
      </c>
    </row>
    <row r="3510" ht="15.0" hidden="1" customHeight="1">
      <c r="A3510" s="49" t="s">
        <v>202</v>
      </c>
      <c r="B3510" s="50">
        <v>44561.0</v>
      </c>
      <c r="C3510" s="49" t="s">
        <v>69</v>
      </c>
      <c r="D3510" s="49">
        <v>1500000.0</v>
      </c>
    </row>
    <row r="3511" ht="15.0" hidden="1" customHeight="1">
      <c r="A3511" s="49" t="s">
        <v>206</v>
      </c>
      <c r="B3511" s="50">
        <v>44561.0</v>
      </c>
      <c r="C3511" s="49" t="s">
        <v>69</v>
      </c>
      <c r="D3511" s="49">
        <v>20000.0</v>
      </c>
    </row>
    <row r="3512" ht="15.0" hidden="1" customHeight="1">
      <c r="A3512" s="49" t="s">
        <v>211</v>
      </c>
      <c r="B3512" s="50">
        <v>44561.0</v>
      </c>
      <c r="C3512" s="49" t="s">
        <v>69</v>
      </c>
      <c r="D3512" s="49">
        <v>600000.0</v>
      </c>
    </row>
    <row r="3513" ht="15.0" hidden="1" customHeight="1">
      <c r="A3513" s="49" t="s">
        <v>779</v>
      </c>
      <c r="B3513" s="50">
        <v>44561.0</v>
      </c>
      <c r="C3513" s="49" t="s">
        <v>69</v>
      </c>
      <c r="D3513" s="49">
        <v>50000.0</v>
      </c>
    </row>
    <row r="3514" ht="15.0" hidden="1" customHeight="1">
      <c r="A3514" s="49" t="s">
        <v>221</v>
      </c>
      <c r="B3514" s="50">
        <v>44561.0</v>
      </c>
      <c r="C3514" s="49" t="s">
        <v>69</v>
      </c>
      <c r="D3514" s="49">
        <v>90000.0</v>
      </c>
    </row>
    <row r="3515" ht="15.0" hidden="1" customHeight="1">
      <c r="A3515" s="49" t="s">
        <v>226</v>
      </c>
      <c r="B3515" s="50">
        <v>44561.0</v>
      </c>
      <c r="C3515" s="49" t="s">
        <v>69</v>
      </c>
      <c r="D3515" s="49">
        <v>2500000.0</v>
      </c>
    </row>
    <row r="3516" ht="15.0" hidden="1" customHeight="1">
      <c r="A3516" s="49" t="s">
        <v>231</v>
      </c>
      <c r="B3516" s="50">
        <v>44561.0</v>
      </c>
      <c r="C3516" s="49" t="s">
        <v>69</v>
      </c>
      <c r="D3516" s="49">
        <v>325000.0</v>
      </c>
    </row>
    <row r="3517" ht="15.0" hidden="1" customHeight="1">
      <c r="A3517" s="49" t="s">
        <v>236</v>
      </c>
      <c r="B3517" s="50">
        <v>44561.0</v>
      </c>
      <c r="C3517" s="49" t="s">
        <v>69</v>
      </c>
      <c r="D3517" s="49">
        <v>225000.0</v>
      </c>
    </row>
    <row r="3518" ht="15.0" hidden="1" customHeight="1">
      <c r="A3518" s="49" t="s">
        <v>242</v>
      </c>
      <c r="B3518" s="50">
        <v>44561.0</v>
      </c>
      <c r="C3518" s="49" t="s">
        <v>69</v>
      </c>
      <c r="D3518" s="49">
        <v>100000.0</v>
      </c>
    </row>
    <row r="3519" ht="15.0" hidden="1" customHeight="1">
      <c r="A3519" s="49" t="s">
        <v>248</v>
      </c>
      <c r="B3519" s="50">
        <v>44561.0</v>
      </c>
      <c r="C3519" s="49" t="s">
        <v>69</v>
      </c>
      <c r="D3519" s="49">
        <v>100000.0</v>
      </c>
    </row>
    <row r="3520" ht="15.0" hidden="1" customHeight="1">
      <c r="A3520" s="49" t="s">
        <v>253</v>
      </c>
      <c r="B3520" s="50">
        <v>44561.0</v>
      </c>
      <c r="C3520" s="49" t="s">
        <v>69</v>
      </c>
      <c r="D3520" s="49">
        <v>0.0</v>
      </c>
    </row>
    <row r="3521" ht="15.0" hidden="1" customHeight="1">
      <c r="A3521" s="49" t="s">
        <v>258</v>
      </c>
      <c r="B3521" s="50">
        <v>44561.0</v>
      </c>
      <c r="C3521" s="49" t="s">
        <v>69</v>
      </c>
      <c r="D3521" s="49">
        <v>100000.0</v>
      </c>
    </row>
    <row r="3522" ht="15.0" hidden="1" customHeight="1">
      <c r="A3522" s="49" t="s">
        <v>263</v>
      </c>
      <c r="B3522" s="50">
        <v>44561.0</v>
      </c>
      <c r="C3522" s="49" t="s">
        <v>69</v>
      </c>
      <c r="D3522" s="49">
        <v>0.0</v>
      </c>
    </row>
    <row r="3523" ht="15.0" hidden="1" customHeight="1">
      <c r="A3523" s="49" t="s">
        <v>268</v>
      </c>
      <c r="B3523" s="50">
        <v>44561.0</v>
      </c>
      <c r="C3523" s="49" t="s">
        <v>69</v>
      </c>
      <c r="D3523" s="49">
        <v>0.0</v>
      </c>
    </row>
    <row r="3524" ht="15.0" hidden="1" customHeight="1">
      <c r="A3524" s="49" t="s">
        <v>273</v>
      </c>
      <c r="B3524" s="50">
        <v>44561.0</v>
      </c>
      <c r="C3524" s="49" t="s">
        <v>69</v>
      </c>
      <c r="D3524" s="49">
        <v>0.0</v>
      </c>
    </row>
    <row r="3525" ht="15.0" hidden="1" customHeight="1">
      <c r="A3525" s="49" t="s">
        <v>278</v>
      </c>
      <c r="B3525" s="50">
        <v>44561.0</v>
      </c>
      <c r="C3525" s="49" t="s">
        <v>69</v>
      </c>
      <c r="D3525" s="49">
        <v>0.0</v>
      </c>
    </row>
    <row r="3526" ht="15.0" hidden="1" customHeight="1">
      <c r="A3526" s="49" t="s">
        <v>283</v>
      </c>
      <c r="B3526" s="50">
        <v>44561.0</v>
      </c>
      <c r="C3526" s="49" t="s">
        <v>69</v>
      </c>
      <c r="D3526" s="49">
        <v>0.0</v>
      </c>
    </row>
    <row r="3527" ht="15.0" hidden="1" customHeight="1">
      <c r="A3527" s="49" t="s">
        <v>288</v>
      </c>
      <c r="B3527" s="50">
        <v>44561.0</v>
      </c>
      <c r="C3527" s="49" t="s">
        <v>69</v>
      </c>
      <c r="D3527" s="49">
        <v>0.0</v>
      </c>
    </row>
    <row r="3528" ht="15.0" hidden="1" customHeight="1">
      <c r="A3528" s="49" t="s">
        <v>293</v>
      </c>
      <c r="B3528" s="50">
        <v>44561.0</v>
      </c>
      <c r="C3528" s="49" t="s">
        <v>69</v>
      </c>
      <c r="D3528" s="49">
        <v>0.0</v>
      </c>
    </row>
    <row r="3529" ht="15.0" hidden="1" customHeight="1">
      <c r="A3529" s="49" t="s">
        <v>298</v>
      </c>
      <c r="B3529" s="50">
        <v>44561.0</v>
      </c>
      <c r="C3529" s="49" t="s">
        <v>69</v>
      </c>
      <c r="D3529" s="49">
        <v>0.0</v>
      </c>
    </row>
    <row r="3530" ht="15.0" hidden="1" customHeight="1">
      <c r="A3530" s="49" t="s">
        <v>303</v>
      </c>
      <c r="B3530" s="50">
        <v>44561.0</v>
      </c>
      <c r="C3530" s="49" t="s">
        <v>69</v>
      </c>
      <c r="D3530" s="49">
        <v>0.0</v>
      </c>
    </row>
    <row r="3531" ht="15.0" hidden="1" customHeight="1">
      <c r="A3531" s="49" t="s">
        <v>307</v>
      </c>
      <c r="B3531" s="50">
        <v>44561.0</v>
      </c>
      <c r="C3531" s="49" t="s">
        <v>69</v>
      </c>
      <c r="D3531" s="49">
        <v>0.0</v>
      </c>
    </row>
    <row r="3532" ht="15.0" hidden="1" customHeight="1">
      <c r="A3532" s="49" t="s">
        <v>313</v>
      </c>
      <c r="B3532" s="50">
        <v>44561.0</v>
      </c>
      <c r="C3532" s="49" t="s">
        <v>69</v>
      </c>
      <c r="D3532" s="49">
        <v>0.0</v>
      </c>
    </row>
    <row r="3533" ht="15.0" hidden="1" customHeight="1">
      <c r="A3533" s="49" t="s">
        <v>318</v>
      </c>
      <c r="B3533" s="50">
        <v>44561.0</v>
      </c>
      <c r="C3533" s="49" t="s">
        <v>69</v>
      </c>
      <c r="D3533" s="49">
        <v>0.0</v>
      </c>
    </row>
    <row r="3534" ht="15.0" hidden="1" customHeight="1">
      <c r="A3534" s="49" t="s">
        <v>323</v>
      </c>
      <c r="B3534" s="50">
        <v>44561.0</v>
      </c>
      <c r="C3534" s="49" t="s">
        <v>69</v>
      </c>
      <c r="D3534" s="49">
        <v>0.0</v>
      </c>
    </row>
    <row r="3535" ht="15.0" hidden="1" customHeight="1">
      <c r="A3535" s="49" t="s">
        <v>328</v>
      </c>
      <c r="B3535" s="50">
        <v>44561.0</v>
      </c>
      <c r="C3535" s="49" t="s">
        <v>69</v>
      </c>
      <c r="D3535" s="49">
        <v>0.0</v>
      </c>
    </row>
    <row r="3536" ht="15.0" hidden="1" customHeight="1">
      <c r="A3536" s="49" t="s">
        <v>335</v>
      </c>
      <c r="B3536" s="50">
        <v>44561.0</v>
      </c>
      <c r="C3536" s="49" t="s">
        <v>69</v>
      </c>
      <c r="D3536" s="49">
        <v>0.0</v>
      </c>
    </row>
    <row r="3537" ht="15.0" hidden="1" customHeight="1">
      <c r="A3537" s="49" t="s">
        <v>340</v>
      </c>
      <c r="B3537" s="50">
        <v>44561.0</v>
      </c>
      <c r="C3537" s="49" t="s">
        <v>69</v>
      </c>
      <c r="D3537" s="49">
        <v>0.0</v>
      </c>
    </row>
    <row r="3538" ht="15.0" hidden="1" customHeight="1">
      <c r="A3538" s="49" t="s">
        <v>345</v>
      </c>
      <c r="B3538" s="50">
        <v>44561.0</v>
      </c>
      <c r="C3538" s="49" t="s">
        <v>69</v>
      </c>
      <c r="D3538" s="49">
        <v>0.0</v>
      </c>
    </row>
    <row r="3539" ht="15.0" hidden="1" customHeight="1">
      <c r="A3539" s="49" t="s">
        <v>350</v>
      </c>
      <c r="B3539" s="50">
        <v>44561.0</v>
      </c>
      <c r="C3539" s="49" t="s">
        <v>69</v>
      </c>
      <c r="D3539" s="49">
        <v>0.0</v>
      </c>
    </row>
    <row r="3540" ht="15.0" hidden="1" customHeight="1">
      <c r="A3540" s="49" t="s">
        <v>355</v>
      </c>
      <c r="B3540" s="50">
        <v>44561.0</v>
      </c>
      <c r="C3540" s="49" t="s">
        <v>69</v>
      </c>
      <c r="D3540" s="49">
        <v>0.0</v>
      </c>
    </row>
    <row r="3541" ht="15.0" hidden="1" customHeight="1">
      <c r="A3541" s="49" t="s">
        <v>360</v>
      </c>
      <c r="B3541" s="50">
        <v>44561.0</v>
      </c>
      <c r="C3541" s="49" t="s">
        <v>69</v>
      </c>
      <c r="D3541" s="49">
        <v>0.0</v>
      </c>
    </row>
    <row r="3542" ht="15.0" hidden="1" customHeight="1">
      <c r="A3542" s="49" t="s">
        <v>365</v>
      </c>
      <c r="B3542" s="50">
        <v>44561.0</v>
      </c>
      <c r="C3542" s="49" t="s">
        <v>69</v>
      </c>
      <c r="D3542" s="49">
        <v>0.0</v>
      </c>
    </row>
    <row r="3543" ht="15.0" hidden="1" customHeight="1">
      <c r="A3543" s="49" t="s">
        <v>370</v>
      </c>
      <c r="B3543" s="50">
        <v>44561.0</v>
      </c>
      <c r="C3543" s="49" t="s">
        <v>69</v>
      </c>
      <c r="D3543" s="49">
        <v>0.0</v>
      </c>
    </row>
    <row r="3544" ht="15.0" hidden="1" customHeight="1">
      <c r="A3544" s="49" t="s">
        <v>375</v>
      </c>
      <c r="B3544" s="50">
        <v>44561.0</v>
      </c>
      <c r="C3544" s="49" t="s">
        <v>69</v>
      </c>
      <c r="D3544" s="49">
        <v>0.0</v>
      </c>
    </row>
    <row r="3545" ht="15.0" hidden="1" customHeight="1">
      <c r="A3545" s="49" t="s">
        <v>380</v>
      </c>
      <c r="B3545" s="50">
        <v>44561.0</v>
      </c>
      <c r="C3545" s="49" t="s">
        <v>69</v>
      </c>
      <c r="D3545" s="49">
        <v>0.0</v>
      </c>
    </row>
    <row r="3546" ht="15.0" hidden="1" customHeight="1">
      <c r="A3546" s="49" t="s">
        <v>385</v>
      </c>
      <c r="B3546" s="50">
        <v>44561.0</v>
      </c>
      <c r="C3546" s="49" t="s">
        <v>69</v>
      </c>
      <c r="D3546" s="49">
        <v>0.0</v>
      </c>
    </row>
    <row r="3547" ht="15.0" hidden="1" customHeight="1">
      <c r="A3547" s="49" t="s">
        <v>390</v>
      </c>
      <c r="B3547" s="50">
        <v>44561.0</v>
      </c>
      <c r="C3547" s="49" t="s">
        <v>69</v>
      </c>
      <c r="D3547" s="49">
        <v>0.0</v>
      </c>
    </row>
    <row r="3548" ht="15.0" hidden="1" customHeight="1">
      <c r="A3548" s="49" t="s">
        <v>395</v>
      </c>
      <c r="B3548" s="50">
        <v>44561.0</v>
      </c>
      <c r="C3548" s="49" t="s">
        <v>69</v>
      </c>
      <c r="D3548" s="49">
        <v>0.0</v>
      </c>
    </row>
    <row r="3549" ht="15.0" hidden="1" customHeight="1">
      <c r="A3549" s="49" t="s">
        <v>400</v>
      </c>
      <c r="B3549" s="50">
        <v>44561.0</v>
      </c>
      <c r="C3549" s="49" t="s">
        <v>69</v>
      </c>
      <c r="D3549" s="49">
        <v>0.0</v>
      </c>
    </row>
    <row r="3550" ht="15.0" hidden="1" customHeight="1">
      <c r="A3550" s="49" t="s">
        <v>405</v>
      </c>
      <c r="B3550" s="50">
        <v>44561.0</v>
      </c>
      <c r="C3550" s="49" t="s">
        <v>69</v>
      </c>
      <c r="D3550" s="49">
        <v>0.0</v>
      </c>
    </row>
    <row r="3551" ht="15.0" hidden="1" customHeight="1">
      <c r="A3551" s="49" t="s">
        <v>410</v>
      </c>
      <c r="B3551" s="50">
        <v>44561.0</v>
      </c>
      <c r="C3551" s="49" t="s">
        <v>69</v>
      </c>
      <c r="D3551" s="49">
        <v>0.0</v>
      </c>
    </row>
    <row r="3552" ht="15.0" hidden="1" customHeight="1">
      <c r="A3552" s="49" t="s">
        <v>415</v>
      </c>
      <c r="B3552" s="50">
        <v>44561.0</v>
      </c>
      <c r="C3552" s="49" t="s">
        <v>69</v>
      </c>
      <c r="D3552" s="49">
        <v>0.0</v>
      </c>
    </row>
    <row r="3553" ht="15.0" hidden="1" customHeight="1">
      <c r="A3553" s="49" t="s">
        <v>420</v>
      </c>
      <c r="B3553" s="50">
        <v>44561.0</v>
      </c>
      <c r="C3553" s="49" t="s">
        <v>69</v>
      </c>
      <c r="D3553" s="49">
        <v>0.0</v>
      </c>
    </row>
    <row r="3554" ht="15.0" hidden="1" customHeight="1">
      <c r="A3554" s="49" t="s">
        <v>425</v>
      </c>
      <c r="B3554" s="50">
        <v>44561.0</v>
      </c>
      <c r="C3554" s="49" t="s">
        <v>69</v>
      </c>
      <c r="D3554" s="49">
        <v>0.0</v>
      </c>
    </row>
    <row r="3555" ht="15.0" hidden="1" customHeight="1">
      <c r="A3555" s="49" t="s">
        <v>430</v>
      </c>
      <c r="B3555" s="50">
        <v>44561.0</v>
      </c>
      <c r="C3555" s="49" t="s">
        <v>69</v>
      </c>
      <c r="D3555" s="49">
        <v>0.0</v>
      </c>
    </row>
    <row r="3556" ht="15.0" hidden="1" customHeight="1">
      <c r="A3556" s="49" t="s">
        <v>434</v>
      </c>
      <c r="B3556" s="50">
        <v>44561.0</v>
      </c>
      <c r="C3556" s="49" t="s">
        <v>69</v>
      </c>
      <c r="D3556" s="49">
        <v>0.0</v>
      </c>
    </row>
    <row r="3557" ht="15.0" hidden="1" customHeight="1">
      <c r="A3557" s="49" t="s">
        <v>439</v>
      </c>
      <c r="B3557" s="50">
        <v>44561.0</v>
      </c>
      <c r="C3557" s="49" t="s">
        <v>69</v>
      </c>
      <c r="D3557" s="49">
        <v>0.0</v>
      </c>
    </row>
    <row r="3558" ht="15.0" hidden="1" customHeight="1">
      <c r="A3558" s="49" t="s">
        <v>444</v>
      </c>
      <c r="B3558" s="50">
        <v>44561.0</v>
      </c>
      <c r="C3558" s="49" t="s">
        <v>69</v>
      </c>
      <c r="D3558" s="49">
        <v>0.0</v>
      </c>
    </row>
    <row r="3559" ht="15.0" hidden="1" customHeight="1">
      <c r="A3559" s="49" t="s">
        <v>449</v>
      </c>
      <c r="B3559" s="50">
        <v>44561.0</v>
      </c>
      <c r="C3559" s="49" t="s">
        <v>69</v>
      </c>
      <c r="D3559" s="49">
        <v>0.0</v>
      </c>
    </row>
    <row r="3560" ht="15.0" hidden="1" customHeight="1">
      <c r="A3560" s="49" t="s">
        <v>455</v>
      </c>
      <c r="B3560" s="50">
        <v>44561.0</v>
      </c>
      <c r="C3560" s="49" t="s">
        <v>69</v>
      </c>
      <c r="D3560" s="49">
        <v>0.0</v>
      </c>
    </row>
    <row r="3561" ht="15.0" hidden="1" customHeight="1">
      <c r="A3561" s="49" t="s">
        <v>470</v>
      </c>
      <c r="B3561" s="50">
        <v>44561.0</v>
      </c>
      <c r="C3561" s="49" t="s">
        <v>69</v>
      </c>
      <c r="D3561" s="49">
        <v>0.0</v>
      </c>
    </row>
    <row r="3562" ht="15.0" hidden="1" customHeight="1">
      <c r="A3562" s="49" t="s">
        <v>476</v>
      </c>
      <c r="B3562" s="50">
        <v>44561.0</v>
      </c>
      <c r="C3562" s="49" t="s">
        <v>69</v>
      </c>
      <c r="D3562" s="49">
        <v>0.0</v>
      </c>
    </row>
    <row r="3563" ht="15.0" hidden="1" customHeight="1">
      <c r="A3563" s="49" t="s">
        <v>481</v>
      </c>
      <c r="B3563" s="50">
        <v>44561.0</v>
      </c>
      <c r="C3563" s="49" t="s">
        <v>69</v>
      </c>
      <c r="D3563" s="49">
        <v>0.0</v>
      </c>
    </row>
    <row r="3564" ht="15.0" hidden="1" customHeight="1">
      <c r="A3564" s="49" t="s">
        <v>486</v>
      </c>
      <c r="B3564" s="50">
        <v>44561.0</v>
      </c>
      <c r="C3564" s="49" t="s">
        <v>69</v>
      </c>
      <c r="D3564" s="49">
        <v>0.0</v>
      </c>
    </row>
    <row r="3565" ht="15.0" hidden="1" customHeight="1">
      <c r="A3565" s="49" t="s">
        <v>491</v>
      </c>
      <c r="B3565" s="50">
        <v>44561.0</v>
      </c>
      <c r="C3565" s="49" t="s">
        <v>69</v>
      </c>
      <c r="D3565" s="49">
        <v>0.0</v>
      </c>
    </row>
    <row r="3566" ht="15.0" hidden="1" customHeight="1">
      <c r="A3566" s="49" t="s">
        <v>496</v>
      </c>
      <c r="B3566" s="50">
        <v>44561.0</v>
      </c>
      <c r="C3566" s="49" t="s">
        <v>69</v>
      </c>
      <c r="D3566" s="49">
        <v>0.0</v>
      </c>
    </row>
    <row r="3567" ht="15.0" hidden="1" customHeight="1">
      <c r="A3567" s="49" t="s">
        <v>501</v>
      </c>
      <c r="B3567" s="50">
        <v>44561.0</v>
      </c>
      <c r="C3567" s="49" t="s">
        <v>69</v>
      </c>
      <c r="D3567" s="49">
        <v>0.0</v>
      </c>
    </row>
    <row r="3568" ht="15.0" hidden="1" customHeight="1">
      <c r="A3568" s="49" t="s">
        <v>506</v>
      </c>
      <c r="B3568" s="50">
        <v>44561.0</v>
      </c>
      <c r="C3568" s="49" t="s">
        <v>69</v>
      </c>
      <c r="D3568" s="49">
        <v>0.0</v>
      </c>
    </row>
    <row r="3569" ht="15.0" hidden="1" customHeight="1">
      <c r="A3569" s="49" t="s">
        <v>512</v>
      </c>
      <c r="B3569" s="50">
        <v>44561.0</v>
      </c>
      <c r="C3569" s="49" t="s">
        <v>69</v>
      </c>
      <c r="D3569" s="49">
        <v>0.0</v>
      </c>
    </row>
    <row r="3570" ht="15.0" hidden="1" customHeight="1">
      <c r="A3570" s="49" t="s">
        <v>517</v>
      </c>
      <c r="B3570" s="50">
        <v>44561.0</v>
      </c>
      <c r="C3570" s="49" t="s">
        <v>69</v>
      </c>
      <c r="D3570" s="49">
        <v>0.0</v>
      </c>
    </row>
    <row r="3571" ht="15.0" hidden="1" customHeight="1">
      <c r="A3571" s="49" t="s">
        <v>522</v>
      </c>
      <c r="B3571" s="50">
        <v>44561.0</v>
      </c>
      <c r="C3571" s="49" t="s">
        <v>69</v>
      </c>
      <c r="D3571" s="49">
        <v>0.0</v>
      </c>
    </row>
    <row r="3572" ht="15.0" hidden="1" customHeight="1">
      <c r="A3572" s="49" t="s">
        <v>528</v>
      </c>
      <c r="B3572" s="50">
        <v>44561.0</v>
      </c>
      <c r="C3572" s="49" t="s">
        <v>69</v>
      </c>
      <c r="D3572" s="49">
        <v>0.0</v>
      </c>
    </row>
    <row r="3573" ht="15.0" hidden="1" customHeight="1">
      <c r="A3573" s="49" t="s">
        <v>533</v>
      </c>
      <c r="B3573" s="50">
        <v>44561.0</v>
      </c>
      <c r="C3573" s="49" t="s">
        <v>69</v>
      </c>
      <c r="D3573" s="49">
        <v>0.0</v>
      </c>
    </row>
    <row r="3574" ht="15.0" hidden="1" customHeight="1">
      <c r="A3574" s="49" t="s">
        <v>538</v>
      </c>
      <c r="B3574" s="50">
        <v>44561.0</v>
      </c>
      <c r="C3574" s="49" t="s">
        <v>69</v>
      </c>
      <c r="D3574" s="49">
        <v>0.0</v>
      </c>
    </row>
    <row r="3575" ht="15.0" hidden="1" customHeight="1">
      <c r="A3575" s="49" t="s">
        <v>546</v>
      </c>
      <c r="B3575" s="50">
        <v>44561.0</v>
      </c>
      <c r="C3575" s="49" t="s">
        <v>69</v>
      </c>
      <c r="D3575" s="49">
        <v>0.0</v>
      </c>
    </row>
    <row r="3576" ht="15.0" hidden="1" customHeight="1">
      <c r="A3576" s="49" t="s">
        <v>551</v>
      </c>
      <c r="B3576" s="50">
        <v>44561.0</v>
      </c>
      <c r="C3576" s="49" t="s">
        <v>69</v>
      </c>
      <c r="D3576" s="49">
        <v>0.0</v>
      </c>
    </row>
    <row r="3577" ht="15.0" hidden="1" customHeight="1">
      <c r="A3577" s="49" t="s">
        <v>556</v>
      </c>
      <c r="B3577" s="50">
        <v>44561.0</v>
      </c>
      <c r="C3577" s="49" t="s">
        <v>69</v>
      </c>
      <c r="D3577" s="49">
        <v>0.0</v>
      </c>
    </row>
    <row r="3578" ht="15.0" hidden="1" customHeight="1">
      <c r="A3578" s="49" t="s">
        <v>561</v>
      </c>
      <c r="B3578" s="50">
        <v>44561.0</v>
      </c>
      <c r="C3578" s="49" t="s">
        <v>69</v>
      </c>
      <c r="D3578" s="49">
        <v>0.0</v>
      </c>
    </row>
    <row r="3579" ht="15.0" hidden="1" customHeight="1">
      <c r="A3579" s="49" t="s">
        <v>566</v>
      </c>
      <c r="B3579" s="50">
        <v>44561.0</v>
      </c>
      <c r="C3579" s="49" t="s">
        <v>69</v>
      </c>
      <c r="D3579" s="49">
        <v>0.0</v>
      </c>
    </row>
    <row r="3580" ht="15.0" hidden="1" customHeight="1">
      <c r="A3580" s="49" t="s">
        <v>571</v>
      </c>
      <c r="B3580" s="50">
        <v>44561.0</v>
      </c>
      <c r="C3580" s="49" t="s">
        <v>69</v>
      </c>
      <c r="D3580" s="49">
        <v>0.0</v>
      </c>
    </row>
    <row r="3581" ht="15.0" hidden="1" customHeight="1">
      <c r="A3581" s="49" t="s">
        <v>576</v>
      </c>
      <c r="B3581" s="50">
        <v>44561.0</v>
      </c>
      <c r="C3581" s="49" t="s">
        <v>69</v>
      </c>
      <c r="D3581" s="49">
        <v>0.0</v>
      </c>
    </row>
    <row r="3582" ht="15.0" hidden="1" customHeight="1">
      <c r="A3582" s="49" t="s">
        <v>581</v>
      </c>
      <c r="B3582" s="50">
        <v>44561.0</v>
      </c>
      <c r="C3582" s="49" t="s">
        <v>69</v>
      </c>
      <c r="D3582" s="49">
        <v>0.0</v>
      </c>
    </row>
    <row r="3583" ht="15.0" hidden="1" customHeight="1">
      <c r="A3583" s="49" t="s">
        <v>586</v>
      </c>
      <c r="B3583" s="50">
        <v>44561.0</v>
      </c>
      <c r="C3583" s="49" t="s">
        <v>69</v>
      </c>
      <c r="D3583" s="49">
        <v>0.0</v>
      </c>
    </row>
    <row r="3584" ht="15.0" hidden="1" customHeight="1">
      <c r="A3584" s="49" t="s">
        <v>754</v>
      </c>
      <c r="B3584" s="50">
        <v>44561.0</v>
      </c>
      <c r="C3584" s="49" t="s">
        <v>69</v>
      </c>
      <c r="D3584" s="49">
        <v>0.0</v>
      </c>
    </row>
    <row r="3585" ht="15.0" hidden="1" customHeight="1">
      <c r="A3585" s="49" t="s">
        <v>591</v>
      </c>
      <c r="B3585" s="50">
        <v>44561.0</v>
      </c>
      <c r="C3585" s="49" t="s">
        <v>69</v>
      </c>
      <c r="D3585" s="49">
        <v>0.0</v>
      </c>
    </row>
    <row r="3586" ht="15.0" hidden="1" customHeight="1">
      <c r="A3586" s="49" t="s">
        <v>759</v>
      </c>
      <c r="B3586" s="50">
        <v>44561.0</v>
      </c>
      <c r="C3586" s="49" t="s">
        <v>69</v>
      </c>
      <c r="D3586" s="49">
        <v>0.0</v>
      </c>
    </row>
    <row r="3587" ht="15.0" hidden="1" customHeight="1">
      <c r="A3587" s="49" t="s">
        <v>596</v>
      </c>
      <c r="B3587" s="50">
        <v>44561.0</v>
      </c>
      <c r="C3587" s="49" t="s">
        <v>69</v>
      </c>
      <c r="D3587" s="49">
        <v>0.0</v>
      </c>
    </row>
    <row r="3588" ht="15.0" hidden="1" customHeight="1">
      <c r="A3588" s="49" t="s">
        <v>602</v>
      </c>
      <c r="B3588" s="50">
        <v>44561.0</v>
      </c>
      <c r="C3588" s="49" t="s">
        <v>69</v>
      </c>
      <c r="D3588" s="49">
        <v>0.0</v>
      </c>
    </row>
    <row r="3589" ht="15.0" hidden="1" customHeight="1">
      <c r="A3589" s="49" t="s">
        <v>607</v>
      </c>
      <c r="B3589" s="50">
        <v>44561.0</v>
      </c>
      <c r="C3589" s="49" t="s">
        <v>69</v>
      </c>
      <c r="D3589" s="49">
        <v>0.0</v>
      </c>
    </row>
    <row r="3590" ht="15.0" hidden="1" customHeight="1">
      <c r="A3590" s="49" t="s">
        <v>612</v>
      </c>
      <c r="B3590" s="50">
        <v>44561.0</v>
      </c>
      <c r="C3590" s="49" t="s">
        <v>69</v>
      </c>
      <c r="D3590" s="49">
        <v>0.0</v>
      </c>
    </row>
    <row r="3591" ht="15.0" hidden="1" customHeight="1">
      <c r="A3591" s="49" t="s">
        <v>617</v>
      </c>
      <c r="B3591" s="50">
        <v>44561.0</v>
      </c>
      <c r="C3591" s="49" t="s">
        <v>69</v>
      </c>
      <c r="D3591" s="49">
        <v>0.0</v>
      </c>
    </row>
    <row r="3592" ht="15.0" hidden="1" customHeight="1">
      <c r="A3592" s="49" t="s">
        <v>622</v>
      </c>
      <c r="B3592" s="50">
        <v>44561.0</v>
      </c>
      <c r="C3592" s="49" t="s">
        <v>69</v>
      </c>
      <c r="D3592" s="49">
        <v>0.0</v>
      </c>
    </row>
    <row r="3593" ht="15.0" hidden="1" customHeight="1">
      <c r="A3593" s="49" t="s">
        <v>627</v>
      </c>
      <c r="B3593" s="50">
        <v>44561.0</v>
      </c>
      <c r="C3593" s="49" t="s">
        <v>69</v>
      </c>
      <c r="D3593" s="49">
        <v>0.0</v>
      </c>
    </row>
    <row r="3594" ht="15.0" hidden="1" customHeight="1">
      <c r="A3594" s="49" t="s">
        <v>631</v>
      </c>
      <c r="B3594" s="50">
        <v>44561.0</v>
      </c>
      <c r="C3594" s="49" t="s">
        <v>69</v>
      </c>
      <c r="D3594" s="49">
        <v>0.0</v>
      </c>
    </row>
    <row r="3595" ht="15.0" hidden="1" customHeight="1">
      <c r="A3595" s="49" t="s">
        <v>636</v>
      </c>
      <c r="B3595" s="50">
        <v>44561.0</v>
      </c>
      <c r="C3595" s="49" t="s">
        <v>69</v>
      </c>
      <c r="D3595" s="49">
        <v>0.0</v>
      </c>
    </row>
    <row r="3596" ht="15.0" hidden="1" customHeight="1">
      <c r="A3596" s="49" t="s">
        <v>640</v>
      </c>
      <c r="B3596" s="50">
        <v>44561.0</v>
      </c>
      <c r="C3596" s="49" t="s">
        <v>69</v>
      </c>
      <c r="D3596" s="49">
        <v>0.0</v>
      </c>
    </row>
    <row r="3597" ht="15.0" hidden="1" customHeight="1">
      <c r="A3597" s="49" t="s">
        <v>644</v>
      </c>
      <c r="B3597" s="50">
        <v>44561.0</v>
      </c>
      <c r="C3597" s="49" t="s">
        <v>69</v>
      </c>
      <c r="D3597" s="49">
        <v>0.0</v>
      </c>
    </row>
    <row r="3598" ht="15.0" hidden="1" customHeight="1">
      <c r="A3598" s="49" t="s">
        <v>649</v>
      </c>
      <c r="B3598" s="50">
        <v>44561.0</v>
      </c>
      <c r="C3598" s="49" t="s">
        <v>69</v>
      </c>
      <c r="D3598" s="49">
        <v>0.0</v>
      </c>
    </row>
    <row r="3599" ht="15.0" hidden="1" customHeight="1">
      <c r="A3599" s="49" t="s">
        <v>654</v>
      </c>
      <c r="B3599" s="50">
        <v>44561.0</v>
      </c>
      <c r="C3599" s="49" t="s">
        <v>69</v>
      </c>
      <c r="D3599" s="49">
        <v>0.0</v>
      </c>
    </row>
    <row r="3600" ht="15.0" hidden="1" customHeight="1">
      <c r="A3600" s="49" t="s">
        <v>659</v>
      </c>
      <c r="B3600" s="50">
        <v>44561.0</v>
      </c>
      <c r="C3600" s="49" t="s">
        <v>69</v>
      </c>
      <c r="D3600" s="49">
        <v>0.0</v>
      </c>
    </row>
    <row r="3601" ht="15.0" hidden="1" customHeight="1">
      <c r="A3601" s="49" t="s">
        <v>664</v>
      </c>
      <c r="B3601" s="50">
        <v>44561.0</v>
      </c>
      <c r="C3601" s="49" t="s">
        <v>69</v>
      </c>
      <c r="D3601" s="49">
        <v>0.0</v>
      </c>
    </row>
    <row r="3602" ht="15.0" hidden="1" customHeight="1">
      <c r="A3602" s="49" t="s">
        <v>669</v>
      </c>
      <c r="B3602" s="50">
        <v>44561.0</v>
      </c>
      <c r="C3602" s="49" t="s">
        <v>69</v>
      </c>
      <c r="D3602" s="49">
        <v>0.0</v>
      </c>
    </row>
    <row r="3603" ht="15.0" hidden="1" customHeight="1">
      <c r="A3603" s="49" t="s">
        <v>674</v>
      </c>
      <c r="B3603" s="50">
        <v>44561.0</v>
      </c>
      <c r="C3603" s="49" t="s">
        <v>69</v>
      </c>
      <c r="D3603" s="49">
        <v>0.0</v>
      </c>
    </row>
    <row r="3604" ht="15.0" hidden="1" customHeight="1">
      <c r="A3604" s="49" t="s">
        <v>679</v>
      </c>
      <c r="B3604" s="50">
        <v>44561.0</v>
      </c>
      <c r="C3604" s="49" t="s">
        <v>69</v>
      </c>
      <c r="D3604" s="49">
        <v>0.0</v>
      </c>
    </row>
    <row r="3605" ht="15.0" hidden="1" customHeight="1">
      <c r="A3605" s="49" t="s">
        <v>684</v>
      </c>
      <c r="B3605" s="50">
        <v>44561.0</v>
      </c>
      <c r="C3605" s="49" t="s">
        <v>69</v>
      </c>
      <c r="D3605" s="49">
        <v>0.0</v>
      </c>
    </row>
    <row r="3606" ht="15.0" hidden="1" customHeight="1">
      <c r="A3606" s="49" t="s">
        <v>689</v>
      </c>
      <c r="B3606" s="50">
        <v>44561.0</v>
      </c>
      <c r="C3606" s="49" t="s">
        <v>69</v>
      </c>
      <c r="D3606" s="49">
        <v>0.0</v>
      </c>
    </row>
    <row r="3607" ht="15.0" hidden="1" customHeight="1">
      <c r="A3607" s="49" t="s">
        <v>694</v>
      </c>
      <c r="B3607" s="50">
        <v>44561.0</v>
      </c>
      <c r="C3607" s="49" t="s">
        <v>69</v>
      </c>
      <c r="D3607" s="49">
        <v>0.0</v>
      </c>
    </row>
    <row r="3608" ht="15.0" hidden="1" customHeight="1">
      <c r="A3608" s="49" t="s">
        <v>699</v>
      </c>
      <c r="B3608" s="50">
        <v>44561.0</v>
      </c>
      <c r="C3608" s="49" t="s">
        <v>69</v>
      </c>
      <c r="D3608" s="49">
        <v>0.0</v>
      </c>
    </row>
    <row r="3609" ht="15.0" hidden="1" customHeight="1">
      <c r="A3609" s="49" t="s">
        <v>705</v>
      </c>
      <c r="B3609" s="50">
        <v>44561.0</v>
      </c>
      <c r="C3609" s="49" t="s">
        <v>69</v>
      </c>
      <c r="D3609" s="49">
        <v>0.0</v>
      </c>
    </row>
    <row r="3610" ht="15.0" hidden="1" customHeight="1">
      <c r="A3610" s="49" t="s">
        <v>710</v>
      </c>
      <c r="B3610" s="50">
        <v>44561.0</v>
      </c>
      <c r="C3610" s="49" t="s">
        <v>69</v>
      </c>
      <c r="D3610" s="49">
        <v>0.0</v>
      </c>
    </row>
    <row r="3611" ht="15.0" hidden="1" customHeight="1">
      <c r="A3611" s="49" t="s">
        <v>715</v>
      </c>
      <c r="B3611" s="50">
        <v>44561.0</v>
      </c>
      <c r="C3611" s="49" t="s">
        <v>69</v>
      </c>
      <c r="D3611" s="49">
        <v>0.0</v>
      </c>
    </row>
    <row r="3612" ht="15.0" hidden="1" customHeight="1">
      <c r="A3612" s="49" t="s">
        <v>765</v>
      </c>
      <c r="B3612" s="50">
        <v>44561.0</v>
      </c>
      <c r="C3612" s="49" t="s">
        <v>69</v>
      </c>
      <c r="D3612" s="49">
        <v>0.0</v>
      </c>
    </row>
    <row r="3613" ht="15.0" hidden="1" customHeight="1">
      <c r="A3613" s="49" t="s">
        <v>720</v>
      </c>
      <c r="B3613" s="50">
        <v>44561.0</v>
      </c>
      <c r="C3613" s="49" t="s">
        <v>69</v>
      </c>
      <c r="D3613" s="49">
        <v>0.0</v>
      </c>
    </row>
    <row r="3614" ht="15.0" hidden="1" customHeight="1">
      <c r="A3614" s="49" t="s">
        <v>725</v>
      </c>
      <c r="B3614" s="50">
        <v>44561.0</v>
      </c>
      <c r="C3614" s="49" t="s">
        <v>69</v>
      </c>
      <c r="D3614" s="49">
        <v>0.0</v>
      </c>
    </row>
    <row r="3615" ht="15.0" hidden="1" customHeight="1">
      <c r="A3615" s="49" t="s">
        <v>730</v>
      </c>
      <c r="B3615" s="50">
        <v>44561.0</v>
      </c>
      <c r="C3615" s="49" t="s">
        <v>69</v>
      </c>
      <c r="D3615" s="49">
        <v>0.0</v>
      </c>
    </row>
    <row r="3616" ht="15.0" hidden="1" customHeight="1">
      <c r="A3616" s="49" t="s">
        <v>734</v>
      </c>
      <c r="B3616" s="50">
        <v>44561.0</v>
      </c>
      <c r="C3616" s="49" t="s">
        <v>69</v>
      </c>
      <c r="D3616" s="49">
        <v>0.0</v>
      </c>
    </row>
    <row r="3617" ht="15.0" hidden="1" customHeight="1">
      <c r="A3617" s="49" t="s">
        <v>739</v>
      </c>
      <c r="B3617" s="50">
        <v>44561.0</v>
      </c>
      <c r="C3617" s="49" t="s">
        <v>69</v>
      </c>
      <c r="D3617" s="49">
        <v>0.0</v>
      </c>
    </row>
    <row r="3618" ht="15.0" hidden="1" customHeight="1">
      <c r="A3618" s="49" t="s">
        <v>744</v>
      </c>
      <c r="B3618" s="50">
        <v>44561.0</v>
      </c>
      <c r="C3618" s="49" t="s">
        <v>69</v>
      </c>
      <c r="D3618" s="49">
        <v>0.0</v>
      </c>
    </row>
    <row r="3619" ht="15.0" hidden="1" customHeight="1">
      <c r="A3619" s="49" t="s">
        <v>749</v>
      </c>
      <c r="B3619" s="50">
        <v>44561.0</v>
      </c>
      <c r="C3619" s="49" t="s">
        <v>69</v>
      </c>
      <c r="D3619" s="49">
        <v>0.0</v>
      </c>
    </row>
    <row r="3620" ht="15.0" customHeight="1">
      <c r="A3620" s="49" t="s">
        <v>776</v>
      </c>
      <c r="B3620" s="50">
        <v>44561.0</v>
      </c>
      <c r="C3620" s="49" t="s">
        <v>780</v>
      </c>
      <c r="D3620" s="49">
        <v>0.0</v>
      </c>
    </row>
    <row r="3621" ht="15.0" hidden="1" customHeight="1">
      <c r="A3621" s="49" t="s">
        <v>778</v>
      </c>
      <c r="B3621" s="50">
        <v>44561.0</v>
      </c>
      <c r="C3621" s="49" t="s">
        <v>780</v>
      </c>
      <c r="D3621" s="49">
        <v>0.0</v>
      </c>
    </row>
    <row r="3622" ht="15.0" hidden="1" customHeight="1">
      <c r="A3622" s="49" t="s">
        <v>92</v>
      </c>
      <c r="B3622" s="50">
        <v>44561.0</v>
      </c>
      <c r="C3622" s="49" t="s">
        <v>780</v>
      </c>
      <c r="D3622" s="49">
        <v>-1351000.0</v>
      </c>
    </row>
    <row r="3623" ht="15.0" hidden="1" customHeight="1">
      <c r="A3623" s="49" t="s">
        <v>97</v>
      </c>
      <c r="B3623" s="50">
        <v>44561.0</v>
      </c>
      <c r="C3623" s="49" t="s">
        <v>780</v>
      </c>
      <c r="D3623" s="49">
        <v>0.0</v>
      </c>
    </row>
    <row r="3624" ht="15.0" hidden="1" customHeight="1">
      <c r="A3624" s="49" t="s">
        <v>102</v>
      </c>
      <c r="B3624" s="50">
        <v>44561.0</v>
      </c>
      <c r="C3624" s="49" t="s">
        <v>780</v>
      </c>
      <c r="D3624" s="49">
        <v>0.0</v>
      </c>
    </row>
    <row r="3625" ht="15.0" hidden="1" customHeight="1">
      <c r="A3625" s="49" t="s">
        <v>106</v>
      </c>
      <c r="B3625" s="50">
        <v>44561.0</v>
      </c>
      <c r="C3625" s="49" t="s">
        <v>780</v>
      </c>
      <c r="D3625" s="49">
        <v>0.0</v>
      </c>
    </row>
    <row r="3626" ht="15.0" hidden="1" customHeight="1">
      <c r="A3626" s="49" t="s">
        <v>111</v>
      </c>
      <c r="B3626" s="50">
        <v>44561.0</v>
      </c>
      <c r="C3626" s="49" t="s">
        <v>780</v>
      </c>
      <c r="D3626" s="49">
        <v>0.0</v>
      </c>
    </row>
    <row r="3627" ht="15.0" hidden="1" customHeight="1">
      <c r="A3627" s="49" t="s">
        <v>116</v>
      </c>
      <c r="B3627" s="50">
        <v>44561.0</v>
      </c>
      <c r="C3627" s="49" t="s">
        <v>780</v>
      </c>
      <c r="D3627" s="49">
        <v>0.0</v>
      </c>
    </row>
    <row r="3628" ht="15.0" hidden="1" customHeight="1">
      <c r="A3628" s="49" t="s">
        <v>120</v>
      </c>
      <c r="B3628" s="50">
        <v>44561.0</v>
      </c>
      <c r="C3628" s="49" t="s">
        <v>780</v>
      </c>
      <c r="D3628" s="49">
        <v>-1200000.0</v>
      </c>
    </row>
    <row r="3629" ht="15.0" hidden="1" customHeight="1">
      <c r="A3629" s="49" t="s">
        <v>125</v>
      </c>
      <c r="B3629" s="50">
        <v>44561.0</v>
      </c>
      <c r="C3629" s="49" t="s">
        <v>780</v>
      </c>
      <c r="D3629" s="49">
        <v>-200000.0</v>
      </c>
    </row>
    <row r="3630" ht="15.0" hidden="1" customHeight="1">
      <c r="A3630" s="49" t="s">
        <v>130</v>
      </c>
      <c r="B3630" s="50">
        <v>44561.0</v>
      </c>
      <c r="C3630" s="49" t="s">
        <v>780</v>
      </c>
      <c r="D3630" s="49">
        <v>-700000.0</v>
      </c>
    </row>
    <row r="3631" ht="15.0" hidden="1" customHeight="1">
      <c r="A3631" s="49" t="s">
        <v>137</v>
      </c>
      <c r="B3631" s="50">
        <v>44561.0</v>
      </c>
      <c r="C3631" s="49" t="s">
        <v>780</v>
      </c>
      <c r="D3631" s="49">
        <v>0.0</v>
      </c>
    </row>
    <row r="3632" ht="15.0" hidden="1" customHeight="1">
      <c r="A3632" s="49" t="s">
        <v>142</v>
      </c>
      <c r="B3632" s="50">
        <v>44561.0</v>
      </c>
      <c r="C3632" s="49" t="s">
        <v>780</v>
      </c>
      <c r="D3632" s="49">
        <v>0.0</v>
      </c>
    </row>
    <row r="3633" ht="15.0" hidden="1" customHeight="1">
      <c r="A3633" s="49" t="s">
        <v>147</v>
      </c>
      <c r="B3633" s="50">
        <v>44561.0</v>
      </c>
      <c r="C3633" s="49" t="s">
        <v>780</v>
      </c>
      <c r="D3633" s="49">
        <v>0.0</v>
      </c>
    </row>
    <row r="3634" ht="15.0" hidden="1" customHeight="1">
      <c r="A3634" s="49" t="s">
        <v>152</v>
      </c>
      <c r="B3634" s="50">
        <v>44561.0</v>
      </c>
      <c r="C3634" s="49" t="s">
        <v>780</v>
      </c>
      <c r="D3634" s="49">
        <v>0.0</v>
      </c>
    </row>
    <row r="3635" ht="15.0" hidden="1" customHeight="1">
      <c r="A3635" s="49" t="s">
        <v>157</v>
      </c>
      <c r="B3635" s="50">
        <v>44561.0</v>
      </c>
      <c r="C3635" s="49" t="s">
        <v>780</v>
      </c>
      <c r="D3635" s="49">
        <v>0.0</v>
      </c>
    </row>
    <row r="3636" ht="15.0" hidden="1" customHeight="1">
      <c r="A3636" s="49" t="s">
        <v>162</v>
      </c>
      <c r="B3636" s="50">
        <v>44561.0</v>
      </c>
      <c r="C3636" s="49" t="s">
        <v>780</v>
      </c>
      <c r="D3636" s="49">
        <v>0.0</v>
      </c>
    </row>
    <row r="3637" ht="15.0" hidden="1" customHeight="1">
      <c r="A3637" s="49" t="s">
        <v>167</v>
      </c>
      <c r="B3637" s="50">
        <v>44561.0</v>
      </c>
      <c r="C3637" s="49" t="s">
        <v>780</v>
      </c>
      <c r="D3637" s="49">
        <v>0.0</v>
      </c>
    </row>
    <row r="3638" ht="15.0" hidden="1" customHeight="1">
      <c r="A3638" s="49" t="s">
        <v>172</v>
      </c>
      <c r="B3638" s="50">
        <v>44561.0</v>
      </c>
      <c r="C3638" s="49" t="s">
        <v>780</v>
      </c>
      <c r="D3638" s="49">
        <v>0.0</v>
      </c>
    </row>
    <row r="3639" ht="15.0" hidden="1" customHeight="1">
      <c r="A3639" s="49" t="s">
        <v>177</v>
      </c>
      <c r="B3639" s="50">
        <v>44561.0</v>
      </c>
      <c r="C3639" s="49" t="s">
        <v>780</v>
      </c>
      <c r="D3639" s="49">
        <v>-150000.0</v>
      </c>
    </row>
    <row r="3640" ht="15.0" hidden="1" customHeight="1">
      <c r="A3640" s="49" t="s">
        <v>182</v>
      </c>
      <c r="B3640" s="50">
        <v>44561.0</v>
      </c>
      <c r="C3640" s="49" t="s">
        <v>780</v>
      </c>
      <c r="D3640" s="49">
        <v>-250000.0</v>
      </c>
    </row>
    <row r="3641" ht="15.0" hidden="1" customHeight="1">
      <c r="A3641" s="49" t="s">
        <v>187</v>
      </c>
      <c r="B3641" s="50">
        <v>44561.0</v>
      </c>
      <c r="C3641" s="49" t="s">
        <v>780</v>
      </c>
      <c r="D3641" s="49">
        <v>0.0</v>
      </c>
    </row>
    <row r="3642" ht="15.0" hidden="1" customHeight="1">
      <c r="A3642" s="49" t="s">
        <v>192</v>
      </c>
      <c r="B3642" s="50">
        <v>44561.0</v>
      </c>
      <c r="C3642" s="49" t="s">
        <v>780</v>
      </c>
      <c r="D3642" s="49">
        <v>0.0</v>
      </c>
    </row>
    <row r="3643" ht="15.0" hidden="1" customHeight="1">
      <c r="A3643" s="49" t="s">
        <v>197</v>
      </c>
      <c r="B3643" s="50">
        <v>44561.0</v>
      </c>
      <c r="C3643" s="49" t="s">
        <v>780</v>
      </c>
      <c r="D3643" s="49">
        <v>-100000.0</v>
      </c>
    </row>
    <row r="3644" ht="15.0" hidden="1" customHeight="1">
      <c r="A3644" s="49" t="s">
        <v>202</v>
      </c>
      <c r="B3644" s="50">
        <v>44561.0</v>
      </c>
      <c r="C3644" s="49" t="s">
        <v>780</v>
      </c>
      <c r="D3644" s="49">
        <v>-1500000.0</v>
      </c>
    </row>
    <row r="3645" ht="15.0" hidden="1" customHeight="1">
      <c r="A3645" s="49" t="s">
        <v>206</v>
      </c>
      <c r="B3645" s="50">
        <v>44561.0</v>
      </c>
      <c r="C3645" s="49" t="s">
        <v>780</v>
      </c>
      <c r="D3645" s="49">
        <v>-20000.0</v>
      </c>
    </row>
    <row r="3646" ht="15.0" hidden="1" customHeight="1">
      <c r="A3646" s="49" t="s">
        <v>211</v>
      </c>
      <c r="B3646" s="50">
        <v>44561.0</v>
      </c>
      <c r="C3646" s="49" t="s">
        <v>780</v>
      </c>
      <c r="D3646" s="49">
        <v>-600000.0</v>
      </c>
    </row>
    <row r="3647" ht="15.0" hidden="1" customHeight="1">
      <c r="A3647" s="49" t="s">
        <v>779</v>
      </c>
      <c r="B3647" s="50">
        <v>44561.0</v>
      </c>
      <c r="C3647" s="49" t="s">
        <v>780</v>
      </c>
      <c r="D3647" s="49">
        <v>-50000.0</v>
      </c>
    </row>
    <row r="3648" ht="15.0" hidden="1" customHeight="1">
      <c r="A3648" s="49" t="s">
        <v>221</v>
      </c>
      <c r="B3648" s="50">
        <v>44561.0</v>
      </c>
      <c r="C3648" s="49" t="s">
        <v>780</v>
      </c>
      <c r="D3648" s="49">
        <v>-90000.0</v>
      </c>
    </row>
    <row r="3649" ht="15.0" hidden="1" customHeight="1">
      <c r="A3649" s="49" t="s">
        <v>226</v>
      </c>
      <c r="B3649" s="50">
        <v>44561.0</v>
      </c>
      <c r="C3649" s="49" t="s">
        <v>780</v>
      </c>
      <c r="D3649" s="49">
        <v>-2500000.0</v>
      </c>
    </row>
    <row r="3650" ht="15.0" hidden="1" customHeight="1">
      <c r="A3650" s="49" t="s">
        <v>231</v>
      </c>
      <c r="B3650" s="50">
        <v>44561.0</v>
      </c>
      <c r="C3650" s="49" t="s">
        <v>780</v>
      </c>
      <c r="D3650" s="49">
        <v>-325000.0</v>
      </c>
    </row>
    <row r="3651" ht="15.0" hidden="1" customHeight="1">
      <c r="A3651" s="49" t="s">
        <v>236</v>
      </c>
      <c r="B3651" s="50">
        <v>44561.0</v>
      </c>
      <c r="C3651" s="49" t="s">
        <v>780</v>
      </c>
      <c r="D3651" s="49">
        <v>-225000.0</v>
      </c>
    </row>
    <row r="3652" ht="15.0" hidden="1" customHeight="1">
      <c r="A3652" s="49" t="s">
        <v>242</v>
      </c>
      <c r="B3652" s="50">
        <v>44561.0</v>
      </c>
      <c r="C3652" s="49" t="s">
        <v>780</v>
      </c>
      <c r="D3652" s="49">
        <v>9259166.0</v>
      </c>
    </row>
    <row r="3653" ht="15.0" hidden="1" customHeight="1">
      <c r="A3653" s="49" t="s">
        <v>248</v>
      </c>
      <c r="B3653" s="50">
        <v>44561.0</v>
      </c>
      <c r="C3653" s="49" t="s">
        <v>780</v>
      </c>
      <c r="D3653" s="49">
        <v>-100000.0</v>
      </c>
    </row>
    <row r="3654" ht="15.0" hidden="1" customHeight="1">
      <c r="A3654" s="49" t="s">
        <v>253</v>
      </c>
      <c r="B3654" s="50">
        <v>44561.0</v>
      </c>
      <c r="C3654" s="49" t="s">
        <v>780</v>
      </c>
      <c r="D3654" s="49">
        <v>0.0</v>
      </c>
    </row>
    <row r="3655" ht="15.0" hidden="1" customHeight="1">
      <c r="A3655" s="49" t="s">
        <v>258</v>
      </c>
      <c r="B3655" s="50">
        <v>44561.0</v>
      </c>
      <c r="C3655" s="49" t="s">
        <v>780</v>
      </c>
      <c r="D3655" s="49">
        <v>0.0</v>
      </c>
    </row>
    <row r="3656" ht="15.0" hidden="1" customHeight="1">
      <c r="A3656" s="49" t="s">
        <v>263</v>
      </c>
      <c r="B3656" s="50">
        <v>44561.0</v>
      </c>
      <c r="C3656" s="49" t="s">
        <v>780</v>
      </c>
      <c r="D3656" s="49">
        <v>2160000.0</v>
      </c>
    </row>
    <row r="3657" ht="15.0" hidden="1" customHeight="1">
      <c r="A3657" s="49" t="s">
        <v>268</v>
      </c>
      <c r="B3657" s="50">
        <v>44561.0</v>
      </c>
      <c r="C3657" s="49" t="s">
        <v>780</v>
      </c>
      <c r="D3657" s="49">
        <v>0.0</v>
      </c>
    </row>
    <row r="3658" ht="15.0" hidden="1" customHeight="1">
      <c r="A3658" s="49" t="s">
        <v>273</v>
      </c>
      <c r="B3658" s="50">
        <v>44561.0</v>
      </c>
      <c r="C3658" s="49" t="s">
        <v>780</v>
      </c>
      <c r="D3658" s="49">
        <v>0.0</v>
      </c>
    </row>
    <row r="3659" ht="15.0" hidden="1" customHeight="1">
      <c r="A3659" s="49" t="s">
        <v>278</v>
      </c>
      <c r="B3659" s="50">
        <v>44561.0</v>
      </c>
      <c r="C3659" s="49" t="s">
        <v>780</v>
      </c>
      <c r="D3659" s="49">
        <v>0.0</v>
      </c>
    </row>
    <row r="3660" ht="15.0" hidden="1" customHeight="1">
      <c r="A3660" s="49" t="s">
        <v>283</v>
      </c>
      <c r="B3660" s="50">
        <v>44561.0</v>
      </c>
      <c r="C3660" s="49" t="s">
        <v>780</v>
      </c>
      <c r="D3660" s="49">
        <v>0.0</v>
      </c>
    </row>
    <row r="3661" ht="15.0" hidden="1" customHeight="1">
      <c r="A3661" s="49" t="s">
        <v>288</v>
      </c>
      <c r="B3661" s="50">
        <v>44561.0</v>
      </c>
      <c r="C3661" s="49" t="s">
        <v>780</v>
      </c>
      <c r="D3661" s="49">
        <v>0.0</v>
      </c>
    </row>
    <row r="3662" ht="15.0" hidden="1" customHeight="1">
      <c r="A3662" s="49" t="s">
        <v>293</v>
      </c>
      <c r="B3662" s="50">
        <v>44561.0</v>
      </c>
      <c r="C3662" s="49" t="s">
        <v>780</v>
      </c>
      <c r="D3662" s="49">
        <v>0.0</v>
      </c>
    </row>
    <row r="3663" ht="15.0" hidden="1" customHeight="1">
      <c r="A3663" s="49" t="s">
        <v>298</v>
      </c>
      <c r="B3663" s="50">
        <v>44561.0</v>
      </c>
      <c r="C3663" s="49" t="s">
        <v>780</v>
      </c>
      <c r="D3663" s="49">
        <v>0.0</v>
      </c>
    </row>
    <row r="3664" ht="15.0" hidden="1" customHeight="1">
      <c r="A3664" s="49" t="s">
        <v>303</v>
      </c>
      <c r="B3664" s="50">
        <v>44561.0</v>
      </c>
      <c r="C3664" s="49" t="s">
        <v>780</v>
      </c>
      <c r="D3664" s="49">
        <v>0.0</v>
      </c>
    </row>
    <row r="3665" ht="15.0" hidden="1" customHeight="1">
      <c r="A3665" s="49" t="s">
        <v>307</v>
      </c>
      <c r="B3665" s="50">
        <v>44561.0</v>
      </c>
      <c r="C3665" s="49" t="s">
        <v>780</v>
      </c>
      <c r="D3665" s="49">
        <v>0.0</v>
      </c>
    </row>
    <row r="3666" ht="15.0" hidden="1" customHeight="1">
      <c r="A3666" s="49" t="s">
        <v>313</v>
      </c>
      <c r="B3666" s="50">
        <v>44561.0</v>
      </c>
      <c r="C3666" s="49" t="s">
        <v>780</v>
      </c>
      <c r="D3666" s="49">
        <v>0.0</v>
      </c>
    </row>
    <row r="3667" ht="15.0" hidden="1" customHeight="1">
      <c r="A3667" s="49" t="s">
        <v>318</v>
      </c>
      <c r="B3667" s="50">
        <v>44561.0</v>
      </c>
      <c r="C3667" s="49" t="s">
        <v>780</v>
      </c>
      <c r="D3667" s="49">
        <v>0.0</v>
      </c>
    </row>
    <row r="3668" ht="15.0" hidden="1" customHeight="1">
      <c r="A3668" s="49" t="s">
        <v>323</v>
      </c>
      <c r="B3668" s="50">
        <v>44561.0</v>
      </c>
      <c r="C3668" s="49" t="s">
        <v>780</v>
      </c>
      <c r="D3668" s="49">
        <v>0.0</v>
      </c>
    </row>
    <row r="3669" ht="15.0" hidden="1" customHeight="1">
      <c r="A3669" s="49" t="s">
        <v>328</v>
      </c>
      <c r="B3669" s="50">
        <v>44561.0</v>
      </c>
      <c r="C3669" s="49" t="s">
        <v>780</v>
      </c>
      <c r="D3669" s="49">
        <v>0.0</v>
      </c>
    </row>
    <row r="3670" ht="15.0" hidden="1" customHeight="1">
      <c r="A3670" s="49" t="s">
        <v>335</v>
      </c>
      <c r="B3670" s="50">
        <v>44561.0</v>
      </c>
      <c r="C3670" s="49" t="s">
        <v>780</v>
      </c>
      <c r="D3670" s="49">
        <v>0.0</v>
      </c>
    </row>
    <row r="3671" ht="15.0" hidden="1" customHeight="1">
      <c r="A3671" s="49" t="s">
        <v>340</v>
      </c>
      <c r="B3671" s="50">
        <v>44561.0</v>
      </c>
      <c r="C3671" s="49" t="s">
        <v>780</v>
      </c>
      <c r="D3671" s="49">
        <v>0.0</v>
      </c>
    </row>
    <row r="3672" ht="15.0" hidden="1" customHeight="1">
      <c r="A3672" s="49" t="s">
        <v>345</v>
      </c>
      <c r="B3672" s="50">
        <v>44561.0</v>
      </c>
      <c r="C3672" s="49" t="s">
        <v>780</v>
      </c>
      <c r="D3672" s="49">
        <v>0.0</v>
      </c>
    </row>
    <row r="3673" ht="15.0" hidden="1" customHeight="1">
      <c r="A3673" s="49" t="s">
        <v>350</v>
      </c>
      <c r="B3673" s="50">
        <v>44561.0</v>
      </c>
      <c r="C3673" s="49" t="s">
        <v>780</v>
      </c>
      <c r="D3673" s="49">
        <v>0.0</v>
      </c>
    </row>
    <row r="3674" ht="15.0" hidden="1" customHeight="1">
      <c r="A3674" s="49" t="s">
        <v>355</v>
      </c>
      <c r="B3674" s="50">
        <v>44561.0</v>
      </c>
      <c r="C3674" s="49" t="s">
        <v>780</v>
      </c>
      <c r="D3674" s="49">
        <v>0.0</v>
      </c>
    </row>
    <row r="3675" ht="15.0" hidden="1" customHeight="1">
      <c r="A3675" s="49" t="s">
        <v>360</v>
      </c>
      <c r="B3675" s="50">
        <v>44561.0</v>
      </c>
      <c r="C3675" s="49" t="s">
        <v>780</v>
      </c>
      <c r="D3675" s="49">
        <v>0.0</v>
      </c>
    </row>
    <row r="3676" ht="15.0" hidden="1" customHeight="1">
      <c r="A3676" s="49" t="s">
        <v>365</v>
      </c>
      <c r="B3676" s="50">
        <v>44561.0</v>
      </c>
      <c r="C3676" s="49" t="s">
        <v>780</v>
      </c>
      <c r="D3676" s="49">
        <v>0.0</v>
      </c>
    </row>
    <row r="3677" ht="15.0" hidden="1" customHeight="1">
      <c r="A3677" s="49" t="s">
        <v>370</v>
      </c>
      <c r="B3677" s="50">
        <v>44561.0</v>
      </c>
      <c r="C3677" s="49" t="s">
        <v>780</v>
      </c>
      <c r="D3677" s="49">
        <v>0.0</v>
      </c>
    </row>
    <row r="3678" ht="15.0" hidden="1" customHeight="1">
      <c r="A3678" s="49" t="s">
        <v>375</v>
      </c>
      <c r="B3678" s="50">
        <v>44561.0</v>
      </c>
      <c r="C3678" s="49" t="s">
        <v>780</v>
      </c>
      <c r="D3678" s="49">
        <v>0.0</v>
      </c>
    </row>
    <row r="3679" ht="15.0" hidden="1" customHeight="1">
      <c r="A3679" s="49" t="s">
        <v>380</v>
      </c>
      <c r="B3679" s="50">
        <v>44561.0</v>
      </c>
      <c r="C3679" s="49" t="s">
        <v>780</v>
      </c>
      <c r="D3679" s="49">
        <v>0.0</v>
      </c>
    </row>
    <row r="3680" ht="15.0" hidden="1" customHeight="1">
      <c r="A3680" s="49" t="s">
        <v>385</v>
      </c>
      <c r="B3680" s="50">
        <v>44561.0</v>
      </c>
      <c r="C3680" s="49" t="s">
        <v>780</v>
      </c>
      <c r="D3680" s="49">
        <v>0.0</v>
      </c>
    </row>
    <row r="3681" ht="15.0" hidden="1" customHeight="1">
      <c r="A3681" s="49" t="s">
        <v>390</v>
      </c>
      <c r="B3681" s="50">
        <v>44561.0</v>
      </c>
      <c r="C3681" s="49" t="s">
        <v>780</v>
      </c>
      <c r="D3681" s="49">
        <v>0.0</v>
      </c>
    </row>
    <row r="3682" ht="15.0" hidden="1" customHeight="1">
      <c r="A3682" s="49" t="s">
        <v>395</v>
      </c>
      <c r="B3682" s="50">
        <v>44561.0</v>
      </c>
      <c r="C3682" s="49" t="s">
        <v>780</v>
      </c>
      <c r="D3682" s="49">
        <v>0.0</v>
      </c>
    </row>
    <row r="3683" ht="15.0" hidden="1" customHeight="1">
      <c r="A3683" s="49" t="s">
        <v>400</v>
      </c>
      <c r="B3683" s="50">
        <v>44561.0</v>
      </c>
      <c r="C3683" s="49" t="s">
        <v>780</v>
      </c>
      <c r="D3683" s="49">
        <v>0.0</v>
      </c>
    </row>
    <row r="3684" ht="15.0" hidden="1" customHeight="1">
      <c r="A3684" s="49" t="s">
        <v>405</v>
      </c>
      <c r="B3684" s="50">
        <v>44561.0</v>
      </c>
      <c r="C3684" s="49" t="s">
        <v>780</v>
      </c>
      <c r="D3684" s="49">
        <v>0.0</v>
      </c>
    </row>
    <row r="3685" ht="15.0" hidden="1" customHeight="1">
      <c r="A3685" s="49" t="s">
        <v>410</v>
      </c>
      <c r="B3685" s="50">
        <v>44561.0</v>
      </c>
      <c r="C3685" s="49" t="s">
        <v>780</v>
      </c>
      <c r="D3685" s="49">
        <v>0.0</v>
      </c>
    </row>
    <row r="3686" ht="15.0" hidden="1" customHeight="1">
      <c r="A3686" s="49" t="s">
        <v>415</v>
      </c>
      <c r="B3686" s="50">
        <v>44561.0</v>
      </c>
      <c r="C3686" s="49" t="s">
        <v>780</v>
      </c>
      <c r="D3686" s="49">
        <v>0.0</v>
      </c>
    </row>
    <row r="3687" ht="15.0" hidden="1" customHeight="1">
      <c r="A3687" s="49" t="s">
        <v>420</v>
      </c>
      <c r="B3687" s="50">
        <v>44561.0</v>
      </c>
      <c r="C3687" s="49" t="s">
        <v>780</v>
      </c>
      <c r="D3687" s="49">
        <v>0.0</v>
      </c>
    </row>
    <row r="3688" ht="15.0" hidden="1" customHeight="1">
      <c r="A3688" s="49" t="s">
        <v>425</v>
      </c>
      <c r="B3688" s="50">
        <v>44561.0</v>
      </c>
      <c r="C3688" s="49" t="s">
        <v>780</v>
      </c>
      <c r="D3688" s="49">
        <v>0.0</v>
      </c>
    </row>
    <row r="3689" ht="15.0" hidden="1" customHeight="1">
      <c r="A3689" s="49" t="s">
        <v>430</v>
      </c>
      <c r="B3689" s="50">
        <v>44561.0</v>
      </c>
      <c r="C3689" s="49" t="s">
        <v>780</v>
      </c>
      <c r="D3689" s="49">
        <v>0.0</v>
      </c>
    </row>
    <row r="3690" ht="15.0" hidden="1" customHeight="1">
      <c r="A3690" s="49" t="s">
        <v>434</v>
      </c>
      <c r="B3690" s="50">
        <v>44561.0</v>
      </c>
      <c r="C3690" s="49" t="s">
        <v>780</v>
      </c>
      <c r="D3690" s="49">
        <v>0.0</v>
      </c>
    </row>
    <row r="3691" ht="15.0" hidden="1" customHeight="1">
      <c r="A3691" s="49" t="s">
        <v>439</v>
      </c>
      <c r="B3691" s="50">
        <v>44561.0</v>
      </c>
      <c r="C3691" s="49" t="s">
        <v>780</v>
      </c>
      <c r="D3691" s="49">
        <v>0.0</v>
      </c>
    </row>
    <row r="3692" ht="15.0" hidden="1" customHeight="1">
      <c r="A3692" s="49" t="s">
        <v>444</v>
      </c>
      <c r="B3692" s="50">
        <v>44561.0</v>
      </c>
      <c r="C3692" s="49" t="s">
        <v>780</v>
      </c>
      <c r="D3692" s="49">
        <v>0.0</v>
      </c>
    </row>
    <row r="3693" ht="15.0" hidden="1" customHeight="1">
      <c r="A3693" s="49" t="s">
        <v>449</v>
      </c>
      <c r="B3693" s="50">
        <v>44561.0</v>
      </c>
      <c r="C3693" s="49" t="s">
        <v>780</v>
      </c>
      <c r="D3693" s="49">
        <v>0.0</v>
      </c>
    </row>
    <row r="3694" ht="15.0" hidden="1" customHeight="1">
      <c r="A3694" s="49" t="s">
        <v>455</v>
      </c>
      <c r="B3694" s="50">
        <v>44561.0</v>
      </c>
      <c r="C3694" s="49" t="s">
        <v>780</v>
      </c>
      <c r="D3694" s="49">
        <v>0.0</v>
      </c>
    </row>
    <row r="3695" ht="15.0" hidden="1" customHeight="1">
      <c r="A3695" s="49" t="s">
        <v>470</v>
      </c>
      <c r="B3695" s="50">
        <v>44561.0</v>
      </c>
      <c r="C3695" s="49" t="s">
        <v>780</v>
      </c>
      <c r="D3695" s="49">
        <v>0.0</v>
      </c>
    </row>
    <row r="3696" ht="15.0" hidden="1" customHeight="1">
      <c r="A3696" s="49" t="s">
        <v>476</v>
      </c>
      <c r="B3696" s="50">
        <v>44561.0</v>
      </c>
      <c r="C3696" s="49" t="s">
        <v>780</v>
      </c>
      <c r="D3696" s="49">
        <v>0.0</v>
      </c>
    </row>
    <row r="3697" ht="15.0" hidden="1" customHeight="1">
      <c r="A3697" s="49" t="s">
        <v>481</v>
      </c>
      <c r="B3697" s="50">
        <v>44561.0</v>
      </c>
      <c r="C3697" s="49" t="s">
        <v>780</v>
      </c>
      <c r="D3697" s="49">
        <v>0.0</v>
      </c>
    </row>
    <row r="3698" ht="15.0" hidden="1" customHeight="1">
      <c r="A3698" s="49" t="s">
        <v>486</v>
      </c>
      <c r="B3698" s="50">
        <v>44561.0</v>
      </c>
      <c r="C3698" s="49" t="s">
        <v>780</v>
      </c>
      <c r="D3698" s="49">
        <v>0.0</v>
      </c>
    </row>
    <row r="3699" ht="15.0" hidden="1" customHeight="1">
      <c r="A3699" s="49" t="s">
        <v>491</v>
      </c>
      <c r="B3699" s="50">
        <v>44561.0</v>
      </c>
      <c r="C3699" s="49" t="s">
        <v>780</v>
      </c>
      <c r="D3699" s="49">
        <v>0.0</v>
      </c>
    </row>
    <row r="3700" ht="15.0" hidden="1" customHeight="1">
      <c r="A3700" s="49" t="s">
        <v>496</v>
      </c>
      <c r="B3700" s="50">
        <v>44561.0</v>
      </c>
      <c r="C3700" s="49" t="s">
        <v>780</v>
      </c>
      <c r="D3700" s="49">
        <v>0.0</v>
      </c>
    </row>
    <row r="3701" ht="15.0" hidden="1" customHeight="1">
      <c r="A3701" s="49" t="s">
        <v>501</v>
      </c>
      <c r="B3701" s="50">
        <v>44561.0</v>
      </c>
      <c r="C3701" s="49" t="s">
        <v>780</v>
      </c>
      <c r="D3701" s="49">
        <v>0.0</v>
      </c>
    </row>
    <row r="3702" ht="15.0" hidden="1" customHeight="1">
      <c r="A3702" s="49" t="s">
        <v>506</v>
      </c>
      <c r="B3702" s="50">
        <v>44561.0</v>
      </c>
      <c r="C3702" s="49" t="s">
        <v>780</v>
      </c>
      <c r="D3702" s="49">
        <v>0.0</v>
      </c>
    </row>
    <row r="3703" ht="15.0" hidden="1" customHeight="1">
      <c r="A3703" s="49" t="s">
        <v>512</v>
      </c>
      <c r="B3703" s="50">
        <v>44561.0</v>
      </c>
      <c r="C3703" s="49" t="s">
        <v>780</v>
      </c>
      <c r="D3703" s="49">
        <v>0.0</v>
      </c>
    </row>
    <row r="3704" ht="15.0" hidden="1" customHeight="1">
      <c r="A3704" s="49" t="s">
        <v>517</v>
      </c>
      <c r="B3704" s="50">
        <v>44561.0</v>
      </c>
      <c r="C3704" s="49" t="s">
        <v>780</v>
      </c>
      <c r="D3704" s="49">
        <v>0.0</v>
      </c>
    </row>
    <row r="3705" ht="15.0" hidden="1" customHeight="1">
      <c r="A3705" s="49" t="s">
        <v>522</v>
      </c>
      <c r="B3705" s="50">
        <v>44561.0</v>
      </c>
      <c r="C3705" s="49" t="s">
        <v>780</v>
      </c>
      <c r="D3705" s="49">
        <v>0.0</v>
      </c>
    </row>
    <row r="3706" ht="15.0" hidden="1" customHeight="1">
      <c r="A3706" s="49" t="s">
        <v>528</v>
      </c>
      <c r="B3706" s="50">
        <v>44561.0</v>
      </c>
      <c r="C3706" s="49" t="s">
        <v>780</v>
      </c>
      <c r="D3706" s="49">
        <v>0.0</v>
      </c>
    </row>
    <row r="3707" ht="15.0" hidden="1" customHeight="1">
      <c r="A3707" s="49" t="s">
        <v>533</v>
      </c>
      <c r="B3707" s="50">
        <v>44561.0</v>
      </c>
      <c r="C3707" s="49" t="s">
        <v>780</v>
      </c>
      <c r="D3707" s="49">
        <v>0.0</v>
      </c>
    </row>
    <row r="3708" ht="15.0" hidden="1" customHeight="1">
      <c r="A3708" s="49" t="s">
        <v>538</v>
      </c>
      <c r="B3708" s="50">
        <v>44561.0</v>
      </c>
      <c r="C3708" s="49" t="s">
        <v>780</v>
      </c>
      <c r="D3708" s="49">
        <v>0.0</v>
      </c>
    </row>
    <row r="3709" ht="15.0" hidden="1" customHeight="1">
      <c r="A3709" s="49" t="s">
        <v>546</v>
      </c>
      <c r="B3709" s="50">
        <v>44561.0</v>
      </c>
      <c r="C3709" s="49" t="s">
        <v>780</v>
      </c>
      <c r="D3709" s="49">
        <v>0.0</v>
      </c>
    </row>
    <row r="3710" ht="15.0" hidden="1" customHeight="1">
      <c r="A3710" s="49" t="s">
        <v>551</v>
      </c>
      <c r="B3710" s="50">
        <v>44561.0</v>
      </c>
      <c r="C3710" s="49" t="s">
        <v>780</v>
      </c>
      <c r="D3710" s="49">
        <v>0.0</v>
      </c>
    </row>
    <row r="3711" ht="15.0" hidden="1" customHeight="1">
      <c r="A3711" s="49" t="s">
        <v>556</v>
      </c>
      <c r="B3711" s="50">
        <v>44561.0</v>
      </c>
      <c r="C3711" s="49" t="s">
        <v>780</v>
      </c>
      <c r="D3711" s="49">
        <v>0.0</v>
      </c>
    </row>
    <row r="3712" ht="15.0" hidden="1" customHeight="1">
      <c r="A3712" s="49" t="s">
        <v>561</v>
      </c>
      <c r="B3712" s="50">
        <v>44561.0</v>
      </c>
      <c r="C3712" s="49" t="s">
        <v>780</v>
      </c>
      <c r="D3712" s="49">
        <v>0.0</v>
      </c>
    </row>
    <row r="3713" ht="15.0" hidden="1" customHeight="1">
      <c r="A3713" s="49" t="s">
        <v>566</v>
      </c>
      <c r="B3713" s="50">
        <v>44561.0</v>
      </c>
      <c r="C3713" s="49" t="s">
        <v>780</v>
      </c>
      <c r="D3713" s="49">
        <v>0.0</v>
      </c>
    </row>
    <row r="3714" ht="15.0" hidden="1" customHeight="1">
      <c r="A3714" s="49" t="s">
        <v>571</v>
      </c>
      <c r="B3714" s="50">
        <v>44561.0</v>
      </c>
      <c r="C3714" s="49" t="s">
        <v>780</v>
      </c>
      <c r="D3714" s="49">
        <v>0.0</v>
      </c>
    </row>
    <row r="3715" ht="15.0" hidden="1" customHeight="1">
      <c r="A3715" s="49" t="s">
        <v>576</v>
      </c>
      <c r="B3715" s="50">
        <v>44561.0</v>
      </c>
      <c r="C3715" s="49" t="s">
        <v>780</v>
      </c>
      <c r="D3715" s="49">
        <v>0.0</v>
      </c>
    </row>
    <row r="3716" ht="15.0" hidden="1" customHeight="1">
      <c r="A3716" s="49" t="s">
        <v>581</v>
      </c>
      <c r="B3716" s="50">
        <v>44561.0</v>
      </c>
      <c r="C3716" s="49" t="s">
        <v>780</v>
      </c>
      <c r="D3716" s="49">
        <v>0.0</v>
      </c>
    </row>
    <row r="3717" ht="15.0" hidden="1" customHeight="1">
      <c r="A3717" s="49" t="s">
        <v>586</v>
      </c>
      <c r="B3717" s="50">
        <v>44561.0</v>
      </c>
      <c r="C3717" s="49" t="s">
        <v>780</v>
      </c>
      <c r="D3717" s="49">
        <v>0.0</v>
      </c>
    </row>
    <row r="3718" ht="15.0" hidden="1" customHeight="1">
      <c r="A3718" s="49" t="s">
        <v>754</v>
      </c>
      <c r="B3718" s="50">
        <v>44561.0</v>
      </c>
      <c r="C3718" s="49" t="s">
        <v>780</v>
      </c>
      <c r="D3718" s="49">
        <v>0.0</v>
      </c>
    </row>
    <row r="3719" ht="15.0" hidden="1" customHeight="1">
      <c r="A3719" s="49" t="s">
        <v>591</v>
      </c>
      <c r="B3719" s="50">
        <v>44561.0</v>
      </c>
      <c r="C3719" s="49" t="s">
        <v>780</v>
      </c>
      <c r="D3719" s="49">
        <v>0.0</v>
      </c>
    </row>
    <row r="3720" ht="15.0" hidden="1" customHeight="1">
      <c r="A3720" s="49" t="s">
        <v>759</v>
      </c>
      <c r="B3720" s="50">
        <v>44561.0</v>
      </c>
      <c r="C3720" s="49" t="s">
        <v>780</v>
      </c>
      <c r="D3720" s="49">
        <v>0.0</v>
      </c>
    </row>
    <row r="3721" ht="15.0" hidden="1" customHeight="1">
      <c r="A3721" s="49" t="s">
        <v>596</v>
      </c>
      <c r="B3721" s="50">
        <v>44561.0</v>
      </c>
      <c r="C3721" s="49" t="s">
        <v>780</v>
      </c>
      <c r="D3721" s="49">
        <v>0.0</v>
      </c>
    </row>
    <row r="3722" ht="15.0" hidden="1" customHeight="1">
      <c r="A3722" s="49" t="s">
        <v>602</v>
      </c>
      <c r="B3722" s="50">
        <v>44561.0</v>
      </c>
      <c r="C3722" s="49" t="s">
        <v>780</v>
      </c>
      <c r="D3722" s="49">
        <v>0.0</v>
      </c>
    </row>
    <row r="3723" ht="15.0" hidden="1" customHeight="1">
      <c r="A3723" s="49" t="s">
        <v>607</v>
      </c>
      <c r="B3723" s="50">
        <v>44561.0</v>
      </c>
      <c r="C3723" s="49" t="s">
        <v>780</v>
      </c>
      <c r="D3723" s="49">
        <v>0.0</v>
      </c>
    </row>
    <row r="3724" ht="15.0" hidden="1" customHeight="1">
      <c r="A3724" s="49" t="s">
        <v>612</v>
      </c>
      <c r="B3724" s="50">
        <v>44561.0</v>
      </c>
      <c r="C3724" s="49" t="s">
        <v>780</v>
      </c>
      <c r="D3724" s="49">
        <v>0.0</v>
      </c>
    </row>
    <row r="3725" ht="15.0" hidden="1" customHeight="1">
      <c r="A3725" s="49" t="s">
        <v>617</v>
      </c>
      <c r="B3725" s="50">
        <v>44561.0</v>
      </c>
      <c r="C3725" s="49" t="s">
        <v>780</v>
      </c>
      <c r="D3725" s="49">
        <v>0.0</v>
      </c>
    </row>
    <row r="3726" ht="15.0" hidden="1" customHeight="1">
      <c r="A3726" s="49" t="s">
        <v>622</v>
      </c>
      <c r="B3726" s="50">
        <v>44561.0</v>
      </c>
      <c r="C3726" s="49" t="s">
        <v>780</v>
      </c>
      <c r="D3726" s="49">
        <v>0.0</v>
      </c>
    </row>
    <row r="3727" ht="15.0" hidden="1" customHeight="1">
      <c r="A3727" s="49" t="s">
        <v>627</v>
      </c>
      <c r="B3727" s="50">
        <v>44561.0</v>
      </c>
      <c r="C3727" s="49" t="s">
        <v>780</v>
      </c>
      <c r="D3727" s="49">
        <v>0.0</v>
      </c>
    </row>
    <row r="3728" ht="15.0" hidden="1" customHeight="1">
      <c r="A3728" s="49" t="s">
        <v>631</v>
      </c>
      <c r="B3728" s="50">
        <v>44561.0</v>
      </c>
      <c r="C3728" s="49" t="s">
        <v>780</v>
      </c>
      <c r="D3728" s="49">
        <v>0.0</v>
      </c>
    </row>
    <row r="3729" ht="15.0" hidden="1" customHeight="1">
      <c r="A3729" s="49" t="s">
        <v>636</v>
      </c>
      <c r="B3729" s="50">
        <v>44561.0</v>
      </c>
      <c r="C3729" s="49" t="s">
        <v>780</v>
      </c>
      <c r="D3729" s="49">
        <v>0.0</v>
      </c>
    </row>
    <row r="3730" ht="15.0" hidden="1" customHeight="1">
      <c r="A3730" s="49" t="s">
        <v>640</v>
      </c>
      <c r="B3730" s="50">
        <v>44561.0</v>
      </c>
      <c r="C3730" s="49" t="s">
        <v>780</v>
      </c>
      <c r="D3730" s="49">
        <v>0.0</v>
      </c>
    </row>
    <row r="3731" ht="15.0" hidden="1" customHeight="1">
      <c r="A3731" s="49" t="s">
        <v>644</v>
      </c>
      <c r="B3731" s="50">
        <v>44561.0</v>
      </c>
      <c r="C3731" s="49" t="s">
        <v>780</v>
      </c>
      <c r="D3731" s="49">
        <v>0.0</v>
      </c>
    </row>
    <row r="3732" ht="15.0" hidden="1" customHeight="1">
      <c r="A3732" s="49" t="s">
        <v>649</v>
      </c>
      <c r="B3732" s="50">
        <v>44561.0</v>
      </c>
      <c r="C3732" s="49" t="s">
        <v>780</v>
      </c>
      <c r="D3732" s="49">
        <v>0.0</v>
      </c>
    </row>
    <row r="3733" ht="15.0" hidden="1" customHeight="1">
      <c r="A3733" s="49" t="s">
        <v>654</v>
      </c>
      <c r="B3733" s="50">
        <v>44561.0</v>
      </c>
      <c r="C3733" s="49" t="s">
        <v>780</v>
      </c>
      <c r="D3733" s="49">
        <v>0.0</v>
      </c>
    </row>
    <row r="3734" ht="15.0" hidden="1" customHeight="1">
      <c r="A3734" s="49" t="s">
        <v>659</v>
      </c>
      <c r="B3734" s="50">
        <v>44561.0</v>
      </c>
      <c r="C3734" s="49" t="s">
        <v>780</v>
      </c>
      <c r="D3734" s="49">
        <v>0.0</v>
      </c>
    </row>
    <row r="3735" ht="15.0" hidden="1" customHeight="1">
      <c r="A3735" s="49" t="s">
        <v>664</v>
      </c>
      <c r="B3735" s="50">
        <v>44561.0</v>
      </c>
      <c r="C3735" s="49" t="s">
        <v>780</v>
      </c>
      <c r="D3735" s="49">
        <v>0.0</v>
      </c>
    </row>
    <row r="3736" ht="15.0" hidden="1" customHeight="1">
      <c r="A3736" s="49" t="s">
        <v>669</v>
      </c>
      <c r="B3736" s="50">
        <v>44561.0</v>
      </c>
      <c r="C3736" s="49" t="s">
        <v>780</v>
      </c>
      <c r="D3736" s="49">
        <v>0.0</v>
      </c>
    </row>
    <row r="3737" ht="15.0" hidden="1" customHeight="1">
      <c r="A3737" s="49" t="s">
        <v>674</v>
      </c>
      <c r="B3737" s="50">
        <v>44561.0</v>
      </c>
      <c r="C3737" s="49" t="s">
        <v>780</v>
      </c>
      <c r="D3737" s="49">
        <v>0.0</v>
      </c>
    </row>
    <row r="3738" ht="15.0" hidden="1" customHeight="1">
      <c r="A3738" s="49" t="s">
        <v>679</v>
      </c>
      <c r="B3738" s="50">
        <v>44561.0</v>
      </c>
      <c r="C3738" s="49" t="s">
        <v>780</v>
      </c>
      <c r="D3738" s="49">
        <v>0.0</v>
      </c>
    </row>
    <row r="3739" ht="15.0" hidden="1" customHeight="1">
      <c r="A3739" s="49" t="s">
        <v>684</v>
      </c>
      <c r="B3739" s="50">
        <v>44561.0</v>
      </c>
      <c r="C3739" s="49" t="s">
        <v>780</v>
      </c>
      <c r="D3739" s="49">
        <v>0.0</v>
      </c>
    </row>
    <row r="3740" ht="15.0" hidden="1" customHeight="1">
      <c r="A3740" s="49" t="s">
        <v>689</v>
      </c>
      <c r="B3740" s="50">
        <v>44561.0</v>
      </c>
      <c r="C3740" s="49" t="s">
        <v>780</v>
      </c>
      <c r="D3740" s="49">
        <v>0.0</v>
      </c>
    </row>
    <row r="3741" ht="15.0" hidden="1" customHeight="1">
      <c r="A3741" s="49" t="s">
        <v>694</v>
      </c>
      <c r="B3741" s="50">
        <v>44561.0</v>
      </c>
      <c r="C3741" s="49" t="s">
        <v>780</v>
      </c>
      <c r="D3741" s="49">
        <v>0.0</v>
      </c>
    </row>
    <row r="3742" ht="15.0" hidden="1" customHeight="1">
      <c r="A3742" s="49" t="s">
        <v>699</v>
      </c>
      <c r="B3742" s="50">
        <v>44561.0</v>
      </c>
      <c r="C3742" s="49" t="s">
        <v>780</v>
      </c>
      <c r="D3742" s="49">
        <v>0.0</v>
      </c>
    </row>
    <row r="3743" ht="15.0" hidden="1" customHeight="1">
      <c r="A3743" s="49" t="s">
        <v>705</v>
      </c>
      <c r="B3743" s="50">
        <v>44561.0</v>
      </c>
      <c r="C3743" s="49" t="s">
        <v>780</v>
      </c>
      <c r="D3743" s="49">
        <v>0.0</v>
      </c>
    </row>
    <row r="3744" ht="15.0" hidden="1" customHeight="1">
      <c r="A3744" s="49" t="s">
        <v>710</v>
      </c>
      <c r="B3744" s="50">
        <v>44561.0</v>
      </c>
      <c r="C3744" s="49" t="s">
        <v>780</v>
      </c>
      <c r="D3744" s="49">
        <v>0.0</v>
      </c>
    </row>
    <row r="3745" ht="15.0" hidden="1" customHeight="1">
      <c r="A3745" s="49" t="s">
        <v>715</v>
      </c>
      <c r="B3745" s="50">
        <v>44561.0</v>
      </c>
      <c r="C3745" s="49" t="s">
        <v>780</v>
      </c>
      <c r="D3745" s="49">
        <v>0.0</v>
      </c>
    </row>
    <row r="3746" ht="15.0" hidden="1" customHeight="1">
      <c r="A3746" s="49" t="s">
        <v>765</v>
      </c>
      <c r="B3746" s="50">
        <v>44561.0</v>
      </c>
      <c r="C3746" s="49" t="s">
        <v>780</v>
      </c>
      <c r="D3746" s="49">
        <v>0.0</v>
      </c>
    </row>
    <row r="3747" ht="15.0" hidden="1" customHeight="1">
      <c r="A3747" s="49" t="s">
        <v>720</v>
      </c>
      <c r="B3747" s="50">
        <v>44561.0</v>
      </c>
      <c r="C3747" s="49" t="s">
        <v>780</v>
      </c>
      <c r="D3747" s="49">
        <v>0.0</v>
      </c>
    </row>
    <row r="3748" ht="15.0" hidden="1" customHeight="1">
      <c r="A3748" s="49" t="s">
        <v>725</v>
      </c>
      <c r="B3748" s="50">
        <v>44561.0</v>
      </c>
      <c r="C3748" s="49" t="s">
        <v>780</v>
      </c>
      <c r="D3748" s="49">
        <v>0.0</v>
      </c>
    </row>
    <row r="3749" ht="15.0" hidden="1" customHeight="1">
      <c r="A3749" s="49" t="s">
        <v>730</v>
      </c>
      <c r="B3749" s="50">
        <v>44561.0</v>
      </c>
      <c r="C3749" s="49" t="s">
        <v>780</v>
      </c>
      <c r="D3749" s="49">
        <v>0.0</v>
      </c>
    </row>
    <row r="3750" ht="15.0" hidden="1" customHeight="1">
      <c r="A3750" s="49" t="s">
        <v>734</v>
      </c>
      <c r="B3750" s="50">
        <v>44561.0</v>
      </c>
      <c r="C3750" s="49" t="s">
        <v>780</v>
      </c>
      <c r="D3750" s="49">
        <v>0.0</v>
      </c>
    </row>
    <row r="3751" ht="15.0" hidden="1" customHeight="1">
      <c r="A3751" s="49" t="s">
        <v>739</v>
      </c>
      <c r="B3751" s="50">
        <v>44561.0</v>
      </c>
      <c r="C3751" s="49" t="s">
        <v>780</v>
      </c>
      <c r="D3751" s="49">
        <v>0.0</v>
      </c>
    </row>
    <row r="3752" ht="15.0" hidden="1" customHeight="1">
      <c r="A3752" s="49" t="s">
        <v>744</v>
      </c>
      <c r="B3752" s="50">
        <v>44561.0</v>
      </c>
      <c r="C3752" s="49" t="s">
        <v>780</v>
      </c>
      <c r="D3752" s="49">
        <v>0.0</v>
      </c>
    </row>
    <row r="3753" ht="15.0" hidden="1" customHeight="1">
      <c r="A3753" s="49" t="s">
        <v>749</v>
      </c>
      <c r="B3753" s="50">
        <v>44561.0</v>
      </c>
      <c r="C3753" s="49" t="s">
        <v>780</v>
      </c>
      <c r="D3753" s="49">
        <v>0.0</v>
      </c>
    </row>
    <row r="3754" ht="15.0" customHeight="1">
      <c r="A3754" s="49" t="s">
        <v>776</v>
      </c>
      <c r="B3754" s="50">
        <v>44650.0</v>
      </c>
      <c r="C3754" s="49" t="s">
        <v>777</v>
      </c>
      <c r="D3754" s="49">
        <v>0.0</v>
      </c>
    </row>
    <row r="3755" ht="15.0" hidden="1" customHeight="1">
      <c r="A3755" s="49" t="s">
        <v>778</v>
      </c>
      <c r="B3755" s="50">
        <v>44650.0</v>
      </c>
      <c r="C3755" s="49" t="s">
        <v>777</v>
      </c>
      <c r="D3755" s="49">
        <v>0.0</v>
      </c>
    </row>
    <row r="3756" ht="15.0" hidden="1" customHeight="1">
      <c r="A3756" s="49" t="s">
        <v>92</v>
      </c>
      <c r="B3756" s="50">
        <v>44650.0</v>
      </c>
      <c r="C3756" s="49" t="s">
        <v>777</v>
      </c>
      <c r="D3756" s="49">
        <v>0.0</v>
      </c>
    </row>
    <row r="3757" ht="15.0" hidden="1" customHeight="1">
      <c r="A3757" s="49" t="s">
        <v>97</v>
      </c>
      <c r="B3757" s="50">
        <v>44650.0</v>
      </c>
      <c r="C3757" s="49" t="s">
        <v>777</v>
      </c>
      <c r="D3757" s="49">
        <v>0.0</v>
      </c>
    </row>
    <row r="3758" ht="15.0" hidden="1" customHeight="1">
      <c r="A3758" s="49" t="s">
        <v>102</v>
      </c>
      <c r="B3758" s="50">
        <v>44650.0</v>
      </c>
      <c r="C3758" s="49" t="s">
        <v>777</v>
      </c>
      <c r="D3758" s="49">
        <v>0.0</v>
      </c>
    </row>
    <row r="3759" ht="15.0" hidden="1" customHeight="1">
      <c r="A3759" s="49" t="s">
        <v>106</v>
      </c>
      <c r="B3759" s="50">
        <v>44650.0</v>
      </c>
      <c r="C3759" s="49" t="s">
        <v>777</v>
      </c>
      <c r="D3759" s="49">
        <v>0.0</v>
      </c>
    </row>
    <row r="3760" ht="15.0" hidden="1" customHeight="1">
      <c r="A3760" s="49" t="s">
        <v>111</v>
      </c>
      <c r="B3760" s="50">
        <v>44650.0</v>
      </c>
      <c r="C3760" s="49" t="s">
        <v>777</v>
      </c>
      <c r="D3760" s="49">
        <v>0.0</v>
      </c>
    </row>
    <row r="3761" ht="15.0" hidden="1" customHeight="1">
      <c r="A3761" s="49" t="s">
        <v>116</v>
      </c>
      <c r="B3761" s="50">
        <v>44650.0</v>
      </c>
      <c r="C3761" s="49" t="s">
        <v>777</v>
      </c>
      <c r="D3761" s="49">
        <v>0.0</v>
      </c>
    </row>
    <row r="3762" ht="15.0" hidden="1" customHeight="1">
      <c r="A3762" s="49" t="s">
        <v>120</v>
      </c>
      <c r="B3762" s="50">
        <v>44650.0</v>
      </c>
      <c r="C3762" s="49" t="s">
        <v>777</v>
      </c>
      <c r="D3762" s="49">
        <v>0.0</v>
      </c>
    </row>
    <row r="3763" ht="15.0" hidden="1" customHeight="1">
      <c r="A3763" s="49" t="s">
        <v>125</v>
      </c>
      <c r="B3763" s="50">
        <v>44650.0</v>
      </c>
      <c r="C3763" s="49" t="s">
        <v>777</v>
      </c>
      <c r="D3763" s="49">
        <v>0.0</v>
      </c>
    </row>
    <row r="3764" ht="15.0" hidden="1" customHeight="1">
      <c r="A3764" s="49" t="s">
        <v>130</v>
      </c>
      <c r="B3764" s="50">
        <v>44650.0</v>
      </c>
      <c r="C3764" s="49" t="s">
        <v>777</v>
      </c>
      <c r="D3764" s="49">
        <v>0.0</v>
      </c>
    </row>
    <row r="3765" ht="15.0" hidden="1" customHeight="1">
      <c r="A3765" s="49" t="s">
        <v>137</v>
      </c>
      <c r="B3765" s="50">
        <v>44650.0</v>
      </c>
      <c r="C3765" s="49" t="s">
        <v>777</v>
      </c>
      <c r="D3765" s="49">
        <v>0.0</v>
      </c>
    </row>
    <row r="3766" ht="15.0" hidden="1" customHeight="1">
      <c r="A3766" s="49" t="s">
        <v>142</v>
      </c>
      <c r="B3766" s="50">
        <v>44650.0</v>
      </c>
      <c r="C3766" s="49" t="s">
        <v>777</v>
      </c>
      <c r="D3766" s="49">
        <v>0.0</v>
      </c>
    </row>
    <row r="3767" ht="15.0" hidden="1" customHeight="1">
      <c r="A3767" s="49" t="s">
        <v>147</v>
      </c>
      <c r="B3767" s="50">
        <v>44650.0</v>
      </c>
      <c r="C3767" s="49" t="s">
        <v>777</v>
      </c>
      <c r="D3767" s="49">
        <v>0.0</v>
      </c>
    </row>
    <row r="3768" ht="15.0" hidden="1" customHeight="1">
      <c r="A3768" s="49" t="s">
        <v>152</v>
      </c>
      <c r="B3768" s="50">
        <v>44650.0</v>
      </c>
      <c r="C3768" s="49" t="s">
        <v>777</v>
      </c>
      <c r="D3768" s="49">
        <v>0.0</v>
      </c>
    </row>
    <row r="3769" ht="15.0" hidden="1" customHeight="1">
      <c r="A3769" s="49" t="s">
        <v>157</v>
      </c>
      <c r="B3769" s="50">
        <v>44650.0</v>
      </c>
      <c r="C3769" s="49" t="s">
        <v>777</v>
      </c>
      <c r="D3769" s="49">
        <v>0.0</v>
      </c>
    </row>
    <row r="3770" ht="15.0" hidden="1" customHeight="1">
      <c r="A3770" s="49" t="s">
        <v>162</v>
      </c>
      <c r="B3770" s="50">
        <v>44650.0</v>
      </c>
      <c r="C3770" s="49" t="s">
        <v>777</v>
      </c>
      <c r="D3770" s="49">
        <v>0.0</v>
      </c>
    </row>
    <row r="3771" ht="15.0" hidden="1" customHeight="1">
      <c r="A3771" s="49" t="s">
        <v>167</v>
      </c>
      <c r="B3771" s="50">
        <v>44650.0</v>
      </c>
      <c r="C3771" s="49" t="s">
        <v>777</v>
      </c>
      <c r="D3771" s="49">
        <v>0.0</v>
      </c>
    </row>
    <row r="3772" ht="15.0" hidden="1" customHeight="1">
      <c r="A3772" s="49" t="s">
        <v>172</v>
      </c>
      <c r="B3772" s="50">
        <v>44650.0</v>
      </c>
      <c r="C3772" s="49" t="s">
        <v>777</v>
      </c>
      <c r="D3772" s="49">
        <v>0.0</v>
      </c>
    </row>
    <row r="3773" ht="15.0" hidden="1" customHeight="1">
      <c r="A3773" s="49" t="s">
        <v>177</v>
      </c>
      <c r="B3773" s="50">
        <v>44650.0</v>
      </c>
      <c r="C3773" s="49" t="s">
        <v>777</v>
      </c>
      <c r="D3773" s="49">
        <v>0.0</v>
      </c>
    </row>
    <row r="3774" ht="15.0" hidden="1" customHeight="1">
      <c r="A3774" s="49" t="s">
        <v>182</v>
      </c>
      <c r="B3774" s="50">
        <v>44650.0</v>
      </c>
      <c r="C3774" s="49" t="s">
        <v>777</v>
      </c>
      <c r="D3774" s="49">
        <v>0.0</v>
      </c>
    </row>
    <row r="3775" ht="15.0" hidden="1" customHeight="1">
      <c r="A3775" s="49" t="s">
        <v>187</v>
      </c>
      <c r="B3775" s="50">
        <v>44650.0</v>
      </c>
      <c r="C3775" s="49" t="s">
        <v>777</v>
      </c>
      <c r="D3775" s="49">
        <v>0.0</v>
      </c>
    </row>
    <row r="3776" ht="15.0" hidden="1" customHeight="1">
      <c r="A3776" s="49" t="s">
        <v>192</v>
      </c>
      <c r="B3776" s="50">
        <v>44650.0</v>
      </c>
      <c r="C3776" s="49" t="s">
        <v>777</v>
      </c>
      <c r="D3776" s="49">
        <v>0.0</v>
      </c>
    </row>
    <row r="3777" ht="15.0" hidden="1" customHeight="1">
      <c r="A3777" s="49" t="s">
        <v>197</v>
      </c>
      <c r="B3777" s="50">
        <v>44650.0</v>
      </c>
      <c r="C3777" s="49" t="s">
        <v>777</v>
      </c>
      <c r="D3777" s="49">
        <v>0.0</v>
      </c>
    </row>
    <row r="3778" ht="15.0" hidden="1" customHeight="1">
      <c r="A3778" s="49" t="s">
        <v>202</v>
      </c>
      <c r="B3778" s="50">
        <v>44650.0</v>
      </c>
      <c r="C3778" s="49" t="s">
        <v>777</v>
      </c>
      <c r="D3778" s="49">
        <v>0.0</v>
      </c>
    </row>
    <row r="3779" ht="15.0" hidden="1" customHeight="1">
      <c r="A3779" s="49" t="s">
        <v>206</v>
      </c>
      <c r="B3779" s="50">
        <v>44650.0</v>
      </c>
      <c r="C3779" s="49" t="s">
        <v>777</v>
      </c>
      <c r="D3779" s="49">
        <v>0.0</v>
      </c>
    </row>
    <row r="3780" ht="15.0" hidden="1" customHeight="1">
      <c r="A3780" s="49" t="s">
        <v>211</v>
      </c>
      <c r="B3780" s="50">
        <v>44650.0</v>
      </c>
      <c r="C3780" s="49" t="s">
        <v>777</v>
      </c>
      <c r="D3780" s="49">
        <v>0.0</v>
      </c>
    </row>
    <row r="3781" ht="15.0" hidden="1" customHeight="1">
      <c r="A3781" s="49" t="s">
        <v>779</v>
      </c>
      <c r="B3781" s="50">
        <v>44650.0</v>
      </c>
      <c r="C3781" s="49" t="s">
        <v>777</v>
      </c>
      <c r="D3781" s="49">
        <v>0.0</v>
      </c>
    </row>
    <row r="3782" ht="15.0" hidden="1" customHeight="1">
      <c r="A3782" s="49" t="s">
        <v>221</v>
      </c>
      <c r="B3782" s="50">
        <v>44650.0</v>
      </c>
      <c r="C3782" s="49" t="s">
        <v>777</v>
      </c>
      <c r="D3782" s="49">
        <v>0.0</v>
      </c>
    </row>
    <row r="3783" ht="15.0" hidden="1" customHeight="1">
      <c r="A3783" s="49" t="s">
        <v>226</v>
      </c>
      <c r="B3783" s="50">
        <v>44650.0</v>
      </c>
      <c r="C3783" s="49" t="s">
        <v>777</v>
      </c>
      <c r="D3783" s="49">
        <v>0.0</v>
      </c>
    </row>
    <row r="3784" ht="15.0" hidden="1" customHeight="1">
      <c r="A3784" s="49" t="s">
        <v>231</v>
      </c>
      <c r="B3784" s="50">
        <v>44650.0</v>
      </c>
      <c r="C3784" s="49" t="s">
        <v>777</v>
      </c>
      <c r="D3784" s="49">
        <v>0.0</v>
      </c>
    </row>
    <row r="3785" ht="15.0" hidden="1" customHeight="1">
      <c r="A3785" s="49" t="s">
        <v>236</v>
      </c>
      <c r="B3785" s="50">
        <v>44650.0</v>
      </c>
      <c r="C3785" s="49" t="s">
        <v>777</v>
      </c>
      <c r="D3785" s="49">
        <v>0.0</v>
      </c>
    </row>
    <row r="3786" ht="15.0" hidden="1" customHeight="1">
      <c r="A3786" s="49" t="s">
        <v>242</v>
      </c>
      <c r="B3786" s="50">
        <v>44650.0</v>
      </c>
      <c r="C3786" s="49" t="s">
        <v>777</v>
      </c>
      <c r="D3786" s="49">
        <v>0.0</v>
      </c>
    </row>
    <row r="3787" ht="15.0" hidden="1" customHeight="1">
      <c r="A3787" s="49" t="s">
        <v>248</v>
      </c>
      <c r="B3787" s="50">
        <v>44650.0</v>
      </c>
      <c r="C3787" s="49" t="s">
        <v>777</v>
      </c>
      <c r="D3787" s="49">
        <v>0.0</v>
      </c>
    </row>
    <row r="3788" ht="15.0" hidden="1" customHeight="1">
      <c r="A3788" s="49" t="s">
        <v>253</v>
      </c>
      <c r="B3788" s="50">
        <v>44650.0</v>
      </c>
      <c r="C3788" s="49" t="s">
        <v>777</v>
      </c>
      <c r="D3788" s="49">
        <v>0.0</v>
      </c>
    </row>
    <row r="3789" ht="15.0" hidden="1" customHeight="1">
      <c r="A3789" s="49" t="s">
        <v>258</v>
      </c>
      <c r="B3789" s="50">
        <v>44650.0</v>
      </c>
      <c r="C3789" s="49" t="s">
        <v>777</v>
      </c>
      <c r="D3789" s="49">
        <v>0.0</v>
      </c>
    </row>
    <row r="3790" ht="15.0" hidden="1" customHeight="1">
      <c r="A3790" s="49" t="s">
        <v>263</v>
      </c>
      <c r="B3790" s="50">
        <v>44650.0</v>
      </c>
      <c r="C3790" s="49" t="s">
        <v>777</v>
      </c>
      <c r="D3790" s="49">
        <v>0.0</v>
      </c>
    </row>
    <row r="3791" ht="15.0" hidden="1" customHeight="1">
      <c r="A3791" s="49" t="s">
        <v>268</v>
      </c>
      <c r="B3791" s="50">
        <v>44650.0</v>
      </c>
      <c r="C3791" s="49" t="s">
        <v>777</v>
      </c>
      <c r="D3791" s="49">
        <v>833000.0</v>
      </c>
    </row>
    <row r="3792" ht="15.0" hidden="1" customHeight="1">
      <c r="A3792" s="49" t="s">
        <v>273</v>
      </c>
      <c r="B3792" s="50">
        <v>44650.0</v>
      </c>
      <c r="C3792" s="49" t="s">
        <v>777</v>
      </c>
      <c r="D3792" s="49">
        <v>0.0</v>
      </c>
    </row>
    <row r="3793" ht="15.0" hidden="1" customHeight="1">
      <c r="A3793" s="49" t="s">
        <v>278</v>
      </c>
      <c r="B3793" s="50">
        <v>44650.0</v>
      </c>
      <c r="C3793" s="49" t="s">
        <v>777</v>
      </c>
      <c r="D3793" s="49">
        <v>0.0</v>
      </c>
    </row>
    <row r="3794" ht="15.0" hidden="1" customHeight="1">
      <c r="A3794" s="49" t="s">
        <v>283</v>
      </c>
      <c r="B3794" s="50">
        <v>44650.0</v>
      </c>
      <c r="C3794" s="49" t="s">
        <v>777</v>
      </c>
      <c r="D3794" s="49">
        <v>0.0</v>
      </c>
    </row>
    <row r="3795" ht="15.0" hidden="1" customHeight="1">
      <c r="A3795" s="49" t="s">
        <v>288</v>
      </c>
      <c r="B3795" s="50">
        <v>44650.0</v>
      </c>
      <c r="C3795" s="49" t="s">
        <v>777</v>
      </c>
      <c r="D3795" s="49">
        <v>0.0</v>
      </c>
    </row>
    <row r="3796" ht="15.0" hidden="1" customHeight="1">
      <c r="A3796" s="49" t="s">
        <v>293</v>
      </c>
      <c r="B3796" s="50">
        <v>44650.0</v>
      </c>
      <c r="C3796" s="49" t="s">
        <v>777</v>
      </c>
      <c r="D3796" s="49">
        <v>0.0</v>
      </c>
    </row>
    <row r="3797" ht="15.0" hidden="1" customHeight="1">
      <c r="A3797" s="49" t="s">
        <v>298</v>
      </c>
      <c r="B3797" s="50">
        <v>44650.0</v>
      </c>
      <c r="C3797" s="49" t="s">
        <v>777</v>
      </c>
      <c r="D3797" s="49">
        <v>0.0</v>
      </c>
    </row>
    <row r="3798" ht="15.0" hidden="1" customHeight="1">
      <c r="A3798" s="49" t="s">
        <v>303</v>
      </c>
      <c r="B3798" s="50">
        <v>44650.0</v>
      </c>
      <c r="C3798" s="49" t="s">
        <v>777</v>
      </c>
      <c r="D3798" s="49">
        <v>0.0</v>
      </c>
    </row>
    <row r="3799" ht="15.0" hidden="1" customHeight="1">
      <c r="A3799" s="49" t="s">
        <v>307</v>
      </c>
      <c r="B3799" s="50">
        <v>44650.0</v>
      </c>
      <c r="C3799" s="49" t="s">
        <v>777</v>
      </c>
      <c r="D3799" s="49">
        <v>0.0</v>
      </c>
    </row>
    <row r="3800" ht="15.0" hidden="1" customHeight="1">
      <c r="A3800" s="49" t="s">
        <v>313</v>
      </c>
      <c r="B3800" s="50">
        <v>44650.0</v>
      </c>
      <c r="C3800" s="49" t="s">
        <v>777</v>
      </c>
      <c r="D3800" s="49">
        <v>0.0</v>
      </c>
    </row>
    <row r="3801" ht="15.0" hidden="1" customHeight="1">
      <c r="A3801" s="49" t="s">
        <v>318</v>
      </c>
      <c r="B3801" s="50">
        <v>44650.0</v>
      </c>
      <c r="C3801" s="49" t="s">
        <v>777</v>
      </c>
      <c r="D3801" s="49">
        <v>0.0</v>
      </c>
    </row>
    <row r="3802" ht="15.0" hidden="1" customHeight="1">
      <c r="A3802" s="49" t="s">
        <v>323</v>
      </c>
      <c r="B3802" s="50">
        <v>44650.0</v>
      </c>
      <c r="C3802" s="49" t="s">
        <v>777</v>
      </c>
      <c r="D3802" s="49">
        <v>0.0</v>
      </c>
    </row>
    <row r="3803" ht="15.0" hidden="1" customHeight="1">
      <c r="A3803" s="49" t="s">
        <v>328</v>
      </c>
      <c r="B3803" s="50">
        <v>44650.0</v>
      </c>
      <c r="C3803" s="49" t="s">
        <v>777</v>
      </c>
      <c r="D3803" s="49">
        <v>0.0</v>
      </c>
    </row>
    <row r="3804" ht="15.0" hidden="1" customHeight="1">
      <c r="A3804" s="49" t="s">
        <v>335</v>
      </c>
      <c r="B3804" s="50">
        <v>44650.0</v>
      </c>
      <c r="C3804" s="49" t="s">
        <v>777</v>
      </c>
      <c r="D3804" s="49">
        <v>0.0</v>
      </c>
    </row>
    <row r="3805" ht="15.0" hidden="1" customHeight="1">
      <c r="A3805" s="49" t="s">
        <v>340</v>
      </c>
      <c r="B3805" s="50">
        <v>44650.0</v>
      </c>
      <c r="C3805" s="49" t="s">
        <v>777</v>
      </c>
      <c r="D3805" s="49">
        <v>0.0</v>
      </c>
    </row>
    <row r="3806" ht="15.0" hidden="1" customHeight="1">
      <c r="A3806" s="49" t="s">
        <v>345</v>
      </c>
      <c r="B3806" s="50">
        <v>44650.0</v>
      </c>
      <c r="C3806" s="49" t="s">
        <v>777</v>
      </c>
      <c r="D3806" s="49">
        <v>0.0</v>
      </c>
    </row>
    <row r="3807" ht="15.0" hidden="1" customHeight="1">
      <c r="A3807" s="49" t="s">
        <v>350</v>
      </c>
      <c r="B3807" s="50">
        <v>44650.0</v>
      </c>
      <c r="C3807" s="49" t="s">
        <v>777</v>
      </c>
      <c r="D3807" s="49">
        <v>0.0</v>
      </c>
    </row>
    <row r="3808" ht="15.0" hidden="1" customHeight="1">
      <c r="A3808" s="49" t="s">
        <v>355</v>
      </c>
      <c r="B3808" s="50">
        <v>44650.0</v>
      </c>
      <c r="C3808" s="49" t="s">
        <v>777</v>
      </c>
      <c r="D3808" s="49">
        <v>0.0</v>
      </c>
    </row>
    <row r="3809" ht="15.0" hidden="1" customHeight="1">
      <c r="A3809" s="49" t="s">
        <v>360</v>
      </c>
      <c r="B3809" s="50">
        <v>44650.0</v>
      </c>
      <c r="C3809" s="49" t="s">
        <v>777</v>
      </c>
      <c r="D3809" s="49">
        <v>0.0</v>
      </c>
    </row>
    <row r="3810" ht="15.0" hidden="1" customHeight="1">
      <c r="A3810" s="49" t="s">
        <v>365</v>
      </c>
      <c r="B3810" s="50">
        <v>44650.0</v>
      </c>
      <c r="C3810" s="49" t="s">
        <v>777</v>
      </c>
      <c r="D3810" s="49">
        <v>0.0</v>
      </c>
    </row>
    <row r="3811" ht="15.0" hidden="1" customHeight="1">
      <c r="A3811" s="49" t="s">
        <v>370</v>
      </c>
      <c r="B3811" s="50">
        <v>44650.0</v>
      </c>
      <c r="C3811" s="49" t="s">
        <v>777</v>
      </c>
      <c r="D3811" s="49">
        <v>0.0</v>
      </c>
    </row>
    <row r="3812" ht="15.0" hidden="1" customHeight="1">
      <c r="A3812" s="49" t="s">
        <v>375</v>
      </c>
      <c r="B3812" s="50">
        <v>44650.0</v>
      </c>
      <c r="C3812" s="49" t="s">
        <v>777</v>
      </c>
      <c r="D3812" s="49">
        <v>0.0</v>
      </c>
    </row>
    <row r="3813" ht="15.0" hidden="1" customHeight="1">
      <c r="A3813" s="49" t="s">
        <v>380</v>
      </c>
      <c r="B3813" s="50">
        <v>44650.0</v>
      </c>
      <c r="C3813" s="49" t="s">
        <v>777</v>
      </c>
      <c r="D3813" s="49">
        <v>0.0</v>
      </c>
    </row>
    <row r="3814" ht="15.0" hidden="1" customHeight="1">
      <c r="A3814" s="49" t="s">
        <v>385</v>
      </c>
      <c r="B3814" s="50">
        <v>44650.0</v>
      </c>
      <c r="C3814" s="49" t="s">
        <v>777</v>
      </c>
      <c r="D3814" s="49">
        <v>0.0</v>
      </c>
    </row>
    <row r="3815" ht="15.0" hidden="1" customHeight="1">
      <c r="A3815" s="49" t="s">
        <v>390</v>
      </c>
      <c r="B3815" s="50">
        <v>44650.0</v>
      </c>
      <c r="C3815" s="49" t="s">
        <v>777</v>
      </c>
      <c r="D3815" s="49">
        <v>0.0</v>
      </c>
    </row>
    <row r="3816" ht="15.0" hidden="1" customHeight="1">
      <c r="A3816" s="49" t="s">
        <v>395</v>
      </c>
      <c r="B3816" s="50">
        <v>44650.0</v>
      </c>
      <c r="C3816" s="49" t="s">
        <v>777</v>
      </c>
      <c r="D3816" s="49">
        <v>0.0</v>
      </c>
    </row>
    <row r="3817" ht="15.0" hidden="1" customHeight="1">
      <c r="A3817" s="49" t="s">
        <v>400</v>
      </c>
      <c r="B3817" s="50">
        <v>44650.0</v>
      </c>
      <c r="C3817" s="49" t="s">
        <v>777</v>
      </c>
      <c r="D3817" s="49">
        <v>0.0</v>
      </c>
    </row>
    <row r="3818" ht="15.0" hidden="1" customHeight="1">
      <c r="A3818" s="49" t="s">
        <v>405</v>
      </c>
      <c r="B3818" s="50">
        <v>44650.0</v>
      </c>
      <c r="C3818" s="49" t="s">
        <v>777</v>
      </c>
      <c r="D3818" s="49">
        <v>0.0</v>
      </c>
    </row>
    <row r="3819" ht="15.0" hidden="1" customHeight="1">
      <c r="A3819" s="49" t="s">
        <v>410</v>
      </c>
      <c r="B3819" s="50">
        <v>44650.0</v>
      </c>
      <c r="C3819" s="49" t="s">
        <v>777</v>
      </c>
      <c r="D3819" s="49">
        <v>0.0</v>
      </c>
    </row>
    <row r="3820" ht="15.0" hidden="1" customHeight="1">
      <c r="A3820" s="49" t="s">
        <v>415</v>
      </c>
      <c r="B3820" s="50">
        <v>44650.0</v>
      </c>
      <c r="C3820" s="49" t="s">
        <v>777</v>
      </c>
      <c r="D3820" s="49">
        <v>0.0</v>
      </c>
    </row>
    <row r="3821" ht="15.0" hidden="1" customHeight="1">
      <c r="A3821" s="49" t="s">
        <v>420</v>
      </c>
      <c r="B3821" s="50">
        <v>44650.0</v>
      </c>
      <c r="C3821" s="49" t="s">
        <v>777</v>
      </c>
      <c r="D3821" s="49">
        <v>0.0</v>
      </c>
    </row>
    <row r="3822" ht="15.0" hidden="1" customHeight="1">
      <c r="A3822" s="49" t="s">
        <v>425</v>
      </c>
      <c r="B3822" s="50">
        <v>44650.0</v>
      </c>
      <c r="C3822" s="49" t="s">
        <v>777</v>
      </c>
      <c r="D3822" s="49">
        <v>0.0</v>
      </c>
    </row>
    <row r="3823" ht="15.0" hidden="1" customHeight="1">
      <c r="A3823" s="49" t="s">
        <v>430</v>
      </c>
      <c r="B3823" s="50">
        <v>44650.0</v>
      </c>
      <c r="C3823" s="49" t="s">
        <v>777</v>
      </c>
      <c r="D3823" s="49">
        <v>0.0</v>
      </c>
    </row>
    <row r="3824" ht="15.0" hidden="1" customHeight="1">
      <c r="A3824" s="49" t="s">
        <v>434</v>
      </c>
      <c r="B3824" s="50">
        <v>44650.0</v>
      </c>
      <c r="C3824" s="49" t="s">
        <v>777</v>
      </c>
      <c r="D3824" s="49">
        <v>0.0</v>
      </c>
    </row>
    <row r="3825" ht="15.0" hidden="1" customHeight="1">
      <c r="A3825" s="49" t="s">
        <v>439</v>
      </c>
      <c r="B3825" s="50">
        <v>44650.0</v>
      </c>
      <c r="C3825" s="49" t="s">
        <v>777</v>
      </c>
      <c r="D3825" s="49">
        <v>0.0</v>
      </c>
    </row>
    <row r="3826" ht="15.0" hidden="1" customHeight="1">
      <c r="A3826" s="49" t="s">
        <v>444</v>
      </c>
      <c r="B3826" s="50">
        <v>44650.0</v>
      </c>
      <c r="C3826" s="49" t="s">
        <v>777</v>
      </c>
      <c r="D3826" s="49">
        <v>0.0</v>
      </c>
    </row>
    <row r="3827" ht="15.0" hidden="1" customHeight="1">
      <c r="A3827" s="49" t="s">
        <v>449</v>
      </c>
      <c r="B3827" s="50">
        <v>44650.0</v>
      </c>
      <c r="C3827" s="49" t="s">
        <v>777</v>
      </c>
      <c r="D3827" s="49">
        <v>0.0</v>
      </c>
    </row>
    <row r="3828" ht="15.0" hidden="1" customHeight="1">
      <c r="A3828" s="49" t="s">
        <v>455</v>
      </c>
      <c r="B3828" s="50">
        <v>44650.0</v>
      </c>
      <c r="C3828" s="49" t="s">
        <v>777</v>
      </c>
      <c r="D3828" s="49">
        <v>0.0</v>
      </c>
    </row>
    <row r="3829" ht="15.0" hidden="1" customHeight="1">
      <c r="A3829" s="49" t="s">
        <v>470</v>
      </c>
      <c r="B3829" s="50">
        <v>44650.0</v>
      </c>
      <c r="C3829" s="49" t="s">
        <v>777</v>
      </c>
      <c r="D3829" s="49">
        <v>0.0</v>
      </c>
    </row>
    <row r="3830" ht="15.0" hidden="1" customHeight="1">
      <c r="A3830" s="49" t="s">
        <v>476</v>
      </c>
      <c r="B3830" s="50">
        <v>44650.0</v>
      </c>
      <c r="C3830" s="49" t="s">
        <v>777</v>
      </c>
      <c r="D3830" s="49">
        <v>0.0</v>
      </c>
    </row>
    <row r="3831" ht="15.0" hidden="1" customHeight="1">
      <c r="A3831" s="49" t="s">
        <v>481</v>
      </c>
      <c r="B3831" s="50">
        <v>44650.0</v>
      </c>
      <c r="C3831" s="49" t="s">
        <v>777</v>
      </c>
      <c r="D3831" s="49">
        <v>0.0</v>
      </c>
    </row>
    <row r="3832" ht="15.0" hidden="1" customHeight="1">
      <c r="A3832" s="49" t="s">
        <v>486</v>
      </c>
      <c r="B3832" s="50">
        <v>44650.0</v>
      </c>
      <c r="C3832" s="49" t="s">
        <v>777</v>
      </c>
      <c r="D3832" s="49">
        <v>0.0</v>
      </c>
    </row>
    <row r="3833" ht="15.0" hidden="1" customHeight="1">
      <c r="A3833" s="49" t="s">
        <v>491</v>
      </c>
      <c r="B3833" s="50">
        <v>44650.0</v>
      </c>
      <c r="C3833" s="49" t="s">
        <v>777</v>
      </c>
      <c r="D3833" s="49">
        <v>0.0</v>
      </c>
    </row>
    <row r="3834" ht="15.0" hidden="1" customHeight="1">
      <c r="A3834" s="49" t="s">
        <v>496</v>
      </c>
      <c r="B3834" s="50">
        <v>44650.0</v>
      </c>
      <c r="C3834" s="49" t="s">
        <v>777</v>
      </c>
      <c r="D3834" s="49">
        <v>0.0</v>
      </c>
    </row>
    <row r="3835" ht="15.0" hidden="1" customHeight="1">
      <c r="A3835" s="49" t="s">
        <v>501</v>
      </c>
      <c r="B3835" s="50">
        <v>44650.0</v>
      </c>
      <c r="C3835" s="49" t="s">
        <v>777</v>
      </c>
      <c r="D3835" s="49">
        <v>0.0</v>
      </c>
    </row>
    <row r="3836" ht="15.0" hidden="1" customHeight="1">
      <c r="A3836" s="49" t="s">
        <v>506</v>
      </c>
      <c r="B3836" s="50">
        <v>44650.0</v>
      </c>
      <c r="C3836" s="49" t="s">
        <v>777</v>
      </c>
      <c r="D3836" s="49">
        <v>0.0</v>
      </c>
    </row>
    <row r="3837" ht="15.0" hidden="1" customHeight="1">
      <c r="A3837" s="49" t="s">
        <v>512</v>
      </c>
      <c r="B3837" s="50">
        <v>44650.0</v>
      </c>
      <c r="C3837" s="49" t="s">
        <v>777</v>
      </c>
      <c r="D3837" s="49">
        <v>0.0</v>
      </c>
    </row>
    <row r="3838" ht="15.0" hidden="1" customHeight="1">
      <c r="A3838" s="49" t="s">
        <v>517</v>
      </c>
      <c r="B3838" s="50">
        <v>44650.0</v>
      </c>
      <c r="C3838" s="49" t="s">
        <v>777</v>
      </c>
      <c r="D3838" s="49">
        <v>0.0</v>
      </c>
    </row>
    <row r="3839" ht="15.0" hidden="1" customHeight="1">
      <c r="A3839" s="49" t="s">
        <v>522</v>
      </c>
      <c r="B3839" s="50">
        <v>44650.0</v>
      </c>
      <c r="C3839" s="49" t="s">
        <v>777</v>
      </c>
      <c r="D3839" s="49">
        <v>0.0</v>
      </c>
    </row>
    <row r="3840" ht="15.0" hidden="1" customHeight="1">
      <c r="A3840" s="49" t="s">
        <v>528</v>
      </c>
      <c r="B3840" s="50">
        <v>44650.0</v>
      </c>
      <c r="C3840" s="49" t="s">
        <v>777</v>
      </c>
      <c r="D3840" s="49">
        <v>0.0</v>
      </c>
    </row>
    <row r="3841" ht="15.0" hidden="1" customHeight="1">
      <c r="A3841" s="49" t="s">
        <v>533</v>
      </c>
      <c r="B3841" s="50">
        <v>44650.0</v>
      </c>
      <c r="C3841" s="49" t="s">
        <v>777</v>
      </c>
      <c r="D3841" s="49">
        <v>0.0</v>
      </c>
    </row>
    <row r="3842" ht="15.0" hidden="1" customHeight="1">
      <c r="A3842" s="49" t="s">
        <v>538</v>
      </c>
      <c r="B3842" s="50">
        <v>44650.0</v>
      </c>
      <c r="C3842" s="49" t="s">
        <v>777</v>
      </c>
      <c r="D3842" s="49">
        <v>0.0</v>
      </c>
    </row>
    <row r="3843" ht="15.0" hidden="1" customHeight="1">
      <c r="A3843" s="49" t="s">
        <v>546</v>
      </c>
      <c r="B3843" s="50">
        <v>44650.0</v>
      </c>
      <c r="C3843" s="49" t="s">
        <v>777</v>
      </c>
      <c r="D3843" s="49">
        <v>0.0</v>
      </c>
    </row>
    <row r="3844" ht="15.0" hidden="1" customHeight="1">
      <c r="A3844" s="49" t="s">
        <v>551</v>
      </c>
      <c r="B3844" s="50">
        <v>44650.0</v>
      </c>
      <c r="C3844" s="49" t="s">
        <v>777</v>
      </c>
      <c r="D3844" s="49">
        <v>0.0</v>
      </c>
    </row>
    <row r="3845" ht="15.0" hidden="1" customHeight="1">
      <c r="A3845" s="49" t="s">
        <v>556</v>
      </c>
      <c r="B3845" s="50">
        <v>44650.0</v>
      </c>
      <c r="C3845" s="49" t="s">
        <v>777</v>
      </c>
      <c r="D3845" s="49">
        <v>0.0</v>
      </c>
    </row>
    <row r="3846" ht="15.0" hidden="1" customHeight="1">
      <c r="A3846" s="49" t="s">
        <v>561</v>
      </c>
      <c r="B3846" s="50">
        <v>44650.0</v>
      </c>
      <c r="C3846" s="49" t="s">
        <v>777</v>
      </c>
      <c r="D3846" s="49">
        <v>0.0</v>
      </c>
    </row>
    <row r="3847" ht="15.0" hidden="1" customHeight="1">
      <c r="A3847" s="49" t="s">
        <v>566</v>
      </c>
      <c r="B3847" s="50">
        <v>44650.0</v>
      </c>
      <c r="C3847" s="49" t="s">
        <v>777</v>
      </c>
      <c r="D3847" s="49">
        <v>0.0</v>
      </c>
    </row>
    <row r="3848" ht="15.0" hidden="1" customHeight="1">
      <c r="A3848" s="49" t="s">
        <v>571</v>
      </c>
      <c r="B3848" s="50">
        <v>44650.0</v>
      </c>
      <c r="C3848" s="49" t="s">
        <v>777</v>
      </c>
      <c r="D3848" s="49">
        <v>0.0</v>
      </c>
    </row>
    <row r="3849" ht="15.0" hidden="1" customHeight="1">
      <c r="A3849" s="49" t="s">
        <v>576</v>
      </c>
      <c r="B3849" s="50">
        <v>44650.0</v>
      </c>
      <c r="C3849" s="49" t="s">
        <v>777</v>
      </c>
      <c r="D3849" s="49">
        <v>0.0</v>
      </c>
    </row>
    <row r="3850" ht="15.0" hidden="1" customHeight="1">
      <c r="A3850" s="49" t="s">
        <v>581</v>
      </c>
      <c r="B3850" s="50">
        <v>44650.0</v>
      </c>
      <c r="C3850" s="49" t="s">
        <v>777</v>
      </c>
      <c r="D3850" s="49">
        <v>0.0</v>
      </c>
    </row>
    <row r="3851" ht="15.0" hidden="1" customHeight="1">
      <c r="A3851" s="49" t="s">
        <v>586</v>
      </c>
      <c r="B3851" s="50">
        <v>44650.0</v>
      </c>
      <c r="C3851" s="49" t="s">
        <v>777</v>
      </c>
      <c r="D3851" s="49">
        <v>0.0</v>
      </c>
    </row>
    <row r="3852" ht="15.0" hidden="1" customHeight="1">
      <c r="A3852" s="49" t="s">
        <v>754</v>
      </c>
      <c r="B3852" s="50">
        <v>44650.0</v>
      </c>
      <c r="C3852" s="49" t="s">
        <v>777</v>
      </c>
      <c r="D3852" s="49">
        <v>0.0</v>
      </c>
    </row>
    <row r="3853" ht="15.0" hidden="1" customHeight="1">
      <c r="A3853" s="49" t="s">
        <v>591</v>
      </c>
      <c r="B3853" s="50">
        <v>44650.0</v>
      </c>
      <c r="C3853" s="49" t="s">
        <v>777</v>
      </c>
      <c r="D3853" s="49">
        <v>0.0</v>
      </c>
    </row>
    <row r="3854" ht="15.0" hidden="1" customHeight="1">
      <c r="A3854" s="49" t="s">
        <v>759</v>
      </c>
      <c r="B3854" s="50">
        <v>44650.0</v>
      </c>
      <c r="C3854" s="49" t="s">
        <v>777</v>
      </c>
      <c r="D3854" s="49">
        <v>0.0</v>
      </c>
    </row>
    <row r="3855" ht="15.0" hidden="1" customHeight="1">
      <c r="A3855" s="49" t="s">
        <v>596</v>
      </c>
      <c r="B3855" s="50">
        <v>44650.0</v>
      </c>
      <c r="C3855" s="49" t="s">
        <v>777</v>
      </c>
      <c r="D3855" s="49">
        <v>0.0</v>
      </c>
    </row>
    <row r="3856" ht="15.0" hidden="1" customHeight="1">
      <c r="A3856" s="49" t="s">
        <v>602</v>
      </c>
      <c r="B3856" s="50">
        <v>44650.0</v>
      </c>
      <c r="C3856" s="49" t="s">
        <v>777</v>
      </c>
      <c r="D3856" s="49">
        <v>0.0</v>
      </c>
    </row>
    <row r="3857" ht="15.0" hidden="1" customHeight="1">
      <c r="A3857" s="49" t="s">
        <v>607</v>
      </c>
      <c r="B3857" s="50">
        <v>44650.0</v>
      </c>
      <c r="C3857" s="49" t="s">
        <v>777</v>
      </c>
      <c r="D3857" s="49">
        <v>0.0</v>
      </c>
    </row>
    <row r="3858" ht="15.0" hidden="1" customHeight="1">
      <c r="A3858" s="49" t="s">
        <v>612</v>
      </c>
      <c r="B3858" s="50">
        <v>44650.0</v>
      </c>
      <c r="C3858" s="49" t="s">
        <v>777</v>
      </c>
      <c r="D3858" s="49">
        <v>0.0</v>
      </c>
    </row>
    <row r="3859" ht="15.0" hidden="1" customHeight="1">
      <c r="A3859" s="49" t="s">
        <v>617</v>
      </c>
      <c r="B3859" s="50">
        <v>44650.0</v>
      </c>
      <c r="C3859" s="49" t="s">
        <v>777</v>
      </c>
      <c r="D3859" s="49">
        <v>0.0</v>
      </c>
    </row>
    <row r="3860" ht="15.0" hidden="1" customHeight="1">
      <c r="A3860" s="49" t="s">
        <v>622</v>
      </c>
      <c r="B3860" s="50">
        <v>44650.0</v>
      </c>
      <c r="C3860" s="49" t="s">
        <v>777</v>
      </c>
      <c r="D3860" s="49">
        <v>0.0</v>
      </c>
    </row>
    <row r="3861" ht="15.0" hidden="1" customHeight="1">
      <c r="A3861" s="49" t="s">
        <v>627</v>
      </c>
      <c r="B3861" s="50">
        <v>44650.0</v>
      </c>
      <c r="C3861" s="49" t="s">
        <v>777</v>
      </c>
      <c r="D3861" s="49">
        <v>0.0</v>
      </c>
    </row>
    <row r="3862" ht="15.0" hidden="1" customHeight="1">
      <c r="A3862" s="49" t="s">
        <v>631</v>
      </c>
      <c r="B3862" s="50">
        <v>44650.0</v>
      </c>
      <c r="C3862" s="49" t="s">
        <v>777</v>
      </c>
      <c r="D3862" s="49">
        <v>0.0</v>
      </c>
    </row>
    <row r="3863" ht="15.0" hidden="1" customHeight="1">
      <c r="A3863" s="49" t="s">
        <v>636</v>
      </c>
      <c r="B3863" s="50">
        <v>44650.0</v>
      </c>
      <c r="C3863" s="49" t="s">
        <v>777</v>
      </c>
      <c r="D3863" s="49">
        <v>0.0</v>
      </c>
    </row>
    <row r="3864" ht="15.0" hidden="1" customHeight="1">
      <c r="A3864" s="49" t="s">
        <v>640</v>
      </c>
      <c r="B3864" s="50">
        <v>44650.0</v>
      </c>
      <c r="C3864" s="49" t="s">
        <v>777</v>
      </c>
      <c r="D3864" s="49">
        <v>0.0</v>
      </c>
    </row>
    <row r="3865" ht="15.0" hidden="1" customHeight="1">
      <c r="A3865" s="49" t="s">
        <v>644</v>
      </c>
      <c r="B3865" s="50">
        <v>44650.0</v>
      </c>
      <c r="C3865" s="49" t="s">
        <v>777</v>
      </c>
      <c r="D3865" s="49">
        <v>0.0</v>
      </c>
    </row>
    <row r="3866" ht="15.0" hidden="1" customHeight="1">
      <c r="A3866" s="49" t="s">
        <v>649</v>
      </c>
      <c r="B3866" s="50">
        <v>44650.0</v>
      </c>
      <c r="C3866" s="49" t="s">
        <v>777</v>
      </c>
      <c r="D3866" s="49">
        <v>0.0</v>
      </c>
    </row>
    <row r="3867" ht="15.0" hidden="1" customHeight="1">
      <c r="A3867" s="49" t="s">
        <v>654</v>
      </c>
      <c r="B3867" s="50">
        <v>44650.0</v>
      </c>
      <c r="C3867" s="49" t="s">
        <v>777</v>
      </c>
      <c r="D3867" s="49">
        <v>0.0</v>
      </c>
    </row>
    <row r="3868" ht="15.0" hidden="1" customHeight="1">
      <c r="A3868" s="49" t="s">
        <v>659</v>
      </c>
      <c r="B3868" s="50">
        <v>44650.0</v>
      </c>
      <c r="C3868" s="49" t="s">
        <v>777</v>
      </c>
      <c r="D3868" s="49">
        <v>0.0</v>
      </c>
    </row>
    <row r="3869" ht="15.0" hidden="1" customHeight="1">
      <c r="A3869" s="49" t="s">
        <v>664</v>
      </c>
      <c r="B3869" s="50">
        <v>44650.0</v>
      </c>
      <c r="C3869" s="49" t="s">
        <v>777</v>
      </c>
      <c r="D3869" s="49">
        <v>0.0</v>
      </c>
    </row>
    <row r="3870" ht="15.0" hidden="1" customHeight="1">
      <c r="A3870" s="49" t="s">
        <v>669</v>
      </c>
      <c r="B3870" s="50">
        <v>44650.0</v>
      </c>
      <c r="C3870" s="49" t="s">
        <v>777</v>
      </c>
      <c r="D3870" s="49">
        <v>0.0</v>
      </c>
    </row>
    <row r="3871" ht="15.0" hidden="1" customHeight="1">
      <c r="A3871" s="49" t="s">
        <v>674</v>
      </c>
      <c r="B3871" s="50">
        <v>44650.0</v>
      </c>
      <c r="C3871" s="49" t="s">
        <v>777</v>
      </c>
      <c r="D3871" s="49">
        <v>0.0</v>
      </c>
    </row>
    <row r="3872" ht="15.0" hidden="1" customHeight="1">
      <c r="A3872" s="49" t="s">
        <v>679</v>
      </c>
      <c r="B3872" s="50">
        <v>44650.0</v>
      </c>
      <c r="C3872" s="49" t="s">
        <v>777</v>
      </c>
      <c r="D3872" s="49">
        <v>0.0</v>
      </c>
    </row>
    <row r="3873" ht="15.0" hidden="1" customHeight="1">
      <c r="A3873" s="49" t="s">
        <v>684</v>
      </c>
      <c r="B3873" s="50">
        <v>44650.0</v>
      </c>
      <c r="C3873" s="49" t="s">
        <v>777</v>
      </c>
      <c r="D3873" s="49">
        <v>0.0</v>
      </c>
    </row>
    <row r="3874" ht="15.0" hidden="1" customHeight="1">
      <c r="A3874" s="49" t="s">
        <v>689</v>
      </c>
      <c r="B3874" s="50">
        <v>44650.0</v>
      </c>
      <c r="C3874" s="49" t="s">
        <v>777</v>
      </c>
      <c r="D3874" s="49">
        <v>0.0</v>
      </c>
    </row>
    <row r="3875" ht="15.0" hidden="1" customHeight="1">
      <c r="A3875" s="49" t="s">
        <v>694</v>
      </c>
      <c r="B3875" s="50">
        <v>44650.0</v>
      </c>
      <c r="C3875" s="49" t="s">
        <v>777</v>
      </c>
      <c r="D3875" s="49">
        <v>0.0</v>
      </c>
    </row>
    <row r="3876" ht="15.0" hidden="1" customHeight="1">
      <c r="A3876" s="49" t="s">
        <v>699</v>
      </c>
      <c r="B3876" s="50">
        <v>44650.0</v>
      </c>
      <c r="C3876" s="49" t="s">
        <v>777</v>
      </c>
      <c r="D3876" s="49">
        <v>0.0</v>
      </c>
    </row>
    <row r="3877" ht="15.0" hidden="1" customHeight="1">
      <c r="A3877" s="49" t="s">
        <v>705</v>
      </c>
      <c r="B3877" s="50">
        <v>44650.0</v>
      </c>
      <c r="C3877" s="49" t="s">
        <v>777</v>
      </c>
      <c r="D3877" s="49">
        <v>0.0</v>
      </c>
    </row>
    <row r="3878" ht="15.0" hidden="1" customHeight="1">
      <c r="A3878" s="49" t="s">
        <v>710</v>
      </c>
      <c r="B3878" s="50">
        <v>44650.0</v>
      </c>
      <c r="C3878" s="49" t="s">
        <v>777</v>
      </c>
      <c r="D3878" s="49">
        <v>0.0</v>
      </c>
    </row>
    <row r="3879" ht="15.0" hidden="1" customHeight="1">
      <c r="A3879" s="49" t="s">
        <v>715</v>
      </c>
      <c r="B3879" s="50">
        <v>44650.0</v>
      </c>
      <c r="C3879" s="49" t="s">
        <v>777</v>
      </c>
      <c r="D3879" s="49">
        <v>0.0</v>
      </c>
    </row>
    <row r="3880" ht="15.0" hidden="1" customHeight="1">
      <c r="A3880" s="49" t="s">
        <v>765</v>
      </c>
      <c r="B3880" s="50">
        <v>44650.0</v>
      </c>
      <c r="C3880" s="49" t="s">
        <v>777</v>
      </c>
      <c r="D3880" s="49">
        <v>0.0</v>
      </c>
    </row>
    <row r="3881" ht="15.0" hidden="1" customHeight="1">
      <c r="A3881" s="49" t="s">
        <v>720</v>
      </c>
      <c r="B3881" s="50">
        <v>44650.0</v>
      </c>
      <c r="C3881" s="49" t="s">
        <v>777</v>
      </c>
      <c r="D3881" s="49">
        <v>0.0</v>
      </c>
    </row>
    <row r="3882" ht="15.0" hidden="1" customHeight="1">
      <c r="A3882" s="49" t="s">
        <v>725</v>
      </c>
      <c r="B3882" s="50">
        <v>44650.0</v>
      </c>
      <c r="C3882" s="49" t="s">
        <v>777</v>
      </c>
      <c r="D3882" s="49">
        <v>0.0</v>
      </c>
    </row>
    <row r="3883" ht="15.0" hidden="1" customHeight="1">
      <c r="A3883" s="49" t="s">
        <v>730</v>
      </c>
      <c r="B3883" s="50">
        <v>44650.0</v>
      </c>
      <c r="C3883" s="49" t="s">
        <v>777</v>
      </c>
      <c r="D3883" s="49">
        <v>0.0</v>
      </c>
    </row>
    <row r="3884" ht="15.0" hidden="1" customHeight="1">
      <c r="A3884" s="49" t="s">
        <v>734</v>
      </c>
      <c r="B3884" s="50">
        <v>44650.0</v>
      </c>
      <c r="C3884" s="49" t="s">
        <v>777</v>
      </c>
      <c r="D3884" s="49">
        <v>0.0</v>
      </c>
    </row>
    <row r="3885" ht="15.0" hidden="1" customHeight="1">
      <c r="A3885" s="49" t="s">
        <v>739</v>
      </c>
      <c r="B3885" s="50">
        <v>44650.0</v>
      </c>
      <c r="C3885" s="49" t="s">
        <v>777</v>
      </c>
      <c r="D3885" s="49">
        <v>0.0</v>
      </c>
    </row>
    <row r="3886" ht="15.0" hidden="1" customHeight="1">
      <c r="A3886" s="49" t="s">
        <v>744</v>
      </c>
      <c r="B3886" s="50">
        <v>44650.0</v>
      </c>
      <c r="C3886" s="49" t="s">
        <v>777</v>
      </c>
      <c r="D3886" s="49">
        <v>0.0</v>
      </c>
    </row>
    <row r="3887" ht="15.0" hidden="1" customHeight="1">
      <c r="A3887" s="49" t="s">
        <v>749</v>
      </c>
      <c r="B3887" s="50">
        <v>44650.0</v>
      </c>
      <c r="C3887" s="49" t="s">
        <v>777</v>
      </c>
      <c r="D3887" s="49">
        <v>0.0</v>
      </c>
    </row>
    <row r="3888" ht="15.0" customHeight="1">
      <c r="A3888" s="49" t="s">
        <v>776</v>
      </c>
      <c r="B3888" s="50">
        <v>44650.0</v>
      </c>
      <c r="C3888" s="49" t="s">
        <v>78</v>
      </c>
      <c r="D3888" s="49">
        <v>0.0</v>
      </c>
    </row>
    <row r="3889" ht="15.0" hidden="1" customHeight="1">
      <c r="A3889" s="49" t="s">
        <v>778</v>
      </c>
      <c r="B3889" s="50">
        <v>44650.0</v>
      </c>
      <c r="C3889" s="49" t="s">
        <v>78</v>
      </c>
      <c r="D3889" s="49">
        <v>0.0</v>
      </c>
    </row>
    <row r="3890" ht="15.0" hidden="1" customHeight="1">
      <c r="A3890" s="49" t="s">
        <v>92</v>
      </c>
      <c r="B3890" s="50">
        <v>44650.0</v>
      </c>
      <c r="C3890" s="49" t="s">
        <v>78</v>
      </c>
      <c r="D3890" s="49">
        <v>0.0</v>
      </c>
    </row>
    <row r="3891" ht="15.0" hidden="1" customHeight="1">
      <c r="A3891" s="49" t="s">
        <v>97</v>
      </c>
      <c r="B3891" s="50">
        <v>44650.0</v>
      </c>
      <c r="C3891" s="49" t="s">
        <v>78</v>
      </c>
      <c r="D3891" s="49">
        <v>0.0</v>
      </c>
    </row>
    <row r="3892" ht="15.0" hidden="1" customHeight="1">
      <c r="A3892" s="49" t="s">
        <v>102</v>
      </c>
      <c r="B3892" s="50">
        <v>44650.0</v>
      </c>
      <c r="C3892" s="49" t="s">
        <v>78</v>
      </c>
      <c r="D3892" s="49">
        <v>0.0</v>
      </c>
    </row>
    <row r="3893" ht="15.0" hidden="1" customHeight="1">
      <c r="A3893" s="49" t="s">
        <v>106</v>
      </c>
      <c r="B3893" s="50">
        <v>44650.0</v>
      </c>
      <c r="C3893" s="49" t="s">
        <v>78</v>
      </c>
      <c r="D3893" s="49">
        <v>0.0</v>
      </c>
    </row>
    <row r="3894" ht="15.0" hidden="1" customHeight="1">
      <c r="A3894" s="49" t="s">
        <v>111</v>
      </c>
      <c r="B3894" s="50">
        <v>44650.0</v>
      </c>
      <c r="C3894" s="49" t="s">
        <v>78</v>
      </c>
      <c r="D3894" s="49">
        <v>0.0</v>
      </c>
    </row>
    <row r="3895" ht="15.0" hidden="1" customHeight="1">
      <c r="A3895" s="49" t="s">
        <v>116</v>
      </c>
      <c r="B3895" s="50">
        <v>44650.0</v>
      </c>
      <c r="C3895" s="49" t="s">
        <v>78</v>
      </c>
      <c r="D3895" s="49">
        <v>0.0</v>
      </c>
    </row>
    <row r="3896" ht="15.0" hidden="1" customHeight="1">
      <c r="A3896" s="49" t="s">
        <v>120</v>
      </c>
      <c r="B3896" s="50">
        <v>44650.0</v>
      </c>
      <c r="C3896" s="49" t="s">
        <v>78</v>
      </c>
      <c r="D3896" s="49">
        <v>0.0</v>
      </c>
    </row>
    <row r="3897" ht="15.0" hidden="1" customHeight="1">
      <c r="A3897" s="49" t="s">
        <v>125</v>
      </c>
      <c r="B3897" s="50">
        <v>44650.0</v>
      </c>
      <c r="C3897" s="49" t="s">
        <v>78</v>
      </c>
      <c r="D3897" s="49">
        <v>0.0</v>
      </c>
    </row>
    <row r="3898" ht="15.0" hidden="1" customHeight="1">
      <c r="A3898" s="49" t="s">
        <v>130</v>
      </c>
      <c r="B3898" s="50">
        <v>44650.0</v>
      </c>
      <c r="C3898" s="49" t="s">
        <v>78</v>
      </c>
      <c r="D3898" s="49">
        <v>0.0</v>
      </c>
    </row>
    <row r="3899" ht="15.0" hidden="1" customHeight="1">
      <c r="A3899" s="49" t="s">
        <v>137</v>
      </c>
      <c r="B3899" s="50">
        <v>44650.0</v>
      </c>
      <c r="C3899" s="49" t="s">
        <v>78</v>
      </c>
      <c r="D3899" s="49">
        <v>0.0</v>
      </c>
    </row>
    <row r="3900" ht="15.0" hidden="1" customHeight="1">
      <c r="A3900" s="49" t="s">
        <v>142</v>
      </c>
      <c r="B3900" s="50">
        <v>44650.0</v>
      </c>
      <c r="C3900" s="49" t="s">
        <v>78</v>
      </c>
      <c r="D3900" s="49">
        <v>0.0</v>
      </c>
    </row>
    <row r="3901" ht="15.0" hidden="1" customHeight="1">
      <c r="A3901" s="49" t="s">
        <v>147</v>
      </c>
      <c r="B3901" s="50">
        <v>44650.0</v>
      </c>
      <c r="C3901" s="49" t="s">
        <v>78</v>
      </c>
      <c r="D3901" s="49">
        <v>0.0</v>
      </c>
    </row>
    <row r="3902" ht="15.0" hidden="1" customHeight="1">
      <c r="A3902" s="49" t="s">
        <v>152</v>
      </c>
      <c r="B3902" s="50">
        <v>44650.0</v>
      </c>
      <c r="C3902" s="49" t="s">
        <v>78</v>
      </c>
      <c r="D3902" s="49">
        <v>0.0</v>
      </c>
    </row>
    <row r="3903" ht="15.0" hidden="1" customHeight="1">
      <c r="A3903" s="49" t="s">
        <v>157</v>
      </c>
      <c r="B3903" s="50">
        <v>44650.0</v>
      </c>
      <c r="C3903" s="49" t="s">
        <v>78</v>
      </c>
      <c r="D3903" s="49">
        <v>0.0</v>
      </c>
    </row>
    <row r="3904" ht="15.0" hidden="1" customHeight="1">
      <c r="A3904" s="49" t="s">
        <v>162</v>
      </c>
      <c r="B3904" s="50">
        <v>44650.0</v>
      </c>
      <c r="C3904" s="49" t="s">
        <v>78</v>
      </c>
      <c r="D3904" s="49">
        <v>0.0</v>
      </c>
    </row>
    <row r="3905" ht="15.0" hidden="1" customHeight="1">
      <c r="A3905" s="49" t="s">
        <v>167</v>
      </c>
      <c r="B3905" s="50">
        <v>44650.0</v>
      </c>
      <c r="C3905" s="49" t="s">
        <v>78</v>
      </c>
      <c r="D3905" s="49">
        <v>0.0</v>
      </c>
    </row>
    <row r="3906" ht="15.0" hidden="1" customHeight="1">
      <c r="A3906" s="49" t="s">
        <v>172</v>
      </c>
      <c r="B3906" s="50">
        <v>44650.0</v>
      </c>
      <c r="C3906" s="49" t="s">
        <v>78</v>
      </c>
      <c r="D3906" s="49">
        <v>0.0</v>
      </c>
    </row>
    <row r="3907" ht="15.0" hidden="1" customHeight="1">
      <c r="A3907" s="49" t="s">
        <v>177</v>
      </c>
      <c r="B3907" s="50">
        <v>44650.0</v>
      </c>
      <c r="C3907" s="49" t="s">
        <v>78</v>
      </c>
      <c r="D3907" s="49">
        <v>0.0</v>
      </c>
    </row>
    <row r="3908" ht="15.0" hidden="1" customHeight="1">
      <c r="A3908" s="49" t="s">
        <v>182</v>
      </c>
      <c r="B3908" s="50">
        <v>44650.0</v>
      </c>
      <c r="C3908" s="49" t="s">
        <v>78</v>
      </c>
      <c r="D3908" s="49">
        <v>0.0</v>
      </c>
    </row>
    <row r="3909" ht="15.0" hidden="1" customHeight="1">
      <c r="A3909" s="49" t="s">
        <v>187</v>
      </c>
      <c r="B3909" s="50">
        <v>44650.0</v>
      </c>
      <c r="C3909" s="49" t="s">
        <v>78</v>
      </c>
      <c r="D3909" s="49">
        <v>0.0</v>
      </c>
    </row>
    <row r="3910" ht="15.0" hidden="1" customHeight="1">
      <c r="A3910" s="49" t="s">
        <v>192</v>
      </c>
      <c r="B3910" s="50">
        <v>44650.0</v>
      </c>
      <c r="C3910" s="49" t="s">
        <v>78</v>
      </c>
      <c r="D3910" s="49">
        <v>0.0</v>
      </c>
    </row>
    <row r="3911" ht="15.0" hidden="1" customHeight="1">
      <c r="A3911" s="49" t="s">
        <v>197</v>
      </c>
      <c r="B3911" s="50">
        <v>44650.0</v>
      </c>
      <c r="C3911" s="49" t="s">
        <v>78</v>
      </c>
      <c r="D3911" s="49">
        <v>0.0</v>
      </c>
    </row>
    <row r="3912" ht="15.0" hidden="1" customHeight="1">
      <c r="A3912" s="49" t="s">
        <v>202</v>
      </c>
      <c r="B3912" s="50">
        <v>44650.0</v>
      </c>
      <c r="C3912" s="49" t="s">
        <v>78</v>
      </c>
      <c r="D3912" s="49">
        <v>0.0</v>
      </c>
    </row>
    <row r="3913" ht="15.0" hidden="1" customHeight="1">
      <c r="A3913" s="49" t="s">
        <v>206</v>
      </c>
      <c r="B3913" s="50">
        <v>44650.0</v>
      </c>
      <c r="C3913" s="49" t="s">
        <v>78</v>
      </c>
      <c r="D3913" s="49">
        <v>0.0</v>
      </c>
    </row>
    <row r="3914" ht="15.0" hidden="1" customHeight="1">
      <c r="A3914" s="49" t="s">
        <v>211</v>
      </c>
      <c r="B3914" s="50">
        <v>44650.0</v>
      </c>
      <c r="C3914" s="49" t="s">
        <v>78</v>
      </c>
      <c r="D3914" s="49">
        <v>0.0</v>
      </c>
    </row>
    <row r="3915" ht="15.0" hidden="1" customHeight="1">
      <c r="A3915" s="49" t="s">
        <v>779</v>
      </c>
      <c r="B3915" s="50">
        <v>44650.0</v>
      </c>
      <c r="C3915" s="49" t="s">
        <v>78</v>
      </c>
      <c r="D3915" s="49">
        <v>0.0</v>
      </c>
    </row>
    <row r="3916" ht="15.0" hidden="1" customHeight="1">
      <c r="A3916" s="49" t="s">
        <v>221</v>
      </c>
      <c r="B3916" s="50">
        <v>44650.0</v>
      </c>
      <c r="C3916" s="49" t="s">
        <v>78</v>
      </c>
      <c r="D3916" s="49">
        <v>0.0</v>
      </c>
    </row>
    <row r="3917" ht="15.0" hidden="1" customHeight="1">
      <c r="A3917" s="49" t="s">
        <v>226</v>
      </c>
      <c r="B3917" s="50">
        <v>44650.0</v>
      </c>
      <c r="C3917" s="49" t="s">
        <v>78</v>
      </c>
      <c r="D3917" s="49">
        <v>0.0</v>
      </c>
    </row>
    <row r="3918" ht="15.0" hidden="1" customHeight="1">
      <c r="A3918" s="49" t="s">
        <v>231</v>
      </c>
      <c r="B3918" s="50">
        <v>44650.0</v>
      </c>
      <c r="C3918" s="49" t="s">
        <v>78</v>
      </c>
      <c r="D3918" s="49">
        <v>0.0</v>
      </c>
    </row>
    <row r="3919" ht="15.0" hidden="1" customHeight="1">
      <c r="A3919" s="49" t="s">
        <v>236</v>
      </c>
      <c r="B3919" s="50">
        <v>44650.0</v>
      </c>
      <c r="C3919" s="49" t="s">
        <v>78</v>
      </c>
      <c r="D3919" s="49">
        <v>0.0</v>
      </c>
    </row>
    <row r="3920" ht="15.0" hidden="1" customHeight="1">
      <c r="A3920" s="49" t="s">
        <v>242</v>
      </c>
      <c r="B3920" s="50">
        <v>44650.0</v>
      </c>
      <c r="C3920" s="49" t="s">
        <v>78</v>
      </c>
      <c r="D3920" s="49">
        <v>0.0</v>
      </c>
    </row>
    <row r="3921" ht="15.0" hidden="1" customHeight="1">
      <c r="A3921" s="49" t="s">
        <v>248</v>
      </c>
      <c r="B3921" s="50">
        <v>44650.0</v>
      </c>
      <c r="C3921" s="49" t="s">
        <v>78</v>
      </c>
      <c r="D3921" s="49">
        <v>0.0</v>
      </c>
    </row>
    <row r="3922" ht="15.0" hidden="1" customHeight="1">
      <c r="A3922" s="49" t="s">
        <v>253</v>
      </c>
      <c r="B3922" s="50">
        <v>44650.0</v>
      </c>
      <c r="C3922" s="49" t="s">
        <v>78</v>
      </c>
      <c r="D3922" s="49">
        <v>0.0</v>
      </c>
    </row>
    <row r="3923" ht="15.0" hidden="1" customHeight="1">
      <c r="A3923" s="49" t="s">
        <v>258</v>
      </c>
      <c r="B3923" s="50">
        <v>44650.0</v>
      </c>
      <c r="C3923" s="49" t="s">
        <v>78</v>
      </c>
      <c r="D3923" s="49">
        <v>0.0</v>
      </c>
    </row>
    <row r="3924" ht="15.0" hidden="1" customHeight="1">
      <c r="A3924" s="49" t="s">
        <v>263</v>
      </c>
      <c r="B3924" s="50">
        <v>44650.0</v>
      </c>
      <c r="C3924" s="49" t="s">
        <v>78</v>
      </c>
      <c r="D3924" s="49">
        <v>0.0</v>
      </c>
    </row>
    <row r="3925" ht="15.0" hidden="1" customHeight="1">
      <c r="A3925" s="49" t="s">
        <v>268</v>
      </c>
      <c r="B3925" s="50">
        <v>44650.0</v>
      </c>
      <c r="C3925" s="49" t="s">
        <v>78</v>
      </c>
      <c r="D3925" s="49">
        <v>833000.0</v>
      </c>
    </row>
    <row r="3926" ht="15.0" hidden="1" customHeight="1">
      <c r="A3926" s="49" t="s">
        <v>273</v>
      </c>
      <c r="B3926" s="50">
        <v>44650.0</v>
      </c>
      <c r="C3926" s="49" t="s">
        <v>78</v>
      </c>
      <c r="D3926" s="49">
        <v>0.0</v>
      </c>
    </row>
    <row r="3927" ht="15.0" hidden="1" customHeight="1">
      <c r="A3927" s="49" t="s">
        <v>278</v>
      </c>
      <c r="B3927" s="50">
        <v>44650.0</v>
      </c>
      <c r="C3927" s="49" t="s">
        <v>78</v>
      </c>
      <c r="D3927" s="49">
        <v>0.0</v>
      </c>
    </row>
    <row r="3928" ht="15.0" hidden="1" customHeight="1">
      <c r="A3928" s="49" t="s">
        <v>283</v>
      </c>
      <c r="B3928" s="50">
        <v>44650.0</v>
      </c>
      <c r="C3928" s="49" t="s">
        <v>78</v>
      </c>
      <c r="D3928" s="49">
        <v>0.0</v>
      </c>
    </row>
    <row r="3929" ht="15.0" hidden="1" customHeight="1">
      <c r="A3929" s="49" t="s">
        <v>288</v>
      </c>
      <c r="B3929" s="50">
        <v>44650.0</v>
      </c>
      <c r="C3929" s="49" t="s">
        <v>78</v>
      </c>
      <c r="D3929" s="49">
        <v>0.0</v>
      </c>
    </row>
    <row r="3930" ht="15.0" hidden="1" customHeight="1">
      <c r="A3930" s="49" t="s">
        <v>293</v>
      </c>
      <c r="B3930" s="50">
        <v>44650.0</v>
      </c>
      <c r="C3930" s="49" t="s">
        <v>78</v>
      </c>
      <c r="D3930" s="49">
        <v>0.0</v>
      </c>
    </row>
    <row r="3931" ht="15.0" hidden="1" customHeight="1">
      <c r="A3931" s="49" t="s">
        <v>298</v>
      </c>
      <c r="B3931" s="50">
        <v>44650.0</v>
      </c>
      <c r="C3931" s="49" t="s">
        <v>78</v>
      </c>
      <c r="D3931" s="49">
        <v>0.0</v>
      </c>
    </row>
    <row r="3932" ht="15.0" hidden="1" customHeight="1">
      <c r="A3932" s="49" t="s">
        <v>303</v>
      </c>
      <c r="B3932" s="50">
        <v>44650.0</v>
      </c>
      <c r="C3932" s="49" t="s">
        <v>78</v>
      </c>
      <c r="D3932" s="49">
        <v>0.0</v>
      </c>
    </row>
    <row r="3933" ht="15.0" hidden="1" customHeight="1">
      <c r="A3933" s="49" t="s">
        <v>307</v>
      </c>
      <c r="B3933" s="50">
        <v>44650.0</v>
      </c>
      <c r="C3933" s="49" t="s">
        <v>78</v>
      </c>
      <c r="D3933" s="49">
        <v>0.0</v>
      </c>
    </row>
    <row r="3934" ht="15.0" hidden="1" customHeight="1">
      <c r="A3934" s="49" t="s">
        <v>313</v>
      </c>
      <c r="B3934" s="50">
        <v>44650.0</v>
      </c>
      <c r="C3934" s="49" t="s">
        <v>78</v>
      </c>
      <c r="D3934" s="49">
        <v>0.0</v>
      </c>
    </row>
    <row r="3935" ht="15.0" hidden="1" customHeight="1">
      <c r="A3935" s="49" t="s">
        <v>318</v>
      </c>
      <c r="B3935" s="50">
        <v>44650.0</v>
      </c>
      <c r="C3935" s="49" t="s">
        <v>78</v>
      </c>
      <c r="D3935" s="49">
        <v>0.0</v>
      </c>
    </row>
    <row r="3936" ht="15.0" hidden="1" customHeight="1">
      <c r="A3936" s="49" t="s">
        <v>323</v>
      </c>
      <c r="B3936" s="50">
        <v>44650.0</v>
      </c>
      <c r="C3936" s="49" t="s">
        <v>78</v>
      </c>
      <c r="D3936" s="49">
        <v>0.0</v>
      </c>
    </row>
    <row r="3937" ht="15.0" hidden="1" customHeight="1">
      <c r="A3937" s="49" t="s">
        <v>328</v>
      </c>
      <c r="B3937" s="50">
        <v>44650.0</v>
      </c>
      <c r="C3937" s="49" t="s">
        <v>78</v>
      </c>
      <c r="D3937" s="49">
        <v>0.0</v>
      </c>
    </row>
    <row r="3938" ht="15.0" hidden="1" customHeight="1">
      <c r="A3938" s="49" t="s">
        <v>335</v>
      </c>
      <c r="B3938" s="50">
        <v>44650.0</v>
      </c>
      <c r="C3938" s="49" t="s">
        <v>78</v>
      </c>
      <c r="D3938" s="49">
        <v>0.0</v>
      </c>
    </row>
    <row r="3939" ht="15.0" hidden="1" customHeight="1">
      <c r="A3939" s="49" t="s">
        <v>340</v>
      </c>
      <c r="B3939" s="50">
        <v>44650.0</v>
      </c>
      <c r="C3939" s="49" t="s">
        <v>78</v>
      </c>
      <c r="D3939" s="49">
        <v>0.0</v>
      </c>
    </row>
    <row r="3940" ht="15.0" hidden="1" customHeight="1">
      <c r="A3940" s="49" t="s">
        <v>345</v>
      </c>
      <c r="B3940" s="50">
        <v>44650.0</v>
      </c>
      <c r="C3940" s="49" t="s">
        <v>78</v>
      </c>
      <c r="D3940" s="49">
        <v>0.0</v>
      </c>
    </row>
    <row r="3941" ht="15.0" hidden="1" customHeight="1">
      <c r="A3941" s="49" t="s">
        <v>350</v>
      </c>
      <c r="B3941" s="50">
        <v>44650.0</v>
      </c>
      <c r="C3941" s="49" t="s">
        <v>78</v>
      </c>
      <c r="D3941" s="49">
        <v>0.0</v>
      </c>
    </row>
    <row r="3942" ht="15.0" hidden="1" customHeight="1">
      <c r="A3942" s="49" t="s">
        <v>355</v>
      </c>
      <c r="B3942" s="50">
        <v>44650.0</v>
      </c>
      <c r="C3942" s="49" t="s">
        <v>78</v>
      </c>
      <c r="D3942" s="49">
        <v>0.0</v>
      </c>
    </row>
    <row r="3943" ht="15.0" hidden="1" customHeight="1">
      <c r="A3943" s="49" t="s">
        <v>360</v>
      </c>
      <c r="B3943" s="50">
        <v>44650.0</v>
      </c>
      <c r="C3943" s="49" t="s">
        <v>78</v>
      </c>
      <c r="D3943" s="49">
        <v>0.0</v>
      </c>
    </row>
    <row r="3944" ht="15.0" hidden="1" customHeight="1">
      <c r="A3944" s="49" t="s">
        <v>365</v>
      </c>
      <c r="B3944" s="50">
        <v>44650.0</v>
      </c>
      <c r="C3944" s="49" t="s">
        <v>78</v>
      </c>
      <c r="D3944" s="49">
        <v>0.0</v>
      </c>
    </row>
    <row r="3945" ht="15.0" hidden="1" customHeight="1">
      <c r="A3945" s="49" t="s">
        <v>370</v>
      </c>
      <c r="B3945" s="50">
        <v>44650.0</v>
      </c>
      <c r="C3945" s="49" t="s">
        <v>78</v>
      </c>
      <c r="D3945" s="49">
        <v>0.0</v>
      </c>
    </row>
    <row r="3946" ht="15.0" hidden="1" customHeight="1">
      <c r="A3946" s="49" t="s">
        <v>375</v>
      </c>
      <c r="B3946" s="50">
        <v>44650.0</v>
      </c>
      <c r="C3946" s="49" t="s">
        <v>78</v>
      </c>
      <c r="D3946" s="49">
        <v>0.0</v>
      </c>
    </row>
    <row r="3947" ht="15.0" hidden="1" customHeight="1">
      <c r="A3947" s="49" t="s">
        <v>380</v>
      </c>
      <c r="B3947" s="50">
        <v>44650.0</v>
      </c>
      <c r="C3947" s="49" t="s">
        <v>78</v>
      </c>
      <c r="D3947" s="49">
        <v>0.0</v>
      </c>
    </row>
    <row r="3948" ht="15.0" hidden="1" customHeight="1">
      <c r="A3948" s="49" t="s">
        <v>385</v>
      </c>
      <c r="B3948" s="50">
        <v>44650.0</v>
      </c>
      <c r="C3948" s="49" t="s">
        <v>78</v>
      </c>
      <c r="D3948" s="49">
        <v>0.0</v>
      </c>
    </row>
    <row r="3949" ht="15.0" hidden="1" customHeight="1">
      <c r="A3949" s="49" t="s">
        <v>390</v>
      </c>
      <c r="B3949" s="50">
        <v>44650.0</v>
      </c>
      <c r="C3949" s="49" t="s">
        <v>78</v>
      </c>
      <c r="D3949" s="49">
        <v>0.0</v>
      </c>
    </row>
    <row r="3950" ht="15.0" hidden="1" customHeight="1">
      <c r="A3950" s="49" t="s">
        <v>395</v>
      </c>
      <c r="B3950" s="50">
        <v>44650.0</v>
      </c>
      <c r="C3950" s="49" t="s">
        <v>78</v>
      </c>
      <c r="D3950" s="49">
        <v>0.0</v>
      </c>
    </row>
    <row r="3951" ht="15.0" hidden="1" customHeight="1">
      <c r="A3951" s="49" t="s">
        <v>400</v>
      </c>
      <c r="B3951" s="50">
        <v>44650.0</v>
      </c>
      <c r="C3951" s="49" t="s">
        <v>78</v>
      </c>
      <c r="D3951" s="49">
        <v>0.0</v>
      </c>
    </row>
    <row r="3952" ht="15.0" hidden="1" customHeight="1">
      <c r="A3952" s="49" t="s">
        <v>405</v>
      </c>
      <c r="B3952" s="50">
        <v>44650.0</v>
      </c>
      <c r="C3952" s="49" t="s">
        <v>78</v>
      </c>
      <c r="D3952" s="49">
        <v>0.0</v>
      </c>
    </row>
    <row r="3953" ht="15.0" hidden="1" customHeight="1">
      <c r="A3953" s="49" t="s">
        <v>410</v>
      </c>
      <c r="B3953" s="50">
        <v>44650.0</v>
      </c>
      <c r="C3953" s="49" t="s">
        <v>78</v>
      </c>
      <c r="D3953" s="49">
        <v>0.0</v>
      </c>
    </row>
    <row r="3954" ht="15.0" hidden="1" customHeight="1">
      <c r="A3954" s="49" t="s">
        <v>415</v>
      </c>
      <c r="B3954" s="50">
        <v>44650.0</v>
      </c>
      <c r="C3954" s="49" t="s">
        <v>78</v>
      </c>
      <c r="D3954" s="49">
        <v>0.0</v>
      </c>
    </row>
    <row r="3955" ht="15.0" hidden="1" customHeight="1">
      <c r="A3955" s="49" t="s">
        <v>420</v>
      </c>
      <c r="B3955" s="50">
        <v>44650.0</v>
      </c>
      <c r="C3955" s="49" t="s">
        <v>78</v>
      </c>
      <c r="D3955" s="49">
        <v>0.0</v>
      </c>
    </row>
    <row r="3956" ht="15.0" hidden="1" customHeight="1">
      <c r="A3956" s="49" t="s">
        <v>425</v>
      </c>
      <c r="B3956" s="50">
        <v>44650.0</v>
      </c>
      <c r="C3956" s="49" t="s">
        <v>78</v>
      </c>
      <c r="D3956" s="49">
        <v>0.0</v>
      </c>
    </row>
    <row r="3957" ht="15.0" hidden="1" customHeight="1">
      <c r="A3957" s="49" t="s">
        <v>430</v>
      </c>
      <c r="B3957" s="50">
        <v>44650.0</v>
      </c>
      <c r="C3957" s="49" t="s">
        <v>78</v>
      </c>
      <c r="D3957" s="49">
        <v>0.0</v>
      </c>
    </row>
    <row r="3958" ht="15.0" hidden="1" customHeight="1">
      <c r="A3958" s="49" t="s">
        <v>434</v>
      </c>
      <c r="B3958" s="50">
        <v>44650.0</v>
      </c>
      <c r="C3958" s="49" t="s">
        <v>78</v>
      </c>
      <c r="D3958" s="49">
        <v>0.0</v>
      </c>
    </row>
    <row r="3959" ht="15.0" hidden="1" customHeight="1">
      <c r="A3959" s="49" t="s">
        <v>439</v>
      </c>
      <c r="B3959" s="50">
        <v>44650.0</v>
      </c>
      <c r="C3959" s="49" t="s">
        <v>78</v>
      </c>
      <c r="D3959" s="49">
        <v>0.0</v>
      </c>
    </row>
    <row r="3960" ht="15.0" hidden="1" customHeight="1">
      <c r="A3960" s="49" t="s">
        <v>444</v>
      </c>
      <c r="B3960" s="50">
        <v>44650.0</v>
      </c>
      <c r="C3960" s="49" t="s">
        <v>78</v>
      </c>
      <c r="D3960" s="49">
        <v>0.0</v>
      </c>
    </row>
    <row r="3961" ht="15.0" hidden="1" customHeight="1">
      <c r="A3961" s="49" t="s">
        <v>449</v>
      </c>
      <c r="B3961" s="50">
        <v>44650.0</v>
      </c>
      <c r="C3961" s="49" t="s">
        <v>78</v>
      </c>
      <c r="D3961" s="49">
        <v>0.0</v>
      </c>
    </row>
    <row r="3962" ht="15.0" hidden="1" customHeight="1">
      <c r="A3962" s="49" t="s">
        <v>455</v>
      </c>
      <c r="B3962" s="50">
        <v>44650.0</v>
      </c>
      <c r="C3962" s="49" t="s">
        <v>78</v>
      </c>
      <c r="D3962" s="49">
        <v>0.0</v>
      </c>
    </row>
    <row r="3963" ht="15.0" hidden="1" customHeight="1">
      <c r="A3963" s="49" t="s">
        <v>470</v>
      </c>
      <c r="B3963" s="50">
        <v>44650.0</v>
      </c>
      <c r="C3963" s="49" t="s">
        <v>78</v>
      </c>
      <c r="D3963" s="49">
        <v>0.0</v>
      </c>
    </row>
    <row r="3964" ht="15.0" hidden="1" customHeight="1">
      <c r="A3964" s="49" t="s">
        <v>476</v>
      </c>
      <c r="B3964" s="50">
        <v>44650.0</v>
      </c>
      <c r="C3964" s="49" t="s">
        <v>78</v>
      </c>
      <c r="D3964" s="49">
        <v>0.0</v>
      </c>
    </row>
    <row r="3965" ht="15.0" hidden="1" customHeight="1">
      <c r="A3965" s="49" t="s">
        <v>481</v>
      </c>
      <c r="B3965" s="50">
        <v>44650.0</v>
      </c>
      <c r="C3965" s="49" t="s">
        <v>78</v>
      </c>
      <c r="D3965" s="49">
        <v>0.0</v>
      </c>
    </row>
    <row r="3966" ht="15.0" hidden="1" customHeight="1">
      <c r="A3966" s="49" t="s">
        <v>486</v>
      </c>
      <c r="B3966" s="50">
        <v>44650.0</v>
      </c>
      <c r="C3966" s="49" t="s">
        <v>78</v>
      </c>
      <c r="D3966" s="49">
        <v>0.0</v>
      </c>
    </row>
    <row r="3967" ht="15.0" hidden="1" customHeight="1">
      <c r="A3967" s="49" t="s">
        <v>491</v>
      </c>
      <c r="B3967" s="50">
        <v>44650.0</v>
      </c>
      <c r="C3967" s="49" t="s">
        <v>78</v>
      </c>
      <c r="D3967" s="49">
        <v>0.0</v>
      </c>
    </row>
    <row r="3968" ht="15.0" hidden="1" customHeight="1">
      <c r="A3968" s="49" t="s">
        <v>496</v>
      </c>
      <c r="B3968" s="50">
        <v>44650.0</v>
      </c>
      <c r="C3968" s="49" t="s">
        <v>78</v>
      </c>
      <c r="D3968" s="49">
        <v>0.0</v>
      </c>
    </row>
    <row r="3969" ht="15.0" hidden="1" customHeight="1">
      <c r="A3969" s="49" t="s">
        <v>501</v>
      </c>
      <c r="B3969" s="50">
        <v>44650.0</v>
      </c>
      <c r="C3969" s="49" t="s">
        <v>78</v>
      </c>
      <c r="D3969" s="49">
        <v>0.0</v>
      </c>
    </row>
    <row r="3970" ht="15.0" hidden="1" customHeight="1">
      <c r="A3970" s="49" t="s">
        <v>506</v>
      </c>
      <c r="B3970" s="50">
        <v>44650.0</v>
      </c>
      <c r="C3970" s="49" t="s">
        <v>78</v>
      </c>
      <c r="D3970" s="49">
        <v>0.0</v>
      </c>
    </row>
    <row r="3971" ht="15.0" hidden="1" customHeight="1">
      <c r="A3971" s="49" t="s">
        <v>512</v>
      </c>
      <c r="B3971" s="50">
        <v>44650.0</v>
      </c>
      <c r="C3971" s="49" t="s">
        <v>78</v>
      </c>
      <c r="D3971" s="49">
        <v>0.0</v>
      </c>
    </row>
    <row r="3972" ht="15.0" hidden="1" customHeight="1">
      <c r="A3972" s="49" t="s">
        <v>517</v>
      </c>
      <c r="B3972" s="50">
        <v>44650.0</v>
      </c>
      <c r="C3972" s="49" t="s">
        <v>78</v>
      </c>
      <c r="D3972" s="49">
        <v>0.0</v>
      </c>
    </row>
    <row r="3973" ht="15.0" hidden="1" customHeight="1">
      <c r="A3973" s="49" t="s">
        <v>522</v>
      </c>
      <c r="B3973" s="50">
        <v>44650.0</v>
      </c>
      <c r="C3973" s="49" t="s">
        <v>78</v>
      </c>
      <c r="D3973" s="49">
        <v>0.0</v>
      </c>
    </row>
    <row r="3974" ht="15.0" hidden="1" customHeight="1">
      <c r="A3974" s="49" t="s">
        <v>528</v>
      </c>
      <c r="B3974" s="50">
        <v>44650.0</v>
      </c>
      <c r="C3974" s="49" t="s">
        <v>78</v>
      </c>
      <c r="D3974" s="49">
        <v>0.0</v>
      </c>
    </row>
    <row r="3975" ht="15.0" hidden="1" customHeight="1">
      <c r="A3975" s="49" t="s">
        <v>533</v>
      </c>
      <c r="B3975" s="50">
        <v>44650.0</v>
      </c>
      <c r="C3975" s="49" t="s">
        <v>78</v>
      </c>
      <c r="D3975" s="49">
        <v>0.0</v>
      </c>
    </row>
    <row r="3976" ht="15.0" hidden="1" customHeight="1">
      <c r="A3976" s="49" t="s">
        <v>538</v>
      </c>
      <c r="B3976" s="50">
        <v>44650.0</v>
      </c>
      <c r="C3976" s="49" t="s">
        <v>78</v>
      </c>
      <c r="D3976" s="49">
        <v>0.0</v>
      </c>
    </row>
    <row r="3977" ht="15.0" hidden="1" customHeight="1">
      <c r="A3977" s="49" t="s">
        <v>546</v>
      </c>
      <c r="B3977" s="50">
        <v>44650.0</v>
      </c>
      <c r="C3977" s="49" t="s">
        <v>78</v>
      </c>
      <c r="D3977" s="49">
        <v>0.0</v>
      </c>
    </row>
    <row r="3978" ht="15.0" hidden="1" customHeight="1">
      <c r="A3978" s="49" t="s">
        <v>551</v>
      </c>
      <c r="B3978" s="50">
        <v>44650.0</v>
      </c>
      <c r="C3978" s="49" t="s">
        <v>78</v>
      </c>
      <c r="D3978" s="49">
        <v>0.0</v>
      </c>
    </row>
    <row r="3979" ht="15.0" hidden="1" customHeight="1">
      <c r="A3979" s="49" t="s">
        <v>556</v>
      </c>
      <c r="B3979" s="50">
        <v>44650.0</v>
      </c>
      <c r="C3979" s="49" t="s">
        <v>78</v>
      </c>
      <c r="D3979" s="49">
        <v>0.0</v>
      </c>
    </row>
    <row r="3980" ht="15.0" hidden="1" customHeight="1">
      <c r="A3980" s="49" t="s">
        <v>561</v>
      </c>
      <c r="B3980" s="50">
        <v>44650.0</v>
      </c>
      <c r="C3980" s="49" t="s">
        <v>78</v>
      </c>
      <c r="D3980" s="49">
        <v>0.0</v>
      </c>
    </row>
    <row r="3981" ht="15.0" hidden="1" customHeight="1">
      <c r="A3981" s="49" t="s">
        <v>566</v>
      </c>
      <c r="B3981" s="50">
        <v>44650.0</v>
      </c>
      <c r="C3981" s="49" t="s">
        <v>78</v>
      </c>
      <c r="D3981" s="49">
        <v>0.0</v>
      </c>
    </row>
    <row r="3982" ht="15.0" hidden="1" customHeight="1">
      <c r="A3982" s="49" t="s">
        <v>571</v>
      </c>
      <c r="B3982" s="50">
        <v>44650.0</v>
      </c>
      <c r="C3982" s="49" t="s">
        <v>78</v>
      </c>
      <c r="D3982" s="49">
        <v>0.0</v>
      </c>
    </row>
    <row r="3983" ht="15.0" hidden="1" customHeight="1">
      <c r="A3983" s="49" t="s">
        <v>576</v>
      </c>
      <c r="B3983" s="50">
        <v>44650.0</v>
      </c>
      <c r="C3983" s="49" t="s">
        <v>78</v>
      </c>
      <c r="D3983" s="49">
        <v>0.0</v>
      </c>
    </row>
    <row r="3984" ht="15.0" hidden="1" customHeight="1">
      <c r="A3984" s="49" t="s">
        <v>581</v>
      </c>
      <c r="B3984" s="50">
        <v>44650.0</v>
      </c>
      <c r="C3984" s="49" t="s">
        <v>78</v>
      </c>
      <c r="D3984" s="49">
        <v>0.0</v>
      </c>
    </row>
    <row r="3985" ht="15.0" hidden="1" customHeight="1">
      <c r="A3985" s="49" t="s">
        <v>586</v>
      </c>
      <c r="B3985" s="50">
        <v>44650.0</v>
      </c>
      <c r="C3985" s="49" t="s">
        <v>78</v>
      </c>
      <c r="D3985" s="49">
        <v>0.0</v>
      </c>
    </row>
    <row r="3986" ht="15.0" hidden="1" customHeight="1">
      <c r="A3986" s="49" t="s">
        <v>754</v>
      </c>
      <c r="B3986" s="50">
        <v>44650.0</v>
      </c>
      <c r="C3986" s="49" t="s">
        <v>78</v>
      </c>
      <c r="D3986" s="49">
        <v>0.0</v>
      </c>
    </row>
    <row r="3987" ht="15.0" hidden="1" customHeight="1">
      <c r="A3987" s="49" t="s">
        <v>591</v>
      </c>
      <c r="B3987" s="50">
        <v>44650.0</v>
      </c>
      <c r="C3987" s="49" t="s">
        <v>78</v>
      </c>
      <c r="D3987" s="49">
        <v>0.0</v>
      </c>
    </row>
    <row r="3988" ht="15.0" hidden="1" customHeight="1">
      <c r="A3988" s="49" t="s">
        <v>759</v>
      </c>
      <c r="B3988" s="50">
        <v>44650.0</v>
      </c>
      <c r="C3988" s="49" t="s">
        <v>78</v>
      </c>
      <c r="D3988" s="49">
        <v>0.0</v>
      </c>
    </row>
    <row r="3989" ht="15.0" hidden="1" customHeight="1">
      <c r="A3989" s="49" t="s">
        <v>596</v>
      </c>
      <c r="B3989" s="50">
        <v>44650.0</v>
      </c>
      <c r="C3989" s="49" t="s">
        <v>78</v>
      </c>
      <c r="D3989" s="49">
        <v>0.0</v>
      </c>
    </row>
    <row r="3990" ht="15.0" hidden="1" customHeight="1">
      <c r="A3990" s="49" t="s">
        <v>602</v>
      </c>
      <c r="B3990" s="50">
        <v>44650.0</v>
      </c>
      <c r="C3990" s="49" t="s">
        <v>78</v>
      </c>
      <c r="D3990" s="49">
        <v>0.0</v>
      </c>
    </row>
    <row r="3991" ht="15.0" hidden="1" customHeight="1">
      <c r="A3991" s="49" t="s">
        <v>607</v>
      </c>
      <c r="B3991" s="50">
        <v>44650.0</v>
      </c>
      <c r="C3991" s="49" t="s">
        <v>78</v>
      </c>
      <c r="D3991" s="49">
        <v>0.0</v>
      </c>
    </row>
    <row r="3992" ht="15.0" hidden="1" customHeight="1">
      <c r="A3992" s="49" t="s">
        <v>612</v>
      </c>
      <c r="B3992" s="50">
        <v>44650.0</v>
      </c>
      <c r="C3992" s="49" t="s">
        <v>78</v>
      </c>
      <c r="D3992" s="49">
        <v>0.0</v>
      </c>
    </row>
    <row r="3993" ht="15.0" hidden="1" customHeight="1">
      <c r="A3993" s="49" t="s">
        <v>617</v>
      </c>
      <c r="B3993" s="50">
        <v>44650.0</v>
      </c>
      <c r="C3993" s="49" t="s">
        <v>78</v>
      </c>
      <c r="D3993" s="49">
        <v>0.0</v>
      </c>
    </row>
    <row r="3994" ht="15.0" hidden="1" customHeight="1">
      <c r="A3994" s="49" t="s">
        <v>622</v>
      </c>
      <c r="B3994" s="50">
        <v>44650.0</v>
      </c>
      <c r="C3994" s="49" t="s">
        <v>78</v>
      </c>
      <c r="D3994" s="49">
        <v>0.0</v>
      </c>
    </row>
    <row r="3995" ht="15.0" hidden="1" customHeight="1">
      <c r="A3995" s="49" t="s">
        <v>627</v>
      </c>
      <c r="B3995" s="50">
        <v>44650.0</v>
      </c>
      <c r="C3995" s="49" t="s">
        <v>78</v>
      </c>
      <c r="D3995" s="49">
        <v>0.0</v>
      </c>
    </row>
    <row r="3996" ht="15.0" hidden="1" customHeight="1">
      <c r="A3996" s="49" t="s">
        <v>631</v>
      </c>
      <c r="B3996" s="50">
        <v>44650.0</v>
      </c>
      <c r="C3996" s="49" t="s">
        <v>78</v>
      </c>
      <c r="D3996" s="49">
        <v>0.0</v>
      </c>
    </row>
    <row r="3997" ht="15.0" hidden="1" customHeight="1">
      <c r="A3997" s="49" t="s">
        <v>636</v>
      </c>
      <c r="B3997" s="50">
        <v>44650.0</v>
      </c>
      <c r="C3997" s="49" t="s">
        <v>78</v>
      </c>
      <c r="D3997" s="49">
        <v>0.0</v>
      </c>
    </row>
    <row r="3998" ht="15.0" hidden="1" customHeight="1">
      <c r="A3998" s="49" t="s">
        <v>640</v>
      </c>
      <c r="B3998" s="50">
        <v>44650.0</v>
      </c>
      <c r="C3998" s="49" t="s">
        <v>78</v>
      </c>
      <c r="D3998" s="49">
        <v>0.0</v>
      </c>
    </row>
    <row r="3999" ht="15.0" hidden="1" customHeight="1">
      <c r="A3999" s="49" t="s">
        <v>644</v>
      </c>
      <c r="B3999" s="50">
        <v>44650.0</v>
      </c>
      <c r="C3999" s="49" t="s">
        <v>78</v>
      </c>
      <c r="D3999" s="49">
        <v>0.0</v>
      </c>
    </row>
    <row r="4000" ht="15.0" hidden="1" customHeight="1">
      <c r="A4000" s="49" t="s">
        <v>649</v>
      </c>
      <c r="B4000" s="50">
        <v>44650.0</v>
      </c>
      <c r="C4000" s="49" t="s">
        <v>78</v>
      </c>
      <c r="D4000" s="49">
        <v>0.0</v>
      </c>
    </row>
    <row r="4001" ht="15.0" hidden="1" customHeight="1">
      <c r="A4001" s="49" t="s">
        <v>654</v>
      </c>
      <c r="B4001" s="50">
        <v>44650.0</v>
      </c>
      <c r="C4001" s="49" t="s">
        <v>78</v>
      </c>
      <c r="D4001" s="49">
        <v>0.0</v>
      </c>
    </row>
    <row r="4002" ht="15.0" hidden="1" customHeight="1">
      <c r="A4002" s="49" t="s">
        <v>659</v>
      </c>
      <c r="B4002" s="50">
        <v>44650.0</v>
      </c>
      <c r="C4002" s="49" t="s">
        <v>78</v>
      </c>
      <c r="D4002" s="49">
        <v>0.0</v>
      </c>
    </row>
    <row r="4003" ht="15.0" hidden="1" customHeight="1">
      <c r="A4003" s="49" t="s">
        <v>664</v>
      </c>
      <c r="B4003" s="50">
        <v>44650.0</v>
      </c>
      <c r="C4003" s="49" t="s">
        <v>78</v>
      </c>
      <c r="D4003" s="49">
        <v>0.0</v>
      </c>
    </row>
    <row r="4004" ht="15.0" hidden="1" customHeight="1">
      <c r="A4004" s="49" t="s">
        <v>669</v>
      </c>
      <c r="B4004" s="50">
        <v>44650.0</v>
      </c>
      <c r="C4004" s="49" t="s">
        <v>78</v>
      </c>
      <c r="D4004" s="49">
        <v>0.0</v>
      </c>
    </row>
    <row r="4005" ht="15.0" hidden="1" customHeight="1">
      <c r="A4005" s="49" t="s">
        <v>674</v>
      </c>
      <c r="B4005" s="50">
        <v>44650.0</v>
      </c>
      <c r="C4005" s="49" t="s">
        <v>78</v>
      </c>
      <c r="D4005" s="49">
        <v>0.0</v>
      </c>
    </row>
    <row r="4006" ht="15.0" hidden="1" customHeight="1">
      <c r="A4006" s="49" t="s">
        <v>679</v>
      </c>
      <c r="B4006" s="50">
        <v>44650.0</v>
      </c>
      <c r="C4006" s="49" t="s">
        <v>78</v>
      </c>
      <c r="D4006" s="49">
        <v>0.0</v>
      </c>
    </row>
    <row r="4007" ht="15.0" hidden="1" customHeight="1">
      <c r="A4007" s="49" t="s">
        <v>684</v>
      </c>
      <c r="B4007" s="50">
        <v>44650.0</v>
      </c>
      <c r="C4007" s="49" t="s">
        <v>78</v>
      </c>
      <c r="D4007" s="49">
        <v>0.0</v>
      </c>
    </row>
    <row r="4008" ht="15.0" hidden="1" customHeight="1">
      <c r="A4008" s="49" t="s">
        <v>689</v>
      </c>
      <c r="B4008" s="50">
        <v>44650.0</v>
      </c>
      <c r="C4008" s="49" t="s">
        <v>78</v>
      </c>
      <c r="D4008" s="49">
        <v>0.0</v>
      </c>
    </row>
    <row r="4009" ht="15.0" hidden="1" customHeight="1">
      <c r="A4009" s="49" t="s">
        <v>694</v>
      </c>
      <c r="B4009" s="50">
        <v>44650.0</v>
      </c>
      <c r="C4009" s="49" t="s">
        <v>78</v>
      </c>
      <c r="D4009" s="49">
        <v>0.0</v>
      </c>
    </row>
    <row r="4010" ht="15.0" hidden="1" customHeight="1">
      <c r="A4010" s="49" t="s">
        <v>699</v>
      </c>
      <c r="B4010" s="50">
        <v>44650.0</v>
      </c>
      <c r="C4010" s="49" t="s">
        <v>78</v>
      </c>
      <c r="D4010" s="49">
        <v>0.0</v>
      </c>
    </row>
    <row r="4011" ht="15.0" hidden="1" customHeight="1">
      <c r="A4011" s="49" t="s">
        <v>705</v>
      </c>
      <c r="B4011" s="50">
        <v>44650.0</v>
      </c>
      <c r="C4011" s="49" t="s">
        <v>78</v>
      </c>
      <c r="D4011" s="49">
        <v>0.0</v>
      </c>
    </row>
    <row r="4012" ht="15.0" hidden="1" customHeight="1">
      <c r="A4012" s="49" t="s">
        <v>710</v>
      </c>
      <c r="B4012" s="50">
        <v>44650.0</v>
      </c>
      <c r="C4012" s="49" t="s">
        <v>78</v>
      </c>
      <c r="D4012" s="49">
        <v>0.0</v>
      </c>
    </row>
    <row r="4013" ht="15.0" hidden="1" customHeight="1">
      <c r="A4013" s="49" t="s">
        <v>715</v>
      </c>
      <c r="B4013" s="50">
        <v>44650.0</v>
      </c>
      <c r="C4013" s="49" t="s">
        <v>78</v>
      </c>
      <c r="D4013" s="49">
        <v>0.0</v>
      </c>
    </row>
    <row r="4014" ht="15.0" hidden="1" customHeight="1">
      <c r="A4014" s="49" t="s">
        <v>765</v>
      </c>
      <c r="B4014" s="50">
        <v>44650.0</v>
      </c>
      <c r="C4014" s="49" t="s">
        <v>78</v>
      </c>
      <c r="D4014" s="49">
        <v>0.0</v>
      </c>
    </row>
    <row r="4015" ht="15.0" hidden="1" customHeight="1">
      <c r="A4015" s="49" t="s">
        <v>720</v>
      </c>
      <c r="B4015" s="50">
        <v>44650.0</v>
      </c>
      <c r="C4015" s="49" t="s">
        <v>78</v>
      </c>
      <c r="D4015" s="49">
        <v>0.0</v>
      </c>
    </row>
    <row r="4016" ht="15.0" hidden="1" customHeight="1">
      <c r="A4016" s="49" t="s">
        <v>725</v>
      </c>
      <c r="B4016" s="50">
        <v>44650.0</v>
      </c>
      <c r="C4016" s="49" t="s">
        <v>78</v>
      </c>
      <c r="D4016" s="49">
        <v>0.0</v>
      </c>
    </row>
    <row r="4017" ht="15.0" hidden="1" customHeight="1">
      <c r="A4017" s="49" t="s">
        <v>730</v>
      </c>
      <c r="B4017" s="50">
        <v>44650.0</v>
      </c>
      <c r="C4017" s="49" t="s">
        <v>78</v>
      </c>
      <c r="D4017" s="49">
        <v>0.0</v>
      </c>
    </row>
    <row r="4018" ht="15.0" hidden="1" customHeight="1">
      <c r="A4018" s="49" t="s">
        <v>734</v>
      </c>
      <c r="B4018" s="50">
        <v>44650.0</v>
      </c>
      <c r="C4018" s="49" t="s">
        <v>78</v>
      </c>
      <c r="D4018" s="49">
        <v>0.0</v>
      </c>
    </row>
    <row r="4019" ht="15.0" hidden="1" customHeight="1">
      <c r="A4019" s="49" t="s">
        <v>739</v>
      </c>
      <c r="B4019" s="50">
        <v>44650.0</v>
      </c>
      <c r="C4019" s="49" t="s">
        <v>78</v>
      </c>
      <c r="D4019" s="49">
        <v>0.0</v>
      </c>
    </row>
    <row r="4020" ht="15.0" hidden="1" customHeight="1">
      <c r="A4020" s="49" t="s">
        <v>744</v>
      </c>
      <c r="B4020" s="50">
        <v>44650.0</v>
      </c>
      <c r="C4020" s="49" t="s">
        <v>78</v>
      </c>
      <c r="D4020" s="49">
        <v>0.0</v>
      </c>
    </row>
    <row r="4021" ht="15.0" hidden="1" customHeight="1">
      <c r="A4021" s="49" t="s">
        <v>749</v>
      </c>
      <c r="B4021" s="50">
        <v>44650.0</v>
      </c>
      <c r="C4021" s="49" t="s">
        <v>78</v>
      </c>
      <c r="D4021" s="49">
        <v>0.0</v>
      </c>
    </row>
    <row r="4022" ht="15.0" customHeight="1">
      <c r="A4022" s="49" t="s">
        <v>776</v>
      </c>
      <c r="B4022" s="50">
        <v>44650.0</v>
      </c>
      <c r="C4022" s="49" t="s">
        <v>69</v>
      </c>
      <c r="D4022" s="49">
        <v>0.0</v>
      </c>
    </row>
    <row r="4023" ht="15.0" hidden="1" customHeight="1">
      <c r="A4023" s="49" t="s">
        <v>778</v>
      </c>
      <c r="B4023" s="50">
        <v>44650.0</v>
      </c>
      <c r="C4023" s="49" t="s">
        <v>69</v>
      </c>
      <c r="D4023" s="49">
        <v>0.0</v>
      </c>
    </row>
    <row r="4024" ht="15.0" hidden="1" customHeight="1">
      <c r="A4024" s="49" t="s">
        <v>92</v>
      </c>
      <c r="B4024" s="50">
        <v>44650.0</v>
      </c>
      <c r="C4024" s="49" t="s">
        <v>69</v>
      </c>
      <c r="D4024" s="49">
        <v>0.0</v>
      </c>
    </row>
    <row r="4025" ht="15.0" hidden="1" customHeight="1">
      <c r="A4025" s="49" t="s">
        <v>97</v>
      </c>
      <c r="B4025" s="50">
        <v>44650.0</v>
      </c>
      <c r="C4025" s="49" t="s">
        <v>69</v>
      </c>
      <c r="D4025" s="49">
        <v>0.0</v>
      </c>
    </row>
    <row r="4026" ht="15.0" hidden="1" customHeight="1">
      <c r="A4026" s="49" t="s">
        <v>102</v>
      </c>
      <c r="B4026" s="50">
        <v>44650.0</v>
      </c>
      <c r="C4026" s="49" t="s">
        <v>69</v>
      </c>
      <c r="D4026" s="49">
        <v>0.0</v>
      </c>
    </row>
    <row r="4027" ht="15.0" hidden="1" customHeight="1">
      <c r="A4027" s="49" t="s">
        <v>106</v>
      </c>
      <c r="B4027" s="50">
        <v>44650.0</v>
      </c>
      <c r="C4027" s="49" t="s">
        <v>69</v>
      </c>
      <c r="D4027" s="49">
        <v>200000.0</v>
      </c>
    </row>
    <row r="4028" ht="15.0" hidden="1" customHeight="1">
      <c r="A4028" s="49" t="s">
        <v>111</v>
      </c>
      <c r="B4028" s="50">
        <v>44650.0</v>
      </c>
      <c r="C4028" s="49" t="s">
        <v>69</v>
      </c>
      <c r="D4028" s="49">
        <v>0.0</v>
      </c>
    </row>
    <row r="4029" ht="15.0" hidden="1" customHeight="1">
      <c r="A4029" s="49" t="s">
        <v>116</v>
      </c>
      <c r="B4029" s="50">
        <v>44650.0</v>
      </c>
      <c r="C4029" s="49" t="s">
        <v>69</v>
      </c>
      <c r="D4029" s="49">
        <v>0.0</v>
      </c>
    </row>
    <row r="4030" ht="15.0" hidden="1" customHeight="1">
      <c r="A4030" s="49" t="s">
        <v>120</v>
      </c>
      <c r="B4030" s="50">
        <v>44650.0</v>
      </c>
      <c r="C4030" s="49" t="s">
        <v>69</v>
      </c>
      <c r="D4030" s="49">
        <v>1065166.67</v>
      </c>
    </row>
    <row r="4031" ht="15.0" hidden="1" customHeight="1">
      <c r="A4031" s="49" t="s">
        <v>125</v>
      </c>
      <c r="B4031" s="50">
        <v>44650.0</v>
      </c>
      <c r="C4031" s="49" t="s">
        <v>69</v>
      </c>
      <c r="D4031" s="49">
        <v>175780.0</v>
      </c>
    </row>
    <row r="4032" ht="15.0" hidden="1" customHeight="1">
      <c r="A4032" s="49" t="s">
        <v>130</v>
      </c>
      <c r="B4032" s="50">
        <v>44650.0</v>
      </c>
      <c r="C4032" s="49" t="s">
        <v>69</v>
      </c>
      <c r="D4032" s="49">
        <v>180919.25</v>
      </c>
    </row>
    <row r="4033" ht="15.0" hidden="1" customHeight="1">
      <c r="A4033" s="49" t="s">
        <v>137</v>
      </c>
      <c r="B4033" s="50">
        <v>44650.0</v>
      </c>
      <c r="C4033" s="49" t="s">
        <v>69</v>
      </c>
      <c r="D4033" s="49">
        <v>0.0</v>
      </c>
    </row>
    <row r="4034" ht="15.0" hidden="1" customHeight="1">
      <c r="A4034" s="49" t="s">
        <v>142</v>
      </c>
      <c r="B4034" s="50">
        <v>44650.0</v>
      </c>
      <c r="C4034" s="49" t="s">
        <v>69</v>
      </c>
      <c r="D4034" s="49">
        <v>0.0</v>
      </c>
    </row>
    <row r="4035" ht="15.0" hidden="1" customHeight="1">
      <c r="A4035" s="49" t="s">
        <v>147</v>
      </c>
      <c r="B4035" s="50">
        <v>44650.0</v>
      </c>
      <c r="C4035" s="49" t="s">
        <v>69</v>
      </c>
      <c r="D4035" s="49">
        <v>128000.0</v>
      </c>
    </row>
    <row r="4036" ht="15.0" hidden="1" customHeight="1">
      <c r="A4036" s="49" t="s">
        <v>152</v>
      </c>
      <c r="B4036" s="50">
        <v>44650.0</v>
      </c>
      <c r="C4036" s="49" t="s">
        <v>69</v>
      </c>
      <c r="D4036" s="49">
        <v>0.0</v>
      </c>
    </row>
    <row r="4037" ht="15.0" hidden="1" customHeight="1">
      <c r="A4037" s="49" t="s">
        <v>157</v>
      </c>
      <c r="B4037" s="50">
        <v>44650.0</v>
      </c>
      <c r="C4037" s="49" t="s">
        <v>69</v>
      </c>
      <c r="D4037" s="49">
        <v>50000.0</v>
      </c>
    </row>
    <row r="4038" ht="15.0" hidden="1" customHeight="1">
      <c r="A4038" s="49" t="s">
        <v>162</v>
      </c>
      <c r="B4038" s="50">
        <v>44650.0</v>
      </c>
      <c r="C4038" s="49" t="s">
        <v>69</v>
      </c>
      <c r="D4038" s="49">
        <v>713250.0</v>
      </c>
    </row>
    <row r="4039" ht="15.0" hidden="1" customHeight="1">
      <c r="A4039" s="49" t="s">
        <v>167</v>
      </c>
      <c r="B4039" s="50">
        <v>44650.0</v>
      </c>
      <c r="C4039" s="49" t="s">
        <v>69</v>
      </c>
      <c r="D4039" s="49">
        <v>0.0</v>
      </c>
    </row>
    <row r="4040" ht="15.0" hidden="1" customHeight="1">
      <c r="A4040" s="49" t="s">
        <v>172</v>
      </c>
      <c r="B4040" s="50">
        <v>44650.0</v>
      </c>
      <c r="C4040" s="49" t="s">
        <v>69</v>
      </c>
      <c r="D4040" s="49">
        <v>0.0</v>
      </c>
    </row>
    <row r="4041" ht="15.0" hidden="1" customHeight="1">
      <c r="A4041" s="49" t="s">
        <v>177</v>
      </c>
      <c r="B4041" s="50">
        <v>44650.0</v>
      </c>
      <c r="C4041" s="49" t="s">
        <v>69</v>
      </c>
      <c r="D4041" s="49">
        <v>600000.0</v>
      </c>
    </row>
    <row r="4042" ht="15.0" hidden="1" customHeight="1">
      <c r="A4042" s="49" t="s">
        <v>182</v>
      </c>
      <c r="B4042" s="50">
        <v>44650.0</v>
      </c>
      <c r="C4042" s="49" t="s">
        <v>69</v>
      </c>
      <c r="D4042" s="49">
        <v>33333.33</v>
      </c>
    </row>
    <row r="4043" ht="15.0" hidden="1" customHeight="1">
      <c r="A4043" s="49" t="s">
        <v>187</v>
      </c>
      <c r="B4043" s="50">
        <v>44650.0</v>
      </c>
      <c r="C4043" s="49" t="s">
        <v>69</v>
      </c>
      <c r="D4043" s="49">
        <v>0.0</v>
      </c>
    </row>
    <row r="4044" ht="15.0" hidden="1" customHeight="1">
      <c r="A4044" s="49" t="s">
        <v>192</v>
      </c>
      <c r="B4044" s="50">
        <v>44650.0</v>
      </c>
      <c r="C4044" s="49" t="s">
        <v>69</v>
      </c>
      <c r="D4044" s="49">
        <v>0.0</v>
      </c>
    </row>
    <row r="4045" ht="15.0" hidden="1" customHeight="1">
      <c r="A4045" s="49" t="s">
        <v>197</v>
      </c>
      <c r="B4045" s="50">
        <v>44650.0</v>
      </c>
      <c r="C4045" s="49" t="s">
        <v>69</v>
      </c>
      <c r="D4045" s="49">
        <v>330924.61</v>
      </c>
    </row>
    <row r="4046" ht="15.0" hidden="1" customHeight="1">
      <c r="A4046" s="49" t="s">
        <v>202</v>
      </c>
      <c r="B4046" s="50">
        <v>44650.0</v>
      </c>
      <c r="C4046" s="49" t="s">
        <v>69</v>
      </c>
      <c r="D4046" s="49">
        <v>518001.31</v>
      </c>
    </row>
    <row r="4047" ht="15.0" hidden="1" customHeight="1">
      <c r="A4047" s="49" t="s">
        <v>206</v>
      </c>
      <c r="B4047" s="50">
        <v>44650.0</v>
      </c>
      <c r="C4047" s="49" t="s">
        <v>69</v>
      </c>
      <c r="D4047" s="49">
        <v>0.0</v>
      </c>
    </row>
    <row r="4048" ht="15.0" hidden="1" customHeight="1">
      <c r="A4048" s="49" t="s">
        <v>211</v>
      </c>
      <c r="B4048" s="50">
        <v>44650.0</v>
      </c>
      <c r="C4048" s="49" t="s">
        <v>69</v>
      </c>
      <c r="D4048" s="49">
        <v>150000.0</v>
      </c>
    </row>
    <row r="4049" ht="15.0" hidden="1" customHeight="1">
      <c r="A4049" s="49" t="s">
        <v>779</v>
      </c>
      <c r="B4049" s="50">
        <v>44650.0</v>
      </c>
      <c r="C4049" s="49" t="s">
        <v>69</v>
      </c>
      <c r="D4049" s="49">
        <v>0.0</v>
      </c>
    </row>
    <row r="4050" ht="15.0" hidden="1" customHeight="1">
      <c r="A4050" s="49" t="s">
        <v>221</v>
      </c>
      <c r="B4050" s="50">
        <v>44650.0</v>
      </c>
      <c r="C4050" s="49" t="s">
        <v>69</v>
      </c>
      <c r="D4050" s="49">
        <v>102000.0</v>
      </c>
    </row>
    <row r="4051" ht="15.0" hidden="1" customHeight="1">
      <c r="A4051" s="49" t="s">
        <v>226</v>
      </c>
      <c r="B4051" s="50">
        <v>44650.0</v>
      </c>
      <c r="C4051" s="49" t="s">
        <v>69</v>
      </c>
      <c r="D4051" s="49">
        <v>200000.0</v>
      </c>
    </row>
    <row r="4052" ht="15.0" hidden="1" customHeight="1">
      <c r="A4052" s="49" t="s">
        <v>231</v>
      </c>
      <c r="B4052" s="50">
        <v>44650.0</v>
      </c>
      <c r="C4052" s="49" t="s">
        <v>69</v>
      </c>
      <c r="D4052" s="49">
        <v>164000.0</v>
      </c>
    </row>
    <row r="4053" ht="15.0" hidden="1" customHeight="1">
      <c r="A4053" s="49" t="s">
        <v>236</v>
      </c>
      <c r="B4053" s="50">
        <v>44650.0</v>
      </c>
      <c r="C4053" s="49" t="s">
        <v>69</v>
      </c>
      <c r="D4053" s="49">
        <v>200000.0</v>
      </c>
    </row>
    <row r="4054" ht="15.0" hidden="1" customHeight="1">
      <c r="A4054" s="49" t="s">
        <v>242</v>
      </c>
      <c r="B4054" s="50">
        <v>44650.0</v>
      </c>
      <c r="C4054" s="49" t="s">
        <v>69</v>
      </c>
      <c r="D4054" s="49">
        <v>320000.0</v>
      </c>
    </row>
    <row r="4055" ht="15.0" hidden="1" customHeight="1">
      <c r="A4055" s="49" t="s">
        <v>248</v>
      </c>
      <c r="B4055" s="50">
        <v>44650.0</v>
      </c>
      <c r="C4055" s="49" t="s">
        <v>69</v>
      </c>
      <c r="D4055" s="49">
        <v>200000.0</v>
      </c>
    </row>
    <row r="4056" ht="15.0" hidden="1" customHeight="1">
      <c r="A4056" s="49" t="s">
        <v>253</v>
      </c>
      <c r="B4056" s="50">
        <v>44650.0</v>
      </c>
      <c r="C4056" s="49" t="s">
        <v>69</v>
      </c>
      <c r="D4056" s="49">
        <v>450000.0</v>
      </c>
    </row>
    <row r="4057" ht="15.0" hidden="1" customHeight="1">
      <c r="A4057" s="49" t="s">
        <v>258</v>
      </c>
      <c r="B4057" s="50">
        <v>44650.0</v>
      </c>
      <c r="C4057" s="49" t="s">
        <v>69</v>
      </c>
      <c r="D4057" s="49">
        <v>0.0</v>
      </c>
    </row>
    <row r="4058" ht="15.0" hidden="1" customHeight="1">
      <c r="A4058" s="49" t="s">
        <v>263</v>
      </c>
      <c r="B4058" s="50">
        <v>44650.0</v>
      </c>
      <c r="C4058" s="49" t="s">
        <v>69</v>
      </c>
      <c r="D4058" s="49">
        <v>1600000.0</v>
      </c>
    </row>
    <row r="4059" ht="15.0" hidden="1" customHeight="1">
      <c r="A4059" s="49" t="s">
        <v>268</v>
      </c>
      <c r="B4059" s="50">
        <v>44650.0</v>
      </c>
      <c r="C4059" s="49" t="s">
        <v>69</v>
      </c>
      <c r="D4059" s="49">
        <v>136000.0</v>
      </c>
    </row>
    <row r="4060" ht="15.0" hidden="1" customHeight="1">
      <c r="A4060" s="49" t="s">
        <v>273</v>
      </c>
      <c r="B4060" s="50">
        <v>44650.0</v>
      </c>
      <c r="C4060" s="49" t="s">
        <v>69</v>
      </c>
      <c r="D4060" s="49">
        <v>0.0</v>
      </c>
    </row>
    <row r="4061" ht="15.0" hidden="1" customHeight="1">
      <c r="A4061" s="49" t="s">
        <v>278</v>
      </c>
      <c r="B4061" s="50">
        <v>44650.0</v>
      </c>
      <c r="C4061" s="49" t="s">
        <v>69</v>
      </c>
      <c r="D4061" s="49">
        <v>0.0</v>
      </c>
    </row>
    <row r="4062" ht="15.0" hidden="1" customHeight="1">
      <c r="A4062" s="49" t="s">
        <v>283</v>
      </c>
      <c r="B4062" s="50">
        <v>44650.0</v>
      </c>
      <c r="C4062" s="49" t="s">
        <v>69</v>
      </c>
      <c r="D4062" s="49">
        <v>0.0</v>
      </c>
    </row>
    <row r="4063" ht="15.0" hidden="1" customHeight="1">
      <c r="A4063" s="49" t="s">
        <v>288</v>
      </c>
      <c r="B4063" s="50">
        <v>44650.0</v>
      </c>
      <c r="C4063" s="49" t="s">
        <v>69</v>
      </c>
      <c r="D4063" s="49">
        <v>0.0</v>
      </c>
    </row>
    <row r="4064" ht="15.0" hidden="1" customHeight="1">
      <c r="A4064" s="49" t="s">
        <v>293</v>
      </c>
      <c r="B4064" s="50">
        <v>44650.0</v>
      </c>
      <c r="C4064" s="49" t="s">
        <v>69</v>
      </c>
      <c r="D4064" s="49">
        <v>0.0</v>
      </c>
    </row>
    <row r="4065" ht="15.0" hidden="1" customHeight="1">
      <c r="A4065" s="49" t="s">
        <v>298</v>
      </c>
      <c r="B4065" s="50">
        <v>44650.0</v>
      </c>
      <c r="C4065" s="49" t="s">
        <v>69</v>
      </c>
      <c r="D4065" s="49">
        <v>0.0</v>
      </c>
    </row>
    <row r="4066" ht="15.0" hidden="1" customHeight="1">
      <c r="A4066" s="49" t="s">
        <v>303</v>
      </c>
      <c r="B4066" s="50">
        <v>44650.0</v>
      </c>
      <c r="C4066" s="49" t="s">
        <v>69</v>
      </c>
      <c r="D4066" s="49">
        <v>0.0</v>
      </c>
    </row>
    <row r="4067" ht="15.0" hidden="1" customHeight="1">
      <c r="A4067" s="49" t="s">
        <v>307</v>
      </c>
      <c r="B4067" s="50">
        <v>44650.0</v>
      </c>
      <c r="C4067" s="49" t="s">
        <v>69</v>
      </c>
      <c r="D4067" s="49">
        <v>0.0</v>
      </c>
    </row>
    <row r="4068" ht="15.0" hidden="1" customHeight="1">
      <c r="A4068" s="49" t="s">
        <v>313</v>
      </c>
      <c r="B4068" s="50">
        <v>44650.0</v>
      </c>
      <c r="C4068" s="49" t="s">
        <v>69</v>
      </c>
      <c r="D4068" s="49">
        <v>0.0</v>
      </c>
    </row>
    <row r="4069" ht="15.0" hidden="1" customHeight="1">
      <c r="A4069" s="49" t="s">
        <v>318</v>
      </c>
      <c r="B4069" s="50">
        <v>44650.0</v>
      </c>
      <c r="C4069" s="49" t="s">
        <v>69</v>
      </c>
      <c r="D4069" s="49">
        <v>0.0</v>
      </c>
    </row>
    <row r="4070" ht="15.0" hidden="1" customHeight="1">
      <c r="A4070" s="49" t="s">
        <v>323</v>
      </c>
      <c r="B4070" s="50">
        <v>44650.0</v>
      </c>
      <c r="C4070" s="49" t="s">
        <v>69</v>
      </c>
      <c r="D4070" s="49">
        <v>0.0</v>
      </c>
    </row>
    <row r="4071" ht="15.0" hidden="1" customHeight="1">
      <c r="A4071" s="49" t="s">
        <v>328</v>
      </c>
      <c r="B4071" s="50">
        <v>44650.0</v>
      </c>
      <c r="C4071" s="49" t="s">
        <v>69</v>
      </c>
      <c r="D4071" s="49">
        <v>0.0</v>
      </c>
    </row>
    <row r="4072" ht="15.0" hidden="1" customHeight="1">
      <c r="A4072" s="49" t="s">
        <v>335</v>
      </c>
      <c r="B4072" s="50">
        <v>44650.0</v>
      </c>
      <c r="C4072" s="49" t="s">
        <v>69</v>
      </c>
      <c r="D4072" s="49">
        <v>0.0</v>
      </c>
    </row>
    <row r="4073" ht="15.0" hidden="1" customHeight="1">
      <c r="A4073" s="49" t="s">
        <v>340</v>
      </c>
      <c r="B4073" s="50">
        <v>44650.0</v>
      </c>
      <c r="C4073" s="49" t="s">
        <v>69</v>
      </c>
      <c r="D4073" s="49">
        <v>0.0</v>
      </c>
    </row>
    <row r="4074" ht="15.0" hidden="1" customHeight="1">
      <c r="A4074" s="49" t="s">
        <v>345</v>
      </c>
      <c r="B4074" s="50">
        <v>44650.0</v>
      </c>
      <c r="C4074" s="49" t="s">
        <v>69</v>
      </c>
      <c r="D4074" s="49">
        <v>0.0</v>
      </c>
    </row>
    <row r="4075" ht="15.0" hidden="1" customHeight="1">
      <c r="A4075" s="49" t="s">
        <v>350</v>
      </c>
      <c r="B4075" s="50">
        <v>44650.0</v>
      </c>
      <c r="C4075" s="49" t="s">
        <v>69</v>
      </c>
      <c r="D4075" s="49">
        <v>0.0</v>
      </c>
    </row>
    <row r="4076" ht="15.0" hidden="1" customHeight="1">
      <c r="A4076" s="49" t="s">
        <v>355</v>
      </c>
      <c r="B4076" s="50">
        <v>44650.0</v>
      </c>
      <c r="C4076" s="49" t="s">
        <v>69</v>
      </c>
      <c r="D4076" s="49">
        <v>0.0</v>
      </c>
    </row>
    <row r="4077" ht="15.0" hidden="1" customHeight="1">
      <c r="A4077" s="49" t="s">
        <v>360</v>
      </c>
      <c r="B4077" s="50">
        <v>44650.0</v>
      </c>
      <c r="C4077" s="49" t="s">
        <v>69</v>
      </c>
      <c r="D4077" s="49">
        <v>0.0</v>
      </c>
    </row>
    <row r="4078" ht="15.0" hidden="1" customHeight="1">
      <c r="A4078" s="49" t="s">
        <v>365</v>
      </c>
      <c r="B4078" s="50">
        <v>44650.0</v>
      </c>
      <c r="C4078" s="49" t="s">
        <v>69</v>
      </c>
      <c r="D4078" s="49">
        <v>0.0</v>
      </c>
    </row>
    <row r="4079" ht="15.0" hidden="1" customHeight="1">
      <c r="A4079" s="49" t="s">
        <v>370</v>
      </c>
      <c r="B4079" s="50">
        <v>44650.0</v>
      </c>
      <c r="C4079" s="49" t="s">
        <v>69</v>
      </c>
      <c r="D4079" s="49">
        <v>0.0</v>
      </c>
    </row>
    <row r="4080" ht="15.0" hidden="1" customHeight="1">
      <c r="A4080" s="49" t="s">
        <v>375</v>
      </c>
      <c r="B4080" s="50">
        <v>44650.0</v>
      </c>
      <c r="C4080" s="49" t="s">
        <v>69</v>
      </c>
      <c r="D4080" s="49">
        <v>0.0</v>
      </c>
    </row>
    <row r="4081" ht="15.0" hidden="1" customHeight="1">
      <c r="A4081" s="49" t="s">
        <v>380</v>
      </c>
      <c r="B4081" s="50">
        <v>44650.0</v>
      </c>
      <c r="C4081" s="49" t="s">
        <v>69</v>
      </c>
      <c r="D4081" s="49">
        <v>0.0</v>
      </c>
    </row>
    <row r="4082" ht="15.0" hidden="1" customHeight="1">
      <c r="A4082" s="49" t="s">
        <v>385</v>
      </c>
      <c r="B4082" s="50">
        <v>44650.0</v>
      </c>
      <c r="C4082" s="49" t="s">
        <v>69</v>
      </c>
      <c r="D4082" s="49">
        <v>0.0</v>
      </c>
    </row>
    <row r="4083" ht="15.0" hidden="1" customHeight="1">
      <c r="A4083" s="49" t="s">
        <v>390</v>
      </c>
      <c r="B4083" s="50">
        <v>44650.0</v>
      </c>
      <c r="C4083" s="49" t="s">
        <v>69</v>
      </c>
      <c r="D4083" s="49">
        <v>0.0</v>
      </c>
    </row>
    <row r="4084" ht="15.0" hidden="1" customHeight="1">
      <c r="A4084" s="49" t="s">
        <v>395</v>
      </c>
      <c r="B4084" s="50">
        <v>44650.0</v>
      </c>
      <c r="C4084" s="49" t="s">
        <v>69</v>
      </c>
      <c r="D4084" s="49">
        <v>0.0</v>
      </c>
    </row>
    <row r="4085" ht="15.0" hidden="1" customHeight="1">
      <c r="A4085" s="49" t="s">
        <v>400</v>
      </c>
      <c r="B4085" s="50">
        <v>44650.0</v>
      </c>
      <c r="C4085" s="49" t="s">
        <v>69</v>
      </c>
      <c r="D4085" s="49">
        <v>0.0</v>
      </c>
    </row>
    <row r="4086" ht="15.0" hidden="1" customHeight="1">
      <c r="A4086" s="49" t="s">
        <v>405</v>
      </c>
      <c r="B4086" s="50">
        <v>44650.0</v>
      </c>
      <c r="C4086" s="49" t="s">
        <v>69</v>
      </c>
      <c r="D4086" s="49">
        <v>0.0</v>
      </c>
    </row>
    <row r="4087" ht="15.0" hidden="1" customHeight="1">
      <c r="A4087" s="49" t="s">
        <v>410</v>
      </c>
      <c r="B4087" s="50">
        <v>44650.0</v>
      </c>
      <c r="C4087" s="49" t="s">
        <v>69</v>
      </c>
      <c r="D4087" s="49">
        <v>0.0</v>
      </c>
    </row>
    <row r="4088" ht="15.0" hidden="1" customHeight="1">
      <c r="A4088" s="49" t="s">
        <v>415</v>
      </c>
      <c r="B4088" s="50">
        <v>44650.0</v>
      </c>
      <c r="C4088" s="49" t="s">
        <v>69</v>
      </c>
      <c r="D4088" s="49">
        <v>0.0</v>
      </c>
    </row>
    <row r="4089" ht="15.0" hidden="1" customHeight="1">
      <c r="A4089" s="49" t="s">
        <v>420</v>
      </c>
      <c r="B4089" s="50">
        <v>44650.0</v>
      </c>
      <c r="C4089" s="49" t="s">
        <v>69</v>
      </c>
      <c r="D4089" s="49">
        <v>0.0</v>
      </c>
    </row>
    <row r="4090" ht="15.0" hidden="1" customHeight="1">
      <c r="A4090" s="49" t="s">
        <v>425</v>
      </c>
      <c r="B4090" s="50">
        <v>44650.0</v>
      </c>
      <c r="C4090" s="49" t="s">
        <v>69</v>
      </c>
      <c r="D4090" s="49">
        <v>0.0</v>
      </c>
    </row>
    <row r="4091" ht="15.0" hidden="1" customHeight="1">
      <c r="A4091" s="49" t="s">
        <v>430</v>
      </c>
      <c r="B4091" s="50">
        <v>44650.0</v>
      </c>
      <c r="C4091" s="49" t="s">
        <v>69</v>
      </c>
      <c r="D4091" s="49">
        <v>0.0</v>
      </c>
    </row>
    <row r="4092" ht="15.0" hidden="1" customHeight="1">
      <c r="A4092" s="49" t="s">
        <v>434</v>
      </c>
      <c r="B4092" s="50">
        <v>44650.0</v>
      </c>
      <c r="C4092" s="49" t="s">
        <v>69</v>
      </c>
      <c r="D4092" s="49">
        <v>0.0</v>
      </c>
    </row>
    <row r="4093" ht="15.0" hidden="1" customHeight="1">
      <c r="A4093" s="49" t="s">
        <v>439</v>
      </c>
      <c r="B4093" s="50">
        <v>44650.0</v>
      </c>
      <c r="C4093" s="49" t="s">
        <v>69</v>
      </c>
      <c r="D4093" s="49">
        <v>0.0</v>
      </c>
    </row>
    <row r="4094" ht="15.0" hidden="1" customHeight="1">
      <c r="A4094" s="49" t="s">
        <v>444</v>
      </c>
      <c r="B4094" s="50">
        <v>44650.0</v>
      </c>
      <c r="C4094" s="49" t="s">
        <v>69</v>
      </c>
      <c r="D4094" s="49">
        <v>0.0</v>
      </c>
    </row>
    <row r="4095" ht="15.0" hidden="1" customHeight="1">
      <c r="A4095" s="49" t="s">
        <v>449</v>
      </c>
      <c r="B4095" s="50">
        <v>44650.0</v>
      </c>
      <c r="C4095" s="49" t="s">
        <v>69</v>
      </c>
      <c r="D4095" s="49">
        <v>0.0</v>
      </c>
    </row>
    <row r="4096" ht="15.0" hidden="1" customHeight="1">
      <c r="A4096" s="49" t="s">
        <v>455</v>
      </c>
      <c r="B4096" s="50">
        <v>44650.0</v>
      </c>
      <c r="C4096" s="49" t="s">
        <v>69</v>
      </c>
      <c r="D4096" s="49">
        <v>0.0</v>
      </c>
    </row>
    <row r="4097" ht="15.0" hidden="1" customHeight="1">
      <c r="A4097" s="49" t="s">
        <v>470</v>
      </c>
      <c r="B4097" s="50">
        <v>44650.0</v>
      </c>
      <c r="C4097" s="49" t="s">
        <v>69</v>
      </c>
      <c r="D4097" s="49">
        <v>0.0</v>
      </c>
    </row>
    <row r="4098" ht="15.0" hidden="1" customHeight="1">
      <c r="A4098" s="49" t="s">
        <v>476</v>
      </c>
      <c r="B4098" s="50">
        <v>44650.0</v>
      </c>
      <c r="C4098" s="49" t="s">
        <v>69</v>
      </c>
      <c r="D4098" s="49">
        <v>0.0</v>
      </c>
    </row>
    <row r="4099" ht="15.0" hidden="1" customHeight="1">
      <c r="A4099" s="49" t="s">
        <v>481</v>
      </c>
      <c r="B4099" s="50">
        <v>44650.0</v>
      </c>
      <c r="C4099" s="49" t="s">
        <v>69</v>
      </c>
      <c r="D4099" s="49">
        <v>0.0</v>
      </c>
    </row>
    <row r="4100" ht="15.0" hidden="1" customHeight="1">
      <c r="A4100" s="49" t="s">
        <v>486</v>
      </c>
      <c r="B4100" s="50">
        <v>44650.0</v>
      </c>
      <c r="C4100" s="49" t="s">
        <v>69</v>
      </c>
      <c r="D4100" s="49">
        <v>0.0</v>
      </c>
    </row>
    <row r="4101" ht="15.0" hidden="1" customHeight="1">
      <c r="A4101" s="49" t="s">
        <v>491</v>
      </c>
      <c r="B4101" s="50">
        <v>44650.0</v>
      </c>
      <c r="C4101" s="49" t="s">
        <v>69</v>
      </c>
      <c r="D4101" s="49">
        <v>0.0</v>
      </c>
    </row>
    <row r="4102" ht="15.0" hidden="1" customHeight="1">
      <c r="A4102" s="49" t="s">
        <v>496</v>
      </c>
      <c r="B4102" s="50">
        <v>44650.0</v>
      </c>
      <c r="C4102" s="49" t="s">
        <v>69</v>
      </c>
      <c r="D4102" s="49">
        <v>0.0</v>
      </c>
    </row>
    <row r="4103" ht="15.0" hidden="1" customHeight="1">
      <c r="A4103" s="49" t="s">
        <v>501</v>
      </c>
      <c r="B4103" s="50">
        <v>44650.0</v>
      </c>
      <c r="C4103" s="49" t="s">
        <v>69</v>
      </c>
      <c r="D4103" s="49">
        <v>0.0</v>
      </c>
    </row>
    <row r="4104" ht="15.0" hidden="1" customHeight="1">
      <c r="A4104" s="49" t="s">
        <v>506</v>
      </c>
      <c r="B4104" s="50">
        <v>44650.0</v>
      </c>
      <c r="C4104" s="49" t="s">
        <v>69</v>
      </c>
      <c r="D4104" s="49">
        <v>0.0</v>
      </c>
    </row>
    <row r="4105" ht="15.0" hidden="1" customHeight="1">
      <c r="A4105" s="49" t="s">
        <v>512</v>
      </c>
      <c r="B4105" s="50">
        <v>44650.0</v>
      </c>
      <c r="C4105" s="49" t="s">
        <v>69</v>
      </c>
      <c r="D4105" s="49">
        <v>0.0</v>
      </c>
    </row>
    <row r="4106" ht="15.0" hidden="1" customHeight="1">
      <c r="A4106" s="49" t="s">
        <v>517</v>
      </c>
      <c r="B4106" s="50">
        <v>44650.0</v>
      </c>
      <c r="C4106" s="49" t="s">
        <v>69</v>
      </c>
      <c r="D4106" s="49">
        <v>0.0</v>
      </c>
    </row>
    <row r="4107" ht="15.0" hidden="1" customHeight="1">
      <c r="A4107" s="49" t="s">
        <v>522</v>
      </c>
      <c r="B4107" s="50">
        <v>44650.0</v>
      </c>
      <c r="C4107" s="49" t="s">
        <v>69</v>
      </c>
      <c r="D4107" s="49">
        <v>0.0</v>
      </c>
    </row>
    <row r="4108" ht="15.0" hidden="1" customHeight="1">
      <c r="A4108" s="49" t="s">
        <v>528</v>
      </c>
      <c r="B4108" s="50">
        <v>44650.0</v>
      </c>
      <c r="C4108" s="49" t="s">
        <v>69</v>
      </c>
      <c r="D4108" s="49">
        <v>0.0</v>
      </c>
    </row>
    <row r="4109" ht="15.0" hidden="1" customHeight="1">
      <c r="A4109" s="49" t="s">
        <v>533</v>
      </c>
      <c r="B4109" s="50">
        <v>44650.0</v>
      </c>
      <c r="C4109" s="49" t="s">
        <v>69</v>
      </c>
      <c r="D4109" s="49">
        <v>0.0</v>
      </c>
    </row>
    <row r="4110" ht="15.0" hidden="1" customHeight="1">
      <c r="A4110" s="49" t="s">
        <v>538</v>
      </c>
      <c r="B4110" s="50">
        <v>44650.0</v>
      </c>
      <c r="C4110" s="49" t="s">
        <v>69</v>
      </c>
      <c r="D4110" s="49">
        <v>0.0</v>
      </c>
    </row>
    <row r="4111" ht="15.0" hidden="1" customHeight="1">
      <c r="A4111" s="49" t="s">
        <v>546</v>
      </c>
      <c r="B4111" s="50">
        <v>44650.0</v>
      </c>
      <c r="C4111" s="49" t="s">
        <v>69</v>
      </c>
      <c r="D4111" s="49">
        <v>0.0</v>
      </c>
    </row>
    <row r="4112" ht="15.0" hidden="1" customHeight="1">
      <c r="A4112" s="49" t="s">
        <v>551</v>
      </c>
      <c r="B4112" s="50">
        <v>44650.0</v>
      </c>
      <c r="C4112" s="49" t="s">
        <v>69</v>
      </c>
      <c r="D4112" s="49">
        <v>0.0</v>
      </c>
    </row>
    <row r="4113" ht="15.0" hidden="1" customHeight="1">
      <c r="A4113" s="49" t="s">
        <v>556</v>
      </c>
      <c r="B4113" s="50">
        <v>44650.0</v>
      </c>
      <c r="C4113" s="49" t="s">
        <v>69</v>
      </c>
      <c r="D4113" s="49">
        <v>0.0</v>
      </c>
    </row>
    <row r="4114" ht="15.0" hidden="1" customHeight="1">
      <c r="A4114" s="49" t="s">
        <v>561</v>
      </c>
      <c r="B4114" s="50">
        <v>44650.0</v>
      </c>
      <c r="C4114" s="49" t="s">
        <v>69</v>
      </c>
      <c r="D4114" s="49">
        <v>0.0</v>
      </c>
    </row>
    <row r="4115" ht="15.0" hidden="1" customHeight="1">
      <c r="A4115" s="49" t="s">
        <v>566</v>
      </c>
      <c r="B4115" s="50">
        <v>44650.0</v>
      </c>
      <c r="C4115" s="49" t="s">
        <v>69</v>
      </c>
      <c r="D4115" s="49">
        <v>0.0</v>
      </c>
    </row>
    <row r="4116" ht="15.0" hidden="1" customHeight="1">
      <c r="A4116" s="49" t="s">
        <v>571</v>
      </c>
      <c r="B4116" s="50">
        <v>44650.0</v>
      </c>
      <c r="C4116" s="49" t="s">
        <v>69</v>
      </c>
      <c r="D4116" s="49">
        <v>0.0</v>
      </c>
    </row>
    <row r="4117" ht="15.0" hidden="1" customHeight="1">
      <c r="A4117" s="49" t="s">
        <v>576</v>
      </c>
      <c r="B4117" s="50">
        <v>44650.0</v>
      </c>
      <c r="C4117" s="49" t="s">
        <v>69</v>
      </c>
      <c r="D4117" s="49">
        <v>0.0</v>
      </c>
    </row>
    <row r="4118" ht="15.0" hidden="1" customHeight="1">
      <c r="A4118" s="49" t="s">
        <v>581</v>
      </c>
      <c r="B4118" s="50">
        <v>44650.0</v>
      </c>
      <c r="C4118" s="49" t="s">
        <v>69</v>
      </c>
      <c r="D4118" s="49">
        <v>0.0</v>
      </c>
    </row>
    <row r="4119" ht="15.0" hidden="1" customHeight="1">
      <c r="A4119" s="49" t="s">
        <v>586</v>
      </c>
      <c r="B4119" s="50">
        <v>44650.0</v>
      </c>
      <c r="C4119" s="49" t="s">
        <v>69</v>
      </c>
      <c r="D4119" s="49">
        <v>0.0</v>
      </c>
    </row>
    <row r="4120" ht="15.0" hidden="1" customHeight="1">
      <c r="A4120" s="49" t="s">
        <v>754</v>
      </c>
      <c r="B4120" s="50">
        <v>44650.0</v>
      </c>
      <c r="C4120" s="49" t="s">
        <v>69</v>
      </c>
      <c r="D4120" s="49">
        <v>0.0</v>
      </c>
    </row>
    <row r="4121" ht="15.0" hidden="1" customHeight="1">
      <c r="A4121" s="49" t="s">
        <v>591</v>
      </c>
      <c r="B4121" s="50">
        <v>44650.0</v>
      </c>
      <c r="C4121" s="49" t="s">
        <v>69</v>
      </c>
      <c r="D4121" s="49">
        <v>0.0</v>
      </c>
    </row>
    <row r="4122" ht="15.0" hidden="1" customHeight="1">
      <c r="A4122" s="49" t="s">
        <v>759</v>
      </c>
      <c r="B4122" s="50">
        <v>44650.0</v>
      </c>
      <c r="C4122" s="49" t="s">
        <v>69</v>
      </c>
      <c r="D4122" s="49">
        <v>0.0</v>
      </c>
    </row>
    <row r="4123" ht="15.0" hidden="1" customHeight="1">
      <c r="A4123" s="49" t="s">
        <v>596</v>
      </c>
      <c r="B4123" s="50">
        <v>44650.0</v>
      </c>
      <c r="C4123" s="49" t="s">
        <v>69</v>
      </c>
      <c r="D4123" s="49">
        <v>0.0</v>
      </c>
    </row>
    <row r="4124" ht="15.0" hidden="1" customHeight="1">
      <c r="A4124" s="49" t="s">
        <v>602</v>
      </c>
      <c r="B4124" s="50">
        <v>44650.0</v>
      </c>
      <c r="C4124" s="49" t="s">
        <v>69</v>
      </c>
      <c r="D4124" s="49">
        <v>0.0</v>
      </c>
    </row>
    <row r="4125" ht="15.0" hidden="1" customHeight="1">
      <c r="A4125" s="49" t="s">
        <v>607</v>
      </c>
      <c r="B4125" s="50">
        <v>44650.0</v>
      </c>
      <c r="C4125" s="49" t="s">
        <v>69</v>
      </c>
      <c r="D4125" s="49">
        <v>0.0</v>
      </c>
    </row>
    <row r="4126" ht="15.0" hidden="1" customHeight="1">
      <c r="A4126" s="49" t="s">
        <v>612</v>
      </c>
      <c r="B4126" s="50">
        <v>44650.0</v>
      </c>
      <c r="C4126" s="49" t="s">
        <v>69</v>
      </c>
      <c r="D4126" s="49">
        <v>0.0</v>
      </c>
    </row>
    <row r="4127" ht="15.0" hidden="1" customHeight="1">
      <c r="A4127" s="49" t="s">
        <v>617</v>
      </c>
      <c r="B4127" s="50">
        <v>44650.0</v>
      </c>
      <c r="C4127" s="49" t="s">
        <v>69</v>
      </c>
      <c r="D4127" s="49">
        <v>0.0</v>
      </c>
    </row>
    <row r="4128" ht="15.0" hidden="1" customHeight="1">
      <c r="A4128" s="49" t="s">
        <v>622</v>
      </c>
      <c r="B4128" s="50">
        <v>44650.0</v>
      </c>
      <c r="C4128" s="49" t="s">
        <v>69</v>
      </c>
      <c r="D4128" s="49">
        <v>0.0</v>
      </c>
    </row>
    <row r="4129" ht="15.0" hidden="1" customHeight="1">
      <c r="A4129" s="49" t="s">
        <v>627</v>
      </c>
      <c r="B4129" s="50">
        <v>44650.0</v>
      </c>
      <c r="C4129" s="49" t="s">
        <v>69</v>
      </c>
      <c r="D4129" s="49">
        <v>0.0</v>
      </c>
    </row>
    <row r="4130" ht="15.0" hidden="1" customHeight="1">
      <c r="A4130" s="49" t="s">
        <v>631</v>
      </c>
      <c r="B4130" s="50">
        <v>44650.0</v>
      </c>
      <c r="C4130" s="49" t="s">
        <v>69</v>
      </c>
      <c r="D4130" s="49">
        <v>0.0</v>
      </c>
    </row>
    <row r="4131" ht="15.0" hidden="1" customHeight="1">
      <c r="A4131" s="49" t="s">
        <v>636</v>
      </c>
      <c r="B4131" s="50">
        <v>44650.0</v>
      </c>
      <c r="C4131" s="49" t="s">
        <v>69</v>
      </c>
      <c r="D4131" s="49">
        <v>0.0</v>
      </c>
    </row>
    <row r="4132" ht="15.0" hidden="1" customHeight="1">
      <c r="A4132" s="49" t="s">
        <v>640</v>
      </c>
      <c r="B4132" s="50">
        <v>44650.0</v>
      </c>
      <c r="C4132" s="49" t="s">
        <v>69</v>
      </c>
      <c r="D4132" s="49">
        <v>0.0</v>
      </c>
    </row>
    <row r="4133" ht="15.0" hidden="1" customHeight="1">
      <c r="A4133" s="49" t="s">
        <v>644</v>
      </c>
      <c r="B4133" s="50">
        <v>44650.0</v>
      </c>
      <c r="C4133" s="49" t="s">
        <v>69</v>
      </c>
      <c r="D4133" s="49">
        <v>0.0</v>
      </c>
    </row>
    <row r="4134" ht="15.0" hidden="1" customHeight="1">
      <c r="A4134" s="49" t="s">
        <v>649</v>
      </c>
      <c r="B4134" s="50">
        <v>44650.0</v>
      </c>
      <c r="C4134" s="49" t="s">
        <v>69</v>
      </c>
      <c r="D4134" s="49">
        <v>0.0</v>
      </c>
    </row>
    <row r="4135" ht="15.0" hidden="1" customHeight="1">
      <c r="A4135" s="49" t="s">
        <v>654</v>
      </c>
      <c r="B4135" s="50">
        <v>44650.0</v>
      </c>
      <c r="C4135" s="49" t="s">
        <v>69</v>
      </c>
      <c r="D4135" s="49">
        <v>0.0</v>
      </c>
    </row>
    <row r="4136" ht="15.0" hidden="1" customHeight="1">
      <c r="A4136" s="49" t="s">
        <v>659</v>
      </c>
      <c r="B4136" s="50">
        <v>44650.0</v>
      </c>
      <c r="C4136" s="49" t="s">
        <v>69</v>
      </c>
      <c r="D4136" s="49">
        <v>0.0</v>
      </c>
    </row>
    <row r="4137" ht="15.0" hidden="1" customHeight="1">
      <c r="A4137" s="49" t="s">
        <v>664</v>
      </c>
      <c r="B4137" s="50">
        <v>44650.0</v>
      </c>
      <c r="C4137" s="49" t="s">
        <v>69</v>
      </c>
      <c r="D4137" s="49">
        <v>0.0</v>
      </c>
    </row>
    <row r="4138" ht="15.0" hidden="1" customHeight="1">
      <c r="A4138" s="49" t="s">
        <v>669</v>
      </c>
      <c r="B4138" s="50">
        <v>44650.0</v>
      </c>
      <c r="C4138" s="49" t="s">
        <v>69</v>
      </c>
      <c r="D4138" s="49">
        <v>0.0</v>
      </c>
    </row>
    <row r="4139" ht="15.0" hidden="1" customHeight="1">
      <c r="A4139" s="49" t="s">
        <v>674</v>
      </c>
      <c r="B4139" s="50">
        <v>44650.0</v>
      </c>
      <c r="C4139" s="49" t="s">
        <v>69</v>
      </c>
      <c r="D4139" s="49">
        <v>0.0</v>
      </c>
    </row>
    <row r="4140" ht="15.0" hidden="1" customHeight="1">
      <c r="A4140" s="49" t="s">
        <v>679</v>
      </c>
      <c r="B4140" s="50">
        <v>44650.0</v>
      </c>
      <c r="C4140" s="49" t="s">
        <v>69</v>
      </c>
      <c r="D4140" s="49">
        <v>0.0</v>
      </c>
    </row>
    <row r="4141" ht="15.0" hidden="1" customHeight="1">
      <c r="A4141" s="49" t="s">
        <v>684</v>
      </c>
      <c r="B4141" s="50">
        <v>44650.0</v>
      </c>
      <c r="C4141" s="49" t="s">
        <v>69</v>
      </c>
      <c r="D4141" s="49">
        <v>0.0</v>
      </c>
    </row>
    <row r="4142" ht="15.0" hidden="1" customHeight="1">
      <c r="A4142" s="49" t="s">
        <v>689</v>
      </c>
      <c r="B4142" s="50">
        <v>44650.0</v>
      </c>
      <c r="C4142" s="49" t="s">
        <v>69</v>
      </c>
      <c r="D4142" s="49">
        <v>0.0</v>
      </c>
    </row>
    <row r="4143" ht="15.0" hidden="1" customHeight="1">
      <c r="A4143" s="49" t="s">
        <v>694</v>
      </c>
      <c r="B4143" s="50">
        <v>44650.0</v>
      </c>
      <c r="C4143" s="49" t="s">
        <v>69</v>
      </c>
      <c r="D4143" s="49">
        <v>0.0</v>
      </c>
    </row>
    <row r="4144" ht="15.0" hidden="1" customHeight="1">
      <c r="A4144" s="49" t="s">
        <v>699</v>
      </c>
      <c r="B4144" s="50">
        <v>44650.0</v>
      </c>
      <c r="C4144" s="49" t="s">
        <v>69</v>
      </c>
      <c r="D4144" s="49">
        <v>0.0</v>
      </c>
    </row>
    <row r="4145" ht="15.0" hidden="1" customHeight="1">
      <c r="A4145" s="49" t="s">
        <v>705</v>
      </c>
      <c r="B4145" s="50">
        <v>44650.0</v>
      </c>
      <c r="C4145" s="49" t="s">
        <v>69</v>
      </c>
      <c r="D4145" s="49">
        <v>0.0</v>
      </c>
    </row>
    <row r="4146" ht="15.0" hidden="1" customHeight="1">
      <c r="A4146" s="49" t="s">
        <v>710</v>
      </c>
      <c r="B4146" s="50">
        <v>44650.0</v>
      </c>
      <c r="C4146" s="49" t="s">
        <v>69</v>
      </c>
      <c r="D4146" s="49">
        <v>0.0</v>
      </c>
    </row>
    <row r="4147" ht="15.0" hidden="1" customHeight="1">
      <c r="A4147" s="49" t="s">
        <v>715</v>
      </c>
      <c r="B4147" s="50">
        <v>44650.0</v>
      </c>
      <c r="C4147" s="49" t="s">
        <v>69</v>
      </c>
      <c r="D4147" s="49">
        <v>0.0</v>
      </c>
    </row>
    <row r="4148" ht="15.0" hidden="1" customHeight="1">
      <c r="A4148" s="49" t="s">
        <v>765</v>
      </c>
      <c r="B4148" s="50">
        <v>44650.0</v>
      </c>
      <c r="C4148" s="49" t="s">
        <v>69</v>
      </c>
      <c r="D4148" s="49">
        <v>0.0</v>
      </c>
    </row>
    <row r="4149" ht="15.0" hidden="1" customHeight="1">
      <c r="A4149" s="49" t="s">
        <v>720</v>
      </c>
      <c r="B4149" s="50">
        <v>44650.0</v>
      </c>
      <c r="C4149" s="49" t="s">
        <v>69</v>
      </c>
      <c r="D4149" s="49">
        <v>0.0</v>
      </c>
    </row>
    <row r="4150" ht="15.0" hidden="1" customHeight="1">
      <c r="A4150" s="49" t="s">
        <v>725</v>
      </c>
      <c r="B4150" s="50">
        <v>44650.0</v>
      </c>
      <c r="C4150" s="49" t="s">
        <v>69</v>
      </c>
      <c r="D4150" s="49">
        <v>0.0</v>
      </c>
    </row>
    <row r="4151" ht="15.0" hidden="1" customHeight="1">
      <c r="A4151" s="49" t="s">
        <v>730</v>
      </c>
      <c r="B4151" s="50">
        <v>44650.0</v>
      </c>
      <c r="C4151" s="49" t="s">
        <v>69</v>
      </c>
      <c r="D4151" s="49">
        <v>0.0</v>
      </c>
    </row>
    <row r="4152" ht="15.0" hidden="1" customHeight="1">
      <c r="A4152" s="49" t="s">
        <v>734</v>
      </c>
      <c r="B4152" s="50">
        <v>44650.0</v>
      </c>
      <c r="C4152" s="49" t="s">
        <v>69</v>
      </c>
      <c r="D4152" s="49">
        <v>0.0</v>
      </c>
    </row>
    <row r="4153" ht="15.0" hidden="1" customHeight="1">
      <c r="A4153" s="49" t="s">
        <v>739</v>
      </c>
      <c r="B4153" s="50">
        <v>44650.0</v>
      </c>
      <c r="C4153" s="49" t="s">
        <v>69</v>
      </c>
      <c r="D4153" s="49">
        <v>0.0</v>
      </c>
    </row>
    <row r="4154" ht="15.0" hidden="1" customHeight="1">
      <c r="A4154" s="49" t="s">
        <v>744</v>
      </c>
      <c r="B4154" s="50">
        <v>44650.0</v>
      </c>
      <c r="C4154" s="49" t="s">
        <v>69</v>
      </c>
      <c r="D4154" s="49">
        <v>0.0</v>
      </c>
    </row>
    <row r="4155" ht="15.0" hidden="1" customHeight="1">
      <c r="A4155" s="49" t="s">
        <v>749</v>
      </c>
      <c r="B4155" s="50">
        <v>44650.0</v>
      </c>
      <c r="C4155" s="49" t="s">
        <v>69</v>
      </c>
      <c r="D4155" s="49">
        <v>0.0</v>
      </c>
    </row>
    <row r="4156" ht="15.0" customHeight="1">
      <c r="A4156" s="49" t="s">
        <v>776</v>
      </c>
      <c r="B4156" s="50">
        <v>44650.0</v>
      </c>
      <c r="C4156" s="49" t="s">
        <v>780</v>
      </c>
      <c r="D4156" s="49">
        <v>0.0</v>
      </c>
    </row>
    <row r="4157" ht="15.0" hidden="1" customHeight="1">
      <c r="A4157" s="49" t="s">
        <v>778</v>
      </c>
      <c r="B4157" s="50">
        <v>44650.0</v>
      </c>
      <c r="C4157" s="49" t="s">
        <v>780</v>
      </c>
      <c r="D4157" s="49">
        <v>0.0</v>
      </c>
    </row>
    <row r="4158" ht="15.0" hidden="1" customHeight="1">
      <c r="A4158" s="49" t="s">
        <v>92</v>
      </c>
      <c r="B4158" s="50">
        <v>44650.0</v>
      </c>
      <c r="C4158" s="49" t="s">
        <v>780</v>
      </c>
      <c r="D4158" s="49">
        <v>0.0</v>
      </c>
    </row>
    <row r="4159" ht="15.0" hidden="1" customHeight="1">
      <c r="A4159" s="49" t="s">
        <v>97</v>
      </c>
      <c r="B4159" s="50">
        <v>44650.0</v>
      </c>
      <c r="C4159" s="49" t="s">
        <v>780</v>
      </c>
      <c r="D4159" s="49">
        <v>0.0</v>
      </c>
    </row>
    <row r="4160" ht="15.0" hidden="1" customHeight="1">
      <c r="A4160" s="49" t="s">
        <v>102</v>
      </c>
      <c r="B4160" s="50">
        <v>44650.0</v>
      </c>
      <c r="C4160" s="49" t="s">
        <v>780</v>
      </c>
      <c r="D4160" s="49">
        <v>0.0</v>
      </c>
    </row>
    <row r="4161" ht="15.0" hidden="1" customHeight="1">
      <c r="A4161" s="49" t="s">
        <v>106</v>
      </c>
      <c r="B4161" s="50">
        <v>44650.0</v>
      </c>
      <c r="C4161" s="49" t="s">
        <v>780</v>
      </c>
      <c r="D4161" s="49">
        <v>-200000.0</v>
      </c>
    </row>
    <row r="4162" ht="15.0" hidden="1" customHeight="1">
      <c r="A4162" s="49" t="s">
        <v>111</v>
      </c>
      <c r="B4162" s="50">
        <v>44650.0</v>
      </c>
      <c r="C4162" s="49" t="s">
        <v>780</v>
      </c>
      <c r="D4162" s="49">
        <v>0.0</v>
      </c>
    </row>
    <row r="4163" ht="15.0" hidden="1" customHeight="1">
      <c r="A4163" s="49" t="s">
        <v>116</v>
      </c>
      <c r="B4163" s="50">
        <v>44650.0</v>
      </c>
      <c r="C4163" s="49" t="s">
        <v>780</v>
      </c>
      <c r="D4163" s="49">
        <v>0.0</v>
      </c>
    </row>
    <row r="4164" ht="15.0" hidden="1" customHeight="1">
      <c r="A4164" s="49" t="s">
        <v>120</v>
      </c>
      <c r="B4164" s="50">
        <v>44650.0</v>
      </c>
      <c r="C4164" s="49" t="s">
        <v>780</v>
      </c>
      <c r="D4164" s="49">
        <v>-1065166.67</v>
      </c>
    </row>
    <row r="4165" ht="15.0" hidden="1" customHeight="1">
      <c r="A4165" s="49" t="s">
        <v>125</v>
      </c>
      <c r="B4165" s="50">
        <v>44650.0</v>
      </c>
      <c r="C4165" s="49" t="s">
        <v>780</v>
      </c>
      <c r="D4165" s="49">
        <v>-175780.0</v>
      </c>
    </row>
    <row r="4166" ht="15.0" hidden="1" customHeight="1">
      <c r="A4166" s="49" t="s">
        <v>130</v>
      </c>
      <c r="B4166" s="50">
        <v>44650.0</v>
      </c>
      <c r="C4166" s="49" t="s">
        <v>780</v>
      </c>
      <c r="D4166" s="49">
        <v>-180919.25</v>
      </c>
    </row>
    <row r="4167" ht="15.0" hidden="1" customHeight="1">
      <c r="A4167" s="49" t="s">
        <v>137</v>
      </c>
      <c r="B4167" s="50">
        <v>44650.0</v>
      </c>
      <c r="C4167" s="49" t="s">
        <v>780</v>
      </c>
      <c r="D4167" s="49">
        <v>0.0</v>
      </c>
    </row>
    <row r="4168" ht="15.0" hidden="1" customHeight="1">
      <c r="A4168" s="49" t="s">
        <v>142</v>
      </c>
      <c r="B4168" s="50">
        <v>44650.0</v>
      </c>
      <c r="C4168" s="49" t="s">
        <v>780</v>
      </c>
      <c r="D4168" s="49">
        <v>0.0</v>
      </c>
    </row>
    <row r="4169" ht="15.0" hidden="1" customHeight="1">
      <c r="A4169" s="49" t="s">
        <v>147</v>
      </c>
      <c r="B4169" s="50">
        <v>44650.0</v>
      </c>
      <c r="C4169" s="49" t="s">
        <v>780</v>
      </c>
      <c r="D4169" s="49">
        <v>-128000.0</v>
      </c>
    </row>
    <row r="4170" ht="15.0" hidden="1" customHeight="1">
      <c r="A4170" s="49" t="s">
        <v>152</v>
      </c>
      <c r="B4170" s="50">
        <v>44650.0</v>
      </c>
      <c r="C4170" s="49" t="s">
        <v>780</v>
      </c>
      <c r="D4170" s="49">
        <v>0.0</v>
      </c>
    </row>
    <row r="4171" ht="15.0" hidden="1" customHeight="1">
      <c r="A4171" s="49" t="s">
        <v>157</v>
      </c>
      <c r="B4171" s="50">
        <v>44650.0</v>
      </c>
      <c r="C4171" s="49" t="s">
        <v>780</v>
      </c>
      <c r="D4171" s="49">
        <v>-50000.0</v>
      </c>
    </row>
    <row r="4172" ht="15.0" hidden="1" customHeight="1">
      <c r="A4172" s="49" t="s">
        <v>162</v>
      </c>
      <c r="B4172" s="50">
        <v>44650.0</v>
      </c>
      <c r="C4172" s="49" t="s">
        <v>780</v>
      </c>
      <c r="D4172" s="49">
        <v>-713250.0</v>
      </c>
    </row>
    <row r="4173" ht="15.0" hidden="1" customHeight="1">
      <c r="A4173" s="49" t="s">
        <v>167</v>
      </c>
      <c r="B4173" s="50">
        <v>44650.0</v>
      </c>
      <c r="C4173" s="49" t="s">
        <v>780</v>
      </c>
      <c r="D4173" s="49">
        <v>0.0</v>
      </c>
    </row>
    <row r="4174" ht="15.0" hidden="1" customHeight="1">
      <c r="A4174" s="49" t="s">
        <v>172</v>
      </c>
      <c r="B4174" s="50">
        <v>44650.0</v>
      </c>
      <c r="C4174" s="49" t="s">
        <v>780</v>
      </c>
      <c r="D4174" s="49">
        <v>0.0</v>
      </c>
    </row>
    <row r="4175" ht="15.0" hidden="1" customHeight="1">
      <c r="A4175" s="49" t="s">
        <v>177</v>
      </c>
      <c r="B4175" s="50">
        <v>44650.0</v>
      </c>
      <c r="C4175" s="49" t="s">
        <v>780</v>
      </c>
      <c r="D4175" s="49">
        <v>-600000.0</v>
      </c>
    </row>
    <row r="4176" ht="15.0" hidden="1" customHeight="1">
      <c r="A4176" s="49" t="s">
        <v>182</v>
      </c>
      <c r="B4176" s="50">
        <v>44650.0</v>
      </c>
      <c r="C4176" s="49" t="s">
        <v>780</v>
      </c>
      <c r="D4176" s="49">
        <v>-33333.33</v>
      </c>
    </row>
    <row r="4177" ht="15.0" hidden="1" customHeight="1">
      <c r="A4177" s="49" t="s">
        <v>187</v>
      </c>
      <c r="B4177" s="50">
        <v>44650.0</v>
      </c>
      <c r="C4177" s="49" t="s">
        <v>780</v>
      </c>
      <c r="D4177" s="49">
        <v>0.0</v>
      </c>
    </row>
    <row r="4178" ht="15.0" hidden="1" customHeight="1">
      <c r="A4178" s="49" t="s">
        <v>192</v>
      </c>
      <c r="B4178" s="50">
        <v>44650.0</v>
      </c>
      <c r="C4178" s="49" t="s">
        <v>780</v>
      </c>
      <c r="D4178" s="49">
        <v>0.0</v>
      </c>
    </row>
    <row r="4179" ht="15.0" hidden="1" customHeight="1">
      <c r="A4179" s="49" t="s">
        <v>197</v>
      </c>
      <c r="B4179" s="50">
        <v>44650.0</v>
      </c>
      <c r="C4179" s="49" t="s">
        <v>780</v>
      </c>
      <c r="D4179" s="49">
        <v>-330924.61</v>
      </c>
    </row>
    <row r="4180" ht="15.0" hidden="1" customHeight="1">
      <c r="A4180" s="49" t="s">
        <v>202</v>
      </c>
      <c r="B4180" s="50">
        <v>44650.0</v>
      </c>
      <c r="C4180" s="49" t="s">
        <v>780</v>
      </c>
      <c r="D4180" s="49">
        <v>-518001.31</v>
      </c>
    </row>
    <row r="4181" ht="15.0" hidden="1" customHeight="1">
      <c r="A4181" s="49" t="s">
        <v>206</v>
      </c>
      <c r="B4181" s="50">
        <v>44650.0</v>
      </c>
      <c r="C4181" s="49" t="s">
        <v>780</v>
      </c>
      <c r="D4181" s="49">
        <v>0.0</v>
      </c>
    </row>
    <row r="4182" ht="15.0" hidden="1" customHeight="1">
      <c r="A4182" s="49" t="s">
        <v>211</v>
      </c>
      <c r="B4182" s="50">
        <v>44650.0</v>
      </c>
      <c r="C4182" s="49" t="s">
        <v>780</v>
      </c>
      <c r="D4182" s="49">
        <v>-150000.0</v>
      </c>
    </row>
    <row r="4183" ht="15.0" hidden="1" customHeight="1">
      <c r="A4183" s="49" t="s">
        <v>779</v>
      </c>
      <c r="B4183" s="50">
        <v>44650.0</v>
      </c>
      <c r="C4183" s="49" t="s">
        <v>780</v>
      </c>
      <c r="D4183" s="49">
        <v>0.0</v>
      </c>
    </row>
    <row r="4184" ht="15.0" hidden="1" customHeight="1">
      <c r="A4184" s="49" t="s">
        <v>221</v>
      </c>
      <c r="B4184" s="50">
        <v>44650.0</v>
      </c>
      <c r="C4184" s="49" t="s">
        <v>780</v>
      </c>
      <c r="D4184" s="49">
        <v>-102000.0</v>
      </c>
    </row>
    <row r="4185" ht="15.0" hidden="1" customHeight="1">
      <c r="A4185" s="49" t="s">
        <v>226</v>
      </c>
      <c r="B4185" s="50">
        <v>44650.0</v>
      </c>
      <c r="C4185" s="49" t="s">
        <v>780</v>
      </c>
      <c r="D4185" s="49">
        <v>-200000.0</v>
      </c>
    </row>
    <row r="4186" ht="15.0" hidden="1" customHeight="1">
      <c r="A4186" s="49" t="s">
        <v>231</v>
      </c>
      <c r="B4186" s="50">
        <v>44650.0</v>
      </c>
      <c r="C4186" s="49" t="s">
        <v>780</v>
      </c>
      <c r="D4186" s="49">
        <v>-164000.0</v>
      </c>
    </row>
    <row r="4187" ht="15.0" hidden="1" customHeight="1">
      <c r="A4187" s="49" t="s">
        <v>236</v>
      </c>
      <c r="B4187" s="50">
        <v>44650.0</v>
      </c>
      <c r="C4187" s="49" t="s">
        <v>780</v>
      </c>
      <c r="D4187" s="49">
        <v>-200000.0</v>
      </c>
    </row>
    <row r="4188" ht="15.0" hidden="1" customHeight="1">
      <c r="A4188" s="49" t="s">
        <v>242</v>
      </c>
      <c r="B4188" s="50">
        <v>44650.0</v>
      </c>
      <c r="C4188" s="49" t="s">
        <v>780</v>
      </c>
      <c r="D4188" s="49">
        <v>-320000.0</v>
      </c>
    </row>
    <row r="4189" ht="15.0" hidden="1" customHeight="1">
      <c r="A4189" s="49" t="s">
        <v>248</v>
      </c>
      <c r="B4189" s="50">
        <v>44650.0</v>
      </c>
      <c r="C4189" s="49" t="s">
        <v>780</v>
      </c>
      <c r="D4189" s="49">
        <v>-200000.0</v>
      </c>
    </row>
    <row r="4190" ht="15.0" hidden="1" customHeight="1">
      <c r="A4190" s="49" t="s">
        <v>253</v>
      </c>
      <c r="B4190" s="50">
        <v>44650.0</v>
      </c>
      <c r="C4190" s="49" t="s">
        <v>780</v>
      </c>
      <c r="D4190" s="49">
        <v>-450000.0</v>
      </c>
    </row>
    <row r="4191" ht="15.0" hidden="1" customHeight="1">
      <c r="A4191" s="49" t="s">
        <v>258</v>
      </c>
      <c r="B4191" s="50">
        <v>44650.0</v>
      </c>
      <c r="C4191" s="49" t="s">
        <v>780</v>
      </c>
      <c r="D4191" s="49">
        <v>0.0</v>
      </c>
    </row>
    <row r="4192" ht="15.0" hidden="1" customHeight="1">
      <c r="A4192" s="49" t="s">
        <v>263</v>
      </c>
      <c r="B4192" s="50">
        <v>44650.0</v>
      </c>
      <c r="C4192" s="49" t="s">
        <v>780</v>
      </c>
      <c r="D4192" s="49">
        <v>-1600000.0</v>
      </c>
    </row>
    <row r="4193" ht="15.0" hidden="1" customHeight="1">
      <c r="A4193" s="49" t="s">
        <v>268</v>
      </c>
      <c r="B4193" s="50">
        <v>44650.0</v>
      </c>
      <c r="C4193" s="49" t="s">
        <v>780</v>
      </c>
      <c r="D4193" s="49">
        <v>697000.0</v>
      </c>
    </row>
    <row r="4194" ht="15.0" hidden="1" customHeight="1">
      <c r="A4194" s="49" t="s">
        <v>273</v>
      </c>
      <c r="B4194" s="50">
        <v>44650.0</v>
      </c>
      <c r="C4194" s="49" t="s">
        <v>780</v>
      </c>
      <c r="D4194" s="49">
        <v>0.0</v>
      </c>
    </row>
    <row r="4195" ht="15.0" hidden="1" customHeight="1">
      <c r="A4195" s="49" t="s">
        <v>278</v>
      </c>
      <c r="B4195" s="50">
        <v>44650.0</v>
      </c>
      <c r="C4195" s="49" t="s">
        <v>780</v>
      </c>
      <c r="D4195" s="49">
        <v>0.0</v>
      </c>
    </row>
    <row r="4196" ht="15.0" hidden="1" customHeight="1">
      <c r="A4196" s="49" t="s">
        <v>283</v>
      </c>
      <c r="B4196" s="50">
        <v>44650.0</v>
      </c>
      <c r="C4196" s="49" t="s">
        <v>780</v>
      </c>
      <c r="D4196" s="49">
        <v>0.0</v>
      </c>
    </row>
    <row r="4197" ht="15.0" hidden="1" customHeight="1">
      <c r="A4197" s="49" t="s">
        <v>288</v>
      </c>
      <c r="B4197" s="50">
        <v>44650.0</v>
      </c>
      <c r="C4197" s="49" t="s">
        <v>780</v>
      </c>
      <c r="D4197" s="49">
        <v>0.0</v>
      </c>
    </row>
    <row r="4198" ht="15.0" hidden="1" customHeight="1">
      <c r="A4198" s="49" t="s">
        <v>293</v>
      </c>
      <c r="B4198" s="50">
        <v>44650.0</v>
      </c>
      <c r="C4198" s="49" t="s">
        <v>780</v>
      </c>
      <c r="D4198" s="49">
        <v>0.0</v>
      </c>
    </row>
    <row r="4199" ht="15.0" hidden="1" customHeight="1">
      <c r="A4199" s="49" t="s">
        <v>298</v>
      </c>
      <c r="B4199" s="50">
        <v>44650.0</v>
      </c>
      <c r="C4199" s="49" t="s">
        <v>780</v>
      </c>
      <c r="D4199" s="49">
        <v>0.0</v>
      </c>
    </row>
    <row r="4200" ht="15.0" hidden="1" customHeight="1">
      <c r="A4200" s="49" t="s">
        <v>303</v>
      </c>
      <c r="B4200" s="50">
        <v>44650.0</v>
      </c>
      <c r="C4200" s="49" t="s">
        <v>780</v>
      </c>
      <c r="D4200" s="49">
        <v>0.0</v>
      </c>
    </row>
    <row r="4201" ht="15.0" hidden="1" customHeight="1">
      <c r="A4201" s="49" t="s">
        <v>307</v>
      </c>
      <c r="B4201" s="50">
        <v>44650.0</v>
      </c>
      <c r="C4201" s="49" t="s">
        <v>780</v>
      </c>
      <c r="D4201" s="49">
        <v>0.0</v>
      </c>
    </row>
    <row r="4202" ht="15.0" hidden="1" customHeight="1">
      <c r="A4202" s="49" t="s">
        <v>313</v>
      </c>
      <c r="B4202" s="50">
        <v>44650.0</v>
      </c>
      <c r="C4202" s="49" t="s">
        <v>780</v>
      </c>
      <c r="D4202" s="49">
        <v>0.0</v>
      </c>
    </row>
    <row r="4203" ht="15.0" hidden="1" customHeight="1">
      <c r="A4203" s="49" t="s">
        <v>318</v>
      </c>
      <c r="B4203" s="50">
        <v>44650.0</v>
      </c>
      <c r="C4203" s="49" t="s">
        <v>780</v>
      </c>
      <c r="D4203" s="49">
        <v>0.0</v>
      </c>
    </row>
    <row r="4204" ht="15.0" hidden="1" customHeight="1">
      <c r="A4204" s="49" t="s">
        <v>323</v>
      </c>
      <c r="B4204" s="50">
        <v>44650.0</v>
      </c>
      <c r="C4204" s="49" t="s">
        <v>780</v>
      </c>
      <c r="D4204" s="49">
        <v>0.0</v>
      </c>
    </row>
    <row r="4205" ht="15.0" hidden="1" customHeight="1">
      <c r="A4205" s="49" t="s">
        <v>328</v>
      </c>
      <c r="B4205" s="50">
        <v>44650.0</v>
      </c>
      <c r="C4205" s="49" t="s">
        <v>780</v>
      </c>
      <c r="D4205" s="49">
        <v>0.0</v>
      </c>
    </row>
    <row r="4206" ht="15.0" hidden="1" customHeight="1">
      <c r="A4206" s="49" t="s">
        <v>335</v>
      </c>
      <c r="B4206" s="50">
        <v>44650.0</v>
      </c>
      <c r="C4206" s="49" t="s">
        <v>780</v>
      </c>
      <c r="D4206" s="49">
        <v>0.0</v>
      </c>
    </row>
    <row r="4207" ht="15.0" hidden="1" customHeight="1">
      <c r="A4207" s="49" t="s">
        <v>340</v>
      </c>
      <c r="B4207" s="50">
        <v>44650.0</v>
      </c>
      <c r="C4207" s="49" t="s">
        <v>780</v>
      </c>
      <c r="D4207" s="49">
        <v>0.0</v>
      </c>
    </row>
    <row r="4208" ht="15.0" hidden="1" customHeight="1">
      <c r="A4208" s="49" t="s">
        <v>345</v>
      </c>
      <c r="B4208" s="50">
        <v>44650.0</v>
      </c>
      <c r="C4208" s="49" t="s">
        <v>780</v>
      </c>
      <c r="D4208" s="49">
        <v>0.0</v>
      </c>
    </row>
    <row r="4209" ht="15.0" hidden="1" customHeight="1">
      <c r="A4209" s="49" t="s">
        <v>350</v>
      </c>
      <c r="B4209" s="50">
        <v>44650.0</v>
      </c>
      <c r="C4209" s="49" t="s">
        <v>780</v>
      </c>
      <c r="D4209" s="49">
        <v>0.0</v>
      </c>
    </row>
    <row r="4210" ht="15.0" hidden="1" customHeight="1">
      <c r="A4210" s="49" t="s">
        <v>355</v>
      </c>
      <c r="B4210" s="50">
        <v>44650.0</v>
      </c>
      <c r="C4210" s="49" t="s">
        <v>780</v>
      </c>
      <c r="D4210" s="49">
        <v>0.0</v>
      </c>
    </row>
    <row r="4211" ht="15.0" hidden="1" customHeight="1">
      <c r="A4211" s="49" t="s">
        <v>360</v>
      </c>
      <c r="B4211" s="50">
        <v>44650.0</v>
      </c>
      <c r="C4211" s="49" t="s">
        <v>780</v>
      </c>
      <c r="D4211" s="49">
        <v>0.0</v>
      </c>
    </row>
    <row r="4212" ht="15.0" hidden="1" customHeight="1">
      <c r="A4212" s="49" t="s">
        <v>365</v>
      </c>
      <c r="B4212" s="50">
        <v>44650.0</v>
      </c>
      <c r="C4212" s="49" t="s">
        <v>780</v>
      </c>
      <c r="D4212" s="49">
        <v>0.0</v>
      </c>
    </row>
    <row r="4213" ht="15.0" hidden="1" customHeight="1">
      <c r="A4213" s="49" t="s">
        <v>370</v>
      </c>
      <c r="B4213" s="50">
        <v>44650.0</v>
      </c>
      <c r="C4213" s="49" t="s">
        <v>780</v>
      </c>
      <c r="D4213" s="49">
        <v>0.0</v>
      </c>
    </row>
    <row r="4214" ht="15.0" hidden="1" customHeight="1">
      <c r="A4214" s="49" t="s">
        <v>375</v>
      </c>
      <c r="B4214" s="50">
        <v>44650.0</v>
      </c>
      <c r="C4214" s="49" t="s">
        <v>780</v>
      </c>
      <c r="D4214" s="49">
        <v>0.0</v>
      </c>
    </row>
    <row r="4215" ht="15.0" hidden="1" customHeight="1">
      <c r="A4215" s="49" t="s">
        <v>380</v>
      </c>
      <c r="B4215" s="50">
        <v>44650.0</v>
      </c>
      <c r="C4215" s="49" t="s">
        <v>780</v>
      </c>
      <c r="D4215" s="49">
        <v>0.0</v>
      </c>
    </row>
    <row r="4216" ht="15.0" hidden="1" customHeight="1">
      <c r="A4216" s="49" t="s">
        <v>385</v>
      </c>
      <c r="B4216" s="50">
        <v>44650.0</v>
      </c>
      <c r="C4216" s="49" t="s">
        <v>780</v>
      </c>
      <c r="D4216" s="49">
        <v>0.0</v>
      </c>
    </row>
    <row r="4217" ht="15.0" hidden="1" customHeight="1">
      <c r="A4217" s="49" t="s">
        <v>390</v>
      </c>
      <c r="B4217" s="50">
        <v>44650.0</v>
      </c>
      <c r="C4217" s="49" t="s">
        <v>780</v>
      </c>
      <c r="D4217" s="49">
        <v>0.0</v>
      </c>
    </row>
    <row r="4218" ht="15.0" hidden="1" customHeight="1">
      <c r="A4218" s="49" t="s">
        <v>395</v>
      </c>
      <c r="B4218" s="50">
        <v>44650.0</v>
      </c>
      <c r="C4218" s="49" t="s">
        <v>780</v>
      </c>
      <c r="D4218" s="49">
        <v>0.0</v>
      </c>
    </row>
    <row r="4219" ht="15.0" hidden="1" customHeight="1">
      <c r="A4219" s="49" t="s">
        <v>400</v>
      </c>
      <c r="B4219" s="50">
        <v>44650.0</v>
      </c>
      <c r="C4219" s="49" t="s">
        <v>780</v>
      </c>
      <c r="D4219" s="49">
        <v>0.0</v>
      </c>
    </row>
    <row r="4220" ht="15.0" hidden="1" customHeight="1">
      <c r="A4220" s="49" t="s">
        <v>405</v>
      </c>
      <c r="B4220" s="50">
        <v>44650.0</v>
      </c>
      <c r="C4220" s="49" t="s">
        <v>780</v>
      </c>
      <c r="D4220" s="49">
        <v>0.0</v>
      </c>
    </row>
    <row r="4221" ht="15.0" hidden="1" customHeight="1">
      <c r="A4221" s="49" t="s">
        <v>410</v>
      </c>
      <c r="B4221" s="50">
        <v>44650.0</v>
      </c>
      <c r="C4221" s="49" t="s">
        <v>780</v>
      </c>
      <c r="D4221" s="49">
        <v>0.0</v>
      </c>
    </row>
    <row r="4222" ht="15.0" hidden="1" customHeight="1">
      <c r="A4222" s="49" t="s">
        <v>415</v>
      </c>
      <c r="B4222" s="50">
        <v>44650.0</v>
      </c>
      <c r="C4222" s="49" t="s">
        <v>780</v>
      </c>
      <c r="D4222" s="49">
        <v>0.0</v>
      </c>
    </row>
    <row r="4223" ht="15.0" hidden="1" customHeight="1">
      <c r="A4223" s="49" t="s">
        <v>420</v>
      </c>
      <c r="B4223" s="50">
        <v>44650.0</v>
      </c>
      <c r="C4223" s="49" t="s">
        <v>780</v>
      </c>
      <c r="D4223" s="49">
        <v>0.0</v>
      </c>
    </row>
    <row r="4224" ht="15.0" hidden="1" customHeight="1">
      <c r="A4224" s="49" t="s">
        <v>425</v>
      </c>
      <c r="B4224" s="50">
        <v>44650.0</v>
      </c>
      <c r="C4224" s="49" t="s">
        <v>780</v>
      </c>
      <c r="D4224" s="49">
        <v>0.0</v>
      </c>
    </row>
    <row r="4225" ht="15.0" hidden="1" customHeight="1">
      <c r="A4225" s="49" t="s">
        <v>430</v>
      </c>
      <c r="B4225" s="50">
        <v>44650.0</v>
      </c>
      <c r="C4225" s="49" t="s">
        <v>780</v>
      </c>
      <c r="D4225" s="49">
        <v>0.0</v>
      </c>
    </row>
    <row r="4226" ht="15.0" hidden="1" customHeight="1">
      <c r="A4226" s="49" t="s">
        <v>434</v>
      </c>
      <c r="B4226" s="50">
        <v>44650.0</v>
      </c>
      <c r="C4226" s="49" t="s">
        <v>780</v>
      </c>
      <c r="D4226" s="49">
        <v>0.0</v>
      </c>
    </row>
    <row r="4227" ht="15.0" hidden="1" customHeight="1">
      <c r="A4227" s="49" t="s">
        <v>439</v>
      </c>
      <c r="B4227" s="50">
        <v>44650.0</v>
      </c>
      <c r="C4227" s="49" t="s">
        <v>780</v>
      </c>
      <c r="D4227" s="49">
        <v>0.0</v>
      </c>
    </row>
    <row r="4228" ht="15.0" hidden="1" customHeight="1">
      <c r="A4228" s="49" t="s">
        <v>444</v>
      </c>
      <c r="B4228" s="50">
        <v>44650.0</v>
      </c>
      <c r="C4228" s="49" t="s">
        <v>780</v>
      </c>
      <c r="D4228" s="49">
        <v>0.0</v>
      </c>
    </row>
    <row r="4229" ht="15.0" hidden="1" customHeight="1">
      <c r="A4229" s="49" t="s">
        <v>449</v>
      </c>
      <c r="B4229" s="50">
        <v>44650.0</v>
      </c>
      <c r="C4229" s="49" t="s">
        <v>780</v>
      </c>
      <c r="D4229" s="49">
        <v>0.0</v>
      </c>
    </row>
    <row r="4230" ht="15.0" hidden="1" customHeight="1">
      <c r="A4230" s="49" t="s">
        <v>455</v>
      </c>
      <c r="B4230" s="50">
        <v>44650.0</v>
      </c>
      <c r="C4230" s="49" t="s">
        <v>780</v>
      </c>
      <c r="D4230" s="49">
        <v>0.0</v>
      </c>
    </row>
    <row r="4231" ht="15.0" hidden="1" customHeight="1">
      <c r="A4231" s="49" t="s">
        <v>470</v>
      </c>
      <c r="B4231" s="50">
        <v>44650.0</v>
      </c>
      <c r="C4231" s="49" t="s">
        <v>780</v>
      </c>
      <c r="D4231" s="49">
        <v>0.0</v>
      </c>
    </row>
    <row r="4232" ht="15.0" hidden="1" customHeight="1">
      <c r="A4232" s="49" t="s">
        <v>476</v>
      </c>
      <c r="B4232" s="50">
        <v>44650.0</v>
      </c>
      <c r="C4232" s="49" t="s">
        <v>780</v>
      </c>
      <c r="D4232" s="49">
        <v>0.0</v>
      </c>
    </row>
    <row r="4233" ht="15.0" hidden="1" customHeight="1">
      <c r="A4233" s="49" t="s">
        <v>481</v>
      </c>
      <c r="B4233" s="50">
        <v>44650.0</v>
      </c>
      <c r="C4233" s="49" t="s">
        <v>780</v>
      </c>
      <c r="D4233" s="49">
        <v>0.0</v>
      </c>
    </row>
    <row r="4234" ht="15.0" hidden="1" customHeight="1">
      <c r="A4234" s="49" t="s">
        <v>486</v>
      </c>
      <c r="B4234" s="50">
        <v>44650.0</v>
      </c>
      <c r="C4234" s="49" t="s">
        <v>780</v>
      </c>
      <c r="D4234" s="49">
        <v>0.0</v>
      </c>
    </row>
    <row r="4235" ht="15.0" hidden="1" customHeight="1">
      <c r="A4235" s="49" t="s">
        <v>491</v>
      </c>
      <c r="B4235" s="50">
        <v>44650.0</v>
      </c>
      <c r="C4235" s="49" t="s">
        <v>780</v>
      </c>
      <c r="D4235" s="49">
        <v>0.0</v>
      </c>
    </row>
    <row r="4236" ht="15.0" hidden="1" customHeight="1">
      <c r="A4236" s="49" t="s">
        <v>496</v>
      </c>
      <c r="B4236" s="50">
        <v>44650.0</v>
      </c>
      <c r="C4236" s="49" t="s">
        <v>780</v>
      </c>
      <c r="D4236" s="49">
        <v>0.0</v>
      </c>
    </row>
    <row r="4237" ht="15.0" hidden="1" customHeight="1">
      <c r="A4237" s="49" t="s">
        <v>501</v>
      </c>
      <c r="B4237" s="50">
        <v>44650.0</v>
      </c>
      <c r="C4237" s="49" t="s">
        <v>780</v>
      </c>
      <c r="D4237" s="49">
        <v>0.0</v>
      </c>
    </row>
    <row r="4238" ht="15.0" hidden="1" customHeight="1">
      <c r="A4238" s="49" t="s">
        <v>506</v>
      </c>
      <c r="B4238" s="50">
        <v>44650.0</v>
      </c>
      <c r="C4238" s="49" t="s">
        <v>780</v>
      </c>
      <c r="D4238" s="49">
        <v>0.0</v>
      </c>
    </row>
    <row r="4239" ht="15.0" hidden="1" customHeight="1">
      <c r="A4239" s="49" t="s">
        <v>512</v>
      </c>
      <c r="B4239" s="50">
        <v>44650.0</v>
      </c>
      <c r="C4239" s="49" t="s">
        <v>780</v>
      </c>
      <c r="D4239" s="49">
        <v>0.0</v>
      </c>
    </row>
    <row r="4240" ht="15.0" hidden="1" customHeight="1">
      <c r="A4240" s="49" t="s">
        <v>517</v>
      </c>
      <c r="B4240" s="50">
        <v>44650.0</v>
      </c>
      <c r="C4240" s="49" t="s">
        <v>780</v>
      </c>
      <c r="D4240" s="49">
        <v>0.0</v>
      </c>
    </row>
    <row r="4241" ht="15.0" hidden="1" customHeight="1">
      <c r="A4241" s="49" t="s">
        <v>522</v>
      </c>
      <c r="B4241" s="50">
        <v>44650.0</v>
      </c>
      <c r="C4241" s="49" t="s">
        <v>780</v>
      </c>
      <c r="D4241" s="49">
        <v>0.0</v>
      </c>
    </row>
    <row r="4242" ht="15.0" hidden="1" customHeight="1">
      <c r="A4242" s="49" t="s">
        <v>528</v>
      </c>
      <c r="B4242" s="50">
        <v>44650.0</v>
      </c>
      <c r="C4242" s="49" t="s">
        <v>780</v>
      </c>
      <c r="D4242" s="49">
        <v>0.0</v>
      </c>
    </row>
    <row r="4243" ht="15.0" hidden="1" customHeight="1">
      <c r="A4243" s="49" t="s">
        <v>533</v>
      </c>
      <c r="B4243" s="50">
        <v>44650.0</v>
      </c>
      <c r="C4243" s="49" t="s">
        <v>780</v>
      </c>
      <c r="D4243" s="49">
        <v>0.0</v>
      </c>
    </row>
    <row r="4244" ht="15.0" hidden="1" customHeight="1">
      <c r="A4244" s="49" t="s">
        <v>538</v>
      </c>
      <c r="B4244" s="50">
        <v>44650.0</v>
      </c>
      <c r="C4244" s="49" t="s">
        <v>780</v>
      </c>
      <c r="D4244" s="49">
        <v>0.0</v>
      </c>
    </row>
    <row r="4245" ht="15.0" hidden="1" customHeight="1">
      <c r="A4245" s="49" t="s">
        <v>546</v>
      </c>
      <c r="B4245" s="50">
        <v>44650.0</v>
      </c>
      <c r="C4245" s="49" t="s">
        <v>780</v>
      </c>
      <c r="D4245" s="49">
        <v>0.0</v>
      </c>
    </row>
    <row r="4246" ht="15.0" hidden="1" customHeight="1">
      <c r="A4246" s="49" t="s">
        <v>551</v>
      </c>
      <c r="B4246" s="50">
        <v>44650.0</v>
      </c>
      <c r="C4246" s="49" t="s">
        <v>780</v>
      </c>
      <c r="D4246" s="49">
        <v>0.0</v>
      </c>
    </row>
    <row r="4247" ht="15.0" hidden="1" customHeight="1">
      <c r="A4247" s="49" t="s">
        <v>556</v>
      </c>
      <c r="B4247" s="50">
        <v>44650.0</v>
      </c>
      <c r="C4247" s="49" t="s">
        <v>780</v>
      </c>
      <c r="D4247" s="49">
        <v>0.0</v>
      </c>
    </row>
    <row r="4248" ht="15.0" hidden="1" customHeight="1">
      <c r="A4248" s="49" t="s">
        <v>561</v>
      </c>
      <c r="B4248" s="50">
        <v>44650.0</v>
      </c>
      <c r="C4248" s="49" t="s">
        <v>780</v>
      </c>
      <c r="D4248" s="49">
        <v>0.0</v>
      </c>
    </row>
    <row r="4249" ht="15.0" hidden="1" customHeight="1">
      <c r="A4249" s="49" t="s">
        <v>566</v>
      </c>
      <c r="B4249" s="50">
        <v>44650.0</v>
      </c>
      <c r="C4249" s="49" t="s">
        <v>780</v>
      </c>
      <c r="D4249" s="49">
        <v>0.0</v>
      </c>
    </row>
    <row r="4250" ht="15.0" hidden="1" customHeight="1">
      <c r="A4250" s="49" t="s">
        <v>571</v>
      </c>
      <c r="B4250" s="50">
        <v>44650.0</v>
      </c>
      <c r="C4250" s="49" t="s">
        <v>780</v>
      </c>
      <c r="D4250" s="49">
        <v>0.0</v>
      </c>
    </row>
    <row r="4251" ht="15.0" hidden="1" customHeight="1">
      <c r="A4251" s="49" t="s">
        <v>576</v>
      </c>
      <c r="B4251" s="50">
        <v>44650.0</v>
      </c>
      <c r="C4251" s="49" t="s">
        <v>780</v>
      </c>
      <c r="D4251" s="49">
        <v>0.0</v>
      </c>
    </row>
    <row r="4252" ht="15.0" hidden="1" customHeight="1">
      <c r="A4252" s="49" t="s">
        <v>581</v>
      </c>
      <c r="B4252" s="50">
        <v>44650.0</v>
      </c>
      <c r="C4252" s="49" t="s">
        <v>780</v>
      </c>
      <c r="D4252" s="49">
        <v>0.0</v>
      </c>
    </row>
    <row r="4253" ht="15.0" hidden="1" customHeight="1">
      <c r="A4253" s="49" t="s">
        <v>586</v>
      </c>
      <c r="B4253" s="50">
        <v>44650.0</v>
      </c>
      <c r="C4253" s="49" t="s">
        <v>780</v>
      </c>
      <c r="D4253" s="49">
        <v>0.0</v>
      </c>
    </row>
    <row r="4254" ht="15.0" hidden="1" customHeight="1">
      <c r="A4254" s="49" t="s">
        <v>754</v>
      </c>
      <c r="B4254" s="50">
        <v>44650.0</v>
      </c>
      <c r="C4254" s="49" t="s">
        <v>780</v>
      </c>
      <c r="D4254" s="49">
        <v>0.0</v>
      </c>
    </row>
    <row r="4255" ht="15.0" hidden="1" customHeight="1">
      <c r="A4255" s="49" t="s">
        <v>591</v>
      </c>
      <c r="B4255" s="50">
        <v>44650.0</v>
      </c>
      <c r="C4255" s="49" t="s">
        <v>780</v>
      </c>
      <c r="D4255" s="49">
        <v>0.0</v>
      </c>
    </row>
    <row r="4256" ht="15.0" hidden="1" customHeight="1">
      <c r="A4256" s="49" t="s">
        <v>759</v>
      </c>
      <c r="B4256" s="50">
        <v>44650.0</v>
      </c>
      <c r="C4256" s="49" t="s">
        <v>780</v>
      </c>
      <c r="D4256" s="49">
        <v>0.0</v>
      </c>
    </row>
    <row r="4257" ht="15.0" hidden="1" customHeight="1">
      <c r="A4257" s="49" t="s">
        <v>596</v>
      </c>
      <c r="B4257" s="50">
        <v>44650.0</v>
      </c>
      <c r="C4257" s="49" t="s">
        <v>780</v>
      </c>
      <c r="D4257" s="49">
        <v>0.0</v>
      </c>
    </row>
    <row r="4258" ht="15.0" hidden="1" customHeight="1">
      <c r="A4258" s="49" t="s">
        <v>602</v>
      </c>
      <c r="B4258" s="50">
        <v>44650.0</v>
      </c>
      <c r="C4258" s="49" t="s">
        <v>780</v>
      </c>
      <c r="D4258" s="49">
        <v>0.0</v>
      </c>
    </row>
    <row r="4259" ht="15.0" hidden="1" customHeight="1">
      <c r="A4259" s="49" t="s">
        <v>607</v>
      </c>
      <c r="B4259" s="50">
        <v>44650.0</v>
      </c>
      <c r="C4259" s="49" t="s">
        <v>780</v>
      </c>
      <c r="D4259" s="49">
        <v>0.0</v>
      </c>
    </row>
    <row r="4260" ht="15.0" hidden="1" customHeight="1">
      <c r="A4260" s="49" t="s">
        <v>612</v>
      </c>
      <c r="B4260" s="50">
        <v>44650.0</v>
      </c>
      <c r="C4260" s="49" t="s">
        <v>780</v>
      </c>
      <c r="D4260" s="49">
        <v>0.0</v>
      </c>
    </row>
    <row r="4261" ht="15.0" hidden="1" customHeight="1">
      <c r="A4261" s="49" t="s">
        <v>617</v>
      </c>
      <c r="B4261" s="50">
        <v>44650.0</v>
      </c>
      <c r="C4261" s="49" t="s">
        <v>780</v>
      </c>
      <c r="D4261" s="49">
        <v>0.0</v>
      </c>
    </row>
    <row r="4262" ht="15.0" hidden="1" customHeight="1">
      <c r="A4262" s="49" t="s">
        <v>622</v>
      </c>
      <c r="B4262" s="50">
        <v>44650.0</v>
      </c>
      <c r="C4262" s="49" t="s">
        <v>780</v>
      </c>
      <c r="D4262" s="49">
        <v>0.0</v>
      </c>
    </row>
    <row r="4263" ht="15.0" hidden="1" customHeight="1">
      <c r="A4263" s="49" t="s">
        <v>627</v>
      </c>
      <c r="B4263" s="50">
        <v>44650.0</v>
      </c>
      <c r="C4263" s="49" t="s">
        <v>780</v>
      </c>
      <c r="D4263" s="49">
        <v>0.0</v>
      </c>
    </row>
    <row r="4264" ht="15.0" hidden="1" customHeight="1">
      <c r="A4264" s="49" t="s">
        <v>631</v>
      </c>
      <c r="B4264" s="50">
        <v>44650.0</v>
      </c>
      <c r="C4264" s="49" t="s">
        <v>780</v>
      </c>
      <c r="D4264" s="49">
        <v>0.0</v>
      </c>
    </row>
    <row r="4265" ht="15.0" hidden="1" customHeight="1">
      <c r="A4265" s="49" t="s">
        <v>636</v>
      </c>
      <c r="B4265" s="50">
        <v>44650.0</v>
      </c>
      <c r="C4265" s="49" t="s">
        <v>780</v>
      </c>
      <c r="D4265" s="49">
        <v>0.0</v>
      </c>
    </row>
    <row r="4266" ht="15.0" hidden="1" customHeight="1">
      <c r="A4266" s="49" t="s">
        <v>640</v>
      </c>
      <c r="B4266" s="50">
        <v>44650.0</v>
      </c>
      <c r="C4266" s="49" t="s">
        <v>780</v>
      </c>
      <c r="D4266" s="49">
        <v>0.0</v>
      </c>
    </row>
    <row r="4267" ht="15.0" hidden="1" customHeight="1">
      <c r="A4267" s="49" t="s">
        <v>644</v>
      </c>
      <c r="B4267" s="50">
        <v>44650.0</v>
      </c>
      <c r="C4267" s="49" t="s">
        <v>780</v>
      </c>
      <c r="D4267" s="49">
        <v>0.0</v>
      </c>
    </row>
    <row r="4268" ht="15.0" hidden="1" customHeight="1">
      <c r="A4268" s="49" t="s">
        <v>649</v>
      </c>
      <c r="B4268" s="50">
        <v>44650.0</v>
      </c>
      <c r="C4268" s="49" t="s">
        <v>780</v>
      </c>
      <c r="D4268" s="49">
        <v>0.0</v>
      </c>
    </row>
    <row r="4269" ht="15.0" hidden="1" customHeight="1">
      <c r="A4269" s="49" t="s">
        <v>654</v>
      </c>
      <c r="B4269" s="50">
        <v>44650.0</v>
      </c>
      <c r="C4269" s="49" t="s">
        <v>780</v>
      </c>
      <c r="D4269" s="49">
        <v>0.0</v>
      </c>
    </row>
    <row r="4270" ht="15.0" hidden="1" customHeight="1">
      <c r="A4270" s="49" t="s">
        <v>659</v>
      </c>
      <c r="B4270" s="50">
        <v>44650.0</v>
      </c>
      <c r="C4270" s="49" t="s">
        <v>780</v>
      </c>
      <c r="D4270" s="49">
        <v>0.0</v>
      </c>
    </row>
    <row r="4271" ht="15.0" hidden="1" customHeight="1">
      <c r="A4271" s="49" t="s">
        <v>664</v>
      </c>
      <c r="B4271" s="50">
        <v>44650.0</v>
      </c>
      <c r="C4271" s="49" t="s">
        <v>780</v>
      </c>
      <c r="D4271" s="49">
        <v>0.0</v>
      </c>
    </row>
    <row r="4272" ht="15.0" hidden="1" customHeight="1">
      <c r="A4272" s="49" t="s">
        <v>669</v>
      </c>
      <c r="B4272" s="50">
        <v>44650.0</v>
      </c>
      <c r="C4272" s="49" t="s">
        <v>780</v>
      </c>
      <c r="D4272" s="49">
        <v>0.0</v>
      </c>
    </row>
    <row r="4273" ht="15.0" hidden="1" customHeight="1">
      <c r="A4273" s="49" t="s">
        <v>674</v>
      </c>
      <c r="B4273" s="50">
        <v>44650.0</v>
      </c>
      <c r="C4273" s="49" t="s">
        <v>780</v>
      </c>
      <c r="D4273" s="49">
        <v>0.0</v>
      </c>
    </row>
    <row r="4274" ht="15.0" hidden="1" customHeight="1">
      <c r="A4274" s="49" t="s">
        <v>679</v>
      </c>
      <c r="B4274" s="50">
        <v>44650.0</v>
      </c>
      <c r="C4274" s="49" t="s">
        <v>780</v>
      </c>
      <c r="D4274" s="49">
        <v>0.0</v>
      </c>
    </row>
    <row r="4275" ht="15.0" hidden="1" customHeight="1">
      <c r="A4275" s="49" t="s">
        <v>684</v>
      </c>
      <c r="B4275" s="50">
        <v>44650.0</v>
      </c>
      <c r="C4275" s="49" t="s">
        <v>780</v>
      </c>
      <c r="D4275" s="49">
        <v>0.0</v>
      </c>
    </row>
    <row r="4276" ht="15.0" hidden="1" customHeight="1">
      <c r="A4276" s="49" t="s">
        <v>689</v>
      </c>
      <c r="B4276" s="50">
        <v>44650.0</v>
      </c>
      <c r="C4276" s="49" t="s">
        <v>780</v>
      </c>
      <c r="D4276" s="49">
        <v>0.0</v>
      </c>
    </row>
    <row r="4277" ht="15.0" hidden="1" customHeight="1">
      <c r="A4277" s="49" t="s">
        <v>694</v>
      </c>
      <c r="B4277" s="50">
        <v>44650.0</v>
      </c>
      <c r="C4277" s="49" t="s">
        <v>780</v>
      </c>
      <c r="D4277" s="49">
        <v>0.0</v>
      </c>
    </row>
    <row r="4278" ht="15.0" hidden="1" customHeight="1">
      <c r="A4278" s="49" t="s">
        <v>699</v>
      </c>
      <c r="B4278" s="50">
        <v>44650.0</v>
      </c>
      <c r="C4278" s="49" t="s">
        <v>780</v>
      </c>
      <c r="D4278" s="49">
        <v>0.0</v>
      </c>
    </row>
    <row r="4279" ht="15.0" hidden="1" customHeight="1">
      <c r="A4279" s="49" t="s">
        <v>705</v>
      </c>
      <c r="B4279" s="50">
        <v>44650.0</v>
      </c>
      <c r="C4279" s="49" t="s">
        <v>780</v>
      </c>
      <c r="D4279" s="49">
        <v>0.0</v>
      </c>
    </row>
    <row r="4280" ht="15.0" hidden="1" customHeight="1">
      <c r="A4280" s="49" t="s">
        <v>710</v>
      </c>
      <c r="B4280" s="50">
        <v>44650.0</v>
      </c>
      <c r="C4280" s="49" t="s">
        <v>780</v>
      </c>
      <c r="D4280" s="49">
        <v>0.0</v>
      </c>
    </row>
    <row r="4281" ht="15.0" hidden="1" customHeight="1">
      <c r="A4281" s="49" t="s">
        <v>715</v>
      </c>
      <c r="B4281" s="50">
        <v>44650.0</v>
      </c>
      <c r="C4281" s="49" t="s">
        <v>780</v>
      </c>
      <c r="D4281" s="49">
        <v>0.0</v>
      </c>
    </row>
    <row r="4282" ht="15.0" hidden="1" customHeight="1">
      <c r="A4282" s="49" t="s">
        <v>765</v>
      </c>
      <c r="B4282" s="50">
        <v>44650.0</v>
      </c>
      <c r="C4282" s="49" t="s">
        <v>780</v>
      </c>
      <c r="D4282" s="49">
        <v>0.0</v>
      </c>
    </row>
    <row r="4283" ht="15.0" hidden="1" customHeight="1">
      <c r="A4283" s="49" t="s">
        <v>720</v>
      </c>
      <c r="B4283" s="50">
        <v>44650.0</v>
      </c>
      <c r="C4283" s="49" t="s">
        <v>780</v>
      </c>
      <c r="D4283" s="49">
        <v>0.0</v>
      </c>
    </row>
    <row r="4284" ht="15.0" hidden="1" customHeight="1">
      <c r="A4284" s="49" t="s">
        <v>725</v>
      </c>
      <c r="B4284" s="50">
        <v>44650.0</v>
      </c>
      <c r="C4284" s="49" t="s">
        <v>780</v>
      </c>
      <c r="D4284" s="49">
        <v>0.0</v>
      </c>
    </row>
    <row r="4285" ht="15.0" hidden="1" customHeight="1">
      <c r="A4285" s="49" t="s">
        <v>730</v>
      </c>
      <c r="B4285" s="50">
        <v>44650.0</v>
      </c>
      <c r="C4285" s="49" t="s">
        <v>780</v>
      </c>
      <c r="D4285" s="49">
        <v>0.0</v>
      </c>
    </row>
    <row r="4286" ht="15.0" hidden="1" customHeight="1">
      <c r="A4286" s="49" t="s">
        <v>734</v>
      </c>
      <c r="B4286" s="50">
        <v>44650.0</v>
      </c>
      <c r="C4286" s="49" t="s">
        <v>780</v>
      </c>
      <c r="D4286" s="49">
        <v>0.0</v>
      </c>
    </row>
    <row r="4287" ht="15.0" hidden="1" customHeight="1">
      <c r="A4287" s="49" t="s">
        <v>739</v>
      </c>
      <c r="B4287" s="50">
        <v>44650.0</v>
      </c>
      <c r="C4287" s="49" t="s">
        <v>780</v>
      </c>
      <c r="D4287" s="49">
        <v>0.0</v>
      </c>
    </row>
    <row r="4288" ht="15.0" hidden="1" customHeight="1">
      <c r="A4288" s="49" t="s">
        <v>744</v>
      </c>
      <c r="B4288" s="50">
        <v>44650.0</v>
      </c>
      <c r="C4288" s="49" t="s">
        <v>780</v>
      </c>
      <c r="D4288" s="49">
        <v>0.0</v>
      </c>
    </row>
    <row r="4289" ht="15.0" hidden="1" customHeight="1">
      <c r="A4289" s="49" t="s">
        <v>749</v>
      </c>
      <c r="B4289" s="50">
        <v>44650.0</v>
      </c>
      <c r="C4289" s="49" t="s">
        <v>780</v>
      </c>
      <c r="D4289" s="49">
        <v>0.0</v>
      </c>
    </row>
    <row r="4290" ht="15.0" customHeight="1">
      <c r="A4290" s="49" t="s">
        <v>776</v>
      </c>
      <c r="B4290" s="50">
        <v>44742.0</v>
      </c>
      <c r="C4290" s="49" t="s">
        <v>777</v>
      </c>
      <c r="D4290" s="49">
        <v>0.0</v>
      </c>
    </row>
    <row r="4291" ht="15.0" hidden="1" customHeight="1">
      <c r="A4291" s="49" t="s">
        <v>778</v>
      </c>
      <c r="B4291" s="50">
        <v>44742.0</v>
      </c>
      <c r="C4291" s="49" t="s">
        <v>777</v>
      </c>
      <c r="D4291" s="49">
        <v>0.0</v>
      </c>
    </row>
    <row r="4292" ht="15.0" hidden="1" customHeight="1">
      <c r="A4292" s="49" t="s">
        <v>92</v>
      </c>
      <c r="B4292" s="50">
        <v>44742.0</v>
      </c>
      <c r="C4292" s="49" t="s">
        <v>777</v>
      </c>
      <c r="D4292" s="49">
        <v>0.0</v>
      </c>
    </row>
    <row r="4293" ht="15.0" hidden="1" customHeight="1">
      <c r="A4293" s="49" t="s">
        <v>97</v>
      </c>
      <c r="B4293" s="50">
        <v>44742.0</v>
      </c>
      <c r="C4293" s="49" t="s">
        <v>777</v>
      </c>
      <c r="D4293" s="49">
        <v>0.0</v>
      </c>
    </row>
    <row r="4294" ht="15.0" hidden="1" customHeight="1">
      <c r="A4294" s="49" t="s">
        <v>102</v>
      </c>
      <c r="B4294" s="50">
        <v>44742.0</v>
      </c>
      <c r="C4294" s="49" t="s">
        <v>777</v>
      </c>
      <c r="D4294" s="49">
        <v>0.0</v>
      </c>
    </row>
    <row r="4295" ht="15.0" hidden="1" customHeight="1">
      <c r="A4295" s="49" t="s">
        <v>106</v>
      </c>
      <c r="B4295" s="50">
        <v>44742.0</v>
      </c>
      <c r="C4295" s="49" t="s">
        <v>777</v>
      </c>
      <c r="D4295" s="49">
        <v>0.0</v>
      </c>
    </row>
    <row r="4296" ht="15.0" hidden="1" customHeight="1">
      <c r="A4296" s="49" t="s">
        <v>111</v>
      </c>
      <c r="B4296" s="50">
        <v>44742.0</v>
      </c>
      <c r="C4296" s="49" t="s">
        <v>777</v>
      </c>
      <c r="D4296" s="49">
        <v>0.0</v>
      </c>
    </row>
    <row r="4297" ht="15.0" hidden="1" customHeight="1">
      <c r="A4297" s="49" t="s">
        <v>116</v>
      </c>
      <c r="B4297" s="50">
        <v>44742.0</v>
      </c>
      <c r="C4297" s="49" t="s">
        <v>777</v>
      </c>
      <c r="D4297" s="49">
        <v>0.0</v>
      </c>
    </row>
    <row r="4298" ht="15.0" hidden="1" customHeight="1">
      <c r="A4298" s="49" t="s">
        <v>120</v>
      </c>
      <c r="B4298" s="50">
        <v>44742.0</v>
      </c>
      <c r="C4298" s="49" t="s">
        <v>777</v>
      </c>
      <c r="D4298" s="49">
        <v>0.0</v>
      </c>
    </row>
    <row r="4299" ht="15.0" hidden="1" customHeight="1">
      <c r="A4299" s="49" t="s">
        <v>125</v>
      </c>
      <c r="B4299" s="50">
        <v>44742.0</v>
      </c>
      <c r="C4299" s="49" t="s">
        <v>777</v>
      </c>
      <c r="D4299" s="49">
        <v>0.0</v>
      </c>
    </row>
    <row r="4300" ht="15.0" hidden="1" customHeight="1">
      <c r="A4300" s="49" t="s">
        <v>130</v>
      </c>
      <c r="B4300" s="50">
        <v>44742.0</v>
      </c>
      <c r="C4300" s="49" t="s">
        <v>777</v>
      </c>
      <c r="D4300" s="49">
        <v>0.0</v>
      </c>
    </row>
    <row r="4301" ht="15.0" hidden="1" customHeight="1">
      <c r="A4301" s="49" t="s">
        <v>137</v>
      </c>
      <c r="B4301" s="50">
        <v>44742.0</v>
      </c>
      <c r="C4301" s="49" t="s">
        <v>777</v>
      </c>
      <c r="D4301" s="49">
        <v>0.0</v>
      </c>
    </row>
    <row r="4302" ht="15.0" hidden="1" customHeight="1">
      <c r="A4302" s="49" t="s">
        <v>142</v>
      </c>
      <c r="B4302" s="50">
        <v>44742.0</v>
      </c>
      <c r="C4302" s="49" t="s">
        <v>777</v>
      </c>
      <c r="D4302" s="49">
        <v>0.0</v>
      </c>
    </row>
    <row r="4303" ht="15.0" hidden="1" customHeight="1">
      <c r="A4303" s="49" t="s">
        <v>147</v>
      </c>
      <c r="B4303" s="50">
        <v>44742.0</v>
      </c>
      <c r="C4303" s="49" t="s">
        <v>777</v>
      </c>
      <c r="D4303" s="49">
        <v>0.0</v>
      </c>
    </row>
    <row r="4304" ht="15.0" hidden="1" customHeight="1">
      <c r="A4304" s="49" t="s">
        <v>152</v>
      </c>
      <c r="B4304" s="50">
        <v>44742.0</v>
      </c>
      <c r="C4304" s="49" t="s">
        <v>777</v>
      </c>
      <c r="D4304" s="49">
        <v>0.0</v>
      </c>
    </row>
    <row r="4305" ht="15.0" hidden="1" customHeight="1">
      <c r="A4305" s="49" t="s">
        <v>157</v>
      </c>
      <c r="B4305" s="50">
        <v>44742.0</v>
      </c>
      <c r="C4305" s="49" t="s">
        <v>777</v>
      </c>
      <c r="D4305" s="49">
        <v>0.0</v>
      </c>
    </row>
    <row r="4306" ht="15.0" hidden="1" customHeight="1">
      <c r="A4306" s="49" t="s">
        <v>162</v>
      </c>
      <c r="B4306" s="50">
        <v>44742.0</v>
      </c>
      <c r="C4306" s="49" t="s">
        <v>777</v>
      </c>
      <c r="D4306" s="49">
        <v>0.0</v>
      </c>
    </row>
    <row r="4307" ht="15.0" hidden="1" customHeight="1">
      <c r="A4307" s="49" t="s">
        <v>167</v>
      </c>
      <c r="B4307" s="50">
        <v>44742.0</v>
      </c>
      <c r="C4307" s="49" t="s">
        <v>777</v>
      </c>
      <c r="D4307" s="49">
        <v>0.0</v>
      </c>
    </row>
    <row r="4308" ht="15.0" hidden="1" customHeight="1">
      <c r="A4308" s="49" t="s">
        <v>172</v>
      </c>
      <c r="B4308" s="50">
        <v>44742.0</v>
      </c>
      <c r="C4308" s="49" t="s">
        <v>777</v>
      </c>
      <c r="D4308" s="49">
        <v>0.0</v>
      </c>
    </row>
    <row r="4309" ht="15.0" hidden="1" customHeight="1">
      <c r="A4309" s="49" t="s">
        <v>177</v>
      </c>
      <c r="B4309" s="50">
        <v>44742.0</v>
      </c>
      <c r="C4309" s="49" t="s">
        <v>777</v>
      </c>
      <c r="D4309" s="49">
        <v>0.0</v>
      </c>
    </row>
    <row r="4310" ht="15.0" hidden="1" customHeight="1">
      <c r="A4310" s="49" t="s">
        <v>182</v>
      </c>
      <c r="B4310" s="50">
        <v>44742.0</v>
      </c>
      <c r="C4310" s="49" t="s">
        <v>777</v>
      </c>
      <c r="D4310" s="49">
        <v>0.0</v>
      </c>
    </row>
    <row r="4311" ht="15.0" hidden="1" customHeight="1">
      <c r="A4311" s="49" t="s">
        <v>187</v>
      </c>
      <c r="B4311" s="50">
        <v>44742.0</v>
      </c>
      <c r="C4311" s="49" t="s">
        <v>777</v>
      </c>
      <c r="D4311" s="49">
        <v>0.0</v>
      </c>
    </row>
    <row r="4312" ht="15.0" hidden="1" customHeight="1">
      <c r="A4312" s="49" t="s">
        <v>192</v>
      </c>
      <c r="B4312" s="50">
        <v>44742.0</v>
      </c>
      <c r="C4312" s="49" t="s">
        <v>777</v>
      </c>
      <c r="D4312" s="49">
        <v>0.0</v>
      </c>
    </row>
    <row r="4313" ht="15.0" hidden="1" customHeight="1">
      <c r="A4313" s="49" t="s">
        <v>197</v>
      </c>
      <c r="B4313" s="50">
        <v>44742.0</v>
      </c>
      <c r="C4313" s="49" t="s">
        <v>777</v>
      </c>
      <c r="D4313" s="49">
        <v>0.0</v>
      </c>
    </row>
    <row r="4314" ht="15.0" hidden="1" customHeight="1">
      <c r="A4314" s="49" t="s">
        <v>202</v>
      </c>
      <c r="B4314" s="50">
        <v>44742.0</v>
      </c>
      <c r="C4314" s="49" t="s">
        <v>777</v>
      </c>
      <c r="D4314" s="49">
        <v>0.0</v>
      </c>
    </row>
    <row r="4315" ht="15.0" hidden="1" customHeight="1">
      <c r="A4315" s="49" t="s">
        <v>206</v>
      </c>
      <c r="B4315" s="50">
        <v>44742.0</v>
      </c>
      <c r="C4315" s="49" t="s">
        <v>777</v>
      </c>
      <c r="D4315" s="49">
        <v>0.0</v>
      </c>
    </row>
    <row r="4316" ht="15.0" hidden="1" customHeight="1">
      <c r="A4316" s="49" t="s">
        <v>211</v>
      </c>
      <c r="B4316" s="50">
        <v>44742.0</v>
      </c>
      <c r="C4316" s="49" t="s">
        <v>777</v>
      </c>
      <c r="D4316" s="49">
        <v>0.0</v>
      </c>
    </row>
    <row r="4317" ht="15.0" hidden="1" customHeight="1">
      <c r="A4317" s="49" t="s">
        <v>779</v>
      </c>
      <c r="B4317" s="50">
        <v>44742.0</v>
      </c>
      <c r="C4317" s="49" t="s">
        <v>777</v>
      </c>
      <c r="D4317" s="49">
        <v>0.0</v>
      </c>
    </row>
    <row r="4318" ht="15.0" hidden="1" customHeight="1">
      <c r="A4318" s="49" t="s">
        <v>221</v>
      </c>
      <c r="B4318" s="50">
        <v>44742.0</v>
      </c>
      <c r="C4318" s="49" t="s">
        <v>777</v>
      </c>
      <c r="D4318" s="49">
        <v>0.0</v>
      </c>
    </row>
    <row r="4319" ht="15.0" hidden="1" customHeight="1">
      <c r="A4319" s="49" t="s">
        <v>226</v>
      </c>
      <c r="B4319" s="50">
        <v>44742.0</v>
      </c>
      <c r="C4319" s="49" t="s">
        <v>777</v>
      </c>
      <c r="D4319" s="49">
        <v>0.0</v>
      </c>
    </row>
    <row r="4320" ht="15.0" hidden="1" customHeight="1">
      <c r="A4320" s="49" t="s">
        <v>231</v>
      </c>
      <c r="B4320" s="50">
        <v>44742.0</v>
      </c>
      <c r="C4320" s="49" t="s">
        <v>777</v>
      </c>
      <c r="D4320" s="49">
        <v>0.0</v>
      </c>
    </row>
    <row r="4321" ht="15.0" hidden="1" customHeight="1">
      <c r="A4321" s="49" t="s">
        <v>236</v>
      </c>
      <c r="B4321" s="50">
        <v>44742.0</v>
      </c>
      <c r="C4321" s="49" t="s">
        <v>777</v>
      </c>
      <c r="D4321" s="49">
        <v>0.0</v>
      </c>
    </row>
    <row r="4322" ht="15.0" hidden="1" customHeight="1">
      <c r="A4322" s="49" t="s">
        <v>242</v>
      </c>
      <c r="B4322" s="50">
        <v>44742.0</v>
      </c>
      <c r="C4322" s="49" t="s">
        <v>777</v>
      </c>
      <c r="D4322" s="49">
        <v>0.0</v>
      </c>
    </row>
    <row r="4323" ht="15.0" hidden="1" customHeight="1">
      <c r="A4323" s="49" t="s">
        <v>248</v>
      </c>
      <c r="B4323" s="50">
        <v>44742.0</v>
      </c>
      <c r="C4323" s="49" t="s">
        <v>777</v>
      </c>
      <c r="D4323" s="49">
        <v>0.0</v>
      </c>
    </row>
    <row r="4324" ht="15.0" hidden="1" customHeight="1">
      <c r="A4324" s="49" t="s">
        <v>253</v>
      </c>
      <c r="B4324" s="50">
        <v>44742.0</v>
      </c>
      <c r="C4324" s="49" t="s">
        <v>777</v>
      </c>
      <c r="D4324" s="49">
        <v>0.0</v>
      </c>
    </row>
    <row r="4325" ht="15.0" hidden="1" customHeight="1">
      <c r="A4325" s="49" t="s">
        <v>258</v>
      </c>
      <c r="B4325" s="50">
        <v>44742.0</v>
      </c>
      <c r="C4325" s="49" t="s">
        <v>777</v>
      </c>
      <c r="D4325" s="49">
        <v>0.0</v>
      </c>
    </row>
    <row r="4326" ht="15.0" hidden="1" customHeight="1">
      <c r="A4326" s="49" t="s">
        <v>263</v>
      </c>
      <c r="B4326" s="50">
        <v>44742.0</v>
      </c>
      <c r="C4326" s="49" t="s">
        <v>777</v>
      </c>
      <c r="D4326" s="49">
        <v>0.0</v>
      </c>
    </row>
    <row r="4327" ht="15.0" hidden="1" customHeight="1">
      <c r="A4327" s="49" t="s">
        <v>268</v>
      </c>
      <c r="B4327" s="50">
        <v>44742.0</v>
      </c>
      <c r="C4327" s="49" t="s">
        <v>777</v>
      </c>
      <c r="D4327" s="49">
        <v>0.0</v>
      </c>
    </row>
    <row r="4328" ht="15.0" hidden="1" customHeight="1">
      <c r="A4328" s="49" t="s">
        <v>273</v>
      </c>
      <c r="B4328" s="50">
        <v>44742.0</v>
      </c>
      <c r="C4328" s="49" t="s">
        <v>777</v>
      </c>
      <c r="D4328" s="49">
        <v>0.0</v>
      </c>
    </row>
    <row r="4329" ht="15.0" hidden="1" customHeight="1">
      <c r="A4329" s="49" t="s">
        <v>278</v>
      </c>
      <c r="B4329" s="50">
        <v>44742.0</v>
      </c>
      <c r="C4329" s="49" t="s">
        <v>777</v>
      </c>
      <c r="D4329" s="49">
        <v>1000000.0</v>
      </c>
    </row>
    <row r="4330" ht="15.0" hidden="1" customHeight="1">
      <c r="A4330" s="49" t="s">
        <v>283</v>
      </c>
      <c r="B4330" s="50">
        <v>44742.0</v>
      </c>
      <c r="C4330" s="49" t="s">
        <v>777</v>
      </c>
      <c r="D4330" s="49">
        <v>903000.0</v>
      </c>
    </row>
    <row r="4331" ht="15.0" hidden="1" customHeight="1">
      <c r="A4331" s="49" t="s">
        <v>288</v>
      </c>
      <c r="B4331" s="50">
        <v>44742.0</v>
      </c>
      <c r="C4331" s="49" t="s">
        <v>777</v>
      </c>
      <c r="D4331" s="49">
        <v>700000.0</v>
      </c>
    </row>
    <row r="4332" ht="15.0" hidden="1" customHeight="1">
      <c r="A4332" s="49" t="s">
        <v>293</v>
      </c>
      <c r="B4332" s="50">
        <v>44742.0</v>
      </c>
      <c r="C4332" s="49" t="s">
        <v>777</v>
      </c>
      <c r="D4332" s="49">
        <v>650000.0</v>
      </c>
    </row>
    <row r="4333" ht="15.0" hidden="1" customHeight="1">
      <c r="A4333" s="49" t="s">
        <v>298</v>
      </c>
      <c r="B4333" s="50">
        <v>44742.0</v>
      </c>
      <c r="C4333" s="49" t="s">
        <v>777</v>
      </c>
      <c r="D4333" s="49">
        <v>500000.0</v>
      </c>
    </row>
    <row r="4334" ht="15.0" hidden="1" customHeight="1">
      <c r="A4334" s="49" t="s">
        <v>303</v>
      </c>
      <c r="B4334" s="50">
        <v>44742.0</v>
      </c>
      <c r="C4334" s="49" t="s">
        <v>777</v>
      </c>
      <c r="D4334" s="49">
        <v>1650000.0</v>
      </c>
    </row>
    <row r="4335" ht="15.0" hidden="1" customHeight="1">
      <c r="A4335" s="49" t="s">
        <v>307</v>
      </c>
      <c r="B4335" s="50">
        <v>44742.0</v>
      </c>
      <c r="C4335" s="49" t="s">
        <v>777</v>
      </c>
      <c r="D4335" s="49">
        <v>2674297.49</v>
      </c>
    </row>
    <row r="4336" ht="15.0" hidden="1" customHeight="1">
      <c r="A4336" s="49" t="s">
        <v>313</v>
      </c>
      <c r="B4336" s="50">
        <v>44742.0</v>
      </c>
      <c r="C4336" s="49" t="s">
        <v>777</v>
      </c>
      <c r="D4336" s="49">
        <v>3858000.0</v>
      </c>
    </row>
    <row r="4337" ht="15.0" hidden="1" customHeight="1">
      <c r="A4337" s="49" t="s">
        <v>318</v>
      </c>
      <c r="B4337" s="50">
        <v>44742.0</v>
      </c>
      <c r="C4337" s="49" t="s">
        <v>777</v>
      </c>
      <c r="D4337" s="49">
        <v>0.0</v>
      </c>
    </row>
    <row r="4338" ht="15.0" hidden="1" customHeight="1">
      <c r="A4338" s="49" t="s">
        <v>323</v>
      </c>
      <c r="B4338" s="50">
        <v>44742.0</v>
      </c>
      <c r="C4338" s="49" t="s">
        <v>777</v>
      </c>
      <c r="D4338" s="49">
        <v>0.0</v>
      </c>
    </row>
    <row r="4339" ht="15.0" hidden="1" customHeight="1">
      <c r="A4339" s="49" t="s">
        <v>328</v>
      </c>
      <c r="B4339" s="50">
        <v>44742.0</v>
      </c>
      <c r="C4339" s="49" t="s">
        <v>777</v>
      </c>
      <c r="D4339" s="49">
        <v>0.0</v>
      </c>
    </row>
    <row r="4340" ht="15.0" hidden="1" customHeight="1">
      <c r="A4340" s="49" t="s">
        <v>335</v>
      </c>
      <c r="B4340" s="50">
        <v>44742.0</v>
      </c>
      <c r="C4340" s="49" t="s">
        <v>777</v>
      </c>
      <c r="D4340" s="49">
        <v>0.0</v>
      </c>
    </row>
    <row r="4341" ht="15.0" hidden="1" customHeight="1">
      <c r="A4341" s="49" t="s">
        <v>340</v>
      </c>
      <c r="B4341" s="50">
        <v>44742.0</v>
      </c>
      <c r="C4341" s="49" t="s">
        <v>777</v>
      </c>
      <c r="D4341" s="49">
        <v>0.0</v>
      </c>
    </row>
    <row r="4342" ht="15.0" hidden="1" customHeight="1">
      <c r="A4342" s="49" t="s">
        <v>345</v>
      </c>
      <c r="B4342" s="50">
        <v>44742.0</v>
      </c>
      <c r="C4342" s="49" t="s">
        <v>777</v>
      </c>
      <c r="D4342" s="49">
        <v>0.0</v>
      </c>
    </row>
    <row r="4343" ht="15.0" hidden="1" customHeight="1">
      <c r="A4343" s="49" t="s">
        <v>350</v>
      </c>
      <c r="B4343" s="50">
        <v>44742.0</v>
      </c>
      <c r="C4343" s="49" t="s">
        <v>777</v>
      </c>
      <c r="D4343" s="49">
        <v>0.0</v>
      </c>
    </row>
    <row r="4344" ht="15.0" hidden="1" customHeight="1">
      <c r="A4344" s="49" t="s">
        <v>355</v>
      </c>
      <c r="B4344" s="50">
        <v>44742.0</v>
      </c>
      <c r="C4344" s="49" t="s">
        <v>777</v>
      </c>
      <c r="D4344" s="49">
        <v>0.0</v>
      </c>
    </row>
    <row r="4345" ht="15.0" hidden="1" customHeight="1">
      <c r="A4345" s="49" t="s">
        <v>360</v>
      </c>
      <c r="B4345" s="50">
        <v>44742.0</v>
      </c>
      <c r="C4345" s="49" t="s">
        <v>777</v>
      </c>
      <c r="D4345" s="49">
        <v>0.0</v>
      </c>
    </row>
    <row r="4346" ht="15.0" hidden="1" customHeight="1">
      <c r="A4346" s="49" t="s">
        <v>365</v>
      </c>
      <c r="B4346" s="50">
        <v>44742.0</v>
      </c>
      <c r="C4346" s="49" t="s">
        <v>777</v>
      </c>
      <c r="D4346" s="49">
        <v>0.0</v>
      </c>
    </row>
    <row r="4347" ht="15.0" hidden="1" customHeight="1">
      <c r="A4347" s="49" t="s">
        <v>370</v>
      </c>
      <c r="B4347" s="50">
        <v>44742.0</v>
      </c>
      <c r="C4347" s="49" t="s">
        <v>777</v>
      </c>
      <c r="D4347" s="49">
        <v>0.0</v>
      </c>
    </row>
    <row r="4348" ht="15.0" hidden="1" customHeight="1">
      <c r="A4348" s="49" t="s">
        <v>375</v>
      </c>
      <c r="B4348" s="50">
        <v>44742.0</v>
      </c>
      <c r="C4348" s="49" t="s">
        <v>777</v>
      </c>
      <c r="D4348" s="49">
        <v>0.0</v>
      </c>
    </row>
    <row r="4349" ht="15.0" hidden="1" customHeight="1">
      <c r="A4349" s="49" t="s">
        <v>380</v>
      </c>
      <c r="B4349" s="50">
        <v>44742.0</v>
      </c>
      <c r="C4349" s="49" t="s">
        <v>777</v>
      </c>
      <c r="D4349" s="49">
        <v>0.0</v>
      </c>
    </row>
    <row r="4350" ht="15.0" hidden="1" customHeight="1">
      <c r="A4350" s="49" t="s">
        <v>385</v>
      </c>
      <c r="B4350" s="50">
        <v>44742.0</v>
      </c>
      <c r="C4350" s="49" t="s">
        <v>777</v>
      </c>
      <c r="D4350" s="49">
        <v>0.0</v>
      </c>
    </row>
    <row r="4351" ht="15.0" hidden="1" customHeight="1">
      <c r="A4351" s="49" t="s">
        <v>390</v>
      </c>
      <c r="B4351" s="50">
        <v>44742.0</v>
      </c>
      <c r="C4351" s="49" t="s">
        <v>777</v>
      </c>
      <c r="D4351" s="49">
        <v>0.0</v>
      </c>
    </row>
    <row r="4352" ht="15.0" hidden="1" customHeight="1">
      <c r="A4352" s="49" t="s">
        <v>395</v>
      </c>
      <c r="B4352" s="50">
        <v>44742.0</v>
      </c>
      <c r="C4352" s="49" t="s">
        <v>777</v>
      </c>
      <c r="D4352" s="49">
        <v>0.0</v>
      </c>
    </row>
    <row r="4353" ht="15.0" hidden="1" customHeight="1">
      <c r="A4353" s="49" t="s">
        <v>400</v>
      </c>
      <c r="B4353" s="50">
        <v>44742.0</v>
      </c>
      <c r="C4353" s="49" t="s">
        <v>777</v>
      </c>
      <c r="D4353" s="49">
        <v>0.0</v>
      </c>
    </row>
    <row r="4354" ht="15.0" hidden="1" customHeight="1">
      <c r="A4354" s="49" t="s">
        <v>405</v>
      </c>
      <c r="B4354" s="50">
        <v>44742.0</v>
      </c>
      <c r="C4354" s="49" t="s">
        <v>777</v>
      </c>
      <c r="D4354" s="49">
        <v>0.0</v>
      </c>
    </row>
    <row r="4355" ht="15.0" hidden="1" customHeight="1">
      <c r="A4355" s="49" t="s">
        <v>410</v>
      </c>
      <c r="B4355" s="50">
        <v>44742.0</v>
      </c>
      <c r="C4355" s="49" t="s">
        <v>777</v>
      </c>
      <c r="D4355" s="49">
        <v>0.0</v>
      </c>
    </row>
    <row r="4356" ht="15.0" hidden="1" customHeight="1">
      <c r="A4356" s="49" t="s">
        <v>415</v>
      </c>
      <c r="B4356" s="50">
        <v>44742.0</v>
      </c>
      <c r="C4356" s="49" t="s">
        <v>777</v>
      </c>
      <c r="D4356" s="49">
        <v>0.0</v>
      </c>
    </row>
    <row r="4357" ht="15.0" hidden="1" customHeight="1">
      <c r="A4357" s="49" t="s">
        <v>420</v>
      </c>
      <c r="B4357" s="50">
        <v>44742.0</v>
      </c>
      <c r="C4357" s="49" t="s">
        <v>777</v>
      </c>
      <c r="D4357" s="49">
        <v>0.0</v>
      </c>
    </row>
    <row r="4358" ht="15.0" hidden="1" customHeight="1">
      <c r="A4358" s="49" t="s">
        <v>425</v>
      </c>
      <c r="B4358" s="50">
        <v>44742.0</v>
      </c>
      <c r="C4358" s="49" t="s">
        <v>777</v>
      </c>
      <c r="D4358" s="49">
        <v>0.0</v>
      </c>
    </row>
    <row r="4359" ht="15.0" hidden="1" customHeight="1">
      <c r="A4359" s="49" t="s">
        <v>430</v>
      </c>
      <c r="B4359" s="50">
        <v>44742.0</v>
      </c>
      <c r="C4359" s="49" t="s">
        <v>777</v>
      </c>
      <c r="D4359" s="49">
        <v>0.0</v>
      </c>
    </row>
    <row r="4360" ht="15.0" hidden="1" customHeight="1">
      <c r="A4360" s="49" t="s">
        <v>434</v>
      </c>
      <c r="B4360" s="50">
        <v>44742.0</v>
      </c>
      <c r="C4360" s="49" t="s">
        <v>777</v>
      </c>
      <c r="D4360" s="49">
        <v>0.0</v>
      </c>
    </row>
    <row r="4361" ht="15.0" hidden="1" customHeight="1">
      <c r="A4361" s="49" t="s">
        <v>439</v>
      </c>
      <c r="B4361" s="50">
        <v>44742.0</v>
      </c>
      <c r="C4361" s="49" t="s">
        <v>777</v>
      </c>
      <c r="D4361" s="49">
        <v>0.0</v>
      </c>
    </row>
    <row r="4362" ht="15.0" hidden="1" customHeight="1">
      <c r="A4362" s="49" t="s">
        <v>444</v>
      </c>
      <c r="B4362" s="50">
        <v>44742.0</v>
      </c>
      <c r="C4362" s="49" t="s">
        <v>777</v>
      </c>
      <c r="D4362" s="49">
        <v>0.0</v>
      </c>
    </row>
    <row r="4363" ht="15.0" hidden="1" customHeight="1">
      <c r="A4363" s="49" t="s">
        <v>449</v>
      </c>
      <c r="B4363" s="50">
        <v>44742.0</v>
      </c>
      <c r="C4363" s="49" t="s">
        <v>777</v>
      </c>
      <c r="D4363" s="49">
        <v>0.0</v>
      </c>
    </row>
    <row r="4364" ht="15.0" hidden="1" customHeight="1">
      <c r="A4364" s="49" t="s">
        <v>455</v>
      </c>
      <c r="B4364" s="50">
        <v>44742.0</v>
      </c>
      <c r="C4364" s="49" t="s">
        <v>777</v>
      </c>
      <c r="D4364" s="49">
        <v>0.0</v>
      </c>
    </row>
    <row r="4365" ht="15.0" hidden="1" customHeight="1">
      <c r="A4365" s="49" t="s">
        <v>470</v>
      </c>
      <c r="B4365" s="50">
        <v>44742.0</v>
      </c>
      <c r="C4365" s="49" t="s">
        <v>777</v>
      </c>
      <c r="D4365" s="49">
        <v>0.0</v>
      </c>
    </row>
    <row r="4366" ht="15.0" hidden="1" customHeight="1">
      <c r="A4366" s="49" t="s">
        <v>476</v>
      </c>
      <c r="B4366" s="50">
        <v>44742.0</v>
      </c>
      <c r="C4366" s="49" t="s">
        <v>777</v>
      </c>
      <c r="D4366" s="49">
        <v>0.0</v>
      </c>
    </row>
    <row r="4367" ht="15.0" hidden="1" customHeight="1">
      <c r="A4367" s="49" t="s">
        <v>481</v>
      </c>
      <c r="B4367" s="50">
        <v>44742.0</v>
      </c>
      <c r="C4367" s="49" t="s">
        <v>777</v>
      </c>
      <c r="D4367" s="49">
        <v>0.0</v>
      </c>
    </row>
    <row r="4368" ht="15.0" hidden="1" customHeight="1">
      <c r="A4368" s="49" t="s">
        <v>486</v>
      </c>
      <c r="B4368" s="50">
        <v>44742.0</v>
      </c>
      <c r="C4368" s="49" t="s">
        <v>777</v>
      </c>
      <c r="D4368" s="49">
        <v>0.0</v>
      </c>
    </row>
    <row r="4369" ht="15.0" hidden="1" customHeight="1">
      <c r="A4369" s="49" t="s">
        <v>491</v>
      </c>
      <c r="B4369" s="50">
        <v>44742.0</v>
      </c>
      <c r="C4369" s="49" t="s">
        <v>777</v>
      </c>
      <c r="D4369" s="49">
        <v>0.0</v>
      </c>
    </row>
    <row r="4370" ht="15.0" hidden="1" customHeight="1">
      <c r="A4370" s="49" t="s">
        <v>496</v>
      </c>
      <c r="B4370" s="50">
        <v>44742.0</v>
      </c>
      <c r="C4370" s="49" t="s">
        <v>777</v>
      </c>
      <c r="D4370" s="49">
        <v>0.0</v>
      </c>
    </row>
    <row r="4371" ht="15.0" hidden="1" customHeight="1">
      <c r="A4371" s="49" t="s">
        <v>501</v>
      </c>
      <c r="B4371" s="50">
        <v>44742.0</v>
      </c>
      <c r="C4371" s="49" t="s">
        <v>777</v>
      </c>
      <c r="D4371" s="49">
        <v>0.0</v>
      </c>
    </row>
    <row r="4372" ht="15.0" hidden="1" customHeight="1">
      <c r="A4372" s="49" t="s">
        <v>506</v>
      </c>
      <c r="B4372" s="50">
        <v>44742.0</v>
      </c>
      <c r="C4372" s="49" t="s">
        <v>777</v>
      </c>
      <c r="D4372" s="49">
        <v>0.0</v>
      </c>
    </row>
    <row r="4373" ht="15.0" hidden="1" customHeight="1">
      <c r="A4373" s="49" t="s">
        <v>512</v>
      </c>
      <c r="B4373" s="50">
        <v>44742.0</v>
      </c>
      <c r="C4373" s="49" t="s">
        <v>777</v>
      </c>
      <c r="D4373" s="49">
        <v>0.0</v>
      </c>
    </row>
    <row r="4374" ht="15.0" hidden="1" customHeight="1">
      <c r="A4374" s="49" t="s">
        <v>517</v>
      </c>
      <c r="B4374" s="50">
        <v>44742.0</v>
      </c>
      <c r="C4374" s="49" t="s">
        <v>777</v>
      </c>
      <c r="D4374" s="49">
        <v>0.0</v>
      </c>
    </row>
    <row r="4375" ht="15.0" hidden="1" customHeight="1">
      <c r="A4375" s="49" t="s">
        <v>522</v>
      </c>
      <c r="B4375" s="50">
        <v>44742.0</v>
      </c>
      <c r="C4375" s="49" t="s">
        <v>777</v>
      </c>
      <c r="D4375" s="49">
        <v>0.0</v>
      </c>
    </row>
    <row r="4376" ht="15.0" hidden="1" customHeight="1">
      <c r="A4376" s="49" t="s">
        <v>528</v>
      </c>
      <c r="B4376" s="50">
        <v>44742.0</v>
      </c>
      <c r="C4376" s="49" t="s">
        <v>777</v>
      </c>
      <c r="D4376" s="49">
        <v>0.0</v>
      </c>
    </row>
    <row r="4377" ht="15.0" hidden="1" customHeight="1">
      <c r="A4377" s="49" t="s">
        <v>533</v>
      </c>
      <c r="B4377" s="50">
        <v>44742.0</v>
      </c>
      <c r="C4377" s="49" t="s">
        <v>777</v>
      </c>
      <c r="D4377" s="49">
        <v>0.0</v>
      </c>
    </row>
    <row r="4378" ht="15.0" hidden="1" customHeight="1">
      <c r="A4378" s="49" t="s">
        <v>538</v>
      </c>
      <c r="B4378" s="50">
        <v>44742.0</v>
      </c>
      <c r="C4378" s="49" t="s">
        <v>777</v>
      </c>
      <c r="D4378" s="49">
        <v>0.0</v>
      </c>
    </row>
    <row r="4379" ht="15.0" hidden="1" customHeight="1">
      <c r="A4379" s="49" t="s">
        <v>546</v>
      </c>
      <c r="B4379" s="50">
        <v>44742.0</v>
      </c>
      <c r="C4379" s="49" t="s">
        <v>777</v>
      </c>
      <c r="D4379" s="49">
        <v>0.0</v>
      </c>
    </row>
    <row r="4380" ht="15.0" hidden="1" customHeight="1">
      <c r="A4380" s="49" t="s">
        <v>551</v>
      </c>
      <c r="B4380" s="50">
        <v>44742.0</v>
      </c>
      <c r="C4380" s="49" t="s">
        <v>777</v>
      </c>
      <c r="D4380" s="49">
        <v>0.0</v>
      </c>
    </row>
    <row r="4381" ht="15.0" hidden="1" customHeight="1">
      <c r="A4381" s="49" t="s">
        <v>556</v>
      </c>
      <c r="B4381" s="50">
        <v>44742.0</v>
      </c>
      <c r="C4381" s="49" t="s">
        <v>777</v>
      </c>
      <c r="D4381" s="49">
        <v>0.0</v>
      </c>
    </row>
    <row r="4382" ht="15.0" hidden="1" customHeight="1">
      <c r="A4382" s="49" t="s">
        <v>561</v>
      </c>
      <c r="B4382" s="50">
        <v>44742.0</v>
      </c>
      <c r="C4382" s="49" t="s">
        <v>777</v>
      </c>
      <c r="D4382" s="49">
        <v>0.0</v>
      </c>
    </row>
    <row r="4383" ht="15.0" hidden="1" customHeight="1">
      <c r="A4383" s="49" t="s">
        <v>566</v>
      </c>
      <c r="B4383" s="50">
        <v>44742.0</v>
      </c>
      <c r="C4383" s="49" t="s">
        <v>777</v>
      </c>
      <c r="D4383" s="49">
        <v>0.0</v>
      </c>
    </row>
    <row r="4384" ht="15.0" hidden="1" customHeight="1">
      <c r="A4384" s="49" t="s">
        <v>571</v>
      </c>
      <c r="B4384" s="50">
        <v>44742.0</v>
      </c>
      <c r="C4384" s="49" t="s">
        <v>777</v>
      </c>
      <c r="D4384" s="49">
        <v>0.0</v>
      </c>
    </row>
    <row r="4385" ht="15.0" hidden="1" customHeight="1">
      <c r="A4385" s="49" t="s">
        <v>576</v>
      </c>
      <c r="B4385" s="50">
        <v>44742.0</v>
      </c>
      <c r="C4385" s="49" t="s">
        <v>777</v>
      </c>
      <c r="D4385" s="49">
        <v>0.0</v>
      </c>
    </row>
    <row r="4386" ht="15.0" hidden="1" customHeight="1">
      <c r="A4386" s="49" t="s">
        <v>581</v>
      </c>
      <c r="B4386" s="50">
        <v>44742.0</v>
      </c>
      <c r="C4386" s="49" t="s">
        <v>777</v>
      </c>
      <c r="D4386" s="49">
        <v>0.0</v>
      </c>
    </row>
    <row r="4387" ht="15.0" hidden="1" customHeight="1">
      <c r="A4387" s="49" t="s">
        <v>586</v>
      </c>
      <c r="B4387" s="50">
        <v>44742.0</v>
      </c>
      <c r="C4387" s="49" t="s">
        <v>777</v>
      </c>
      <c r="D4387" s="49">
        <v>0.0</v>
      </c>
    </row>
    <row r="4388" ht="15.0" hidden="1" customHeight="1">
      <c r="A4388" s="49" t="s">
        <v>754</v>
      </c>
      <c r="B4388" s="50">
        <v>44742.0</v>
      </c>
      <c r="C4388" s="49" t="s">
        <v>777</v>
      </c>
      <c r="D4388" s="49">
        <v>0.0</v>
      </c>
    </row>
    <row r="4389" ht="15.0" hidden="1" customHeight="1">
      <c r="A4389" s="49" t="s">
        <v>591</v>
      </c>
      <c r="B4389" s="50">
        <v>44742.0</v>
      </c>
      <c r="C4389" s="49" t="s">
        <v>777</v>
      </c>
      <c r="D4389" s="49">
        <v>0.0</v>
      </c>
    </row>
    <row r="4390" ht="15.0" hidden="1" customHeight="1">
      <c r="A4390" s="49" t="s">
        <v>759</v>
      </c>
      <c r="B4390" s="50">
        <v>44742.0</v>
      </c>
      <c r="C4390" s="49" t="s">
        <v>777</v>
      </c>
      <c r="D4390" s="49">
        <v>0.0</v>
      </c>
    </row>
    <row r="4391" ht="15.0" hidden="1" customHeight="1">
      <c r="A4391" s="49" t="s">
        <v>596</v>
      </c>
      <c r="B4391" s="50">
        <v>44742.0</v>
      </c>
      <c r="C4391" s="49" t="s">
        <v>777</v>
      </c>
      <c r="D4391" s="49">
        <v>0.0</v>
      </c>
    </row>
    <row r="4392" ht="15.0" hidden="1" customHeight="1">
      <c r="A4392" s="49" t="s">
        <v>602</v>
      </c>
      <c r="B4392" s="50">
        <v>44742.0</v>
      </c>
      <c r="C4392" s="49" t="s">
        <v>777</v>
      </c>
      <c r="D4392" s="49">
        <v>0.0</v>
      </c>
    </row>
    <row r="4393" ht="15.0" hidden="1" customHeight="1">
      <c r="A4393" s="49" t="s">
        <v>607</v>
      </c>
      <c r="B4393" s="50">
        <v>44742.0</v>
      </c>
      <c r="C4393" s="49" t="s">
        <v>777</v>
      </c>
      <c r="D4393" s="49">
        <v>0.0</v>
      </c>
    </row>
    <row r="4394" ht="15.0" hidden="1" customHeight="1">
      <c r="A4394" s="49" t="s">
        <v>612</v>
      </c>
      <c r="B4394" s="50">
        <v>44742.0</v>
      </c>
      <c r="C4394" s="49" t="s">
        <v>777</v>
      </c>
      <c r="D4394" s="49">
        <v>0.0</v>
      </c>
    </row>
    <row r="4395" ht="15.0" hidden="1" customHeight="1">
      <c r="A4395" s="49" t="s">
        <v>617</v>
      </c>
      <c r="B4395" s="50">
        <v>44742.0</v>
      </c>
      <c r="C4395" s="49" t="s">
        <v>777</v>
      </c>
      <c r="D4395" s="49">
        <v>0.0</v>
      </c>
    </row>
    <row r="4396" ht="15.0" hidden="1" customHeight="1">
      <c r="A4396" s="49" t="s">
        <v>622</v>
      </c>
      <c r="B4396" s="50">
        <v>44742.0</v>
      </c>
      <c r="C4396" s="49" t="s">
        <v>777</v>
      </c>
      <c r="D4396" s="49">
        <v>0.0</v>
      </c>
    </row>
    <row r="4397" ht="15.0" hidden="1" customHeight="1">
      <c r="A4397" s="49" t="s">
        <v>627</v>
      </c>
      <c r="B4397" s="50">
        <v>44742.0</v>
      </c>
      <c r="C4397" s="49" t="s">
        <v>777</v>
      </c>
      <c r="D4397" s="49">
        <v>0.0</v>
      </c>
    </row>
    <row r="4398" ht="15.0" hidden="1" customHeight="1">
      <c r="A4398" s="49" t="s">
        <v>631</v>
      </c>
      <c r="B4398" s="50">
        <v>44742.0</v>
      </c>
      <c r="C4398" s="49" t="s">
        <v>777</v>
      </c>
      <c r="D4398" s="49">
        <v>0.0</v>
      </c>
    </row>
    <row r="4399" ht="15.0" hidden="1" customHeight="1">
      <c r="A4399" s="49" t="s">
        <v>636</v>
      </c>
      <c r="B4399" s="50">
        <v>44742.0</v>
      </c>
      <c r="C4399" s="49" t="s">
        <v>777</v>
      </c>
      <c r="D4399" s="49">
        <v>0.0</v>
      </c>
    </row>
    <row r="4400" ht="15.0" hidden="1" customHeight="1">
      <c r="A4400" s="49" t="s">
        <v>640</v>
      </c>
      <c r="B4400" s="50">
        <v>44742.0</v>
      </c>
      <c r="C4400" s="49" t="s">
        <v>777</v>
      </c>
      <c r="D4400" s="49">
        <v>0.0</v>
      </c>
    </row>
    <row r="4401" ht="15.0" hidden="1" customHeight="1">
      <c r="A4401" s="49" t="s">
        <v>644</v>
      </c>
      <c r="B4401" s="50">
        <v>44742.0</v>
      </c>
      <c r="C4401" s="49" t="s">
        <v>777</v>
      </c>
      <c r="D4401" s="49">
        <v>0.0</v>
      </c>
    </row>
    <row r="4402" ht="15.0" hidden="1" customHeight="1">
      <c r="A4402" s="49" t="s">
        <v>649</v>
      </c>
      <c r="B4402" s="50">
        <v>44742.0</v>
      </c>
      <c r="C4402" s="49" t="s">
        <v>777</v>
      </c>
      <c r="D4402" s="49">
        <v>0.0</v>
      </c>
    </row>
    <row r="4403" ht="15.0" hidden="1" customHeight="1">
      <c r="A4403" s="49" t="s">
        <v>654</v>
      </c>
      <c r="B4403" s="50">
        <v>44742.0</v>
      </c>
      <c r="C4403" s="49" t="s">
        <v>777</v>
      </c>
      <c r="D4403" s="49">
        <v>0.0</v>
      </c>
    </row>
    <row r="4404" ht="15.0" hidden="1" customHeight="1">
      <c r="A4404" s="49" t="s">
        <v>659</v>
      </c>
      <c r="B4404" s="50">
        <v>44742.0</v>
      </c>
      <c r="C4404" s="49" t="s">
        <v>777</v>
      </c>
      <c r="D4404" s="49">
        <v>0.0</v>
      </c>
    </row>
    <row r="4405" ht="15.0" hidden="1" customHeight="1">
      <c r="A4405" s="49" t="s">
        <v>664</v>
      </c>
      <c r="B4405" s="50">
        <v>44742.0</v>
      </c>
      <c r="C4405" s="49" t="s">
        <v>777</v>
      </c>
      <c r="D4405" s="49">
        <v>0.0</v>
      </c>
    </row>
    <row r="4406" ht="15.0" hidden="1" customHeight="1">
      <c r="A4406" s="49" t="s">
        <v>669</v>
      </c>
      <c r="B4406" s="50">
        <v>44742.0</v>
      </c>
      <c r="C4406" s="49" t="s">
        <v>777</v>
      </c>
      <c r="D4406" s="49">
        <v>0.0</v>
      </c>
    </row>
    <row r="4407" ht="15.0" hidden="1" customHeight="1">
      <c r="A4407" s="49" t="s">
        <v>674</v>
      </c>
      <c r="B4407" s="50">
        <v>44742.0</v>
      </c>
      <c r="C4407" s="49" t="s">
        <v>777</v>
      </c>
      <c r="D4407" s="49">
        <v>0.0</v>
      </c>
    </row>
    <row r="4408" ht="15.0" hidden="1" customHeight="1">
      <c r="A4408" s="49" t="s">
        <v>679</v>
      </c>
      <c r="B4408" s="50">
        <v>44742.0</v>
      </c>
      <c r="C4408" s="49" t="s">
        <v>777</v>
      </c>
      <c r="D4408" s="49">
        <v>0.0</v>
      </c>
    </row>
    <row r="4409" ht="15.0" hidden="1" customHeight="1">
      <c r="A4409" s="49" t="s">
        <v>684</v>
      </c>
      <c r="B4409" s="50">
        <v>44742.0</v>
      </c>
      <c r="C4409" s="49" t="s">
        <v>777</v>
      </c>
      <c r="D4409" s="49">
        <v>0.0</v>
      </c>
    </row>
    <row r="4410" ht="15.0" hidden="1" customHeight="1">
      <c r="A4410" s="49" t="s">
        <v>689</v>
      </c>
      <c r="B4410" s="50">
        <v>44742.0</v>
      </c>
      <c r="C4410" s="49" t="s">
        <v>777</v>
      </c>
      <c r="D4410" s="49">
        <v>0.0</v>
      </c>
    </row>
    <row r="4411" ht="15.0" hidden="1" customHeight="1">
      <c r="A4411" s="49" t="s">
        <v>694</v>
      </c>
      <c r="B4411" s="50">
        <v>44742.0</v>
      </c>
      <c r="C4411" s="49" t="s">
        <v>777</v>
      </c>
      <c r="D4411" s="49">
        <v>0.0</v>
      </c>
    </row>
    <row r="4412" ht="15.0" hidden="1" customHeight="1">
      <c r="A4412" s="49" t="s">
        <v>699</v>
      </c>
      <c r="B4412" s="50">
        <v>44742.0</v>
      </c>
      <c r="C4412" s="49" t="s">
        <v>777</v>
      </c>
      <c r="D4412" s="49">
        <v>0.0</v>
      </c>
    </row>
    <row r="4413" ht="15.0" hidden="1" customHeight="1">
      <c r="A4413" s="49" t="s">
        <v>705</v>
      </c>
      <c r="B4413" s="50">
        <v>44742.0</v>
      </c>
      <c r="C4413" s="49" t="s">
        <v>777</v>
      </c>
      <c r="D4413" s="49">
        <v>0.0</v>
      </c>
    </row>
    <row r="4414" ht="15.0" hidden="1" customHeight="1">
      <c r="A4414" s="49" t="s">
        <v>710</v>
      </c>
      <c r="B4414" s="50">
        <v>44742.0</v>
      </c>
      <c r="C4414" s="49" t="s">
        <v>777</v>
      </c>
      <c r="D4414" s="49">
        <v>0.0</v>
      </c>
    </row>
    <row r="4415" ht="15.0" hidden="1" customHeight="1">
      <c r="A4415" s="49" t="s">
        <v>715</v>
      </c>
      <c r="B4415" s="50">
        <v>44742.0</v>
      </c>
      <c r="C4415" s="49" t="s">
        <v>777</v>
      </c>
      <c r="D4415" s="49">
        <v>0.0</v>
      </c>
    </row>
    <row r="4416" ht="15.0" hidden="1" customHeight="1">
      <c r="A4416" s="49" t="s">
        <v>765</v>
      </c>
      <c r="B4416" s="50">
        <v>44742.0</v>
      </c>
      <c r="C4416" s="49" t="s">
        <v>777</v>
      </c>
      <c r="D4416" s="49">
        <v>0.0</v>
      </c>
    </row>
    <row r="4417" ht="15.0" hidden="1" customHeight="1">
      <c r="A4417" s="49" t="s">
        <v>720</v>
      </c>
      <c r="B4417" s="50">
        <v>44742.0</v>
      </c>
      <c r="C4417" s="49" t="s">
        <v>777</v>
      </c>
      <c r="D4417" s="49">
        <v>0.0</v>
      </c>
    </row>
    <row r="4418" ht="15.0" hidden="1" customHeight="1">
      <c r="A4418" s="49" t="s">
        <v>725</v>
      </c>
      <c r="B4418" s="50">
        <v>44742.0</v>
      </c>
      <c r="C4418" s="49" t="s">
        <v>777</v>
      </c>
      <c r="D4418" s="49">
        <v>0.0</v>
      </c>
    </row>
    <row r="4419" ht="15.0" hidden="1" customHeight="1">
      <c r="A4419" s="49" t="s">
        <v>730</v>
      </c>
      <c r="B4419" s="50">
        <v>44742.0</v>
      </c>
      <c r="C4419" s="49" t="s">
        <v>777</v>
      </c>
      <c r="D4419" s="49">
        <v>0.0</v>
      </c>
    </row>
    <row r="4420" ht="15.0" hidden="1" customHeight="1">
      <c r="A4420" s="49" t="s">
        <v>734</v>
      </c>
      <c r="B4420" s="50">
        <v>44742.0</v>
      </c>
      <c r="C4420" s="49" t="s">
        <v>777</v>
      </c>
      <c r="D4420" s="49">
        <v>0.0</v>
      </c>
    </row>
    <row r="4421" ht="15.0" hidden="1" customHeight="1">
      <c r="A4421" s="49" t="s">
        <v>739</v>
      </c>
      <c r="B4421" s="50">
        <v>44742.0</v>
      </c>
      <c r="C4421" s="49" t="s">
        <v>777</v>
      </c>
      <c r="D4421" s="49">
        <v>0.0</v>
      </c>
    </row>
    <row r="4422" ht="15.0" hidden="1" customHeight="1">
      <c r="A4422" s="49" t="s">
        <v>744</v>
      </c>
      <c r="B4422" s="50">
        <v>44742.0</v>
      </c>
      <c r="C4422" s="49" t="s">
        <v>777</v>
      </c>
      <c r="D4422" s="49">
        <v>0.0</v>
      </c>
    </row>
    <row r="4423" ht="15.0" hidden="1" customHeight="1">
      <c r="A4423" s="49" t="s">
        <v>749</v>
      </c>
      <c r="B4423" s="50">
        <v>44742.0</v>
      </c>
      <c r="C4423" s="49" t="s">
        <v>777</v>
      </c>
      <c r="D4423" s="49">
        <v>0.0</v>
      </c>
    </row>
    <row r="4424" ht="15.0" customHeight="1">
      <c r="A4424" s="49" t="s">
        <v>776</v>
      </c>
      <c r="B4424" s="50">
        <v>44742.0</v>
      </c>
      <c r="C4424" s="49" t="s">
        <v>78</v>
      </c>
      <c r="D4424" s="49">
        <v>0.0</v>
      </c>
    </row>
    <row r="4425" ht="15.0" hidden="1" customHeight="1">
      <c r="A4425" s="49" t="s">
        <v>778</v>
      </c>
      <c r="B4425" s="50">
        <v>44742.0</v>
      </c>
      <c r="C4425" s="49" t="s">
        <v>78</v>
      </c>
      <c r="D4425" s="49">
        <v>0.0</v>
      </c>
    </row>
    <row r="4426" ht="15.0" hidden="1" customHeight="1">
      <c r="A4426" s="49" t="s">
        <v>92</v>
      </c>
      <c r="B4426" s="50">
        <v>44742.0</v>
      </c>
      <c r="C4426" s="49" t="s">
        <v>78</v>
      </c>
      <c r="D4426" s="49">
        <v>0.0</v>
      </c>
    </row>
    <row r="4427" ht="15.0" hidden="1" customHeight="1">
      <c r="A4427" s="49" t="s">
        <v>97</v>
      </c>
      <c r="B4427" s="50">
        <v>44742.0</v>
      </c>
      <c r="C4427" s="49" t="s">
        <v>78</v>
      </c>
      <c r="D4427" s="49">
        <v>0.0</v>
      </c>
    </row>
    <row r="4428" ht="15.0" hidden="1" customHeight="1">
      <c r="A4428" s="49" t="s">
        <v>102</v>
      </c>
      <c r="B4428" s="50">
        <v>44742.0</v>
      </c>
      <c r="C4428" s="49" t="s">
        <v>78</v>
      </c>
      <c r="D4428" s="49">
        <v>0.0</v>
      </c>
    </row>
    <row r="4429" ht="15.0" hidden="1" customHeight="1">
      <c r="A4429" s="49" t="s">
        <v>106</v>
      </c>
      <c r="B4429" s="50">
        <v>44742.0</v>
      </c>
      <c r="C4429" s="49" t="s">
        <v>78</v>
      </c>
      <c r="D4429" s="49">
        <v>0.0</v>
      </c>
    </row>
    <row r="4430" ht="15.0" hidden="1" customHeight="1">
      <c r="A4430" s="49" t="s">
        <v>111</v>
      </c>
      <c r="B4430" s="50">
        <v>44742.0</v>
      </c>
      <c r="C4430" s="49" t="s">
        <v>78</v>
      </c>
      <c r="D4430" s="49">
        <v>0.0</v>
      </c>
    </row>
    <row r="4431" ht="15.0" hidden="1" customHeight="1">
      <c r="A4431" s="49" t="s">
        <v>116</v>
      </c>
      <c r="B4431" s="50">
        <v>44742.0</v>
      </c>
      <c r="C4431" s="49" t="s">
        <v>78</v>
      </c>
      <c r="D4431" s="49">
        <v>0.0</v>
      </c>
    </row>
    <row r="4432" ht="15.0" hidden="1" customHeight="1">
      <c r="A4432" s="49" t="s">
        <v>120</v>
      </c>
      <c r="B4432" s="50">
        <v>44742.0</v>
      </c>
      <c r="C4432" s="49" t="s">
        <v>78</v>
      </c>
      <c r="D4432" s="49">
        <v>0.0</v>
      </c>
    </row>
    <row r="4433" ht="15.0" hidden="1" customHeight="1">
      <c r="A4433" s="49" t="s">
        <v>125</v>
      </c>
      <c r="B4433" s="50">
        <v>44742.0</v>
      </c>
      <c r="C4433" s="49" t="s">
        <v>78</v>
      </c>
      <c r="D4433" s="49">
        <v>0.0</v>
      </c>
    </row>
    <row r="4434" ht="15.0" hidden="1" customHeight="1">
      <c r="A4434" s="49" t="s">
        <v>130</v>
      </c>
      <c r="B4434" s="50">
        <v>44742.0</v>
      </c>
      <c r="C4434" s="49" t="s">
        <v>78</v>
      </c>
      <c r="D4434" s="49">
        <v>0.0</v>
      </c>
    </row>
    <row r="4435" ht="15.0" hidden="1" customHeight="1">
      <c r="A4435" s="49" t="s">
        <v>137</v>
      </c>
      <c r="B4435" s="50">
        <v>44742.0</v>
      </c>
      <c r="C4435" s="49" t="s">
        <v>78</v>
      </c>
      <c r="D4435" s="49">
        <v>0.0</v>
      </c>
    </row>
    <row r="4436" ht="15.0" hidden="1" customHeight="1">
      <c r="A4436" s="49" t="s">
        <v>142</v>
      </c>
      <c r="B4436" s="50">
        <v>44742.0</v>
      </c>
      <c r="C4436" s="49" t="s">
        <v>78</v>
      </c>
      <c r="D4436" s="49">
        <v>0.0</v>
      </c>
    </row>
    <row r="4437" ht="15.0" hidden="1" customHeight="1">
      <c r="A4437" s="49" t="s">
        <v>147</v>
      </c>
      <c r="B4437" s="50">
        <v>44742.0</v>
      </c>
      <c r="C4437" s="49" t="s">
        <v>78</v>
      </c>
      <c r="D4437" s="49">
        <v>0.0</v>
      </c>
    </row>
    <row r="4438" ht="15.0" hidden="1" customHeight="1">
      <c r="A4438" s="49" t="s">
        <v>152</v>
      </c>
      <c r="B4438" s="50">
        <v>44742.0</v>
      </c>
      <c r="C4438" s="49" t="s">
        <v>78</v>
      </c>
      <c r="D4438" s="49">
        <v>0.0</v>
      </c>
    </row>
    <row r="4439" ht="15.0" hidden="1" customHeight="1">
      <c r="A4439" s="49" t="s">
        <v>157</v>
      </c>
      <c r="B4439" s="50">
        <v>44742.0</v>
      </c>
      <c r="C4439" s="49" t="s">
        <v>78</v>
      </c>
      <c r="D4439" s="49">
        <v>0.0</v>
      </c>
    </row>
    <row r="4440" ht="15.0" hidden="1" customHeight="1">
      <c r="A4440" s="49" t="s">
        <v>162</v>
      </c>
      <c r="B4440" s="50">
        <v>44742.0</v>
      </c>
      <c r="C4440" s="49" t="s">
        <v>78</v>
      </c>
      <c r="D4440" s="49">
        <v>0.0</v>
      </c>
    </row>
    <row r="4441" ht="15.0" hidden="1" customHeight="1">
      <c r="A4441" s="49" t="s">
        <v>167</v>
      </c>
      <c r="B4441" s="50">
        <v>44742.0</v>
      </c>
      <c r="C4441" s="49" t="s">
        <v>78</v>
      </c>
      <c r="D4441" s="49">
        <v>0.0</v>
      </c>
    </row>
    <row r="4442" ht="15.0" hidden="1" customHeight="1">
      <c r="A4442" s="49" t="s">
        <v>172</v>
      </c>
      <c r="B4442" s="50">
        <v>44742.0</v>
      </c>
      <c r="C4442" s="49" t="s">
        <v>78</v>
      </c>
      <c r="D4442" s="49">
        <v>0.0</v>
      </c>
    </row>
    <row r="4443" ht="15.0" hidden="1" customHeight="1">
      <c r="A4443" s="49" t="s">
        <v>177</v>
      </c>
      <c r="B4443" s="50">
        <v>44742.0</v>
      </c>
      <c r="C4443" s="49" t="s">
        <v>78</v>
      </c>
      <c r="D4443" s="49">
        <v>0.0</v>
      </c>
    </row>
    <row r="4444" ht="15.0" hidden="1" customHeight="1">
      <c r="A4444" s="49" t="s">
        <v>182</v>
      </c>
      <c r="B4444" s="50">
        <v>44742.0</v>
      </c>
      <c r="C4444" s="49" t="s">
        <v>78</v>
      </c>
      <c r="D4444" s="49">
        <v>0.0</v>
      </c>
    </row>
    <row r="4445" ht="15.0" hidden="1" customHeight="1">
      <c r="A4445" s="49" t="s">
        <v>187</v>
      </c>
      <c r="B4445" s="50">
        <v>44742.0</v>
      </c>
      <c r="C4445" s="49" t="s">
        <v>78</v>
      </c>
      <c r="D4445" s="49">
        <v>0.0</v>
      </c>
    </row>
    <row r="4446" ht="15.0" hidden="1" customHeight="1">
      <c r="A4446" s="49" t="s">
        <v>192</v>
      </c>
      <c r="B4446" s="50">
        <v>44742.0</v>
      </c>
      <c r="C4446" s="49" t="s">
        <v>78</v>
      </c>
      <c r="D4446" s="49">
        <v>0.0</v>
      </c>
    </row>
    <row r="4447" ht="15.0" hidden="1" customHeight="1">
      <c r="A4447" s="49" t="s">
        <v>197</v>
      </c>
      <c r="B4447" s="50">
        <v>44742.0</v>
      </c>
      <c r="C4447" s="49" t="s">
        <v>78</v>
      </c>
      <c r="D4447" s="49">
        <v>0.0</v>
      </c>
    </row>
    <row r="4448" ht="15.0" hidden="1" customHeight="1">
      <c r="A4448" s="49" t="s">
        <v>202</v>
      </c>
      <c r="B4448" s="50">
        <v>44742.0</v>
      </c>
      <c r="C4448" s="49" t="s">
        <v>78</v>
      </c>
      <c r="D4448" s="49">
        <v>0.0</v>
      </c>
    </row>
    <row r="4449" ht="15.0" hidden="1" customHeight="1">
      <c r="A4449" s="49" t="s">
        <v>206</v>
      </c>
      <c r="B4449" s="50">
        <v>44742.0</v>
      </c>
      <c r="C4449" s="49" t="s">
        <v>78</v>
      </c>
      <c r="D4449" s="49">
        <v>0.0</v>
      </c>
    </row>
    <row r="4450" ht="15.0" hidden="1" customHeight="1">
      <c r="A4450" s="49" t="s">
        <v>211</v>
      </c>
      <c r="B4450" s="50">
        <v>44742.0</v>
      </c>
      <c r="C4450" s="49" t="s">
        <v>78</v>
      </c>
      <c r="D4450" s="49">
        <v>0.0</v>
      </c>
    </row>
    <row r="4451" ht="15.0" hidden="1" customHeight="1">
      <c r="A4451" s="49" t="s">
        <v>779</v>
      </c>
      <c r="B4451" s="50">
        <v>44742.0</v>
      </c>
      <c r="C4451" s="49" t="s">
        <v>78</v>
      </c>
      <c r="D4451" s="49">
        <v>0.0</v>
      </c>
    </row>
    <row r="4452" ht="15.0" hidden="1" customHeight="1">
      <c r="A4452" s="49" t="s">
        <v>221</v>
      </c>
      <c r="B4452" s="50">
        <v>44742.0</v>
      </c>
      <c r="C4452" s="49" t="s">
        <v>78</v>
      </c>
      <c r="D4452" s="49">
        <v>0.0</v>
      </c>
    </row>
    <row r="4453" ht="15.0" hidden="1" customHeight="1">
      <c r="A4453" s="49" t="s">
        <v>226</v>
      </c>
      <c r="B4453" s="50">
        <v>44742.0</v>
      </c>
      <c r="C4453" s="49" t="s">
        <v>78</v>
      </c>
      <c r="D4453" s="49">
        <v>0.0</v>
      </c>
    </row>
    <row r="4454" ht="15.0" hidden="1" customHeight="1">
      <c r="A4454" s="49" t="s">
        <v>231</v>
      </c>
      <c r="B4454" s="50">
        <v>44742.0</v>
      </c>
      <c r="C4454" s="49" t="s">
        <v>78</v>
      </c>
      <c r="D4454" s="49">
        <v>0.0</v>
      </c>
    </row>
    <row r="4455" ht="15.0" hidden="1" customHeight="1">
      <c r="A4455" s="49" t="s">
        <v>236</v>
      </c>
      <c r="B4455" s="50">
        <v>44742.0</v>
      </c>
      <c r="C4455" s="49" t="s">
        <v>78</v>
      </c>
      <c r="D4455" s="49">
        <v>0.0</v>
      </c>
    </row>
    <row r="4456" ht="15.0" hidden="1" customHeight="1">
      <c r="A4456" s="49" t="s">
        <v>242</v>
      </c>
      <c r="B4456" s="50">
        <v>44742.0</v>
      </c>
      <c r="C4456" s="49" t="s">
        <v>78</v>
      </c>
      <c r="D4456" s="49">
        <v>0.0</v>
      </c>
    </row>
    <row r="4457" ht="15.0" hidden="1" customHeight="1">
      <c r="A4457" s="49" t="s">
        <v>248</v>
      </c>
      <c r="B4457" s="50">
        <v>44742.0</v>
      </c>
      <c r="C4457" s="49" t="s">
        <v>78</v>
      </c>
      <c r="D4457" s="49">
        <v>0.0</v>
      </c>
    </row>
    <row r="4458" ht="15.0" hidden="1" customHeight="1">
      <c r="A4458" s="49" t="s">
        <v>253</v>
      </c>
      <c r="B4458" s="50">
        <v>44742.0</v>
      </c>
      <c r="C4458" s="49" t="s">
        <v>78</v>
      </c>
      <c r="D4458" s="49">
        <v>0.0</v>
      </c>
    </row>
    <row r="4459" ht="15.0" hidden="1" customHeight="1">
      <c r="A4459" s="49" t="s">
        <v>258</v>
      </c>
      <c r="B4459" s="50">
        <v>44742.0</v>
      </c>
      <c r="C4459" s="49" t="s">
        <v>78</v>
      </c>
      <c r="D4459" s="49">
        <v>0.0</v>
      </c>
    </row>
    <row r="4460" ht="15.0" hidden="1" customHeight="1">
      <c r="A4460" s="49" t="s">
        <v>263</v>
      </c>
      <c r="B4460" s="50">
        <v>44742.0</v>
      </c>
      <c r="C4460" s="49" t="s">
        <v>78</v>
      </c>
      <c r="D4460" s="49">
        <v>0.0</v>
      </c>
    </row>
    <row r="4461" ht="15.0" hidden="1" customHeight="1">
      <c r="A4461" s="49" t="s">
        <v>268</v>
      </c>
      <c r="B4461" s="50">
        <v>44742.0</v>
      </c>
      <c r="C4461" s="49" t="s">
        <v>78</v>
      </c>
      <c r="D4461" s="49">
        <v>0.0</v>
      </c>
    </row>
    <row r="4462" ht="15.0" hidden="1" customHeight="1">
      <c r="A4462" s="49" t="s">
        <v>273</v>
      </c>
      <c r="B4462" s="50">
        <v>44742.0</v>
      </c>
      <c r="C4462" s="49" t="s">
        <v>78</v>
      </c>
      <c r="D4462" s="49">
        <v>0.0</v>
      </c>
    </row>
    <row r="4463" ht="15.0" hidden="1" customHeight="1">
      <c r="A4463" s="49" t="s">
        <v>278</v>
      </c>
      <c r="B4463" s="50">
        <v>44742.0</v>
      </c>
      <c r="C4463" s="49" t="s">
        <v>78</v>
      </c>
      <c r="D4463" s="49">
        <v>1000000.0</v>
      </c>
    </row>
    <row r="4464" ht="15.0" hidden="1" customHeight="1">
      <c r="A4464" s="49" t="s">
        <v>283</v>
      </c>
      <c r="B4464" s="50">
        <v>44742.0</v>
      </c>
      <c r="C4464" s="49" t="s">
        <v>78</v>
      </c>
      <c r="D4464" s="49">
        <v>903000.0</v>
      </c>
    </row>
    <row r="4465" ht="15.0" hidden="1" customHeight="1">
      <c r="A4465" s="49" t="s">
        <v>288</v>
      </c>
      <c r="B4465" s="50">
        <v>44742.0</v>
      </c>
      <c r="C4465" s="49" t="s">
        <v>78</v>
      </c>
      <c r="D4465" s="49">
        <v>700000.0</v>
      </c>
    </row>
    <row r="4466" ht="15.0" hidden="1" customHeight="1">
      <c r="A4466" s="49" t="s">
        <v>293</v>
      </c>
      <c r="B4466" s="50">
        <v>44742.0</v>
      </c>
      <c r="C4466" s="49" t="s">
        <v>78</v>
      </c>
      <c r="D4466" s="49">
        <v>650000.0</v>
      </c>
    </row>
    <row r="4467" ht="15.0" hidden="1" customHeight="1">
      <c r="A4467" s="49" t="s">
        <v>298</v>
      </c>
      <c r="B4467" s="50">
        <v>44742.0</v>
      </c>
      <c r="C4467" s="49" t="s">
        <v>78</v>
      </c>
      <c r="D4467" s="49">
        <v>500000.0</v>
      </c>
    </row>
    <row r="4468" ht="15.0" hidden="1" customHeight="1">
      <c r="A4468" s="49" t="s">
        <v>303</v>
      </c>
      <c r="B4468" s="50">
        <v>44742.0</v>
      </c>
      <c r="C4468" s="49" t="s">
        <v>78</v>
      </c>
      <c r="D4468" s="49">
        <v>1650000.0</v>
      </c>
    </row>
    <row r="4469" ht="15.0" hidden="1" customHeight="1">
      <c r="A4469" s="49" t="s">
        <v>307</v>
      </c>
      <c r="B4469" s="50">
        <v>44742.0</v>
      </c>
      <c r="C4469" s="49" t="s">
        <v>78</v>
      </c>
      <c r="D4469" s="49">
        <v>2674297.49</v>
      </c>
    </row>
    <row r="4470" ht="15.0" hidden="1" customHeight="1">
      <c r="A4470" s="49" t="s">
        <v>313</v>
      </c>
      <c r="B4470" s="50">
        <v>44742.0</v>
      </c>
      <c r="C4470" s="49" t="s">
        <v>78</v>
      </c>
      <c r="D4470" s="49">
        <v>3858000.0</v>
      </c>
    </row>
    <row r="4471" ht="15.0" hidden="1" customHeight="1">
      <c r="A4471" s="49" t="s">
        <v>318</v>
      </c>
      <c r="B4471" s="50">
        <v>44742.0</v>
      </c>
      <c r="C4471" s="49" t="s">
        <v>78</v>
      </c>
      <c r="D4471" s="49">
        <v>0.0</v>
      </c>
    </row>
    <row r="4472" ht="15.0" hidden="1" customHeight="1">
      <c r="A4472" s="49" t="s">
        <v>323</v>
      </c>
      <c r="B4472" s="50">
        <v>44742.0</v>
      </c>
      <c r="C4472" s="49" t="s">
        <v>78</v>
      </c>
      <c r="D4472" s="49">
        <v>0.0</v>
      </c>
    </row>
    <row r="4473" ht="15.0" hidden="1" customHeight="1">
      <c r="A4473" s="49" t="s">
        <v>328</v>
      </c>
      <c r="B4473" s="50">
        <v>44742.0</v>
      </c>
      <c r="C4473" s="49" t="s">
        <v>78</v>
      </c>
      <c r="D4473" s="49">
        <v>0.0</v>
      </c>
    </row>
    <row r="4474" ht="15.0" hidden="1" customHeight="1">
      <c r="A4474" s="49" t="s">
        <v>335</v>
      </c>
      <c r="B4474" s="50">
        <v>44742.0</v>
      </c>
      <c r="C4474" s="49" t="s">
        <v>78</v>
      </c>
      <c r="D4474" s="49">
        <v>0.0</v>
      </c>
    </row>
    <row r="4475" ht="15.0" hidden="1" customHeight="1">
      <c r="A4475" s="49" t="s">
        <v>340</v>
      </c>
      <c r="B4475" s="50">
        <v>44742.0</v>
      </c>
      <c r="C4475" s="49" t="s">
        <v>78</v>
      </c>
      <c r="D4475" s="49">
        <v>0.0</v>
      </c>
    </row>
    <row r="4476" ht="15.0" hidden="1" customHeight="1">
      <c r="A4476" s="49" t="s">
        <v>345</v>
      </c>
      <c r="B4476" s="50">
        <v>44742.0</v>
      </c>
      <c r="C4476" s="49" t="s">
        <v>78</v>
      </c>
      <c r="D4476" s="49">
        <v>0.0</v>
      </c>
    </row>
    <row r="4477" ht="15.0" hidden="1" customHeight="1">
      <c r="A4477" s="49" t="s">
        <v>350</v>
      </c>
      <c r="B4477" s="50">
        <v>44742.0</v>
      </c>
      <c r="C4477" s="49" t="s">
        <v>78</v>
      </c>
      <c r="D4477" s="49">
        <v>0.0</v>
      </c>
    </row>
    <row r="4478" ht="15.0" hidden="1" customHeight="1">
      <c r="A4478" s="49" t="s">
        <v>355</v>
      </c>
      <c r="B4478" s="50">
        <v>44742.0</v>
      </c>
      <c r="C4478" s="49" t="s">
        <v>78</v>
      </c>
      <c r="D4478" s="49">
        <v>0.0</v>
      </c>
    </row>
    <row r="4479" ht="15.0" hidden="1" customHeight="1">
      <c r="A4479" s="49" t="s">
        <v>360</v>
      </c>
      <c r="B4479" s="50">
        <v>44742.0</v>
      </c>
      <c r="C4479" s="49" t="s">
        <v>78</v>
      </c>
      <c r="D4479" s="49">
        <v>0.0</v>
      </c>
    </row>
    <row r="4480" ht="15.0" hidden="1" customHeight="1">
      <c r="A4480" s="49" t="s">
        <v>365</v>
      </c>
      <c r="B4480" s="50">
        <v>44742.0</v>
      </c>
      <c r="C4480" s="49" t="s">
        <v>78</v>
      </c>
      <c r="D4480" s="49">
        <v>0.0</v>
      </c>
    </row>
    <row r="4481" ht="15.0" hidden="1" customHeight="1">
      <c r="A4481" s="49" t="s">
        <v>370</v>
      </c>
      <c r="B4481" s="50">
        <v>44742.0</v>
      </c>
      <c r="C4481" s="49" t="s">
        <v>78</v>
      </c>
      <c r="D4481" s="49">
        <v>0.0</v>
      </c>
    </row>
    <row r="4482" ht="15.0" hidden="1" customHeight="1">
      <c r="A4482" s="49" t="s">
        <v>375</v>
      </c>
      <c r="B4482" s="50">
        <v>44742.0</v>
      </c>
      <c r="C4482" s="49" t="s">
        <v>78</v>
      </c>
      <c r="D4482" s="49">
        <v>0.0</v>
      </c>
    </row>
    <row r="4483" ht="15.0" hidden="1" customHeight="1">
      <c r="A4483" s="49" t="s">
        <v>380</v>
      </c>
      <c r="B4483" s="50">
        <v>44742.0</v>
      </c>
      <c r="C4483" s="49" t="s">
        <v>78</v>
      </c>
      <c r="D4483" s="49">
        <v>0.0</v>
      </c>
    </row>
    <row r="4484" ht="15.0" hidden="1" customHeight="1">
      <c r="A4484" s="49" t="s">
        <v>385</v>
      </c>
      <c r="B4484" s="50">
        <v>44742.0</v>
      </c>
      <c r="C4484" s="49" t="s">
        <v>78</v>
      </c>
      <c r="D4484" s="49">
        <v>0.0</v>
      </c>
    </row>
    <row r="4485" ht="15.0" hidden="1" customHeight="1">
      <c r="A4485" s="49" t="s">
        <v>390</v>
      </c>
      <c r="B4485" s="50">
        <v>44742.0</v>
      </c>
      <c r="C4485" s="49" t="s">
        <v>78</v>
      </c>
      <c r="D4485" s="49">
        <v>0.0</v>
      </c>
    </row>
    <row r="4486" ht="15.0" hidden="1" customHeight="1">
      <c r="A4486" s="49" t="s">
        <v>395</v>
      </c>
      <c r="B4486" s="50">
        <v>44742.0</v>
      </c>
      <c r="C4486" s="49" t="s">
        <v>78</v>
      </c>
      <c r="D4486" s="49">
        <v>0.0</v>
      </c>
    </row>
    <row r="4487" ht="15.0" hidden="1" customHeight="1">
      <c r="A4487" s="49" t="s">
        <v>400</v>
      </c>
      <c r="B4487" s="50">
        <v>44742.0</v>
      </c>
      <c r="C4487" s="49" t="s">
        <v>78</v>
      </c>
      <c r="D4487" s="49">
        <v>0.0</v>
      </c>
    </row>
    <row r="4488" ht="15.0" hidden="1" customHeight="1">
      <c r="A4488" s="49" t="s">
        <v>405</v>
      </c>
      <c r="B4488" s="50">
        <v>44742.0</v>
      </c>
      <c r="C4488" s="49" t="s">
        <v>78</v>
      </c>
      <c r="D4488" s="49">
        <v>0.0</v>
      </c>
    </row>
    <row r="4489" ht="15.0" hidden="1" customHeight="1">
      <c r="A4489" s="49" t="s">
        <v>410</v>
      </c>
      <c r="B4489" s="50">
        <v>44742.0</v>
      </c>
      <c r="C4489" s="49" t="s">
        <v>78</v>
      </c>
      <c r="D4489" s="49">
        <v>0.0</v>
      </c>
    </row>
    <row r="4490" ht="15.0" hidden="1" customHeight="1">
      <c r="A4490" s="49" t="s">
        <v>415</v>
      </c>
      <c r="B4490" s="50">
        <v>44742.0</v>
      </c>
      <c r="C4490" s="49" t="s">
        <v>78</v>
      </c>
      <c r="D4490" s="49">
        <v>0.0</v>
      </c>
    </row>
    <row r="4491" ht="15.0" hidden="1" customHeight="1">
      <c r="A4491" s="49" t="s">
        <v>420</v>
      </c>
      <c r="B4491" s="50">
        <v>44742.0</v>
      </c>
      <c r="C4491" s="49" t="s">
        <v>78</v>
      </c>
      <c r="D4491" s="49">
        <v>0.0</v>
      </c>
    </row>
    <row r="4492" ht="15.0" hidden="1" customHeight="1">
      <c r="A4492" s="49" t="s">
        <v>425</v>
      </c>
      <c r="B4492" s="50">
        <v>44742.0</v>
      </c>
      <c r="C4492" s="49" t="s">
        <v>78</v>
      </c>
      <c r="D4492" s="49">
        <v>0.0</v>
      </c>
    </row>
    <row r="4493" ht="15.0" hidden="1" customHeight="1">
      <c r="A4493" s="49" t="s">
        <v>430</v>
      </c>
      <c r="B4493" s="50">
        <v>44742.0</v>
      </c>
      <c r="C4493" s="49" t="s">
        <v>78</v>
      </c>
      <c r="D4493" s="49">
        <v>0.0</v>
      </c>
    </row>
    <row r="4494" ht="15.0" hidden="1" customHeight="1">
      <c r="A4494" s="49" t="s">
        <v>434</v>
      </c>
      <c r="B4494" s="50">
        <v>44742.0</v>
      </c>
      <c r="C4494" s="49" t="s">
        <v>78</v>
      </c>
      <c r="D4494" s="49">
        <v>0.0</v>
      </c>
    </row>
    <row r="4495" ht="15.0" hidden="1" customHeight="1">
      <c r="A4495" s="49" t="s">
        <v>439</v>
      </c>
      <c r="B4495" s="50">
        <v>44742.0</v>
      </c>
      <c r="C4495" s="49" t="s">
        <v>78</v>
      </c>
      <c r="D4495" s="49">
        <v>0.0</v>
      </c>
    </row>
    <row r="4496" ht="15.0" hidden="1" customHeight="1">
      <c r="A4496" s="49" t="s">
        <v>444</v>
      </c>
      <c r="B4496" s="50">
        <v>44742.0</v>
      </c>
      <c r="C4496" s="49" t="s">
        <v>78</v>
      </c>
      <c r="D4496" s="49">
        <v>0.0</v>
      </c>
    </row>
    <row r="4497" ht="15.0" hidden="1" customHeight="1">
      <c r="A4497" s="49" t="s">
        <v>449</v>
      </c>
      <c r="B4497" s="50">
        <v>44742.0</v>
      </c>
      <c r="C4497" s="49" t="s">
        <v>78</v>
      </c>
      <c r="D4497" s="49">
        <v>0.0</v>
      </c>
    </row>
    <row r="4498" ht="15.0" hidden="1" customHeight="1">
      <c r="A4498" s="49" t="s">
        <v>455</v>
      </c>
      <c r="B4498" s="50">
        <v>44742.0</v>
      </c>
      <c r="C4498" s="49" t="s">
        <v>78</v>
      </c>
      <c r="D4498" s="49">
        <v>0.0</v>
      </c>
    </row>
    <row r="4499" ht="15.0" hidden="1" customHeight="1">
      <c r="A4499" s="49" t="s">
        <v>470</v>
      </c>
      <c r="B4499" s="50">
        <v>44742.0</v>
      </c>
      <c r="C4499" s="49" t="s">
        <v>78</v>
      </c>
      <c r="D4499" s="49">
        <v>0.0</v>
      </c>
    </row>
    <row r="4500" ht="15.0" hidden="1" customHeight="1">
      <c r="A4500" s="49" t="s">
        <v>476</v>
      </c>
      <c r="B4500" s="50">
        <v>44742.0</v>
      </c>
      <c r="C4500" s="49" t="s">
        <v>78</v>
      </c>
      <c r="D4500" s="49">
        <v>0.0</v>
      </c>
    </row>
    <row r="4501" ht="15.0" hidden="1" customHeight="1">
      <c r="A4501" s="49" t="s">
        <v>481</v>
      </c>
      <c r="B4501" s="50">
        <v>44742.0</v>
      </c>
      <c r="C4501" s="49" t="s">
        <v>78</v>
      </c>
      <c r="D4501" s="49">
        <v>0.0</v>
      </c>
    </row>
    <row r="4502" ht="15.0" hidden="1" customHeight="1">
      <c r="A4502" s="49" t="s">
        <v>486</v>
      </c>
      <c r="B4502" s="50">
        <v>44742.0</v>
      </c>
      <c r="C4502" s="49" t="s">
        <v>78</v>
      </c>
      <c r="D4502" s="49">
        <v>0.0</v>
      </c>
    </row>
    <row r="4503" ht="15.0" hidden="1" customHeight="1">
      <c r="A4503" s="49" t="s">
        <v>491</v>
      </c>
      <c r="B4503" s="50">
        <v>44742.0</v>
      </c>
      <c r="C4503" s="49" t="s">
        <v>78</v>
      </c>
      <c r="D4503" s="49">
        <v>0.0</v>
      </c>
    </row>
    <row r="4504" ht="15.0" hidden="1" customHeight="1">
      <c r="A4504" s="49" t="s">
        <v>496</v>
      </c>
      <c r="B4504" s="50">
        <v>44742.0</v>
      </c>
      <c r="C4504" s="49" t="s">
        <v>78</v>
      </c>
      <c r="D4504" s="49">
        <v>0.0</v>
      </c>
    </row>
    <row r="4505" ht="15.0" hidden="1" customHeight="1">
      <c r="A4505" s="49" t="s">
        <v>501</v>
      </c>
      <c r="B4505" s="50">
        <v>44742.0</v>
      </c>
      <c r="C4505" s="49" t="s">
        <v>78</v>
      </c>
      <c r="D4505" s="49">
        <v>0.0</v>
      </c>
    </row>
    <row r="4506" ht="15.0" hidden="1" customHeight="1">
      <c r="A4506" s="49" t="s">
        <v>506</v>
      </c>
      <c r="B4506" s="50">
        <v>44742.0</v>
      </c>
      <c r="C4506" s="49" t="s">
        <v>78</v>
      </c>
      <c r="D4506" s="49">
        <v>0.0</v>
      </c>
    </row>
    <row r="4507" ht="15.0" hidden="1" customHeight="1">
      <c r="A4507" s="49" t="s">
        <v>512</v>
      </c>
      <c r="B4507" s="50">
        <v>44742.0</v>
      </c>
      <c r="C4507" s="49" t="s">
        <v>78</v>
      </c>
      <c r="D4507" s="49">
        <v>0.0</v>
      </c>
    </row>
    <row r="4508" ht="15.0" hidden="1" customHeight="1">
      <c r="A4508" s="49" t="s">
        <v>517</v>
      </c>
      <c r="B4508" s="50">
        <v>44742.0</v>
      </c>
      <c r="C4508" s="49" t="s">
        <v>78</v>
      </c>
      <c r="D4508" s="49">
        <v>0.0</v>
      </c>
    </row>
    <row r="4509" ht="15.0" hidden="1" customHeight="1">
      <c r="A4509" s="49" t="s">
        <v>522</v>
      </c>
      <c r="B4509" s="50">
        <v>44742.0</v>
      </c>
      <c r="C4509" s="49" t="s">
        <v>78</v>
      </c>
      <c r="D4509" s="49">
        <v>0.0</v>
      </c>
    </row>
    <row r="4510" ht="15.0" hidden="1" customHeight="1">
      <c r="A4510" s="49" t="s">
        <v>528</v>
      </c>
      <c r="B4510" s="50">
        <v>44742.0</v>
      </c>
      <c r="C4510" s="49" t="s">
        <v>78</v>
      </c>
      <c r="D4510" s="49">
        <v>0.0</v>
      </c>
    </row>
    <row r="4511" ht="15.0" hidden="1" customHeight="1">
      <c r="A4511" s="49" t="s">
        <v>533</v>
      </c>
      <c r="B4511" s="50">
        <v>44742.0</v>
      </c>
      <c r="C4511" s="49" t="s">
        <v>78</v>
      </c>
      <c r="D4511" s="49">
        <v>0.0</v>
      </c>
    </row>
    <row r="4512" ht="15.0" hidden="1" customHeight="1">
      <c r="A4512" s="49" t="s">
        <v>538</v>
      </c>
      <c r="B4512" s="50">
        <v>44742.0</v>
      </c>
      <c r="C4512" s="49" t="s">
        <v>78</v>
      </c>
      <c r="D4512" s="49">
        <v>0.0</v>
      </c>
    </row>
    <row r="4513" ht="15.0" hidden="1" customHeight="1">
      <c r="A4513" s="49" t="s">
        <v>546</v>
      </c>
      <c r="B4513" s="50">
        <v>44742.0</v>
      </c>
      <c r="C4513" s="49" t="s">
        <v>78</v>
      </c>
      <c r="D4513" s="49">
        <v>0.0</v>
      </c>
    </row>
    <row r="4514" ht="15.0" hidden="1" customHeight="1">
      <c r="A4514" s="49" t="s">
        <v>551</v>
      </c>
      <c r="B4514" s="50">
        <v>44742.0</v>
      </c>
      <c r="C4514" s="49" t="s">
        <v>78</v>
      </c>
      <c r="D4514" s="49">
        <v>0.0</v>
      </c>
    </row>
    <row r="4515" ht="15.0" hidden="1" customHeight="1">
      <c r="A4515" s="49" t="s">
        <v>556</v>
      </c>
      <c r="B4515" s="50">
        <v>44742.0</v>
      </c>
      <c r="C4515" s="49" t="s">
        <v>78</v>
      </c>
      <c r="D4515" s="49">
        <v>0.0</v>
      </c>
    </row>
    <row r="4516" ht="15.0" hidden="1" customHeight="1">
      <c r="A4516" s="49" t="s">
        <v>561</v>
      </c>
      <c r="B4516" s="50">
        <v>44742.0</v>
      </c>
      <c r="C4516" s="49" t="s">
        <v>78</v>
      </c>
      <c r="D4516" s="49">
        <v>0.0</v>
      </c>
    </row>
    <row r="4517" ht="15.0" hidden="1" customHeight="1">
      <c r="A4517" s="49" t="s">
        <v>566</v>
      </c>
      <c r="B4517" s="50">
        <v>44742.0</v>
      </c>
      <c r="C4517" s="49" t="s">
        <v>78</v>
      </c>
      <c r="D4517" s="49">
        <v>0.0</v>
      </c>
    </row>
    <row r="4518" ht="15.0" hidden="1" customHeight="1">
      <c r="A4518" s="49" t="s">
        <v>571</v>
      </c>
      <c r="B4518" s="50">
        <v>44742.0</v>
      </c>
      <c r="C4518" s="49" t="s">
        <v>78</v>
      </c>
      <c r="D4518" s="49">
        <v>0.0</v>
      </c>
    </row>
    <row r="4519" ht="15.0" hidden="1" customHeight="1">
      <c r="A4519" s="49" t="s">
        <v>576</v>
      </c>
      <c r="B4519" s="50">
        <v>44742.0</v>
      </c>
      <c r="C4519" s="49" t="s">
        <v>78</v>
      </c>
      <c r="D4519" s="49">
        <v>0.0</v>
      </c>
    </row>
    <row r="4520" ht="15.0" hidden="1" customHeight="1">
      <c r="A4520" s="49" t="s">
        <v>581</v>
      </c>
      <c r="B4520" s="50">
        <v>44742.0</v>
      </c>
      <c r="C4520" s="49" t="s">
        <v>78</v>
      </c>
      <c r="D4520" s="49">
        <v>0.0</v>
      </c>
    </row>
    <row r="4521" ht="15.0" hidden="1" customHeight="1">
      <c r="A4521" s="49" t="s">
        <v>586</v>
      </c>
      <c r="B4521" s="50">
        <v>44742.0</v>
      </c>
      <c r="C4521" s="49" t="s">
        <v>78</v>
      </c>
      <c r="D4521" s="49">
        <v>0.0</v>
      </c>
    </row>
    <row r="4522" ht="15.0" hidden="1" customHeight="1">
      <c r="A4522" s="49" t="s">
        <v>754</v>
      </c>
      <c r="B4522" s="50">
        <v>44742.0</v>
      </c>
      <c r="C4522" s="49" t="s">
        <v>78</v>
      </c>
      <c r="D4522" s="49">
        <v>0.0</v>
      </c>
    </row>
    <row r="4523" ht="15.0" hidden="1" customHeight="1">
      <c r="A4523" s="49" t="s">
        <v>591</v>
      </c>
      <c r="B4523" s="50">
        <v>44742.0</v>
      </c>
      <c r="C4523" s="49" t="s">
        <v>78</v>
      </c>
      <c r="D4523" s="49">
        <v>0.0</v>
      </c>
    </row>
    <row r="4524" ht="15.0" hidden="1" customHeight="1">
      <c r="A4524" s="49" t="s">
        <v>759</v>
      </c>
      <c r="B4524" s="50">
        <v>44742.0</v>
      </c>
      <c r="C4524" s="49" t="s">
        <v>78</v>
      </c>
      <c r="D4524" s="49">
        <v>0.0</v>
      </c>
    </row>
    <row r="4525" ht="15.0" hidden="1" customHeight="1">
      <c r="A4525" s="49" t="s">
        <v>596</v>
      </c>
      <c r="B4525" s="50">
        <v>44742.0</v>
      </c>
      <c r="C4525" s="49" t="s">
        <v>78</v>
      </c>
      <c r="D4525" s="49">
        <v>0.0</v>
      </c>
    </row>
    <row r="4526" ht="15.0" hidden="1" customHeight="1">
      <c r="A4526" s="49" t="s">
        <v>602</v>
      </c>
      <c r="B4526" s="50">
        <v>44742.0</v>
      </c>
      <c r="C4526" s="49" t="s">
        <v>78</v>
      </c>
      <c r="D4526" s="49">
        <v>0.0</v>
      </c>
    </row>
    <row r="4527" ht="15.0" hidden="1" customHeight="1">
      <c r="A4527" s="49" t="s">
        <v>607</v>
      </c>
      <c r="B4527" s="50">
        <v>44742.0</v>
      </c>
      <c r="C4527" s="49" t="s">
        <v>78</v>
      </c>
      <c r="D4527" s="49">
        <v>0.0</v>
      </c>
    </row>
    <row r="4528" ht="15.0" hidden="1" customHeight="1">
      <c r="A4528" s="49" t="s">
        <v>612</v>
      </c>
      <c r="B4528" s="50">
        <v>44742.0</v>
      </c>
      <c r="C4528" s="49" t="s">
        <v>78</v>
      </c>
      <c r="D4528" s="49">
        <v>0.0</v>
      </c>
    </row>
    <row r="4529" ht="15.0" hidden="1" customHeight="1">
      <c r="A4529" s="49" t="s">
        <v>617</v>
      </c>
      <c r="B4529" s="50">
        <v>44742.0</v>
      </c>
      <c r="C4529" s="49" t="s">
        <v>78</v>
      </c>
      <c r="D4529" s="49">
        <v>0.0</v>
      </c>
    </row>
    <row r="4530" ht="15.0" hidden="1" customHeight="1">
      <c r="A4530" s="49" t="s">
        <v>622</v>
      </c>
      <c r="B4530" s="50">
        <v>44742.0</v>
      </c>
      <c r="C4530" s="49" t="s">
        <v>78</v>
      </c>
      <c r="D4530" s="49">
        <v>0.0</v>
      </c>
    </row>
    <row r="4531" ht="15.0" hidden="1" customHeight="1">
      <c r="A4531" s="49" t="s">
        <v>627</v>
      </c>
      <c r="B4531" s="50">
        <v>44742.0</v>
      </c>
      <c r="C4531" s="49" t="s">
        <v>78</v>
      </c>
      <c r="D4531" s="49">
        <v>0.0</v>
      </c>
    </row>
    <row r="4532" ht="15.0" hidden="1" customHeight="1">
      <c r="A4532" s="49" t="s">
        <v>631</v>
      </c>
      <c r="B4532" s="50">
        <v>44742.0</v>
      </c>
      <c r="C4532" s="49" t="s">
        <v>78</v>
      </c>
      <c r="D4532" s="49">
        <v>0.0</v>
      </c>
    </row>
    <row r="4533" ht="15.0" hidden="1" customHeight="1">
      <c r="A4533" s="49" t="s">
        <v>636</v>
      </c>
      <c r="B4533" s="50">
        <v>44742.0</v>
      </c>
      <c r="C4533" s="49" t="s">
        <v>78</v>
      </c>
      <c r="D4533" s="49">
        <v>0.0</v>
      </c>
    </row>
    <row r="4534" ht="15.0" hidden="1" customHeight="1">
      <c r="A4534" s="49" t="s">
        <v>640</v>
      </c>
      <c r="B4534" s="50">
        <v>44742.0</v>
      </c>
      <c r="C4534" s="49" t="s">
        <v>78</v>
      </c>
      <c r="D4534" s="49">
        <v>0.0</v>
      </c>
    </row>
    <row r="4535" ht="15.0" hidden="1" customHeight="1">
      <c r="A4535" s="49" t="s">
        <v>644</v>
      </c>
      <c r="B4535" s="50">
        <v>44742.0</v>
      </c>
      <c r="C4535" s="49" t="s">
        <v>78</v>
      </c>
      <c r="D4535" s="49">
        <v>0.0</v>
      </c>
    </row>
    <row r="4536" ht="15.0" hidden="1" customHeight="1">
      <c r="A4536" s="49" t="s">
        <v>649</v>
      </c>
      <c r="B4536" s="50">
        <v>44742.0</v>
      </c>
      <c r="C4536" s="49" t="s">
        <v>78</v>
      </c>
      <c r="D4536" s="49">
        <v>0.0</v>
      </c>
    </row>
    <row r="4537" ht="15.0" hidden="1" customHeight="1">
      <c r="A4537" s="49" t="s">
        <v>654</v>
      </c>
      <c r="B4537" s="50">
        <v>44742.0</v>
      </c>
      <c r="C4537" s="49" t="s">
        <v>78</v>
      </c>
      <c r="D4537" s="49">
        <v>0.0</v>
      </c>
    </row>
    <row r="4538" ht="15.0" hidden="1" customHeight="1">
      <c r="A4538" s="49" t="s">
        <v>659</v>
      </c>
      <c r="B4538" s="50">
        <v>44742.0</v>
      </c>
      <c r="C4538" s="49" t="s">
        <v>78</v>
      </c>
      <c r="D4538" s="49">
        <v>0.0</v>
      </c>
    </row>
    <row r="4539" ht="15.0" hidden="1" customHeight="1">
      <c r="A4539" s="49" t="s">
        <v>664</v>
      </c>
      <c r="B4539" s="50">
        <v>44742.0</v>
      </c>
      <c r="C4539" s="49" t="s">
        <v>78</v>
      </c>
      <c r="D4539" s="49">
        <v>0.0</v>
      </c>
    </row>
    <row r="4540" ht="15.0" hidden="1" customHeight="1">
      <c r="A4540" s="49" t="s">
        <v>669</v>
      </c>
      <c r="B4540" s="50">
        <v>44742.0</v>
      </c>
      <c r="C4540" s="49" t="s">
        <v>78</v>
      </c>
      <c r="D4540" s="49">
        <v>0.0</v>
      </c>
    </row>
    <row r="4541" ht="15.0" hidden="1" customHeight="1">
      <c r="A4541" s="49" t="s">
        <v>674</v>
      </c>
      <c r="B4541" s="50">
        <v>44742.0</v>
      </c>
      <c r="C4541" s="49" t="s">
        <v>78</v>
      </c>
      <c r="D4541" s="49">
        <v>0.0</v>
      </c>
    </row>
    <row r="4542" ht="15.0" hidden="1" customHeight="1">
      <c r="A4542" s="49" t="s">
        <v>679</v>
      </c>
      <c r="B4542" s="50">
        <v>44742.0</v>
      </c>
      <c r="C4542" s="49" t="s">
        <v>78</v>
      </c>
      <c r="D4542" s="49">
        <v>0.0</v>
      </c>
    </row>
    <row r="4543" ht="15.0" hidden="1" customHeight="1">
      <c r="A4543" s="49" t="s">
        <v>684</v>
      </c>
      <c r="B4543" s="50">
        <v>44742.0</v>
      </c>
      <c r="C4543" s="49" t="s">
        <v>78</v>
      </c>
      <c r="D4543" s="49">
        <v>0.0</v>
      </c>
    </row>
    <row r="4544" ht="15.0" hidden="1" customHeight="1">
      <c r="A4544" s="49" t="s">
        <v>689</v>
      </c>
      <c r="B4544" s="50">
        <v>44742.0</v>
      </c>
      <c r="C4544" s="49" t="s">
        <v>78</v>
      </c>
      <c r="D4544" s="49">
        <v>0.0</v>
      </c>
    </row>
    <row r="4545" ht="15.0" hidden="1" customHeight="1">
      <c r="A4545" s="49" t="s">
        <v>694</v>
      </c>
      <c r="B4545" s="50">
        <v>44742.0</v>
      </c>
      <c r="C4545" s="49" t="s">
        <v>78</v>
      </c>
      <c r="D4545" s="49">
        <v>0.0</v>
      </c>
    </row>
    <row r="4546" ht="15.0" hidden="1" customHeight="1">
      <c r="A4546" s="49" t="s">
        <v>699</v>
      </c>
      <c r="B4546" s="50">
        <v>44742.0</v>
      </c>
      <c r="C4546" s="49" t="s">
        <v>78</v>
      </c>
      <c r="D4546" s="49">
        <v>0.0</v>
      </c>
    </row>
    <row r="4547" ht="15.0" hidden="1" customHeight="1">
      <c r="A4547" s="49" t="s">
        <v>705</v>
      </c>
      <c r="B4547" s="50">
        <v>44742.0</v>
      </c>
      <c r="C4547" s="49" t="s">
        <v>78</v>
      </c>
      <c r="D4547" s="49">
        <v>0.0</v>
      </c>
    </row>
    <row r="4548" ht="15.0" hidden="1" customHeight="1">
      <c r="A4548" s="49" t="s">
        <v>710</v>
      </c>
      <c r="B4548" s="50">
        <v>44742.0</v>
      </c>
      <c r="C4548" s="49" t="s">
        <v>78</v>
      </c>
      <c r="D4548" s="49">
        <v>0.0</v>
      </c>
    </row>
    <row r="4549" ht="15.0" hidden="1" customHeight="1">
      <c r="A4549" s="49" t="s">
        <v>715</v>
      </c>
      <c r="B4549" s="50">
        <v>44742.0</v>
      </c>
      <c r="C4549" s="49" t="s">
        <v>78</v>
      </c>
      <c r="D4549" s="49">
        <v>0.0</v>
      </c>
    </row>
    <row r="4550" ht="15.0" hidden="1" customHeight="1">
      <c r="A4550" s="49" t="s">
        <v>765</v>
      </c>
      <c r="B4550" s="50">
        <v>44742.0</v>
      </c>
      <c r="C4550" s="49" t="s">
        <v>78</v>
      </c>
      <c r="D4550" s="49">
        <v>0.0</v>
      </c>
    </row>
    <row r="4551" ht="15.0" hidden="1" customHeight="1">
      <c r="A4551" s="49" t="s">
        <v>720</v>
      </c>
      <c r="B4551" s="50">
        <v>44742.0</v>
      </c>
      <c r="C4551" s="49" t="s">
        <v>78</v>
      </c>
      <c r="D4551" s="49">
        <v>0.0</v>
      </c>
    </row>
    <row r="4552" ht="15.0" hidden="1" customHeight="1">
      <c r="A4552" s="49" t="s">
        <v>725</v>
      </c>
      <c r="B4552" s="50">
        <v>44742.0</v>
      </c>
      <c r="C4552" s="49" t="s">
        <v>78</v>
      </c>
      <c r="D4552" s="49">
        <v>0.0</v>
      </c>
    </row>
    <row r="4553" ht="15.0" hidden="1" customHeight="1">
      <c r="A4553" s="49" t="s">
        <v>730</v>
      </c>
      <c r="B4553" s="50">
        <v>44742.0</v>
      </c>
      <c r="C4553" s="49" t="s">
        <v>78</v>
      </c>
      <c r="D4553" s="49">
        <v>0.0</v>
      </c>
    </row>
    <row r="4554" ht="15.0" hidden="1" customHeight="1">
      <c r="A4554" s="49" t="s">
        <v>734</v>
      </c>
      <c r="B4554" s="50">
        <v>44742.0</v>
      </c>
      <c r="C4554" s="49" t="s">
        <v>78</v>
      </c>
      <c r="D4554" s="49">
        <v>0.0</v>
      </c>
    </row>
    <row r="4555" ht="15.0" hidden="1" customHeight="1">
      <c r="A4555" s="49" t="s">
        <v>739</v>
      </c>
      <c r="B4555" s="50">
        <v>44742.0</v>
      </c>
      <c r="C4555" s="49" t="s">
        <v>78</v>
      </c>
      <c r="D4555" s="49">
        <v>0.0</v>
      </c>
    </row>
    <row r="4556" ht="15.0" hidden="1" customHeight="1">
      <c r="A4556" s="49" t="s">
        <v>744</v>
      </c>
      <c r="B4556" s="50">
        <v>44742.0</v>
      </c>
      <c r="C4556" s="49" t="s">
        <v>78</v>
      </c>
      <c r="D4556" s="49">
        <v>0.0</v>
      </c>
    </row>
    <row r="4557" ht="15.0" hidden="1" customHeight="1">
      <c r="A4557" s="49" t="s">
        <v>749</v>
      </c>
      <c r="B4557" s="50">
        <v>44742.0</v>
      </c>
      <c r="C4557" s="49" t="s">
        <v>78</v>
      </c>
      <c r="D4557" s="49">
        <v>0.0</v>
      </c>
    </row>
    <row r="4558" ht="15.0" customHeight="1">
      <c r="A4558" s="49" t="s">
        <v>776</v>
      </c>
      <c r="B4558" s="50">
        <v>44742.0</v>
      </c>
      <c r="C4558" s="49" t="s">
        <v>69</v>
      </c>
      <c r="D4558" s="49">
        <v>0.0</v>
      </c>
    </row>
    <row r="4559" ht="15.0" hidden="1" customHeight="1">
      <c r="A4559" s="49" t="s">
        <v>778</v>
      </c>
      <c r="B4559" s="50">
        <v>44742.0</v>
      </c>
      <c r="C4559" s="49" t="s">
        <v>69</v>
      </c>
      <c r="D4559" s="49">
        <v>0.0</v>
      </c>
    </row>
    <row r="4560" ht="15.0" hidden="1" customHeight="1">
      <c r="A4560" s="49" t="s">
        <v>92</v>
      </c>
      <c r="B4560" s="50">
        <v>44742.0</v>
      </c>
      <c r="C4560" s="49" t="s">
        <v>69</v>
      </c>
      <c r="D4560" s="49">
        <v>0.0</v>
      </c>
    </row>
    <row r="4561" ht="15.0" hidden="1" customHeight="1">
      <c r="A4561" s="49" t="s">
        <v>97</v>
      </c>
      <c r="B4561" s="50">
        <v>44742.0</v>
      </c>
      <c r="C4561" s="49" t="s">
        <v>69</v>
      </c>
      <c r="D4561" s="49">
        <v>0.0</v>
      </c>
    </row>
    <row r="4562" ht="15.0" hidden="1" customHeight="1">
      <c r="A4562" s="49" t="s">
        <v>102</v>
      </c>
      <c r="B4562" s="50">
        <v>44742.0</v>
      </c>
      <c r="C4562" s="49" t="s">
        <v>69</v>
      </c>
      <c r="D4562" s="49">
        <v>0.0</v>
      </c>
    </row>
    <row r="4563" ht="15.0" hidden="1" customHeight="1">
      <c r="A4563" s="49" t="s">
        <v>106</v>
      </c>
      <c r="B4563" s="50">
        <v>44742.0</v>
      </c>
      <c r="C4563" s="49" t="s">
        <v>69</v>
      </c>
      <c r="D4563" s="49">
        <v>250000.0</v>
      </c>
    </row>
    <row r="4564" ht="15.0" hidden="1" customHeight="1">
      <c r="A4564" s="49" t="s">
        <v>111</v>
      </c>
      <c r="B4564" s="50">
        <v>44742.0</v>
      </c>
      <c r="C4564" s="49" t="s">
        <v>69</v>
      </c>
      <c r="D4564" s="49">
        <v>0.0</v>
      </c>
    </row>
    <row r="4565" ht="15.0" hidden="1" customHeight="1">
      <c r="A4565" s="49" t="s">
        <v>116</v>
      </c>
      <c r="B4565" s="50">
        <v>44742.0</v>
      </c>
      <c r="C4565" s="49" t="s">
        <v>69</v>
      </c>
      <c r="D4565" s="49">
        <v>0.0</v>
      </c>
    </row>
    <row r="4566" ht="15.0" hidden="1" customHeight="1">
      <c r="A4566" s="49" t="s">
        <v>120</v>
      </c>
      <c r="B4566" s="50">
        <v>44742.0</v>
      </c>
      <c r="C4566" s="49" t="s">
        <v>69</v>
      </c>
      <c r="D4566" s="49">
        <v>3000000.0</v>
      </c>
    </row>
    <row r="4567" ht="15.0" hidden="1" customHeight="1">
      <c r="A4567" s="49" t="s">
        <v>125</v>
      </c>
      <c r="B4567" s="50">
        <v>44742.0</v>
      </c>
      <c r="C4567" s="49" t="s">
        <v>69</v>
      </c>
      <c r="D4567" s="49">
        <v>0.0</v>
      </c>
    </row>
    <row r="4568" ht="15.0" hidden="1" customHeight="1">
      <c r="A4568" s="49" t="s">
        <v>130</v>
      </c>
      <c r="B4568" s="50">
        <v>44742.0</v>
      </c>
      <c r="C4568" s="49" t="s">
        <v>69</v>
      </c>
      <c r="D4568" s="49">
        <v>0.0</v>
      </c>
    </row>
    <row r="4569" ht="15.0" hidden="1" customHeight="1">
      <c r="A4569" s="49" t="s">
        <v>137</v>
      </c>
      <c r="B4569" s="50">
        <v>44742.0</v>
      </c>
      <c r="C4569" s="49" t="s">
        <v>69</v>
      </c>
      <c r="D4569" s="49">
        <v>0.0</v>
      </c>
    </row>
    <row r="4570" ht="15.0" hidden="1" customHeight="1">
      <c r="A4570" s="49" t="s">
        <v>142</v>
      </c>
      <c r="B4570" s="50">
        <v>44742.0</v>
      </c>
      <c r="C4570" s="49" t="s">
        <v>69</v>
      </c>
      <c r="D4570" s="49">
        <v>0.0</v>
      </c>
    </row>
    <row r="4571" ht="15.0" hidden="1" customHeight="1">
      <c r="A4571" s="49" t="s">
        <v>147</v>
      </c>
      <c r="B4571" s="50">
        <v>44742.0</v>
      </c>
      <c r="C4571" s="49" t="s">
        <v>69</v>
      </c>
      <c r="D4571" s="49">
        <v>128000.0</v>
      </c>
    </row>
    <row r="4572" ht="15.0" hidden="1" customHeight="1">
      <c r="A4572" s="49" t="s">
        <v>152</v>
      </c>
      <c r="B4572" s="50">
        <v>44742.0</v>
      </c>
      <c r="C4572" s="49" t="s">
        <v>69</v>
      </c>
      <c r="D4572" s="49">
        <v>0.0</v>
      </c>
    </row>
    <row r="4573" ht="15.0" hidden="1" customHeight="1">
      <c r="A4573" s="49" t="s">
        <v>157</v>
      </c>
      <c r="B4573" s="50">
        <v>44742.0</v>
      </c>
      <c r="C4573" s="49" t="s">
        <v>69</v>
      </c>
      <c r="D4573" s="49">
        <v>75000.0</v>
      </c>
    </row>
    <row r="4574" ht="15.0" hidden="1" customHeight="1">
      <c r="A4574" s="49" t="s">
        <v>162</v>
      </c>
      <c r="B4574" s="50">
        <v>44742.0</v>
      </c>
      <c r="C4574" s="49" t="s">
        <v>69</v>
      </c>
      <c r="D4574" s="49">
        <v>0.0</v>
      </c>
    </row>
    <row r="4575" ht="15.0" hidden="1" customHeight="1">
      <c r="A4575" s="49" t="s">
        <v>167</v>
      </c>
      <c r="B4575" s="50">
        <v>44742.0</v>
      </c>
      <c r="C4575" s="49" t="s">
        <v>69</v>
      </c>
      <c r="D4575" s="49">
        <v>0.0</v>
      </c>
    </row>
    <row r="4576" ht="15.0" hidden="1" customHeight="1">
      <c r="A4576" s="49" t="s">
        <v>172</v>
      </c>
      <c r="B4576" s="50">
        <v>44742.0</v>
      </c>
      <c r="C4576" s="49" t="s">
        <v>69</v>
      </c>
      <c r="D4576" s="49">
        <v>0.0</v>
      </c>
    </row>
    <row r="4577" ht="15.0" hidden="1" customHeight="1">
      <c r="A4577" s="49" t="s">
        <v>177</v>
      </c>
      <c r="B4577" s="50">
        <v>44742.0</v>
      </c>
      <c r="C4577" s="49" t="s">
        <v>69</v>
      </c>
      <c r="D4577" s="49">
        <v>0.0</v>
      </c>
    </row>
    <row r="4578" ht="15.0" hidden="1" customHeight="1">
      <c r="A4578" s="49" t="s">
        <v>182</v>
      </c>
      <c r="B4578" s="50">
        <v>44742.0</v>
      </c>
      <c r="C4578" s="49" t="s">
        <v>69</v>
      </c>
      <c r="D4578" s="49">
        <v>66666.67</v>
      </c>
    </row>
    <row r="4579" ht="15.0" hidden="1" customHeight="1">
      <c r="A4579" s="49" t="s">
        <v>187</v>
      </c>
      <c r="B4579" s="50">
        <v>44742.0</v>
      </c>
      <c r="C4579" s="49" t="s">
        <v>69</v>
      </c>
      <c r="D4579" s="49">
        <v>0.0</v>
      </c>
    </row>
    <row r="4580" ht="15.0" hidden="1" customHeight="1">
      <c r="A4580" s="49" t="s">
        <v>192</v>
      </c>
      <c r="B4580" s="50">
        <v>44742.0</v>
      </c>
      <c r="C4580" s="49" t="s">
        <v>69</v>
      </c>
      <c r="D4580" s="49">
        <v>0.0</v>
      </c>
    </row>
    <row r="4581" ht="15.0" hidden="1" customHeight="1">
      <c r="A4581" s="49" t="s">
        <v>197</v>
      </c>
      <c r="B4581" s="50">
        <v>44742.0</v>
      </c>
      <c r="C4581" s="49" t="s">
        <v>69</v>
      </c>
      <c r="D4581" s="49">
        <v>0.0</v>
      </c>
    </row>
    <row r="4582" ht="15.0" hidden="1" customHeight="1">
      <c r="A4582" s="49" t="s">
        <v>202</v>
      </c>
      <c r="B4582" s="50">
        <v>44742.0</v>
      </c>
      <c r="C4582" s="49" t="s">
        <v>69</v>
      </c>
      <c r="D4582" s="49">
        <v>0.0</v>
      </c>
    </row>
    <row r="4583" ht="15.0" hidden="1" customHeight="1">
      <c r="A4583" s="49" t="s">
        <v>206</v>
      </c>
      <c r="B4583" s="50">
        <v>44742.0</v>
      </c>
      <c r="C4583" s="49" t="s">
        <v>69</v>
      </c>
      <c r="D4583" s="49">
        <v>0.0</v>
      </c>
    </row>
    <row r="4584" ht="15.0" hidden="1" customHeight="1">
      <c r="A4584" s="49" t="s">
        <v>211</v>
      </c>
      <c r="B4584" s="50">
        <v>44742.0</v>
      </c>
      <c r="C4584" s="49" t="s">
        <v>69</v>
      </c>
      <c r="D4584" s="49">
        <v>0.0</v>
      </c>
    </row>
    <row r="4585" ht="15.0" hidden="1" customHeight="1">
      <c r="A4585" s="49" t="s">
        <v>779</v>
      </c>
      <c r="B4585" s="50">
        <v>44742.0</v>
      </c>
      <c r="C4585" s="49" t="s">
        <v>69</v>
      </c>
      <c r="D4585" s="49">
        <v>0.0</v>
      </c>
    </row>
    <row r="4586" ht="15.0" hidden="1" customHeight="1">
      <c r="A4586" s="49" t="s">
        <v>221</v>
      </c>
      <c r="B4586" s="50">
        <v>44742.0</v>
      </c>
      <c r="C4586" s="49" t="s">
        <v>69</v>
      </c>
      <c r="D4586" s="49">
        <v>0.0</v>
      </c>
    </row>
    <row r="4587" ht="15.0" hidden="1" customHeight="1">
      <c r="A4587" s="49" t="s">
        <v>226</v>
      </c>
      <c r="B4587" s="50">
        <v>44742.0</v>
      </c>
      <c r="C4587" s="49" t="s">
        <v>69</v>
      </c>
      <c r="D4587" s="49">
        <v>0.0</v>
      </c>
    </row>
    <row r="4588" ht="15.0" hidden="1" customHeight="1">
      <c r="A4588" s="49" t="s">
        <v>231</v>
      </c>
      <c r="B4588" s="50">
        <v>44742.0</v>
      </c>
      <c r="C4588" s="49" t="s">
        <v>69</v>
      </c>
      <c r="D4588" s="49">
        <v>164000.0</v>
      </c>
    </row>
    <row r="4589" ht="15.0" hidden="1" customHeight="1">
      <c r="A4589" s="49" t="s">
        <v>236</v>
      </c>
      <c r="B4589" s="50">
        <v>44742.0</v>
      </c>
      <c r="C4589" s="49" t="s">
        <v>69</v>
      </c>
      <c r="D4589" s="49">
        <v>0.0</v>
      </c>
    </row>
    <row r="4590" ht="15.0" hidden="1" customHeight="1">
      <c r="A4590" s="49" t="s">
        <v>242</v>
      </c>
      <c r="B4590" s="50">
        <v>44742.0</v>
      </c>
      <c r="C4590" s="49" t="s">
        <v>69</v>
      </c>
      <c r="D4590" s="49">
        <v>250000.0</v>
      </c>
    </row>
    <row r="4591" ht="15.0" hidden="1" customHeight="1">
      <c r="A4591" s="49" t="s">
        <v>248</v>
      </c>
      <c r="B4591" s="50">
        <v>44742.0</v>
      </c>
      <c r="C4591" s="49" t="s">
        <v>69</v>
      </c>
      <c r="D4591" s="49">
        <v>0.0</v>
      </c>
    </row>
    <row r="4592" ht="15.0" hidden="1" customHeight="1">
      <c r="A4592" s="49" t="s">
        <v>253</v>
      </c>
      <c r="B4592" s="50">
        <v>44742.0</v>
      </c>
      <c r="C4592" s="49" t="s">
        <v>69</v>
      </c>
      <c r="D4592" s="49">
        <v>500000.0</v>
      </c>
    </row>
    <row r="4593" ht="15.0" hidden="1" customHeight="1">
      <c r="A4593" s="49" t="s">
        <v>258</v>
      </c>
      <c r="B4593" s="50">
        <v>44742.0</v>
      </c>
      <c r="C4593" s="49" t="s">
        <v>69</v>
      </c>
      <c r="D4593" s="49">
        <v>0.0</v>
      </c>
    </row>
    <row r="4594" ht="15.0" hidden="1" customHeight="1">
      <c r="A4594" s="49" t="s">
        <v>263</v>
      </c>
      <c r="B4594" s="50">
        <v>44742.0</v>
      </c>
      <c r="C4594" s="49" t="s">
        <v>69</v>
      </c>
      <c r="D4594" s="49">
        <v>560000.0</v>
      </c>
    </row>
    <row r="4595" ht="15.0" hidden="1" customHeight="1">
      <c r="A4595" s="49" t="s">
        <v>268</v>
      </c>
      <c r="B4595" s="50">
        <v>44742.0</v>
      </c>
      <c r="C4595" s="49" t="s">
        <v>69</v>
      </c>
      <c r="D4595" s="49">
        <v>60000.0</v>
      </c>
    </row>
    <row r="4596" ht="15.0" hidden="1" customHeight="1">
      <c r="A4596" s="49" t="s">
        <v>273</v>
      </c>
      <c r="B4596" s="50">
        <v>44742.0</v>
      </c>
      <c r="C4596" s="49" t="s">
        <v>69</v>
      </c>
      <c r="D4596" s="49">
        <v>60000.0</v>
      </c>
    </row>
    <row r="4597" ht="15.0" hidden="1" customHeight="1">
      <c r="A4597" s="49" t="s">
        <v>278</v>
      </c>
      <c r="B4597" s="50">
        <v>44742.0</v>
      </c>
      <c r="C4597" s="49" t="s">
        <v>69</v>
      </c>
      <c r="D4597" s="49">
        <v>0.0</v>
      </c>
    </row>
    <row r="4598" ht="15.0" hidden="1" customHeight="1">
      <c r="A4598" s="49" t="s">
        <v>283</v>
      </c>
      <c r="B4598" s="50">
        <v>44742.0</v>
      </c>
      <c r="C4598" s="49" t="s">
        <v>69</v>
      </c>
      <c r="D4598" s="49">
        <v>0.0</v>
      </c>
    </row>
    <row r="4599" ht="15.0" hidden="1" customHeight="1">
      <c r="A4599" s="49" t="s">
        <v>288</v>
      </c>
      <c r="B4599" s="50">
        <v>44742.0</v>
      </c>
      <c r="C4599" s="49" t="s">
        <v>69</v>
      </c>
      <c r="D4599" s="49">
        <v>0.0</v>
      </c>
    </row>
    <row r="4600" ht="15.0" hidden="1" customHeight="1">
      <c r="A4600" s="49" t="s">
        <v>293</v>
      </c>
      <c r="B4600" s="50">
        <v>44742.0</v>
      </c>
      <c r="C4600" s="49" t="s">
        <v>69</v>
      </c>
      <c r="D4600" s="49">
        <v>0.0</v>
      </c>
    </row>
    <row r="4601" ht="15.0" hidden="1" customHeight="1">
      <c r="A4601" s="49" t="s">
        <v>298</v>
      </c>
      <c r="B4601" s="50">
        <v>44742.0</v>
      </c>
      <c r="C4601" s="49" t="s">
        <v>69</v>
      </c>
      <c r="D4601" s="49">
        <v>0.0</v>
      </c>
    </row>
    <row r="4602" ht="15.0" hidden="1" customHeight="1">
      <c r="A4602" s="49" t="s">
        <v>303</v>
      </c>
      <c r="B4602" s="50">
        <v>44742.0</v>
      </c>
      <c r="C4602" s="49" t="s">
        <v>69</v>
      </c>
      <c r="D4602" s="49">
        <v>0.0</v>
      </c>
    </row>
    <row r="4603" ht="15.0" hidden="1" customHeight="1">
      <c r="A4603" s="49" t="s">
        <v>307</v>
      </c>
      <c r="B4603" s="50">
        <v>44742.0</v>
      </c>
      <c r="C4603" s="49" t="s">
        <v>69</v>
      </c>
      <c r="D4603" s="49">
        <v>0.0</v>
      </c>
    </row>
    <row r="4604" ht="15.0" hidden="1" customHeight="1">
      <c r="A4604" s="49" t="s">
        <v>313</v>
      </c>
      <c r="B4604" s="50">
        <v>44742.0</v>
      </c>
      <c r="C4604" s="49" t="s">
        <v>69</v>
      </c>
      <c r="D4604" s="49">
        <v>0.0</v>
      </c>
    </row>
    <row r="4605" ht="15.0" hidden="1" customHeight="1">
      <c r="A4605" s="49" t="s">
        <v>318</v>
      </c>
      <c r="B4605" s="50">
        <v>44742.0</v>
      </c>
      <c r="C4605" s="49" t="s">
        <v>69</v>
      </c>
      <c r="D4605" s="49">
        <v>0.0</v>
      </c>
    </row>
    <row r="4606" ht="15.0" hidden="1" customHeight="1">
      <c r="A4606" s="49" t="s">
        <v>323</v>
      </c>
      <c r="B4606" s="50">
        <v>44742.0</v>
      </c>
      <c r="C4606" s="49" t="s">
        <v>69</v>
      </c>
      <c r="D4606" s="49">
        <v>0.0</v>
      </c>
    </row>
    <row r="4607" ht="15.0" hidden="1" customHeight="1">
      <c r="A4607" s="49" t="s">
        <v>328</v>
      </c>
      <c r="B4607" s="50">
        <v>44742.0</v>
      </c>
      <c r="C4607" s="49" t="s">
        <v>69</v>
      </c>
      <c r="D4607" s="49">
        <v>0.0</v>
      </c>
    </row>
    <row r="4608" ht="15.0" hidden="1" customHeight="1">
      <c r="A4608" s="49" t="s">
        <v>335</v>
      </c>
      <c r="B4608" s="50">
        <v>44742.0</v>
      </c>
      <c r="C4608" s="49" t="s">
        <v>69</v>
      </c>
      <c r="D4608" s="49">
        <v>0.0</v>
      </c>
    </row>
    <row r="4609" ht="15.0" hidden="1" customHeight="1">
      <c r="A4609" s="49" t="s">
        <v>340</v>
      </c>
      <c r="B4609" s="50">
        <v>44742.0</v>
      </c>
      <c r="C4609" s="49" t="s">
        <v>69</v>
      </c>
      <c r="D4609" s="49">
        <v>0.0</v>
      </c>
    </row>
    <row r="4610" ht="15.0" hidden="1" customHeight="1">
      <c r="A4610" s="49" t="s">
        <v>345</v>
      </c>
      <c r="B4610" s="50">
        <v>44742.0</v>
      </c>
      <c r="C4610" s="49" t="s">
        <v>69</v>
      </c>
      <c r="D4610" s="49">
        <v>0.0</v>
      </c>
    </row>
    <row r="4611" ht="15.0" hidden="1" customHeight="1">
      <c r="A4611" s="49" t="s">
        <v>350</v>
      </c>
      <c r="B4611" s="50">
        <v>44742.0</v>
      </c>
      <c r="C4611" s="49" t="s">
        <v>69</v>
      </c>
      <c r="D4611" s="49">
        <v>0.0</v>
      </c>
    </row>
    <row r="4612" ht="15.0" hidden="1" customHeight="1">
      <c r="A4612" s="49" t="s">
        <v>355</v>
      </c>
      <c r="B4612" s="50">
        <v>44742.0</v>
      </c>
      <c r="C4612" s="49" t="s">
        <v>69</v>
      </c>
      <c r="D4612" s="49">
        <v>0.0</v>
      </c>
    </row>
    <row r="4613" ht="15.0" hidden="1" customHeight="1">
      <c r="A4613" s="49" t="s">
        <v>360</v>
      </c>
      <c r="B4613" s="50">
        <v>44742.0</v>
      </c>
      <c r="C4613" s="49" t="s">
        <v>69</v>
      </c>
      <c r="D4613" s="49">
        <v>0.0</v>
      </c>
    </row>
    <row r="4614" ht="15.0" hidden="1" customHeight="1">
      <c r="A4614" s="49" t="s">
        <v>365</v>
      </c>
      <c r="B4614" s="50">
        <v>44742.0</v>
      </c>
      <c r="C4614" s="49" t="s">
        <v>69</v>
      </c>
      <c r="D4614" s="49">
        <v>0.0</v>
      </c>
    </row>
    <row r="4615" ht="15.0" hidden="1" customHeight="1">
      <c r="A4615" s="49" t="s">
        <v>370</v>
      </c>
      <c r="B4615" s="50">
        <v>44742.0</v>
      </c>
      <c r="C4615" s="49" t="s">
        <v>69</v>
      </c>
      <c r="D4615" s="49">
        <v>0.0</v>
      </c>
    </row>
    <row r="4616" ht="15.0" hidden="1" customHeight="1">
      <c r="A4616" s="49" t="s">
        <v>375</v>
      </c>
      <c r="B4616" s="50">
        <v>44742.0</v>
      </c>
      <c r="C4616" s="49" t="s">
        <v>69</v>
      </c>
      <c r="D4616" s="49">
        <v>0.0</v>
      </c>
    </row>
    <row r="4617" ht="15.0" hidden="1" customHeight="1">
      <c r="A4617" s="49" t="s">
        <v>380</v>
      </c>
      <c r="B4617" s="50">
        <v>44742.0</v>
      </c>
      <c r="C4617" s="49" t="s">
        <v>69</v>
      </c>
      <c r="D4617" s="49">
        <v>0.0</v>
      </c>
    </row>
    <row r="4618" ht="15.0" hidden="1" customHeight="1">
      <c r="A4618" s="49" t="s">
        <v>385</v>
      </c>
      <c r="B4618" s="50">
        <v>44742.0</v>
      </c>
      <c r="C4618" s="49" t="s">
        <v>69</v>
      </c>
      <c r="D4618" s="49">
        <v>0.0</v>
      </c>
    </row>
    <row r="4619" ht="15.0" hidden="1" customHeight="1">
      <c r="A4619" s="49" t="s">
        <v>390</v>
      </c>
      <c r="B4619" s="50">
        <v>44742.0</v>
      </c>
      <c r="C4619" s="49" t="s">
        <v>69</v>
      </c>
      <c r="D4619" s="49">
        <v>0.0</v>
      </c>
    </row>
    <row r="4620" ht="15.0" hidden="1" customHeight="1">
      <c r="A4620" s="49" t="s">
        <v>395</v>
      </c>
      <c r="B4620" s="50">
        <v>44742.0</v>
      </c>
      <c r="C4620" s="49" t="s">
        <v>69</v>
      </c>
      <c r="D4620" s="49">
        <v>0.0</v>
      </c>
    </row>
    <row r="4621" ht="15.0" hidden="1" customHeight="1">
      <c r="A4621" s="49" t="s">
        <v>400</v>
      </c>
      <c r="B4621" s="50">
        <v>44742.0</v>
      </c>
      <c r="C4621" s="49" t="s">
        <v>69</v>
      </c>
      <c r="D4621" s="49">
        <v>0.0</v>
      </c>
    </row>
    <row r="4622" ht="15.0" hidden="1" customHeight="1">
      <c r="A4622" s="49" t="s">
        <v>405</v>
      </c>
      <c r="B4622" s="50">
        <v>44742.0</v>
      </c>
      <c r="C4622" s="49" t="s">
        <v>69</v>
      </c>
      <c r="D4622" s="49">
        <v>0.0</v>
      </c>
    </row>
    <row r="4623" ht="15.0" hidden="1" customHeight="1">
      <c r="A4623" s="49" t="s">
        <v>410</v>
      </c>
      <c r="B4623" s="50">
        <v>44742.0</v>
      </c>
      <c r="C4623" s="49" t="s">
        <v>69</v>
      </c>
      <c r="D4623" s="49">
        <v>0.0</v>
      </c>
    </row>
    <row r="4624" ht="15.0" hidden="1" customHeight="1">
      <c r="A4624" s="49" t="s">
        <v>415</v>
      </c>
      <c r="B4624" s="50">
        <v>44742.0</v>
      </c>
      <c r="C4624" s="49" t="s">
        <v>69</v>
      </c>
      <c r="D4624" s="49">
        <v>0.0</v>
      </c>
    </row>
    <row r="4625" ht="15.0" hidden="1" customHeight="1">
      <c r="A4625" s="49" t="s">
        <v>420</v>
      </c>
      <c r="B4625" s="50">
        <v>44742.0</v>
      </c>
      <c r="C4625" s="49" t="s">
        <v>69</v>
      </c>
      <c r="D4625" s="49">
        <v>0.0</v>
      </c>
    </row>
    <row r="4626" ht="15.0" hidden="1" customHeight="1">
      <c r="A4626" s="49" t="s">
        <v>425</v>
      </c>
      <c r="B4626" s="50">
        <v>44742.0</v>
      </c>
      <c r="C4626" s="49" t="s">
        <v>69</v>
      </c>
      <c r="D4626" s="49">
        <v>0.0</v>
      </c>
    </row>
    <row r="4627" ht="15.0" hidden="1" customHeight="1">
      <c r="A4627" s="49" t="s">
        <v>430</v>
      </c>
      <c r="B4627" s="50">
        <v>44742.0</v>
      </c>
      <c r="C4627" s="49" t="s">
        <v>69</v>
      </c>
      <c r="D4627" s="49">
        <v>0.0</v>
      </c>
    </row>
    <row r="4628" ht="15.0" hidden="1" customHeight="1">
      <c r="A4628" s="49" t="s">
        <v>434</v>
      </c>
      <c r="B4628" s="50">
        <v>44742.0</v>
      </c>
      <c r="C4628" s="49" t="s">
        <v>69</v>
      </c>
      <c r="D4628" s="49">
        <v>0.0</v>
      </c>
    </row>
    <row r="4629" ht="15.0" hidden="1" customHeight="1">
      <c r="A4629" s="49" t="s">
        <v>439</v>
      </c>
      <c r="B4629" s="50">
        <v>44742.0</v>
      </c>
      <c r="C4629" s="49" t="s">
        <v>69</v>
      </c>
      <c r="D4629" s="49">
        <v>0.0</v>
      </c>
    </row>
    <row r="4630" ht="15.0" hidden="1" customHeight="1">
      <c r="A4630" s="49" t="s">
        <v>444</v>
      </c>
      <c r="B4630" s="50">
        <v>44742.0</v>
      </c>
      <c r="C4630" s="49" t="s">
        <v>69</v>
      </c>
      <c r="D4630" s="49">
        <v>0.0</v>
      </c>
    </row>
    <row r="4631" ht="15.0" hidden="1" customHeight="1">
      <c r="A4631" s="49" t="s">
        <v>449</v>
      </c>
      <c r="B4631" s="50">
        <v>44742.0</v>
      </c>
      <c r="C4631" s="49" t="s">
        <v>69</v>
      </c>
      <c r="D4631" s="49">
        <v>0.0</v>
      </c>
    </row>
    <row r="4632" ht="15.0" hidden="1" customHeight="1">
      <c r="A4632" s="49" t="s">
        <v>455</v>
      </c>
      <c r="B4632" s="50">
        <v>44742.0</v>
      </c>
      <c r="C4632" s="49" t="s">
        <v>69</v>
      </c>
      <c r="D4632" s="49">
        <v>0.0</v>
      </c>
    </row>
    <row r="4633" ht="15.0" hidden="1" customHeight="1">
      <c r="A4633" s="49" t="s">
        <v>470</v>
      </c>
      <c r="B4633" s="50">
        <v>44742.0</v>
      </c>
      <c r="C4633" s="49" t="s">
        <v>69</v>
      </c>
      <c r="D4633" s="49">
        <v>0.0</v>
      </c>
    </row>
    <row r="4634" ht="15.0" hidden="1" customHeight="1">
      <c r="A4634" s="49" t="s">
        <v>476</v>
      </c>
      <c r="B4634" s="50">
        <v>44742.0</v>
      </c>
      <c r="C4634" s="49" t="s">
        <v>69</v>
      </c>
      <c r="D4634" s="49">
        <v>0.0</v>
      </c>
    </row>
    <row r="4635" ht="15.0" hidden="1" customHeight="1">
      <c r="A4635" s="49" t="s">
        <v>481</v>
      </c>
      <c r="B4635" s="50">
        <v>44742.0</v>
      </c>
      <c r="C4635" s="49" t="s">
        <v>69</v>
      </c>
      <c r="D4635" s="49">
        <v>0.0</v>
      </c>
    </row>
    <row r="4636" ht="15.0" hidden="1" customHeight="1">
      <c r="A4636" s="49" t="s">
        <v>486</v>
      </c>
      <c r="B4636" s="50">
        <v>44742.0</v>
      </c>
      <c r="C4636" s="49" t="s">
        <v>69</v>
      </c>
      <c r="D4636" s="49">
        <v>0.0</v>
      </c>
    </row>
    <row r="4637" ht="15.0" hidden="1" customHeight="1">
      <c r="A4637" s="49" t="s">
        <v>491</v>
      </c>
      <c r="B4637" s="50">
        <v>44742.0</v>
      </c>
      <c r="C4637" s="49" t="s">
        <v>69</v>
      </c>
      <c r="D4637" s="49">
        <v>0.0</v>
      </c>
    </row>
    <row r="4638" ht="15.0" hidden="1" customHeight="1">
      <c r="A4638" s="49" t="s">
        <v>496</v>
      </c>
      <c r="B4638" s="50">
        <v>44742.0</v>
      </c>
      <c r="C4638" s="49" t="s">
        <v>69</v>
      </c>
      <c r="D4638" s="49">
        <v>0.0</v>
      </c>
    </row>
    <row r="4639" ht="15.0" hidden="1" customHeight="1">
      <c r="A4639" s="49" t="s">
        <v>501</v>
      </c>
      <c r="B4639" s="50">
        <v>44742.0</v>
      </c>
      <c r="C4639" s="49" t="s">
        <v>69</v>
      </c>
      <c r="D4639" s="49">
        <v>0.0</v>
      </c>
    </row>
    <row r="4640" ht="15.0" hidden="1" customHeight="1">
      <c r="A4640" s="49" t="s">
        <v>506</v>
      </c>
      <c r="B4640" s="50">
        <v>44742.0</v>
      </c>
      <c r="C4640" s="49" t="s">
        <v>69</v>
      </c>
      <c r="D4640" s="49">
        <v>0.0</v>
      </c>
    </row>
    <row r="4641" ht="15.0" hidden="1" customHeight="1">
      <c r="A4641" s="49" t="s">
        <v>512</v>
      </c>
      <c r="B4641" s="50">
        <v>44742.0</v>
      </c>
      <c r="C4641" s="49" t="s">
        <v>69</v>
      </c>
      <c r="D4641" s="49">
        <v>0.0</v>
      </c>
    </row>
    <row r="4642" ht="15.0" hidden="1" customHeight="1">
      <c r="A4642" s="49" t="s">
        <v>517</v>
      </c>
      <c r="B4642" s="50">
        <v>44742.0</v>
      </c>
      <c r="C4642" s="49" t="s">
        <v>69</v>
      </c>
      <c r="D4642" s="49">
        <v>0.0</v>
      </c>
    </row>
    <row r="4643" ht="15.0" hidden="1" customHeight="1">
      <c r="A4643" s="49" t="s">
        <v>522</v>
      </c>
      <c r="B4643" s="50">
        <v>44742.0</v>
      </c>
      <c r="C4643" s="49" t="s">
        <v>69</v>
      </c>
      <c r="D4643" s="49">
        <v>0.0</v>
      </c>
    </row>
    <row r="4644" ht="15.0" hidden="1" customHeight="1">
      <c r="A4644" s="49" t="s">
        <v>528</v>
      </c>
      <c r="B4644" s="50">
        <v>44742.0</v>
      </c>
      <c r="C4644" s="49" t="s">
        <v>69</v>
      </c>
      <c r="D4644" s="49">
        <v>0.0</v>
      </c>
    </row>
    <row r="4645" ht="15.0" hidden="1" customHeight="1">
      <c r="A4645" s="49" t="s">
        <v>533</v>
      </c>
      <c r="B4645" s="50">
        <v>44742.0</v>
      </c>
      <c r="C4645" s="49" t="s">
        <v>69</v>
      </c>
      <c r="D4645" s="49">
        <v>0.0</v>
      </c>
    </row>
    <row r="4646" ht="15.0" hidden="1" customHeight="1">
      <c r="A4646" s="49" t="s">
        <v>538</v>
      </c>
      <c r="B4646" s="50">
        <v>44742.0</v>
      </c>
      <c r="C4646" s="49" t="s">
        <v>69</v>
      </c>
      <c r="D4646" s="49">
        <v>0.0</v>
      </c>
    </row>
    <row r="4647" ht="15.0" hidden="1" customHeight="1">
      <c r="A4647" s="49" t="s">
        <v>546</v>
      </c>
      <c r="B4647" s="50">
        <v>44742.0</v>
      </c>
      <c r="C4647" s="49" t="s">
        <v>69</v>
      </c>
      <c r="D4647" s="49">
        <v>0.0</v>
      </c>
    </row>
    <row r="4648" ht="15.0" hidden="1" customHeight="1">
      <c r="A4648" s="49" t="s">
        <v>551</v>
      </c>
      <c r="B4648" s="50">
        <v>44742.0</v>
      </c>
      <c r="C4648" s="49" t="s">
        <v>69</v>
      </c>
      <c r="D4648" s="49">
        <v>0.0</v>
      </c>
    </row>
    <row r="4649" ht="15.0" hidden="1" customHeight="1">
      <c r="A4649" s="49" t="s">
        <v>556</v>
      </c>
      <c r="B4649" s="50">
        <v>44742.0</v>
      </c>
      <c r="C4649" s="49" t="s">
        <v>69</v>
      </c>
      <c r="D4649" s="49">
        <v>0.0</v>
      </c>
    </row>
    <row r="4650" ht="15.0" hidden="1" customHeight="1">
      <c r="A4650" s="49" t="s">
        <v>561</v>
      </c>
      <c r="B4650" s="50">
        <v>44742.0</v>
      </c>
      <c r="C4650" s="49" t="s">
        <v>69</v>
      </c>
      <c r="D4650" s="49">
        <v>0.0</v>
      </c>
    </row>
    <row r="4651" ht="15.0" hidden="1" customHeight="1">
      <c r="A4651" s="49" t="s">
        <v>566</v>
      </c>
      <c r="B4651" s="50">
        <v>44742.0</v>
      </c>
      <c r="C4651" s="49" t="s">
        <v>69</v>
      </c>
      <c r="D4651" s="49">
        <v>0.0</v>
      </c>
    </row>
    <row r="4652" ht="15.0" hidden="1" customHeight="1">
      <c r="A4652" s="49" t="s">
        <v>571</v>
      </c>
      <c r="B4652" s="50">
        <v>44742.0</v>
      </c>
      <c r="C4652" s="49" t="s">
        <v>69</v>
      </c>
      <c r="D4652" s="49">
        <v>0.0</v>
      </c>
    </row>
    <row r="4653" ht="15.0" hidden="1" customHeight="1">
      <c r="A4653" s="49" t="s">
        <v>576</v>
      </c>
      <c r="B4653" s="50">
        <v>44742.0</v>
      </c>
      <c r="C4653" s="49" t="s">
        <v>69</v>
      </c>
      <c r="D4653" s="49">
        <v>0.0</v>
      </c>
    </row>
    <row r="4654" ht="15.0" hidden="1" customHeight="1">
      <c r="A4654" s="49" t="s">
        <v>581</v>
      </c>
      <c r="B4654" s="50">
        <v>44742.0</v>
      </c>
      <c r="C4654" s="49" t="s">
        <v>69</v>
      </c>
      <c r="D4654" s="49">
        <v>0.0</v>
      </c>
    </row>
    <row r="4655" ht="15.0" hidden="1" customHeight="1">
      <c r="A4655" s="49" t="s">
        <v>586</v>
      </c>
      <c r="B4655" s="50">
        <v>44742.0</v>
      </c>
      <c r="C4655" s="49" t="s">
        <v>69</v>
      </c>
      <c r="D4655" s="49">
        <v>0.0</v>
      </c>
    </row>
    <row r="4656" ht="15.0" hidden="1" customHeight="1">
      <c r="A4656" s="49" t="s">
        <v>754</v>
      </c>
      <c r="B4656" s="50">
        <v>44742.0</v>
      </c>
      <c r="C4656" s="49" t="s">
        <v>69</v>
      </c>
      <c r="D4656" s="49">
        <v>0.0</v>
      </c>
    </row>
    <row r="4657" ht="15.0" hidden="1" customHeight="1">
      <c r="A4657" s="49" t="s">
        <v>591</v>
      </c>
      <c r="B4657" s="50">
        <v>44742.0</v>
      </c>
      <c r="C4657" s="49" t="s">
        <v>69</v>
      </c>
      <c r="D4657" s="49">
        <v>0.0</v>
      </c>
    </row>
    <row r="4658" ht="15.0" hidden="1" customHeight="1">
      <c r="A4658" s="49" t="s">
        <v>759</v>
      </c>
      <c r="B4658" s="50">
        <v>44742.0</v>
      </c>
      <c r="C4658" s="49" t="s">
        <v>69</v>
      </c>
      <c r="D4658" s="49">
        <v>0.0</v>
      </c>
    </row>
    <row r="4659" ht="15.0" hidden="1" customHeight="1">
      <c r="A4659" s="49" t="s">
        <v>596</v>
      </c>
      <c r="B4659" s="50">
        <v>44742.0</v>
      </c>
      <c r="C4659" s="49" t="s">
        <v>69</v>
      </c>
      <c r="D4659" s="49">
        <v>0.0</v>
      </c>
    </row>
    <row r="4660" ht="15.0" hidden="1" customHeight="1">
      <c r="A4660" s="49" t="s">
        <v>602</v>
      </c>
      <c r="B4660" s="50">
        <v>44742.0</v>
      </c>
      <c r="C4660" s="49" t="s">
        <v>69</v>
      </c>
      <c r="D4660" s="49">
        <v>0.0</v>
      </c>
    </row>
    <row r="4661" ht="15.0" hidden="1" customHeight="1">
      <c r="A4661" s="49" t="s">
        <v>607</v>
      </c>
      <c r="B4661" s="50">
        <v>44742.0</v>
      </c>
      <c r="C4661" s="49" t="s">
        <v>69</v>
      </c>
      <c r="D4661" s="49">
        <v>0.0</v>
      </c>
    </row>
    <row r="4662" ht="15.0" hidden="1" customHeight="1">
      <c r="A4662" s="49" t="s">
        <v>612</v>
      </c>
      <c r="B4662" s="50">
        <v>44742.0</v>
      </c>
      <c r="C4662" s="49" t="s">
        <v>69</v>
      </c>
      <c r="D4662" s="49">
        <v>0.0</v>
      </c>
    </row>
    <row r="4663" ht="15.0" hidden="1" customHeight="1">
      <c r="A4663" s="49" t="s">
        <v>617</v>
      </c>
      <c r="B4663" s="50">
        <v>44742.0</v>
      </c>
      <c r="C4663" s="49" t="s">
        <v>69</v>
      </c>
      <c r="D4663" s="49">
        <v>0.0</v>
      </c>
    </row>
    <row r="4664" ht="15.0" hidden="1" customHeight="1">
      <c r="A4664" s="49" t="s">
        <v>622</v>
      </c>
      <c r="B4664" s="50">
        <v>44742.0</v>
      </c>
      <c r="C4664" s="49" t="s">
        <v>69</v>
      </c>
      <c r="D4664" s="49">
        <v>0.0</v>
      </c>
    </row>
    <row r="4665" ht="15.0" hidden="1" customHeight="1">
      <c r="A4665" s="49" t="s">
        <v>627</v>
      </c>
      <c r="B4665" s="50">
        <v>44742.0</v>
      </c>
      <c r="C4665" s="49" t="s">
        <v>69</v>
      </c>
      <c r="D4665" s="49">
        <v>0.0</v>
      </c>
    </row>
    <row r="4666" ht="15.0" hidden="1" customHeight="1">
      <c r="A4666" s="49" t="s">
        <v>631</v>
      </c>
      <c r="B4666" s="50">
        <v>44742.0</v>
      </c>
      <c r="C4666" s="49" t="s">
        <v>69</v>
      </c>
      <c r="D4666" s="49">
        <v>0.0</v>
      </c>
    </row>
    <row r="4667" ht="15.0" hidden="1" customHeight="1">
      <c r="A4667" s="49" t="s">
        <v>636</v>
      </c>
      <c r="B4667" s="50">
        <v>44742.0</v>
      </c>
      <c r="C4667" s="49" t="s">
        <v>69</v>
      </c>
      <c r="D4667" s="49">
        <v>0.0</v>
      </c>
    </row>
    <row r="4668" ht="15.0" hidden="1" customHeight="1">
      <c r="A4668" s="49" t="s">
        <v>640</v>
      </c>
      <c r="B4668" s="50">
        <v>44742.0</v>
      </c>
      <c r="C4668" s="49" t="s">
        <v>69</v>
      </c>
      <c r="D4668" s="49">
        <v>0.0</v>
      </c>
    </row>
    <row r="4669" ht="15.0" hidden="1" customHeight="1">
      <c r="A4669" s="49" t="s">
        <v>644</v>
      </c>
      <c r="B4669" s="50">
        <v>44742.0</v>
      </c>
      <c r="C4669" s="49" t="s">
        <v>69</v>
      </c>
      <c r="D4669" s="49">
        <v>0.0</v>
      </c>
    </row>
    <row r="4670" ht="15.0" hidden="1" customHeight="1">
      <c r="A4670" s="49" t="s">
        <v>649</v>
      </c>
      <c r="B4670" s="50">
        <v>44742.0</v>
      </c>
      <c r="C4670" s="49" t="s">
        <v>69</v>
      </c>
      <c r="D4670" s="49">
        <v>0.0</v>
      </c>
    </row>
    <row r="4671" ht="15.0" hidden="1" customHeight="1">
      <c r="A4671" s="49" t="s">
        <v>654</v>
      </c>
      <c r="B4671" s="50">
        <v>44742.0</v>
      </c>
      <c r="C4671" s="49" t="s">
        <v>69</v>
      </c>
      <c r="D4671" s="49">
        <v>0.0</v>
      </c>
    </row>
    <row r="4672" ht="15.0" hidden="1" customHeight="1">
      <c r="A4672" s="49" t="s">
        <v>659</v>
      </c>
      <c r="B4672" s="50">
        <v>44742.0</v>
      </c>
      <c r="C4672" s="49" t="s">
        <v>69</v>
      </c>
      <c r="D4672" s="49">
        <v>0.0</v>
      </c>
    </row>
    <row r="4673" ht="15.0" hidden="1" customHeight="1">
      <c r="A4673" s="49" t="s">
        <v>664</v>
      </c>
      <c r="B4673" s="50">
        <v>44742.0</v>
      </c>
      <c r="C4673" s="49" t="s">
        <v>69</v>
      </c>
      <c r="D4673" s="49">
        <v>0.0</v>
      </c>
    </row>
    <row r="4674" ht="15.0" hidden="1" customHeight="1">
      <c r="A4674" s="49" t="s">
        <v>669</v>
      </c>
      <c r="B4674" s="50">
        <v>44742.0</v>
      </c>
      <c r="C4674" s="49" t="s">
        <v>69</v>
      </c>
      <c r="D4674" s="49">
        <v>0.0</v>
      </c>
    </row>
    <row r="4675" ht="15.0" hidden="1" customHeight="1">
      <c r="A4675" s="49" t="s">
        <v>674</v>
      </c>
      <c r="B4675" s="50">
        <v>44742.0</v>
      </c>
      <c r="C4675" s="49" t="s">
        <v>69</v>
      </c>
      <c r="D4675" s="49">
        <v>0.0</v>
      </c>
    </row>
    <row r="4676" ht="15.0" hidden="1" customHeight="1">
      <c r="A4676" s="49" t="s">
        <v>679</v>
      </c>
      <c r="B4676" s="50">
        <v>44742.0</v>
      </c>
      <c r="C4676" s="49" t="s">
        <v>69</v>
      </c>
      <c r="D4676" s="49">
        <v>0.0</v>
      </c>
    </row>
    <row r="4677" ht="15.0" hidden="1" customHeight="1">
      <c r="A4677" s="49" t="s">
        <v>684</v>
      </c>
      <c r="B4677" s="50">
        <v>44742.0</v>
      </c>
      <c r="C4677" s="49" t="s">
        <v>69</v>
      </c>
      <c r="D4677" s="49">
        <v>0.0</v>
      </c>
    </row>
    <row r="4678" ht="15.0" hidden="1" customHeight="1">
      <c r="A4678" s="49" t="s">
        <v>689</v>
      </c>
      <c r="B4678" s="50">
        <v>44742.0</v>
      </c>
      <c r="C4678" s="49" t="s">
        <v>69</v>
      </c>
      <c r="D4678" s="49">
        <v>0.0</v>
      </c>
    </row>
    <row r="4679" ht="15.0" hidden="1" customHeight="1">
      <c r="A4679" s="49" t="s">
        <v>694</v>
      </c>
      <c r="B4679" s="50">
        <v>44742.0</v>
      </c>
      <c r="C4679" s="49" t="s">
        <v>69</v>
      </c>
      <c r="D4679" s="49">
        <v>0.0</v>
      </c>
    </row>
    <row r="4680" ht="15.0" hidden="1" customHeight="1">
      <c r="A4680" s="49" t="s">
        <v>699</v>
      </c>
      <c r="B4680" s="50">
        <v>44742.0</v>
      </c>
      <c r="C4680" s="49" t="s">
        <v>69</v>
      </c>
      <c r="D4680" s="49">
        <v>0.0</v>
      </c>
    </row>
    <row r="4681" ht="15.0" hidden="1" customHeight="1">
      <c r="A4681" s="49" t="s">
        <v>705</v>
      </c>
      <c r="B4681" s="50">
        <v>44742.0</v>
      </c>
      <c r="C4681" s="49" t="s">
        <v>69</v>
      </c>
      <c r="D4681" s="49">
        <v>0.0</v>
      </c>
    </row>
    <row r="4682" ht="15.0" hidden="1" customHeight="1">
      <c r="A4682" s="49" t="s">
        <v>710</v>
      </c>
      <c r="B4682" s="50">
        <v>44742.0</v>
      </c>
      <c r="C4682" s="49" t="s">
        <v>69</v>
      </c>
      <c r="D4682" s="49">
        <v>0.0</v>
      </c>
    </row>
    <row r="4683" ht="15.0" hidden="1" customHeight="1">
      <c r="A4683" s="49" t="s">
        <v>715</v>
      </c>
      <c r="B4683" s="50">
        <v>44742.0</v>
      </c>
      <c r="C4683" s="49" t="s">
        <v>69</v>
      </c>
      <c r="D4683" s="49">
        <v>0.0</v>
      </c>
    </row>
    <row r="4684" ht="15.0" hidden="1" customHeight="1">
      <c r="A4684" s="49" t="s">
        <v>765</v>
      </c>
      <c r="B4684" s="50">
        <v>44742.0</v>
      </c>
      <c r="C4684" s="49" t="s">
        <v>69</v>
      </c>
      <c r="D4684" s="49">
        <v>0.0</v>
      </c>
    </row>
    <row r="4685" ht="15.0" hidden="1" customHeight="1">
      <c r="A4685" s="49" t="s">
        <v>720</v>
      </c>
      <c r="B4685" s="50">
        <v>44742.0</v>
      </c>
      <c r="C4685" s="49" t="s">
        <v>69</v>
      </c>
      <c r="D4685" s="49">
        <v>0.0</v>
      </c>
    </row>
    <row r="4686" ht="15.0" hidden="1" customHeight="1">
      <c r="A4686" s="49" t="s">
        <v>725</v>
      </c>
      <c r="B4686" s="50">
        <v>44742.0</v>
      </c>
      <c r="C4686" s="49" t="s">
        <v>69</v>
      </c>
      <c r="D4686" s="49">
        <v>0.0</v>
      </c>
    </row>
    <row r="4687" ht="15.0" hidden="1" customHeight="1">
      <c r="A4687" s="49" t="s">
        <v>730</v>
      </c>
      <c r="B4687" s="50">
        <v>44742.0</v>
      </c>
      <c r="C4687" s="49" t="s">
        <v>69</v>
      </c>
      <c r="D4687" s="49">
        <v>0.0</v>
      </c>
    </row>
    <row r="4688" ht="15.0" hidden="1" customHeight="1">
      <c r="A4688" s="49" t="s">
        <v>734</v>
      </c>
      <c r="B4688" s="50">
        <v>44742.0</v>
      </c>
      <c r="C4688" s="49" t="s">
        <v>69</v>
      </c>
      <c r="D4688" s="49">
        <v>0.0</v>
      </c>
    </row>
    <row r="4689" ht="15.0" hidden="1" customHeight="1">
      <c r="A4689" s="49" t="s">
        <v>739</v>
      </c>
      <c r="B4689" s="50">
        <v>44742.0</v>
      </c>
      <c r="C4689" s="49" t="s">
        <v>69</v>
      </c>
      <c r="D4689" s="49">
        <v>0.0</v>
      </c>
    </row>
    <row r="4690" ht="15.0" hidden="1" customHeight="1">
      <c r="A4690" s="49" t="s">
        <v>744</v>
      </c>
      <c r="B4690" s="50">
        <v>44742.0</v>
      </c>
      <c r="C4690" s="49" t="s">
        <v>69</v>
      </c>
      <c r="D4690" s="49">
        <v>0.0</v>
      </c>
    </row>
    <row r="4691" ht="15.0" hidden="1" customHeight="1">
      <c r="A4691" s="49" t="s">
        <v>749</v>
      </c>
      <c r="B4691" s="50">
        <v>44742.0</v>
      </c>
      <c r="C4691" s="49" t="s">
        <v>69</v>
      </c>
      <c r="D4691" s="49">
        <v>0.0</v>
      </c>
    </row>
    <row r="4692" ht="15.0" customHeight="1">
      <c r="A4692" s="49" t="s">
        <v>776</v>
      </c>
      <c r="B4692" s="50">
        <v>44742.0</v>
      </c>
      <c r="C4692" s="49" t="s">
        <v>780</v>
      </c>
      <c r="D4692" s="49">
        <v>0.0</v>
      </c>
    </row>
    <row r="4693" ht="15.0" hidden="1" customHeight="1">
      <c r="A4693" s="49" t="s">
        <v>778</v>
      </c>
      <c r="B4693" s="50">
        <v>44742.0</v>
      </c>
      <c r="C4693" s="49" t="s">
        <v>780</v>
      </c>
      <c r="D4693" s="49">
        <v>0.0</v>
      </c>
    </row>
    <row r="4694" ht="15.0" hidden="1" customHeight="1">
      <c r="A4694" s="49" t="s">
        <v>92</v>
      </c>
      <c r="B4694" s="50">
        <v>44742.0</v>
      </c>
      <c r="C4694" s="49" t="s">
        <v>780</v>
      </c>
      <c r="D4694" s="49">
        <v>0.0</v>
      </c>
    </row>
    <row r="4695" ht="15.0" hidden="1" customHeight="1">
      <c r="A4695" s="49" t="s">
        <v>97</v>
      </c>
      <c r="B4695" s="50">
        <v>44742.0</v>
      </c>
      <c r="C4695" s="49" t="s">
        <v>780</v>
      </c>
      <c r="D4695" s="49">
        <v>0.0</v>
      </c>
    </row>
    <row r="4696" ht="15.0" hidden="1" customHeight="1">
      <c r="A4696" s="49" t="s">
        <v>102</v>
      </c>
      <c r="B4696" s="50">
        <v>44742.0</v>
      </c>
      <c r="C4696" s="49" t="s">
        <v>780</v>
      </c>
      <c r="D4696" s="49">
        <v>0.0</v>
      </c>
    </row>
    <row r="4697" ht="15.0" hidden="1" customHeight="1">
      <c r="A4697" s="49" t="s">
        <v>106</v>
      </c>
      <c r="B4697" s="50">
        <v>44742.0</v>
      </c>
      <c r="C4697" s="49" t="s">
        <v>780</v>
      </c>
      <c r="D4697" s="49">
        <v>-250000.0</v>
      </c>
    </row>
    <row r="4698" ht="15.0" hidden="1" customHeight="1">
      <c r="A4698" s="49" t="s">
        <v>111</v>
      </c>
      <c r="B4698" s="50">
        <v>44742.0</v>
      </c>
      <c r="C4698" s="49" t="s">
        <v>780</v>
      </c>
      <c r="D4698" s="49">
        <v>0.0</v>
      </c>
    </row>
    <row r="4699" ht="15.0" hidden="1" customHeight="1">
      <c r="A4699" s="49" t="s">
        <v>116</v>
      </c>
      <c r="B4699" s="50">
        <v>44742.0</v>
      </c>
      <c r="C4699" s="49" t="s">
        <v>780</v>
      </c>
      <c r="D4699" s="49">
        <v>0.0</v>
      </c>
    </row>
    <row r="4700" ht="15.0" hidden="1" customHeight="1">
      <c r="A4700" s="49" t="s">
        <v>120</v>
      </c>
      <c r="B4700" s="50">
        <v>44742.0</v>
      </c>
      <c r="C4700" s="49" t="s">
        <v>780</v>
      </c>
      <c r="D4700" s="49">
        <v>-3000000.0</v>
      </c>
    </row>
    <row r="4701" ht="15.0" hidden="1" customHeight="1">
      <c r="A4701" s="49" t="s">
        <v>125</v>
      </c>
      <c r="B4701" s="50">
        <v>44742.0</v>
      </c>
      <c r="C4701" s="49" t="s">
        <v>780</v>
      </c>
      <c r="D4701" s="49">
        <v>0.0</v>
      </c>
    </row>
    <row r="4702" ht="15.0" hidden="1" customHeight="1">
      <c r="A4702" s="49" t="s">
        <v>130</v>
      </c>
      <c r="B4702" s="50">
        <v>44742.0</v>
      </c>
      <c r="C4702" s="49" t="s">
        <v>780</v>
      </c>
      <c r="D4702" s="49">
        <v>0.0</v>
      </c>
    </row>
    <row r="4703" ht="15.0" hidden="1" customHeight="1">
      <c r="A4703" s="49" t="s">
        <v>137</v>
      </c>
      <c r="B4703" s="50">
        <v>44742.0</v>
      </c>
      <c r="C4703" s="49" t="s">
        <v>780</v>
      </c>
      <c r="D4703" s="49">
        <v>0.0</v>
      </c>
    </row>
    <row r="4704" ht="15.0" hidden="1" customHeight="1">
      <c r="A4704" s="49" t="s">
        <v>142</v>
      </c>
      <c r="B4704" s="50">
        <v>44742.0</v>
      </c>
      <c r="C4704" s="49" t="s">
        <v>780</v>
      </c>
      <c r="D4704" s="49">
        <v>0.0</v>
      </c>
    </row>
    <row r="4705" ht="15.0" hidden="1" customHeight="1">
      <c r="A4705" s="49" t="s">
        <v>147</v>
      </c>
      <c r="B4705" s="50">
        <v>44742.0</v>
      </c>
      <c r="C4705" s="49" t="s">
        <v>780</v>
      </c>
      <c r="D4705" s="49">
        <v>-128000.0</v>
      </c>
    </row>
    <row r="4706" ht="15.0" hidden="1" customHeight="1">
      <c r="A4706" s="49" t="s">
        <v>152</v>
      </c>
      <c r="B4706" s="50">
        <v>44742.0</v>
      </c>
      <c r="C4706" s="49" t="s">
        <v>780</v>
      </c>
      <c r="D4706" s="49">
        <v>0.0</v>
      </c>
    </row>
    <row r="4707" ht="15.0" hidden="1" customHeight="1">
      <c r="A4707" s="49" t="s">
        <v>157</v>
      </c>
      <c r="B4707" s="50">
        <v>44742.0</v>
      </c>
      <c r="C4707" s="49" t="s">
        <v>780</v>
      </c>
      <c r="D4707" s="49">
        <v>-75000.0</v>
      </c>
    </row>
    <row r="4708" ht="15.0" hidden="1" customHeight="1">
      <c r="A4708" s="49" t="s">
        <v>162</v>
      </c>
      <c r="B4708" s="50">
        <v>44742.0</v>
      </c>
      <c r="C4708" s="49" t="s">
        <v>780</v>
      </c>
      <c r="D4708" s="49">
        <v>0.0</v>
      </c>
    </row>
    <row r="4709" ht="15.0" hidden="1" customHeight="1">
      <c r="A4709" s="49" t="s">
        <v>167</v>
      </c>
      <c r="B4709" s="50">
        <v>44742.0</v>
      </c>
      <c r="C4709" s="49" t="s">
        <v>780</v>
      </c>
      <c r="D4709" s="49">
        <v>0.0</v>
      </c>
    </row>
    <row r="4710" ht="15.0" hidden="1" customHeight="1">
      <c r="A4710" s="49" t="s">
        <v>172</v>
      </c>
      <c r="B4710" s="50">
        <v>44742.0</v>
      </c>
      <c r="C4710" s="49" t="s">
        <v>780</v>
      </c>
      <c r="D4710" s="49">
        <v>0.0</v>
      </c>
    </row>
    <row r="4711" ht="15.0" hidden="1" customHeight="1">
      <c r="A4711" s="49" t="s">
        <v>177</v>
      </c>
      <c r="B4711" s="50">
        <v>44742.0</v>
      </c>
      <c r="C4711" s="49" t="s">
        <v>780</v>
      </c>
      <c r="D4711" s="49">
        <v>0.0</v>
      </c>
    </row>
    <row r="4712" ht="15.0" hidden="1" customHeight="1">
      <c r="A4712" s="49" t="s">
        <v>182</v>
      </c>
      <c r="B4712" s="50">
        <v>44742.0</v>
      </c>
      <c r="C4712" s="49" t="s">
        <v>780</v>
      </c>
      <c r="D4712" s="49">
        <v>-66666.67</v>
      </c>
    </row>
    <row r="4713" ht="15.0" hidden="1" customHeight="1">
      <c r="A4713" s="49" t="s">
        <v>187</v>
      </c>
      <c r="B4713" s="50">
        <v>44742.0</v>
      </c>
      <c r="C4713" s="49" t="s">
        <v>780</v>
      </c>
      <c r="D4713" s="49">
        <v>0.0</v>
      </c>
    </row>
    <row r="4714" ht="15.0" hidden="1" customHeight="1">
      <c r="A4714" s="49" t="s">
        <v>192</v>
      </c>
      <c r="B4714" s="50">
        <v>44742.0</v>
      </c>
      <c r="C4714" s="49" t="s">
        <v>780</v>
      </c>
      <c r="D4714" s="49">
        <v>0.0</v>
      </c>
    </row>
    <row r="4715" ht="15.0" hidden="1" customHeight="1">
      <c r="A4715" s="49" t="s">
        <v>197</v>
      </c>
      <c r="B4715" s="50">
        <v>44742.0</v>
      </c>
      <c r="C4715" s="49" t="s">
        <v>780</v>
      </c>
      <c r="D4715" s="49">
        <v>0.0</v>
      </c>
    </row>
    <row r="4716" ht="15.0" hidden="1" customHeight="1">
      <c r="A4716" s="49" t="s">
        <v>202</v>
      </c>
      <c r="B4716" s="50">
        <v>44742.0</v>
      </c>
      <c r="C4716" s="49" t="s">
        <v>780</v>
      </c>
      <c r="D4716" s="49">
        <v>0.0</v>
      </c>
    </row>
    <row r="4717" ht="15.0" hidden="1" customHeight="1">
      <c r="A4717" s="49" t="s">
        <v>206</v>
      </c>
      <c r="B4717" s="50">
        <v>44742.0</v>
      </c>
      <c r="C4717" s="49" t="s">
        <v>780</v>
      </c>
      <c r="D4717" s="49">
        <v>0.0</v>
      </c>
    </row>
    <row r="4718" ht="15.0" hidden="1" customHeight="1">
      <c r="A4718" s="49" t="s">
        <v>211</v>
      </c>
      <c r="B4718" s="50">
        <v>44742.0</v>
      </c>
      <c r="C4718" s="49" t="s">
        <v>780</v>
      </c>
      <c r="D4718" s="49">
        <v>0.0</v>
      </c>
    </row>
    <row r="4719" ht="15.0" hidden="1" customHeight="1">
      <c r="A4719" s="49" t="s">
        <v>779</v>
      </c>
      <c r="B4719" s="50">
        <v>44742.0</v>
      </c>
      <c r="C4719" s="49" t="s">
        <v>780</v>
      </c>
      <c r="D4719" s="49">
        <v>0.0</v>
      </c>
    </row>
    <row r="4720" ht="15.0" hidden="1" customHeight="1">
      <c r="A4720" s="49" t="s">
        <v>221</v>
      </c>
      <c r="B4720" s="50">
        <v>44742.0</v>
      </c>
      <c r="C4720" s="49" t="s">
        <v>780</v>
      </c>
      <c r="D4720" s="49">
        <v>0.0</v>
      </c>
    </row>
    <row r="4721" ht="15.0" hidden="1" customHeight="1">
      <c r="A4721" s="49" t="s">
        <v>226</v>
      </c>
      <c r="B4721" s="50">
        <v>44742.0</v>
      </c>
      <c r="C4721" s="49" t="s">
        <v>780</v>
      </c>
      <c r="D4721" s="49">
        <v>0.0</v>
      </c>
    </row>
    <row r="4722" ht="15.0" hidden="1" customHeight="1">
      <c r="A4722" s="49" t="s">
        <v>231</v>
      </c>
      <c r="B4722" s="50">
        <v>44742.0</v>
      </c>
      <c r="C4722" s="49" t="s">
        <v>780</v>
      </c>
      <c r="D4722" s="49">
        <v>-164000.0</v>
      </c>
    </row>
    <row r="4723" ht="15.0" hidden="1" customHeight="1">
      <c r="A4723" s="49" t="s">
        <v>236</v>
      </c>
      <c r="B4723" s="50">
        <v>44742.0</v>
      </c>
      <c r="C4723" s="49" t="s">
        <v>780</v>
      </c>
      <c r="D4723" s="49">
        <v>0.0</v>
      </c>
    </row>
    <row r="4724" ht="15.0" hidden="1" customHeight="1">
      <c r="A4724" s="49" t="s">
        <v>242</v>
      </c>
      <c r="B4724" s="50">
        <v>44742.0</v>
      </c>
      <c r="C4724" s="49" t="s">
        <v>780</v>
      </c>
      <c r="D4724" s="49">
        <v>-250000.0</v>
      </c>
    </row>
    <row r="4725" ht="15.0" hidden="1" customHeight="1">
      <c r="A4725" s="49" t="s">
        <v>248</v>
      </c>
      <c r="B4725" s="50">
        <v>44742.0</v>
      </c>
      <c r="C4725" s="49" t="s">
        <v>780</v>
      </c>
      <c r="D4725" s="49">
        <v>0.0</v>
      </c>
    </row>
    <row r="4726" ht="15.0" hidden="1" customHeight="1">
      <c r="A4726" s="49" t="s">
        <v>253</v>
      </c>
      <c r="B4726" s="50">
        <v>44742.0</v>
      </c>
      <c r="C4726" s="49" t="s">
        <v>780</v>
      </c>
      <c r="D4726" s="49">
        <v>-500000.0</v>
      </c>
    </row>
    <row r="4727" ht="15.0" hidden="1" customHeight="1">
      <c r="A4727" s="49" t="s">
        <v>258</v>
      </c>
      <c r="B4727" s="50">
        <v>44742.0</v>
      </c>
      <c r="C4727" s="49" t="s">
        <v>780</v>
      </c>
      <c r="D4727" s="49">
        <v>0.0</v>
      </c>
    </row>
    <row r="4728" ht="15.0" hidden="1" customHeight="1">
      <c r="A4728" s="49" t="s">
        <v>263</v>
      </c>
      <c r="B4728" s="50">
        <v>44742.0</v>
      </c>
      <c r="C4728" s="49" t="s">
        <v>780</v>
      </c>
      <c r="D4728" s="49">
        <v>-560000.0</v>
      </c>
    </row>
    <row r="4729" ht="15.0" hidden="1" customHeight="1">
      <c r="A4729" s="49" t="s">
        <v>268</v>
      </c>
      <c r="B4729" s="50">
        <v>44742.0</v>
      </c>
      <c r="C4729" s="49" t="s">
        <v>780</v>
      </c>
      <c r="D4729" s="49">
        <v>-60000.0</v>
      </c>
    </row>
    <row r="4730" ht="15.0" hidden="1" customHeight="1">
      <c r="A4730" s="49" t="s">
        <v>273</v>
      </c>
      <c r="B4730" s="50">
        <v>44742.0</v>
      </c>
      <c r="C4730" s="49" t="s">
        <v>780</v>
      </c>
      <c r="D4730" s="49">
        <v>-60000.0</v>
      </c>
    </row>
    <row r="4731" ht="15.0" hidden="1" customHeight="1">
      <c r="A4731" s="49" t="s">
        <v>278</v>
      </c>
      <c r="B4731" s="50">
        <v>44742.0</v>
      </c>
      <c r="C4731" s="49" t="s">
        <v>780</v>
      </c>
      <c r="D4731" s="49">
        <v>1000000.0</v>
      </c>
    </row>
    <row r="4732" ht="15.0" hidden="1" customHeight="1">
      <c r="A4732" s="49" t="s">
        <v>283</v>
      </c>
      <c r="B4732" s="50">
        <v>44742.0</v>
      </c>
      <c r="C4732" s="49" t="s">
        <v>780</v>
      </c>
      <c r="D4732" s="49">
        <v>903000.0</v>
      </c>
    </row>
    <row r="4733" ht="15.0" hidden="1" customHeight="1">
      <c r="A4733" s="49" t="s">
        <v>288</v>
      </c>
      <c r="B4733" s="50">
        <v>44742.0</v>
      </c>
      <c r="C4733" s="49" t="s">
        <v>780</v>
      </c>
      <c r="D4733" s="49">
        <v>700000.0</v>
      </c>
    </row>
    <row r="4734" ht="15.0" hidden="1" customHeight="1">
      <c r="A4734" s="49" t="s">
        <v>293</v>
      </c>
      <c r="B4734" s="50">
        <v>44742.0</v>
      </c>
      <c r="C4734" s="49" t="s">
        <v>780</v>
      </c>
      <c r="D4734" s="49">
        <v>650000.0</v>
      </c>
    </row>
    <row r="4735" ht="15.0" hidden="1" customHeight="1">
      <c r="A4735" s="49" t="s">
        <v>298</v>
      </c>
      <c r="B4735" s="50">
        <v>44742.0</v>
      </c>
      <c r="C4735" s="49" t="s">
        <v>780</v>
      </c>
      <c r="D4735" s="49">
        <v>500000.0</v>
      </c>
    </row>
    <row r="4736" ht="15.0" hidden="1" customHeight="1">
      <c r="A4736" s="49" t="s">
        <v>303</v>
      </c>
      <c r="B4736" s="50">
        <v>44742.0</v>
      </c>
      <c r="C4736" s="49" t="s">
        <v>780</v>
      </c>
      <c r="D4736" s="49">
        <v>1650000.0</v>
      </c>
    </row>
    <row r="4737" ht="15.0" hidden="1" customHeight="1">
      <c r="A4737" s="49" t="s">
        <v>307</v>
      </c>
      <c r="B4737" s="50">
        <v>44742.0</v>
      </c>
      <c r="C4737" s="49" t="s">
        <v>780</v>
      </c>
      <c r="D4737" s="49">
        <v>2674297.49</v>
      </c>
    </row>
    <row r="4738" ht="15.0" hidden="1" customHeight="1">
      <c r="A4738" s="49" t="s">
        <v>313</v>
      </c>
      <c r="B4738" s="50">
        <v>44742.0</v>
      </c>
      <c r="C4738" s="49" t="s">
        <v>780</v>
      </c>
      <c r="D4738" s="49">
        <v>3858000.0</v>
      </c>
    </row>
    <row r="4739" ht="15.0" hidden="1" customHeight="1">
      <c r="A4739" s="49" t="s">
        <v>318</v>
      </c>
      <c r="B4739" s="50">
        <v>44742.0</v>
      </c>
      <c r="C4739" s="49" t="s">
        <v>780</v>
      </c>
      <c r="D4739" s="49">
        <v>0.0</v>
      </c>
    </row>
    <row r="4740" ht="15.0" hidden="1" customHeight="1">
      <c r="A4740" s="49" t="s">
        <v>323</v>
      </c>
      <c r="B4740" s="50">
        <v>44742.0</v>
      </c>
      <c r="C4740" s="49" t="s">
        <v>780</v>
      </c>
      <c r="D4740" s="49">
        <v>0.0</v>
      </c>
    </row>
    <row r="4741" ht="15.0" hidden="1" customHeight="1">
      <c r="A4741" s="49" t="s">
        <v>328</v>
      </c>
      <c r="B4741" s="50">
        <v>44742.0</v>
      </c>
      <c r="C4741" s="49" t="s">
        <v>780</v>
      </c>
      <c r="D4741" s="49">
        <v>0.0</v>
      </c>
    </row>
    <row r="4742" ht="15.0" hidden="1" customHeight="1">
      <c r="A4742" s="49" t="s">
        <v>335</v>
      </c>
      <c r="B4742" s="50">
        <v>44742.0</v>
      </c>
      <c r="C4742" s="49" t="s">
        <v>780</v>
      </c>
      <c r="D4742" s="49">
        <v>0.0</v>
      </c>
    </row>
    <row r="4743" ht="15.0" hidden="1" customHeight="1">
      <c r="A4743" s="49" t="s">
        <v>340</v>
      </c>
      <c r="B4743" s="50">
        <v>44742.0</v>
      </c>
      <c r="C4743" s="49" t="s">
        <v>780</v>
      </c>
      <c r="D4743" s="49">
        <v>0.0</v>
      </c>
    </row>
    <row r="4744" ht="15.0" hidden="1" customHeight="1">
      <c r="A4744" s="49" t="s">
        <v>345</v>
      </c>
      <c r="B4744" s="50">
        <v>44742.0</v>
      </c>
      <c r="C4744" s="49" t="s">
        <v>780</v>
      </c>
      <c r="D4744" s="49">
        <v>0.0</v>
      </c>
    </row>
    <row r="4745" ht="15.0" hidden="1" customHeight="1">
      <c r="A4745" s="49" t="s">
        <v>350</v>
      </c>
      <c r="B4745" s="50">
        <v>44742.0</v>
      </c>
      <c r="C4745" s="49" t="s">
        <v>780</v>
      </c>
      <c r="D4745" s="49">
        <v>0.0</v>
      </c>
    </row>
    <row r="4746" ht="15.0" hidden="1" customHeight="1">
      <c r="A4746" s="49" t="s">
        <v>355</v>
      </c>
      <c r="B4746" s="50">
        <v>44742.0</v>
      </c>
      <c r="C4746" s="49" t="s">
        <v>780</v>
      </c>
      <c r="D4746" s="49">
        <v>0.0</v>
      </c>
    </row>
    <row r="4747" ht="15.0" hidden="1" customHeight="1">
      <c r="A4747" s="49" t="s">
        <v>360</v>
      </c>
      <c r="B4747" s="50">
        <v>44742.0</v>
      </c>
      <c r="C4747" s="49" t="s">
        <v>780</v>
      </c>
      <c r="D4747" s="49">
        <v>0.0</v>
      </c>
    </row>
    <row r="4748" ht="15.0" hidden="1" customHeight="1">
      <c r="A4748" s="49" t="s">
        <v>365</v>
      </c>
      <c r="B4748" s="50">
        <v>44742.0</v>
      </c>
      <c r="C4748" s="49" t="s">
        <v>780</v>
      </c>
      <c r="D4748" s="49">
        <v>0.0</v>
      </c>
    </row>
    <row r="4749" ht="15.0" hidden="1" customHeight="1">
      <c r="A4749" s="49" t="s">
        <v>370</v>
      </c>
      <c r="B4749" s="50">
        <v>44742.0</v>
      </c>
      <c r="C4749" s="49" t="s">
        <v>780</v>
      </c>
      <c r="D4749" s="49">
        <v>0.0</v>
      </c>
    </row>
    <row r="4750" ht="15.0" hidden="1" customHeight="1">
      <c r="A4750" s="49" t="s">
        <v>375</v>
      </c>
      <c r="B4750" s="50">
        <v>44742.0</v>
      </c>
      <c r="C4750" s="49" t="s">
        <v>780</v>
      </c>
      <c r="D4750" s="49">
        <v>0.0</v>
      </c>
    </row>
    <row r="4751" ht="15.0" hidden="1" customHeight="1">
      <c r="A4751" s="49" t="s">
        <v>380</v>
      </c>
      <c r="B4751" s="50">
        <v>44742.0</v>
      </c>
      <c r="C4751" s="49" t="s">
        <v>780</v>
      </c>
      <c r="D4751" s="49">
        <v>0.0</v>
      </c>
    </row>
    <row r="4752" ht="15.0" hidden="1" customHeight="1">
      <c r="A4752" s="49" t="s">
        <v>385</v>
      </c>
      <c r="B4752" s="50">
        <v>44742.0</v>
      </c>
      <c r="C4752" s="49" t="s">
        <v>780</v>
      </c>
      <c r="D4752" s="49">
        <v>0.0</v>
      </c>
    </row>
    <row r="4753" ht="15.0" hidden="1" customHeight="1">
      <c r="A4753" s="49" t="s">
        <v>390</v>
      </c>
      <c r="B4753" s="50">
        <v>44742.0</v>
      </c>
      <c r="C4753" s="49" t="s">
        <v>780</v>
      </c>
      <c r="D4753" s="49">
        <v>0.0</v>
      </c>
    </row>
    <row r="4754" ht="15.0" hidden="1" customHeight="1">
      <c r="A4754" s="49" t="s">
        <v>395</v>
      </c>
      <c r="B4754" s="50">
        <v>44742.0</v>
      </c>
      <c r="C4754" s="49" t="s">
        <v>780</v>
      </c>
      <c r="D4754" s="49">
        <v>0.0</v>
      </c>
    </row>
    <row r="4755" ht="15.0" hidden="1" customHeight="1">
      <c r="A4755" s="49" t="s">
        <v>400</v>
      </c>
      <c r="B4755" s="50">
        <v>44742.0</v>
      </c>
      <c r="C4755" s="49" t="s">
        <v>780</v>
      </c>
      <c r="D4755" s="49">
        <v>0.0</v>
      </c>
    </row>
    <row r="4756" ht="15.0" hidden="1" customHeight="1">
      <c r="A4756" s="49" t="s">
        <v>405</v>
      </c>
      <c r="B4756" s="50">
        <v>44742.0</v>
      </c>
      <c r="C4756" s="49" t="s">
        <v>780</v>
      </c>
      <c r="D4756" s="49">
        <v>0.0</v>
      </c>
    </row>
    <row r="4757" ht="15.0" hidden="1" customHeight="1">
      <c r="A4757" s="49" t="s">
        <v>410</v>
      </c>
      <c r="B4757" s="50">
        <v>44742.0</v>
      </c>
      <c r="C4757" s="49" t="s">
        <v>780</v>
      </c>
      <c r="D4757" s="49">
        <v>0.0</v>
      </c>
    </row>
    <row r="4758" ht="15.0" hidden="1" customHeight="1">
      <c r="A4758" s="49" t="s">
        <v>415</v>
      </c>
      <c r="B4758" s="50">
        <v>44742.0</v>
      </c>
      <c r="C4758" s="49" t="s">
        <v>780</v>
      </c>
      <c r="D4758" s="49">
        <v>0.0</v>
      </c>
    </row>
    <row r="4759" ht="15.0" hidden="1" customHeight="1">
      <c r="A4759" s="49" t="s">
        <v>420</v>
      </c>
      <c r="B4759" s="50">
        <v>44742.0</v>
      </c>
      <c r="C4759" s="49" t="s">
        <v>780</v>
      </c>
      <c r="D4759" s="49">
        <v>0.0</v>
      </c>
    </row>
    <row r="4760" ht="15.0" hidden="1" customHeight="1">
      <c r="A4760" s="49" t="s">
        <v>425</v>
      </c>
      <c r="B4760" s="50">
        <v>44742.0</v>
      </c>
      <c r="C4760" s="49" t="s">
        <v>780</v>
      </c>
      <c r="D4760" s="49">
        <v>0.0</v>
      </c>
    </row>
    <row r="4761" ht="15.0" hidden="1" customHeight="1">
      <c r="A4761" s="49" t="s">
        <v>430</v>
      </c>
      <c r="B4761" s="50">
        <v>44742.0</v>
      </c>
      <c r="C4761" s="49" t="s">
        <v>780</v>
      </c>
      <c r="D4761" s="49">
        <v>0.0</v>
      </c>
    </row>
    <row r="4762" ht="15.0" hidden="1" customHeight="1">
      <c r="A4762" s="49" t="s">
        <v>434</v>
      </c>
      <c r="B4762" s="50">
        <v>44742.0</v>
      </c>
      <c r="C4762" s="49" t="s">
        <v>780</v>
      </c>
      <c r="D4762" s="49">
        <v>0.0</v>
      </c>
    </row>
    <row r="4763" ht="15.0" hidden="1" customHeight="1">
      <c r="A4763" s="49" t="s">
        <v>439</v>
      </c>
      <c r="B4763" s="50">
        <v>44742.0</v>
      </c>
      <c r="C4763" s="49" t="s">
        <v>780</v>
      </c>
      <c r="D4763" s="49">
        <v>0.0</v>
      </c>
    </row>
    <row r="4764" ht="15.0" hidden="1" customHeight="1">
      <c r="A4764" s="49" t="s">
        <v>444</v>
      </c>
      <c r="B4764" s="50">
        <v>44742.0</v>
      </c>
      <c r="C4764" s="49" t="s">
        <v>780</v>
      </c>
      <c r="D4764" s="49">
        <v>0.0</v>
      </c>
    </row>
    <row r="4765" ht="15.0" hidden="1" customHeight="1">
      <c r="A4765" s="49" t="s">
        <v>449</v>
      </c>
      <c r="B4765" s="50">
        <v>44742.0</v>
      </c>
      <c r="C4765" s="49" t="s">
        <v>780</v>
      </c>
      <c r="D4765" s="49">
        <v>0.0</v>
      </c>
    </row>
    <row r="4766" ht="15.0" hidden="1" customHeight="1">
      <c r="A4766" s="49" t="s">
        <v>455</v>
      </c>
      <c r="B4766" s="50">
        <v>44742.0</v>
      </c>
      <c r="C4766" s="49" t="s">
        <v>780</v>
      </c>
      <c r="D4766" s="49">
        <v>0.0</v>
      </c>
    </row>
    <row r="4767" ht="15.0" hidden="1" customHeight="1">
      <c r="A4767" s="49" t="s">
        <v>470</v>
      </c>
      <c r="B4767" s="50">
        <v>44742.0</v>
      </c>
      <c r="C4767" s="49" t="s">
        <v>780</v>
      </c>
      <c r="D4767" s="49">
        <v>0.0</v>
      </c>
    </row>
    <row r="4768" ht="15.0" hidden="1" customHeight="1">
      <c r="A4768" s="49" t="s">
        <v>476</v>
      </c>
      <c r="B4768" s="50">
        <v>44742.0</v>
      </c>
      <c r="C4768" s="49" t="s">
        <v>780</v>
      </c>
      <c r="D4768" s="49">
        <v>0.0</v>
      </c>
    </row>
    <row r="4769" ht="15.0" hidden="1" customHeight="1">
      <c r="A4769" s="49" t="s">
        <v>481</v>
      </c>
      <c r="B4769" s="50">
        <v>44742.0</v>
      </c>
      <c r="C4769" s="49" t="s">
        <v>780</v>
      </c>
      <c r="D4769" s="49">
        <v>0.0</v>
      </c>
    </row>
    <row r="4770" ht="15.0" hidden="1" customHeight="1">
      <c r="A4770" s="49" t="s">
        <v>486</v>
      </c>
      <c r="B4770" s="50">
        <v>44742.0</v>
      </c>
      <c r="C4770" s="49" t="s">
        <v>780</v>
      </c>
      <c r="D4770" s="49">
        <v>0.0</v>
      </c>
    </row>
    <row r="4771" ht="15.0" hidden="1" customHeight="1">
      <c r="A4771" s="49" t="s">
        <v>491</v>
      </c>
      <c r="B4771" s="50">
        <v>44742.0</v>
      </c>
      <c r="C4771" s="49" t="s">
        <v>780</v>
      </c>
      <c r="D4771" s="49">
        <v>0.0</v>
      </c>
    </row>
    <row r="4772" ht="15.0" hidden="1" customHeight="1">
      <c r="A4772" s="49" t="s">
        <v>496</v>
      </c>
      <c r="B4772" s="50">
        <v>44742.0</v>
      </c>
      <c r="C4772" s="49" t="s">
        <v>780</v>
      </c>
      <c r="D4772" s="49">
        <v>0.0</v>
      </c>
    </row>
    <row r="4773" ht="15.0" hidden="1" customHeight="1">
      <c r="A4773" s="49" t="s">
        <v>501</v>
      </c>
      <c r="B4773" s="50">
        <v>44742.0</v>
      </c>
      <c r="C4773" s="49" t="s">
        <v>780</v>
      </c>
      <c r="D4773" s="49">
        <v>0.0</v>
      </c>
    </row>
    <row r="4774" ht="15.0" hidden="1" customHeight="1">
      <c r="A4774" s="49" t="s">
        <v>506</v>
      </c>
      <c r="B4774" s="50">
        <v>44742.0</v>
      </c>
      <c r="C4774" s="49" t="s">
        <v>780</v>
      </c>
      <c r="D4774" s="49">
        <v>0.0</v>
      </c>
    </row>
    <row r="4775" ht="15.0" hidden="1" customHeight="1">
      <c r="A4775" s="49" t="s">
        <v>512</v>
      </c>
      <c r="B4775" s="50">
        <v>44742.0</v>
      </c>
      <c r="C4775" s="49" t="s">
        <v>780</v>
      </c>
      <c r="D4775" s="49">
        <v>0.0</v>
      </c>
    </row>
    <row r="4776" ht="15.0" hidden="1" customHeight="1">
      <c r="A4776" s="49" t="s">
        <v>517</v>
      </c>
      <c r="B4776" s="50">
        <v>44742.0</v>
      </c>
      <c r="C4776" s="49" t="s">
        <v>780</v>
      </c>
      <c r="D4776" s="49">
        <v>0.0</v>
      </c>
    </row>
    <row r="4777" ht="15.0" hidden="1" customHeight="1">
      <c r="A4777" s="49" t="s">
        <v>522</v>
      </c>
      <c r="B4777" s="50">
        <v>44742.0</v>
      </c>
      <c r="C4777" s="49" t="s">
        <v>780</v>
      </c>
      <c r="D4777" s="49">
        <v>0.0</v>
      </c>
    </row>
    <row r="4778" ht="15.0" hidden="1" customHeight="1">
      <c r="A4778" s="49" t="s">
        <v>528</v>
      </c>
      <c r="B4778" s="50">
        <v>44742.0</v>
      </c>
      <c r="C4778" s="49" t="s">
        <v>780</v>
      </c>
      <c r="D4778" s="49">
        <v>0.0</v>
      </c>
    </row>
    <row r="4779" ht="15.0" hidden="1" customHeight="1">
      <c r="A4779" s="49" t="s">
        <v>533</v>
      </c>
      <c r="B4779" s="50">
        <v>44742.0</v>
      </c>
      <c r="C4779" s="49" t="s">
        <v>780</v>
      </c>
      <c r="D4779" s="49">
        <v>0.0</v>
      </c>
    </row>
    <row r="4780" ht="15.0" hidden="1" customHeight="1">
      <c r="A4780" s="49" t="s">
        <v>538</v>
      </c>
      <c r="B4780" s="50">
        <v>44742.0</v>
      </c>
      <c r="C4780" s="49" t="s">
        <v>780</v>
      </c>
      <c r="D4780" s="49">
        <v>0.0</v>
      </c>
    </row>
    <row r="4781" ht="15.0" hidden="1" customHeight="1">
      <c r="A4781" s="49" t="s">
        <v>546</v>
      </c>
      <c r="B4781" s="50">
        <v>44742.0</v>
      </c>
      <c r="C4781" s="49" t="s">
        <v>780</v>
      </c>
      <c r="D4781" s="49">
        <v>0.0</v>
      </c>
    </row>
    <row r="4782" ht="15.0" hidden="1" customHeight="1">
      <c r="A4782" s="49" t="s">
        <v>551</v>
      </c>
      <c r="B4782" s="50">
        <v>44742.0</v>
      </c>
      <c r="C4782" s="49" t="s">
        <v>780</v>
      </c>
      <c r="D4782" s="49">
        <v>0.0</v>
      </c>
    </row>
    <row r="4783" ht="15.0" hidden="1" customHeight="1">
      <c r="A4783" s="49" t="s">
        <v>556</v>
      </c>
      <c r="B4783" s="50">
        <v>44742.0</v>
      </c>
      <c r="C4783" s="49" t="s">
        <v>780</v>
      </c>
      <c r="D4783" s="49">
        <v>0.0</v>
      </c>
    </row>
    <row r="4784" ht="15.0" hidden="1" customHeight="1">
      <c r="A4784" s="49" t="s">
        <v>561</v>
      </c>
      <c r="B4784" s="50">
        <v>44742.0</v>
      </c>
      <c r="C4784" s="49" t="s">
        <v>780</v>
      </c>
      <c r="D4784" s="49">
        <v>0.0</v>
      </c>
    </row>
    <row r="4785" ht="15.0" hidden="1" customHeight="1">
      <c r="A4785" s="49" t="s">
        <v>566</v>
      </c>
      <c r="B4785" s="50">
        <v>44742.0</v>
      </c>
      <c r="C4785" s="49" t="s">
        <v>780</v>
      </c>
      <c r="D4785" s="49">
        <v>0.0</v>
      </c>
    </row>
    <row r="4786" ht="15.0" hidden="1" customHeight="1">
      <c r="A4786" s="49" t="s">
        <v>571</v>
      </c>
      <c r="B4786" s="50">
        <v>44742.0</v>
      </c>
      <c r="C4786" s="49" t="s">
        <v>780</v>
      </c>
      <c r="D4786" s="49">
        <v>0.0</v>
      </c>
    </row>
    <row r="4787" ht="15.0" hidden="1" customHeight="1">
      <c r="A4787" s="49" t="s">
        <v>576</v>
      </c>
      <c r="B4787" s="50">
        <v>44742.0</v>
      </c>
      <c r="C4787" s="49" t="s">
        <v>780</v>
      </c>
      <c r="D4787" s="49">
        <v>0.0</v>
      </c>
    </row>
    <row r="4788" ht="15.0" hidden="1" customHeight="1">
      <c r="A4788" s="49" t="s">
        <v>581</v>
      </c>
      <c r="B4788" s="50">
        <v>44742.0</v>
      </c>
      <c r="C4788" s="49" t="s">
        <v>780</v>
      </c>
      <c r="D4788" s="49">
        <v>0.0</v>
      </c>
    </row>
    <row r="4789" ht="15.0" hidden="1" customHeight="1">
      <c r="A4789" s="49" t="s">
        <v>586</v>
      </c>
      <c r="B4789" s="50">
        <v>44742.0</v>
      </c>
      <c r="C4789" s="49" t="s">
        <v>780</v>
      </c>
      <c r="D4789" s="49">
        <v>0.0</v>
      </c>
    </row>
    <row r="4790" ht="15.0" hidden="1" customHeight="1">
      <c r="A4790" s="49" t="s">
        <v>754</v>
      </c>
      <c r="B4790" s="50">
        <v>44742.0</v>
      </c>
      <c r="C4790" s="49" t="s">
        <v>780</v>
      </c>
      <c r="D4790" s="49">
        <v>0.0</v>
      </c>
    </row>
    <row r="4791" ht="15.0" hidden="1" customHeight="1">
      <c r="A4791" s="49" t="s">
        <v>591</v>
      </c>
      <c r="B4791" s="50">
        <v>44742.0</v>
      </c>
      <c r="C4791" s="49" t="s">
        <v>780</v>
      </c>
      <c r="D4791" s="49">
        <v>0.0</v>
      </c>
    </row>
    <row r="4792" ht="15.0" hidden="1" customHeight="1">
      <c r="A4792" s="49" t="s">
        <v>759</v>
      </c>
      <c r="B4792" s="50">
        <v>44742.0</v>
      </c>
      <c r="C4792" s="49" t="s">
        <v>780</v>
      </c>
      <c r="D4792" s="49">
        <v>0.0</v>
      </c>
    </row>
    <row r="4793" ht="15.0" hidden="1" customHeight="1">
      <c r="A4793" s="49" t="s">
        <v>596</v>
      </c>
      <c r="B4793" s="50">
        <v>44742.0</v>
      </c>
      <c r="C4793" s="49" t="s">
        <v>780</v>
      </c>
      <c r="D4793" s="49">
        <v>0.0</v>
      </c>
    </row>
    <row r="4794" ht="15.0" hidden="1" customHeight="1">
      <c r="A4794" s="49" t="s">
        <v>602</v>
      </c>
      <c r="B4794" s="50">
        <v>44742.0</v>
      </c>
      <c r="C4794" s="49" t="s">
        <v>780</v>
      </c>
      <c r="D4794" s="49">
        <v>0.0</v>
      </c>
    </row>
    <row r="4795" ht="15.0" hidden="1" customHeight="1">
      <c r="A4795" s="49" t="s">
        <v>607</v>
      </c>
      <c r="B4795" s="50">
        <v>44742.0</v>
      </c>
      <c r="C4795" s="49" t="s">
        <v>780</v>
      </c>
      <c r="D4795" s="49">
        <v>0.0</v>
      </c>
    </row>
    <row r="4796" ht="15.0" hidden="1" customHeight="1">
      <c r="A4796" s="49" t="s">
        <v>612</v>
      </c>
      <c r="B4796" s="50">
        <v>44742.0</v>
      </c>
      <c r="C4796" s="49" t="s">
        <v>780</v>
      </c>
      <c r="D4796" s="49">
        <v>0.0</v>
      </c>
    </row>
    <row r="4797" ht="15.0" hidden="1" customHeight="1">
      <c r="A4797" s="49" t="s">
        <v>617</v>
      </c>
      <c r="B4797" s="50">
        <v>44742.0</v>
      </c>
      <c r="C4797" s="49" t="s">
        <v>780</v>
      </c>
      <c r="D4797" s="49">
        <v>0.0</v>
      </c>
    </row>
    <row r="4798" ht="15.0" hidden="1" customHeight="1">
      <c r="A4798" s="49" t="s">
        <v>622</v>
      </c>
      <c r="B4798" s="50">
        <v>44742.0</v>
      </c>
      <c r="C4798" s="49" t="s">
        <v>780</v>
      </c>
      <c r="D4798" s="49">
        <v>0.0</v>
      </c>
    </row>
    <row r="4799" ht="15.0" hidden="1" customHeight="1">
      <c r="A4799" s="49" t="s">
        <v>627</v>
      </c>
      <c r="B4799" s="50">
        <v>44742.0</v>
      </c>
      <c r="C4799" s="49" t="s">
        <v>780</v>
      </c>
      <c r="D4799" s="49">
        <v>0.0</v>
      </c>
    </row>
    <row r="4800" ht="15.0" hidden="1" customHeight="1">
      <c r="A4800" s="49" t="s">
        <v>631</v>
      </c>
      <c r="B4800" s="50">
        <v>44742.0</v>
      </c>
      <c r="C4800" s="49" t="s">
        <v>780</v>
      </c>
      <c r="D4800" s="49">
        <v>0.0</v>
      </c>
    </row>
    <row r="4801" ht="15.0" hidden="1" customHeight="1">
      <c r="A4801" s="49" t="s">
        <v>636</v>
      </c>
      <c r="B4801" s="50">
        <v>44742.0</v>
      </c>
      <c r="C4801" s="49" t="s">
        <v>780</v>
      </c>
      <c r="D4801" s="49">
        <v>0.0</v>
      </c>
    </row>
    <row r="4802" ht="15.0" hidden="1" customHeight="1">
      <c r="A4802" s="49" t="s">
        <v>640</v>
      </c>
      <c r="B4802" s="50">
        <v>44742.0</v>
      </c>
      <c r="C4802" s="49" t="s">
        <v>780</v>
      </c>
      <c r="D4802" s="49">
        <v>0.0</v>
      </c>
    </row>
    <row r="4803" ht="15.0" hidden="1" customHeight="1">
      <c r="A4803" s="49" t="s">
        <v>644</v>
      </c>
      <c r="B4803" s="50">
        <v>44742.0</v>
      </c>
      <c r="C4803" s="49" t="s">
        <v>780</v>
      </c>
      <c r="D4803" s="49">
        <v>0.0</v>
      </c>
    </row>
    <row r="4804" ht="15.0" hidden="1" customHeight="1">
      <c r="A4804" s="49" t="s">
        <v>649</v>
      </c>
      <c r="B4804" s="50">
        <v>44742.0</v>
      </c>
      <c r="C4804" s="49" t="s">
        <v>780</v>
      </c>
      <c r="D4804" s="49">
        <v>0.0</v>
      </c>
    </row>
    <row r="4805" ht="15.0" hidden="1" customHeight="1">
      <c r="A4805" s="49" t="s">
        <v>654</v>
      </c>
      <c r="B4805" s="50">
        <v>44742.0</v>
      </c>
      <c r="C4805" s="49" t="s">
        <v>780</v>
      </c>
      <c r="D4805" s="49">
        <v>0.0</v>
      </c>
    </row>
    <row r="4806" ht="15.0" hidden="1" customHeight="1">
      <c r="A4806" s="49" t="s">
        <v>659</v>
      </c>
      <c r="B4806" s="50">
        <v>44742.0</v>
      </c>
      <c r="C4806" s="49" t="s">
        <v>780</v>
      </c>
      <c r="D4806" s="49">
        <v>0.0</v>
      </c>
    </row>
    <row r="4807" ht="15.0" hidden="1" customHeight="1">
      <c r="A4807" s="49" t="s">
        <v>664</v>
      </c>
      <c r="B4807" s="50">
        <v>44742.0</v>
      </c>
      <c r="C4807" s="49" t="s">
        <v>780</v>
      </c>
      <c r="D4807" s="49">
        <v>0.0</v>
      </c>
    </row>
    <row r="4808" ht="15.0" hidden="1" customHeight="1">
      <c r="A4808" s="49" t="s">
        <v>669</v>
      </c>
      <c r="B4808" s="50">
        <v>44742.0</v>
      </c>
      <c r="C4808" s="49" t="s">
        <v>780</v>
      </c>
      <c r="D4808" s="49">
        <v>0.0</v>
      </c>
    </row>
    <row r="4809" ht="15.0" hidden="1" customHeight="1">
      <c r="A4809" s="49" t="s">
        <v>674</v>
      </c>
      <c r="B4809" s="50">
        <v>44742.0</v>
      </c>
      <c r="C4809" s="49" t="s">
        <v>780</v>
      </c>
      <c r="D4809" s="49">
        <v>0.0</v>
      </c>
    </row>
    <row r="4810" ht="15.0" hidden="1" customHeight="1">
      <c r="A4810" s="49" t="s">
        <v>679</v>
      </c>
      <c r="B4810" s="50">
        <v>44742.0</v>
      </c>
      <c r="C4810" s="49" t="s">
        <v>780</v>
      </c>
      <c r="D4810" s="49">
        <v>0.0</v>
      </c>
    </row>
    <row r="4811" ht="15.0" hidden="1" customHeight="1">
      <c r="A4811" s="49" t="s">
        <v>684</v>
      </c>
      <c r="B4811" s="50">
        <v>44742.0</v>
      </c>
      <c r="C4811" s="49" t="s">
        <v>780</v>
      </c>
      <c r="D4811" s="49">
        <v>0.0</v>
      </c>
    </row>
    <row r="4812" ht="15.0" hidden="1" customHeight="1">
      <c r="A4812" s="49" t="s">
        <v>689</v>
      </c>
      <c r="B4812" s="50">
        <v>44742.0</v>
      </c>
      <c r="C4812" s="49" t="s">
        <v>780</v>
      </c>
      <c r="D4812" s="49">
        <v>0.0</v>
      </c>
    </row>
    <row r="4813" ht="15.0" hidden="1" customHeight="1">
      <c r="A4813" s="49" t="s">
        <v>694</v>
      </c>
      <c r="B4813" s="50">
        <v>44742.0</v>
      </c>
      <c r="C4813" s="49" t="s">
        <v>780</v>
      </c>
      <c r="D4813" s="49">
        <v>0.0</v>
      </c>
    </row>
    <row r="4814" ht="15.0" hidden="1" customHeight="1">
      <c r="A4814" s="49" t="s">
        <v>699</v>
      </c>
      <c r="B4814" s="50">
        <v>44742.0</v>
      </c>
      <c r="C4814" s="49" t="s">
        <v>780</v>
      </c>
      <c r="D4814" s="49">
        <v>0.0</v>
      </c>
    </row>
    <row r="4815" ht="15.0" hidden="1" customHeight="1">
      <c r="A4815" s="49" t="s">
        <v>705</v>
      </c>
      <c r="B4815" s="50">
        <v>44742.0</v>
      </c>
      <c r="C4815" s="49" t="s">
        <v>780</v>
      </c>
      <c r="D4815" s="49">
        <v>0.0</v>
      </c>
    </row>
    <row r="4816" ht="15.0" hidden="1" customHeight="1">
      <c r="A4816" s="49" t="s">
        <v>710</v>
      </c>
      <c r="B4816" s="50">
        <v>44742.0</v>
      </c>
      <c r="C4816" s="49" t="s">
        <v>780</v>
      </c>
      <c r="D4816" s="49">
        <v>0.0</v>
      </c>
    </row>
    <row r="4817" ht="15.0" hidden="1" customHeight="1">
      <c r="A4817" s="49" t="s">
        <v>715</v>
      </c>
      <c r="B4817" s="50">
        <v>44742.0</v>
      </c>
      <c r="C4817" s="49" t="s">
        <v>780</v>
      </c>
      <c r="D4817" s="49">
        <v>0.0</v>
      </c>
    </row>
    <row r="4818" ht="15.0" hidden="1" customHeight="1">
      <c r="A4818" s="49" t="s">
        <v>765</v>
      </c>
      <c r="B4818" s="50">
        <v>44742.0</v>
      </c>
      <c r="C4818" s="49" t="s">
        <v>780</v>
      </c>
      <c r="D4818" s="49">
        <v>0.0</v>
      </c>
    </row>
    <row r="4819" ht="15.0" hidden="1" customHeight="1">
      <c r="A4819" s="49" t="s">
        <v>720</v>
      </c>
      <c r="B4819" s="50">
        <v>44742.0</v>
      </c>
      <c r="C4819" s="49" t="s">
        <v>780</v>
      </c>
      <c r="D4819" s="49">
        <v>0.0</v>
      </c>
    </row>
    <row r="4820" ht="15.0" hidden="1" customHeight="1">
      <c r="A4820" s="49" t="s">
        <v>725</v>
      </c>
      <c r="B4820" s="50">
        <v>44742.0</v>
      </c>
      <c r="C4820" s="49" t="s">
        <v>780</v>
      </c>
      <c r="D4820" s="49">
        <v>0.0</v>
      </c>
    </row>
    <row r="4821" ht="15.0" hidden="1" customHeight="1">
      <c r="A4821" s="49" t="s">
        <v>730</v>
      </c>
      <c r="B4821" s="50">
        <v>44742.0</v>
      </c>
      <c r="C4821" s="49" t="s">
        <v>780</v>
      </c>
      <c r="D4821" s="49">
        <v>0.0</v>
      </c>
    </row>
    <row r="4822" ht="15.0" hidden="1" customHeight="1">
      <c r="A4822" s="49" t="s">
        <v>734</v>
      </c>
      <c r="B4822" s="50">
        <v>44742.0</v>
      </c>
      <c r="C4822" s="49" t="s">
        <v>780</v>
      </c>
      <c r="D4822" s="49">
        <v>0.0</v>
      </c>
    </row>
    <row r="4823" ht="15.0" hidden="1" customHeight="1">
      <c r="A4823" s="49" t="s">
        <v>739</v>
      </c>
      <c r="B4823" s="50">
        <v>44742.0</v>
      </c>
      <c r="C4823" s="49" t="s">
        <v>780</v>
      </c>
      <c r="D4823" s="49">
        <v>0.0</v>
      </c>
    </row>
    <row r="4824" ht="15.0" hidden="1" customHeight="1">
      <c r="A4824" s="49" t="s">
        <v>744</v>
      </c>
      <c r="B4824" s="50">
        <v>44742.0</v>
      </c>
      <c r="C4824" s="49" t="s">
        <v>780</v>
      </c>
      <c r="D4824" s="49">
        <v>0.0</v>
      </c>
    </row>
    <row r="4825" ht="15.0" hidden="1" customHeight="1">
      <c r="A4825" s="49" t="s">
        <v>749</v>
      </c>
      <c r="B4825" s="50">
        <v>44742.0</v>
      </c>
      <c r="C4825" s="49" t="s">
        <v>780</v>
      </c>
      <c r="D4825" s="49">
        <v>0.0</v>
      </c>
    </row>
    <row r="4826" ht="15.0" customHeight="1">
      <c r="A4826" s="49" t="s">
        <v>776</v>
      </c>
      <c r="B4826" s="50">
        <v>44834.0</v>
      </c>
      <c r="C4826" s="49" t="s">
        <v>777</v>
      </c>
      <c r="D4826" s="49">
        <v>0.0</v>
      </c>
    </row>
    <row r="4827" ht="15.0" hidden="1" customHeight="1">
      <c r="A4827" s="49" t="s">
        <v>778</v>
      </c>
      <c r="B4827" s="50">
        <v>44834.0</v>
      </c>
      <c r="C4827" s="49" t="s">
        <v>777</v>
      </c>
      <c r="D4827" s="49">
        <v>0.0</v>
      </c>
    </row>
    <row r="4828" ht="15.0" hidden="1" customHeight="1">
      <c r="A4828" s="49" t="s">
        <v>92</v>
      </c>
      <c r="B4828" s="50">
        <v>44834.0</v>
      </c>
      <c r="C4828" s="49" t="s">
        <v>777</v>
      </c>
      <c r="D4828" s="49">
        <v>0.0</v>
      </c>
    </row>
    <row r="4829" ht="15.0" hidden="1" customHeight="1">
      <c r="A4829" s="49" t="s">
        <v>97</v>
      </c>
      <c r="B4829" s="50">
        <v>44834.0</v>
      </c>
      <c r="C4829" s="49" t="s">
        <v>777</v>
      </c>
      <c r="D4829" s="49">
        <v>0.0</v>
      </c>
    </row>
    <row r="4830" ht="15.0" hidden="1" customHeight="1">
      <c r="A4830" s="49" t="s">
        <v>102</v>
      </c>
      <c r="B4830" s="50">
        <v>44834.0</v>
      </c>
      <c r="C4830" s="49" t="s">
        <v>777</v>
      </c>
      <c r="D4830" s="49">
        <v>0.0</v>
      </c>
    </row>
    <row r="4831" ht="15.0" hidden="1" customHeight="1">
      <c r="A4831" s="49" t="s">
        <v>106</v>
      </c>
      <c r="B4831" s="50">
        <v>44834.0</v>
      </c>
      <c r="C4831" s="49" t="s">
        <v>777</v>
      </c>
      <c r="D4831" s="49">
        <v>0.0</v>
      </c>
    </row>
    <row r="4832" ht="15.0" hidden="1" customHeight="1">
      <c r="A4832" s="49" t="s">
        <v>111</v>
      </c>
      <c r="B4832" s="50">
        <v>44834.0</v>
      </c>
      <c r="C4832" s="49" t="s">
        <v>777</v>
      </c>
      <c r="D4832" s="49">
        <v>0.0</v>
      </c>
    </row>
    <row r="4833" ht="15.0" hidden="1" customHeight="1">
      <c r="A4833" s="49" t="s">
        <v>116</v>
      </c>
      <c r="B4833" s="50">
        <v>44834.0</v>
      </c>
      <c r="C4833" s="49" t="s">
        <v>777</v>
      </c>
      <c r="D4833" s="49">
        <v>0.0</v>
      </c>
    </row>
    <row r="4834" ht="15.0" hidden="1" customHeight="1">
      <c r="A4834" s="49" t="s">
        <v>120</v>
      </c>
      <c r="B4834" s="50">
        <v>44834.0</v>
      </c>
      <c r="C4834" s="49" t="s">
        <v>777</v>
      </c>
      <c r="D4834" s="49">
        <v>0.0</v>
      </c>
    </row>
    <row r="4835" ht="15.0" hidden="1" customHeight="1">
      <c r="A4835" s="49" t="s">
        <v>125</v>
      </c>
      <c r="B4835" s="50">
        <v>44834.0</v>
      </c>
      <c r="C4835" s="49" t="s">
        <v>777</v>
      </c>
      <c r="D4835" s="49">
        <v>0.0</v>
      </c>
    </row>
    <row r="4836" ht="15.0" hidden="1" customHeight="1">
      <c r="A4836" s="49" t="s">
        <v>130</v>
      </c>
      <c r="B4836" s="50">
        <v>44834.0</v>
      </c>
      <c r="C4836" s="49" t="s">
        <v>777</v>
      </c>
      <c r="D4836" s="49">
        <v>0.0</v>
      </c>
    </row>
    <row r="4837" ht="15.0" hidden="1" customHeight="1">
      <c r="A4837" s="49" t="s">
        <v>137</v>
      </c>
      <c r="B4837" s="50">
        <v>44834.0</v>
      </c>
      <c r="C4837" s="49" t="s">
        <v>777</v>
      </c>
      <c r="D4837" s="49">
        <v>0.0</v>
      </c>
    </row>
    <row r="4838" ht="15.0" hidden="1" customHeight="1">
      <c r="A4838" s="49" t="s">
        <v>142</v>
      </c>
      <c r="B4838" s="50">
        <v>44834.0</v>
      </c>
      <c r="C4838" s="49" t="s">
        <v>777</v>
      </c>
      <c r="D4838" s="49">
        <v>0.0</v>
      </c>
    </row>
    <row r="4839" ht="15.0" hidden="1" customHeight="1">
      <c r="A4839" s="49" t="s">
        <v>147</v>
      </c>
      <c r="B4839" s="50">
        <v>44834.0</v>
      </c>
      <c r="C4839" s="49" t="s">
        <v>777</v>
      </c>
      <c r="D4839" s="49">
        <v>0.0</v>
      </c>
    </row>
    <row r="4840" ht="15.0" hidden="1" customHeight="1">
      <c r="A4840" s="49" t="s">
        <v>152</v>
      </c>
      <c r="B4840" s="50">
        <v>44834.0</v>
      </c>
      <c r="C4840" s="49" t="s">
        <v>777</v>
      </c>
      <c r="D4840" s="49">
        <v>0.0</v>
      </c>
    </row>
    <row r="4841" ht="15.0" hidden="1" customHeight="1">
      <c r="A4841" s="49" t="s">
        <v>157</v>
      </c>
      <c r="B4841" s="50">
        <v>44834.0</v>
      </c>
      <c r="C4841" s="49" t="s">
        <v>777</v>
      </c>
      <c r="D4841" s="49">
        <v>0.0</v>
      </c>
    </row>
    <row r="4842" ht="15.0" hidden="1" customHeight="1">
      <c r="A4842" s="49" t="s">
        <v>162</v>
      </c>
      <c r="B4842" s="50">
        <v>44834.0</v>
      </c>
      <c r="C4842" s="49" t="s">
        <v>777</v>
      </c>
      <c r="D4842" s="49">
        <v>0.0</v>
      </c>
    </row>
    <row r="4843" ht="15.0" hidden="1" customHeight="1">
      <c r="A4843" s="49" t="s">
        <v>167</v>
      </c>
      <c r="B4843" s="50">
        <v>44834.0</v>
      </c>
      <c r="C4843" s="49" t="s">
        <v>777</v>
      </c>
      <c r="D4843" s="49">
        <v>0.0</v>
      </c>
    </row>
    <row r="4844" ht="15.0" hidden="1" customHeight="1">
      <c r="A4844" s="49" t="s">
        <v>172</v>
      </c>
      <c r="B4844" s="50">
        <v>44834.0</v>
      </c>
      <c r="C4844" s="49" t="s">
        <v>777</v>
      </c>
      <c r="D4844" s="49">
        <v>0.0</v>
      </c>
    </row>
    <row r="4845" ht="15.0" hidden="1" customHeight="1">
      <c r="A4845" s="49" t="s">
        <v>177</v>
      </c>
      <c r="B4845" s="50">
        <v>44834.0</v>
      </c>
      <c r="C4845" s="49" t="s">
        <v>777</v>
      </c>
      <c r="D4845" s="49">
        <v>0.0</v>
      </c>
    </row>
    <row r="4846" ht="15.0" hidden="1" customHeight="1">
      <c r="A4846" s="49" t="s">
        <v>182</v>
      </c>
      <c r="B4846" s="50">
        <v>44834.0</v>
      </c>
      <c r="C4846" s="49" t="s">
        <v>777</v>
      </c>
      <c r="D4846" s="49">
        <v>0.0</v>
      </c>
    </row>
    <row r="4847" ht="15.0" hidden="1" customHeight="1">
      <c r="A4847" s="49" t="s">
        <v>187</v>
      </c>
      <c r="B4847" s="50">
        <v>44834.0</v>
      </c>
      <c r="C4847" s="49" t="s">
        <v>777</v>
      </c>
      <c r="D4847" s="49">
        <v>0.0</v>
      </c>
    </row>
    <row r="4848" ht="15.0" hidden="1" customHeight="1">
      <c r="A4848" s="49" t="s">
        <v>192</v>
      </c>
      <c r="B4848" s="50">
        <v>44834.0</v>
      </c>
      <c r="C4848" s="49" t="s">
        <v>777</v>
      </c>
      <c r="D4848" s="49">
        <v>0.0</v>
      </c>
    </row>
    <row r="4849" ht="15.0" hidden="1" customHeight="1">
      <c r="A4849" s="49" t="s">
        <v>197</v>
      </c>
      <c r="B4849" s="50">
        <v>44834.0</v>
      </c>
      <c r="C4849" s="49" t="s">
        <v>777</v>
      </c>
      <c r="D4849" s="49">
        <v>0.0</v>
      </c>
    </row>
    <row r="4850" ht="15.0" hidden="1" customHeight="1">
      <c r="A4850" s="49" t="s">
        <v>202</v>
      </c>
      <c r="B4850" s="50">
        <v>44834.0</v>
      </c>
      <c r="C4850" s="49" t="s">
        <v>777</v>
      </c>
      <c r="D4850" s="49">
        <v>0.0</v>
      </c>
    </row>
    <row r="4851" ht="15.0" hidden="1" customHeight="1">
      <c r="A4851" s="49" t="s">
        <v>206</v>
      </c>
      <c r="B4851" s="50">
        <v>44834.0</v>
      </c>
      <c r="C4851" s="49" t="s">
        <v>777</v>
      </c>
      <c r="D4851" s="49">
        <v>0.0</v>
      </c>
    </row>
    <row r="4852" ht="15.0" hidden="1" customHeight="1">
      <c r="A4852" s="49" t="s">
        <v>211</v>
      </c>
      <c r="B4852" s="50">
        <v>44834.0</v>
      </c>
      <c r="C4852" s="49" t="s">
        <v>777</v>
      </c>
      <c r="D4852" s="49">
        <v>0.0</v>
      </c>
    </row>
    <row r="4853" ht="15.0" hidden="1" customHeight="1">
      <c r="A4853" s="49" t="s">
        <v>779</v>
      </c>
      <c r="B4853" s="50">
        <v>44834.0</v>
      </c>
      <c r="C4853" s="49" t="s">
        <v>777</v>
      </c>
      <c r="D4853" s="49">
        <v>0.0</v>
      </c>
    </row>
    <row r="4854" ht="15.0" hidden="1" customHeight="1">
      <c r="A4854" s="49" t="s">
        <v>221</v>
      </c>
      <c r="B4854" s="50">
        <v>44834.0</v>
      </c>
      <c r="C4854" s="49" t="s">
        <v>777</v>
      </c>
      <c r="D4854" s="49">
        <v>0.0</v>
      </c>
    </row>
    <row r="4855" ht="15.0" hidden="1" customHeight="1">
      <c r="A4855" s="49" t="s">
        <v>226</v>
      </c>
      <c r="B4855" s="50">
        <v>44834.0</v>
      </c>
      <c r="C4855" s="49" t="s">
        <v>777</v>
      </c>
      <c r="D4855" s="49">
        <v>0.0</v>
      </c>
    </row>
    <row r="4856" ht="15.0" hidden="1" customHeight="1">
      <c r="A4856" s="49" t="s">
        <v>231</v>
      </c>
      <c r="B4856" s="50">
        <v>44834.0</v>
      </c>
      <c r="C4856" s="49" t="s">
        <v>777</v>
      </c>
      <c r="D4856" s="49">
        <v>0.0</v>
      </c>
    </row>
    <row r="4857" ht="15.0" hidden="1" customHeight="1">
      <c r="A4857" s="49" t="s">
        <v>236</v>
      </c>
      <c r="B4857" s="50">
        <v>44834.0</v>
      </c>
      <c r="C4857" s="49" t="s">
        <v>777</v>
      </c>
      <c r="D4857" s="49">
        <v>0.0</v>
      </c>
    </row>
    <row r="4858" ht="15.0" hidden="1" customHeight="1">
      <c r="A4858" s="49" t="s">
        <v>242</v>
      </c>
      <c r="B4858" s="50">
        <v>44834.0</v>
      </c>
      <c r="C4858" s="49" t="s">
        <v>777</v>
      </c>
      <c r="D4858" s="49">
        <v>0.0</v>
      </c>
    </row>
    <row r="4859" ht="15.0" hidden="1" customHeight="1">
      <c r="A4859" s="49" t="s">
        <v>248</v>
      </c>
      <c r="B4859" s="50">
        <v>44834.0</v>
      </c>
      <c r="C4859" s="49" t="s">
        <v>777</v>
      </c>
      <c r="D4859" s="49">
        <v>0.0</v>
      </c>
    </row>
    <row r="4860" ht="15.0" hidden="1" customHeight="1">
      <c r="A4860" s="49" t="s">
        <v>253</v>
      </c>
      <c r="B4860" s="50">
        <v>44834.0</v>
      </c>
      <c r="C4860" s="49" t="s">
        <v>777</v>
      </c>
      <c r="D4860" s="49">
        <v>0.0</v>
      </c>
    </row>
    <row r="4861" ht="15.0" hidden="1" customHeight="1">
      <c r="A4861" s="49" t="s">
        <v>258</v>
      </c>
      <c r="B4861" s="50">
        <v>44834.0</v>
      </c>
      <c r="C4861" s="49" t="s">
        <v>777</v>
      </c>
      <c r="D4861" s="49">
        <v>0.0</v>
      </c>
    </row>
    <row r="4862" ht="15.0" hidden="1" customHeight="1">
      <c r="A4862" s="49" t="s">
        <v>263</v>
      </c>
      <c r="B4862" s="50">
        <v>44834.0</v>
      </c>
      <c r="C4862" s="49" t="s">
        <v>777</v>
      </c>
      <c r="D4862" s="49">
        <v>0.0</v>
      </c>
    </row>
    <row r="4863" ht="15.0" hidden="1" customHeight="1">
      <c r="A4863" s="49" t="s">
        <v>268</v>
      </c>
      <c r="B4863" s="50">
        <v>44834.0</v>
      </c>
      <c r="C4863" s="49" t="s">
        <v>777</v>
      </c>
      <c r="D4863" s="49">
        <v>0.0</v>
      </c>
    </row>
    <row r="4864" ht="15.0" hidden="1" customHeight="1">
      <c r="A4864" s="49" t="s">
        <v>273</v>
      </c>
      <c r="B4864" s="50">
        <v>44834.0</v>
      </c>
      <c r="C4864" s="49" t="s">
        <v>777</v>
      </c>
      <c r="D4864" s="49">
        <v>0.0</v>
      </c>
    </row>
    <row r="4865" ht="15.0" hidden="1" customHeight="1">
      <c r="A4865" s="49" t="s">
        <v>278</v>
      </c>
      <c r="B4865" s="50">
        <v>44834.0</v>
      </c>
      <c r="C4865" s="49" t="s">
        <v>777</v>
      </c>
      <c r="D4865" s="49">
        <v>0.0</v>
      </c>
    </row>
    <row r="4866" ht="15.0" hidden="1" customHeight="1">
      <c r="A4866" s="49" t="s">
        <v>283</v>
      </c>
      <c r="B4866" s="50">
        <v>44834.0</v>
      </c>
      <c r="C4866" s="49" t="s">
        <v>777</v>
      </c>
      <c r="D4866" s="49">
        <v>0.0</v>
      </c>
    </row>
    <row r="4867" ht="15.0" hidden="1" customHeight="1">
      <c r="A4867" s="49" t="s">
        <v>288</v>
      </c>
      <c r="B4867" s="50">
        <v>44834.0</v>
      </c>
      <c r="C4867" s="49" t="s">
        <v>777</v>
      </c>
      <c r="D4867" s="49">
        <v>0.0</v>
      </c>
    </row>
    <row r="4868" ht="15.0" hidden="1" customHeight="1">
      <c r="A4868" s="49" t="s">
        <v>293</v>
      </c>
      <c r="B4868" s="50">
        <v>44834.0</v>
      </c>
      <c r="C4868" s="49" t="s">
        <v>777</v>
      </c>
      <c r="D4868" s="49">
        <v>0.0</v>
      </c>
    </row>
    <row r="4869" ht="15.0" hidden="1" customHeight="1">
      <c r="A4869" s="49" t="s">
        <v>298</v>
      </c>
      <c r="B4869" s="50">
        <v>44834.0</v>
      </c>
      <c r="C4869" s="49" t="s">
        <v>777</v>
      </c>
      <c r="D4869" s="49">
        <v>0.0</v>
      </c>
    </row>
    <row r="4870" ht="15.0" hidden="1" customHeight="1">
      <c r="A4870" s="49" t="s">
        <v>303</v>
      </c>
      <c r="B4870" s="50">
        <v>44834.0</v>
      </c>
      <c r="C4870" s="49" t="s">
        <v>777</v>
      </c>
      <c r="D4870" s="49">
        <v>0.0</v>
      </c>
    </row>
    <row r="4871" ht="15.0" hidden="1" customHeight="1">
      <c r="A4871" s="49" t="s">
        <v>307</v>
      </c>
      <c r="B4871" s="50">
        <v>44834.0</v>
      </c>
      <c r="C4871" s="49" t="s">
        <v>777</v>
      </c>
      <c r="D4871" s="49">
        <v>0.0</v>
      </c>
    </row>
    <row r="4872" ht="15.0" hidden="1" customHeight="1">
      <c r="A4872" s="49" t="s">
        <v>313</v>
      </c>
      <c r="B4872" s="50">
        <v>44834.0</v>
      </c>
      <c r="C4872" s="49" t="s">
        <v>777</v>
      </c>
      <c r="D4872" s="49">
        <v>0.0</v>
      </c>
    </row>
    <row r="4873" ht="15.0" hidden="1" customHeight="1">
      <c r="A4873" s="49" t="s">
        <v>318</v>
      </c>
      <c r="B4873" s="50">
        <v>44834.0</v>
      </c>
      <c r="C4873" s="49" t="s">
        <v>777</v>
      </c>
      <c r="D4873" s="49">
        <v>1690000.0</v>
      </c>
    </row>
    <row r="4874" ht="15.0" hidden="1" customHeight="1">
      <c r="A4874" s="49" t="s">
        <v>323</v>
      </c>
      <c r="B4874" s="50">
        <v>44834.0</v>
      </c>
      <c r="C4874" s="49" t="s">
        <v>777</v>
      </c>
      <c r="D4874" s="49">
        <v>2250000.0</v>
      </c>
    </row>
    <row r="4875" ht="15.0" hidden="1" customHeight="1">
      <c r="A4875" s="49" t="s">
        <v>328</v>
      </c>
      <c r="B4875" s="50">
        <v>44834.0</v>
      </c>
      <c r="C4875" s="49" t="s">
        <v>777</v>
      </c>
      <c r="D4875" s="49">
        <v>14000.0</v>
      </c>
    </row>
    <row r="4876" ht="15.0" hidden="1" customHeight="1">
      <c r="A4876" s="49" t="s">
        <v>335</v>
      </c>
      <c r="B4876" s="50">
        <v>44834.0</v>
      </c>
      <c r="C4876" s="49" t="s">
        <v>777</v>
      </c>
      <c r="D4876" s="49">
        <v>130000.0</v>
      </c>
    </row>
    <row r="4877" ht="15.0" hidden="1" customHeight="1">
      <c r="A4877" s="49" t="s">
        <v>340</v>
      </c>
      <c r="B4877" s="50">
        <v>44834.0</v>
      </c>
      <c r="C4877" s="49" t="s">
        <v>777</v>
      </c>
      <c r="D4877" s="49">
        <v>1000000.0</v>
      </c>
    </row>
    <row r="4878" ht="15.0" hidden="1" customHeight="1">
      <c r="A4878" s="49" t="s">
        <v>345</v>
      </c>
      <c r="B4878" s="50">
        <v>44834.0</v>
      </c>
      <c r="C4878" s="49" t="s">
        <v>777</v>
      </c>
      <c r="D4878" s="49">
        <v>0.0</v>
      </c>
    </row>
    <row r="4879" ht="15.0" hidden="1" customHeight="1">
      <c r="A4879" s="49" t="s">
        <v>350</v>
      </c>
      <c r="B4879" s="50">
        <v>44834.0</v>
      </c>
      <c r="C4879" s="49" t="s">
        <v>777</v>
      </c>
      <c r="D4879" s="49">
        <v>0.0</v>
      </c>
    </row>
    <row r="4880" ht="15.0" hidden="1" customHeight="1">
      <c r="A4880" s="49" t="s">
        <v>355</v>
      </c>
      <c r="B4880" s="50">
        <v>44834.0</v>
      </c>
      <c r="C4880" s="49" t="s">
        <v>777</v>
      </c>
      <c r="D4880" s="49">
        <v>0.0</v>
      </c>
    </row>
    <row r="4881" ht="15.0" hidden="1" customHeight="1">
      <c r="A4881" s="49" t="s">
        <v>360</v>
      </c>
      <c r="B4881" s="50">
        <v>44834.0</v>
      </c>
      <c r="C4881" s="49" t="s">
        <v>777</v>
      </c>
      <c r="D4881" s="49">
        <v>0.0</v>
      </c>
    </row>
    <row r="4882" ht="15.0" hidden="1" customHeight="1">
      <c r="A4882" s="49" t="s">
        <v>365</v>
      </c>
      <c r="B4882" s="50">
        <v>44834.0</v>
      </c>
      <c r="C4882" s="49" t="s">
        <v>777</v>
      </c>
      <c r="D4882" s="49">
        <v>0.0</v>
      </c>
    </row>
    <row r="4883" ht="15.0" hidden="1" customHeight="1">
      <c r="A4883" s="49" t="s">
        <v>370</v>
      </c>
      <c r="B4883" s="50">
        <v>44834.0</v>
      </c>
      <c r="C4883" s="49" t="s">
        <v>777</v>
      </c>
      <c r="D4883" s="49">
        <v>0.0</v>
      </c>
    </row>
    <row r="4884" ht="15.0" hidden="1" customHeight="1">
      <c r="A4884" s="49" t="s">
        <v>375</v>
      </c>
      <c r="B4884" s="50">
        <v>44834.0</v>
      </c>
      <c r="C4884" s="49" t="s">
        <v>777</v>
      </c>
      <c r="D4884" s="49">
        <v>0.0</v>
      </c>
    </row>
    <row r="4885" ht="15.0" hidden="1" customHeight="1">
      <c r="A4885" s="49" t="s">
        <v>380</v>
      </c>
      <c r="B4885" s="50">
        <v>44834.0</v>
      </c>
      <c r="C4885" s="49" t="s">
        <v>777</v>
      </c>
      <c r="D4885" s="49">
        <v>0.0</v>
      </c>
    </row>
    <row r="4886" ht="15.0" hidden="1" customHeight="1">
      <c r="A4886" s="49" t="s">
        <v>385</v>
      </c>
      <c r="B4886" s="50">
        <v>44834.0</v>
      </c>
      <c r="C4886" s="49" t="s">
        <v>777</v>
      </c>
      <c r="D4886" s="49">
        <v>0.0</v>
      </c>
    </row>
    <row r="4887" ht="15.0" hidden="1" customHeight="1">
      <c r="A4887" s="49" t="s">
        <v>390</v>
      </c>
      <c r="B4887" s="50">
        <v>44834.0</v>
      </c>
      <c r="C4887" s="49" t="s">
        <v>777</v>
      </c>
      <c r="D4887" s="49">
        <v>0.0</v>
      </c>
    </row>
    <row r="4888" ht="15.0" hidden="1" customHeight="1">
      <c r="A4888" s="49" t="s">
        <v>395</v>
      </c>
      <c r="B4888" s="50">
        <v>44834.0</v>
      </c>
      <c r="C4888" s="49" t="s">
        <v>777</v>
      </c>
      <c r="D4888" s="49">
        <v>0.0</v>
      </c>
    </row>
    <row r="4889" ht="15.0" hidden="1" customHeight="1">
      <c r="A4889" s="49" t="s">
        <v>400</v>
      </c>
      <c r="B4889" s="50">
        <v>44834.0</v>
      </c>
      <c r="C4889" s="49" t="s">
        <v>777</v>
      </c>
      <c r="D4889" s="49">
        <v>0.0</v>
      </c>
    </row>
    <row r="4890" ht="15.0" hidden="1" customHeight="1">
      <c r="A4890" s="49" t="s">
        <v>405</v>
      </c>
      <c r="B4890" s="50">
        <v>44834.0</v>
      </c>
      <c r="C4890" s="49" t="s">
        <v>777</v>
      </c>
      <c r="D4890" s="49">
        <v>0.0</v>
      </c>
    </row>
    <row r="4891" ht="15.0" hidden="1" customHeight="1">
      <c r="A4891" s="49" t="s">
        <v>410</v>
      </c>
      <c r="B4891" s="50">
        <v>44834.0</v>
      </c>
      <c r="C4891" s="49" t="s">
        <v>777</v>
      </c>
      <c r="D4891" s="49">
        <v>0.0</v>
      </c>
    </row>
    <row r="4892" ht="15.0" hidden="1" customHeight="1">
      <c r="A4892" s="49" t="s">
        <v>415</v>
      </c>
      <c r="B4892" s="50">
        <v>44834.0</v>
      </c>
      <c r="C4892" s="49" t="s">
        <v>777</v>
      </c>
      <c r="D4892" s="49">
        <v>0.0</v>
      </c>
    </row>
    <row r="4893" ht="15.0" hidden="1" customHeight="1">
      <c r="A4893" s="49" t="s">
        <v>420</v>
      </c>
      <c r="B4893" s="50">
        <v>44834.0</v>
      </c>
      <c r="C4893" s="49" t="s">
        <v>777</v>
      </c>
      <c r="D4893" s="49">
        <v>0.0</v>
      </c>
    </row>
    <row r="4894" ht="15.0" hidden="1" customHeight="1">
      <c r="A4894" s="49" t="s">
        <v>425</v>
      </c>
      <c r="B4894" s="50">
        <v>44834.0</v>
      </c>
      <c r="C4894" s="49" t="s">
        <v>777</v>
      </c>
      <c r="D4894" s="49">
        <v>0.0</v>
      </c>
    </row>
    <row r="4895" ht="15.0" hidden="1" customHeight="1">
      <c r="A4895" s="49" t="s">
        <v>430</v>
      </c>
      <c r="B4895" s="50">
        <v>44834.0</v>
      </c>
      <c r="C4895" s="49" t="s">
        <v>777</v>
      </c>
      <c r="D4895" s="49">
        <v>0.0</v>
      </c>
    </row>
    <row r="4896" ht="15.0" hidden="1" customHeight="1">
      <c r="A4896" s="49" t="s">
        <v>434</v>
      </c>
      <c r="B4896" s="50">
        <v>44834.0</v>
      </c>
      <c r="C4896" s="49" t="s">
        <v>777</v>
      </c>
      <c r="D4896" s="49">
        <v>0.0</v>
      </c>
    </row>
    <row r="4897" ht="15.0" hidden="1" customHeight="1">
      <c r="A4897" s="49" t="s">
        <v>439</v>
      </c>
      <c r="B4897" s="50">
        <v>44834.0</v>
      </c>
      <c r="C4897" s="49" t="s">
        <v>777</v>
      </c>
      <c r="D4897" s="49">
        <v>0.0</v>
      </c>
    </row>
    <row r="4898" ht="15.0" hidden="1" customHeight="1">
      <c r="A4898" s="49" t="s">
        <v>444</v>
      </c>
      <c r="B4898" s="50">
        <v>44834.0</v>
      </c>
      <c r="C4898" s="49" t="s">
        <v>777</v>
      </c>
      <c r="D4898" s="49">
        <v>0.0</v>
      </c>
    </row>
    <row r="4899" ht="15.0" hidden="1" customHeight="1">
      <c r="A4899" s="49" t="s">
        <v>449</v>
      </c>
      <c r="B4899" s="50">
        <v>44834.0</v>
      </c>
      <c r="C4899" s="49" t="s">
        <v>777</v>
      </c>
      <c r="D4899" s="49">
        <v>0.0</v>
      </c>
    </row>
    <row r="4900" ht="15.0" hidden="1" customHeight="1">
      <c r="A4900" s="49" t="s">
        <v>455</v>
      </c>
      <c r="B4900" s="50">
        <v>44834.0</v>
      </c>
      <c r="C4900" s="49" t="s">
        <v>777</v>
      </c>
      <c r="D4900" s="49">
        <v>0.0</v>
      </c>
    </row>
    <row r="4901" ht="15.0" hidden="1" customHeight="1">
      <c r="A4901" s="49" t="s">
        <v>470</v>
      </c>
      <c r="B4901" s="50">
        <v>44834.0</v>
      </c>
      <c r="C4901" s="49" t="s">
        <v>777</v>
      </c>
      <c r="D4901" s="49">
        <v>0.0</v>
      </c>
    </row>
    <row r="4902" ht="15.0" hidden="1" customHeight="1">
      <c r="A4902" s="49" t="s">
        <v>476</v>
      </c>
      <c r="B4902" s="50">
        <v>44834.0</v>
      </c>
      <c r="C4902" s="49" t="s">
        <v>777</v>
      </c>
      <c r="D4902" s="49">
        <v>0.0</v>
      </c>
    </row>
    <row r="4903" ht="15.0" hidden="1" customHeight="1">
      <c r="A4903" s="49" t="s">
        <v>481</v>
      </c>
      <c r="B4903" s="50">
        <v>44834.0</v>
      </c>
      <c r="C4903" s="49" t="s">
        <v>777</v>
      </c>
      <c r="D4903" s="49">
        <v>0.0</v>
      </c>
    </row>
    <row r="4904" ht="15.0" hidden="1" customHeight="1">
      <c r="A4904" s="49" t="s">
        <v>486</v>
      </c>
      <c r="B4904" s="50">
        <v>44834.0</v>
      </c>
      <c r="C4904" s="49" t="s">
        <v>777</v>
      </c>
      <c r="D4904" s="49">
        <v>0.0</v>
      </c>
    </row>
    <row r="4905" ht="15.0" hidden="1" customHeight="1">
      <c r="A4905" s="49" t="s">
        <v>491</v>
      </c>
      <c r="B4905" s="50">
        <v>44834.0</v>
      </c>
      <c r="C4905" s="49" t="s">
        <v>777</v>
      </c>
      <c r="D4905" s="49">
        <v>0.0</v>
      </c>
    </row>
    <row r="4906" ht="15.0" hidden="1" customHeight="1">
      <c r="A4906" s="49" t="s">
        <v>496</v>
      </c>
      <c r="B4906" s="50">
        <v>44834.0</v>
      </c>
      <c r="C4906" s="49" t="s">
        <v>777</v>
      </c>
      <c r="D4906" s="49">
        <v>0.0</v>
      </c>
    </row>
    <row r="4907" ht="15.0" hidden="1" customHeight="1">
      <c r="A4907" s="49" t="s">
        <v>501</v>
      </c>
      <c r="B4907" s="50">
        <v>44834.0</v>
      </c>
      <c r="C4907" s="49" t="s">
        <v>777</v>
      </c>
      <c r="D4907" s="49">
        <v>0.0</v>
      </c>
    </row>
    <row r="4908" ht="15.0" hidden="1" customHeight="1">
      <c r="A4908" s="49" t="s">
        <v>506</v>
      </c>
      <c r="B4908" s="50">
        <v>44834.0</v>
      </c>
      <c r="C4908" s="49" t="s">
        <v>777</v>
      </c>
      <c r="D4908" s="49">
        <v>0.0</v>
      </c>
    </row>
    <row r="4909" ht="15.0" hidden="1" customHeight="1">
      <c r="A4909" s="49" t="s">
        <v>512</v>
      </c>
      <c r="B4909" s="50">
        <v>44834.0</v>
      </c>
      <c r="C4909" s="49" t="s">
        <v>777</v>
      </c>
      <c r="D4909" s="49">
        <v>0.0</v>
      </c>
    </row>
    <row r="4910" ht="15.0" hidden="1" customHeight="1">
      <c r="A4910" s="49" t="s">
        <v>517</v>
      </c>
      <c r="B4910" s="50">
        <v>44834.0</v>
      </c>
      <c r="C4910" s="49" t="s">
        <v>777</v>
      </c>
      <c r="D4910" s="49">
        <v>0.0</v>
      </c>
    </row>
    <row r="4911" ht="15.0" hidden="1" customHeight="1">
      <c r="A4911" s="49" t="s">
        <v>522</v>
      </c>
      <c r="B4911" s="50">
        <v>44834.0</v>
      </c>
      <c r="C4911" s="49" t="s">
        <v>777</v>
      </c>
      <c r="D4911" s="49">
        <v>0.0</v>
      </c>
    </row>
    <row r="4912" ht="15.0" hidden="1" customHeight="1">
      <c r="A4912" s="49" t="s">
        <v>528</v>
      </c>
      <c r="B4912" s="50">
        <v>44834.0</v>
      </c>
      <c r="C4912" s="49" t="s">
        <v>777</v>
      </c>
      <c r="D4912" s="49">
        <v>0.0</v>
      </c>
    </row>
    <row r="4913" ht="15.0" hidden="1" customHeight="1">
      <c r="A4913" s="49" t="s">
        <v>533</v>
      </c>
      <c r="B4913" s="50">
        <v>44834.0</v>
      </c>
      <c r="C4913" s="49" t="s">
        <v>777</v>
      </c>
      <c r="D4913" s="49">
        <v>0.0</v>
      </c>
    </row>
    <row r="4914" ht="15.0" hidden="1" customHeight="1">
      <c r="A4914" s="49" t="s">
        <v>538</v>
      </c>
      <c r="B4914" s="50">
        <v>44834.0</v>
      </c>
      <c r="C4914" s="49" t="s">
        <v>777</v>
      </c>
      <c r="D4914" s="49">
        <v>0.0</v>
      </c>
    </row>
    <row r="4915" ht="15.0" hidden="1" customHeight="1">
      <c r="A4915" s="49" t="s">
        <v>546</v>
      </c>
      <c r="B4915" s="50">
        <v>44834.0</v>
      </c>
      <c r="C4915" s="49" t="s">
        <v>777</v>
      </c>
      <c r="D4915" s="49">
        <v>0.0</v>
      </c>
    </row>
    <row r="4916" ht="15.0" hidden="1" customHeight="1">
      <c r="A4916" s="49" t="s">
        <v>551</v>
      </c>
      <c r="B4916" s="50">
        <v>44834.0</v>
      </c>
      <c r="C4916" s="49" t="s">
        <v>777</v>
      </c>
      <c r="D4916" s="49">
        <v>0.0</v>
      </c>
    </row>
    <row r="4917" ht="15.0" hidden="1" customHeight="1">
      <c r="A4917" s="49" t="s">
        <v>556</v>
      </c>
      <c r="B4917" s="50">
        <v>44834.0</v>
      </c>
      <c r="C4917" s="49" t="s">
        <v>777</v>
      </c>
      <c r="D4917" s="49">
        <v>0.0</v>
      </c>
    </row>
    <row r="4918" ht="15.0" hidden="1" customHeight="1">
      <c r="A4918" s="49" t="s">
        <v>561</v>
      </c>
      <c r="B4918" s="50">
        <v>44834.0</v>
      </c>
      <c r="C4918" s="49" t="s">
        <v>777</v>
      </c>
      <c r="D4918" s="49">
        <v>0.0</v>
      </c>
    </row>
    <row r="4919" ht="15.0" hidden="1" customHeight="1">
      <c r="A4919" s="49" t="s">
        <v>566</v>
      </c>
      <c r="B4919" s="50">
        <v>44834.0</v>
      </c>
      <c r="C4919" s="49" t="s">
        <v>777</v>
      </c>
      <c r="D4919" s="49">
        <v>0.0</v>
      </c>
    </row>
    <row r="4920" ht="15.0" hidden="1" customHeight="1">
      <c r="A4920" s="49" t="s">
        <v>571</v>
      </c>
      <c r="B4920" s="50">
        <v>44834.0</v>
      </c>
      <c r="C4920" s="49" t="s">
        <v>777</v>
      </c>
      <c r="D4920" s="49">
        <v>0.0</v>
      </c>
    </row>
    <row r="4921" ht="15.0" hidden="1" customHeight="1">
      <c r="A4921" s="49" t="s">
        <v>576</v>
      </c>
      <c r="B4921" s="50">
        <v>44834.0</v>
      </c>
      <c r="C4921" s="49" t="s">
        <v>777</v>
      </c>
      <c r="D4921" s="49">
        <v>0.0</v>
      </c>
    </row>
    <row r="4922" ht="15.0" hidden="1" customHeight="1">
      <c r="A4922" s="49" t="s">
        <v>581</v>
      </c>
      <c r="B4922" s="50">
        <v>44834.0</v>
      </c>
      <c r="C4922" s="49" t="s">
        <v>777</v>
      </c>
      <c r="D4922" s="49">
        <v>0.0</v>
      </c>
    </row>
    <row r="4923" ht="15.0" hidden="1" customHeight="1">
      <c r="A4923" s="49" t="s">
        <v>586</v>
      </c>
      <c r="B4923" s="50">
        <v>44834.0</v>
      </c>
      <c r="C4923" s="49" t="s">
        <v>777</v>
      </c>
      <c r="D4923" s="49">
        <v>0.0</v>
      </c>
    </row>
    <row r="4924" ht="15.0" hidden="1" customHeight="1">
      <c r="A4924" s="49" t="s">
        <v>754</v>
      </c>
      <c r="B4924" s="50">
        <v>44834.0</v>
      </c>
      <c r="C4924" s="49" t="s">
        <v>777</v>
      </c>
      <c r="D4924" s="49">
        <v>0.0</v>
      </c>
    </row>
    <row r="4925" ht="15.0" hidden="1" customHeight="1">
      <c r="A4925" s="49" t="s">
        <v>591</v>
      </c>
      <c r="B4925" s="50">
        <v>44834.0</v>
      </c>
      <c r="C4925" s="49" t="s">
        <v>777</v>
      </c>
      <c r="D4925" s="49">
        <v>0.0</v>
      </c>
    </row>
    <row r="4926" ht="15.0" hidden="1" customHeight="1">
      <c r="A4926" s="49" t="s">
        <v>759</v>
      </c>
      <c r="B4926" s="50">
        <v>44834.0</v>
      </c>
      <c r="C4926" s="49" t="s">
        <v>777</v>
      </c>
      <c r="D4926" s="49">
        <v>0.0</v>
      </c>
    </row>
    <row r="4927" ht="15.0" hidden="1" customHeight="1">
      <c r="A4927" s="49" t="s">
        <v>596</v>
      </c>
      <c r="B4927" s="50">
        <v>44834.0</v>
      </c>
      <c r="C4927" s="49" t="s">
        <v>777</v>
      </c>
      <c r="D4927" s="49">
        <v>0.0</v>
      </c>
    </row>
    <row r="4928" ht="15.0" hidden="1" customHeight="1">
      <c r="A4928" s="49" t="s">
        <v>602</v>
      </c>
      <c r="B4928" s="50">
        <v>44834.0</v>
      </c>
      <c r="C4928" s="49" t="s">
        <v>777</v>
      </c>
      <c r="D4928" s="49">
        <v>0.0</v>
      </c>
    </row>
    <row r="4929" ht="15.0" hidden="1" customHeight="1">
      <c r="A4929" s="49" t="s">
        <v>607</v>
      </c>
      <c r="B4929" s="50">
        <v>44834.0</v>
      </c>
      <c r="C4929" s="49" t="s">
        <v>777</v>
      </c>
      <c r="D4929" s="49">
        <v>0.0</v>
      </c>
    </row>
    <row r="4930" ht="15.0" hidden="1" customHeight="1">
      <c r="A4930" s="49" t="s">
        <v>612</v>
      </c>
      <c r="B4930" s="50">
        <v>44834.0</v>
      </c>
      <c r="C4930" s="49" t="s">
        <v>777</v>
      </c>
      <c r="D4930" s="49">
        <v>0.0</v>
      </c>
    </row>
    <row r="4931" ht="15.0" hidden="1" customHeight="1">
      <c r="A4931" s="49" t="s">
        <v>617</v>
      </c>
      <c r="B4931" s="50">
        <v>44834.0</v>
      </c>
      <c r="C4931" s="49" t="s">
        <v>777</v>
      </c>
      <c r="D4931" s="49">
        <v>0.0</v>
      </c>
    </row>
    <row r="4932" ht="15.0" hidden="1" customHeight="1">
      <c r="A4932" s="49" t="s">
        <v>622</v>
      </c>
      <c r="B4932" s="50">
        <v>44834.0</v>
      </c>
      <c r="C4932" s="49" t="s">
        <v>777</v>
      </c>
      <c r="D4932" s="49">
        <v>0.0</v>
      </c>
    </row>
    <row r="4933" ht="15.0" hidden="1" customHeight="1">
      <c r="A4933" s="49" t="s">
        <v>627</v>
      </c>
      <c r="B4933" s="50">
        <v>44834.0</v>
      </c>
      <c r="C4933" s="49" t="s">
        <v>777</v>
      </c>
      <c r="D4933" s="49">
        <v>0.0</v>
      </c>
    </row>
    <row r="4934" ht="15.0" hidden="1" customHeight="1">
      <c r="A4934" s="49" t="s">
        <v>631</v>
      </c>
      <c r="B4934" s="50">
        <v>44834.0</v>
      </c>
      <c r="C4934" s="49" t="s">
        <v>777</v>
      </c>
      <c r="D4934" s="49">
        <v>0.0</v>
      </c>
    </row>
    <row r="4935" ht="15.0" hidden="1" customHeight="1">
      <c r="A4935" s="49" t="s">
        <v>636</v>
      </c>
      <c r="B4935" s="50">
        <v>44834.0</v>
      </c>
      <c r="C4935" s="49" t="s">
        <v>777</v>
      </c>
      <c r="D4935" s="49">
        <v>0.0</v>
      </c>
    </row>
    <row r="4936" ht="15.0" hidden="1" customHeight="1">
      <c r="A4936" s="49" t="s">
        <v>640</v>
      </c>
      <c r="B4936" s="50">
        <v>44834.0</v>
      </c>
      <c r="C4936" s="49" t="s">
        <v>777</v>
      </c>
      <c r="D4936" s="49">
        <v>0.0</v>
      </c>
    </row>
    <row r="4937" ht="15.0" hidden="1" customHeight="1">
      <c r="A4937" s="49" t="s">
        <v>644</v>
      </c>
      <c r="B4937" s="50">
        <v>44834.0</v>
      </c>
      <c r="C4937" s="49" t="s">
        <v>777</v>
      </c>
      <c r="D4937" s="49">
        <v>0.0</v>
      </c>
    </row>
    <row r="4938" ht="15.0" hidden="1" customHeight="1">
      <c r="A4938" s="49" t="s">
        <v>649</v>
      </c>
      <c r="B4938" s="50">
        <v>44834.0</v>
      </c>
      <c r="C4938" s="49" t="s">
        <v>777</v>
      </c>
      <c r="D4938" s="49">
        <v>0.0</v>
      </c>
    </row>
    <row r="4939" ht="15.0" hidden="1" customHeight="1">
      <c r="A4939" s="49" t="s">
        <v>654</v>
      </c>
      <c r="B4939" s="50">
        <v>44834.0</v>
      </c>
      <c r="C4939" s="49" t="s">
        <v>777</v>
      </c>
      <c r="D4939" s="49">
        <v>0.0</v>
      </c>
    </row>
    <row r="4940" ht="15.0" hidden="1" customHeight="1">
      <c r="A4940" s="49" t="s">
        <v>659</v>
      </c>
      <c r="B4940" s="50">
        <v>44834.0</v>
      </c>
      <c r="C4940" s="49" t="s">
        <v>777</v>
      </c>
      <c r="D4940" s="49">
        <v>0.0</v>
      </c>
    </row>
    <row r="4941" ht="15.0" hidden="1" customHeight="1">
      <c r="A4941" s="49" t="s">
        <v>664</v>
      </c>
      <c r="B4941" s="50">
        <v>44834.0</v>
      </c>
      <c r="C4941" s="49" t="s">
        <v>777</v>
      </c>
      <c r="D4941" s="49">
        <v>0.0</v>
      </c>
    </row>
    <row r="4942" ht="15.0" hidden="1" customHeight="1">
      <c r="A4942" s="49" t="s">
        <v>669</v>
      </c>
      <c r="B4942" s="50">
        <v>44834.0</v>
      </c>
      <c r="C4942" s="49" t="s">
        <v>777</v>
      </c>
      <c r="D4942" s="49">
        <v>0.0</v>
      </c>
    </row>
    <row r="4943" ht="15.0" hidden="1" customHeight="1">
      <c r="A4943" s="49" t="s">
        <v>674</v>
      </c>
      <c r="B4943" s="50">
        <v>44834.0</v>
      </c>
      <c r="C4943" s="49" t="s">
        <v>777</v>
      </c>
      <c r="D4943" s="49">
        <v>0.0</v>
      </c>
    </row>
    <row r="4944" ht="15.0" hidden="1" customHeight="1">
      <c r="A4944" s="49" t="s">
        <v>679</v>
      </c>
      <c r="B4944" s="50">
        <v>44834.0</v>
      </c>
      <c r="C4944" s="49" t="s">
        <v>777</v>
      </c>
      <c r="D4944" s="49">
        <v>0.0</v>
      </c>
    </row>
    <row r="4945" ht="15.0" hidden="1" customHeight="1">
      <c r="A4945" s="49" t="s">
        <v>684</v>
      </c>
      <c r="B4945" s="50">
        <v>44834.0</v>
      </c>
      <c r="C4945" s="49" t="s">
        <v>777</v>
      </c>
      <c r="D4945" s="49">
        <v>0.0</v>
      </c>
    </row>
    <row r="4946" ht="15.0" hidden="1" customHeight="1">
      <c r="A4946" s="49" t="s">
        <v>689</v>
      </c>
      <c r="B4946" s="50">
        <v>44834.0</v>
      </c>
      <c r="C4946" s="49" t="s">
        <v>777</v>
      </c>
      <c r="D4946" s="49">
        <v>0.0</v>
      </c>
    </row>
    <row r="4947" ht="15.0" hidden="1" customHeight="1">
      <c r="A4947" s="49" t="s">
        <v>694</v>
      </c>
      <c r="B4947" s="50">
        <v>44834.0</v>
      </c>
      <c r="C4947" s="49" t="s">
        <v>777</v>
      </c>
      <c r="D4947" s="49">
        <v>0.0</v>
      </c>
    </row>
    <row r="4948" ht="15.0" hidden="1" customHeight="1">
      <c r="A4948" s="49" t="s">
        <v>699</v>
      </c>
      <c r="B4948" s="50">
        <v>44834.0</v>
      </c>
      <c r="C4948" s="49" t="s">
        <v>777</v>
      </c>
      <c r="D4948" s="49">
        <v>0.0</v>
      </c>
    </row>
    <row r="4949" ht="15.0" hidden="1" customHeight="1">
      <c r="A4949" s="49" t="s">
        <v>705</v>
      </c>
      <c r="B4949" s="50">
        <v>44834.0</v>
      </c>
      <c r="C4949" s="49" t="s">
        <v>777</v>
      </c>
      <c r="D4949" s="49">
        <v>0.0</v>
      </c>
    </row>
    <row r="4950" ht="15.0" hidden="1" customHeight="1">
      <c r="A4950" s="49" t="s">
        <v>710</v>
      </c>
      <c r="B4950" s="50">
        <v>44834.0</v>
      </c>
      <c r="C4950" s="49" t="s">
        <v>777</v>
      </c>
      <c r="D4950" s="49">
        <v>0.0</v>
      </c>
    </row>
    <row r="4951" ht="15.0" hidden="1" customHeight="1">
      <c r="A4951" s="49" t="s">
        <v>715</v>
      </c>
      <c r="B4951" s="50">
        <v>44834.0</v>
      </c>
      <c r="C4951" s="49" t="s">
        <v>777</v>
      </c>
      <c r="D4951" s="49">
        <v>0.0</v>
      </c>
    </row>
    <row r="4952" ht="15.0" hidden="1" customHeight="1">
      <c r="A4952" s="49" t="s">
        <v>765</v>
      </c>
      <c r="B4952" s="50">
        <v>44834.0</v>
      </c>
      <c r="C4952" s="49" t="s">
        <v>777</v>
      </c>
      <c r="D4952" s="49">
        <v>0.0</v>
      </c>
    </row>
    <row r="4953" ht="15.0" hidden="1" customHeight="1">
      <c r="A4953" s="49" t="s">
        <v>720</v>
      </c>
      <c r="B4953" s="50">
        <v>44834.0</v>
      </c>
      <c r="C4953" s="49" t="s">
        <v>777</v>
      </c>
      <c r="D4953" s="49">
        <v>0.0</v>
      </c>
    </row>
    <row r="4954" ht="15.0" hidden="1" customHeight="1">
      <c r="A4954" s="49" t="s">
        <v>725</v>
      </c>
      <c r="B4954" s="50">
        <v>44834.0</v>
      </c>
      <c r="C4954" s="49" t="s">
        <v>777</v>
      </c>
      <c r="D4954" s="49">
        <v>0.0</v>
      </c>
    </row>
    <row r="4955" ht="15.0" hidden="1" customHeight="1">
      <c r="A4955" s="49" t="s">
        <v>730</v>
      </c>
      <c r="B4955" s="50">
        <v>44834.0</v>
      </c>
      <c r="C4955" s="49" t="s">
        <v>777</v>
      </c>
      <c r="D4955" s="49">
        <v>0.0</v>
      </c>
    </row>
    <row r="4956" ht="15.0" hidden="1" customHeight="1">
      <c r="A4956" s="49" t="s">
        <v>734</v>
      </c>
      <c r="B4956" s="50">
        <v>44834.0</v>
      </c>
      <c r="C4956" s="49" t="s">
        <v>777</v>
      </c>
      <c r="D4956" s="49">
        <v>0.0</v>
      </c>
    </row>
    <row r="4957" ht="15.0" hidden="1" customHeight="1">
      <c r="A4957" s="49" t="s">
        <v>739</v>
      </c>
      <c r="B4957" s="50">
        <v>44834.0</v>
      </c>
      <c r="C4957" s="49" t="s">
        <v>777</v>
      </c>
      <c r="D4957" s="49">
        <v>0.0</v>
      </c>
    </row>
    <row r="4958" ht="15.0" hidden="1" customHeight="1">
      <c r="A4958" s="49" t="s">
        <v>744</v>
      </c>
      <c r="B4958" s="50">
        <v>44834.0</v>
      </c>
      <c r="C4958" s="49" t="s">
        <v>777</v>
      </c>
      <c r="D4958" s="49">
        <v>0.0</v>
      </c>
    </row>
    <row r="4959" ht="15.0" hidden="1" customHeight="1">
      <c r="A4959" s="49" t="s">
        <v>749</v>
      </c>
      <c r="B4959" s="50">
        <v>44834.0</v>
      </c>
      <c r="C4959" s="49" t="s">
        <v>777</v>
      </c>
      <c r="D4959" s="49">
        <v>0.0</v>
      </c>
    </row>
    <row r="4960" ht="15.0" customHeight="1">
      <c r="A4960" s="49" t="s">
        <v>776</v>
      </c>
      <c r="B4960" s="50">
        <v>44834.0</v>
      </c>
      <c r="C4960" s="49" t="s">
        <v>78</v>
      </c>
      <c r="D4960" s="49">
        <v>0.0</v>
      </c>
    </row>
    <row r="4961" ht="15.0" hidden="1" customHeight="1">
      <c r="A4961" s="49" t="s">
        <v>778</v>
      </c>
      <c r="B4961" s="50">
        <v>44834.0</v>
      </c>
      <c r="C4961" s="49" t="s">
        <v>78</v>
      </c>
      <c r="D4961" s="49">
        <v>0.0</v>
      </c>
    </row>
    <row r="4962" ht="15.0" hidden="1" customHeight="1">
      <c r="A4962" s="49" t="s">
        <v>92</v>
      </c>
      <c r="B4962" s="50">
        <v>44834.0</v>
      </c>
      <c r="C4962" s="49" t="s">
        <v>78</v>
      </c>
      <c r="D4962" s="49">
        <v>0.0</v>
      </c>
    </row>
    <row r="4963" ht="15.0" hidden="1" customHeight="1">
      <c r="A4963" s="49" t="s">
        <v>97</v>
      </c>
      <c r="B4963" s="50">
        <v>44834.0</v>
      </c>
      <c r="C4963" s="49" t="s">
        <v>78</v>
      </c>
      <c r="D4963" s="49">
        <v>0.0</v>
      </c>
    </row>
    <row r="4964" ht="15.0" hidden="1" customHeight="1">
      <c r="A4964" s="49" t="s">
        <v>102</v>
      </c>
      <c r="B4964" s="50">
        <v>44834.0</v>
      </c>
      <c r="C4964" s="49" t="s">
        <v>78</v>
      </c>
      <c r="D4964" s="49">
        <v>0.0</v>
      </c>
    </row>
    <row r="4965" ht="15.0" hidden="1" customHeight="1">
      <c r="A4965" s="49" t="s">
        <v>106</v>
      </c>
      <c r="B4965" s="50">
        <v>44834.0</v>
      </c>
      <c r="C4965" s="49" t="s">
        <v>78</v>
      </c>
      <c r="D4965" s="49">
        <v>0.0</v>
      </c>
    </row>
    <row r="4966" ht="15.0" hidden="1" customHeight="1">
      <c r="A4966" s="49" t="s">
        <v>111</v>
      </c>
      <c r="B4966" s="50">
        <v>44834.0</v>
      </c>
      <c r="C4966" s="49" t="s">
        <v>78</v>
      </c>
      <c r="D4966" s="49">
        <v>0.0</v>
      </c>
    </row>
    <row r="4967" ht="15.0" hidden="1" customHeight="1">
      <c r="A4967" s="49" t="s">
        <v>116</v>
      </c>
      <c r="B4967" s="50">
        <v>44834.0</v>
      </c>
      <c r="C4967" s="49" t="s">
        <v>78</v>
      </c>
      <c r="D4967" s="49">
        <v>0.0</v>
      </c>
    </row>
    <row r="4968" ht="15.0" hidden="1" customHeight="1">
      <c r="A4968" s="49" t="s">
        <v>120</v>
      </c>
      <c r="B4968" s="50">
        <v>44834.0</v>
      </c>
      <c r="C4968" s="49" t="s">
        <v>78</v>
      </c>
      <c r="D4968" s="49">
        <v>0.0</v>
      </c>
    </row>
    <row r="4969" ht="15.0" hidden="1" customHeight="1">
      <c r="A4969" s="49" t="s">
        <v>125</v>
      </c>
      <c r="B4969" s="50">
        <v>44834.0</v>
      </c>
      <c r="C4969" s="49" t="s">
        <v>78</v>
      </c>
      <c r="D4969" s="49">
        <v>0.0</v>
      </c>
    </row>
    <row r="4970" ht="15.0" hidden="1" customHeight="1">
      <c r="A4970" s="49" t="s">
        <v>130</v>
      </c>
      <c r="B4970" s="50">
        <v>44834.0</v>
      </c>
      <c r="C4970" s="49" t="s">
        <v>78</v>
      </c>
      <c r="D4970" s="49">
        <v>0.0</v>
      </c>
    </row>
    <row r="4971" ht="15.0" hidden="1" customHeight="1">
      <c r="A4971" s="49" t="s">
        <v>137</v>
      </c>
      <c r="B4971" s="50">
        <v>44834.0</v>
      </c>
      <c r="C4971" s="49" t="s">
        <v>78</v>
      </c>
      <c r="D4971" s="49">
        <v>0.0</v>
      </c>
    </row>
    <row r="4972" ht="15.0" hidden="1" customHeight="1">
      <c r="A4972" s="49" t="s">
        <v>142</v>
      </c>
      <c r="B4972" s="50">
        <v>44834.0</v>
      </c>
      <c r="C4972" s="49" t="s">
        <v>78</v>
      </c>
      <c r="D4972" s="49">
        <v>0.0</v>
      </c>
    </row>
    <row r="4973" ht="15.0" hidden="1" customHeight="1">
      <c r="A4973" s="49" t="s">
        <v>147</v>
      </c>
      <c r="B4973" s="50">
        <v>44834.0</v>
      </c>
      <c r="C4973" s="49" t="s">
        <v>78</v>
      </c>
      <c r="D4973" s="49">
        <v>0.0</v>
      </c>
    </row>
    <row r="4974" ht="15.0" hidden="1" customHeight="1">
      <c r="A4974" s="49" t="s">
        <v>152</v>
      </c>
      <c r="B4974" s="50">
        <v>44834.0</v>
      </c>
      <c r="C4974" s="49" t="s">
        <v>78</v>
      </c>
      <c r="D4974" s="49">
        <v>0.0</v>
      </c>
    </row>
    <row r="4975" ht="15.0" hidden="1" customHeight="1">
      <c r="A4975" s="49" t="s">
        <v>157</v>
      </c>
      <c r="B4975" s="50">
        <v>44834.0</v>
      </c>
      <c r="C4975" s="49" t="s">
        <v>78</v>
      </c>
      <c r="D4975" s="49">
        <v>0.0</v>
      </c>
    </row>
    <row r="4976" ht="15.0" hidden="1" customHeight="1">
      <c r="A4976" s="49" t="s">
        <v>162</v>
      </c>
      <c r="B4976" s="50">
        <v>44834.0</v>
      </c>
      <c r="C4976" s="49" t="s">
        <v>78</v>
      </c>
      <c r="D4976" s="49">
        <v>0.0</v>
      </c>
    </row>
    <row r="4977" ht="15.0" hidden="1" customHeight="1">
      <c r="A4977" s="49" t="s">
        <v>167</v>
      </c>
      <c r="B4977" s="50">
        <v>44834.0</v>
      </c>
      <c r="C4977" s="49" t="s">
        <v>78</v>
      </c>
      <c r="D4977" s="49">
        <v>0.0</v>
      </c>
    </row>
    <row r="4978" ht="15.0" hidden="1" customHeight="1">
      <c r="A4978" s="49" t="s">
        <v>172</v>
      </c>
      <c r="B4978" s="50">
        <v>44834.0</v>
      </c>
      <c r="C4978" s="49" t="s">
        <v>78</v>
      </c>
      <c r="D4978" s="49">
        <v>0.0</v>
      </c>
    </row>
    <row r="4979" ht="15.0" hidden="1" customHeight="1">
      <c r="A4979" s="49" t="s">
        <v>177</v>
      </c>
      <c r="B4979" s="50">
        <v>44834.0</v>
      </c>
      <c r="C4979" s="49" t="s">
        <v>78</v>
      </c>
      <c r="D4979" s="49">
        <v>0.0</v>
      </c>
    </row>
    <row r="4980" ht="15.0" hidden="1" customHeight="1">
      <c r="A4980" s="49" t="s">
        <v>182</v>
      </c>
      <c r="B4980" s="50">
        <v>44834.0</v>
      </c>
      <c r="C4980" s="49" t="s">
        <v>78</v>
      </c>
      <c r="D4980" s="49">
        <v>0.0</v>
      </c>
    </row>
    <row r="4981" ht="15.0" hidden="1" customHeight="1">
      <c r="A4981" s="49" t="s">
        <v>187</v>
      </c>
      <c r="B4981" s="50">
        <v>44834.0</v>
      </c>
      <c r="C4981" s="49" t="s">
        <v>78</v>
      </c>
      <c r="D4981" s="49">
        <v>0.0</v>
      </c>
    </row>
    <row r="4982" ht="15.0" hidden="1" customHeight="1">
      <c r="A4982" s="49" t="s">
        <v>192</v>
      </c>
      <c r="B4982" s="50">
        <v>44834.0</v>
      </c>
      <c r="C4982" s="49" t="s">
        <v>78</v>
      </c>
      <c r="D4982" s="49">
        <v>0.0</v>
      </c>
    </row>
    <row r="4983" ht="15.0" hidden="1" customHeight="1">
      <c r="A4983" s="49" t="s">
        <v>197</v>
      </c>
      <c r="B4983" s="50">
        <v>44834.0</v>
      </c>
      <c r="C4983" s="49" t="s">
        <v>78</v>
      </c>
      <c r="D4983" s="49">
        <v>0.0</v>
      </c>
    </row>
    <row r="4984" ht="15.0" hidden="1" customHeight="1">
      <c r="A4984" s="49" t="s">
        <v>202</v>
      </c>
      <c r="B4984" s="50">
        <v>44834.0</v>
      </c>
      <c r="C4984" s="49" t="s">
        <v>78</v>
      </c>
      <c r="D4984" s="49">
        <v>0.0</v>
      </c>
    </row>
    <row r="4985" ht="15.0" hidden="1" customHeight="1">
      <c r="A4985" s="49" t="s">
        <v>206</v>
      </c>
      <c r="B4985" s="50">
        <v>44834.0</v>
      </c>
      <c r="C4985" s="49" t="s">
        <v>78</v>
      </c>
      <c r="D4985" s="49">
        <v>0.0</v>
      </c>
    </row>
    <row r="4986" ht="15.0" hidden="1" customHeight="1">
      <c r="A4986" s="49" t="s">
        <v>211</v>
      </c>
      <c r="B4986" s="50">
        <v>44834.0</v>
      </c>
      <c r="C4986" s="49" t="s">
        <v>78</v>
      </c>
      <c r="D4986" s="49">
        <v>0.0</v>
      </c>
    </row>
    <row r="4987" ht="15.0" hidden="1" customHeight="1">
      <c r="A4987" s="49" t="s">
        <v>779</v>
      </c>
      <c r="B4987" s="50">
        <v>44834.0</v>
      </c>
      <c r="C4987" s="49" t="s">
        <v>78</v>
      </c>
      <c r="D4987" s="49">
        <v>0.0</v>
      </c>
    </row>
    <row r="4988" ht="15.0" hidden="1" customHeight="1">
      <c r="A4988" s="49" t="s">
        <v>221</v>
      </c>
      <c r="B4988" s="50">
        <v>44834.0</v>
      </c>
      <c r="C4988" s="49" t="s">
        <v>78</v>
      </c>
      <c r="D4988" s="49">
        <v>0.0</v>
      </c>
    </row>
    <row r="4989" ht="15.0" hidden="1" customHeight="1">
      <c r="A4989" s="49" t="s">
        <v>226</v>
      </c>
      <c r="B4989" s="50">
        <v>44834.0</v>
      </c>
      <c r="C4989" s="49" t="s">
        <v>78</v>
      </c>
      <c r="D4989" s="49">
        <v>0.0</v>
      </c>
    </row>
    <row r="4990" ht="15.0" hidden="1" customHeight="1">
      <c r="A4990" s="49" t="s">
        <v>231</v>
      </c>
      <c r="B4990" s="50">
        <v>44834.0</v>
      </c>
      <c r="C4990" s="49" t="s">
        <v>78</v>
      </c>
      <c r="D4990" s="49">
        <v>0.0</v>
      </c>
    </row>
    <row r="4991" ht="15.0" hidden="1" customHeight="1">
      <c r="A4991" s="49" t="s">
        <v>236</v>
      </c>
      <c r="B4991" s="50">
        <v>44834.0</v>
      </c>
      <c r="C4991" s="49" t="s">
        <v>78</v>
      </c>
      <c r="D4991" s="49">
        <v>0.0</v>
      </c>
    </row>
    <row r="4992" ht="15.0" hidden="1" customHeight="1">
      <c r="A4992" s="49" t="s">
        <v>242</v>
      </c>
      <c r="B4992" s="50">
        <v>44834.0</v>
      </c>
      <c r="C4992" s="49" t="s">
        <v>78</v>
      </c>
      <c r="D4992" s="49">
        <v>0.0</v>
      </c>
    </row>
    <row r="4993" ht="15.0" hidden="1" customHeight="1">
      <c r="A4993" s="49" t="s">
        <v>248</v>
      </c>
      <c r="B4993" s="50">
        <v>44834.0</v>
      </c>
      <c r="C4993" s="49" t="s">
        <v>78</v>
      </c>
      <c r="D4993" s="49">
        <v>0.0</v>
      </c>
    </row>
    <row r="4994" ht="15.0" hidden="1" customHeight="1">
      <c r="A4994" s="49" t="s">
        <v>253</v>
      </c>
      <c r="B4994" s="50">
        <v>44834.0</v>
      </c>
      <c r="C4994" s="49" t="s">
        <v>78</v>
      </c>
      <c r="D4994" s="49">
        <v>0.0</v>
      </c>
    </row>
    <row r="4995" ht="15.0" hidden="1" customHeight="1">
      <c r="A4995" s="49" t="s">
        <v>258</v>
      </c>
      <c r="B4995" s="50">
        <v>44834.0</v>
      </c>
      <c r="C4995" s="49" t="s">
        <v>78</v>
      </c>
      <c r="D4995" s="49">
        <v>0.0</v>
      </c>
    </row>
    <row r="4996" ht="15.0" hidden="1" customHeight="1">
      <c r="A4996" s="49" t="s">
        <v>263</v>
      </c>
      <c r="B4996" s="50">
        <v>44834.0</v>
      </c>
      <c r="C4996" s="49" t="s">
        <v>78</v>
      </c>
      <c r="D4996" s="49">
        <v>0.0</v>
      </c>
    </row>
    <row r="4997" ht="15.0" hidden="1" customHeight="1">
      <c r="A4997" s="49" t="s">
        <v>268</v>
      </c>
      <c r="B4997" s="50">
        <v>44834.0</v>
      </c>
      <c r="C4997" s="49" t="s">
        <v>78</v>
      </c>
      <c r="D4997" s="49">
        <v>0.0</v>
      </c>
    </row>
    <row r="4998" ht="15.0" hidden="1" customHeight="1">
      <c r="A4998" s="49" t="s">
        <v>273</v>
      </c>
      <c r="B4998" s="50">
        <v>44834.0</v>
      </c>
      <c r="C4998" s="49" t="s">
        <v>78</v>
      </c>
      <c r="D4998" s="49">
        <v>0.0</v>
      </c>
    </row>
    <row r="4999" ht="15.0" hidden="1" customHeight="1">
      <c r="A4999" s="49" t="s">
        <v>278</v>
      </c>
      <c r="B4999" s="50">
        <v>44834.0</v>
      </c>
      <c r="C4999" s="49" t="s">
        <v>78</v>
      </c>
      <c r="D4999" s="49">
        <v>0.0</v>
      </c>
    </row>
    <row r="5000" ht="15.0" hidden="1" customHeight="1">
      <c r="A5000" s="49" t="s">
        <v>283</v>
      </c>
      <c r="B5000" s="50">
        <v>44834.0</v>
      </c>
      <c r="C5000" s="49" t="s">
        <v>78</v>
      </c>
      <c r="D5000" s="49">
        <v>0.0</v>
      </c>
    </row>
    <row r="5001" ht="15.0" hidden="1" customHeight="1">
      <c r="A5001" s="49" t="s">
        <v>288</v>
      </c>
      <c r="B5001" s="50">
        <v>44834.0</v>
      </c>
      <c r="C5001" s="49" t="s">
        <v>78</v>
      </c>
      <c r="D5001" s="49">
        <v>0.0</v>
      </c>
    </row>
    <row r="5002" ht="15.0" hidden="1" customHeight="1">
      <c r="A5002" s="49" t="s">
        <v>293</v>
      </c>
      <c r="B5002" s="50">
        <v>44834.0</v>
      </c>
      <c r="C5002" s="49" t="s">
        <v>78</v>
      </c>
      <c r="D5002" s="49">
        <v>0.0</v>
      </c>
    </row>
    <row r="5003" ht="15.0" hidden="1" customHeight="1">
      <c r="A5003" s="49" t="s">
        <v>298</v>
      </c>
      <c r="B5003" s="50">
        <v>44834.0</v>
      </c>
      <c r="C5003" s="49" t="s">
        <v>78</v>
      </c>
      <c r="D5003" s="49">
        <v>0.0</v>
      </c>
    </row>
    <row r="5004" ht="15.0" hidden="1" customHeight="1">
      <c r="A5004" s="49" t="s">
        <v>303</v>
      </c>
      <c r="B5004" s="50">
        <v>44834.0</v>
      </c>
      <c r="C5004" s="49" t="s">
        <v>78</v>
      </c>
      <c r="D5004" s="49">
        <v>0.0</v>
      </c>
    </row>
    <row r="5005" ht="15.0" hidden="1" customHeight="1">
      <c r="A5005" s="49" t="s">
        <v>307</v>
      </c>
      <c r="B5005" s="50">
        <v>44834.0</v>
      </c>
      <c r="C5005" s="49" t="s">
        <v>78</v>
      </c>
      <c r="D5005" s="49">
        <v>0.0</v>
      </c>
    </row>
    <row r="5006" ht="15.0" hidden="1" customHeight="1">
      <c r="A5006" s="49" t="s">
        <v>313</v>
      </c>
      <c r="B5006" s="50">
        <v>44834.0</v>
      </c>
      <c r="C5006" s="49" t="s">
        <v>78</v>
      </c>
      <c r="D5006" s="49">
        <v>0.0</v>
      </c>
    </row>
    <row r="5007" ht="15.0" hidden="1" customHeight="1">
      <c r="A5007" s="49" t="s">
        <v>318</v>
      </c>
      <c r="B5007" s="50">
        <v>44834.0</v>
      </c>
      <c r="C5007" s="49" t="s">
        <v>78</v>
      </c>
      <c r="D5007" s="49">
        <v>1690000.0</v>
      </c>
    </row>
    <row r="5008" ht="15.0" hidden="1" customHeight="1">
      <c r="A5008" s="49" t="s">
        <v>323</v>
      </c>
      <c r="B5008" s="50">
        <v>44834.0</v>
      </c>
      <c r="C5008" s="49" t="s">
        <v>78</v>
      </c>
      <c r="D5008" s="49">
        <v>2250000.0</v>
      </c>
    </row>
    <row r="5009" ht="15.0" hidden="1" customHeight="1">
      <c r="A5009" s="49" t="s">
        <v>328</v>
      </c>
      <c r="B5009" s="50">
        <v>44834.0</v>
      </c>
      <c r="C5009" s="49" t="s">
        <v>78</v>
      </c>
      <c r="D5009" s="49">
        <v>14000.0</v>
      </c>
    </row>
    <row r="5010" ht="15.0" hidden="1" customHeight="1">
      <c r="A5010" s="49" t="s">
        <v>335</v>
      </c>
      <c r="B5010" s="50">
        <v>44834.0</v>
      </c>
      <c r="C5010" s="49" t="s">
        <v>78</v>
      </c>
      <c r="D5010" s="49">
        <v>130000.0</v>
      </c>
    </row>
    <row r="5011" ht="15.0" hidden="1" customHeight="1">
      <c r="A5011" s="49" t="s">
        <v>340</v>
      </c>
      <c r="B5011" s="50">
        <v>44834.0</v>
      </c>
      <c r="C5011" s="49" t="s">
        <v>78</v>
      </c>
      <c r="D5011" s="49">
        <v>1000000.0</v>
      </c>
    </row>
    <row r="5012" ht="15.0" hidden="1" customHeight="1">
      <c r="A5012" s="49" t="s">
        <v>345</v>
      </c>
      <c r="B5012" s="50">
        <v>44834.0</v>
      </c>
      <c r="C5012" s="49" t="s">
        <v>78</v>
      </c>
      <c r="D5012" s="49">
        <v>0.0</v>
      </c>
    </row>
    <row r="5013" ht="15.0" hidden="1" customHeight="1">
      <c r="A5013" s="49" t="s">
        <v>350</v>
      </c>
      <c r="B5013" s="50">
        <v>44834.0</v>
      </c>
      <c r="C5013" s="49" t="s">
        <v>78</v>
      </c>
      <c r="D5013" s="49">
        <v>0.0</v>
      </c>
    </row>
    <row r="5014" ht="15.0" hidden="1" customHeight="1">
      <c r="A5014" s="49" t="s">
        <v>355</v>
      </c>
      <c r="B5014" s="50">
        <v>44834.0</v>
      </c>
      <c r="C5014" s="49" t="s">
        <v>78</v>
      </c>
      <c r="D5014" s="49">
        <v>0.0</v>
      </c>
    </row>
    <row r="5015" ht="15.0" hidden="1" customHeight="1">
      <c r="A5015" s="49" t="s">
        <v>360</v>
      </c>
      <c r="B5015" s="50">
        <v>44834.0</v>
      </c>
      <c r="C5015" s="49" t="s">
        <v>78</v>
      </c>
      <c r="D5015" s="49">
        <v>0.0</v>
      </c>
    </row>
    <row r="5016" ht="15.0" hidden="1" customHeight="1">
      <c r="A5016" s="49" t="s">
        <v>365</v>
      </c>
      <c r="B5016" s="50">
        <v>44834.0</v>
      </c>
      <c r="C5016" s="49" t="s">
        <v>78</v>
      </c>
      <c r="D5016" s="49">
        <v>0.0</v>
      </c>
    </row>
    <row r="5017" ht="15.0" hidden="1" customHeight="1">
      <c r="A5017" s="49" t="s">
        <v>370</v>
      </c>
      <c r="B5017" s="50">
        <v>44834.0</v>
      </c>
      <c r="C5017" s="49" t="s">
        <v>78</v>
      </c>
      <c r="D5017" s="49">
        <v>0.0</v>
      </c>
    </row>
    <row r="5018" ht="15.0" hidden="1" customHeight="1">
      <c r="A5018" s="49" t="s">
        <v>375</v>
      </c>
      <c r="B5018" s="50">
        <v>44834.0</v>
      </c>
      <c r="C5018" s="49" t="s">
        <v>78</v>
      </c>
      <c r="D5018" s="49">
        <v>0.0</v>
      </c>
    </row>
    <row r="5019" ht="15.0" hidden="1" customHeight="1">
      <c r="A5019" s="49" t="s">
        <v>380</v>
      </c>
      <c r="B5019" s="50">
        <v>44834.0</v>
      </c>
      <c r="C5019" s="49" t="s">
        <v>78</v>
      </c>
      <c r="D5019" s="49">
        <v>0.0</v>
      </c>
    </row>
    <row r="5020" ht="15.0" hidden="1" customHeight="1">
      <c r="A5020" s="49" t="s">
        <v>385</v>
      </c>
      <c r="B5020" s="50">
        <v>44834.0</v>
      </c>
      <c r="C5020" s="49" t="s">
        <v>78</v>
      </c>
      <c r="D5020" s="49">
        <v>0.0</v>
      </c>
    </row>
    <row r="5021" ht="15.0" hidden="1" customHeight="1">
      <c r="A5021" s="49" t="s">
        <v>390</v>
      </c>
      <c r="B5021" s="50">
        <v>44834.0</v>
      </c>
      <c r="C5021" s="49" t="s">
        <v>78</v>
      </c>
      <c r="D5021" s="49">
        <v>0.0</v>
      </c>
    </row>
    <row r="5022" ht="15.0" hidden="1" customHeight="1">
      <c r="A5022" s="49" t="s">
        <v>395</v>
      </c>
      <c r="B5022" s="50">
        <v>44834.0</v>
      </c>
      <c r="C5022" s="49" t="s">
        <v>78</v>
      </c>
      <c r="D5022" s="49">
        <v>0.0</v>
      </c>
    </row>
    <row r="5023" ht="15.0" hidden="1" customHeight="1">
      <c r="A5023" s="49" t="s">
        <v>400</v>
      </c>
      <c r="B5023" s="50">
        <v>44834.0</v>
      </c>
      <c r="C5023" s="49" t="s">
        <v>78</v>
      </c>
      <c r="D5023" s="49">
        <v>0.0</v>
      </c>
    </row>
    <row r="5024" ht="15.0" hidden="1" customHeight="1">
      <c r="A5024" s="49" t="s">
        <v>405</v>
      </c>
      <c r="B5024" s="50">
        <v>44834.0</v>
      </c>
      <c r="C5024" s="49" t="s">
        <v>78</v>
      </c>
      <c r="D5024" s="49">
        <v>0.0</v>
      </c>
    </row>
    <row r="5025" ht="15.0" hidden="1" customHeight="1">
      <c r="A5025" s="49" t="s">
        <v>410</v>
      </c>
      <c r="B5025" s="50">
        <v>44834.0</v>
      </c>
      <c r="C5025" s="49" t="s">
        <v>78</v>
      </c>
      <c r="D5025" s="49">
        <v>0.0</v>
      </c>
    </row>
    <row r="5026" ht="15.0" hidden="1" customHeight="1">
      <c r="A5026" s="49" t="s">
        <v>415</v>
      </c>
      <c r="B5026" s="50">
        <v>44834.0</v>
      </c>
      <c r="C5026" s="49" t="s">
        <v>78</v>
      </c>
      <c r="D5026" s="49">
        <v>0.0</v>
      </c>
    </row>
    <row r="5027" ht="15.0" hidden="1" customHeight="1">
      <c r="A5027" s="49" t="s">
        <v>420</v>
      </c>
      <c r="B5027" s="50">
        <v>44834.0</v>
      </c>
      <c r="C5027" s="49" t="s">
        <v>78</v>
      </c>
      <c r="D5027" s="49">
        <v>0.0</v>
      </c>
    </row>
    <row r="5028" ht="15.0" hidden="1" customHeight="1">
      <c r="A5028" s="49" t="s">
        <v>425</v>
      </c>
      <c r="B5028" s="50">
        <v>44834.0</v>
      </c>
      <c r="C5028" s="49" t="s">
        <v>78</v>
      </c>
      <c r="D5028" s="49">
        <v>0.0</v>
      </c>
    </row>
    <row r="5029" ht="15.0" hidden="1" customHeight="1">
      <c r="A5029" s="49" t="s">
        <v>430</v>
      </c>
      <c r="B5029" s="50">
        <v>44834.0</v>
      </c>
      <c r="C5029" s="49" t="s">
        <v>78</v>
      </c>
      <c r="D5029" s="49">
        <v>0.0</v>
      </c>
    </row>
    <row r="5030" ht="15.0" hidden="1" customHeight="1">
      <c r="A5030" s="49" t="s">
        <v>434</v>
      </c>
      <c r="B5030" s="50">
        <v>44834.0</v>
      </c>
      <c r="C5030" s="49" t="s">
        <v>78</v>
      </c>
      <c r="D5030" s="49">
        <v>0.0</v>
      </c>
    </row>
    <row r="5031" ht="15.0" hidden="1" customHeight="1">
      <c r="A5031" s="49" t="s">
        <v>439</v>
      </c>
      <c r="B5031" s="50">
        <v>44834.0</v>
      </c>
      <c r="C5031" s="49" t="s">
        <v>78</v>
      </c>
      <c r="D5031" s="49">
        <v>0.0</v>
      </c>
    </row>
    <row r="5032" ht="15.0" hidden="1" customHeight="1">
      <c r="A5032" s="49" t="s">
        <v>444</v>
      </c>
      <c r="B5032" s="50">
        <v>44834.0</v>
      </c>
      <c r="C5032" s="49" t="s">
        <v>78</v>
      </c>
      <c r="D5032" s="49">
        <v>0.0</v>
      </c>
    </row>
    <row r="5033" ht="15.0" hidden="1" customHeight="1">
      <c r="A5033" s="49" t="s">
        <v>449</v>
      </c>
      <c r="B5033" s="50">
        <v>44834.0</v>
      </c>
      <c r="C5033" s="49" t="s">
        <v>78</v>
      </c>
      <c r="D5033" s="49">
        <v>0.0</v>
      </c>
    </row>
    <row r="5034" ht="15.0" hidden="1" customHeight="1">
      <c r="A5034" s="49" t="s">
        <v>455</v>
      </c>
      <c r="B5034" s="50">
        <v>44834.0</v>
      </c>
      <c r="C5034" s="49" t="s">
        <v>78</v>
      </c>
      <c r="D5034" s="49">
        <v>0.0</v>
      </c>
    </row>
    <row r="5035" ht="15.0" hidden="1" customHeight="1">
      <c r="A5035" s="49" t="s">
        <v>470</v>
      </c>
      <c r="B5035" s="50">
        <v>44834.0</v>
      </c>
      <c r="C5035" s="49" t="s">
        <v>78</v>
      </c>
      <c r="D5035" s="49">
        <v>0.0</v>
      </c>
    </row>
    <row r="5036" ht="15.0" hidden="1" customHeight="1">
      <c r="A5036" s="49" t="s">
        <v>476</v>
      </c>
      <c r="B5036" s="50">
        <v>44834.0</v>
      </c>
      <c r="C5036" s="49" t="s">
        <v>78</v>
      </c>
      <c r="D5036" s="49">
        <v>0.0</v>
      </c>
    </row>
    <row r="5037" ht="15.0" hidden="1" customHeight="1">
      <c r="A5037" s="49" t="s">
        <v>481</v>
      </c>
      <c r="B5037" s="50">
        <v>44834.0</v>
      </c>
      <c r="C5037" s="49" t="s">
        <v>78</v>
      </c>
      <c r="D5037" s="49">
        <v>0.0</v>
      </c>
    </row>
    <row r="5038" ht="15.0" hidden="1" customHeight="1">
      <c r="A5038" s="49" t="s">
        <v>486</v>
      </c>
      <c r="B5038" s="50">
        <v>44834.0</v>
      </c>
      <c r="C5038" s="49" t="s">
        <v>78</v>
      </c>
      <c r="D5038" s="49">
        <v>0.0</v>
      </c>
    </row>
    <row r="5039" ht="15.0" hidden="1" customHeight="1">
      <c r="A5039" s="49" t="s">
        <v>491</v>
      </c>
      <c r="B5039" s="50">
        <v>44834.0</v>
      </c>
      <c r="C5039" s="49" t="s">
        <v>78</v>
      </c>
      <c r="D5039" s="49">
        <v>0.0</v>
      </c>
    </row>
    <row r="5040" ht="15.0" hidden="1" customHeight="1">
      <c r="A5040" s="49" t="s">
        <v>496</v>
      </c>
      <c r="B5040" s="50">
        <v>44834.0</v>
      </c>
      <c r="C5040" s="49" t="s">
        <v>78</v>
      </c>
      <c r="D5040" s="49">
        <v>0.0</v>
      </c>
    </row>
    <row r="5041" ht="15.0" hidden="1" customHeight="1">
      <c r="A5041" s="49" t="s">
        <v>501</v>
      </c>
      <c r="B5041" s="50">
        <v>44834.0</v>
      </c>
      <c r="C5041" s="49" t="s">
        <v>78</v>
      </c>
      <c r="D5041" s="49">
        <v>0.0</v>
      </c>
    </row>
    <row r="5042" ht="15.0" hidden="1" customHeight="1">
      <c r="A5042" s="49" t="s">
        <v>506</v>
      </c>
      <c r="B5042" s="50">
        <v>44834.0</v>
      </c>
      <c r="C5042" s="49" t="s">
        <v>78</v>
      </c>
      <c r="D5042" s="49">
        <v>0.0</v>
      </c>
    </row>
    <row r="5043" ht="15.0" hidden="1" customHeight="1">
      <c r="A5043" s="49" t="s">
        <v>512</v>
      </c>
      <c r="B5043" s="50">
        <v>44834.0</v>
      </c>
      <c r="C5043" s="49" t="s">
        <v>78</v>
      </c>
      <c r="D5043" s="49">
        <v>0.0</v>
      </c>
    </row>
    <row r="5044" ht="15.0" hidden="1" customHeight="1">
      <c r="A5044" s="49" t="s">
        <v>517</v>
      </c>
      <c r="B5044" s="50">
        <v>44834.0</v>
      </c>
      <c r="C5044" s="49" t="s">
        <v>78</v>
      </c>
      <c r="D5044" s="49">
        <v>0.0</v>
      </c>
    </row>
    <row r="5045" ht="15.0" hidden="1" customHeight="1">
      <c r="A5045" s="49" t="s">
        <v>522</v>
      </c>
      <c r="B5045" s="50">
        <v>44834.0</v>
      </c>
      <c r="C5045" s="49" t="s">
        <v>78</v>
      </c>
      <c r="D5045" s="49">
        <v>0.0</v>
      </c>
    </row>
    <row r="5046" ht="15.0" hidden="1" customHeight="1">
      <c r="A5046" s="49" t="s">
        <v>528</v>
      </c>
      <c r="B5046" s="50">
        <v>44834.0</v>
      </c>
      <c r="C5046" s="49" t="s">
        <v>78</v>
      </c>
      <c r="D5046" s="49">
        <v>0.0</v>
      </c>
    </row>
    <row r="5047" ht="15.0" hidden="1" customHeight="1">
      <c r="A5047" s="49" t="s">
        <v>533</v>
      </c>
      <c r="B5047" s="50">
        <v>44834.0</v>
      </c>
      <c r="C5047" s="49" t="s">
        <v>78</v>
      </c>
      <c r="D5047" s="49">
        <v>0.0</v>
      </c>
    </row>
    <row r="5048" ht="15.0" hidden="1" customHeight="1">
      <c r="A5048" s="49" t="s">
        <v>538</v>
      </c>
      <c r="B5048" s="50">
        <v>44834.0</v>
      </c>
      <c r="C5048" s="49" t="s">
        <v>78</v>
      </c>
      <c r="D5048" s="49">
        <v>0.0</v>
      </c>
    </row>
    <row r="5049" ht="15.0" hidden="1" customHeight="1">
      <c r="A5049" s="49" t="s">
        <v>546</v>
      </c>
      <c r="B5049" s="50">
        <v>44834.0</v>
      </c>
      <c r="C5049" s="49" t="s">
        <v>78</v>
      </c>
      <c r="D5049" s="49">
        <v>0.0</v>
      </c>
    </row>
    <row r="5050" ht="15.0" hidden="1" customHeight="1">
      <c r="A5050" s="49" t="s">
        <v>551</v>
      </c>
      <c r="B5050" s="50">
        <v>44834.0</v>
      </c>
      <c r="C5050" s="49" t="s">
        <v>78</v>
      </c>
      <c r="D5050" s="49">
        <v>0.0</v>
      </c>
    </row>
    <row r="5051" ht="15.0" hidden="1" customHeight="1">
      <c r="A5051" s="49" t="s">
        <v>556</v>
      </c>
      <c r="B5051" s="50">
        <v>44834.0</v>
      </c>
      <c r="C5051" s="49" t="s">
        <v>78</v>
      </c>
      <c r="D5051" s="49">
        <v>0.0</v>
      </c>
    </row>
    <row r="5052" ht="15.0" hidden="1" customHeight="1">
      <c r="A5052" s="49" t="s">
        <v>561</v>
      </c>
      <c r="B5052" s="50">
        <v>44834.0</v>
      </c>
      <c r="C5052" s="49" t="s">
        <v>78</v>
      </c>
      <c r="D5052" s="49">
        <v>0.0</v>
      </c>
    </row>
    <row r="5053" ht="15.0" hidden="1" customHeight="1">
      <c r="A5053" s="49" t="s">
        <v>566</v>
      </c>
      <c r="B5053" s="50">
        <v>44834.0</v>
      </c>
      <c r="C5053" s="49" t="s">
        <v>78</v>
      </c>
      <c r="D5053" s="49">
        <v>0.0</v>
      </c>
    </row>
    <row r="5054" ht="15.0" hidden="1" customHeight="1">
      <c r="A5054" s="49" t="s">
        <v>571</v>
      </c>
      <c r="B5054" s="50">
        <v>44834.0</v>
      </c>
      <c r="C5054" s="49" t="s">
        <v>78</v>
      </c>
      <c r="D5054" s="49">
        <v>0.0</v>
      </c>
    </row>
    <row r="5055" ht="15.0" hidden="1" customHeight="1">
      <c r="A5055" s="49" t="s">
        <v>576</v>
      </c>
      <c r="B5055" s="50">
        <v>44834.0</v>
      </c>
      <c r="C5055" s="49" t="s">
        <v>78</v>
      </c>
      <c r="D5055" s="49">
        <v>0.0</v>
      </c>
    </row>
    <row r="5056" ht="15.0" hidden="1" customHeight="1">
      <c r="A5056" s="49" t="s">
        <v>581</v>
      </c>
      <c r="B5056" s="50">
        <v>44834.0</v>
      </c>
      <c r="C5056" s="49" t="s">
        <v>78</v>
      </c>
      <c r="D5056" s="49">
        <v>0.0</v>
      </c>
    </row>
    <row r="5057" ht="15.0" hidden="1" customHeight="1">
      <c r="A5057" s="49" t="s">
        <v>586</v>
      </c>
      <c r="B5057" s="50">
        <v>44834.0</v>
      </c>
      <c r="C5057" s="49" t="s">
        <v>78</v>
      </c>
      <c r="D5057" s="49">
        <v>0.0</v>
      </c>
    </row>
    <row r="5058" ht="15.0" hidden="1" customHeight="1">
      <c r="A5058" s="49" t="s">
        <v>754</v>
      </c>
      <c r="B5058" s="50">
        <v>44834.0</v>
      </c>
      <c r="C5058" s="49" t="s">
        <v>78</v>
      </c>
      <c r="D5058" s="49">
        <v>0.0</v>
      </c>
    </row>
    <row r="5059" ht="15.0" hidden="1" customHeight="1">
      <c r="A5059" s="49" t="s">
        <v>591</v>
      </c>
      <c r="B5059" s="50">
        <v>44834.0</v>
      </c>
      <c r="C5059" s="49" t="s">
        <v>78</v>
      </c>
      <c r="D5059" s="49">
        <v>0.0</v>
      </c>
    </row>
    <row r="5060" ht="15.0" hidden="1" customHeight="1">
      <c r="A5060" s="49" t="s">
        <v>759</v>
      </c>
      <c r="B5060" s="50">
        <v>44834.0</v>
      </c>
      <c r="C5060" s="49" t="s">
        <v>78</v>
      </c>
      <c r="D5060" s="49">
        <v>0.0</v>
      </c>
    </row>
    <row r="5061" ht="15.0" hidden="1" customHeight="1">
      <c r="A5061" s="49" t="s">
        <v>596</v>
      </c>
      <c r="B5061" s="50">
        <v>44834.0</v>
      </c>
      <c r="C5061" s="49" t="s">
        <v>78</v>
      </c>
      <c r="D5061" s="49">
        <v>0.0</v>
      </c>
    </row>
    <row r="5062" ht="15.0" hidden="1" customHeight="1">
      <c r="A5062" s="49" t="s">
        <v>602</v>
      </c>
      <c r="B5062" s="50">
        <v>44834.0</v>
      </c>
      <c r="C5062" s="49" t="s">
        <v>78</v>
      </c>
      <c r="D5062" s="49">
        <v>0.0</v>
      </c>
    </row>
    <row r="5063" ht="15.0" hidden="1" customHeight="1">
      <c r="A5063" s="49" t="s">
        <v>607</v>
      </c>
      <c r="B5063" s="50">
        <v>44834.0</v>
      </c>
      <c r="C5063" s="49" t="s">
        <v>78</v>
      </c>
      <c r="D5063" s="49">
        <v>0.0</v>
      </c>
    </row>
    <row r="5064" ht="15.0" hidden="1" customHeight="1">
      <c r="A5064" s="49" t="s">
        <v>612</v>
      </c>
      <c r="B5064" s="50">
        <v>44834.0</v>
      </c>
      <c r="C5064" s="49" t="s">
        <v>78</v>
      </c>
      <c r="D5064" s="49">
        <v>0.0</v>
      </c>
    </row>
    <row r="5065" ht="15.0" hidden="1" customHeight="1">
      <c r="A5065" s="49" t="s">
        <v>617</v>
      </c>
      <c r="B5065" s="50">
        <v>44834.0</v>
      </c>
      <c r="C5065" s="49" t="s">
        <v>78</v>
      </c>
      <c r="D5065" s="49">
        <v>0.0</v>
      </c>
    </row>
    <row r="5066" ht="15.0" hidden="1" customHeight="1">
      <c r="A5066" s="49" t="s">
        <v>622</v>
      </c>
      <c r="B5066" s="50">
        <v>44834.0</v>
      </c>
      <c r="C5066" s="49" t="s">
        <v>78</v>
      </c>
      <c r="D5066" s="49">
        <v>0.0</v>
      </c>
    </row>
    <row r="5067" ht="15.0" hidden="1" customHeight="1">
      <c r="A5067" s="49" t="s">
        <v>627</v>
      </c>
      <c r="B5067" s="50">
        <v>44834.0</v>
      </c>
      <c r="C5067" s="49" t="s">
        <v>78</v>
      </c>
      <c r="D5067" s="49">
        <v>0.0</v>
      </c>
    </row>
    <row r="5068" ht="15.0" hidden="1" customHeight="1">
      <c r="A5068" s="49" t="s">
        <v>631</v>
      </c>
      <c r="B5068" s="50">
        <v>44834.0</v>
      </c>
      <c r="C5068" s="49" t="s">
        <v>78</v>
      </c>
      <c r="D5068" s="49">
        <v>0.0</v>
      </c>
    </row>
    <row r="5069" ht="15.0" hidden="1" customHeight="1">
      <c r="A5069" s="49" t="s">
        <v>636</v>
      </c>
      <c r="B5069" s="50">
        <v>44834.0</v>
      </c>
      <c r="C5069" s="49" t="s">
        <v>78</v>
      </c>
      <c r="D5069" s="49">
        <v>0.0</v>
      </c>
    </row>
    <row r="5070" ht="15.0" hidden="1" customHeight="1">
      <c r="A5070" s="49" t="s">
        <v>640</v>
      </c>
      <c r="B5070" s="50">
        <v>44834.0</v>
      </c>
      <c r="C5070" s="49" t="s">
        <v>78</v>
      </c>
      <c r="D5070" s="49">
        <v>0.0</v>
      </c>
    </row>
    <row r="5071" ht="15.0" hidden="1" customHeight="1">
      <c r="A5071" s="49" t="s">
        <v>644</v>
      </c>
      <c r="B5071" s="50">
        <v>44834.0</v>
      </c>
      <c r="C5071" s="49" t="s">
        <v>78</v>
      </c>
      <c r="D5071" s="49">
        <v>0.0</v>
      </c>
    </row>
    <row r="5072" ht="15.0" hidden="1" customHeight="1">
      <c r="A5072" s="49" t="s">
        <v>649</v>
      </c>
      <c r="B5072" s="50">
        <v>44834.0</v>
      </c>
      <c r="C5072" s="49" t="s">
        <v>78</v>
      </c>
      <c r="D5072" s="49">
        <v>0.0</v>
      </c>
    </row>
    <row r="5073" ht="15.0" hidden="1" customHeight="1">
      <c r="A5073" s="49" t="s">
        <v>654</v>
      </c>
      <c r="B5073" s="50">
        <v>44834.0</v>
      </c>
      <c r="C5073" s="49" t="s">
        <v>78</v>
      </c>
      <c r="D5073" s="49">
        <v>0.0</v>
      </c>
    </row>
    <row r="5074" ht="15.0" hidden="1" customHeight="1">
      <c r="A5074" s="49" t="s">
        <v>659</v>
      </c>
      <c r="B5074" s="50">
        <v>44834.0</v>
      </c>
      <c r="C5074" s="49" t="s">
        <v>78</v>
      </c>
      <c r="D5074" s="49">
        <v>0.0</v>
      </c>
    </row>
    <row r="5075" ht="15.0" hidden="1" customHeight="1">
      <c r="A5075" s="49" t="s">
        <v>664</v>
      </c>
      <c r="B5075" s="50">
        <v>44834.0</v>
      </c>
      <c r="C5075" s="49" t="s">
        <v>78</v>
      </c>
      <c r="D5075" s="49">
        <v>0.0</v>
      </c>
    </row>
    <row r="5076" ht="15.0" hidden="1" customHeight="1">
      <c r="A5076" s="49" t="s">
        <v>669</v>
      </c>
      <c r="B5076" s="50">
        <v>44834.0</v>
      </c>
      <c r="C5076" s="49" t="s">
        <v>78</v>
      </c>
      <c r="D5076" s="49">
        <v>0.0</v>
      </c>
    </row>
    <row r="5077" ht="15.0" hidden="1" customHeight="1">
      <c r="A5077" s="49" t="s">
        <v>674</v>
      </c>
      <c r="B5077" s="50">
        <v>44834.0</v>
      </c>
      <c r="C5077" s="49" t="s">
        <v>78</v>
      </c>
      <c r="D5077" s="49">
        <v>0.0</v>
      </c>
    </row>
    <row r="5078" ht="15.0" hidden="1" customHeight="1">
      <c r="A5078" s="49" t="s">
        <v>679</v>
      </c>
      <c r="B5078" s="50">
        <v>44834.0</v>
      </c>
      <c r="C5078" s="49" t="s">
        <v>78</v>
      </c>
      <c r="D5078" s="49">
        <v>0.0</v>
      </c>
    </row>
    <row r="5079" ht="15.0" hidden="1" customHeight="1">
      <c r="A5079" s="49" t="s">
        <v>684</v>
      </c>
      <c r="B5079" s="50">
        <v>44834.0</v>
      </c>
      <c r="C5079" s="49" t="s">
        <v>78</v>
      </c>
      <c r="D5079" s="49">
        <v>0.0</v>
      </c>
    </row>
    <row r="5080" ht="15.0" hidden="1" customHeight="1">
      <c r="A5080" s="49" t="s">
        <v>689</v>
      </c>
      <c r="B5080" s="50">
        <v>44834.0</v>
      </c>
      <c r="C5080" s="49" t="s">
        <v>78</v>
      </c>
      <c r="D5080" s="49">
        <v>0.0</v>
      </c>
    </row>
    <row r="5081" ht="15.0" hidden="1" customHeight="1">
      <c r="A5081" s="49" t="s">
        <v>694</v>
      </c>
      <c r="B5081" s="50">
        <v>44834.0</v>
      </c>
      <c r="C5081" s="49" t="s">
        <v>78</v>
      </c>
      <c r="D5081" s="49">
        <v>0.0</v>
      </c>
    </row>
    <row r="5082" ht="15.0" hidden="1" customHeight="1">
      <c r="A5082" s="49" t="s">
        <v>699</v>
      </c>
      <c r="B5082" s="50">
        <v>44834.0</v>
      </c>
      <c r="C5082" s="49" t="s">
        <v>78</v>
      </c>
      <c r="D5082" s="49">
        <v>0.0</v>
      </c>
    </row>
    <row r="5083" ht="15.0" hidden="1" customHeight="1">
      <c r="A5083" s="49" t="s">
        <v>705</v>
      </c>
      <c r="B5083" s="50">
        <v>44834.0</v>
      </c>
      <c r="C5083" s="49" t="s">
        <v>78</v>
      </c>
      <c r="D5083" s="49">
        <v>0.0</v>
      </c>
    </row>
    <row r="5084" ht="15.0" hidden="1" customHeight="1">
      <c r="A5084" s="49" t="s">
        <v>710</v>
      </c>
      <c r="B5084" s="50">
        <v>44834.0</v>
      </c>
      <c r="C5084" s="49" t="s">
        <v>78</v>
      </c>
      <c r="D5084" s="49">
        <v>0.0</v>
      </c>
    </row>
    <row r="5085" ht="15.0" hidden="1" customHeight="1">
      <c r="A5085" s="49" t="s">
        <v>715</v>
      </c>
      <c r="B5085" s="50">
        <v>44834.0</v>
      </c>
      <c r="C5085" s="49" t="s">
        <v>78</v>
      </c>
      <c r="D5085" s="49">
        <v>0.0</v>
      </c>
    </row>
    <row r="5086" ht="15.0" hidden="1" customHeight="1">
      <c r="A5086" s="49" t="s">
        <v>765</v>
      </c>
      <c r="B5086" s="50">
        <v>44834.0</v>
      </c>
      <c r="C5086" s="49" t="s">
        <v>78</v>
      </c>
      <c r="D5086" s="49">
        <v>0.0</v>
      </c>
    </row>
    <row r="5087" ht="15.0" hidden="1" customHeight="1">
      <c r="A5087" s="49" t="s">
        <v>720</v>
      </c>
      <c r="B5087" s="50">
        <v>44834.0</v>
      </c>
      <c r="C5087" s="49" t="s">
        <v>78</v>
      </c>
      <c r="D5087" s="49">
        <v>0.0</v>
      </c>
    </row>
    <row r="5088" ht="15.0" hidden="1" customHeight="1">
      <c r="A5088" s="49" t="s">
        <v>725</v>
      </c>
      <c r="B5088" s="50">
        <v>44834.0</v>
      </c>
      <c r="C5088" s="49" t="s">
        <v>78</v>
      </c>
      <c r="D5088" s="49">
        <v>0.0</v>
      </c>
    </row>
    <row r="5089" ht="15.0" hidden="1" customHeight="1">
      <c r="A5089" s="49" t="s">
        <v>730</v>
      </c>
      <c r="B5089" s="50">
        <v>44834.0</v>
      </c>
      <c r="C5089" s="49" t="s">
        <v>78</v>
      </c>
      <c r="D5089" s="49">
        <v>0.0</v>
      </c>
    </row>
    <row r="5090" ht="15.0" hidden="1" customHeight="1">
      <c r="A5090" s="49" t="s">
        <v>734</v>
      </c>
      <c r="B5090" s="50">
        <v>44834.0</v>
      </c>
      <c r="C5090" s="49" t="s">
        <v>78</v>
      </c>
      <c r="D5090" s="49">
        <v>0.0</v>
      </c>
    </row>
    <row r="5091" ht="15.0" hidden="1" customHeight="1">
      <c r="A5091" s="49" t="s">
        <v>739</v>
      </c>
      <c r="B5091" s="50">
        <v>44834.0</v>
      </c>
      <c r="C5091" s="49" t="s">
        <v>78</v>
      </c>
      <c r="D5091" s="49">
        <v>0.0</v>
      </c>
    </row>
    <row r="5092" ht="15.0" hidden="1" customHeight="1">
      <c r="A5092" s="49" t="s">
        <v>744</v>
      </c>
      <c r="B5092" s="50">
        <v>44834.0</v>
      </c>
      <c r="C5092" s="49" t="s">
        <v>78</v>
      </c>
      <c r="D5092" s="49">
        <v>0.0</v>
      </c>
    </row>
    <row r="5093" ht="15.0" hidden="1" customHeight="1">
      <c r="A5093" s="49" t="s">
        <v>749</v>
      </c>
      <c r="B5093" s="50">
        <v>44834.0</v>
      </c>
      <c r="C5093" s="49" t="s">
        <v>78</v>
      </c>
      <c r="D5093" s="49">
        <v>0.0</v>
      </c>
    </row>
    <row r="5094" ht="15.0" customHeight="1">
      <c r="A5094" s="49" t="s">
        <v>776</v>
      </c>
      <c r="B5094" s="50">
        <v>44834.0</v>
      </c>
      <c r="C5094" s="49" t="s">
        <v>69</v>
      </c>
      <c r="D5094" s="49">
        <v>0.0</v>
      </c>
    </row>
    <row r="5095" ht="15.0" hidden="1" customHeight="1">
      <c r="A5095" s="49" t="s">
        <v>778</v>
      </c>
      <c r="B5095" s="50">
        <v>44834.0</v>
      </c>
      <c r="C5095" s="49" t="s">
        <v>69</v>
      </c>
      <c r="D5095" s="49">
        <v>0.0</v>
      </c>
    </row>
    <row r="5096" ht="15.0" hidden="1" customHeight="1">
      <c r="A5096" s="49" t="s">
        <v>92</v>
      </c>
      <c r="B5096" s="50">
        <v>44834.0</v>
      </c>
      <c r="C5096" s="49" t="s">
        <v>69</v>
      </c>
      <c r="D5096" s="49">
        <v>0.0</v>
      </c>
    </row>
    <row r="5097" ht="15.0" hidden="1" customHeight="1">
      <c r="A5097" s="49" t="s">
        <v>97</v>
      </c>
      <c r="B5097" s="50">
        <v>44834.0</v>
      </c>
      <c r="C5097" s="49" t="s">
        <v>69</v>
      </c>
      <c r="D5097" s="49">
        <v>0.0</v>
      </c>
    </row>
    <row r="5098" ht="15.0" hidden="1" customHeight="1">
      <c r="A5098" s="49" t="s">
        <v>102</v>
      </c>
      <c r="B5098" s="50">
        <v>44834.0</v>
      </c>
      <c r="C5098" s="49" t="s">
        <v>69</v>
      </c>
      <c r="D5098" s="49">
        <v>0.0</v>
      </c>
    </row>
    <row r="5099" ht="15.0" hidden="1" customHeight="1">
      <c r="A5099" s="49" t="s">
        <v>106</v>
      </c>
      <c r="B5099" s="50">
        <v>44834.0</v>
      </c>
      <c r="C5099" s="49" t="s">
        <v>69</v>
      </c>
      <c r="D5099" s="49">
        <v>918000.0</v>
      </c>
    </row>
    <row r="5100" ht="15.0" hidden="1" customHeight="1">
      <c r="A5100" s="49" t="s">
        <v>111</v>
      </c>
      <c r="B5100" s="50">
        <v>44834.0</v>
      </c>
      <c r="C5100" s="49" t="s">
        <v>69</v>
      </c>
      <c r="D5100" s="49">
        <v>0.0</v>
      </c>
    </row>
    <row r="5101" ht="15.0" hidden="1" customHeight="1">
      <c r="A5101" s="49" t="s">
        <v>116</v>
      </c>
      <c r="B5101" s="50">
        <v>44834.0</v>
      </c>
      <c r="C5101" s="49" t="s">
        <v>69</v>
      </c>
      <c r="D5101" s="49">
        <v>0.0</v>
      </c>
    </row>
    <row r="5102" ht="15.0" hidden="1" customHeight="1">
      <c r="A5102" s="49" t="s">
        <v>120</v>
      </c>
      <c r="B5102" s="50">
        <v>44834.0</v>
      </c>
      <c r="C5102" s="49" t="s">
        <v>69</v>
      </c>
      <c r="D5102" s="49">
        <v>590000.0</v>
      </c>
    </row>
    <row r="5103" ht="15.0" hidden="1" customHeight="1">
      <c r="A5103" s="49" t="s">
        <v>125</v>
      </c>
      <c r="B5103" s="50">
        <v>44834.0</v>
      </c>
      <c r="C5103" s="49" t="s">
        <v>69</v>
      </c>
      <c r="D5103" s="49">
        <v>0.0</v>
      </c>
    </row>
    <row r="5104" ht="15.0" hidden="1" customHeight="1">
      <c r="A5104" s="49" t="s">
        <v>130</v>
      </c>
      <c r="B5104" s="50">
        <v>44834.0</v>
      </c>
      <c r="C5104" s="49" t="s">
        <v>69</v>
      </c>
      <c r="D5104" s="49">
        <v>542757.75</v>
      </c>
    </row>
    <row r="5105" ht="15.0" hidden="1" customHeight="1">
      <c r="A5105" s="49" t="s">
        <v>137</v>
      </c>
      <c r="B5105" s="50">
        <v>44834.0</v>
      </c>
      <c r="C5105" s="49" t="s">
        <v>69</v>
      </c>
      <c r="D5105" s="49">
        <v>0.0</v>
      </c>
    </row>
    <row r="5106" ht="15.0" hidden="1" customHeight="1">
      <c r="A5106" s="49" t="s">
        <v>142</v>
      </c>
      <c r="B5106" s="50">
        <v>44834.0</v>
      </c>
      <c r="C5106" s="49" t="s">
        <v>69</v>
      </c>
      <c r="D5106" s="49">
        <v>0.0</v>
      </c>
    </row>
    <row r="5107" ht="15.0" hidden="1" customHeight="1">
      <c r="A5107" s="49" t="s">
        <v>147</v>
      </c>
      <c r="B5107" s="50">
        <v>44834.0</v>
      </c>
      <c r="C5107" s="49" t="s">
        <v>69</v>
      </c>
      <c r="D5107" s="49">
        <v>0.0</v>
      </c>
    </row>
    <row r="5108" ht="15.0" hidden="1" customHeight="1">
      <c r="A5108" s="49" t="s">
        <v>152</v>
      </c>
      <c r="B5108" s="50">
        <v>44834.0</v>
      </c>
      <c r="C5108" s="49" t="s">
        <v>69</v>
      </c>
      <c r="D5108" s="49">
        <v>0.0</v>
      </c>
    </row>
    <row r="5109" ht="15.0" hidden="1" customHeight="1">
      <c r="A5109" s="49" t="s">
        <v>157</v>
      </c>
      <c r="B5109" s="50">
        <v>44834.0</v>
      </c>
      <c r="C5109" s="49" t="s">
        <v>69</v>
      </c>
      <c r="D5109" s="49">
        <v>0.0</v>
      </c>
    </row>
    <row r="5110" ht="15.0" hidden="1" customHeight="1">
      <c r="A5110" s="49" t="s">
        <v>162</v>
      </c>
      <c r="B5110" s="50">
        <v>44834.0</v>
      </c>
      <c r="C5110" s="49" t="s">
        <v>69</v>
      </c>
      <c r="D5110" s="49">
        <v>715000.0</v>
      </c>
    </row>
    <row r="5111" ht="15.0" hidden="1" customHeight="1">
      <c r="A5111" s="49" t="s">
        <v>167</v>
      </c>
      <c r="B5111" s="50">
        <v>44834.0</v>
      </c>
      <c r="C5111" s="49" t="s">
        <v>69</v>
      </c>
      <c r="D5111" s="49">
        <v>0.0</v>
      </c>
    </row>
    <row r="5112" ht="15.0" hidden="1" customHeight="1">
      <c r="A5112" s="49" t="s">
        <v>172</v>
      </c>
      <c r="B5112" s="50">
        <v>44834.0</v>
      </c>
      <c r="C5112" s="49" t="s">
        <v>69</v>
      </c>
      <c r="D5112" s="49">
        <v>0.0</v>
      </c>
    </row>
    <row r="5113" ht="15.0" hidden="1" customHeight="1">
      <c r="A5113" s="49" t="s">
        <v>177</v>
      </c>
      <c r="B5113" s="50">
        <v>44834.0</v>
      </c>
      <c r="C5113" s="49" t="s">
        <v>69</v>
      </c>
      <c r="D5113" s="49">
        <v>750000.0</v>
      </c>
    </row>
    <row r="5114" ht="15.0" hidden="1" customHeight="1">
      <c r="A5114" s="49" t="s">
        <v>182</v>
      </c>
      <c r="B5114" s="50">
        <v>44834.0</v>
      </c>
      <c r="C5114" s="49" t="s">
        <v>69</v>
      </c>
      <c r="D5114" s="49">
        <v>0.0</v>
      </c>
    </row>
    <row r="5115" ht="15.0" hidden="1" customHeight="1">
      <c r="A5115" s="49" t="s">
        <v>187</v>
      </c>
      <c r="B5115" s="50">
        <v>44834.0</v>
      </c>
      <c r="C5115" s="49" t="s">
        <v>69</v>
      </c>
      <c r="D5115" s="49">
        <v>0.0</v>
      </c>
    </row>
    <row r="5116" ht="15.0" hidden="1" customHeight="1">
      <c r="A5116" s="49" t="s">
        <v>192</v>
      </c>
      <c r="B5116" s="50">
        <v>44834.0</v>
      </c>
      <c r="C5116" s="49" t="s">
        <v>69</v>
      </c>
      <c r="D5116" s="49">
        <v>0.0</v>
      </c>
    </row>
    <row r="5117" ht="15.0" hidden="1" customHeight="1">
      <c r="A5117" s="49" t="s">
        <v>197</v>
      </c>
      <c r="B5117" s="50">
        <v>44834.0</v>
      </c>
      <c r="C5117" s="49" t="s">
        <v>69</v>
      </c>
      <c r="D5117" s="49">
        <v>0.0</v>
      </c>
    </row>
    <row r="5118" ht="15.0" hidden="1" customHeight="1">
      <c r="A5118" s="49" t="s">
        <v>202</v>
      </c>
      <c r="B5118" s="50">
        <v>44834.0</v>
      </c>
      <c r="C5118" s="49" t="s">
        <v>69</v>
      </c>
      <c r="D5118" s="49">
        <v>0.0</v>
      </c>
    </row>
    <row r="5119" ht="15.0" hidden="1" customHeight="1">
      <c r="A5119" s="49" t="s">
        <v>206</v>
      </c>
      <c r="B5119" s="50">
        <v>44834.0</v>
      </c>
      <c r="C5119" s="49" t="s">
        <v>69</v>
      </c>
      <c r="D5119" s="49">
        <v>0.0</v>
      </c>
    </row>
    <row r="5120" ht="15.0" hidden="1" customHeight="1">
      <c r="A5120" s="49" t="s">
        <v>211</v>
      </c>
      <c r="B5120" s="50">
        <v>44834.0</v>
      </c>
      <c r="C5120" s="49" t="s">
        <v>69</v>
      </c>
      <c r="D5120" s="49">
        <v>0.0</v>
      </c>
    </row>
    <row r="5121" ht="15.0" hidden="1" customHeight="1">
      <c r="A5121" s="49" t="s">
        <v>779</v>
      </c>
      <c r="B5121" s="50">
        <v>44834.0</v>
      </c>
      <c r="C5121" s="49" t="s">
        <v>69</v>
      </c>
      <c r="D5121" s="49">
        <v>0.0</v>
      </c>
    </row>
    <row r="5122" ht="15.0" hidden="1" customHeight="1">
      <c r="A5122" s="49" t="s">
        <v>221</v>
      </c>
      <c r="B5122" s="50">
        <v>44834.0</v>
      </c>
      <c r="C5122" s="49" t="s">
        <v>69</v>
      </c>
      <c r="D5122" s="49">
        <v>0.0</v>
      </c>
    </row>
    <row r="5123" ht="15.0" hidden="1" customHeight="1">
      <c r="A5123" s="49" t="s">
        <v>226</v>
      </c>
      <c r="B5123" s="50">
        <v>44834.0</v>
      </c>
      <c r="C5123" s="49" t="s">
        <v>69</v>
      </c>
      <c r="D5123" s="49">
        <v>200000.0</v>
      </c>
    </row>
    <row r="5124" ht="15.0" hidden="1" customHeight="1">
      <c r="A5124" s="49" t="s">
        <v>231</v>
      </c>
      <c r="B5124" s="50">
        <v>44834.0</v>
      </c>
      <c r="C5124" s="49" t="s">
        <v>69</v>
      </c>
      <c r="D5124" s="49">
        <v>0.0</v>
      </c>
    </row>
    <row r="5125" ht="15.0" hidden="1" customHeight="1">
      <c r="A5125" s="49" t="s">
        <v>236</v>
      </c>
      <c r="B5125" s="50">
        <v>44834.0</v>
      </c>
      <c r="C5125" s="49" t="s">
        <v>69</v>
      </c>
      <c r="D5125" s="49">
        <v>190700.0</v>
      </c>
    </row>
    <row r="5126" ht="15.0" hidden="1" customHeight="1">
      <c r="A5126" s="49" t="s">
        <v>242</v>
      </c>
      <c r="B5126" s="50">
        <v>44834.0</v>
      </c>
      <c r="C5126" s="49" t="s">
        <v>69</v>
      </c>
      <c r="D5126" s="49">
        <v>1000000.0</v>
      </c>
    </row>
    <row r="5127" ht="15.0" hidden="1" customHeight="1">
      <c r="A5127" s="49" t="s">
        <v>248</v>
      </c>
      <c r="B5127" s="50">
        <v>44834.0</v>
      </c>
      <c r="C5127" s="49" t="s">
        <v>69</v>
      </c>
      <c r="D5127" s="49">
        <v>1500000.0</v>
      </c>
    </row>
    <row r="5128" ht="15.0" hidden="1" customHeight="1">
      <c r="A5128" s="49" t="s">
        <v>253</v>
      </c>
      <c r="B5128" s="50">
        <v>44834.0</v>
      </c>
      <c r="C5128" s="49" t="s">
        <v>69</v>
      </c>
      <c r="D5128" s="49">
        <v>588550.0</v>
      </c>
    </row>
    <row r="5129" ht="15.0" hidden="1" customHeight="1">
      <c r="A5129" s="49" t="s">
        <v>258</v>
      </c>
      <c r="B5129" s="50">
        <v>44834.0</v>
      </c>
      <c r="C5129" s="49" t="s">
        <v>69</v>
      </c>
      <c r="D5129" s="49">
        <v>0.0</v>
      </c>
    </row>
    <row r="5130" ht="15.0" hidden="1" customHeight="1">
      <c r="A5130" s="49" t="s">
        <v>263</v>
      </c>
      <c r="B5130" s="50">
        <v>44834.0</v>
      </c>
      <c r="C5130" s="49" t="s">
        <v>69</v>
      </c>
      <c r="D5130" s="49">
        <v>0.0</v>
      </c>
    </row>
    <row r="5131" ht="15.0" hidden="1" customHeight="1">
      <c r="A5131" s="49" t="s">
        <v>268</v>
      </c>
      <c r="B5131" s="50">
        <v>44834.0</v>
      </c>
      <c r="C5131" s="49" t="s">
        <v>69</v>
      </c>
      <c r="D5131" s="49">
        <v>159250.0</v>
      </c>
    </row>
    <row r="5132" ht="15.0" hidden="1" customHeight="1">
      <c r="A5132" s="49" t="s">
        <v>273</v>
      </c>
      <c r="B5132" s="50">
        <v>44834.0</v>
      </c>
      <c r="C5132" s="49" t="s">
        <v>69</v>
      </c>
      <c r="D5132" s="49">
        <v>53400.0</v>
      </c>
    </row>
    <row r="5133" ht="15.0" hidden="1" customHeight="1">
      <c r="A5133" s="49" t="s">
        <v>278</v>
      </c>
      <c r="B5133" s="50">
        <v>44834.0</v>
      </c>
      <c r="C5133" s="49" t="s">
        <v>69</v>
      </c>
      <c r="D5133" s="49">
        <v>500000.0</v>
      </c>
    </row>
    <row r="5134" ht="15.0" hidden="1" customHeight="1">
      <c r="A5134" s="49" t="s">
        <v>283</v>
      </c>
      <c r="B5134" s="50">
        <v>44834.0</v>
      </c>
      <c r="C5134" s="49" t="s">
        <v>69</v>
      </c>
      <c r="D5134" s="49">
        <v>800000.0</v>
      </c>
    </row>
    <row r="5135" ht="15.0" hidden="1" customHeight="1">
      <c r="A5135" s="49" t="s">
        <v>288</v>
      </c>
      <c r="B5135" s="50">
        <v>44834.0</v>
      </c>
      <c r="C5135" s="49" t="s">
        <v>69</v>
      </c>
      <c r="D5135" s="49">
        <v>600000.0</v>
      </c>
    </row>
    <row r="5136" ht="15.0" hidden="1" customHeight="1">
      <c r="A5136" s="49" t="s">
        <v>293</v>
      </c>
      <c r="B5136" s="50">
        <v>44834.0</v>
      </c>
      <c r="C5136" s="49" t="s">
        <v>69</v>
      </c>
      <c r="D5136" s="49">
        <v>240000.0</v>
      </c>
    </row>
    <row r="5137" ht="15.0" hidden="1" customHeight="1">
      <c r="A5137" s="49" t="s">
        <v>298</v>
      </c>
      <c r="B5137" s="50">
        <v>44834.0</v>
      </c>
      <c r="C5137" s="49" t="s">
        <v>69</v>
      </c>
      <c r="D5137" s="49">
        <v>200000.0</v>
      </c>
    </row>
    <row r="5138" ht="15.0" hidden="1" customHeight="1">
      <c r="A5138" s="49" t="s">
        <v>303</v>
      </c>
      <c r="B5138" s="50">
        <v>44834.0</v>
      </c>
      <c r="C5138" s="49" t="s">
        <v>69</v>
      </c>
      <c r="D5138" s="49">
        <v>412500.0</v>
      </c>
    </row>
    <row r="5139" ht="15.0" hidden="1" customHeight="1">
      <c r="A5139" s="49" t="s">
        <v>307</v>
      </c>
      <c r="B5139" s="50">
        <v>44834.0</v>
      </c>
      <c r="C5139" s="49" t="s">
        <v>69</v>
      </c>
      <c r="D5139" s="49">
        <v>1200000.0</v>
      </c>
    </row>
    <row r="5140" ht="15.0" hidden="1" customHeight="1">
      <c r="A5140" s="49" t="s">
        <v>313</v>
      </c>
      <c r="B5140" s="50">
        <v>44834.0</v>
      </c>
      <c r="C5140" s="49" t="s">
        <v>69</v>
      </c>
      <c r="D5140" s="49">
        <v>643000.0</v>
      </c>
    </row>
    <row r="5141" ht="15.0" hidden="1" customHeight="1">
      <c r="A5141" s="49" t="s">
        <v>318</v>
      </c>
      <c r="B5141" s="50">
        <v>44834.0</v>
      </c>
      <c r="C5141" s="49" t="s">
        <v>69</v>
      </c>
      <c r="D5141" s="49">
        <v>0.0</v>
      </c>
    </row>
    <row r="5142" ht="15.0" hidden="1" customHeight="1">
      <c r="A5142" s="49" t="s">
        <v>323</v>
      </c>
      <c r="B5142" s="50">
        <v>44834.0</v>
      </c>
      <c r="C5142" s="49" t="s">
        <v>69</v>
      </c>
      <c r="D5142" s="49">
        <v>0.0</v>
      </c>
    </row>
    <row r="5143" ht="15.0" hidden="1" customHeight="1">
      <c r="A5143" s="49" t="s">
        <v>328</v>
      </c>
      <c r="B5143" s="50">
        <v>44834.0</v>
      </c>
      <c r="C5143" s="49" t="s">
        <v>69</v>
      </c>
      <c r="D5143" s="49">
        <v>0.0</v>
      </c>
    </row>
    <row r="5144" ht="15.0" hidden="1" customHeight="1">
      <c r="A5144" s="49" t="s">
        <v>335</v>
      </c>
      <c r="B5144" s="50">
        <v>44834.0</v>
      </c>
      <c r="C5144" s="49" t="s">
        <v>69</v>
      </c>
      <c r="D5144" s="49">
        <v>0.0</v>
      </c>
    </row>
    <row r="5145" ht="15.0" hidden="1" customHeight="1">
      <c r="A5145" s="49" t="s">
        <v>340</v>
      </c>
      <c r="B5145" s="50">
        <v>44834.0</v>
      </c>
      <c r="C5145" s="49" t="s">
        <v>69</v>
      </c>
      <c r="D5145" s="49">
        <v>0.0</v>
      </c>
    </row>
    <row r="5146" ht="15.0" hidden="1" customHeight="1">
      <c r="A5146" s="49" t="s">
        <v>345</v>
      </c>
      <c r="B5146" s="50">
        <v>44834.0</v>
      </c>
      <c r="C5146" s="49" t="s">
        <v>69</v>
      </c>
      <c r="D5146" s="49">
        <v>0.0</v>
      </c>
    </row>
    <row r="5147" ht="15.0" hidden="1" customHeight="1">
      <c r="A5147" s="49" t="s">
        <v>350</v>
      </c>
      <c r="B5147" s="50">
        <v>44834.0</v>
      </c>
      <c r="C5147" s="49" t="s">
        <v>69</v>
      </c>
      <c r="D5147" s="49">
        <v>0.0</v>
      </c>
    </row>
    <row r="5148" ht="15.0" hidden="1" customHeight="1">
      <c r="A5148" s="49" t="s">
        <v>355</v>
      </c>
      <c r="B5148" s="50">
        <v>44834.0</v>
      </c>
      <c r="C5148" s="49" t="s">
        <v>69</v>
      </c>
      <c r="D5148" s="49">
        <v>0.0</v>
      </c>
    </row>
    <row r="5149" ht="15.0" hidden="1" customHeight="1">
      <c r="A5149" s="49" t="s">
        <v>360</v>
      </c>
      <c r="B5149" s="50">
        <v>44834.0</v>
      </c>
      <c r="C5149" s="49" t="s">
        <v>69</v>
      </c>
      <c r="D5149" s="49">
        <v>0.0</v>
      </c>
    </row>
    <row r="5150" ht="15.0" hidden="1" customHeight="1">
      <c r="A5150" s="49" t="s">
        <v>365</v>
      </c>
      <c r="B5150" s="50">
        <v>44834.0</v>
      </c>
      <c r="C5150" s="49" t="s">
        <v>69</v>
      </c>
      <c r="D5150" s="49">
        <v>0.0</v>
      </c>
    </row>
    <row r="5151" ht="15.0" hidden="1" customHeight="1">
      <c r="A5151" s="49" t="s">
        <v>370</v>
      </c>
      <c r="B5151" s="50">
        <v>44834.0</v>
      </c>
      <c r="C5151" s="49" t="s">
        <v>69</v>
      </c>
      <c r="D5151" s="49">
        <v>0.0</v>
      </c>
    </row>
    <row r="5152" ht="15.0" hidden="1" customHeight="1">
      <c r="A5152" s="49" t="s">
        <v>375</v>
      </c>
      <c r="B5152" s="50">
        <v>44834.0</v>
      </c>
      <c r="C5152" s="49" t="s">
        <v>69</v>
      </c>
      <c r="D5152" s="49">
        <v>0.0</v>
      </c>
    </row>
    <row r="5153" ht="15.0" hidden="1" customHeight="1">
      <c r="A5153" s="49" t="s">
        <v>380</v>
      </c>
      <c r="B5153" s="50">
        <v>44834.0</v>
      </c>
      <c r="C5153" s="49" t="s">
        <v>69</v>
      </c>
      <c r="D5153" s="49">
        <v>0.0</v>
      </c>
    </row>
    <row r="5154" ht="15.0" hidden="1" customHeight="1">
      <c r="A5154" s="49" t="s">
        <v>385</v>
      </c>
      <c r="B5154" s="50">
        <v>44834.0</v>
      </c>
      <c r="C5154" s="49" t="s">
        <v>69</v>
      </c>
      <c r="D5154" s="49">
        <v>0.0</v>
      </c>
    </row>
    <row r="5155" ht="15.0" hidden="1" customHeight="1">
      <c r="A5155" s="49" t="s">
        <v>390</v>
      </c>
      <c r="B5155" s="50">
        <v>44834.0</v>
      </c>
      <c r="C5155" s="49" t="s">
        <v>69</v>
      </c>
      <c r="D5155" s="49">
        <v>0.0</v>
      </c>
    </row>
    <row r="5156" ht="15.0" hidden="1" customHeight="1">
      <c r="A5156" s="49" t="s">
        <v>395</v>
      </c>
      <c r="B5156" s="50">
        <v>44834.0</v>
      </c>
      <c r="C5156" s="49" t="s">
        <v>69</v>
      </c>
      <c r="D5156" s="49">
        <v>0.0</v>
      </c>
    </row>
    <row r="5157" ht="15.0" hidden="1" customHeight="1">
      <c r="A5157" s="49" t="s">
        <v>400</v>
      </c>
      <c r="B5157" s="50">
        <v>44834.0</v>
      </c>
      <c r="C5157" s="49" t="s">
        <v>69</v>
      </c>
      <c r="D5157" s="49">
        <v>0.0</v>
      </c>
    </row>
    <row r="5158" ht="15.0" hidden="1" customHeight="1">
      <c r="A5158" s="49" t="s">
        <v>405</v>
      </c>
      <c r="B5158" s="50">
        <v>44834.0</v>
      </c>
      <c r="C5158" s="49" t="s">
        <v>69</v>
      </c>
      <c r="D5158" s="49">
        <v>0.0</v>
      </c>
    </row>
    <row r="5159" ht="15.0" hidden="1" customHeight="1">
      <c r="A5159" s="49" t="s">
        <v>410</v>
      </c>
      <c r="B5159" s="50">
        <v>44834.0</v>
      </c>
      <c r="C5159" s="49" t="s">
        <v>69</v>
      </c>
      <c r="D5159" s="49">
        <v>0.0</v>
      </c>
    </row>
    <row r="5160" ht="15.0" hidden="1" customHeight="1">
      <c r="A5160" s="49" t="s">
        <v>415</v>
      </c>
      <c r="B5160" s="50">
        <v>44834.0</v>
      </c>
      <c r="C5160" s="49" t="s">
        <v>69</v>
      </c>
      <c r="D5160" s="49">
        <v>0.0</v>
      </c>
    </row>
    <row r="5161" ht="15.0" hidden="1" customHeight="1">
      <c r="A5161" s="49" t="s">
        <v>420</v>
      </c>
      <c r="B5161" s="50">
        <v>44834.0</v>
      </c>
      <c r="C5161" s="49" t="s">
        <v>69</v>
      </c>
      <c r="D5161" s="49">
        <v>0.0</v>
      </c>
    </row>
    <row r="5162" ht="15.0" hidden="1" customHeight="1">
      <c r="A5162" s="49" t="s">
        <v>425</v>
      </c>
      <c r="B5162" s="50">
        <v>44834.0</v>
      </c>
      <c r="C5162" s="49" t="s">
        <v>69</v>
      </c>
      <c r="D5162" s="49">
        <v>0.0</v>
      </c>
    </row>
    <row r="5163" ht="15.0" hidden="1" customHeight="1">
      <c r="A5163" s="49" t="s">
        <v>430</v>
      </c>
      <c r="B5163" s="50">
        <v>44834.0</v>
      </c>
      <c r="C5163" s="49" t="s">
        <v>69</v>
      </c>
      <c r="D5163" s="49">
        <v>0.0</v>
      </c>
    </row>
    <row r="5164" ht="15.0" hidden="1" customHeight="1">
      <c r="A5164" s="49" t="s">
        <v>434</v>
      </c>
      <c r="B5164" s="50">
        <v>44834.0</v>
      </c>
      <c r="C5164" s="49" t="s">
        <v>69</v>
      </c>
      <c r="D5164" s="49">
        <v>0.0</v>
      </c>
    </row>
    <row r="5165" ht="15.0" hidden="1" customHeight="1">
      <c r="A5165" s="49" t="s">
        <v>439</v>
      </c>
      <c r="B5165" s="50">
        <v>44834.0</v>
      </c>
      <c r="C5165" s="49" t="s">
        <v>69</v>
      </c>
      <c r="D5165" s="49">
        <v>0.0</v>
      </c>
    </row>
    <row r="5166" ht="15.0" hidden="1" customHeight="1">
      <c r="A5166" s="49" t="s">
        <v>444</v>
      </c>
      <c r="B5166" s="50">
        <v>44834.0</v>
      </c>
      <c r="C5166" s="49" t="s">
        <v>69</v>
      </c>
      <c r="D5166" s="49">
        <v>0.0</v>
      </c>
    </row>
    <row r="5167" ht="15.0" hidden="1" customHeight="1">
      <c r="A5167" s="49" t="s">
        <v>449</v>
      </c>
      <c r="B5167" s="50">
        <v>44834.0</v>
      </c>
      <c r="C5167" s="49" t="s">
        <v>69</v>
      </c>
      <c r="D5167" s="49">
        <v>0.0</v>
      </c>
    </row>
    <row r="5168" ht="15.0" hidden="1" customHeight="1">
      <c r="A5168" s="49" t="s">
        <v>455</v>
      </c>
      <c r="B5168" s="50">
        <v>44834.0</v>
      </c>
      <c r="C5168" s="49" t="s">
        <v>69</v>
      </c>
      <c r="D5168" s="49">
        <v>0.0</v>
      </c>
    </row>
    <row r="5169" ht="15.0" hidden="1" customHeight="1">
      <c r="A5169" s="49" t="s">
        <v>470</v>
      </c>
      <c r="B5169" s="50">
        <v>44834.0</v>
      </c>
      <c r="C5169" s="49" t="s">
        <v>69</v>
      </c>
      <c r="D5169" s="49">
        <v>0.0</v>
      </c>
    </row>
    <row r="5170" ht="15.0" hidden="1" customHeight="1">
      <c r="A5170" s="49" t="s">
        <v>476</v>
      </c>
      <c r="B5170" s="50">
        <v>44834.0</v>
      </c>
      <c r="C5170" s="49" t="s">
        <v>69</v>
      </c>
      <c r="D5170" s="49">
        <v>0.0</v>
      </c>
    </row>
    <row r="5171" ht="15.0" hidden="1" customHeight="1">
      <c r="A5171" s="49" t="s">
        <v>481</v>
      </c>
      <c r="B5171" s="50">
        <v>44834.0</v>
      </c>
      <c r="C5171" s="49" t="s">
        <v>69</v>
      </c>
      <c r="D5171" s="49">
        <v>0.0</v>
      </c>
    </row>
    <row r="5172" ht="15.0" hidden="1" customHeight="1">
      <c r="A5172" s="49" t="s">
        <v>486</v>
      </c>
      <c r="B5172" s="50">
        <v>44834.0</v>
      </c>
      <c r="C5172" s="49" t="s">
        <v>69</v>
      </c>
      <c r="D5172" s="49">
        <v>0.0</v>
      </c>
    </row>
    <row r="5173" ht="15.0" hidden="1" customHeight="1">
      <c r="A5173" s="49" t="s">
        <v>491</v>
      </c>
      <c r="B5173" s="50">
        <v>44834.0</v>
      </c>
      <c r="C5173" s="49" t="s">
        <v>69</v>
      </c>
      <c r="D5173" s="49">
        <v>0.0</v>
      </c>
    </row>
    <row r="5174" ht="15.0" hidden="1" customHeight="1">
      <c r="A5174" s="49" t="s">
        <v>496</v>
      </c>
      <c r="B5174" s="50">
        <v>44834.0</v>
      </c>
      <c r="C5174" s="49" t="s">
        <v>69</v>
      </c>
      <c r="D5174" s="49">
        <v>0.0</v>
      </c>
    </row>
    <row r="5175" ht="15.0" hidden="1" customHeight="1">
      <c r="A5175" s="49" t="s">
        <v>501</v>
      </c>
      <c r="B5175" s="50">
        <v>44834.0</v>
      </c>
      <c r="C5175" s="49" t="s">
        <v>69</v>
      </c>
      <c r="D5175" s="49">
        <v>0.0</v>
      </c>
    </row>
    <row r="5176" ht="15.0" hidden="1" customHeight="1">
      <c r="A5176" s="49" t="s">
        <v>506</v>
      </c>
      <c r="B5176" s="50">
        <v>44834.0</v>
      </c>
      <c r="C5176" s="49" t="s">
        <v>69</v>
      </c>
      <c r="D5176" s="49">
        <v>0.0</v>
      </c>
    </row>
    <row r="5177" ht="15.0" hidden="1" customHeight="1">
      <c r="A5177" s="49" t="s">
        <v>512</v>
      </c>
      <c r="B5177" s="50">
        <v>44834.0</v>
      </c>
      <c r="C5177" s="49" t="s">
        <v>69</v>
      </c>
      <c r="D5177" s="49">
        <v>0.0</v>
      </c>
    </row>
    <row r="5178" ht="15.0" hidden="1" customHeight="1">
      <c r="A5178" s="49" t="s">
        <v>517</v>
      </c>
      <c r="B5178" s="50">
        <v>44834.0</v>
      </c>
      <c r="C5178" s="49" t="s">
        <v>69</v>
      </c>
      <c r="D5178" s="49">
        <v>0.0</v>
      </c>
    </row>
    <row r="5179" ht="15.0" hidden="1" customHeight="1">
      <c r="A5179" s="49" t="s">
        <v>522</v>
      </c>
      <c r="B5179" s="50">
        <v>44834.0</v>
      </c>
      <c r="C5179" s="49" t="s">
        <v>69</v>
      </c>
      <c r="D5179" s="49">
        <v>0.0</v>
      </c>
    </row>
    <row r="5180" ht="15.0" hidden="1" customHeight="1">
      <c r="A5180" s="49" t="s">
        <v>528</v>
      </c>
      <c r="B5180" s="50">
        <v>44834.0</v>
      </c>
      <c r="C5180" s="49" t="s">
        <v>69</v>
      </c>
      <c r="D5180" s="49">
        <v>0.0</v>
      </c>
    </row>
    <row r="5181" ht="15.0" hidden="1" customHeight="1">
      <c r="A5181" s="49" t="s">
        <v>533</v>
      </c>
      <c r="B5181" s="50">
        <v>44834.0</v>
      </c>
      <c r="C5181" s="49" t="s">
        <v>69</v>
      </c>
      <c r="D5181" s="49">
        <v>0.0</v>
      </c>
    </row>
    <row r="5182" ht="15.0" hidden="1" customHeight="1">
      <c r="A5182" s="49" t="s">
        <v>538</v>
      </c>
      <c r="B5182" s="50">
        <v>44834.0</v>
      </c>
      <c r="C5182" s="49" t="s">
        <v>69</v>
      </c>
      <c r="D5182" s="49">
        <v>0.0</v>
      </c>
    </row>
    <row r="5183" ht="15.0" hidden="1" customHeight="1">
      <c r="A5183" s="49" t="s">
        <v>546</v>
      </c>
      <c r="B5183" s="50">
        <v>44834.0</v>
      </c>
      <c r="C5183" s="49" t="s">
        <v>69</v>
      </c>
      <c r="D5183" s="49">
        <v>0.0</v>
      </c>
    </row>
    <row r="5184" ht="15.0" hidden="1" customHeight="1">
      <c r="A5184" s="49" t="s">
        <v>551</v>
      </c>
      <c r="B5184" s="50">
        <v>44834.0</v>
      </c>
      <c r="C5184" s="49" t="s">
        <v>69</v>
      </c>
      <c r="D5184" s="49">
        <v>0.0</v>
      </c>
    </row>
    <row r="5185" ht="15.0" hidden="1" customHeight="1">
      <c r="A5185" s="49" t="s">
        <v>556</v>
      </c>
      <c r="B5185" s="50">
        <v>44834.0</v>
      </c>
      <c r="C5185" s="49" t="s">
        <v>69</v>
      </c>
      <c r="D5185" s="49">
        <v>0.0</v>
      </c>
    </row>
    <row r="5186" ht="15.0" hidden="1" customHeight="1">
      <c r="A5186" s="49" t="s">
        <v>561</v>
      </c>
      <c r="B5186" s="50">
        <v>44834.0</v>
      </c>
      <c r="C5186" s="49" t="s">
        <v>69</v>
      </c>
      <c r="D5186" s="49">
        <v>0.0</v>
      </c>
    </row>
    <row r="5187" ht="15.0" hidden="1" customHeight="1">
      <c r="A5187" s="49" t="s">
        <v>566</v>
      </c>
      <c r="B5187" s="50">
        <v>44834.0</v>
      </c>
      <c r="C5187" s="49" t="s">
        <v>69</v>
      </c>
      <c r="D5187" s="49">
        <v>0.0</v>
      </c>
    </row>
    <row r="5188" ht="15.0" hidden="1" customHeight="1">
      <c r="A5188" s="49" t="s">
        <v>571</v>
      </c>
      <c r="B5188" s="50">
        <v>44834.0</v>
      </c>
      <c r="C5188" s="49" t="s">
        <v>69</v>
      </c>
      <c r="D5188" s="49">
        <v>0.0</v>
      </c>
    </row>
    <row r="5189" ht="15.0" hidden="1" customHeight="1">
      <c r="A5189" s="49" t="s">
        <v>576</v>
      </c>
      <c r="B5189" s="50">
        <v>44834.0</v>
      </c>
      <c r="C5189" s="49" t="s">
        <v>69</v>
      </c>
      <c r="D5189" s="49">
        <v>0.0</v>
      </c>
    </row>
    <row r="5190" ht="15.0" hidden="1" customHeight="1">
      <c r="A5190" s="49" t="s">
        <v>581</v>
      </c>
      <c r="B5190" s="50">
        <v>44834.0</v>
      </c>
      <c r="C5190" s="49" t="s">
        <v>69</v>
      </c>
      <c r="D5190" s="49">
        <v>0.0</v>
      </c>
    </row>
    <row r="5191" ht="15.0" hidden="1" customHeight="1">
      <c r="A5191" s="49" t="s">
        <v>586</v>
      </c>
      <c r="B5191" s="50">
        <v>44834.0</v>
      </c>
      <c r="C5191" s="49" t="s">
        <v>69</v>
      </c>
      <c r="D5191" s="49">
        <v>0.0</v>
      </c>
    </row>
    <row r="5192" ht="15.0" hidden="1" customHeight="1">
      <c r="A5192" s="49" t="s">
        <v>754</v>
      </c>
      <c r="B5192" s="50">
        <v>44834.0</v>
      </c>
      <c r="C5192" s="49" t="s">
        <v>69</v>
      </c>
      <c r="D5192" s="49">
        <v>0.0</v>
      </c>
    </row>
    <row r="5193" ht="15.0" hidden="1" customHeight="1">
      <c r="A5193" s="49" t="s">
        <v>591</v>
      </c>
      <c r="B5193" s="50">
        <v>44834.0</v>
      </c>
      <c r="C5193" s="49" t="s">
        <v>69</v>
      </c>
      <c r="D5193" s="49">
        <v>0.0</v>
      </c>
    </row>
    <row r="5194" ht="15.0" hidden="1" customHeight="1">
      <c r="A5194" s="49" t="s">
        <v>759</v>
      </c>
      <c r="B5194" s="50">
        <v>44834.0</v>
      </c>
      <c r="C5194" s="49" t="s">
        <v>69</v>
      </c>
      <c r="D5194" s="49">
        <v>0.0</v>
      </c>
    </row>
    <row r="5195" ht="15.0" hidden="1" customHeight="1">
      <c r="A5195" s="49" t="s">
        <v>596</v>
      </c>
      <c r="B5195" s="50">
        <v>44834.0</v>
      </c>
      <c r="C5195" s="49" t="s">
        <v>69</v>
      </c>
      <c r="D5195" s="49">
        <v>0.0</v>
      </c>
    </row>
    <row r="5196" ht="15.0" hidden="1" customHeight="1">
      <c r="A5196" s="49" t="s">
        <v>602</v>
      </c>
      <c r="B5196" s="50">
        <v>44834.0</v>
      </c>
      <c r="C5196" s="49" t="s">
        <v>69</v>
      </c>
      <c r="D5196" s="49">
        <v>0.0</v>
      </c>
    </row>
    <row r="5197" ht="15.0" hidden="1" customHeight="1">
      <c r="A5197" s="49" t="s">
        <v>607</v>
      </c>
      <c r="B5197" s="50">
        <v>44834.0</v>
      </c>
      <c r="C5197" s="49" t="s">
        <v>69</v>
      </c>
      <c r="D5197" s="49">
        <v>0.0</v>
      </c>
    </row>
    <row r="5198" ht="15.0" hidden="1" customHeight="1">
      <c r="A5198" s="49" t="s">
        <v>612</v>
      </c>
      <c r="B5198" s="50">
        <v>44834.0</v>
      </c>
      <c r="C5198" s="49" t="s">
        <v>69</v>
      </c>
      <c r="D5198" s="49">
        <v>0.0</v>
      </c>
    </row>
    <row r="5199" ht="15.0" hidden="1" customHeight="1">
      <c r="A5199" s="49" t="s">
        <v>617</v>
      </c>
      <c r="B5199" s="50">
        <v>44834.0</v>
      </c>
      <c r="C5199" s="49" t="s">
        <v>69</v>
      </c>
      <c r="D5199" s="49">
        <v>0.0</v>
      </c>
    </row>
    <row r="5200" ht="15.0" hidden="1" customHeight="1">
      <c r="A5200" s="49" t="s">
        <v>622</v>
      </c>
      <c r="B5200" s="50">
        <v>44834.0</v>
      </c>
      <c r="C5200" s="49" t="s">
        <v>69</v>
      </c>
      <c r="D5200" s="49">
        <v>0.0</v>
      </c>
    </row>
    <row r="5201" ht="15.0" hidden="1" customHeight="1">
      <c r="A5201" s="49" t="s">
        <v>627</v>
      </c>
      <c r="B5201" s="50">
        <v>44834.0</v>
      </c>
      <c r="C5201" s="49" t="s">
        <v>69</v>
      </c>
      <c r="D5201" s="49">
        <v>0.0</v>
      </c>
    </row>
    <row r="5202" ht="15.0" hidden="1" customHeight="1">
      <c r="A5202" s="49" t="s">
        <v>631</v>
      </c>
      <c r="B5202" s="50">
        <v>44834.0</v>
      </c>
      <c r="C5202" s="49" t="s">
        <v>69</v>
      </c>
      <c r="D5202" s="49">
        <v>0.0</v>
      </c>
    </row>
    <row r="5203" ht="15.0" hidden="1" customHeight="1">
      <c r="A5203" s="49" t="s">
        <v>636</v>
      </c>
      <c r="B5203" s="50">
        <v>44834.0</v>
      </c>
      <c r="C5203" s="49" t="s">
        <v>69</v>
      </c>
      <c r="D5203" s="49">
        <v>0.0</v>
      </c>
    </row>
    <row r="5204" ht="15.0" hidden="1" customHeight="1">
      <c r="A5204" s="49" t="s">
        <v>640</v>
      </c>
      <c r="B5204" s="50">
        <v>44834.0</v>
      </c>
      <c r="C5204" s="49" t="s">
        <v>69</v>
      </c>
      <c r="D5204" s="49">
        <v>0.0</v>
      </c>
    </row>
    <row r="5205" ht="15.0" hidden="1" customHeight="1">
      <c r="A5205" s="49" t="s">
        <v>644</v>
      </c>
      <c r="B5205" s="50">
        <v>44834.0</v>
      </c>
      <c r="C5205" s="49" t="s">
        <v>69</v>
      </c>
      <c r="D5205" s="49">
        <v>0.0</v>
      </c>
    </row>
    <row r="5206" ht="15.0" hidden="1" customHeight="1">
      <c r="A5206" s="49" t="s">
        <v>649</v>
      </c>
      <c r="B5206" s="50">
        <v>44834.0</v>
      </c>
      <c r="C5206" s="49" t="s">
        <v>69</v>
      </c>
      <c r="D5206" s="49">
        <v>0.0</v>
      </c>
    </row>
    <row r="5207" ht="15.0" hidden="1" customHeight="1">
      <c r="A5207" s="49" t="s">
        <v>654</v>
      </c>
      <c r="B5207" s="50">
        <v>44834.0</v>
      </c>
      <c r="C5207" s="49" t="s">
        <v>69</v>
      </c>
      <c r="D5207" s="49">
        <v>0.0</v>
      </c>
    </row>
    <row r="5208" ht="15.0" hidden="1" customHeight="1">
      <c r="A5208" s="49" t="s">
        <v>659</v>
      </c>
      <c r="B5208" s="50">
        <v>44834.0</v>
      </c>
      <c r="C5208" s="49" t="s">
        <v>69</v>
      </c>
      <c r="D5208" s="49">
        <v>0.0</v>
      </c>
    </row>
    <row r="5209" ht="15.0" hidden="1" customHeight="1">
      <c r="A5209" s="49" t="s">
        <v>664</v>
      </c>
      <c r="B5209" s="50">
        <v>44834.0</v>
      </c>
      <c r="C5209" s="49" t="s">
        <v>69</v>
      </c>
      <c r="D5209" s="49">
        <v>0.0</v>
      </c>
    </row>
    <row r="5210" ht="15.0" hidden="1" customHeight="1">
      <c r="A5210" s="49" t="s">
        <v>669</v>
      </c>
      <c r="B5210" s="50">
        <v>44834.0</v>
      </c>
      <c r="C5210" s="49" t="s">
        <v>69</v>
      </c>
      <c r="D5210" s="49">
        <v>0.0</v>
      </c>
    </row>
    <row r="5211" ht="15.0" hidden="1" customHeight="1">
      <c r="A5211" s="49" t="s">
        <v>674</v>
      </c>
      <c r="B5211" s="50">
        <v>44834.0</v>
      </c>
      <c r="C5211" s="49" t="s">
        <v>69</v>
      </c>
      <c r="D5211" s="49">
        <v>0.0</v>
      </c>
    </row>
    <row r="5212" ht="15.0" hidden="1" customHeight="1">
      <c r="A5212" s="49" t="s">
        <v>679</v>
      </c>
      <c r="B5212" s="50">
        <v>44834.0</v>
      </c>
      <c r="C5212" s="49" t="s">
        <v>69</v>
      </c>
      <c r="D5212" s="49">
        <v>0.0</v>
      </c>
    </row>
    <row r="5213" ht="15.0" hidden="1" customHeight="1">
      <c r="A5213" s="49" t="s">
        <v>684</v>
      </c>
      <c r="B5213" s="50">
        <v>44834.0</v>
      </c>
      <c r="C5213" s="49" t="s">
        <v>69</v>
      </c>
      <c r="D5213" s="49">
        <v>0.0</v>
      </c>
    </row>
    <row r="5214" ht="15.0" hidden="1" customHeight="1">
      <c r="A5214" s="49" t="s">
        <v>689</v>
      </c>
      <c r="B5214" s="50">
        <v>44834.0</v>
      </c>
      <c r="C5214" s="49" t="s">
        <v>69</v>
      </c>
      <c r="D5214" s="49">
        <v>0.0</v>
      </c>
    </row>
    <row r="5215" ht="15.0" hidden="1" customHeight="1">
      <c r="A5215" s="49" t="s">
        <v>694</v>
      </c>
      <c r="B5215" s="50">
        <v>44834.0</v>
      </c>
      <c r="C5215" s="49" t="s">
        <v>69</v>
      </c>
      <c r="D5215" s="49">
        <v>0.0</v>
      </c>
    </row>
    <row r="5216" ht="15.0" hidden="1" customHeight="1">
      <c r="A5216" s="49" t="s">
        <v>699</v>
      </c>
      <c r="B5216" s="50">
        <v>44834.0</v>
      </c>
      <c r="C5216" s="49" t="s">
        <v>69</v>
      </c>
      <c r="D5216" s="49">
        <v>0.0</v>
      </c>
    </row>
    <row r="5217" ht="15.0" hidden="1" customHeight="1">
      <c r="A5217" s="49" t="s">
        <v>705</v>
      </c>
      <c r="B5217" s="50">
        <v>44834.0</v>
      </c>
      <c r="C5217" s="49" t="s">
        <v>69</v>
      </c>
      <c r="D5217" s="49">
        <v>0.0</v>
      </c>
    </row>
    <row r="5218" ht="15.0" hidden="1" customHeight="1">
      <c r="A5218" s="49" t="s">
        <v>710</v>
      </c>
      <c r="B5218" s="50">
        <v>44834.0</v>
      </c>
      <c r="C5218" s="49" t="s">
        <v>69</v>
      </c>
      <c r="D5218" s="49">
        <v>0.0</v>
      </c>
    </row>
    <row r="5219" ht="15.0" hidden="1" customHeight="1">
      <c r="A5219" s="49" t="s">
        <v>715</v>
      </c>
      <c r="B5219" s="50">
        <v>44834.0</v>
      </c>
      <c r="C5219" s="49" t="s">
        <v>69</v>
      </c>
      <c r="D5219" s="49">
        <v>0.0</v>
      </c>
    </row>
    <row r="5220" ht="15.0" hidden="1" customHeight="1">
      <c r="A5220" s="49" t="s">
        <v>765</v>
      </c>
      <c r="B5220" s="50">
        <v>44834.0</v>
      </c>
      <c r="C5220" s="49" t="s">
        <v>69</v>
      </c>
      <c r="D5220" s="49">
        <v>0.0</v>
      </c>
    </row>
    <row r="5221" ht="15.0" hidden="1" customHeight="1">
      <c r="A5221" s="49" t="s">
        <v>720</v>
      </c>
      <c r="B5221" s="50">
        <v>44834.0</v>
      </c>
      <c r="C5221" s="49" t="s">
        <v>69</v>
      </c>
      <c r="D5221" s="49">
        <v>0.0</v>
      </c>
    </row>
    <row r="5222" ht="15.0" hidden="1" customHeight="1">
      <c r="A5222" s="49" t="s">
        <v>725</v>
      </c>
      <c r="B5222" s="50">
        <v>44834.0</v>
      </c>
      <c r="C5222" s="49" t="s">
        <v>69</v>
      </c>
      <c r="D5222" s="49">
        <v>0.0</v>
      </c>
    </row>
    <row r="5223" ht="15.0" hidden="1" customHeight="1">
      <c r="A5223" s="49" t="s">
        <v>730</v>
      </c>
      <c r="B5223" s="50">
        <v>44834.0</v>
      </c>
      <c r="C5223" s="49" t="s">
        <v>69</v>
      </c>
      <c r="D5223" s="49">
        <v>0.0</v>
      </c>
    </row>
    <row r="5224" ht="15.0" hidden="1" customHeight="1">
      <c r="A5224" s="49" t="s">
        <v>734</v>
      </c>
      <c r="B5224" s="50">
        <v>44834.0</v>
      </c>
      <c r="C5224" s="49" t="s">
        <v>69</v>
      </c>
      <c r="D5224" s="49">
        <v>0.0</v>
      </c>
    </row>
    <row r="5225" ht="15.0" hidden="1" customHeight="1">
      <c r="A5225" s="49" t="s">
        <v>739</v>
      </c>
      <c r="B5225" s="50">
        <v>44834.0</v>
      </c>
      <c r="C5225" s="49" t="s">
        <v>69</v>
      </c>
      <c r="D5225" s="49">
        <v>0.0</v>
      </c>
    </row>
    <row r="5226" ht="15.0" hidden="1" customHeight="1">
      <c r="A5226" s="49" t="s">
        <v>744</v>
      </c>
      <c r="B5226" s="50">
        <v>44834.0</v>
      </c>
      <c r="C5226" s="49" t="s">
        <v>69</v>
      </c>
      <c r="D5226" s="49">
        <v>0.0</v>
      </c>
    </row>
    <row r="5227" ht="15.0" hidden="1" customHeight="1">
      <c r="A5227" s="49" t="s">
        <v>749</v>
      </c>
      <c r="B5227" s="50">
        <v>44834.0</v>
      </c>
      <c r="C5227" s="49" t="s">
        <v>69</v>
      </c>
      <c r="D5227" s="49">
        <v>0.0</v>
      </c>
    </row>
    <row r="5228" ht="15.0" customHeight="1">
      <c r="A5228" s="49" t="s">
        <v>776</v>
      </c>
      <c r="B5228" s="50">
        <v>44834.0</v>
      </c>
      <c r="C5228" s="49" t="s">
        <v>780</v>
      </c>
      <c r="D5228" s="49">
        <v>0.0</v>
      </c>
    </row>
    <row r="5229" ht="15.0" hidden="1" customHeight="1">
      <c r="A5229" s="49" t="s">
        <v>778</v>
      </c>
      <c r="B5229" s="50">
        <v>44834.0</v>
      </c>
      <c r="C5229" s="49" t="s">
        <v>780</v>
      </c>
      <c r="D5229" s="49">
        <v>0.0</v>
      </c>
    </row>
    <row r="5230" ht="15.0" hidden="1" customHeight="1">
      <c r="A5230" s="49" t="s">
        <v>92</v>
      </c>
      <c r="B5230" s="50">
        <v>44834.0</v>
      </c>
      <c r="C5230" s="49" t="s">
        <v>780</v>
      </c>
      <c r="D5230" s="49">
        <v>0.0</v>
      </c>
    </row>
    <row r="5231" ht="15.0" hidden="1" customHeight="1">
      <c r="A5231" s="49" t="s">
        <v>97</v>
      </c>
      <c r="B5231" s="50">
        <v>44834.0</v>
      </c>
      <c r="C5231" s="49" t="s">
        <v>780</v>
      </c>
      <c r="D5231" s="49">
        <v>0.0</v>
      </c>
    </row>
    <row r="5232" ht="15.0" hidden="1" customHeight="1">
      <c r="A5232" s="49" t="s">
        <v>102</v>
      </c>
      <c r="B5232" s="50">
        <v>44834.0</v>
      </c>
      <c r="C5232" s="49" t="s">
        <v>780</v>
      </c>
      <c r="D5232" s="49">
        <v>0.0</v>
      </c>
    </row>
    <row r="5233" ht="15.0" hidden="1" customHeight="1">
      <c r="A5233" s="49" t="s">
        <v>106</v>
      </c>
      <c r="B5233" s="50">
        <v>44834.0</v>
      </c>
      <c r="C5233" s="49" t="s">
        <v>780</v>
      </c>
      <c r="D5233" s="49">
        <v>-918000.0</v>
      </c>
    </row>
    <row r="5234" ht="15.0" hidden="1" customHeight="1">
      <c r="A5234" s="49" t="s">
        <v>111</v>
      </c>
      <c r="B5234" s="50">
        <v>44834.0</v>
      </c>
      <c r="C5234" s="49" t="s">
        <v>780</v>
      </c>
      <c r="D5234" s="49">
        <v>0.0</v>
      </c>
    </row>
    <row r="5235" ht="15.0" hidden="1" customHeight="1">
      <c r="A5235" s="49" t="s">
        <v>116</v>
      </c>
      <c r="B5235" s="50">
        <v>44834.0</v>
      </c>
      <c r="C5235" s="49" t="s">
        <v>780</v>
      </c>
      <c r="D5235" s="49">
        <v>0.0</v>
      </c>
    </row>
    <row r="5236" ht="15.0" hidden="1" customHeight="1">
      <c r="A5236" s="49" t="s">
        <v>120</v>
      </c>
      <c r="B5236" s="50">
        <v>44834.0</v>
      </c>
      <c r="C5236" s="49" t="s">
        <v>780</v>
      </c>
      <c r="D5236" s="49">
        <v>-590000.0</v>
      </c>
    </row>
    <row r="5237" ht="15.0" hidden="1" customHeight="1">
      <c r="A5237" s="49" t="s">
        <v>125</v>
      </c>
      <c r="B5237" s="50">
        <v>44834.0</v>
      </c>
      <c r="C5237" s="49" t="s">
        <v>780</v>
      </c>
      <c r="D5237" s="49">
        <v>0.0</v>
      </c>
    </row>
    <row r="5238" ht="15.0" hidden="1" customHeight="1">
      <c r="A5238" s="49" t="s">
        <v>130</v>
      </c>
      <c r="B5238" s="50">
        <v>44834.0</v>
      </c>
      <c r="C5238" s="49" t="s">
        <v>780</v>
      </c>
      <c r="D5238" s="49">
        <v>-542757.75</v>
      </c>
    </row>
    <row r="5239" ht="15.0" hidden="1" customHeight="1">
      <c r="A5239" s="49" t="s">
        <v>137</v>
      </c>
      <c r="B5239" s="50">
        <v>44834.0</v>
      </c>
      <c r="C5239" s="49" t="s">
        <v>780</v>
      </c>
      <c r="D5239" s="49">
        <v>0.0</v>
      </c>
    </row>
    <row r="5240" ht="15.0" hidden="1" customHeight="1">
      <c r="A5240" s="49" t="s">
        <v>142</v>
      </c>
      <c r="B5240" s="50">
        <v>44834.0</v>
      </c>
      <c r="C5240" s="49" t="s">
        <v>780</v>
      </c>
      <c r="D5240" s="49">
        <v>0.0</v>
      </c>
    </row>
    <row r="5241" ht="15.0" hidden="1" customHeight="1">
      <c r="A5241" s="49" t="s">
        <v>147</v>
      </c>
      <c r="B5241" s="50">
        <v>44834.0</v>
      </c>
      <c r="C5241" s="49" t="s">
        <v>780</v>
      </c>
      <c r="D5241" s="49">
        <v>0.0</v>
      </c>
    </row>
    <row r="5242" ht="15.0" hidden="1" customHeight="1">
      <c r="A5242" s="49" t="s">
        <v>152</v>
      </c>
      <c r="B5242" s="50">
        <v>44834.0</v>
      </c>
      <c r="C5242" s="49" t="s">
        <v>780</v>
      </c>
      <c r="D5242" s="49">
        <v>0.0</v>
      </c>
    </row>
    <row r="5243" ht="15.0" hidden="1" customHeight="1">
      <c r="A5243" s="49" t="s">
        <v>157</v>
      </c>
      <c r="B5243" s="50">
        <v>44834.0</v>
      </c>
      <c r="C5243" s="49" t="s">
        <v>780</v>
      </c>
      <c r="D5243" s="49">
        <v>0.0</v>
      </c>
    </row>
    <row r="5244" ht="15.0" hidden="1" customHeight="1">
      <c r="A5244" s="49" t="s">
        <v>162</v>
      </c>
      <c r="B5244" s="50">
        <v>44834.0</v>
      </c>
      <c r="C5244" s="49" t="s">
        <v>780</v>
      </c>
      <c r="D5244" s="49">
        <v>-715000.0</v>
      </c>
    </row>
    <row r="5245" ht="15.0" hidden="1" customHeight="1">
      <c r="A5245" s="49" t="s">
        <v>167</v>
      </c>
      <c r="B5245" s="50">
        <v>44834.0</v>
      </c>
      <c r="C5245" s="49" t="s">
        <v>780</v>
      </c>
      <c r="D5245" s="49">
        <v>0.0</v>
      </c>
    </row>
    <row r="5246" ht="15.0" hidden="1" customHeight="1">
      <c r="A5246" s="49" t="s">
        <v>172</v>
      </c>
      <c r="B5246" s="50">
        <v>44834.0</v>
      </c>
      <c r="C5246" s="49" t="s">
        <v>780</v>
      </c>
      <c r="D5246" s="49">
        <v>0.0</v>
      </c>
    </row>
    <row r="5247" ht="15.0" hidden="1" customHeight="1">
      <c r="A5247" s="49" t="s">
        <v>177</v>
      </c>
      <c r="B5247" s="50">
        <v>44834.0</v>
      </c>
      <c r="C5247" s="49" t="s">
        <v>780</v>
      </c>
      <c r="D5247" s="49">
        <v>-750000.0</v>
      </c>
    </row>
    <row r="5248" ht="15.0" hidden="1" customHeight="1">
      <c r="A5248" s="49" t="s">
        <v>182</v>
      </c>
      <c r="B5248" s="50">
        <v>44834.0</v>
      </c>
      <c r="C5248" s="49" t="s">
        <v>780</v>
      </c>
      <c r="D5248" s="49">
        <v>0.0</v>
      </c>
    </row>
    <row r="5249" ht="15.0" hidden="1" customHeight="1">
      <c r="A5249" s="49" t="s">
        <v>187</v>
      </c>
      <c r="B5249" s="50">
        <v>44834.0</v>
      </c>
      <c r="C5249" s="49" t="s">
        <v>780</v>
      </c>
      <c r="D5249" s="49">
        <v>0.0</v>
      </c>
    </row>
    <row r="5250" ht="15.0" hidden="1" customHeight="1">
      <c r="A5250" s="49" t="s">
        <v>192</v>
      </c>
      <c r="B5250" s="50">
        <v>44834.0</v>
      </c>
      <c r="C5250" s="49" t="s">
        <v>780</v>
      </c>
      <c r="D5250" s="49">
        <v>0.0</v>
      </c>
    </row>
    <row r="5251" ht="15.0" hidden="1" customHeight="1">
      <c r="A5251" s="49" t="s">
        <v>197</v>
      </c>
      <c r="B5251" s="50">
        <v>44834.0</v>
      </c>
      <c r="C5251" s="49" t="s">
        <v>780</v>
      </c>
      <c r="D5251" s="49">
        <v>0.0</v>
      </c>
    </row>
    <row r="5252" ht="15.0" hidden="1" customHeight="1">
      <c r="A5252" s="49" t="s">
        <v>202</v>
      </c>
      <c r="B5252" s="50">
        <v>44834.0</v>
      </c>
      <c r="C5252" s="49" t="s">
        <v>780</v>
      </c>
      <c r="D5252" s="49">
        <v>0.0</v>
      </c>
    </row>
    <row r="5253" ht="15.0" hidden="1" customHeight="1">
      <c r="A5253" s="49" t="s">
        <v>206</v>
      </c>
      <c r="B5253" s="50">
        <v>44834.0</v>
      </c>
      <c r="C5253" s="49" t="s">
        <v>780</v>
      </c>
      <c r="D5253" s="49">
        <v>0.0</v>
      </c>
    </row>
    <row r="5254" ht="15.0" hidden="1" customHeight="1">
      <c r="A5254" s="49" t="s">
        <v>211</v>
      </c>
      <c r="B5254" s="50">
        <v>44834.0</v>
      </c>
      <c r="C5254" s="49" t="s">
        <v>780</v>
      </c>
      <c r="D5254" s="49">
        <v>0.0</v>
      </c>
    </row>
    <row r="5255" ht="15.0" hidden="1" customHeight="1">
      <c r="A5255" s="49" t="s">
        <v>779</v>
      </c>
      <c r="B5255" s="50">
        <v>44834.0</v>
      </c>
      <c r="C5255" s="49" t="s">
        <v>780</v>
      </c>
      <c r="D5255" s="49">
        <v>0.0</v>
      </c>
    </row>
    <row r="5256" ht="15.0" hidden="1" customHeight="1">
      <c r="A5256" s="49" t="s">
        <v>221</v>
      </c>
      <c r="B5256" s="50">
        <v>44834.0</v>
      </c>
      <c r="C5256" s="49" t="s">
        <v>780</v>
      </c>
      <c r="D5256" s="49">
        <v>0.0</v>
      </c>
    </row>
    <row r="5257" ht="15.0" hidden="1" customHeight="1">
      <c r="A5257" s="49" t="s">
        <v>226</v>
      </c>
      <c r="B5257" s="50">
        <v>44834.0</v>
      </c>
      <c r="C5257" s="49" t="s">
        <v>780</v>
      </c>
      <c r="D5257" s="49">
        <v>-200000.0</v>
      </c>
    </row>
    <row r="5258" ht="15.0" hidden="1" customHeight="1">
      <c r="A5258" s="49" t="s">
        <v>231</v>
      </c>
      <c r="B5258" s="50">
        <v>44834.0</v>
      </c>
      <c r="C5258" s="49" t="s">
        <v>780</v>
      </c>
      <c r="D5258" s="49">
        <v>0.0</v>
      </c>
    </row>
    <row r="5259" ht="15.0" hidden="1" customHeight="1">
      <c r="A5259" s="49" t="s">
        <v>236</v>
      </c>
      <c r="B5259" s="50">
        <v>44834.0</v>
      </c>
      <c r="C5259" s="49" t="s">
        <v>780</v>
      </c>
      <c r="D5259" s="49">
        <v>-190700.0</v>
      </c>
    </row>
    <row r="5260" ht="15.0" hidden="1" customHeight="1">
      <c r="A5260" s="49" t="s">
        <v>242</v>
      </c>
      <c r="B5260" s="50">
        <v>44834.0</v>
      </c>
      <c r="C5260" s="49" t="s">
        <v>780</v>
      </c>
      <c r="D5260" s="49">
        <v>-1000000.0</v>
      </c>
    </row>
    <row r="5261" ht="15.0" hidden="1" customHeight="1">
      <c r="A5261" s="49" t="s">
        <v>248</v>
      </c>
      <c r="B5261" s="50">
        <v>44834.0</v>
      </c>
      <c r="C5261" s="49" t="s">
        <v>780</v>
      </c>
      <c r="D5261" s="49">
        <v>-1500000.0</v>
      </c>
    </row>
    <row r="5262" ht="15.0" hidden="1" customHeight="1">
      <c r="A5262" s="49" t="s">
        <v>253</v>
      </c>
      <c r="B5262" s="50">
        <v>44834.0</v>
      </c>
      <c r="C5262" s="49" t="s">
        <v>780</v>
      </c>
      <c r="D5262" s="49">
        <v>-588550.0</v>
      </c>
    </row>
    <row r="5263" ht="15.0" hidden="1" customHeight="1">
      <c r="A5263" s="49" t="s">
        <v>258</v>
      </c>
      <c r="B5263" s="50">
        <v>44834.0</v>
      </c>
      <c r="C5263" s="49" t="s">
        <v>780</v>
      </c>
      <c r="D5263" s="49">
        <v>0.0</v>
      </c>
    </row>
    <row r="5264" ht="15.0" hidden="1" customHeight="1">
      <c r="A5264" s="49" t="s">
        <v>263</v>
      </c>
      <c r="B5264" s="50">
        <v>44834.0</v>
      </c>
      <c r="C5264" s="49" t="s">
        <v>780</v>
      </c>
      <c r="D5264" s="49">
        <v>0.0</v>
      </c>
    </row>
    <row r="5265" ht="15.0" hidden="1" customHeight="1">
      <c r="A5265" s="49" t="s">
        <v>268</v>
      </c>
      <c r="B5265" s="50">
        <v>44834.0</v>
      </c>
      <c r="C5265" s="49" t="s">
        <v>780</v>
      </c>
      <c r="D5265" s="49">
        <v>-159250.0</v>
      </c>
    </row>
    <row r="5266" ht="15.0" hidden="1" customHeight="1">
      <c r="A5266" s="49" t="s">
        <v>273</v>
      </c>
      <c r="B5266" s="50">
        <v>44834.0</v>
      </c>
      <c r="C5266" s="49" t="s">
        <v>780</v>
      </c>
      <c r="D5266" s="49">
        <v>-53400.0</v>
      </c>
    </row>
    <row r="5267" ht="15.0" hidden="1" customHeight="1">
      <c r="A5267" s="49" t="s">
        <v>278</v>
      </c>
      <c r="B5267" s="50">
        <v>44834.0</v>
      </c>
      <c r="C5267" s="49" t="s">
        <v>780</v>
      </c>
      <c r="D5267" s="49">
        <v>-500000.0</v>
      </c>
    </row>
    <row r="5268" ht="15.0" hidden="1" customHeight="1">
      <c r="A5268" s="49" t="s">
        <v>283</v>
      </c>
      <c r="B5268" s="50">
        <v>44834.0</v>
      </c>
      <c r="C5268" s="49" t="s">
        <v>780</v>
      </c>
      <c r="D5268" s="49">
        <v>-800000.0</v>
      </c>
    </row>
    <row r="5269" ht="15.0" hidden="1" customHeight="1">
      <c r="A5269" s="49" t="s">
        <v>288</v>
      </c>
      <c r="B5269" s="50">
        <v>44834.0</v>
      </c>
      <c r="C5269" s="49" t="s">
        <v>780</v>
      </c>
      <c r="D5269" s="49">
        <v>-600000.0</v>
      </c>
    </row>
    <row r="5270" ht="15.0" hidden="1" customHeight="1">
      <c r="A5270" s="49" t="s">
        <v>293</v>
      </c>
      <c r="B5270" s="50">
        <v>44834.0</v>
      </c>
      <c r="C5270" s="49" t="s">
        <v>780</v>
      </c>
      <c r="D5270" s="49">
        <v>-240000.0</v>
      </c>
    </row>
    <row r="5271" ht="15.0" hidden="1" customHeight="1">
      <c r="A5271" s="49" t="s">
        <v>298</v>
      </c>
      <c r="B5271" s="50">
        <v>44834.0</v>
      </c>
      <c r="C5271" s="49" t="s">
        <v>780</v>
      </c>
      <c r="D5271" s="49">
        <v>-200000.0</v>
      </c>
    </row>
    <row r="5272" ht="15.0" hidden="1" customHeight="1">
      <c r="A5272" s="49" t="s">
        <v>303</v>
      </c>
      <c r="B5272" s="50">
        <v>44834.0</v>
      </c>
      <c r="C5272" s="49" t="s">
        <v>780</v>
      </c>
      <c r="D5272" s="49">
        <v>-412500.0</v>
      </c>
    </row>
    <row r="5273" ht="15.0" hidden="1" customHeight="1">
      <c r="A5273" s="49" t="s">
        <v>307</v>
      </c>
      <c r="B5273" s="50">
        <v>44834.0</v>
      </c>
      <c r="C5273" s="49" t="s">
        <v>780</v>
      </c>
      <c r="D5273" s="49">
        <v>-1200000.0</v>
      </c>
    </row>
    <row r="5274" ht="15.0" hidden="1" customHeight="1">
      <c r="A5274" s="49" t="s">
        <v>313</v>
      </c>
      <c r="B5274" s="50">
        <v>44834.0</v>
      </c>
      <c r="C5274" s="49" t="s">
        <v>780</v>
      </c>
      <c r="D5274" s="49">
        <v>-643000.0</v>
      </c>
    </row>
    <row r="5275" ht="15.0" hidden="1" customHeight="1">
      <c r="A5275" s="49" t="s">
        <v>318</v>
      </c>
      <c r="B5275" s="50">
        <v>44834.0</v>
      </c>
      <c r="C5275" s="49" t="s">
        <v>780</v>
      </c>
      <c r="D5275" s="49">
        <v>1690000.0</v>
      </c>
    </row>
    <row r="5276" ht="15.0" hidden="1" customHeight="1">
      <c r="A5276" s="49" t="s">
        <v>323</v>
      </c>
      <c r="B5276" s="50">
        <v>44834.0</v>
      </c>
      <c r="C5276" s="49" t="s">
        <v>780</v>
      </c>
      <c r="D5276" s="49">
        <v>2250000.0</v>
      </c>
    </row>
    <row r="5277" ht="15.0" hidden="1" customHeight="1">
      <c r="A5277" s="49" t="s">
        <v>328</v>
      </c>
      <c r="B5277" s="50">
        <v>44834.0</v>
      </c>
      <c r="C5277" s="49" t="s">
        <v>780</v>
      </c>
      <c r="D5277" s="49">
        <v>14000.0</v>
      </c>
    </row>
    <row r="5278" ht="15.0" hidden="1" customHeight="1">
      <c r="A5278" s="49" t="s">
        <v>335</v>
      </c>
      <c r="B5278" s="50">
        <v>44834.0</v>
      </c>
      <c r="C5278" s="49" t="s">
        <v>780</v>
      </c>
      <c r="D5278" s="49">
        <v>130000.0</v>
      </c>
    </row>
    <row r="5279" ht="15.0" hidden="1" customHeight="1">
      <c r="A5279" s="49" t="s">
        <v>340</v>
      </c>
      <c r="B5279" s="50">
        <v>44834.0</v>
      </c>
      <c r="C5279" s="49" t="s">
        <v>780</v>
      </c>
      <c r="D5279" s="49">
        <v>1000000.0</v>
      </c>
    </row>
    <row r="5280" ht="15.0" hidden="1" customHeight="1">
      <c r="A5280" s="49" t="s">
        <v>345</v>
      </c>
      <c r="B5280" s="50">
        <v>44834.0</v>
      </c>
      <c r="C5280" s="49" t="s">
        <v>780</v>
      </c>
      <c r="D5280" s="49">
        <v>0.0</v>
      </c>
    </row>
    <row r="5281" ht="15.0" hidden="1" customHeight="1">
      <c r="A5281" s="49" t="s">
        <v>350</v>
      </c>
      <c r="B5281" s="50">
        <v>44834.0</v>
      </c>
      <c r="C5281" s="49" t="s">
        <v>780</v>
      </c>
      <c r="D5281" s="49">
        <v>0.0</v>
      </c>
    </row>
    <row r="5282" ht="15.0" hidden="1" customHeight="1">
      <c r="A5282" s="49" t="s">
        <v>355</v>
      </c>
      <c r="B5282" s="50">
        <v>44834.0</v>
      </c>
      <c r="C5282" s="49" t="s">
        <v>780</v>
      </c>
      <c r="D5282" s="49">
        <v>0.0</v>
      </c>
    </row>
    <row r="5283" ht="15.0" hidden="1" customHeight="1">
      <c r="A5283" s="49" t="s">
        <v>360</v>
      </c>
      <c r="B5283" s="50">
        <v>44834.0</v>
      </c>
      <c r="C5283" s="49" t="s">
        <v>780</v>
      </c>
      <c r="D5283" s="49">
        <v>0.0</v>
      </c>
    </row>
    <row r="5284" ht="15.0" hidden="1" customHeight="1">
      <c r="A5284" s="49" t="s">
        <v>365</v>
      </c>
      <c r="B5284" s="50">
        <v>44834.0</v>
      </c>
      <c r="C5284" s="49" t="s">
        <v>780</v>
      </c>
      <c r="D5284" s="49">
        <v>0.0</v>
      </c>
    </row>
    <row r="5285" ht="15.0" hidden="1" customHeight="1">
      <c r="A5285" s="49" t="s">
        <v>370</v>
      </c>
      <c r="B5285" s="50">
        <v>44834.0</v>
      </c>
      <c r="C5285" s="49" t="s">
        <v>780</v>
      </c>
      <c r="D5285" s="49">
        <v>0.0</v>
      </c>
    </row>
    <row r="5286" ht="15.0" hidden="1" customHeight="1">
      <c r="A5286" s="49" t="s">
        <v>375</v>
      </c>
      <c r="B5286" s="50">
        <v>44834.0</v>
      </c>
      <c r="C5286" s="49" t="s">
        <v>780</v>
      </c>
      <c r="D5286" s="49">
        <v>0.0</v>
      </c>
    </row>
    <row r="5287" ht="15.0" hidden="1" customHeight="1">
      <c r="A5287" s="49" t="s">
        <v>380</v>
      </c>
      <c r="B5287" s="50">
        <v>44834.0</v>
      </c>
      <c r="C5287" s="49" t="s">
        <v>780</v>
      </c>
      <c r="D5287" s="49">
        <v>0.0</v>
      </c>
    </row>
    <row r="5288" ht="15.0" hidden="1" customHeight="1">
      <c r="A5288" s="49" t="s">
        <v>385</v>
      </c>
      <c r="B5288" s="50">
        <v>44834.0</v>
      </c>
      <c r="C5288" s="49" t="s">
        <v>780</v>
      </c>
      <c r="D5288" s="49">
        <v>0.0</v>
      </c>
    </row>
    <row r="5289" ht="15.0" hidden="1" customHeight="1">
      <c r="A5289" s="49" t="s">
        <v>390</v>
      </c>
      <c r="B5289" s="50">
        <v>44834.0</v>
      </c>
      <c r="C5289" s="49" t="s">
        <v>780</v>
      </c>
      <c r="D5289" s="49">
        <v>0.0</v>
      </c>
    </row>
    <row r="5290" ht="15.0" hidden="1" customHeight="1">
      <c r="A5290" s="49" t="s">
        <v>395</v>
      </c>
      <c r="B5290" s="50">
        <v>44834.0</v>
      </c>
      <c r="C5290" s="49" t="s">
        <v>780</v>
      </c>
      <c r="D5290" s="49">
        <v>0.0</v>
      </c>
    </row>
    <row r="5291" ht="15.0" hidden="1" customHeight="1">
      <c r="A5291" s="49" t="s">
        <v>400</v>
      </c>
      <c r="B5291" s="50">
        <v>44834.0</v>
      </c>
      <c r="C5291" s="49" t="s">
        <v>780</v>
      </c>
      <c r="D5291" s="49">
        <v>0.0</v>
      </c>
    </row>
    <row r="5292" ht="15.0" hidden="1" customHeight="1">
      <c r="A5292" s="49" t="s">
        <v>405</v>
      </c>
      <c r="B5292" s="50">
        <v>44834.0</v>
      </c>
      <c r="C5292" s="49" t="s">
        <v>780</v>
      </c>
      <c r="D5292" s="49">
        <v>0.0</v>
      </c>
    </row>
    <row r="5293" ht="15.0" hidden="1" customHeight="1">
      <c r="A5293" s="49" t="s">
        <v>410</v>
      </c>
      <c r="B5293" s="50">
        <v>44834.0</v>
      </c>
      <c r="C5293" s="49" t="s">
        <v>780</v>
      </c>
      <c r="D5293" s="49">
        <v>0.0</v>
      </c>
    </row>
    <row r="5294" ht="15.0" hidden="1" customHeight="1">
      <c r="A5294" s="49" t="s">
        <v>415</v>
      </c>
      <c r="B5294" s="50">
        <v>44834.0</v>
      </c>
      <c r="C5294" s="49" t="s">
        <v>780</v>
      </c>
      <c r="D5294" s="49">
        <v>0.0</v>
      </c>
    </row>
    <row r="5295" ht="15.0" hidden="1" customHeight="1">
      <c r="A5295" s="49" t="s">
        <v>420</v>
      </c>
      <c r="B5295" s="50">
        <v>44834.0</v>
      </c>
      <c r="C5295" s="49" t="s">
        <v>780</v>
      </c>
      <c r="D5295" s="49">
        <v>0.0</v>
      </c>
    </row>
    <row r="5296" ht="15.0" hidden="1" customHeight="1">
      <c r="A5296" s="49" t="s">
        <v>425</v>
      </c>
      <c r="B5296" s="50">
        <v>44834.0</v>
      </c>
      <c r="C5296" s="49" t="s">
        <v>780</v>
      </c>
      <c r="D5296" s="49">
        <v>0.0</v>
      </c>
    </row>
    <row r="5297" ht="15.0" hidden="1" customHeight="1">
      <c r="A5297" s="49" t="s">
        <v>430</v>
      </c>
      <c r="B5297" s="50">
        <v>44834.0</v>
      </c>
      <c r="C5297" s="49" t="s">
        <v>780</v>
      </c>
      <c r="D5297" s="49">
        <v>0.0</v>
      </c>
    </row>
    <row r="5298" ht="15.0" hidden="1" customHeight="1">
      <c r="A5298" s="49" t="s">
        <v>434</v>
      </c>
      <c r="B5298" s="50">
        <v>44834.0</v>
      </c>
      <c r="C5298" s="49" t="s">
        <v>780</v>
      </c>
      <c r="D5298" s="49">
        <v>0.0</v>
      </c>
    </row>
    <row r="5299" ht="15.0" hidden="1" customHeight="1">
      <c r="A5299" s="49" t="s">
        <v>439</v>
      </c>
      <c r="B5299" s="50">
        <v>44834.0</v>
      </c>
      <c r="C5299" s="49" t="s">
        <v>780</v>
      </c>
      <c r="D5299" s="49">
        <v>0.0</v>
      </c>
    </row>
    <row r="5300" ht="15.0" hidden="1" customHeight="1">
      <c r="A5300" s="49" t="s">
        <v>444</v>
      </c>
      <c r="B5300" s="50">
        <v>44834.0</v>
      </c>
      <c r="C5300" s="49" t="s">
        <v>780</v>
      </c>
      <c r="D5300" s="49">
        <v>0.0</v>
      </c>
    </row>
    <row r="5301" ht="15.0" hidden="1" customHeight="1">
      <c r="A5301" s="49" t="s">
        <v>449</v>
      </c>
      <c r="B5301" s="50">
        <v>44834.0</v>
      </c>
      <c r="C5301" s="49" t="s">
        <v>780</v>
      </c>
      <c r="D5301" s="49">
        <v>0.0</v>
      </c>
    </row>
    <row r="5302" ht="15.0" hidden="1" customHeight="1">
      <c r="A5302" s="49" t="s">
        <v>455</v>
      </c>
      <c r="B5302" s="50">
        <v>44834.0</v>
      </c>
      <c r="C5302" s="49" t="s">
        <v>780</v>
      </c>
      <c r="D5302" s="49">
        <v>0.0</v>
      </c>
    </row>
    <row r="5303" ht="15.0" hidden="1" customHeight="1">
      <c r="A5303" s="49" t="s">
        <v>470</v>
      </c>
      <c r="B5303" s="50">
        <v>44834.0</v>
      </c>
      <c r="C5303" s="49" t="s">
        <v>780</v>
      </c>
      <c r="D5303" s="49">
        <v>0.0</v>
      </c>
    </row>
    <row r="5304" ht="15.0" hidden="1" customHeight="1">
      <c r="A5304" s="49" t="s">
        <v>476</v>
      </c>
      <c r="B5304" s="50">
        <v>44834.0</v>
      </c>
      <c r="C5304" s="49" t="s">
        <v>780</v>
      </c>
      <c r="D5304" s="49">
        <v>0.0</v>
      </c>
    </row>
    <row r="5305" ht="15.0" hidden="1" customHeight="1">
      <c r="A5305" s="49" t="s">
        <v>481</v>
      </c>
      <c r="B5305" s="50">
        <v>44834.0</v>
      </c>
      <c r="C5305" s="49" t="s">
        <v>780</v>
      </c>
      <c r="D5305" s="49">
        <v>0.0</v>
      </c>
    </row>
    <row r="5306" ht="15.0" hidden="1" customHeight="1">
      <c r="A5306" s="49" t="s">
        <v>486</v>
      </c>
      <c r="B5306" s="50">
        <v>44834.0</v>
      </c>
      <c r="C5306" s="49" t="s">
        <v>780</v>
      </c>
      <c r="D5306" s="49">
        <v>0.0</v>
      </c>
    </row>
    <row r="5307" ht="15.0" hidden="1" customHeight="1">
      <c r="A5307" s="49" t="s">
        <v>491</v>
      </c>
      <c r="B5307" s="50">
        <v>44834.0</v>
      </c>
      <c r="C5307" s="49" t="s">
        <v>780</v>
      </c>
      <c r="D5307" s="49">
        <v>0.0</v>
      </c>
    </row>
    <row r="5308" ht="15.0" hidden="1" customHeight="1">
      <c r="A5308" s="49" t="s">
        <v>496</v>
      </c>
      <c r="B5308" s="50">
        <v>44834.0</v>
      </c>
      <c r="C5308" s="49" t="s">
        <v>780</v>
      </c>
      <c r="D5308" s="49">
        <v>0.0</v>
      </c>
    </row>
    <row r="5309" ht="15.0" hidden="1" customHeight="1">
      <c r="A5309" s="49" t="s">
        <v>501</v>
      </c>
      <c r="B5309" s="50">
        <v>44834.0</v>
      </c>
      <c r="C5309" s="49" t="s">
        <v>780</v>
      </c>
      <c r="D5309" s="49">
        <v>0.0</v>
      </c>
    </row>
    <row r="5310" ht="15.0" hidden="1" customHeight="1">
      <c r="A5310" s="49" t="s">
        <v>506</v>
      </c>
      <c r="B5310" s="50">
        <v>44834.0</v>
      </c>
      <c r="C5310" s="49" t="s">
        <v>780</v>
      </c>
      <c r="D5310" s="49">
        <v>0.0</v>
      </c>
    </row>
    <row r="5311" ht="15.0" hidden="1" customHeight="1">
      <c r="A5311" s="49" t="s">
        <v>512</v>
      </c>
      <c r="B5311" s="50">
        <v>44834.0</v>
      </c>
      <c r="C5311" s="49" t="s">
        <v>780</v>
      </c>
      <c r="D5311" s="49">
        <v>0.0</v>
      </c>
    </row>
    <row r="5312" ht="15.0" hidden="1" customHeight="1">
      <c r="A5312" s="49" t="s">
        <v>517</v>
      </c>
      <c r="B5312" s="50">
        <v>44834.0</v>
      </c>
      <c r="C5312" s="49" t="s">
        <v>780</v>
      </c>
      <c r="D5312" s="49">
        <v>0.0</v>
      </c>
    </row>
    <row r="5313" ht="15.0" hidden="1" customHeight="1">
      <c r="A5313" s="49" t="s">
        <v>522</v>
      </c>
      <c r="B5313" s="50">
        <v>44834.0</v>
      </c>
      <c r="C5313" s="49" t="s">
        <v>780</v>
      </c>
      <c r="D5313" s="49">
        <v>0.0</v>
      </c>
    </row>
    <row r="5314" ht="15.0" hidden="1" customHeight="1">
      <c r="A5314" s="49" t="s">
        <v>528</v>
      </c>
      <c r="B5314" s="50">
        <v>44834.0</v>
      </c>
      <c r="C5314" s="49" t="s">
        <v>780</v>
      </c>
      <c r="D5314" s="49">
        <v>0.0</v>
      </c>
    </row>
    <row r="5315" ht="15.0" hidden="1" customHeight="1">
      <c r="A5315" s="49" t="s">
        <v>533</v>
      </c>
      <c r="B5315" s="50">
        <v>44834.0</v>
      </c>
      <c r="C5315" s="49" t="s">
        <v>780</v>
      </c>
      <c r="D5315" s="49">
        <v>0.0</v>
      </c>
    </row>
    <row r="5316" ht="15.0" hidden="1" customHeight="1">
      <c r="A5316" s="49" t="s">
        <v>538</v>
      </c>
      <c r="B5316" s="50">
        <v>44834.0</v>
      </c>
      <c r="C5316" s="49" t="s">
        <v>780</v>
      </c>
      <c r="D5316" s="49">
        <v>0.0</v>
      </c>
    </row>
    <row r="5317" ht="15.0" hidden="1" customHeight="1">
      <c r="A5317" s="49" t="s">
        <v>546</v>
      </c>
      <c r="B5317" s="50">
        <v>44834.0</v>
      </c>
      <c r="C5317" s="49" t="s">
        <v>780</v>
      </c>
      <c r="D5317" s="49">
        <v>0.0</v>
      </c>
    </row>
    <row r="5318" ht="15.0" hidden="1" customHeight="1">
      <c r="A5318" s="49" t="s">
        <v>551</v>
      </c>
      <c r="B5318" s="50">
        <v>44834.0</v>
      </c>
      <c r="C5318" s="49" t="s">
        <v>780</v>
      </c>
      <c r="D5318" s="49">
        <v>0.0</v>
      </c>
    </row>
    <row r="5319" ht="15.0" hidden="1" customHeight="1">
      <c r="A5319" s="49" t="s">
        <v>556</v>
      </c>
      <c r="B5319" s="50">
        <v>44834.0</v>
      </c>
      <c r="C5319" s="49" t="s">
        <v>780</v>
      </c>
      <c r="D5319" s="49">
        <v>0.0</v>
      </c>
    </row>
    <row r="5320" ht="15.0" hidden="1" customHeight="1">
      <c r="A5320" s="49" t="s">
        <v>561</v>
      </c>
      <c r="B5320" s="50">
        <v>44834.0</v>
      </c>
      <c r="C5320" s="49" t="s">
        <v>780</v>
      </c>
      <c r="D5320" s="49">
        <v>0.0</v>
      </c>
    </row>
    <row r="5321" ht="15.0" hidden="1" customHeight="1">
      <c r="A5321" s="49" t="s">
        <v>566</v>
      </c>
      <c r="B5321" s="50">
        <v>44834.0</v>
      </c>
      <c r="C5321" s="49" t="s">
        <v>780</v>
      </c>
      <c r="D5321" s="49">
        <v>0.0</v>
      </c>
    </row>
    <row r="5322" ht="15.0" hidden="1" customHeight="1">
      <c r="A5322" s="49" t="s">
        <v>571</v>
      </c>
      <c r="B5322" s="50">
        <v>44834.0</v>
      </c>
      <c r="C5322" s="49" t="s">
        <v>780</v>
      </c>
      <c r="D5322" s="49">
        <v>0.0</v>
      </c>
    </row>
    <row r="5323" ht="15.0" hidden="1" customHeight="1">
      <c r="A5323" s="49" t="s">
        <v>576</v>
      </c>
      <c r="B5323" s="50">
        <v>44834.0</v>
      </c>
      <c r="C5323" s="49" t="s">
        <v>780</v>
      </c>
      <c r="D5323" s="49">
        <v>0.0</v>
      </c>
    </row>
    <row r="5324" ht="15.0" hidden="1" customHeight="1">
      <c r="A5324" s="49" t="s">
        <v>581</v>
      </c>
      <c r="B5324" s="50">
        <v>44834.0</v>
      </c>
      <c r="C5324" s="49" t="s">
        <v>780</v>
      </c>
      <c r="D5324" s="49">
        <v>0.0</v>
      </c>
    </row>
    <row r="5325" ht="15.0" hidden="1" customHeight="1">
      <c r="A5325" s="49" t="s">
        <v>586</v>
      </c>
      <c r="B5325" s="50">
        <v>44834.0</v>
      </c>
      <c r="C5325" s="49" t="s">
        <v>780</v>
      </c>
      <c r="D5325" s="49">
        <v>0.0</v>
      </c>
    </row>
    <row r="5326" ht="15.0" hidden="1" customHeight="1">
      <c r="A5326" s="49" t="s">
        <v>754</v>
      </c>
      <c r="B5326" s="50">
        <v>44834.0</v>
      </c>
      <c r="C5326" s="49" t="s">
        <v>780</v>
      </c>
      <c r="D5326" s="49">
        <v>0.0</v>
      </c>
    </row>
    <row r="5327" ht="15.0" hidden="1" customHeight="1">
      <c r="A5327" s="49" t="s">
        <v>591</v>
      </c>
      <c r="B5327" s="50">
        <v>44834.0</v>
      </c>
      <c r="C5327" s="49" t="s">
        <v>780</v>
      </c>
      <c r="D5327" s="49">
        <v>0.0</v>
      </c>
    </row>
    <row r="5328" ht="15.0" hidden="1" customHeight="1">
      <c r="A5328" s="49" t="s">
        <v>759</v>
      </c>
      <c r="B5328" s="50">
        <v>44834.0</v>
      </c>
      <c r="C5328" s="49" t="s">
        <v>780</v>
      </c>
      <c r="D5328" s="49">
        <v>0.0</v>
      </c>
    </row>
    <row r="5329" ht="15.0" hidden="1" customHeight="1">
      <c r="A5329" s="49" t="s">
        <v>596</v>
      </c>
      <c r="B5329" s="50">
        <v>44834.0</v>
      </c>
      <c r="C5329" s="49" t="s">
        <v>780</v>
      </c>
      <c r="D5329" s="49">
        <v>0.0</v>
      </c>
    </row>
    <row r="5330" ht="15.0" hidden="1" customHeight="1">
      <c r="A5330" s="49" t="s">
        <v>602</v>
      </c>
      <c r="B5330" s="50">
        <v>44834.0</v>
      </c>
      <c r="C5330" s="49" t="s">
        <v>780</v>
      </c>
      <c r="D5330" s="49">
        <v>0.0</v>
      </c>
    </row>
    <row r="5331" ht="15.0" hidden="1" customHeight="1">
      <c r="A5331" s="49" t="s">
        <v>607</v>
      </c>
      <c r="B5331" s="50">
        <v>44834.0</v>
      </c>
      <c r="C5331" s="49" t="s">
        <v>780</v>
      </c>
      <c r="D5331" s="49">
        <v>0.0</v>
      </c>
    </row>
    <row r="5332" ht="15.0" hidden="1" customHeight="1">
      <c r="A5332" s="49" t="s">
        <v>612</v>
      </c>
      <c r="B5332" s="50">
        <v>44834.0</v>
      </c>
      <c r="C5332" s="49" t="s">
        <v>780</v>
      </c>
      <c r="D5332" s="49">
        <v>0.0</v>
      </c>
    </row>
    <row r="5333" ht="15.0" hidden="1" customHeight="1">
      <c r="A5333" s="49" t="s">
        <v>617</v>
      </c>
      <c r="B5333" s="50">
        <v>44834.0</v>
      </c>
      <c r="C5333" s="49" t="s">
        <v>780</v>
      </c>
      <c r="D5333" s="49">
        <v>0.0</v>
      </c>
    </row>
    <row r="5334" ht="15.0" hidden="1" customHeight="1">
      <c r="A5334" s="49" t="s">
        <v>622</v>
      </c>
      <c r="B5334" s="50">
        <v>44834.0</v>
      </c>
      <c r="C5334" s="49" t="s">
        <v>780</v>
      </c>
      <c r="D5334" s="49">
        <v>0.0</v>
      </c>
    </row>
    <row r="5335" ht="15.0" hidden="1" customHeight="1">
      <c r="A5335" s="49" t="s">
        <v>627</v>
      </c>
      <c r="B5335" s="50">
        <v>44834.0</v>
      </c>
      <c r="C5335" s="49" t="s">
        <v>780</v>
      </c>
      <c r="D5335" s="49">
        <v>0.0</v>
      </c>
    </row>
    <row r="5336" ht="15.0" hidden="1" customHeight="1">
      <c r="A5336" s="49" t="s">
        <v>631</v>
      </c>
      <c r="B5336" s="50">
        <v>44834.0</v>
      </c>
      <c r="C5336" s="49" t="s">
        <v>780</v>
      </c>
      <c r="D5336" s="49">
        <v>0.0</v>
      </c>
    </row>
    <row r="5337" ht="15.0" hidden="1" customHeight="1">
      <c r="A5337" s="49" t="s">
        <v>636</v>
      </c>
      <c r="B5337" s="50">
        <v>44834.0</v>
      </c>
      <c r="C5337" s="49" t="s">
        <v>780</v>
      </c>
      <c r="D5337" s="49">
        <v>0.0</v>
      </c>
    </row>
    <row r="5338" ht="15.0" hidden="1" customHeight="1">
      <c r="A5338" s="49" t="s">
        <v>640</v>
      </c>
      <c r="B5338" s="50">
        <v>44834.0</v>
      </c>
      <c r="C5338" s="49" t="s">
        <v>780</v>
      </c>
      <c r="D5338" s="49">
        <v>0.0</v>
      </c>
    </row>
    <row r="5339" ht="15.0" hidden="1" customHeight="1">
      <c r="A5339" s="49" t="s">
        <v>644</v>
      </c>
      <c r="B5339" s="50">
        <v>44834.0</v>
      </c>
      <c r="C5339" s="49" t="s">
        <v>780</v>
      </c>
      <c r="D5339" s="49">
        <v>0.0</v>
      </c>
    </row>
    <row r="5340" ht="15.0" hidden="1" customHeight="1">
      <c r="A5340" s="49" t="s">
        <v>649</v>
      </c>
      <c r="B5340" s="50">
        <v>44834.0</v>
      </c>
      <c r="C5340" s="49" t="s">
        <v>780</v>
      </c>
      <c r="D5340" s="49">
        <v>0.0</v>
      </c>
    </row>
    <row r="5341" ht="15.0" hidden="1" customHeight="1">
      <c r="A5341" s="49" t="s">
        <v>654</v>
      </c>
      <c r="B5341" s="50">
        <v>44834.0</v>
      </c>
      <c r="C5341" s="49" t="s">
        <v>780</v>
      </c>
      <c r="D5341" s="49">
        <v>0.0</v>
      </c>
    </row>
    <row r="5342" ht="15.0" hidden="1" customHeight="1">
      <c r="A5342" s="49" t="s">
        <v>659</v>
      </c>
      <c r="B5342" s="50">
        <v>44834.0</v>
      </c>
      <c r="C5342" s="49" t="s">
        <v>780</v>
      </c>
      <c r="D5342" s="49">
        <v>0.0</v>
      </c>
    </row>
    <row r="5343" ht="15.0" hidden="1" customHeight="1">
      <c r="A5343" s="49" t="s">
        <v>664</v>
      </c>
      <c r="B5343" s="50">
        <v>44834.0</v>
      </c>
      <c r="C5343" s="49" t="s">
        <v>780</v>
      </c>
      <c r="D5343" s="49">
        <v>0.0</v>
      </c>
    </row>
    <row r="5344" ht="15.0" hidden="1" customHeight="1">
      <c r="A5344" s="49" t="s">
        <v>669</v>
      </c>
      <c r="B5344" s="50">
        <v>44834.0</v>
      </c>
      <c r="C5344" s="49" t="s">
        <v>780</v>
      </c>
      <c r="D5344" s="49">
        <v>0.0</v>
      </c>
    </row>
    <row r="5345" ht="15.0" hidden="1" customHeight="1">
      <c r="A5345" s="49" t="s">
        <v>674</v>
      </c>
      <c r="B5345" s="50">
        <v>44834.0</v>
      </c>
      <c r="C5345" s="49" t="s">
        <v>780</v>
      </c>
      <c r="D5345" s="49">
        <v>0.0</v>
      </c>
    </row>
    <row r="5346" ht="15.0" hidden="1" customHeight="1">
      <c r="A5346" s="49" t="s">
        <v>679</v>
      </c>
      <c r="B5346" s="50">
        <v>44834.0</v>
      </c>
      <c r="C5346" s="49" t="s">
        <v>780</v>
      </c>
      <c r="D5346" s="49">
        <v>0.0</v>
      </c>
    </row>
    <row r="5347" ht="15.0" hidden="1" customHeight="1">
      <c r="A5347" s="49" t="s">
        <v>684</v>
      </c>
      <c r="B5347" s="50">
        <v>44834.0</v>
      </c>
      <c r="C5347" s="49" t="s">
        <v>780</v>
      </c>
      <c r="D5347" s="49">
        <v>0.0</v>
      </c>
    </row>
    <row r="5348" ht="15.0" hidden="1" customHeight="1">
      <c r="A5348" s="49" t="s">
        <v>689</v>
      </c>
      <c r="B5348" s="50">
        <v>44834.0</v>
      </c>
      <c r="C5348" s="49" t="s">
        <v>780</v>
      </c>
      <c r="D5348" s="49">
        <v>0.0</v>
      </c>
    </row>
    <row r="5349" ht="15.0" hidden="1" customHeight="1">
      <c r="A5349" s="49" t="s">
        <v>694</v>
      </c>
      <c r="B5349" s="50">
        <v>44834.0</v>
      </c>
      <c r="C5349" s="49" t="s">
        <v>780</v>
      </c>
      <c r="D5349" s="49">
        <v>0.0</v>
      </c>
    </row>
    <row r="5350" ht="15.0" hidden="1" customHeight="1">
      <c r="A5350" s="49" t="s">
        <v>699</v>
      </c>
      <c r="B5350" s="50">
        <v>44834.0</v>
      </c>
      <c r="C5350" s="49" t="s">
        <v>780</v>
      </c>
      <c r="D5350" s="49">
        <v>0.0</v>
      </c>
    </row>
    <row r="5351" ht="15.0" hidden="1" customHeight="1">
      <c r="A5351" s="49" t="s">
        <v>705</v>
      </c>
      <c r="B5351" s="50">
        <v>44834.0</v>
      </c>
      <c r="C5351" s="49" t="s">
        <v>780</v>
      </c>
      <c r="D5351" s="49">
        <v>0.0</v>
      </c>
    </row>
    <row r="5352" ht="15.0" hidden="1" customHeight="1">
      <c r="A5352" s="49" t="s">
        <v>710</v>
      </c>
      <c r="B5352" s="50">
        <v>44834.0</v>
      </c>
      <c r="C5352" s="49" t="s">
        <v>780</v>
      </c>
      <c r="D5352" s="49">
        <v>0.0</v>
      </c>
    </row>
    <row r="5353" ht="15.0" hidden="1" customHeight="1">
      <c r="A5353" s="49" t="s">
        <v>715</v>
      </c>
      <c r="B5353" s="50">
        <v>44834.0</v>
      </c>
      <c r="C5353" s="49" t="s">
        <v>780</v>
      </c>
      <c r="D5353" s="49">
        <v>0.0</v>
      </c>
    </row>
    <row r="5354" ht="15.0" hidden="1" customHeight="1">
      <c r="A5354" s="49" t="s">
        <v>765</v>
      </c>
      <c r="B5354" s="50">
        <v>44834.0</v>
      </c>
      <c r="C5354" s="49" t="s">
        <v>780</v>
      </c>
      <c r="D5354" s="49">
        <v>0.0</v>
      </c>
    </row>
    <row r="5355" ht="15.0" hidden="1" customHeight="1">
      <c r="A5355" s="49" t="s">
        <v>720</v>
      </c>
      <c r="B5355" s="50">
        <v>44834.0</v>
      </c>
      <c r="C5355" s="49" t="s">
        <v>780</v>
      </c>
      <c r="D5355" s="49">
        <v>0.0</v>
      </c>
    </row>
    <row r="5356" ht="15.0" hidden="1" customHeight="1">
      <c r="A5356" s="49" t="s">
        <v>725</v>
      </c>
      <c r="B5356" s="50">
        <v>44834.0</v>
      </c>
      <c r="C5356" s="49" t="s">
        <v>780</v>
      </c>
      <c r="D5356" s="49">
        <v>0.0</v>
      </c>
    </row>
    <row r="5357" ht="15.0" hidden="1" customHeight="1">
      <c r="A5357" s="49" t="s">
        <v>730</v>
      </c>
      <c r="B5357" s="50">
        <v>44834.0</v>
      </c>
      <c r="C5357" s="49" t="s">
        <v>780</v>
      </c>
      <c r="D5357" s="49">
        <v>0.0</v>
      </c>
    </row>
    <row r="5358" ht="15.0" hidden="1" customHeight="1">
      <c r="A5358" s="49" t="s">
        <v>734</v>
      </c>
      <c r="B5358" s="50">
        <v>44834.0</v>
      </c>
      <c r="C5358" s="49" t="s">
        <v>780</v>
      </c>
      <c r="D5358" s="49">
        <v>0.0</v>
      </c>
    </row>
    <row r="5359" ht="15.0" hidden="1" customHeight="1">
      <c r="A5359" s="49" t="s">
        <v>739</v>
      </c>
      <c r="B5359" s="50">
        <v>44834.0</v>
      </c>
      <c r="C5359" s="49" t="s">
        <v>780</v>
      </c>
      <c r="D5359" s="49">
        <v>0.0</v>
      </c>
    </row>
    <row r="5360" ht="15.0" hidden="1" customHeight="1">
      <c r="A5360" s="49" t="s">
        <v>744</v>
      </c>
      <c r="B5360" s="50">
        <v>44834.0</v>
      </c>
      <c r="C5360" s="49" t="s">
        <v>780</v>
      </c>
      <c r="D5360" s="49">
        <v>0.0</v>
      </c>
    </row>
    <row r="5361" ht="15.0" hidden="1" customHeight="1">
      <c r="A5361" s="49" t="s">
        <v>749</v>
      </c>
      <c r="B5361" s="50">
        <v>44834.0</v>
      </c>
      <c r="C5361" s="49" t="s">
        <v>780</v>
      </c>
      <c r="D5361" s="49">
        <v>0.0</v>
      </c>
    </row>
    <row r="5362" ht="15.0" customHeight="1">
      <c r="A5362" s="49" t="s">
        <v>776</v>
      </c>
      <c r="B5362" s="50">
        <v>44926.0</v>
      </c>
      <c r="C5362" s="49" t="s">
        <v>777</v>
      </c>
      <c r="D5362" s="49">
        <v>0.0</v>
      </c>
    </row>
    <row r="5363" ht="15.0" hidden="1" customHeight="1">
      <c r="A5363" s="49" t="s">
        <v>778</v>
      </c>
      <c r="B5363" s="50">
        <v>44926.0</v>
      </c>
      <c r="C5363" s="49" t="s">
        <v>777</v>
      </c>
      <c r="D5363" s="49">
        <v>0.0</v>
      </c>
    </row>
    <row r="5364" ht="15.0" hidden="1" customHeight="1">
      <c r="A5364" s="49" t="s">
        <v>92</v>
      </c>
      <c r="B5364" s="50">
        <v>44926.0</v>
      </c>
      <c r="C5364" s="49" t="s">
        <v>777</v>
      </c>
      <c r="D5364" s="49">
        <v>0.0</v>
      </c>
    </row>
    <row r="5365" ht="15.0" hidden="1" customHeight="1">
      <c r="A5365" s="49" t="s">
        <v>97</v>
      </c>
      <c r="B5365" s="50">
        <v>44926.0</v>
      </c>
      <c r="C5365" s="49" t="s">
        <v>777</v>
      </c>
      <c r="D5365" s="49">
        <v>0.0</v>
      </c>
    </row>
    <row r="5366" ht="15.0" hidden="1" customHeight="1">
      <c r="A5366" s="49" t="s">
        <v>102</v>
      </c>
      <c r="B5366" s="50">
        <v>44926.0</v>
      </c>
      <c r="C5366" s="49" t="s">
        <v>777</v>
      </c>
      <c r="D5366" s="49">
        <v>0.0</v>
      </c>
    </row>
    <row r="5367" ht="15.0" hidden="1" customHeight="1">
      <c r="A5367" s="49" t="s">
        <v>106</v>
      </c>
      <c r="B5367" s="50">
        <v>44926.0</v>
      </c>
      <c r="C5367" s="49" t="s">
        <v>777</v>
      </c>
      <c r="D5367" s="49">
        <v>0.0</v>
      </c>
    </row>
    <row r="5368" ht="15.0" hidden="1" customHeight="1">
      <c r="A5368" s="49" t="s">
        <v>111</v>
      </c>
      <c r="B5368" s="50">
        <v>44926.0</v>
      </c>
      <c r="C5368" s="49" t="s">
        <v>777</v>
      </c>
      <c r="D5368" s="49">
        <v>0.0</v>
      </c>
    </row>
    <row r="5369" ht="15.0" hidden="1" customHeight="1">
      <c r="A5369" s="49" t="s">
        <v>116</v>
      </c>
      <c r="B5369" s="50">
        <v>44926.0</v>
      </c>
      <c r="C5369" s="49" t="s">
        <v>777</v>
      </c>
      <c r="D5369" s="49">
        <v>0.0</v>
      </c>
    </row>
    <row r="5370" ht="15.0" hidden="1" customHeight="1">
      <c r="A5370" s="49" t="s">
        <v>120</v>
      </c>
      <c r="B5370" s="50">
        <v>44926.0</v>
      </c>
      <c r="C5370" s="49" t="s">
        <v>777</v>
      </c>
      <c r="D5370" s="49">
        <v>0.0</v>
      </c>
    </row>
    <row r="5371" ht="15.0" hidden="1" customHeight="1">
      <c r="A5371" s="49" t="s">
        <v>125</v>
      </c>
      <c r="B5371" s="50">
        <v>44926.0</v>
      </c>
      <c r="C5371" s="49" t="s">
        <v>777</v>
      </c>
      <c r="D5371" s="49">
        <v>0.0</v>
      </c>
    </row>
    <row r="5372" ht="15.0" hidden="1" customHeight="1">
      <c r="A5372" s="49" t="s">
        <v>130</v>
      </c>
      <c r="B5372" s="50">
        <v>44926.0</v>
      </c>
      <c r="C5372" s="49" t="s">
        <v>777</v>
      </c>
      <c r="D5372" s="49">
        <v>0.0</v>
      </c>
    </row>
    <row r="5373" ht="15.0" hidden="1" customHeight="1">
      <c r="A5373" s="49" t="s">
        <v>137</v>
      </c>
      <c r="B5373" s="50">
        <v>44926.0</v>
      </c>
      <c r="C5373" s="49" t="s">
        <v>777</v>
      </c>
      <c r="D5373" s="49">
        <v>0.0</v>
      </c>
    </row>
    <row r="5374" ht="15.0" hidden="1" customHeight="1">
      <c r="A5374" s="49" t="s">
        <v>142</v>
      </c>
      <c r="B5374" s="50">
        <v>44926.0</v>
      </c>
      <c r="C5374" s="49" t="s">
        <v>777</v>
      </c>
      <c r="D5374" s="49">
        <v>0.0</v>
      </c>
    </row>
    <row r="5375" ht="15.0" hidden="1" customHeight="1">
      <c r="A5375" s="49" t="s">
        <v>147</v>
      </c>
      <c r="B5375" s="50">
        <v>44926.0</v>
      </c>
      <c r="C5375" s="49" t="s">
        <v>777</v>
      </c>
      <c r="D5375" s="49">
        <v>0.0</v>
      </c>
    </row>
    <row r="5376" ht="15.0" hidden="1" customHeight="1">
      <c r="A5376" s="49" t="s">
        <v>152</v>
      </c>
      <c r="B5376" s="50">
        <v>44926.0</v>
      </c>
      <c r="C5376" s="49" t="s">
        <v>777</v>
      </c>
      <c r="D5376" s="49">
        <v>0.0</v>
      </c>
    </row>
    <row r="5377" ht="15.0" hidden="1" customHeight="1">
      <c r="A5377" s="49" t="s">
        <v>157</v>
      </c>
      <c r="B5377" s="50">
        <v>44926.0</v>
      </c>
      <c r="C5377" s="49" t="s">
        <v>777</v>
      </c>
      <c r="D5377" s="49">
        <v>0.0</v>
      </c>
    </row>
    <row r="5378" ht="15.0" hidden="1" customHeight="1">
      <c r="A5378" s="49" t="s">
        <v>162</v>
      </c>
      <c r="B5378" s="50">
        <v>44926.0</v>
      </c>
      <c r="C5378" s="49" t="s">
        <v>777</v>
      </c>
      <c r="D5378" s="49">
        <v>0.0</v>
      </c>
    </row>
    <row r="5379" ht="15.0" hidden="1" customHeight="1">
      <c r="A5379" s="49" t="s">
        <v>167</v>
      </c>
      <c r="B5379" s="50">
        <v>44926.0</v>
      </c>
      <c r="C5379" s="49" t="s">
        <v>777</v>
      </c>
      <c r="D5379" s="49">
        <v>0.0</v>
      </c>
    </row>
    <row r="5380" ht="15.0" hidden="1" customHeight="1">
      <c r="A5380" s="49" t="s">
        <v>172</v>
      </c>
      <c r="B5380" s="50">
        <v>44926.0</v>
      </c>
      <c r="C5380" s="49" t="s">
        <v>777</v>
      </c>
      <c r="D5380" s="49">
        <v>0.0</v>
      </c>
    </row>
    <row r="5381" ht="15.0" hidden="1" customHeight="1">
      <c r="A5381" s="49" t="s">
        <v>177</v>
      </c>
      <c r="B5381" s="50">
        <v>44926.0</v>
      </c>
      <c r="C5381" s="49" t="s">
        <v>777</v>
      </c>
      <c r="D5381" s="49">
        <v>0.0</v>
      </c>
    </row>
    <row r="5382" ht="15.0" hidden="1" customHeight="1">
      <c r="A5382" s="49" t="s">
        <v>182</v>
      </c>
      <c r="B5382" s="50">
        <v>44926.0</v>
      </c>
      <c r="C5382" s="49" t="s">
        <v>777</v>
      </c>
      <c r="D5382" s="49">
        <v>0.0</v>
      </c>
    </row>
    <row r="5383" ht="15.0" hidden="1" customHeight="1">
      <c r="A5383" s="49" t="s">
        <v>187</v>
      </c>
      <c r="B5383" s="50">
        <v>44926.0</v>
      </c>
      <c r="C5383" s="49" t="s">
        <v>777</v>
      </c>
      <c r="D5383" s="49">
        <v>0.0</v>
      </c>
    </row>
    <row r="5384" ht="15.0" hidden="1" customHeight="1">
      <c r="A5384" s="49" t="s">
        <v>192</v>
      </c>
      <c r="B5384" s="50">
        <v>44926.0</v>
      </c>
      <c r="C5384" s="49" t="s">
        <v>777</v>
      </c>
      <c r="D5384" s="49">
        <v>0.0</v>
      </c>
    </row>
    <row r="5385" ht="15.0" hidden="1" customHeight="1">
      <c r="A5385" s="49" t="s">
        <v>197</v>
      </c>
      <c r="B5385" s="50">
        <v>44926.0</v>
      </c>
      <c r="C5385" s="49" t="s">
        <v>777</v>
      </c>
      <c r="D5385" s="49">
        <v>0.0</v>
      </c>
    </row>
    <row r="5386" ht="15.0" hidden="1" customHeight="1">
      <c r="A5386" s="49" t="s">
        <v>202</v>
      </c>
      <c r="B5386" s="50">
        <v>44926.0</v>
      </c>
      <c r="C5386" s="49" t="s">
        <v>777</v>
      </c>
      <c r="D5386" s="49">
        <v>0.0</v>
      </c>
    </row>
    <row r="5387" ht="15.0" hidden="1" customHeight="1">
      <c r="A5387" s="49" t="s">
        <v>206</v>
      </c>
      <c r="B5387" s="50">
        <v>44926.0</v>
      </c>
      <c r="C5387" s="49" t="s">
        <v>777</v>
      </c>
      <c r="D5387" s="49">
        <v>0.0</v>
      </c>
    </row>
    <row r="5388" ht="15.0" hidden="1" customHeight="1">
      <c r="A5388" s="49" t="s">
        <v>211</v>
      </c>
      <c r="B5388" s="50">
        <v>44926.0</v>
      </c>
      <c r="C5388" s="49" t="s">
        <v>777</v>
      </c>
      <c r="D5388" s="49">
        <v>0.0</v>
      </c>
    </row>
    <row r="5389" ht="15.0" hidden="1" customHeight="1">
      <c r="A5389" s="49" t="s">
        <v>779</v>
      </c>
      <c r="B5389" s="50">
        <v>44926.0</v>
      </c>
      <c r="C5389" s="49" t="s">
        <v>777</v>
      </c>
      <c r="D5389" s="49">
        <v>0.0</v>
      </c>
    </row>
    <row r="5390" ht="15.0" hidden="1" customHeight="1">
      <c r="A5390" s="49" t="s">
        <v>221</v>
      </c>
      <c r="B5390" s="50">
        <v>44926.0</v>
      </c>
      <c r="C5390" s="49" t="s">
        <v>777</v>
      </c>
      <c r="D5390" s="49">
        <v>0.0</v>
      </c>
    </row>
    <row r="5391" ht="15.0" hidden="1" customHeight="1">
      <c r="A5391" s="49" t="s">
        <v>226</v>
      </c>
      <c r="B5391" s="50">
        <v>44926.0</v>
      </c>
      <c r="C5391" s="49" t="s">
        <v>777</v>
      </c>
      <c r="D5391" s="49">
        <v>0.0</v>
      </c>
    </row>
    <row r="5392" ht="15.0" hidden="1" customHeight="1">
      <c r="A5392" s="49" t="s">
        <v>231</v>
      </c>
      <c r="B5392" s="50">
        <v>44926.0</v>
      </c>
      <c r="C5392" s="49" t="s">
        <v>777</v>
      </c>
      <c r="D5392" s="49">
        <v>0.0</v>
      </c>
    </row>
    <row r="5393" ht="15.0" hidden="1" customHeight="1">
      <c r="A5393" s="49" t="s">
        <v>236</v>
      </c>
      <c r="B5393" s="50">
        <v>44926.0</v>
      </c>
      <c r="C5393" s="49" t="s">
        <v>777</v>
      </c>
      <c r="D5393" s="49">
        <v>0.0</v>
      </c>
    </row>
    <row r="5394" ht="15.0" hidden="1" customHeight="1">
      <c r="A5394" s="49" t="s">
        <v>242</v>
      </c>
      <c r="B5394" s="50">
        <v>44926.0</v>
      </c>
      <c r="C5394" s="49" t="s">
        <v>777</v>
      </c>
      <c r="D5394" s="49">
        <v>0.0</v>
      </c>
    </row>
    <row r="5395" ht="15.0" hidden="1" customHeight="1">
      <c r="A5395" s="49" t="s">
        <v>248</v>
      </c>
      <c r="B5395" s="50">
        <v>44926.0</v>
      </c>
      <c r="C5395" s="49" t="s">
        <v>777</v>
      </c>
      <c r="D5395" s="49">
        <v>0.0</v>
      </c>
    </row>
    <row r="5396" ht="15.0" hidden="1" customHeight="1">
      <c r="A5396" s="49" t="s">
        <v>253</v>
      </c>
      <c r="B5396" s="50">
        <v>44926.0</v>
      </c>
      <c r="C5396" s="49" t="s">
        <v>777</v>
      </c>
      <c r="D5396" s="49">
        <v>0.0</v>
      </c>
    </row>
    <row r="5397" ht="15.0" hidden="1" customHeight="1">
      <c r="A5397" s="49" t="s">
        <v>258</v>
      </c>
      <c r="B5397" s="50">
        <v>44926.0</v>
      </c>
      <c r="C5397" s="49" t="s">
        <v>777</v>
      </c>
      <c r="D5397" s="49">
        <v>0.0</v>
      </c>
    </row>
    <row r="5398" ht="15.0" hidden="1" customHeight="1">
      <c r="A5398" s="49" t="s">
        <v>263</v>
      </c>
      <c r="B5398" s="50">
        <v>44926.0</v>
      </c>
      <c r="C5398" s="49" t="s">
        <v>777</v>
      </c>
      <c r="D5398" s="49">
        <v>0.0</v>
      </c>
    </row>
    <row r="5399" ht="15.0" hidden="1" customHeight="1">
      <c r="A5399" s="49" t="s">
        <v>268</v>
      </c>
      <c r="B5399" s="50">
        <v>44926.0</v>
      </c>
      <c r="C5399" s="49" t="s">
        <v>777</v>
      </c>
      <c r="D5399" s="49">
        <v>0.0</v>
      </c>
    </row>
    <row r="5400" ht="15.0" hidden="1" customHeight="1">
      <c r="A5400" s="49" t="s">
        <v>273</v>
      </c>
      <c r="B5400" s="50">
        <v>44926.0</v>
      </c>
      <c r="C5400" s="49" t="s">
        <v>777</v>
      </c>
      <c r="D5400" s="49">
        <v>0.0</v>
      </c>
    </row>
    <row r="5401" ht="15.0" hidden="1" customHeight="1">
      <c r="A5401" s="49" t="s">
        <v>278</v>
      </c>
      <c r="B5401" s="50">
        <v>44926.0</v>
      </c>
      <c r="C5401" s="49" t="s">
        <v>777</v>
      </c>
      <c r="D5401" s="49">
        <v>0.0</v>
      </c>
    </row>
    <row r="5402" ht="15.0" hidden="1" customHeight="1">
      <c r="A5402" s="49" t="s">
        <v>283</v>
      </c>
      <c r="B5402" s="50">
        <v>44926.0</v>
      </c>
      <c r="C5402" s="49" t="s">
        <v>777</v>
      </c>
      <c r="D5402" s="49">
        <v>0.0</v>
      </c>
    </row>
    <row r="5403" ht="15.0" hidden="1" customHeight="1">
      <c r="A5403" s="49" t="s">
        <v>288</v>
      </c>
      <c r="B5403" s="50">
        <v>44926.0</v>
      </c>
      <c r="C5403" s="49" t="s">
        <v>777</v>
      </c>
      <c r="D5403" s="49">
        <v>0.0</v>
      </c>
    </row>
    <row r="5404" ht="15.0" hidden="1" customHeight="1">
      <c r="A5404" s="49" t="s">
        <v>293</v>
      </c>
      <c r="B5404" s="50">
        <v>44926.0</v>
      </c>
      <c r="C5404" s="49" t="s">
        <v>777</v>
      </c>
      <c r="D5404" s="49">
        <v>0.0</v>
      </c>
    </row>
    <row r="5405" ht="15.0" hidden="1" customHeight="1">
      <c r="A5405" s="49" t="s">
        <v>298</v>
      </c>
      <c r="B5405" s="50">
        <v>44926.0</v>
      </c>
      <c r="C5405" s="49" t="s">
        <v>777</v>
      </c>
      <c r="D5405" s="49">
        <v>0.0</v>
      </c>
    </row>
    <row r="5406" ht="15.0" hidden="1" customHeight="1">
      <c r="A5406" s="49" t="s">
        <v>303</v>
      </c>
      <c r="B5406" s="50">
        <v>44926.0</v>
      </c>
      <c r="C5406" s="49" t="s">
        <v>777</v>
      </c>
      <c r="D5406" s="49">
        <v>0.0</v>
      </c>
    </row>
    <row r="5407" ht="15.0" hidden="1" customHeight="1">
      <c r="A5407" s="49" t="s">
        <v>307</v>
      </c>
      <c r="B5407" s="50">
        <v>44926.0</v>
      </c>
      <c r="C5407" s="49" t="s">
        <v>777</v>
      </c>
      <c r="D5407" s="49">
        <v>0.0</v>
      </c>
    </row>
    <row r="5408" ht="15.0" hidden="1" customHeight="1">
      <c r="A5408" s="49" t="s">
        <v>313</v>
      </c>
      <c r="B5408" s="50">
        <v>44926.0</v>
      </c>
      <c r="C5408" s="49" t="s">
        <v>777</v>
      </c>
      <c r="D5408" s="49">
        <v>0.0</v>
      </c>
    </row>
    <row r="5409" ht="15.0" hidden="1" customHeight="1">
      <c r="A5409" s="49" t="s">
        <v>318</v>
      </c>
      <c r="B5409" s="50">
        <v>44926.0</v>
      </c>
      <c r="C5409" s="49" t="s">
        <v>777</v>
      </c>
      <c r="D5409" s="49">
        <v>0.0</v>
      </c>
    </row>
    <row r="5410" ht="15.0" hidden="1" customHeight="1">
      <c r="A5410" s="49" t="s">
        <v>323</v>
      </c>
      <c r="B5410" s="50">
        <v>44926.0</v>
      </c>
      <c r="C5410" s="49" t="s">
        <v>777</v>
      </c>
      <c r="D5410" s="49">
        <v>0.0</v>
      </c>
    </row>
    <row r="5411" ht="15.0" hidden="1" customHeight="1">
      <c r="A5411" s="49" t="s">
        <v>328</v>
      </c>
      <c r="B5411" s="50">
        <v>44926.0</v>
      </c>
      <c r="C5411" s="49" t="s">
        <v>777</v>
      </c>
      <c r="D5411" s="49">
        <v>0.0</v>
      </c>
    </row>
    <row r="5412" ht="15.0" hidden="1" customHeight="1">
      <c r="A5412" s="49" t="s">
        <v>335</v>
      </c>
      <c r="B5412" s="50">
        <v>44926.0</v>
      </c>
      <c r="C5412" s="49" t="s">
        <v>777</v>
      </c>
      <c r="D5412" s="49">
        <v>0.0</v>
      </c>
    </row>
    <row r="5413" ht="15.0" hidden="1" customHeight="1">
      <c r="A5413" s="49" t="s">
        <v>340</v>
      </c>
      <c r="B5413" s="50">
        <v>44926.0</v>
      </c>
      <c r="C5413" s="49" t="s">
        <v>777</v>
      </c>
      <c r="D5413" s="49">
        <v>0.0</v>
      </c>
    </row>
    <row r="5414" ht="15.0" hidden="1" customHeight="1">
      <c r="A5414" s="49" t="s">
        <v>345</v>
      </c>
      <c r="B5414" s="50">
        <v>44926.0</v>
      </c>
      <c r="C5414" s="49" t="s">
        <v>777</v>
      </c>
      <c r="D5414" s="49">
        <v>50000.0</v>
      </c>
    </row>
    <row r="5415" ht="15.0" hidden="1" customHeight="1">
      <c r="A5415" s="49" t="s">
        <v>350</v>
      </c>
      <c r="B5415" s="50">
        <v>44926.0</v>
      </c>
      <c r="C5415" s="49" t="s">
        <v>777</v>
      </c>
      <c r="D5415" s="49">
        <v>3252000.0</v>
      </c>
    </row>
    <row r="5416" ht="15.0" hidden="1" customHeight="1">
      <c r="A5416" s="49" t="s">
        <v>355</v>
      </c>
      <c r="B5416" s="50">
        <v>44926.0</v>
      </c>
      <c r="C5416" s="49" t="s">
        <v>777</v>
      </c>
      <c r="D5416" s="49">
        <v>2543605.42</v>
      </c>
    </row>
    <row r="5417" ht="15.0" hidden="1" customHeight="1">
      <c r="A5417" s="49" t="s">
        <v>360</v>
      </c>
      <c r="B5417" s="50">
        <v>44926.0</v>
      </c>
      <c r="C5417" s="49" t="s">
        <v>777</v>
      </c>
      <c r="D5417" s="49">
        <v>361000.0</v>
      </c>
    </row>
    <row r="5418" ht="15.0" hidden="1" customHeight="1">
      <c r="A5418" s="49" t="s">
        <v>365</v>
      </c>
      <c r="B5418" s="50">
        <v>44926.0</v>
      </c>
      <c r="C5418" s="49" t="s">
        <v>777</v>
      </c>
      <c r="D5418" s="49">
        <v>0.0</v>
      </c>
    </row>
    <row r="5419" ht="15.0" hidden="1" customHeight="1">
      <c r="A5419" s="49" t="s">
        <v>370</v>
      </c>
      <c r="B5419" s="50">
        <v>44926.0</v>
      </c>
      <c r="C5419" s="49" t="s">
        <v>777</v>
      </c>
      <c r="D5419" s="49">
        <v>0.0</v>
      </c>
    </row>
    <row r="5420" ht="15.0" hidden="1" customHeight="1">
      <c r="A5420" s="49" t="s">
        <v>375</v>
      </c>
      <c r="B5420" s="50">
        <v>44926.0</v>
      </c>
      <c r="C5420" s="49" t="s">
        <v>777</v>
      </c>
      <c r="D5420" s="49">
        <v>0.0</v>
      </c>
    </row>
    <row r="5421" ht="15.0" hidden="1" customHeight="1">
      <c r="A5421" s="49" t="s">
        <v>380</v>
      </c>
      <c r="B5421" s="50">
        <v>44926.0</v>
      </c>
      <c r="C5421" s="49" t="s">
        <v>777</v>
      </c>
      <c r="D5421" s="49">
        <v>0.0</v>
      </c>
    </row>
    <row r="5422" ht="15.0" hidden="1" customHeight="1">
      <c r="A5422" s="49" t="s">
        <v>385</v>
      </c>
      <c r="B5422" s="50">
        <v>44926.0</v>
      </c>
      <c r="C5422" s="49" t="s">
        <v>777</v>
      </c>
      <c r="D5422" s="49">
        <v>0.0</v>
      </c>
    </row>
    <row r="5423" ht="15.0" hidden="1" customHeight="1">
      <c r="A5423" s="49" t="s">
        <v>390</v>
      </c>
      <c r="B5423" s="50">
        <v>44926.0</v>
      </c>
      <c r="C5423" s="49" t="s">
        <v>777</v>
      </c>
      <c r="D5423" s="49">
        <v>0.0</v>
      </c>
    </row>
    <row r="5424" ht="15.0" hidden="1" customHeight="1">
      <c r="A5424" s="49" t="s">
        <v>395</v>
      </c>
      <c r="B5424" s="50">
        <v>44926.0</v>
      </c>
      <c r="C5424" s="49" t="s">
        <v>777</v>
      </c>
      <c r="D5424" s="49">
        <v>0.0</v>
      </c>
    </row>
    <row r="5425" ht="15.0" hidden="1" customHeight="1">
      <c r="A5425" s="49" t="s">
        <v>400</v>
      </c>
      <c r="B5425" s="50">
        <v>44926.0</v>
      </c>
      <c r="C5425" s="49" t="s">
        <v>777</v>
      </c>
      <c r="D5425" s="49">
        <v>0.0</v>
      </c>
    </row>
    <row r="5426" ht="15.0" hidden="1" customHeight="1">
      <c r="A5426" s="49" t="s">
        <v>405</v>
      </c>
      <c r="B5426" s="50">
        <v>44926.0</v>
      </c>
      <c r="C5426" s="49" t="s">
        <v>777</v>
      </c>
      <c r="D5426" s="49">
        <v>0.0</v>
      </c>
    </row>
    <row r="5427" ht="15.0" hidden="1" customHeight="1">
      <c r="A5427" s="49" t="s">
        <v>410</v>
      </c>
      <c r="B5427" s="50">
        <v>44926.0</v>
      </c>
      <c r="C5427" s="49" t="s">
        <v>777</v>
      </c>
      <c r="D5427" s="49">
        <v>0.0</v>
      </c>
    </row>
    <row r="5428" ht="15.0" hidden="1" customHeight="1">
      <c r="A5428" s="49" t="s">
        <v>415</v>
      </c>
      <c r="B5428" s="50">
        <v>44926.0</v>
      </c>
      <c r="C5428" s="49" t="s">
        <v>777</v>
      </c>
      <c r="D5428" s="49">
        <v>0.0</v>
      </c>
    </row>
    <row r="5429" ht="15.0" hidden="1" customHeight="1">
      <c r="A5429" s="49" t="s">
        <v>420</v>
      </c>
      <c r="B5429" s="50">
        <v>44926.0</v>
      </c>
      <c r="C5429" s="49" t="s">
        <v>777</v>
      </c>
      <c r="D5429" s="49">
        <v>0.0</v>
      </c>
    </row>
    <row r="5430" ht="15.0" hidden="1" customHeight="1">
      <c r="A5430" s="49" t="s">
        <v>425</v>
      </c>
      <c r="B5430" s="50">
        <v>44926.0</v>
      </c>
      <c r="C5430" s="49" t="s">
        <v>777</v>
      </c>
      <c r="D5430" s="49">
        <v>0.0</v>
      </c>
    </row>
    <row r="5431" ht="15.0" hidden="1" customHeight="1">
      <c r="A5431" s="49" t="s">
        <v>430</v>
      </c>
      <c r="B5431" s="50">
        <v>44926.0</v>
      </c>
      <c r="C5431" s="49" t="s">
        <v>777</v>
      </c>
      <c r="D5431" s="49">
        <v>0.0</v>
      </c>
    </row>
    <row r="5432" ht="15.0" hidden="1" customHeight="1">
      <c r="A5432" s="49" t="s">
        <v>434</v>
      </c>
      <c r="B5432" s="50">
        <v>44926.0</v>
      </c>
      <c r="C5432" s="49" t="s">
        <v>777</v>
      </c>
      <c r="D5432" s="49">
        <v>0.0</v>
      </c>
    </row>
    <row r="5433" ht="15.0" hidden="1" customHeight="1">
      <c r="A5433" s="49" t="s">
        <v>439</v>
      </c>
      <c r="B5433" s="50">
        <v>44926.0</v>
      </c>
      <c r="C5433" s="49" t="s">
        <v>777</v>
      </c>
      <c r="D5433" s="49">
        <v>0.0</v>
      </c>
    </row>
    <row r="5434" ht="15.0" hidden="1" customHeight="1">
      <c r="A5434" s="49" t="s">
        <v>444</v>
      </c>
      <c r="B5434" s="50">
        <v>44926.0</v>
      </c>
      <c r="C5434" s="49" t="s">
        <v>777</v>
      </c>
      <c r="D5434" s="49">
        <v>0.0</v>
      </c>
    </row>
    <row r="5435" ht="15.0" hidden="1" customHeight="1">
      <c r="A5435" s="49" t="s">
        <v>449</v>
      </c>
      <c r="B5435" s="50">
        <v>44926.0</v>
      </c>
      <c r="C5435" s="49" t="s">
        <v>777</v>
      </c>
      <c r="D5435" s="49">
        <v>0.0</v>
      </c>
    </row>
    <row r="5436" ht="15.0" hidden="1" customHeight="1">
      <c r="A5436" s="49" t="s">
        <v>455</v>
      </c>
      <c r="B5436" s="50">
        <v>44926.0</v>
      </c>
      <c r="C5436" s="49" t="s">
        <v>777</v>
      </c>
      <c r="D5436" s="49">
        <v>0.0</v>
      </c>
    </row>
    <row r="5437" ht="15.0" hidden="1" customHeight="1">
      <c r="A5437" s="49" t="s">
        <v>470</v>
      </c>
      <c r="B5437" s="50">
        <v>44926.0</v>
      </c>
      <c r="C5437" s="49" t="s">
        <v>777</v>
      </c>
      <c r="D5437" s="49">
        <v>0.0</v>
      </c>
    </row>
    <row r="5438" ht="15.0" hidden="1" customHeight="1">
      <c r="A5438" s="49" t="s">
        <v>476</v>
      </c>
      <c r="B5438" s="50">
        <v>44926.0</v>
      </c>
      <c r="C5438" s="49" t="s">
        <v>777</v>
      </c>
      <c r="D5438" s="49">
        <v>0.0</v>
      </c>
    </row>
    <row r="5439" ht="15.0" hidden="1" customHeight="1">
      <c r="A5439" s="49" t="s">
        <v>481</v>
      </c>
      <c r="B5439" s="50">
        <v>44926.0</v>
      </c>
      <c r="C5439" s="49" t="s">
        <v>777</v>
      </c>
      <c r="D5439" s="49">
        <v>0.0</v>
      </c>
    </row>
    <row r="5440" ht="15.0" hidden="1" customHeight="1">
      <c r="A5440" s="49" t="s">
        <v>486</v>
      </c>
      <c r="B5440" s="50">
        <v>44926.0</v>
      </c>
      <c r="C5440" s="49" t="s">
        <v>777</v>
      </c>
      <c r="D5440" s="49">
        <v>0.0</v>
      </c>
    </row>
    <row r="5441" ht="15.0" hidden="1" customHeight="1">
      <c r="A5441" s="49" t="s">
        <v>491</v>
      </c>
      <c r="B5441" s="50">
        <v>44926.0</v>
      </c>
      <c r="C5441" s="49" t="s">
        <v>777</v>
      </c>
      <c r="D5441" s="49">
        <v>0.0</v>
      </c>
    </row>
    <row r="5442" ht="15.0" hidden="1" customHeight="1">
      <c r="A5442" s="49" t="s">
        <v>496</v>
      </c>
      <c r="B5442" s="50">
        <v>44926.0</v>
      </c>
      <c r="C5442" s="49" t="s">
        <v>777</v>
      </c>
      <c r="D5442" s="49">
        <v>0.0</v>
      </c>
    </row>
    <row r="5443" ht="15.0" hidden="1" customHeight="1">
      <c r="A5443" s="49" t="s">
        <v>501</v>
      </c>
      <c r="B5443" s="50">
        <v>44926.0</v>
      </c>
      <c r="C5443" s="49" t="s">
        <v>777</v>
      </c>
      <c r="D5443" s="49">
        <v>0.0</v>
      </c>
    </row>
    <row r="5444" ht="15.0" hidden="1" customHeight="1">
      <c r="A5444" s="49" t="s">
        <v>506</v>
      </c>
      <c r="B5444" s="50">
        <v>44926.0</v>
      </c>
      <c r="C5444" s="49" t="s">
        <v>777</v>
      </c>
      <c r="D5444" s="49">
        <v>0.0</v>
      </c>
    </row>
    <row r="5445" ht="15.0" hidden="1" customHeight="1">
      <c r="A5445" s="49" t="s">
        <v>512</v>
      </c>
      <c r="B5445" s="50">
        <v>44926.0</v>
      </c>
      <c r="C5445" s="49" t="s">
        <v>777</v>
      </c>
      <c r="D5445" s="49">
        <v>0.0</v>
      </c>
    </row>
    <row r="5446" ht="15.0" hidden="1" customHeight="1">
      <c r="A5446" s="49" t="s">
        <v>517</v>
      </c>
      <c r="B5446" s="50">
        <v>44926.0</v>
      </c>
      <c r="C5446" s="49" t="s">
        <v>777</v>
      </c>
      <c r="D5446" s="49">
        <v>0.0</v>
      </c>
    </row>
    <row r="5447" ht="15.0" hidden="1" customHeight="1">
      <c r="A5447" s="49" t="s">
        <v>522</v>
      </c>
      <c r="B5447" s="50">
        <v>44926.0</v>
      </c>
      <c r="C5447" s="49" t="s">
        <v>777</v>
      </c>
      <c r="D5447" s="49">
        <v>0.0</v>
      </c>
    </row>
    <row r="5448" ht="15.0" hidden="1" customHeight="1">
      <c r="A5448" s="49" t="s">
        <v>528</v>
      </c>
      <c r="B5448" s="50">
        <v>44926.0</v>
      </c>
      <c r="C5448" s="49" t="s">
        <v>777</v>
      </c>
      <c r="D5448" s="49">
        <v>0.0</v>
      </c>
    </row>
    <row r="5449" ht="15.0" hidden="1" customHeight="1">
      <c r="A5449" s="49" t="s">
        <v>533</v>
      </c>
      <c r="B5449" s="50">
        <v>44926.0</v>
      </c>
      <c r="C5449" s="49" t="s">
        <v>777</v>
      </c>
      <c r="D5449" s="49">
        <v>0.0</v>
      </c>
    </row>
    <row r="5450" ht="15.0" hidden="1" customHeight="1">
      <c r="A5450" s="49" t="s">
        <v>538</v>
      </c>
      <c r="B5450" s="50">
        <v>44926.0</v>
      </c>
      <c r="C5450" s="49" t="s">
        <v>777</v>
      </c>
      <c r="D5450" s="49">
        <v>0.0</v>
      </c>
    </row>
    <row r="5451" ht="15.0" hidden="1" customHeight="1">
      <c r="A5451" s="49" t="s">
        <v>546</v>
      </c>
      <c r="B5451" s="50">
        <v>44926.0</v>
      </c>
      <c r="C5451" s="49" t="s">
        <v>777</v>
      </c>
      <c r="D5451" s="49">
        <v>0.0</v>
      </c>
    </row>
    <row r="5452" ht="15.0" hidden="1" customHeight="1">
      <c r="A5452" s="49" t="s">
        <v>551</v>
      </c>
      <c r="B5452" s="50">
        <v>44926.0</v>
      </c>
      <c r="C5452" s="49" t="s">
        <v>777</v>
      </c>
      <c r="D5452" s="49">
        <v>0.0</v>
      </c>
    </row>
    <row r="5453" ht="15.0" hidden="1" customHeight="1">
      <c r="A5453" s="49" t="s">
        <v>556</v>
      </c>
      <c r="B5453" s="50">
        <v>44926.0</v>
      </c>
      <c r="C5453" s="49" t="s">
        <v>777</v>
      </c>
      <c r="D5453" s="49">
        <v>0.0</v>
      </c>
    </row>
    <row r="5454" ht="15.0" hidden="1" customHeight="1">
      <c r="A5454" s="49" t="s">
        <v>561</v>
      </c>
      <c r="B5454" s="50">
        <v>44926.0</v>
      </c>
      <c r="C5454" s="49" t="s">
        <v>777</v>
      </c>
      <c r="D5454" s="49">
        <v>0.0</v>
      </c>
    </row>
    <row r="5455" ht="15.0" hidden="1" customHeight="1">
      <c r="A5455" s="49" t="s">
        <v>566</v>
      </c>
      <c r="B5455" s="50">
        <v>44926.0</v>
      </c>
      <c r="C5455" s="49" t="s">
        <v>777</v>
      </c>
      <c r="D5455" s="49">
        <v>0.0</v>
      </c>
    </row>
    <row r="5456" ht="15.0" hidden="1" customHeight="1">
      <c r="A5456" s="49" t="s">
        <v>571</v>
      </c>
      <c r="B5456" s="50">
        <v>44926.0</v>
      </c>
      <c r="C5456" s="49" t="s">
        <v>777</v>
      </c>
      <c r="D5456" s="49">
        <v>0.0</v>
      </c>
    </row>
    <row r="5457" ht="15.0" hidden="1" customHeight="1">
      <c r="A5457" s="49" t="s">
        <v>576</v>
      </c>
      <c r="B5457" s="50">
        <v>44926.0</v>
      </c>
      <c r="C5457" s="49" t="s">
        <v>777</v>
      </c>
      <c r="D5457" s="49">
        <v>0.0</v>
      </c>
    </row>
    <row r="5458" ht="15.0" hidden="1" customHeight="1">
      <c r="A5458" s="49" t="s">
        <v>581</v>
      </c>
      <c r="B5458" s="50">
        <v>44926.0</v>
      </c>
      <c r="C5458" s="49" t="s">
        <v>777</v>
      </c>
      <c r="D5458" s="49">
        <v>0.0</v>
      </c>
    </row>
    <row r="5459" ht="15.0" hidden="1" customHeight="1">
      <c r="A5459" s="49" t="s">
        <v>586</v>
      </c>
      <c r="B5459" s="50">
        <v>44926.0</v>
      </c>
      <c r="C5459" s="49" t="s">
        <v>777</v>
      </c>
      <c r="D5459" s="49">
        <v>0.0</v>
      </c>
    </row>
    <row r="5460" ht="15.0" hidden="1" customHeight="1">
      <c r="A5460" s="49" t="s">
        <v>754</v>
      </c>
      <c r="B5460" s="50">
        <v>44926.0</v>
      </c>
      <c r="C5460" s="49" t="s">
        <v>777</v>
      </c>
      <c r="D5460" s="49">
        <v>0.0</v>
      </c>
    </row>
    <row r="5461" ht="15.0" hidden="1" customHeight="1">
      <c r="A5461" s="49" t="s">
        <v>591</v>
      </c>
      <c r="B5461" s="50">
        <v>44926.0</v>
      </c>
      <c r="C5461" s="49" t="s">
        <v>777</v>
      </c>
      <c r="D5461" s="49">
        <v>0.0</v>
      </c>
    </row>
    <row r="5462" ht="15.0" hidden="1" customHeight="1">
      <c r="A5462" s="49" t="s">
        <v>759</v>
      </c>
      <c r="B5462" s="50">
        <v>44926.0</v>
      </c>
      <c r="C5462" s="49" t="s">
        <v>777</v>
      </c>
      <c r="D5462" s="49">
        <v>0.0</v>
      </c>
    </row>
    <row r="5463" ht="15.0" hidden="1" customHeight="1">
      <c r="A5463" s="49" t="s">
        <v>596</v>
      </c>
      <c r="B5463" s="50">
        <v>44926.0</v>
      </c>
      <c r="C5463" s="49" t="s">
        <v>777</v>
      </c>
      <c r="D5463" s="49">
        <v>0.0</v>
      </c>
    </row>
    <row r="5464" ht="15.0" hidden="1" customHeight="1">
      <c r="A5464" s="49" t="s">
        <v>602</v>
      </c>
      <c r="B5464" s="50">
        <v>44926.0</v>
      </c>
      <c r="C5464" s="49" t="s">
        <v>777</v>
      </c>
      <c r="D5464" s="49">
        <v>0.0</v>
      </c>
    </row>
    <row r="5465" ht="15.0" hidden="1" customHeight="1">
      <c r="A5465" s="49" t="s">
        <v>607</v>
      </c>
      <c r="B5465" s="50">
        <v>44926.0</v>
      </c>
      <c r="C5465" s="49" t="s">
        <v>777</v>
      </c>
      <c r="D5465" s="49">
        <v>0.0</v>
      </c>
    </row>
    <row r="5466" ht="15.0" hidden="1" customHeight="1">
      <c r="A5466" s="49" t="s">
        <v>612</v>
      </c>
      <c r="B5466" s="50">
        <v>44926.0</v>
      </c>
      <c r="C5466" s="49" t="s">
        <v>777</v>
      </c>
      <c r="D5466" s="49">
        <v>0.0</v>
      </c>
    </row>
    <row r="5467" ht="15.0" hidden="1" customHeight="1">
      <c r="A5467" s="49" t="s">
        <v>617</v>
      </c>
      <c r="B5467" s="50">
        <v>44926.0</v>
      </c>
      <c r="C5467" s="49" t="s">
        <v>777</v>
      </c>
      <c r="D5467" s="49">
        <v>0.0</v>
      </c>
    </row>
    <row r="5468" ht="15.0" hidden="1" customHeight="1">
      <c r="A5468" s="49" t="s">
        <v>622</v>
      </c>
      <c r="B5468" s="50">
        <v>44926.0</v>
      </c>
      <c r="C5468" s="49" t="s">
        <v>777</v>
      </c>
      <c r="D5468" s="49">
        <v>0.0</v>
      </c>
    </row>
    <row r="5469" ht="15.0" hidden="1" customHeight="1">
      <c r="A5469" s="49" t="s">
        <v>627</v>
      </c>
      <c r="B5469" s="50">
        <v>44926.0</v>
      </c>
      <c r="C5469" s="49" t="s">
        <v>777</v>
      </c>
      <c r="D5469" s="49">
        <v>0.0</v>
      </c>
    </row>
    <row r="5470" ht="15.0" hidden="1" customHeight="1">
      <c r="A5470" s="49" t="s">
        <v>631</v>
      </c>
      <c r="B5470" s="50">
        <v>44926.0</v>
      </c>
      <c r="C5470" s="49" t="s">
        <v>777</v>
      </c>
      <c r="D5470" s="49">
        <v>0.0</v>
      </c>
    </row>
    <row r="5471" ht="15.0" hidden="1" customHeight="1">
      <c r="A5471" s="49" t="s">
        <v>636</v>
      </c>
      <c r="B5471" s="50">
        <v>44926.0</v>
      </c>
      <c r="C5471" s="49" t="s">
        <v>777</v>
      </c>
      <c r="D5471" s="49">
        <v>0.0</v>
      </c>
    </row>
    <row r="5472" ht="15.0" hidden="1" customHeight="1">
      <c r="A5472" s="49" t="s">
        <v>640</v>
      </c>
      <c r="B5472" s="50">
        <v>44926.0</v>
      </c>
      <c r="C5472" s="49" t="s">
        <v>777</v>
      </c>
      <c r="D5472" s="49">
        <v>0.0</v>
      </c>
    </row>
    <row r="5473" ht="15.0" hidden="1" customHeight="1">
      <c r="A5473" s="49" t="s">
        <v>644</v>
      </c>
      <c r="B5473" s="50">
        <v>44926.0</v>
      </c>
      <c r="C5473" s="49" t="s">
        <v>777</v>
      </c>
      <c r="D5473" s="49">
        <v>0.0</v>
      </c>
    </row>
    <row r="5474" ht="15.0" hidden="1" customHeight="1">
      <c r="A5474" s="49" t="s">
        <v>649</v>
      </c>
      <c r="B5474" s="50">
        <v>44926.0</v>
      </c>
      <c r="C5474" s="49" t="s">
        <v>777</v>
      </c>
      <c r="D5474" s="49">
        <v>0.0</v>
      </c>
    </row>
    <row r="5475" ht="15.0" hidden="1" customHeight="1">
      <c r="A5475" s="49" t="s">
        <v>654</v>
      </c>
      <c r="B5475" s="50">
        <v>44926.0</v>
      </c>
      <c r="C5475" s="49" t="s">
        <v>777</v>
      </c>
      <c r="D5475" s="49">
        <v>0.0</v>
      </c>
    </row>
    <row r="5476" ht="15.0" hidden="1" customHeight="1">
      <c r="A5476" s="49" t="s">
        <v>659</v>
      </c>
      <c r="B5476" s="50">
        <v>44926.0</v>
      </c>
      <c r="C5476" s="49" t="s">
        <v>777</v>
      </c>
      <c r="D5476" s="49">
        <v>0.0</v>
      </c>
    </row>
    <row r="5477" ht="15.0" hidden="1" customHeight="1">
      <c r="A5477" s="49" t="s">
        <v>664</v>
      </c>
      <c r="B5477" s="50">
        <v>44926.0</v>
      </c>
      <c r="C5477" s="49" t="s">
        <v>777</v>
      </c>
      <c r="D5477" s="49">
        <v>0.0</v>
      </c>
    </row>
    <row r="5478" ht="15.0" hidden="1" customHeight="1">
      <c r="A5478" s="49" t="s">
        <v>669</v>
      </c>
      <c r="B5478" s="50">
        <v>44926.0</v>
      </c>
      <c r="C5478" s="49" t="s">
        <v>777</v>
      </c>
      <c r="D5478" s="49">
        <v>0.0</v>
      </c>
    </row>
    <row r="5479" ht="15.0" hidden="1" customHeight="1">
      <c r="A5479" s="49" t="s">
        <v>674</v>
      </c>
      <c r="B5479" s="50">
        <v>44926.0</v>
      </c>
      <c r="C5479" s="49" t="s">
        <v>777</v>
      </c>
      <c r="D5479" s="49">
        <v>0.0</v>
      </c>
    </row>
    <row r="5480" ht="15.0" hidden="1" customHeight="1">
      <c r="A5480" s="49" t="s">
        <v>679</v>
      </c>
      <c r="B5480" s="50">
        <v>44926.0</v>
      </c>
      <c r="C5480" s="49" t="s">
        <v>777</v>
      </c>
      <c r="D5480" s="49">
        <v>0.0</v>
      </c>
    </row>
    <row r="5481" ht="15.0" hidden="1" customHeight="1">
      <c r="A5481" s="49" t="s">
        <v>684</v>
      </c>
      <c r="B5481" s="50">
        <v>44926.0</v>
      </c>
      <c r="C5481" s="49" t="s">
        <v>777</v>
      </c>
      <c r="D5481" s="49">
        <v>0.0</v>
      </c>
    </row>
    <row r="5482" ht="15.0" hidden="1" customHeight="1">
      <c r="A5482" s="49" t="s">
        <v>689</v>
      </c>
      <c r="B5482" s="50">
        <v>44926.0</v>
      </c>
      <c r="C5482" s="49" t="s">
        <v>777</v>
      </c>
      <c r="D5482" s="49">
        <v>0.0</v>
      </c>
    </row>
    <row r="5483" ht="15.0" hidden="1" customHeight="1">
      <c r="A5483" s="49" t="s">
        <v>694</v>
      </c>
      <c r="B5483" s="50">
        <v>44926.0</v>
      </c>
      <c r="C5483" s="49" t="s">
        <v>777</v>
      </c>
      <c r="D5483" s="49">
        <v>0.0</v>
      </c>
    </row>
    <row r="5484" ht="15.0" hidden="1" customHeight="1">
      <c r="A5484" s="49" t="s">
        <v>699</v>
      </c>
      <c r="B5484" s="50">
        <v>44926.0</v>
      </c>
      <c r="C5484" s="49" t="s">
        <v>777</v>
      </c>
      <c r="D5484" s="49">
        <v>0.0</v>
      </c>
    </row>
    <row r="5485" ht="15.0" hidden="1" customHeight="1">
      <c r="A5485" s="49" t="s">
        <v>705</v>
      </c>
      <c r="B5485" s="50">
        <v>44926.0</v>
      </c>
      <c r="C5485" s="49" t="s">
        <v>777</v>
      </c>
      <c r="D5485" s="49">
        <v>0.0</v>
      </c>
    </row>
    <row r="5486" ht="15.0" hidden="1" customHeight="1">
      <c r="A5486" s="49" t="s">
        <v>710</v>
      </c>
      <c r="B5486" s="50">
        <v>44926.0</v>
      </c>
      <c r="C5486" s="49" t="s">
        <v>777</v>
      </c>
      <c r="D5486" s="49">
        <v>0.0</v>
      </c>
    </row>
    <row r="5487" ht="15.0" hidden="1" customHeight="1">
      <c r="A5487" s="49" t="s">
        <v>715</v>
      </c>
      <c r="B5487" s="50">
        <v>44926.0</v>
      </c>
      <c r="C5487" s="49" t="s">
        <v>777</v>
      </c>
      <c r="D5487" s="49">
        <v>0.0</v>
      </c>
    </row>
    <row r="5488" ht="15.0" hidden="1" customHeight="1">
      <c r="A5488" s="49" t="s">
        <v>765</v>
      </c>
      <c r="B5488" s="50">
        <v>44926.0</v>
      </c>
      <c r="C5488" s="49" t="s">
        <v>777</v>
      </c>
      <c r="D5488" s="49">
        <v>0.0</v>
      </c>
    </row>
    <row r="5489" ht="15.0" hidden="1" customHeight="1">
      <c r="A5489" s="49" t="s">
        <v>720</v>
      </c>
      <c r="B5489" s="50">
        <v>44926.0</v>
      </c>
      <c r="C5489" s="49" t="s">
        <v>777</v>
      </c>
      <c r="D5489" s="49">
        <v>0.0</v>
      </c>
    </row>
    <row r="5490" ht="15.0" hidden="1" customHeight="1">
      <c r="A5490" s="49" t="s">
        <v>725</v>
      </c>
      <c r="B5490" s="50">
        <v>44926.0</v>
      </c>
      <c r="C5490" s="49" t="s">
        <v>777</v>
      </c>
      <c r="D5490" s="49">
        <v>0.0</v>
      </c>
    </row>
    <row r="5491" ht="15.0" hidden="1" customHeight="1">
      <c r="A5491" s="49" t="s">
        <v>730</v>
      </c>
      <c r="B5491" s="50">
        <v>44926.0</v>
      </c>
      <c r="C5491" s="49" t="s">
        <v>777</v>
      </c>
      <c r="D5491" s="49">
        <v>0.0</v>
      </c>
    </row>
    <row r="5492" ht="15.0" hidden="1" customHeight="1">
      <c r="A5492" s="49" t="s">
        <v>734</v>
      </c>
      <c r="B5492" s="50">
        <v>44926.0</v>
      </c>
      <c r="C5492" s="49" t="s">
        <v>777</v>
      </c>
      <c r="D5492" s="49">
        <v>0.0</v>
      </c>
    </row>
    <row r="5493" ht="15.0" hidden="1" customHeight="1">
      <c r="A5493" s="49" t="s">
        <v>739</v>
      </c>
      <c r="B5493" s="50">
        <v>44926.0</v>
      </c>
      <c r="C5493" s="49" t="s">
        <v>777</v>
      </c>
      <c r="D5493" s="49">
        <v>0.0</v>
      </c>
    </row>
    <row r="5494" ht="15.0" hidden="1" customHeight="1">
      <c r="A5494" s="49" t="s">
        <v>744</v>
      </c>
      <c r="B5494" s="50">
        <v>44926.0</v>
      </c>
      <c r="C5494" s="49" t="s">
        <v>777</v>
      </c>
      <c r="D5494" s="49">
        <v>0.0</v>
      </c>
    </row>
    <row r="5495" ht="15.0" hidden="1" customHeight="1">
      <c r="A5495" s="49" t="s">
        <v>749</v>
      </c>
      <c r="B5495" s="50">
        <v>44926.0</v>
      </c>
      <c r="C5495" s="49" t="s">
        <v>777</v>
      </c>
      <c r="D5495" s="49">
        <v>0.0</v>
      </c>
    </row>
    <row r="5496" ht="15.0" customHeight="1">
      <c r="A5496" s="49" t="s">
        <v>776</v>
      </c>
      <c r="B5496" s="50">
        <v>44926.0</v>
      </c>
      <c r="C5496" s="49" t="s">
        <v>78</v>
      </c>
      <c r="D5496" s="49">
        <v>0.0</v>
      </c>
    </row>
    <row r="5497" ht="15.0" hidden="1" customHeight="1">
      <c r="A5497" s="49" t="s">
        <v>778</v>
      </c>
      <c r="B5497" s="50">
        <v>44926.0</v>
      </c>
      <c r="C5497" s="49" t="s">
        <v>78</v>
      </c>
      <c r="D5497" s="49">
        <v>0.0</v>
      </c>
    </row>
    <row r="5498" ht="15.0" hidden="1" customHeight="1">
      <c r="A5498" s="49" t="s">
        <v>92</v>
      </c>
      <c r="B5498" s="50">
        <v>44926.0</v>
      </c>
      <c r="C5498" s="49" t="s">
        <v>78</v>
      </c>
      <c r="D5498" s="49">
        <v>0.0</v>
      </c>
    </row>
    <row r="5499" ht="15.0" hidden="1" customHeight="1">
      <c r="A5499" s="49" t="s">
        <v>97</v>
      </c>
      <c r="B5499" s="50">
        <v>44926.0</v>
      </c>
      <c r="C5499" s="49" t="s">
        <v>78</v>
      </c>
      <c r="D5499" s="49">
        <v>0.0</v>
      </c>
    </row>
    <row r="5500" ht="15.0" hidden="1" customHeight="1">
      <c r="A5500" s="49" t="s">
        <v>102</v>
      </c>
      <c r="B5500" s="50">
        <v>44926.0</v>
      </c>
      <c r="C5500" s="49" t="s">
        <v>78</v>
      </c>
      <c r="D5500" s="49">
        <v>0.0</v>
      </c>
    </row>
    <row r="5501" ht="15.0" hidden="1" customHeight="1">
      <c r="A5501" s="49" t="s">
        <v>106</v>
      </c>
      <c r="B5501" s="50">
        <v>44926.0</v>
      </c>
      <c r="C5501" s="49" t="s">
        <v>78</v>
      </c>
      <c r="D5501" s="49">
        <v>0.0</v>
      </c>
    </row>
    <row r="5502" ht="15.0" hidden="1" customHeight="1">
      <c r="A5502" s="49" t="s">
        <v>111</v>
      </c>
      <c r="B5502" s="50">
        <v>44926.0</v>
      </c>
      <c r="C5502" s="49" t="s">
        <v>78</v>
      </c>
      <c r="D5502" s="49">
        <v>0.0</v>
      </c>
    </row>
    <row r="5503" ht="15.0" hidden="1" customHeight="1">
      <c r="A5503" s="49" t="s">
        <v>116</v>
      </c>
      <c r="B5503" s="50">
        <v>44926.0</v>
      </c>
      <c r="C5503" s="49" t="s">
        <v>78</v>
      </c>
      <c r="D5503" s="49">
        <v>0.0</v>
      </c>
    </row>
    <row r="5504" ht="15.0" hidden="1" customHeight="1">
      <c r="A5504" s="49" t="s">
        <v>120</v>
      </c>
      <c r="B5504" s="50">
        <v>44926.0</v>
      </c>
      <c r="C5504" s="49" t="s">
        <v>78</v>
      </c>
      <c r="D5504" s="49">
        <v>0.0</v>
      </c>
    </row>
    <row r="5505" ht="15.0" hidden="1" customHeight="1">
      <c r="A5505" s="49" t="s">
        <v>125</v>
      </c>
      <c r="B5505" s="50">
        <v>44926.0</v>
      </c>
      <c r="C5505" s="49" t="s">
        <v>78</v>
      </c>
      <c r="D5505" s="49">
        <v>0.0</v>
      </c>
    </row>
    <row r="5506" ht="15.0" hidden="1" customHeight="1">
      <c r="A5506" s="49" t="s">
        <v>130</v>
      </c>
      <c r="B5506" s="50">
        <v>44926.0</v>
      </c>
      <c r="C5506" s="49" t="s">
        <v>78</v>
      </c>
      <c r="D5506" s="49">
        <v>0.0</v>
      </c>
    </row>
    <row r="5507" ht="15.0" hidden="1" customHeight="1">
      <c r="A5507" s="49" t="s">
        <v>137</v>
      </c>
      <c r="B5507" s="50">
        <v>44926.0</v>
      </c>
      <c r="C5507" s="49" t="s">
        <v>78</v>
      </c>
      <c r="D5507" s="49">
        <v>0.0</v>
      </c>
    </row>
    <row r="5508" ht="15.0" hidden="1" customHeight="1">
      <c r="A5508" s="49" t="s">
        <v>142</v>
      </c>
      <c r="B5508" s="50">
        <v>44926.0</v>
      </c>
      <c r="C5508" s="49" t="s">
        <v>78</v>
      </c>
      <c r="D5508" s="49">
        <v>0.0</v>
      </c>
    </row>
    <row r="5509" ht="15.0" hidden="1" customHeight="1">
      <c r="A5509" s="49" t="s">
        <v>147</v>
      </c>
      <c r="B5509" s="50">
        <v>44926.0</v>
      </c>
      <c r="C5509" s="49" t="s">
        <v>78</v>
      </c>
      <c r="D5509" s="49">
        <v>0.0</v>
      </c>
    </row>
    <row r="5510" ht="15.0" hidden="1" customHeight="1">
      <c r="A5510" s="49" t="s">
        <v>152</v>
      </c>
      <c r="B5510" s="50">
        <v>44926.0</v>
      </c>
      <c r="C5510" s="49" t="s">
        <v>78</v>
      </c>
      <c r="D5510" s="49">
        <v>0.0</v>
      </c>
    </row>
    <row r="5511" ht="15.0" hidden="1" customHeight="1">
      <c r="A5511" s="49" t="s">
        <v>157</v>
      </c>
      <c r="B5511" s="50">
        <v>44926.0</v>
      </c>
      <c r="C5511" s="49" t="s">
        <v>78</v>
      </c>
      <c r="D5511" s="49">
        <v>0.0</v>
      </c>
    </row>
    <row r="5512" ht="15.0" hidden="1" customHeight="1">
      <c r="A5512" s="49" t="s">
        <v>162</v>
      </c>
      <c r="B5512" s="50">
        <v>44926.0</v>
      </c>
      <c r="C5512" s="49" t="s">
        <v>78</v>
      </c>
      <c r="D5512" s="49">
        <v>0.0</v>
      </c>
    </row>
    <row r="5513" ht="15.0" hidden="1" customHeight="1">
      <c r="A5513" s="49" t="s">
        <v>167</v>
      </c>
      <c r="B5513" s="50">
        <v>44926.0</v>
      </c>
      <c r="C5513" s="49" t="s">
        <v>78</v>
      </c>
      <c r="D5513" s="49">
        <v>0.0</v>
      </c>
    </row>
    <row r="5514" ht="15.0" hidden="1" customHeight="1">
      <c r="A5514" s="49" t="s">
        <v>172</v>
      </c>
      <c r="B5514" s="50">
        <v>44926.0</v>
      </c>
      <c r="C5514" s="49" t="s">
        <v>78</v>
      </c>
      <c r="D5514" s="49">
        <v>0.0</v>
      </c>
    </row>
    <row r="5515" ht="15.0" hidden="1" customHeight="1">
      <c r="A5515" s="49" t="s">
        <v>177</v>
      </c>
      <c r="B5515" s="50">
        <v>44926.0</v>
      </c>
      <c r="C5515" s="49" t="s">
        <v>78</v>
      </c>
      <c r="D5515" s="49">
        <v>0.0</v>
      </c>
    </row>
    <row r="5516" ht="15.0" hidden="1" customHeight="1">
      <c r="A5516" s="49" t="s">
        <v>182</v>
      </c>
      <c r="B5516" s="50">
        <v>44926.0</v>
      </c>
      <c r="C5516" s="49" t="s">
        <v>78</v>
      </c>
      <c r="D5516" s="49">
        <v>0.0</v>
      </c>
    </row>
    <row r="5517" ht="15.0" hidden="1" customHeight="1">
      <c r="A5517" s="49" t="s">
        <v>187</v>
      </c>
      <c r="B5517" s="50">
        <v>44926.0</v>
      </c>
      <c r="C5517" s="49" t="s">
        <v>78</v>
      </c>
      <c r="D5517" s="49">
        <v>0.0</v>
      </c>
    </row>
    <row r="5518" ht="15.0" hidden="1" customHeight="1">
      <c r="A5518" s="49" t="s">
        <v>192</v>
      </c>
      <c r="B5518" s="50">
        <v>44926.0</v>
      </c>
      <c r="C5518" s="49" t="s">
        <v>78</v>
      </c>
      <c r="D5518" s="49">
        <v>0.0</v>
      </c>
    </row>
    <row r="5519" ht="15.0" hidden="1" customHeight="1">
      <c r="A5519" s="49" t="s">
        <v>197</v>
      </c>
      <c r="B5519" s="50">
        <v>44926.0</v>
      </c>
      <c r="C5519" s="49" t="s">
        <v>78</v>
      </c>
      <c r="D5519" s="49">
        <v>0.0</v>
      </c>
    </row>
    <row r="5520" ht="15.0" hidden="1" customHeight="1">
      <c r="A5520" s="49" t="s">
        <v>202</v>
      </c>
      <c r="B5520" s="50">
        <v>44926.0</v>
      </c>
      <c r="C5520" s="49" t="s">
        <v>78</v>
      </c>
      <c r="D5520" s="49">
        <v>0.0</v>
      </c>
    </row>
    <row r="5521" ht="15.0" hidden="1" customHeight="1">
      <c r="A5521" s="49" t="s">
        <v>206</v>
      </c>
      <c r="B5521" s="50">
        <v>44926.0</v>
      </c>
      <c r="C5521" s="49" t="s">
        <v>78</v>
      </c>
      <c r="D5521" s="49">
        <v>0.0</v>
      </c>
    </row>
    <row r="5522" ht="15.0" hidden="1" customHeight="1">
      <c r="A5522" s="49" t="s">
        <v>211</v>
      </c>
      <c r="B5522" s="50">
        <v>44926.0</v>
      </c>
      <c r="C5522" s="49" t="s">
        <v>78</v>
      </c>
      <c r="D5522" s="49">
        <v>0.0</v>
      </c>
    </row>
    <row r="5523" ht="15.0" hidden="1" customHeight="1">
      <c r="A5523" s="49" t="s">
        <v>779</v>
      </c>
      <c r="B5523" s="50">
        <v>44926.0</v>
      </c>
      <c r="C5523" s="49" t="s">
        <v>78</v>
      </c>
      <c r="D5523" s="49">
        <v>0.0</v>
      </c>
    </row>
    <row r="5524" ht="15.0" hidden="1" customHeight="1">
      <c r="A5524" s="49" t="s">
        <v>221</v>
      </c>
      <c r="B5524" s="50">
        <v>44926.0</v>
      </c>
      <c r="C5524" s="49" t="s">
        <v>78</v>
      </c>
      <c r="D5524" s="49">
        <v>0.0</v>
      </c>
    </row>
    <row r="5525" ht="15.0" hidden="1" customHeight="1">
      <c r="A5525" s="49" t="s">
        <v>226</v>
      </c>
      <c r="B5525" s="50">
        <v>44926.0</v>
      </c>
      <c r="C5525" s="49" t="s">
        <v>78</v>
      </c>
      <c r="D5525" s="49">
        <v>0.0</v>
      </c>
    </row>
    <row r="5526" ht="15.0" hidden="1" customHeight="1">
      <c r="A5526" s="49" t="s">
        <v>231</v>
      </c>
      <c r="B5526" s="50">
        <v>44926.0</v>
      </c>
      <c r="C5526" s="49" t="s">
        <v>78</v>
      </c>
      <c r="D5526" s="49">
        <v>0.0</v>
      </c>
    </row>
    <row r="5527" ht="15.0" hidden="1" customHeight="1">
      <c r="A5527" s="49" t="s">
        <v>236</v>
      </c>
      <c r="B5527" s="50">
        <v>44926.0</v>
      </c>
      <c r="C5527" s="49" t="s">
        <v>78</v>
      </c>
      <c r="D5527" s="49">
        <v>0.0</v>
      </c>
    </row>
    <row r="5528" ht="15.0" hidden="1" customHeight="1">
      <c r="A5528" s="49" t="s">
        <v>242</v>
      </c>
      <c r="B5528" s="50">
        <v>44926.0</v>
      </c>
      <c r="C5528" s="49" t="s">
        <v>78</v>
      </c>
      <c r="D5528" s="49">
        <v>0.0</v>
      </c>
    </row>
    <row r="5529" ht="15.0" hidden="1" customHeight="1">
      <c r="A5529" s="49" t="s">
        <v>248</v>
      </c>
      <c r="B5529" s="50">
        <v>44926.0</v>
      </c>
      <c r="C5529" s="49" t="s">
        <v>78</v>
      </c>
      <c r="D5529" s="49">
        <v>0.0</v>
      </c>
    </row>
    <row r="5530" ht="15.0" hidden="1" customHeight="1">
      <c r="A5530" s="49" t="s">
        <v>253</v>
      </c>
      <c r="B5530" s="50">
        <v>44926.0</v>
      </c>
      <c r="C5530" s="49" t="s">
        <v>78</v>
      </c>
      <c r="D5530" s="49">
        <v>0.0</v>
      </c>
    </row>
    <row r="5531" ht="15.0" hidden="1" customHeight="1">
      <c r="A5531" s="49" t="s">
        <v>258</v>
      </c>
      <c r="B5531" s="50">
        <v>44926.0</v>
      </c>
      <c r="C5531" s="49" t="s">
        <v>78</v>
      </c>
      <c r="D5531" s="49">
        <v>0.0</v>
      </c>
    </row>
    <row r="5532" ht="15.0" hidden="1" customHeight="1">
      <c r="A5532" s="49" t="s">
        <v>263</v>
      </c>
      <c r="B5532" s="50">
        <v>44926.0</v>
      </c>
      <c r="C5532" s="49" t="s">
        <v>78</v>
      </c>
      <c r="D5532" s="49">
        <v>0.0</v>
      </c>
    </row>
    <row r="5533" ht="15.0" hidden="1" customHeight="1">
      <c r="A5533" s="49" t="s">
        <v>268</v>
      </c>
      <c r="B5533" s="50">
        <v>44926.0</v>
      </c>
      <c r="C5533" s="49" t="s">
        <v>78</v>
      </c>
      <c r="D5533" s="49">
        <v>0.0</v>
      </c>
    </row>
    <row r="5534" ht="15.0" hidden="1" customHeight="1">
      <c r="A5534" s="49" t="s">
        <v>273</v>
      </c>
      <c r="B5534" s="50">
        <v>44926.0</v>
      </c>
      <c r="C5534" s="49" t="s">
        <v>78</v>
      </c>
      <c r="D5534" s="49">
        <v>0.0</v>
      </c>
    </row>
    <row r="5535" ht="15.0" hidden="1" customHeight="1">
      <c r="A5535" s="49" t="s">
        <v>278</v>
      </c>
      <c r="B5535" s="50">
        <v>44926.0</v>
      </c>
      <c r="C5535" s="49" t="s">
        <v>78</v>
      </c>
      <c r="D5535" s="49">
        <v>0.0</v>
      </c>
    </row>
    <row r="5536" ht="15.0" hidden="1" customHeight="1">
      <c r="A5536" s="49" t="s">
        <v>283</v>
      </c>
      <c r="B5536" s="50">
        <v>44926.0</v>
      </c>
      <c r="C5536" s="49" t="s">
        <v>78</v>
      </c>
      <c r="D5536" s="49">
        <v>0.0</v>
      </c>
    </row>
    <row r="5537" ht="15.0" hidden="1" customHeight="1">
      <c r="A5537" s="49" t="s">
        <v>288</v>
      </c>
      <c r="B5537" s="50">
        <v>44926.0</v>
      </c>
      <c r="C5537" s="49" t="s">
        <v>78</v>
      </c>
      <c r="D5537" s="49">
        <v>0.0</v>
      </c>
    </row>
    <row r="5538" ht="15.0" hidden="1" customHeight="1">
      <c r="A5538" s="49" t="s">
        <v>293</v>
      </c>
      <c r="B5538" s="50">
        <v>44926.0</v>
      </c>
      <c r="C5538" s="49" t="s">
        <v>78</v>
      </c>
      <c r="D5538" s="49">
        <v>0.0</v>
      </c>
    </row>
    <row r="5539" ht="15.0" hidden="1" customHeight="1">
      <c r="A5539" s="49" t="s">
        <v>298</v>
      </c>
      <c r="B5539" s="50">
        <v>44926.0</v>
      </c>
      <c r="C5539" s="49" t="s">
        <v>78</v>
      </c>
      <c r="D5539" s="49">
        <v>0.0</v>
      </c>
    </row>
    <row r="5540" ht="15.0" hidden="1" customHeight="1">
      <c r="A5540" s="49" t="s">
        <v>303</v>
      </c>
      <c r="B5540" s="50">
        <v>44926.0</v>
      </c>
      <c r="C5540" s="49" t="s">
        <v>78</v>
      </c>
      <c r="D5540" s="49">
        <v>0.0</v>
      </c>
    </row>
    <row r="5541" ht="15.0" hidden="1" customHeight="1">
      <c r="A5541" s="49" t="s">
        <v>307</v>
      </c>
      <c r="B5541" s="50">
        <v>44926.0</v>
      </c>
      <c r="C5541" s="49" t="s">
        <v>78</v>
      </c>
      <c r="D5541" s="49">
        <v>0.0</v>
      </c>
    </row>
    <row r="5542" ht="15.0" hidden="1" customHeight="1">
      <c r="A5542" s="49" t="s">
        <v>313</v>
      </c>
      <c r="B5542" s="50">
        <v>44926.0</v>
      </c>
      <c r="C5542" s="49" t="s">
        <v>78</v>
      </c>
      <c r="D5542" s="49">
        <v>0.0</v>
      </c>
    </row>
    <row r="5543" ht="15.0" hidden="1" customHeight="1">
      <c r="A5543" s="49" t="s">
        <v>318</v>
      </c>
      <c r="B5543" s="50">
        <v>44926.0</v>
      </c>
      <c r="C5543" s="49" t="s">
        <v>78</v>
      </c>
      <c r="D5543" s="49">
        <v>0.0</v>
      </c>
    </row>
    <row r="5544" ht="15.0" hidden="1" customHeight="1">
      <c r="A5544" s="49" t="s">
        <v>323</v>
      </c>
      <c r="B5544" s="50">
        <v>44926.0</v>
      </c>
      <c r="C5544" s="49" t="s">
        <v>78</v>
      </c>
      <c r="D5544" s="49">
        <v>0.0</v>
      </c>
    </row>
    <row r="5545" ht="15.0" hidden="1" customHeight="1">
      <c r="A5545" s="49" t="s">
        <v>328</v>
      </c>
      <c r="B5545" s="50">
        <v>44926.0</v>
      </c>
      <c r="C5545" s="49" t="s">
        <v>78</v>
      </c>
      <c r="D5545" s="49">
        <v>0.0</v>
      </c>
    </row>
    <row r="5546" ht="15.0" hidden="1" customHeight="1">
      <c r="A5546" s="49" t="s">
        <v>335</v>
      </c>
      <c r="B5546" s="50">
        <v>44926.0</v>
      </c>
      <c r="C5546" s="49" t="s">
        <v>78</v>
      </c>
      <c r="D5546" s="49">
        <v>0.0</v>
      </c>
    </row>
    <row r="5547" ht="15.0" hidden="1" customHeight="1">
      <c r="A5547" s="49" t="s">
        <v>340</v>
      </c>
      <c r="B5547" s="50">
        <v>44926.0</v>
      </c>
      <c r="C5547" s="49" t="s">
        <v>78</v>
      </c>
      <c r="D5547" s="49">
        <v>0.0</v>
      </c>
    </row>
    <row r="5548" ht="15.0" hidden="1" customHeight="1">
      <c r="A5548" s="49" t="s">
        <v>345</v>
      </c>
      <c r="B5548" s="50">
        <v>44926.0</v>
      </c>
      <c r="C5548" s="49" t="s">
        <v>78</v>
      </c>
      <c r="D5548" s="49">
        <v>50000.0</v>
      </c>
    </row>
    <row r="5549" ht="15.0" hidden="1" customHeight="1">
      <c r="A5549" s="49" t="s">
        <v>350</v>
      </c>
      <c r="B5549" s="50">
        <v>44926.0</v>
      </c>
      <c r="C5549" s="49" t="s">
        <v>78</v>
      </c>
      <c r="D5549" s="49">
        <v>3252000.0</v>
      </c>
    </row>
    <row r="5550" ht="15.0" hidden="1" customHeight="1">
      <c r="A5550" s="49" t="s">
        <v>355</v>
      </c>
      <c r="B5550" s="50">
        <v>44926.0</v>
      </c>
      <c r="C5550" s="49" t="s">
        <v>78</v>
      </c>
      <c r="D5550" s="49">
        <v>2543605.42</v>
      </c>
    </row>
    <row r="5551" ht="15.0" hidden="1" customHeight="1">
      <c r="A5551" s="49" t="s">
        <v>360</v>
      </c>
      <c r="B5551" s="50">
        <v>44926.0</v>
      </c>
      <c r="C5551" s="49" t="s">
        <v>78</v>
      </c>
      <c r="D5551" s="49">
        <v>361000.0</v>
      </c>
    </row>
    <row r="5552" ht="15.0" hidden="1" customHeight="1">
      <c r="A5552" s="49" t="s">
        <v>365</v>
      </c>
      <c r="B5552" s="50">
        <v>44926.0</v>
      </c>
      <c r="C5552" s="49" t="s">
        <v>78</v>
      </c>
      <c r="D5552" s="49">
        <v>0.0</v>
      </c>
    </row>
    <row r="5553" ht="15.0" hidden="1" customHeight="1">
      <c r="A5553" s="49" t="s">
        <v>370</v>
      </c>
      <c r="B5553" s="50">
        <v>44926.0</v>
      </c>
      <c r="C5553" s="49" t="s">
        <v>78</v>
      </c>
      <c r="D5553" s="49">
        <v>0.0</v>
      </c>
    </row>
    <row r="5554" ht="15.0" hidden="1" customHeight="1">
      <c r="A5554" s="49" t="s">
        <v>375</v>
      </c>
      <c r="B5554" s="50">
        <v>44926.0</v>
      </c>
      <c r="C5554" s="49" t="s">
        <v>78</v>
      </c>
      <c r="D5554" s="49">
        <v>0.0</v>
      </c>
    </row>
    <row r="5555" ht="15.0" hidden="1" customHeight="1">
      <c r="A5555" s="49" t="s">
        <v>380</v>
      </c>
      <c r="B5555" s="50">
        <v>44926.0</v>
      </c>
      <c r="C5555" s="49" t="s">
        <v>78</v>
      </c>
      <c r="D5555" s="49">
        <v>0.0</v>
      </c>
    </row>
    <row r="5556" ht="15.0" hidden="1" customHeight="1">
      <c r="A5556" s="49" t="s">
        <v>385</v>
      </c>
      <c r="B5556" s="50">
        <v>44926.0</v>
      </c>
      <c r="C5556" s="49" t="s">
        <v>78</v>
      </c>
      <c r="D5556" s="49">
        <v>0.0</v>
      </c>
    </row>
    <row r="5557" ht="15.0" hidden="1" customHeight="1">
      <c r="A5557" s="49" t="s">
        <v>390</v>
      </c>
      <c r="B5557" s="50">
        <v>44926.0</v>
      </c>
      <c r="C5557" s="49" t="s">
        <v>78</v>
      </c>
      <c r="D5557" s="49">
        <v>0.0</v>
      </c>
    </row>
    <row r="5558" ht="15.0" hidden="1" customHeight="1">
      <c r="A5558" s="49" t="s">
        <v>395</v>
      </c>
      <c r="B5558" s="50">
        <v>44926.0</v>
      </c>
      <c r="C5558" s="49" t="s">
        <v>78</v>
      </c>
      <c r="D5558" s="49">
        <v>0.0</v>
      </c>
    </row>
    <row r="5559" ht="15.0" hidden="1" customHeight="1">
      <c r="A5559" s="49" t="s">
        <v>400</v>
      </c>
      <c r="B5559" s="50">
        <v>44926.0</v>
      </c>
      <c r="C5559" s="49" t="s">
        <v>78</v>
      </c>
      <c r="D5559" s="49">
        <v>0.0</v>
      </c>
    </row>
    <row r="5560" ht="15.0" hidden="1" customHeight="1">
      <c r="A5560" s="49" t="s">
        <v>405</v>
      </c>
      <c r="B5560" s="50">
        <v>44926.0</v>
      </c>
      <c r="C5560" s="49" t="s">
        <v>78</v>
      </c>
      <c r="D5560" s="49">
        <v>0.0</v>
      </c>
    </row>
    <row r="5561" ht="15.0" hidden="1" customHeight="1">
      <c r="A5561" s="49" t="s">
        <v>410</v>
      </c>
      <c r="B5561" s="50">
        <v>44926.0</v>
      </c>
      <c r="C5561" s="49" t="s">
        <v>78</v>
      </c>
      <c r="D5561" s="49">
        <v>0.0</v>
      </c>
    </row>
    <row r="5562" ht="15.0" hidden="1" customHeight="1">
      <c r="A5562" s="49" t="s">
        <v>415</v>
      </c>
      <c r="B5562" s="50">
        <v>44926.0</v>
      </c>
      <c r="C5562" s="49" t="s">
        <v>78</v>
      </c>
      <c r="D5562" s="49">
        <v>0.0</v>
      </c>
    </row>
    <row r="5563" ht="15.0" hidden="1" customHeight="1">
      <c r="A5563" s="49" t="s">
        <v>420</v>
      </c>
      <c r="B5563" s="50">
        <v>44926.0</v>
      </c>
      <c r="C5563" s="49" t="s">
        <v>78</v>
      </c>
      <c r="D5563" s="49">
        <v>0.0</v>
      </c>
    </row>
    <row r="5564" ht="15.0" hidden="1" customHeight="1">
      <c r="A5564" s="49" t="s">
        <v>425</v>
      </c>
      <c r="B5564" s="50">
        <v>44926.0</v>
      </c>
      <c r="C5564" s="49" t="s">
        <v>78</v>
      </c>
      <c r="D5564" s="49">
        <v>0.0</v>
      </c>
    </row>
    <row r="5565" ht="15.0" hidden="1" customHeight="1">
      <c r="A5565" s="49" t="s">
        <v>430</v>
      </c>
      <c r="B5565" s="50">
        <v>44926.0</v>
      </c>
      <c r="C5565" s="49" t="s">
        <v>78</v>
      </c>
      <c r="D5565" s="49">
        <v>0.0</v>
      </c>
    </row>
    <row r="5566" ht="15.0" hidden="1" customHeight="1">
      <c r="A5566" s="49" t="s">
        <v>434</v>
      </c>
      <c r="B5566" s="50">
        <v>44926.0</v>
      </c>
      <c r="C5566" s="49" t="s">
        <v>78</v>
      </c>
      <c r="D5566" s="49">
        <v>0.0</v>
      </c>
    </row>
    <row r="5567" ht="15.0" hidden="1" customHeight="1">
      <c r="A5567" s="49" t="s">
        <v>439</v>
      </c>
      <c r="B5567" s="50">
        <v>44926.0</v>
      </c>
      <c r="C5567" s="49" t="s">
        <v>78</v>
      </c>
      <c r="D5567" s="49">
        <v>0.0</v>
      </c>
    </row>
    <row r="5568" ht="15.0" hidden="1" customHeight="1">
      <c r="A5568" s="49" t="s">
        <v>444</v>
      </c>
      <c r="B5568" s="50">
        <v>44926.0</v>
      </c>
      <c r="C5568" s="49" t="s">
        <v>78</v>
      </c>
      <c r="D5568" s="49">
        <v>0.0</v>
      </c>
    </row>
    <row r="5569" ht="15.0" hidden="1" customHeight="1">
      <c r="A5569" s="49" t="s">
        <v>449</v>
      </c>
      <c r="B5569" s="50">
        <v>44926.0</v>
      </c>
      <c r="C5569" s="49" t="s">
        <v>78</v>
      </c>
      <c r="D5569" s="49">
        <v>0.0</v>
      </c>
    </row>
    <row r="5570" ht="15.0" hidden="1" customHeight="1">
      <c r="A5570" s="49" t="s">
        <v>455</v>
      </c>
      <c r="B5570" s="50">
        <v>44926.0</v>
      </c>
      <c r="C5570" s="49" t="s">
        <v>78</v>
      </c>
      <c r="D5570" s="49">
        <v>0.0</v>
      </c>
    </row>
    <row r="5571" ht="15.0" hidden="1" customHeight="1">
      <c r="A5571" s="49" t="s">
        <v>470</v>
      </c>
      <c r="B5571" s="50">
        <v>44926.0</v>
      </c>
      <c r="C5571" s="49" t="s">
        <v>78</v>
      </c>
      <c r="D5571" s="49">
        <v>0.0</v>
      </c>
    </row>
    <row r="5572" ht="15.0" hidden="1" customHeight="1">
      <c r="A5572" s="49" t="s">
        <v>476</v>
      </c>
      <c r="B5572" s="50">
        <v>44926.0</v>
      </c>
      <c r="C5572" s="49" t="s">
        <v>78</v>
      </c>
      <c r="D5572" s="49">
        <v>0.0</v>
      </c>
    </row>
    <row r="5573" ht="15.0" hidden="1" customHeight="1">
      <c r="A5573" s="49" t="s">
        <v>481</v>
      </c>
      <c r="B5573" s="50">
        <v>44926.0</v>
      </c>
      <c r="C5573" s="49" t="s">
        <v>78</v>
      </c>
      <c r="D5573" s="49">
        <v>0.0</v>
      </c>
    </row>
    <row r="5574" ht="15.0" hidden="1" customHeight="1">
      <c r="A5574" s="49" t="s">
        <v>486</v>
      </c>
      <c r="B5574" s="50">
        <v>44926.0</v>
      </c>
      <c r="C5574" s="49" t="s">
        <v>78</v>
      </c>
      <c r="D5574" s="49">
        <v>0.0</v>
      </c>
    </row>
    <row r="5575" ht="15.0" hidden="1" customHeight="1">
      <c r="A5575" s="49" t="s">
        <v>491</v>
      </c>
      <c r="B5575" s="50">
        <v>44926.0</v>
      </c>
      <c r="C5575" s="49" t="s">
        <v>78</v>
      </c>
      <c r="D5575" s="49">
        <v>0.0</v>
      </c>
    </row>
    <row r="5576" ht="15.0" hidden="1" customHeight="1">
      <c r="A5576" s="49" t="s">
        <v>496</v>
      </c>
      <c r="B5576" s="50">
        <v>44926.0</v>
      </c>
      <c r="C5576" s="49" t="s">
        <v>78</v>
      </c>
      <c r="D5576" s="49">
        <v>0.0</v>
      </c>
    </row>
    <row r="5577" ht="15.0" hidden="1" customHeight="1">
      <c r="A5577" s="49" t="s">
        <v>501</v>
      </c>
      <c r="B5577" s="50">
        <v>44926.0</v>
      </c>
      <c r="C5577" s="49" t="s">
        <v>78</v>
      </c>
      <c r="D5577" s="49">
        <v>0.0</v>
      </c>
    </row>
    <row r="5578" ht="15.0" hidden="1" customHeight="1">
      <c r="A5578" s="49" t="s">
        <v>506</v>
      </c>
      <c r="B5578" s="50">
        <v>44926.0</v>
      </c>
      <c r="C5578" s="49" t="s">
        <v>78</v>
      </c>
      <c r="D5578" s="49">
        <v>0.0</v>
      </c>
    </row>
    <row r="5579" ht="15.0" hidden="1" customHeight="1">
      <c r="A5579" s="49" t="s">
        <v>512</v>
      </c>
      <c r="B5579" s="50">
        <v>44926.0</v>
      </c>
      <c r="C5579" s="49" t="s">
        <v>78</v>
      </c>
      <c r="D5579" s="49">
        <v>0.0</v>
      </c>
    </row>
    <row r="5580" ht="15.0" hidden="1" customHeight="1">
      <c r="A5580" s="49" t="s">
        <v>517</v>
      </c>
      <c r="B5580" s="50">
        <v>44926.0</v>
      </c>
      <c r="C5580" s="49" t="s">
        <v>78</v>
      </c>
      <c r="D5580" s="49">
        <v>0.0</v>
      </c>
    </row>
    <row r="5581" ht="15.0" hidden="1" customHeight="1">
      <c r="A5581" s="49" t="s">
        <v>522</v>
      </c>
      <c r="B5581" s="50">
        <v>44926.0</v>
      </c>
      <c r="C5581" s="49" t="s">
        <v>78</v>
      </c>
      <c r="D5581" s="49">
        <v>0.0</v>
      </c>
    </row>
    <row r="5582" ht="15.0" hidden="1" customHeight="1">
      <c r="A5582" s="49" t="s">
        <v>528</v>
      </c>
      <c r="B5582" s="50">
        <v>44926.0</v>
      </c>
      <c r="C5582" s="49" t="s">
        <v>78</v>
      </c>
      <c r="D5582" s="49">
        <v>0.0</v>
      </c>
    </row>
    <row r="5583" ht="15.0" hidden="1" customHeight="1">
      <c r="A5583" s="49" t="s">
        <v>533</v>
      </c>
      <c r="B5583" s="50">
        <v>44926.0</v>
      </c>
      <c r="C5583" s="49" t="s">
        <v>78</v>
      </c>
      <c r="D5583" s="49">
        <v>0.0</v>
      </c>
    </row>
    <row r="5584" ht="15.0" hidden="1" customHeight="1">
      <c r="A5584" s="49" t="s">
        <v>538</v>
      </c>
      <c r="B5584" s="50">
        <v>44926.0</v>
      </c>
      <c r="C5584" s="49" t="s">
        <v>78</v>
      </c>
      <c r="D5584" s="49">
        <v>0.0</v>
      </c>
    </row>
    <row r="5585" ht="15.0" hidden="1" customHeight="1">
      <c r="A5585" s="49" t="s">
        <v>546</v>
      </c>
      <c r="B5585" s="50">
        <v>44926.0</v>
      </c>
      <c r="C5585" s="49" t="s">
        <v>78</v>
      </c>
      <c r="D5585" s="49">
        <v>0.0</v>
      </c>
    </row>
    <row r="5586" ht="15.0" hidden="1" customHeight="1">
      <c r="A5586" s="49" t="s">
        <v>551</v>
      </c>
      <c r="B5586" s="50">
        <v>44926.0</v>
      </c>
      <c r="C5586" s="49" t="s">
        <v>78</v>
      </c>
      <c r="D5586" s="49">
        <v>0.0</v>
      </c>
    </row>
    <row r="5587" ht="15.0" hidden="1" customHeight="1">
      <c r="A5587" s="49" t="s">
        <v>556</v>
      </c>
      <c r="B5587" s="50">
        <v>44926.0</v>
      </c>
      <c r="C5587" s="49" t="s">
        <v>78</v>
      </c>
      <c r="D5587" s="49">
        <v>0.0</v>
      </c>
    </row>
    <row r="5588" ht="15.0" hidden="1" customHeight="1">
      <c r="A5588" s="49" t="s">
        <v>561</v>
      </c>
      <c r="B5588" s="50">
        <v>44926.0</v>
      </c>
      <c r="C5588" s="49" t="s">
        <v>78</v>
      </c>
      <c r="D5588" s="49">
        <v>0.0</v>
      </c>
    </row>
    <row r="5589" ht="15.0" hidden="1" customHeight="1">
      <c r="A5589" s="49" t="s">
        <v>566</v>
      </c>
      <c r="B5589" s="50">
        <v>44926.0</v>
      </c>
      <c r="C5589" s="49" t="s">
        <v>78</v>
      </c>
      <c r="D5589" s="49">
        <v>0.0</v>
      </c>
    </row>
    <row r="5590" ht="15.0" hidden="1" customHeight="1">
      <c r="A5590" s="49" t="s">
        <v>571</v>
      </c>
      <c r="B5590" s="50">
        <v>44926.0</v>
      </c>
      <c r="C5590" s="49" t="s">
        <v>78</v>
      </c>
      <c r="D5590" s="49">
        <v>0.0</v>
      </c>
    </row>
    <row r="5591" ht="15.0" hidden="1" customHeight="1">
      <c r="A5591" s="49" t="s">
        <v>576</v>
      </c>
      <c r="B5591" s="50">
        <v>44926.0</v>
      </c>
      <c r="C5591" s="49" t="s">
        <v>78</v>
      </c>
      <c r="D5591" s="49">
        <v>0.0</v>
      </c>
    </row>
    <row r="5592" ht="15.0" hidden="1" customHeight="1">
      <c r="A5592" s="49" t="s">
        <v>581</v>
      </c>
      <c r="B5592" s="50">
        <v>44926.0</v>
      </c>
      <c r="C5592" s="49" t="s">
        <v>78</v>
      </c>
      <c r="D5592" s="49">
        <v>0.0</v>
      </c>
    </row>
    <row r="5593" ht="15.0" hidden="1" customHeight="1">
      <c r="A5593" s="49" t="s">
        <v>586</v>
      </c>
      <c r="B5593" s="50">
        <v>44926.0</v>
      </c>
      <c r="C5593" s="49" t="s">
        <v>78</v>
      </c>
      <c r="D5593" s="49">
        <v>0.0</v>
      </c>
    </row>
    <row r="5594" ht="15.0" hidden="1" customHeight="1">
      <c r="A5594" s="49" t="s">
        <v>754</v>
      </c>
      <c r="B5594" s="50">
        <v>44926.0</v>
      </c>
      <c r="C5594" s="49" t="s">
        <v>78</v>
      </c>
      <c r="D5594" s="49">
        <v>0.0</v>
      </c>
    </row>
    <row r="5595" ht="15.0" hidden="1" customHeight="1">
      <c r="A5595" s="49" t="s">
        <v>591</v>
      </c>
      <c r="B5595" s="50">
        <v>44926.0</v>
      </c>
      <c r="C5595" s="49" t="s">
        <v>78</v>
      </c>
      <c r="D5595" s="49">
        <v>0.0</v>
      </c>
    </row>
    <row r="5596" ht="15.0" hidden="1" customHeight="1">
      <c r="A5596" s="49" t="s">
        <v>759</v>
      </c>
      <c r="B5596" s="50">
        <v>44926.0</v>
      </c>
      <c r="C5596" s="49" t="s">
        <v>78</v>
      </c>
      <c r="D5596" s="49">
        <v>0.0</v>
      </c>
    </row>
    <row r="5597" ht="15.0" hidden="1" customHeight="1">
      <c r="A5597" s="49" t="s">
        <v>596</v>
      </c>
      <c r="B5597" s="50">
        <v>44926.0</v>
      </c>
      <c r="C5597" s="49" t="s">
        <v>78</v>
      </c>
      <c r="D5597" s="49">
        <v>0.0</v>
      </c>
    </row>
    <row r="5598" ht="15.0" hidden="1" customHeight="1">
      <c r="A5598" s="49" t="s">
        <v>602</v>
      </c>
      <c r="B5598" s="50">
        <v>44926.0</v>
      </c>
      <c r="C5598" s="49" t="s">
        <v>78</v>
      </c>
      <c r="D5598" s="49">
        <v>0.0</v>
      </c>
    </row>
    <row r="5599" ht="15.0" hidden="1" customHeight="1">
      <c r="A5599" s="49" t="s">
        <v>607</v>
      </c>
      <c r="B5599" s="50">
        <v>44926.0</v>
      </c>
      <c r="C5599" s="49" t="s">
        <v>78</v>
      </c>
      <c r="D5599" s="49">
        <v>0.0</v>
      </c>
    </row>
    <row r="5600" ht="15.0" hidden="1" customHeight="1">
      <c r="A5600" s="49" t="s">
        <v>612</v>
      </c>
      <c r="B5600" s="50">
        <v>44926.0</v>
      </c>
      <c r="C5600" s="49" t="s">
        <v>78</v>
      </c>
      <c r="D5600" s="49">
        <v>0.0</v>
      </c>
    </row>
    <row r="5601" ht="15.0" hidden="1" customHeight="1">
      <c r="A5601" s="49" t="s">
        <v>617</v>
      </c>
      <c r="B5601" s="50">
        <v>44926.0</v>
      </c>
      <c r="C5601" s="49" t="s">
        <v>78</v>
      </c>
      <c r="D5601" s="49">
        <v>0.0</v>
      </c>
    </row>
    <row r="5602" ht="15.0" hidden="1" customHeight="1">
      <c r="A5602" s="49" t="s">
        <v>622</v>
      </c>
      <c r="B5602" s="50">
        <v>44926.0</v>
      </c>
      <c r="C5602" s="49" t="s">
        <v>78</v>
      </c>
      <c r="D5602" s="49">
        <v>0.0</v>
      </c>
    </row>
    <row r="5603" ht="15.0" hidden="1" customHeight="1">
      <c r="A5603" s="49" t="s">
        <v>627</v>
      </c>
      <c r="B5603" s="50">
        <v>44926.0</v>
      </c>
      <c r="C5603" s="49" t="s">
        <v>78</v>
      </c>
      <c r="D5603" s="49">
        <v>0.0</v>
      </c>
    </row>
    <row r="5604" ht="15.0" hidden="1" customHeight="1">
      <c r="A5604" s="49" t="s">
        <v>631</v>
      </c>
      <c r="B5604" s="50">
        <v>44926.0</v>
      </c>
      <c r="C5604" s="49" t="s">
        <v>78</v>
      </c>
      <c r="D5604" s="49">
        <v>0.0</v>
      </c>
    </row>
    <row r="5605" ht="15.0" hidden="1" customHeight="1">
      <c r="A5605" s="49" t="s">
        <v>636</v>
      </c>
      <c r="B5605" s="50">
        <v>44926.0</v>
      </c>
      <c r="C5605" s="49" t="s">
        <v>78</v>
      </c>
      <c r="D5605" s="49">
        <v>0.0</v>
      </c>
    </row>
    <row r="5606" ht="15.0" hidden="1" customHeight="1">
      <c r="A5606" s="49" t="s">
        <v>640</v>
      </c>
      <c r="B5606" s="50">
        <v>44926.0</v>
      </c>
      <c r="C5606" s="49" t="s">
        <v>78</v>
      </c>
      <c r="D5606" s="49">
        <v>0.0</v>
      </c>
    </row>
    <row r="5607" ht="15.0" hidden="1" customHeight="1">
      <c r="A5607" s="49" t="s">
        <v>644</v>
      </c>
      <c r="B5607" s="50">
        <v>44926.0</v>
      </c>
      <c r="C5607" s="49" t="s">
        <v>78</v>
      </c>
      <c r="D5607" s="49">
        <v>0.0</v>
      </c>
    </row>
    <row r="5608" ht="15.0" hidden="1" customHeight="1">
      <c r="A5608" s="49" t="s">
        <v>649</v>
      </c>
      <c r="B5608" s="50">
        <v>44926.0</v>
      </c>
      <c r="C5608" s="49" t="s">
        <v>78</v>
      </c>
      <c r="D5608" s="49">
        <v>0.0</v>
      </c>
    </row>
    <row r="5609" ht="15.0" hidden="1" customHeight="1">
      <c r="A5609" s="49" t="s">
        <v>654</v>
      </c>
      <c r="B5609" s="50">
        <v>44926.0</v>
      </c>
      <c r="C5609" s="49" t="s">
        <v>78</v>
      </c>
      <c r="D5609" s="49">
        <v>0.0</v>
      </c>
    </row>
    <row r="5610" ht="15.0" hidden="1" customHeight="1">
      <c r="A5610" s="49" t="s">
        <v>659</v>
      </c>
      <c r="B5610" s="50">
        <v>44926.0</v>
      </c>
      <c r="C5610" s="49" t="s">
        <v>78</v>
      </c>
      <c r="D5610" s="49">
        <v>0.0</v>
      </c>
    </row>
    <row r="5611" ht="15.0" hidden="1" customHeight="1">
      <c r="A5611" s="49" t="s">
        <v>664</v>
      </c>
      <c r="B5611" s="50">
        <v>44926.0</v>
      </c>
      <c r="C5611" s="49" t="s">
        <v>78</v>
      </c>
      <c r="D5611" s="49">
        <v>0.0</v>
      </c>
    </row>
    <row r="5612" ht="15.0" hidden="1" customHeight="1">
      <c r="A5612" s="49" t="s">
        <v>669</v>
      </c>
      <c r="B5612" s="50">
        <v>44926.0</v>
      </c>
      <c r="C5612" s="49" t="s">
        <v>78</v>
      </c>
      <c r="D5612" s="49">
        <v>0.0</v>
      </c>
    </row>
    <row r="5613" ht="15.0" hidden="1" customHeight="1">
      <c r="A5613" s="49" t="s">
        <v>674</v>
      </c>
      <c r="B5613" s="50">
        <v>44926.0</v>
      </c>
      <c r="C5613" s="49" t="s">
        <v>78</v>
      </c>
      <c r="D5613" s="49">
        <v>0.0</v>
      </c>
    </row>
    <row r="5614" ht="15.0" hidden="1" customHeight="1">
      <c r="A5614" s="49" t="s">
        <v>679</v>
      </c>
      <c r="B5614" s="50">
        <v>44926.0</v>
      </c>
      <c r="C5614" s="49" t="s">
        <v>78</v>
      </c>
      <c r="D5614" s="49">
        <v>0.0</v>
      </c>
    </row>
    <row r="5615" ht="15.0" hidden="1" customHeight="1">
      <c r="A5615" s="49" t="s">
        <v>684</v>
      </c>
      <c r="B5615" s="50">
        <v>44926.0</v>
      </c>
      <c r="C5615" s="49" t="s">
        <v>78</v>
      </c>
      <c r="D5615" s="49">
        <v>0.0</v>
      </c>
    </row>
    <row r="5616" ht="15.0" hidden="1" customHeight="1">
      <c r="A5616" s="49" t="s">
        <v>689</v>
      </c>
      <c r="B5616" s="50">
        <v>44926.0</v>
      </c>
      <c r="C5616" s="49" t="s">
        <v>78</v>
      </c>
      <c r="D5616" s="49">
        <v>0.0</v>
      </c>
    </row>
    <row r="5617" ht="15.0" hidden="1" customHeight="1">
      <c r="A5617" s="49" t="s">
        <v>694</v>
      </c>
      <c r="B5617" s="50">
        <v>44926.0</v>
      </c>
      <c r="C5617" s="49" t="s">
        <v>78</v>
      </c>
      <c r="D5617" s="49">
        <v>0.0</v>
      </c>
    </row>
    <row r="5618" ht="15.0" hidden="1" customHeight="1">
      <c r="A5618" s="49" t="s">
        <v>699</v>
      </c>
      <c r="B5618" s="50">
        <v>44926.0</v>
      </c>
      <c r="C5618" s="49" t="s">
        <v>78</v>
      </c>
      <c r="D5618" s="49">
        <v>0.0</v>
      </c>
    </row>
    <row r="5619" ht="15.0" hidden="1" customHeight="1">
      <c r="A5619" s="49" t="s">
        <v>705</v>
      </c>
      <c r="B5619" s="50">
        <v>44926.0</v>
      </c>
      <c r="C5619" s="49" t="s">
        <v>78</v>
      </c>
      <c r="D5619" s="49">
        <v>0.0</v>
      </c>
    </row>
    <row r="5620" ht="15.0" hidden="1" customHeight="1">
      <c r="A5620" s="49" t="s">
        <v>710</v>
      </c>
      <c r="B5620" s="50">
        <v>44926.0</v>
      </c>
      <c r="C5620" s="49" t="s">
        <v>78</v>
      </c>
      <c r="D5620" s="49">
        <v>0.0</v>
      </c>
    </row>
    <row r="5621" ht="15.0" hidden="1" customHeight="1">
      <c r="A5621" s="49" t="s">
        <v>715</v>
      </c>
      <c r="B5621" s="50">
        <v>44926.0</v>
      </c>
      <c r="C5621" s="49" t="s">
        <v>78</v>
      </c>
      <c r="D5621" s="49">
        <v>0.0</v>
      </c>
    </row>
    <row r="5622" ht="15.0" hidden="1" customHeight="1">
      <c r="A5622" s="49" t="s">
        <v>765</v>
      </c>
      <c r="B5622" s="50">
        <v>44926.0</v>
      </c>
      <c r="C5622" s="49" t="s">
        <v>78</v>
      </c>
      <c r="D5622" s="49">
        <v>0.0</v>
      </c>
    </row>
    <row r="5623" ht="15.0" hidden="1" customHeight="1">
      <c r="A5623" s="49" t="s">
        <v>720</v>
      </c>
      <c r="B5623" s="50">
        <v>44926.0</v>
      </c>
      <c r="C5623" s="49" t="s">
        <v>78</v>
      </c>
      <c r="D5623" s="49">
        <v>0.0</v>
      </c>
    </row>
    <row r="5624" ht="15.0" hidden="1" customHeight="1">
      <c r="A5624" s="49" t="s">
        <v>725</v>
      </c>
      <c r="B5624" s="50">
        <v>44926.0</v>
      </c>
      <c r="C5624" s="49" t="s">
        <v>78</v>
      </c>
      <c r="D5624" s="49">
        <v>0.0</v>
      </c>
    </row>
    <row r="5625" ht="15.0" hidden="1" customHeight="1">
      <c r="A5625" s="49" t="s">
        <v>730</v>
      </c>
      <c r="B5625" s="50">
        <v>44926.0</v>
      </c>
      <c r="C5625" s="49" t="s">
        <v>78</v>
      </c>
      <c r="D5625" s="49">
        <v>0.0</v>
      </c>
    </row>
    <row r="5626" ht="15.0" hidden="1" customHeight="1">
      <c r="A5626" s="49" t="s">
        <v>734</v>
      </c>
      <c r="B5626" s="50">
        <v>44926.0</v>
      </c>
      <c r="C5626" s="49" t="s">
        <v>78</v>
      </c>
      <c r="D5626" s="49">
        <v>0.0</v>
      </c>
    </row>
    <row r="5627" ht="15.0" hidden="1" customHeight="1">
      <c r="A5627" s="49" t="s">
        <v>739</v>
      </c>
      <c r="B5627" s="50">
        <v>44926.0</v>
      </c>
      <c r="C5627" s="49" t="s">
        <v>78</v>
      </c>
      <c r="D5627" s="49">
        <v>0.0</v>
      </c>
    </row>
    <row r="5628" ht="15.0" hidden="1" customHeight="1">
      <c r="A5628" s="49" t="s">
        <v>744</v>
      </c>
      <c r="B5628" s="50">
        <v>44926.0</v>
      </c>
      <c r="C5628" s="49" t="s">
        <v>78</v>
      </c>
      <c r="D5628" s="49">
        <v>0.0</v>
      </c>
    </row>
    <row r="5629" ht="15.0" hidden="1" customHeight="1">
      <c r="A5629" s="49" t="s">
        <v>749</v>
      </c>
      <c r="B5629" s="50">
        <v>44926.0</v>
      </c>
      <c r="C5629" s="49" t="s">
        <v>78</v>
      </c>
      <c r="D5629" s="49">
        <v>0.0</v>
      </c>
    </row>
    <row r="5630" ht="15.0" customHeight="1">
      <c r="A5630" s="49" t="s">
        <v>776</v>
      </c>
      <c r="B5630" s="50">
        <v>44926.0</v>
      </c>
      <c r="C5630" s="49" t="s">
        <v>69</v>
      </c>
      <c r="D5630" s="49">
        <v>0.0</v>
      </c>
    </row>
    <row r="5631" ht="15.0" hidden="1" customHeight="1">
      <c r="A5631" s="49" t="s">
        <v>778</v>
      </c>
      <c r="B5631" s="50">
        <v>44926.0</v>
      </c>
      <c r="C5631" s="49" t="s">
        <v>69</v>
      </c>
      <c r="D5631" s="49">
        <v>0.0</v>
      </c>
    </row>
    <row r="5632" ht="15.0" hidden="1" customHeight="1">
      <c r="A5632" s="49" t="s">
        <v>92</v>
      </c>
      <c r="B5632" s="50">
        <v>44926.0</v>
      </c>
      <c r="C5632" s="49" t="s">
        <v>69</v>
      </c>
      <c r="D5632" s="49">
        <v>0.0</v>
      </c>
    </row>
    <row r="5633" ht="15.0" hidden="1" customHeight="1">
      <c r="A5633" s="49" t="s">
        <v>97</v>
      </c>
      <c r="B5633" s="50">
        <v>44926.0</v>
      </c>
      <c r="C5633" s="49" t="s">
        <v>69</v>
      </c>
      <c r="D5633" s="49">
        <v>0.0</v>
      </c>
    </row>
    <row r="5634" ht="15.0" hidden="1" customHeight="1">
      <c r="A5634" s="49" t="s">
        <v>102</v>
      </c>
      <c r="B5634" s="50">
        <v>44926.0</v>
      </c>
      <c r="C5634" s="49" t="s">
        <v>69</v>
      </c>
      <c r="D5634" s="49">
        <v>0.0</v>
      </c>
    </row>
    <row r="5635" ht="15.0" hidden="1" customHeight="1">
      <c r="A5635" s="49" t="s">
        <v>106</v>
      </c>
      <c r="B5635" s="50">
        <v>44926.0</v>
      </c>
      <c r="C5635" s="49" t="s">
        <v>69</v>
      </c>
      <c r="D5635" s="49">
        <v>0.0</v>
      </c>
    </row>
    <row r="5636" ht="15.0" hidden="1" customHeight="1">
      <c r="A5636" s="49" t="s">
        <v>111</v>
      </c>
      <c r="B5636" s="50">
        <v>44926.0</v>
      </c>
      <c r="C5636" s="49" t="s">
        <v>69</v>
      </c>
      <c r="D5636" s="49">
        <v>0.0</v>
      </c>
    </row>
    <row r="5637" ht="15.0" hidden="1" customHeight="1">
      <c r="A5637" s="49" t="s">
        <v>116</v>
      </c>
      <c r="B5637" s="50">
        <v>44926.0</v>
      </c>
      <c r="C5637" s="49" t="s">
        <v>69</v>
      </c>
      <c r="D5637" s="49">
        <v>0.0</v>
      </c>
    </row>
    <row r="5638" ht="15.0" hidden="1" customHeight="1">
      <c r="A5638" s="49" t="s">
        <v>120</v>
      </c>
      <c r="B5638" s="50">
        <v>44926.0</v>
      </c>
      <c r="C5638" s="49" t="s">
        <v>69</v>
      </c>
      <c r="D5638" s="49">
        <v>578611.11</v>
      </c>
    </row>
    <row r="5639" ht="15.0" hidden="1" customHeight="1">
      <c r="A5639" s="49" t="s">
        <v>125</v>
      </c>
      <c r="B5639" s="50">
        <v>44926.0</v>
      </c>
      <c r="C5639" s="49" t="s">
        <v>69</v>
      </c>
      <c r="D5639" s="49">
        <v>0.0</v>
      </c>
    </row>
    <row r="5640" ht="15.0" hidden="1" customHeight="1">
      <c r="A5640" s="49" t="s">
        <v>130</v>
      </c>
      <c r="B5640" s="50">
        <v>44926.0</v>
      </c>
      <c r="C5640" s="49" t="s">
        <v>69</v>
      </c>
      <c r="D5640" s="49">
        <v>0.0</v>
      </c>
    </row>
    <row r="5641" ht="15.0" hidden="1" customHeight="1">
      <c r="A5641" s="49" t="s">
        <v>137</v>
      </c>
      <c r="B5641" s="50">
        <v>44926.0</v>
      </c>
      <c r="C5641" s="49" t="s">
        <v>69</v>
      </c>
      <c r="D5641" s="49">
        <v>0.0</v>
      </c>
    </row>
    <row r="5642" ht="15.0" hidden="1" customHeight="1">
      <c r="A5642" s="49" t="s">
        <v>142</v>
      </c>
      <c r="B5642" s="50">
        <v>44926.0</v>
      </c>
      <c r="C5642" s="49" t="s">
        <v>69</v>
      </c>
      <c r="D5642" s="49">
        <v>0.0</v>
      </c>
    </row>
    <row r="5643" ht="15.0" hidden="1" customHeight="1">
      <c r="A5643" s="49" t="s">
        <v>147</v>
      </c>
      <c r="B5643" s="50">
        <v>44926.0</v>
      </c>
      <c r="C5643" s="49" t="s">
        <v>69</v>
      </c>
      <c r="D5643" s="49">
        <v>0.0</v>
      </c>
    </row>
    <row r="5644" ht="15.0" hidden="1" customHeight="1">
      <c r="A5644" s="49" t="s">
        <v>152</v>
      </c>
      <c r="B5644" s="50">
        <v>44926.0</v>
      </c>
      <c r="C5644" s="49" t="s">
        <v>69</v>
      </c>
      <c r="D5644" s="49">
        <v>0.0</v>
      </c>
    </row>
    <row r="5645" ht="15.0" hidden="1" customHeight="1">
      <c r="A5645" s="49" t="s">
        <v>157</v>
      </c>
      <c r="B5645" s="50">
        <v>44926.0</v>
      </c>
      <c r="C5645" s="49" t="s">
        <v>69</v>
      </c>
      <c r="D5645" s="49">
        <v>0.0</v>
      </c>
    </row>
    <row r="5646" ht="15.0" hidden="1" customHeight="1">
      <c r="A5646" s="49" t="s">
        <v>162</v>
      </c>
      <c r="B5646" s="50">
        <v>44926.0</v>
      </c>
      <c r="C5646" s="49" t="s">
        <v>69</v>
      </c>
      <c r="D5646" s="49">
        <v>712375.0</v>
      </c>
    </row>
    <row r="5647" ht="15.0" hidden="1" customHeight="1">
      <c r="A5647" s="49" t="s">
        <v>167</v>
      </c>
      <c r="B5647" s="50">
        <v>44926.0</v>
      </c>
      <c r="C5647" s="49" t="s">
        <v>69</v>
      </c>
      <c r="D5647" s="49">
        <v>0.0</v>
      </c>
    </row>
    <row r="5648" ht="15.0" hidden="1" customHeight="1">
      <c r="A5648" s="49" t="s">
        <v>172</v>
      </c>
      <c r="B5648" s="50">
        <v>44926.0</v>
      </c>
      <c r="C5648" s="49" t="s">
        <v>69</v>
      </c>
      <c r="D5648" s="49">
        <v>0.0</v>
      </c>
    </row>
    <row r="5649" ht="15.0" hidden="1" customHeight="1">
      <c r="A5649" s="49" t="s">
        <v>177</v>
      </c>
      <c r="B5649" s="50">
        <v>44926.0</v>
      </c>
      <c r="C5649" s="49" t="s">
        <v>69</v>
      </c>
      <c r="D5649" s="49">
        <v>0.0</v>
      </c>
    </row>
    <row r="5650" ht="15.0" hidden="1" customHeight="1">
      <c r="A5650" s="49" t="s">
        <v>182</v>
      </c>
      <c r="B5650" s="50">
        <v>44926.0</v>
      </c>
      <c r="C5650" s="49" t="s">
        <v>69</v>
      </c>
      <c r="D5650" s="49">
        <v>0.0</v>
      </c>
    </row>
    <row r="5651" ht="15.0" hidden="1" customHeight="1">
      <c r="A5651" s="49" t="s">
        <v>187</v>
      </c>
      <c r="B5651" s="50">
        <v>44926.0</v>
      </c>
      <c r="C5651" s="49" t="s">
        <v>69</v>
      </c>
      <c r="D5651" s="49">
        <v>0.0</v>
      </c>
    </row>
    <row r="5652" ht="15.0" hidden="1" customHeight="1">
      <c r="A5652" s="49" t="s">
        <v>192</v>
      </c>
      <c r="B5652" s="50">
        <v>44926.0</v>
      </c>
      <c r="C5652" s="49" t="s">
        <v>69</v>
      </c>
      <c r="D5652" s="49">
        <v>0.0</v>
      </c>
    </row>
    <row r="5653" ht="15.0" hidden="1" customHeight="1">
      <c r="A5653" s="49" t="s">
        <v>197</v>
      </c>
      <c r="B5653" s="50">
        <v>44926.0</v>
      </c>
      <c r="C5653" s="49" t="s">
        <v>69</v>
      </c>
      <c r="D5653" s="49">
        <v>0.0</v>
      </c>
    </row>
    <row r="5654" ht="15.0" hidden="1" customHeight="1">
      <c r="A5654" s="49" t="s">
        <v>202</v>
      </c>
      <c r="B5654" s="50">
        <v>44926.0</v>
      </c>
      <c r="C5654" s="49" t="s">
        <v>69</v>
      </c>
      <c r="D5654" s="49">
        <v>0.0</v>
      </c>
    </row>
    <row r="5655" ht="15.0" hidden="1" customHeight="1">
      <c r="A5655" s="49" t="s">
        <v>206</v>
      </c>
      <c r="B5655" s="50">
        <v>44926.0</v>
      </c>
      <c r="C5655" s="49" t="s">
        <v>69</v>
      </c>
      <c r="D5655" s="49">
        <v>0.0</v>
      </c>
    </row>
    <row r="5656" ht="15.0" hidden="1" customHeight="1">
      <c r="A5656" s="49" t="s">
        <v>211</v>
      </c>
      <c r="B5656" s="50">
        <v>44926.0</v>
      </c>
      <c r="C5656" s="49" t="s">
        <v>69</v>
      </c>
      <c r="D5656" s="49">
        <v>0.0</v>
      </c>
    </row>
    <row r="5657" ht="15.0" hidden="1" customHeight="1">
      <c r="A5657" s="49" t="s">
        <v>779</v>
      </c>
      <c r="B5657" s="50">
        <v>44926.0</v>
      </c>
      <c r="C5657" s="49" t="s">
        <v>69</v>
      </c>
      <c r="D5657" s="49">
        <v>0.0</v>
      </c>
    </row>
    <row r="5658" ht="15.0" hidden="1" customHeight="1">
      <c r="A5658" s="49" t="s">
        <v>221</v>
      </c>
      <c r="B5658" s="50">
        <v>44926.0</v>
      </c>
      <c r="C5658" s="49" t="s">
        <v>69</v>
      </c>
      <c r="D5658" s="49">
        <v>0.0</v>
      </c>
    </row>
    <row r="5659" ht="15.0" hidden="1" customHeight="1">
      <c r="A5659" s="49" t="s">
        <v>226</v>
      </c>
      <c r="B5659" s="50">
        <v>44926.0</v>
      </c>
      <c r="C5659" s="49" t="s">
        <v>69</v>
      </c>
      <c r="D5659" s="49">
        <v>153750.0</v>
      </c>
    </row>
    <row r="5660" ht="15.0" hidden="1" customHeight="1">
      <c r="A5660" s="49" t="s">
        <v>231</v>
      </c>
      <c r="B5660" s="50">
        <v>44926.0</v>
      </c>
      <c r="C5660" s="49" t="s">
        <v>69</v>
      </c>
      <c r="D5660" s="49">
        <v>0.0</v>
      </c>
    </row>
    <row r="5661" ht="15.0" hidden="1" customHeight="1">
      <c r="A5661" s="49" t="s">
        <v>236</v>
      </c>
      <c r="B5661" s="50">
        <v>44926.0</v>
      </c>
      <c r="C5661" s="49" t="s">
        <v>69</v>
      </c>
      <c r="D5661" s="49">
        <v>154300.0</v>
      </c>
    </row>
    <row r="5662" ht="15.0" hidden="1" customHeight="1">
      <c r="A5662" s="49" t="s">
        <v>242</v>
      </c>
      <c r="B5662" s="50">
        <v>44926.0</v>
      </c>
      <c r="C5662" s="49" t="s">
        <v>69</v>
      </c>
      <c r="D5662" s="49">
        <v>1922291.5</v>
      </c>
    </row>
    <row r="5663" ht="15.0" hidden="1" customHeight="1">
      <c r="A5663" s="49" t="s">
        <v>248</v>
      </c>
      <c r="B5663" s="50">
        <v>44926.0</v>
      </c>
      <c r="C5663" s="49" t="s">
        <v>69</v>
      </c>
      <c r="D5663" s="49">
        <v>900000.0</v>
      </c>
    </row>
    <row r="5664" ht="15.0" hidden="1" customHeight="1">
      <c r="A5664" s="49" t="s">
        <v>253</v>
      </c>
      <c r="B5664" s="50">
        <v>44926.0</v>
      </c>
      <c r="C5664" s="49" t="s">
        <v>69</v>
      </c>
      <c r="D5664" s="49">
        <v>588549.5</v>
      </c>
    </row>
    <row r="5665" ht="15.0" hidden="1" customHeight="1">
      <c r="A5665" s="49" t="s">
        <v>258</v>
      </c>
      <c r="B5665" s="50">
        <v>44926.0</v>
      </c>
      <c r="C5665" s="49" t="s">
        <v>69</v>
      </c>
      <c r="D5665" s="49">
        <v>0.0</v>
      </c>
    </row>
    <row r="5666" ht="15.0" hidden="1" customHeight="1">
      <c r="A5666" s="49" t="s">
        <v>263</v>
      </c>
      <c r="B5666" s="50">
        <v>44926.0</v>
      </c>
      <c r="C5666" s="49" t="s">
        <v>69</v>
      </c>
      <c r="D5666" s="49">
        <v>0.0</v>
      </c>
    </row>
    <row r="5667" ht="15.0" hidden="1" customHeight="1">
      <c r="A5667" s="49" t="s">
        <v>268</v>
      </c>
      <c r="B5667" s="50">
        <v>44926.0</v>
      </c>
      <c r="C5667" s="49" t="s">
        <v>69</v>
      </c>
      <c r="D5667" s="49">
        <v>159250.0</v>
      </c>
    </row>
    <row r="5668" ht="15.0" hidden="1" customHeight="1">
      <c r="A5668" s="49" t="s">
        <v>273</v>
      </c>
      <c r="B5668" s="50">
        <v>44926.0</v>
      </c>
      <c r="C5668" s="49" t="s">
        <v>69</v>
      </c>
      <c r="D5668" s="49">
        <v>0.0</v>
      </c>
    </row>
    <row r="5669" ht="15.0" hidden="1" customHeight="1">
      <c r="A5669" s="49" t="s">
        <v>278</v>
      </c>
      <c r="B5669" s="50">
        <v>44926.0</v>
      </c>
      <c r="C5669" s="49" t="s">
        <v>69</v>
      </c>
      <c r="D5669" s="49">
        <v>300000.0</v>
      </c>
    </row>
    <row r="5670" ht="15.0" hidden="1" customHeight="1">
      <c r="A5670" s="49" t="s">
        <v>283</v>
      </c>
      <c r="B5670" s="50">
        <v>44926.0</v>
      </c>
      <c r="C5670" s="49" t="s">
        <v>69</v>
      </c>
      <c r="D5670" s="49">
        <v>25750.0</v>
      </c>
    </row>
    <row r="5671" ht="15.0" hidden="1" customHeight="1">
      <c r="A5671" s="49" t="s">
        <v>288</v>
      </c>
      <c r="B5671" s="50">
        <v>44926.0</v>
      </c>
      <c r="C5671" s="49" t="s">
        <v>69</v>
      </c>
      <c r="D5671" s="49">
        <v>100000.0</v>
      </c>
    </row>
    <row r="5672" ht="15.0" hidden="1" customHeight="1">
      <c r="A5672" s="49" t="s">
        <v>293</v>
      </c>
      <c r="B5672" s="50">
        <v>44926.0</v>
      </c>
      <c r="C5672" s="49" t="s">
        <v>69</v>
      </c>
      <c r="D5672" s="49">
        <v>300000.0</v>
      </c>
    </row>
    <row r="5673" ht="15.0" hidden="1" customHeight="1">
      <c r="A5673" s="49" t="s">
        <v>298</v>
      </c>
      <c r="B5673" s="50">
        <v>44926.0</v>
      </c>
      <c r="C5673" s="49" t="s">
        <v>69</v>
      </c>
      <c r="D5673" s="49">
        <v>100000.0</v>
      </c>
    </row>
    <row r="5674" ht="15.0" hidden="1" customHeight="1">
      <c r="A5674" s="49" t="s">
        <v>303</v>
      </c>
      <c r="B5674" s="50">
        <v>44926.0</v>
      </c>
      <c r="C5674" s="49" t="s">
        <v>69</v>
      </c>
      <c r="D5674" s="49">
        <v>1237500.0</v>
      </c>
    </row>
    <row r="5675" ht="15.0" hidden="1" customHeight="1">
      <c r="A5675" s="49" t="s">
        <v>307</v>
      </c>
      <c r="B5675" s="50">
        <v>44926.0</v>
      </c>
      <c r="C5675" s="49" t="s">
        <v>69</v>
      </c>
      <c r="D5675" s="49">
        <v>1104048.06</v>
      </c>
    </row>
    <row r="5676" ht="15.0" hidden="1" customHeight="1">
      <c r="A5676" s="49" t="s">
        <v>313</v>
      </c>
      <c r="B5676" s="50">
        <v>44926.0</v>
      </c>
      <c r="C5676" s="49" t="s">
        <v>69</v>
      </c>
      <c r="D5676" s="49">
        <v>803750.0</v>
      </c>
    </row>
    <row r="5677" ht="15.0" hidden="1" customHeight="1">
      <c r="A5677" s="49" t="s">
        <v>318</v>
      </c>
      <c r="B5677" s="50">
        <v>44926.0</v>
      </c>
      <c r="C5677" s="49" t="s">
        <v>69</v>
      </c>
      <c r="D5677" s="49">
        <v>1600000.0</v>
      </c>
    </row>
    <row r="5678" ht="15.0" hidden="1" customHeight="1">
      <c r="A5678" s="49" t="s">
        <v>323</v>
      </c>
      <c r="B5678" s="50">
        <v>44926.0</v>
      </c>
      <c r="C5678" s="49" t="s">
        <v>69</v>
      </c>
      <c r="D5678" s="49">
        <v>300000.0</v>
      </c>
    </row>
    <row r="5679" ht="15.0" hidden="1" customHeight="1">
      <c r="A5679" s="49" t="s">
        <v>328</v>
      </c>
      <c r="B5679" s="50">
        <v>44926.0</v>
      </c>
      <c r="C5679" s="49" t="s">
        <v>69</v>
      </c>
      <c r="D5679" s="49">
        <v>0.0</v>
      </c>
    </row>
    <row r="5680" ht="15.0" hidden="1" customHeight="1">
      <c r="A5680" s="49" t="s">
        <v>335</v>
      </c>
      <c r="B5680" s="50">
        <v>44926.0</v>
      </c>
      <c r="C5680" s="49" t="s">
        <v>69</v>
      </c>
      <c r="D5680" s="49">
        <v>0.0</v>
      </c>
    </row>
    <row r="5681" ht="15.0" hidden="1" customHeight="1">
      <c r="A5681" s="49" t="s">
        <v>340</v>
      </c>
      <c r="B5681" s="50">
        <v>44926.0</v>
      </c>
      <c r="C5681" s="49" t="s">
        <v>69</v>
      </c>
      <c r="D5681" s="49">
        <v>300000.0</v>
      </c>
    </row>
    <row r="5682" ht="15.0" hidden="1" customHeight="1">
      <c r="A5682" s="49" t="s">
        <v>345</v>
      </c>
      <c r="B5682" s="50">
        <v>44926.0</v>
      </c>
      <c r="C5682" s="49" t="s">
        <v>69</v>
      </c>
      <c r="D5682" s="49">
        <v>50000.0</v>
      </c>
    </row>
    <row r="5683" ht="15.0" hidden="1" customHeight="1">
      <c r="A5683" s="49" t="s">
        <v>350</v>
      </c>
      <c r="B5683" s="50">
        <v>44926.0</v>
      </c>
      <c r="C5683" s="49" t="s">
        <v>69</v>
      </c>
      <c r="D5683" s="49">
        <v>0.0</v>
      </c>
    </row>
    <row r="5684" ht="15.0" hidden="1" customHeight="1">
      <c r="A5684" s="49" t="s">
        <v>355</v>
      </c>
      <c r="B5684" s="50">
        <v>44926.0</v>
      </c>
      <c r="C5684" s="49" t="s">
        <v>69</v>
      </c>
      <c r="D5684" s="49">
        <v>0.0</v>
      </c>
    </row>
    <row r="5685" ht="15.0" hidden="1" customHeight="1">
      <c r="A5685" s="49" t="s">
        <v>360</v>
      </c>
      <c r="B5685" s="50">
        <v>44926.0</v>
      </c>
      <c r="C5685" s="49" t="s">
        <v>69</v>
      </c>
      <c r="D5685" s="49">
        <v>0.0</v>
      </c>
    </row>
    <row r="5686" ht="15.0" hidden="1" customHeight="1">
      <c r="A5686" s="49" t="s">
        <v>365</v>
      </c>
      <c r="B5686" s="50">
        <v>44926.0</v>
      </c>
      <c r="C5686" s="49" t="s">
        <v>69</v>
      </c>
      <c r="D5686" s="49">
        <v>0.0</v>
      </c>
    </row>
    <row r="5687" ht="15.0" hidden="1" customHeight="1">
      <c r="A5687" s="49" t="s">
        <v>370</v>
      </c>
      <c r="B5687" s="50">
        <v>44926.0</v>
      </c>
      <c r="C5687" s="49" t="s">
        <v>69</v>
      </c>
      <c r="D5687" s="49">
        <v>0.0</v>
      </c>
    </row>
    <row r="5688" ht="15.0" hidden="1" customHeight="1">
      <c r="A5688" s="49" t="s">
        <v>375</v>
      </c>
      <c r="B5688" s="50">
        <v>44926.0</v>
      </c>
      <c r="C5688" s="49" t="s">
        <v>69</v>
      </c>
      <c r="D5688" s="49">
        <v>0.0</v>
      </c>
    </row>
    <row r="5689" ht="15.0" hidden="1" customHeight="1">
      <c r="A5689" s="49" t="s">
        <v>380</v>
      </c>
      <c r="B5689" s="50">
        <v>44926.0</v>
      </c>
      <c r="C5689" s="49" t="s">
        <v>69</v>
      </c>
      <c r="D5689" s="49">
        <v>0.0</v>
      </c>
    </row>
    <row r="5690" ht="15.0" hidden="1" customHeight="1">
      <c r="A5690" s="49" t="s">
        <v>385</v>
      </c>
      <c r="B5690" s="50">
        <v>44926.0</v>
      </c>
      <c r="C5690" s="49" t="s">
        <v>69</v>
      </c>
      <c r="D5690" s="49">
        <v>0.0</v>
      </c>
    </row>
    <row r="5691" ht="15.0" hidden="1" customHeight="1">
      <c r="A5691" s="49" t="s">
        <v>390</v>
      </c>
      <c r="B5691" s="50">
        <v>44926.0</v>
      </c>
      <c r="C5691" s="49" t="s">
        <v>69</v>
      </c>
      <c r="D5691" s="49">
        <v>0.0</v>
      </c>
    </row>
    <row r="5692" ht="15.0" hidden="1" customHeight="1">
      <c r="A5692" s="49" t="s">
        <v>395</v>
      </c>
      <c r="B5692" s="50">
        <v>44926.0</v>
      </c>
      <c r="C5692" s="49" t="s">
        <v>69</v>
      </c>
      <c r="D5692" s="49">
        <v>0.0</v>
      </c>
    </row>
    <row r="5693" ht="15.0" hidden="1" customHeight="1">
      <c r="A5693" s="49" t="s">
        <v>400</v>
      </c>
      <c r="B5693" s="50">
        <v>44926.0</v>
      </c>
      <c r="C5693" s="49" t="s">
        <v>69</v>
      </c>
      <c r="D5693" s="49">
        <v>0.0</v>
      </c>
    </row>
    <row r="5694" ht="15.0" hidden="1" customHeight="1">
      <c r="A5694" s="49" t="s">
        <v>405</v>
      </c>
      <c r="B5694" s="50">
        <v>44926.0</v>
      </c>
      <c r="C5694" s="49" t="s">
        <v>69</v>
      </c>
      <c r="D5694" s="49">
        <v>0.0</v>
      </c>
    </row>
    <row r="5695" ht="15.0" hidden="1" customHeight="1">
      <c r="A5695" s="49" t="s">
        <v>410</v>
      </c>
      <c r="B5695" s="50">
        <v>44926.0</v>
      </c>
      <c r="C5695" s="49" t="s">
        <v>69</v>
      </c>
      <c r="D5695" s="49">
        <v>0.0</v>
      </c>
    </row>
    <row r="5696" ht="15.0" hidden="1" customHeight="1">
      <c r="A5696" s="49" t="s">
        <v>415</v>
      </c>
      <c r="B5696" s="50">
        <v>44926.0</v>
      </c>
      <c r="C5696" s="49" t="s">
        <v>69</v>
      </c>
      <c r="D5696" s="49">
        <v>0.0</v>
      </c>
    </row>
    <row r="5697" ht="15.0" hidden="1" customHeight="1">
      <c r="A5697" s="49" t="s">
        <v>420</v>
      </c>
      <c r="B5697" s="50">
        <v>44926.0</v>
      </c>
      <c r="C5697" s="49" t="s">
        <v>69</v>
      </c>
      <c r="D5697" s="49">
        <v>0.0</v>
      </c>
    </row>
    <row r="5698" ht="15.0" hidden="1" customHeight="1">
      <c r="A5698" s="49" t="s">
        <v>425</v>
      </c>
      <c r="B5698" s="50">
        <v>44926.0</v>
      </c>
      <c r="C5698" s="49" t="s">
        <v>69</v>
      </c>
      <c r="D5698" s="49">
        <v>0.0</v>
      </c>
    </row>
    <row r="5699" ht="15.0" hidden="1" customHeight="1">
      <c r="A5699" s="49" t="s">
        <v>430</v>
      </c>
      <c r="B5699" s="50">
        <v>44926.0</v>
      </c>
      <c r="C5699" s="49" t="s">
        <v>69</v>
      </c>
      <c r="D5699" s="49">
        <v>0.0</v>
      </c>
    </row>
    <row r="5700" ht="15.0" hidden="1" customHeight="1">
      <c r="A5700" s="49" t="s">
        <v>434</v>
      </c>
      <c r="B5700" s="50">
        <v>44926.0</v>
      </c>
      <c r="C5700" s="49" t="s">
        <v>69</v>
      </c>
      <c r="D5700" s="49">
        <v>0.0</v>
      </c>
    </row>
    <row r="5701" ht="15.0" hidden="1" customHeight="1">
      <c r="A5701" s="49" t="s">
        <v>439</v>
      </c>
      <c r="B5701" s="50">
        <v>44926.0</v>
      </c>
      <c r="C5701" s="49" t="s">
        <v>69</v>
      </c>
      <c r="D5701" s="49">
        <v>0.0</v>
      </c>
    </row>
    <row r="5702" ht="15.0" hidden="1" customHeight="1">
      <c r="A5702" s="49" t="s">
        <v>444</v>
      </c>
      <c r="B5702" s="50">
        <v>44926.0</v>
      </c>
      <c r="C5702" s="49" t="s">
        <v>69</v>
      </c>
      <c r="D5702" s="49">
        <v>0.0</v>
      </c>
    </row>
    <row r="5703" ht="15.0" hidden="1" customHeight="1">
      <c r="A5703" s="49" t="s">
        <v>449</v>
      </c>
      <c r="B5703" s="50">
        <v>44926.0</v>
      </c>
      <c r="C5703" s="49" t="s">
        <v>69</v>
      </c>
      <c r="D5703" s="49">
        <v>0.0</v>
      </c>
    </row>
    <row r="5704" ht="15.0" hidden="1" customHeight="1">
      <c r="A5704" s="49" t="s">
        <v>455</v>
      </c>
      <c r="B5704" s="50">
        <v>44926.0</v>
      </c>
      <c r="C5704" s="49" t="s">
        <v>69</v>
      </c>
      <c r="D5704" s="49">
        <v>0.0</v>
      </c>
    </row>
    <row r="5705" ht="15.0" hidden="1" customHeight="1">
      <c r="A5705" s="49" t="s">
        <v>470</v>
      </c>
      <c r="B5705" s="50">
        <v>44926.0</v>
      </c>
      <c r="C5705" s="49" t="s">
        <v>69</v>
      </c>
      <c r="D5705" s="49">
        <v>0.0</v>
      </c>
    </row>
    <row r="5706" ht="15.0" hidden="1" customHeight="1">
      <c r="A5706" s="49" t="s">
        <v>476</v>
      </c>
      <c r="B5706" s="50">
        <v>44926.0</v>
      </c>
      <c r="C5706" s="49" t="s">
        <v>69</v>
      </c>
      <c r="D5706" s="49">
        <v>0.0</v>
      </c>
    </row>
    <row r="5707" ht="15.0" hidden="1" customHeight="1">
      <c r="A5707" s="49" t="s">
        <v>481</v>
      </c>
      <c r="B5707" s="50">
        <v>44926.0</v>
      </c>
      <c r="C5707" s="49" t="s">
        <v>69</v>
      </c>
      <c r="D5707" s="49">
        <v>0.0</v>
      </c>
    </row>
    <row r="5708" ht="15.0" hidden="1" customHeight="1">
      <c r="A5708" s="49" t="s">
        <v>486</v>
      </c>
      <c r="B5708" s="50">
        <v>44926.0</v>
      </c>
      <c r="C5708" s="49" t="s">
        <v>69</v>
      </c>
      <c r="D5708" s="49">
        <v>0.0</v>
      </c>
    </row>
    <row r="5709" ht="15.0" hidden="1" customHeight="1">
      <c r="A5709" s="49" t="s">
        <v>491</v>
      </c>
      <c r="B5709" s="50">
        <v>44926.0</v>
      </c>
      <c r="C5709" s="49" t="s">
        <v>69</v>
      </c>
      <c r="D5709" s="49">
        <v>0.0</v>
      </c>
    </row>
    <row r="5710" ht="15.0" hidden="1" customHeight="1">
      <c r="A5710" s="49" t="s">
        <v>496</v>
      </c>
      <c r="B5710" s="50">
        <v>44926.0</v>
      </c>
      <c r="C5710" s="49" t="s">
        <v>69</v>
      </c>
      <c r="D5710" s="49">
        <v>0.0</v>
      </c>
    </row>
    <row r="5711" ht="15.0" hidden="1" customHeight="1">
      <c r="A5711" s="49" t="s">
        <v>501</v>
      </c>
      <c r="B5711" s="50">
        <v>44926.0</v>
      </c>
      <c r="C5711" s="49" t="s">
        <v>69</v>
      </c>
      <c r="D5711" s="49">
        <v>0.0</v>
      </c>
    </row>
    <row r="5712" ht="15.0" hidden="1" customHeight="1">
      <c r="A5712" s="49" t="s">
        <v>506</v>
      </c>
      <c r="B5712" s="50">
        <v>44926.0</v>
      </c>
      <c r="C5712" s="49" t="s">
        <v>69</v>
      </c>
      <c r="D5712" s="49">
        <v>0.0</v>
      </c>
    </row>
    <row r="5713" ht="15.0" hidden="1" customHeight="1">
      <c r="A5713" s="49" t="s">
        <v>512</v>
      </c>
      <c r="B5713" s="50">
        <v>44926.0</v>
      </c>
      <c r="C5713" s="49" t="s">
        <v>69</v>
      </c>
      <c r="D5713" s="49">
        <v>0.0</v>
      </c>
    </row>
    <row r="5714" ht="15.0" hidden="1" customHeight="1">
      <c r="A5714" s="49" t="s">
        <v>517</v>
      </c>
      <c r="B5714" s="50">
        <v>44926.0</v>
      </c>
      <c r="C5714" s="49" t="s">
        <v>69</v>
      </c>
      <c r="D5714" s="49">
        <v>0.0</v>
      </c>
    </row>
    <row r="5715" ht="15.0" hidden="1" customHeight="1">
      <c r="A5715" s="49" t="s">
        <v>522</v>
      </c>
      <c r="B5715" s="50">
        <v>44926.0</v>
      </c>
      <c r="C5715" s="49" t="s">
        <v>69</v>
      </c>
      <c r="D5715" s="49">
        <v>0.0</v>
      </c>
    </row>
    <row r="5716" ht="15.0" hidden="1" customHeight="1">
      <c r="A5716" s="49" t="s">
        <v>528</v>
      </c>
      <c r="B5716" s="50">
        <v>44926.0</v>
      </c>
      <c r="C5716" s="49" t="s">
        <v>69</v>
      </c>
      <c r="D5716" s="49">
        <v>0.0</v>
      </c>
    </row>
    <row r="5717" ht="15.0" hidden="1" customHeight="1">
      <c r="A5717" s="49" t="s">
        <v>533</v>
      </c>
      <c r="B5717" s="50">
        <v>44926.0</v>
      </c>
      <c r="C5717" s="49" t="s">
        <v>69</v>
      </c>
      <c r="D5717" s="49">
        <v>0.0</v>
      </c>
    </row>
    <row r="5718" ht="15.0" hidden="1" customHeight="1">
      <c r="A5718" s="49" t="s">
        <v>538</v>
      </c>
      <c r="B5718" s="50">
        <v>44926.0</v>
      </c>
      <c r="C5718" s="49" t="s">
        <v>69</v>
      </c>
      <c r="D5718" s="49">
        <v>0.0</v>
      </c>
    </row>
    <row r="5719" ht="15.0" hidden="1" customHeight="1">
      <c r="A5719" s="49" t="s">
        <v>546</v>
      </c>
      <c r="B5719" s="50">
        <v>44926.0</v>
      </c>
      <c r="C5719" s="49" t="s">
        <v>69</v>
      </c>
      <c r="D5719" s="49">
        <v>0.0</v>
      </c>
    </row>
    <row r="5720" ht="15.0" hidden="1" customHeight="1">
      <c r="A5720" s="49" t="s">
        <v>551</v>
      </c>
      <c r="B5720" s="50">
        <v>44926.0</v>
      </c>
      <c r="C5720" s="49" t="s">
        <v>69</v>
      </c>
      <c r="D5720" s="49">
        <v>0.0</v>
      </c>
    </row>
    <row r="5721" ht="15.0" hidden="1" customHeight="1">
      <c r="A5721" s="49" t="s">
        <v>556</v>
      </c>
      <c r="B5721" s="50">
        <v>44926.0</v>
      </c>
      <c r="C5721" s="49" t="s">
        <v>69</v>
      </c>
      <c r="D5721" s="49">
        <v>0.0</v>
      </c>
    </row>
    <row r="5722" ht="15.0" hidden="1" customHeight="1">
      <c r="A5722" s="49" t="s">
        <v>561</v>
      </c>
      <c r="B5722" s="50">
        <v>44926.0</v>
      </c>
      <c r="C5722" s="49" t="s">
        <v>69</v>
      </c>
      <c r="D5722" s="49">
        <v>0.0</v>
      </c>
    </row>
    <row r="5723" ht="15.0" hidden="1" customHeight="1">
      <c r="A5723" s="49" t="s">
        <v>566</v>
      </c>
      <c r="B5723" s="50">
        <v>44926.0</v>
      </c>
      <c r="C5723" s="49" t="s">
        <v>69</v>
      </c>
      <c r="D5723" s="49">
        <v>0.0</v>
      </c>
    </row>
    <row r="5724" ht="15.0" hidden="1" customHeight="1">
      <c r="A5724" s="49" t="s">
        <v>571</v>
      </c>
      <c r="B5724" s="50">
        <v>44926.0</v>
      </c>
      <c r="C5724" s="49" t="s">
        <v>69</v>
      </c>
      <c r="D5724" s="49">
        <v>0.0</v>
      </c>
    </row>
    <row r="5725" ht="15.0" hidden="1" customHeight="1">
      <c r="A5725" s="49" t="s">
        <v>576</v>
      </c>
      <c r="B5725" s="50">
        <v>44926.0</v>
      </c>
      <c r="C5725" s="49" t="s">
        <v>69</v>
      </c>
      <c r="D5725" s="49">
        <v>0.0</v>
      </c>
    </row>
    <row r="5726" ht="15.0" hidden="1" customHeight="1">
      <c r="A5726" s="49" t="s">
        <v>581</v>
      </c>
      <c r="B5726" s="50">
        <v>44926.0</v>
      </c>
      <c r="C5726" s="49" t="s">
        <v>69</v>
      </c>
      <c r="D5726" s="49">
        <v>0.0</v>
      </c>
    </row>
    <row r="5727" ht="15.0" hidden="1" customHeight="1">
      <c r="A5727" s="49" t="s">
        <v>586</v>
      </c>
      <c r="B5727" s="50">
        <v>44926.0</v>
      </c>
      <c r="C5727" s="49" t="s">
        <v>69</v>
      </c>
      <c r="D5727" s="49">
        <v>0.0</v>
      </c>
    </row>
    <row r="5728" ht="15.0" hidden="1" customHeight="1">
      <c r="A5728" s="49" t="s">
        <v>754</v>
      </c>
      <c r="B5728" s="50">
        <v>44926.0</v>
      </c>
      <c r="C5728" s="49" t="s">
        <v>69</v>
      </c>
      <c r="D5728" s="49">
        <v>0.0</v>
      </c>
    </row>
    <row r="5729" ht="15.0" hidden="1" customHeight="1">
      <c r="A5729" s="49" t="s">
        <v>591</v>
      </c>
      <c r="B5729" s="50">
        <v>44926.0</v>
      </c>
      <c r="C5729" s="49" t="s">
        <v>69</v>
      </c>
      <c r="D5729" s="49">
        <v>0.0</v>
      </c>
    </row>
    <row r="5730" ht="15.0" hidden="1" customHeight="1">
      <c r="A5730" s="49" t="s">
        <v>759</v>
      </c>
      <c r="B5730" s="50">
        <v>44926.0</v>
      </c>
      <c r="C5730" s="49" t="s">
        <v>69</v>
      </c>
      <c r="D5730" s="49">
        <v>0.0</v>
      </c>
    </row>
    <row r="5731" ht="15.0" hidden="1" customHeight="1">
      <c r="A5731" s="49" t="s">
        <v>596</v>
      </c>
      <c r="B5731" s="50">
        <v>44926.0</v>
      </c>
      <c r="C5731" s="49" t="s">
        <v>69</v>
      </c>
      <c r="D5731" s="49">
        <v>0.0</v>
      </c>
    </row>
    <row r="5732" ht="15.0" hidden="1" customHeight="1">
      <c r="A5732" s="49" t="s">
        <v>602</v>
      </c>
      <c r="B5732" s="50">
        <v>44926.0</v>
      </c>
      <c r="C5732" s="49" t="s">
        <v>69</v>
      </c>
      <c r="D5732" s="49">
        <v>0.0</v>
      </c>
    </row>
    <row r="5733" ht="15.0" hidden="1" customHeight="1">
      <c r="A5733" s="49" t="s">
        <v>607</v>
      </c>
      <c r="B5733" s="50">
        <v>44926.0</v>
      </c>
      <c r="C5733" s="49" t="s">
        <v>69</v>
      </c>
      <c r="D5733" s="49">
        <v>0.0</v>
      </c>
    </row>
    <row r="5734" ht="15.0" hidden="1" customHeight="1">
      <c r="A5734" s="49" t="s">
        <v>612</v>
      </c>
      <c r="B5734" s="50">
        <v>44926.0</v>
      </c>
      <c r="C5734" s="49" t="s">
        <v>69</v>
      </c>
      <c r="D5734" s="49">
        <v>0.0</v>
      </c>
    </row>
    <row r="5735" ht="15.0" hidden="1" customHeight="1">
      <c r="A5735" s="49" t="s">
        <v>617</v>
      </c>
      <c r="B5735" s="50">
        <v>44926.0</v>
      </c>
      <c r="C5735" s="49" t="s">
        <v>69</v>
      </c>
      <c r="D5735" s="49">
        <v>0.0</v>
      </c>
    </row>
    <row r="5736" ht="15.0" hidden="1" customHeight="1">
      <c r="A5736" s="49" t="s">
        <v>622</v>
      </c>
      <c r="B5736" s="50">
        <v>44926.0</v>
      </c>
      <c r="C5736" s="49" t="s">
        <v>69</v>
      </c>
      <c r="D5736" s="49">
        <v>0.0</v>
      </c>
    </row>
    <row r="5737" ht="15.0" hidden="1" customHeight="1">
      <c r="A5737" s="49" t="s">
        <v>627</v>
      </c>
      <c r="B5737" s="50">
        <v>44926.0</v>
      </c>
      <c r="C5737" s="49" t="s">
        <v>69</v>
      </c>
      <c r="D5737" s="49">
        <v>0.0</v>
      </c>
    </row>
    <row r="5738" ht="15.0" hidden="1" customHeight="1">
      <c r="A5738" s="49" t="s">
        <v>631</v>
      </c>
      <c r="B5738" s="50">
        <v>44926.0</v>
      </c>
      <c r="C5738" s="49" t="s">
        <v>69</v>
      </c>
      <c r="D5738" s="49">
        <v>0.0</v>
      </c>
    </row>
    <row r="5739" ht="15.0" hidden="1" customHeight="1">
      <c r="A5739" s="49" t="s">
        <v>636</v>
      </c>
      <c r="B5739" s="50">
        <v>44926.0</v>
      </c>
      <c r="C5739" s="49" t="s">
        <v>69</v>
      </c>
      <c r="D5739" s="49">
        <v>0.0</v>
      </c>
    </row>
    <row r="5740" ht="15.0" hidden="1" customHeight="1">
      <c r="A5740" s="49" t="s">
        <v>640</v>
      </c>
      <c r="B5740" s="50">
        <v>44926.0</v>
      </c>
      <c r="C5740" s="49" t="s">
        <v>69</v>
      </c>
      <c r="D5740" s="49">
        <v>0.0</v>
      </c>
    </row>
    <row r="5741" ht="15.0" hidden="1" customHeight="1">
      <c r="A5741" s="49" t="s">
        <v>644</v>
      </c>
      <c r="B5741" s="50">
        <v>44926.0</v>
      </c>
      <c r="C5741" s="49" t="s">
        <v>69</v>
      </c>
      <c r="D5741" s="49">
        <v>0.0</v>
      </c>
    </row>
    <row r="5742" ht="15.0" hidden="1" customHeight="1">
      <c r="A5742" s="49" t="s">
        <v>649</v>
      </c>
      <c r="B5742" s="50">
        <v>44926.0</v>
      </c>
      <c r="C5742" s="49" t="s">
        <v>69</v>
      </c>
      <c r="D5742" s="49">
        <v>0.0</v>
      </c>
    </row>
    <row r="5743" ht="15.0" hidden="1" customHeight="1">
      <c r="A5743" s="49" t="s">
        <v>654</v>
      </c>
      <c r="B5743" s="50">
        <v>44926.0</v>
      </c>
      <c r="C5743" s="49" t="s">
        <v>69</v>
      </c>
      <c r="D5743" s="49">
        <v>0.0</v>
      </c>
    </row>
    <row r="5744" ht="15.0" hidden="1" customHeight="1">
      <c r="A5744" s="49" t="s">
        <v>659</v>
      </c>
      <c r="B5744" s="50">
        <v>44926.0</v>
      </c>
      <c r="C5744" s="49" t="s">
        <v>69</v>
      </c>
      <c r="D5744" s="49">
        <v>0.0</v>
      </c>
    </row>
    <row r="5745" ht="15.0" hidden="1" customHeight="1">
      <c r="A5745" s="49" t="s">
        <v>664</v>
      </c>
      <c r="B5745" s="50">
        <v>44926.0</v>
      </c>
      <c r="C5745" s="49" t="s">
        <v>69</v>
      </c>
      <c r="D5745" s="49">
        <v>0.0</v>
      </c>
    </row>
    <row r="5746" ht="15.0" hidden="1" customHeight="1">
      <c r="A5746" s="49" t="s">
        <v>669</v>
      </c>
      <c r="B5746" s="50">
        <v>44926.0</v>
      </c>
      <c r="C5746" s="49" t="s">
        <v>69</v>
      </c>
      <c r="D5746" s="49">
        <v>0.0</v>
      </c>
    </row>
    <row r="5747" ht="15.0" hidden="1" customHeight="1">
      <c r="A5747" s="49" t="s">
        <v>674</v>
      </c>
      <c r="B5747" s="50">
        <v>44926.0</v>
      </c>
      <c r="C5747" s="49" t="s">
        <v>69</v>
      </c>
      <c r="D5747" s="49">
        <v>0.0</v>
      </c>
    </row>
    <row r="5748" ht="15.0" hidden="1" customHeight="1">
      <c r="A5748" s="49" t="s">
        <v>679</v>
      </c>
      <c r="B5748" s="50">
        <v>44926.0</v>
      </c>
      <c r="C5748" s="49" t="s">
        <v>69</v>
      </c>
      <c r="D5748" s="49">
        <v>0.0</v>
      </c>
    </row>
    <row r="5749" ht="15.0" hidden="1" customHeight="1">
      <c r="A5749" s="49" t="s">
        <v>684</v>
      </c>
      <c r="B5749" s="50">
        <v>44926.0</v>
      </c>
      <c r="C5749" s="49" t="s">
        <v>69</v>
      </c>
      <c r="D5749" s="49">
        <v>0.0</v>
      </c>
    </row>
    <row r="5750" ht="15.0" hidden="1" customHeight="1">
      <c r="A5750" s="49" t="s">
        <v>689</v>
      </c>
      <c r="B5750" s="50">
        <v>44926.0</v>
      </c>
      <c r="C5750" s="49" t="s">
        <v>69</v>
      </c>
      <c r="D5750" s="49">
        <v>0.0</v>
      </c>
    </row>
    <row r="5751" ht="15.0" hidden="1" customHeight="1">
      <c r="A5751" s="49" t="s">
        <v>694</v>
      </c>
      <c r="B5751" s="50">
        <v>44926.0</v>
      </c>
      <c r="C5751" s="49" t="s">
        <v>69</v>
      </c>
      <c r="D5751" s="49">
        <v>0.0</v>
      </c>
    </row>
    <row r="5752" ht="15.0" hidden="1" customHeight="1">
      <c r="A5752" s="49" t="s">
        <v>699</v>
      </c>
      <c r="B5752" s="50">
        <v>44926.0</v>
      </c>
      <c r="C5752" s="49" t="s">
        <v>69</v>
      </c>
      <c r="D5752" s="49">
        <v>0.0</v>
      </c>
    </row>
    <row r="5753" ht="15.0" hidden="1" customHeight="1">
      <c r="A5753" s="49" t="s">
        <v>705</v>
      </c>
      <c r="B5753" s="50">
        <v>44926.0</v>
      </c>
      <c r="C5753" s="49" t="s">
        <v>69</v>
      </c>
      <c r="D5753" s="49">
        <v>0.0</v>
      </c>
    </row>
    <row r="5754" ht="15.0" hidden="1" customHeight="1">
      <c r="A5754" s="49" t="s">
        <v>710</v>
      </c>
      <c r="B5754" s="50">
        <v>44926.0</v>
      </c>
      <c r="C5754" s="49" t="s">
        <v>69</v>
      </c>
      <c r="D5754" s="49">
        <v>0.0</v>
      </c>
    </row>
    <row r="5755" ht="15.0" hidden="1" customHeight="1">
      <c r="A5755" s="49" t="s">
        <v>715</v>
      </c>
      <c r="B5755" s="50">
        <v>44926.0</v>
      </c>
      <c r="C5755" s="49" t="s">
        <v>69</v>
      </c>
      <c r="D5755" s="49">
        <v>0.0</v>
      </c>
    </row>
    <row r="5756" ht="15.0" hidden="1" customHeight="1">
      <c r="A5756" s="49" t="s">
        <v>765</v>
      </c>
      <c r="B5756" s="50">
        <v>44926.0</v>
      </c>
      <c r="C5756" s="49" t="s">
        <v>69</v>
      </c>
      <c r="D5756" s="49">
        <v>0.0</v>
      </c>
    </row>
    <row r="5757" ht="15.0" hidden="1" customHeight="1">
      <c r="A5757" s="49" t="s">
        <v>720</v>
      </c>
      <c r="B5757" s="50">
        <v>44926.0</v>
      </c>
      <c r="C5757" s="49" t="s">
        <v>69</v>
      </c>
      <c r="D5757" s="49">
        <v>0.0</v>
      </c>
    </row>
    <row r="5758" ht="15.0" hidden="1" customHeight="1">
      <c r="A5758" s="49" t="s">
        <v>725</v>
      </c>
      <c r="B5758" s="50">
        <v>44926.0</v>
      </c>
      <c r="C5758" s="49" t="s">
        <v>69</v>
      </c>
      <c r="D5758" s="49">
        <v>0.0</v>
      </c>
    </row>
    <row r="5759" ht="15.0" hidden="1" customHeight="1">
      <c r="A5759" s="49" t="s">
        <v>730</v>
      </c>
      <c r="B5759" s="50">
        <v>44926.0</v>
      </c>
      <c r="C5759" s="49" t="s">
        <v>69</v>
      </c>
      <c r="D5759" s="49">
        <v>0.0</v>
      </c>
    </row>
    <row r="5760" ht="15.0" hidden="1" customHeight="1">
      <c r="A5760" s="49" t="s">
        <v>734</v>
      </c>
      <c r="B5760" s="50">
        <v>44926.0</v>
      </c>
      <c r="C5760" s="49" t="s">
        <v>69</v>
      </c>
      <c r="D5760" s="49">
        <v>0.0</v>
      </c>
    </row>
    <row r="5761" ht="15.0" hidden="1" customHeight="1">
      <c r="A5761" s="49" t="s">
        <v>739</v>
      </c>
      <c r="B5761" s="50">
        <v>44926.0</v>
      </c>
      <c r="C5761" s="49" t="s">
        <v>69</v>
      </c>
      <c r="D5761" s="49">
        <v>0.0</v>
      </c>
    </row>
    <row r="5762" ht="15.0" hidden="1" customHeight="1">
      <c r="A5762" s="49" t="s">
        <v>744</v>
      </c>
      <c r="B5762" s="50">
        <v>44926.0</v>
      </c>
      <c r="C5762" s="49" t="s">
        <v>69</v>
      </c>
      <c r="D5762" s="49">
        <v>0.0</v>
      </c>
    </row>
    <row r="5763" ht="15.0" hidden="1" customHeight="1">
      <c r="A5763" s="49" t="s">
        <v>749</v>
      </c>
      <c r="B5763" s="50">
        <v>44926.0</v>
      </c>
      <c r="C5763" s="49" t="s">
        <v>69</v>
      </c>
      <c r="D5763" s="49">
        <v>0.0</v>
      </c>
    </row>
    <row r="5764" ht="15.0" customHeight="1">
      <c r="A5764" s="49" t="s">
        <v>776</v>
      </c>
      <c r="B5764" s="50">
        <v>44926.0</v>
      </c>
      <c r="C5764" s="49" t="s">
        <v>780</v>
      </c>
      <c r="D5764" s="49">
        <v>0.0</v>
      </c>
    </row>
    <row r="5765" ht="15.0" hidden="1" customHeight="1">
      <c r="A5765" s="49" t="s">
        <v>778</v>
      </c>
      <c r="B5765" s="50">
        <v>44926.0</v>
      </c>
      <c r="C5765" s="49" t="s">
        <v>780</v>
      </c>
      <c r="D5765" s="49">
        <v>0.0</v>
      </c>
    </row>
    <row r="5766" ht="15.0" hidden="1" customHeight="1">
      <c r="A5766" s="49" t="s">
        <v>92</v>
      </c>
      <c r="B5766" s="50">
        <v>44926.0</v>
      </c>
      <c r="C5766" s="49" t="s">
        <v>780</v>
      </c>
      <c r="D5766" s="49">
        <v>0.0</v>
      </c>
    </row>
    <row r="5767" ht="15.0" hidden="1" customHeight="1">
      <c r="A5767" s="49" t="s">
        <v>97</v>
      </c>
      <c r="B5767" s="50">
        <v>44926.0</v>
      </c>
      <c r="C5767" s="49" t="s">
        <v>780</v>
      </c>
      <c r="D5767" s="49">
        <v>0.0</v>
      </c>
    </row>
    <row r="5768" ht="15.0" hidden="1" customHeight="1">
      <c r="A5768" s="49" t="s">
        <v>102</v>
      </c>
      <c r="B5768" s="50">
        <v>44926.0</v>
      </c>
      <c r="C5768" s="49" t="s">
        <v>780</v>
      </c>
      <c r="D5768" s="49">
        <v>0.0</v>
      </c>
    </row>
    <row r="5769" ht="15.0" hidden="1" customHeight="1">
      <c r="A5769" s="49" t="s">
        <v>106</v>
      </c>
      <c r="B5769" s="50">
        <v>44926.0</v>
      </c>
      <c r="C5769" s="49" t="s">
        <v>780</v>
      </c>
      <c r="D5769" s="49">
        <v>0.0</v>
      </c>
    </row>
    <row r="5770" ht="15.0" hidden="1" customHeight="1">
      <c r="A5770" s="49" t="s">
        <v>111</v>
      </c>
      <c r="B5770" s="50">
        <v>44926.0</v>
      </c>
      <c r="C5770" s="49" t="s">
        <v>780</v>
      </c>
      <c r="D5770" s="49">
        <v>0.0</v>
      </c>
    </row>
    <row r="5771" ht="15.0" hidden="1" customHeight="1">
      <c r="A5771" s="49" t="s">
        <v>116</v>
      </c>
      <c r="B5771" s="50">
        <v>44926.0</v>
      </c>
      <c r="C5771" s="49" t="s">
        <v>780</v>
      </c>
      <c r="D5771" s="49">
        <v>0.0</v>
      </c>
    </row>
    <row r="5772" ht="15.0" hidden="1" customHeight="1">
      <c r="A5772" s="49" t="s">
        <v>120</v>
      </c>
      <c r="B5772" s="50">
        <v>44926.0</v>
      </c>
      <c r="C5772" s="49" t="s">
        <v>780</v>
      </c>
      <c r="D5772" s="49">
        <v>-578611.11</v>
      </c>
    </row>
    <row r="5773" ht="15.0" hidden="1" customHeight="1">
      <c r="A5773" s="49" t="s">
        <v>125</v>
      </c>
      <c r="B5773" s="50">
        <v>44926.0</v>
      </c>
      <c r="C5773" s="49" t="s">
        <v>780</v>
      </c>
      <c r="D5773" s="49">
        <v>0.0</v>
      </c>
    </row>
    <row r="5774" ht="15.0" hidden="1" customHeight="1">
      <c r="A5774" s="49" t="s">
        <v>130</v>
      </c>
      <c r="B5774" s="50">
        <v>44926.0</v>
      </c>
      <c r="C5774" s="49" t="s">
        <v>780</v>
      </c>
      <c r="D5774" s="49">
        <v>0.0</v>
      </c>
    </row>
    <row r="5775" ht="15.0" hidden="1" customHeight="1">
      <c r="A5775" s="49" t="s">
        <v>137</v>
      </c>
      <c r="B5775" s="50">
        <v>44926.0</v>
      </c>
      <c r="C5775" s="49" t="s">
        <v>780</v>
      </c>
      <c r="D5775" s="49">
        <v>0.0</v>
      </c>
    </row>
    <row r="5776" ht="15.0" hidden="1" customHeight="1">
      <c r="A5776" s="49" t="s">
        <v>142</v>
      </c>
      <c r="B5776" s="50">
        <v>44926.0</v>
      </c>
      <c r="C5776" s="49" t="s">
        <v>780</v>
      </c>
      <c r="D5776" s="49">
        <v>0.0</v>
      </c>
    </row>
    <row r="5777" ht="15.0" hidden="1" customHeight="1">
      <c r="A5777" s="49" t="s">
        <v>147</v>
      </c>
      <c r="B5777" s="50">
        <v>44926.0</v>
      </c>
      <c r="C5777" s="49" t="s">
        <v>780</v>
      </c>
      <c r="D5777" s="49">
        <v>0.0</v>
      </c>
    </row>
    <row r="5778" ht="15.0" hidden="1" customHeight="1">
      <c r="A5778" s="49" t="s">
        <v>152</v>
      </c>
      <c r="B5778" s="50">
        <v>44926.0</v>
      </c>
      <c r="C5778" s="49" t="s">
        <v>780</v>
      </c>
      <c r="D5778" s="49">
        <v>0.0</v>
      </c>
    </row>
    <row r="5779" ht="15.0" hidden="1" customHeight="1">
      <c r="A5779" s="49" t="s">
        <v>157</v>
      </c>
      <c r="B5779" s="50">
        <v>44926.0</v>
      </c>
      <c r="C5779" s="49" t="s">
        <v>780</v>
      </c>
      <c r="D5779" s="49">
        <v>0.0</v>
      </c>
    </row>
    <row r="5780" ht="15.0" hidden="1" customHeight="1">
      <c r="A5780" s="49" t="s">
        <v>162</v>
      </c>
      <c r="B5780" s="50">
        <v>44926.0</v>
      </c>
      <c r="C5780" s="49" t="s">
        <v>780</v>
      </c>
      <c r="D5780" s="49">
        <v>-712375.0</v>
      </c>
    </row>
    <row r="5781" ht="15.0" hidden="1" customHeight="1">
      <c r="A5781" s="49" t="s">
        <v>167</v>
      </c>
      <c r="B5781" s="50">
        <v>44926.0</v>
      </c>
      <c r="C5781" s="49" t="s">
        <v>780</v>
      </c>
      <c r="D5781" s="49">
        <v>0.0</v>
      </c>
    </row>
    <row r="5782" ht="15.0" hidden="1" customHeight="1">
      <c r="A5782" s="49" t="s">
        <v>172</v>
      </c>
      <c r="B5782" s="50">
        <v>44926.0</v>
      </c>
      <c r="C5782" s="49" t="s">
        <v>780</v>
      </c>
      <c r="D5782" s="49">
        <v>0.0</v>
      </c>
    </row>
    <row r="5783" ht="15.0" hidden="1" customHeight="1">
      <c r="A5783" s="49" t="s">
        <v>177</v>
      </c>
      <c r="B5783" s="50">
        <v>44926.0</v>
      </c>
      <c r="C5783" s="49" t="s">
        <v>780</v>
      </c>
      <c r="D5783" s="49">
        <v>0.0</v>
      </c>
    </row>
    <row r="5784" ht="15.0" hidden="1" customHeight="1">
      <c r="A5784" s="49" t="s">
        <v>182</v>
      </c>
      <c r="B5784" s="50">
        <v>44926.0</v>
      </c>
      <c r="C5784" s="49" t="s">
        <v>780</v>
      </c>
      <c r="D5784" s="49">
        <v>0.0</v>
      </c>
    </row>
    <row r="5785" ht="15.0" hidden="1" customHeight="1">
      <c r="A5785" s="49" t="s">
        <v>187</v>
      </c>
      <c r="B5785" s="50">
        <v>44926.0</v>
      </c>
      <c r="C5785" s="49" t="s">
        <v>780</v>
      </c>
      <c r="D5785" s="49">
        <v>0.0</v>
      </c>
    </row>
    <row r="5786" ht="15.0" hidden="1" customHeight="1">
      <c r="A5786" s="49" t="s">
        <v>192</v>
      </c>
      <c r="B5786" s="50">
        <v>44926.0</v>
      </c>
      <c r="C5786" s="49" t="s">
        <v>780</v>
      </c>
      <c r="D5786" s="49">
        <v>0.0</v>
      </c>
    </row>
    <row r="5787" ht="15.0" hidden="1" customHeight="1">
      <c r="A5787" s="49" t="s">
        <v>197</v>
      </c>
      <c r="B5787" s="50">
        <v>44926.0</v>
      </c>
      <c r="C5787" s="49" t="s">
        <v>780</v>
      </c>
      <c r="D5787" s="49">
        <v>0.0</v>
      </c>
    </row>
    <row r="5788" ht="15.0" hidden="1" customHeight="1">
      <c r="A5788" s="49" t="s">
        <v>202</v>
      </c>
      <c r="B5788" s="50">
        <v>44926.0</v>
      </c>
      <c r="C5788" s="49" t="s">
        <v>780</v>
      </c>
      <c r="D5788" s="49">
        <v>0.0</v>
      </c>
    </row>
    <row r="5789" ht="15.0" hidden="1" customHeight="1">
      <c r="A5789" s="49" t="s">
        <v>206</v>
      </c>
      <c r="B5789" s="50">
        <v>44926.0</v>
      </c>
      <c r="C5789" s="49" t="s">
        <v>780</v>
      </c>
      <c r="D5789" s="49">
        <v>0.0</v>
      </c>
    </row>
    <row r="5790" ht="15.0" hidden="1" customHeight="1">
      <c r="A5790" s="49" t="s">
        <v>211</v>
      </c>
      <c r="B5790" s="50">
        <v>44926.0</v>
      </c>
      <c r="C5790" s="49" t="s">
        <v>780</v>
      </c>
      <c r="D5790" s="49">
        <v>0.0</v>
      </c>
    </row>
    <row r="5791" ht="15.0" hidden="1" customHeight="1">
      <c r="A5791" s="49" t="s">
        <v>779</v>
      </c>
      <c r="B5791" s="50">
        <v>44926.0</v>
      </c>
      <c r="C5791" s="49" t="s">
        <v>780</v>
      </c>
      <c r="D5791" s="49">
        <v>0.0</v>
      </c>
    </row>
    <row r="5792" ht="15.0" hidden="1" customHeight="1">
      <c r="A5792" s="49" t="s">
        <v>221</v>
      </c>
      <c r="B5792" s="50">
        <v>44926.0</v>
      </c>
      <c r="C5792" s="49" t="s">
        <v>780</v>
      </c>
      <c r="D5792" s="49">
        <v>0.0</v>
      </c>
    </row>
    <row r="5793" ht="15.0" hidden="1" customHeight="1">
      <c r="A5793" s="49" t="s">
        <v>226</v>
      </c>
      <c r="B5793" s="50">
        <v>44926.0</v>
      </c>
      <c r="C5793" s="49" t="s">
        <v>780</v>
      </c>
      <c r="D5793" s="49">
        <v>-153750.0</v>
      </c>
    </row>
    <row r="5794" ht="15.0" hidden="1" customHeight="1">
      <c r="A5794" s="49" t="s">
        <v>231</v>
      </c>
      <c r="B5794" s="50">
        <v>44926.0</v>
      </c>
      <c r="C5794" s="49" t="s">
        <v>780</v>
      </c>
      <c r="D5794" s="49">
        <v>0.0</v>
      </c>
    </row>
    <row r="5795" ht="15.0" hidden="1" customHeight="1">
      <c r="A5795" s="49" t="s">
        <v>236</v>
      </c>
      <c r="B5795" s="50">
        <v>44926.0</v>
      </c>
      <c r="C5795" s="49" t="s">
        <v>780</v>
      </c>
      <c r="D5795" s="49">
        <v>-154300.0</v>
      </c>
    </row>
    <row r="5796" ht="15.0" hidden="1" customHeight="1">
      <c r="A5796" s="49" t="s">
        <v>242</v>
      </c>
      <c r="B5796" s="50">
        <v>44926.0</v>
      </c>
      <c r="C5796" s="49" t="s">
        <v>780</v>
      </c>
      <c r="D5796" s="49">
        <v>-1922291.5</v>
      </c>
    </row>
    <row r="5797" ht="15.0" hidden="1" customHeight="1">
      <c r="A5797" s="49" t="s">
        <v>248</v>
      </c>
      <c r="B5797" s="50">
        <v>44926.0</v>
      </c>
      <c r="C5797" s="49" t="s">
        <v>780</v>
      </c>
      <c r="D5797" s="49">
        <v>-900000.0</v>
      </c>
    </row>
    <row r="5798" ht="15.0" hidden="1" customHeight="1">
      <c r="A5798" s="49" t="s">
        <v>253</v>
      </c>
      <c r="B5798" s="50">
        <v>44926.0</v>
      </c>
      <c r="C5798" s="49" t="s">
        <v>780</v>
      </c>
      <c r="D5798" s="49">
        <v>-588549.5</v>
      </c>
    </row>
    <row r="5799" ht="15.0" hidden="1" customHeight="1">
      <c r="A5799" s="49" t="s">
        <v>258</v>
      </c>
      <c r="B5799" s="50">
        <v>44926.0</v>
      </c>
      <c r="C5799" s="49" t="s">
        <v>780</v>
      </c>
      <c r="D5799" s="49">
        <v>0.0</v>
      </c>
    </row>
    <row r="5800" ht="15.0" hidden="1" customHeight="1">
      <c r="A5800" s="49" t="s">
        <v>263</v>
      </c>
      <c r="B5800" s="50">
        <v>44926.0</v>
      </c>
      <c r="C5800" s="49" t="s">
        <v>780</v>
      </c>
      <c r="D5800" s="49">
        <v>0.0</v>
      </c>
    </row>
    <row r="5801" ht="15.0" hidden="1" customHeight="1">
      <c r="A5801" s="49" t="s">
        <v>268</v>
      </c>
      <c r="B5801" s="50">
        <v>44926.0</v>
      </c>
      <c r="C5801" s="49" t="s">
        <v>780</v>
      </c>
      <c r="D5801" s="49">
        <v>-159250.0</v>
      </c>
    </row>
    <row r="5802" ht="15.0" hidden="1" customHeight="1">
      <c r="A5802" s="49" t="s">
        <v>273</v>
      </c>
      <c r="B5802" s="50">
        <v>44926.0</v>
      </c>
      <c r="C5802" s="49" t="s">
        <v>780</v>
      </c>
      <c r="D5802" s="49">
        <v>0.0</v>
      </c>
    </row>
    <row r="5803" ht="15.0" hidden="1" customHeight="1">
      <c r="A5803" s="49" t="s">
        <v>278</v>
      </c>
      <c r="B5803" s="50">
        <v>44926.0</v>
      </c>
      <c r="C5803" s="49" t="s">
        <v>780</v>
      </c>
      <c r="D5803" s="49">
        <v>-300000.0</v>
      </c>
    </row>
    <row r="5804" ht="15.0" hidden="1" customHeight="1">
      <c r="A5804" s="49" t="s">
        <v>283</v>
      </c>
      <c r="B5804" s="50">
        <v>44926.0</v>
      </c>
      <c r="C5804" s="49" t="s">
        <v>780</v>
      </c>
      <c r="D5804" s="49">
        <v>-25750.0</v>
      </c>
    </row>
    <row r="5805" ht="15.0" hidden="1" customHeight="1">
      <c r="A5805" s="49" t="s">
        <v>288</v>
      </c>
      <c r="B5805" s="50">
        <v>44926.0</v>
      </c>
      <c r="C5805" s="49" t="s">
        <v>780</v>
      </c>
      <c r="D5805" s="49">
        <v>-100000.0</v>
      </c>
    </row>
    <row r="5806" ht="15.0" hidden="1" customHeight="1">
      <c r="A5806" s="49" t="s">
        <v>293</v>
      </c>
      <c r="B5806" s="50">
        <v>44926.0</v>
      </c>
      <c r="C5806" s="49" t="s">
        <v>780</v>
      </c>
      <c r="D5806" s="49">
        <v>-300000.0</v>
      </c>
    </row>
    <row r="5807" ht="15.0" hidden="1" customHeight="1">
      <c r="A5807" s="49" t="s">
        <v>298</v>
      </c>
      <c r="B5807" s="50">
        <v>44926.0</v>
      </c>
      <c r="C5807" s="49" t="s">
        <v>780</v>
      </c>
      <c r="D5807" s="49">
        <v>-100000.0</v>
      </c>
    </row>
    <row r="5808" ht="15.0" hidden="1" customHeight="1">
      <c r="A5808" s="49" t="s">
        <v>303</v>
      </c>
      <c r="B5808" s="50">
        <v>44926.0</v>
      </c>
      <c r="C5808" s="49" t="s">
        <v>780</v>
      </c>
      <c r="D5808" s="49">
        <v>-1237500.0</v>
      </c>
    </row>
    <row r="5809" ht="15.0" hidden="1" customHeight="1">
      <c r="A5809" s="49" t="s">
        <v>307</v>
      </c>
      <c r="B5809" s="50">
        <v>44926.0</v>
      </c>
      <c r="C5809" s="49" t="s">
        <v>780</v>
      </c>
      <c r="D5809" s="49">
        <v>-1104048.06</v>
      </c>
    </row>
    <row r="5810" ht="15.0" hidden="1" customHeight="1">
      <c r="A5810" s="49" t="s">
        <v>313</v>
      </c>
      <c r="B5810" s="50">
        <v>44926.0</v>
      </c>
      <c r="C5810" s="49" t="s">
        <v>780</v>
      </c>
      <c r="D5810" s="49">
        <v>-803750.0</v>
      </c>
    </row>
    <row r="5811" ht="15.0" hidden="1" customHeight="1">
      <c r="A5811" s="49" t="s">
        <v>318</v>
      </c>
      <c r="B5811" s="50">
        <v>44926.0</v>
      </c>
      <c r="C5811" s="49" t="s">
        <v>780</v>
      </c>
      <c r="D5811" s="49">
        <v>-1600000.0</v>
      </c>
    </row>
    <row r="5812" ht="15.0" hidden="1" customHeight="1">
      <c r="A5812" s="49" t="s">
        <v>323</v>
      </c>
      <c r="B5812" s="50">
        <v>44926.0</v>
      </c>
      <c r="C5812" s="49" t="s">
        <v>780</v>
      </c>
      <c r="D5812" s="49">
        <v>-300000.0</v>
      </c>
    </row>
    <row r="5813" ht="15.0" hidden="1" customHeight="1">
      <c r="A5813" s="49" t="s">
        <v>328</v>
      </c>
      <c r="B5813" s="50">
        <v>44926.0</v>
      </c>
      <c r="C5813" s="49" t="s">
        <v>780</v>
      </c>
      <c r="D5813" s="49">
        <v>0.0</v>
      </c>
    </row>
    <row r="5814" ht="15.0" hidden="1" customHeight="1">
      <c r="A5814" s="49" t="s">
        <v>335</v>
      </c>
      <c r="B5814" s="50">
        <v>44926.0</v>
      </c>
      <c r="C5814" s="49" t="s">
        <v>780</v>
      </c>
      <c r="D5814" s="49">
        <v>0.0</v>
      </c>
    </row>
    <row r="5815" ht="15.0" hidden="1" customHeight="1">
      <c r="A5815" s="49" t="s">
        <v>340</v>
      </c>
      <c r="B5815" s="50">
        <v>44926.0</v>
      </c>
      <c r="C5815" s="49" t="s">
        <v>780</v>
      </c>
      <c r="D5815" s="49">
        <v>-300000.0</v>
      </c>
    </row>
    <row r="5816" ht="15.0" hidden="1" customHeight="1">
      <c r="A5816" s="49" t="s">
        <v>345</v>
      </c>
      <c r="B5816" s="50">
        <v>44926.0</v>
      </c>
      <c r="C5816" s="49" t="s">
        <v>780</v>
      </c>
      <c r="D5816" s="49">
        <v>0.0</v>
      </c>
    </row>
    <row r="5817" ht="15.0" hidden="1" customHeight="1">
      <c r="A5817" s="49" t="s">
        <v>350</v>
      </c>
      <c r="B5817" s="50">
        <v>44926.0</v>
      </c>
      <c r="C5817" s="49" t="s">
        <v>780</v>
      </c>
      <c r="D5817" s="49">
        <v>3252000.0</v>
      </c>
    </row>
    <row r="5818" ht="15.0" hidden="1" customHeight="1">
      <c r="A5818" s="49" t="s">
        <v>355</v>
      </c>
      <c r="B5818" s="50">
        <v>44926.0</v>
      </c>
      <c r="C5818" s="49" t="s">
        <v>780</v>
      </c>
      <c r="D5818" s="49">
        <v>2543605.42</v>
      </c>
    </row>
    <row r="5819" ht="15.0" hidden="1" customHeight="1">
      <c r="A5819" s="49" t="s">
        <v>360</v>
      </c>
      <c r="B5819" s="50">
        <v>44926.0</v>
      </c>
      <c r="C5819" s="49" t="s">
        <v>780</v>
      </c>
      <c r="D5819" s="49">
        <v>361000.0</v>
      </c>
    </row>
    <row r="5820" ht="15.0" hidden="1" customHeight="1">
      <c r="A5820" s="49" t="s">
        <v>365</v>
      </c>
      <c r="B5820" s="50">
        <v>44926.0</v>
      </c>
      <c r="C5820" s="49" t="s">
        <v>780</v>
      </c>
      <c r="D5820" s="49">
        <v>0.0</v>
      </c>
    </row>
    <row r="5821" ht="15.0" hidden="1" customHeight="1">
      <c r="A5821" s="49" t="s">
        <v>370</v>
      </c>
      <c r="B5821" s="50">
        <v>44926.0</v>
      </c>
      <c r="C5821" s="49" t="s">
        <v>780</v>
      </c>
      <c r="D5821" s="49">
        <v>0.0</v>
      </c>
    </row>
    <row r="5822" ht="15.0" hidden="1" customHeight="1">
      <c r="A5822" s="49" t="s">
        <v>375</v>
      </c>
      <c r="B5822" s="50">
        <v>44926.0</v>
      </c>
      <c r="C5822" s="49" t="s">
        <v>780</v>
      </c>
      <c r="D5822" s="49">
        <v>0.0</v>
      </c>
    </row>
    <row r="5823" ht="15.0" hidden="1" customHeight="1">
      <c r="A5823" s="49" t="s">
        <v>380</v>
      </c>
      <c r="B5823" s="50">
        <v>44926.0</v>
      </c>
      <c r="C5823" s="49" t="s">
        <v>780</v>
      </c>
      <c r="D5823" s="49">
        <v>0.0</v>
      </c>
    </row>
    <row r="5824" ht="15.0" hidden="1" customHeight="1">
      <c r="A5824" s="49" t="s">
        <v>385</v>
      </c>
      <c r="B5824" s="50">
        <v>44926.0</v>
      </c>
      <c r="C5824" s="49" t="s">
        <v>780</v>
      </c>
      <c r="D5824" s="49">
        <v>0.0</v>
      </c>
    </row>
    <row r="5825" ht="15.0" hidden="1" customHeight="1">
      <c r="A5825" s="49" t="s">
        <v>390</v>
      </c>
      <c r="B5825" s="50">
        <v>44926.0</v>
      </c>
      <c r="C5825" s="49" t="s">
        <v>780</v>
      </c>
      <c r="D5825" s="49">
        <v>0.0</v>
      </c>
    </row>
    <row r="5826" ht="15.0" hidden="1" customHeight="1">
      <c r="A5826" s="49" t="s">
        <v>395</v>
      </c>
      <c r="B5826" s="50">
        <v>44926.0</v>
      </c>
      <c r="C5826" s="49" t="s">
        <v>780</v>
      </c>
      <c r="D5826" s="49">
        <v>0.0</v>
      </c>
    </row>
    <row r="5827" ht="15.0" hidden="1" customHeight="1">
      <c r="A5827" s="49" t="s">
        <v>400</v>
      </c>
      <c r="B5827" s="50">
        <v>44926.0</v>
      </c>
      <c r="C5827" s="49" t="s">
        <v>780</v>
      </c>
      <c r="D5827" s="49">
        <v>0.0</v>
      </c>
    </row>
    <row r="5828" ht="15.0" hidden="1" customHeight="1">
      <c r="A5828" s="49" t="s">
        <v>405</v>
      </c>
      <c r="B5828" s="50">
        <v>44926.0</v>
      </c>
      <c r="C5828" s="49" t="s">
        <v>780</v>
      </c>
      <c r="D5828" s="49">
        <v>0.0</v>
      </c>
    </row>
    <row r="5829" ht="15.0" hidden="1" customHeight="1">
      <c r="A5829" s="49" t="s">
        <v>410</v>
      </c>
      <c r="B5829" s="50">
        <v>44926.0</v>
      </c>
      <c r="C5829" s="49" t="s">
        <v>780</v>
      </c>
      <c r="D5829" s="49">
        <v>0.0</v>
      </c>
    </row>
    <row r="5830" ht="15.0" hidden="1" customHeight="1">
      <c r="A5830" s="49" t="s">
        <v>415</v>
      </c>
      <c r="B5830" s="50">
        <v>44926.0</v>
      </c>
      <c r="C5830" s="49" t="s">
        <v>780</v>
      </c>
      <c r="D5830" s="49">
        <v>0.0</v>
      </c>
    </row>
    <row r="5831" ht="15.0" hidden="1" customHeight="1">
      <c r="A5831" s="49" t="s">
        <v>420</v>
      </c>
      <c r="B5831" s="50">
        <v>44926.0</v>
      </c>
      <c r="C5831" s="49" t="s">
        <v>780</v>
      </c>
      <c r="D5831" s="49">
        <v>0.0</v>
      </c>
    </row>
    <row r="5832" ht="15.0" hidden="1" customHeight="1">
      <c r="A5832" s="49" t="s">
        <v>425</v>
      </c>
      <c r="B5832" s="50">
        <v>44926.0</v>
      </c>
      <c r="C5832" s="49" t="s">
        <v>780</v>
      </c>
      <c r="D5832" s="49">
        <v>0.0</v>
      </c>
    </row>
    <row r="5833" ht="15.0" hidden="1" customHeight="1">
      <c r="A5833" s="49" t="s">
        <v>430</v>
      </c>
      <c r="B5833" s="50">
        <v>44926.0</v>
      </c>
      <c r="C5833" s="49" t="s">
        <v>780</v>
      </c>
      <c r="D5833" s="49">
        <v>0.0</v>
      </c>
    </row>
    <row r="5834" ht="15.0" hidden="1" customHeight="1">
      <c r="A5834" s="49" t="s">
        <v>434</v>
      </c>
      <c r="B5834" s="50">
        <v>44926.0</v>
      </c>
      <c r="C5834" s="49" t="s">
        <v>780</v>
      </c>
      <c r="D5834" s="49">
        <v>0.0</v>
      </c>
    </row>
    <row r="5835" ht="15.0" hidden="1" customHeight="1">
      <c r="A5835" s="49" t="s">
        <v>439</v>
      </c>
      <c r="B5835" s="50">
        <v>44926.0</v>
      </c>
      <c r="C5835" s="49" t="s">
        <v>780</v>
      </c>
      <c r="D5835" s="49">
        <v>0.0</v>
      </c>
    </row>
    <row r="5836" ht="15.0" hidden="1" customHeight="1">
      <c r="A5836" s="49" t="s">
        <v>444</v>
      </c>
      <c r="B5836" s="50">
        <v>44926.0</v>
      </c>
      <c r="C5836" s="49" t="s">
        <v>780</v>
      </c>
      <c r="D5836" s="49">
        <v>0.0</v>
      </c>
    </row>
    <row r="5837" ht="15.0" hidden="1" customHeight="1">
      <c r="A5837" s="49" t="s">
        <v>449</v>
      </c>
      <c r="B5837" s="50">
        <v>44926.0</v>
      </c>
      <c r="C5837" s="49" t="s">
        <v>780</v>
      </c>
      <c r="D5837" s="49">
        <v>0.0</v>
      </c>
    </row>
    <row r="5838" ht="15.0" hidden="1" customHeight="1">
      <c r="A5838" s="49" t="s">
        <v>455</v>
      </c>
      <c r="B5838" s="50">
        <v>44926.0</v>
      </c>
      <c r="C5838" s="49" t="s">
        <v>780</v>
      </c>
      <c r="D5838" s="49">
        <v>0.0</v>
      </c>
    </row>
    <row r="5839" ht="15.0" hidden="1" customHeight="1">
      <c r="A5839" s="49" t="s">
        <v>470</v>
      </c>
      <c r="B5839" s="50">
        <v>44926.0</v>
      </c>
      <c r="C5839" s="49" t="s">
        <v>780</v>
      </c>
      <c r="D5839" s="49">
        <v>0.0</v>
      </c>
    </row>
    <row r="5840" ht="15.0" hidden="1" customHeight="1">
      <c r="A5840" s="49" t="s">
        <v>476</v>
      </c>
      <c r="B5840" s="50">
        <v>44926.0</v>
      </c>
      <c r="C5840" s="49" t="s">
        <v>780</v>
      </c>
      <c r="D5840" s="49">
        <v>0.0</v>
      </c>
    </row>
    <row r="5841" ht="15.0" hidden="1" customHeight="1">
      <c r="A5841" s="49" t="s">
        <v>481</v>
      </c>
      <c r="B5841" s="50">
        <v>44926.0</v>
      </c>
      <c r="C5841" s="49" t="s">
        <v>780</v>
      </c>
      <c r="D5841" s="49">
        <v>0.0</v>
      </c>
    </row>
    <row r="5842" ht="15.0" hidden="1" customHeight="1">
      <c r="A5842" s="49" t="s">
        <v>486</v>
      </c>
      <c r="B5842" s="50">
        <v>44926.0</v>
      </c>
      <c r="C5842" s="49" t="s">
        <v>780</v>
      </c>
      <c r="D5842" s="49">
        <v>0.0</v>
      </c>
    </row>
    <row r="5843" ht="15.0" hidden="1" customHeight="1">
      <c r="A5843" s="49" t="s">
        <v>491</v>
      </c>
      <c r="B5843" s="50">
        <v>44926.0</v>
      </c>
      <c r="C5843" s="49" t="s">
        <v>780</v>
      </c>
      <c r="D5843" s="49">
        <v>0.0</v>
      </c>
    </row>
    <row r="5844" ht="15.0" hidden="1" customHeight="1">
      <c r="A5844" s="49" t="s">
        <v>496</v>
      </c>
      <c r="B5844" s="50">
        <v>44926.0</v>
      </c>
      <c r="C5844" s="49" t="s">
        <v>780</v>
      </c>
      <c r="D5844" s="49">
        <v>0.0</v>
      </c>
    </row>
    <row r="5845" ht="15.0" hidden="1" customHeight="1">
      <c r="A5845" s="49" t="s">
        <v>501</v>
      </c>
      <c r="B5845" s="50">
        <v>44926.0</v>
      </c>
      <c r="C5845" s="49" t="s">
        <v>780</v>
      </c>
      <c r="D5845" s="49">
        <v>0.0</v>
      </c>
    </row>
    <row r="5846" ht="15.0" hidden="1" customHeight="1">
      <c r="A5846" s="49" t="s">
        <v>506</v>
      </c>
      <c r="B5846" s="50">
        <v>44926.0</v>
      </c>
      <c r="C5846" s="49" t="s">
        <v>780</v>
      </c>
      <c r="D5846" s="49">
        <v>0.0</v>
      </c>
    </row>
    <row r="5847" ht="15.0" hidden="1" customHeight="1">
      <c r="A5847" s="49" t="s">
        <v>512</v>
      </c>
      <c r="B5847" s="50">
        <v>44926.0</v>
      </c>
      <c r="C5847" s="49" t="s">
        <v>780</v>
      </c>
      <c r="D5847" s="49">
        <v>0.0</v>
      </c>
    </row>
    <row r="5848" ht="15.0" hidden="1" customHeight="1">
      <c r="A5848" s="49" t="s">
        <v>517</v>
      </c>
      <c r="B5848" s="50">
        <v>44926.0</v>
      </c>
      <c r="C5848" s="49" t="s">
        <v>780</v>
      </c>
      <c r="D5848" s="49">
        <v>0.0</v>
      </c>
    </row>
    <row r="5849" ht="15.0" hidden="1" customHeight="1">
      <c r="A5849" s="49" t="s">
        <v>522</v>
      </c>
      <c r="B5849" s="50">
        <v>44926.0</v>
      </c>
      <c r="C5849" s="49" t="s">
        <v>780</v>
      </c>
      <c r="D5849" s="49">
        <v>0.0</v>
      </c>
    </row>
    <row r="5850" ht="15.0" hidden="1" customHeight="1">
      <c r="A5850" s="49" t="s">
        <v>528</v>
      </c>
      <c r="B5850" s="50">
        <v>44926.0</v>
      </c>
      <c r="C5850" s="49" t="s">
        <v>780</v>
      </c>
      <c r="D5850" s="49">
        <v>0.0</v>
      </c>
    </row>
    <row r="5851" ht="15.0" hidden="1" customHeight="1">
      <c r="A5851" s="49" t="s">
        <v>533</v>
      </c>
      <c r="B5851" s="50">
        <v>44926.0</v>
      </c>
      <c r="C5851" s="49" t="s">
        <v>780</v>
      </c>
      <c r="D5851" s="49">
        <v>0.0</v>
      </c>
    </row>
    <row r="5852" ht="15.0" hidden="1" customHeight="1">
      <c r="A5852" s="49" t="s">
        <v>538</v>
      </c>
      <c r="B5852" s="50">
        <v>44926.0</v>
      </c>
      <c r="C5852" s="49" t="s">
        <v>780</v>
      </c>
      <c r="D5852" s="49">
        <v>0.0</v>
      </c>
    </row>
    <row r="5853" ht="15.0" hidden="1" customHeight="1">
      <c r="A5853" s="49" t="s">
        <v>546</v>
      </c>
      <c r="B5853" s="50">
        <v>44926.0</v>
      </c>
      <c r="C5853" s="49" t="s">
        <v>780</v>
      </c>
      <c r="D5853" s="49">
        <v>0.0</v>
      </c>
    </row>
    <row r="5854" ht="15.0" hidden="1" customHeight="1">
      <c r="A5854" s="49" t="s">
        <v>551</v>
      </c>
      <c r="B5854" s="50">
        <v>44926.0</v>
      </c>
      <c r="C5854" s="49" t="s">
        <v>780</v>
      </c>
      <c r="D5854" s="49">
        <v>0.0</v>
      </c>
    </row>
    <row r="5855" ht="15.0" hidden="1" customHeight="1">
      <c r="A5855" s="49" t="s">
        <v>556</v>
      </c>
      <c r="B5855" s="50">
        <v>44926.0</v>
      </c>
      <c r="C5855" s="49" t="s">
        <v>780</v>
      </c>
      <c r="D5855" s="49">
        <v>0.0</v>
      </c>
    </row>
    <row r="5856" ht="15.0" hidden="1" customHeight="1">
      <c r="A5856" s="49" t="s">
        <v>561</v>
      </c>
      <c r="B5856" s="50">
        <v>44926.0</v>
      </c>
      <c r="C5856" s="49" t="s">
        <v>780</v>
      </c>
      <c r="D5856" s="49">
        <v>0.0</v>
      </c>
    </row>
    <row r="5857" ht="15.0" hidden="1" customHeight="1">
      <c r="A5857" s="49" t="s">
        <v>566</v>
      </c>
      <c r="B5857" s="50">
        <v>44926.0</v>
      </c>
      <c r="C5857" s="49" t="s">
        <v>780</v>
      </c>
      <c r="D5857" s="49">
        <v>0.0</v>
      </c>
    </row>
    <row r="5858" ht="15.0" hidden="1" customHeight="1">
      <c r="A5858" s="49" t="s">
        <v>571</v>
      </c>
      <c r="B5858" s="50">
        <v>44926.0</v>
      </c>
      <c r="C5858" s="49" t="s">
        <v>780</v>
      </c>
      <c r="D5858" s="49">
        <v>0.0</v>
      </c>
    </row>
    <row r="5859" ht="15.0" hidden="1" customHeight="1">
      <c r="A5859" s="49" t="s">
        <v>576</v>
      </c>
      <c r="B5859" s="50">
        <v>44926.0</v>
      </c>
      <c r="C5859" s="49" t="s">
        <v>780</v>
      </c>
      <c r="D5859" s="49">
        <v>0.0</v>
      </c>
    </row>
    <row r="5860" ht="15.0" hidden="1" customHeight="1">
      <c r="A5860" s="49" t="s">
        <v>581</v>
      </c>
      <c r="B5860" s="50">
        <v>44926.0</v>
      </c>
      <c r="C5860" s="49" t="s">
        <v>780</v>
      </c>
      <c r="D5860" s="49">
        <v>0.0</v>
      </c>
    </row>
    <row r="5861" ht="15.0" hidden="1" customHeight="1">
      <c r="A5861" s="49" t="s">
        <v>586</v>
      </c>
      <c r="B5861" s="50">
        <v>44926.0</v>
      </c>
      <c r="C5861" s="49" t="s">
        <v>780</v>
      </c>
      <c r="D5861" s="49">
        <v>0.0</v>
      </c>
    </row>
    <row r="5862" ht="15.0" hidden="1" customHeight="1">
      <c r="A5862" s="49" t="s">
        <v>754</v>
      </c>
      <c r="B5862" s="50">
        <v>44926.0</v>
      </c>
      <c r="C5862" s="49" t="s">
        <v>780</v>
      </c>
      <c r="D5862" s="49">
        <v>0.0</v>
      </c>
    </row>
    <row r="5863" ht="15.0" hidden="1" customHeight="1">
      <c r="A5863" s="49" t="s">
        <v>591</v>
      </c>
      <c r="B5863" s="50">
        <v>44926.0</v>
      </c>
      <c r="C5863" s="49" t="s">
        <v>780</v>
      </c>
      <c r="D5863" s="49">
        <v>0.0</v>
      </c>
    </row>
    <row r="5864" ht="15.0" hidden="1" customHeight="1">
      <c r="A5864" s="49" t="s">
        <v>759</v>
      </c>
      <c r="B5864" s="50">
        <v>44926.0</v>
      </c>
      <c r="C5864" s="49" t="s">
        <v>780</v>
      </c>
      <c r="D5864" s="49">
        <v>0.0</v>
      </c>
    </row>
    <row r="5865" ht="15.0" hidden="1" customHeight="1">
      <c r="A5865" s="49" t="s">
        <v>596</v>
      </c>
      <c r="B5865" s="50">
        <v>44926.0</v>
      </c>
      <c r="C5865" s="49" t="s">
        <v>780</v>
      </c>
      <c r="D5865" s="49">
        <v>0.0</v>
      </c>
    </row>
    <row r="5866" ht="15.0" hidden="1" customHeight="1">
      <c r="A5866" s="49" t="s">
        <v>602</v>
      </c>
      <c r="B5866" s="50">
        <v>44926.0</v>
      </c>
      <c r="C5866" s="49" t="s">
        <v>780</v>
      </c>
      <c r="D5866" s="49">
        <v>0.0</v>
      </c>
    </row>
    <row r="5867" ht="15.0" hidden="1" customHeight="1">
      <c r="A5867" s="49" t="s">
        <v>607</v>
      </c>
      <c r="B5867" s="50">
        <v>44926.0</v>
      </c>
      <c r="C5867" s="49" t="s">
        <v>780</v>
      </c>
      <c r="D5867" s="49">
        <v>0.0</v>
      </c>
    </row>
    <row r="5868" ht="15.0" hidden="1" customHeight="1">
      <c r="A5868" s="49" t="s">
        <v>612</v>
      </c>
      <c r="B5868" s="50">
        <v>44926.0</v>
      </c>
      <c r="C5868" s="49" t="s">
        <v>780</v>
      </c>
      <c r="D5868" s="49">
        <v>0.0</v>
      </c>
    </row>
    <row r="5869" ht="15.0" hidden="1" customHeight="1">
      <c r="A5869" s="49" t="s">
        <v>617</v>
      </c>
      <c r="B5869" s="50">
        <v>44926.0</v>
      </c>
      <c r="C5869" s="49" t="s">
        <v>780</v>
      </c>
      <c r="D5869" s="49">
        <v>0.0</v>
      </c>
    </row>
    <row r="5870" ht="15.0" hidden="1" customHeight="1">
      <c r="A5870" s="49" t="s">
        <v>622</v>
      </c>
      <c r="B5870" s="50">
        <v>44926.0</v>
      </c>
      <c r="C5870" s="49" t="s">
        <v>780</v>
      </c>
      <c r="D5870" s="49">
        <v>0.0</v>
      </c>
    </row>
    <row r="5871" ht="15.0" hidden="1" customHeight="1">
      <c r="A5871" s="49" t="s">
        <v>627</v>
      </c>
      <c r="B5871" s="50">
        <v>44926.0</v>
      </c>
      <c r="C5871" s="49" t="s">
        <v>780</v>
      </c>
      <c r="D5871" s="49">
        <v>0.0</v>
      </c>
    </row>
    <row r="5872" ht="15.0" hidden="1" customHeight="1">
      <c r="A5872" s="49" t="s">
        <v>631</v>
      </c>
      <c r="B5872" s="50">
        <v>44926.0</v>
      </c>
      <c r="C5872" s="49" t="s">
        <v>780</v>
      </c>
      <c r="D5872" s="49">
        <v>0.0</v>
      </c>
    </row>
    <row r="5873" ht="15.0" hidden="1" customHeight="1">
      <c r="A5873" s="49" t="s">
        <v>636</v>
      </c>
      <c r="B5873" s="50">
        <v>44926.0</v>
      </c>
      <c r="C5873" s="49" t="s">
        <v>780</v>
      </c>
      <c r="D5873" s="49">
        <v>0.0</v>
      </c>
    </row>
    <row r="5874" ht="15.0" hidden="1" customHeight="1">
      <c r="A5874" s="49" t="s">
        <v>640</v>
      </c>
      <c r="B5874" s="50">
        <v>44926.0</v>
      </c>
      <c r="C5874" s="49" t="s">
        <v>780</v>
      </c>
      <c r="D5874" s="49">
        <v>0.0</v>
      </c>
    </row>
    <row r="5875" ht="15.0" hidden="1" customHeight="1">
      <c r="A5875" s="49" t="s">
        <v>644</v>
      </c>
      <c r="B5875" s="50">
        <v>44926.0</v>
      </c>
      <c r="C5875" s="49" t="s">
        <v>780</v>
      </c>
      <c r="D5875" s="49">
        <v>0.0</v>
      </c>
    </row>
    <row r="5876" ht="15.0" hidden="1" customHeight="1">
      <c r="A5876" s="49" t="s">
        <v>649</v>
      </c>
      <c r="B5876" s="50">
        <v>44926.0</v>
      </c>
      <c r="C5876" s="49" t="s">
        <v>780</v>
      </c>
      <c r="D5876" s="49">
        <v>0.0</v>
      </c>
    </row>
    <row r="5877" ht="15.0" hidden="1" customHeight="1">
      <c r="A5877" s="49" t="s">
        <v>654</v>
      </c>
      <c r="B5877" s="50">
        <v>44926.0</v>
      </c>
      <c r="C5877" s="49" t="s">
        <v>780</v>
      </c>
      <c r="D5877" s="49">
        <v>0.0</v>
      </c>
    </row>
    <row r="5878" ht="15.0" hidden="1" customHeight="1">
      <c r="A5878" s="49" t="s">
        <v>659</v>
      </c>
      <c r="B5878" s="50">
        <v>44926.0</v>
      </c>
      <c r="C5878" s="49" t="s">
        <v>780</v>
      </c>
      <c r="D5878" s="49">
        <v>0.0</v>
      </c>
    </row>
    <row r="5879" ht="15.0" hidden="1" customHeight="1">
      <c r="A5879" s="49" t="s">
        <v>664</v>
      </c>
      <c r="B5879" s="50">
        <v>44926.0</v>
      </c>
      <c r="C5879" s="49" t="s">
        <v>780</v>
      </c>
      <c r="D5879" s="49">
        <v>0.0</v>
      </c>
    </row>
    <row r="5880" ht="15.0" hidden="1" customHeight="1">
      <c r="A5880" s="49" t="s">
        <v>669</v>
      </c>
      <c r="B5880" s="50">
        <v>44926.0</v>
      </c>
      <c r="C5880" s="49" t="s">
        <v>780</v>
      </c>
      <c r="D5880" s="49">
        <v>0.0</v>
      </c>
    </row>
    <row r="5881" ht="15.0" hidden="1" customHeight="1">
      <c r="A5881" s="49" t="s">
        <v>674</v>
      </c>
      <c r="B5881" s="50">
        <v>44926.0</v>
      </c>
      <c r="C5881" s="49" t="s">
        <v>780</v>
      </c>
      <c r="D5881" s="49">
        <v>0.0</v>
      </c>
    </row>
    <row r="5882" ht="15.0" hidden="1" customHeight="1">
      <c r="A5882" s="49" t="s">
        <v>679</v>
      </c>
      <c r="B5882" s="50">
        <v>44926.0</v>
      </c>
      <c r="C5882" s="49" t="s">
        <v>780</v>
      </c>
      <c r="D5882" s="49">
        <v>0.0</v>
      </c>
    </row>
    <row r="5883" ht="15.0" hidden="1" customHeight="1">
      <c r="A5883" s="49" t="s">
        <v>684</v>
      </c>
      <c r="B5883" s="50">
        <v>44926.0</v>
      </c>
      <c r="C5883" s="49" t="s">
        <v>780</v>
      </c>
      <c r="D5883" s="49">
        <v>0.0</v>
      </c>
    </row>
    <row r="5884" ht="15.0" hidden="1" customHeight="1">
      <c r="A5884" s="49" t="s">
        <v>689</v>
      </c>
      <c r="B5884" s="50">
        <v>44926.0</v>
      </c>
      <c r="C5884" s="49" t="s">
        <v>780</v>
      </c>
      <c r="D5884" s="49">
        <v>0.0</v>
      </c>
    </row>
    <row r="5885" ht="15.0" hidden="1" customHeight="1">
      <c r="A5885" s="49" t="s">
        <v>694</v>
      </c>
      <c r="B5885" s="50">
        <v>44926.0</v>
      </c>
      <c r="C5885" s="49" t="s">
        <v>780</v>
      </c>
      <c r="D5885" s="49">
        <v>0.0</v>
      </c>
    </row>
    <row r="5886" ht="15.0" hidden="1" customHeight="1">
      <c r="A5886" s="49" t="s">
        <v>699</v>
      </c>
      <c r="B5886" s="50">
        <v>44926.0</v>
      </c>
      <c r="C5886" s="49" t="s">
        <v>780</v>
      </c>
      <c r="D5886" s="49">
        <v>0.0</v>
      </c>
    </row>
    <row r="5887" ht="15.0" hidden="1" customHeight="1">
      <c r="A5887" s="49" t="s">
        <v>705</v>
      </c>
      <c r="B5887" s="50">
        <v>44926.0</v>
      </c>
      <c r="C5887" s="49" t="s">
        <v>780</v>
      </c>
      <c r="D5887" s="49">
        <v>0.0</v>
      </c>
    </row>
    <row r="5888" ht="15.0" hidden="1" customHeight="1">
      <c r="A5888" s="49" t="s">
        <v>710</v>
      </c>
      <c r="B5888" s="50">
        <v>44926.0</v>
      </c>
      <c r="C5888" s="49" t="s">
        <v>780</v>
      </c>
      <c r="D5888" s="49">
        <v>0.0</v>
      </c>
    </row>
    <row r="5889" ht="15.0" hidden="1" customHeight="1">
      <c r="A5889" s="49" t="s">
        <v>715</v>
      </c>
      <c r="B5889" s="50">
        <v>44926.0</v>
      </c>
      <c r="C5889" s="49" t="s">
        <v>780</v>
      </c>
      <c r="D5889" s="49">
        <v>0.0</v>
      </c>
    </row>
    <row r="5890" ht="15.0" hidden="1" customHeight="1">
      <c r="A5890" s="49" t="s">
        <v>765</v>
      </c>
      <c r="B5890" s="50">
        <v>44926.0</v>
      </c>
      <c r="C5890" s="49" t="s">
        <v>780</v>
      </c>
      <c r="D5890" s="49">
        <v>0.0</v>
      </c>
    </row>
    <row r="5891" ht="15.0" hidden="1" customHeight="1">
      <c r="A5891" s="49" t="s">
        <v>720</v>
      </c>
      <c r="B5891" s="50">
        <v>44926.0</v>
      </c>
      <c r="C5891" s="49" t="s">
        <v>780</v>
      </c>
      <c r="D5891" s="49">
        <v>0.0</v>
      </c>
    </row>
    <row r="5892" ht="15.0" hidden="1" customHeight="1">
      <c r="A5892" s="49" t="s">
        <v>725</v>
      </c>
      <c r="B5892" s="50">
        <v>44926.0</v>
      </c>
      <c r="C5892" s="49" t="s">
        <v>780</v>
      </c>
      <c r="D5892" s="49">
        <v>0.0</v>
      </c>
    </row>
    <row r="5893" ht="15.0" hidden="1" customHeight="1">
      <c r="A5893" s="49" t="s">
        <v>730</v>
      </c>
      <c r="B5893" s="50">
        <v>44926.0</v>
      </c>
      <c r="C5893" s="49" t="s">
        <v>780</v>
      </c>
      <c r="D5893" s="49">
        <v>0.0</v>
      </c>
    </row>
    <row r="5894" ht="15.0" hidden="1" customHeight="1">
      <c r="A5894" s="49" t="s">
        <v>734</v>
      </c>
      <c r="B5894" s="50">
        <v>44926.0</v>
      </c>
      <c r="C5894" s="49" t="s">
        <v>780</v>
      </c>
      <c r="D5894" s="49">
        <v>0.0</v>
      </c>
    </row>
    <row r="5895" ht="15.0" hidden="1" customHeight="1">
      <c r="A5895" s="49" t="s">
        <v>739</v>
      </c>
      <c r="B5895" s="50">
        <v>44926.0</v>
      </c>
      <c r="C5895" s="49" t="s">
        <v>780</v>
      </c>
      <c r="D5895" s="49">
        <v>0.0</v>
      </c>
    </row>
    <row r="5896" ht="15.0" hidden="1" customHeight="1">
      <c r="A5896" s="49" t="s">
        <v>744</v>
      </c>
      <c r="B5896" s="50">
        <v>44926.0</v>
      </c>
      <c r="C5896" s="49" t="s">
        <v>780</v>
      </c>
      <c r="D5896" s="49">
        <v>0.0</v>
      </c>
    </row>
    <row r="5897" ht="15.0" hidden="1" customHeight="1">
      <c r="A5897" s="49" t="s">
        <v>749</v>
      </c>
      <c r="B5897" s="50">
        <v>44926.0</v>
      </c>
      <c r="C5897" s="49" t="s">
        <v>780</v>
      </c>
      <c r="D5897" s="49">
        <v>0.0</v>
      </c>
    </row>
    <row r="5898" ht="15.0" customHeight="1">
      <c r="A5898" s="49" t="s">
        <v>776</v>
      </c>
      <c r="B5898" s="50">
        <v>45015.0</v>
      </c>
      <c r="C5898" s="49" t="s">
        <v>777</v>
      </c>
      <c r="D5898" s="49">
        <v>0.0</v>
      </c>
    </row>
    <row r="5899" ht="15.0" hidden="1" customHeight="1">
      <c r="A5899" s="49" t="s">
        <v>778</v>
      </c>
      <c r="B5899" s="50">
        <v>45015.0</v>
      </c>
      <c r="C5899" s="49" t="s">
        <v>777</v>
      </c>
      <c r="D5899" s="49">
        <v>0.0</v>
      </c>
    </row>
    <row r="5900" ht="15.0" hidden="1" customHeight="1">
      <c r="A5900" s="49" t="s">
        <v>92</v>
      </c>
      <c r="B5900" s="50">
        <v>45015.0</v>
      </c>
      <c r="C5900" s="49" t="s">
        <v>777</v>
      </c>
      <c r="D5900" s="49">
        <v>0.0</v>
      </c>
    </row>
    <row r="5901" ht="15.0" hidden="1" customHeight="1">
      <c r="A5901" s="49" t="s">
        <v>97</v>
      </c>
      <c r="B5901" s="50">
        <v>45015.0</v>
      </c>
      <c r="C5901" s="49" t="s">
        <v>777</v>
      </c>
      <c r="D5901" s="49">
        <v>0.0</v>
      </c>
    </row>
    <row r="5902" ht="15.0" hidden="1" customHeight="1">
      <c r="A5902" s="49" t="s">
        <v>102</v>
      </c>
      <c r="B5902" s="50">
        <v>45015.0</v>
      </c>
      <c r="C5902" s="49" t="s">
        <v>777</v>
      </c>
      <c r="D5902" s="49">
        <v>0.0</v>
      </c>
    </row>
    <row r="5903" ht="15.0" hidden="1" customHeight="1">
      <c r="A5903" s="49" t="s">
        <v>106</v>
      </c>
      <c r="B5903" s="50">
        <v>45015.0</v>
      </c>
      <c r="C5903" s="49" t="s">
        <v>777</v>
      </c>
      <c r="D5903" s="49">
        <v>0.0</v>
      </c>
    </row>
    <row r="5904" ht="15.0" hidden="1" customHeight="1">
      <c r="A5904" s="49" t="s">
        <v>111</v>
      </c>
      <c r="B5904" s="50">
        <v>45015.0</v>
      </c>
      <c r="C5904" s="49" t="s">
        <v>777</v>
      </c>
      <c r="D5904" s="49">
        <v>0.0</v>
      </c>
    </row>
    <row r="5905" ht="15.0" hidden="1" customHeight="1">
      <c r="A5905" s="49" t="s">
        <v>116</v>
      </c>
      <c r="B5905" s="50">
        <v>45015.0</v>
      </c>
      <c r="C5905" s="49" t="s">
        <v>777</v>
      </c>
      <c r="D5905" s="49">
        <v>0.0</v>
      </c>
    </row>
    <row r="5906" ht="15.0" hidden="1" customHeight="1">
      <c r="A5906" s="49" t="s">
        <v>120</v>
      </c>
      <c r="B5906" s="50">
        <v>45015.0</v>
      </c>
      <c r="C5906" s="49" t="s">
        <v>777</v>
      </c>
      <c r="D5906" s="49">
        <v>0.0</v>
      </c>
    </row>
    <row r="5907" ht="15.0" hidden="1" customHeight="1">
      <c r="A5907" s="49" t="s">
        <v>125</v>
      </c>
      <c r="B5907" s="50">
        <v>45015.0</v>
      </c>
      <c r="C5907" s="49" t="s">
        <v>777</v>
      </c>
      <c r="D5907" s="49">
        <v>0.0</v>
      </c>
    </row>
    <row r="5908" ht="15.0" hidden="1" customHeight="1">
      <c r="A5908" s="49" t="s">
        <v>130</v>
      </c>
      <c r="B5908" s="50">
        <v>45015.0</v>
      </c>
      <c r="C5908" s="49" t="s">
        <v>777</v>
      </c>
      <c r="D5908" s="49">
        <v>0.0</v>
      </c>
    </row>
    <row r="5909" ht="15.0" hidden="1" customHeight="1">
      <c r="A5909" s="49" t="s">
        <v>137</v>
      </c>
      <c r="B5909" s="50">
        <v>45015.0</v>
      </c>
      <c r="C5909" s="49" t="s">
        <v>777</v>
      </c>
      <c r="D5909" s="49">
        <v>0.0</v>
      </c>
    </row>
    <row r="5910" ht="15.0" hidden="1" customHeight="1">
      <c r="A5910" s="49" t="s">
        <v>142</v>
      </c>
      <c r="B5910" s="50">
        <v>45015.0</v>
      </c>
      <c r="C5910" s="49" t="s">
        <v>777</v>
      </c>
      <c r="D5910" s="49">
        <v>0.0</v>
      </c>
    </row>
    <row r="5911" ht="15.0" hidden="1" customHeight="1">
      <c r="A5911" s="49" t="s">
        <v>147</v>
      </c>
      <c r="B5911" s="50">
        <v>45015.0</v>
      </c>
      <c r="C5911" s="49" t="s">
        <v>777</v>
      </c>
      <c r="D5911" s="49">
        <v>0.0</v>
      </c>
    </row>
    <row r="5912" ht="15.0" hidden="1" customHeight="1">
      <c r="A5912" s="49" t="s">
        <v>152</v>
      </c>
      <c r="B5912" s="50">
        <v>45015.0</v>
      </c>
      <c r="C5912" s="49" t="s">
        <v>777</v>
      </c>
      <c r="D5912" s="49">
        <v>0.0</v>
      </c>
    </row>
    <row r="5913" ht="15.0" hidden="1" customHeight="1">
      <c r="A5913" s="49" t="s">
        <v>157</v>
      </c>
      <c r="B5913" s="50">
        <v>45015.0</v>
      </c>
      <c r="C5913" s="49" t="s">
        <v>777</v>
      </c>
      <c r="D5913" s="49">
        <v>0.0</v>
      </c>
    </row>
    <row r="5914" ht="15.0" hidden="1" customHeight="1">
      <c r="A5914" s="49" t="s">
        <v>162</v>
      </c>
      <c r="B5914" s="50">
        <v>45015.0</v>
      </c>
      <c r="C5914" s="49" t="s">
        <v>777</v>
      </c>
      <c r="D5914" s="49">
        <v>0.0</v>
      </c>
    </row>
    <row r="5915" ht="15.0" hidden="1" customHeight="1">
      <c r="A5915" s="49" t="s">
        <v>167</v>
      </c>
      <c r="B5915" s="50">
        <v>45015.0</v>
      </c>
      <c r="C5915" s="49" t="s">
        <v>777</v>
      </c>
      <c r="D5915" s="49">
        <v>0.0</v>
      </c>
    </row>
    <row r="5916" ht="15.0" hidden="1" customHeight="1">
      <c r="A5916" s="49" t="s">
        <v>172</v>
      </c>
      <c r="B5916" s="50">
        <v>45015.0</v>
      </c>
      <c r="C5916" s="49" t="s">
        <v>777</v>
      </c>
      <c r="D5916" s="49">
        <v>0.0</v>
      </c>
    </row>
    <row r="5917" ht="15.0" hidden="1" customHeight="1">
      <c r="A5917" s="49" t="s">
        <v>177</v>
      </c>
      <c r="B5917" s="50">
        <v>45015.0</v>
      </c>
      <c r="C5917" s="49" t="s">
        <v>777</v>
      </c>
      <c r="D5917" s="49">
        <v>0.0</v>
      </c>
    </row>
    <row r="5918" ht="15.0" hidden="1" customHeight="1">
      <c r="A5918" s="49" t="s">
        <v>182</v>
      </c>
      <c r="B5918" s="50">
        <v>45015.0</v>
      </c>
      <c r="C5918" s="49" t="s">
        <v>777</v>
      </c>
      <c r="D5918" s="49">
        <v>0.0</v>
      </c>
    </row>
    <row r="5919" ht="15.0" hidden="1" customHeight="1">
      <c r="A5919" s="49" t="s">
        <v>187</v>
      </c>
      <c r="B5919" s="50">
        <v>45015.0</v>
      </c>
      <c r="C5919" s="49" t="s">
        <v>777</v>
      </c>
      <c r="D5919" s="49">
        <v>0.0</v>
      </c>
    </row>
    <row r="5920" ht="15.0" hidden="1" customHeight="1">
      <c r="A5920" s="49" t="s">
        <v>192</v>
      </c>
      <c r="B5920" s="50">
        <v>45015.0</v>
      </c>
      <c r="C5920" s="49" t="s">
        <v>777</v>
      </c>
      <c r="D5920" s="49">
        <v>0.0</v>
      </c>
    </row>
    <row r="5921" ht="15.0" hidden="1" customHeight="1">
      <c r="A5921" s="49" t="s">
        <v>197</v>
      </c>
      <c r="B5921" s="50">
        <v>45015.0</v>
      </c>
      <c r="C5921" s="49" t="s">
        <v>777</v>
      </c>
      <c r="D5921" s="49">
        <v>0.0</v>
      </c>
    </row>
    <row r="5922" ht="15.0" hidden="1" customHeight="1">
      <c r="A5922" s="49" t="s">
        <v>202</v>
      </c>
      <c r="B5922" s="50">
        <v>45015.0</v>
      </c>
      <c r="C5922" s="49" t="s">
        <v>777</v>
      </c>
      <c r="D5922" s="49">
        <v>0.0</v>
      </c>
    </row>
    <row r="5923" ht="15.0" hidden="1" customHeight="1">
      <c r="A5923" s="49" t="s">
        <v>206</v>
      </c>
      <c r="B5923" s="50">
        <v>45015.0</v>
      </c>
      <c r="C5923" s="49" t="s">
        <v>777</v>
      </c>
      <c r="D5923" s="49">
        <v>0.0</v>
      </c>
    </row>
    <row r="5924" ht="15.0" hidden="1" customHeight="1">
      <c r="A5924" s="49" t="s">
        <v>211</v>
      </c>
      <c r="B5924" s="50">
        <v>45015.0</v>
      </c>
      <c r="C5924" s="49" t="s">
        <v>777</v>
      </c>
      <c r="D5924" s="49">
        <v>0.0</v>
      </c>
    </row>
    <row r="5925" ht="15.0" hidden="1" customHeight="1">
      <c r="A5925" s="49" t="s">
        <v>779</v>
      </c>
      <c r="B5925" s="50">
        <v>45015.0</v>
      </c>
      <c r="C5925" s="49" t="s">
        <v>777</v>
      </c>
      <c r="D5925" s="49">
        <v>0.0</v>
      </c>
    </row>
    <row r="5926" ht="15.0" hidden="1" customHeight="1">
      <c r="A5926" s="49" t="s">
        <v>221</v>
      </c>
      <c r="B5926" s="50">
        <v>45015.0</v>
      </c>
      <c r="C5926" s="49" t="s">
        <v>777</v>
      </c>
      <c r="D5926" s="49">
        <v>0.0</v>
      </c>
    </row>
    <row r="5927" ht="15.0" hidden="1" customHeight="1">
      <c r="A5927" s="49" t="s">
        <v>226</v>
      </c>
      <c r="B5927" s="50">
        <v>45015.0</v>
      </c>
      <c r="C5927" s="49" t="s">
        <v>777</v>
      </c>
      <c r="D5927" s="49">
        <v>0.0</v>
      </c>
    </row>
    <row r="5928" ht="15.0" hidden="1" customHeight="1">
      <c r="A5928" s="49" t="s">
        <v>231</v>
      </c>
      <c r="B5928" s="50">
        <v>45015.0</v>
      </c>
      <c r="C5928" s="49" t="s">
        <v>777</v>
      </c>
      <c r="D5928" s="49">
        <v>0.0</v>
      </c>
    </row>
    <row r="5929" ht="15.0" hidden="1" customHeight="1">
      <c r="A5929" s="49" t="s">
        <v>236</v>
      </c>
      <c r="B5929" s="50">
        <v>45015.0</v>
      </c>
      <c r="C5929" s="49" t="s">
        <v>777</v>
      </c>
      <c r="D5929" s="49">
        <v>0.0</v>
      </c>
    </row>
    <row r="5930" ht="15.0" hidden="1" customHeight="1">
      <c r="A5930" s="49" t="s">
        <v>242</v>
      </c>
      <c r="B5930" s="50">
        <v>45015.0</v>
      </c>
      <c r="C5930" s="49" t="s">
        <v>777</v>
      </c>
      <c r="D5930" s="49">
        <v>0.0</v>
      </c>
    </row>
    <row r="5931" ht="15.0" hidden="1" customHeight="1">
      <c r="A5931" s="49" t="s">
        <v>248</v>
      </c>
      <c r="B5931" s="50">
        <v>45015.0</v>
      </c>
      <c r="C5931" s="49" t="s">
        <v>777</v>
      </c>
      <c r="D5931" s="49">
        <v>0.0</v>
      </c>
    </row>
    <row r="5932" ht="15.0" hidden="1" customHeight="1">
      <c r="A5932" s="49" t="s">
        <v>253</v>
      </c>
      <c r="B5932" s="50">
        <v>45015.0</v>
      </c>
      <c r="C5932" s="49" t="s">
        <v>777</v>
      </c>
      <c r="D5932" s="49">
        <v>0.0</v>
      </c>
    </row>
    <row r="5933" ht="15.0" hidden="1" customHeight="1">
      <c r="A5933" s="49" t="s">
        <v>258</v>
      </c>
      <c r="B5933" s="50">
        <v>45015.0</v>
      </c>
      <c r="C5933" s="49" t="s">
        <v>777</v>
      </c>
      <c r="D5933" s="49">
        <v>0.0</v>
      </c>
    </row>
    <row r="5934" ht="15.0" hidden="1" customHeight="1">
      <c r="A5934" s="49" t="s">
        <v>263</v>
      </c>
      <c r="B5934" s="50">
        <v>45015.0</v>
      </c>
      <c r="C5934" s="49" t="s">
        <v>777</v>
      </c>
      <c r="D5934" s="49">
        <v>0.0</v>
      </c>
    </row>
    <row r="5935" ht="15.0" hidden="1" customHeight="1">
      <c r="A5935" s="49" t="s">
        <v>268</v>
      </c>
      <c r="B5935" s="50">
        <v>45015.0</v>
      </c>
      <c r="C5935" s="49" t="s">
        <v>777</v>
      </c>
      <c r="D5935" s="49">
        <v>0.0</v>
      </c>
    </row>
    <row r="5936" ht="15.0" hidden="1" customHeight="1">
      <c r="A5936" s="49" t="s">
        <v>273</v>
      </c>
      <c r="B5936" s="50">
        <v>45015.0</v>
      </c>
      <c r="C5936" s="49" t="s">
        <v>777</v>
      </c>
      <c r="D5936" s="49">
        <v>0.0</v>
      </c>
    </row>
    <row r="5937" ht="15.0" hidden="1" customHeight="1">
      <c r="A5937" s="49" t="s">
        <v>278</v>
      </c>
      <c r="B5937" s="50">
        <v>45015.0</v>
      </c>
      <c r="C5937" s="49" t="s">
        <v>777</v>
      </c>
      <c r="D5937" s="49">
        <v>0.0</v>
      </c>
    </row>
    <row r="5938" ht="15.0" hidden="1" customHeight="1">
      <c r="A5938" s="49" t="s">
        <v>283</v>
      </c>
      <c r="B5938" s="50">
        <v>45015.0</v>
      </c>
      <c r="C5938" s="49" t="s">
        <v>777</v>
      </c>
      <c r="D5938" s="49">
        <v>0.0</v>
      </c>
    </row>
    <row r="5939" ht="15.0" hidden="1" customHeight="1">
      <c r="A5939" s="49" t="s">
        <v>288</v>
      </c>
      <c r="B5939" s="50">
        <v>45015.0</v>
      </c>
      <c r="C5939" s="49" t="s">
        <v>777</v>
      </c>
      <c r="D5939" s="49">
        <v>0.0</v>
      </c>
    </row>
    <row r="5940" ht="15.0" hidden="1" customHeight="1">
      <c r="A5940" s="49" t="s">
        <v>293</v>
      </c>
      <c r="B5940" s="50">
        <v>45015.0</v>
      </c>
      <c r="C5940" s="49" t="s">
        <v>777</v>
      </c>
      <c r="D5940" s="49">
        <v>0.0</v>
      </c>
    </row>
    <row r="5941" ht="15.0" hidden="1" customHeight="1">
      <c r="A5941" s="49" t="s">
        <v>298</v>
      </c>
      <c r="B5941" s="50">
        <v>45015.0</v>
      </c>
      <c r="C5941" s="49" t="s">
        <v>777</v>
      </c>
      <c r="D5941" s="49">
        <v>0.0</v>
      </c>
    </row>
    <row r="5942" ht="15.0" hidden="1" customHeight="1">
      <c r="A5942" s="49" t="s">
        <v>303</v>
      </c>
      <c r="B5942" s="50">
        <v>45015.0</v>
      </c>
      <c r="C5942" s="49" t="s">
        <v>777</v>
      </c>
      <c r="D5942" s="49">
        <v>0.0</v>
      </c>
    </row>
    <row r="5943" ht="15.0" hidden="1" customHeight="1">
      <c r="A5943" s="49" t="s">
        <v>307</v>
      </c>
      <c r="B5943" s="50">
        <v>45015.0</v>
      </c>
      <c r="C5943" s="49" t="s">
        <v>777</v>
      </c>
      <c r="D5943" s="49">
        <v>0.0</v>
      </c>
    </row>
    <row r="5944" ht="15.0" hidden="1" customHeight="1">
      <c r="A5944" s="49" t="s">
        <v>313</v>
      </c>
      <c r="B5944" s="50">
        <v>45015.0</v>
      </c>
      <c r="C5944" s="49" t="s">
        <v>777</v>
      </c>
      <c r="D5944" s="49">
        <v>0.0</v>
      </c>
    </row>
    <row r="5945" ht="15.0" hidden="1" customHeight="1">
      <c r="A5945" s="49" t="s">
        <v>318</v>
      </c>
      <c r="B5945" s="50">
        <v>45015.0</v>
      </c>
      <c r="C5945" s="49" t="s">
        <v>777</v>
      </c>
      <c r="D5945" s="49">
        <v>0.0</v>
      </c>
    </row>
    <row r="5946" ht="15.0" hidden="1" customHeight="1">
      <c r="A5946" s="49" t="s">
        <v>323</v>
      </c>
      <c r="B5946" s="50">
        <v>45015.0</v>
      </c>
      <c r="C5946" s="49" t="s">
        <v>777</v>
      </c>
      <c r="D5946" s="49">
        <v>0.0</v>
      </c>
    </row>
    <row r="5947" ht="15.0" hidden="1" customHeight="1">
      <c r="A5947" s="49" t="s">
        <v>328</v>
      </c>
      <c r="B5947" s="50">
        <v>45015.0</v>
      </c>
      <c r="C5947" s="49" t="s">
        <v>777</v>
      </c>
      <c r="D5947" s="49">
        <v>0.0</v>
      </c>
    </row>
    <row r="5948" ht="15.0" hidden="1" customHeight="1">
      <c r="A5948" s="49" t="s">
        <v>335</v>
      </c>
      <c r="B5948" s="50">
        <v>45015.0</v>
      </c>
      <c r="C5948" s="49" t="s">
        <v>777</v>
      </c>
      <c r="D5948" s="49">
        <v>0.0</v>
      </c>
    </row>
    <row r="5949" ht="15.0" hidden="1" customHeight="1">
      <c r="A5949" s="49" t="s">
        <v>340</v>
      </c>
      <c r="B5949" s="50">
        <v>45015.0</v>
      </c>
      <c r="C5949" s="49" t="s">
        <v>777</v>
      </c>
      <c r="D5949" s="49">
        <v>0.0</v>
      </c>
    </row>
    <row r="5950" ht="15.0" hidden="1" customHeight="1">
      <c r="A5950" s="49" t="s">
        <v>345</v>
      </c>
      <c r="B5950" s="50">
        <v>45015.0</v>
      </c>
      <c r="C5950" s="49" t="s">
        <v>777</v>
      </c>
      <c r="D5950" s="49">
        <v>0.0</v>
      </c>
    </row>
    <row r="5951" ht="15.0" hidden="1" customHeight="1">
      <c r="A5951" s="49" t="s">
        <v>350</v>
      </c>
      <c r="B5951" s="50">
        <v>45015.0</v>
      </c>
      <c r="C5951" s="49" t="s">
        <v>777</v>
      </c>
      <c r="D5951" s="49">
        <v>0.0</v>
      </c>
    </row>
    <row r="5952" ht="15.0" hidden="1" customHeight="1">
      <c r="A5952" s="49" t="s">
        <v>355</v>
      </c>
      <c r="B5952" s="50">
        <v>45015.0</v>
      </c>
      <c r="C5952" s="49" t="s">
        <v>777</v>
      </c>
      <c r="D5952" s="49">
        <v>0.0</v>
      </c>
    </row>
    <row r="5953" ht="15.0" hidden="1" customHeight="1">
      <c r="A5953" s="49" t="s">
        <v>360</v>
      </c>
      <c r="B5953" s="50">
        <v>45015.0</v>
      </c>
      <c r="C5953" s="49" t="s">
        <v>777</v>
      </c>
      <c r="D5953" s="49">
        <v>0.0</v>
      </c>
    </row>
    <row r="5954" ht="15.0" hidden="1" customHeight="1">
      <c r="A5954" s="49" t="s">
        <v>365</v>
      </c>
      <c r="B5954" s="50">
        <v>45015.0</v>
      </c>
      <c r="C5954" s="49" t="s">
        <v>777</v>
      </c>
      <c r="D5954" s="49">
        <v>0.0</v>
      </c>
    </row>
    <row r="5955" ht="15.0" hidden="1" customHeight="1">
      <c r="A5955" s="49" t="s">
        <v>370</v>
      </c>
      <c r="B5955" s="50">
        <v>45015.0</v>
      </c>
      <c r="C5955" s="49" t="s">
        <v>777</v>
      </c>
      <c r="D5955" s="49">
        <v>1221221.98</v>
      </c>
    </row>
    <row r="5956" ht="15.0" hidden="1" customHeight="1">
      <c r="A5956" s="49" t="s">
        <v>375</v>
      </c>
      <c r="B5956" s="50">
        <v>45015.0</v>
      </c>
      <c r="C5956" s="49" t="s">
        <v>777</v>
      </c>
      <c r="D5956" s="49">
        <v>0.0</v>
      </c>
    </row>
    <row r="5957" ht="15.0" hidden="1" customHeight="1">
      <c r="A5957" s="49" t="s">
        <v>380</v>
      </c>
      <c r="B5957" s="50">
        <v>45015.0</v>
      </c>
      <c r="C5957" s="49" t="s">
        <v>777</v>
      </c>
      <c r="D5957" s="49">
        <v>1000000.0</v>
      </c>
    </row>
    <row r="5958" ht="15.0" hidden="1" customHeight="1">
      <c r="A5958" s="49" t="s">
        <v>385</v>
      </c>
      <c r="B5958" s="50">
        <v>45015.0</v>
      </c>
      <c r="C5958" s="49" t="s">
        <v>777</v>
      </c>
      <c r="D5958" s="49">
        <v>0.0</v>
      </c>
    </row>
    <row r="5959" ht="15.0" hidden="1" customHeight="1">
      <c r="A5959" s="49" t="s">
        <v>390</v>
      </c>
      <c r="B5959" s="50">
        <v>45015.0</v>
      </c>
      <c r="C5959" s="49" t="s">
        <v>777</v>
      </c>
      <c r="D5959" s="49">
        <v>0.0</v>
      </c>
    </row>
    <row r="5960" ht="15.0" hidden="1" customHeight="1">
      <c r="A5960" s="49" t="s">
        <v>395</v>
      </c>
      <c r="B5960" s="50">
        <v>45015.0</v>
      </c>
      <c r="C5960" s="49" t="s">
        <v>777</v>
      </c>
      <c r="D5960" s="49">
        <v>0.0</v>
      </c>
    </row>
    <row r="5961" ht="15.0" hidden="1" customHeight="1">
      <c r="A5961" s="49" t="s">
        <v>400</v>
      </c>
      <c r="B5961" s="50">
        <v>45015.0</v>
      </c>
      <c r="C5961" s="49" t="s">
        <v>777</v>
      </c>
      <c r="D5961" s="49">
        <v>0.0</v>
      </c>
    </row>
    <row r="5962" ht="15.0" hidden="1" customHeight="1">
      <c r="A5962" s="49" t="s">
        <v>405</v>
      </c>
      <c r="B5962" s="50">
        <v>45015.0</v>
      </c>
      <c r="C5962" s="49" t="s">
        <v>777</v>
      </c>
      <c r="D5962" s="49">
        <v>0.0</v>
      </c>
    </row>
    <row r="5963" ht="15.0" hidden="1" customHeight="1">
      <c r="A5963" s="49" t="s">
        <v>410</v>
      </c>
      <c r="B5963" s="50">
        <v>45015.0</v>
      </c>
      <c r="C5963" s="49" t="s">
        <v>777</v>
      </c>
      <c r="D5963" s="49">
        <v>0.0</v>
      </c>
    </row>
    <row r="5964" ht="15.0" hidden="1" customHeight="1">
      <c r="A5964" s="49" t="s">
        <v>415</v>
      </c>
      <c r="B5964" s="50">
        <v>45015.0</v>
      </c>
      <c r="C5964" s="49" t="s">
        <v>777</v>
      </c>
      <c r="D5964" s="49">
        <v>0.0</v>
      </c>
    </row>
    <row r="5965" ht="15.0" hidden="1" customHeight="1">
      <c r="A5965" s="49" t="s">
        <v>420</v>
      </c>
      <c r="B5965" s="50">
        <v>45015.0</v>
      </c>
      <c r="C5965" s="49" t="s">
        <v>777</v>
      </c>
      <c r="D5965" s="49">
        <v>0.0</v>
      </c>
    </row>
    <row r="5966" ht="15.0" hidden="1" customHeight="1">
      <c r="A5966" s="49" t="s">
        <v>425</v>
      </c>
      <c r="B5966" s="50">
        <v>45015.0</v>
      </c>
      <c r="C5966" s="49" t="s">
        <v>777</v>
      </c>
      <c r="D5966" s="49">
        <v>0.0</v>
      </c>
    </row>
    <row r="5967" ht="15.0" hidden="1" customHeight="1">
      <c r="A5967" s="49" t="s">
        <v>430</v>
      </c>
      <c r="B5967" s="50">
        <v>45015.0</v>
      </c>
      <c r="C5967" s="49" t="s">
        <v>777</v>
      </c>
      <c r="D5967" s="49">
        <v>0.0</v>
      </c>
    </row>
    <row r="5968" ht="15.0" hidden="1" customHeight="1">
      <c r="A5968" s="49" t="s">
        <v>434</v>
      </c>
      <c r="B5968" s="50">
        <v>45015.0</v>
      </c>
      <c r="C5968" s="49" t="s">
        <v>777</v>
      </c>
      <c r="D5968" s="49">
        <v>0.0</v>
      </c>
    </row>
    <row r="5969" ht="15.0" hidden="1" customHeight="1">
      <c r="A5969" s="49" t="s">
        <v>439</v>
      </c>
      <c r="B5969" s="50">
        <v>45015.0</v>
      </c>
      <c r="C5969" s="49" t="s">
        <v>777</v>
      </c>
      <c r="D5969" s="49">
        <v>0.0</v>
      </c>
    </row>
    <row r="5970" ht="15.0" hidden="1" customHeight="1">
      <c r="A5970" s="49" t="s">
        <v>444</v>
      </c>
      <c r="B5970" s="50">
        <v>45015.0</v>
      </c>
      <c r="C5970" s="49" t="s">
        <v>777</v>
      </c>
      <c r="D5970" s="49">
        <v>0.0</v>
      </c>
    </row>
    <row r="5971" ht="15.0" hidden="1" customHeight="1">
      <c r="A5971" s="49" t="s">
        <v>449</v>
      </c>
      <c r="B5971" s="50">
        <v>45015.0</v>
      </c>
      <c r="C5971" s="49" t="s">
        <v>777</v>
      </c>
      <c r="D5971" s="49">
        <v>0.0</v>
      </c>
    </row>
    <row r="5972" ht="15.0" hidden="1" customHeight="1">
      <c r="A5972" s="49" t="s">
        <v>455</v>
      </c>
      <c r="B5972" s="50">
        <v>45015.0</v>
      </c>
      <c r="C5972" s="49" t="s">
        <v>777</v>
      </c>
      <c r="D5972" s="49">
        <v>0.0</v>
      </c>
    </row>
    <row r="5973" ht="15.0" hidden="1" customHeight="1">
      <c r="A5973" s="49" t="s">
        <v>470</v>
      </c>
      <c r="B5973" s="50">
        <v>45015.0</v>
      </c>
      <c r="C5973" s="49" t="s">
        <v>777</v>
      </c>
      <c r="D5973" s="49">
        <v>0.0</v>
      </c>
    </row>
    <row r="5974" ht="15.0" hidden="1" customHeight="1">
      <c r="A5974" s="49" t="s">
        <v>476</v>
      </c>
      <c r="B5974" s="50">
        <v>45015.0</v>
      </c>
      <c r="C5974" s="49" t="s">
        <v>777</v>
      </c>
      <c r="D5974" s="49">
        <v>0.0</v>
      </c>
    </row>
    <row r="5975" ht="15.0" hidden="1" customHeight="1">
      <c r="A5975" s="49" t="s">
        <v>481</v>
      </c>
      <c r="B5975" s="50">
        <v>45015.0</v>
      </c>
      <c r="C5975" s="49" t="s">
        <v>777</v>
      </c>
      <c r="D5975" s="49">
        <v>0.0</v>
      </c>
    </row>
    <row r="5976" ht="15.0" hidden="1" customHeight="1">
      <c r="A5976" s="49" t="s">
        <v>486</v>
      </c>
      <c r="B5976" s="50">
        <v>45015.0</v>
      </c>
      <c r="C5976" s="49" t="s">
        <v>777</v>
      </c>
      <c r="D5976" s="49">
        <v>0.0</v>
      </c>
    </row>
    <row r="5977" ht="15.0" hidden="1" customHeight="1">
      <c r="A5977" s="49" t="s">
        <v>491</v>
      </c>
      <c r="B5977" s="50">
        <v>45015.0</v>
      </c>
      <c r="C5977" s="49" t="s">
        <v>777</v>
      </c>
      <c r="D5977" s="49">
        <v>0.0</v>
      </c>
    </row>
    <row r="5978" ht="15.0" hidden="1" customHeight="1">
      <c r="A5978" s="49" t="s">
        <v>496</v>
      </c>
      <c r="B5978" s="50">
        <v>45015.0</v>
      </c>
      <c r="C5978" s="49" t="s">
        <v>777</v>
      </c>
      <c r="D5978" s="49">
        <v>0.0</v>
      </c>
    </row>
    <row r="5979" ht="15.0" hidden="1" customHeight="1">
      <c r="A5979" s="49" t="s">
        <v>501</v>
      </c>
      <c r="B5979" s="50">
        <v>45015.0</v>
      </c>
      <c r="C5979" s="49" t="s">
        <v>777</v>
      </c>
      <c r="D5979" s="49">
        <v>0.0</v>
      </c>
    </row>
    <row r="5980" ht="15.0" hidden="1" customHeight="1">
      <c r="A5980" s="49" t="s">
        <v>506</v>
      </c>
      <c r="B5980" s="50">
        <v>45015.0</v>
      </c>
      <c r="C5980" s="49" t="s">
        <v>777</v>
      </c>
      <c r="D5980" s="49">
        <v>0.0</v>
      </c>
    </row>
    <row r="5981" ht="15.0" hidden="1" customHeight="1">
      <c r="A5981" s="49" t="s">
        <v>512</v>
      </c>
      <c r="B5981" s="50">
        <v>45015.0</v>
      </c>
      <c r="C5981" s="49" t="s">
        <v>777</v>
      </c>
      <c r="D5981" s="49">
        <v>0.0</v>
      </c>
    </row>
    <row r="5982" ht="15.0" hidden="1" customHeight="1">
      <c r="A5982" s="49" t="s">
        <v>517</v>
      </c>
      <c r="B5982" s="50">
        <v>45015.0</v>
      </c>
      <c r="C5982" s="49" t="s">
        <v>777</v>
      </c>
      <c r="D5982" s="49">
        <v>0.0</v>
      </c>
    </row>
    <row r="5983" ht="15.0" hidden="1" customHeight="1">
      <c r="A5983" s="49" t="s">
        <v>522</v>
      </c>
      <c r="B5983" s="50">
        <v>45015.0</v>
      </c>
      <c r="C5983" s="49" t="s">
        <v>777</v>
      </c>
      <c r="D5983" s="49">
        <v>0.0</v>
      </c>
    </row>
    <row r="5984" ht="15.0" hidden="1" customHeight="1">
      <c r="A5984" s="49" t="s">
        <v>528</v>
      </c>
      <c r="B5984" s="50">
        <v>45015.0</v>
      </c>
      <c r="C5984" s="49" t="s">
        <v>777</v>
      </c>
      <c r="D5984" s="49">
        <v>0.0</v>
      </c>
    </row>
    <row r="5985" ht="15.0" hidden="1" customHeight="1">
      <c r="A5985" s="49" t="s">
        <v>533</v>
      </c>
      <c r="B5985" s="50">
        <v>45015.0</v>
      </c>
      <c r="C5985" s="49" t="s">
        <v>777</v>
      </c>
      <c r="D5985" s="49">
        <v>0.0</v>
      </c>
    </row>
    <row r="5986" ht="15.0" hidden="1" customHeight="1">
      <c r="A5986" s="49" t="s">
        <v>538</v>
      </c>
      <c r="B5986" s="50">
        <v>45015.0</v>
      </c>
      <c r="C5986" s="49" t="s">
        <v>777</v>
      </c>
      <c r="D5986" s="49">
        <v>0.0</v>
      </c>
    </row>
    <row r="5987" ht="15.0" hidden="1" customHeight="1">
      <c r="A5987" s="49" t="s">
        <v>546</v>
      </c>
      <c r="B5987" s="50">
        <v>45015.0</v>
      </c>
      <c r="C5987" s="49" t="s">
        <v>777</v>
      </c>
      <c r="D5987" s="49">
        <v>0.0</v>
      </c>
    </row>
    <row r="5988" ht="15.0" hidden="1" customHeight="1">
      <c r="A5988" s="49" t="s">
        <v>551</v>
      </c>
      <c r="B5988" s="50">
        <v>45015.0</v>
      </c>
      <c r="C5988" s="49" t="s">
        <v>777</v>
      </c>
      <c r="D5988" s="49">
        <v>0.0</v>
      </c>
    </row>
    <row r="5989" ht="15.0" hidden="1" customHeight="1">
      <c r="A5989" s="49" t="s">
        <v>556</v>
      </c>
      <c r="B5989" s="50">
        <v>45015.0</v>
      </c>
      <c r="C5989" s="49" t="s">
        <v>777</v>
      </c>
      <c r="D5989" s="49">
        <v>0.0</v>
      </c>
    </row>
    <row r="5990" ht="15.0" hidden="1" customHeight="1">
      <c r="A5990" s="49" t="s">
        <v>561</v>
      </c>
      <c r="B5990" s="50">
        <v>45015.0</v>
      </c>
      <c r="C5990" s="49" t="s">
        <v>777</v>
      </c>
      <c r="D5990" s="49">
        <v>0.0</v>
      </c>
    </row>
    <row r="5991" ht="15.0" hidden="1" customHeight="1">
      <c r="A5991" s="49" t="s">
        <v>566</v>
      </c>
      <c r="B5991" s="50">
        <v>45015.0</v>
      </c>
      <c r="C5991" s="49" t="s">
        <v>777</v>
      </c>
      <c r="D5991" s="49">
        <v>0.0</v>
      </c>
    </row>
    <row r="5992" ht="15.0" hidden="1" customHeight="1">
      <c r="A5992" s="49" t="s">
        <v>571</v>
      </c>
      <c r="B5992" s="50">
        <v>45015.0</v>
      </c>
      <c r="C5992" s="49" t="s">
        <v>777</v>
      </c>
      <c r="D5992" s="49">
        <v>0.0</v>
      </c>
    </row>
    <row r="5993" ht="15.0" hidden="1" customHeight="1">
      <c r="A5993" s="49" t="s">
        <v>576</v>
      </c>
      <c r="B5993" s="50">
        <v>45015.0</v>
      </c>
      <c r="C5993" s="49" t="s">
        <v>777</v>
      </c>
      <c r="D5993" s="49">
        <v>0.0</v>
      </c>
    </row>
    <row r="5994" ht="15.0" hidden="1" customHeight="1">
      <c r="A5994" s="49" t="s">
        <v>581</v>
      </c>
      <c r="B5994" s="50">
        <v>45015.0</v>
      </c>
      <c r="C5994" s="49" t="s">
        <v>777</v>
      </c>
      <c r="D5994" s="49">
        <v>0.0</v>
      </c>
    </row>
    <row r="5995" ht="15.0" hidden="1" customHeight="1">
      <c r="A5995" s="49" t="s">
        <v>586</v>
      </c>
      <c r="B5995" s="50">
        <v>45015.0</v>
      </c>
      <c r="C5995" s="49" t="s">
        <v>777</v>
      </c>
      <c r="D5995" s="49">
        <v>0.0</v>
      </c>
    </row>
    <row r="5996" ht="15.0" hidden="1" customHeight="1">
      <c r="A5996" s="49" t="s">
        <v>754</v>
      </c>
      <c r="B5996" s="50">
        <v>45015.0</v>
      </c>
      <c r="C5996" s="49" t="s">
        <v>777</v>
      </c>
      <c r="D5996" s="49">
        <v>0.0</v>
      </c>
    </row>
    <row r="5997" ht="15.0" hidden="1" customHeight="1">
      <c r="A5997" s="49" t="s">
        <v>591</v>
      </c>
      <c r="B5997" s="50">
        <v>45015.0</v>
      </c>
      <c r="C5997" s="49" t="s">
        <v>777</v>
      </c>
      <c r="D5997" s="49">
        <v>0.0</v>
      </c>
    </row>
    <row r="5998" ht="15.0" hidden="1" customHeight="1">
      <c r="A5998" s="49" t="s">
        <v>759</v>
      </c>
      <c r="B5998" s="50">
        <v>45015.0</v>
      </c>
      <c r="C5998" s="49" t="s">
        <v>777</v>
      </c>
      <c r="D5998" s="49">
        <v>0.0</v>
      </c>
    </row>
    <row r="5999" ht="15.0" hidden="1" customHeight="1">
      <c r="A5999" s="49" t="s">
        <v>596</v>
      </c>
      <c r="B5999" s="50">
        <v>45015.0</v>
      </c>
      <c r="C5999" s="49" t="s">
        <v>777</v>
      </c>
      <c r="D5999" s="49">
        <v>0.0</v>
      </c>
    </row>
    <row r="6000" ht="15.0" hidden="1" customHeight="1">
      <c r="A6000" s="49" t="s">
        <v>602</v>
      </c>
      <c r="B6000" s="50">
        <v>45015.0</v>
      </c>
      <c r="C6000" s="49" t="s">
        <v>777</v>
      </c>
      <c r="D6000" s="49">
        <v>0.0</v>
      </c>
    </row>
    <row r="6001" ht="15.0" hidden="1" customHeight="1">
      <c r="A6001" s="49" t="s">
        <v>607</v>
      </c>
      <c r="B6001" s="50">
        <v>45015.0</v>
      </c>
      <c r="C6001" s="49" t="s">
        <v>777</v>
      </c>
      <c r="D6001" s="49">
        <v>0.0</v>
      </c>
    </row>
    <row r="6002" ht="15.0" hidden="1" customHeight="1">
      <c r="A6002" s="49" t="s">
        <v>612</v>
      </c>
      <c r="B6002" s="50">
        <v>45015.0</v>
      </c>
      <c r="C6002" s="49" t="s">
        <v>777</v>
      </c>
      <c r="D6002" s="49">
        <v>0.0</v>
      </c>
    </row>
    <row r="6003" ht="15.0" hidden="1" customHeight="1">
      <c r="A6003" s="49" t="s">
        <v>617</v>
      </c>
      <c r="B6003" s="50">
        <v>45015.0</v>
      </c>
      <c r="C6003" s="49" t="s">
        <v>777</v>
      </c>
      <c r="D6003" s="49">
        <v>0.0</v>
      </c>
    </row>
    <row r="6004" ht="15.0" hidden="1" customHeight="1">
      <c r="A6004" s="49" t="s">
        <v>622</v>
      </c>
      <c r="B6004" s="50">
        <v>45015.0</v>
      </c>
      <c r="C6004" s="49" t="s">
        <v>777</v>
      </c>
      <c r="D6004" s="49">
        <v>0.0</v>
      </c>
    </row>
    <row r="6005" ht="15.0" hidden="1" customHeight="1">
      <c r="A6005" s="49" t="s">
        <v>627</v>
      </c>
      <c r="B6005" s="50">
        <v>45015.0</v>
      </c>
      <c r="C6005" s="49" t="s">
        <v>777</v>
      </c>
      <c r="D6005" s="49">
        <v>0.0</v>
      </c>
    </row>
    <row r="6006" ht="15.0" hidden="1" customHeight="1">
      <c r="A6006" s="49" t="s">
        <v>631</v>
      </c>
      <c r="B6006" s="50">
        <v>45015.0</v>
      </c>
      <c r="C6006" s="49" t="s">
        <v>777</v>
      </c>
      <c r="D6006" s="49">
        <v>0.0</v>
      </c>
    </row>
    <row r="6007" ht="15.0" hidden="1" customHeight="1">
      <c r="A6007" s="49" t="s">
        <v>636</v>
      </c>
      <c r="B6007" s="50">
        <v>45015.0</v>
      </c>
      <c r="C6007" s="49" t="s">
        <v>777</v>
      </c>
      <c r="D6007" s="49">
        <v>0.0</v>
      </c>
    </row>
    <row r="6008" ht="15.0" hidden="1" customHeight="1">
      <c r="A6008" s="49" t="s">
        <v>640</v>
      </c>
      <c r="B6008" s="50">
        <v>45015.0</v>
      </c>
      <c r="C6008" s="49" t="s">
        <v>777</v>
      </c>
      <c r="D6008" s="49">
        <v>0.0</v>
      </c>
    </row>
    <row r="6009" ht="15.0" hidden="1" customHeight="1">
      <c r="A6009" s="49" t="s">
        <v>644</v>
      </c>
      <c r="B6009" s="50">
        <v>45015.0</v>
      </c>
      <c r="C6009" s="49" t="s">
        <v>777</v>
      </c>
      <c r="D6009" s="49">
        <v>0.0</v>
      </c>
    </row>
    <row r="6010" ht="15.0" hidden="1" customHeight="1">
      <c r="A6010" s="49" t="s">
        <v>649</v>
      </c>
      <c r="B6010" s="50">
        <v>45015.0</v>
      </c>
      <c r="C6010" s="49" t="s">
        <v>777</v>
      </c>
      <c r="D6010" s="49">
        <v>0.0</v>
      </c>
    </row>
    <row r="6011" ht="15.0" hidden="1" customHeight="1">
      <c r="A6011" s="49" t="s">
        <v>654</v>
      </c>
      <c r="B6011" s="50">
        <v>45015.0</v>
      </c>
      <c r="C6011" s="49" t="s">
        <v>777</v>
      </c>
      <c r="D6011" s="49">
        <v>0.0</v>
      </c>
    </row>
    <row r="6012" ht="15.0" hidden="1" customHeight="1">
      <c r="A6012" s="49" t="s">
        <v>659</v>
      </c>
      <c r="B6012" s="50">
        <v>45015.0</v>
      </c>
      <c r="C6012" s="49" t="s">
        <v>777</v>
      </c>
      <c r="D6012" s="49">
        <v>0.0</v>
      </c>
    </row>
    <row r="6013" ht="15.0" hidden="1" customHeight="1">
      <c r="A6013" s="49" t="s">
        <v>664</v>
      </c>
      <c r="B6013" s="50">
        <v>45015.0</v>
      </c>
      <c r="C6013" s="49" t="s">
        <v>777</v>
      </c>
      <c r="D6013" s="49">
        <v>0.0</v>
      </c>
    </row>
    <row r="6014" ht="15.0" hidden="1" customHeight="1">
      <c r="A6014" s="49" t="s">
        <v>669</v>
      </c>
      <c r="B6014" s="50">
        <v>45015.0</v>
      </c>
      <c r="C6014" s="49" t="s">
        <v>777</v>
      </c>
      <c r="D6014" s="49">
        <v>0.0</v>
      </c>
    </row>
    <row r="6015" ht="15.0" hidden="1" customHeight="1">
      <c r="A6015" s="49" t="s">
        <v>674</v>
      </c>
      <c r="B6015" s="50">
        <v>45015.0</v>
      </c>
      <c r="C6015" s="49" t="s">
        <v>777</v>
      </c>
      <c r="D6015" s="49">
        <v>0.0</v>
      </c>
    </row>
    <row r="6016" ht="15.0" hidden="1" customHeight="1">
      <c r="A6016" s="49" t="s">
        <v>679</v>
      </c>
      <c r="B6016" s="50">
        <v>45015.0</v>
      </c>
      <c r="C6016" s="49" t="s">
        <v>777</v>
      </c>
      <c r="D6016" s="49">
        <v>0.0</v>
      </c>
    </row>
    <row r="6017" ht="15.0" hidden="1" customHeight="1">
      <c r="A6017" s="49" t="s">
        <v>684</v>
      </c>
      <c r="B6017" s="50">
        <v>45015.0</v>
      </c>
      <c r="C6017" s="49" t="s">
        <v>777</v>
      </c>
      <c r="D6017" s="49">
        <v>0.0</v>
      </c>
    </row>
    <row r="6018" ht="15.0" hidden="1" customHeight="1">
      <c r="A6018" s="49" t="s">
        <v>689</v>
      </c>
      <c r="B6018" s="50">
        <v>45015.0</v>
      </c>
      <c r="C6018" s="49" t="s">
        <v>777</v>
      </c>
      <c r="D6018" s="49">
        <v>0.0</v>
      </c>
    </row>
    <row r="6019" ht="15.0" hidden="1" customHeight="1">
      <c r="A6019" s="49" t="s">
        <v>694</v>
      </c>
      <c r="B6019" s="50">
        <v>45015.0</v>
      </c>
      <c r="C6019" s="49" t="s">
        <v>777</v>
      </c>
      <c r="D6019" s="49">
        <v>0.0</v>
      </c>
    </row>
    <row r="6020" ht="15.0" hidden="1" customHeight="1">
      <c r="A6020" s="49" t="s">
        <v>699</v>
      </c>
      <c r="B6020" s="50">
        <v>45015.0</v>
      </c>
      <c r="C6020" s="49" t="s">
        <v>777</v>
      </c>
      <c r="D6020" s="49">
        <v>0.0</v>
      </c>
    </row>
    <row r="6021" ht="15.0" hidden="1" customHeight="1">
      <c r="A6021" s="49" t="s">
        <v>705</v>
      </c>
      <c r="B6021" s="50">
        <v>45015.0</v>
      </c>
      <c r="C6021" s="49" t="s">
        <v>777</v>
      </c>
      <c r="D6021" s="49">
        <v>0.0</v>
      </c>
    </row>
    <row r="6022" ht="15.0" hidden="1" customHeight="1">
      <c r="A6022" s="49" t="s">
        <v>710</v>
      </c>
      <c r="B6022" s="50">
        <v>45015.0</v>
      </c>
      <c r="C6022" s="49" t="s">
        <v>777</v>
      </c>
      <c r="D6022" s="49">
        <v>0.0</v>
      </c>
    </row>
    <row r="6023" ht="15.0" hidden="1" customHeight="1">
      <c r="A6023" s="49" t="s">
        <v>715</v>
      </c>
      <c r="B6023" s="50">
        <v>45015.0</v>
      </c>
      <c r="C6023" s="49" t="s">
        <v>777</v>
      </c>
      <c r="D6023" s="49">
        <v>0.0</v>
      </c>
    </row>
    <row r="6024" ht="15.0" hidden="1" customHeight="1">
      <c r="A6024" s="49" t="s">
        <v>765</v>
      </c>
      <c r="B6024" s="50">
        <v>45015.0</v>
      </c>
      <c r="C6024" s="49" t="s">
        <v>777</v>
      </c>
      <c r="D6024" s="49">
        <v>0.0</v>
      </c>
    </row>
    <row r="6025" ht="15.0" hidden="1" customHeight="1">
      <c r="A6025" s="49" t="s">
        <v>720</v>
      </c>
      <c r="B6025" s="50">
        <v>45015.0</v>
      </c>
      <c r="C6025" s="49" t="s">
        <v>777</v>
      </c>
      <c r="D6025" s="49">
        <v>0.0</v>
      </c>
    </row>
    <row r="6026" ht="15.0" hidden="1" customHeight="1">
      <c r="A6026" s="49" t="s">
        <v>725</v>
      </c>
      <c r="B6026" s="50">
        <v>45015.0</v>
      </c>
      <c r="C6026" s="49" t="s">
        <v>777</v>
      </c>
      <c r="D6026" s="49">
        <v>0.0</v>
      </c>
    </row>
    <row r="6027" ht="15.0" hidden="1" customHeight="1">
      <c r="A6027" s="49" t="s">
        <v>730</v>
      </c>
      <c r="B6027" s="50">
        <v>45015.0</v>
      </c>
      <c r="C6027" s="49" t="s">
        <v>777</v>
      </c>
      <c r="D6027" s="49">
        <v>0.0</v>
      </c>
    </row>
    <row r="6028" ht="15.0" hidden="1" customHeight="1">
      <c r="A6028" s="49" t="s">
        <v>734</v>
      </c>
      <c r="B6028" s="50">
        <v>45015.0</v>
      </c>
      <c r="C6028" s="49" t="s">
        <v>777</v>
      </c>
      <c r="D6028" s="49">
        <v>0.0</v>
      </c>
    </row>
    <row r="6029" ht="15.0" hidden="1" customHeight="1">
      <c r="A6029" s="49" t="s">
        <v>739</v>
      </c>
      <c r="B6029" s="50">
        <v>45015.0</v>
      </c>
      <c r="C6029" s="49" t="s">
        <v>777</v>
      </c>
      <c r="D6029" s="49">
        <v>0.0</v>
      </c>
    </row>
    <row r="6030" ht="15.0" hidden="1" customHeight="1">
      <c r="A6030" s="49" t="s">
        <v>744</v>
      </c>
      <c r="B6030" s="50">
        <v>45015.0</v>
      </c>
      <c r="C6030" s="49" t="s">
        <v>777</v>
      </c>
      <c r="D6030" s="49">
        <v>0.0</v>
      </c>
    </row>
    <row r="6031" ht="15.0" hidden="1" customHeight="1">
      <c r="A6031" s="49" t="s">
        <v>749</v>
      </c>
      <c r="B6031" s="50">
        <v>45015.0</v>
      </c>
      <c r="C6031" s="49" t="s">
        <v>777</v>
      </c>
      <c r="D6031" s="49">
        <v>0.0</v>
      </c>
    </row>
    <row r="6032" ht="15.0" customHeight="1">
      <c r="A6032" s="49" t="s">
        <v>776</v>
      </c>
      <c r="B6032" s="50">
        <v>45015.0</v>
      </c>
      <c r="C6032" s="49" t="s">
        <v>78</v>
      </c>
      <c r="D6032" s="49">
        <v>0.0</v>
      </c>
    </row>
    <row r="6033" ht="15.0" hidden="1" customHeight="1">
      <c r="A6033" s="49" t="s">
        <v>778</v>
      </c>
      <c r="B6033" s="50">
        <v>45015.0</v>
      </c>
      <c r="C6033" s="49" t="s">
        <v>78</v>
      </c>
      <c r="D6033" s="49">
        <v>0.0</v>
      </c>
    </row>
    <row r="6034" ht="15.0" hidden="1" customHeight="1">
      <c r="A6034" s="49" t="s">
        <v>92</v>
      </c>
      <c r="B6034" s="50">
        <v>45015.0</v>
      </c>
      <c r="C6034" s="49" t="s">
        <v>78</v>
      </c>
      <c r="D6034" s="49">
        <v>0.0</v>
      </c>
    </row>
    <row r="6035" ht="15.0" hidden="1" customHeight="1">
      <c r="A6035" s="49" t="s">
        <v>97</v>
      </c>
      <c r="B6035" s="50">
        <v>45015.0</v>
      </c>
      <c r="C6035" s="49" t="s">
        <v>78</v>
      </c>
      <c r="D6035" s="49">
        <v>0.0</v>
      </c>
    </row>
    <row r="6036" ht="15.0" hidden="1" customHeight="1">
      <c r="A6036" s="49" t="s">
        <v>102</v>
      </c>
      <c r="B6036" s="50">
        <v>45015.0</v>
      </c>
      <c r="C6036" s="49" t="s">
        <v>78</v>
      </c>
      <c r="D6036" s="49">
        <v>0.0</v>
      </c>
    </row>
    <row r="6037" ht="15.0" hidden="1" customHeight="1">
      <c r="A6037" s="49" t="s">
        <v>106</v>
      </c>
      <c r="B6037" s="50">
        <v>45015.0</v>
      </c>
      <c r="C6037" s="49" t="s">
        <v>78</v>
      </c>
      <c r="D6037" s="49">
        <v>0.0</v>
      </c>
    </row>
    <row r="6038" ht="15.0" hidden="1" customHeight="1">
      <c r="A6038" s="49" t="s">
        <v>111</v>
      </c>
      <c r="B6038" s="50">
        <v>45015.0</v>
      </c>
      <c r="C6038" s="49" t="s">
        <v>78</v>
      </c>
      <c r="D6038" s="49">
        <v>0.0</v>
      </c>
    </row>
    <row r="6039" ht="15.0" hidden="1" customHeight="1">
      <c r="A6039" s="49" t="s">
        <v>116</v>
      </c>
      <c r="B6039" s="50">
        <v>45015.0</v>
      </c>
      <c r="C6039" s="49" t="s">
        <v>78</v>
      </c>
      <c r="D6039" s="49">
        <v>0.0</v>
      </c>
    </row>
    <row r="6040" ht="15.0" hidden="1" customHeight="1">
      <c r="A6040" s="49" t="s">
        <v>120</v>
      </c>
      <c r="B6040" s="50">
        <v>45015.0</v>
      </c>
      <c r="C6040" s="49" t="s">
        <v>78</v>
      </c>
      <c r="D6040" s="49">
        <v>0.0</v>
      </c>
    </row>
    <row r="6041" ht="15.0" hidden="1" customHeight="1">
      <c r="A6041" s="49" t="s">
        <v>125</v>
      </c>
      <c r="B6041" s="50">
        <v>45015.0</v>
      </c>
      <c r="C6041" s="49" t="s">
        <v>78</v>
      </c>
      <c r="D6041" s="49">
        <v>0.0</v>
      </c>
    </row>
    <row r="6042" ht="15.0" hidden="1" customHeight="1">
      <c r="A6042" s="49" t="s">
        <v>130</v>
      </c>
      <c r="B6042" s="50">
        <v>45015.0</v>
      </c>
      <c r="C6042" s="49" t="s">
        <v>78</v>
      </c>
      <c r="D6042" s="49">
        <v>0.0</v>
      </c>
    </row>
    <row r="6043" ht="15.0" hidden="1" customHeight="1">
      <c r="A6043" s="49" t="s">
        <v>137</v>
      </c>
      <c r="B6043" s="50">
        <v>45015.0</v>
      </c>
      <c r="C6043" s="49" t="s">
        <v>78</v>
      </c>
      <c r="D6043" s="49">
        <v>0.0</v>
      </c>
    </row>
    <row r="6044" ht="15.0" hidden="1" customHeight="1">
      <c r="A6044" s="49" t="s">
        <v>142</v>
      </c>
      <c r="B6044" s="50">
        <v>45015.0</v>
      </c>
      <c r="C6044" s="49" t="s">
        <v>78</v>
      </c>
      <c r="D6044" s="49">
        <v>0.0</v>
      </c>
    </row>
    <row r="6045" ht="15.0" hidden="1" customHeight="1">
      <c r="A6045" s="49" t="s">
        <v>147</v>
      </c>
      <c r="B6045" s="50">
        <v>45015.0</v>
      </c>
      <c r="C6045" s="49" t="s">
        <v>78</v>
      </c>
      <c r="D6045" s="49">
        <v>0.0</v>
      </c>
    </row>
    <row r="6046" ht="15.0" hidden="1" customHeight="1">
      <c r="A6046" s="49" t="s">
        <v>152</v>
      </c>
      <c r="B6046" s="50">
        <v>45015.0</v>
      </c>
      <c r="C6046" s="49" t="s">
        <v>78</v>
      </c>
      <c r="D6046" s="49">
        <v>0.0</v>
      </c>
    </row>
    <row r="6047" ht="15.0" hidden="1" customHeight="1">
      <c r="A6047" s="49" t="s">
        <v>157</v>
      </c>
      <c r="B6047" s="50">
        <v>45015.0</v>
      </c>
      <c r="C6047" s="49" t="s">
        <v>78</v>
      </c>
      <c r="D6047" s="49">
        <v>0.0</v>
      </c>
    </row>
    <row r="6048" ht="15.0" hidden="1" customHeight="1">
      <c r="A6048" s="49" t="s">
        <v>162</v>
      </c>
      <c r="B6048" s="50">
        <v>45015.0</v>
      </c>
      <c r="C6048" s="49" t="s">
        <v>78</v>
      </c>
      <c r="D6048" s="49">
        <v>0.0</v>
      </c>
    </row>
    <row r="6049" ht="15.0" hidden="1" customHeight="1">
      <c r="A6049" s="49" t="s">
        <v>167</v>
      </c>
      <c r="B6049" s="50">
        <v>45015.0</v>
      </c>
      <c r="C6049" s="49" t="s">
        <v>78</v>
      </c>
      <c r="D6049" s="49">
        <v>0.0</v>
      </c>
    </row>
    <row r="6050" ht="15.0" hidden="1" customHeight="1">
      <c r="A6050" s="49" t="s">
        <v>172</v>
      </c>
      <c r="B6050" s="50">
        <v>45015.0</v>
      </c>
      <c r="C6050" s="49" t="s">
        <v>78</v>
      </c>
      <c r="D6050" s="49">
        <v>0.0</v>
      </c>
    </row>
    <row r="6051" ht="15.0" hidden="1" customHeight="1">
      <c r="A6051" s="49" t="s">
        <v>177</v>
      </c>
      <c r="B6051" s="50">
        <v>45015.0</v>
      </c>
      <c r="C6051" s="49" t="s">
        <v>78</v>
      </c>
      <c r="D6051" s="49">
        <v>0.0</v>
      </c>
    </row>
    <row r="6052" ht="15.0" hidden="1" customHeight="1">
      <c r="A6052" s="49" t="s">
        <v>182</v>
      </c>
      <c r="B6052" s="50">
        <v>45015.0</v>
      </c>
      <c r="C6052" s="49" t="s">
        <v>78</v>
      </c>
      <c r="D6052" s="49">
        <v>0.0</v>
      </c>
    </row>
    <row r="6053" ht="15.0" hidden="1" customHeight="1">
      <c r="A6053" s="49" t="s">
        <v>187</v>
      </c>
      <c r="B6053" s="50">
        <v>45015.0</v>
      </c>
      <c r="C6053" s="49" t="s">
        <v>78</v>
      </c>
      <c r="D6053" s="49">
        <v>0.0</v>
      </c>
    </row>
    <row r="6054" ht="15.0" hidden="1" customHeight="1">
      <c r="A6054" s="49" t="s">
        <v>192</v>
      </c>
      <c r="B6054" s="50">
        <v>45015.0</v>
      </c>
      <c r="C6054" s="49" t="s">
        <v>78</v>
      </c>
      <c r="D6054" s="49">
        <v>0.0</v>
      </c>
    </row>
    <row r="6055" ht="15.0" hidden="1" customHeight="1">
      <c r="A6055" s="49" t="s">
        <v>197</v>
      </c>
      <c r="B6055" s="50">
        <v>45015.0</v>
      </c>
      <c r="C6055" s="49" t="s">
        <v>78</v>
      </c>
      <c r="D6055" s="49">
        <v>0.0</v>
      </c>
    </row>
    <row r="6056" ht="15.0" hidden="1" customHeight="1">
      <c r="A6056" s="49" t="s">
        <v>202</v>
      </c>
      <c r="B6056" s="50">
        <v>45015.0</v>
      </c>
      <c r="C6056" s="49" t="s">
        <v>78</v>
      </c>
      <c r="D6056" s="49">
        <v>0.0</v>
      </c>
    </row>
    <row r="6057" ht="15.0" hidden="1" customHeight="1">
      <c r="A6057" s="49" t="s">
        <v>206</v>
      </c>
      <c r="B6057" s="50">
        <v>45015.0</v>
      </c>
      <c r="C6057" s="49" t="s">
        <v>78</v>
      </c>
      <c r="D6057" s="49">
        <v>0.0</v>
      </c>
    </row>
    <row r="6058" ht="15.0" hidden="1" customHeight="1">
      <c r="A6058" s="49" t="s">
        <v>211</v>
      </c>
      <c r="B6058" s="50">
        <v>45015.0</v>
      </c>
      <c r="C6058" s="49" t="s">
        <v>78</v>
      </c>
      <c r="D6058" s="49">
        <v>0.0</v>
      </c>
    </row>
    <row r="6059" ht="15.0" hidden="1" customHeight="1">
      <c r="A6059" s="49" t="s">
        <v>779</v>
      </c>
      <c r="B6059" s="50">
        <v>45015.0</v>
      </c>
      <c r="C6059" s="49" t="s">
        <v>78</v>
      </c>
      <c r="D6059" s="49">
        <v>0.0</v>
      </c>
    </row>
    <row r="6060" ht="15.0" hidden="1" customHeight="1">
      <c r="A6060" s="49" t="s">
        <v>221</v>
      </c>
      <c r="B6060" s="50">
        <v>45015.0</v>
      </c>
      <c r="C6060" s="49" t="s">
        <v>78</v>
      </c>
      <c r="D6060" s="49">
        <v>0.0</v>
      </c>
    </row>
    <row r="6061" ht="15.0" hidden="1" customHeight="1">
      <c r="A6061" s="49" t="s">
        <v>226</v>
      </c>
      <c r="B6061" s="50">
        <v>45015.0</v>
      </c>
      <c r="C6061" s="49" t="s">
        <v>78</v>
      </c>
      <c r="D6061" s="49">
        <v>0.0</v>
      </c>
    </row>
    <row r="6062" ht="15.0" hidden="1" customHeight="1">
      <c r="A6062" s="49" t="s">
        <v>231</v>
      </c>
      <c r="B6062" s="50">
        <v>45015.0</v>
      </c>
      <c r="C6062" s="49" t="s">
        <v>78</v>
      </c>
      <c r="D6062" s="49">
        <v>0.0</v>
      </c>
    </row>
    <row r="6063" ht="15.0" hidden="1" customHeight="1">
      <c r="A6063" s="49" t="s">
        <v>236</v>
      </c>
      <c r="B6063" s="50">
        <v>45015.0</v>
      </c>
      <c r="C6063" s="49" t="s">
        <v>78</v>
      </c>
      <c r="D6063" s="49">
        <v>0.0</v>
      </c>
    </row>
    <row r="6064" ht="15.0" hidden="1" customHeight="1">
      <c r="A6064" s="49" t="s">
        <v>242</v>
      </c>
      <c r="B6064" s="50">
        <v>45015.0</v>
      </c>
      <c r="C6064" s="49" t="s">
        <v>78</v>
      </c>
      <c r="D6064" s="49">
        <v>0.0</v>
      </c>
    </row>
    <row r="6065" ht="15.0" hidden="1" customHeight="1">
      <c r="A6065" s="49" t="s">
        <v>248</v>
      </c>
      <c r="B6065" s="50">
        <v>45015.0</v>
      </c>
      <c r="C6065" s="49" t="s">
        <v>78</v>
      </c>
      <c r="D6065" s="49">
        <v>0.0</v>
      </c>
    </row>
    <row r="6066" ht="15.0" hidden="1" customHeight="1">
      <c r="A6066" s="49" t="s">
        <v>253</v>
      </c>
      <c r="B6066" s="50">
        <v>45015.0</v>
      </c>
      <c r="C6066" s="49" t="s">
        <v>78</v>
      </c>
      <c r="D6066" s="49">
        <v>0.0</v>
      </c>
    </row>
    <row r="6067" ht="15.0" hidden="1" customHeight="1">
      <c r="A6067" s="49" t="s">
        <v>258</v>
      </c>
      <c r="B6067" s="50">
        <v>45015.0</v>
      </c>
      <c r="C6067" s="49" t="s">
        <v>78</v>
      </c>
      <c r="D6067" s="49">
        <v>0.0</v>
      </c>
    </row>
    <row r="6068" ht="15.0" hidden="1" customHeight="1">
      <c r="A6068" s="49" t="s">
        <v>263</v>
      </c>
      <c r="B6068" s="50">
        <v>45015.0</v>
      </c>
      <c r="C6068" s="49" t="s">
        <v>78</v>
      </c>
      <c r="D6068" s="49">
        <v>0.0</v>
      </c>
    </row>
    <row r="6069" ht="15.0" hidden="1" customHeight="1">
      <c r="A6069" s="49" t="s">
        <v>268</v>
      </c>
      <c r="B6069" s="50">
        <v>45015.0</v>
      </c>
      <c r="C6069" s="49" t="s">
        <v>78</v>
      </c>
      <c r="D6069" s="49">
        <v>0.0</v>
      </c>
    </row>
    <row r="6070" ht="15.0" hidden="1" customHeight="1">
      <c r="A6070" s="49" t="s">
        <v>273</v>
      </c>
      <c r="B6070" s="50">
        <v>45015.0</v>
      </c>
      <c r="C6070" s="49" t="s">
        <v>78</v>
      </c>
      <c r="D6070" s="49">
        <v>0.0</v>
      </c>
    </row>
    <row r="6071" ht="15.0" hidden="1" customHeight="1">
      <c r="A6071" s="49" t="s">
        <v>278</v>
      </c>
      <c r="B6071" s="50">
        <v>45015.0</v>
      </c>
      <c r="C6071" s="49" t="s">
        <v>78</v>
      </c>
      <c r="D6071" s="49">
        <v>0.0</v>
      </c>
    </row>
    <row r="6072" ht="15.0" hidden="1" customHeight="1">
      <c r="A6072" s="49" t="s">
        <v>283</v>
      </c>
      <c r="B6072" s="50">
        <v>45015.0</v>
      </c>
      <c r="C6072" s="49" t="s">
        <v>78</v>
      </c>
      <c r="D6072" s="49">
        <v>0.0</v>
      </c>
    </row>
    <row r="6073" ht="15.0" hidden="1" customHeight="1">
      <c r="A6073" s="49" t="s">
        <v>288</v>
      </c>
      <c r="B6073" s="50">
        <v>45015.0</v>
      </c>
      <c r="C6073" s="49" t="s">
        <v>78</v>
      </c>
      <c r="D6073" s="49">
        <v>0.0</v>
      </c>
    </row>
    <row r="6074" ht="15.0" hidden="1" customHeight="1">
      <c r="A6074" s="49" t="s">
        <v>293</v>
      </c>
      <c r="B6074" s="50">
        <v>45015.0</v>
      </c>
      <c r="C6074" s="49" t="s">
        <v>78</v>
      </c>
      <c r="D6074" s="49">
        <v>0.0</v>
      </c>
    </row>
    <row r="6075" ht="15.0" hidden="1" customHeight="1">
      <c r="A6075" s="49" t="s">
        <v>298</v>
      </c>
      <c r="B6075" s="50">
        <v>45015.0</v>
      </c>
      <c r="C6075" s="49" t="s">
        <v>78</v>
      </c>
      <c r="D6075" s="49">
        <v>0.0</v>
      </c>
    </row>
    <row r="6076" ht="15.0" hidden="1" customHeight="1">
      <c r="A6076" s="49" t="s">
        <v>303</v>
      </c>
      <c r="B6076" s="50">
        <v>45015.0</v>
      </c>
      <c r="C6076" s="49" t="s">
        <v>78</v>
      </c>
      <c r="D6076" s="49">
        <v>0.0</v>
      </c>
    </row>
    <row r="6077" ht="15.0" hidden="1" customHeight="1">
      <c r="A6077" s="49" t="s">
        <v>307</v>
      </c>
      <c r="B6077" s="50">
        <v>45015.0</v>
      </c>
      <c r="C6077" s="49" t="s">
        <v>78</v>
      </c>
      <c r="D6077" s="49">
        <v>0.0</v>
      </c>
    </row>
    <row r="6078" ht="15.0" hidden="1" customHeight="1">
      <c r="A6078" s="49" t="s">
        <v>313</v>
      </c>
      <c r="B6078" s="50">
        <v>45015.0</v>
      </c>
      <c r="C6078" s="49" t="s">
        <v>78</v>
      </c>
      <c r="D6078" s="49">
        <v>0.0</v>
      </c>
    </row>
    <row r="6079" ht="15.0" hidden="1" customHeight="1">
      <c r="A6079" s="49" t="s">
        <v>318</v>
      </c>
      <c r="B6079" s="50">
        <v>45015.0</v>
      </c>
      <c r="C6079" s="49" t="s">
        <v>78</v>
      </c>
      <c r="D6079" s="49">
        <v>0.0</v>
      </c>
    </row>
    <row r="6080" ht="15.0" hidden="1" customHeight="1">
      <c r="A6080" s="49" t="s">
        <v>323</v>
      </c>
      <c r="B6080" s="50">
        <v>45015.0</v>
      </c>
      <c r="C6080" s="49" t="s">
        <v>78</v>
      </c>
      <c r="D6080" s="49">
        <v>0.0</v>
      </c>
    </row>
    <row r="6081" ht="15.0" hidden="1" customHeight="1">
      <c r="A6081" s="49" t="s">
        <v>328</v>
      </c>
      <c r="B6081" s="50">
        <v>45015.0</v>
      </c>
      <c r="C6081" s="49" t="s">
        <v>78</v>
      </c>
      <c r="D6081" s="49">
        <v>0.0</v>
      </c>
    </row>
    <row r="6082" ht="15.0" hidden="1" customHeight="1">
      <c r="A6082" s="49" t="s">
        <v>335</v>
      </c>
      <c r="B6082" s="50">
        <v>45015.0</v>
      </c>
      <c r="C6082" s="49" t="s">
        <v>78</v>
      </c>
      <c r="D6082" s="49">
        <v>0.0</v>
      </c>
    </row>
    <row r="6083" ht="15.0" hidden="1" customHeight="1">
      <c r="A6083" s="49" t="s">
        <v>340</v>
      </c>
      <c r="B6083" s="50">
        <v>45015.0</v>
      </c>
      <c r="C6083" s="49" t="s">
        <v>78</v>
      </c>
      <c r="D6083" s="49">
        <v>0.0</v>
      </c>
    </row>
    <row r="6084" ht="15.0" hidden="1" customHeight="1">
      <c r="A6084" s="49" t="s">
        <v>345</v>
      </c>
      <c r="B6084" s="50">
        <v>45015.0</v>
      </c>
      <c r="C6084" s="49" t="s">
        <v>78</v>
      </c>
      <c r="D6084" s="49">
        <v>0.0</v>
      </c>
    </row>
    <row r="6085" ht="15.0" hidden="1" customHeight="1">
      <c r="A6085" s="49" t="s">
        <v>350</v>
      </c>
      <c r="B6085" s="50">
        <v>45015.0</v>
      </c>
      <c r="C6085" s="49" t="s">
        <v>78</v>
      </c>
      <c r="D6085" s="49">
        <v>0.0</v>
      </c>
    </row>
    <row r="6086" ht="15.0" hidden="1" customHeight="1">
      <c r="A6086" s="49" t="s">
        <v>355</v>
      </c>
      <c r="B6086" s="50">
        <v>45015.0</v>
      </c>
      <c r="C6086" s="49" t="s">
        <v>78</v>
      </c>
      <c r="D6086" s="49">
        <v>0.0</v>
      </c>
    </row>
    <row r="6087" ht="15.0" hidden="1" customHeight="1">
      <c r="A6087" s="49" t="s">
        <v>360</v>
      </c>
      <c r="B6087" s="50">
        <v>45015.0</v>
      </c>
      <c r="C6087" s="49" t="s">
        <v>78</v>
      </c>
      <c r="D6087" s="49">
        <v>0.0</v>
      </c>
    </row>
    <row r="6088" ht="15.0" hidden="1" customHeight="1">
      <c r="A6088" s="49" t="s">
        <v>365</v>
      </c>
      <c r="B6088" s="50">
        <v>45015.0</v>
      </c>
      <c r="C6088" s="49" t="s">
        <v>78</v>
      </c>
      <c r="D6088" s="49">
        <v>0.0</v>
      </c>
    </row>
    <row r="6089" ht="15.0" hidden="1" customHeight="1">
      <c r="A6089" s="49" t="s">
        <v>370</v>
      </c>
      <c r="B6089" s="50">
        <v>45015.0</v>
      </c>
      <c r="C6089" s="49" t="s">
        <v>78</v>
      </c>
      <c r="D6089" s="49">
        <v>1221221.98</v>
      </c>
    </row>
    <row r="6090" ht="15.0" hidden="1" customHeight="1">
      <c r="A6090" s="49" t="s">
        <v>375</v>
      </c>
      <c r="B6090" s="50">
        <v>45015.0</v>
      </c>
      <c r="C6090" s="49" t="s">
        <v>78</v>
      </c>
      <c r="D6090" s="49">
        <v>0.0</v>
      </c>
    </row>
    <row r="6091" ht="15.0" hidden="1" customHeight="1">
      <c r="A6091" s="49" t="s">
        <v>380</v>
      </c>
      <c r="B6091" s="50">
        <v>45015.0</v>
      </c>
      <c r="C6091" s="49" t="s">
        <v>78</v>
      </c>
      <c r="D6091" s="49">
        <v>1000000.0</v>
      </c>
    </row>
    <row r="6092" ht="15.0" hidden="1" customHeight="1">
      <c r="A6092" s="49" t="s">
        <v>385</v>
      </c>
      <c r="B6092" s="50">
        <v>45015.0</v>
      </c>
      <c r="C6092" s="49" t="s">
        <v>78</v>
      </c>
      <c r="D6092" s="49">
        <v>0.0</v>
      </c>
    </row>
    <row r="6093" ht="15.0" hidden="1" customHeight="1">
      <c r="A6093" s="49" t="s">
        <v>390</v>
      </c>
      <c r="B6093" s="50">
        <v>45015.0</v>
      </c>
      <c r="C6093" s="49" t="s">
        <v>78</v>
      </c>
      <c r="D6093" s="49">
        <v>0.0</v>
      </c>
    </row>
    <row r="6094" ht="15.0" hidden="1" customHeight="1">
      <c r="A6094" s="49" t="s">
        <v>395</v>
      </c>
      <c r="B6094" s="50">
        <v>45015.0</v>
      </c>
      <c r="C6094" s="49" t="s">
        <v>78</v>
      </c>
      <c r="D6094" s="49">
        <v>0.0</v>
      </c>
    </row>
    <row r="6095" ht="15.0" hidden="1" customHeight="1">
      <c r="A6095" s="49" t="s">
        <v>400</v>
      </c>
      <c r="B6095" s="50">
        <v>45015.0</v>
      </c>
      <c r="C6095" s="49" t="s">
        <v>78</v>
      </c>
      <c r="D6095" s="49">
        <v>0.0</v>
      </c>
    </row>
    <row r="6096" ht="15.0" hidden="1" customHeight="1">
      <c r="A6096" s="49" t="s">
        <v>405</v>
      </c>
      <c r="B6096" s="50">
        <v>45015.0</v>
      </c>
      <c r="C6096" s="49" t="s">
        <v>78</v>
      </c>
      <c r="D6096" s="49">
        <v>0.0</v>
      </c>
    </row>
    <row r="6097" ht="15.0" hidden="1" customHeight="1">
      <c r="A6097" s="49" t="s">
        <v>410</v>
      </c>
      <c r="B6097" s="50">
        <v>45015.0</v>
      </c>
      <c r="C6097" s="49" t="s">
        <v>78</v>
      </c>
      <c r="D6097" s="49">
        <v>0.0</v>
      </c>
    </row>
    <row r="6098" ht="15.0" hidden="1" customHeight="1">
      <c r="A6098" s="49" t="s">
        <v>415</v>
      </c>
      <c r="B6098" s="50">
        <v>45015.0</v>
      </c>
      <c r="C6098" s="49" t="s">
        <v>78</v>
      </c>
      <c r="D6098" s="49">
        <v>0.0</v>
      </c>
    </row>
    <row r="6099" ht="15.0" hidden="1" customHeight="1">
      <c r="A6099" s="49" t="s">
        <v>420</v>
      </c>
      <c r="B6099" s="50">
        <v>45015.0</v>
      </c>
      <c r="C6099" s="49" t="s">
        <v>78</v>
      </c>
      <c r="D6099" s="49">
        <v>0.0</v>
      </c>
    </row>
    <row r="6100" ht="15.0" hidden="1" customHeight="1">
      <c r="A6100" s="49" t="s">
        <v>425</v>
      </c>
      <c r="B6100" s="50">
        <v>45015.0</v>
      </c>
      <c r="C6100" s="49" t="s">
        <v>78</v>
      </c>
      <c r="D6100" s="49">
        <v>0.0</v>
      </c>
    </row>
    <row r="6101" ht="15.0" hidden="1" customHeight="1">
      <c r="A6101" s="49" t="s">
        <v>430</v>
      </c>
      <c r="B6101" s="50">
        <v>45015.0</v>
      </c>
      <c r="C6101" s="49" t="s">
        <v>78</v>
      </c>
      <c r="D6101" s="49">
        <v>0.0</v>
      </c>
    </row>
    <row r="6102" ht="15.0" hidden="1" customHeight="1">
      <c r="A6102" s="49" t="s">
        <v>434</v>
      </c>
      <c r="B6102" s="50">
        <v>45015.0</v>
      </c>
      <c r="C6102" s="49" t="s">
        <v>78</v>
      </c>
      <c r="D6102" s="49">
        <v>0.0</v>
      </c>
    </row>
    <row r="6103" ht="15.0" hidden="1" customHeight="1">
      <c r="A6103" s="49" t="s">
        <v>439</v>
      </c>
      <c r="B6103" s="50">
        <v>45015.0</v>
      </c>
      <c r="C6103" s="49" t="s">
        <v>78</v>
      </c>
      <c r="D6103" s="49">
        <v>0.0</v>
      </c>
    </row>
    <row r="6104" ht="15.0" hidden="1" customHeight="1">
      <c r="A6104" s="49" t="s">
        <v>444</v>
      </c>
      <c r="B6104" s="50">
        <v>45015.0</v>
      </c>
      <c r="C6104" s="49" t="s">
        <v>78</v>
      </c>
      <c r="D6104" s="49">
        <v>0.0</v>
      </c>
    </row>
    <row r="6105" ht="15.0" hidden="1" customHeight="1">
      <c r="A6105" s="49" t="s">
        <v>449</v>
      </c>
      <c r="B6105" s="50">
        <v>45015.0</v>
      </c>
      <c r="C6105" s="49" t="s">
        <v>78</v>
      </c>
      <c r="D6105" s="49">
        <v>0.0</v>
      </c>
    </row>
    <row r="6106" ht="15.0" hidden="1" customHeight="1">
      <c r="A6106" s="49" t="s">
        <v>455</v>
      </c>
      <c r="B6106" s="50">
        <v>45015.0</v>
      </c>
      <c r="C6106" s="49" t="s">
        <v>78</v>
      </c>
      <c r="D6106" s="49">
        <v>0.0</v>
      </c>
    </row>
    <row r="6107" ht="15.0" hidden="1" customHeight="1">
      <c r="A6107" s="49" t="s">
        <v>470</v>
      </c>
      <c r="B6107" s="50">
        <v>45015.0</v>
      </c>
      <c r="C6107" s="49" t="s">
        <v>78</v>
      </c>
      <c r="D6107" s="49">
        <v>0.0</v>
      </c>
    </row>
    <row r="6108" ht="15.0" hidden="1" customHeight="1">
      <c r="A6108" s="49" t="s">
        <v>476</v>
      </c>
      <c r="B6108" s="50">
        <v>45015.0</v>
      </c>
      <c r="C6108" s="49" t="s">
        <v>78</v>
      </c>
      <c r="D6108" s="49">
        <v>0.0</v>
      </c>
    </row>
    <row r="6109" ht="15.0" hidden="1" customHeight="1">
      <c r="A6109" s="49" t="s">
        <v>481</v>
      </c>
      <c r="B6109" s="50">
        <v>45015.0</v>
      </c>
      <c r="C6109" s="49" t="s">
        <v>78</v>
      </c>
      <c r="D6109" s="49">
        <v>0.0</v>
      </c>
    </row>
    <row r="6110" ht="15.0" hidden="1" customHeight="1">
      <c r="A6110" s="49" t="s">
        <v>486</v>
      </c>
      <c r="B6110" s="50">
        <v>45015.0</v>
      </c>
      <c r="C6110" s="49" t="s">
        <v>78</v>
      </c>
      <c r="D6110" s="49">
        <v>0.0</v>
      </c>
    </row>
    <row r="6111" ht="15.0" hidden="1" customHeight="1">
      <c r="A6111" s="49" t="s">
        <v>491</v>
      </c>
      <c r="B6111" s="50">
        <v>45015.0</v>
      </c>
      <c r="C6111" s="49" t="s">
        <v>78</v>
      </c>
      <c r="D6111" s="49">
        <v>0.0</v>
      </c>
    </row>
    <row r="6112" ht="15.0" hidden="1" customHeight="1">
      <c r="A6112" s="49" t="s">
        <v>496</v>
      </c>
      <c r="B6112" s="50">
        <v>45015.0</v>
      </c>
      <c r="C6112" s="49" t="s">
        <v>78</v>
      </c>
      <c r="D6112" s="49">
        <v>0.0</v>
      </c>
    </row>
    <row r="6113" ht="15.0" hidden="1" customHeight="1">
      <c r="A6113" s="49" t="s">
        <v>501</v>
      </c>
      <c r="B6113" s="50">
        <v>45015.0</v>
      </c>
      <c r="C6113" s="49" t="s">
        <v>78</v>
      </c>
      <c r="D6113" s="49">
        <v>0.0</v>
      </c>
    </row>
    <row r="6114" ht="15.0" hidden="1" customHeight="1">
      <c r="A6114" s="49" t="s">
        <v>506</v>
      </c>
      <c r="B6114" s="50">
        <v>45015.0</v>
      </c>
      <c r="C6114" s="49" t="s">
        <v>78</v>
      </c>
      <c r="D6114" s="49">
        <v>0.0</v>
      </c>
    </row>
    <row r="6115" ht="15.0" hidden="1" customHeight="1">
      <c r="A6115" s="49" t="s">
        <v>512</v>
      </c>
      <c r="B6115" s="50">
        <v>45015.0</v>
      </c>
      <c r="C6115" s="49" t="s">
        <v>78</v>
      </c>
      <c r="D6115" s="49">
        <v>0.0</v>
      </c>
    </row>
    <row r="6116" ht="15.0" hidden="1" customHeight="1">
      <c r="A6116" s="49" t="s">
        <v>517</v>
      </c>
      <c r="B6116" s="50">
        <v>45015.0</v>
      </c>
      <c r="C6116" s="49" t="s">
        <v>78</v>
      </c>
      <c r="D6116" s="49">
        <v>0.0</v>
      </c>
    </row>
    <row r="6117" ht="15.0" hidden="1" customHeight="1">
      <c r="A6117" s="49" t="s">
        <v>522</v>
      </c>
      <c r="B6117" s="50">
        <v>45015.0</v>
      </c>
      <c r="C6117" s="49" t="s">
        <v>78</v>
      </c>
      <c r="D6117" s="49">
        <v>0.0</v>
      </c>
    </row>
    <row r="6118" ht="15.0" hidden="1" customHeight="1">
      <c r="A6118" s="49" t="s">
        <v>528</v>
      </c>
      <c r="B6118" s="50">
        <v>45015.0</v>
      </c>
      <c r="C6118" s="49" t="s">
        <v>78</v>
      </c>
      <c r="D6118" s="49">
        <v>0.0</v>
      </c>
    </row>
    <row r="6119" ht="15.0" hidden="1" customHeight="1">
      <c r="A6119" s="49" t="s">
        <v>533</v>
      </c>
      <c r="B6119" s="50">
        <v>45015.0</v>
      </c>
      <c r="C6119" s="49" t="s">
        <v>78</v>
      </c>
      <c r="D6119" s="49">
        <v>0.0</v>
      </c>
    </row>
    <row r="6120" ht="15.0" hidden="1" customHeight="1">
      <c r="A6120" s="49" t="s">
        <v>538</v>
      </c>
      <c r="B6120" s="50">
        <v>45015.0</v>
      </c>
      <c r="C6120" s="49" t="s">
        <v>78</v>
      </c>
      <c r="D6120" s="49">
        <v>0.0</v>
      </c>
    </row>
    <row r="6121" ht="15.0" hidden="1" customHeight="1">
      <c r="A6121" s="49" t="s">
        <v>546</v>
      </c>
      <c r="B6121" s="50">
        <v>45015.0</v>
      </c>
      <c r="C6121" s="49" t="s">
        <v>78</v>
      </c>
      <c r="D6121" s="49">
        <v>0.0</v>
      </c>
    </row>
    <row r="6122" ht="15.0" hidden="1" customHeight="1">
      <c r="A6122" s="49" t="s">
        <v>551</v>
      </c>
      <c r="B6122" s="50">
        <v>45015.0</v>
      </c>
      <c r="C6122" s="49" t="s">
        <v>78</v>
      </c>
      <c r="D6122" s="49">
        <v>0.0</v>
      </c>
    </row>
    <row r="6123" ht="15.0" hidden="1" customHeight="1">
      <c r="A6123" s="49" t="s">
        <v>556</v>
      </c>
      <c r="B6123" s="50">
        <v>45015.0</v>
      </c>
      <c r="C6123" s="49" t="s">
        <v>78</v>
      </c>
      <c r="D6123" s="49">
        <v>0.0</v>
      </c>
    </row>
    <row r="6124" ht="15.0" hidden="1" customHeight="1">
      <c r="A6124" s="49" t="s">
        <v>561</v>
      </c>
      <c r="B6124" s="50">
        <v>45015.0</v>
      </c>
      <c r="C6124" s="49" t="s">
        <v>78</v>
      </c>
      <c r="D6124" s="49">
        <v>0.0</v>
      </c>
    </row>
    <row r="6125" ht="15.0" hidden="1" customHeight="1">
      <c r="A6125" s="49" t="s">
        <v>566</v>
      </c>
      <c r="B6125" s="50">
        <v>45015.0</v>
      </c>
      <c r="C6125" s="49" t="s">
        <v>78</v>
      </c>
      <c r="D6125" s="49">
        <v>0.0</v>
      </c>
    </row>
    <row r="6126" ht="15.0" hidden="1" customHeight="1">
      <c r="A6126" s="49" t="s">
        <v>571</v>
      </c>
      <c r="B6126" s="50">
        <v>45015.0</v>
      </c>
      <c r="C6126" s="49" t="s">
        <v>78</v>
      </c>
      <c r="D6126" s="49">
        <v>0.0</v>
      </c>
    </row>
    <row r="6127" ht="15.0" hidden="1" customHeight="1">
      <c r="A6127" s="49" t="s">
        <v>576</v>
      </c>
      <c r="B6127" s="50">
        <v>45015.0</v>
      </c>
      <c r="C6127" s="49" t="s">
        <v>78</v>
      </c>
      <c r="D6127" s="49">
        <v>0.0</v>
      </c>
    </row>
    <row r="6128" ht="15.0" hidden="1" customHeight="1">
      <c r="A6128" s="49" t="s">
        <v>581</v>
      </c>
      <c r="B6128" s="50">
        <v>45015.0</v>
      </c>
      <c r="C6128" s="49" t="s">
        <v>78</v>
      </c>
      <c r="D6128" s="49">
        <v>0.0</v>
      </c>
    </row>
    <row r="6129" ht="15.0" hidden="1" customHeight="1">
      <c r="A6129" s="49" t="s">
        <v>586</v>
      </c>
      <c r="B6129" s="50">
        <v>45015.0</v>
      </c>
      <c r="C6129" s="49" t="s">
        <v>78</v>
      </c>
      <c r="D6129" s="49">
        <v>0.0</v>
      </c>
    </row>
    <row r="6130" ht="15.0" hidden="1" customHeight="1">
      <c r="A6130" s="49" t="s">
        <v>754</v>
      </c>
      <c r="B6130" s="50">
        <v>45015.0</v>
      </c>
      <c r="C6130" s="49" t="s">
        <v>78</v>
      </c>
      <c r="D6130" s="49">
        <v>0.0</v>
      </c>
    </row>
    <row r="6131" ht="15.0" hidden="1" customHeight="1">
      <c r="A6131" s="49" t="s">
        <v>591</v>
      </c>
      <c r="B6131" s="50">
        <v>45015.0</v>
      </c>
      <c r="C6131" s="49" t="s">
        <v>78</v>
      </c>
      <c r="D6131" s="49">
        <v>0.0</v>
      </c>
    </row>
    <row r="6132" ht="15.0" hidden="1" customHeight="1">
      <c r="A6132" s="49" t="s">
        <v>759</v>
      </c>
      <c r="B6132" s="50">
        <v>45015.0</v>
      </c>
      <c r="C6132" s="49" t="s">
        <v>78</v>
      </c>
      <c r="D6132" s="49">
        <v>0.0</v>
      </c>
    </row>
    <row r="6133" ht="15.0" hidden="1" customHeight="1">
      <c r="A6133" s="49" t="s">
        <v>596</v>
      </c>
      <c r="B6133" s="50">
        <v>45015.0</v>
      </c>
      <c r="C6133" s="49" t="s">
        <v>78</v>
      </c>
      <c r="D6133" s="49">
        <v>0.0</v>
      </c>
    </row>
    <row r="6134" ht="15.0" hidden="1" customHeight="1">
      <c r="A6134" s="49" t="s">
        <v>602</v>
      </c>
      <c r="B6134" s="50">
        <v>45015.0</v>
      </c>
      <c r="C6134" s="49" t="s">
        <v>78</v>
      </c>
      <c r="D6134" s="49">
        <v>0.0</v>
      </c>
    </row>
    <row r="6135" ht="15.0" hidden="1" customHeight="1">
      <c r="A6135" s="49" t="s">
        <v>607</v>
      </c>
      <c r="B6135" s="50">
        <v>45015.0</v>
      </c>
      <c r="C6135" s="49" t="s">
        <v>78</v>
      </c>
      <c r="D6135" s="49">
        <v>0.0</v>
      </c>
    </row>
    <row r="6136" ht="15.0" hidden="1" customHeight="1">
      <c r="A6136" s="49" t="s">
        <v>612</v>
      </c>
      <c r="B6136" s="50">
        <v>45015.0</v>
      </c>
      <c r="C6136" s="49" t="s">
        <v>78</v>
      </c>
      <c r="D6136" s="49">
        <v>0.0</v>
      </c>
    </row>
    <row r="6137" ht="15.0" hidden="1" customHeight="1">
      <c r="A6137" s="49" t="s">
        <v>617</v>
      </c>
      <c r="B6137" s="50">
        <v>45015.0</v>
      </c>
      <c r="C6137" s="49" t="s">
        <v>78</v>
      </c>
      <c r="D6137" s="49">
        <v>0.0</v>
      </c>
    </row>
    <row r="6138" ht="15.0" hidden="1" customHeight="1">
      <c r="A6138" s="49" t="s">
        <v>622</v>
      </c>
      <c r="B6138" s="50">
        <v>45015.0</v>
      </c>
      <c r="C6138" s="49" t="s">
        <v>78</v>
      </c>
      <c r="D6138" s="49">
        <v>0.0</v>
      </c>
    </row>
    <row r="6139" ht="15.0" hidden="1" customHeight="1">
      <c r="A6139" s="49" t="s">
        <v>627</v>
      </c>
      <c r="B6139" s="50">
        <v>45015.0</v>
      </c>
      <c r="C6139" s="49" t="s">
        <v>78</v>
      </c>
      <c r="D6139" s="49">
        <v>0.0</v>
      </c>
    </row>
    <row r="6140" ht="15.0" hidden="1" customHeight="1">
      <c r="A6140" s="49" t="s">
        <v>631</v>
      </c>
      <c r="B6140" s="50">
        <v>45015.0</v>
      </c>
      <c r="C6140" s="49" t="s">
        <v>78</v>
      </c>
      <c r="D6140" s="49">
        <v>0.0</v>
      </c>
    </row>
    <row r="6141" ht="15.0" hidden="1" customHeight="1">
      <c r="A6141" s="49" t="s">
        <v>636</v>
      </c>
      <c r="B6141" s="50">
        <v>45015.0</v>
      </c>
      <c r="C6141" s="49" t="s">
        <v>78</v>
      </c>
      <c r="D6141" s="49">
        <v>0.0</v>
      </c>
    </row>
    <row r="6142" ht="15.0" hidden="1" customHeight="1">
      <c r="A6142" s="49" t="s">
        <v>640</v>
      </c>
      <c r="B6142" s="50">
        <v>45015.0</v>
      </c>
      <c r="C6142" s="49" t="s">
        <v>78</v>
      </c>
      <c r="D6142" s="49">
        <v>0.0</v>
      </c>
    </row>
    <row r="6143" ht="15.0" hidden="1" customHeight="1">
      <c r="A6143" s="49" t="s">
        <v>644</v>
      </c>
      <c r="B6143" s="50">
        <v>45015.0</v>
      </c>
      <c r="C6143" s="49" t="s">
        <v>78</v>
      </c>
      <c r="D6143" s="49">
        <v>0.0</v>
      </c>
    </row>
    <row r="6144" ht="15.0" hidden="1" customHeight="1">
      <c r="A6144" s="49" t="s">
        <v>649</v>
      </c>
      <c r="B6144" s="50">
        <v>45015.0</v>
      </c>
      <c r="C6144" s="49" t="s">
        <v>78</v>
      </c>
      <c r="D6144" s="49">
        <v>0.0</v>
      </c>
    </row>
    <row r="6145" ht="15.0" hidden="1" customHeight="1">
      <c r="A6145" s="49" t="s">
        <v>654</v>
      </c>
      <c r="B6145" s="50">
        <v>45015.0</v>
      </c>
      <c r="C6145" s="49" t="s">
        <v>78</v>
      </c>
      <c r="D6145" s="49">
        <v>0.0</v>
      </c>
    </row>
    <row r="6146" ht="15.0" hidden="1" customHeight="1">
      <c r="A6146" s="49" t="s">
        <v>659</v>
      </c>
      <c r="B6146" s="50">
        <v>45015.0</v>
      </c>
      <c r="C6146" s="49" t="s">
        <v>78</v>
      </c>
      <c r="D6146" s="49">
        <v>0.0</v>
      </c>
    </row>
    <row r="6147" ht="15.0" hidden="1" customHeight="1">
      <c r="A6147" s="49" t="s">
        <v>664</v>
      </c>
      <c r="B6147" s="50">
        <v>45015.0</v>
      </c>
      <c r="C6147" s="49" t="s">
        <v>78</v>
      </c>
      <c r="D6147" s="49">
        <v>0.0</v>
      </c>
    </row>
    <row r="6148" ht="15.0" hidden="1" customHeight="1">
      <c r="A6148" s="49" t="s">
        <v>669</v>
      </c>
      <c r="B6148" s="50">
        <v>45015.0</v>
      </c>
      <c r="C6148" s="49" t="s">
        <v>78</v>
      </c>
      <c r="D6148" s="49">
        <v>0.0</v>
      </c>
    </row>
    <row r="6149" ht="15.0" hidden="1" customHeight="1">
      <c r="A6149" s="49" t="s">
        <v>674</v>
      </c>
      <c r="B6149" s="50">
        <v>45015.0</v>
      </c>
      <c r="C6149" s="49" t="s">
        <v>78</v>
      </c>
      <c r="D6149" s="49">
        <v>0.0</v>
      </c>
    </row>
    <row r="6150" ht="15.0" hidden="1" customHeight="1">
      <c r="A6150" s="49" t="s">
        <v>679</v>
      </c>
      <c r="B6150" s="50">
        <v>45015.0</v>
      </c>
      <c r="C6150" s="49" t="s">
        <v>78</v>
      </c>
      <c r="D6150" s="49">
        <v>0.0</v>
      </c>
    </row>
    <row r="6151" ht="15.0" hidden="1" customHeight="1">
      <c r="A6151" s="49" t="s">
        <v>684</v>
      </c>
      <c r="B6151" s="50">
        <v>45015.0</v>
      </c>
      <c r="C6151" s="49" t="s">
        <v>78</v>
      </c>
      <c r="D6151" s="49">
        <v>0.0</v>
      </c>
    </row>
    <row r="6152" ht="15.0" hidden="1" customHeight="1">
      <c r="A6152" s="49" t="s">
        <v>689</v>
      </c>
      <c r="B6152" s="50">
        <v>45015.0</v>
      </c>
      <c r="C6152" s="49" t="s">
        <v>78</v>
      </c>
      <c r="D6152" s="49">
        <v>0.0</v>
      </c>
    </row>
    <row r="6153" ht="15.0" hidden="1" customHeight="1">
      <c r="A6153" s="49" t="s">
        <v>694</v>
      </c>
      <c r="B6153" s="50">
        <v>45015.0</v>
      </c>
      <c r="C6153" s="49" t="s">
        <v>78</v>
      </c>
      <c r="D6153" s="49">
        <v>0.0</v>
      </c>
    </row>
    <row r="6154" ht="15.0" hidden="1" customHeight="1">
      <c r="A6154" s="49" t="s">
        <v>699</v>
      </c>
      <c r="B6154" s="50">
        <v>45015.0</v>
      </c>
      <c r="C6154" s="49" t="s">
        <v>78</v>
      </c>
      <c r="D6154" s="49">
        <v>0.0</v>
      </c>
    </row>
    <row r="6155" ht="15.0" hidden="1" customHeight="1">
      <c r="A6155" s="49" t="s">
        <v>705</v>
      </c>
      <c r="B6155" s="50">
        <v>45015.0</v>
      </c>
      <c r="C6155" s="49" t="s">
        <v>78</v>
      </c>
      <c r="D6155" s="49">
        <v>0.0</v>
      </c>
    </row>
    <row r="6156" ht="15.0" hidden="1" customHeight="1">
      <c r="A6156" s="49" t="s">
        <v>710</v>
      </c>
      <c r="B6156" s="50">
        <v>45015.0</v>
      </c>
      <c r="C6156" s="49" t="s">
        <v>78</v>
      </c>
      <c r="D6156" s="49">
        <v>0.0</v>
      </c>
    </row>
    <row r="6157" ht="15.0" hidden="1" customHeight="1">
      <c r="A6157" s="49" t="s">
        <v>715</v>
      </c>
      <c r="B6157" s="50">
        <v>45015.0</v>
      </c>
      <c r="C6157" s="49" t="s">
        <v>78</v>
      </c>
      <c r="D6157" s="49">
        <v>0.0</v>
      </c>
    </row>
    <row r="6158" ht="15.0" hidden="1" customHeight="1">
      <c r="A6158" s="49" t="s">
        <v>765</v>
      </c>
      <c r="B6158" s="50">
        <v>45015.0</v>
      </c>
      <c r="C6158" s="49" t="s">
        <v>78</v>
      </c>
      <c r="D6158" s="49">
        <v>0.0</v>
      </c>
    </row>
    <row r="6159" ht="15.0" hidden="1" customHeight="1">
      <c r="A6159" s="49" t="s">
        <v>720</v>
      </c>
      <c r="B6159" s="50">
        <v>45015.0</v>
      </c>
      <c r="C6159" s="49" t="s">
        <v>78</v>
      </c>
      <c r="D6159" s="49">
        <v>0.0</v>
      </c>
    </row>
    <row r="6160" ht="15.0" hidden="1" customHeight="1">
      <c r="A6160" s="49" t="s">
        <v>725</v>
      </c>
      <c r="B6160" s="50">
        <v>45015.0</v>
      </c>
      <c r="C6160" s="49" t="s">
        <v>78</v>
      </c>
      <c r="D6160" s="49">
        <v>0.0</v>
      </c>
    </row>
    <row r="6161" ht="15.0" hidden="1" customHeight="1">
      <c r="A6161" s="49" t="s">
        <v>730</v>
      </c>
      <c r="B6161" s="50">
        <v>45015.0</v>
      </c>
      <c r="C6161" s="49" t="s">
        <v>78</v>
      </c>
      <c r="D6161" s="49">
        <v>0.0</v>
      </c>
    </row>
    <row r="6162" ht="15.0" hidden="1" customHeight="1">
      <c r="A6162" s="49" t="s">
        <v>734</v>
      </c>
      <c r="B6162" s="50">
        <v>45015.0</v>
      </c>
      <c r="C6162" s="49" t="s">
        <v>78</v>
      </c>
      <c r="D6162" s="49">
        <v>0.0</v>
      </c>
    </row>
    <row r="6163" ht="15.0" hidden="1" customHeight="1">
      <c r="A6163" s="49" t="s">
        <v>739</v>
      </c>
      <c r="B6163" s="50">
        <v>45015.0</v>
      </c>
      <c r="C6163" s="49" t="s">
        <v>78</v>
      </c>
      <c r="D6163" s="49">
        <v>0.0</v>
      </c>
    </row>
    <row r="6164" ht="15.0" hidden="1" customHeight="1">
      <c r="A6164" s="49" t="s">
        <v>744</v>
      </c>
      <c r="B6164" s="50">
        <v>45015.0</v>
      </c>
      <c r="C6164" s="49" t="s">
        <v>78</v>
      </c>
      <c r="D6164" s="49">
        <v>0.0</v>
      </c>
    </row>
    <row r="6165" ht="15.0" hidden="1" customHeight="1">
      <c r="A6165" s="49" t="s">
        <v>749</v>
      </c>
      <c r="B6165" s="50">
        <v>45015.0</v>
      </c>
      <c r="C6165" s="49" t="s">
        <v>78</v>
      </c>
      <c r="D6165" s="49">
        <v>0.0</v>
      </c>
    </row>
    <row r="6166" ht="15.0" customHeight="1">
      <c r="A6166" s="49" t="s">
        <v>776</v>
      </c>
      <c r="B6166" s="50">
        <v>45015.0</v>
      </c>
      <c r="C6166" s="49" t="s">
        <v>69</v>
      </c>
      <c r="D6166" s="49">
        <v>0.0</v>
      </c>
    </row>
    <row r="6167" ht="15.0" hidden="1" customHeight="1">
      <c r="A6167" s="49" t="s">
        <v>778</v>
      </c>
      <c r="B6167" s="50">
        <v>45015.0</v>
      </c>
      <c r="C6167" s="49" t="s">
        <v>69</v>
      </c>
      <c r="D6167" s="49">
        <v>0.0</v>
      </c>
    </row>
    <row r="6168" ht="15.0" hidden="1" customHeight="1">
      <c r="A6168" s="49" t="s">
        <v>92</v>
      </c>
      <c r="B6168" s="50">
        <v>45015.0</v>
      </c>
      <c r="C6168" s="49" t="s">
        <v>69</v>
      </c>
      <c r="D6168" s="49">
        <v>0.0</v>
      </c>
    </row>
    <row r="6169" ht="15.0" hidden="1" customHeight="1">
      <c r="A6169" s="49" t="s">
        <v>97</v>
      </c>
      <c r="B6169" s="50">
        <v>45015.0</v>
      </c>
      <c r="C6169" s="49" t="s">
        <v>69</v>
      </c>
      <c r="D6169" s="49">
        <v>0.0</v>
      </c>
    </row>
    <row r="6170" ht="15.0" hidden="1" customHeight="1">
      <c r="A6170" s="49" t="s">
        <v>102</v>
      </c>
      <c r="B6170" s="50">
        <v>45015.0</v>
      </c>
      <c r="C6170" s="49" t="s">
        <v>69</v>
      </c>
      <c r="D6170" s="49">
        <v>0.0</v>
      </c>
    </row>
    <row r="6171" ht="15.0" hidden="1" customHeight="1">
      <c r="A6171" s="49" t="s">
        <v>106</v>
      </c>
      <c r="B6171" s="50">
        <v>45015.0</v>
      </c>
      <c r="C6171" s="49" t="s">
        <v>69</v>
      </c>
      <c r="D6171" s="49">
        <v>0.0</v>
      </c>
    </row>
    <row r="6172" ht="15.0" hidden="1" customHeight="1">
      <c r="A6172" s="49" t="s">
        <v>111</v>
      </c>
      <c r="B6172" s="50">
        <v>45015.0</v>
      </c>
      <c r="C6172" s="49" t="s">
        <v>69</v>
      </c>
      <c r="D6172" s="49">
        <v>0.0</v>
      </c>
    </row>
    <row r="6173" ht="15.0" hidden="1" customHeight="1">
      <c r="A6173" s="49" t="s">
        <v>116</v>
      </c>
      <c r="B6173" s="50">
        <v>45015.0</v>
      </c>
      <c r="C6173" s="49" t="s">
        <v>69</v>
      </c>
      <c r="D6173" s="49">
        <v>0.0</v>
      </c>
    </row>
    <row r="6174" ht="15.0" hidden="1" customHeight="1">
      <c r="A6174" s="49" t="s">
        <v>120</v>
      </c>
      <c r="B6174" s="50">
        <v>45015.0</v>
      </c>
      <c r="C6174" s="49" t="s">
        <v>69</v>
      </c>
      <c r="D6174" s="49">
        <v>1157222.22</v>
      </c>
    </row>
    <row r="6175" ht="15.0" hidden="1" customHeight="1">
      <c r="A6175" s="49" t="s">
        <v>125</v>
      </c>
      <c r="B6175" s="50">
        <v>45015.0</v>
      </c>
      <c r="C6175" s="49" t="s">
        <v>69</v>
      </c>
      <c r="D6175" s="49">
        <v>0.0</v>
      </c>
    </row>
    <row r="6176" ht="15.0" hidden="1" customHeight="1">
      <c r="A6176" s="49" t="s">
        <v>130</v>
      </c>
      <c r="B6176" s="50">
        <v>45015.0</v>
      </c>
      <c r="C6176" s="49" t="s">
        <v>69</v>
      </c>
      <c r="D6176" s="49">
        <v>0.0</v>
      </c>
    </row>
    <row r="6177" ht="15.0" hidden="1" customHeight="1">
      <c r="A6177" s="49" t="s">
        <v>137</v>
      </c>
      <c r="B6177" s="50">
        <v>45015.0</v>
      </c>
      <c r="C6177" s="49" t="s">
        <v>69</v>
      </c>
      <c r="D6177" s="49">
        <v>0.0</v>
      </c>
    </row>
    <row r="6178" ht="15.0" hidden="1" customHeight="1">
      <c r="A6178" s="49" t="s">
        <v>142</v>
      </c>
      <c r="B6178" s="50">
        <v>45015.0</v>
      </c>
      <c r="C6178" s="49" t="s">
        <v>69</v>
      </c>
      <c r="D6178" s="49">
        <v>0.0</v>
      </c>
    </row>
    <row r="6179" ht="15.0" hidden="1" customHeight="1">
      <c r="A6179" s="49" t="s">
        <v>147</v>
      </c>
      <c r="B6179" s="50">
        <v>45015.0</v>
      </c>
      <c r="C6179" s="49" t="s">
        <v>69</v>
      </c>
      <c r="D6179" s="49">
        <v>0.0</v>
      </c>
    </row>
    <row r="6180" ht="15.0" hidden="1" customHeight="1">
      <c r="A6180" s="49" t="s">
        <v>152</v>
      </c>
      <c r="B6180" s="50">
        <v>45015.0</v>
      </c>
      <c r="C6180" s="49" t="s">
        <v>69</v>
      </c>
      <c r="D6180" s="49">
        <v>0.0</v>
      </c>
    </row>
    <row r="6181" ht="15.0" hidden="1" customHeight="1">
      <c r="A6181" s="49" t="s">
        <v>157</v>
      </c>
      <c r="B6181" s="50">
        <v>45015.0</v>
      </c>
      <c r="C6181" s="49" t="s">
        <v>69</v>
      </c>
      <c r="D6181" s="49">
        <v>0.0</v>
      </c>
    </row>
    <row r="6182" ht="15.0" hidden="1" customHeight="1">
      <c r="A6182" s="49" t="s">
        <v>162</v>
      </c>
      <c r="B6182" s="50">
        <v>45015.0</v>
      </c>
      <c r="C6182" s="49" t="s">
        <v>69</v>
      </c>
      <c r="D6182" s="49">
        <v>712375.0</v>
      </c>
    </row>
    <row r="6183" ht="15.0" hidden="1" customHeight="1">
      <c r="A6183" s="49" t="s">
        <v>167</v>
      </c>
      <c r="B6183" s="50">
        <v>45015.0</v>
      </c>
      <c r="C6183" s="49" t="s">
        <v>69</v>
      </c>
      <c r="D6183" s="49">
        <v>0.0</v>
      </c>
    </row>
    <row r="6184" ht="15.0" hidden="1" customHeight="1">
      <c r="A6184" s="49" t="s">
        <v>172</v>
      </c>
      <c r="B6184" s="50">
        <v>45015.0</v>
      </c>
      <c r="C6184" s="49" t="s">
        <v>69</v>
      </c>
      <c r="D6184" s="49">
        <v>0.0</v>
      </c>
    </row>
    <row r="6185" ht="15.0" hidden="1" customHeight="1">
      <c r="A6185" s="49" t="s">
        <v>177</v>
      </c>
      <c r="B6185" s="50">
        <v>45015.0</v>
      </c>
      <c r="C6185" s="49" t="s">
        <v>69</v>
      </c>
      <c r="D6185" s="49">
        <v>1525600.0</v>
      </c>
    </row>
    <row r="6186" ht="15.0" hidden="1" customHeight="1">
      <c r="A6186" s="49" t="s">
        <v>182</v>
      </c>
      <c r="B6186" s="50">
        <v>45015.0</v>
      </c>
      <c r="C6186" s="49" t="s">
        <v>69</v>
      </c>
      <c r="D6186" s="49">
        <v>0.0</v>
      </c>
    </row>
    <row r="6187" ht="15.0" hidden="1" customHeight="1">
      <c r="A6187" s="49" t="s">
        <v>187</v>
      </c>
      <c r="B6187" s="50">
        <v>45015.0</v>
      </c>
      <c r="C6187" s="49" t="s">
        <v>69</v>
      </c>
      <c r="D6187" s="49">
        <v>0.0</v>
      </c>
    </row>
    <row r="6188" ht="15.0" hidden="1" customHeight="1">
      <c r="A6188" s="49" t="s">
        <v>192</v>
      </c>
      <c r="B6188" s="50">
        <v>45015.0</v>
      </c>
      <c r="C6188" s="49" t="s">
        <v>69</v>
      </c>
      <c r="D6188" s="49">
        <v>0.0</v>
      </c>
    </row>
    <row r="6189" ht="15.0" hidden="1" customHeight="1">
      <c r="A6189" s="49" t="s">
        <v>197</v>
      </c>
      <c r="B6189" s="50">
        <v>45015.0</v>
      </c>
      <c r="C6189" s="49" t="s">
        <v>69</v>
      </c>
      <c r="D6189" s="49">
        <v>0.0</v>
      </c>
    </row>
    <row r="6190" ht="15.0" hidden="1" customHeight="1">
      <c r="A6190" s="49" t="s">
        <v>202</v>
      </c>
      <c r="B6190" s="50">
        <v>45015.0</v>
      </c>
      <c r="C6190" s="49" t="s">
        <v>69</v>
      </c>
      <c r="D6190" s="49">
        <v>0.0</v>
      </c>
    </row>
    <row r="6191" ht="15.0" hidden="1" customHeight="1">
      <c r="A6191" s="49" t="s">
        <v>206</v>
      </c>
      <c r="B6191" s="50">
        <v>45015.0</v>
      </c>
      <c r="C6191" s="49" t="s">
        <v>69</v>
      </c>
      <c r="D6191" s="49">
        <v>0.0</v>
      </c>
    </row>
    <row r="6192" ht="15.0" hidden="1" customHeight="1">
      <c r="A6192" s="49" t="s">
        <v>211</v>
      </c>
      <c r="B6192" s="50">
        <v>45015.0</v>
      </c>
      <c r="C6192" s="49" t="s">
        <v>69</v>
      </c>
      <c r="D6192" s="49">
        <v>0.0</v>
      </c>
    </row>
    <row r="6193" ht="15.0" hidden="1" customHeight="1">
      <c r="A6193" s="49" t="s">
        <v>779</v>
      </c>
      <c r="B6193" s="50">
        <v>45015.0</v>
      </c>
      <c r="C6193" s="49" t="s">
        <v>69</v>
      </c>
      <c r="D6193" s="49">
        <v>0.0</v>
      </c>
    </row>
    <row r="6194" ht="15.0" hidden="1" customHeight="1">
      <c r="A6194" s="49" t="s">
        <v>221</v>
      </c>
      <c r="B6194" s="50">
        <v>45015.0</v>
      </c>
      <c r="C6194" s="49" t="s">
        <v>69</v>
      </c>
      <c r="D6194" s="49">
        <v>0.0</v>
      </c>
    </row>
    <row r="6195" ht="15.0" hidden="1" customHeight="1">
      <c r="A6195" s="49" t="s">
        <v>226</v>
      </c>
      <c r="B6195" s="50">
        <v>45015.0</v>
      </c>
      <c r="C6195" s="49" t="s">
        <v>69</v>
      </c>
      <c r="D6195" s="49">
        <v>200000.0</v>
      </c>
    </row>
    <row r="6196" ht="15.0" hidden="1" customHeight="1">
      <c r="A6196" s="49" t="s">
        <v>231</v>
      </c>
      <c r="B6196" s="50">
        <v>45015.0</v>
      </c>
      <c r="C6196" s="49" t="s">
        <v>69</v>
      </c>
      <c r="D6196" s="49">
        <v>0.0</v>
      </c>
    </row>
    <row r="6197" ht="15.0" hidden="1" customHeight="1">
      <c r="A6197" s="49" t="s">
        <v>236</v>
      </c>
      <c r="B6197" s="50">
        <v>45015.0</v>
      </c>
      <c r="C6197" s="49" t="s">
        <v>69</v>
      </c>
      <c r="D6197" s="49">
        <v>0.0</v>
      </c>
    </row>
    <row r="6198" ht="15.0" hidden="1" customHeight="1">
      <c r="A6198" s="49" t="s">
        <v>242</v>
      </c>
      <c r="B6198" s="50">
        <v>45015.0</v>
      </c>
      <c r="C6198" s="49" t="s">
        <v>69</v>
      </c>
      <c r="D6198" s="49">
        <v>2000000.0</v>
      </c>
    </row>
    <row r="6199" ht="15.0" hidden="1" customHeight="1">
      <c r="A6199" s="49" t="s">
        <v>248</v>
      </c>
      <c r="B6199" s="50">
        <v>45015.0</v>
      </c>
      <c r="C6199" s="49" t="s">
        <v>69</v>
      </c>
      <c r="D6199" s="49">
        <v>1428000.0</v>
      </c>
    </row>
    <row r="6200" ht="15.0" hidden="1" customHeight="1">
      <c r="A6200" s="49" t="s">
        <v>253</v>
      </c>
      <c r="B6200" s="50">
        <v>45015.0</v>
      </c>
      <c r="C6200" s="49" t="s">
        <v>69</v>
      </c>
      <c r="D6200" s="49">
        <v>588549.5</v>
      </c>
    </row>
    <row r="6201" ht="15.0" hidden="1" customHeight="1">
      <c r="A6201" s="49" t="s">
        <v>258</v>
      </c>
      <c r="B6201" s="50">
        <v>45015.0</v>
      </c>
      <c r="C6201" s="49" t="s">
        <v>69</v>
      </c>
      <c r="D6201" s="49">
        <v>0.0</v>
      </c>
    </row>
    <row r="6202" ht="15.0" hidden="1" customHeight="1">
      <c r="A6202" s="49" t="s">
        <v>263</v>
      </c>
      <c r="B6202" s="50">
        <v>45015.0</v>
      </c>
      <c r="C6202" s="49" t="s">
        <v>69</v>
      </c>
      <c r="D6202" s="49">
        <v>0.0</v>
      </c>
    </row>
    <row r="6203" ht="15.0" hidden="1" customHeight="1">
      <c r="A6203" s="49" t="s">
        <v>268</v>
      </c>
      <c r="B6203" s="50">
        <v>45015.0</v>
      </c>
      <c r="C6203" s="49" t="s">
        <v>69</v>
      </c>
      <c r="D6203" s="49">
        <v>318500.0</v>
      </c>
    </row>
    <row r="6204" ht="15.0" hidden="1" customHeight="1">
      <c r="A6204" s="49" t="s">
        <v>273</v>
      </c>
      <c r="B6204" s="50">
        <v>45015.0</v>
      </c>
      <c r="C6204" s="49" t="s">
        <v>69</v>
      </c>
      <c r="D6204" s="49">
        <v>0.0</v>
      </c>
    </row>
    <row r="6205" ht="15.0" hidden="1" customHeight="1">
      <c r="A6205" s="49" t="s">
        <v>278</v>
      </c>
      <c r="B6205" s="50">
        <v>45015.0</v>
      </c>
      <c r="C6205" s="49" t="s">
        <v>69</v>
      </c>
      <c r="D6205" s="49">
        <v>200000.0</v>
      </c>
    </row>
    <row r="6206" ht="15.0" hidden="1" customHeight="1">
      <c r="A6206" s="49" t="s">
        <v>283</v>
      </c>
      <c r="B6206" s="50">
        <v>45015.0</v>
      </c>
      <c r="C6206" s="49" t="s">
        <v>69</v>
      </c>
      <c r="D6206" s="49">
        <v>35000.0</v>
      </c>
    </row>
    <row r="6207" ht="15.0" hidden="1" customHeight="1">
      <c r="A6207" s="49" t="s">
        <v>288</v>
      </c>
      <c r="B6207" s="50">
        <v>45015.0</v>
      </c>
      <c r="C6207" s="49" t="s">
        <v>69</v>
      </c>
      <c r="D6207" s="49">
        <v>0.0</v>
      </c>
    </row>
    <row r="6208" ht="15.0" hidden="1" customHeight="1">
      <c r="A6208" s="49" t="s">
        <v>293</v>
      </c>
      <c r="B6208" s="50">
        <v>45015.0</v>
      </c>
      <c r="C6208" s="49" t="s">
        <v>69</v>
      </c>
      <c r="D6208" s="49">
        <v>110000.0</v>
      </c>
    </row>
    <row r="6209" ht="15.0" hidden="1" customHeight="1">
      <c r="A6209" s="49" t="s">
        <v>298</v>
      </c>
      <c r="B6209" s="50">
        <v>45015.0</v>
      </c>
      <c r="C6209" s="49" t="s">
        <v>69</v>
      </c>
      <c r="D6209" s="49">
        <v>200000.0</v>
      </c>
    </row>
    <row r="6210" ht="15.0" hidden="1" customHeight="1">
      <c r="A6210" s="49" t="s">
        <v>303</v>
      </c>
      <c r="B6210" s="50">
        <v>45015.0</v>
      </c>
      <c r="C6210" s="49" t="s">
        <v>69</v>
      </c>
      <c r="D6210" s="49">
        <v>0.0</v>
      </c>
    </row>
    <row r="6211" ht="15.0" hidden="1" customHeight="1">
      <c r="A6211" s="49" t="s">
        <v>307</v>
      </c>
      <c r="B6211" s="50">
        <v>45015.0</v>
      </c>
      <c r="C6211" s="49" t="s">
        <v>69</v>
      </c>
      <c r="D6211" s="49">
        <v>370249.43</v>
      </c>
    </row>
    <row r="6212" ht="15.0" hidden="1" customHeight="1">
      <c r="A6212" s="49" t="s">
        <v>313</v>
      </c>
      <c r="B6212" s="50">
        <v>45015.0</v>
      </c>
      <c r="C6212" s="49" t="s">
        <v>69</v>
      </c>
      <c r="D6212" s="49">
        <v>1000000.0</v>
      </c>
    </row>
    <row r="6213" ht="15.0" hidden="1" customHeight="1">
      <c r="A6213" s="49" t="s">
        <v>318</v>
      </c>
      <c r="B6213" s="50">
        <v>45015.0</v>
      </c>
      <c r="C6213" s="49" t="s">
        <v>69</v>
      </c>
      <c r="D6213" s="49">
        <v>90000.0</v>
      </c>
    </row>
    <row r="6214" ht="15.0" hidden="1" customHeight="1">
      <c r="A6214" s="49" t="s">
        <v>323</v>
      </c>
      <c r="B6214" s="50">
        <v>45015.0</v>
      </c>
      <c r="C6214" s="49" t="s">
        <v>69</v>
      </c>
      <c r="D6214" s="49">
        <v>650000.0</v>
      </c>
    </row>
    <row r="6215" ht="15.0" hidden="1" customHeight="1">
      <c r="A6215" s="49" t="s">
        <v>328</v>
      </c>
      <c r="B6215" s="50">
        <v>45015.0</v>
      </c>
      <c r="C6215" s="49" t="s">
        <v>69</v>
      </c>
      <c r="D6215" s="49">
        <v>514000.0</v>
      </c>
    </row>
    <row r="6216" ht="15.0" hidden="1" customHeight="1">
      <c r="A6216" s="49" t="s">
        <v>335</v>
      </c>
      <c r="B6216" s="50">
        <v>45015.0</v>
      </c>
      <c r="C6216" s="49" t="s">
        <v>69</v>
      </c>
      <c r="D6216" s="49">
        <v>0.0</v>
      </c>
    </row>
    <row r="6217" ht="15.0" hidden="1" customHeight="1">
      <c r="A6217" s="49" t="s">
        <v>340</v>
      </c>
      <c r="B6217" s="50">
        <v>45015.0</v>
      </c>
      <c r="C6217" s="49" t="s">
        <v>69</v>
      </c>
      <c r="D6217" s="49">
        <v>700000.0</v>
      </c>
    </row>
    <row r="6218" ht="15.0" hidden="1" customHeight="1">
      <c r="A6218" s="49" t="s">
        <v>345</v>
      </c>
      <c r="B6218" s="50">
        <v>45015.0</v>
      </c>
      <c r="C6218" s="49" t="s">
        <v>69</v>
      </c>
      <c r="D6218" s="49">
        <v>0.0</v>
      </c>
    </row>
    <row r="6219" ht="15.0" hidden="1" customHeight="1">
      <c r="A6219" s="49" t="s">
        <v>350</v>
      </c>
      <c r="B6219" s="50">
        <v>45015.0</v>
      </c>
      <c r="C6219" s="49" t="s">
        <v>69</v>
      </c>
      <c r="D6219" s="49">
        <v>1084000.0</v>
      </c>
    </row>
    <row r="6220" ht="15.0" hidden="1" customHeight="1">
      <c r="A6220" s="49" t="s">
        <v>355</v>
      </c>
      <c r="B6220" s="50">
        <v>45015.0</v>
      </c>
      <c r="C6220" s="49" t="s">
        <v>69</v>
      </c>
      <c r="D6220" s="49">
        <v>1108000.0</v>
      </c>
    </row>
    <row r="6221" ht="15.0" hidden="1" customHeight="1">
      <c r="A6221" s="49" t="s">
        <v>360</v>
      </c>
      <c r="B6221" s="50">
        <v>45015.0</v>
      </c>
      <c r="C6221" s="49" t="s">
        <v>69</v>
      </c>
      <c r="D6221" s="49">
        <v>361000.0</v>
      </c>
    </row>
    <row r="6222" ht="15.0" hidden="1" customHeight="1">
      <c r="A6222" s="49" t="s">
        <v>365</v>
      </c>
      <c r="B6222" s="50">
        <v>45015.0</v>
      </c>
      <c r="C6222" s="49" t="s">
        <v>69</v>
      </c>
      <c r="D6222" s="49">
        <v>0.0</v>
      </c>
    </row>
    <row r="6223" ht="15.0" hidden="1" customHeight="1">
      <c r="A6223" s="49" t="s">
        <v>370</v>
      </c>
      <c r="B6223" s="50">
        <v>45015.0</v>
      </c>
      <c r="C6223" s="49" t="s">
        <v>69</v>
      </c>
      <c r="D6223" s="49">
        <v>0.0</v>
      </c>
    </row>
    <row r="6224" ht="15.0" hidden="1" customHeight="1">
      <c r="A6224" s="49" t="s">
        <v>375</v>
      </c>
      <c r="B6224" s="50">
        <v>45015.0</v>
      </c>
      <c r="C6224" s="49" t="s">
        <v>69</v>
      </c>
      <c r="D6224" s="49">
        <v>0.0</v>
      </c>
    </row>
    <row r="6225" ht="15.0" hidden="1" customHeight="1">
      <c r="A6225" s="49" t="s">
        <v>380</v>
      </c>
      <c r="B6225" s="50">
        <v>45015.0</v>
      </c>
      <c r="C6225" s="49" t="s">
        <v>69</v>
      </c>
      <c r="D6225" s="49">
        <v>0.0</v>
      </c>
    </row>
    <row r="6226" ht="15.0" hidden="1" customHeight="1">
      <c r="A6226" s="49" t="s">
        <v>385</v>
      </c>
      <c r="B6226" s="50">
        <v>45015.0</v>
      </c>
      <c r="C6226" s="49" t="s">
        <v>69</v>
      </c>
      <c r="D6226" s="49">
        <v>0.0</v>
      </c>
    </row>
    <row r="6227" ht="15.0" hidden="1" customHeight="1">
      <c r="A6227" s="49" t="s">
        <v>390</v>
      </c>
      <c r="B6227" s="50">
        <v>45015.0</v>
      </c>
      <c r="C6227" s="49" t="s">
        <v>69</v>
      </c>
      <c r="D6227" s="49">
        <v>0.0</v>
      </c>
    </row>
    <row r="6228" ht="15.0" hidden="1" customHeight="1">
      <c r="A6228" s="49" t="s">
        <v>395</v>
      </c>
      <c r="B6228" s="50">
        <v>45015.0</v>
      </c>
      <c r="C6228" s="49" t="s">
        <v>69</v>
      </c>
      <c r="D6228" s="49">
        <v>0.0</v>
      </c>
    </row>
    <row r="6229" ht="15.0" hidden="1" customHeight="1">
      <c r="A6229" s="49" t="s">
        <v>400</v>
      </c>
      <c r="B6229" s="50">
        <v>45015.0</v>
      </c>
      <c r="C6229" s="49" t="s">
        <v>69</v>
      </c>
      <c r="D6229" s="49">
        <v>0.0</v>
      </c>
    </row>
    <row r="6230" ht="15.0" hidden="1" customHeight="1">
      <c r="A6230" s="49" t="s">
        <v>405</v>
      </c>
      <c r="B6230" s="50">
        <v>45015.0</v>
      </c>
      <c r="C6230" s="49" t="s">
        <v>69</v>
      </c>
      <c r="D6230" s="49">
        <v>0.0</v>
      </c>
    </row>
    <row r="6231" ht="15.0" hidden="1" customHeight="1">
      <c r="A6231" s="49" t="s">
        <v>410</v>
      </c>
      <c r="B6231" s="50">
        <v>45015.0</v>
      </c>
      <c r="C6231" s="49" t="s">
        <v>69</v>
      </c>
      <c r="D6231" s="49">
        <v>0.0</v>
      </c>
    </row>
    <row r="6232" ht="15.0" hidden="1" customHeight="1">
      <c r="A6232" s="49" t="s">
        <v>415</v>
      </c>
      <c r="B6232" s="50">
        <v>45015.0</v>
      </c>
      <c r="C6232" s="49" t="s">
        <v>69</v>
      </c>
      <c r="D6232" s="49">
        <v>0.0</v>
      </c>
    </row>
    <row r="6233" ht="15.0" hidden="1" customHeight="1">
      <c r="A6233" s="49" t="s">
        <v>420</v>
      </c>
      <c r="B6233" s="50">
        <v>45015.0</v>
      </c>
      <c r="C6233" s="49" t="s">
        <v>69</v>
      </c>
      <c r="D6233" s="49">
        <v>0.0</v>
      </c>
    </row>
    <row r="6234" ht="15.0" hidden="1" customHeight="1">
      <c r="A6234" s="49" t="s">
        <v>425</v>
      </c>
      <c r="B6234" s="50">
        <v>45015.0</v>
      </c>
      <c r="C6234" s="49" t="s">
        <v>69</v>
      </c>
      <c r="D6234" s="49">
        <v>0.0</v>
      </c>
    </row>
    <row r="6235" ht="15.0" hidden="1" customHeight="1">
      <c r="A6235" s="49" t="s">
        <v>430</v>
      </c>
      <c r="B6235" s="50">
        <v>45015.0</v>
      </c>
      <c r="C6235" s="49" t="s">
        <v>69</v>
      </c>
      <c r="D6235" s="49">
        <v>0.0</v>
      </c>
    </row>
    <row r="6236" ht="15.0" hidden="1" customHeight="1">
      <c r="A6236" s="49" t="s">
        <v>434</v>
      </c>
      <c r="B6236" s="50">
        <v>45015.0</v>
      </c>
      <c r="C6236" s="49" t="s">
        <v>69</v>
      </c>
      <c r="D6236" s="49">
        <v>0.0</v>
      </c>
    </row>
    <row r="6237" ht="15.0" hidden="1" customHeight="1">
      <c r="A6237" s="49" t="s">
        <v>439</v>
      </c>
      <c r="B6237" s="50">
        <v>45015.0</v>
      </c>
      <c r="C6237" s="49" t="s">
        <v>69</v>
      </c>
      <c r="D6237" s="49">
        <v>0.0</v>
      </c>
    </row>
    <row r="6238" ht="15.0" hidden="1" customHeight="1">
      <c r="A6238" s="49" t="s">
        <v>444</v>
      </c>
      <c r="B6238" s="50">
        <v>45015.0</v>
      </c>
      <c r="C6238" s="49" t="s">
        <v>69</v>
      </c>
      <c r="D6238" s="49">
        <v>0.0</v>
      </c>
    </row>
    <row r="6239" ht="15.0" hidden="1" customHeight="1">
      <c r="A6239" s="49" t="s">
        <v>449</v>
      </c>
      <c r="B6239" s="50">
        <v>45015.0</v>
      </c>
      <c r="C6239" s="49" t="s">
        <v>69</v>
      </c>
      <c r="D6239" s="49">
        <v>0.0</v>
      </c>
    </row>
    <row r="6240" ht="15.0" hidden="1" customHeight="1">
      <c r="A6240" s="49" t="s">
        <v>455</v>
      </c>
      <c r="B6240" s="50">
        <v>45015.0</v>
      </c>
      <c r="C6240" s="49" t="s">
        <v>69</v>
      </c>
      <c r="D6240" s="49">
        <v>0.0</v>
      </c>
    </row>
    <row r="6241" ht="15.0" hidden="1" customHeight="1">
      <c r="A6241" s="49" t="s">
        <v>470</v>
      </c>
      <c r="B6241" s="50">
        <v>45015.0</v>
      </c>
      <c r="C6241" s="49" t="s">
        <v>69</v>
      </c>
      <c r="D6241" s="49">
        <v>0.0</v>
      </c>
    </row>
    <row r="6242" ht="15.0" hidden="1" customHeight="1">
      <c r="A6242" s="49" t="s">
        <v>476</v>
      </c>
      <c r="B6242" s="50">
        <v>45015.0</v>
      </c>
      <c r="C6242" s="49" t="s">
        <v>69</v>
      </c>
      <c r="D6242" s="49">
        <v>0.0</v>
      </c>
    </row>
    <row r="6243" ht="15.0" hidden="1" customHeight="1">
      <c r="A6243" s="49" t="s">
        <v>481</v>
      </c>
      <c r="B6243" s="50">
        <v>45015.0</v>
      </c>
      <c r="C6243" s="49" t="s">
        <v>69</v>
      </c>
      <c r="D6243" s="49">
        <v>0.0</v>
      </c>
    </row>
    <row r="6244" ht="15.0" hidden="1" customHeight="1">
      <c r="A6244" s="49" t="s">
        <v>486</v>
      </c>
      <c r="B6244" s="50">
        <v>45015.0</v>
      </c>
      <c r="C6244" s="49" t="s">
        <v>69</v>
      </c>
      <c r="D6244" s="49">
        <v>0.0</v>
      </c>
    </row>
    <row r="6245" ht="15.0" hidden="1" customHeight="1">
      <c r="A6245" s="49" t="s">
        <v>491</v>
      </c>
      <c r="B6245" s="50">
        <v>45015.0</v>
      </c>
      <c r="C6245" s="49" t="s">
        <v>69</v>
      </c>
      <c r="D6245" s="49">
        <v>0.0</v>
      </c>
    </row>
    <row r="6246" ht="15.0" hidden="1" customHeight="1">
      <c r="A6246" s="49" t="s">
        <v>496</v>
      </c>
      <c r="B6246" s="50">
        <v>45015.0</v>
      </c>
      <c r="C6246" s="49" t="s">
        <v>69</v>
      </c>
      <c r="D6246" s="49">
        <v>0.0</v>
      </c>
    </row>
    <row r="6247" ht="15.0" hidden="1" customHeight="1">
      <c r="A6247" s="49" t="s">
        <v>501</v>
      </c>
      <c r="B6247" s="50">
        <v>45015.0</v>
      </c>
      <c r="C6247" s="49" t="s">
        <v>69</v>
      </c>
      <c r="D6247" s="49">
        <v>0.0</v>
      </c>
    </row>
    <row r="6248" ht="15.0" hidden="1" customHeight="1">
      <c r="A6248" s="49" t="s">
        <v>506</v>
      </c>
      <c r="B6248" s="50">
        <v>45015.0</v>
      </c>
      <c r="C6248" s="49" t="s">
        <v>69</v>
      </c>
      <c r="D6248" s="49">
        <v>0.0</v>
      </c>
    </row>
    <row r="6249" ht="15.0" hidden="1" customHeight="1">
      <c r="A6249" s="49" t="s">
        <v>512</v>
      </c>
      <c r="B6249" s="50">
        <v>45015.0</v>
      </c>
      <c r="C6249" s="49" t="s">
        <v>69</v>
      </c>
      <c r="D6249" s="49">
        <v>0.0</v>
      </c>
    </row>
    <row r="6250" ht="15.0" hidden="1" customHeight="1">
      <c r="A6250" s="49" t="s">
        <v>517</v>
      </c>
      <c r="B6250" s="50">
        <v>45015.0</v>
      </c>
      <c r="C6250" s="49" t="s">
        <v>69</v>
      </c>
      <c r="D6250" s="49">
        <v>0.0</v>
      </c>
    </row>
    <row r="6251" ht="15.0" hidden="1" customHeight="1">
      <c r="A6251" s="49" t="s">
        <v>522</v>
      </c>
      <c r="B6251" s="50">
        <v>45015.0</v>
      </c>
      <c r="C6251" s="49" t="s">
        <v>69</v>
      </c>
      <c r="D6251" s="49">
        <v>0.0</v>
      </c>
    </row>
    <row r="6252" ht="15.0" hidden="1" customHeight="1">
      <c r="A6252" s="49" t="s">
        <v>528</v>
      </c>
      <c r="B6252" s="50">
        <v>45015.0</v>
      </c>
      <c r="C6252" s="49" t="s">
        <v>69</v>
      </c>
      <c r="D6252" s="49">
        <v>0.0</v>
      </c>
    </row>
    <row r="6253" ht="15.0" hidden="1" customHeight="1">
      <c r="A6253" s="49" t="s">
        <v>533</v>
      </c>
      <c r="B6253" s="50">
        <v>45015.0</v>
      </c>
      <c r="C6253" s="49" t="s">
        <v>69</v>
      </c>
      <c r="D6253" s="49">
        <v>0.0</v>
      </c>
    </row>
    <row r="6254" ht="15.0" hidden="1" customHeight="1">
      <c r="A6254" s="49" t="s">
        <v>538</v>
      </c>
      <c r="B6254" s="50">
        <v>45015.0</v>
      </c>
      <c r="C6254" s="49" t="s">
        <v>69</v>
      </c>
      <c r="D6254" s="49">
        <v>0.0</v>
      </c>
    </row>
    <row r="6255" ht="15.0" hidden="1" customHeight="1">
      <c r="A6255" s="49" t="s">
        <v>546</v>
      </c>
      <c r="B6255" s="50">
        <v>45015.0</v>
      </c>
      <c r="C6255" s="49" t="s">
        <v>69</v>
      </c>
      <c r="D6255" s="49">
        <v>0.0</v>
      </c>
    </row>
    <row r="6256" ht="15.0" hidden="1" customHeight="1">
      <c r="A6256" s="49" t="s">
        <v>551</v>
      </c>
      <c r="B6256" s="50">
        <v>45015.0</v>
      </c>
      <c r="C6256" s="49" t="s">
        <v>69</v>
      </c>
      <c r="D6256" s="49">
        <v>0.0</v>
      </c>
    </row>
    <row r="6257" ht="15.0" hidden="1" customHeight="1">
      <c r="A6257" s="49" t="s">
        <v>556</v>
      </c>
      <c r="B6257" s="50">
        <v>45015.0</v>
      </c>
      <c r="C6257" s="49" t="s">
        <v>69</v>
      </c>
      <c r="D6257" s="49">
        <v>0.0</v>
      </c>
    </row>
    <row r="6258" ht="15.0" hidden="1" customHeight="1">
      <c r="A6258" s="49" t="s">
        <v>561</v>
      </c>
      <c r="B6258" s="50">
        <v>45015.0</v>
      </c>
      <c r="C6258" s="49" t="s">
        <v>69</v>
      </c>
      <c r="D6258" s="49">
        <v>0.0</v>
      </c>
    </row>
    <row r="6259" ht="15.0" hidden="1" customHeight="1">
      <c r="A6259" s="49" t="s">
        <v>566</v>
      </c>
      <c r="B6259" s="50">
        <v>45015.0</v>
      </c>
      <c r="C6259" s="49" t="s">
        <v>69</v>
      </c>
      <c r="D6259" s="49">
        <v>0.0</v>
      </c>
    </row>
    <row r="6260" ht="15.0" hidden="1" customHeight="1">
      <c r="A6260" s="49" t="s">
        <v>571</v>
      </c>
      <c r="B6260" s="50">
        <v>45015.0</v>
      </c>
      <c r="C6260" s="49" t="s">
        <v>69</v>
      </c>
      <c r="D6260" s="49">
        <v>0.0</v>
      </c>
    </row>
    <row r="6261" ht="15.0" hidden="1" customHeight="1">
      <c r="A6261" s="49" t="s">
        <v>576</v>
      </c>
      <c r="B6261" s="50">
        <v>45015.0</v>
      </c>
      <c r="C6261" s="49" t="s">
        <v>69</v>
      </c>
      <c r="D6261" s="49">
        <v>0.0</v>
      </c>
    </row>
    <row r="6262" ht="15.0" hidden="1" customHeight="1">
      <c r="A6262" s="49" t="s">
        <v>581</v>
      </c>
      <c r="B6262" s="50">
        <v>45015.0</v>
      </c>
      <c r="C6262" s="49" t="s">
        <v>69</v>
      </c>
      <c r="D6262" s="49">
        <v>0.0</v>
      </c>
    </row>
    <row r="6263" ht="15.0" hidden="1" customHeight="1">
      <c r="A6263" s="49" t="s">
        <v>586</v>
      </c>
      <c r="B6263" s="50">
        <v>45015.0</v>
      </c>
      <c r="C6263" s="49" t="s">
        <v>69</v>
      </c>
      <c r="D6263" s="49">
        <v>0.0</v>
      </c>
    </row>
    <row r="6264" ht="15.0" hidden="1" customHeight="1">
      <c r="A6264" s="49" t="s">
        <v>754</v>
      </c>
      <c r="B6264" s="50">
        <v>45015.0</v>
      </c>
      <c r="C6264" s="49" t="s">
        <v>69</v>
      </c>
      <c r="D6264" s="49">
        <v>0.0</v>
      </c>
    </row>
    <row r="6265" ht="15.0" hidden="1" customHeight="1">
      <c r="A6265" s="49" t="s">
        <v>591</v>
      </c>
      <c r="B6265" s="50">
        <v>45015.0</v>
      </c>
      <c r="C6265" s="49" t="s">
        <v>69</v>
      </c>
      <c r="D6265" s="49">
        <v>0.0</v>
      </c>
    </row>
    <row r="6266" ht="15.0" hidden="1" customHeight="1">
      <c r="A6266" s="49" t="s">
        <v>759</v>
      </c>
      <c r="B6266" s="50">
        <v>45015.0</v>
      </c>
      <c r="C6266" s="49" t="s">
        <v>69</v>
      </c>
      <c r="D6266" s="49">
        <v>0.0</v>
      </c>
    </row>
    <row r="6267" ht="15.0" hidden="1" customHeight="1">
      <c r="A6267" s="49" t="s">
        <v>596</v>
      </c>
      <c r="B6267" s="50">
        <v>45015.0</v>
      </c>
      <c r="C6267" s="49" t="s">
        <v>69</v>
      </c>
      <c r="D6267" s="49">
        <v>0.0</v>
      </c>
    </row>
    <row r="6268" ht="15.0" hidden="1" customHeight="1">
      <c r="A6268" s="49" t="s">
        <v>602</v>
      </c>
      <c r="B6268" s="50">
        <v>45015.0</v>
      </c>
      <c r="C6268" s="49" t="s">
        <v>69</v>
      </c>
      <c r="D6268" s="49">
        <v>0.0</v>
      </c>
    </row>
    <row r="6269" ht="15.0" hidden="1" customHeight="1">
      <c r="A6269" s="49" t="s">
        <v>607</v>
      </c>
      <c r="B6269" s="50">
        <v>45015.0</v>
      </c>
      <c r="C6269" s="49" t="s">
        <v>69</v>
      </c>
      <c r="D6269" s="49">
        <v>0.0</v>
      </c>
    </row>
    <row r="6270" ht="15.0" hidden="1" customHeight="1">
      <c r="A6270" s="49" t="s">
        <v>612</v>
      </c>
      <c r="B6270" s="50">
        <v>45015.0</v>
      </c>
      <c r="C6270" s="49" t="s">
        <v>69</v>
      </c>
      <c r="D6270" s="49">
        <v>0.0</v>
      </c>
    </row>
    <row r="6271" ht="15.0" hidden="1" customHeight="1">
      <c r="A6271" s="49" t="s">
        <v>617</v>
      </c>
      <c r="B6271" s="50">
        <v>45015.0</v>
      </c>
      <c r="C6271" s="49" t="s">
        <v>69</v>
      </c>
      <c r="D6271" s="49">
        <v>0.0</v>
      </c>
    </row>
    <row r="6272" ht="15.0" hidden="1" customHeight="1">
      <c r="A6272" s="49" t="s">
        <v>622</v>
      </c>
      <c r="B6272" s="50">
        <v>45015.0</v>
      </c>
      <c r="C6272" s="49" t="s">
        <v>69</v>
      </c>
      <c r="D6272" s="49">
        <v>0.0</v>
      </c>
    </row>
    <row r="6273" ht="15.0" hidden="1" customHeight="1">
      <c r="A6273" s="49" t="s">
        <v>627</v>
      </c>
      <c r="B6273" s="50">
        <v>45015.0</v>
      </c>
      <c r="C6273" s="49" t="s">
        <v>69</v>
      </c>
      <c r="D6273" s="49">
        <v>0.0</v>
      </c>
    </row>
    <row r="6274" ht="15.0" hidden="1" customHeight="1">
      <c r="A6274" s="49" t="s">
        <v>631</v>
      </c>
      <c r="B6274" s="50">
        <v>45015.0</v>
      </c>
      <c r="C6274" s="49" t="s">
        <v>69</v>
      </c>
      <c r="D6274" s="49">
        <v>0.0</v>
      </c>
    </row>
    <row r="6275" ht="15.0" hidden="1" customHeight="1">
      <c r="A6275" s="49" t="s">
        <v>636</v>
      </c>
      <c r="B6275" s="50">
        <v>45015.0</v>
      </c>
      <c r="C6275" s="49" t="s">
        <v>69</v>
      </c>
      <c r="D6275" s="49">
        <v>0.0</v>
      </c>
    </row>
    <row r="6276" ht="15.0" hidden="1" customHeight="1">
      <c r="A6276" s="49" t="s">
        <v>640</v>
      </c>
      <c r="B6276" s="50">
        <v>45015.0</v>
      </c>
      <c r="C6276" s="49" t="s">
        <v>69</v>
      </c>
      <c r="D6276" s="49">
        <v>0.0</v>
      </c>
    </row>
    <row r="6277" ht="15.0" hidden="1" customHeight="1">
      <c r="A6277" s="49" t="s">
        <v>644</v>
      </c>
      <c r="B6277" s="50">
        <v>45015.0</v>
      </c>
      <c r="C6277" s="49" t="s">
        <v>69</v>
      </c>
      <c r="D6277" s="49">
        <v>0.0</v>
      </c>
    </row>
    <row r="6278" ht="15.0" hidden="1" customHeight="1">
      <c r="A6278" s="49" t="s">
        <v>649</v>
      </c>
      <c r="B6278" s="50">
        <v>45015.0</v>
      </c>
      <c r="C6278" s="49" t="s">
        <v>69</v>
      </c>
      <c r="D6278" s="49">
        <v>0.0</v>
      </c>
    </row>
    <row r="6279" ht="15.0" hidden="1" customHeight="1">
      <c r="A6279" s="49" t="s">
        <v>654</v>
      </c>
      <c r="B6279" s="50">
        <v>45015.0</v>
      </c>
      <c r="C6279" s="49" t="s">
        <v>69</v>
      </c>
      <c r="D6279" s="49">
        <v>0.0</v>
      </c>
    </row>
    <row r="6280" ht="15.0" hidden="1" customHeight="1">
      <c r="A6280" s="49" t="s">
        <v>659</v>
      </c>
      <c r="B6280" s="50">
        <v>45015.0</v>
      </c>
      <c r="C6280" s="49" t="s">
        <v>69</v>
      </c>
      <c r="D6280" s="49">
        <v>0.0</v>
      </c>
    </row>
    <row r="6281" ht="15.0" hidden="1" customHeight="1">
      <c r="A6281" s="49" t="s">
        <v>664</v>
      </c>
      <c r="B6281" s="50">
        <v>45015.0</v>
      </c>
      <c r="C6281" s="49" t="s">
        <v>69</v>
      </c>
      <c r="D6281" s="49">
        <v>0.0</v>
      </c>
    </row>
    <row r="6282" ht="15.0" hidden="1" customHeight="1">
      <c r="A6282" s="49" t="s">
        <v>669</v>
      </c>
      <c r="B6282" s="50">
        <v>45015.0</v>
      </c>
      <c r="C6282" s="49" t="s">
        <v>69</v>
      </c>
      <c r="D6282" s="49">
        <v>0.0</v>
      </c>
    </row>
    <row r="6283" ht="15.0" hidden="1" customHeight="1">
      <c r="A6283" s="49" t="s">
        <v>674</v>
      </c>
      <c r="B6283" s="50">
        <v>45015.0</v>
      </c>
      <c r="C6283" s="49" t="s">
        <v>69</v>
      </c>
      <c r="D6283" s="49">
        <v>0.0</v>
      </c>
    </row>
    <row r="6284" ht="15.0" hidden="1" customHeight="1">
      <c r="A6284" s="49" t="s">
        <v>679</v>
      </c>
      <c r="B6284" s="50">
        <v>45015.0</v>
      </c>
      <c r="C6284" s="49" t="s">
        <v>69</v>
      </c>
      <c r="D6284" s="49">
        <v>0.0</v>
      </c>
    </row>
    <row r="6285" ht="15.0" hidden="1" customHeight="1">
      <c r="A6285" s="49" t="s">
        <v>684</v>
      </c>
      <c r="B6285" s="50">
        <v>45015.0</v>
      </c>
      <c r="C6285" s="49" t="s">
        <v>69</v>
      </c>
      <c r="D6285" s="49">
        <v>0.0</v>
      </c>
    </row>
    <row r="6286" ht="15.0" hidden="1" customHeight="1">
      <c r="A6286" s="49" t="s">
        <v>689</v>
      </c>
      <c r="B6286" s="50">
        <v>45015.0</v>
      </c>
      <c r="C6286" s="49" t="s">
        <v>69</v>
      </c>
      <c r="D6286" s="49">
        <v>0.0</v>
      </c>
    </row>
    <row r="6287" ht="15.0" hidden="1" customHeight="1">
      <c r="A6287" s="49" t="s">
        <v>694</v>
      </c>
      <c r="B6287" s="50">
        <v>45015.0</v>
      </c>
      <c r="C6287" s="49" t="s">
        <v>69</v>
      </c>
      <c r="D6287" s="49">
        <v>0.0</v>
      </c>
    </row>
    <row r="6288" ht="15.0" hidden="1" customHeight="1">
      <c r="A6288" s="49" t="s">
        <v>699</v>
      </c>
      <c r="B6288" s="50">
        <v>45015.0</v>
      </c>
      <c r="C6288" s="49" t="s">
        <v>69</v>
      </c>
      <c r="D6288" s="49">
        <v>0.0</v>
      </c>
    </row>
    <row r="6289" ht="15.0" hidden="1" customHeight="1">
      <c r="A6289" s="49" t="s">
        <v>705</v>
      </c>
      <c r="B6289" s="50">
        <v>45015.0</v>
      </c>
      <c r="C6289" s="49" t="s">
        <v>69</v>
      </c>
      <c r="D6289" s="49">
        <v>0.0</v>
      </c>
    </row>
    <row r="6290" ht="15.0" hidden="1" customHeight="1">
      <c r="A6290" s="49" t="s">
        <v>710</v>
      </c>
      <c r="B6290" s="50">
        <v>45015.0</v>
      </c>
      <c r="C6290" s="49" t="s">
        <v>69</v>
      </c>
      <c r="D6290" s="49">
        <v>0.0</v>
      </c>
    </row>
    <row r="6291" ht="15.0" hidden="1" customHeight="1">
      <c r="A6291" s="49" t="s">
        <v>715</v>
      </c>
      <c r="B6291" s="50">
        <v>45015.0</v>
      </c>
      <c r="C6291" s="49" t="s">
        <v>69</v>
      </c>
      <c r="D6291" s="49">
        <v>0.0</v>
      </c>
    </row>
    <row r="6292" ht="15.0" hidden="1" customHeight="1">
      <c r="A6292" s="49" t="s">
        <v>765</v>
      </c>
      <c r="B6292" s="50">
        <v>45015.0</v>
      </c>
      <c r="C6292" s="49" t="s">
        <v>69</v>
      </c>
      <c r="D6292" s="49">
        <v>0.0</v>
      </c>
    </row>
    <row r="6293" ht="15.0" hidden="1" customHeight="1">
      <c r="A6293" s="49" t="s">
        <v>720</v>
      </c>
      <c r="B6293" s="50">
        <v>45015.0</v>
      </c>
      <c r="C6293" s="49" t="s">
        <v>69</v>
      </c>
      <c r="D6293" s="49">
        <v>0.0</v>
      </c>
    </row>
    <row r="6294" ht="15.0" hidden="1" customHeight="1">
      <c r="A6294" s="49" t="s">
        <v>725</v>
      </c>
      <c r="B6294" s="50">
        <v>45015.0</v>
      </c>
      <c r="C6294" s="49" t="s">
        <v>69</v>
      </c>
      <c r="D6294" s="49">
        <v>0.0</v>
      </c>
    </row>
    <row r="6295" ht="15.0" hidden="1" customHeight="1">
      <c r="A6295" s="49" t="s">
        <v>730</v>
      </c>
      <c r="B6295" s="50">
        <v>45015.0</v>
      </c>
      <c r="C6295" s="49" t="s">
        <v>69</v>
      </c>
      <c r="D6295" s="49">
        <v>0.0</v>
      </c>
    </row>
    <row r="6296" ht="15.0" hidden="1" customHeight="1">
      <c r="A6296" s="49" t="s">
        <v>734</v>
      </c>
      <c r="B6296" s="50">
        <v>45015.0</v>
      </c>
      <c r="C6296" s="49" t="s">
        <v>69</v>
      </c>
      <c r="D6296" s="49">
        <v>0.0</v>
      </c>
    </row>
    <row r="6297" ht="15.0" hidden="1" customHeight="1">
      <c r="A6297" s="49" t="s">
        <v>739</v>
      </c>
      <c r="B6297" s="50">
        <v>45015.0</v>
      </c>
      <c r="C6297" s="49" t="s">
        <v>69</v>
      </c>
      <c r="D6297" s="49">
        <v>0.0</v>
      </c>
    </row>
    <row r="6298" ht="15.0" hidden="1" customHeight="1">
      <c r="A6298" s="49" t="s">
        <v>744</v>
      </c>
      <c r="B6298" s="50">
        <v>45015.0</v>
      </c>
      <c r="C6298" s="49" t="s">
        <v>69</v>
      </c>
      <c r="D6298" s="49">
        <v>0.0</v>
      </c>
    </row>
    <row r="6299" ht="15.0" hidden="1" customHeight="1">
      <c r="A6299" s="49" t="s">
        <v>749</v>
      </c>
      <c r="B6299" s="50">
        <v>45015.0</v>
      </c>
      <c r="C6299" s="49" t="s">
        <v>69</v>
      </c>
      <c r="D6299" s="49">
        <v>0.0</v>
      </c>
    </row>
    <row r="6300" ht="15.0" customHeight="1">
      <c r="A6300" s="49" t="s">
        <v>776</v>
      </c>
      <c r="B6300" s="50">
        <v>45015.0</v>
      </c>
      <c r="C6300" s="49" t="s">
        <v>780</v>
      </c>
      <c r="D6300" s="49">
        <v>0.0</v>
      </c>
    </row>
    <row r="6301" ht="15.0" hidden="1" customHeight="1">
      <c r="A6301" s="49" t="s">
        <v>778</v>
      </c>
      <c r="B6301" s="50">
        <v>45015.0</v>
      </c>
      <c r="C6301" s="49" t="s">
        <v>780</v>
      </c>
      <c r="D6301" s="49">
        <v>0.0</v>
      </c>
    </row>
    <row r="6302" ht="15.0" hidden="1" customHeight="1">
      <c r="A6302" s="49" t="s">
        <v>92</v>
      </c>
      <c r="B6302" s="50">
        <v>45015.0</v>
      </c>
      <c r="C6302" s="49" t="s">
        <v>780</v>
      </c>
      <c r="D6302" s="49">
        <v>0.0</v>
      </c>
    </row>
    <row r="6303" ht="15.0" hidden="1" customHeight="1">
      <c r="A6303" s="49" t="s">
        <v>97</v>
      </c>
      <c r="B6303" s="50">
        <v>45015.0</v>
      </c>
      <c r="C6303" s="49" t="s">
        <v>780</v>
      </c>
      <c r="D6303" s="49">
        <v>0.0</v>
      </c>
    </row>
    <row r="6304" ht="15.0" hidden="1" customHeight="1">
      <c r="A6304" s="49" t="s">
        <v>102</v>
      </c>
      <c r="B6304" s="50">
        <v>45015.0</v>
      </c>
      <c r="C6304" s="49" t="s">
        <v>780</v>
      </c>
      <c r="D6304" s="49">
        <v>0.0</v>
      </c>
    </row>
    <row r="6305" ht="15.0" hidden="1" customHeight="1">
      <c r="A6305" s="49" t="s">
        <v>106</v>
      </c>
      <c r="B6305" s="50">
        <v>45015.0</v>
      </c>
      <c r="C6305" s="49" t="s">
        <v>780</v>
      </c>
      <c r="D6305" s="49">
        <v>0.0</v>
      </c>
    </row>
    <row r="6306" ht="15.0" hidden="1" customHeight="1">
      <c r="A6306" s="49" t="s">
        <v>111</v>
      </c>
      <c r="B6306" s="50">
        <v>45015.0</v>
      </c>
      <c r="C6306" s="49" t="s">
        <v>780</v>
      </c>
      <c r="D6306" s="49">
        <v>0.0</v>
      </c>
    </row>
    <row r="6307" ht="15.0" hidden="1" customHeight="1">
      <c r="A6307" s="49" t="s">
        <v>116</v>
      </c>
      <c r="B6307" s="50">
        <v>45015.0</v>
      </c>
      <c r="C6307" s="49" t="s">
        <v>780</v>
      </c>
      <c r="D6307" s="49">
        <v>0.0</v>
      </c>
    </row>
    <row r="6308" ht="15.0" hidden="1" customHeight="1">
      <c r="A6308" s="49" t="s">
        <v>120</v>
      </c>
      <c r="B6308" s="50">
        <v>45015.0</v>
      </c>
      <c r="C6308" s="49" t="s">
        <v>780</v>
      </c>
      <c r="D6308" s="49">
        <v>-1157222.22</v>
      </c>
    </row>
    <row r="6309" ht="15.0" hidden="1" customHeight="1">
      <c r="A6309" s="49" t="s">
        <v>125</v>
      </c>
      <c r="B6309" s="50">
        <v>45015.0</v>
      </c>
      <c r="C6309" s="49" t="s">
        <v>780</v>
      </c>
      <c r="D6309" s="49">
        <v>0.0</v>
      </c>
    </row>
    <row r="6310" ht="15.0" hidden="1" customHeight="1">
      <c r="A6310" s="49" t="s">
        <v>130</v>
      </c>
      <c r="B6310" s="50">
        <v>45015.0</v>
      </c>
      <c r="C6310" s="49" t="s">
        <v>780</v>
      </c>
      <c r="D6310" s="49">
        <v>0.0</v>
      </c>
    </row>
    <row r="6311" ht="15.0" hidden="1" customHeight="1">
      <c r="A6311" s="49" t="s">
        <v>137</v>
      </c>
      <c r="B6311" s="50">
        <v>45015.0</v>
      </c>
      <c r="C6311" s="49" t="s">
        <v>780</v>
      </c>
      <c r="D6311" s="49">
        <v>0.0</v>
      </c>
    </row>
    <row r="6312" ht="15.0" hidden="1" customHeight="1">
      <c r="A6312" s="49" t="s">
        <v>142</v>
      </c>
      <c r="B6312" s="50">
        <v>45015.0</v>
      </c>
      <c r="C6312" s="49" t="s">
        <v>780</v>
      </c>
      <c r="D6312" s="49">
        <v>0.0</v>
      </c>
    </row>
    <row r="6313" ht="15.0" hidden="1" customHeight="1">
      <c r="A6313" s="49" t="s">
        <v>147</v>
      </c>
      <c r="B6313" s="50">
        <v>45015.0</v>
      </c>
      <c r="C6313" s="49" t="s">
        <v>780</v>
      </c>
      <c r="D6313" s="49">
        <v>0.0</v>
      </c>
    </row>
    <row r="6314" ht="15.0" hidden="1" customHeight="1">
      <c r="A6314" s="49" t="s">
        <v>152</v>
      </c>
      <c r="B6314" s="50">
        <v>45015.0</v>
      </c>
      <c r="C6314" s="49" t="s">
        <v>780</v>
      </c>
      <c r="D6314" s="49">
        <v>0.0</v>
      </c>
    </row>
    <row r="6315" ht="15.0" hidden="1" customHeight="1">
      <c r="A6315" s="49" t="s">
        <v>157</v>
      </c>
      <c r="B6315" s="50">
        <v>45015.0</v>
      </c>
      <c r="C6315" s="49" t="s">
        <v>780</v>
      </c>
      <c r="D6315" s="49">
        <v>0.0</v>
      </c>
    </row>
    <row r="6316" ht="15.0" hidden="1" customHeight="1">
      <c r="A6316" s="49" t="s">
        <v>162</v>
      </c>
      <c r="B6316" s="50">
        <v>45015.0</v>
      </c>
      <c r="C6316" s="49" t="s">
        <v>780</v>
      </c>
      <c r="D6316" s="49">
        <v>-712375.0</v>
      </c>
    </row>
    <row r="6317" ht="15.0" hidden="1" customHeight="1">
      <c r="A6317" s="49" t="s">
        <v>167</v>
      </c>
      <c r="B6317" s="50">
        <v>45015.0</v>
      </c>
      <c r="C6317" s="49" t="s">
        <v>780</v>
      </c>
      <c r="D6317" s="49">
        <v>0.0</v>
      </c>
    </row>
    <row r="6318" ht="15.0" hidden="1" customHeight="1">
      <c r="A6318" s="49" t="s">
        <v>172</v>
      </c>
      <c r="B6318" s="50">
        <v>45015.0</v>
      </c>
      <c r="C6318" s="49" t="s">
        <v>780</v>
      </c>
      <c r="D6318" s="49">
        <v>0.0</v>
      </c>
    </row>
    <row r="6319" ht="15.0" hidden="1" customHeight="1">
      <c r="A6319" s="49" t="s">
        <v>177</v>
      </c>
      <c r="B6319" s="50">
        <v>45015.0</v>
      </c>
      <c r="C6319" s="49" t="s">
        <v>780</v>
      </c>
      <c r="D6319" s="49">
        <v>-1525600.0</v>
      </c>
    </row>
    <row r="6320" ht="15.0" hidden="1" customHeight="1">
      <c r="A6320" s="49" t="s">
        <v>182</v>
      </c>
      <c r="B6320" s="50">
        <v>45015.0</v>
      </c>
      <c r="C6320" s="49" t="s">
        <v>780</v>
      </c>
      <c r="D6320" s="49">
        <v>0.0</v>
      </c>
    </row>
    <row r="6321" ht="15.0" hidden="1" customHeight="1">
      <c r="A6321" s="49" t="s">
        <v>187</v>
      </c>
      <c r="B6321" s="50">
        <v>45015.0</v>
      </c>
      <c r="C6321" s="49" t="s">
        <v>780</v>
      </c>
      <c r="D6321" s="49">
        <v>0.0</v>
      </c>
    </row>
    <row r="6322" ht="15.0" hidden="1" customHeight="1">
      <c r="A6322" s="49" t="s">
        <v>192</v>
      </c>
      <c r="B6322" s="50">
        <v>45015.0</v>
      </c>
      <c r="C6322" s="49" t="s">
        <v>780</v>
      </c>
      <c r="D6322" s="49">
        <v>0.0</v>
      </c>
    </row>
    <row r="6323" ht="15.0" hidden="1" customHeight="1">
      <c r="A6323" s="49" t="s">
        <v>197</v>
      </c>
      <c r="B6323" s="50">
        <v>45015.0</v>
      </c>
      <c r="C6323" s="49" t="s">
        <v>780</v>
      </c>
      <c r="D6323" s="49">
        <v>0.0</v>
      </c>
    </row>
    <row r="6324" ht="15.0" hidden="1" customHeight="1">
      <c r="A6324" s="49" t="s">
        <v>202</v>
      </c>
      <c r="B6324" s="50">
        <v>45015.0</v>
      </c>
      <c r="C6324" s="49" t="s">
        <v>780</v>
      </c>
      <c r="D6324" s="49">
        <v>0.0</v>
      </c>
    </row>
    <row r="6325" ht="15.0" hidden="1" customHeight="1">
      <c r="A6325" s="49" t="s">
        <v>206</v>
      </c>
      <c r="B6325" s="50">
        <v>45015.0</v>
      </c>
      <c r="C6325" s="49" t="s">
        <v>780</v>
      </c>
      <c r="D6325" s="49">
        <v>0.0</v>
      </c>
    </row>
    <row r="6326" ht="15.0" hidden="1" customHeight="1">
      <c r="A6326" s="49" t="s">
        <v>211</v>
      </c>
      <c r="B6326" s="50">
        <v>45015.0</v>
      </c>
      <c r="C6326" s="49" t="s">
        <v>780</v>
      </c>
      <c r="D6326" s="49">
        <v>0.0</v>
      </c>
    </row>
    <row r="6327" ht="15.0" hidden="1" customHeight="1">
      <c r="A6327" s="49" t="s">
        <v>779</v>
      </c>
      <c r="B6327" s="50">
        <v>45015.0</v>
      </c>
      <c r="C6327" s="49" t="s">
        <v>780</v>
      </c>
      <c r="D6327" s="49">
        <v>0.0</v>
      </c>
    </row>
    <row r="6328" ht="15.0" hidden="1" customHeight="1">
      <c r="A6328" s="49" t="s">
        <v>221</v>
      </c>
      <c r="B6328" s="50">
        <v>45015.0</v>
      </c>
      <c r="C6328" s="49" t="s">
        <v>780</v>
      </c>
      <c r="D6328" s="49">
        <v>0.0</v>
      </c>
    </row>
    <row r="6329" ht="15.0" hidden="1" customHeight="1">
      <c r="A6329" s="49" t="s">
        <v>226</v>
      </c>
      <c r="B6329" s="50">
        <v>45015.0</v>
      </c>
      <c r="C6329" s="49" t="s">
        <v>780</v>
      </c>
      <c r="D6329" s="49">
        <v>-200000.0</v>
      </c>
    </row>
    <row r="6330" ht="15.0" hidden="1" customHeight="1">
      <c r="A6330" s="49" t="s">
        <v>231</v>
      </c>
      <c r="B6330" s="50">
        <v>45015.0</v>
      </c>
      <c r="C6330" s="49" t="s">
        <v>780</v>
      </c>
      <c r="D6330" s="49">
        <v>0.0</v>
      </c>
    </row>
    <row r="6331" ht="15.0" hidden="1" customHeight="1">
      <c r="A6331" s="49" t="s">
        <v>236</v>
      </c>
      <c r="B6331" s="50">
        <v>45015.0</v>
      </c>
      <c r="C6331" s="49" t="s">
        <v>780</v>
      </c>
      <c r="D6331" s="49">
        <v>0.0</v>
      </c>
    </row>
    <row r="6332" ht="15.0" hidden="1" customHeight="1">
      <c r="A6332" s="49" t="s">
        <v>242</v>
      </c>
      <c r="B6332" s="50">
        <v>45015.0</v>
      </c>
      <c r="C6332" s="49" t="s">
        <v>780</v>
      </c>
      <c r="D6332" s="49">
        <v>-2000000.0</v>
      </c>
    </row>
    <row r="6333" ht="15.0" hidden="1" customHeight="1">
      <c r="A6333" s="49" t="s">
        <v>248</v>
      </c>
      <c r="B6333" s="50">
        <v>45015.0</v>
      </c>
      <c r="C6333" s="49" t="s">
        <v>780</v>
      </c>
      <c r="D6333" s="49">
        <v>-1428000.0</v>
      </c>
    </row>
    <row r="6334" ht="15.0" hidden="1" customHeight="1">
      <c r="A6334" s="49" t="s">
        <v>253</v>
      </c>
      <c r="B6334" s="50">
        <v>45015.0</v>
      </c>
      <c r="C6334" s="49" t="s">
        <v>780</v>
      </c>
      <c r="D6334" s="49">
        <v>-588549.5</v>
      </c>
    </row>
    <row r="6335" ht="15.0" hidden="1" customHeight="1">
      <c r="A6335" s="49" t="s">
        <v>258</v>
      </c>
      <c r="B6335" s="50">
        <v>45015.0</v>
      </c>
      <c r="C6335" s="49" t="s">
        <v>780</v>
      </c>
      <c r="D6335" s="49">
        <v>0.0</v>
      </c>
    </row>
    <row r="6336" ht="15.0" hidden="1" customHeight="1">
      <c r="A6336" s="49" t="s">
        <v>263</v>
      </c>
      <c r="B6336" s="50">
        <v>45015.0</v>
      </c>
      <c r="C6336" s="49" t="s">
        <v>780</v>
      </c>
      <c r="D6336" s="49">
        <v>0.0</v>
      </c>
    </row>
    <row r="6337" ht="15.0" hidden="1" customHeight="1">
      <c r="A6337" s="49" t="s">
        <v>268</v>
      </c>
      <c r="B6337" s="50">
        <v>45015.0</v>
      </c>
      <c r="C6337" s="49" t="s">
        <v>780</v>
      </c>
      <c r="D6337" s="49">
        <v>-318500.0</v>
      </c>
    </row>
    <row r="6338" ht="15.0" hidden="1" customHeight="1">
      <c r="A6338" s="49" t="s">
        <v>273</v>
      </c>
      <c r="B6338" s="50">
        <v>45015.0</v>
      </c>
      <c r="C6338" s="49" t="s">
        <v>780</v>
      </c>
      <c r="D6338" s="49">
        <v>0.0</v>
      </c>
    </row>
    <row r="6339" ht="15.0" hidden="1" customHeight="1">
      <c r="A6339" s="49" t="s">
        <v>278</v>
      </c>
      <c r="B6339" s="50">
        <v>45015.0</v>
      </c>
      <c r="C6339" s="49" t="s">
        <v>780</v>
      </c>
      <c r="D6339" s="49">
        <v>-200000.0</v>
      </c>
    </row>
    <row r="6340" ht="15.0" hidden="1" customHeight="1">
      <c r="A6340" s="49" t="s">
        <v>283</v>
      </c>
      <c r="B6340" s="50">
        <v>45015.0</v>
      </c>
      <c r="C6340" s="49" t="s">
        <v>780</v>
      </c>
      <c r="D6340" s="49">
        <v>-35000.0</v>
      </c>
    </row>
    <row r="6341" ht="15.0" hidden="1" customHeight="1">
      <c r="A6341" s="49" t="s">
        <v>288</v>
      </c>
      <c r="B6341" s="50">
        <v>45015.0</v>
      </c>
      <c r="C6341" s="49" t="s">
        <v>780</v>
      </c>
      <c r="D6341" s="49">
        <v>0.0</v>
      </c>
    </row>
    <row r="6342" ht="15.0" hidden="1" customHeight="1">
      <c r="A6342" s="49" t="s">
        <v>293</v>
      </c>
      <c r="B6342" s="50">
        <v>45015.0</v>
      </c>
      <c r="C6342" s="49" t="s">
        <v>780</v>
      </c>
      <c r="D6342" s="49">
        <v>-110000.0</v>
      </c>
    </row>
    <row r="6343" ht="15.0" hidden="1" customHeight="1">
      <c r="A6343" s="49" t="s">
        <v>298</v>
      </c>
      <c r="B6343" s="50">
        <v>45015.0</v>
      </c>
      <c r="C6343" s="49" t="s">
        <v>780</v>
      </c>
      <c r="D6343" s="49">
        <v>-200000.0</v>
      </c>
    </row>
    <row r="6344" ht="15.0" hidden="1" customHeight="1">
      <c r="A6344" s="49" t="s">
        <v>303</v>
      </c>
      <c r="B6344" s="50">
        <v>45015.0</v>
      </c>
      <c r="C6344" s="49" t="s">
        <v>780</v>
      </c>
      <c r="D6344" s="49">
        <v>0.0</v>
      </c>
    </row>
    <row r="6345" ht="15.0" hidden="1" customHeight="1">
      <c r="A6345" s="49" t="s">
        <v>307</v>
      </c>
      <c r="B6345" s="50">
        <v>45015.0</v>
      </c>
      <c r="C6345" s="49" t="s">
        <v>780</v>
      </c>
      <c r="D6345" s="49">
        <v>-370249.43</v>
      </c>
    </row>
    <row r="6346" ht="15.0" hidden="1" customHeight="1">
      <c r="A6346" s="49" t="s">
        <v>313</v>
      </c>
      <c r="B6346" s="50">
        <v>45015.0</v>
      </c>
      <c r="C6346" s="49" t="s">
        <v>780</v>
      </c>
      <c r="D6346" s="49">
        <v>-1000000.0</v>
      </c>
    </row>
    <row r="6347" ht="15.0" hidden="1" customHeight="1">
      <c r="A6347" s="49" t="s">
        <v>318</v>
      </c>
      <c r="B6347" s="50">
        <v>45015.0</v>
      </c>
      <c r="C6347" s="49" t="s">
        <v>780</v>
      </c>
      <c r="D6347" s="49">
        <v>-90000.0</v>
      </c>
    </row>
    <row r="6348" ht="15.0" hidden="1" customHeight="1">
      <c r="A6348" s="49" t="s">
        <v>323</v>
      </c>
      <c r="B6348" s="50">
        <v>45015.0</v>
      </c>
      <c r="C6348" s="49" t="s">
        <v>780</v>
      </c>
      <c r="D6348" s="49">
        <v>-650000.0</v>
      </c>
    </row>
    <row r="6349" ht="15.0" hidden="1" customHeight="1">
      <c r="A6349" s="49" t="s">
        <v>328</v>
      </c>
      <c r="B6349" s="50">
        <v>45015.0</v>
      </c>
      <c r="C6349" s="49" t="s">
        <v>780</v>
      </c>
      <c r="D6349" s="49">
        <v>-514000.0</v>
      </c>
    </row>
    <row r="6350" ht="15.0" hidden="1" customHeight="1">
      <c r="A6350" s="49" t="s">
        <v>335</v>
      </c>
      <c r="B6350" s="50">
        <v>45015.0</v>
      </c>
      <c r="C6350" s="49" t="s">
        <v>780</v>
      </c>
      <c r="D6350" s="49">
        <v>0.0</v>
      </c>
    </row>
    <row r="6351" ht="15.0" hidden="1" customHeight="1">
      <c r="A6351" s="49" t="s">
        <v>340</v>
      </c>
      <c r="B6351" s="50">
        <v>45015.0</v>
      </c>
      <c r="C6351" s="49" t="s">
        <v>780</v>
      </c>
      <c r="D6351" s="49">
        <v>-700000.0</v>
      </c>
    </row>
    <row r="6352" ht="15.0" hidden="1" customHeight="1">
      <c r="A6352" s="49" t="s">
        <v>345</v>
      </c>
      <c r="B6352" s="50">
        <v>45015.0</v>
      </c>
      <c r="C6352" s="49" t="s">
        <v>780</v>
      </c>
      <c r="D6352" s="49">
        <v>0.0</v>
      </c>
    </row>
    <row r="6353" ht="15.0" hidden="1" customHeight="1">
      <c r="A6353" s="49" t="s">
        <v>350</v>
      </c>
      <c r="B6353" s="50">
        <v>45015.0</v>
      </c>
      <c r="C6353" s="49" t="s">
        <v>780</v>
      </c>
      <c r="D6353" s="49">
        <v>-1084000.0</v>
      </c>
    </row>
    <row r="6354" ht="15.0" hidden="1" customHeight="1">
      <c r="A6354" s="49" t="s">
        <v>355</v>
      </c>
      <c r="B6354" s="50">
        <v>45015.0</v>
      </c>
      <c r="C6354" s="49" t="s">
        <v>780</v>
      </c>
      <c r="D6354" s="49">
        <v>-1108000.0</v>
      </c>
    </row>
    <row r="6355" ht="15.0" hidden="1" customHeight="1">
      <c r="A6355" s="49" t="s">
        <v>360</v>
      </c>
      <c r="B6355" s="50">
        <v>45015.0</v>
      </c>
      <c r="C6355" s="49" t="s">
        <v>780</v>
      </c>
      <c r="D6355" s="49">
        <v>-361000.0</v>
      </c>
    </row>
    <row r="6356" ht="15.0" hidden="1" customHeight="1">
      <c r="A6356" s="49" t="s">
        <v>365</v>
      </c>
      <c r="B6356" s="50">
        <v>45015.0</v>
      </c>
      <c r="C6356" s="49" t="s">
        <v>780</v>
      </c>
      <c r="D6356" s="49">
        <v>0.0</v>
      </c>
    </row>
    <row r="6357" ht="15.0" hidden="1" customHeight="1">
      <c r="A6357" s="49" t="s">
        <v>370</v>
      </c>
      <c r="B6357" s="50">
        <v>45015.0</v>
      </c>
      <c r="C6357" s="49" t="s">
        <v>780</v>
      </c>
      <c r="D6357" s="49">
        <v>1221221.98</v>
      </c>
    </row>
    <row r="6358" ht="15.0" hidden="1" customHeight="1">
      <c r="A6358" s="49" t="s">
        <v>375</v>
      </c>
      <c r="B6358" s="50">
        <v>45015.0</v>
      </c>
      <c r="C6358" s="49" t="s">
        <v>780</v>
      </c>
      <c r="D6358" s="49">
        <v>0.0</v>
      </c>
    </row>
    <row r="6359" ht="15.0" hidden="1" customHeight="1">
      <c r="A6359" s="49" t="s">
        <v>380</v>
      </c>
      <c r="B6359" s="50">
        <v>45015.0</v>
      </c>
      <c r="C6359" s="49" t="s">
        <v>780</v>
      </c>
      <c r="D6359" s="49">
        <v>1000000.0</v>
      </c>
    </row>
    <row r="6360" ht="15.0" hidden="1" customHeight="1">
      <c r="A6360" s="49" t="s">
        <v>385</v>
      </c>
      <c r="B6360" s="50">
        <v>45015.0</v>
      </c>
      <c r="C6360" s="49" t="s">
        <v>780</v>
      </c>
      <c r="D6360" s="49">
        <v>0.0</v>
      </c>
    </row>
    <row r="6361" ht="15.0" hidden="1" customHeight="1">
      <c r="A6361" s="49" t="s">
        <v>390</v>
      </c>
      <c r="B6361" s="50">
        <v>45015.0</v>
      </c>
      <c r="C6361" s="49" t="s">
        <v>780</v>
      </c>
      <c r="D6361" s="49">
        <v>0.0</v>
      </c>
    </row>
    <row r="6362" ht="15.0" hidden="1" customHeight="1">
      <c r="A6362" s="49" t="s">
        <v>395</v>
      </c>
      <c r="B6362" s="50">
        <v>45015.0</v>
      </c>
      <c r="C6362" s="49" t="s">
        <v>780</v>
      </c>
      <c r="D6362" s="49">
        <v>0.0</v>
      </c>
    </row>
    <row r="6363" ht="15.0" hidden="1" customHeight="1">
      <c r="A6363" s="49" t="s">
        <v>400</v>
      </c>
      <c r="B6363" s="50">
        <v>45015.0</v>
      </c>
      <c r="C6363" s="49" t="s">
        <v>780</v>
      </c>
      <c r="D6363" s="49">
        <v>0.0</v>
      </c>
    </row>
    <row r="6364" ht="15.0" hidden="1" customHeight="1">
      <c r="A6364" s="49" t="s">
        <v>405</v>
      </c>
      <c r="B6364" s="50">
        <v>45015.0</v>
      </c>
      <c r="C6364" s="49" t="s">
        <v>780</v>
      </c>
      <c r="D6364" s="49">
        <v>0.0</v>
      </c>
    </row>
    <row r="6365" ht="15.0" hidden="1" customHeight="1">
      <c r="A6365" s="49" t="s">
        <v>410</v>
      </c>
      <c r="B6365" s="50">
        <v>45015.0</v>
      </c>
      <c r="C6365" s="49" t="s">
        <v>780</v>
      </c>
      <c r="D6365" s="49">
        <v>0.0</v>
      </c>
    </row>
    <row r="6366" ht="15.0" hidden="1" customHeight="1">
      <c r="A6366" s="49" t="s">
        <v>415</v>
      </c>
      <c r="B6366" s="50">
        <v>45015.0</v>
      </c>
      <c r="C6366" s="49" t="s">
        <v>780</v>
      </c>
      <c r="D6366" s="49">
        <v>0.0</v>
      </c>
    </row>
    <row r="6367" ht="15.0" hidden="1" customHeight="1">
      <c r="A6367" s="49" t="s">
        <v>420</v>
      </c>
      <c r="B6367" s="50">
        <v>45015.0</v>
      </c>
      <c r="C6367" s="49" t="s">
        <v>780</v>
      </c>
      <c r="D6367" s="49">
        <v>0.0</v>
      </c>
    </row>
    <row r="6368" ht="15.0" hidden="1" customHeight="1">
      <c r="A6368" s="49" t="s">
        <v>425</v>
      </c>
      <c r="B6368" s="50">
        <v>45015.0</v>
      </c>
      <c r="C6368" s="49" t="s">
        <v>780</v>
      </c>
      <c r="D6368" s="49">
        <v>0.0</v>
      </c>
    </row>
    <row r="6369" ht="15.0" hidden="1" customHeight="1">
      <c r="A6369" s="49" t="s">
        <v>430</v>
      </c>
      <c r="B6369" s="50">
        <v>45015.0</v>
      </c>
      <c r="C6369" s="49" t="s">
        <v>780</v>
      </c>
      <c r="D6369" s="49">
        <v>0.0</v>
      </c>
    </row>
    <row r="6370" ht="15.0" hidden="1" customHeight="1">
      <c r="A6370" s="49" t="s">
        <v>434</v>
      </c>
      <c r="B6370" s="50">
        <v>45015.0</v>
      </c>
      <c r="C6370" s="49" t="s">
        <v>780</v>
      </c>
      <c r="D6370" s="49">
        <v>0.0</v>
      </c>
    </row>
    <row r="6371" ht="15.0" hidden="1" customHeight="1">
      <c r="A6371" s="49" t="s">
        <v>439</v>
      </c>
      <c r="B6371" s="50">
        <v>45015.0</v>
      </c>
      <c r="C6371" s="49" t="s">
        <v>780</v>
      </c>
      <c r="D6371" s="49">
        <v>0.0</v>
      </c>
    </row>
    <row r="6372" ht="15.0" hidden="1" customHeight="1">
      <c r="A6372" s="49" t="s">
        <v>444</v>
      </c>
      <c r="B6372" s="50">
        <v>45015.0</v>
      </c>
      <c r="C6372" s="49" t="s">
        <v>780</v>
      </c>
      <c r="D6372" s="49">
        <v>0.0</v>
      </c>
    </row>
    <row r="6373" ht="15.0" hidden="1" customHeight="1">
      <c r="A6373" s="49" t="s">
        <v>449</v>
      </c>
      <c r="B6373" s="50">
        <v>45015.0</v>
      </c>
      <c r="C6373" s="49" t="s">
        <v>780</v>
      </c>
      <c r="D6373" s="49">
        <v>0.0</v>
      </c>
    </row>
    <row r="6374" ht="15.0" hidden="1" customHeight="1">
      <c r="A6374" s="49" t="s">
        <v>455</v>
      </c>
      <c r="B6374" s="50">
        <v>45015.0</v>
      </c>
      <c r="C6374" s="49" t="s">
        <v>780</v>
      </c>
      <c r="D6374" s="49">
        <v>0.0</v>
      </c>
    </row>
    <row r="6375" ht="15.0" hidden="1" customHeight="1">
      <c r="A6375" s="49" t="s">
        <v>470</v>
      </c>
      <c r="B6375" s="50">
        <v>45015.0</v>
      </c>
      <c r="C6375" s="49" t="s">
        <v>780</v>
      </c>
      <c r="D6375" s="49">
        <v>0.0</v>
      </c>
    </row>
    <row r="6376" ht="15.0" hidden="1" customHeight="1">
      <c r="A6376" s="49" t="s">
        <v>476</v>
      </c>
      <c r="B6376" s="50">
        <v>45015.0</v>
      </c>
      <c r="C6376" s="49" t="s">
        <v>780</v>
      </c>
      <c r="D6376" s="49">
        <v>0.0</v>
      </c>
    </row>
    <row r="6377" ht="15.0" hidden="1" customHeight="1">
      <c r="A6377" s="49" t="s">
        <v>481</v>
      </c>
      <c r="B6377" s="50">
        <v>45015.0</v>
      </c>
      <c r="C6377" s="49" t="s">
        <v>780</v>
      </c>
      <c r="D6377" s="49">
        <v>0.0</v>
      </c>
    </row>
    <row r="6378" ht="15.0" hidden="1" customHeight="1">
      <c r="A6378" s="49" t="s">
        <v>486</v>
      </c>
      <c r="B6378" s="50">
        <v>45015.0</v>
      </c>
      <c r="C6378" s="49" t="s">
        <v>780</v>
      </c>
      <c r="D6378" s="49">
        <v>0.0</v>
      </c>
    </row>
    <row r="6379" ht="15.0" hidden="1" customHeight="1">
      <c r="A6379" s="49" t="s">
        <v>491</v>
      </c>
      <c r="B6379" s="50">
        <v>45015.0</v>
      </c>
      <c r="C6379" s="49" t="s">
        <v>780</v>
      </c>
      <c r="D6379" s="49">
        <v>0.0</v>
      </c>
    </row>
    <row r="6380" ht="15.0" hidden="1" customHeight="1">
      <c r="A6380" s="49" t="s">
        <v>496</v>
      </c>
      <c r="B6380" s="50">
        <v>45015.0</v>
      </c>
      <c r="C6380" s="49" t="s">
        <v>780</v>
      </c>
      <c r="D6380" s="49">
        <v>0.0</v>
      </c>
    </row>
    <row r="6381" ht="15.0" hidden="1" customHeight="1">
      <c r="A6381" s="49" t="s">
        <v>501</v>
      </c>
      <c r="B6381" s="50">
        <v>45015.0</v>
      </c>
      <c r="C6381" s="49" t="s">
        <v>780</v>
      </c>
      <c r="D6381" s="49">
        <v>0.0</v>
      </c>
    </row>
    <row r="6382" ht="15.0" hidden="1" customHeight="1">
      <c r="A6382" s="49" t="s">
        <v>506</v>
      </c>
      <c r="B6382" s="50">
        <v>45015.0</v>
      </c>
      <c r="C6382" s="49" t="s">
        <v>780</v>
      </c>
      <c r="D6382" s="49">
        <v>0.0</v>
      </c>
    </row>
    <row r="6383" ht="15.0" hidden="1" customHeight="1">
      <c r="A6383" s="49" t="s">
        <v>512</v>
      </c>
      <c r="B6383" s="50">
        <v>45015.0</v>
      </c>
      <c r="C6383" s="49" t="s">
        <v>780</v>
      </c>
      <c r="D6383" s="49">
        <v>0.0</v>
      </c>
    </row>
    <row r="6384" ht="15.0" hidden="1" customHeight="1">
      <c r="A6384" s="49" t="s">
        <v>517</v>
      </c>
      <c r="B6384" s="50">
        <v>45015.0</v>
      </c>
      <c r="C6384" s="49" t="s">
        <v>780</v>
      </c>
      <c r="D6384" s="49">
        <v>0.0</v>
      </c>
    </row>
    <row r="6385" ht="15.0" hidden="1" customHeight="1">
      <c r="A6385" s="49" t="s">
        <v>522</v>
      </c>
      <c r="B6385" s="50">
        <v>45015.0</v>
      </c>
      <c r="C6385" s="49" t="s">
        <v>780</v>
      </c>
      <c r="D6385" s="49">
        <v>0.0</v>
      </c>
    </row>
    <row r="6386" ht="15.0" hidden="1" customHeight="1">
      <c r="A6386" s="49" t="s">
        <v>528</v>
      </c>
      <c r="B6386" s="50">
        <v>45015.0</v>
      </c>
      <c r="C6386" s="49" t="s">
        <v>780</v>
      </c>
      <c r="D6386" s="49">
        <v>0.0</v>
      </c>
    </row>
    <row r="6387" ht="15.0" hidden="1" customHeight="1">
      <c r="A6387" s="49" t="s">
        <v>533</v>
      </c>
      <c r="B6387" s="50">
        <v>45015.0</v>
      </c>
      <c r="C6387" s="49" t="s">
        <v>780</v>
      </c>
      <c r="D6387" s="49">
        <v>0.0</v>
      </c>
    </row>
    <row r="6388" ht="15.0" hidden="1" customHeight="1">
      <c r="A6388" s="49" t="s">
        <v>538</v>
      </c>
      <c r="B6388" s="50">
        <v>45015.0</v>
      </c>
      <c r="C6388" s="49" t="s">
        <v>780</v>
      </c>
      <c r="D6388" s="49">
        <v>0.0</v>
      </c>
    </row>
    <row r="6389" ht="15.0" hidden="1" customHeight="1">
      <c r="A6389" s="49" t="s">
        <v>546</v>
      </c>
      <c r="B6389" s="50">
        <v>45015.0</v>
      </c>
      <c r="C6389" s="49" t="s">
        <v>780</v>
      </c>
      <c r="D6389" s="49">
        <v>0.0</v>
      </c>
    </row>
    <row r="6390" ht="15.0" hidden="1" customHeight="1">
      <c r="A6390" s="49" t="s">
        <v>551</v>
      </c>
      <c r="B6390" s="50">
        <v>45015.0</v>
      </c>
      <c r="C6390" s="49" t="s">
        <v>780</v>
      </c>
      <c r="D6390" s="49">
        <v>0.0</v>
      </c>
    </row>
    <row r="6391" ht="15.0" hidden="1" customHeight="1">
      <c r="A6391" s="49" t="s">
        <v>556</v>
      </c>
      <c r="B6391" s="50">
        <v>45015.0</v>
      </c>
      <c r="C6391" s="49" t="s">
        <v>780</v>
      </c>
      <c r="D6391" s="49">
        <v>0.0</v>
      </c>
    </row>
    <row r="6392" ht="15.0" hidden="1" customHeight="1">
      <c r="A6392" s="49" t="s">
        <v>561</v>
      </c>
      <c r="B6392" s="50">
        <v>45015.0</v>
      </c>
      <c r="C6392" s="49" t="s">
        <v>780</v>
      </c>
      <c r="D6392" s="49">
        <v>0.0</v>
      </c>
    </row>
    <row r="6393" ht="15.0" hidden="1" customHeight="1">
      <c r="A6393" s="49" t="s">
        <v>566</v>
      </c>
      <c r="B6393" s="50">
        <v>45015.0</v>
      </c>
      <c r="C6393" s="49" t="s">
        <v>780</v>
      </c>
      <c r="D6393" s="49">
        <v>0.0</v>
      </c>
    </row>
    <row r="6394" ht="15.0" hidden="1" customHeight="1">
      <c r="A6394" s="49" t="s">
        <v>571</v>
      </c>
      <c r="B6394" s="50">
        <v>45015.0</v>
      </c>
      <c r="C6394" s="49" t="s">
        <v>780</v>
      </c>
      <c r="D6394" s="49">
        <v>0.0</v>
      </c>
    </row>
    <row r="6395" ht="15.0" hidden="1" customHeight="1">
      <c r="A6395" s="49" t="s">
        <v>576</v>
      </c>
      <c r="B6395" s="50">
        <v>45015.0</v>
      </c>
      <c r="C6395" s="49" t="s">
        <v>780</v>
      </c>
      <c r="D6395" s="49">
        <v>0.0</v>
      </c>
    </row>
    <row r="6396" ht="15.0" hidden="1" customHeight="1">
      <c r="A6396" s="49" t="s">
        <v>581</v>
      </c>
      <c r="B6396" s="50">
        <v>45015.0</v>
      </c>
      <c r="C6396" s="49" t="s">
        <v>780</v>
      </c>
      <c r="D6396" s="49">
        <v>0.0</v>
      </c>
    </row>
    <row r="6397" ht="15.0" hidden="1" customHeight="1">
      <c r="A6397" s="49" t="s">
        <v>586</v>
      </c>
      <c r="B6397" s="50">
        <v>45015.0</v>
      </c>
      <c r="C6397" s="49" t="s">
        <v>780</v>
      </c>
      <c r="D6397" s="49">
        <v>0.0</v>
      </c>
    </row>
    <row r="6398" ht="15.0" hidden="1" customHeight="1">
      <c r="A6398" s="49" t="s">
        <v>754</v>
      </c>
      <c r="B6398" s="50">
        <v>45015.0</v>
      </c>
      <c r="C6398" s="49" t="s">
        <v>780</v>
      </c>
      <c r="D6398" s="49">
        <v>0.0</v>
      </c>
    </row>
    <row r="6399" ht="15.0" hidden="1" customHeight="1">
      <c r="A6399" s="49" t="s">
        <v>591</v>
      </c>
      <c r="B6399" s="50">
        <v>45015.0</v>
      </c>
      <c r="C6399" s="49" t="s">
        <v>780</v>
      </c>
      <c r="D6399" s="49">
        <v>0.0</v>
      </c>
    </row>
    <row r="6400" ht="15.0" hidden="1" customHeight="1">
      <c r="A6400" s="49" t="s">
        <v>759</v>
      </c>
      <c r="B6400" s="50">
        <v>45015.0</v>
      </c>
      <c r="C6400" s="49" t="s">
        <v>780</v>
      </c>
      <c r="D6400" s="49">
        <v>0.0</v>
      </c>
    </row>
    <row r="6401" ht="15.0" hidden="1" customHeight="1">
      <c r="A6401" s="49" t="s">
        <v>596</v>
      </c>
      <c r="B6401" s="50">
        <v>45015.0</v>
      </c>
      <c r="C6401" s="49" t="s">
        <v>780</v>
      </c>
      <c r="D6401" s="49">
        <v>0.0</v>
      </c>
    </row>
    <row r="6402" ht="15.0" hidden="1" customHeight="1">
      <c r="A6402" s="49" t="s">
        <v>602</v>
      </c>
      <c r="B6402" s="50">
        <v>45015.0</v>
      </c>
      <c r="C6402" s="49" t="s">
        <v>780</v>
      </c>
      <c r="D6402" s="49">
        <v>0.0</v>
      </c>
    </row>
    <row r="6403" ht="15.0" hidden="1" customHeight="1">
      <c r="A6403" s="49" t="s">
        <v>607</v>
      </c>
      <c r="B6403" s="50">
        <v>45015.0</v>
      </c>
      <c r="C6403" s="49" t="s">
        <v>780</v>
      </c>
      <c r="D6403" s="49">
        <v>0.0</v>
      </c>
    </row>
    <row r="6404" ht="15.0" hidden="1" customHeight="1">
      <c r="A6404" s="49" t="s">
        <v>612</v>
      </c>
      <c r="B6404" s="50">
        <v>45015.0</v>
      </c>
      <c r="C6404" s="49" t="s">
        <v>780</v>
      </c>
      <c r="D6404" s="49">
        <v>0.0</v>
      </c>
    </row>
    <row r="6405" ht="15.0" hidden="1" customHeight="1">
      <c r="A6405" s="49" t="s">
        <v>617</v>
      </c>
      <c r="B6405" s="50">
        <v>45015.0</v>
      </c>
      <c r="C6405" s="49" t="s">
        <v>780</v>
      </c>
      <c r="D6405" s="49">
        <v>0.0</v>
      </c>
    </row>
    <row r="6406" ht="15.0" hidden="1" customHeight="1">
      <c r="A6406" s="49" t="s">
        <v>622</v>
      </c>
      <c r="B6406" s="50">
        <v>45015.0</v>
      </c>
      <c r="C6406" s="49" t="s">
        <v>780</v>
      </c>
      <c r="D6406" s="49">
        <v>0.0</v>
      </c>
    </row>
    <row r="6407" ht="15.0" hidden="1" customHeight="1">
      <c r="A6407" s="49" t="s">
        <v>627</v>
      </c>
      <c r="B6407" s="50">
        <v>45015.0</v>
      </c>
      <c r="C6407" s="49" t="s">
        <v>780</v>
      </c>
      <c r="D6407" s="49">
        <v>0.0</v>
      </c>
    </row>
    <row r="6408" ht="15.0" hidden="1" customHeight="1">
      <c r="A6408" s="49" t="s">
        <v>631</v>
      </c>
      <c r="B6408" s="50">
        <v>45015.0</v>
      </c>
      <c r="C6408" s="49" t="s">
        <v>780</v>
      </c>
      <c r="D6408" s="49">
        <v>0.0</v>
      </c>
    </row>
    <row r="6409" ht="15.0" hidden="1" customHeight="1">
      <c r="A6409" s="49" t="s">
        <v>636</v>
      </c>
      <c r="B6409" s="50">
        <v>45015.0</v>
      </c>
      <c r="C6409" s="49" t="s">
        <v>780</v>
      </c>
      <c r="D6409" s="49">
        <v>0.0</v>
      </c>
    </row>
    <row r="6410" ht="15.0" hidden="1" customHeight="1">
      <c r="A6410" s="49" t="s">
        <v>640</v>
      </c>
      <c r="B6410" s="50">
        <v>45015.0</v>
      </c>
      <c r="C6410" s="49" t="s">
        <v>780</v>
      </c>
      <c r="D6410" s="49">
        <v>0.0</v>
      </c>
    </row>
    <row r="6411" ht="15.0" hidden="1" customHeight="1">
      <c r="A6411" s="49" t="s">
        <v>644</v>
      </c>
      <c r="B6411" s="50">
        <v>45015.0</v>
      </c>
      <c r="C6411" s="49" t="s">
        <v>780</v>
      </c>
      <c r="D6411" s="49">
        <v>0.0</v>
      </c>
    </row>
    <row r="6412" ht="15.0" hidden="1" customHeight="1">
      <c r="A6412" s="49" t="s">
        <v>649</v>
      </c>
      <c r="B6412" s="50">
        <v>45015.0</v>
      </c>
      <c r="C6412" s="49" t="s">
        <v>780</v>
      </c>
      <c r="D6412" s="49">
        <v>0.0</v>
      </c>
    </row>
    <row r="6413" ht="15.0" hidden="1" customHeight="1">
      <c r="A6413" s="49" t="s">
        <v>654</v>
      </c>
      <c r="B6413" s="50">
        <v>45015.0</v>
      </c>
      <c r="C6413" s="49" t="s">
        <v>780</v>
      </c>
      <c r="D6413" s="49">
        <v>0.0</v>
      </c>
    </row>
    <row r="6414" ht="15.0" hidden="1" customHeight="1">
      <c r="A6414" s="49" t="s">
        <v>659</v>
      </c>
      <c r="B6414" s="50">
        <v>45015.0</v>
      </c>
      <c r="C6414" s="49" t="s">
        <v>780</v>
      </c>
      <c r="D6414" s="49">
        <v>0.0</v>
      </c>
    </row>
    <row r="6415" ht="15.0" hidden="1" customHeight="1">
      <c r="A6415" s="49" t="s">
        <v>664</v>
      </c>
      <c r="B6415" s="50">
        <v>45015.0</v>
      </c>
      <c r="C6415" s="49" t="s">
        <v>780</v>
      </c>
      <c r="D6415" s="49">
        <v>0.0</v>
      </c>
    </row>
    <row r="6416" ht="15.0" hidden="1" customHeight="1">
      <c r="A6416" s="49" t="s">
        <v>669</v>
      </c>
      <c r="B6416" s="50">
        <v>45015.0</v>
      </c>
      <c r="C6416" s="49" t="s">
        <v>780</v>
      </c>
      <c r="D6416" s="49">
        <v>0.0</v>
      </c>
    </row>
    <row r="6417" ht="15.0" hidden="1" customHeight="1">
      <c r="A6417" s="49" t="s">
        <v>674</v>
      </c>
      <c r="B6417" s="50">
        <v>45015.0</v>
      </c>
      <c r="C6417" s="49" t="s">
        <v>780</v>
      </c>
      <c r="D6417" s="49">
        <v>0.0</v>
      </c>
    </row>
    <row r="6418" ht="15.0" hidden="1" customHeight="1">
      <c r="A6418" s="49" t="s">
        <v>679</v>
      </c>
      <c r="B6418" s="50">
        <v>45015.0</v>
      </c>
      <c r="C6418" s="49" t="s">
        <v>780</v>
      </c>
      <c r="D6418" s="49">
        <v>0.0</v>
      </c>
    </row>
    <row r="6419" ht="15.0" hidden="1" customHeight="1">
      <c r="A6419" s="49" t="s">
        <v>684</v>
      </c>
      <c r="B6419" s="50">
        <v>45015.0</v>
      </c>
      <c r="C6419" s="49" t="s">
        <v>780</v>
      </c>
      <c r="D6419" s="49">
        <v>0.0</v>
      </c>
    </row>
    <row r="6420" ht="15.0" hidden="1" customHeight="1">
      <c r="A6420" s="49" t="s">
        <v>689</v>
      </c>
      <c r="B6420" s="50">
        <v>45015.0</v>
      </c>
      <c r="C6420" s="49" t="s">
        <v>780</v>
      </c>
      <c r="D6420" s="49">
        <v>0.0</v>
      </c>
    </row>
    <row r="6421" ht="15.0" hidden="1" customHeight="1">
      <c r="A6421" s="49" t="s">
        <v>694</v>
      </c>
      <c r="B6421" s="50">
        <v>45015.0</v>
      </c>
      <c r="C6421" s="49" t="s">
        <v>780</v>
      </c>
      <c r="D6421" s="49">
        <v>0.0</v>
      </c>
    </row>
    <row r="6422" ht="15.0" hidden="1" customHeight="1">
      <c r="A6422" s="49" t="s">
        <v>699</v>
      </c>
      <c r="B6422" s="50">
        <v>45015.0</v>
      </c>
      <c r="C6422" s="49" t="s">
        <v>780</v>
      </c>
      <c r="D6422" s="49">
        <v>0.0</v>
      </c>
    </row>
    <row r="6423" ht="15.0" hidden="1" customHeight="1">
      <c r="A6423" s="49" t="s">
        <v>705</v>
      </c>
      <c r="B6423" s="50">
        <v>45015.0</v>
      </c>
      <c r="C6423" s="49" t="s">
        <v>780</v>
      </c>
      <c r="D6423" s="49">
        <v>0.0</v>
      </c>
    </row>
    <row r="6424" ht="15.0" hidden="1" customHeight="1">
      <c r="A6424" s="49" t="s">
        <v>710</v>
      </c>
      <c r="B6424" s="50">
        <v>45015.0</v>
      </c>
      <c r="C6424" s="49" t="s">
        <v>780</v>
      </c>
      <c r="D6424" s="49">
        <v>0.0</v>
      </c>
    </row>
    <row r="6425" ht="15.0" hidden="1" customHeight="1">
      <c r="A6425" s="49" t="s">
        <v>715</v>
      </c>
      <c r="B6425" s="50">
        <v>45015.0</v>
      </c>
      <c r="C6425" s="49" t="s">
        <v>780</v>
      </c>
      <c r="D6425" s="49">
        <v>0.0</v>
      </c>
    </row>
    <row r="6426" ht="15.0" hidden="1" customHeight="1">
      <c r="A6426" s="49" t="s">
        <v>765</v>
      </c>
      <c r="B6426" s="50">
        <v>45015.0</v>
      </c>
      <c r="C6426" s="49" t="s">
        <v>780</v>
      </c>
      <c r="D6426" s="49">
        <v>0.0</v>
      </c>
    </row>
    <row r="6427" ht="15.0" hidden="1" customHeight="1">
      <c r="A6427" s="49" t="s">
        <v>720</v>
      </c>
      <c r="B6427" s="50">
        <v>45015.0</v>
      </c>
      <c r="C6427" s="49" t="s">
        <v>780</v>
      </c>
      <c r="D6427" s="49">
        <v>0.0</v>
      </c>
    </row>
    <row r="6428" ht="15.0" hidden="1" customHeight="1">
      <c r="A6428" s="49" t="s">
        <v>725</v>
      </c>
      <c r="B6428" s="50">
        <v>45015.0</v>
      </c>
      <c r="C6428" s="49" t="s">
        <v>780</v>
      </c>
      <c r="D6428" s="49">
        <v>0.0</v>
      </c>
    </row>
    <row r="6429" ht="15.0" hidden="1" customHeight="1">
      <c r="A6429" s="49" t="s">
        <v>730</v>
      </c>
      <c r="B6429" s="50">
        <v>45015.0</v>
      </c>
      <c r="C6429" s="49" t="s">
        <v>780</v>
      </c>
      <c r="D6429" s="49">
        <v>0.0</v>
      </c>
    </row>
    <row r="6430" ht="15.0" hidden="1" customHeight="1">
      <c r="A6430" s="49" t="s">
        <v>734</v>
      </c>
      <c r="B6430" s="50">
        <v>45015.0</v>
      </c>
      <c r="C6430" s="49" t="s">
        <v>780</v>
      </c>
      <c r="D6430" s="49">
        <v>0.0</v>
      </c>
    </row>
    <row r="6431" ht="15.0" hidden="1" customHeight="1">
      <c r="A6431" s="49" t="s">
        <v>739</v>
      </c>
      <c r="B6431" s="50">
        <v>45015.0</v>
      </c>
      <c r="C6431" s="49" t="s">
        <v>780</v>
      </c>
      <c r="D6431" s="49">
        <v>0.0</v>
      </c>
    </row>
    <row r="6432" ht="15.0" hidden="1" customHeight="1">
      <c r="A6432" s="49" t="s">
        <v>744</v>
      </c>
      <c r="B6432" s="50">
        <v>45015.0</v>
      </c>
      <c r="C6432" s="49" t="s">
        <v>780</v>
      </c>
      <c r="D6432" s="49">
        <v>0.0</v>
      </c>
    </row>
    <row r="6433" ht="15.0" hidden="1" customHeight="1">
      <c r="A6433" s="49" t="s">
        <v>749</v>
      </c>
      <c r="B6433" s="50">
        <v>45015.0</v>
      </c>
      <c r="C6433" s="49" t="s">
        <v>780</v>
      </c>
      <c r="D6433" s="49">
        <v>0.0</v>
      </c>
    </row>
    <row r="6434" ht="15.0" customHeight="1">
      <c r="A6434" s="49" t="s">
        <v>776</v>
      </c>
      <c r="B6434" s="50">
        <v>45107.0</v>
      </c>
      <c r="C6434" s="49" t="s">
        <v>777</v>
      </c>
      <c r="D6434" s="49">
        <v>0.0</v>
      </c>
    </row>
    <row r="6435" ht="15.0" hidden="1" customHeight="1">
      <c r="A6435" s="49" t="s">
        <v>778</v>
      </c>
      <c r="B6435" s="50">
        <v>45107.0</v>
      </c>
      <c r="C6435" s="49" t="s">
        <v>777</v>
      </c>
      <c r="D6435" s="49">
        <v>0.0</v>
      </c>
    </row>
    <row r="6436" ht="15.0" hidden="1" customHeight="1">
      <c r="A6436" s="49" t="s">
        <v>92</v>
      </c>
      <c r="B6436" s="50">
        <v>45107.0</v>
      </c>
      <c r="C6436" s="49" t="s">
        <v>777</v>
      </c>
      <c r="D6436" s="49">
        <v>0.0</v>
      </c>
    </row>
    <row r="6437" ht="15.0" hidden="1" customHeight="1">
      <c r="A6437" s="49" t="s">
        <v>97</v>
      </c>
      <c r="B6437" s="50">
        <v>45107.0</v>
      </c>
      <c r="C6437" s="49" t="s">
        <v>777</v>
      </c>
      <c r="D6437" s="49">
        <v>0.0</v>
      </c>
    </row>
    <row r="6438" ht="15.0" hidden="1" customHeight="1">
      <c r="A6438" s="49" t="s">
        <v>102</v>
      </c>
      <c r="B6438" s="50">
        <v>45107.0</v>
      </c>
      <c r="C6438" s="49" t="s">
        <v>777</v>
      </c>
      <c r="D6438" s="49">
        <v>0.0</v>
      </c>
    </row>
    <row r="6439" ht="15.0" hidden="1" customHeight="1">
      <c r="A6439" s="49" t="s">
        <v>106</v>
      </c>
      <c r="B6439" s="50">
        <v>45107.0</v>
      </c>
      <c r="C6439" s="49" t="s">
        <v>777</v>
      </c>
      <c r="D6439" s="49">
        <v>0.0</v>
      </c>
    </row>
    <row r="6440" ht="15.0" hidden="1" customHeight="1">
      <c r="A6440" s="49" t="s">
        <v>111</v>
      </c>
      <c r="B6440" s="50">
        <v>45107.0</v>
      </c>
      <c r="C6440" s="49" t="s">
        <v>777</v>
      </c>
      <c r="D6440" s="49">
        <v>0.0</v>
      </c>
    </row>
    <row r="6441" ht="15.0" hidden="1" customHeight="1">
      <c r="A6441" s="49" t="s">
        <v>116</v>
      </c>
      <c r="B6441" s="50">
        <v>45107.0</v>
      </c>
      <c r="C6441" s="49" t="s">
        <v>777</v>
      </c>
      <c r="D6441" s="49">
        <v>0.0</v>
      </c>
    </row>
    <row r="6442" ht="15.0" hidden="1" customHeight="1">
      <c r="A6442" s="49" t="s">
        <v>120</v>
      </c>
      <c r="B6442" s="50">
        <v>45107.0</v>
      </c>
      <c r="C6442" s="49" t="s">
        <v>777</v>
      </c>
      <c r="D6442" s="49">
        <v>0.0</v>
      </c>
    </row>
    <row r="6443" ht="15.0" hidden="1" customHeight="1">
      <c r="A6443" s="49" t="s">
        <v>125</v>
      </c>
      <c r="B6443" s="50">
        <v>45107.0</v>
      </c>
      <c r="C6443" s="49" t="s">
        <v>777</v>
      </c>
      <c r="D6443" s="49">
        <v>0.0</v>
      </c>
    </row>
    <row r="6444" ht="15.0" hidden="1" customHeight="1">
      <c r="A6444" s="49" t="s">
        <v>130</v>
      </c>
      <c r="B6444" s="50">
        <v>45107.0</v>
      </c>
      <c r="C6444" s="49" t="s">
        <v>777</v>
      </c>
      <c r="D6444" s="49">
        <v>0.0</v>
      </c>
    </row>
    <row r="6445" ht="15.0" hidden="1" customHeight="1">
      <c r="A6445" s="49" t="s">
        <v>137</v>
      </c>
      <c r="B6445" s="50">
        <v>45107.0</v>
      </c>
      <c r="C6445" s="49" t="s">
        <v>777</v>
      </c>
      <c r="D6445" s="49">
        <v>0.0</v>
      </c>
    </row>
    <row r="6446" ht="15.0" hidden="1" customHeight="1">
      <c r="A6446" s="49" t="s">
        <v>142</v>
      </c>
      <c r="B6446" s="50">
        <v>45107.0</v>
      </c>
      <c r="C6446" s="49" t="s">
        <v>777</v>
      </c>
      <c r="D6446" s="49">
        <v>0.0</v>
      </c>
    </row>
    <row r="6447" ht="15.0" hidden="1" customHeight="1">
      <c r="A6447" s="49" t="s">
        <v>147</v>
      </c>
      <c r="B6447" s="50">
        <v>45107.0</v>
      </c>
      <c r="C6447" s="49" t="s">
        <v>777</v>
      </c>
      <c r="D6447" s="49">
        <v>0.0</v>
      </c>
    </row>
    <row r="6448" ht="15.0" hidden="1" customHeight="1">
      <c r="A6448" s="49" t="s">
        <v>152</v>
      </c>
      <c r="B6448" s="50">
        <v>45107.0</v>
      </c>
      <c r="C6448" s="49" t="s">
        <v>777</v>
      </c>
      <c r="D6448" s="49">
        <v>0.0</v>
      </c>
    </row>
    <row r="6449" ht="15.0" hidden="1" customHeight="1">
      <c r="A6449" s="49" t="s">
        <v>157</v>
      </c>
      <c r="B6449" s="50">
        <v>45107.0</v>
      </c>
      <c r="C6449" s="49" t="s">
        <v>777</v>
      </c>
      <c r="D6449" s="49">
        <v>0.0</v>
      </c>
    </row>
    <row r="6450" ht="15.0" hidden="1" customHeight="1">
      <c r="A6450" s="49" t="s">
        <v>162</v>
      </c>
      <c r="B6450" s="50">
        <v>45107.0</v>
      </c>
      <c r="C6450" s="49" t="s">
        <v>777</v>
      </c>
      <c r="D6450" s="49">
        <v>0.0</v>
      </c>
    </row>
    <row r="6451" ht="15.0" hidden="1" customHeight="1">
      <c r="A6451" s="49" t="s">
        <v>167</v>
      </c>
      <c r="B6451" s="50">
        <v>45107.0</v>
      </c>
      <c r="C6451" s="49" t="s">
        <v>777</v>
      </c>
      <c r="D6451" s="49">
        <v>0.0</v>
      </c>
    </row>
    <row r="6452" ht="15.0" hidden="1" customHeight="1">
      <c r="A6452" s="49" t="s">
        <v>172</v>
      </c>
      <c r="B6452" s="50">
        <v>45107.0</v>
      </c>
      <c r="C6452" s="49" t="s">
        <v>777</v>
      </c>
      <c r="D6452" s="49">
        <v>0.0</v>
      </c>
    </row>
    <row r="6453" ht="15.0" hidden="1" customHeight="1">
      <c r="A6453" s="49" t="s">
        <v>177</v>
      </c>
      <c r="B6453" s="50">
        <v>45107.0</v>
      </c>
      <c r="C6453" s="49" t="s">
        <v>777</v>
      </c>
      <c r="D6453" s="49">
        <v>0.0</v>
      </c>
    </row>
    <row r="6454" ht="15.0" hidden="1" customHeight="1">
      <c r="A6454" s="49" t="s">
        <v>182</v>
      </c>
      <c r="B6454" s="50">
        <v>45107.0</v>
      </c>
      <c r="C6454" s="49" t="s">
        <v>777</v>
      </c>
      <c r="D6454" s="49">
        <v>0.0</v>
      </c>
    </row>
    <row r="6455" ht="15.0" hidden="1" customHeight="1">
      <c r="A6455" s="49" t="s">
        <v>187</v>
      </c>
      <c r="B6455" s="50">
        <v>45107.0</v>
      </c>
      <c r="C6455" s="49" t="s">
        <v>777</v>
      </c>
      <c r="D6455" s="49">
        <v>0.0</v>
      </c>
    </row>
    <row r="6456" ht="15.0" hidden="1" customHeight="1">
      <c r="A6456" s="49" t="s">
        <v>192</v>
      </c>
      <c r="B6456" s="50">
        <v>45107.0</v>
      </c>
      <c r="C6456" s="49" t="s">
        <v>777</v>
      </c>
      <c r="D6456" s="49">
        <v>0.0</v>
      </c>
    </row>
    <row r="6457" ht="15.0" hidden="1" customHeight="1">
      <c r="A6457" s="49" t="s">
        <v>197</v>
      </c>
      <c r="B6457" s="50">
        <v>45107.0</v>
      </c>
      <c r="C6457" s="49" t="s">
        <v>777</v>
      </c>
      <c r="D6457" s="49">
        <v>0.0</v>
      </c>
    </row>
    <row r="6458" ht="15.0" hidden="1" customHeight="1">
      <c r="A6458" s="49" t="s">
        <v>202</v>
      </c>
      <c r="B6458" s="50">
        <v>45107.0</v>
      </c>
      <c r="C6458" s="49" t="s">
        <v>777</v>
      </c>
      <c r="D6458" s="49">
        <v>0.0</v>
      </c>
    </row>
    <row r="6459" ht="15.0" hidden="1" customHeight="1">
      <c r="A6459" s="49" t="s">
        <v>206</v>
      </c>
      <c r="B6459" s="50">
        <v>45107.0</v>
      </c>
      <c r="C6459" s="49" t="s">
        <v>777</v>
      </c>
      <c r="D6459" s="49">
        <v>0.0</v>
      </c>
    </row>
    <row r="6460" ht="15.0" hidden="1" customHeight="1">
      <c r="A6460" s="49" t="s">
        <v>211</v>
      </c>
      <c r="B6460" s="50">
        <v>45107.0</v>
      </c>
      <c r="C6460" s="49" t="s">
        <v>777</v>
      </c>
      <c r="D6460" s="49">
        <v>0.0</v>
      </c>
    </row>
    <row r="6461" ht="15.0" hidden="1" customHeight="1">
      <c r="A6461" s="49" t="s">
        <v>779</v>
      </c>
      <c r="B6461" s="50">
        <v>45107.0</v>
      </c>
      <c r="C6461" s="49" t="s">
        <v>777</v>
      </c>
      <c r="D6461" s="49">
        <v>0.0</v>
      </c>
    </row>
    <row r="6462" ht="15.0" hidden="1" customHeight="1">
      <c r="A6462" s="49" t="s">
        <v>221</v>
      </c>
      <c r="B6462" s="50">
        <v>45107.0</v>
      </c>
      <c r="C6462" s="49" t="s">
        <v>777</v>
      </c>
      <c r="D6462" s="49">
        <v>0.0</v>
      </c>
    </row>
    <row r="6463" ht="15.0" hidden="1" customHeight="1">
      <c r="A6463" s="49" t="s">
        <v>226</v>
      </c>
      <c r="B6463" s="50">
        <v>45107.0</v>
      </c>
      <c r="C6463" s="49" t="s">
        <v>777</v>
      </c>
      <c r="D6463" s="49">
        <v>0.0</v>
      </c>
    </row>
    <row r="6464" ht="15.0" hidden="1" customHeight="1">
      <c r="A6464" s="49" t="s">
        <v>231</v>
      </c>
      <c r="B6464" s="50">
        <v>45107.0</v>
      </c>
      <c r="C6464" s="49" t="s">
        <v>777</v>
      </c>
      <c r="D6464" s="49">
        <v>0.0</v>
      </c>
    </row>
    <row r="6465" ht="15.0" hidden="1" customHeight="1">
      <c r="A6465" s="49" t="s">
        <v>236</v>
      </c>
      <c r="B6465" s="50">
        <v>45107.0</v>
      </c>
      <c r="C6465" s="49" t="s">
        <v>777</v>
      </c>
      <c r="D6465" s="49">
        <v>0.0</v>
      </c>
    </row>
    <row r="6466" ht="15.0" hidden="1" customHeight="1">
      <c r="A6466" s="49" t="s">
        <v>242</v>
      </c>
      <c r="B6466" s="50">
        <v>45107.0</v>
      </c>
      <c r="C6466" s="49" t="s">
        <v>777</v>
      </c>
      <c r="D6466" s="49">
        <v>0.0</v>
      </c>
    </row>
    <row r="6467" ht="15.0" hidden="1" customHeight="1">
      <c r="A6467" s="49" t="s">
        <v>248</v>
      </c>
      <c r="B6467" s="50">
        <v>45107.0</v>
      </c>
      <c r="C6467" s="49" t="s">
        <v>777</v>
      </c>
      <c r="D6467" s="49">
        <v>0.0</v>
      </c>
    </row>
    <row r="6468" ht="15.0" hidden="1" customHeight="1">
      <c r="A6468" s="49" t="s">
        <v>253</v>
      </c>
      <c r="B6468" s="50">
        <v>45107.0</v>
      </c>
      <c r="C6468" s="49" t="s">
        <v>777</v>
      </c>
      <c r="D6468" s="49">
        <v>0.0</v>
      </c>
    </row>
    <row r="6469" ht="15.0" hidden="1" customHeight="1">
      <c r="A6469" s="49" t="s">
        <v>258</v>
      </c>
      <c r="B6469" s="50">
        <v>45107.0</v>
      </c>
      <c r="C6469" s="49" t="s">
        <v>777</v>
      </c>
      <c r="D6469" s="49">
        <v>0.0</v>
      </c>
    </row>
    <row r="6470" ht="15.0" hidden="1" customHeight="1">
      <c r="A6470" s="49" t="s">
        <v>263</v>
      </c>
      <c r="B6470" s="50">
        <v>45107.0</v>
      </c>
      <c r="C6470" s="49" t="s">
        <v>777</v>
      </c>
      <c r="D6470" s="49">
        <v>0.0</v>
      </c>
    </row>
    <row r="6471" ht="15.0" hidden="1" customHeight="1">
      <c r="A6471" s="49" t="s">
        <v>268</v>
      </c>
      <c r="B6471" s="50">
        <v>45107.0</v>
      </c>
      <c r="C6471" s="49" t="s">
        <v>777</v>
      </c>
      <c r="D6471" s="49">
        <v>0.0</v>
      </c>
    </row>
    <row r="6472" ht="15.0" hidden="1" customHeight="1">
      <c r="A6472" s="49" t="s">
        <v>273</v>
      </c>
      <c r="B6472" s="50">
        <v>45107.0</v>
      </c>
      <c r="C6472" s="49" t="s">
        <v>777</v>
      </c>
      <c r="D6472" s="49">
        <v>0.0</v>
      </c>
    </row>
    <row r="6473" ht="15.0" hidden="1" customHeight="1">
      <c r="A6473" s="49" t="s">
        <v>278</v>
      </c>
      <c r="B6473" s="50">
        <v>45107.0</v>
      </c>
      <c r="C6473" s="49" t="s">
        <v>777</v>
      </c>
      <c r="D6473" s="49">
        <v>0.0</v>
      </c>
    </row>
    <row r="6474" ht="15.0" hidden="1" customHeight="1">
      <c r="A6474" s="49" t="s">
        <v>283</v>
      </c>
      <c r="B6474" s="50">
        <v>45107.0</v>
      </c>
      <c r="C6474" s="49" t="s">
        <v>777</v>
      </c>
      <c r="D6474" s="49">
        <v>0.0</v>
      </c>
    </row>
    <row r="6475" ht="15.0" hidden="1" customHeight="1">
      <c r="A6475" s="49" t="s">
        <v>288</v>
      </c>
      <c r="B6475" s="50">
        <v>45107.0</v>
      </c>
      <c r="C6475" s="49" t="s">
        <v>777</v>
      </c>
      <c r="D6475" s="49">
        <v>0.0</v>
      </c>
    </row>
    <row r="6476" ht="15.0" hidden="1" customHeight="1">
      <c r="A6476" s="49" t="s">
        <v>293</v>
      </c>
      <c r="B6476" s="50">
        <v>45107.0</v>
      </c>
      <c r="C6476" s="49" t="s">
        <v>777</v>
      </c>
      <c r="D6476" s="49">
        <v>0.0</v>
      </c>
    </row>
    <row r="6477" ht="15.0" hidden="1" customHeight="1">
      <c r="A6477" s="49" t="s">
        <v>298</v>
      </c>
      <c r="B6477" s="50">
        <v>45107.0</v>
      </c>
      <c r="C6477" s="49" t="s">
        <v>777</v>
      </c>
      <c r="D6477" s="49">
        <v>0.0</v>
      </c>
    </row>
    <row r="6478" ht="15.0" hidden="1" customHeight="1">
      <c r="A6478" s="49" t="s">
        <v>303</v>
      </c>
      <c r="B6478" s="50">
        <v>45107.0</v>
      </c>
      <c r="C6478" s="49" t="s">
        <v>777</v>
      </c>
      <c r="D6478" s="49">
        <v>0.0</v>
      </c>
    </row>
    <row r="6479" ht="15.0" hidden="1" customHeight="1">
      <c r="A6479" s="49" t="s">
        <v>307</v>
      </c>
      <c r="B6479" s="50">
        <v>45107.0</v>
      </c>
      <c r="C6479" s="49" t="s">
        <v>777</v>
      </c>
      <c r="D6479" s="49">
        <v>0.0</v>
      </c>
    </row>
    <row r="6480" ht="15.0" hidden="1" customHeight="1">
      <c r="A6480" s="49" t="s">
        <v>313</v>
      </c>
      <c r="B6480" s="50">
        <v>45107.0</v>
      </c>
      <c r="C6480" s="49" t="s">
        <v>777</v>
      </c>
      <c r="D6480" s="49">
        <v>0.0</v>
      </c>
    </row>
    <row r="6481" ht="15.0" hidden="1" customHeight="1">
      <c r="A6481" s="49" t="s">
        <v>318</v>
      </c>
      <c r="B6481" s="50">
        <v>45107.0</v>
      </c>
      <c r="C6481" s="49" t="s">
        <v>777</v>
      </c>
      <c r="D6481" s="49">
        <v>0.0</v>
      </c>
    </row>
    <row r="6482" ht="15.0" hidden="1" customHeight="1">
      <c r="A6482" s="49" t="s">
        <v>323</v>
      </c>
      <c r="B6482" s="50">
        <v>45107.0</v>
      </c>
      <c r="C6482" s="49" t="s">
        <v>777</v>
      </c>
      <c r="D6482" s="49">
        <v>0.0</v>
      </c>
    </row>
    <row r="6483" ht="15.0" hidden="1" customHeight="1">
      <c r="A6483" s="49" t="s">
        <v>328</v>
      </c>
      <c r="B6483" s="50">
        <v>45107.0</v>
      </c>
      <c r="C6483" s="49" t="s">
        <v>777</v>
      </c>
      <c r="D6483" s="49">
        <v>1000000.0</v>
      </c>
    </row>
    <row r="6484" ht="15.0" hidden="1" customHeight="1">
      <c r="A6484" s="49" t="s">
        <v>335</v>
      </c>
      <c r="B6484" s="50">
        <v>45107.0</v>
      </c>
      <c r="C6484" s="49" t="s">
        <v>777</v>
      </c>
      <c r="D6484" s="49">
        <v>0.0</v>
      </c>
    </row>
    <row r="6485" ht="15.0" hidden="1" customHeight="1">
      <c r="A6485" s="49" t="s">
        <v>340</v>
      </c>
      <c r="B6485" s="50">
        <v>45107.0</v>
      </c>
      <c r="C6485" s="49" t="s">
        <v>777</v>
      </c>
      <c r="D6485" s="49">
        <v>0.0</v>
      </c>
    </row>
    <row r="6486" ht="15.0" hidden="1" customHeight="1">
      <c r="A6486" s="49" t="s">
        <v>345</v>
      </c>
      <c r="B6486" s="50">
        <v>45107.0</v>
      </c>
      <c r="C6486" s="49" t="s">
        <v>777</v>
      </c>
      <c r="D6486" s="49">
        <v>0.0</v>
      </c>
    </row>
    <row r="6487" ht="15.0" hidden="1" customHeight="1">
      <c r="A6487" s="49" t="s">
        <v>350</v>
      </c>
      <c r="B6487" s="50">
        <v>45107.0</v>
      </c>
      <c r="C6487" s="49" t="s">
        <v>777</v>
      </c>
      <c r="D6487" s="49">
        <v>0.0</v>
      </c>
    </row>
    <row r="6488" ht="15.0" hidden="1" customHeight="1">
      <c r="A6488" s="49" t="s">
        <v>355</v>
      </c>
      <c r="B6488" s="50">
        <v>45107.0</v>
      </c>
      <c r="C6488" s="49" t="s">
        <v>777</v>
      </c>
      <c r="D6488" s="49">
        <v>0.0</v>
      </c>
    </row>
    <row r="6489" ht="15.0" hidden="1" customHeight="1">
      <c r="A6489" s="49" t="s">
        <v>360</v>
      </c>
      <c r="B6489" s="50">
        <v>45107.0</v>
      </c>
      <c r="C6489" s="49" t="s">
        <v>777</v>
      </c>
      <c r="D6489" s="49">
        <v>0.0</v>
      </c>
    </row>
    <row r="6490" ht="15.0" hidden="1" customHeight="1">
      <c r="A6490" s="49" t="s">
        <v>365</v>
      </c>
      <c r="B6490" s="50">
        <v>45107.0</v>
      </c>
      <c r="C6490" s="49" t="s">
        <v>777</v>
      </c>
      <c r="D6490" s="49">
        <v>1644300.0</v>
      </c>
    </row>
    <row r="6491" ht="15.0" hidden="1" customHeight="1">
      <c r="A6491" s="49" t="s">
        <v>370</v>
      </c>
      <c r="B6491" s="50">
        <v>45107.0</v>
      </c>
      <c r="C6491" s="49" t="s">
        <v>777</v>
      </c>
      <c r="D6491" s="49">
        <v>0.0</v>
      </c>
    </row>
    <row r="6492" ht="15.0" hidden="1" customHeight="1">
      <c r="A6492" s="49" t="s">
        <v>375</v>
      </c>
      <c r="B6492" s="50">
        <v>45107.0</v>
      </c>
      <c r="C6492" s="49" t="s">
        <v>777</v>
      </c>
      <c r="D6492" s="49">
        <v>2860551.77</v>
      </c>
    </row>
    <row r="6493" ht="15.0" hidden="1" customHeight="1">
      <c r="A6493" s="49" t="s">
        <v>380</v>
      </c>
      <c r="B6493" s="50">
        <v>45107.0</v>
      </c>
      <c r="C6493" s="49" t="s">
        <v>777</v>
      </c>
      <c r="D6493" s="49">
        <v>0.0</v>
      </c>
    </row>
    <row r="6494" ht="15.0" hidden="1" customHeight="1">
      <c r="A6494" s="49" t="s">
        <v>385</v>
      </c>
      <c r="B6494" s="50">
        <v>45107.0</v>
      </c>
      <c r="C6494" s="49" t="s">
        <v>777</v>
      </c>
      <c r="D6494" s="49">
        <v>9600000.0</v>
      </c>
    </row>
    <row r="6495" ht="15.0" hidden="1" customHeight="1">
      <c r="A6495" s="49" t="s">
        <v>390</v>
      </c>
      <c r="B6495" s="50">
        <v>45107.0</v>
      </c>
      <c r="C6495" s="49" t="s">
        <v>777</v>
      </c>
      <c r="D6495" s="49">
        <v>7532011.220000001</v>
      </c>
    </row>
    <row r="6496" ht="15.0" hidden="1" customHeight="1">
      <c r="A6496" s="49" t="s">
        <v>395</v>
      </c>
      <c r="B6496" s="50">
        <v>45107.0</v>
      </c>
      <c r="C6496" s="49" t="s">
        <v>777</v>
      </c>
      <c r="D6496" s="49">
        <v>500000.0</v>
      </c>
    </row>
    <row r="6497" ht="15.0" hidden="1" customHeight="1">
      <c r="A6497" s="49" t="s">
        <v>400</v>
      </c>
      <c r="B6497" s="50">
        <v>45107.0</v>
      </c>
      <c r="C6497" s="49" t="s">
        <v>777</v>
      </c>
      <c r="D6497" s="49">
        <v>0.0</v>
      </c>
    </row>
    <row r="6498" ht="15.0" hidden="1" customHeight="1">
      <c r="A6498" s="49" t="s">
        <v>405</v>
      </c>
      <c r="B6498" s="50">
        <v>45107.0</v>
      </c>
      <c r="C6498" s="49" t="s">
        <v>777</v>
      </c>
      <c r="D6498" s="49">
        <v>3000000.0</v>
      </c>
    </row>
    <row r="6499" ht="15.0" hidden="1" customHeight="1">
      <c r="A6499" s="49" t="s">
        <v>410</v>
      </c>
      <c r="B6499" s="50">
        <v>45107.0</v>
      </c>
      <c r="C6499" s="49" t="s">
        <v>777</v>
      </c>
      <c r="D6499" s="49">
        <v>0.0</v>
      </c>
    </row>
    <row r="6500" ht="15.0" hidden="1" customHeight="1">
      <c r="A6500" s="49" t="s">
        <v>415</v>
      </c>
      <c r="B6500" s="50">
        <v>45107.0</v>
      </c>
      <c r="C6500" s="49" t="s">
        <v>777</v>
      </c>
      <c r="D6500" s="49">
        <v>4000000.0</v>
      </c>
    </row>
    <row r="6501" ht="15.0" hidden="1" customHeight="1">
      <c r="A6501" s="49" t="s">
        <v>420</v>
      </c>
      <c r="B6501" s="50">
        <v>45107.0</v>
      </c>
      <c r="C6501" s="49" t="s">
        <v>777</v>
      </c>
      <c r="D6501" s="49">
        <v>0.0</v>
      </c>
    </row>
    <row r="6502" ht="15.0" hidden="1" customHeight="1">
      <c r="A6502" s="49" t="s">
        <v>425</v>
      </c>
      <c r="B6502" s="50">
        <v>45107.0</v>
      </c>
      <c r="C6502" s="49" t="s">
        <v>777</v>
      </c>
      <c r="D6502" s="49">
        <v>0.0</v>
      </c>
    </row>
    <row r="6503" ht="15.0" hidden="1" customHeight="1">
      <c r="A6503" s="49" t="s">
        <v>430</v>
      </c>
      <c r="B6503" s="50">
        <v>45107.0</v>
      </c>
      <c r="C6503" s="49" t="s">
        <v>777</v>
      </c>
      <c r="D6503" s="49">
        <v>0.0</v>
      </c>
    </row>
    <row r="6504" ht="15.0" hidden="1" customHeight="1">
      <c r="A6504" s="49" t="s">
        <v>434</v>
      </c>
      <c r="B6504" s="50">
        <v>45107.0</v>
      </c>
      <c r="C6504" s="49" t="s">
        <v>777</v>
      </c>
      <c r="D6504" s="49">
        <v>0.0</v>
      </c>
    </row>
    <row r="6505" ht="15.0" hidden="1" customHeight="1">
      <c r="A6505" s="49" t="s">
        <v>439</v>
      </c>
      <c r="B6505" s="50">
        <v>45107.0</v>
      </c>
      <c r="C6505" s="49" t="s">
        <v>777</v>
      </c>
      <c r="D6505" s="49">
        <v>0.0</v>
      </c>
    </row>
    <row r="6506" ht="15.0" hidden="1" customHeight="1">
      <c r="A6506" s="49" t="s">
        <v>444</v>
      </c>
      <c r="B6506" s="50">
        <v>45107.0</v>
      </c>
      <c r="C6506" s="49" t="s">
        <v>777</v>
      </c>
      <c r="D6506" s="49">
        <v>0.0</v>
      </c>
    </row>
    <row r="6507" ht="15.0" hidden="1" customHeight="1">
      <c r="A6507" s="49" t="s">
        <v>449</v>
      </c>
      <c r="B6507" s="50">
        <v>45107.0</v>
      </c>
      <c r="C6507" s="49" t="s">
        <v>777</v>
      </c>
      <c r="D6507" s="49">
        <v>0.0</v>
      </c>
    </row>
    <row r="6508" ht="15.0" hidden="1" customHeight="1">
      <c r="A6508" s="49" t="s">
        <v>455</v>
      </c>
      <c r="B6508" s="50">
        <v>45107.0</v>
      </c>
      <c r="C6508" s="49" t="s">
        <v>777</v>
      </c>
      <c r="D6508" s="49">
        <v>0.0</v>
      </c>
    </row>
    <row r="6509" ht="15.0" hidden="1" customHeight="1">
      <c r="A6509" s="49" t="s">
        <v>470</v>
      </c>
      <c r="B6509" s="50">
        <v>45107.0</v>
      </c>
      <c r="C6509" s="49" t="s">
        <v>777</v>
      </c>
      <c r="D6509" s="49">
        <v>0.0</v>
      </c>
    </row>
    <row r="6510" ht="15.0" hidden="1" customHeight="1">
      <c r="A6510" s="49" t="s">
        <v>476</v>
      </c>
      <c r="B6510" s="50">
        <v>45107.0</v>
      </c>
      <c r="C6510" s="49" t="s">
        <v>777</v>
      </c>
      <c r="D6510" s="49">
        <v>0.0</v>
      </c>
    </row>
    <row r="6511" ht="15.0" hidden="1" customHeight="1">
      <c r="A6511" s="49" t="s">
        <v>481</v>
      </c>
      <c r="B6511" s="50">
        <v>45107.0</v>
      </c>
      <c r="C6511" s="49" t="s">
        <v>777</v>
      </c>
      <c r="D6511" s="49">
        <v>0.0</v>
      </c>
    </row>
    <row r="6512" ht="15.0" hidden="1" customHeight="1">
      <c r="A6512" s="49" t="s">
        <v>486</v>
      </c>
      <c r="B6512" s="50">
        <v>45107.0</v>
      </c>
      <c r="C6512" s="49" t="s">
        <v>777</v>
      </c>
      <c r="D6512" s="49">
        <v>0.0</v>
      </c>
    </row>
    <row r="6513" ht="15.0" hidden="1" customHeight="1">
      <c r="A6513" s="49" t="s">
        <v>491</v>
      </c>
      <c r="B6513" s="50">
        <v>45107.0</v>
      </c>
      <c r="C6513" s="49" t="s">
        <v>777</v>
      </c>
      <c r="D6513" s="49">
        <v>0.0</v>
      </c>
    </row>
    <row r="6514" ht="15.0" hidden="1" customHeight="1">
      <c r="A6514" s="49" t="s">
        <v>496</v>
      </c>
      <c r="B6514" s="50">
        <v>45107.0</v>
      </c>
      <c r="C6514" s="49" t="s">
        <v>777</v>
      </c>
      <c r="D6514" s="49">
        <v>0.0</v>
      </c>
    </row>
    <row r="6515" ht="15.0" hidden="1" customHeight="1">
      <c r="A6515" s="49" t="s">
        <v>501</v>
      </c>
      <c r="B6515" s="50">
        <v>45107.0</v>
      </c>
      <c r="C6515" s="49" t="s">
        <v>777</v>
      </c>
      <c r="D6515" s="49">
        <v>0.0</v>
      </c>
    </row>
    <row r="6516" ht="15.0" hidden="1" customHeight="1">
      <c r="A6516" s="49" t="s">
        <v>506</v>
      </c>
      <c r="B6516" s="50">
        <v>45107.0</v>
      </c>
      <c r="C6516" s="49" t="s">
        <v>777</v>
      </c>
      <c r="D6516" s="49">
        <v>0.0</v>
      </c>
    </row>
    <row r="6517" ht="15.0" hidden="1" customHeight="1">
      <c r="A6517" s="49" t="s">
        <v>512</v>
      </c>
      <c r="B6517" s="50">
        <v>45107.0</v>
      </c>
      <c r="C6517" s="49" t="s">
        <v>777</v>
      </c>
      <c r="D6517" s="49">
        <v>0.0</v>
      </c>
    </row>
    <row r="6518" ht="15.0" hidden="1" customHeight="1">
      <c r="A6518" s="49" t="s">
        <v>517</v>
      </c>
      <c r="B6518" s="50">
        <v>45107.0</v>
      </c>
      <c r="C6518" s="49" t="s">
        <v>777</v>
      </c>
      <c r="D6518" s="49">
        <v>0.0</v>
      </c>
    </row>
    <row r="6519" ht="15.0" hidden="1" customHeight="1">
      <c r="A6519" s="49" t="s">
        <v>522</v>
      </c>
      <c r="B6519" s="50">
        <v>45107.0</v>
      </c>
      <c r="C6519" s="49" t="s">
        <v>777</v>
      </c>
      <c r="D6519" s="49">
        <v>0.0</v>
      </c>
    </row>
    <row r="6520" ht="15.0" hidden="1" customHeight="1">
      <c r="A6520" s="49" t="s">
        <v>528</v>
      </c>
      <c r="B6520" s="50">
        <v>45107.0</v>
      </c>
      <c r="C6520" s="49" t="s">
        <v>777</v>
      </c>
      <c r="D6520" s="49">
        <v>0.0</v>
      </c>
    </row>
    <row r="6521" ht="15.0" hidden="1" customHeight="1">
      <c r="A6521" s="49" t="s">
        <v>533</v>
      </c>
      <c r="B6521" s="50">
        <v>45107.0</v>
      </c>
      <c r="C6521" s="49" t="s">
        <v>777</v>
      </c>
      <c r="D6521" s="49">
        <v>0.0</v>
      </c>
    </row>
    <row r="6522" ht="15.0" hidden="1" customHeight="1">
      <c r="A6522" s="49" t="s">
        <v>538</v>
      </c>
      <c r="B6522" s="50">
        <v>45107.0</v>
      </c>
      <c r="C6522" s="49" t="s">
        <v>777</v>
      </c>
      <c r="D6522" s="49">
        <v>0.0</v>
      </c>
    </row>
    <row r="6523" ht="15.0" hidden="1" customHeight="1">
      <c r="A6523" s="49" t="s">
        <v>546</v>
      </c>
      <c r="B6523" s="50">
        <v>45107.0</v>
      </c>
      <c r="C6523" s="49" t="s">
        <v>777</v>
      </c>
      <c r="D6523" s="49">
        <v>0.0</v>
      </c>
    </row>
    <row r="6524" ht="15.0" hidden="1" customHeight="1">
      <c r="A6524" s="49" t="s">
        <v>551</v>
      </c>
      <c r="B6524" s="50">
        <v>45107.0</v>
      </c>
      <c r="C6524" s="49" t="s">
        <v>777</v>
      </c>
      <c r="D6524" s="49">
        <v>0.0</v>
      </c>
    </row>
    <row r="6525" ht="15.0" hidden="1" customHeight="1">
      <c r="A6525" s="49" t="s">
        <v>556</v>
      </c>
      <c r="B6525" s="50">
        <v>45107.0</v>
      </c>
      <c r="C6525" s="49" t="s">
        <v>777</v>
      </c>
      <c r="D6525" s="49">
        <v>0.0</v>
      </c>
    </row>
    <row r="6526" ht="15.0" hidden="1" customHeight="1">
      <c r="A6526" s="49" t="s">
        <v>561</v>
      </c>
      <c r="B6526" s="50">
        <v>45107.0</v>
      </c>
      <c r="C6526" s="49" t="s">
        <v>777</v>
      </c>
      <c r="D6526" s="49">
        <v>0.0</v>
      </c>
    </row>
    <row r="6527" ht="15.0" hidden="1" customHeight="1">
      <c r="A6527" s="49" t="s">
        <v>566</v>
      </c>
      <c r="B6527" s="50">
        <v>45107.0</v>
      </c>
      <c r="C6527" s="49" t="s">
        <v>777</v>
      </c>
      <c r="D6527" s="49">
        <v>0.0</v>
      </c>
    </row>
    <row r="6528" ht="15.0" hidden="1" customHeight="1">
      <c r="A6528" s="49" t="s">
        <v>571</v>
      </c>
      <c r="B6528" s="50">
        <v>45107.0</v>
      </c>
      <c r="C6528" s="49" t="s">
        <v>777</v>
      </c>
      <c r="D6528" s="49">
        <v>0.0</v>
      </c>
    </row>
    <row r="6529" ht="15.0" hidden="1" customHeight="1">
      <c r="A6529" s="49" t="s">
        <v>576</v>
      </c>
      <c r="B6529" s="50">
        <v>45107.0</v>
      </c>
      <c r="C6529" s="49" t="s">
        <v>777</v>
      </c>
      <c r="D6529" s="49">
        <v>0.0</v>
      </c>
    </row>
    <row r="6530" ht="15.0" hidden="1" customHeight="1">
      <c r="A6530" s="49" t="s">
        <v>581</v>
      </c>
      <c r="B6530" s="50">
        <v>45107.0</v>
      </c>
      <c r="C6530" s="49" t="s">
        <v>777</v>
      </c>
      <c r="D6530" s="49">
        <v>0.0</v>
      </c>
    </row>
    <row r="6531" ht="15.0" hidden="1" customHeight="1">
      <c r="A6531" s="49" t="s">
        <v>586</v>
      </c>
      <c r="B6531" s="50">
        <v>45107.0</v>
      </c>
      <c r="C6531" s="49" t="s">
        <v>777</v>
      </c>
      <c r="D6531" s="49">
        <v>0.0</v>
      </c>
    </row>
    <row r="6532" ht="15.0" hidden="1" customHeight="1">
      <c r="A6532" s="49" t="s">
        <v>754</v>
      </c>
      <c r="B6532" s="50">
        <v>45107.0</v>
      </c>
      <c r="C6532" s="49" t="s">
        <v>777</v>
      </c>
      <c r="D6532" s="49">
        <v>0.0</v>
      </c>
    </row>
    <row r="6533" ht="15.0" hidden="1" customHeight="1">
      <c r="A6533" s="49" t="s">
        <v>591</v>
      </c>
      <c r="B6533" s="50">
        <v>45107.0</v>
      </c>
      <c r="C6533" s="49" t="s">
        <v>777</v>
      </c>
      <c r="D6533" s="49">
        <v>0.0</v>
      </c>
    </row>
    <row r="6534" ht="15.0" hidden="1" customHeight="1">
      <c r="A6534" s="49" t="s">
        <v>759</v>
      </c>
      <c r="B6534" s="50">
        <v>45107.0</v>
      </c>
      <c r="C6534" s="49" t="s">
        <v>777</v>
      </c>
      <c r="D6534" s="49">
        <v>0.0</v>
      </c>
    </row>
    <row r="6535" ht="15.0" hidden="1" customHeight="1">
      <c r="A6535" s="49" t="s">
        <v>596</v>
      </c>
      <c r="B6535" s="50">
        <v>45107.0</v>
      </c>
      <c r="C6535" s="49" t="s">
        <v>777</v>
      </c>
      <c r="D6535" s="49">
        <v>0.0</v>
      </c>
    </row>
    <row r="6536" ht="15.0" hidden="1" customHeight="1">
      <c r="A6536" s="49" t="s">
        <v>602</v>
      </c>
      <c r="B6536" s="50">
        <v>45107.0</v>
      </c>
      <c r="C6536" s="49" t="s">
        <v>777</v>
      </c>
      <c r="D6536" s="49">
        <v>0.0</v>
      </c>
    </row>
    <row r="6537" ht="15.0" hidden="1" customHeight="1">
      <c r="A6537" s="49" t="s">
        <v>607</v>
      </c>
      <c r="B6537" s="50">
        <v>45107.0</v>
      </c>
      <c r="C6537" s="49" t="s">
        <v>777</v>
      </c>
      <c r="D6537" s="49">
        <v>0.0</v>
      </c>
    </row>
    <row r="6538" ht="15.0" hidden="1" customHeight="1">
      <c r="A6538" s="49" t="s">
        <v>612</v>
      </c>
      <c r="B6538" s="50">
        <v>45107.0</v>
      </c>
      <c r="C6538" s="49" t="s">
        <v>777</v>
      </c>
      <c r="D6538" s="49">
        <v>0.0</v>
      </c>
    </row>
    <row r="6539" ht="15.0" hidden="1" customHeight="1">
      <c r="A6539" s="49" t="s">
        <v>617</v>
      </c>
      <c r="B6539" s="50">
        <v>45107.0</v>
      </c>
      <c r="C6539" s="49" t="s">
        <v>777</v>
      </c>
      <c r="D6539" s="49">
        <v>0.0</v>
      </c>
    </row>
    <row r="6540" ht="15.0" hidden="1" customHeight="1">
      <c r="A6540" s="49" t="s">
        <v>622</v>
      </c>
      <c r="B6540" s="50">
        <v>45107.0</v>
      </c>
      <c r="C6540" s="49" t="s">
        <v>777</v>
      </c>
      <c r="D6540" s="49">
        <v>0.0</v>
      </c>
    </row>
    <row r="6541" ht="15.0" hidden="1" customHeight="1">
      <c r="A6541" s="49" t="s">
        <v>627</v>
      </c>
      <c r="B6541" s="50">
        <v>45107.0</v>
      </c>
      <c r="C6541" s="49" t="s">
        <v>777</v>
      </c>
      <c r="D6541" s="49">
        <v>0.0</v>
      </c>
    </row>
    <row r="6542" ht="15.0" hidden="1" customHeight="1">
      <c r="A6542" s="49" t="s">
        <v>631</v>
      </c>
      <c r="B6542" s="50">
        <v>45107.0</v>
      </c>
      <c r="C6542" s="49" t="s">
        <v>777</v>
      </c>
      <c r="D6542" s="49">
        <v>0.0</v>
      </c>
    </row>
    <row r="6543" ht="15.0" hidden="1" customHeight="1">
      <c r="A6543" s="49" t="s">
        <v>636</v>
      </c>
      <c r="B6543" s="50">
        <v>45107.0</v>
      </c>
      <c r="C6543" s="49" t="s">
        <v>777</v>
      </c>
      <c r="D6543" s="49">
        <v>0.0</v>
      </c>
    </row>
    <row r="6544" ht="15.0" hidden="1" customHeight="1">
      <c r="A6544" s="49" t="s">
        <v>640</v>
      </c>
      <c r="B6544" s="50">
        <v>45107.0</v>
      </c>
      <c r="C6544" s="49" t="s">
        <v>777</v>
      </c>
      <c r="D6544" s="49">
        <v>0.0</v>
      </c>
    </row>
    <row r="6545" ht="15.0" hidden="1" customHeight="1">
      <c r="A6545" s="49" t="s">
        <v>644</v>
      </c>
      <c r="B6545" s="50">
        <v>45107.0</v>
      </c>
      <c r="C6545" s="49" t="s">
        <v>777</v>
      </c>
      <c r="D6545" s="49">
        <v>0.0</v>
      </c>
    </row>
    <row r="6546" ht="15.0" hidden="1" customHeight="1">
      <c r="A6546" s="49" t="s">
        <v>649</v>
      </c>
      <c r="B6546" s="50">
        <v>45107.0</v>
      </c>
      <c r="C6546" s="49" t="s">
        <v>777</v>
      </c>
      <c r="D6546" s="49">
        <v>0.0</v>
      </c>
    </row>
    <row r="6547" ht="15.0" hidden="1" customHeight="1">
      <c r="A6547" s="49" t="s">
        <v>654</v>
      </c>
      <c r="B6547" s="50">
        <v>45107.0</v>
      </c>
      <c r="C6547" s="49" t="s">
        <v>777</v>
      </c>
      <c r="D6547" s="49">
        <v>0.0</v>
      </c>
    </row>
    <row r="6548" ht="15.0" hidden="1" customHeight="1">
      <c r="A6548" s="49" t="s">
        <v>659</v>
      </c>
      <c r="B6548" s="50">
        <v>45107.0</v>
      </c>
      <c r="C6548" s="49" t="s">
        <v>777</v>
      </c>
      <c r="D6548" s="49">
        <v>0.0</v>
      </c>
    </row>
    <row r="6549" ht="15.0" hidden="1" customHeight="1">
      <c r="A6549" s="49" t="s">
        <v>664</v>
      </c>
      <c r="B6549" s="50">
        <v>45107.0</v>
      </c>
      <c r="C6549" s="49" t="s">
        <v>777</v>
      </c>
      <c r="D6549" s="49">
        <v>0.0</v>
      </c>
    </row>
    <row r="6550" ht="15.0" hidden="1" customHeight="1">
      <c r="A6550" s="49" t="s">
        <v>669</v>
      </c>
      <c r="B6550" s="50">
        <v>45107.0</v>
      </c>
      <c r="C6550" s="49" t="s">
        <v>777</v>
      </c>
      <c r="D6550" s="49">
        <v>0.0</v>
      </c>
    </row>
    <row r="6551" ht="15.0" hidden="1" customHeight="1">
      <c r="A6551" s="49" t="s">
        <v>674</v>
      </c>
      <c r="B6551" s="50">
        <v>45107.0</v>
      </c>
      <c r="C6551" s="49" t="s">
        <v>777</v>
      </c>
      <c r="D6551" s="49">
        <v>0.0</v>
      </c>
    </row>
    <row r="6552" ht="15.0" hidden="1" customHeight="1">
      <c r="A6552" s="49" t="s">
        <v>679</v>
      </c>
      <c r="B6552" s="50">
        <v>45107.0</v>
      </c>
      <c r="C6552" s="49" t="s">
        <v>777</v>
      </c>
      <c r="D6552" s="49">
        <v>0.0</v>
      </c>
    </row>
    <row r="6553" ht="15.0" hidden="1" customHeight="1">
      <c r="A6553" s="49" t="s">
        <v>684</v>
      </c>
      <c r="B6553" s="50">
        <v>45107.0</v>
      </c>
      <c r="C6553" s="49" t="s">
        <v>777</v>
      </c>
      <c r="D6553" s="49">
        <v>0.0</v>
      </c>
    </row>
    <row r="6554" ht="15.0" hidden="1" customHeight="1">
      <c r="A6554" s="49" t="s">
        <v>689</v>
      </c>
      <c r="B6554" s="50">
        <v>45107.0</v>
      </c>
      <c r="C6554" s="49" t="s">
        <v>777</v>
      </c>
      <c r="D6554" s="49">
        <v>0.0</v>
      </c>
    </row>
    <row r="6555" ht="15.0" hidden="1" customHeight="1">
      <c r="A6555" s="49" t="s">
        <v>694</v>
      </c>
      <c r="B6555" s="50">
        <v>45107.0</v>
      </c>
      <c r="C6555" s="49" t="s">
        <v>777</v>
      </c>
      <c r="D6555" s="49">
        <v>0.0</v>
      </c>
    </row>
    <row r="6556" ht="15.0" hidden="1" customHeight="1">
      <c r="A6556" s="49" t="s">
        <v>699</v>
      </c>
      <c r="B6556" s="50">
        <v>45107.0</v>
      </c>
      <c r="C6556" s="49" t="s">
        <v>777</v>
      </c>
      <c r="D6556" s="49">
        <v>0.0</v>
      </c>
    </row>
    <row r="6557" ht="15.0" hidden="1" customHeight="1">
      <c r="A6557" s="49" t="s">
        <v>705</v>
      </c>
      <c r="B6557" s="50">
        <v>45107.0</v>
      </c>
      <c r="C6557" s="49" t="s">
        <v>777</v>
      </c>
      <c r="D6557" s="49">
        <v>0.0</v>
      </c>
    </row>
    <row r="6558" ht="15.0" hidden="1" customHeight="1">
      <c r="A6558" s="49" t="s">
        <v>710</v>
      </c>
      <c r="B6558" s="50">
        <v>45107.0</v>
      </c>
      <c r="C6558" s="49" t="s">
        <v>777</v>
      </c>
      <c r="D6558" s="49">
        <v>0.0</v>
      </c>
    </row>
    <row r="6559" ht="15.0" hidden="1" customHeight="1">
      <c r="A6559" s="49" t="s">
        <v>715</v>
      </c>
      <c r="B6559" s="50">
        <v>45107.0</v>
      </c>
      <c r="C6559" s="49" t="s">
        <v>777</v>
      </c>
      <c r="D6559" s="49">
        <v>0.0</v>
      </c>
    </row>
    <row r="6560" ht="15.0" hidden="1" customHeight="1">
      <c r="A6560" s="49" t="s">
        <v>765</v>
      </c>
      <c r="B6560" s="50">
        <v>45107.0</v>
      </c>
      <c r="C6560" s="49" t="s">
        <v>777</v>
      </c>
      <c r="D6560" s="49">
        <v>0.0</v>
      </c>
    </row>
    <row r="6561" ht="15.0" hidden="1" customHeight="1">
      <c r="A6561" s="49" t="s">
        <v>720</v>
      </c>
      <c r="B6561" s="50">
        <v>45107.0</v>
      </c>
      <c r="C6561" s="49" t="s">
        <v>777</v>
      </c>
      <c r="D6561" s="49">
        <v>0.0</v>
      </c>
    </row>
    <row r="6562" ht="15.0" hidden="1" customHeight="1">
      <c r="A6562" s="49" t="s">
        <v>725</v>
      </c>
      <c r="B6562" s="50">
        <v>45107.0</v>
      </c>
      <c r="C6562" s="49" t="s">
        <v>777</v>
      </c>
      <c r="D6562" s="49">
        <v>0.0</v>
      </c>
    </row>
    <row r="6563" ht="15.0" hidden="1" customHeight="1">
      <c r="A6563" s="49" t="s">
        <v>730</v>
      </c>
      <c r="B6563" s="50">
        <v>45107.0</v>
      </c>
      <c r="C6563" s="49" t="s">
        <v>777</v>
      </c>
      <c r="D6563" s="49">
        <v>0.0</v>
      </c>
    </row>
    <row r="6564" ht="15.0" hidden="1" customHeight="1">
      <c r="A6564" s="49" t="s">
        <v>734</v>
      </c>
      <c r="B6564" s="50">
        <v>45107.0</v>
      </c>
      <c r="C6564" s="49" t="s">
        <v>777</v>
      </c>
      <c r="D6564" s="49">
        <v>0.0</v>
      </c>
    </row>
    <row r="6565" ht="15.0" hidden="1" customHeight="1">
      <c r="A6565" s="49" t="s">
        <v>739</v>
      </c>
      <c r="B6565" s="50">
        <v>45107.0</v>
      </c>
      <c r="C6565" s="49" t="s">
        <v>777</v>
      </c>
      <c r="D6565" s="49">
        <v>0.0</v>
      </c>
    </row>
    <row r="6566" ht="15.0" hidden="1" customHeight="1">
      <c r="A6566" s="49" t="s">
        <v>744</v>
      </c>
      <c r="B6566" s="50">
        <v>45107.0</v>
      </c>
      <c r="C6566" s="49" t="s">
        <v>777</v>
      </c>
      <c r="D6566" s="49">
        <v>0.0</v>
      </c>
    </row>
    <row r="6567" ht="15.0" hidden="1" customHeight="1">
      <c r="A6567" s="49" t="s">
        <v>749</v>
      </c>
      <c r="B6567" s="50">
        <v>45107.0</v>
      </c>
      <c r="C6567" s="49" t="s">
        <v>777</v>
      </c>
      <c r="D6567" s="49">
        <v>0.0</v>
      </c>
    </row>
    <row r="6568" ht="15.0" customHeight="1">
      <c r="A6568" s="49" t="s">
        <v>776</v>
      </c>
      <c r="B6568" s="50">
        <v>45107.0</v>
      </c>
      <c r="C6568" s="49" t="s">
        <v>78</v>
      </c>
      <c r="D6568" s="49">
        <v>0.0</v>
      </c>
    </row>
    <row r="6569" ht="15.0" hidden="1" customHeight="1">
      <c r="A6569" s="49" t="s">
        <v>778</v>
      </c>
      <c r="B6569" s="50">
        <v>45107.0</v>
      </c>
      <c r="C6569" s="49" t="s">
        <v>78</v>
      </c>
      <c r="D6569" s="49">
        <v>0.0</v>
      </c>
    </row>
    <row r="6570" ht="15.0" hidden="1" customHeight="1">
      <c r="A6570" s="49" t="s">
        <v>92</v>
      </c>
      <c r="B6570" s="50">
        <v>45107.0</v>
      </c>
      <c r="C6570" s="49" t="s">
        <v>78</v>
      </c>
      <c r="D6570" s="49">
        <v>0.0</v>
      </c>
    </row>
    <row r="6571" ht="15.0" hidden="1" customHeight="1">
      <c r="A6571" s="49" t="s">
        <v>97</v>
      </c>
      <c r="B6571" s="50">
        <v>45107.0</v>
      </c>
      <c r="C6571" s="49" t="s">
        <v>78</v>
      </c>
      <c r="D6571" s="49">
        <v>0.0</v>
      </c>
    </row>
    <row r="6572" ht="15.0" hidden="1" customHeight="1">
      <c r="A6572" s="49" t="s">
        <v>102</v>
      </c>
      <c r="B6572" s="50">
        <v>45107.0</v>
      </c>
      <c r="C6572" s="49" t="s">
        <v>78</v>
      </c>
      <c r="D6572" s="49">
        <v>0.0</v>
      </c>
    </row>
    <row r="6573" ht="15.0" hidden="1" customHeight="1">
      <c r="A6573" s="49" t="s">
        <v>106</v>
      </c>
      <c r="B6573" s="50">
        <v>45107.0</v>
      </c>
      <c r="C6573" s="49" t="s">
        <v>78</v>
      </c>
      <c r="D6573" s="49">
        <v>0.0</v>
      </c>
    </row>
    <row r="6574" ht="15.0" hidden="1" customHeight="1">
      <c r="A6574" s="49" t="s">
        <v>111</v>
      </c>
      <c r="B6574" s="50">
        <v>45107.0</v>
      </c>
      <c r="C6574" s="49" t="s">
        <v>78</v>
      </c>
      <c r="D6574" s="49">
        <v>0.0</v>
      </c>
    </row>
    <row r="6575" ht="15.0" hidden="1" customHeight="1">
      <c r="A6575" s="49" t="s">
        <v>116</v>
      </c>
      <c r="B6575" s="50">
        <v>45107.0</v>
      </c>
      <c r="C6575" s="49" t="s">
        <v>78</v>
      </c>
      <c r="D6575" s="49">
        <v>0.0</v>
      </c>
    </row>
    <row r="6576" ht="15.0" hidden="1" customHeight="1">
      <c r="A6576" s="49" t="s">
        <v>120</v>
      </c>
      <c r="B6576" s="50">
        <v>45107.0</v>
      </c>
      <c r="C6576" s="49" t="s">
        <v>78</v>
      </c>
      <c r="D6576" s="49">
        <v>0.0</v>
      </c>
    </row>
    <row r="6577" ht="15.0" hidden="1" customHeight="1">
      <c r="A6577" s="49" t="s">
        <v>125</v>
      </c>
      <c r="B6577" s="50">
        <v>45107.0</v>
      </c>
      <c r="C6577" s="49" t="s">
        <v>78</v>
      </c>
      <c r="D6577" s="49">
        <v>0.0</v>
      </c>
    </row>
    <row r="6578" ht="15.0" hidden="1" customHeight="1">
      <c r="A6578" s="49" t="s">
        <v>130</v>
      </c>
      <c r="B6578" s="50">
        <v>45107.0</v>
      </c>
      <c r="C6578" s="49" t="s">
        <v>78</v>
      </c>
      <c r="D6578" s="49">
        <v>0.0</v>
      </c>
    </row>
    <row r="6579" ht="15.0" hidden="1" customHeight="1">
      <c r="A6579" s="49" t="s">
        <v>137</v>
      </c>
      <c r="B6579" s="50">
        <v>45107.0</v>
      </c>
      <c r="C6579" s="49" t="s">
        <v>78</v>
      </c>
      <c r="D6579" s="49">
        <v>0.0</v>
      </c>
    </row>
    <row r="6580" ht="15.0" hidden="1" customHeight="1">
      <c r="A6580" s="49" t="s">
        <v>142</v>
      </c>
      <c r="B6580" s="50">
        <v>45107.0</v>
      </c>
      <c r="C6580" s="49" t="s">
        <v>78</v>
      </c>
      <c r="D6580" s="49">
        <v>0.0</v>
      </c>
    </row>
    <row r="6581" ht="15.0" hidden="1" customHeight="1">
      <c r="A6581" s="49" t="s">
        <v>147</v>
      </c>
      <c r="B6581" s="50">
        <v>45107.0</v>
      </c>
      <c r="C6581" s="49" t="s">
        <v>78</v>
      </c>
      <c r="D6581" s="49">
        <v>0.0</v>
      </c>
    </row>
    <row r="6582" ht="15.0" hidden="1" customHeight="1">
      <c r="A6582" s="49" t="s">
        <v>152</v>
      </c>
      <c r="B6582" s="50">
        <v>45107.0</v>
      </c>
      <c r="C6582" s="49" t="s">
        <v>78</v>
      </c>
      <c r="D6582" s="49">
        <v>0.0</v>
      </c>
    </row>
    <row r="6583" ht="15.0" hidden="1" customHeight="1">
      <c r="A6583" s="49" t="s">
        <v>157</v>
      </c>
      <c r="B6583" s="50">
        <v>45107.0</v>
      </c>
      <c r="C6583" s="49" t="s">
        <v>78</v>
      </c>
      <c r="D6583" s="49">
        <v>0.0</v>
      </c>
    </row>
    <row r="6584" ht="15.0" hidden="1" customHeight="1">
      <c r="A6584" s="49" t="s">
        <v>162</v>
      </c>
      <c r="B6584" s="50">
        <v>45107.0</v>
      </c>
      <c r="C6584" s="49" t="s">
        <v>78</v>
      </c>
      <c r="D6584" s="49">
        <v>0.0</v>
      </c>
    </row>
    <row r="6585" ht="15.0" hidden="1" customHeight="1">
      <c r="A6585" s="49" t="s">
        <v>167</v>
      </c>
      <c r="B6585" s="50">
        <v>45107.0</v>
      </c>
      <c r="C6585" s="49" t="s">
        <v>78</v>
      </c>
      <c r="D6585" s="49">
        <v>0.0</v>
      </c>
    </row>
    <row r="6586" ht="15.0" hidden="1" customHeight="1">
      <c r="A6586" s="49" t="s">
        <v>172</v>
      </c>
      <c r="B6586" s="50">
        <v>45107.0</v>
      </c>
      <c r="C6586" s="49" t="s">
        <v>78</v>
      </c>
      <c r="D6586" s="49">
        <v>0.0</v>
      </c>
    </row>
    <row r="6587" ht="15.0" hidden="1" customHeight="1">
      <c r="A6587" s="49" t="s">
        <v>177</v>
      </c>
      <c r="B6587" s="50">
        <v>45107.0</v>
      </c>
      <c r="C6587" s="49" t="s">
        <v>78</v>
      </c>
      <c r="D6587" s="49">
        <v>0.0</v>
      </c>
    </row>
    <row r="6588" ht="15.0" hidden="1" customHeight="1">
      <c r="A6588" s="49" t="s">
        <v>182</v>
      </c>
      <c r="B6588" s="50">
        <v>45107.0</v>
      </c>
      <c r="C6588" s="49" t="s">
        <v>78</v>
      </c>
      <c r="D6588" s="49">
        <v>0.0</v>
      </c>
    </row>
    <row r="6589" ht="15.0" hidden="1" customHeight="1">
      <c r="A6589" s="49" t="s">
        <v>187</v>
      </c>
      <c r="B6589" s="50">
        <v>45107.0</v>
      </c>
      <c r="C6589" s="49" t="s">
        <v>78</v>
      </c>
      <c r="D6589" s="49">
        <v>0.0</v>
      </c>
    </row>
    <row r="6590" ht="15.0" hidden="1" customHeight="1">
      <c r="A6590" s="49" t="s">
        <v>192</v>
      </c>
      <c r="B6590" s="50">
        <v>45107.0</v>
      </c>
      <c r="C6590" s="49" t="s">
        <v>78</v>
      </c>
      <c r="D6590" s="49">
        <v>0.0</v>
      </c>
    </row>
    <row r="6591" ht="15.0" hidden="1" customHeight="1">
      <c r="A6591" s="49" t="s">
        <v>197</v>
      </c>
      <c r="B6591" s="50">
        <v>45107.0</v>
      </c>
      <c r="C6591" s="49" t="s">
        <v>78</v>
      </c>
      <c r="D6591" s="49">
        <v>0.0</v>
      </c>
    </row>
    <row r="6592" ht="15.0" hidden="1" customHeight="1">
      <c r="A6592" s="49" t="s">
        <v>202</v>
      </c>
      <c r="B6592" s="50">
        <v>45107.0</v>
      </c>
      <c r="C6592" s="49" t="s">
        <v>78</v>
      </c>
      <c r="D6592" s="49">
        <v>0.0</v>
      </c>
    </row>
    <row r="6593" ht="15.0" hidden="1" customHeight="1">
      <c r="A6593" s="49" t="s">
        <v>206</v>
      </c>
      <c r="B6593" s="50">
        <v>45107.0</v>
      </c>
      <c r="C6593" s="49" t="s">
        <v>78</v>
      </c>
      <c r="D6593" s="49">
        <v>0.0</v>
      </c>
    </row>
    <row r="6594" ht="15.0" hidden="1" customHeight="1">
      <c r="A6594" s="49" t="s">
        <v>211</v>
      </c>
      <c r="B6594" s="50">
        <v>45107.0</v>
      </c>
      <c r="C6594" s="49" t="s">
        <v>78</v>
      </c>
      <c r="D6594" s="49">
        <v>0.0</v>
      </c>
    </row>
    <row r="6595" ht="15.0" hidden="1" customHeight="1">
      <c r="A6595" s="49" t="s">
        <v>779</v>
      </c>
      <c r="B6595" s="50">
        <v>45107.0</v>
      </c>
      <c r="C6595" s="49" t="s">
        <v>78</v>
      </c>
      <c r="D6595" s="49">
        <v>0.0</v>
      </c>
    </row>
    <row r="6596" ht="15.0" hidden="1" customHeight="1">
      <c r="A6596" s="49" t="s">
        <v>221</v>
      </c>
      <c r="B6596" s="50">
        <v>45107.0</v>
      </c>
      <c r="C6596" s="49" t="s">
        <v>78</v>
      </c>
      <c r="D6596" s="49">
        <v>0.0</v>
      </c>
    </row>
    <row r="6597" ht="15.0" hidden="1" customHeight="1">
      <c r="A6597" s="49" t="s">
        <v>226</v>
      </c>
      <c r="B6597" s="50">
        <v>45107.0</v>
      </c>
      <c r="C6597" s="49" t="s">
        <v>78</v>
      </c>
      <c r="D6597" s="49">
        <v>0.0</v>
      </c>
    </row>
    <row r="6598" ht="15.0" hidden="1" customHeight="1">
      <c r="A6598" s="49" t="s">
        <v>231</v>
      </c>
      <c r="B6598" s="50">
        <v>45107.0</v>
      </c>
      <c r="C6598" s="49" t="s">
        <v>78</v>
      </c>
      <c r="D6598" s="49">
        <v>0.0</v>
      </c>
    </row>
    <row r="6599" ht="15.0" hidden="1" customHeight="1">
      <c r="A6599" s="49" t="s">
        <v>236</v>
      </c>
      <c r="B6599" s="50">
        <v>45107.0</v>
      </c>
      <c r="C6599" s="49" t="s">
        <v>78</v>
      </c>
      <c r="D6599" s="49">
        <v>0.0</v>
      </c>
    </row>
    <row r="6600" ht="15.0" hidden="1" customHeight="1">
      <c r="A6600" s="49" t="s">
        <v>242</v>
      </c>
      <c r="B6600" s="50">
        <v>45107.0</v>
      </c>
      <c r="C6600" s="49" t="s">
        <v>78</v>
      </c>
      <c r="D6600" s="49">
        <v>0.0</v>
      </c>
    </row>
    <row r="6601" ht="15.0" hidden="1" customHeight="1">
      <c r="A6601" s="49" t="s">
        <v>248</v>
      </c>
      <c r="B6601" s="50">
        <v>45107.0</v>
      </c>
      <c r="C6601" s="49" t="s">
        <v>78</v>
      </c>
      <c r="D6601" s="49">
        <v>0.0</v>
      </c>
    </row>
    <row r="6602" ht="15.0" hidden="1" customHeight="1">
      <c r="A6602" s="49" t="s">
        <v>253</v>
      </c>
      <c r="B6602" s="50">
        <v>45107.0</v>
      </c>
      <c r="C6602" s="49" t="s">
        <v>78</v>
      </c>
      <c r="D6602" s="49">
        <v>0.0</v>
      </c>
    </row>
    <row r="6603" ht="15.0" hidden="1" customHeight="1">
      <c r="A6603" s="49" t="s">
        <v>258</v>
      </c>
      <c r="B6603" s="50">
        <v>45107.0</v>
      </c>
      <c r="C6603" s="49" t="s">
        <v>78</v>
      </c>
      <c r="D6603" s="49">
        <v>0.0</v>
      </c>
    </row>
    <row r="6604" ht="15.0" hidden="1" customHeight="1">
      <c r="A6604" s="49" t="s">
        <v>263</v>
      </c>
      <c r="B6604" s="50">
        <v>45107.0</v>
      </c>
      <c r="C6604" s="49" t="s">
        <v>78</v>
      </c>
      <c r="D6604" s="49">
        <v>0.0</v>
      </c>
    </row>
    <row r="6605" ht="15.0" hidden="1" customHeight="1">
      <c r="A6605" s="49" t="s">
        <v>268</v>
      </c>
      <c r="B6605" s="50">
        <v>45107.0</v>
      </c>
      <c r="C6605" s="49" t="s">
        <v>78</v>
      </c>
      <c r="D6605" s="49">
        <v>0.0</v>
      </c>
    </row>
    <row r="6606" ht="15.0" hidden="1" customHeight="1">
      <c r="A6606" s="49" t="s">
        <v>273</v>
      </c>
      <c r="B6606" s="50">
        <v>45107.0</v>
      </c>
      <c r="C6606" s="49" t="s">
        <v>78</v>
      </c>
      <c r="D6606" s="49">
        <v>0.0</v>
      </c>
    </row>
    <row r="6607" ht="15.0" hidden="1" customHeight="1">
      <c r="A6607" s="49" t="s">
        <v>278</v>
      </c>
      <c r="B6607" s="50">
        <v>45107.0</v>
      </c>
      <c r="C6607" s="49" t="s">
        <v>78</v>
      </c>
      <c r="D6607" s="49">
        <v>0.0</v>
      </c>
    </row>
    <row r="6608" ht="15.0" hidden="1" customHeight="1">
      <c r="A6608" s="49" t="s">
        <v>283</v>
      </c>
      <c r="B6608" s="50">
        <v>45107.0</v>
      </c>
      <c r="C6608" s="49" t="s">
        <v>78</v>
      </c>
      <c r="D6608" s="49">
        <v>0.0</v>
      </c>
    </row>
    <row r="6609" ht="15.0" hidden="1" customHeight="1">
      <c r="A6609" s="49" t="s">
        <v>288</v>
      </c>
      <c r="B6609" s="50">
        <v>45107.0</v>
      </c>
      <c r="C6609" s="49" t="s">
        <v>78</v>
      </c>
      <c r="D6609" s="49">
        <v>0.0</v>
      </c>
    </row>
    <row r="6610" ht="15.0" hidden="1" customHeight="1">
      <c r="A6610" s="49" t="s">
        <v>293</v>
      </c>
      <c r="B6610" s="50">
        <v>45107.0</v>
      </c>
      <c r="C6610" s="49" t="s">
        <v>78</v>
      </c>
      <c r="D6610" s="49">
        <v>0.0</v>
      </c>
    </row>
    <row r="6611" ht="15.0" hidden="1" customHeight="1">
      <c r="A6611" s="49" t="s">
        <v>298</v>
      </c>
      <c r="B6611" s="50">
        <v>45107.0</v>
      </c>
      <c r="C6611" s="49" t="s">
        <v>78</v>
      </c>
      <c r="D6611" s="49">
        <v>0.0</v>
      </c>
    </row>
    <row r="6612" ht="15.0" hidden="1" customHeight="1">
      <c r="A6612" s="49" t="s">
        <v>303</v>
      </c>
      <c r="B6612" s="50">
        <v>45107.0</v>
      </c>
      <c r="C6612" s="49" t="s">
        <v>78</v>
      </c>
      <c r="D6612" s="49">
        <v>0.0</v>
      </c>
    </row>
    <row r="6613" ht="15.0" hidden="1" customHeight="1">
      <c r="A6613" s="49" t="s">
        <v>307</v>
      </c>
      <c r="B6613" s="50">
        <v>45107.0</v>
      </c>
      <c r="C6613" s="49" t="s">
        <v>78</v>
      </c>
      <c r="D6613" s="49">
        <v>0.0</v>
      </c>
    </row>
    <row r="6614" ht="15.0" hidden="1" customHeight="1">
      <c r="A6614" s="49" t="s">
        <v>313</v>
      </c>
      <c r="B6614" s="50">
        <v>45107.0</v>
      </c>
      <c r="C6614" s="49" t="s">
        <v>78</v>
      </c>
      <c r="D6614" s="49">
        <v>0.0</v>
      </c>
    </row>
    <row r="6615" ht="15.0" hidden="1" customHeight="1">
      <c r="A6615" s="49" t="s">
        <v>318</v>
      </c>
      <c r="B6615" s="50">
        <v>45107.0</v>
      </c>
      <c r="C6615" s="49" t="s">
        <v>78</v>
      </c>
      <c r="D6615" s="49">
        <v>0.0</v>
      </c>
    </row>
    <row r="6616" ht="15.0" hidden="1" customHeight="1">
      <c r="A6616" s="49" t="s">
        <v>323</v>
      </c>
      <c r="B6616" s="50">
        <v>45107.0</v>
      </c>
      <c r="C6616" s="49" t="s">
        <v>78</v>
      </c>
      <c r="D6616" s="49">
        <v>0.0</v>
      </c>
    </row>
    <row r="6617" ht="15.0" hidden="1" customHeight="1">
      <c r="A6617" s="49" t="s">
        <v>328</v>
      </c>
      <c r="B6617" s="50">
        <v>45107.0</v>
      </c>
      <c r="C6617" s="49" t="s">
        <v>78</v>
      </c>
      <c r="D6617" s="49">
        <v>1000000.0</v>
      </c>
    </row>
    <row r="6618" ht="15.0" hidden="1" customHeight="1">
      <c r="A6618" s="49" t="s">
        <v>335</v>
      </c>
      <c r="B6618" s="50">
        <v>45107.0</v>
      </c>
      <c r="C6618" s="49" t="s">
        <v>78</v>
      </c>
      <c r="D6618" s="49">
        <v>0.0</v>
      </c>
    </row>
    <row r="6619" ht="15.0" hidden="1" customHeight="1">
      <c r="A6619" s="49" t="s">
        <v>340</v>
      </c>
      <c r="B6619" s="50">
        <v>45107.0</v>
      </c>
      <c r="C6619" s="49" t="s">
        <v>78</v>
      </c>
      <c r="D6619" s="49">
        <v>0.0</v>
      </c>
    </row>
    <row r="6620" ht="15.0" hidden="1" customHeight="1">
      <c r="A6620" s="49" t="s">
        <v>345</v>
      </c>
      <c r="B6620" s="50">
        <v>45107.0</v>
      </c>
      <c r="C6620" s="49" t="s">
        <v>78</v>
      </c>
      <c r="D6620" s="49">
        <v>0.0</v>
      </c>
    </row>
    <row r="6621" ht="15.0" hidden="1" customHeight="1">
      <c r="A6621" s="49" t="s">
        <v>350</v>
      </c>
      <c r="B6621" s="50">
        <v>45107.0</v>
      </c>
      <c r="C6621" s="49" t="s">
        <v>78</v>
      </c>
      <c r="D6621" s="49">
        <v>0.0</v>
      </c>
    </row>
    <row r="6622" ht="15.0" hidden="1" customHeight="1">
      <c r="A6622" s="49" t="s">
        <v>355</v>
      </c>
      <c r="B6622" s="50">
        <v>45107.0</v>
      </c>
      <c r="C6622" s="49" t="s">
        <v>78</v>
      </c>
      <c r="D6622" s="49">
        <v>0.0</v>
      </c>
    </row>
    <row r="6623" ht="15.0" hidden="1" customHeight="1">
      <c r="A6623" s="49" t="s">
        <v>360</v>
      </c>
      <c r="B6623" s="50">
        <v>45107.0</v>
      </c>
      <c r="C6623" s="49" t="s">
        <v>78</v>
      </c>
      <c r="D6623" s="49">
        <v>0.0</v>
      </c>
    </row>
    <row r="6624" ht="15.0" hidden="1" customHeight="1">
      <c r="A6624" s="49" t="s">
        <v>365</v>
      </c>
      <c r="B6624" s="50">
        <v>45107.0</v>
      </c>
      <c r="C6624" s="49" t="s">
        <v>78</v>
      </c>
      <c r="D6624" s="49">
        <v>1644300.0</v>
      </c>
    </row>
    <row r="6625" ht="15.0" hidden="1" customHeight="1">
      <c r="A6625" s="49" t="s">
        <v>370</v>
      </c>
      <c r="B6625" s="50">
        <v>45107.0</v>
      </c>
      <c r="C6625" s="49" t="s">
        <v>78</v>
      </c>
      <c r="D6625" s="49">
        <v>0.0</v>
      </c>
    </row>
    <row r="6626" ht="15.0" hidden="1" customHeight="1">
      <c r="A6626" s="49" t="s">
        <v>375</v>
      </c>
      <c r="B6626" s="50">
        <v>45107.0</v>
      </c>
      <c r="C6626" s="49" t="s">
        <v>78</v>
      </c>
      <c r="D6626" s="49">
        <v>2860551.77</v>
      </c>
    </row>
    <row r="6627" ht="15.0" hidden="1" customHeight="1">
      <c r="A6627" s="49" t="s">
        <v>380</v>
      </c>
      <c r="B6627" s="50">
        <v>45107.0</v>
      </c>
      <c r="C6627" s="49" t="s">
        <v>78</v>
      </c>
      <c r="D6627" s="49">
        <v>0.0</v>
      </c>
    </row>
    <row r="6628" ht="15.0" hidden="1" customHeight="1">
      <c r="A6628" s="49" t="s">
        <v>385</v>
      </c>
      <c r="B6628" s="50">
        <v>45107.0</v>
      </c>
      <c r="C6628" s="49" t="s">
        <v>78</v>
      </c>
      <c r="D6628" s="49">
        <v>9600000.0</v>
      </c>
    </row>
    <row r="6629" ht="15.0" hidden="1" customHeight="1">
      <c r="A6629" s="49" t="s">
        <v>390</v>
      </c>
      <c r="B6629" s="50">
        <v>45107.0</v>
      </c>
      <c r="C6629" s="49" t="s">
        <v>78</v>
      </c>
      <c r="D6629" s="49">
        <v>7532011.220000001</v>
      </c>
    </row>
    <row r="6630" ht="15.0" hidden="1" customHeight="1">
      <c r="A6630" s="49" t="s">
        <v>395</v>
      </c>
      <c r="B6630" s="50">
        <v>45107.0</v>
      </c>
      <c r="C6630" s="49" t="s">
        <v>78</v>
      </c>
      <c r="D6630" s="49">
        <v>500000.0</v>
      </c>
    </row>
    <row r="6631" ht="15.0" hidden="1" customHeight="1">
      <c r="A6631" s="49" t="s">
        <v>400</v>
      </c>
      <c r="B6631" s="50">
        <v>45107.0</v>
      </c>
      <c r="C6631" s="49" t="s">
        <v>78</v>
      </c>
      <c r="D6631" s="49">
        <v>0.0</v>
      </c>
    </row>
    <row r="6632" ht="15.0" hidden="1" customHeight="1">
      <c r="A6632" s="49" t="s">
        <v>405</v>
      </c>
      <c r="B6632" s="50">
        <v>45107.0</v>
      </c>
      <c r="C6632" s="49" t="s">
        <v>78</v>
      </c>
      <c r="D6632" s="49">
        <v>3000000.0</v>
      </c>
    </row>
    <row r="6633" ht="15.0" hidden="1" customHeight="1">
      <c r="A6633" s="49" t="s">
        <v>410</v>
      </c>
      <c r="B6633" s="50">
        <v>45107.0</v>
      </c>
      <c r="C6633" s="49" t="s">
        <v>78</v>
      </c>
      <c r="D6633" s="49">
        <v>0.0</v>
      </c>
    </row>
    <row r="6634" ht="15.0" hidden="1" customHeight="1">
      <c r="A6634" s="49" t="s">
        <v>415</v>
      </c>
      <c r="B6634" s="50">
        <v>45107.0</v>
      </c>
      <c r="C6634" s="49" t="s">
        <v>78</v>
      </c>
      <c r="D6634" s="49">
        <v>4000000.0</v>
      </c>
    </row>
    <row r="6635" ht="15.0" hidden="1" customHeight="1">
      <c r="A6635" s="49" t="s">
        <v>420</v>
      </c>
      <c r="B6635" s="50">
        <v>45107.0</v>
      </c>
      <c r="C6635" s="49" t="s">
        <v>78</v>
      </c>
      <c r="D6635" s="49">
        <v>0.0</v>
      </c>
    </row>
    <row r="6636" ht="15.0" hidden="1" customHeight="1">
      <c r="A6636" s="49" t="s">
        <v>425</v>
      </c>
      <c r="B6636" s="50">
        <v>45107.0</v>
      </c>
      <c r="C6636" s="49" t="s">
        <v>78</v>
      </c>
      <c r="D6636" s="49">
        <v>0.0</v>
      </c>
    </row>
    <row r="6637" ht="15.0" hidden="1" customHeight="1">
      <c r="A6637" s="49" t="s">
        <v>430</v>
      </c>
      <c r="B6637" s="50">
        <v>45107.0</v>
      </c>
      <c r="C6637" s="49" t="s">
        <v>78</v>
      </c>
      <c r="D6637" s="49">
        <v>0.0</v>
      </c>
    </row>
    <row r="6638" ht="15.0" hidden="1" customHeight="1">
      <c r="A6638" s="49" t="s">
        <v>434</v>
      </c>
      <c r="B6638" s="50">
        <v>45107.0</v>
      </c>
      <c r="C6638" s="49" t="s">
        <v>78</v>
      </c>
      <c r="D6638" s="49">
        <v>0.0</v>
      </c>
    </row>
    <row r="6639" ht="15.0" hidden="1" customHeight="1">
      <c r="A6639" s="49" t="s">
        <v>439</v>
      </c>
      <c r="B6639" s="50">
        <v>45107.0</v>
      </c>
      <c r="C6639" s="49" t="s">
        <v>78</v>
      </c>
      <c r="D6639" s="49">
        <v>0.0</v>
      </c>
    </row>
    <row r="6640" ht="15.0" hidden="1" customHeight="1">
      <c r="A6640" s="49" t="s">
        <v>444</v>
      </c>
      <c r="B6640" s="50">
        <v>45107.0</v>
      </c>
      <c r="C6640" s="49" t="s">
        <v>78</v>
      </c>
      <c r="D6640" s="49">
        <v>0.0</v>
      </c>
    </row>
    <row r="6641" ht="15.0" hidden="1" customHeight="1">
      <c r="A6641" s="49" t="s">
        <v>449</v>
      </c>
      <c r="B6641" s="50">
        <v>45107.0</v>
      </c>
      <c r="C6641" s="49" t="s">
        <v>78</v>
      </c>
      <c r="D6641" s="49">
        <v>0.0</v>
      </c>
    </row>
    <row r="6642" ht="15.0" hidden="1" customHeight="1">
      <c r="A6642" s="49" t="s">
        <v>455</v>
      </c>
      <c r="B6642" s="50">
        <v>45107.0</v>
      </c>
      <c r="C6642" s="49" t="s">
        <v>78</v>
      </c>
      <c r="D6642" s="49">
        <v>0.0</v>
      </c>
    </row>
    <row r="6643" ht="15.0" hidden="1" customHeight="1">
      <c r="A6643" s="49" t="s">
        <v>470</v>
      </c>
      <c r="B6643" s="50">
        <v>45107.0</v>
      </c>
      <c r="C6643" s="49" t="s">
        <v>78</v>
      </c>
      <c r="D6643" s="49">
        <v>0.0</v>
      </c>
    </row>
    <row r="6644" ht="15.0" hidden="1" customHeight="1">
      <c r="A6644" s="49" t="s">
        <v>476</v>
      </c>
      <c r="B6644" s="50">
        <v>45107.0</v>
      </c>
      <c r="C6644" s="49" t="s">
        <v>78</v>
      </c>
      <c r="D6644" s="49">
        <v>0.0</v>
      </c>
    </row>
    <row r="6645" ht="15.0" hidden="1" customHeight="1">
      <c r="A6645" s="49" t="s">
        <v>481</v>
      </c>
      <c r="B6645" s="50">
        <v>45107.0</v>
      </c>
      <c r="C6645" s="49" t="s">
        <v>78</v>
      </c>
      <c r="D6645" s="49">
        <v>0.0</v>
      </c>
    </row>
    <row r="6646" ht="15.0" hidden="1" customHeight="1">
      <c r="A6646" s="49" t="s">
        <v>486</v>
      </c>
      <c r="B6646" s="50">
        <v>45107.0</v>
      </c>
      <c r="C6646" s="49" t="s">
        <v>78</v>
      </c>
      <c r="D6646" s="49">
        <v>0.0</v>
      </c>
    </row>
    <row r="6647" ht="15.0" hidden="1" customHeight="1">
      <c r="A6647" s="49" t="s">
        <v>491</v>
      </c>
      <c r="B6647" s="50">
        <v>45107.0</v>
      </c>
      <c r="C6647" s="49" t="s">
        <v>78</v>
      </c>
      <c r="D6647" s="49">
        <v>0.0</v>
      </c>
    </row>
    <row r="6648" ht="15.0" hidden="1" customHeight="1">
      <c r="A6648" s="49" t="s">
        <v>496</v>
      </c>
      <c r="B6648" s="50">
        <v>45107.0</v>
      </c>
      <c r="C6648" s="49" t="s">
        <v>78</v>
      </c>
      <c r="D6648" s="49">
        <v>0.0</v>
      </c>
    </row>
    <row r="6649" ht="15.0" hidden="1" customHeight="1">
      <c r="A6649" s="49" t="s">
        <v>501</v>
      </c>
      <c r="B6649" s="50">
        <v>45107.0</v>
      </c>
      <c r="C6649" s="49" t="s">
        <v>78</v>
      </c>
      <c r="D6649" s="49">
        <v>0.0</v>
      </c>
    </row>
    <row r="6650" ht="15.0" hidden="1" customHeight="1">
      <c r="A6650" s="49" t="s">
        <v>506</v>
      </c>
      <c r="B6650" s="50">
        <v>45107.0</v>
      </c>
      <c r="C6650" s="49" t="s">
        <v>78</v>
      </c>
      <c r="D6650" s="49">
        <v>0.0</v>
      </c>
    </row>
    <row r="6651" ht="15.0" hidden="1" customHeight="1">
      <c r="A6651" s="49" t="s">
        <v>512</v>
      </c>
      <c r="B6651" s="50">
        <v>45107.0</v>
      </c>
      <c r="C6651" s="49" t="s">
        <v>78</v>
      </c>
      <c r="D6651" s="49">
        <v>0.0</v>
      </c>
    </row>
    <row r="6652" ht="15.0" hidden="1" customHeight="1">
      <c r="A6652" s="49" t="s">
        <v>517</v>
      </c>
      <c r="B6652" s="50">
        <v>45107.0</v>
      </c>
      <c r="C6652" s="49" t="s">
        <v>78</v>
      </c>
      <c r="D6652" s="49">
        <v>0.0</v>
      </c>
    </row>
    <row r="6653" ht="15.0" hidden="1" customHeight="1">
      <c r="A6653" s="49" t="s">
        <v>522</v>
      </c>
      <c r="B6653" s="50">
        <v>45107.0</v>
      </c>
      <c r="C6653" s="49" t="s">
        <v>78</v>
      </c>
      <c r="D6653" s="49">
        <v>0.0</v>
      </c>
    </row>
    <row r="6654" ht="15.0" hidden="1" customHeight="1">
      <c r="A6654" s="49" t="s">
        <v>528</v>
      </c>
      <c r="B6654" s="50">
        <v>45107.0</v>
      </c>
      <c r="C6654" s="49" t="s">
        <v>78</v>
      </c>
      <c r="D6654" s="49">
        <v>0.0</v>
      </c>
    </row>
    <row r="6655" ht="15.0" hidden="1" customHeight="1">
      <c r="A6655" s="49" t="s">
        <v>533</v>
      </c>
      <c r="B6655" s="50">
        <v>45107.0</v>
      </c>
      <c r="C6655" s="49" t="s">
        <v>78</v>
      </c>
      <c r="D6655" s="49">
        <v>0.0</v>
      </c>
    </row>
    <row r="6656" ht="15.0" hidden="1" customHeight="1">
      <c r="A6656" s="49" t="s">
        <v>538</v>
      </c>
      <c r="B6656" s="50">
        <v>45107.0</v>
      </c>
      <c r="C6656" s="49" t="s">
        <v>78</v>
      </c>
      <c r="D6656" s="49">
        <v>0.0</v>
      </c>
    </row>
    <row r="6657" ht="15.0" hidden="1" customHeight="1">
      <c r="A6657" s="49" t="s">
        <v>546</v>
      </c>
      <c r="B6657" s="50">
        <v>45107.0</v>
      </c>
      <c r="C6657" s="49" t="s">
        <v>78</v>
      </c>
      <c r="D6657" s="49">
        <v>0.0</v>
      </c>
    </row>
    <row r="6658" ht="15.0" hidden="1" customHeight="1">
      <c r="A6658" s="49" t="s">
        <v>551</v>
      </c>
      <c r="B6658" s="50">
        <v>45107.0</v>
      </c>
      <c r="C6658" s="49" t="s">
        <v>78</v>
      </c>
      <c r="D6658" s="49">
        <v>0.0</v>
      </c>
    </row>
    <row r="6659" ht="15.0" hidden="1" customHeight="1">
      <c r="A6659" s="49" t="s">
        <v>556</v>
      </c>
      <c r="B6659" s="50">
        <v>45107.0</v>
      </c>
      <c r="C6659" s="49" t="s">
        <v>78</v>
      </c>
      <c r="D6659" s="49">
        <v>0.0</v>
      </c>
    </row>
    <row r="6660" ht="15.0" hidden="1" customHeight="1">
      <c r="A6660" s="49" t="s">
        <v>561</v>
      </c>
      <c r="B6660" s="50">
        <v>45107.0</v>
      </c>
      <c r="C6660" s="49" t="s">
        <v>78</v>
      </c>
      <c r="D6660" s="49">
        <v>0.0</v>
      </c>
    </row>
    <row r="6661" ht="15.0" hidden="1" customHeight="1">
      <c r="A6661" s="49" t="s">
        <v>566</v>
      </c>
      <c r="B6661" s="50">
        <v>45107.0</v>
      </c>
      <c r="C6661" s="49" t="s">
        <v>78</v>
      </c>
      <c r="D6661" s="49">
        <v>0.0</v>
      </c>
    </row>
    <row r="6662" ht="15.0" hidden="1" customHeight="1">
      <c r="A6662" s="49" t="s">
        <v>571</v>
      </c>
      <c r="B6662" s="50">
        <v>45107.0</v>
      </c>
      <c r="C6662" s="49" t="s">
        <v>78</v>
      </c>
      <c r="D6662" s="49">
        <v>0.0</v>
      </c>
    </row>
    <row r="6663" ht="15.0" hidden="1" customHeight="1">
      <c r="A6663" s="49" t="s">
        <v>576</v>
      </c>
      <c r="B6663" s="50">
        <v>45107.0</v>
      </c>
      <c r="C6663" s="49" t="s">
        <v>78</v>
      </c>
      <c r="D6663" s="49">
        <v>0.0</v>
      </c>
    </row>
    <row r="6664" ht="15.0" hidden="1" customHeight="1">
      <c r="A6664" s="49" t="s">
        <v>581</v>
      </c>
      <c r="B6664" s="50">
        <v>45107.0</v>
      </c>
      <c r="C6664" s="49" t="s">
        <v>78</v>
      </c>
      <c r="D6664" s="49">
        <v>0.0</v>
      </c>
    </row>
    <row r="6665" ht="15.0" hidden="1" customHeight="1">
      <c r="A6665" s="49" t="s">
        <v>586</v>
      </c>
      <c r="B6665" s="50">
        <v>45107.0</v>
      </c>
      <c r="C6665" s="49" t="s">
        <v>78</v>
      </c>
      <c r="D6665" s="49">
        <v>0.0</v>
      </c>
    </row>
    <row r="6666" ht="15.0" hidden="1" customHeight="1">
      <c r="A6666" s="49" t="s">
        <v>754</v>
      </c>
      <c r="B6666" s="50">
        <v>45107.0</v>
      </c>
      <c r="C6666" s="49" t="s">
        <v>78</v>
      </c>
      <c r="D6666" s="49">
        <v>0.0</v>
      </c>
    </row>
    <row r="6667" ht="15.0" hidden="1" customHeight="1">
      <c r="A6667" s="49" t="s">
        <v>591</v>
      </c>
      <c r="B6667" s="50">
        <v>45107.0</v>
      </c>
      <c r="C6667" s="49" t="s">
        <v>78</v>
      </c>
      <c r="D6667" s="49">
        <v>0.0</v>
      </c>
    </row>
    <row r="6668" ht="15.0" hidden="1" customHeight="1">
      <c r="A6668" s="49" t="s">
        <v>759</v>
      </c>
      <c r="B6668" s="50">
        <v>45107.0</v>
      </c>
      <c r="C6668" s="49" t="s">
        <v>78</v>
      </c>
      <c r="D6668" s="49">
        <v>0.0</v>
      </c>
    </row>
    <row r="6669" ht="15.0" hidden="1" customHeight="1">
      <c r="A6669" s="49" t="s">
        <v>596</v>
      </c>
      <c r="B6669" s="50">
        <v>45107.0</v>
      </c>
      <c r="C6669" s="49" t="s">
        <v>78</v>
      </c>
      <c r="D6669" s="49">
        <v>0.0</v>
      </c>
    </row>
    <row r="6670" ht="15.0" hidden="1" customHeight="1">
      <c r="A6670" s="49" t="s">
        <v>602</v>
      </c>
      <c r="B6670" s="50">
        <v>45107.0</v>
      </c>
      <c r="C6670" s="49" t="s">
        <v>78</v>
      </c>
      <c r="D6670" s="49">
        <v>0.0</v>
      </c>
    </row>
    <row r="6671" ht="15.0" hidden="1" customHeight="1">
      <c r="A6671" s="49" t="s">
        <v>607</v>
      </c>
      <c r="B6671" s="50">
        <v>45107.0</v>
      </c>
      <c r="C6671" s="49" t="s">
        <v>78</v>
      </c>
      <c r="D6671" s="49">
        <v>0.0</v>
      </c>
    </row>
    <row r="6672" ht="15.0" hidden="1" customHeight="1">
      <c r="A6672" s="49" t="s">
        <v>612</v>
      </c>
      <c r="B6672" s="50">
        <v>45107.0</v>
      </c>
      <c r="C6672" s="49" t="s">
        <v>78</v>
      </c>
      <c r="D6672" s="49">
        <v>0.0</v>
      </c>
    </row>
    <row r="6673" ht="15.0" hidden="1" customHeight="1">
      <c r="A6673" s="49" t="s">
        <v>617</v>
      </c>
      <c r="B6673" s="50">
        <v>45107.0</v>
      </c>
      <c r="C6673" s="49" t="s">
        <v>78</v>
      </c>
      <c r="D6673" s="49">
        <v>0.0</v>
      </c>
    </row>
    <row r="6674" ht="15.0" hidden="1" customHeight="1">
      <c r="A6674" s="49" t="s">
        <v>622</v>
      </c>
      <c r="B6674" s="50">
        <v>45107.0</v>
      </c>
      <c r="C6674" s="49" t="s">
        <v>78</v>
      </c>
      <c r="D6674" s="49">
        <v>0.0</v>
      </c>
    </row>
    <row r="6675" ht="15.0" hidden="1" customHeight="1">
      <c r="A6675" s="49" t="s">
        <v>627</v>
      </c>
      <c r="B6675" s="50">
        <v>45107.0</v>
      </c>
      <c r="C6675" s="49" t="s">
        <v>78</v>
      </c>
      <c r="D6675" s="49">
        <v>0.0</v>
      </c>
    </row>
    <row r="6676" ht="15.0" hidden="1" customHeight="1">
      <c r="A6676" s="49" t="s">
        <v>631</v>
      </c>
      <c r="B6676" s="50">
        <v>45107.0</v>
      </c>
      <c r="C6676" s="49" t="s">
        <v>78</v>
      </c>
      <c r="D6676" s="49">
        <v>0.0</v>
      </c>
    </row>
    <row r="6677" ht="15.0" hidden="1" customHeight="1">
      <c r="A6677" s="49" t="s">
        <v>636</v>
      </c>
      <c r="B6677" s="50">
        <v>45107.0</v>
      </c>
      <c r="C6677" s="49" t="s">
        <v>78</v>
      </c>
      <c r="D6677" s="49">
        <v>0.0</v>
      </c>
    </row>
    <row r="6678" ht="15.0" hidden="1" customHeight="1">
      <c r="A6678" s="49" t="s">
        <v>640</v>
      </c>
      <c r="B6678" s="50">
        <v>45107.0</v>
      </c>
      <c r="C6678" s="49" t="s">
        <v>78</v>
      </c>
      <c r="D6678" s="49">
        <v>0.0</v>
      </c>
    </row>
    <row r="6679" ht="15.0" hidden="1" customHeight="1">
      <c r="A6679" s="49" t="s">
        <v>644</v>
      </c>
      <c r="B6679" s="50">
        <v>45107.0</v>
      </c>
      <c r="C6679" s="49" t="s">
        <v>78</v>
      </c>
      <c r="D6679" s="49">
        <v>0.0</v>
      </c>
    </row>
    <row r="6680" ht="15.0" hidden="1" customHeight="1">
      <c r="A6680" s="49" t="s">
        <v>649</v>
      </c>
      <c r="B6680" s="50">
        <v>45107.0</v>
      </c>
      <c r="C6680" s="49" t="s">
        <v>78</v>
      </c>
      <c r="D6680" s="49">
        <v>0.0</v>
      </c>
    </row>
    <row r="6681" ht="15.0" hidden="1" customHeight="1">
      <c r="A6681" s="49" t="s">
        <v>654</v>
      </c>
      <c r="B6681" s="50">
        <v>45107.0</v>
      </c>
      <c r="C6681" s="49" t="s">
        <v>78</v>
      </c>
      <c r="D6681" s="49">
        <v>0.0</v>
      </c>
    </row>
    <row r="6682" ht="15.0" hidden="1" customHeight="1">
      <c r="A6682" s="49" t="s">
        <v>659</v>
      </c>
      <c r="B6682" s="50">
        <v>45107.0</v>
      </c>
      <c r="C6682" s="49" t="s">
        <v>78</v>
      </c>
      <c r="D6682" s="49">
        <v>0.0</v>
      </c>
    </row>
    <row r="6683" ht="15.0" hidden="1" customHeight="1">
      <c r="A6683" s="49" t="s">
        <v>664</v>
      </c>
      <c r="B6683" s="50">
        <v>45107.0</v>
      </c>
      <c r="C6683" s="49" t="s">
        <v>78</v>
      </c>
      <c r="D6683" s="49">
        <v>0.0</v>
      </c>
    </row>
    <row r="6684" ht="15.0" hidden="1" customHeight="1">
      <c r="A6684" s="49" t="s">
        <v>669</v>
      </c>
      <c r="B6684" s="50">
        <v>45107.0</v>
      </c>
      <c r="C6684" s="49" t="s">
        <v>78</v>
      </c>
      <c r="D6684" s="49">
        <v>0.0</v>
      </c>
    </row>
    <row r="6685" ht="15.0" hidden="1" customHeight="1">
      <c r="A6685" s="49" t="s">
        <v>674</v>
      </c>
      <c r="B6685" s="50">
        <v>45107.0</v>
      </c>
      <c r="C6685" s="49" t="s">
        <v>78</v>
      </c>
      <c r="D6685" s="49">
        <v>0.0</v>
      </c>
    </row>
    <row r="6686" ht="15.0" hidden="1" customHeight="1">
      <c r="A6686" s="49" t="s">
        <v>679</v>
      </c>
      <c r="B6686" s="50">
        <v>45107.0</v>
      </c>
      <c r="C6686" s="49" t="s">
        <v>78</v>
      </c>
      <c r="D6686" s="49">
        <v>0.0</v>
      </c>
    </row>
    <row r="6687" ht="15.0" hidden="1" customHeight="1">
      <c r="A6687" s="49" t="s">
        <v>684</v>
      </c>
      <c r="B6687" s="50">
        <v>45107.0</v>
      </c>
      <c r="C6687" s="49" t="s">
        <v>78</v>
      </c>
      <c r="D6687" s="49">
        <v>0.0</v>
      </c>
    </row>
    <row r="6688" ht="15.0" hidden="1" customHeight="1">
      <c r="A6688" s="49" t="s">
        <v>689</v>
      </c>
      <c r="B6688" s="50">
        <v>45107.0</v>
      </c>
      <c r="C6688" s="49" t="s">
        <v>78</v>
      </c>
      <c r="D6688" s="49">
        <v>0.0</v>
      </c>
    </row>
    <row r="6689" ht="15.0" hidden="1" customHeight="1">
      <c r="A6689" s="49" t="s">
        <v>694</v>
      </c>
      <c r="B6689" s="50">
        <v>45107.0</v>
      </c>
      <c r="C6689" s="49" t="s">
        <v>78</v>
      </c>
      <c r="D6689" s="49">
        <v>0.0</v>
      </c>
    </row>
    <row r="6690" ht="15.0" hidden="1" customHeight="1">
      <c r="A6690" s="49" t="s">
        <v>699</v>
      </c>
      <c r="B6690" s="50">
        <v>45107.0</v>
      </c>
      <c r="C6690" s="49" t="s">
        <v>78</v>
      </c>
      <c r="D6690" s="49">
        <v>0.0</v>
      </c>
    </row>
    <row r="6691" ht="15.0" hidden="1" customHeight="1">
      <c r="A6691" s="49" t="s">
        <v>705</v>
      </c>
      <c r="B6691" s="50">
        <v>45107.0</v>
      </c>
      <c r="C6691" s="49" t="s">
        <v>78</v>
      </c>
      <c r="D6691" s="49">
        <v>0.0</v>
      </c>
    </row>
    <row r="6692" ht="15.0" hidden="1" customHeight="1">
      <c r="A6692" s="49" t="s">
        <v>710</v>
      </c>
      <c r="B6692" s="50">
        <v>45107.0</v>
      </c>
      <c r="C6692" s="49" t="s">
        <v>78</v>
      </c>
      <c r="D6692" s="49">
        <v>0.0</v>
      </c>
    </row>
    <row r="6693" ht="15.0" hidden="1" customHeight="1">
      <c r="A6693" s="49" t="s">
        <v>715</v>
      </c>
      <c r="B6693" s="50">
        <v>45107.0</v>
      </c>
      <c r="C6693" s="49" t="s">
        <v>78</v>
      </c>
      <c r="D6693" s="49">
        <v>0.0</v>
      </c>
    </row>
    <row r="6694" ht="15.0" hidden="1" customHeight="1">
      <c r="A6694" s="49" t="s">
        <v>765</v>
      </c>
      <c r="B6694" s="50">
        <v>45107.0</v>
      </c>
      <c r="C6694" s="49" t="s">
        <v>78</v>
      </c>
      <c r="D6694" s="49">
        <v>0.0</v>
      </c>
    </row>
    <row r="6695" ht="15.0" hidden="1" customHeight="1">
      <c r="A6695" s="49" t="s">
        <v>720</v>
      </c>
      <c r="B6695" s="50">
        <v>45107.0</v>
      </c>
      <c r="C6695" s="49" t="s">
        <v>78</v>
      </c>
      <c r="D6695" s="49">
        <v>0.0</v>
      </c>
    </row>
    <row r="6696" ht="15.0" hidden="1" customHeight="1">
      <c r="A6696" s="49" t="s">
        <v>725</v>
      </c>
      <c r="B6696" s="50">
        <v>45107.0</v>
      </c>
      <c r="C6696" s="49" t="s">
        <v>78</v>
      </c>
      <c r="D6696" s="49">
        <v>0.0</v>
      </c>
    </row>
    <row r="6697" ht="15.0" hidden="1" customHeight="1">
      <c r="A6697" s="49" t="s">
        <v>730</v>
      </c>
      <c r="B6697" s="50">
        <v>45107.0</v>
      </c>
      <c r="C6697" s="49" t="s">
        <v>78</v>
      </c>
      <c r="D6697" s="49">
        <v>0.0</v>
      </c>
    </row>
    <row r="6698" ht="15.0" hidden="1" customHeight="1">
      <c r="A6698" s="49" t="s">
        <v>734</v>
      </c>
      <c r="B6698" s="50">
        <v>45107.0</v>
      </c>
      <c r="C6698" s="49" t="s">
        <v>78</v>
      </c>
      <c r="D6698" s="49">
        <v>0.0</v>
      </c>
    </row>
    <row r="6699" ht="15.0" hidden="1" customHeight="1">
      <c r="A6699" s="49" t="s">
        <v>739</v>
      </c>
      <c r="B6699" s="50">
        <v>45107.0</v>
      </c>
      <c r="C6699" s="49" t="s">
        <v>78</v>
      </c>
      <c r="D6699" s="49">
        <v>0.0</v>
      </c>
    </row>
    <row r="6700" ht="15.0" hidden="1" customHeight="1">
      <c r="A6700" s="49" t="s">
        <v>744</v>
      </c>
      <c r="B6700" s="50">
        <v>45107.0</v>
      </c>
      <c r="C6700" s="49" t="s">
        <v>78</v>
      </c>
      <c r="D6700" s="49">
        <v>0.0</v>
      </c>
    </row>
    <row r="6701" ht="15.0" hidden="1" customHeight="1">
      <c r="A6701" s="49" t="s">
        <v>749</v>
      </c>
      <c r="B6701" s="50">
        <v>45107.0</v>
      </c>
      <c r="C6701" s="49" t="s">
        <v>78</v>
      </c>
      <c r="D6701" s="49">
        <v>0.0</v>
      </c>
    </row>
    <row r="6702" ht="15.0" customHeight="1">
      <c r="A6702" s="49" t="s">
        <v>776</v>
      </c>
      <c r="B6702" s="50">
        <v>45107.0</v>
      </c>
      <c r="C6702" s="49" t="s">
        <v>69</v>
      </c>
      <c r="D6702" s="49">
        <v>0.0</v>
      </c>
    </row>
    <row r="6703" ht="15.0" hidden="1" customHeight="1">
      <c r="A6703" s="49" t="s">
        <v>778</v>
      </c>
      <c r="B6703" s="50">
        <v>45107.0</v>
      </c>
      <c r="C6703" s="49" t="s">
        <v>69</v>
      </c>
      <c r="D6703" s="49">
        <v>0.0</v>
      </c>
    </row>
    <row r="6704" ht="15.0" hidden="1" customHeight="1">
      <c r="A6704" s="49" t="s">
        <v>92</v>
      </c>
      <c r="B6704" s="50">
        <v>45107.0</v>
      </c>
      <c r="C6704" s="49" t="s">
        <v>69</v>
      </c>
      <c r="D6704" s="49">
        <v>0.0</v>
      </c>
    </row>
    <row r="6705" ht="15.0" hidden="1" customHeight="1">
      <c r="A6705" s="49" t="s">
        <v>97</v>
      </c>
      <c r="B6705" s="50">
        <v>45107.0</v>
      </c>
      <c r="C6705" s="49" t="s">
        <v>69</v>
      </c>
      <c r="D6705" s="49">
        <v>0.0</v>
      </c>
    </row>
    <row r="6706" ht="15.0" hidden="1" customHeight="1">
      <c r="A6706" s="49" t="s">
        <v>102</v>
      </c>
      <c r="B6706" s="50">
        <v>45107.0</v>
      </c>
      <c r="C6706" s="49" t="s">
        <v>69</v>
      </c>
      <c r="D6706" s="49">
        <v>0.0</v>
      </c>
    </row>
    <row r="6707" ht="15.0" hidden="1" customHeight="1">
      <c r="A6707" s="49" t="s">
        <v>106</v>
      </c>
      <c r="B6707" s="50">
        <v>45107.0</v>
      </c>
      <c r="C6707" s="49" t="s">
        <v>69</v>
      </c>
      <c r="D6707" s="49">
        <v>0.0</v>
      </c>
    </row>
    <row r="6708" ht="15.0" hidden="1" customHeight="1">
      <c r="A6708" s="49" t="s">
        <v>111</v>
      </c>
      <c r="B6708" s="50">
        <v>45107.0</v>
      </c>
      <c r="C6708" s="49" t="s">
        <v>69</v>
      </c>
      <c r="D6708" s="49">
        <v>0.0</v>
      </c>
    </row>
    <row r="6709" ht="15.0" hidden="1" customHeight="1">
      <c r="A6709" s="49" t="s">
        <v>116</v>
      </c>
      <c r="B6709" s="50">
        <v>45107.0</v>
      </c>
      <c r="C6709" s="49" t="s">
        <v>69</v>
      </c>
      <c r="D6709" s="49">
        <v>0.0</v>
      </c>
    </row>
    <row r="6710" ht="15.0" hidden="1" customHeight="1">
      <c r="A6710" s="49" t="s">
        <v>120</v>
      </c>
      <c r="B6710" s="50">
        <v>45107.0</v>
      </c>
      <c r="C6710" s="49" t="s">
        <v>69</v>
      </c>
      <c r="D6710" s="49">
        <v>0.0</v>
      </c>
    </row>
    <row r="6711" ht="15.0" hidden="1" customHeight="1">
      <c r="A6711" s="49" t="s">
        <v>125</v>
      </c>
      <c r="B6711" s="50">
        <v>45107.0</v>
      </c>
      <c r="C6711" s="49" t="s">
        <v>69</v>
      </c>
      <c r="D6711" s="49">
        <v>0.0</v>
      </c>
    </row>
    <row r="6712" ht="15.0" hidden="1" customHeight="1">
      <c r="A6712" s="49" t="s">
        <v>130</v>
      </c>
      <c r="B6712" s="50">
        <v>45107.0</v>
      </c>
      <c r="C6712" s="49" t="s">
        <v>69</v>
      </c>
      <c r="D6712" s="49">
        <v>0.0</v>
      </c>
    </row>
    <row r="6713" ht="15.0" hidden="1" customHeight="1">
      <c r="A6713" s="49" t="s">
        <v>137</v>
      </c>
      <c r="B6713" s="50">
        <v>45107.0</v>
      </c>
      <c r="C6713" s="49" t="s">
        <v>69</v>
      </c>
      <c r="D6713" s="49">
        <v>0.0</v>
      </c>
    </row>
    <row r="6714" ht="15.0" hidden="1" customHeight="1">
      <c r="A6714" s="49" t="s">
        <v>142</v>
      </c>
      <c r="B6714" s="50">
        <v>45107.0</v>
      </c>
      <c r="C6714" s="49" t="s">
        <v>69</v>
      </c>
      <c r="D6714" s="49">
        <v>0.0</v>
      </c>
    </row>
    <row r="6715" ht="15.0" hidden="1" customHeight="1">
      <c r="A6715" s="49" t="s">
        <v>147</v>
      </c>
      <c r="B6715" s="50">
        <v>45107.0</v>
      </c>
      <c r="C6715" s="49" t="s">
        <v>69</v>
      </c>
      <c r="D6715" s="49">
        <v>0.0</v>
      </c>
    </row>
    <row r="6716" ht="15.0" hidden="1" customHeight="1">
      <c r="A6716" s="49" t="s">
        <v>152</v>
      </c>
      <c r="B6716" s="50">
        <v>45107.0</v>
      </c>
      <c r="C6716" s="49" t="s">
        <v>69</v>
      </c>
      <c r="D6716" s="49">
        <v>0.0</v>
      </c>
    </row>
    <row r="6717" ht="15.0" hidden="1" customHeight="1">
      <c r="A6717" s="49" t="s">
        <v>157</v>
      </c>
      <c r="B6717" s="50">
        <v>45107.0</v>
      </c>
      <c r="C6717" s="49" t="s">
        <v>69</v>
      </c>
      <c r="D6717" s="49">
        <v>0.0</v>
      </c>
    </row>
    <row r="6718" ht="15.0" hidden="1" customHeight="1">
      <c r="A6718" s="49" t="s">
        <v>162</v>
      </c>
      <c r="B6718" s="50">
        <v>45107.0</v>
      </c>
      <c r="C6718" s="49" t="s">
        <v>69</v>
      </c>
      <c r="D6718" s="49">
        <v>0.0</v>
      </c>
    </row>
    <row r="6719" ht="15.0" hidden="1" customHeight="1">
      <c r="A6719" s="49" t="s">
        <v>167</v>
      </c>
      <c r="B6719" s="50">
        <v>45107.0</v>
      </c>
      <c r="C6719" s="49" t="s">
        <v>69</v>
      </c>
      <c r="D6719" s="49">
        <v>0.0</v>
      </c>
    </row>
    <row r="6720" ht="15.0" hidden="1" customHeight="1">
      <c r="A6720" s="49" t="s">
        <v>172</v>
      </c>
      <c r="B6720" s="50">
        <v>45107.0</v>
      </c>
      <c r="C6720" s="49" t="s">
        <v>69</v>
      </c>
      <c r="D6720" s="49">
        <v>0.0</v>
      </c>
    </row>
    <row r="6721" ht="15.0" hidden="1" customHeight="1">
      <c r="A6721" s="49" t="s">
        <v>177</v>
      </c>
      <c r="B6721" s="50">
        <v>45107.0</v>
      </c>
      <c r="C6721" s="49" t="s">
        <v>69</v>
      </c>
      <c r="D6721" s="49">
        <v>400000.0</v>
      </c>
    </row>
    <row r="6722" ht="15.0" hidden="1" customHeight="1">
      <c r="A6722" s="49" t="s">
        <v>182</v>
      </c>
      <c r="B6722" s="50">
        <v>45107.0</v>
      </c>
      <c r="C6722" s="49" t="s">
        <v>69</v>
      </c>
      <c r="D6722" s="49">
        <v>0.0</v>
      </c>
    </row>
    <row r="6723" ht="15.0" hidden="1" customHeight="1">
      <c r="A6723" s="49" t="s">
        <v>187</v>
      </c>
      <c r="B6723" s="50">
        <v>45107.0</v>
      </c>
      <c r="C6723" s="49" t="s">
        <v>69</v>
      </c>
      <c r="D6723" s="49">
        <v>0.0</v>
      </c>
    </row>
    <row r="6724" ht="15.0" hidden="1" customHeight="1">
      <c r="A6724" s="49" t="s">
        <v>192</v>
      </c>
      <c r="B6724" s="50">
        <v>45107.0</v>
      </c>
      <c r="C6724" s="49" t="s">
        <v>69</v>
      </c>
      <c r="D6724" s="49">
        <v>0.0</v>
      </c>
    </row>
    <row r="6725" ht="15.0" hidden="1" customHeight="1">
      <c r="A6725" s="49" t="s">
        <v>197</v>
      </c>
      <c r="B6725" s="50">
        <v>45107.0</v>
      </c>
      <c r="C6725" s="49" t="s">
        <v>69</v>
      </c>
      <c r="D6725" s="49">
        <v>0.0</v>
      </c>
    </row>
    <row r="6726" ht="15.0" hidden="1" customHeight="1">
      <c r="A6726" s="49" t="s">
        <v>202</v>
      </c>
      <c r="B6726" s="50">
        <v>45107.0</v>
      </c>
      <c r="C6726" s="49" t="s">
        <v>69</v>
      </c>
      <c r="D6726" s="49">
        <v>0.0</v>
      </c>
    </row>
    <row r="6727" ht="15.0" hidden="1" customHeight="1">
      <c r="A6727" s="49" t="s">
        <v>206</v>
      </c>
      <c r="B6727" s="50">
        <v>45107.0</v>
      </c>
      <c r="C6727" s="49" t="s">
        <v>69</v>
      </c>
      <c r="D6727" s="49">
        <v>0.0</v>
      </c>
    </row>
    <row r="6728" ht="15.0" hidden="1" customHeight="1">
      <c r="A6728" s="49" t="s">
        <v>211</v>
      </c>
      <c r="B6728" s="50">
        <v>45107.0</v>
      </c>
      <c r="C6728" s="49" t="s">
        <v>69</v>
      </c>
      <c r="D6728" s="49">
        <v>0.0</v>
      </c>
    </row>
    <row r="6729" ht="15.0" hidden="1" customHeight="1">
      <c r="A6729" s="49" t="s">
        <v>779</v>
      </c>
      <c r="B6729" s="50">
        <v>45107.0</v>
      </c>
      <c r="C6729" s="49" t="s">
        <v>69</v>
      </c>
      <c r="D6729" s="49">
        <v>0.0</v>
      </c>
    </row>
    <row r="6730" ht="15.0" hidden="1" customHeight="1">
      <c r="A6730" s="49" t="s">
        <v>221</v>
      </c>
      <c r="B6730" s="50">
        <v>45107.0</v>
      </c>
      <c r="C6730" s="49" t="s">
        <v>69</v>
      </c>
      <c r="D6730" s="49">
        <v>0.0</v>
      </c>
    </row>
    <row r="6731" ht="15.0" hidden="1" customHeight="1">
      <c r="A6731" s="49" t="s">
        <v>226</v>
      </c>
      <c r="B6731" s="50">
        <v>45107.0</v>
      </c>
      <c r="C6731" s="49" t="s">
        <v>69</v>
      </c>
      <c r="D6731" s="49">
        <v>261250.0</v>
      </c>
    </row>
    <row r="6732" ht="15.0" hidden="1" customHeight="1">
      <c r="A6732" s="49" t="s">
        <v>231</v>
      </c>
      <c r="B6732" s="50">
        <v>45107.0</v>
      </c>
      <c r="C6732" s="49" t="s">
        <v>69</v>
      </c>
      <c r="D6732" s="49">
        <v>0.0</v>
      </c>
    </row>
    <row r="6733" ht="15.0" hidden="1" customHeight="1">
      <c r="A6733" s="49" t="s">
        <v>236</v>
      </c>
      <c r="B6733" s="50">
        <v>45107.0</v>
      </c>
      <c r="C6733" s="49" t="s">
        <v>69</v>
      </c>
      <c r="D6733" s="49">
        <v>0.0</v>
      </c>
    </row>
    <row r="6734" ht="15.0" hidden="1" customHeight="1">
      <c r="A6734" s="49" t="s">
        <v>242</v>
      </c>
      <c r="B6734" s="50">
        <v>45107.0</v>
      </c>
      <c r="C6734" s="49" t="s">
        <v>69</v>
      </c>
      <c r="D6734" s="49">
        <v>750000.0</v>
      </c>
    </row>
    <row r="6735" ht="15.0" hidden="1" customHeight="1">
      <c r="A6735" s="49" t="s">
        <v>248</v>
      </c>
      <c r="B6735" s="50">
        <v>45107.0</v>
      </c>
      <c r="C6735" s="49" t="s">
        <v>69</v>
      </c>
      <c r="D6735" s="49">
        <v>0.0</v>
      </c>
    </row>
    <row r="6736" ht="15.0" hidden="1" customHeight="1">
      <c r="A6736" s="49" t="s">
        <v>253</v>
      </c>
      <c r="B6736" s="50">
        <v>45107.0</v>
      </c>
      <c r="C6736" s="49" t="s">
        <v>69</v>
      </c>
      <c r="D6736" s="49">
        <v>0.0</v>
      </c>
    </row>
    <row r="6737" ht="15.0" hidden="1" customHeight="1">
      <c r="A6737" s="49" t="s">
        <v>258</v>
      </c>
      <c r="B6737" s="50">
        <v>45107.0</v>
      </c>
      <c r="C6737" s="49" t="s">
        <v>69</v>
      </c>
      <c r="D6737" s="49">
        <v>0.0</v>
      </c>
    </row>
    <row r="6738" ht="15.0" hidden="1" customHeight="1">
      <c r="A6738" s="49" t="s">
        <v>263</v>
      </c>
      <c r="B6738" s="50">
        <v>45107.0</v>
      </c>
      <c r="C6738" s="49" t="s">
        <v>69</v>
      </c>
      <c r="D6738" s="49">
        <v>0.0</v>
      </c>
    </row>
    <row r="6739" ht="15.0" hidden="1" customHeight="1">
      <c r="A6739" s="49" t="s">
        <v>268</v>
      </c>
      <c r="B6739" s="50">
        <v>45107.0</v>
      </c>
      <c r="C6739" s="49" t="s">
        <v>69</v>
      </c>
      <c r="D6739" s="49">
        <v>0.0</v>
      </c>
    </row>
    <row r="6740" ht="15.0" hidden="1" customHeight="1">
      <c r="A6740" s="49" t="s">
        <v>273</v>
      </c>
      <c r="B6740" s="50">
        <v>45107.0</v>
      </c>
      <c r="C6740" s="49" t="s">
        <v>69</v>
      </c>
      <c r="D6740" s="49">
        <v>0.0</v>
      </c>
    </row>
    <row r="6741" ht="15.0" hidden="1" customHeight="1">
      <c r="A6741" s="49" t="s">
        <v>278</v>
      </c>
      <c r="B6741" s="50">
        <v>45107.0</v>
      </c>
      <c r="C6741" s="49" t="s">
        <v>69</v>
      </c>
      <c r="D6741" s="49">
        <v>0.0</v>
      </c>
    </row>
    <row r="6742" ht="15.0" hidden="1" customHeight="1">
      <c r="A6742" s="49" t="s">
        <v>283</v>
      </c>
      <c r="B6742" s="50">
        <v>45107.0</v>
      </c>
      <c r="C6742" s="49" t="s">
        <v>69</v>
      </c>
      <c r="D6742" s="49">
        <v>42250.0</v>
      </c>
    </row>
    <row r="6743" ht="15.0" hidden="1" customHeight="1">
      <c r="A6743" s="49" t="s">
        <v>288</v>
      </c>
      <c r="B6743" s="50">
        <v>45107.0</v>
      </c>
      <c r="C6743" s="49" t="s">
        <v>69</v>
      </c>
      <c r="D6743" s="49">
        <v>0.0</v>
      </c>
    </row>
    <row r="6744" ht="15.0" hidden="1" customHeight="1">
      <c r="A6744" s="49" t="s">
        <v>293</v>
      </c>
      <c r="B6744" s="50">
        <v>45107.0</v>
      </c>
      <c r="C6744" s="49" t="s">
        <v>69</v>
      </c>
      <c r="D6744" s="49">
        <v>0.0</v>
      </c>
    </row>
    <row r="6745" ht="15.0" hidden="1" customHeight="1">
      <c r="A6745" s="49" t="s">
        <v>298</v>
      </c>
      <c r="B6745" s="50">
        <v>45107.0</v>
      </c>
      <c r="C6745" s="49" t="s">
        <v>69</v>
      </c>
      <c r="D6745" s="49">
        <v>0.0</v>
      </c>
    </row>
    <row r="6746" ht="15.0" hidden="1" customHeight="1">
      <c r="A6746" s="49" t="s">
        <v>303</v>
      </c>
      <c r="B6746" s="50">
        <v>45107.0</v>
      </c>
      <c r="C6746" s="49" t="s">
        <v>69</v>
      </c>
      <c r="D6746" s="49">
        <v>0.0</v>
      </c>
    </row>
    <row r="6747" ht="15.0" hidden="1" customHeight="1">
      <c r="A6747" s="49" t="s">
        <v>307</v>
      </c>
      <c r="B6747" s="50">
        <v>45107.0</v>
      </c>
      <c r="C6747" s="49" t="s">
        <v>69</v>
      </c>
      <c r="D6747" s="49">
        <v>0.0</v>
      </c>
    </row>
    <row r="6748" ht="15.0" hidden="1" customHeight="1">
      <c r="A6748" s="49" t="s">
        <v>313</v>
      </c>
      <c r="B6748" s="50">
        <v>45107.0</v>
      </c>
      <c r="C6748" s="49" t="s">
        <v>69</v>
      </c>
      <c r="D6748" s="49">
        <v>850000.0</v>
      </c>
    </row>
    <row r="6749" ht="15.0" hidden="1" customHeight="1">
      <c r="A6749" s="49" t="s">
        <v>318</v>
      </c>
      <c r="B6749" s="50">
        <v>45107.0</v>
      </c>
      <c r="C6749" s="49" t="s">
        <v>69</v>
      </c>
      <c r="D6749" s="49">
        <v>0.0</v>
      </c>
    </row>
    <row r="6750" ht="15.0" hidden="1" customHeight="1">
      <c r="A6750" s="49" t="s">
        <v>323</v>
      </c>
      <c r="B6750" s="50">
        <v>45107.0</v>
      </c>
      <c r="C6750" s="49" t="s">
        <v>69</v>
      </c>
      <c r="D6750" s="49">
        <v>800000.0</v>
      </c>
    </row>
    <row r="6751" ht="15.0" hidden="1" customHeight="1">
      <c r="A6751" s="49" t="s">
        <v>328</v>
      </c>
      <c r="B6751" s="50">
        <v>45107.0</v>
      </c>
      <c r="C6751" s="49" t="s">
        <v>69</v>
      </c>
      <c r="D6751" s="49">
        <v>300000.0</v>
      </c>
    </row>
    <row r="6752" ht="15.0" hidden="1" customHeight="1">
      <c r="A6752" s="49" t="s">
        <v>335</v>
      </c>
      <c r="B6752" s="50">
        <v>45107.0</v>
      </c>
      <c r="C6752" s="49" t="s">
        <v>69</v>
      </c>
      <c r="D6752" s="49">
        <v>130000.0</v>
      </c>
    </row>
    <row r="6753" ht="15.0" hidden="1" customHeight="1">
      <c r="A6753" s="49" t="s">
        <v>340</v>
      </c>
      <c r="B6753" s="50">
        <v>45107.0</v>
      </c>
      <c r="C6753" s="49" t="s">
        <v>69</v>
      </c>
      <c r="D6753" s="49">
        <v>0.0</v>
      </c>
    </row>
    <row r="6754" ht="15.0" hidden="1" customHeight="1">
      <c r="A6754" s="49" t="s">
        <v>345</v>
      </c>
      <c r="B6754" s="50">
        <v>45107.0</v>
      </c>
      <c r="C6754" s="49" t="s">
        <v>69</v>
      </c>
      <c r="D6754" s="49">
        <v>0.0</v>
      </c>
    </row>
    <row r="6755" ht="15.0" hidden="1" customHeight="1">
      <c r="A6755" s="49" t="s">
        <v>350</v>
      </c>
      <c r="B6755" s="50">
        <v>45107.0</v>
      </c>
      <c r="C6755" s="49" t="s">
        <v>69</v>
      </c>
      <c r="D6755" s="49">
        <v>1500000.0</v>
      </c>
    </row>
    <row r="6756" ht="15.0" hidden="1" customHeight="1">
      <c r="A6756" s="49" t="s">
        <v>355</v>
      </c>
      <c r="B6756" s="50">
        <v>45107.0</v>
      </c>
      <c r="C6756" s="49" t="s">
        <v>69</v>
      </c>
      <c r="D6756" s="49">
        <v>908206.46</v>
      </c>
    </row>
    <row r="6757" ht="15.0" hidden="1" customHeight="1">
      <c r="A6757" s="49" t="s">
        <v>360</v>
      </c>
      <c r="B6757" s="50">
        <v>45107.0</v>
      </c>
      <c r="C6757" s="49" t="s">
        <v>69</v>
      </c>
      <c r="D6757" s="49">
        <v>0.0</v>
      </c>
    </row>
    <row r="6758" ht="15.0" hidden="1" customHeight="1">
      <c r="A6758" s="49" t="s">
        <v>365</v>
      </c>
      <c r="B6758" s="50">
        <v>45107.0</v>
      </c>
      <c r="C6758" s="49" t="s">
        <v>69</v>
      </c>
      <c r="D6758" s="49">
        <v>0.0</v>
      </c>
    </row>
    <row r="6759" ht="15.0" hidden="1" customHeight="1">
      <c r="A6759" s="49" t="s">
        <v>370</v>
      </c>
      <c r="B6759" s="50">
        <v>45107.0</v>
      </c>
      <c r="C6759" s="49" t="s">
        <v>69</v>
      </c>
      <c r="D6759" s="49">
        <v>250776.75</v>
      </c>
    </row>
    <row r="6760" ht="15.0" hidden="1" customHeight="1">
      <c r="A6760" s="49" t="s">
        <v>375</v>
      </c>
      <c r="B6760" s="50">
        <v>45107.0</v>
      </c>
      <c r="C6760" s="49" t="s">
        <v>69</v>
      </c>
      <c r="D6760" s="49">
        <v>0.0</v>
      </c>
    </row>
    <row r="6761" ht="15.0" hidden="1" customHeight="1">
      <c r="A6761" s="49" t="s">
        <v>380</v>
      </c>
      <c r="B6761" s="50">
        <v>45107.0</v>
      </c>
      <c r="C6761" s="49" t="s">
        <v>69</v>
      </c>
      <c r="D6761" s="49">
        <v>250000.0</v>
      </c>
    </row>
    <row r="6762" ht="15.0" hidden="1" customHeight="1">
      <c r="A6762" s="49" t="s">
        <v>385</v>
      </c>
      <c r="B6762" s="50">
        <v>45107.0</v>
      </c>
      <c r="C6762" s="49" t="s">
        <v>69</v>
      </c>
      <c r="D6762" s="49">
        <v>0.0</v>
      </c>
    </row>
    <row r="6763" ht="15.0" hidden="1" customHeight="1">
      <c r="A6763" s="49" t="s">
        <v>390</v>
      </c>
      <c r="B6763" s="50">
        <v>45107.0</v>
      </c>
      <c r="C6763" s="49" t="s">
        <v>69</v>
      </c>
      <c r="D6763" s="49">
        <v>0.0</v>
      </c>
    </row>
    <row r="6764" ht="15.0" hidden="1" customHeight="1">
      <c r="A6764" s="49" t="s">
        <v>395</v>
      </c>
      <c r="B6764" s="50">
        <v>45107.0</v>
      </c>
      <c r="C6764" s="49" t="s">
        <v>69</v>
      </c>
      <c r="D6764" s="49">
        <v>0.0</v>
      </c>
    </row>
    <row r="6765" ht="15.0" hidden="1" customHeight="1">
      <c r="A6765" s="49" t="s">
        <v>400</v>
      </c>
      <c r="B6765" s="50">
        <v>45107.0</v>
      </c>
      <c r="C6765" s="49" t="s">
        <v>69</v>
      </c>
      <c r="D6765" s="49">
        <v>0.0</v>
      </c>
    </row>
    <row r="6766" ht="15.0" hidden="1" customHeight="1">
      <c r="A6766" s="49" t="s">
        <v>405</v>
      </c>
      <c r="B6766" s="50">
        <v>45107.0</v>
      </c>
      <c r="C6766" s="49" t="s">
        <v>69</v>
      </c>
      <c r="D6766" s="49">
        <v>0.0</v>
      </c>
    </row>
    <row r="6767" ht="15.0" hidden="1" customHeight="1">
      <c r="A6767" s="49" t="s">
        <v>410</v>
      </c>
      <c r="B6767" s="50">
        <v>45107.0</v>
      </c>
      <c r="C6767" s="49" t="s">
        <v>69</v>
      </c>
      <c r="D6767" s="49">
        <v>0.0</v>
      </c>
    </row>
    <row r="6768" ht="15.0" hidden="1" customHeight="1">
      <c r="A6768" s="49" t="s">
        <v>415</v>
      </c>
      <c r="B6768" s="50">
        <v>45107.0</v>
      </c>
      <c r="C6768" s="49" t="s">
        <v>69</v>
      </c>
      <c r="D6768" s="49">
        <v>0.0</v>
      </c>
    </row>
    <row r="6769" ht="15.0" hidden="1" customHeight="1">
      <c r="A6769" s="49" t="s">
        <v>420</v>
      </c>
      <c r="B6769" s="50">
        <v>45107.0</v>
      </c>
      <c r="C6769" s="49" t="s">
        <v>69</v>
      </c>
      <c r="D6769" s="49">
        <v>0.0</v>
      </c>
    </row>
    <row r="6770" ht="15.0" hidden="1" customHeight="1">
      <c r="A6770" s="49" t="s">
        <v>425</v>
      </c>
      <c r="B6770" s="50">
        <v>45107.0</v>
      </c>
      <c r="C6770" s="49" t="s">
        <v>69</v>
      </c>
      <c r="D6770" s="49">
        <v>0.0</v>
      </c>
    </row>
    <row r="6771" ht="15.0" hidden="1" customHeight="1">
      <c r="A6771" s="49" t="s">
        <v>430</v>
      </c>
      <c r="B6771" s="50">
        <v>45107.0</v>
      </c>
      <c r="C6771" s="49" t="s">
        <v>69</v>
      </c>
      <c r="D6771" s="49">
        <v>0.0</v>
      </c>
    </row>
    <row r="6772" ht="15.0" hidden="1" customHeight="1">
      <c r="A6772" s="49" t="s">
        <v>434</v>
      </c>
      <c r="B6772" s="50">
        <v>45107.0</v>
      </c>
      <c r="C6772" s="49" t="s">
        <v>69</v>
      </c>
      <c r="D6772" s="49">
        <v>0.0</v>
      </c>
    </row>
    <row r="6773" ht="15.0" hidden="1" customHeight="1">
      <c r="A6773" s="49" t="s">
        <v>439</v>
      </c>
      <c r="B6773" s="50">
        <v>45107.0</v>
      </c>
      <c r="C6773" s="49" t="s">
        <v>69</v>
      </c>
      <c r="D6773" s="49">
        <v>0.0</v>
      </c>
    </row>
    <row r="6774" ht="15.0" hidden="1" customHeight="1">
      <c r="A6774" s="49" t="s">
        <v>444</v>
      </c>
      <c r="B6774" s="50">
        <v>45107.0</v>
      </c>
      <c r="C6774" s="49" t="s">
        <v>69</v>
      </c>
      <c r="D6774" s="49">
        <v>0.0</v>
      </c>
    </row>
    <row r="6775" ht="15.0" hidden="1" customHeight="1">
      <c r="A6775" s="49" t="s">
        <v>449</v>
      </c>
      <c r="B6775" s="50">
        <v>45107.0</v>
      </c>
      <c r="C6775" s="49" t="s">
        <v>69</v>
      </c>
      <c r="D6775" s="49">
        <v>0.0</v>
      </c>
    </row>
    <row r="6776" ht="15.0" hidden="1" customHeight="1">
      <c r="A6776" s="49" t="s">
        <v>455</v>
      </c>
      <c r="B6776" s="50">
        <v>45107.0</v>
      </c>
      <c r="C6776" s="49" t="s">
        <v>69</v>
      </c>
      <c r="D6776" s="49">
        <v>0.0</v>
      </c>
    </row>
    <row r="6777" ht="15.0" hidden="1" customHeight="1">
      <c r="A6777" s="49" t="s">
        <v>470</v>
      </c>
      <c r="B6777" s="50">
        <v>45107.0</v>
      </c>
      <c r="C6777" s="49" t="s">
        <v>69</v>
      </c>
      <c r="D6777" s="49">
        <v>0.0</v>
      </c>
    </row>
    <row r="6778" ht="15.0" hidden="1" customHeight="1">
      <c r="A6778" s="49" t="s">
        <v>476</v>
      </c>
      <c r="B6778" s="50">
        <v>45107.0</v>
      </c>
      <c r="C6778" s="49" t="s">
        <v>69</v>
      </c>
      <c r="D6778" s="49">
        <v>0.0</v>
      </c>
    </row>
    <row r="6779" ht="15.0" hidden="1" customHeight="1">
      <c r="A6779" s="49" t="s">
        <v>481</v>
      </c>
      <c r="B6779" s="50">
        <v>45107.0</v>
      </c>
      <c r="C6779" s="49" t="s">
        <v>69</v>
      </c>
      <c r="D6779" s="49">
        <v>0.0</v>
      </c>
    </row>
    <row r="6780" ht="15.0" hidden="1" customHeight="1">
      <c r="A6780" s="49" t="s">
        <v>486</v>
      </c>
      <c r="B6780" s="50">
        <v>45107.0</v>
      </c>
      <c r="C6780" s="49" t="s">
        <v>69</v>
      </c>
      <c r="D6780" s="49">
        <v>0.0</v>
      </c>
    </row>
    <row r="6781" ht="15.0" hidden="1" customHeight="1">
      <c r="A6781" s="49" t="s">
        <v>491</v>
      </c>
      <c r="B6781" s="50">
        <v>45107.0</v>
      </c>
      <c r="C6781" s="49" t="s">
        <v>69</v>
      </c>
      <c r="D6781" s="49">
        <v>0.0</v>
      </c>
    </row>
    <row r="6782" ht="15.0" hidden="1" customHeight="1">
      <c r="A6782" s="49" t="s">
        <v>496</v>
      </c>
      <c r="B6782" s="50">
        <v>45107.0</v>
      </c>
      <c r="C6782" s="49" t="s">
        <v>69</v>
      </c>
      <c r="D6782" s="49">
        <v>0.0</v>
      </c>
    </row>
    <row r="6783" ht="15.0" hidden="1" customHeight="1">
      <c r="A6783" s="49" t="s">
        <v>501</v>
      </c>
      <c r="B6783" s="50">
        <v>45107.0</v>
      </c>
      <c r="C6783" s="49" t="s">
        <v>69</v>
      </c>
      <c r="D6783" s="49">
        <v>0.0</v>
      </c>
    </row>
    <row r="6784" ht="15.0" hidden="1" customHeight="1">
      <c r="A6784" s="49" t="s">
        <v>506</v>
      </c>
      <c r="B6784" s="50">
        <v>45107.0</v>
      </c>
      <c r="C6784" s="49" t="s">
        <v>69</v>
      </c>
      <c r="D6784" s="49">
        <v>0.0</v>
      </c>
    </row>
    <row r="6785" ht="15.0" hidden="1" customHeight="1">
      <c r="A6785" s="49" t="s">
        <v>512</v>
      </c>
      <c r="B6785" s="50">
        <v>45107.0</v>
      </c>
      <c r="C6785" s="49" t="s">
        <v>69</v>
      </c>
      <c r="D6785" s="49">
        <v>0.0</v>
      </c>
    </row>
    <row r="6786" ht="15.0" hidden="1" customHeight="1">
      <c r="A6786" s="49" t="s">
        <v>517</v>
      </c>
      <c r="B6786" s="50">
        <v>45107.0</v>
      </c>
      <c r="C6786" s="49" t="s">
        <v>69</v>
      </c>
      <c r="D6786" s="49">
        <v>0.0</v>
      </c>
    </row>
    <row r="6787" ht="15.0" hidden="1" customHeight="1">
      <c r="A6787" s="49" t="s">
        <v>522</v>
      </c>
      <c r="B6787" s="50">
        <v>45107.0</v>
      </c>
      <c r="C6787" s="49" t="s">
        <v>69</v>
      </c>
      <c r="D6787" s="49">
        <v>0.0</v>
      </c>
    </row>
    <row r="6788" ht="15.0" hidden="1" customHeight="1">
      <c r="A6788" s="49" t="s">
        <v>528</v>
      </c>
      <c r="B6788" s="50">
        <v>45107.0</v>
      </c>
      <c r="C6788" s="49" t="s">
        <v>69</v>
      </c>
      <c r="D6788" s="49">
        <v>0.0</v>
      </c>
    </row>
    <row r="6789" ht="15.0" hidden="1" customHeight="1">
      <c r="A6789" s="49" t="s">
        <v>533</v>
      </c>
      <c r="B6789" s="50">
        <v>45107.0</v>
      </c>
      <c r="C6789" s="49" t="s">
        <v>69</v>
      </c>
      <c r="D6789" s="49">
        <v>0.0</v>
      </c>
    </row>
    <row r="6790" ht="15.0" hidden="1" customHeight="1">
      <c r="A6790" s="49" t="s">
        <v>538</v>
      </c>
      <c r="B6790" s="50">
        <v>45107.0</v>
      </c>
      <c r="C6790" s="49" t="s">
        <v>69</v>
      </c>
      <c r="D6790" s="49">
        <v>0.0</v>
      </c>
    </row>
    <row r="6791" ht="15.0" hidden="1" customHeight="1">
      <c r="A6791" s="49" t="s">
        <v>546</v>
      </c>
      <c r="B6791" s="50">
        <v>45107.0</v>
      </c>
      <c r="C6791" s="49" t="s">
        <v>69</v>
      </c>
      <c r="D6791" s="49">
        <v>0.0</v>
      </c>
    </row>
    <row r="6792" ht="15.0" hidden="1" customHeight="1">
      <c r="A6792" s="49" t="s">
        <v>551</v>
      </c>
      <c r="B6792" s="50">
        <v>45107.0</v>
      </c>
      <c r="C6792" s="49" t="s">
        <v>69</v>
      </c>
      <c r="D6792" s="49">
        <v>0.0</v>
      </c>
    </row>
    <row r="6793" ht="15.0" hidden="1" customHeight="1">
      <c r="A6793" s="49" t="s">
        <v>556</v>
      </c>
      <c r="B6793" s="50">
        <v>45107.0</v>
      </c>
      <c r="C6793" s="49" t="s">
        <v>69</v>
      </c>
      <c r="D6793" s="49">
        <v>0.0</v>
      </c>
    </row>
    <row r="6794" ht="15.0" hidden="1" customHeight="1">
      <c r="A6794" s="49" t="s">
        <v>561</v>
      </c>
      <c r="B6794" s="50">
        <v>45107.0</v>
      </c>
      <c r="C6794" s="49" t="s">
        <v>69</v>
      </c>
      <c r="D6794" s="49">
        <v>0.0</v>
      </c>
    </row>
    <row r="6795" ht="15.0" hidden="1" customHeight="1">
      <c r="A6795" s="49" t="s">
        <v>566</v>
      </c>
      <c r="B6795" s="50">
        <v>45107.0</v>
      </c>
      <c r="C6795" s="49" t="s">
        <v>69</v>
      </c>
      <c r="D6795" s="49">
        <v>0.0</v>
      </c>
    </row>
    <row r="6796" ht="15.0" hidden="1" customHeight="1">
      <c r="A6796" s="49" t="s">
        <v>571</v>
      </c>
      <c r="B6796" s="50">
        <v>45107.0</v>
      </c>
      <c r="C6796" s="49" t="s">
        <v>69</v>
      </c>
      <c r="D6796" s="49">
        <v>0.0</v>
      </c>
    </row>
    <row r="6797" ht="15.0" hidden="1" customHeight="1">
      <c r="A6797" s="49" t="s">
        <v>576</v>
      </c>
      <c r="B6797" s="50">
        <v>45107.0</v>
      </c>
      <c r="C6797" s="49" t="s">
        <v>69</v>
      </c>
      <c r="D6797" s="49">
        <v>0.0</v>
      </c>
    </row>
    <row r="6798" ht="15.0" hidden="1" customHeight="1">
      <c r="A6798" s="49" t="s">
        <v>581</v>
      </c>
      <c r="B6798" s="50">
        <v>45107.0</v>
      </c>
      <c r="C6798" s="49" t="s">
        <v>69</v>
      </c>
      <c r="D6798" s="49">
        <v>0.0</v>
      </c>
    </row>
    <row r="6799" ht="15.0" hidden="1" customHeight="1">
      <c r="A6799" s="49" t="s">
        <v>586</v>
      </c>
      <c r="B6799" s="50">
        <v>45107.0</v>
      </c>
      <c r="C6799" s="49" t="s">
        <v>69</v>
      </c>
      <c r="D6799" s="49">
        <v>0.0</v>
      </c>
    </row>
    <row r="6800" ht="15.0" hidden="1" customHeight="1">
      <c r="A6800" s="49" t="s">
        <v>754</v>
      </c>
      <c r="B6800" s="50">
        <v>45107.0</v>
      </c>
      <c r="C6800" s="49" t="s">
        <v>69</v>
      </c>
      <c r="D6800" s="49">
        <v>0.0</v>
      </c>
    </row>
    <row r="6801" ht="15.0" hidden="1" customHeight="1">
      <c r="A6801" s="49" t="s">
        <v>591</v>
      </c>
      <c r="B6801" s="50">
        <v>45107.0</v>
      </c>
      <c r="C6801" s="49" t="s">
        <v>69</v>
      </c>
      <c r="D6801" s="49">
        <v>0.0</v>
      </c>
    </row>
    <row r="6802" ht="15.0" hidden="1" customHeight="1">
      <c r="A6802" s="49" t="s">
        <v>759</v>
      </c>
      <c r="B6802" s="50">
        <v>45107.0</v>
      </c>
      <c r="C6802" s="49" t="s">
        <v>69</v>
      </c>
      <c r="D6802" s="49">
        <v>0.0</v>
      </c>
    </row>
    <row r="6803" ht="15.0" hidden="1" customHeight="1">
      <c r="A6803" s="49" t="s">
        <v>596</v>
      </c>
      <c r="B6803" s="50">
        <v>45107.0</v>
      </c>
      <c r="C6803" s="49" t="s">
        <v>69</v>
      </c>
      <c r="D6803" s="49">
        <v>0.0</v>
      </c>
    </row>
    <row r="6804" ht="15.0" hidden="1" customHeight="1">
      <c r="A6804" s="49" t="s">
        <v>602</v>
      </c>
      <c r="B6804" s="50">
        <v>45107.0</v>
      </c>
      <c r="C6804" s="49" t="s">
        <v>69</v>
      </c>
      <c r="D6804" s="49">
        <v>0.0</v>
      </c>
    </row>
    <row r="6805" ht="15.0" hidden="1" customHeight="1">
      <c r="A6805" s="49" t="s">
        <v>607</v>
      </c>
      <c r="B6805" s="50">
        <v>45107.0</v>
      </c>
      <c r="C6805" s="49" t="s">
        <v>69</v>
      </c>
      <c r="D6805" s="49">
        <v>0.0</v>
      </c>
    </row>
    <row r="6806" ht="15.0" hidden="1" customHeight="1">
      <c r="A6806" s="49" t="s">
        <v>612</v>
      </c>
      <c r="B6806" s="50">
        <v>45107.0</v>
      </c>
      <c r="C6806" s="49" t="s">
        <v>69</v>
      </c>
      <c r="D6806" s="49">
        <v>0.0</v>
      </c>
    </row>
    <row r="6807" ht="15.0" hidden="1" customHeight="1">
      <c r="A6807" s="49" t="s">
        <v>617</v>
      </c>
      <c r="B6807" s="50">
        <v>45107.0</v>
      </c>
      <c r="C6807" s="49" t="s">
        <v>69</v>
      </c>
      <c r="D6807" s="49">
        <v>0.0</v>
      </c>
    </row>
    <row r="6808" ht="15.0" hidden="1" customHeight="1">
      <c r="A6808" s="49" t="s">
        <v>622</v>
      </c>
      <c r="B6808" s="50">
        <v>45107.0</v>
      </c>
      <c r="C6808" s="49" t="s">
        <v>69</v>
      </c>
      <c r="D6808" s="49">
        <v>0.0</v>
      </c>
    </row>
    <row r="6809" ht="15.0" hidden="1" customHeight="1">
      <c r="A6809" s="49" t="s">
        <v>627</v>
      </c>
      <c r="B6809" s="50">
        <v>45107.0</v>
      </c>
      <c r="C6809" s="49" t="s">
        <v>69</v>
      </c>
      <c r="D6809" s="49">
        <v>0.0</v>
      </c>
    </row>
    <row r="6810" ht="15.0" hidden="1" customHeight="1">
      <c r="A6810" s="49" t="s">
        <v>631</v>
      </c>
      <c r="B6810" s="50">
        <v>45107.0</v>
      </c>
      <c r="C6810" s="49" t="s">
        <v>69</v>
      </c>
      <c r="D6810" s="49">
        <v>0.0</v>
      </c>
    </row>
    <row r="6811" ht="15.0" hidden="1" customHeight="1">
      <c r="A6811" s="49" t="s">
        <v>636</v>
      </c>
      <c r="B6811" s="50">
        <v>45107.0</v>
      </c>
      <c r="C6811" s="49" t="s">
        <v>69</v>
      </c>
      <c r="D6811" s="49">
        <v>0.0</v>
      </c>
    </row>
    <row r="6812" ht="15.0" hidden="1" customHeight="1">
      <c r="A6812" s="49" t="s">
        <v>640</v>
      </c>
      <c r="B6812" s="50">
        <v>45107.0</v>
      </c>
      <c r="C6812" s="49" t="s">
        <v>69</v>
      </c>
      <c r="D6812" s="49">
        <v>0.0</v>
      </c>
    </row>
    <row r="6813" ht="15.0" hidden="1" customHeight="1">
      <c r="A6813" s="49" t="s">
        <v>644</v>
      </c>
      <c r="B6813" s="50">
        <v>45107.0</v>
      </c>
      <c r="C6813" s="49" t="s">
        <v>69</v>
      </c>
      <c r="D6813" s="49">
        <v>0.0</v>
      </c>
    </row>
    <row r="6814" ht="15.0" hidden="1" customHeight="1">
      <c r="A6814" s="49" t="s">
        <v>649</v>
      </c>
      <c r="B6814" s="50">
        <v>45107.0</v>
      </c>
      <c r="C6814" s="49" t="s">
        <v>69</v>
      </c>
      <c r="D6814" s="49">
        <v>0.0</v>
      </c>
    </row>
    <row r="6815" ht="15.0" hidden="1" customHeight="1">
      <c r="A6815" s="49" t="s">
        <v>654</v>
      </c>
      <c r="B6815" s="50">
        <v>45107.0</v>
      </c>
      <c r="C6815" s="49" t="s">
        <v>69</v>
      </c>
      <c r="D6815" s="49">
        <v>0.0</v>
      </c>
    </row>
    <row r="6816" ht="15.0" hidden="1" customHeight="1">
      <c r="A6816" s="49" t="s">
        <v>659</v>
      </c>
      <c r="B6816" s="50">
        <v>45107.0</v>
      </c>
      <c r="C6816" s="49" t="s">
        <v>69</v>
      </c>
      <c r="D6816" s="49">
        <v>0.0</v>
      </c>
    </row>
    <row r="6817" ht="15.0" hidden="1" customHeight="1">
      <c r="A6817" s="49" t="s">
        <v>664</v>
      </c>
      <c r="B6817" s="50">
        <v>45107.0</v>
      </c>
      <c r="C6817" s="49" t="s">
        <v>69</v>
      </c>
      <c r="D6817" s="49">
        <v>0.0</v>
      </c>
    </row>
    <row r="6818" ht="15.0" hidden="1" customHeight="1">
      <c r="A6818" s="49" t="s">
        <v>669</v>
      </c>
      <c r="B6818" s="50">
        <v>45107.0</v>
      </c>
      <c r="C6818" s="49" t="s">
        <v>69</v>
      </c>
      <c r="D6818" s="49">
        <v>0.0</v>
      </c>
    </row>
    <row r="6819" ht="15.0" hidden="1" customHeight="1">
      <c r="A6819" s="49" t="s">
        <v>674</v>
      </c>
      <c r="B6819" s="50">
        <v>45107.0</v>
      </c>
      <c r="C6819" s="49" t="s">
        <v>69</v>
      </c>
      <c r="D6819" s="49">
        <v>0.0</v>
      </c>
    </row>
    <row r="6820" ht="15.0" hidden="1" customHeight="1">
      <c r="A6820" s="49" t="s">
        <v>679</v>
      </c>
      <c r="B6820" s="50">
        <v>45107.0</v>
      </c>
      <c r="C6820" s="49" t="s">
        <v>69</v>
      </c>
      <c r="D6820" s="49">
        <v>0.0</v>
      </c>
    </row>
    <row r="6821" ht="15.0" hidden="1" customHeight="1">
      <c r="A6821" s="49" t="s">
        <v>684</v>
      </c>
      <c r="B6821" s="50">
        <v>45107.0</v>
      </c>
      <c r="C6821" s="49" t="s">
        <v>69</v>
      </c>
      <c r="D6821" s="49">
        <v>0.0</v>
      </c>
    </row>
    <row r="6822" ht="15.0" hidden="1" customHeight="1">
      <c r="A6822" s="49" t="s">
        <v>689</v>
      </c>
      <c r="B6822" s="50">
        <v>45107.0</v>
      </c>
      <c r="C6822" s="49" t="s">
        <v>69</v>
      </c>
      <c r="D6822" s="49">
        <v>0.0</v>
      </c>
    </row>
    <row r="6823" ht="15.0" hidden="1" customHeight="1">
      <c r="A6823" s="49" t="s">
        <v>694</v>
      </c>
      <c r="B6823" s="50">
        <v>45107.0</v>
      </c>
      <c r="C6823" s="49" t="s">
        <v>69</v>
      </c>
      <c r="D6823" s="49">
        <v>0.0</v>
      </c>
    </row>
    <row r="6824" ht="15.0" hidden="1" customHeight="1">
      <c r="A6824" s="49" t="s">
        <v>699</v>
      </c>
      <c r="B6824" s="50">
        <v>45107.0</v>
      </c>
      <c r="C6824" s="49" t="s">
        <v>69</v>
      </c>
      <c r="D6824" s="49">
        <v>0.0</v>
      </c>
    </row>
    <row r="6825" ht="15.0" hidden="1" customHeight="1">
      <c r="A6825" s="49" t="s">
        <v>705</v>
      </c>
      <c r="B6825" s="50">
        <v>45107.0</v>
      </c>
      <c r="C6825" s="49" t="s">
        <v>69</v>
      </c>
      <c r="D6825" s="49">
        <v>0.0</v>
      </c>
    </row>
    <row r="6826" ht="15.0" hidden="1" customHeight="1">
      <c r="A6826" s="49" t="s">
        <v>710</v>
      </c>
      <c r="B6826" s="50">
        <v>45107.0</v>
      </c>
      <c r="C6826" s="49" t="s">
        <v>69</v>
      </c>
      <c r="D6826" s="49">
        <v>0.0</v>
      </c>
    </row>
    <row r="6827" ht="15.0" hidden="1" customHeight="1">
      <c r="A6827" s="49" t="s">
        <v>715</v>
      </c>
      <c r="B6827" s="50">
        <v>45107.0</v>
      </c>
      <c r="C6827" s="49" t="s">
        <v>69</v>
      </c>
      <c r="D6827" s="49">
        <v>0.0</v>
      </c>
    </row>
    <row r="6828" ht="15.0" hidden="1" customHeight="1">
      <c r="A6828" s="49" t="s">
        <v>765</v>
      </c>
      <c r="B6828" s="50">
        <v>45107.0</v>
      </c>
      <c r="C6828" s="49" t="s">
        <v>69</v>
      </c>
      <c r="D6828" s="49">
        <v>0.0</v>
      </c>
    </row>
    <row r="6829" ht="15.0" hidden="1" customHeight="1">
      <c r="A6829" s="49" t="s">
        <v>720</v>
      </c>
      <c r="B6829" s="50">
        <v>45107.0</v>
      </c>
      <c r="C6829" s="49" t="s">
        <v>69</v>
      </c>
      <c r="D6829" s="49">
        <v>0.0</v>
      </c>
    </row>
    <row r="6830" ht="15.0" hidden="1" customHeight="1">
      <c r="A6830" s="49" t="s">
        <v>725</v>
      </c>
      <c r="B6830" s="50">
        <v>45107.0</v>
      </c>
      <c r="C6830" s="49" t="s">
        <v>69</v>
      </c>
      <c r="D6830" s="49">
        <v>0.0</v>
      </c>
    </row>
    <row r="6831" ht="15.0" hidden="1" customHeight="1">
      <c r="A6831" s="49" t="s">
        <v>730</v>
      </c>
      <c r="B6831" s="50">
        <v>45107.0</v>
      </c>
      <c r="C6831" s="49" t="s">
        <v>69</v>
      </c>
      <c r="D6831" s="49">
        <v>0.0</v>
      </c>
    </row>
    <row r="6832" ht="15.0" hidden="1" customHeight="1">
      <c r="A6832" s="49" t="s">
        <v>734</v>
      </c>
      <c r="B6832" s="50">
        <v>45107.0</v>
      </c>
      <c r="C6832" s="49" t="s">
        <v>69</v>
      </c>
      <c r="D6832" s="49">
        <v>0.0</v>
      </c>
    </row>
    <row r="6833" ht="15.0" hidden="1" customHeight="1">
      <c r="A6833" s="49" t="s">
        <v>739</v>
      </c>
      <c r="B6833" s="50">
        <v>45107.0</v>
      </c>
      <c r="C6833" s="49" t="s">
        <v>69</v>
      </c>
      <c r="D6833" s="49">
        <v>0.0</v>
      </c>
    </row>
    <row r="6834" ht="15.0" hidden="1" customHeight="1">
      <c r="A6834" s="49" t="s">
        <v>744</v>
      </c>
      <c r="B6834" s="50">
        <v>45107.0</v>
      </c>
      <c r="C6834" s="49" t="s">
        <v>69</v>
      </c>
      <c r="D6834" s="49">
        <v>0.0</v>
      </c>
    </row>
    <row r="6835" ht="15.0" hidden="1" customHeight="1">
      <c r="A6835" s="49" t="s">
        <v>749</v>
      </c>
      <c r="B6835" s="50">
        <v>45107.0</v>
      </c>
      <c r="C6835" s="49" t="s">
        <v>69</v>
      </c>
      <c r="D6835" s="49">
        <v>0.0</v>
      </c>
    </row>
    <row r="6836" ht="15.0" customHeight="1">
      <c r="A6836" s="49" t="s">
        <v>776</v>
      </c>
      <c r="B6836" s="50">
        <v>45107.0</v>
      </c>
      <c r="C6836" s="49" t="s">
        <v>780</v>
      </c>
      <c r="D6836" s="49">
        <v>0.0</v>
      </c>
    </row>
    <row r="6837" ht="15.0" hidden="1" customHeight="1">
      <c r="A6837" s="49" t="s">
        <v>778</v>
      </c>
      <c r="B6837" s="50">
        <v>45107.0</v>
      </c>
      <c r="C6837" s="49" t="s">
        <v>780</v>
      </c>
      <c r="D6837" s="49">
        <v>0.0</v>
      </c>
    </row>
    <row r="6838" ht="15.0" hidden="1" customHeight="1">
      <c r="A6838" s="49" t="s">
        <v>92</v>
      </c>
      <c r="B6838" s="50">
        <v>45107.0</v>
      </c>
      <c r="C6838" s="49" t="s">
        <v>780</v>
      </c>
      <c r="D6838" s="49">
        <v>0.0</v>
      </c>
    </row>
    <row r="6839" ht="15.0" hidden="1" customHeight="1">
      <c r="A6839" s="49" t="s">
        <v>97</v>
      </c>
      <c r="B6839" s="50">
        <v>45107.0</v>
      </c>
      <c r="C6839" s="49" t="s">
        <v>780</v>
      </c>
      <c r="D6839" s="49">
        <v>0.0</v>
      </c>
    </row>
    <row r="6840" ht="15.0" hidden="1" customHeight="1">
      <c r="A6840" s="49" t="s">
        <v>102</v>
      </c>
      <c r="B6840" s="50">
        <v>45107.0</v>
      </c>
      <c r="C6840" s="49" t="s">
        <v>780</v>
      </c>
      <c r="D6840" s="49">
        <v>0.0</v>
      </c>
    </row>
    <row r="6841" ht="15.0" hidden="1" customHeight="1">
      <c r="A6841" s="49" t="s">
        <v>106</v>
      </c>
      <c r="B6841" s="50">
        <v>45107.0</v>
      </c>
      <c r="C6841" s="49" t="s">
        <v>780</v>
      </c>
      <c r="D6841" s="49">
        <v>0.0</v>
      </c>
    </row>
    <row r="6842" ht="15.0" hidden="1" customHeight="1">
      <c r="A6842" s="49" t="s">
        <v>111</v>
      </c>
      <c r="B6842" s="50">
        <v>45107.0</v>
      </c>
      <c r="C6842" s="49" t="s">
        <v>780</v>
      </c>
      <c r="D6842" s="49">
        <v>0.0</v>
      </c>
    </row>
    <row r="6843" ht="15.0" hidden="1" customHeight="1">
      <c r="A6843" s="49" t="s">
        <v>116</v>
      </c>
      <c r="B6843" s="50">
        <v>45107.0</v>
      </c>
      <c r="C6843" s="49" t="s">
        <v>780</v>
      </c>
      <c r="D6843" s="49">
        <v>0.0</v>
      </c>
    </row>
    <row r="6844" ht="15.0" hidden="1" customHeight="1">
      <c r="A6844" s="49" t="s">
        <v>120</v>
      </c>
      <c r="B6844" s="50">
        <v>45107.0</v>
      </c>
      <c r="C6844" s="49" t="s">
        <v>780</v>
      </c>
      <c r="D6844" s="49">
        <v>0.0</v>
      </c>
    </row>
    <row r="6845" ht="15.0" hidden="1" customHeight="1">
      <c r="A6845" s="49" t="s">
        <v>125</v>
      </c>
      <c r="B6845" s="50">
        <v>45107.0</v>
      </c>
      <c r="C6845" s="49" t="s">
        <v>780</v>
      </c>
      <c r="D6845" s="49">
        <v>0.0</v>
      </c>
    </row>
    <row r="6846" ht="15.0" hidden="1" customHeight="1">
      <c r="A6846" s="49" t="s">
        <v>130</v>
      </c>
      <c r="B6846" s="50">
        <v>45107.0</v>
      </c>
      <c r="C6846" s="49" t="s">
        <v>780</v>
      </c>
      <c r="D6846" s="49">
        <v>0.0</v>
      </c>
    </row>
    <row r="6847" ht="15.0" hidden="1" customHeight="1">
      <c r="A6847" s="49" t="s">
        <v>137</v>
      </c>
      <c r="B6847" s="50">
        <v>45107.0</v>
      </c>
      <c r="C6847" s="49" t="s">
        <v>780</v>
      </c>
      <c r="D6847" s="49">
        <v>0.0</v>
      </c>
    </row>
    <row r="6848" ht="15.0" hidden="1" customHeight="1">
      <c r="A6848" s="49" t="s">
        <v>142</v>
      </c>
      <c r="B6848" s="50">
        <v>45107.0</v>
      </c>
      <c r="C6848" s="49" t="s">
        <v>780</v>
      </c>
      <c r="D6848" s="49">
        <v>0.0</v>
      </c>
    </row>
    <row r="6849" ht="15.0" hidden="1" customHeight="1">
      <c r="A6849" s="49" t="s">
        <v>147</v>
      </c>
      <c r="B6849" s="50">
        <v>45107.0</v>
      </c>
      <c r="C6849" s="49" t="s">
        <v>780</v>
      </c>
      <c r="D6849" s="49">
        <v>0.0</v>
      </c>
    </row>
    <row r="6850" ht="15.0" hidden="1" customHeight="1">
      <c r="A6850" s="49" t="s">
        <v>152</v>
      </c>
      <c r="B6850" s="50">
        <v>45107.0</v>
      </c>
      <c r="C6850" s="49" t="s">
        <v>780</v>
      </c>
      <c r="D6850" s="49">
        <v>0.0</v>
      </c>
    </row>
    <row r="6851" ht="15.0" hidden="1" customHeight="1">
      <c r="A6851" s="49" t="s">
        <v>157</v>
      </c>
      <c r="B6851" s="50">
        <v>45107.0</v>
      </c>
      <c r="C6851" s="49" t="s">
        <v>780</v>
      </c>
      <c r="D6851" s="49">
        <v>0.0</v>
      </c>
    </row>
    <row r="6852" ht="15.0" hidden="1" customHeight="1">
      <c r="A6852" s="49" t="s">
        <v>162</v>
      </c>
      <c r="B6852" s="50">
        <v>45107.0</v>
      </c>
      <c r="C6852" s="49" t="s">
        <v>780</v>
      </c>
      <c r="D6852" s="49">
        <v>0.0</v>
      </c>
    </row>
    <row r="6853" ht="15.0" hidden="1" customHeight="1">
      <c r="A6853" s="49" t="s">
        <v>167</v>
      </c>
      <c r="B6853" s="50">
        <v>45107.0</v>
      </c>
      <c r="C6853" s="49" t="s">
        <v>780</v>
      </c>
      <c r="D6853" s="49">
        <v>0.0</v>
      </c>
    </row>
    <row r="6854" ht="15.0" hidden="1" customHeight="1">
      <c r="A6854" s="49" t="s">
        <v>172</v>
      </c>
      <c r="B6854" s="50">
        <v>45107.0</v>
      </c>
      <c r="C6854" s="49" t="s">
        <v>780</v>
      </c>
      <c r="D6854" s="49">
        <v>0.0</v>
      </c>
    </row>
    <row r="6855" ht="15.0" hidden="1" customHeight="1">
      <c r="A6855" s="49" t="s">
        <v>177</v>
      </c>
      <c r="B6855" s="50">
        <v>45107.0</v>
      </c>
      <c r="C6855" s="49" t="s">
        <v>780</v>
      </c>
      <c r="D6855" s="49">
        <v>-400000.0</v>
      </c>
    </row>
    <row r="6856" ht="15.0" hidden="1" customHeight="1">
      <c r="A6856" s="49" t="s">
        <v>182</v>
      </c>
      <c r="B6856" s="50">
        <v>45107.0</v>
      </c>
      <c r="C6856" s="49" t="s">
        <v>780</v>
      </c>
      <c r="D6856" s="49">
        <v>0.0</v>
      </c>
    </row>
    <row r="6857" ht="15.0" hidden="1" customHeight="1">
      <c r="A6857" s="49" t="s">
        <v>187</v>
      </c>
      <c r="B6857" s="50">
        <v>45107.0</v>
      </c>
      <c r="C6857" s="49" t="s">
        <v>780</v>
      </c>
      <c r="D6857" s="49">
        <v>0.0</v>
      </c>
    </row>
    <row r="6858" ht="15.0" hidden="1" customHeight="1">
      <c r="A6858" s="49" t="s">
        <v>192</v>
      </c>
      <c r="B6858" s="50">
        <v>45107.0</v>
      </c>
      <c r="C6858" s="49" t="s">
        <v>780</v>
      </c>
      <c r="D6858" s="49">
        <v>0.0</v>
      </c>
    </row>
    <row r="6859" ht="15.0" hidden="1" customHeight="1">
      <c r="A6859" s="49" t="s">
        <v>197</v>
      </c>
      <c r="B6859" s="50">
        <v>45107.0</v>
      </c>
      <c r="C6859" s="49" t="s">
        <v>780</v>
      </c>
      <c r="D6859" s="49">
        <v>0.0</v>
      </c>
    </row>
    <row r="6860" ht="15.0" hidden="1" customHeight="1">
      <c r="A6860" s="49" t="s">
        <v>202</v>
      </c>
      <c r="B6860" s="50">
        <v>45107.0</v>
      </c>
      <c r="C6860" s="49" t="s">
        <v>780</v>
      </c>
      <c r="D6860" s="49">
        <v>0.0</v>
      </c>
    </row>
    <row r="6861" ht="15.0" hidden="1" customHeight="1">
      <c r="A6861" s="49" t="s">
        <v>206</v>
      </c>
      <c r="B6861" s="50">
        <v>45107.0</v>
      </c>
      <c r="C6861" s="49" t="s">
        <v>780</v>
      </c>
      <c r="D6861" s="49">
        <v>0.0</v>
      </c>
    </row>
    <row r="6862" ht="15.0" hidden="1" customHeight="1">
      <c r="A6862" s="49" t="s">
        <v>211</v>
      </c>
      <c r="B6862" s="50">
        <v>45107.0</v>
      </c>
      <c r="C6862" s="49" t="s">
        <v>780</v>
      </c>
      <c r="D6862" s="49">
        <v>0.0</v>
      </c>
    </row>
    <row r="6863" ht="15.0" hidden="1" customHeight="1">
      <c r="A6863" s="49" t="s">
        <v>779</v>
      </c>
      <c r="B6863" s="50">
        <v>45107.0</v>
      </c>
      <c r="C6863" s="49" t="s">
        <v>780</v>
      </c>
      <c r="D6863" s="49">
        <v>0.0</v>
      </c>
    </row>
    <row r="6864" ht="15.0" hidden="1" customHeight="1">
      <c r="A6864" s="49" t="s">
        <v>221</v>
      </c>
      <c r="B6864" s="50">
        <v>45107.0</v>
      </c>
      <c r="C6864" s="49" t="s">
        <v>780</v>
      </c>
      <c r="D6864" s="49">
        <v>0.0</v>
      </c>
    </row>
    <row r="6865" ht="15.0" hidden="1" customHeight="1">
      <c r="A6865" s="49" t="s">
        <v>226</v>
      </c>
      <c r="B6865" s="50">
        <v>45107.0</v>
      </c>
      <c r="C6865" s="49" t="s">
        <v>780</v>
      </c>
      <c r="D6865" s="49">
        <v>-261250.0</v>
      </c>
    </row>
    <row r="6866" ht="15.0" hidden="1" customHeight="1">
      <c r="A6866" s="49" t="s">
        <v>231</v>
      </c>
      <c r="B6866" s="50">
        <v>45107.0</v>
      </c>
      <c r="C6866" s="49" t="s">
        <v>780</v>
      </c>
      <c r="D6866" s="49">
        <v>0.0</v>
      </c>
    </row>
    <row r="6867" ht="15.0" hidden="1" customHeight="1">
      <c r="A6867" s="49" t="s">
        <v>236</v>
      </c>
      <c r="B6867" s="50">
        <v>45107.0</v>
      </c>
      <c r="C6867" s="49" t="s">
        <v>780</v>
      </c>
      <c r="D6867" s="49">
        <v>0.0</v>
      </c>
    </row>
    <row r="6868" ht="15.0" hidden="1" customHeight="1">
      <c r="A6868" s="49" t="s">
        <v>242</v>
      </c>
      <c r="B6868" s="50">
        <v>45107.0</v>
      </c>
      <c r="C6868" s="49" t="s">
        <v>780</v>
      </c>
      <c r="D6868" s="49">
        <v>-750000.0</v>
      </c>
    </row>
    <row r="6869" ht="15.0" hidden="1" customHeight="1">
      <c r="A6869" s="49" t="s">
        <v>248</v>
      </c>
      <c r="B6869" s="50">
        <v>45107.0</v>
      </c>
      <c r="C6869" s="49" t="s">
        <v>780</v>
      </c>
      <c r="D6869" s="49">
        <v>0.0</v>
      </c>
    </row>
    <row r="6870" ht="15.0" hidden="1" customHeight="1">
      <c r="A6870" s="49" t="s">
        <v>253</v>
      </c>
      <c r="B6870" s="50">
        <v>45107.0</v>
      </c>
      <c r="C6870" s="49" t="s">
        <v>780</v>
      </c>
      <c r="D6870" s="49">
        <v>0.0</v>
      </c>
    </row>
    <row r="6871" ht="15.0" hidden="1" customHeight="1">
      <c r="A6871" s="49" t="s">
        <v>258</v>
      </c>
      <c r="B6871" s="50">
        <v>45107.0</v>
      </c>
      <c r="C6871" s="49" t="s">
        <v>780</v>
      </c>
      <c r="D6871" s="49">
        <v>0.0</v>
      </c>
    </row>
    <row r="6872" ht="15.0" hidden="1" customHeight="1">
      <c r="A6872" s="49" t="s">
        <v>263</v>
      </c>
      <c r="B6872" s="50">
        <v>45107.0</v>
      </c>
      <c r="C6872" s="49" t="s">
        <v>780</v>
      </c>
      <c r="D6872" s="49">
        <v>0.0</v>
      </c>
    </row>
    <row r="6873" ht="15.0" hidden="1" customHeight="1">
      <c r="A6873" s="49" t="s">
        <v>268</v>
      </c>
      <c r="B6873" s="50">
        <v>45107.0</v>
      </c>
      <c r="C6873" s="49" t="s">
        <v>780</v>
      </c>
      <c r="D6873" s="49">
        <v>0.0</v>
      </c>
    </row>
    <row r="6874" ht="15.0" hidden="1" customHeight="1">
      <c r="A6874" s="49" t="s">
        <v>273</v>
      </c>
      <c r="B6874" s="50">
        <v>45107.0</v>
      </c>
      <c r="C6874" s="49" t="s">
        <v>780</v>
      </c>
      <c r="D6874" s="49">
        <v>0.0</v>
      </c>
    </row>
    <row r="6875" ht="15.0" hidden="1" customHeight="1">
      <c r="A6875" s="49" t="s">
        <v>278</v>
      </c>
      <c r="B6875" s="50">
        <v>45107.0</v>
      </c>
      <c r="C6875" s="49" t="s">
        <v>780</v>
      </c>
      <c r="D6875" s="49">
        <v>0.0</v>
      </c>
    </row>
    <row r="6876" ht="15.0" hidden="1" customHeight="1">
      <c r="A6876" s="49" t="s">
        <v>283</v>
      </c>
      <c r="B6876" s="50">
        <v>45107.0</v>
      </c>
      <c r="C6876" s="49" t="s">
        <v>780</v>
      </c>
      <c r="D6876" s="49">
        <v>-42250.0</v>
      </c>
    </row>
    <row r="6877" ht="15.0" hidden="1" customHeight="1">
      <c r="A6877" s="49" t="s">
        <v>288</v>
      </c>
      <c r="B6877" s="50">
        <v>45107.0</v>
      </c>
      <c r="C6877" s="49" t="s">
        <v>780</v>
      </c>
      <c r="D6877" s="49">
        <v>0.0</v>
      </c>
    </row>
    <row r="6878" ht="15.0" hidden="1" customHeight="1">
      <c r="A6878" s="49" t="s">
        <v>293</v>
      </c>
      <c r="B6878" s="50">
        <v>45107.0</v>
      </c>
      <c r="C6878" s="49" t="s">
        <v>780</v>
      </c>
      <c r="D6878" s="49">
        <v>0.0</v>
      </c>
    </row>
    <row r="6879" ht="15.0" hidden="1" customHeight="1">
      <c r="A6879" s="49" t="s">
        <v>298</v>
      </c>
      <c r="B6879" s="50">
        <v>45107.0</v>
      </c>
      <c r="C6879" s="49" t="s">
        <v>780</v>
      </c>
      <c r="D6879" s="49">
        <v>0.0</v>
      </c>
    </row>
    <row r="6880" ht="15.0" hidden="1" customHeight="1">
      <c r="A6880" s="49" t="s">
        <v>303</v>
      </c>
      <c r="B6880" s="50">
        <v>45107.0</v>
      </c>
      <c r="C6880" s="49" t="s">
        <v>780</v>
      </c>
      <c r="D6880" s="49">
        <v>0.0</v>
      </c>
    </row>
    <row r="6881" ht="15.0" hidden="1" customHeight="1">
      <c r="A6881" s="49" t="s">
        <v>307</v>
      </c>
      <c r="B6881" s="50">
        <v>45107.0</v>
      </c>
      <c r="C6881" s="49" t="s">
        <v>780</v>
      </c>
      <c r="D6881" s="49">
        <v>0.0</v>
      </c>
    </row>
    <row r="6882" ht="15.0" hidden="1" customHeight="1">
      <c r="A6882" s="49" t="s">
        <v>313</v>
      </c>
      <c r="B6882" s="50">
        <v>45107.0</v>
      </c>
      <c r="C6882" s="49" t="s">
        <v>780</v>
      </c>
      <c r="D6882" s="49">
        <v>-850000.0</v>
      </c>
    </row>
    <row r="6883" ht="15.0" hidden="1" customHeight="1">
      <c r="A6883" s="49" t="s">
        <v>318</v>
      </c>
      <c r="B6883" s="50">
        <v>45107.0</v>
      </c>
      <c r="C6883" s="49" t="s">
        <v>780</v>
      </c>
      <c r="D6883" s="49">
        <v>0.0</v>
      </c>
    </row>
    <row r="6884" ht="15.0" hidden="1" customHeight="1">
      <c r="A6884" s="49" t="s">
        <v>323</v>
      </c>
      <c r="B6884" s="50">
        <v>45107.0</v>
      </c>
      <c r="C6884" s="49" t="s">
        <v>780</v>
      </c>
      <c r="D6884" s="49">
        <v>-800000.0</v>
      </c>
    </row>
    <row r="6885" ht="15.0" hidden="1" customHeight="1">
      <c r="A6885" s="49" t="s">
        <v>328</v>
      </c>
      <c r="B6885" s="50">
        <v>45107.0</v>
      </c>
      <c r="C6885" s="49" t="s">
        <v>780</v>
      </c>
      <c r="D6885" s="49">
        <v>700000.0</v>
      </c>
    </row>
    <row r="6886" ht="15.0" hidden="1" customHeight="1">
      <c r="A6886" s="49" t="s">
        <v>335</v>
      </c>
      <c r="B6886" s="50">
        <v>45107.0</v>
      </c>
      <c r="C6886" s="49" t="s">
        <v>780</v>
      </c>
      <c r="D6886" s="49">
        <v>-130000.0</v>
      </c>
    </row>
    <row r="6887" ht="15.0" hidden="1" customHeight="1">
      <c r="A6887" s="49" t="s">
        <v>340</v>
      </c>
      <c r="B6887" s="50">
        <v>45107.0</v>
      </c>
      <c r="C6887" s="49" t="s">
        <v>780</v>
      </c>
      <c r="D6887" s="49">
        <v>0.0</v>
      </c>
    </row>
    <row r="6888" ht="15.0" hidden="1" customHeight="1">
      <c r="A6888" s="49" t="s">
        <v>345</v>
      </c>
      <c r="B6888" s="50">
        <v>45107.0</v>
      </c>
      <c r="C6888" s="49" t="s">
        <v>780</v>
      </c>
      <c r="D6888" s="49">
        <v>0.0</v>
      </c>
    </row>
    <row r="6889" ht="15.0" hidden="1" customHeight="1">
      <c r="A6889" s="49" t="s">
        <v>350</v>
      </c>
      <c r="B6889" s="50">
        <v>45107.0</v>
      </c>
      <c r="C6889" s="49" t="s">
        <v>780</v>
      </c>
      <c r="D6889" s="49">
        <v>-1500000.0</v>
      </c>
    </row>
    <row r="6890" ht="15.0" hidden="1" customHeight="1">
      <c r="A6890" s="49" t="s">
        <v>355</v>
      </c>
      <c r="B6890" s="50">
        <v>45107.0</v>
      </c>
      <c r="C6890" s="49" t="s">
        <v>780</v>
      </c>
      <c r="D6890" s="49">
        <v>-908206.46</v>
      </c>
    </row>
    <row r="6891" ht="15.0" hidden="1" customHeight="1">
      <c r="A6891" s="49" t="s">
        <v>360</v>
      </c>
      <c r="B6891" s="50">
        <v>45107.0</v>
      </c>
      <c r="C6891" s="49" t="s">
        <v>780</v>
      </c>
      <c r="D6891" s="49">
        <v>0.0</v>
      </c>
    </row>
    <row r="6892" ht="15.0" hidden="1" customHeight="1">
      <c r="A6892" s="49" t="s">
        <v>365</v>
      </c>
      <c r="B6892" s="50">
        <v>45107.0</v>
      </c>
      <c r="C6892" s="49" t="s">
        <v>780</v>
      </c>
      <c r="D6892" s="49">
        <v>1644300.0</v>
      </c>
    </row>
    <row r="6893" ht="15.0" hidden="1" customHeight="1">
      <c r="A6893" s="49" t="s">
        <v>370</v>
      </c>
      <c r="B6893" s="50">
        <v>45107.0</v>
      </c>
      <c r="C6893" s="49" t="s">
        <v>780</v>
      </c>
      <c r="D6893" s="49">
        <v>-250776.75</v>
      </c>
    </row>
    <row r="6894" ht="15.0" hidden="1" customHeight="1">
      <c r="A6894" s="49" t="s">
        <v>375</v>
      </c>
      <c r="B6894" s="50">
        <v>45107.0</v>
      </c>
      <c r="C6894" s="49" t="s">
        <v>780</v>
      </c>
      <c r="D6894" s="49">
        <v>2860551.77</v>
      </c>
    </row>
    <row r="6895" ht="15.0" hidden="1" customHeight="1">
      <c r="A6895" s="49" t="s">
        <v>380</v>
      </c>
      <c r="B6895" s="50">
        <v>45107.0</v>
      </c>
      <c r="C6895" s="49" t="s">
        <v>780</v>
      </c>
      <c r="D6895" s="49">
        <v>-250000.0</v>
      </c>
    </row>
    <row r="6896" ht="15.0" hidden="1" customHeight="1">
      <c r="A6896" s="49" t="s">
        <v>385</v>
      </c>
      <c r="B6896" s="50">
        <v>45107.0</v>
      </c>
      <c r="C6896" s="49" t="s">
        <v>780</v>
      </c>
      <c r="D6896" s="49">
        <v>9600000.0</v>
      </c>
    </row>
    <row r="6897" ht="15.0" hidden="1" customHeight="1">
      <c r="A6897" s="49" t="s">
        <v>390</v>
      </c>
      <c r="B6897" s="50">
        <v>45107.0</v>
      </c>
      <c r="C6897" s="49" t="s">
        <v>780</v>
      </c>
      <c r="D6897" s="49">
        <v>7532011.220000001</v>
      </c>
    </row>
    <row r="6898" ht="15.0" hidden="1" customHeight="1">
      <c r="A6898" s="49" t="s">
        <v>395</v>
      </c>
      <c r="B6898" s="50">
        <v>45107.0</v>
      </c>
      <c r="C6898" s="49" t="s">
        <v>780</v>
      </c>
      <c r="D6898" s="49">
        <v>500000.0</v>
      </c>
    </row>
    <row r="6899" ht="15.0" hidden="1" customHeight="1">
      <c r="A6899" s="49" t="s">
        <v>400</v>
      </c>
      <c r="B6899" s="50">
        <v>45107.0</v>
      </c>
      <c r="C6899" s="49" t="s">
        <v>780</v>
      </c>
      <c r="D6899" s="49">
        <v>0.0</v>
      </c>
    </row>
    <row r="6900" ht="15.0" hidden="1" customHeight="1">
      <c r="A6900" s="49" t="s">
        <v>405</v>
      </c>
      <c r="B6900" s="50">
        <v>45107.0</v>
      </c>
      <c r="C6900" s="49" t="s">
        <v>780</v>
      </c>
      <c r="D6900" s="49">
        <v>3000000.0</v>
      </c>
    </row>
    <row r="6901" ht="15.0" hidden="1" customHeight="1">
      <c r="A6901" s="49" t="s">
        <v>410</v>
      </c>
      <c r="B6901" s="50">
        <v>45107.0</v>
      </c>
      <c r="C6901" s="49" t="s">
        <v>780</v>
      </c>
      <c r="D6901" s="49">
        <v>0.0</v>
      </c>
    </row>
    <row r="6902" ht="15.0" hidden="1" customHeight="1">
      <c r="A6902" s="49" t="s">
        <v>415</v>
      </c>
      <c r="B6902" s="50">
        <v>45107.0</v>
      </c>
      <c r="C6902" s="49" t="s">
        <v>780</v>
      </c>
      <c r="D6902" s="49">
        <v>4000000.0</v>
      </c>
    </row>
    <row r="6903" ht="15.0" hidden="1" customHeight="1">
      <c r="A6903" s="49" t="s">
        <v>420</v>
      </c>
      <c r="B6903" s="50">
        <v>45107.0</v>
      </c>
      <c r="C6903" s="49" t="s">
        <v>780</v>
      </c>
      <c r="D6903" s="49">
        <v>0.0</v>
      </c>
    </row>
    <row r="6904" ht="15.0" hidden="1" customHeight="1">
      <c r="A6904" s="49" t="s">
        <v>425</v>
      </c>
      <c r="B6904" s="50">
        <v>45107.0</v>
      </c>
      <c r="C6904" s="49" t="s">
        <v>780</v>
      </c>
      <c r="D6904" s="49">
        <v>0.0</v>
      </c>
    </row>
    <row r="6905" ht="15.0" hidden="1" customHeight="1">
      <c r="A6905" s="49" t="s">
        <v>430</v>
      </c>
      <c r="B6905" s="50">
        <v>45107.0</v>
      </c>
      <c r="C6905" s="49" t="s">
        <v>780</v>
      </c>
      <c r="D6905" s="49">
        <v>0.0</v>
      </c>
    </row>
    <row r="6906" ht="15.0" hidden="1" customHeight="1">
      <c r="A6906" s="49" t="s">
        <v>434</v>
      </c>
      <c r="B6906" s="50">
        <v>45107.0</v>
      </c>
      <c r="C6906" s="49" t="s">
        <v>780</v>
      </c>
      <c r="D6906" s="49">
        <v>0.0</v>
      </c>
    </row>
    <row r="6907" ht="15.0" hidden="1" customHeight="1">
      <c r="A6907" s="49" t="s">
        <v>439</v>
      </c>
      <c r="B6907" s="50">
        <v>45107.0</v>
      </c>
      <c r="C6907" s="49" t="s">
        <v>780</v>
      </c>
      <c r="D6907" s="49">
        <v>0.0</v>
      </c>
    </row>
    <row r="6908" ht="15.0" hidden="1" customHeight="1">
      <c r="A6908" s="49" t="s">
        <v>444</v>
      </c>
      <c r="B6908" s="50">
        <v>45107.0</v>
      </c>
      <c r="C6908" s="49" t="s">
        <v>780</v>
      </c>
      <c r="D6908" s="49">
        <v>0.0</v>
      </c>
    </row>
    <row r="6909" ht="15.0" hidden="1" customHeight="1">
      <c r="A6909" s="49" t="s">
        <v>449</v>
      </c>
      <c r="B6909" s="50">
        <v>45107.0</v>
      </c>
      <c r="C6909" s="49" t="s">
        <v>780</v>
      </c>
      <c r="D6909" s="49">
        <v>0.0</v>
      </c>
    </row>
    <row r="6910" ht="15.0" hidden="1" customHeight="1">
      <c r="A6910" s="49" t="s">
        <v>455</v>
      </c>
      <c r="B6910" s="50">
        <v>45107.0</v>
      </c>
      <c r="C6910" s="49" t="s">
        <v>780</v>
      </c>
      <c r="D6910" s="49">
        <v>0.0</v>
      </c>
    </row>
    <row r="6911" ht="15.0" hidden="1" customHeight="1">
      <c r="A6911" s="49" t="s">
        <v>470</v>
      </c>
      <c r="B6911" s="50">
        <v>45107.0</v>
      </c>
      <c r="C6911" s="49" t="s">
        <v>780</v>
      </c>
      <c r="D6911" s="49">
        <v>0.0</v>
      </c>
    </row>
    <row r="6912" ht="15.0" hidden="1" customHeight="1">
      <c r="A6912" s="49" t="s">
        <v>476</v>
      </c>
      <c r="B6912" s="50">
        <v>45107.0</v>
      </c>
      <c r="C6912" s="49" t="s">
        <v>780</v>
      </c>
      <c r="D6912" s="49">
        <v>0.0</v>
      </c>
    </row>
    <row r="6913" ht="15.0" hidden="1" customHeight="1">
      <c r="A6913" s="49" t="s">
        <v>481</v>
      </c>
      <c r="B6913" s="50">
        <v>45107.0</v>
      </c>
      <c r="C6913" s="49" t="s">
        <v>780</v>
      </c>
      <c r="D6913" s="49">
        <v>0.0</v>
      </c>
    </row>
    <row r="6914" ht="15.0" hidden="1" customHeight="1">
      <c r="A6914" s="49" t="s">
        <v>486</v>
      </c>
      <c r="B6914" s="50">
        <v>45107.0</v>
      </c>
      <c r="C6914" s="49" t="s">
        <v>780</v>
      </c>
      <c r="D6914" s="49">
        <v>0.0</v>
      </c>
    </row>
    <row r="6915" ht="15.0" hidden="1" customHeight="1">
      <c r="A6915" s="49" t="s">
        <v>491</v>
      </c>
      <c r="B6915" s="50">
        <v>45107.0</v>
      </c>
      <c r="C6915" s="49" t="s">
        <v>780</v>
      </c>
      <c r="D6915" s="49">
        <v>0.0</v>
      </c>
    </row>
    <row r="6916" ht="15.0" hidden="1" customHeight="1">
      <c r="A6916" s="49" t="s">
        <v>496</v>
      </c>
      <c r="B6916" s="50">
        <v>45107.0</v>
      </c>
      <c r="C6916" s="49" t="s">
        <v>780</v>
      </c>
      <c r="D6916" s="49">
        <v>0.0</v>
      </c>
    </row>
    <row r="6917" ht="15.0" hidden="1" customHeight="1">
      <c r="A6917" s="49" t="s">
        <v>501</v>
      </c>
      <c r="B6917" s="50">
        <v>45107.0</v>
      </c>
      <c r="C6917" s="49" t="s">
        <v>780</v>
      </c>
      <c r="D6917" s="49">
        <v>0.0</v>
      </c>
    </row>
    <row r="6918" ht="15.0" hidden="1" customHeight="1">
      <c r="A6918" s="49" t="s">
        <v>506</v>
      </c>
      <c r="B6918" s="50">
        <v>45107.0</v>
      </c>
      <c r="C6918" s="49" t="s">
        <v>780</v>
      </c>
      <c r="D6918" s="49">
        <v>0.0</v>
      </c>
    </row>
    <row r="6919" ht="15.0" hidden="1" customHeight="1">
      <c r="A6919" s="49" t="s">
        <v>512</v>
      </c>
      <c r="B6919" s="50">
        <v>45107.0</v>
      </c>
      <c r="C6919" s="49" t="s">
        <v>780</v>
      </c>
      <c r="D6919" s="49">
        <v>0.0</v>
      </c>
    </row>
    <row r="6920" ht="15.0" hidden="1" customHeight="1">
      <c r="A6920" s="49" t="s">
        <v>517</v>
      </c>
      <c r="B6920" s="50">
        <v>45107.0</v>
      </c>
      <c r="C6920" s="49" t="s">
        <v>780</v>
      </c>
      <c r="D6920" s="49">
        <v>0.0</v>
      </c>
    </row>
    <row r="6921" ht="15.0" hidden="1" customHeight="1">
      <c r="A6921" s="49" t="s">
        <v>522</v>
      </c>
      <c r="B6921" s="50">
        <v>45107.0</v>
      </c>
      <c r="C6921" s="49" t="s">
        <v>780</v>
      </c>
      <c r="D6921" s="49">
        <v>0.0</v>
      </c>
    </row>
    <row r="6922" ht="15.0" hidden="1" customHeight="1">
      <c r="A6922" s="49" t="s">
        <v>528</v>
      </c>
      <c r="B6922" s="50">
        <v>45107.0</v>
      </c>
      <c r="C6922" s="49" t="s">
        <v>780</v>
      </c>
      <c r="D6922" s="49">
        <v>0.0</v>
      </c>
    </row>
    <row r="6923" ht="15.0" hidden="1" customHeight="1">
      <c r="A6923" s="49" t="s">
        <v>533</v>
      </c>
      <c r="B6923" s="50">
        <v>45107.0</v>
      </c>
      <c r="C6923" s="49" t="s">
        <v>780</v>
      </c>
      <c r="D6923" s="49">
        <v>0.0</v>
      </c>
    </row>
    <row r="6924" ht="15.0" hidden="1" customHeight="1">
      <c r="A6924" s="49" t="s">
        <v>538</v>
      </c>
      <c r="B6924" s="50">
        <v>45107.0</v>
      </c>
      <c r="C6924" s="49" t="s">
        <v>780</v>
      </c>
      <c r="D6924" s="49">
        <v>0.0</v>
      </c>
    </row>
    <row r="6925" ht="15.0" hidden="1" customHeight="1">
      <c r="A6925" s="49" t="s">
        <v>546</v>
      </c>
      <c r="B6925" s="50">
        <v>45107.0</v>
      </c>
      <c r="C6925" s="49" t="s">
        <v>780</v>
      </c>
      <c r="D6925" s="49">
        <v>0.0</v>
      </c>
    </row>
    <row r="6926" ht="15.0" hidden="1" customHeight="1">
      <c r="A6926" s="49" t="s">
        <v>551</v>
      </c>
      <c r="B6926" s="50">
        <v>45107.0</v>
      </c>
      <c r="C6926" s="49" t="s">
        <v>780</v>
      </c>
      <c r="D6926" s="49">
        <v>0.0</v>
      </c>
    </row>
    <row r="6927" ht="15.0" hidden="1" customHeight="1">
      <c r="A6927" s="49" t="s">
        <v>556</v>
      </c>
      <c r="B6927" s="50">
        <v>45107.0</v>
      </c>
      <c r="C6927" s="49" t="s">
        <v>780</v>
      </c>
      <c r="D6927" s="49">
        <v>0.0</v>
      </c>
    </row>
    <row r="6928" ht="15.0" hidden="1" customHeight="1">
      <c r="A6928" s="49" t="s">
        <v>561</v>
      </c>
      <c r="B6928" s="50">
        <v>45107.0</v>
      </c>
      <c r="C6928" s="49" t="s">
        <v>780</v>
      </c>
      <c r="D6928" s="49">
        <v>0.0</v>
      </c>
    </row>
    <row r="6929" ht="15.0" hidden="1" customHeight="1">
      <c r="A6929" s="49" t="s">
        <v>566</v>
      </c>
      <c r="B6929" s="50">
        <v>45107.0</v>
      </c>
      <c r="C6929" s="49" t="s">
        <v>780</v>
      </c>
      <c r="D6929" s="49">
        <v>0.0</v>
      </c>
    </row>
    <row r="6930" ht="15.0" hidden="1" customHeight="1">
      <c r="A6930" s="49" t="s">
        <v>571</v>
      </c>
      <c r="B6930" s="50">
        <v>45107.0</v>
      </c>
      <c r="C6930" s="49" t="s">
        <v>780</v>
      </c>
      <c r="D6930" s="49">
        <v>0.0</v>
      </c>
    </row>
    <row r="6931" ht="15.0" hidden="1" customHeight="1">
      <c r="A6931" s="49" t="s">
        <v>576</v>
      </c>
      <c r="B6931" s="50">
        <v>45107.0</v>
      </c>
      <c r="C6931" s="49" t="s">
        <v>780</v>
      </c>
      <c r="D6931" s="49">
        <v>0.0</v>
      </c>
    </row>
    <row r="6932" ht="15.0" hidden="1" customHeight="1">
      <c r="A6932" s="49" t="s">
        <v>581</v>
      </c>
      <c r="B6932" s="50">
        <v>45107.0</v>
      </c>
      <c r="C6932" s="49" t="s">
        <v>780</v>
      </c>
      <c r="D6932" s="49">
        <v>0.0</v>
      </c>
    </row>
    <row r="6933" ht="15.0" hidden="1" customHeight="1">
      <c r="A6933" s="49" t="s">
        <v>586</v>
      </c>
      <c r="B6933" s="50">
        <v>45107.0</v>
      </c>
      <c r="C6933" s="49" t="s">
        <v>780</v>
      </c>
      <c r="D6933" s="49">
        <v>0.0</v>
      </c>
    </row>
    <row r="6934" ht="15.0" hidden="1" customHeight="1">
      <c r="A6934" s="49" t="s">
        <v>754</v>
      </c>
      <c r="B6934" s="50">
        <v>45107.0</v>
      </c>
      <c r="C6934" s="49" t="s">
        <v>780</v>
      </c>
      <c r="D6934" s="49">
        <v>0.0</v>
      </c>
    </row>
    <row r="6935" ht="15.0" hidden="1" customHeight="1">
      <c r="A6935" s="49" t="s">
        <v>591</v>
      </c>
      <c r="B6935" s="50">
        <v>45107.0</v>
      </c>
      <c r="C6935" s="49" t="s">
        <v>780</v>
      </c>
      <c r="D6935" s="49">
        <v>0.0</v>
      </c>
    </row>
    <row r="6936" ht="15.0" hidden="1" customHeight="1">
      <c r="A6936" s="49" t="s">
        <v>759</v>
      </c>
      <c r="B6936" s="50">
        <v>45107.0</v>
      </c>
      <c r="C6936" s="49" t="s">
        <v>780</v>
      </c>
      <c r="D6936" s="49">
        <v>0.0</v>
      </c>
    </row>
    <row r="6937" ht="15.0" hidden="1" customHeight="1">
      <c r="A6937" s="49" t="s">
        <v>596</v>
      </c>
      <c r="B6937" s="50">
        <v>45107.0</v>
      </c>
      <c r="C6937" s="49" t="s">
        <v>780</v>
      </c>
      <c r="D6937" s="49">
        <v>0.0</v>
      </c>
    </row>
    <row r="6938" ht="15.0" hidden="1" customHeight="1">
      <c r="A6938" s="49" t="s">
        <v>602</v>
      </c>
      <c r="B6938" s="50">
        <v>45107.0</v>
      </c>
      <c r="C6938" s="49" t="s">
        <v>780</v>
      </c>
      <c r="D6938" s="49">
        <v>0.0</v>
      </c>
    </row>
    <row r="6939" ht="15.0" hidden="1" customHeight="1">
      <c r="A6939" s="49" t="s">
        <v>607</v>
      </c>
      <c r="B6939" s="50">
        <v>45107.0</v>
      </c>
      <c r="C6939" s="49" t="s">
        <v>780</v>
      </c>
      <c r="D6939" s="49">
        <v>0.0</v>
      </c>
    </row>
    <row r="6940" ht="15.0" hidden="1" customHeight="1">
      <c r="A6940" s="49" t="s">
        <v>612</v>
      </c>
      <c r="B6940" s="50">
        <v>45107.0</v>
      </c>
      <c r="C6940" s="49" t="s">
        <v>780</v>
      </c>
      <c r="D6940" s="49">
        <v>0.0</v>
      </c>
    </row>
    <row r="6941" ht="15.0" hidden="1" customHeight="1">
      <c r="A6941" s="49" t="s">
        <v>617</v>
      </c>
      <c r="B6941" s="50">
        <v>45107.0</v>
      </c>
      <c r="C6941" s="49" t="s">
        <v>780</v>
      </c>
      <c r="D6941" s="49">
        <v>0.0</v>
      </c>
    </row>
    <row r="6942" ht="15.0" hidden="1" customHeight="1">
      <c r="A6942" s="49" t="s">
        <v>622</v>
      </c>
      <c r="B6942" s="50">
        <v>45107.0</v>
      </c>
      <c r="C6942" s="49" t="s">
        <v>780</v>
      </c>
      <c r="D6942" s="49">
        <v>0.0</v>
      </c>
    </row>
    <row r="6943" ht="15.0" hidden="1" customHeight="1">
      <c r="A6943" s="49" t="s">
        <v>627</v>
      </c>
      <c r="B6943" s="50">
        <v>45107.0</v>
      </c>
      <c r="C6943" s="49" t="s">
        <v>780</v>
      </c>
      <c r="D6943" s="49">
        <v>0.0</v>
      </c>
    </row>
    <row r="6944" ht="15.0" hidden="1" customHeight="1">
      <c r="A6944" s="49" t="s">
        <v>631</v>
      </c>
      <c r="B6944" s="50">
        <v>45107.0</v>
      </c>
      <c r="C6944" s="49" t="s">
        <v>780</v>
      </c>
      <c r="D6944" s="49">
        <v>0.0</v>
      </c>
    </row>
    <row r="6945" ht="15.0" hidden="1" customHeight="1">
      <c r="A6945" s="49" t="s">
        <v>636</v>
      </c>
      <c r="B6945" s="50">
        <v>45107.0</v>
      </c>
      <c r="C6945" s="49" t="s">
        <v>780</v>
      </c>
      <c r="D6945" s="49">
        <v>0.0</v>
      </c>
    </row>
    <row r="6946" ht="15.0" hidden="1" customHeight="1">
      <c r="A6946" s="49" t="s">
        <v>640</v>
      </c>
      <c r="B6946" s="50">
        <v>45107.0</v>
      </c>
      <c r="C6946" s="49" t="s">
        <v>780</v>
      </c>
      <c r="D6946" s="49">
        <v>0.0</v>
      </c>
    </row>
    <row r="6947" ht="15.0" hidden="1" customHeight="1">
      <c r="A6947" s="49" t="s">
        <v>644</v>
      </c>
      <c r="B6947" s="50">
        <v>45107.0</v>
      </c>
      <c r="C6947" s="49" t="s">
        <v>780</v>
      </c>
      <c r="D6947" s="49">
        <v>0.0</v>
      </c>
    </row>
    <row r="6948" ht="15.0" hidden="1" customHeight="1">
      <c r="A6948" s="49" t="s">
        <v>649</v>
      </c>
      <c r="B6948" s="50">
        <v>45107.0</v>
      </c>
      <c r="C6948" s="49" t="s">
        <v>780</v>
      </c>
      <c r="D6948" s="49">
        <v>0.0</v>
      </c>
    </row>
    <row r="6949" ht="15.0" hidden="1" customHeight="1">
      <c r="A6949" s="49" t="s">
        <v>654</v>
      </c>
      <c r="B6949" s="50">
        <v>45107.0</v>
      </c>
      <c r="C6949" s="49" t="s">
        <v>780</v>
      </c>
      <c r="D6949" s="49">
        <v>0.0</v>
      </c>
    </row>
    <row r="6950" ht="15.0" hidden="1" customHeight="1">
      <c r="A6950" s="49" t="s">
        <v>659</v>
      </c>
      <c r="B6950" s="50">
        <v>45107.0</v>
      </c>
      <c r="C6950" s="49" t="s">
        <v>780</v>
      </c>
      <c r="D6950" s="49">
        <v>0.0</v>
      </c>
    </row>
    <row r="6951" ht="15.0" hidden="1" customHeight="1">
      <c r="A6951" s="49" t="s">
        <v>664</v>
      </c>
      <c r="B6951" s="50">
        <v>45107.0</v>
      </c>
      <c r="C6951" s="49" t="s">
        <v>780</v>
      </c>
      <c r="D6951" s="49">
        <v>0.0</v>
      </c>
    </row>
    <row r="6952" ht="15.0" hidden="1" customHeight="1">
      <c r="A6952" s="49" t="s">
        <v>669</v>
      </c>
      <c r="B6952" s="50">
        <v>45107.0</v>
      </c>
      <c r="C6952" s="49" t="s">
        <v>780</v>
      </c>
      <c r="D6952" s="49">
        <v>0.0</v>
      </c>
    </row>
    <row r="6953" ht="15.0" hidden="1" customHeight="1">
      <c r="A6953" s="49" t="s">
        <v>674</v>
      </c>
      <c r="B6953" s="50">
        <v>45107.0</v>
      </c>
      <c r="C6953" s="49" t="s">
        <v>780</v>
      </c>
      <c r="D6953" s="49">
        <v>0.0</v>
      </c>
    </row>
    <row r="6954" ht="15.0" hidden="1" customHeight="1">
      <c r="A6954" s="49" t="s">
        <v>679</v>
      </c>
      <c r="B6954" s="50">
        <v>45107.0</v>
      </c>
      <c r="C6954" s="49" t="s">
        <v>780</v>
      </c>
      <c r="D6954" s="49">
        <v>0.0</v>
      </c>
    </row>
    <row r="6955" ht="15.0" hidden="1" customHeight="1">
      <c r="A6955" s="49" t="s">
        <v>684</v>
      </c>
      <c r="B6955" s="50">
        <v>45107.0</v>
      </c>
      <c r="C6955" s="49" t="s">
        <v>780</v>
      </c>
      <c r="D6955" s="49">
        <v>0.0</v>
      </c>
    </row>
    <row r="6956" ht="15.0" hidden="1" customHeight="1">
      <c r="A6956" s="49" t="s">
        <v>689</v>
      </c>
      <c r="B6956" s="50">
        <v>45107.0</v>
      </c>
      <c r="C6956" s="49" t="s">
        <v>780</v>
      </c>
      <c r="D6956" s="49">
        <v>0.0</v>
      </c>
    </row>
    <row r="6957" ht="15.0" hidden="1" customHeight="1">
      <c r="A6957" s="49" t="s">
        <v>694</v>
      </c>
      <c r="B6957" s="50">
        <v>45107.0</v>
      </c>
      <c r="C6957" s="49" t="s">
        <v>780</v>
      </c>
      <c r="D6957" s="49">
        <v>0.0</v>
      </c>
    </row>
    <row r="6958" ht="15.0" hidden="1" customHeight="1">
      <c r="A6958" s="49" t="s">
        <v>699</v>
      </c>
      <c r="B6958" s="50">
        <v>45107.0</v>
      </c>
      <c r="C6958" s="49" t="s">
        <v>780</v>
      </c>
      <c r="D6958" s="49">
        <v>0.0</v>
      </c>
    </row>
    <row r="6959" ht="15.0" hidden="1" customHeight="1">
      <c r="A6959" s="49" t="s">
        <v>705</v>
      </c>
      <c r="B6959" s="50">
        <v>45107.0</v>
      </c>
      <c r="C6959" s="49" t="s">
        <v>780</v>
      </c>
      <c r="D6959" s="49">
        <v>0.0</v>
      </c>
    </row>
    <row r="6960" ht="15.0" hidden="1" customHeight="1">
      <c r="A6960" s="49" t="s">
        <v>710</v>
      </c>
      <c r="B6960" s="50">
        <v>45107.0</v>
      </c>
      <c r="C6960" s="49" t="s">
        <v>780</v>
      </c>
      <c r="D6960" s="49">
        <v>0.0</v>
      </c>
    </row>
    <row r="6961" ht="15.0" hidden="1" customHeight="1">
      <c r="A6961" s="49" t="s">
        <v>715</v>
      </c>
      <c r="B6961" s="50">
        <v>45107.0</v>
      </c>
      <c r="C6961" s="49" t="s">
        <v>780</v>
      </c>
      <c r="D6961" s="49">
        <v>0.0</v>
      </c>
    </row>
    <row r="6962" ht="15.0" hidden="1" customHeight="1">
      <c r="A6962" s="49" t="s">
        <v>765</v>
      </c>
      <c r="B6962" s="50">
        <v>45107.0</v>
      </c>
      <c r="C6962" s="49" t="s">
        <v>780</v>
      </c>
      <c r="D6962" s="49">
        <v>0.0</v>
      </c>
    </row>
    <row r="6963" ht="15.0" hidden="1" customHeight="1">
      <c r="A6963" s="49" t="s">
        <v>720</v>
      </c>
      <c r="B6963" s="50">
        <v>45107.0</v>
      </c>
      <c r="C6963" s="49" t="s">
        <v>780</v>
      </c>
      <c r="D6963" s="49">
        <v>0.0</v>
      </c>
    </row>
    <row r="6964" ht="15.0" hidden="1" customHeight="1">
      <c r="A6964" s="49" t="s">
        <v>725</v>
      </c>
      <c r="B6964" s="50">
        <v>45107.0</v>
      </c>
      <c r="C6964" s="49" t="s">
        <v>780</v>
      </c>
      <c r="D6964" s="49">
        <v>0.0</v>
      </c>
    </row>
    <row r="6965" ht="15.0" hidden="1" customHeight="1">
      <c r="A6965" s="49" t="s">
        <v>730</v>
      </c>
      <c r="B6965" s="50">
        <v>45107.0</v>
      </c>
      <c r="C6965" s="49" t="s">
        <v>780</v>
      </c>
      <c r="D6965" s="49">
        <v>0.0</v>
      </c>
    </row>
    <row r="6966" ht="15.0" hidden="1" customHeight="1">
      <c r="A6966" s="49" t="s">
        <v>734</v>
      </c>
      <c r="B6966" s="50">
        <v>45107.0</v>
      </c>
      <c r="C6966" s="49" t="s">
        <v>780</v>
      </c>
      <c r="D6966" s="49">
        <v>0.0</v>
      </c>
    </row>
    <row r="6967" ht="15.0" hidden="1" customHeight="1">
      <c r="A6967" s="49" t="s">
        <v>739</v>
      </c>
      <c r="B6967" s="50">
        <v>45107.0</v>
      </c>
      <c r="C6967" s="49" t="s">
        <v>780</v>
      </c>
      <c r="D6967" s="49">
        <v>0.0</v>
      </c>
    </row>
    <row r="6968" ht="15.0" hidden="1" customHeight="1">
      <c r="A6968" s="49" t="s">
        <v>744</v>
      </c>
      <c r="B6968" s="50">
        <v>45107.0</v>
      </c>
      <c r="C6968" s="49" t="s">
        <v>780</v>
      </c>
      <c r="D6968" s="49">
        <v>0.0</v>
      </c>
    </row>
    <row r="6969" ht="15.0" hidden="1" customHeight="1">
      <c r="A6969" s="49" t="s">
        <v>749</v>
      </c>
      <c r="B6969" s="50">
        <v>45107.0</v>
      </c>
      <c r="C6969" s="49" t="s">
        <v>780</v>
      </c>
      <c r="D6969" s="49">
        <v>0.0</v>
      </c>
    </row>
    <row r="6970" ht="15.0" customHeight="1">
      <c r="A6970" s="49" t="s">
        <v>776</v>
      </c>
      <c r="B6970" s="50">
        <v>45199.0</v>
      </c>
      <c r="C6970" s="49" t="s">
        <v>777</v>
      </c>
      <c r="D6970" s="49">
        <v>0.0</v>
      </c>
    </row>
    <row r="6971" ht="15.0" hidden="1" customHeight="1">
      <c r="A6971" s="49" t="s">
        <v>778</v>
      </c>
      <c r="B6971" s="50">
        <v>45199.0</v>
      </c>
      <c r="C6971" s="49" t="s">
        <v>777</v>
      </c>
      <c r="D6971" s="49">
        <v>0.0</v>
      </c>
    </row>
    <row r="6972" ht="15.0" hidden="1" customHeight="1">
      <c r="A6972" s="49" t="s">
        <v>92</v>
      </c>
      <c r="B6972" s="50">
        <v>45199.0</v>
      </c>
      <c r="C6972" s="49" t="s">
        <v>777</v>
      </c>
      <c r="D6972" s="49">
        <v>0.0</v>
      </c>
    </row>
    <row r="6973" ht="15.0" hidden="1" customHeight="1">
      <c r="A6973" s="49" t="s">
        <v>97</v>
      </c>
      <c r="B6973" s="50">
        <v>45199.0</v>
      </c>
      <c r="C6973" s="49" t="s">
        <v>777</v>
      </c>
      <c r="D6973" s="49">
        <v>0.0</v>
      </c>
    </row>
    <row r="6974" ht="15.0" hidden="1" customHeight="1">
      <c r="A6974" s="49" t="s">
        <v>102</v>
      </c>
      <c r="B6974" s="50">
        <v>45199.0</v>
      </c>
      <c r="C6974" s="49" t="s">
        <v>777</v>
      </c>
      <c r="D6974" s="49">
        <v>0.0</v>
      </c>
    </row>
    <row r="6975" ht="15.0" hidden="1" customHeight="1">
      <c r="A6975" s="49" t="s">
        <v>106</v>
      </c>
      <c r="B6975" s="50">
        <v>45199.0</v>
      </c>
      <c r="C6975" s="49" t="s">
        <v>777</v>
      </c>
      <c r="D6975" s="49">
        <v>0.0</v>
      </c>
    </row>
    <row r="6976" ht="15.0" hidden="1" customHeight="1">
      <c r="A6976" s="49" t="s">
        <v>111</v>
      </c>
      <c r="B6976" s="50">
        <v>45199.0</v>
      </c>
      <c r="C6976" s="49" t="s">
        <v>777</v>
      </c>
      <c r="D6976" s="49">
        <v>0.0</v>
      </c>
    </row>
    <row r="6977" ht="15.0" hidden="1" customHeight="1">
      <c r="A6977" s="49" t="s">
        <v>116</v>
      </c>
      <c r="B6977" s="50">
        <v>45199.0</v>
      </c>
      <c r="C6977" s="49" t="s">
        <v>777</v>
      </c>
      <c r="D6977" s="49">
        <v>0.0</v>
      </c>
    </row>
    <row r="6978" ht="15.0" hidden="1" customHeight="1">
      <c r="A6978" s="49" t="s">
        <v>120</v>
      </c>
      <c r="B6978" s="50">
        <v>45199.0</v>
      </c>
      <c r="C6978" s="49" t="s">
        <v>777</v>
      </c>
      <c r="D6978" s="49">
        <v>0.0</v>
      </c>
    </row>
    <row r="6979" ht="15.0" hidden="1" customHeight="1">
      <c r="A6979" s="49" t="s">
        <v>125</v>
      </c>
      <c r="B6979" s="50">
        <v>45199.0</v>
      </c>
      <c r="C6979" s="49" t="s">
        <v>777</v>
      </c>
      <c r="D6979" s="49">
        <v>0.0</v>
      </c>
    </row>
    <row r="6980" ht="15.0" hidden="1" customHeight="1">
      <c r="A6980" s="49" t="s">
        <v>130</v>
      </c>
      <c r="B6980" s="50">
        <v>45199.0</v>
      </c>
      <c r="C6980" s="49" t="s">
        <v>777</v>
      </c>
      <c r="D6980" s="49">
        <v>0.0</v>
      </c>
    </row>
    <row r="6981" ht="15.0" hidden="1" customHeight="1">
      <c r="A6981" s="49" t="s">
        <v>137</v>
      </c>
      <c r="B6981" s="50">
        <v>45199.0</v>
      </c>
      <c r="C6981" s="49" t="s">
        <v>777</v>
      </c>
      <c r="D6981" s="49">
        <v>0.0</v>
      </c>
    </row>
    <row r="6982" ht="15.0" hidden="1" customHeight="1">
      <c r="A6982" s="49" t="s">
        <v>142</v>
      </c>
      <c r="B6982" s="50">
        <v>45199.0</v>
      </c>
      <c r="C6982" s="49" t="s">
        <v>777</v>
      </c>
      <c r="D6982" s="49">
        <v>0.0</v>
      </c>
    </row>
    <row r="6983" ht="15.0" hidden="1" customHeight="1">
      <c r="A6983" s="49" t="s">
        <v>147</v>
      </c>
      <c r="B6983" s="50">
        <v>45199.0</v>
      </c>
      <c r="C6983" s="49" t="s">
        <v>777</v>
      </c>
      <c r="D6983" s="49">
        <v>0.0</v>
      </c>
    </row>
    <row r="6984" ht="15.0" hidden="1" customHeight="1">
      <c r="A6984" s="49" t="s">
        <v>152</v>
      </c>
      <c r="B6984" s="50">
        <v>45199.0</v>
      </c>
      <c r="C6984" s="49" t="s">
        <v>777</v>
      </c>
      <c r="D6984" s="49">
        <v>0.0</v>
      </c>
    </row>
    <row r="6985" ht="15.0" hidden="1" customHeight="1">
      <c r="A6985" s="49" t="s">
        <v>157</v>
      </c>
      <c r="B6985" s="50">
        <v>45199.0</v>
      </c>
      <c r="C6985" s="49" t="s">
        <v>777</v>
      </c>
      <c r="D6985" s="49">
        <v>0.0</v>
      </c>
    </row>
    <row r="6986" ht="15.0" hidden="1" customHeight="1">
      <c r="A6986" s="49" t="s">
        <v>162</v>
      </c>
      <c r="B6986" s="50">
        <v>45199.0</v>
      </c>
      <c r="C6986" s="49" t="s">
        <v>777</v>
      </c>
      <c r="D6986" s="49">
        <v>0.0</v>
      </c>
    </row>
    <row r="6987" ht="15.0" hidden="1" customHeight="1">
      <c r="A6987" s="49" t="s">
        <v>167</v>
      </c>
      <c r="B6987" s="50">
        <v>45199.0</v>
      </c>
      <c r="C6987" s="49" t="s">
        <v>777</v>
      </c>
      <c r="D6987" s="49">
        <v>0.0</v>
      </c>
    </row>
    <row r="6988" ht="15.0" hidden="1" customHeight="1">
      <c r="A6988" s="49" t="s">
        <v>172</v>
      </c>
      <c r="B6988" s="50">
        <v>45199.0</v>
      </c>
      <c r="C6988" s="49" t="s">
        <v>777</v>
      </c>
      <c r="D6988" s="49">
        <v>0.0</v>
      </c>
    </row>
    <row r="6989" ht="15.0" hidden="1" customHeight="1">
      <c r="A6989" s="49" t="s">
        <v>177</v>
      </c>
      <c r="B6989" s="50">
        <v>45199.0</v>
      </c>
      <c r="C6989" s="49" t="s">
        <v>777</v>
      </c>
      <c r="D6989" s="49">
        <v>0.0</v>
      </c>
    </row>
    <row r="6990" ht="15.0" hidden="1" customHeight="1">
      <c r="A6990" s="49" t="s">
        <v>182</v>
      </c>
      <c r="B6990" s="50">
        <v>45199.0</v>
      </c>
      <c r="C6990" s="49" t="s">
        <v>777</v>
      </c>
      <c r="D6990" s="49">
        <v>0.0</v>
      </c>
    </row>
    <row r="6991" ht="15.0" hidden="1" customHeight="1">
      <c r="A6991" s="49" t="s">
        <v>187</v>
      </c>
      <c r="B6991" s="50">
        <v>45199.0</v>
      </c>
      <c r="C6991" s="49" t="s">
        <v>777</v>
      </c>
      <c r="D6991" s="49">
        <v>0.0</v>
      </c>
    </row>
    <row r="6992" ht="15.0" hidden="1" customHeight="1">
      <c r="A6992" s="49" t="s">
        <v>192</v>
      </c>
      <c r="B6992" s="50">
        <v>45199.0</v>
      </c>
      <c r="C6992" s="49" t="s">
        <v>777</v>
      </c>
      <c r="D6992" s="49">
        <v>0.0</v>
      </c>
    </row>
    <row r="6993" ht="15.0" hidden="1" customHeight="1">
      <c r="A6993" s="49" t="s">
        <v>197</v>
      </c>
      <c r="B6993" s="50">
        <v>45199.0</v>
      </c>
      <c r="C6993" s="49" t="s">
        <v>777</v>
      </c>
      <c r="D6993" s="49">
        <v>0.0</v>
      </c>
    </row>
    <row r="6994" ht="15.0" hidden="1" customHeight="1">
      <c r="A6994" s="49" t="s">
        <v>202</v>
      </c>
      <c r="B6994" s="50">
        <v>45199.0</v>
      </c>
      <c r="C6994" s="49" t="s">
        <v>777</v>
      </c>
      <c r="D6994" s="49">
        <v>0.0</v>
      </c>
    </row>
    <row r="6995" ht="15.0" hidden="1" customHeight="1">
      <c r="A6995" s="49" t="s">
        <v>206</v>
      </c>
      <c r="B6995" s="50">
        <v>45199.0</v>
      </c>
      <c r="C6995" s="49" t="s">
        <v>777</v>
      </c>
      <c r="D6995" s="49">
        <v>0.0</v>
      </c>
    </row>
    <row r="6996" ht="15.0" hidden="1" customHeight="1">
      <c r="A6996" s="49" t="s">
        <v>211</v>
      </c>
      <c r="B6996" s="50">
        <v>45199.0</v>
      </c>
      <c r="C6996" s="49" t="s">
        <v>777</v>
      </c>
      <c r="D6996" s="49">
        <v>0.0</v>
      </c>
    </row>
    <row r="6997" ht="15.0" hidden="1" customHeight="1">
      <c r="A6997" s="49" t="s">
        <v>779</v>
      </c>
      <c r="B6997" s="50">
        <v>45199.0</v>
      </c>
      <c r="C6997" s="49" t="s">
        <v>777</v>
      </c>
      <c r="D6997" s="49">
        <v>0.0</v>
      </c>
    </row>
    <row r="6998" ht="15.0" hidden="1" customHeight="1">
      <c r="A6998" s="49" t="s">
        <v>221</v>
      </c>
      <c r="B6998" s="50">
        <v>45199.0</v>
      </c>
      <c r="C6998" s="49" t="s">
        <v>777</v>
      </c>
      <c r="D6998" s="49">
        <v>0.0</v>
      </c>
    </row>
    <row r="6999" ht="15.0" hidden="1" customHeight="1">
      <c r="A6999" s="49" t="s">
        <v>226</v>
      </c>
      <c r="B6999" s="50">
        <v>45199.0</v>
      </c>
      <c r="C6999" s="49" t="s">
        <v>777</v>
      </c>
      <c r="D6999" s="49">
        <v>0.0</v>
      </c>
    </row>
    <row r="7000" ht="15.0" hidden="1" customHeight="1">
      <c r="A7000" s="49" t="s">
        <v>231</v>
      </c>
      <c r="B7000" s="50">
        <v>45199.0</v>
      </c>
      <c r="C7000" s="49" t="s">
        <v>777</v>
      </c>
      <c r="D7000" s="49">
        <v>0.0</v>
      </c>
    </row>
    <row r="7001" ht="15.0" hidden="1" customHeight="1">
      <c r="A7001" s="49" t="s">
        <v>236</v>
      </c>
      <c r="B7001" s="50">
        <v>45199.0</v>
      </c>
      <c r="C7001" s="49" t="s">
        <v>777</v>
      </c>
      <c r="D7001" s="49">
        <v>0.0</v>
      </c>
    </row>
    <row r="7002" ht="15.0" hidden="1" customHeight="1">
      <c r="A7002" s="49" t="s">
        <v>242</v>
      </c>
      <c r="B7002" s="50">
        <v>45199.0</v>
      </c>
      <c r="C7002" s="49" t="s">
        <v>777</v>
      </c>
      <c r="D7002" s="49">
        <v>0.0</v>
      </c>
    </row>
    <row r="7003" ht="15.0" hidden="1" customHeight="1">
      <c r="A7003" s="49" t="s">
        <v>248</v>
      </c>
      <c r="B7003" s="50">
        <v>45199.0</v>
      </c>
      <c r="C7003" s="49" t="s">
        <v>777</v>
      </c>
      <c r="D7003" s="49">
        <v>0.0</v>
      </c>
    </row>
    <row r="7004" ht="15.0" hidden="1" customHeight="1">
      <c r="A7004" s="49" t="s">
        <v>253</v>
      </c>
      <c r="B7004" s="50">
        <v>45199.0</v>
      </c>
      <c r="C7004" s="49" t="s">
        <v>777</v>
      </c>
      <c r="D7004" s="49">
        <v>0.0</v>
      </c>
    </row>
    <row r="7005" ht="15.0" hidden="1" customHeight="1">
      <c r="A7005" s="49" t="s">
        <v>258</v>
      </c>
      <c r="B7005" s="50">
        <v>45199.0</v>
      </c>
      <c r="C7005" s="49" t="s">
        <v>777</v>
      </c>
      <c r="D7005" s="49">
        <v>0.0</v>
      </c>
    </row>
    <row r="7006" ht="15.0" hidden="1" customHeight="1">
      <c r="A7006" s="49" t="s">
        <v>263</v>
      </c>
      <c r="B7006" s="50">
        <v>45199.0</v>
      </c>
      <c r="C7006" s="49" t="s">
        <v>777</v>
      </c>
      <c r="D7006" s="49">
        <v>0.0</v>
      </c>
    </row>
    <row r="7007" ht="15.0" hidden="1" customHeight="1">
      <c r="A7007" s="49" t="s">
        <v>268</v>
      </c>
      <c r="B7007" s="50">
        <v>45199.0</v>
      </c>
      <c r="C7007" s="49" t="s">
        <v>777</v>
      </c>
      <c r="D7007" s="49">
        <v>0.0</v>
      </c>
    </row>
    <row r="7008" ht="15.0" hidden="1" customHeight="1">
      <c r="A7008" s="49" t="s">
        <v>273</v>
      </c>
      <c r="B7008" s="50">
        <v>45199.0</v>
      </c>
      <c r="C7008" s="49" t="s">
        <v>777</v>
      </c>
      <c r="D7008" s="49">
        <v>0.0</v>
      </c>
    </row>
    <row r="7009" ht="15.0" hidden="1" customHeight="1">
      <c r="A7009" s="49" t="s">
        <v>278</v>
      </c>
      <c r="B7009" s="50">
        <v>45199.0</v>
      </c>
      <c r="C7009" s="49" t="s">
        <v>777</v>
      </c>
      <c r="D7009" s="49">
        <v>0.0</v>
      </c>
    </row>
    <row r="7010" ht="15.0" hidden="1" customHeight="1">
      <c r="A7010" s="49" t="s">
        <v>283</v>
      </c>
      <c r="B7010" s="50">
        <v>45199.0</v>
      </c>
      <c r="C7010" s="49" t="s">
        <v>777</v>
      </c>
      <c r="D7010" s="49">
        <v>0.0</v>
      </c>
    </row>
    <row r="7011" ht="15.0" hidden="1" customHeight="1">
      <c r="A7011" s="49" t="s">
        <v>288</v>
      </c>
      <c r="B7011" s="50">
        <v>45199.0</v>
      </c>
      <c r="C7011" s="49" t="s">
        <v>777</v>
      </c>
      <c r="D7011" s="49">
        <v>0.0</v>
      </c>
    </row>
    <row r="7012" ht="15.0" hidden="1" customHeight="1">
      <c r="A7012" s="49" t="s">
        <v>293</v>
      </c>
      <c r="B7012" s="50">
        <v>45199.0</v>
      </c>
      <c r="C7012" s="49" t="s">
        <v>777</v>
      </c>
      <c r="D7012" s="49">
        <v>0.0</v>
      </c>
    </row>
    <row r="7013" ht="15.0" hidden="1" customHeight="1">
      <c r="A7013" s="49" t="s">
        <v>298</v>
      </c>
      <c r="B7013" s="50">
        <v>45199.0</v>
      </c>
      <c r="C7013" s="49" t="s">
        <v>777</v>
      </c>
      <c r="D7013" s="49">
        <v>0.0</v>
      </c>
    </row>
    <row r="7014" ht="15.0" hidden="1" customHeight="1">
      <c r="A7014" s="49" t="s">
        <v>303</v>
      </c>
      <c r="B7014" s="50">
        <v>45199.0</v>
      </c>
      <c r="C7014" s="49" t="s">
        <v>777</v>
      </c>
      <c r="D7014" s="49">
        <v>0.0</v>
      </c>
    </row>
    <row r="7015" ht="15.0" hidden="1" customHeight="1">
      <c r="A7015" s="49" t="s">
        <v>307</v>
      </c>
      <c r="B7015" s="50">
        <v>45199.0</v>
      </c>
      <c r="C7015" s="49" t="s">
        <v>777</v>
      </c>
      <c r="D7015" s="49">
        <v>0.0</v>
      </c>
    </row>
    <row r="7016" ht="15.0" hidden="1" customHeight="1">
      <c r="A7016" s="49" t="s">
        <v>313</v>
      </c>
      <c r="B7016" s="50">
        <v>45199.0</v>
      </c>
      <c r="C7016" s="49" t="s">
        <v>777</v>
      </c>
      <c r="D7016" s="49">
        <v>0.0</v>
      </c>
    </row>
    <row r="7017" ht="15.0" hidden="1" customHeight="1">
      <c r="A7017" s="49" t="s">
        <v>318</v>
      </c>
      <c r="B7017" s="50">
        <v>45199.0</v>
      </c>
      <c r="C7017" s="49" t="s">
        <v>777</v>
      </c>
      <c r="D7017" s="49">
        <v>0.0</v>
      </c>
    </row>
    <row r="7018" ht="15.0" hidden="1" customHeight="1">
      <c r="A7018" s="49" t="s">
        <v>323</v>
      </c>
      <c r="B7018" s="50">
        <v>45199.0</v>
      </c>
      <c r="C7018" s="49" t="s">
        <v>777</v>
      </c>
      <c r="D7018" s="49">
        <v>0.0</v>
      </c>
    </row>
    <row r="7019" ht="15.0" hidden="1" customHeight="1">
      <c r="A7019" s="49" t="s">
        <v>328</v>
      </c>
      <c r="B7019" s="50">
        <v>45199.0</v>
      </c>
      <c r="C7019" s="49" t="s">
        <v>777</v>
      </c>
      <c r="D7019" s="49">
        <v>0.0</v>
      </c>
    </row>
    <row r="7020" ht="15.0" hidden="1" customHeight="1">
      <c r="A7020" s="49" t="s">
        <v>335</v>
      </c>
      <c r="B7020" s="50">
        <v>45199.0</v>
      </c>
      <c r="C7020" s="49" t="s">
        <v>777</v>
      </c>
      <c r="D7020" s="49">
        <v>0.0</v>
      </c>
    </row>
    <row r="7021" ht="15.0" hidden="1" customHeight="1">
      <c r="A7021" s="49" t="s">
        <v>340</v>
      </c>
      <c r="B7021" s="50">
        <v>45199.0</v>
      </c>
      <c r="C7021" s="49" t="s">
        <v>777</v>
      </c>
      <c r="D7021" s="49">
        <v>0.0</v>
      </c>
    </row>
    <row r="7022" ht="15.0" hidden="1" customHeight="1">
      <c r="A7022" s="49" t="s">
        <v>345</v>
      </c>
      <c r="B7022" s="50">
        <v>45199.0</v>
      </c>
      <c r="C7022" s="49" t="s">
        <v>777</v>
      </c>
      <c r="D7022" s="49">
        <v>0.0</v>
      </c>
    </row>
    <row r="7023" ht="15.0" hidden="1" customHeight="1">
      <c r="A7023" s="49" t="s">
        <v>350</v>
      </c>
      <c r="B7023" s="50">
        <v>45199.0</v>
      </c>
      <c r="C7023" s="49" t="s">
        <v>777</v>
      </c>
      <c r="D7023" s="49">
        <v>0.0</v>
      </c>
    </row>
    <row r="7024" ht="15.0" hidden="1" customHeight="1">
      <c r="A7024" s="49" t="s">
        <v>355</v>
      </c>
      <c r="B7024" s="50">
        <v>45199.0</v>
      </c>
      <c r="C7024" s="49" t="s">
        <v>777</v>
      </c>
      <c r="D7024" s="49">
        <v>0.0</v>
      </c>
    </row>
    <row r="7025" ht="15.0" hidden="1" customHeight="1">
      <c r="A7025" s="49" t="s">
        <v>360</v>
      </c>
      <c r="B7025" s="50">
        <v>45199.0</v>
      </c>
      <c r="C7025" s="49" t="s">
        <v>777</v>
      </c>
      <c r="D7025" s="49">
        <v>0.0</v>
      </c>
    </row>
    <row r="7026" ht="15.0" hidden="1" customHeight="1">
      <c r="A7026" s="49" t="s">
        <v>365</v>
      </c>
      <c r="B7026" s="50">
        <v>45199.0</v>
      </c>
      <c r="C7026" s="49" t="s">
        <v>777</v>
      </c>
      <c r="D7026" s="49">
        <v>0.0</v>
      </c>
    </row>
    <row r="7027" ht="15.0" hidden="1" customHeight="1">
      <c r="A7027" s="49" t="s">
        <v>370</v>
      </c>
      <c r="B7027" s="50">
        <v>45199.0</v>
      </c>
      <c r="C7027" s="49" t="s">
        <v>777</v>
      </c>
      <c r="D7027" s="49">
        <v>0.0</v>
      </c>
    </row>
    <row r="7028" ht="15.0" hidden="1" customHeight="1">
      <c r="A7028" s="49" t="s">
        <v>375</v>
      </c>
      <c r="B7028" s="50">
        <v>45199.0</v>
      </c>
      <c r="C7028" s="49" t="s">
        <v>777</v>
      </c>
      <c r="D7028" s="49">
        <v>0.0</v>
      </c>
    </row>
    <row r="7029" ht="15.0" hidden="1" customHeight="1">
      <c r="A7029" s="49" t="s">
        <v>380</v>
      </c>
      <c r="B7029" s="50">
        <v>45199.0</v>
      </c>
      <c r="C7029" s="49" t="s">
        <v>777</v>
      </c>
      <c r="D7029" s="49">
        <v>0.0</v>
      </c>
    </row>
    <row r="7030" ht="15.0" hidden="1" customHeight="1">
      <c r="A7030" s="49" t="s">
        <v>385</v>
      </c>
      <c r="B7030" s="50">
        <v>45199.0</v>
      </c>
      <c r="C7030" s="49" t="s">
        <v>777</v>
      </c>
      <c r="D7030" s="49">
        <v>0.0</v>
      </c>
    </row>
    <row r="7031" ht="15.0" hidden="1" customHeight="1">
      <c r="A7031" s="49" t="s">
        <v>390</v>
      </c>
      <c r="B7031" s="50">
        <v>45199.0</v>
      </c>
      <c r="C7031" s="49" t="s">
        <v>777</v>
      </c>
      <c r="D7031" s="49">
        <v>0.0</v>
      </c>
    </row>
    <row r="7032" ht="15.0" hidden="1" customHeight="1">
      <c r="A7032" s="49" t="s">
        <v>395</v>
      </c>
      <c r="B7032" s="50">
        <v>45199.0</v>
      </c>
      <c r="C7032" s="49" t="s">
        <v>777</v>
      </c>
      <c r="D7032" s="49">
        <v>0.0</v>
      </c>
    </row>
    <row r="7033" ht="15.0" hidden="1" customHeight="1">
      <c r="A7033" s="49" t="s">
        <v>400</v>
      </c>
      <c r="B7033" s="50">
        <v>45199.0</v>
      </c>
      <c r="C7033" s="49" t="s">
        <v>777</v>
      </c>
      <c r="D7033" s="49">
        <v>5520000.0</v>
      </c>
    </row>
    <row r="7034" ht="15.0" hidden="1" customHeight="1">
      <c r="A7034" s="49" t="s">
        <v>405</v>
      </c>
      <c r="B7034" s="50">
        <v>45199.0</v>
      </c>
      <c r="C7034" s="49" t="s">
        <v>777</v>
      </c>
      <c r="D7034" s="49">
        <v>0.0</v>
      </c>
    </row>
    <row r="7035" ht="15.0" hidden="1" customHeight="1">
      <c r="A7035" s="49" t="s">
        <v>410</v>
      </c>
      <c r="B7035" s="50">
        <v>45199.0</v>
      </c>
      <c r="C7035" s="49" t="s">
        <v>777</v>
      </c>
      <c r="D7035" s="49">
        <v>790239.0</v>
      </c>
    </row>
    <row r="7036" ht="15.0" hidden="1" customHeight="1">
      <c r="A7036" s="49" t="s">
        <v>415</v>
      </c>
      <c r="B7036" s="50">
        <v>45199.0</v>
      </c>
      <c r="C7036" s="49" t="s">
        <v>777</v>
      </c>
      <c r="D7036" s="49">
        <v>0.0</v>
      </c>
    </row>
    <row r="7037" ht="15.0" hidden="1" customHeight="1">
      <c r="A7037" s="49" t="s">
        <v>420</v>
      </c>
      <c r="B7037" s="50">
        <v>45199.0</v>
      </c>
      <c r="C7037" s="49" t="s">
        <v>777</v>
      </c>
      <c r="D7037" s="49">
        <v>1710000.0</v>
      </c>
    </row>
    <row r="7038" ht="15.0" hidden="1" customHeight="1">
      <c r="A7038" s="49" t="s">
        <v>425</v>
      </c>
      <c r="B7038" s="50">
        <v>45199.0</v>
      </c>
      <c r="C7038" s="49" t="s">
        <v>777</v>
      </c>
      <c r="D7038" s="49">
        <v>500000.0</v>
      </c>
    </row>
    <row r="7039" ht="15.0" hidden="1" customHeight="1">
      <c r="A7039" s="49" t="s">
        <v>430</v>
      </c>
      <c r="B7039" s="50">
        <v>45199.0</v>
      </c>
      <c r="C7039" s="49" t="s">
        <v>777</v>
      </c>
      <c r="D7039" s="49">
        <v>4100000.0</v>
      </c>
    </row>
    <row r="7040" ht="15.0" hidden="1" customHeight="1">
      <c r="A7040" s="49" t="s">
        <v>434</v>
      </c>
      <c r="B7040" s="50">
        <v>45199.0</v>
      </c>
      <c r="C7040" s="49" t="s">
        <v>777</v>
      </c>
      <c r="D7040" s="49">
        <v>3000000.0</v>
      </c>
    </row>
    <row r="7041" ht="15.0" hidden="1" customHeight="1">
      <c r="A7041" s="49" t="s">
        <v>439</v>
      </c>
      <c r="B7041" s="50">
        <v>45199.0</v>
      </c>
      <c r="C7041" s="49" t="s">
        <v>777</v>
      </c>
      <c r="D7041" s="49">
        <v>3134250.0</v>
      </c>
    </row>
    <row r="7042" ht="15.0" hidden="1" customHeight="1">
      <c r="A7042" s="49" t="s">
        <v>444</v>
      </c>
      <c r="B7042" s="50">
        <v>45199.0</v>
      </c>
      <c r="C7042" s="49" t="s">
        <v>777</v>
      </c>
      <c r="D7042" s="49">
        <v>385000.0</v>
      </c>
    </row>
    <row r="7043" ht="15.0" hidden="1" customHeight="1">
      <c r="A7043" s="49" t="s">
        <v>449</v>
      </c>
      <c r="B7043" s="50">
        <v>45199.0</v>
      </c>
      <c r="C7043" s="49" t="s">
        <v>777</v>
      </c>
      <c r="D7043" s="49">
        <v>0.0</v>
      </c>
    </row>
    <row r="7044" ht="15.0" hidden="1" customHeight="1">
      <c r="A7044" s="49" t="s">
        <v>455</v>
      </c>
      <c r="B7044" s="50">
        <v>45199.0</v>
      </c>
      <c r="C7044" s="49" t="s">
        <v>777</v>
      </c>
      <c r="D7044" s="49">
        <v>0.0</v>
      </c>
    </row>
    <row r="7045" ht="15.0" hidden="1" customHeight="1">
      <c r="A7045" s="49" t="s">
        <v>470</v>
      </c>
      <c r="B7045" s="50">
        <v>45199.0</v>
      </c>
      <c r="C7045" s="49" t="s">
        <v>777</v>
      </c>
      <c r="D7045" s="49">
        <v>0.0</v>
      </c>
    </row>
    <row r="7046" ht="15.0" hidden="1" customHeight="1">
      <c r="A7046" s="49" t="s">
        <v>476</v>
      </c>
      <c r="B7046" s="50">
        <v>45199.0</v>
      </c>
      <c r="C7046" s="49" t="s">
        <v>777</v>
      </c>
      <c r="D7046" s="49">
        <v>0.0</v>
      </c>
    </row>
    <row r="7047" ht="15.0" hidden="1" customHeight="1">
      <c r="A7047" s="49" t="s">
        <v>481</v>
      </c>
      <c r="B7047" s="50">
        <v>45199.0</v>
      </c>
      <c r="C7047" s="49" t="s">
        <v>777</v>
      </c>
      <c r="D7047" s="49">
        <v>0.0</v>
      </c>
    </row>
    <row r="7048" ht="15.0" hidden="1" customHeight="1">
      <c r="A7048" s="49" t="s">
        <v>486</v>
      </c>
      <c r="B7048" s="50">
        <v>45199.0</v>
      </c>
      <c r="C7048" s="49" t="s">
        <v>777</v>
      </c>
      <c r="D7048" s="49">
        <v>0.0</v>
      </c>
    </row>
    <row r="7049" ht="15.0" hidden="1" customHeight="1">
      <c r="A7049" s="49" t="s">
        <v>491</v>
      </c>
      <c r="B7049" s="50">
        <v>45199.0</v>
      </c>
      <c r="C7049" s="49" t="s">
        <v>777</v>
      </c>
      <c r="D7049" s="49">
        <v>0.0</v>
      </c>
    </row>
    <row r="7050" ht="15.0" hidden="1" customHeight="1">
      <c r="A7050" s="49" t="s">
        <v>496</v>
      </c>
      <c r="B7050" s="50">
        <v>45199.0</v>
      </c>
      <c r="C7050" s="49" t="s">
        <v>777</v>
      </c>
      <c r="D7050" s="49">
        <v>0.0</v>
      </c>
    </row>
    <row r="7051" ht="15.0" hidden="1" customHeight="1">
      <c r="A7051" s="49" t="s">
        <v>501</v>
      </c>
      <c r="B7051" s="50">
        <v>45199.0</v>
      </c>
      <c r="C7051" s="49" t="s">
        <v>777</v>
      </c>
      <c r="D7051" s="49">
        <v>0.0</v>
      </c>
    </row>
    <row r="7052" ht="15.0" hidden="1" customHeight="1">
      <c r="A7052" s="49" t="s">
        <v>506</v>
      </c>
      <c r="B7052" s="50">
        <v>45199.0</v>
      </c>
      <c r="C7052" s="49" t="s">
        <v>777</v>
      </c>
      <c r="D7052" s="49">
        <v>0.0</v>
      </c>
    </row>
    <row r="7053" ht="15.0" hidden="1" customHeight="1">
      <c r="A7053" s="49" t="s">
        <v>512</v>
      </c>
      <c r="B7053" s="50">
        <v>45199.0</v>
      </c>
      <c r="C7053" s="49" t="s">
        <v>777</v>
      </c>
      <c r="D7053" s="49">
        <v>0.0</v>
      </c>
    </row>
    <row r="7054" ht="15.0" hidden="1" customHeight="1">
      <c r="A7054" s="49" t="s">
        <v>517</v>
      </c>
      <c r="B7054" s="50">
        <v>45199.0</v>
      </c>
      <c r="C7054" s="49" t="s">
        <v>777</v>
      </c>
      <c r="D7054" s="49">
        <v>0.0</v>
      </c>
    </row>
    <row r="7055" ht="15.0" hidden="1" customHeight="1">
      <c r="A7055" s="49" t="s">
        <v>522</v>
      </c>
      <c r="B7055" s="50">
        <v>45199.0</v>
      </c>
      <c r="C7055" s="49" t="s">
        <v>777</v>
      </c>
      <c r="D7055" s="49">
        <v>0.0</v>
      </c>
    </row>
    <row r="7056" ht="15.0" hidden="1" customHeight="1">
      <c r="A7056" s="49" t="s">
        <v>528</v>
      </c>
      <c r="B7056" s="50">
        <v>45199.0</v>
      </c>
      <c r="C7056" s="49" t="s">
        <v>777</v>
      </c>
      <c r="D7056" s="49">
        <v>0.0</v>
      </c>
    </row>
    <row r="7057" ht="15.0" hidden="1" customHeight="1">
      <c r="A7057" s="49" t="s">
        <v>533</v>
      </c>
      <c r="B7057" s="50">
        <v>45199.0</v>
      </c>
      <c r="C7057" s="49" t="s">
        <v>777</v>
      </c>
      <c r="D7057" s="49">
        <v>0.0</v>
      </c>
    </row>
    <row r="7058" ht="15.0" hidden="1" customHeight="1">
      <c r="A7058" s="49" t="s">
        <v>538</v>
      </c>
      <c r="B7058" s="50">
        <v>45199.0</v>
      </c>
      <c r="C7058" s="49" t="s">
        <v>777</v>
      </c>
      <c r="D7058" s="49">
        <v>0.0</v>
      </c>
    </row>
    <row r="7059" ht="15.0" hidden="1" customHeight="1">
      <c r="A7059" s="49" t="s">
        <v>546</v>
      </c>
      <c r="B7059" s="50">
        <v>45199.0</v>
      </c>
      <c r="C7059" s="49" t="s">
        <v>777</v>
      </c>
      <c r="D7059" s="49">
        <v>0.0</v>
      </c>
    </row>
    <row r="7060" ht="15.0" hidden="1" customHeight="1">
      <c r="A7060" s="49" t="s">
        <v>551</v>
      </c>
      <c r="B7060" s="50">
        <v>45199.0</v>
      </c>
      <c r="C7060" s="49" t="s">
        <v>777</v>
      </c>
      <c r="D7060" s="49">
        <v>0.0</v>
      </c>
    </row>
    <row r="7061" ht="15.0" hidden="1" customHeight="1">
      <c r="A7061" s="49" t="s">
        <v>556</v>
      </c>
      <c r="B7061" s="50">
        <v>45199.0</v>
      </c>
      <c r="C7061" s="49" t="s">
        <v>777</v>
      </c>
      <c r="D7061" s="49">
        <v>0.0</v>
      </c>
    </row>
    <row r="7062" ht="15.0" hidden="1" customHeight="1">
      <c r="A7062" s="49" t="s">
        <v>561</v>
      </c>
      <c r="B7062" s="50">
        <v>45199.0</v>
      </c>
      <c r="C7062" s="49" t="s">
        <v>777</v>
      </c>
      <c r="D7062" s="49">
        <v>0.0</v>
      </c>
    </row>
    <row r="7063" ht="15.0" hidden="1" customHeight="1">
      <c r="A7063" s="49" t="s">
        <v>566</v>
      </c>
      <c r="B7063" s="50">
        <v>45199.0</v>
      </c>
      <c r="C7063" s="49" t="s">
        <v>777</v>
      </c>
      <c r="D7063" s="49">
        <v>0.0</v>
      </c>
    </row>
    <row r="7064" ht="15.0" hidden="1" customHeight="1">
      <c r="A7064" s="49" t="s">
        <v>571</v>
      </c>
      <c r="B7064" s="50">
        <v>45199.0</v>
      </c>
      <c r="C7064" s="49" t="s">
        <v>777</v>
      </c>
      <c r="D7064" s="49">
        <v>0.0</v>
      </c>
    </row>
    <row r="7065" ht="15.0" hidden="1" customHeight="1">
      <c r="A7065" s="49" t="s">
        <v>576</v>
      </c>
      <c r="B7065" s="50">
        <v>45199.0</v>
      </c>
      <c r="C7065" s="49" t="s">
        <v>777</v>
      </c>
      <c r="D7065" s="49">
        <v>0.0</v>
      </c>
    </row>
    <row r="7066" ht="15.0" hidden="1" customHeight="1">
      <c r="A7066" s="49" t="s">
        <v>581</v>
      </c>
      <c r="B7066" s="50">
        <v>45199.0</v>
      </c>
      <c r="C7066" s="49" t="s">
        <v>777</v>
      </c>
      <c r="D7066" s="49">
        <v>0.0</v>
      </c>
    </row>
    <row r="7067" ht="15.0" hidden="1" customHeight="1">
      <c r="A7067" s="49" t="s">
        <v>586</v>
      </c>
      <c r="B7067" s="50">
        <v>45199.0</v>
      </c>
      <c r="C7067" s="49" t="s">
        <v>777</v>
      </c>
      <c r="D7067" s="49">
        <v>0.0</v>
      </c>
    </row>
    <row r="7068" ht="15.0" hidden="1" customHeight="1">
      <c r="A7068" s="49" t="s">
        <v>754</v>
      </c>
      <c r="B7068" s="50">
        <v>45199.0</v>
      </c>
      <c r="C7068" s="49" t="s">
        <v>777</v>
      </c>
      <c r="D7068" s="49">
        <v>0.0</v>
      </c>
    </row>
    <row r="7069" ht="15.0" hidden="1" customHeight="1">
      <c r="A7069" s="49" t="s">
        <v>591</v>
      </c>
      <c r="B7069" s="50">
        <v>45199.0</v>
      </c>
      <c r="C7069" s="49" t="s">
        <v>777</v>
      </c>
      <c r="D7069" s="49">
        <v>0.0</v>
      </c>
    </row>
    <row r="7070" ht="15.0" hidden="1" customHeight="1">
      <c r="A7070" s="49" t="s">
        <v>759</v>
      </c>
      <c r="B7070" s="50">
        <v>45199.0</v>
      </c>
      <c r="C7070" s="49" t="s">
        <v>777</v>
      </c>
      <c r="D7070" s="49">
        <v>0.0</v>
      </c>
    </row>
    <row r="7071" ht="15.0" hidden="1" customHeight="1">
      <c r="A7071" s="49" t="s">
        <v>596</v>
      </c>
      <c r="B7071" s="50">
        <v>45199.0</v>
      </c>
      <c r="C7071" s="49" t="s">
        <v>777</v>
      </c>
      <c r="D7071" s="49">
        <v>0.0</v>
      </c>
    </row>
    <row r="7072" ht="15.0" hidden="1" customHeight="1">
      <c r="A7072" s="49" t="s">
        <v>602</v>
      </c>
      <c r="B7072" s="50">
        <v>45199.0</v>
      </c>
      <c r="C7072" s="49" t="s">
        <v>777</v>
      </c>
      <c r="D7072" s="49">
        <v>0.0</v>
      </c>
    </row>
    <row r="7073" ht="15.0" hidden="1" customHeight="1">
      <c r="A7073" s="49" t="s">
        <v>607</v>
      </c>
      <c r="B7073" s="50">
        <v>45199.0</v>
      </c>
      <c r="C7073" s="49" t="s">
        <v>777</v>
      </c>
      <c r="D7073" s="49">
        <v>0.0</v>
      </c>
    </row>
    <row r="7074" ht="15.0" hidden="1" customHeight="1">
      <c r="A7074" s="49" t="s">
        <v>612</v>
      </c>
      <c r="B7074" s="50">
        <v>45199.0</v>
      </c>
      <c r="C7074" s="49" t="s">
        <v>777</v>
      </c>
      <c r="D7074" s="49">
        <v>0.0</v>
      </c>
    </row>
    <row r="7075" ht="15.0" hidden="1" customHeight="1">
      <c r="A7075" s="49" t="s">
        <v>617</v>
      </c>
      <c r="B7075" s="50">
        <v>45199.0</v>
      </c>
      <c r="C7075" s="49" t="s">
        <v>777</v>
      </c>
      <c r="D7075" s="49">
        <v>0.0</v>
      </c>
    </row>
    <row r="7076" ht="15.0" hidden="1" customHeight="1">
      <c r="A7076" s="49" t="s">
        <v>622</v>
      </c>
      <c r="B7076" s="50">
        <v>45199.0</v>
      </c>
      <c r="C7076" s="49" t="s">
        <v>777</v>
      </c>
      <c r="D7076" s="49">
        <v>0.0</v>
      </c>
    </row>
    <row r="7077" ht="15.0" hidden="1" customHeight="1">
      <c r="A7077" s="49" t="s">
        <v>627</v>
      </c>
      <c r="B7077" s="50">
        <v>45199.0</v>
      </c>
      <c r="C7077" s="49" t="s">
        <v>777</v>
      </c>
      <c r="D7077" s="49">
        <v>0.0</v>
      </c>
    </row>
    <row r="7078" ht="15.0" hidden="1" customHeight="1">
      <c r="A7078" s="49" t="s">
        <v>631</v>
      </c>
      <c r="B7078" s="50">
        <v>45199.0</v>
      </c>
      <c r="C7078" s="49" t="s">
        <v>777</v>
      </c>
      <c r="D7078" s="49">
        <v>0.0</v>
      </c>
    </row>
    <row r="7079" ht="15.0" hidden="1" customHeight="1">
      <c r="A7079" s="49" t="s">
        <v>636</v>
      </c>
      <c r="B7079" s="50">
        <v>45199.0</v>
      </c>
      <c r="C7079" s="49" t="s">
        <v>777</v>
      </c>
      <c r="D7079" s="49">
        <v>0.0</v>
      </c>
    </row>
    <row r="7080" ht="15.0" hidden="1" customHeight="1">
      <c r="A7080" s="49" t="s">
        <v>640</v>
      </c>
      <c r="B7080" s="50">
        <v>45199.0</v>
      </c>
      <c r="C7080" s="49" t="s">
        <v>777</v>
      </c>
      <c r="D7080" s="49">
        <v>0.0</v>
      </c>
    </row>
    <row r="7081" ht="15.0" hidden="1" customHeight="1">
      <c r="A7081" s="49" t="s">
        <v>644</v>
      </c>
      <c r="B7081" s="50">
        <v>45199.0</v>
      </c>
      <c r="C7081" s="49" t="s">
        <v>777</v>
      </c>
      <c r="D7081" s="49">
        <v>0.0</v>
      </c>
    </row>
    <row r="7082" ht="15.0" hidden="1" customHeight="1">
      <c r="A7082" s="49" t="s">
        <v>649</v>
      </c>
      <c r="B7082" s="50">
        <v>45199.0</v>
      </c>
      <c r="C7082" s="49" t="s">
        <v>777</v>
      </c>
      <c r="D7082" s="49">
        <v>0.0</v>
      </c>
    </row>
    <row r="7083" ht="15.0" hidden="1" customHeight="1">
      <c r="A7083" s="49" t="s">
        <v>654</v>
      </c>
      <c r="B7083" s="50">
        <v>45199.0</v>
      </c>
      <c r="C7083" s="49" t="s">
        <v>777</v>
      </c>
      <c r="D7083" s="49">
        <v>0.0</v>
      </c>
    </row>
    <row r="7084" ht="15.0" hidden="1" customHeight="1">
      <c r="A7084" s="49" t="s">
        <v>659</v>
      </c>
      <c r="B7084" s="50">
        <v>45199.0</v>
      </c>
      <c r="C7084" s="49" t="s">
        <v>777</v>
      </c>
      <c r="D7084" s="49">
        <v>0.0</v>
      </c>
    </row>
    <row r="7085" ht="15.0" hidden="1" customHeight="1">
      <c r="A7085" s="49" t="s">
        <v>664</v>
      </c>
      <c r="B7085" s="50">
        <v>45199.0</v>
      </c>
      <c r="C7085" s="49" t="s">
        <v>777</v>
      </c>
      <c r="D7085" s="49">
        <v>0.0</v>
      </c>
    </row>
    <row r="7086" ht="15.0" hidden="1" customHeight="1">
      <c r="A7086" s="49" t="s">
        <v>669</v>
      </c>
      <c r="B7086" s="50">
        <v>45199.0</v>
      </c>
      <c r="C7086" s="49" t="s">
        <v>777</v>
      </c>
      <c r="D7086" s="49">
        <v>0.0</v>
      </c>
    </row>
    <row r="7087" ht="15.0" hidden="1" customHeight="1">
      <c r="A7087" s="49" t="s">
        <v>674</v>
      </c>
      <c r="B7087" s="50">
        <v>45199.0</v>
      </c>
      <c r="C7087" s="49" t="s">
        <v>777</v>
      </c>
      <c r="D7087" s="49">
        <v>0.0</v>
      </c>
    </row>
    <row r="7088" ht="15.0" hidden="1" customHeight="1">
      <c r="A7088" s="49" t="s">
        <v>679</v>
      </c>
      <c r="B7088" s="50">
        <v>45199.0</v>
      </c>
      <c r="C7088" s="49" t="s">
        <v>777</v>
      </c>
      <c r="D7088" s="49">
        <v>0.0</v>
      </c>
    </row>
    <row r="7089" ht="15.0" hidden="1" customHeight="1">
      <c r="A7089" s="49" t="s">
        <v>684</v>
      </c>
      <c r="B7089" s="50">
        <v>45199.0</v>
      </c>
      <c r="C7089" s="49" t="s">
        <v>777</v>
      </c>
      <c r="D7089" s="49">
        <v>0.0</v>
      </c>
    </row>
    <row r="7090" ht="15.0" hidden="1" customHeight="1">
      <c r="A7090" s="49" t="s">
        <v>689</v>
      </c>
      <c r="B7090" s="50">
        <v>45199.0</v>
      </c>
      <c r="C7090" s="49" t="s">
        <v>777</v>
      </c>
      <c r="D7090" s="49">
        <v>0.0</v>
      </c>
    </row>
    <row r="7091" ht="15.0" hidden="1" customHeight="1">
      <c r="A7091" s="49" t="s">
        <v>694</v>
      </c>
      <c r="B7091" s="50">
        <v>45199.0</v>
      </c>
      <c r="C7091" s="49" t="s">
        <v>777</v>
      </c>
      <c r="D7091" s="49">
        <v>0.0</v>
      </c>
    </row>
    <row r="7092" ht="15.0" hidden="1" customHeight="1">
      <c r="A7092" s="49" t="s">
        <v>699</v>
      </c>
      <c r="B7092" s="50">
        <v>45199.0</v>
      </c>
      <c r="C7092" s="49" t="s">
        <v>777</v>
      </c>
      <c r="D7092" s="49">
        <v>0.0</v>
      </c>
    </row>
    <row r="7093" ht="15.0" hidden="1" customHeight="1">
      <c r="A7093" s="49" t="s">
        <v>705</v>
      </c>
      <c r="B7093" s="50">
        <v>45199.0</v>
      </c>
      <c r="C7093" s="49" t="s">
        <v>777</v>
      </c>
      <c r="D7093" s="49">
        <v>0.0</v>
      </c>
    </row>
    <row r="7094" ht="15.0" hidden="1" customHeight="1">
      <c r="A7094" s="49" t="s">
        <v>710</v>
      </c>
      <c r="B7094" s="50">
        <v>45199.0</v>
      </c>
      <c r="C7094" s="49" t="s">
        <v>777</v>
      </c>
      <c r="D7094" s="49">
        <v>0.0</v>
      </c>
    </row>
    <row r="7095" ht="15.0" hidden="1" customHeight="1">
      <c r="A7095" s="49" t="s">
        <v>715</v>
      </c>
      <c r="B7095" s="50">
        <v>45199.0</v>
      </c>
      <c r="C7095" s="49" t="s">
        <v>777</v>
      </c>
      <c r="D7095" s="49">
        <v>0.0</v>
      </c>
    </row>
    <row r="7096" ht="15.0" hidden="1" customHeight="1">
      <c r="A7096" s="49" t="s">
        <v>765</v>
      </c>
      <c r="B7096" s="50">
        <v>45199.0</v>
      </c>
      <c r="C7096" s="49" t="s">
        <v>777</v>
      </c>
      <c r="D7096" s="49">
        <v>0.0</v>
      </c>
    </row>
    <row r="7097" ht="15.0" hidden="1" customHeight="1">
      <c r="A7097" s="49" t="s">
        <v>720</v>
      </c>
      <c r="B7097" s="50">
        <v>45199.0</v>
      </c>
      <c r="C7097" s="49" t="s">
        <v>777</v>
      </c>
      <c r="D7097" s="49">
        <v>0.0</v>
      </c>
    </row>
    <row r="7098" ht="15.0" hidden="1" customHeight="1">
      <c r="A7098" s="49" t="s">
        <v>725</v>
      </c>
      <c r="B7098" s="50">
        <v>45199.0</v>
      </c>
      <c r="C7098" s="49" t="s">
        <v>777</v>
      </c>
      <c r="D7098" s="49">
        <v>0.0</v>
      </c>
    </row>
    <row r="7099" ht="15.0" hidden="1" customHeight="1">
      <c r="A7099" s="49" t="s">
        <v>730</v>
      </c>
      <c r="B7099" s="50">
        <v>45199.0</v>
      </c>
      <c r="C7099" s="49" t="s">
        <v>777</v>
      </c>
      <c r="D7099" s="49">
        <v>0.0</v>
      </c>
    </row>
    <row r="7100" ht="15.0" hidden="1" customHeight="1">
      <c r="A7100" s="49" t="s">
        <v>734</v>
      </c>
      <c r="B7100" s="50">
        <v>45199.0</v>
      </c>
      <c r="C7100" s="49" t="s">
        <v>777</v>
      </c>
      <c r="D7100" s="49">
        <v>0.0</v>
      </c>
    </row>
    <row r="7101" ht="15.0" hidden="1" customHeight="1">
      <c r="A7101" s="49" t="s">
        <v>739</v>
      </c>
      <c r="B7101" s="50">
        <v>45199.0</v>
      </c>
      <c r="C7101" s="49" t="s">
        <v>777</v>
      </c>
      <c r="D7101" s="49">
        <v>0.0</v>
      </c>
    </row>
    <row r="7102" ht="15.0" hidden="1" customHeight="1">
      <c r="A7102" s="49" t="s">
        <v>744</v>
      </c>
      <c r="B7102" s="50">
        <v>45199.0</v>
      </c>
      <c r="C7102" s="49" t="s">
        <v>777</v>
      </c>
      <c r="D7102" s="49">
        <v>0.0</v>
      </c>
    </row>
    <row r="7103" ht="15.0" hidden="1" customHeight="1">
      <c r="A7103" s="49" t="s">
        <v>749</v>
      </c>
      <c r="B7103" s="50">
        <v>45199.0</v>
      </c>
      <c r="C7103" s="49" t="s">
        <v>777</v>
      </c>
      <c r="D7103" s="49">
        <v>0.0</v>
      </c>
    </row>
    <row r="7104" ht="15.0" customHeight="1">
      <c r="A7104" s="49" t="s">
        <v>776</v>
      </c>
      <c r="B7104" s="50">
        <v>45199.0</v>
      </c>
      <c r="C7104" s="49" t="s">
        <v>78</v>
      </c>
      <c r="D7104" s="49">
        <v>0.0</v>
      </c>
    </row>
    <row r="7105" ht="15.0" hidden="1" customHeight="1">
      <c r="A7105" s="49" t="s">
        <v>778</v>
      </c>
      <c r="B7105" s="50">
        <v>45199.0</v>
      </c>
      <c r="C7105" s="49" t="s">
        <v>78</v>
      </c>
      <c r="D7105" s="49">
        <v>0.0</v>
      </c>
    </row>
    <row r="7106" ht="15.0" hidden="1" customHeight="1">
      <c r="A7106" s="49" t="s">
        <v>92</v>
      </c>
      <c r="B7106" s="50">
        <v>45199.0</v>
      </c>
      <c r="C7106" s="49" t="s">
        <v>78</v>
      </c>
      <c r="D7106" s="49">
        <v>0.0</v>
      </c>
    </row>
    <row r="7107" ht="15.0" hidden="1" customHeight="1">
      <c r="A7107" s="49" t="s">
        <v>97</v>
      </c>
      <c r="B7107" s="50">
        <v>45199.0</v>
      </c>
      <c r="C7107" s="49" t="s">
        <v>78</v>
      </c>
      <c r="D7107" s="49">
        <v>0.0</v>
      </c>
    </row>
    <row r="7108" ht="15.0" hidden="1" customHeight="1">
      <c r="A7108" s="49" t="s">
        <v>102</v>
      </c>
      <c r="B7108" s="50">
        <v>45199.0</v>
      </c>
      <c r="C7108" s="49" t="s">
        <v>78</v>
      </c>
      <c r="D7108" s="49">
        <v>0.0</v>
      </c>
    </row>
    <row r="7109" ht="15.0" hidden="1" customHeight="1">
      <c r="A7109" s="49" t="s">
        <v>106</v>
      </c>
      <c r="B7109" s="50">
        <v>45199.0</v>
      </c>
      <c r="C7109" s="49" t="s">
        <v>78</v>
      </c>
      <c r="D7109" s="49">
        <v>0.0</v>
      </c>
    </row>
    <row r="7110" ht="15.0" hidden="1" customHeight="1">
      <c r="A7110" s="49" t="s">
        <v>111</v>
      </c>
      <c r="B7110" s="50">
        <v>45199.0</v>
      </c>
      <c r="C7110" s="49" t="s">
        <v>78</v>
      </c>
      <c r="D7110" s="49">
        <v>0.0</v>
      </c>
    </row>
    <row r="7111" ht="15.0" hidden="1" customHeight="1">
      <c r="A7111" s="49" t="s">
        <v>116</v>
      </c>
      <c r="B7111" s="50">
        <v>45199.0</v>
      </c>
      <c r="C7111" s="49" t="s">
        <v>78</v>
      </c>
      <c r="D7111" s="49">
        <v>0.0</v>
      </c>
    </row>
    <row r="7112" ht="15.0" hidden="1" customHeight="1">
      <c r="A7112" s="49" t="s">
        <v>120</v>
      </c>
      <c r="B7112" s="50">
        <v>45199.0</v>
      </c>
      <c r="C7112" s="49" t="s">
        <v>78</v>
      </c>
      <c r="D7112" s="49">
        <v>0.0</v>
      </c>
    </row>
    <row r="7113" ht="15.0" hidden="1" customHeight="1">
      <c r="A7113" s="49" t="s">
        <v>125</v>
      </c>
      <c r="B7113" s="50">
        <v>45199.0</v>
      </c>
      <c r="C7113" s="49" t="s">
        <v>78</v>
      </c>
      <c r="D7113" s="49">
        <v>0.0</v>
      </c>
    </row>
    <row r="7114" ht="15.0" hidden="1" customHeight="1">
      <c r="A7114" s="49" t="s">
        <v>130</v>
      </c>
      <c r="B7114" s="50">
        <v>45199.0</v>
      </c>
      <c r="C7114" s="49" t="s">
        <v>78</v>
      </c>
      <c r="D7114" s="49">
        <v>0.0</v>
      </c>
    </row>
    <row r="7115" ht="15.0" hidden="1" customHeight="1">
      <c r="A7115" s="49" t="s">
        <v>137</v>
      </c>
      <c r="B7115" s="50">
        <v>45199.0</v>
      </c>
      <c r="C7115" s="49" t="s">
        <v>78</v>
      </c>
      <c r="D7115" s="49">
        <v>0.0</v>
      </c>
    </row>
    <row r="7116" ht="15.0" hidden="1" customHeight="1">
      <c r="A7116" s="49" t="s">
        <v>142</v>
      </c>
      <c r="B7116" s="50">
        <v>45199.0</v>
      </c>
      <c r="C7116" s="49" t="s">
        <v>78</v>
      </c>
      <c r="D7116" s="49">
        <v>0.0</v>
      </c>
    </row>
    <row r="7117" ht="15.0" hidden="1" customHeight="1">
      <c r="A7117" s="49" t="s">
        <v>147</v>
      </c>
      <c r="B7117" s="50">
        <v>45199.0</v>
      </c>
      <c r="C7117" s="49" t="s">
        <v>78</v>
      </c>
      <c r="D7117" s="49">
        <v>0.0</v>
      </c>
    </row>
    <row r="7118" ht="15.0" hidden="1" customHeight="1">
      <c r="A7118" s="49" t="s">
        <v>152</v>
      </c>
      <c r="B7118" s="50">
        <v>45199.0</v>
      </c>
      <c r="C7118" s="49" t="s">
        <v>78</v>
      </c>
      <c r="D7118" s="49">
        <v>0.0</v>
      </c>
    </row>
    <row r="7119" ht="15.0" hidden="1" customHeight="1">
      <c r="A7119" s="49" t="s">
        <v>157</v>
      </c>
      <c r="B7119" s="50">
        <v>45199.0</v>
      </c>
      <c r="C7119" s="49" t="s">
        <v>78</v>
      </c>
      <c r="D7119" s="49">
        <v>0.0</v>
      </c>
    </row>
    <row r="7120" ht="15.0" hidden="1" customHeight="1">
      <c r="A7120" s="49" t="s">
        <v>162</v>
      </c>
      <c r="B7120" s="50">
        <v>45199.0</v>
      </c>
      <c r="C7120" s="49" t="s">
        <v>78</v>
      </c>
      <c r="D7120" s="49">
        <v>0.0</v>
      </c>
    </row>
    <row r="7121" ht="15.0" hidden="1" customHeight="1">
      <c r="A7121" s="49" t="s">
        <v>167</v>
      </c>
      <c r="B7121" s="50">
        <v>45199.0</v>
      </c>
      <c r="C7121" s="49" t="s">
        <v>78</v>
      </c>
      <c r="D7121" s="49">
        <v>0.0</v>
      </c>
    </row>
    <row r="7122" ht="15.0" hidden="1" customHeight="1">
      <c r="A7122" s="49" t="s">
        <v>172</v>
      </c>
      <c r="B7122" s="50">
        <v>45199.0</v>
      </c>
      <c r="C7122" s="49" t="s">
        <v>78</v>
      </c>
      <c r="D7122" s="49">
        <v>0.0</v>
      </c>
    </row>
    <row r="7123" ht="15.0" hidden="1" customHeight="1">
      <c r="A7123" s="49" t="s">
        <v>177</v>
      </c>
      <c r="B7123" s="50">
        <v>45199.0</v>
      </c>
      <c r="C7123" s="49" t="s">
        <v>78</v>
      </c>
      <c r="D7123" s="49">
        <v>0.0</v>
      </c>
    </row>
    <row r="7124" ht="15.0" hidden="1" customHeight="1">
      <c r="A7124" s="49" t="s">
        <v>182</v>
      </c>
      <c r="B7124" s="50">
        <v>45199.0</v>
      </c>
      <c r="C7124" s="49" t="s">
        <v>78</v>
      </c>
      <c r="D7124" s="49">
        <v>0.0</v>
      </c>
    </row>
    <row r="7125" ht="15.0" hidden="1" customHeight="1">
      <c r="A7125" s="49" t="s">
        <v>187</v>
      </c>
      <c r="B7125" s="50">
        <v>45199.0</v>
      </c>
      <c r="C7125" s="49" t="s">
        <v>78</v>
      </c>
      <c r="D7125" s="49">
        <v>0.0</v>
      </c>
    </row>
    <row r="7126" ht="15.0" hidden="1" customHeight="1">
      <c r="A7126" s="49" t="s">
        <v>192</v>
      </c>
      <c r="B7126" s="50">
        <v>45199.0</v>
      </c>
      <c r="C7126" s="49" t="s">
        <v>78</v>
      </c>
      <c r="D7126" s="49">
        <v>0.0</v>
      </c>
    </row>
    <row r="7127" ht="15.0" hidden="1" customHeight="1">
      <c r="A7127" s="49" t="s">
        <v>197</v>
      </c>
      <c r="B7127" s="50">
        <v>45199.0</v>
      </c>
      <c r="C7127" s="49" t="s">
        <v>78</v>
      </c>
      <c r="D7127" s="49">
        <v>0.0</v>
      </c>
    </row>
    <row r="7128" ht="15.0" hidden="1" customHeight="1">
      <c r="A7128" s="49" t="s">
        <v>202</v>
      </c>
      <c r="B7128" s="50">
        <v>45199.0</v>
      </c>
      <c r="C7128" s="49" t="s">
        <v>78</v>
      </c>
      <c r="D7128" s="49">
        <v>0.0</v>
      </c>
    </row>
    <row r="7129" ht="15.0" hidden="1" customHeight="1">
      <c r="A7129" s="49" t="s">
        <v>206</v>
      </c>
      <c r="B7129" s="50">
        <v>45199.0</v>
      </c>
      <c r="C7129" s="49" t="s">
        <v>78</v>
      </c>
      <c r="D7129" s="49">
        <v>0.0</v>
      </c>
    </row>
    <row r="7130" ht="15.0" hidden="1" customHeight="1">
      <c r="A7130" s="49" t="s">
        <v>211</v>
      </c>
      <c r="B7130" s="50">
        <v>45199.0</v>
      </c>
      <c r="C7130" s="49" t="s">
        <v>78</v>
      </c>
      <c r="D7130" s="49">
        <v>0.0</v>
      </c>
    </row>
    <row r="7131" ht="15.0" hidden="1" customHeight="1">
      <c r="A7131" s="49" t="s">
        <v>779</v>
      </c>
      <c r="B7131" s="50">
        <v>45199.0</v>
      </c>
      <c r="C7131" s="49" t="s">
        <v>78</v>
      </c>
      <c r="D7131" s="49">
        <v>0.0</v>
      </c>
    </row>
    <row r="7132" ht="15.0" hidden="1" customHeight="1">
      <c r="A7132" s="49" t="s">
        <v>221</v>
      </c>
      <c r="B7132" s="50">
        <v>45199.0</v>
      </c>
      <c r="C7132" s="49" t="s">
        <v>78</v>
      </c>
      <c r="D7132" s="49">
        <v>0.0</v>
      </c>
    </row>
    <row r="7133" ht="15.0" hidden="1" customHeight="1">
      <c r="A7133" s="49" t="s">
        <v>226</v>
      </c>
      <c r="B7133" s="50">
        <v>45199.0</v>
      </c>
      <c r="C7133" s="49" t="s">
        <v>78</v>
      </c>
      <c r="D7133" s="49">
        <v>0.0</v>
      </c>
    </row>
    <row r="7134" ht="15.0" hidden="1" customHeight="1">
      <c r="A7134" s="49" t="s">
        <v>231</v>
      </c>
      <c r="B7134" s="50">
        <v>45199.0</v>
      </c>
      <c r="C7134" s="49" t="s">
        <v>78</v>
      </c>
      <c r="D7134" s="49">
        <v>0.0</v>
      </c>
    </row>
    <row r="7135" ht="15.0" hidden="1" customHeight="1">
      <c r="A7135" s="49" t="s">
        <v>236</v>
      </c>
      <c r="B7135" s="50">
        <v>45199.0</v>
      </c>
      <c r="C7135" s="49" t="s">
        <v>78</v>
      </c>
      <c r="D7135" s="49">
        <v>0.0</v>
      </c>
    </row>
    <row r="7136" ht="15.0" hidden="1" customHeight="1">
      <c r="A7136" s="49" t="s">
        <v>242</v>
      </c>
      <c r="B7136" s="50">
        <v>45199.0</v>
      </c>
      <c r="C7136" s="49" t="s">
        <v>78</v>
      </c>
      <c r="D7136" s="49">
        <v>0.0</v>
      </c>
    </row>
    <row r="7137" ht="15.0" hidden="1" customHeight="1">
      <c r="A7137" s="49" t="s">
        <v>248</v>
      </c>
      <c r="B7137" s="50">
        <v>45199.0</v>
      </c>
      <c r="C7137" s="49" t="s">
        <v>78</v>
      </c>
      <c r="D7137" s="49">
        <v>0.0</v>
      </c>
    </row>
    <row r="7138" ht="15.0" hidden="1" customHeight="1">
      <c r="A7138" s="49" t="s">
        <v>253</v>
      </c>
      <c r="B7138" s="50">
        <v>45199.0</v>
      </c>
      <c r="C7138" s="49" t="s">
        <v>78</v>
      </c>
      <c r="D7138" s="49">
        <v>0.0</v>
      </c>
    </row>
    <row r="7139" ht="15.0" hidden="1" customHeight="1">
      <c r="A7139" s="49" t="s">
        <v>258</v>
      </c>
      <c r="B7139" s="50">
        <v>45199.0</v>
      </c>
      <c r="C7139" s="49" t="s">
        <v>78</v>
      </c>
      <c r="D7139" s="49">
        <v>0.0</v>
      </c>
    </row>
    <row r="7140" ht="15.0" hidden="1" customHeight="1">
      <c r="A7140" s="49" t="s">
        <v>263</v>
      </c>
      <c r="B7140" s="50">
        <v>45199.0</v>
      </c>
      <c r="C7140" s="49" t="s">
        <v>78</v>
      </c>
      <c r="D7140" s="49">
        <v>0.0</v>
      </c>
    </row>
    <row r="7141" ht="15.0" hidden="1" customHeight="1">
      <c r="A7141" s="49" t="s">
        <v>268</v>
      </c>
      <c r="B7141" s="50">
        <v>45199.0</v>
      </c>
      <c r="C7141" s="49" t="s">
        <v>78</v>
      </c>
      <c r="D7141" s="49">
        <v>0.0</v>
      </c>
    </row>
    <row r="7142" ht="15.0" hidden="1" customHeight="1">
      <c r="A7142" s="49" t="s">
        <v>273</v>
      </c>
      <c r="B7142" s="50">
        <v>45199.0</v>
      </c>
      <c r="C7142" s="49" t="s">
        <v>78</v>
      </c>
      <c r="D7142" s="49">
        <v>0.0</v>
      </c>
    </row>
    <row r="7143" ht="15.0" hidden="1" customHeight="1">
      <c r="A7143" s="49" t="s">
        <v>278</v>
      </c>
      <c r="B7143" s="50">
        <v>45199.0</v>
      </c>
      <c r="C7143" s="49" t="s">
        <v>78</v>
      </c>
      <c r="D7143" s="49">
        <v>0.0</v>
      </c>
    </row>
    <row r="7144" ht="15.0" hidden="1" customHeight="1">
      <c r="A7144" s="49" t="s">
        <v>283</v>
      </c>
      <c r="B7144" s="50">
        <v>45199.0</v>
      </c>
      <c r="C7144" s="49" t="s">
        <v>78</v>
      </c>
      <c r="D7144" s="49">
        <v>0.0</v>
      </c>
    </row>
    <row r="7145" ht="15.0" hidden="1" customHeight="1">
      <c r="A7145" s="49" t="s">
        <v>288</v>
      </c>
      <c r="B7145" s="50">
        <v>45199.0</v>
      </c>
      <c r="C7145" s="49" t="s">
        <v>78</v>
      </c>
      <c r="D7145" s="49">
        <v>0.0</v>
      </c>
    </row>
    <row r="7146" ht="15.0" hidden="1" customHeight="1">
      <c r="A7146" s="49" t="s">
        <v>293</v>
      </c>
      <c r="B7146" s="50">
        <v>45199.0</v>
      </c>
      <c r="C7146" s="49" t="s">
        <v>78</v>
      </c>
      <c r="D7146" s="49">
        <v>0.0</v>
      </c>
    </row>
    <row r="7147" ht="15.0" hidden="1" customHeight="1">
      <c r="A7147" s="49" t="s">
        <v>298</v>
      </c>
      <c r="B7147" s="50">
        <v>45199.0</v>
      </c>
      <c r="C7147" s="49" t="s">
        <v>78</v>
      </c>
      <c r="D7147" s="49">
        <v>0.0</v>
      </c>
    </row>
    <row r="7148" ht="15.0" hidden="1" customHeight="1">
      <c r="A7148" s="49" t="s">
        <v>303</v>
      </c>
      <c r="B7148" s="50">
        <v>45199.0</v>
      </c>
      <c r="C7148" s="49" t="s">
        <v>78</v>
      </c>
      <c r="D7148" s="49">
        <v>0.0</v>
      </c>
    </row>
    <row r="7149" ht="15.0" hidden="1" customHeight="1">
      <c r="A7149" s="49" t="s">
        <v>307</v>
      </c>
      <c r="B7149" s="50">
        <v>45199.0</v>
      </c>
      <c r="C7149" s="49" t="s">
        <v>78</v>
      </c>
      <c r="D7149" s="49">
        <v>0.0</v>
      </c>
    </row>
    <row r="7150" ht="15.0" hidden="1" customHeight="1">
      <c r="A7150" s="49" t="s">
        <v>313</v>
      </c>
      <c r="B7150" s="50">
        <v>45199.0</v>
      </c>
      <c r="C7150" s="49" t="s">
        <v>78</v>
      </c>
      <c r="D7150" s="49">
        <v>0.0</v>
      </c>
    </row>
    <row r="7151" ht="15.0" hidden="1" customHeight="1">
      <c r="A7151" s="49" t="s">
        <v>318</v>
      </c>
      <c r="B7151" s="50">
        <v>45199.0</v>
      </c>
      <c r="C7151" s="49" t="s">
        <v>78</v>
      </c>
      <c r="D7151" s="49">
        <v>0.0</v>
      </c>
    </row>
    <row r="7152" ht="15.0" hidden="1" customHeight="1">
      <c r="A7152" s="49" t="s">
        <v>323</v>
      </c>
      <c r="B7152" s="50">
        <v>45199.0</v>
      </c>
      <c r="C7152" s="49" t="s">
        <v>78</v>
      </c>
      <c r="D7152" s="49">
        <v>0.0</v>
      </c>
    </row>
    <row r="7153" ht="15.0" hidden="1" customHeight="1">
      <c r="A7153" s="49" t="s">
        <v>328</v>
      </c>
      <c r="B7153" s="50">
        <v>45199.0</v>
      </c>
      <c r="C7153" s="49" t="s">
        <v>78</v>
      </c>
      <c r="D7153" s="49">
        <v>0.0</v>
      </c>
    </row>
    <row r="7154" ht="15.0" hidden="1" customHeight="1">
      <c r="A7154" s="49" t="s">
        <v>335</v>
      </c>
      <c r="B7154" s="50">
        <v>45199.0</v>
      </c>
      <c r="C7154" s="49" t="s">
        <v>78</v>
      </c>
      <c r="D7154" s="49">
        <v>0.0</v>
      </c>
    </row>
    <row r="7155" ht="15.0" hidden="1" customHeight="1">
      <c r="A7155" s="49" t="s">
        <v>340</v>
      </c>
      <c r="B7155" s="50">
        <v>45199.0</v>
      </c>
      <c r="C7155" s="49" t="s">
        <v>78</v>
      </c>
      <c r="D7155" s="49">
        <v>0.0</v>
      </c>
    </row>
    <row r="7156" ht="15.0" hidden="1" customHeight="1">
      <c r="A7156" s="49" t="s">
        <v>345</v>
      </c>
      <c r="B7156" s="50">
        <v>45199.0</v>
      </c>
      <c r="C7156" s="49" t="s">
        <v>78</v>
      </c>
      <c r="D7156" s="49">
        <v>0.0</v>
      </c>
    </row>
    <row r="7157" ht="15.0" hidden="1" customHeight="1">
      <c r="A7157" s="49" t="s">
        <v>350</v>
      </c>
      <c r="B7157" s="50">
        <v>45199.0</v>
      </c>
      <c r="C7157" s="49" t="s">
        <v>78</v>
      </c>
      <c r="D7157" s="49">
        <v>0.0</v>
      </c>
    </row>
    <row r="7158" ht="15.0" hidden="1" customHeight="1">
      <c r="A7158" s="49" t="s">
        <v>355</v>
      </c>
      <c r="B7158" s="50">
        <v>45199.0</v>
      </c>
      <c r="C7158" s="49" t="s">
        <v>78</v>
      </c>
      <c r="D7158" s="49">
        <v>0.0</v>
      </c>
    </row>
    <row r="7159" ht="15.0" hidden="1" customHeight="1">
      <c r="A7159" s="49" t="s">
        <v>360</v>
      </c>
      <c r="B7159" s="50">
        <v>45199.0</v>
      </c>
      <c r="C7159" s="49" t="s">
        <v>78</v>
      </c>
      <c r="D7159" s="49">
        <v>0.0</v>
      </c>
    </row>
    <row r="7160" ht="15.0" hidden="1" customHeight="1">
      <c r="A7160" s="49" t="s">
        <v>365</v>
      </c>
      <c r="B7160" s="50">
        <v>45199.0</v>
      </c>
      <c r="C7160" s="49" t="s">
        <v>78</v>
      </c>
      <c r="D7160" s="49">
        <v>0.0</v>
      </c>
    </row>
    <row r="7161" ht="15.0" hidden="1" customHeight="1">
      <c r="A7161" s="49" t="s">
        <v>370</v>
      </c>
      <c r="B7161" s="50">
        <v>45199.0</v>
      </c>
      <c r="C7161" s="49" t="s">
        <v>78</v>
      </c>
      <c r="D7161" s="49">
        <v>0.0</v>
      </c>
    </row>
    <row r="7162" ht="15.0" hidden="1" customHeight="1">
      <c r="A7162" s="49" t="s">
        <v>375</v>
      </c>
      <c r="B7162" s="50">
        <v>45199.0</v>
      </c>
      <c r="C7162" s="49" t="s">
        <v>78</v>
      </c>
      <c r="D7162" s="49">
        <v>0.0</v>
      </c>
    </row>
    <row r="7163" ht="15.0" hidden="1" customHeight="1">
      <c r="A7163" s="49" t="s">
        <v>380</v>
      </c>
      <c r="B7163" s="50">
        <v>45199.0</v>
      </c>
      <c r="C7163" s="49" t="s">
        <v>78</v>
      </c>
      <c r="D7163" s="49">
        <v>0.0</v>
      </c>
    </row>
    <row r="7164" ht="15.0" hidden="1" customHeight="1">
      <c r="A7164" s="49" t="s">
        <v>385</v>
      </c>
      <c r="B7164" s="50">
        <v>45199.0</v>
      </c>
      <c r="C7164" s="49" t="s">
        <v>78</v>
      </c>
      <c r="D7164" s="49">
        <v>0.0</v>
      </c>
    </row>
    <row r="7165" ht="15.0" hidden="1" customHeight="1">
      <c r="A7165" s="49" t="s">
        <v>390</v>
      </c>
      <c r="B7165" s="50">
        <v>45199.0</v>
      </c>
      <c r="C7165" s="49" t="s">
        <v>78</v>
      </c>
      <c r="D7165" s="49">
        <v>0.0</v>
      </c>
    </row>
    <row r="7166" ht="15.0" hidden="1" customHeight="1">
      <c r="A7166" s="49" t="s">
        <v>395</v>
      </c>
      <c r="B7166" s="50">
        <v>45199.0</v>
      </c>
      <c r="C7166" s="49" t="s">
        <v>78</v>
      </c>
      <c r="D7166" s="49">
        <v>0.0</v>
      </c>
    </row>
    <row r="7167" ht="15.0" hidden="1" customHeight="1">
      <c r="A7167" s="49" t="s">
        <v>400</v>
      </c>
      <c r="B7167" s="50">
        <v>45199.0</v>
      </c>
      <c r="C7167" s="49" t="s">
        <v>78</v>
      </c>
      <c r="D7167" s="49">
        <v>5520000.0</v>
      </c>
    </row>
    <row r="7168" ht="15.0" hidden="1" customHeight="1">
      <c r="A7168" s="49" t="s">
        <v>405</v>
      </c>
      <c r="B7168" s="50">
        <v>45199.0</v>
      </c>
      <c r="C7168" s="49" t="s">
        <v>78</v>
      </c>
      <c r="D7168" s="49">
        <v>0.0</v>
      </c>
    </row>
    <row r="7169" ht="15.0" hidden="1" customHeight="1">
      <c r="A7169" s="49" t="s">
        <v>410</v>
      </c>
      <c r="B7169" s="50">
        <v>45199.0</v>
      </c>
      <c r="C7169" s="49" t="s">
        <v>78</v>
      </c>
      <c r="D7169" s="49">
        <v>790239.0</v>
      </c>
    </row>
    <row r="7170" ht="15.0" hidden="1" customHeight="1">
      <c r="A7170" s="49" t="s">
        <v>415</v>
      </c>
      <c r="B7170" s="50">
        <v>45199.0</v>
      </c>
      <c r="C7170" s="49" t="s">
        <v>78</v>
      </c>
      <c r="D7170" s="49">
        <v>0.0</v>
      </c>
    </row>
    <row r="7171" ht="15.0" hidden="1" customHeight="1">
      <c r="A7171" s="49" t="s">
        <v>420</v>
      </c>
      <c r="B7171" s="50">
        <v>45199.0</v>
      </c>
      <c r="C7171" s="49" t="s">
        <v>78</v>
      </c>
      <c r="D7171" s="49">
        <v>1710000.0</v>
      </c>
    </row>
    <row r="7172" ht="15.0" hidden="1" customHeight="1">
      <c r="A7172" s="49" t="s">
        <v>425</v>
      </c>
      <c r="B7172" s="50">
        <v>45199.0</v>
      </c>
      <c r="C7172" s="49" t="s">
        <v>78</v>
      </c>
      <c r="D7172" s="49">
        <v>500000.0</v>
      </c>
    </row>
    <row r="7173" ht="15.0" hidden="1" customHeight="1">
      <c r="A7173" s="49" t="s">
        <v>430</v>
      </c>
      <c r="B7173" s="50">
        <v>45199.0</v>
      </c>
      <c r="C7173" s="49" t="s">
        <v>78</v>
      </c>
      <c r="D7173" s="49">
        <v>4100000.0</v>
      </c>
    </row>
    <row r="7174" ht="15.0" hidden="1" customHeight="1">
      <c r="A7174" s="49" t="s">
        <v>434</v>
      </c>
      <c r="B7174" s="50">
        <v>45199.0</v>
      </c>
      <c r="C7174" s="49" t="s">
        <v>78</v>
      </c>
      <c r="D7174" s="49">
        <v>3000000.0</v>
      </c>
    </row>
    <row r="7175" ht="15.0" hidden="1" customHeight="1">
      <c r="A7175" s="49" t="s">
        <v>439</v>
      </c>
      <c r="B7175" s="50">
        <v>45199.0</v>
      </c>
      <c r="C7175" s="49" t="s">
        <v>78</v>
      </c>
      <c r="D7175" s="49">
        <v>3134250.0</v>
      </c>
    </row>
    <row r="7176" ht="15.0" hidden="1" customHeight="1">
      <c r="A7176" s="49" t="s">
        <v>444</v>
      </c>
      <c r="B7176" s="50">
        <v>45199.0</v>
      </c>
      <c r="C7176" s="49" t="s">
        <v>78</v>
      </c>
      <c r="D7176" s="49">
        <v>385000.0</v>
      </c>
    </row>
    <row r="7177" ht="15.0" hidden="1" customHeight="1">
      <c r="A7177" s="49" t="s">
        <v>449</v>
      </c>
      <c r="B7177" s="50">
        <v>45199.0</v>
      </c>
      <c r="C7177" s="49" t="s">
        <v>78</v>
      </c>
      <c r="D7177" s="49">
        <v>0.0</v>
      </c>
    </row>
    <row r="7178" ht="15.0" hidden="1" customHeight="1">
      <c r="A7178" s="49" t="s">
        <v>455</v>
      </c>
      <c r="B7178" s="50">
        <v>45199.0</v>
      </c>
      <c r="C7178" s="49" t="s">
        <v>78</v>
      </c>
      <c r="D7178" s="49">
        <v>0.0</v>
      </c>
    </row>
    <row r="7179" ht="15.0" hidden="1" customHeight="1">
      <c r="A7179" s="49" t="s">
        <v>470</v>
      </c>
      <c r="B7179" s="50">
        <v>45199.0</v>
      </c>
      <c r="C7179" s="49" t="s">
        <v>78</v>
      </c>
      <c r="D7179" s="49">
        <v>0.0</v>
      </c>
    </row>
    <row r="7180" ht="15.0" hidden="1" customHeight="1">
      <c r="A7180" s="49" t="s">
        <v>476</v>
      </c>
      <c r="B7180" s="50">
        <v>45199.0</v>
      </c>
      <c r="C7180" s="49" t="s">
        <v>78</v>
      </c>
      <c r="D7180" s="49">
        <v>0.0</v>
      </c>
    </row>
    <row r="7181" ht="15.0" hidden="1" customHeight="1">
      <c r="A7181" s="49" t="s">
        <v>481</v>
      </c>
      <c r="B7181" s="50">
        <v>45199.0</v>
      </c>
      <c r="C7181" s="49" t="s">
        <v>78</v>
      </c>
      <c r="D7181" s="49">
        <v>0.0</v>
      </c>
    </row>
    <row r="7182" ht="15.0" hidden="1" customHeight="1">
      <c r="A7182" s="49" t="s">
        <v>486</v>
      </c>
      <c r="B7182" s="50">
        <v>45199.0</v>
      </c>
      <c r="C7182" s="49" t="s">
        <v>78</v>
      </c>
      <c r="D7182" s="49">
        <v>0.0</v>
      </c>
    </row>
    <row r="7183" ht="15.0" hidden="1" customHeight="1">
      <c r="A7183" s="49" t="s">
        <v>491</v>
      </c>
      <c r="B7183" s="50">
        <v>45199.0</v>
      </c>
      <c r="C7183" s="49" t="s">
        <v>78</v>
      </c>
      <c r="D7183" s="49">
        <v>0.0</v>
      </c>
    </row>
    <row r="7184" ht="15.0" hidden="1" customHeight="1">
      <c r="A7184" s="49" t="s">
        <v>496</v>
      </c>
      <c r="B7184" s="50">
        <v>45199.0</v>
      </c>
      <c r="C7184" s="49" t="s">
        <v>78</v>
      </c>
      <c r="D7184" s="49">
        <v>0.0</v>
      </c>
    </row>
    <row r="7185" ht="15.0" hidden="1" customHeight="1">
      <c r="A7185" s="49" t="s">
        <v>501</v>
      </c>
      <c r="B7185" s="50">
        <v>45199.0</v>
      </c>
      <c r="C7185" s="49" t="s">
        <v>78</v>
      </c>
      <c r="D7185" s="49">
        <v>0.0</v>
      </c>
    </row>
    <row r="7186" ht="15.0" hidden="1" customHeight="1">
      <c r="A7186" s="49" t="s">
        <v>506</v>
      </c>
      <c r="B7186" s="50">
        <v>45199.0</v>
      </c>
      <c r="C7186" s="49" t="s">
        <v>78</v>
      </c>
      <c r="D7186" s="49">
        <v>0.0</v>
      </c>
    </row>
    <row r="7187" ht="15.0" hidden="1" customHeight="1">
      <c r="A7187" s="49" t="s">
        <v>512</v>
      </c>
      <c r="B7187" s="50">
        <v>45199.0</v>
      </c>
      <c r="C7187" s="49" t="s">
        <v>78</v>
      </c>
      <c r="D7187" s="49">
        <v>0.0</v>
      </c>
    </row>
    <row r="7188" ht="15.0" hidden="1" customHeight="1">
      <c r="A7188" s="49" t="s">
        <v>517</v>
      </c>
      <c r="B7188" s="50">
        <v>45199.0</v>
      </c>
      <c r="C7188" s="49" t="s">
        <v>78</v>
      </c>
      <c r="D7188" s="49">
        <v>0.0</v>
      </c>
    </row>
    <row r="7189" ht="15.0" hidden="1" customHeight="1">
      <c r="A7189" s="49" t="s">
        <v>522</v>
      </c>
      <c r="B7189" s="50">
        <v>45199.0</v>
      </c>
      <c r="C7189" s="49" t="s">
        <v>78</v>
      </c>
      <c r="D7189" s="49">
        <v>0.0</v>
      </c>
    </row>
    <row r="7190" ht="15.0" hidden="1" customHeight="1">
      <c r="A7190" s="49" t="s">
        <v>528</v>
      </c>
      <c r="B7190" s="50">
        <v>45199.0</v>
      </c>
      <c r="C7190" s="49" t="s">
        <v>78</v>
      </c>
      <c r="D7190" s="49">
        <v>0.0</v>
      </c>
    </row>
    <row r="7191" ht="15.0" hidden="1" customHeight="1">
      <c r="A7191" s="49" t="s">
        <v>533</v>
      </c>
      <c r="B7191" s="50">
        <v>45199.0</v>
      </c>
      <c r="C7191" s="49" t="s">
        <v>78</v>
      </c>
      <c r="D7191" s="49">
        <v>0.0</v>
      </c>
    </row>
    <row r="7192" ht="15.0" hidden="1" customHeight="1">
      <c r="A7192" s="49" t="s">
        <v>538</v>
      </c>
      <c r="B7192" s="50">
        <v>45199.0</v>
      </c>
      <c r="C7192" s="49" t="s">
        <v>78</v>
      </c>
      <c r="D7192" s="49">
        <v>0.0</v>
      </c>
    </row>
    <row r="7193" ht="15.0" hidden="1" customHeight="1">
      <c r="A7193" s="49" t="s">
        <v>546</v>
      </c>
      <c r="B7193" s="50">
        <v>45199.0</v>
      </c>
      <c r="C7193" s="49" t="s">
        <v>78</v>
      </c>
      <c r="D7193" s="49">
        <v>0.0</v>
      </c>
    </row>
    <row r="7194" ht="15.0" hidden="1" customHeight="1">
      <c r="A7194" s="49" t="s">
        <v>551</v>
      </c>
      <c r="B7194" s="50">
        <v>45199.0</v>
      </c>
      <c r="C7194" s="49" t="s">
        <v>78</v>
      </c>
      <c r="D7194" s="49">
        <v>0.0</v>
      </c>
    </row>
    <row r="7195" ht="15.0" hidden="1" customHeight="1">
      <c r="A7195" s="49" t="s">
        <v>556</v>
      </c>
      <c r="B7195" s="50">
        <v>45199.0</v>
      </c>
      <c r="C7195" s="49" t="s">
        <v>78</v>
      </c>
      <c r="D7195" s="49">
        <v>0.0</v>
      </c>
    </row>
    <row r="7196" ht="15.0" hidden="1" customHeight="1">
      <c r="A7196" s="49" t="s">
        <v>561</v>
      </c>
      <c r="B7196" s="50">
        <v>45199.0</v>
      </c>
      <c r="C7196" s="49" t="s">
        <v>78</v>
      </c>
      <c r="D7196" s="49">
        <v>0.0</v>
      </c>
    </row>
    <row r="7197" ht="15.0" hidden="1" customHeight="1">
      <c r="A7197" s="49" t="s">
        <v>566</v>
      </c>
      <c r="B7197" s="50">
        <v>45199.0</v>
      </c>
      <c r="C7197" s="49" t="s">
        <v>78</v>
      </c>
      <c r="D7197" s="49">
        <v>0.0</v>
      </c>
    </row>
    <row r="7198" ht="15.0" hidden="1" customHeight="1">
      <c r="A7198" s="49" t="s">
        <v>571</v>
      </c>
      <c r="B7198" s="50">
        <v>45199.0</v>
      </c>
      <c r="C7198" s="49" t="s">
        <v>78</v>
      </c>
      <c r="D7198" s="49">
        <v>0.0</v>
      </c>
    </row>
    <row r="7199" ht="15.0" hidden="1" customHeight="1">
      <c r="A7199" s="49" t="s">
        <v>576</v>
      </c>
      <c r="B7199" s="50">
        <v>45199.0</v>
      </c>
      <c r="C7199" s="49" t="s">
        <v>78</v>
      </c>
      <c r="D7199" s="49">
        <v>0.0</v>
      </c>
    </row>
    <row r="7200" ht="15.0" hidden="1" customHeight="1">
      <c r="A7200" s="49" t="s">
        <v>581</v>
      </c>
      <c r="B7200" s="50">
        <v>45199.0</v>
      </c>
      <c r="C7200" s="49" t="s">
        <v>78</v>
      </c>
      <c r="D7200" s="49">
        <v>0.0</v>
      </c>
    </row>
    <row r="7201" ht="15.0" hidden="1" customHeight="1">
      <c r="A7201" s="49" t="s">
        <v>586</v>
      </c>
      <c r="B7201" s="50">
        <v>45199.0</v>
      </c>
      <c r="C7201" s="49" t="s">
        <v>78</v>
      </c>
      <c r="D7201" s="49">
        <v>0.0</v>
      </c>
    </row>
    <row r="7202" ht="15.0" hidden="1" customHeight="1">
      <c r="A7202" s="49" t="s">
        <v>754</v>
      </c>
      <c r="B7202" s="50">
        <v>45199.0</v>
      </c>
      <c r="C7202" s="49" t="s">
        <v>78</v>
      </c>
      <c r="D7202" s="49">
        <v>0.0</v>
      </c>
    </row>
    <row r="7203" ht="15.0" hidden="1" customHeight="1">
      <c r="A7203" s="49" t="s">
        <v>591</v>
      </c>
      <c r="B7203" s="50">
        <v>45199.0</v>
      </c>
      <c r="C7203" s="49" t="s">
        <v>78</v>
      </c>
      <c r="D7203" s="49">
        <v>0.0</v>
      </c>
    </row>
    <row r="7204" ht="15.0" hidden="1" customHeight="1">
      <c r="A7204" s="49" t="s">
        <v>759</v>
      </c>
      <c r="B7204" s="50">
        <v>45199.0</v>
      </c>
      <c r="C7204" s="49" t="s">
        <v>78</v>
      </c>
      <c r="D7204" s="49">
        <v>0.0</v>
      </c>
    </row>
    <row r="7205" ht="15.0" hidden="1" customHeight="1">
      <c r="A7205" s="49" t="s">
        <v>596</v>
      </c>
      <c r="B7205" s="50">
        <v>45199.0</v>
      </c>
      <c r="C7205" s="49" t="s">
        <v>78</v>
      </c>
      <c r="D7205" s="49">
        <v>0.0</v>
      </c>
    </row>
    <row r="7206" ht="15.0" hidden="1" customHeight="1">
      <c r="A7206" s="49" t="s">
        <v>602</v>
      </c>
      <c r="B7206" s="50">
        <v>45199.0</v>
      </c>
      <c r="C7206" s="49" t="s">
        <v>78</v>
      </c>
      <c r="D7206" s="49">
        <v>0.0</v>
      </c>
    </row>
    <row r="7207" ht="15.0" hidden="1" customHeight="1">
      <c r="A7207" s="49" t="s">
        <v>607</v>
      </c>
      <c r="B7207" s="50">
        <v>45199.0</v>
      </c>
      <c r="C7207" s="49" t="s">
        <v>78</v>
      </c>
      <c r="D7207" s="49">
        <v>0.0</v>
      </c>
    </row>
    <row r="7208" ht="15.0" hidden="1" customHeight="1">
      <c r="A7208" s="49" t="s">
        <v>612</v>
      </c>
      <c r="B7208" s="50">
        <v>45199.0</v>
      </c>
      <c r="C7208" s="49" t="s">
        <v>78</v>
      </c>
      <c r="D7208" s="49">
        <v>0.0</v>
      </c>
    </row>
    <row r="7209" ht="15.0" hidden="1" customHeight="1">
      <c r="A7209" s="49" t="s">
        <v>617</v>
      </c>
      <c r="B7209" s="50">
        <v>45199.0</v>
      </c>
      <c r="C7209" s="49" t="s">
        <v>78</v>
      </c>
      <c r="D7209" s="49">
        <v>0.0</v>
      </c>
    </row>
    <row r="7210" ht="15.0" hidden="1" customHeight="1">
      <c r="A7210" s="49" t="s">
        <v>622</v>
      </c>
      <c r="B7210" s="50">
        <v>45199.0</v>
      </c>
      <c r="C7210" s="49" t="s">
        <v>78</v>
      </c>
      <c r="D7210" s="49">
        <v>0.0</v>
      </c>
    </row>
    <row r="7211" ht="15.0" hidden="1" customHeight="1">
      <c r="A7211" s="49" t="s">
        <v>627</v>
      </c>
      <c r="B7211" s="50">
        <v>45199.0</v>
      </c>
      <c r="C7211" s="49" t="s">
        <v>78</v>
      </c>
      <c r="D7211" s="49">
        <v>0.0</v>
      </c>
    </row>
    <row r="7212" ht="15.0" hidden="1" customHeight="1">
      <c r="A7212" s="49" t="s">
        <v>631</v>
      </c>
      <c r="B7212" s="50">
        <v>45199.0</v>
      </c>
      <c r="C7212" s="49" t="s">
        <v>78</v>
      </c>
      <c r="D7212" s="49">
        <v>0.0</v>
      </c>
    </row>
    <row r="7213" ht="15.0" hidden="1" customHeight="1">
      <c r="A7213" s="49" t="s">
        <v>636</v>
      </c>
      <c r="B7213" s="50">
        <v>45199.0</v>
      </c>
      <c r="C7213" s="49" t="s">
        <v>78</v>
      </c>
      <c r="D7213" s="49">
        <v>0.0</v>
      </c>
    </row>
    <row r="7214" ht="15.0" hidden="1" customHeight="1">
      <c r="A7214" s="49" t="s">
        <v>640</v>
      </c>
      <c r="B7214" s="50">
        <v>45199.0</v>
      </c>
      <c r="C7214" s="49" t="s">
        <v>78</v>
      </c>
      <c r="D7214" s="49">
        <v>0.0</v>
      </c>
    </row>
    <row r="7215" ht="15.0" hidden="1" customHeight="1">
      <c r="A7215" s="49" t="s">
        <v>644</v>
      </c>
      <c r="B7215" s="50">
        <v>45199.0</v>
      </c>
      <c r="C7215" s="49" t="s">
        <v>78</v>
      </c>
      <c r="D7215" s="49">
        <v>0.0</v>
      </c>
    </row>
    <row r="7216" ht="15.0" hidden="1" customHeight="1">
      <c r="A7216" s="49" t="s">
        <v>649</v>
      </c>
      <c r="B7216" s="50">
        <v>45199.0</v>
      </c>
      <c r="C7216" s="49" t="s">
        <v>78</v>
      </c>
      <c r="D7216" s="49">
        <v>0.0</v>
      </c>
    </row>
    <row r="7217" ht="15.0" hidden="1" customHeight="1">
      <c r="A7217" s="49" t="s">
        <v>654</v>
      </c>
      <c r="B7217" s="50">
        <v>45199.0</v>
      </c>
      <c r="C7217" s="49" t="s">
        <v>78</v>
      </c>
      <c r="D7217" s="49">
        <v>0.0</v>
      </c>
    </row>
    <row r="7218" ht="15.0" hidden="1" customHeight="1">
      <c r="A7218" s="49" t="s">
        <v>659</v>
      </c>
      <c r="B7218" s="50">
        <v>45199.0</v>
      </c>
      <c r="C7218" s="49" t="s">
        <v>78</v>
      </c>
      <c r="D7218" s="49">
        <v>0.0</v>
      </c>
    </row>
    <row r="7219" ht="15.0" hidden="1" customHeight="1">
      <c r="A7219" s="49" t="s">
        <v>664</v>
      </c>
      <c r="B7219" s="50">
        <v>45199.0</v>
      </c>
      <c r="C7219" s="49" t="s">
        <v>78</v>
      </c>
      <c r="D7219" s="49">
        <v>0.0</v>
      </c>
    </row>
    <row r="7220" ht="15.0" hidden="1" customHeight="1">
      <c r="A7220" s="49" t="s">
        <v>669</v>
      </c>
      <c r="B7220" s="50">
        <v>45199.0</v>
      </c>
      <c r="C7220" s="49" t="s">
        <v>78</v>
      </c>
      <c r="D7220" s="49">
        <v>0.0</v>
      </c>
    </row>
    <row r="7221" ht="15.0" hidden="1" customHeight="1">
      <c r="A7221" s="49" t="s">
        <v>674</v>
      </c>
      <c r="B7221" s="50">
        <v>45199.0</v>
      </c>
      <c r="C7221" s="49" t="s">
        <v>78</v>
      </c>
      <c r="D7221" s="49">
        <v>0.0</v>
      </c>
    </row>
    <row r="7222" ht="15.0" hidden="1" customHeight="1">
      <c r="A7222" s="49" t="s">
        <v>679</v>
      </c>
      <c r="B7222" s="50">
        <v>45199.0</v>
      </c>
      <c r="C7222" s="49" t="s">
        <v>78</v>
      </c>
      <c r="D7222" s="49">
        <v>0.0</v>
      </c>
    </row>
    <row r="7223" ht="15.0" hidden="1" customHeight="1">
      <c r="A7223" s="49" t="s">
        <v>684</v>
      </c>
      <c r="B7223" s="50">
        <v>45199.0</v>
      </c>
      <c r="C7223" s="49" t="s">
        <v>78</v>
      </c>
      <c r="D7223" s="49">
        <v>0.0</v>
      </c>
    </row>
    <row r="7224" ht="15.0" hidden="1" customHeight="1">
      <c r="A7224" s="49" t="s">
        <v>689</v>
      </c>
      <c r="B7224" s="50">
        <v>45199.0</v>
      </c>
      <c r="C7224" s="49" t="s">
        <v>78</v>
      </c>
      <c r="D7224" s="49">
        <v>0.0</v>
      </c>
    </row>
    <row r="7225" ht="15.0" hidden="1" customHeight="1">
      <c r="A7225" s="49" t="s">
        <v>694</v>
      </c>
      <c r="B7225" s="50">
        <v>45199.0</v>
      </c>
      <c r="C7225" s="49" t="s">
        <v>78</v>
      </c>
      <c r="D7225" s="49">
        <v>0.0</v>
      </c>
    </row>
    <row r="7226" ht="15.0" hidden="1" customHeight="1">
      <c r="A7226" s="49" t="s">
        <v>699</v>
      </c>
      <c r="B7226" s="50">
        <v>45199.0</v>
      </c>
      <c r="C7226" s="49" t="s">
        <v>78</v>
      </c>
      <c r="D7226" s="49">
        <v>0.0</v>
      </c>
    </row>
    <row r="7227" ht="15.0" hidden="1" customHeight="1">
      <c r="A7227" s="49" t="s">
        <v>705</v>
      </c>
      <c r="B7227" s="50">
        <v>45199.0</v>
      </c>
      <c r="C7227" s="49" t="s">
        <v>78</v>
      </c>
      <c r="D7227" s="49">
        <v>0.0</v>
      </c>
    </row>
    <row r="7228" ht="15.0" hidden="1" customHeight="1">
      <c r="A7228" s="49" t="s">
        <v>710</v>
      </c>
      <c r="B7228" s="50">
        <v>45199.0</v>
      </c>
      <c r="C7228" s="49" t="s">
        <v>78</v>
      </c>
      <c r="D7228" s="49">
        <v>0.0</v>
      </c>
    </row>
    <row r="7229" ht="15.0" hidden="1" customHeight="1">
      <c r="A7229" s="49" t="s">
        <v>715</v>
      </c>
      <c r="B7229" s="50">
        <v>45199.0</v>
      </c>
      <c r="C7229" s="49" t="s">
        <v>78</v>
      </c>
      <c r="D7229" s="49">
        <v>0.0</v>
      </c>
    </row>
    <row r="7230" ht="15.0" hidden="1" customHeight="1">
      <c r="A7230" s="49" t="s">
        <v>765</v>
      </c>
      <c r="B7230" s="50">
        <v>45199.0</v>
      </c>
      <c r="C7230" s="49" t="s">
        <v>78</v>
      </c>
      <c r="D7230" s="49">
        <v>0.0</v>
      </c>
    </row>
    <row r="7231" ht="15.0" hidden="1" customHeight="1">
      <c r="A7231" s="49" t="s">
        <v>720</v>
      </c>
      <c r="B7231" s="50">
        <v>45199.0</v>
      </c>
      <c r="C7231" s="49" t="s">
        <v>78</v>
      </c>
      <c r="D7231" s="49">
        <v>0.0</v>
      </c>
    </row>
    <row r="7232" ht="15.0" hidden="1" customHeight="1">
      <c r="A7232" s="49" t="s">
        <v>725</v>
      </c>
      <c r="B7232" s="50">
        <v>45199.0</v>
      </c>
      <c r="C7232" s="49" t="s">
        <v>78</v>
      </c>
      <c r="D7232" s="49">
        <v>0.0</v>
      </c>
    </row>
    <row r="7233" ht="15.0" hidden="1" customHeight="1">
      <c r="A7233" s="49" t="s">
        <v>730</v>
      </c>
      <c r="B7233" s="50">
        <v>45199.0</v>
      </c>
      <c r="C7233" s="49" t="s">
        <v>78</v>
      </c>
      <c r="D7233" s="49">
        <v>0.0</v>
      </c>
    </row>
    <row r="7234" ht="15.0" hidden="1" customHeight="1">
      <c r="A7234" s="49" t="s">
        <v>734</v>
      </c>
      <c r="B7234" s="50">
        <v>45199.0</v>
      </c>
      <c r="C7234" s="49" t="s">
        <v>78</v>
      </c>
      <c r="D7234" s="49">
        <v>0.0</v>
      </c>
    </row>
    <row r="7235" ht="15.0" hidden="1" customHeight="1">
      <c r="A7235" s="49" t="s">
        <v>739</v>
      </c>
      <c r="B7235" s="50">
        <v>45199.0</v>
      </c>
      <c r="C7235" s="49" t="s">
        <v>78</v>
      </c>
      <c r="D7235" s="49">
        <v>0.0</v>
      </c>
    </row>
    <row r="7236" ht="15.0" hidden="1" customHeight="1">
      <c r="A7236" s="49" t="s">
        <v>744</v>
      </c>
      <c r="B7236" s="50">
        <v>45199.0</v>
      </c>
      <c r="C7236" s="49" t="s">
        <v>78</v>
      </c>
      <c r="D7236" s="49">
        <v>0.0</v>
      </c>
    </row>
    <row r="7237" ht="15.0" hidden="1" customHeight="1">
      <c r="A7237" s="49" t="s">
        <v>749</v>
      </c>
      <c r="B7237" s="50">
        <v>45199.0</v>
      </c>
      <c r="C7237" s="49" t="s">
        <v>78</v>
      </c>
      <c r="D7237" s="49">
        <v>0.0</v>
      </c>
    </row>
    <row r="7238" ht="15.0" customHeight="1">
      <c r="A7238" s="49" t="s">
        <v>776</v>
      </c>
      <c r="B7238" s="50">
        <v>45199.0</v>
      </c>
      <c r="C7238" s="49" t="s">
        <v>69</v>
      </c>
      <c r="D7238" s="49">
        <v>0.0</v>
      </c>
    </row>
    <row r="7239" ht="15.0" hidden="1" customHeight="1">
      <c r="A7239" s="49" t="s">
        <v>778</v>
      </c>
      <c r="B7239" s="50">
        <v>45199.0</v>
      </c>
      <c r="C7239" s="49" t="s">
        <v>69</v>
      </c>
      <c r="D7239" s="49">
        <v>0.0</v>
      </c>
    </row>
    <row r="7240" ht="15.0" hidden="1" customHeight="1">
      <c r="A7240" s="49" t="s">
        <v>92</v>
      </c>
      <c r="B7240" s="50">
        <v>45199.0</v>
      </c>
      <c r="C7240" s="49" t="s">
        <v>69</v>
      </c>
      <c r="D7240" s="49">
        <v>0.0</v>
      </c>
    </row>
    <row r="7241" ht="15.0" hidden="1" customHeight="1">
      <c r="A7241" s="49" t="s">
        <v>97</v>
      </c>
      <c r="B7241" s="50">
        <v>45199.0</v>
      </c>
      <c r="C7241" s="49" t="s">
        <v>69</v>
      </c>
      <c r="D7241" s="49">
        <v>0.0</v>
      </c>
    </row>
    <row r="7242" ht="15.0" hidden="1" customHeight="1">
      <c r="A7242" s="49" t="s">
        <v>102</v>
      </c>
      <c r="B7242" s="50">
        <v>45199.0</v>
      </c>
      <c r="C7242" s="49" t="s">
        <v>69</v>
      </c>
      <c r="D7242" s="49">
        <v>0.0</v>
      </c>
    </row>
    <row r="7243" ht="15.0" hidden="1" customHeight="1">
      <c r="A7243" s="49" t="s">
        <v>106</v>
      </c>
      <c r="B7243" s="50">
        <v>45199.0</v>
      </c>
      <c r="C7243" s="49" t="s">
        <v>69</v>
      </c>
      <c r="D7243" s="49">
        <v>0.0</v>
      </c>
    </row>
    <row r="7244" ht="15.0" hidden="1" customHeight="1">
      <c r="A7244" s="49" t="s">
        <v>111</v>
      </c>
      <c r="B7244" s="50">
        <v>45199.0</v>
      </c>
      <c r="C7244" s="49" t="s">
        <v>69</v>
      </c>
      <c r="D7244" s="49">
        <v>0.0</v>
      </c>
    </row>
    <row r="7245" ht="15.0" hidden="1" customHeight="1">
      <c r="A7245" s="49" t="s">
        <v>116</v>
      </c>
      <c r="B7245" s="50">
        <v>45199.0</v>
      </c>
      <c r="C7245" s="49" t="s">
        <v>69</v>
      </c>
      <c r="D7245" s="49">
        <v>0.0</v>
      </c>
    </row>
    <row r="7246" ht="15.0" hidden="1" customHeight="1">
      <c r="A7246" s="49" t="s">
        <v>120</v>
      </c>
      <c r="B7246" s="50">
        <v>45199.0</v>
      </c>
      <c r="C7246" s="49" t="s">
        <v>69</v>
      </c>
      <c r="D7246" s="49">
        <v>0.0</v>
      </c>
    </row>
    <row r="7247" ht="15.0" hidden="1" customHeight="1">
      <c r="A7247" s="49" t="s">
        <v>125</v>
      </c>
      <c r="B7247" s="50">
        <v>45199.0</v>
      </c>
      <c r="C7247" s="49" t="s">
        <v>69</v>
      </c>
      <c r="D7247" s="49">
        <v>0.0</v>
      </c>
    </row>
    <row r="7248" ht="15.0" hidden="1" customHeight="1">
      <c r="A7248" s="49" t="s">
        <v>130</v>
      </c>
      <c r="B7248" s="50">
        <v>45199.0</v>
      </c>
      <c r="C7248" s="49" t="s">
        <v>69</v>
      </c>
      <c r="D7248" s="49">
        <v>0.0</v>
      </c>
    </row>
    <row r="7249" ht="15.0" hidden="1" customHeight="1">
      <c r="A7249" s="49" t="s">
        <v>137</v>
      </c>
      <c r="B7249" s="50">
        <v>45199.0</v>
      </c>
      <c r="C7249" s="49" t="s">
        <v>69</v>
      </c>
      <c r="D7249" s="49">
        <v>0.0</v>
      </c>
    </row>
    <row r="7250" ht="15.0" hidden="1" customHeight="1">
      <c r="A7250" s="49" t="s">
        <v>142</v>
      </c>
      <c r="B7250" s="50">
        <v>45199.0</v>
      </c>
      <c r="C7250" s="49" t="s">
        <v>69</v>
      </c>
      <c r="D7250" s="49">
        <v>0.0</v>
      </c>
    </row>
    <row r="7251" ht="15.0" hidden="1" customHeight="1">
      <c r="A7251" s="49" t="s">
        <v>147</v>
      </c>
      <c r="B7251" s="50">
        <v>45199.0</v>
      </c>
      <c r="C7251" s="49" t="s">
        <v>69</v>
      </c>
      <c r="D7251" s="49">
        <v>0.0</v>
      </c>
    </row>
    <row r="7252" ht="15.0" hidden="1" customHeight="1">
      <c r="A7252" s="49" t="s">
        <v>152</v>
      </c>
      <c r="B7252" s="50">
        <v>45199.0</v>
      </c>
      <c r="C7252" s="49" t="s">
        <v>69</v>
      </c>
      <c r="D7252" s="49">
        <v>0.0</v>
      </c>
    </row>
    <row r="7253" ht="15.0" hidden="1" customHeight="1">
      <c r="A7253" s="49" t="s">
        <v>157</v>
      </c>
      <c r="B7253" s="50">
        <v>45199.0</v>
      </c>
      <c r="C7253" s="49" t="s">
        <v>69</v>
      </c>
      <c r="D7253" s="49">
        <v>0.0</v>
      </c>
    </row>
    <row r="7254" ht="15.0" hidden="1" customHeight="1">
      <c r="A7254" s="49" t="s">
        <v>162</v>
      </c>
      <c r="B7254" s="50">
        <v>45199.0</v>
      </c>
      <c r="C7254" s="49" t="s">
        <v>69</v>
      </c>
      <c r="D7254" s="49">
        <v>0.0</v>
      </c>
    </row>
    <row r="7255" ht="15.0" hidden="1" customHeight="1">
      <c r="A7255" s="49" t="s">
        <v>167</v>
      </c>
      <c r="B7255" s="50">
        <v>45199.0</v>
      </c>
      <c r="C7255" s="49" t="s">
        <v>69</v>
      </c>
      <c r="D7255" s="49">
        <v>0.0</v>
      </c>
    </row>
    <row r="7256" ht="15.0" hidden="1" customHeight="1">
      <c r="A7256" s="49" t="s">
        <v>172</v>
      </c>
      <c r="B7256" s="50">
        <v>45199.0</v>
      </c>
      <c r="C7256" s="49" t="s">
        <v>69</v>
      </c>
      <c r="D7256" s="49">
        <v>0.0</v>
      </c>
    </row>
    <row r="7257" ht="15.0" hidden="1" customHeight="1">
      <c r="A7257" s="49" t="s">
        <v>177</v>
      </c>
      <c r="B7257" s="50">
        <v>45199.0</v>
      </c>
      <c r="C7257" s="49" t="s">
        <v>69</v>
      </c>
      <c r="D7257" s="49">
        <v>362800.0</v>
      </c>
    </row>
    <row r="7258" ht="15.0" hidden="1" customHeight="1">
      <c r="A7258" s="49" t="s">
        <v>182</v>
      </c>
      <c r="B7258" s="50">
        <v>45199.0</v>
      </c>
      <c r="C7258" s="49" t="s">
        <v>69</v>
      </c>
      <c r="D7258" s="49">
        <v>0.0</v>
      </c>
    </row>
    <row r="7259" ht="15.0" hidden="1" customHeight="1">
      <c r="A7259" s="49" t="s">
        <v>187</v>
      </c>
      <c r="B7259" s="50">
        <v>45199.0</v>
      </c>
      <c r="C7259" s="49" t="s">
        <v>69</v>
      </c>
      <c r="D7259" s="49">
        <v>0.0</v>
      </c>
    </row>
    <row r="7260" ht="15.0" hidden="1" customHeight="1">
      <c r="A7260" s="49" t="s">
        <v>192</v>
      </c>
      <c r="B7260" s="50">
        <v>45199.0</v>
      </c>
      <c r="C7260" s="49" t="s">
        <v>69</v>
      </c>
      <c r="D7260" s="49">
        <v>0.0</v>
      </c>
    </row>
    <row r="7261" ht="15.0" hidden="1" customHeight="1">
      <c r="A7261" s="49" t="s">
        <v>197</v>
      </c>
      <c r="B7261" s="50">
        <v>45199.0</v>
      </c>
      <c r="C7261" s="49" t="s">
        <v>69</v>
      </c>
      <c r="D7261" s="49">
        <v>0.0</v>
      </c>
    </row>
    <row r="7262" ht="15.0" hidden="1" customHeight="1">
      <c r="A7262" s="49" t="s">
        <v>202</v>
      </c>
      <c r="B7262" s="50">
        <v>45199.0</v>
      </c>
      <c r="C7262" s="49" t="s">
        <v>69</v>
      </c>
      <c r="D7262" s="49">
        <v>0.0</v>
      </c>
    </row>
    <row r="7263" ht="15.0" hidden="1" customHeight="1">
      <c r="A7263" s="49" t="s">
        <v>206</v>
      </c>
      <c r="B7263" s="50">
        <v>45199.0</v>
      </c>
      <c r="C7263" s="49" t="s">
        <v>69</v>
      </c>
      <c r="D7263" s="49">
        <v>0.0</v>
      </c>
    </row>
    <row r="7264" ht="15.0" hidden="1" customHeight="1">
      <c r="A7264" s="49" t="s">
        <v>211</v>
      </c>
      <c r="B7264" s="50">
        <v>45199.0</v>
      </c>
      <c r="C7264" s="49" t="s">
        <v>69</v>
      </c>
      <c r="D7264" s="49">
        <v>0.0</v>
      </c>
    </row>
    <row r="7265" ht="15.0" hidden="1" customHeight="1">
      <c r="A7265" s="49" t="s">
        <v>779</v>
      </c>
      <c r="B7265" s="50">
        <v>45199.0</v>
      </c>
      <c r="C7265" s="49" t="s">
        <v>69</v>
      </c>
      <c r="D7265" s="49">
        <v>0.0</v>
      </c>
    </row>
    <row r="7266" ht="15.0" hidden="1" customHeight="1">
      <c r="A7266" s="49" t="s">
        <v>221</v>
      </c>
      <c r="B7266" s="50">
        <v>45199.0</v>
      </c>
      <c r="C7266" s="49" t="s">
        <v>69</v>
      </c>
      <c r="D7266" s="49">
        <v>0.0</v>
      </c>
    </row>
    <row r="7267" ht="15.0" hidden="1" customHeight="1">
      <c r="A7267" s="49" t="s">
        <v>226</v>
      </c>
      <c r="B7267" s="50">
        <v>45199.0</v>
      </c>
      <c r="C7267" s="49" t="s">
        <v>69</v>
      </c>
      <c r="D7267" s="49">
        <v>0.0</v>
      </c>
    </row>
    <row r="7268" ht="15.0" hidden="1" customHeight="1">
      <c r="A7268" s="49" t="s">
        <v>231</v>
      </c>
      <c r="B7268" s="50">
        <v>45199.0</v>
      </c>
      <c r="C7268" s="49" t="s">
        <v>69</v>
      </c>
      <c r="D7268" s="49">
        <v>0.0</v>
      </c>
    </row>
    <row r="7269" ht="15.0" hidden="1" customHeight="1">
      <c r="A7269" s="49" t="s">
        <v>236</v>
      </c>
      <c r="B7269" s="50">
        <v>45199.0</v>
      </c>
      <c r="C7269" s="49" t="s">
        <v>69</v>
      </c>
      <c r="D7269" s="49">
        <v>0.0</v>
      </c>
    </row>
    <row r="7270" ht="15.0" hidden="1" customHeight="1">
      <c r="A7270" s="49" t="s">
        <v>242</v>
      </c>
      <c r="B7270" s="50">
        <v>45199.0</v>
      </c>
      <c r="C7270" s="49" t="s">
        <v>69</v>
      </c>
      <c r="D7270" s="49">
        <v>750000.0</v>
      </c>
    </row>
    <row r="7271" ht="15.0" hidden="1" customHeight="1">
      <c r="A7271" s="49" t="s">
        <v>248</v>
      </c>
      <c r="B7271" s="50">
        <v>45199.0</v>
      </c>
      <c r="C7271" s="49" t="s">
        <v>69</v>
      </c>
      <c r="D7271" s="49">
        <v>0.0</v>
      </c>
    </row>
    <row r="7272" ht="15.0" hidden="1" customHeight="1">
      <c r="A7272" s="49" t="s">
        <v>253</v>
      </c>
      <c r="B7272" s="50">
        <v>45199.0</v>
      </c>
      <c r="C7272" s="49" t="s">
        <v>69</v>
      </c>
      <c r="D7272" s="49">
        <v>0.0</v>
      </c>
    </row>
    <row r="7273" ht="15.0" hidden="1" customHeight="1">
      <c r="A7273" s="49" t="s">
        <v>258</v>
      </c>
      <c r="B7273" s="50">
        <v>45199.0</v>
      </c>
      <c r="C7273" s="49" t="s">
        <v>69</v>
      </c>
      <c r="D7273" s="49">
        <v>0.0</v>
      </c>
    </row>
    <row r="7274" ht="15.0" hidden="1" customHeight="1">
      <c r="A7274" s="49" t="s">
        <v>263</v>
      </c>
      <c r="B7274" s="50">
        <v>45199.0</v>
      </c>
      <c r="C7274" s="49" t="s">
        <v>69</v>
      </c>
      <c r="D7274" s="49">
        <v>0.0</v>
      </c>
    </row>
    <row r="7275" ht="15.0" hidden="1" customHeight="1">
      <c r="A7275" s="49" t="s">
        <v>268</v>
      </c>
      <c r="B7275" s="50">
        <v>45199.0</v>
      </c>
      <c r="C7275" s="49" t="s">
        <v>69</v>
      </c>
      <c r="D7275" s="49">
        <v>0.0</v>
      </c>
    </row>
    <row r="7276" ht="15.0" hidden="1" customHeight="1">
      <c r="A7276" s="49" t="s">
        <v>273</v>
      </c>
      <c r="B7276" s="50">
        <v>45199.0</v>
      </c>
      <c r="C7276" s="49" t="s">
        <v>69</v>
      </c>
      <c r="D7276" s="49">
        <v>0.0</v>
      </c>
    </row>
    <row r="7277" ht="15.0" hidden="1" customHeight="1">
      <c r="A7277" s="49" t="s">
        <v>278</v>
      </c>
      <c r="B7277" s="50">
        <v>45199.0</v>
      </c>
      <c r="C7277" s="49" t="s">
        <v>69</v>
      </c>
      <c r="D7277" s="49">
        <v>0.0</v>
      </c>
    </row>
    <row r="7278" ht="15.0" hidden="1" customHeight="1">
      <c r="A7278" s="49" t="s">
        <v>283</v>
      </c>
      <c r="B7278" s="50">
        <v>45199.0</v>
      </c>
      <c r="C7278" s="49" t="s">
        <v>69</v>
      </c>
      <c r="D7278" s="49">
        <v>0.0</v>
      </c>
    </row>
    <row r="7279" ht="15.0" hidden="1" customHeight="1">
      <c r="A7279" s="49" t="s">
        <v>288</v>
      </c>
      <c r="B7279" s="50">
        <v>45199.0</v>
      </c>
      <c r="C7279" s="49" t="s">
        <v>69</v>
      </c>
      <c r="D7279" s="49">
        <v>0.0</v>
      </c>
    </row>
    <row r="7280" ht="15.0" hidden="1" customHeight="1">
      <c r="A7280" s="49" t="s">
        <v>293</v>
      </c>
      <c r="B7280" s="50">
        <v>45199.0</v>
      </c>
      <c r="C7280" s="49" t="s">
        <v>69</v>
      </c>
      <c r="D7280" s="49">
        <v>0.0</v>
      </c>
    </row>
    <row r="7281" ht="15.0" hidden="1" customHeight="1">
      <c r="A7281" s="49" t="s">
        <v>298</v>
      </c>
      <c r="B7281" s="50">
        <v>45199.0</v>
      </c>
      <c r="C7281" s="49" t="s">
        <v>69</v>
      </c>
      <c r="D7281" s="49">
        <v>0.0</v>
      </c>
    </row>
    <row r="7282" ht="15.0" hidden="1" customHeight="1">
      <c r="A7282" s="49" t="s">
        <v>303</v>
      </c>
      <c r="B7282" s="50">
        <v>45199.0</v>
      </c>
      <c r="C7282" s="49" t="s">
        <v>69</v>
      </c>
      <c r="D7282" s="49">
        <v>0.0</v>
      </c>
    </row>
    <row r="7283" ht="15.0" hidden="1" customHeight="1">
      <c r="A7283" s="49" t="s">
        <v>307</v>
      </c>
      <c r="B7283" s="50">
        <v>45199.0</v>
      </c>
      <c r="C7283" s="49" t="s">
        <v>69</v>
      </c>
      <c r="D7283" s="49">
        <v>0.0</v>
      </c>
    </row>
    <row r="7284" ht="15.0" hidden="1" customHeight="1">
      <c r="A7284" s="49" t="s">
        <v>313</v>
      </c>
      <c r="B7284" s="50">
        <v>45199.0</v>
      </c>
      <c r="C7284" s="49" t="s">
        <v>69</v>
      </c>
      <c r="D7284" s="49">
        <v>561250.0</v>
      </c>
    </row>
    <row r="7285" ht="15.0" hidden="1" customHeight="1">
      <c r="A7285" s="49" t="s">
        <v>318</v>
      </c>
      <c r="B7285" s="50">
        <v>45199.0</v>
      </c>
      <c r="C7285" s="49" t="s">
        <v>69</v>
      </c>
      <c r="D7285" s="49">
        <v>0.0</v>
      </c>
    </row>
    <row r="7286" ht="15.0" hidden="1" customHeight="1">
      <c r="A7286" s="49" t="s">
        <v>323</v>
      </c>
      <c r="B7286" s="50">
        <v>45199.0</v>
      </c>
      <c r="C7286" s="49" t="s">
        <v>69</v>
      </c>
      <c r="D7286" s="49">
        <v>200000.0</v>
      </c>
    </row>
    <row r="7287" ht="15.0" hidden="1" customHeight="1">
      <c r="A7287" s="49" t="s">
        <v>328</v>
      </c>
      <c r="B7287" s="50">
        <v>45199.0</v>
      </c>
      <c r="C7287" s="49" t="s">
        <v>69</v>
      </c>
      <c r="D7287" s="49">
        <v>0.0</v>
      </c>
    </row>
    <row r="7288" ht="15.0" hidden="1" customHeight="1">
      <c r="A7288" s="49" t="s">
        <v>335</v>
      </c>
      <c r="B7288" s="50">
        <v>45199.0</v>
      </c>
      <c r="C7288" s="49" t="s">
        <v>69</v>
      </c>
      <c r="D7288" s="49">
        <v>0.0</v>
      </c>
    </row>
    <row r="7289" ht="15.0" hidden="1" customHeight="1">
      <c r="A7289" s="49" t="s">
        <v>340</v>
      </c>
      <c r="B7289" s="50">
        <v>45199.0</v>
      </c>
      <c r="C7289" s="49" t="s">
        <v>69</v>
      </c>
      <c r="D7289" s="49">
        <v>0.0</v>
      </c>
    </row>
    <row r="7290" ht="15.0" hidden="1" customHeight="1">
      <c r="A7290" s="49" t="s">
        <v>345</v>
      </c>
      <c r="B7290" s="50">
        <v>45199.0</v>
      </c>
      <c r="C7290" s="49" t="s">
        <v>69</v>
      </c>
      <c r="D7290" s="49">
        <v>0.0</v>
      </c>
    </row>
    <row r="7291" ht="15.0" hidden="1" customHeight="1">
      <c r="A7291" s="49" t="s">
        <v>350</v>
      </c>
      <c r="B7291" s="50">
        <v>45199.0</v>
      </c>
      <c r="C7291" s="49" t="s">
        <v>69</v>
      </c>
      <c r="D7291" s="49">
        <v>668000.0</v>
      </c>
    </row>
    <row r="7292" ht="15.0" hidden="1" customHeight="1">
      <c r="A7292" s="49" t="s">
        <v>355</v>
      </c>
      <c r="B7292" s="50">
        <v>45199.0</v>
      </c>
      <c r="C7292" s="49" t="s">
        <v>69</v>
      </c>
      <c r="D7292" s="49">
        <v>263699.48</v>
      </c>
    </row>
    <row r="7293" ht="15.0" hidden="1" customHeight="1">
      <c r="A7293" s="49" t="s">
        <v>360</v>
      </c>
      <c r="B7293" s="50">
        <v>45199.0</v>
      </c>
      <c r="C7293" s="49" t="s">
        <v>69</v>
      </c>
      <c r="D7293" s="49">
        <v>0.0</v>
      </c>
    </row>
    <row r="7294" ht="15.0" hidden="1" customHeight="1">
      <c r="A7294" s="49" t="s">
        <v>365</v>
      </c>
      <c r="B7294" s="50">
        <v>45199.0</v>
      </c>
      <c r="C7294" s="49" t="s">
        <v>69</v>
      </c>
      <c r="D7294" s="49">
        <v>325000.0</v>
      </c>
    </row>
    <row r="7295" ht="15.0" hidden="1" customHeight="1">
      <c r="A7295" s="49" t="s">
        <v>370</v>
      </c>
      <c r="B7295" s="50">
        <v>45199.0</v>
      </c>
      <c r="C7295" s="49" t="s">
        <v>69</v>
      </c>
      <c r="D7295" s="49">
        <v>243000.0</v>
      </c>
    </row>
    <row r="7296" ht="15.0" hidden="1" customHeight="1">
      <c r="A7296" s="49" t="s">
        <v>375</v>
      </c>
      <c r="B7296" s="50">
        <v>45199.0</v>
      </c>
      <c r="C7296" s="49" t="s">
        <v>69</v>
      </c>
      <c r="D7296" s="49">
        <v>722221.1699999999</v>
      </c>
    </row>
    <row r="7297" ht="15.0" hidden="1" customHeight="1">
      <c r="A7297" s="49" t="s">
        <v>380</v>
      </c>
      <c r="B7297" s="50">
        <v>45199.0</v>
      </c>
      <c r="C7297" s="49" t="s">
        <v>69</v>
      </c>
      <c r="D7297" s="49">
        <v>187500.0</v>
      </c>
    </row>
    <row r="7298" ht="15.0" hidden="1" customHeight="1">
      <c r="A7298" s="49" t="s">
        <v>385</v>
      </c>
      <c r="B7298" s="50">
        <v>45199.0</v>
      </c>
      <c r="C7298" s="49" t="s">
        <v>69</v>
      </c>
      <c r="D7298" s="49">
        <v>2625914.0997067</v>
      </c>
    </row>
    <row r="7299" ht="15.0" hidden="1" customHeight="1">
      <c r="A7299" s="49" t="s">
        <v>390</v>
      </c>
      <c r="B7299" s="50">
        <v>45199.0</v>
      </c>
      <c r="C7299" s="49" t="s">
        <v>69</v>
      </c>
      <c r="D7299" s="49">
        <v>0.0</v>
      </c>
    </row>
    <row r="7300" ht="15.0" hidden="1" customHeight="1">
      <c r="A7300" s="49" t="s">
        <v>395</v>
      </c>
      <c r="B7300" s="50">
        <v>45199.0</v>
      </c>
      <c r="C7300" s="49" t="s">
        <v>69</v>
      </c>
      <c r="D7300" s="49">
        <v>500000.0</v>
      </c>
    </row>
    <row r="7301" ht="15.0" hidden="1" customHeight="1">
      <c r="A7301" s="49" t="s">
        <v>400</v>
      </c>
      <c r="B7301" s="50">
        <v>45199.0</v>
      </c>
      <c r="C7301" s="49" t="s">
        <v>69</v>
      </c>
      <c r="D7301" s="49">
        <v>0.0</v>
      </c>
    </row>
    <row r="7302" ht="15.0" hidden="1" customHeight="1">
      <c r="A7302" s="49" t="s">
        <v>405</v>
      </c>
      <c r="B7302" s="50">
        <v>45199.0</v>
      </c>
      <c r="C7302" s="49" t="s">
        <v>69</v>
      </c>
      <c r="D7302" s="49">
        <v>0.0</v>
      </c>
    </row>
    <row r="7303" ht="15.0" hidden="1" customHeight="1">
      <c r="A7303" s="49" t="s">
        <v>410</v>
      </c>
      <c r="B7303" s="50">
        <v>45199.0</v>
      </c>
      <c r="C7303" s="49" t="s">
        <v>69</v>
      </c>
      <c r="D7303" s="49">
        <v>0.0</v>
      </c>
    </row>
    <row r="7304" ht="15.0" hidden="1" customHeight="1">
      <c r="A7304" s="49" t="s">
        <v>415</v>
      </c>
      <c r="B7304" s="50">
        <v>45199.0</v>
      </c>
      <c r="C7304" s="49" t="s">
        <v>69</v>
      </c>
      <c r="D7304" s="49">
        <v>1900000.0</v>
      </c>
    </row>
    <row r="7305" ht="15.0" hidden="1" customHeight="1">
      <c r="A7305" s="49" t="s">
        <v>420</v>
      </c>
      <c r="B7305" s="50">
        <v>45199.0</v>
      </c>
      <c r="C7305" s="49" t="s">
        <v>69</v>
      </c>
      <c r="D7305" s="49">
        <v>0.0</v>
      </c>
    </row>
    <row r="7306" ht="15.0" hidden="1" customHeight="1">
      <c r="A7306" s="49" t="s">
        <v>425</v>
      </c>
      <c r="B7306" s="50">
        <v>45199.0</v>
      </c>
      <c r="C7306" s="49" t="s">
        <v>69</v>
      </c>
      <c r="D7306" s="49">
        <v>0.0</v>
      </c>
    </row>
    <row r="7307" ht="15.0" hidden="1" customHeight="1">
      <c r="A7307" s="49" t="s">
        <v>430</v>
      </c>
      <c r="B7307" s="50">
        <v>45199.0</v>
      </c>
      <c r="C7307" s="49" t="s">
        <v>69</v>
      </c>
      <c r="D7307" s="49">
        <v>0.0</v>
      </c>
    </row>
    <row r="7308" ht="15.0" hidden="1" customHeight="1">
      <c r="A7308" s="49" t="s">
        <v>434</v>
      </c>
      <c r="B7308" s="50">
        <v>45199.0</v>
      </c>
      <c r="C7308" s="49" t="s">
        <v>69</v>
      </c>
      <c r="D7308" s="49">
        <v>0.0</v>
      </c>
    </row>
    <row r="7309" ht="15.0" hidden="1" customHeight="1">
      <c r="A7309" s="49" t="s">
        <v>439</v>
      </c>
      <c r="B7309" s="50">
        <v>45199.0</v>
      </c>
      <c r="C7309" s="49" t="s">
        <v>69</v>
      </c>
      <c r="D7309" s="49">
        <v>0.0</v>
      </c>
    </row>
    <row r="7310" ht="15.0" hidden="1" customHeight="1">
      <c r="A7310" s="49" t="s">
        <v>444</v>
      </c>
      <c r="B7310" s="50">
        <v>45199.0</v>
      </c>
      <c r="C7310" s="49" t="s">
        <v>69</v>
      </c>
      <c r="D7310" s="49">
        <v>0.0</v>
      </c>
    </row>
    <row r="7311" ht="15.0" hidden="1" customHeight="1">
      <c r="A7311" s="49" t="s">
        <v>449</v>
      </c>
      <c r="B7311" s="50">
        <v>45199.0</v>
      </c>
      <c r="C7311" s="49" t="s">
        <v>69</v>
      </c>
      <c r="D7311" s="49">
        <v>0.0</v>
      </c>
    </row>
    <row r="7312" ht="15.0" hidden="1" customHeight="1">
      <c r="A7312" s="49" t="s">
        <v>455</v>
      </c>
      <c r="B7312" s="50">
        <v>45199.0</v>
      </c>
      <c r="C7312" s="49" t="s">
        <v>69</v>
      </c>
      <c r="D7312" s="49">
        <v>0.0</v>
      </c>
    </row>
    <row r="7313" ht="15.0" hidden="1" customHeight="1">
      <c r="A7313" s="49" t="s">
        <v>470</v>
      </c>
      <c r="B7313" s="50">
        <v>45199.0</v>
      </c>
      <c r="C7313" s="49" t="s">
        <v>69</v>
      </c>
      <c r="D7313" s="49">
        <v>0.0</v>
      </c>
    </row>
    <row r="7314" ht="15.0" hidden="1" customHeight="1">
      <c r="A7314" s="49" t="s">
        <v>476</v>
      </c>
      <c r="B7314" s="50">
        <v>45199.0</v>
      </c>
      <c r="C7314" s="49" t="s">
        <v>69</v>
      </c>
      <c r="D7314" s="49">
        <v>0.0</v>
      </c>
    </row>
    <row r="7315" ht="15.0" hidden="1" customHeight="1">
      <c r="A7315" s="49" t="s">
        <v>481</v>
      </c>
      <c r="B7315" s="50">
        <v>45199.0</v>
      </c>
      <c r="C7315" s="49" t="s">
        <v>69</v>
      </c>
      <c r="D7315" s="49">
        <v>0.0</v>
      </c>
    </row>
    <row r="7316" ht="15.0" hidden="1" customHeight="1">
      <c r="A7316" s="49" t="s">
        <v>486</v>
      </c>
      <c r="B7316" s="50">
        <v>45199.0</v>
      </c>
      <c r="C7316" s="49" t="s">
        <v>69</v>
      </c>
      <c r="D7316" s="49">
        <v>0.0</v>
      </c>
    </row>
    <row r="7317" ht="15.0" hidden="1" customHeight="1">
      <c r="A7317" s="49" t="s">
        <v>491</v>
      </c>
      <c r="B7317" s="50">
        <v>45199.0</v>
      </c>
      <c r="C7317" s="49" t="s">
        <v>69</v>
      </c>
      <c r="D7317" s="49">
        <v>0.0</v>
      </c>
    </row>
    <row r="7318" ht="15.0" hidden="1" customHeight="1">
      <c r="A7318" s="49" t="s">
        <v>496</v>
      </c>
      <c r="B7318" s="50">
        <v>45199.0</v>
      </c>
      <c r="C7318" s="49" t="s">
        <v>69</v>
      </c>
      <c r="D7318" s="49">
        <v>0.0</v>
      </c>
    </row>
    <row r="7319" ht="15.0" hidden="1" customHeight="1">
      <c r="A7319" s="49" t="s">
        <v>501</v>
      </c>
      <c r="B7319" s="50">
        <v>45199.0</v>
      </c>
      <c r="C7319" s="49" t="s">
        <v>69</v>
      </c>
      <c r="D7319" s="49">
        <v>0.0</v>
      </c>
    </row>
    <row r="7320" ht="15.0" hidden="1" customHeight="1">
      <c r="A7320" s="49" t="s">
        <v>506</v>
      </c>
      <c r="B7320" s="50">
        <v>45199.0</v>
      </c>
      <c r="C7320" s="49" t="s">
        <v>69</v>
      </c>
      <c r="D7320" s="49">
        <v>0.0</v>
      </c>
    </row>
    <row r="7321" ht="15.0" hidden="1" customHeight="1">
      <c r="A7321" s="49" t="s">
        <v>512</v>
      </c>
      <c r="B7321" s="50">
        <v>45199.0</v>
      </c>
      <c r="C7321" s="49" t="s">
        <v>69</v>
      </c>
      <c r="D7321" s="49">
        <v>0.0</v>
      </c>
    </row>
    <row r="7322" ht="15.0" hidden="1" customHeight="1">
      <c r="A7322" s="49" t="s">
        <v>517</v>
      </c>
      <c r="B7322" s="50">
        <v>45199.0</v>
      </c>
      <c r="C7322" s="49" t="s">
        <v>69</v>
      </c>
      <c r="D7322" s="49">
        <v>0.0</v>
      </c>
    </row>
    <row r="7323" ht="15.0" hidden="1" customHeight="1">
      <c r="A7323" s="49" t="s">
        <v>522</v>
      </c>
      <c r="B7323" s="50">
        <v>45199.0</v>
      </c>
      <c r="C7323" s="49" t="s">
        <v>69</v>
      </c>
      <c r="D7323" s="49">
        <v>0.0</v>
      </c>
    </row>
    <row r="7324" ht="15.0" hidden="1" customHeight="1">
      <c r="A7324" s="49" t="s">
        <v>528</v>
      </c>
      <c r="B7324" s="50">
        <v>45199.0</v>
      </c>
      <c r="C7324" s="49" t="s">
        <v>69</v>
      </c>
      <c r="D7324" s="49">
        <v>0.0</v>
      </c>
    </row>
    <row r="7325" ht="15.0" hidden="1" customHeight="1">
      <c r="A7325" s="49" t="s">
        <v>533</v>
      </c>
      <c r="B7325" s="50">
        <v>45199.0</v>
      </c>
      <c r="C7325" s="49" t="s">
        <v>69</v>
      </c>
      <c r="D7325" s="49">
        <v>0.0</v>
      </c>
    </row>
    <row r="7326" ht="15.0" hidden="1" customHeight="1">
      <c r="A7326" s="49" t="s">
        <v>538</v>
      </c>
      <c r="B7326" s="50">
        <v>45199.0</v>
      </c>
      <c r="C7326" s="49" t="s">
        <v>69</v>
      </c>
      <c r="D7326" s="49">
        <v>0.0</v>
      </c>
    </row>
    <row r="7327" ht="15.0" hidden="1" customHeight="1">
      <c r="A7327" s="49" t="s">
        <v>546</v>
      </c>
      <c r="B7327" s="50">
        <v>45199.0</v>
      </c>
      <c r="C7327" s="49" t="s">
        <v>69</v>
      </c>
      <c r="D7327" s="49">
        <v>0.0</v>
      </c>
    </row>
    <row r="7328" ht="15.0" hidden="1" customHeight="1">
      <c r="A7328" s="49" t="s">
        <v>551</v>
      </c>
      <c r="B7328" s="50">
        <v>45199.0</v>
      </c>
      <c r="C7328" s="49" t="s">
        <v>69</v>
      </c>
      <c r="D7328" s="49">
        <v>0.0</v>
      </c>
    </row>
    <row r="7329" ht="15.0" hidden="1" customHeight="1">
      <c r="A7329" s="49" t="s">
        <v>556</v>
      </c>
      <c r="B7329" s="50">
        <v>45199.0</v>
      </c>
      <c r="C7329" s="49" t="s">
        <v>69</v>
      </c>
      <c r="D7329" s="49">
        <v>0.0</v>
      </c>
    </row>
    <row r="7330" ht="15.0" hidden="1" customHeight="1">
      <c r="A7330" s="49" t="s">
        <v>561</v>
      </c>
      <c r="B7330" s="50">
        <v>45199.0</v>
      </c>
      <c r="C7330" s="49" t="s">
        <v>69</v>
      </c>
      <c r="D7330" s="49">
        <v>0.0</v>
      </c>
    </row>
    <row r="7331" ht="15.0" hidden="1" customHeight="1">
      <c r="A7331" s="49" t="s">
        <v>566</v>
      </c>
      <c r="B7331" s="50">
        <v>45199.0</v>
      </c>
      <c r="C7331" s="49" t="s">
        <v>69</v>
      </c>
      <c r="D7331" s="49">
        <v>0.0</v>
      </c>
    </row>
    <row r="7332" ht="15.0" hidden="1" customHeight="1">
      <c r="A7332" s="49" t="s">
        <v>571</v>
      </c>
      <c r="B7332" s="50">
        <v>45199.0</v>
      </c>
      <c r="C7332" s="49" t="s">
        <v>69</v>
      </c>
      <c r="D7332" s="49">
        <v>0.0</v>
      </c>
    </row>
    <row r="7333" ht="15.0" hidden="1" customHeight="1">
      <c r="A7333" s="49" t="s">
        <v>576</v>
      </c>
      <c r="B7333" s="50">
        <v>45199.0</v>
      </c>
      <c r="C7333" s="49" t="s">
        <v>69</v>
      </c>
      <c r="D7333" s="49">
        <v>0.0</v>
      </c>
    </row>
    <row r="7334" ht="15.0" hidden="1" customHeight="1">
      <c r="A7334" s="49" t="s">
        <v>581</v>
      </c>
      <c r="B7334" s="50">
        <v>45199.0</v>
      </c>
      <c r="C7334" s="49" t="s">
        <v>69</v>
      </c>
      <c r="D7334" s="49">
        <v>0.0</v>
      </c>
    </row>
    <row r="7335" ht="15.0" hidden="1" customHeight="1">
      <c r="A7335" s="49" t="s">
        <v>586</v>
      </c>
      <c r="B7335" s="50">
        <v>45199.0</v>
      </c>
      <c r="C7335" s="49" t="s">
        <v>69</v>
      </c>
      <c r="D7335" s="49">
        <v>0.0</v>
      </c>
    </row>
    <row r="7336" ht="15.0" hidden="1" customHeight="1">
      <c r="A7336" s="49" t="s">
        <v>754</v>
      </c>
      <c r="B7336" s="50">
        <v>45199.0</v>
      </c>
      <c r="C7336" s="49" t="s">
        <v>69</v>
      </c>
      <c r="D7336" s="49">
        <v>0.0</v>
      </c>
    </row>
    <row r="7337" ht="15.0" hidden="1" customHeight="1">
      <c r="A7337" s="49" t="s">
        <v>591</v>
      </c>
      <c r="B7337" s="50">
        <v>45199.0</v>
      </c>
      <c r="C7337" s="49" t="s">
        <v>69</v>
      </c>
      <c r="D7337" s="49">
        <v>0.0</v>
      </c>
    </row>
    <row r="7338" ht="15.0" hidden="1" customHeight="1">
      <c r="A7338" s="49" t="s">
        <v>759</v>
      </c>
      <c r="B7338" s="50">
        <v>45199.0</v>
      </c>
      <c r="C7338" s="49" t="s">
        <v>69</v>
      </c>
      <c r="D7338" s="49">
        <v>0.0</v>
      </c>
    </row>
    <row r="7339" ht="15.0" hidden="1" customHeight="1">
      <c r="A7339" s="49" t="s">
        <v>596</v>
      </c>
      <c r="B7339" s="50">
        <v>45199.0</v>
      </c>
      <c r="C7339" s="49" t="s">
        <v>69</v>
      </c>
      <c r="D7339" s="49">
        <v>0.0</v>
      </c>
    </row>
    <row r="7340" ht="15.0" hidden="1" customHeight="1">
      <c r="A7340" s="49" t="s">
        <v>602</v>
      </c>
      <c r="B7340" s="50">
        <v>45199.0</v>
      </c>
      <c r="C7340" s="49" t="s">
        <v>69</v>
      </c>
      <c r="D7340" s="49">
        <v>0.0</v>
      </c>
    </row>
    <row r="7341" ht="15.0" hidden="1" customHeight="1">
      <c r="A7341" s="49" t="s">
        <v>607</v>
      </c>
      <c r="B7341" s="50">
        <v>45199.0</v>
      </c>
      <c r="C7341" s="49" t="s">
        <v>69</v>
      </c>
      <c r="D7341" s="49">
        <v>0.0</v>
      </c>
    </row>
    <row r="7342" ht="15.0" hidden="1" customHeight="1">
      <c r="A7342" s="49" t="s">
        <v>612</v>
      </c>
      <c r="B7342" s="50">
        <v>45199.0</v>
      </c>
      <c r="C7342" s="49" t="s">
        <v>69</v>
      </c>
      <c r="D7342" s="49">
        <v>0.0</v>
      </c>
    </row>
    <row r="7343" ht="15.0" hidden="1" customHeight="1">
      <c r="A7343" s="49" t="s">
        <v>617</v>
      </c>
      <c r="B7343" s="50">
        <v>45199.0</v>
      </c>
      <c r="C7343" s="49" t="s">
        <v>69</v>
      </c>
      <c r="D7343" s="49">
        <v>0.0</v>
      </c>
    </row>
    <row r="7344" ht="15.0" hidden="1" customHeight="1">
      <c r="A7344" s="49" t="s">
        <v>622</v>
      </c>
      <c r="B7344" s="50">
        <v>45199.0</v>
      </c>
      <c r="C7344" s="49" t="s">
        <v>69</v>
      </c>
      <c r="D7344" s="49">
        <v>0.0</v>
      </c>
    </row>
    <row r="7345" ht="15.0" hidden="1" customHeight="1">
      <c r="A7345" s="49" t="s">
        <v>627</v>
      </c>
      <c r="B7345" s="50">
        <v>45199.0</v>
      </c>
      <c r="C7345" s="49" t="s">
        <v>69</v>
      </c>
      <c r="D7345" s="49">
        <v>0.0</v>
      </c>
    </row>
    <row r="7346" ht="15.0" hidden="1" customHeight="1">
      <c r="A7346" s="49" t="s">
        <v>631</v>
      </c>
      <c r="B7346" s="50">
        <v>45199.0</v>
      </c>
      <c r="C7346" s="49" t="s">
        <v>69</v>
      </c>
      <c r="D7346" s="49">
        <v>0.0</v>
      </c>
    </row>
    <row r="7347" ht="15.0" hidden="1" customHeight="1">
      <c r="A7347" s="49" t="s">
        <v>636</v>
      </c>
      <c r="B7347" s="50">
        <v>45199.0</v>
      </c>
      <c r="C7347" s="49" t="s">
        <v>69</v>
      </c>
      <c r="D7347" s="49">
        <v>0.0</v>
      </c>
    </row>
    <row r="7348" ht="15.0" hidden="1" customHeight="1">
      <c r="A7348" s="49" t="s">
        <v>640</v>
      </c>
      <c r="B7348" s="50">
        <v>45199.0</v>
      </c>
      <c r="C7348" s="49" t="s">
        <v>69</v>
      </c>
      <c r="D7348" s="49">
        <v>0.0</v>
      </c>
    </row>
    <row r="7349" ht="15.0" hidden="1" customHeight="1">
      <c r="A7349" s="49" t="s">
        <v>644</v>
      </c>
      <c r="B7349" s="50">
        <v>45199.0</v>
      </c>
      <c r="C7349" s="49" t="s">
        <v>69</v>
      </c>
      <c r="D7349" s="49">
        <v>0.0</v>
      </c>
    </row>
    <row r="7350" ht="15.0" hidden="1" customHeight="1">
      <c r="A7350" s="49" t="s">
        <v>649</v>
      </c>
      <c r="B7350" s="50">
        <v>45199.0</v>
      </c>
      <c r="C7350" s="49" t="s">
        <v>69</v>
      </c>
      <c r="D7350" s="49">
        <v>0.0</v>
      </c>
    </row>
    <row r="7351" ht="15.0" hidden="1" customHeight="1">
      <c r="A7351" s="49" t="s">
        <v>654</v>
      </c>
      <c r="B7351" s="50">
        <v>45199.0</v>
      </c>
      <c r="C7351" s="49" t="s">
        <v>69</v>
      </c>
      <c r="D7351" s="49">
        <v>0.0</v>
      </c>
    </row>
    <row r="7352" ht="15.0" hidden="1" customHeight="1">
      <c r="A7352" s="49" t="s">
        <v>659</v>
      </c>
      <c r="B7352" s="50">
        <v>45199.0</v>
      </c>
      <c r="C7352" s="49" t="s">
        <v>69</v>
      </c>
      <c r="D7352" s="49">
        <v>0.0</v>
      </c>
    </row>
    <row r="7353" ht="15.0" hidden="1" customHeight="1">
      <c r="A7353" s="49" t="s">
        <v>664</v>
      </c>
      <c r="B7353" s="50">
        <v>45199.0</v>
      </c>
      <c r="C7353" s="49" t="s">
        <v>69</v>
      </c>
      <c r="D7353" s="49">
        <v>0.0</v>
      </c>
    </row>
    <row r="7354" ht="15.0" hidden="1" customHeight="1">
      <c r="A7354" s="49" t="s">
        <v>669</v>
      </c>
      <c r="B7354" s="50">
        <v>45199.0</v>
      </c>
      <c r="C7354" s="49" t="s">
        <v>69</v>
      </c>
      <c r="D7354" s="49">
        <v>0.0</v>
      </c>
    </row>
    <row r="7355" ht="15.0" hidden="1" customHeight="1">
      <c r="A7355" s="49" t="s">
        <v>674</v>
      </c>
      <c r="B7355" s="50">
        <v>45199.0</v>
      </c>
      <c r="C7355" s="49" t="s">
        <v>69</v>
      </c>
      <c r="D7355" s="49">
        <v>0.0</v>
      </c>
    </row>
    <row r="7356" ht="15.0" hidden="1" customHeight="1">
      <c r="A7356" s="49" t="s">
        <v>679</v>
      </c>
      <c r="B7356" s="50">
        <v>45199.0</v>
      </c>
      <c r="C7356" s="49" t="s">
        <v>69</v>
      </c>
      <c r="D7356" s="49">
        <v>0.0</v>
      </c>
    </row>
    <row r="7357" ht="15.0" hidden="1" customHeight="1">
      <c r="A7357" s="49" t="s">
        <v>684</v>
      </c>
      <c r="B7357" s="50">
        <v>45199.0</v>
      </c>
      <c r="C7357" s="49" t="s">
        <v>69</v>
      </c>
      <c r="D7357" s="49">
        <v>0.0</v>
      </c>
    </row>
    <row r="7358" ht="15.0" hidden="1" customHeight="1">
      <c r="A7358" s="49" t="s">
        <v>689</v>
      </c>
      <c r="B7358" s="50">
        <v>45199.0</v>
      </c>
      <c r="C7358" s="49" t="s">
        <v>69</v>
      </c>
      <c r="D7358" s="49">
        <v>0.0</v>
      </c>
    </row>
    <row r="7359" ht="15.0" hidden="1" customHeight="1">
      <c r="A7359" s="49" t="s">
        <v>694</v>
      </c>
      <c r="B7359" s="50">
        <v>45199.0</v>
      </c>
      <c r="C7359" s="49" t="s">
        <v>69</v>
      </c>
      <c r="D7359" s="49">
        <v>0.0</v>
      </c>
    </row>
    <row r="7360" ht="15.0" hidden="1" customHeight="1">
      <c r="A7360" s="49" t="s">
        <v>699</v>
      </c>
      <c r="B7360" s="50">
        <v>45199.0</v>
      </c>
      <c r="C7360" s="49" t="s">
        <v>69</v>
      </c>
      <c r="D7360" s="49">
        <v>0.0</v>
      </c>
    </row>
    <row r="7361" ht="15.0" hidden="1" customHeight="1">
      <c r="A7361" s="49" t="s">
        <v>705</v>
      </c>
      <c r="B7361" s="50">
        <v>45199.0</v>
      </c>
      <c r="C7361" s="49" t="s">
        <v>69</v>
      </c>
      <c r="D7361" s="49">
        <v>0.0</v>
      </c>
    </row>
    <row r="7362" ht="15.0" hidden="1" customHeight="1">
      <c r="A7362" s="49" t="s">
        <v>710</v>
      </c>
      <c r="B7362" s="50">
        <v>45199.0</v>
      </c>
      <c r="C7362" s="49" t="s">
        <v>69</v>
      </c>
      <c r="D7362" s="49">
        <v>0.0</v>
      </c>
    </row>
    <row r="7363" ht="15.0" hidden="1" customHeight="1">
      <c r="A7363" s="49" t="s">
        <v>715</v>
      </c>
      <c r="B7363" s="50">
        <v>45199.0</v>
      </c>
      <c r="C7363" s="49" t="s">
        <v>69</v>
      </c>
      <c r="D7363" s="49">
        <v>0.0</v>
      </c>
    </row>
    <row r="7364" ht="15.0" hidden="1" customHeight="1">
      <c r="A7364" s="49" t="s">
        <v>765</v>
      </c>
      <c r="B7364" s="50">
        <v>45199.0</v>
      </c>
      <c r="C7364" s="49" t="s">
        <v>69</v>
      </c>
      <c r="D7364" s="49">
        <v>0.0</v>
      </c>
    </row>
    <row r="7365" ht="15.0" hidden="1" customHeight="1">
      <c r="A7365" s="49" t="s">
        <v>720</v>
      </c>
      <c r="B7365" s="50">
        <v>45199.0</v>
      </c>
      <c r="C7365" s="49" t="s">
        <v>69</v>
      </c>
      <c r="D7365" s="49">
        <v>0.0</v>
      </c>
    </row>
    <row r="7366" ht="15.0" hidden="1" customHeight="1">
      <c r="A7366" s="49" t="s">
        <v>725</v>
      </c>
      <c r="B7366" s="50">
        <v>45199.0</v>
      </c>
      <c r="C7366" s="49" t="s">
        <v>69</v>
      </c>
      <c r="D7366" s="49">
        <v>0.0</v>
      </c>
    </row>
    <row r="7367" ht="15.0" hidden="1" customHeight="1">
      <c r="A7367" s="49" t="s">
        <v>730</v>
      </c>
      <c r="B7367" s="50">
        <v>45199.0</v>
      </c>
      <c r="C7367" s="49" t="s">
        <v>69</v>
      </c>
      <c r="D7367" s="49">
        <v>0.0</v>
      </c>
    </row>
    <row r="7368" ht="15.0" hidden="1" customHeight="1">
      <c r="A7368" s="49" t="s">
        <v>734</v>
      </c>
      <c r="B7368" s="50">
        <v>45199.0</v>
      </c>
      <c r="C7368" s="49" t="s">
        <v>69</v>
      </c>
      <c r="D7368" s="49">
        <v>0.0</v>
      </c>
    </row>
    <row r="7369" ht="15.0" hidden="1" customHeight="1">
      <c r="A7369" s="49" t="s">
        <v>739</v>
      </c>
      <c r="B7369" s="50">
        <v>45199.0</v>
      </c>
      <c r="C7369" s="49" t="s">
        <v>69</v>
      </c>
      <c r="D7369" s="49">
        <v>0.0</v>
      </c>
    </row>
    <row r="7370" ht="15.0" hidden="1" customHeight="1">
      <c r="A7370" s="49" t="s">
        <v>744</v>
      </c>
      <c r="B7370" s="50">
        <v>45199.0</v>
      </c>
      <c r="C7370" s="49" t="s">
        <v>69</v>
      </c>
      <c r="D7370" s="49">
        <v>0.0</v>
      </c>
    </row>
    <row r="7371" ht="15.0" hidden="1" customHeight="1">
      <c r="A7371" s="49" t="s">
        <v>749</v>
      </c>
      <c r="B7371" s="50">
        <v>45199.0</v>
      </c>
      <c r="C7371" s="49" t="s">
        <v>69</v>
      </c>
      <c r="D7371" s="49">
        <v>0.0</v>
      </c>
    </row>
    <row r="7372" ht="15.0" customHeight="1">
      <c r="A7372" s="49" t="s">
        <v>776</v>
      </c>
      <c r="B7372" s="50">
        <v>45199.0</v>
      </c>
      <c r="C7372" s="49" t="s">
        <v>780</v>
      </c>
      <c r="D7372" s="49">
        <v>0.0</v>
      </c>
    </row>
    <row r="7373" ht="15.0" hidden="1" customHeight="1">
      <c r="A7373" s="49" t="s">
        <v>778</v>
      </c>
      <c r="B7373" s="50">
        <v>45199.0</v>
      </c>
      <c r="C7373" s="49" t="s">
        <v>780</v>
      </c>
      <c r="D7373" s="49">
        <v>0.0</v>
      </c>
    </row>
    <row r="7374" ht="15.0" hidden="1" customHeight="1">
      <c r="A7374" s="49" t="s">
        <v>92</v>
      </c>
      <c r="B7374" s="50">
        <v>45199.0</v>
      </c>
      <c r="C7374" s="49" t="s">
        <v>780</v>
      </c>
      <c r="D7374" s="49">
        <v>0.0</v>
      </c>
    </row>
    <row r="7375" ht="15.0" hidden="1" customHeight="1">
      <c r="A7375" s="49" t="s">
        <v>97</v>
      </c>
      <c r="B7375" s="50">
        <v>45199.0</v>
      </c>
      <c r="C7375" s="49" t="s">
        <v>780</v>
      </c>
      <c r="D7375" s="49">
        <v>0.0</v>
      </c>
    </row>
    <row r="7376" ht="15.0" hidden="1" customHeight="1">
      <c r="A7376" s="49" t="s">
        <v>102</v>
      </c>
      <c r="B7376" s="50">
        <v>45199.0</v>
      </c>
      <c r="C7376" s="49" t="s">
        <v>780</v>
      </c>
      <c r="D7376" s="49">
        <v>0.0</v>
      </c>
    </row>
    <row r="7377" ht="15.0" hidden="1" customHeight="1">
      <c r="A7377" s="49" t="s">
        <v>106</v>
      </c>
      <c r="B7377" s="50">
        <v>45199.0</v>
      </c>
      <c r="C7377" s="49" t="s">
        <v>780</v>
      </c>
      <c r="D7377" s="49">
        <v>0.0</v>
      </c>
    </row>
    <row r="7378" ht="15.0" hidden="1" customHeight="1">
      <c r="A7378" s="49" t="s">
        <v>111</v>
      </c>
      <c r="B7378" s="50">
        <v>45199.0</v>
      </c>
      <c r="C7378" s="49" t="s">
        <v>780</v>
      </c>
      <c r="D7378" s="49">
        <v>0.0</v>
      </c>
    </row>
    <row r="7379" ht="15.0" hidden="1" customHeight="1">
      <c r="A7379" s="49" t="s">
        <v>116</v>
      </c>
      <c r="B7379" s="50">
        <v>45199.0</v>
      </c>
      <c r="C7379" s="49" t="s">
        <v>780</v>
      </c>
      <c r="D7379" s="49">
        <v>0.0</v>
      </c>
    </row>
    <row r="7380" ht="15.0" hidden="1" customHeight="1">
      <c r="A7380" s="49" t="s">
        <v>120</v>
      </c>
      <c r="B7380" s="50">
        <v>45199.0</v>
      </c>
      <c r="C7380" s="49" t="s">
        <v>780</v>
      </c>
      <c r="D7380" s="49">
        <v>0.0</v>
      </c>
    </row>
    <row r="7381" ht="15.0" hidden="1" customHeight="1">
      <c r="A7381" s="49" t="s">
        <v>125</v>
      </c>
      <c r="B7381" s="50">
        <v>45199.0</v>
      </c>
      <c r="C7381" s="49" t="s">
        <v>780</v>
      </c>
      <c r="D7381" s="49">
        <v>0.0</v>
      </c>
    </row>
    <row r="7382" ht="15.0" hidden="1" customHeight="1">
      <c r="A7382" s="49" t="s">
        <v>130</v>
      </c>
      <c r="B7382" s="50">
        <v>45199.0</v>
      </c>
      <c r="C7382" s="49" t="s">
        <v>780</v>
      </c>
      <c r="D7382" s="49">
        <v>0.0</v>
      </c>
    </row>
    <row r="7383" ht="15.0" hidden="1" customHeight="1">
      <c r="A7383" s="49" t="s">
        <v>137</v>
      </c>
      <c r="B7383" s="50">
        <v>45199.0</v>
      </c>
      <c r="C7383" s="49" t="s">
        <v>780</v>
      </c>
      <c r="D7383" s="49">
        <v>0.0</v>
      </c>
    </row>
    <row r="7384" ht="15.0" hidden="1" customHeight="1">
      <c r="A7384" s="49" t="s">
        <v>142</v>
      </c>
      <c r="B7384" s="50">
        <v>45199.0</v>
      </c>
      <c r="C7384" s="49" t="s">
        <v>780</v>
      </c>
      <c r="D7384" s="49">
        <v>0.0</v>
      </c>
    </row>
    <row r="7385" ht="15.0" hidden="1" customHeight="1">
      <c r="A7385" s="49" t="s">
        <v>147</v>
      </c>
      <c r="B7385" s="50">
        <v>45199.0</v>
      </c>
      <c r="C7385" s="49" t="s">
        <v>780</v>
      </c>
      <c r="D7385" s="49">
        <v>0.0</v>
      </c>
    </row>
    <row r="7386" ht="15.0" hidden="1" customHeight="1">
      <c r="A7386" s="49" t="s">
        <v>152</v>
      </c>
      <c r="B7386" s="50">
        <v>45199.0</v>
      </c>
      <c r="C7386" s="49" t="s">
        <v>780</v>
      </c>
      <c r="D7386" s="49">
        <v>0.0</v>
      </c>
    </row>
    <row r="7387" ht="15.0" hidden="1" customHeight="1">
      <c r="A7387" s="49" t="s">
        <v>157</v>
      </c>
      <c r="B7387" s="50">
        <v>45199.0</v>
      </c>
      <c r="C7387" s="49" t="s">
        <v>780</v>
      </c>
      <c r="D7387" s="49">
        <v>0.0</v>
      </c>
    </row>
    <row r="7388" ht="15.0" hidden="1" customHeight="1">
      <c r="A7388" s="49" t="s">
        <v>162</v>
      </c>
      <c r="B7388" s="50">
        <v>45199.0</v>
      </c>
      <c r="C7388" s="49" t="s">
        <v>780</v>
      </c>
      <c r="D7388" s="49">
        <v>0.0</v>
      </c>
    </row>
    <row r="7389" ht="15.0" hidden="1" customHeight="1">
      <c r="A7389" s="49" t="s">
        <v>167</v>
      </c>
      <c r="B7389" s="50">
        <v>45199.0</v>
      </c>
      <c r="C7389" s="49" t="s">
        <v>780</v>
      </c>
      <c r="D7389" s="49">
        <v>0.0</v>
      </c>
    </row>
    <row r="7390" ht="15.0" hidden="1" customHeight="1">
      <c r="A7390" s="49" t="s">
        <v>172</v>
      </c>
      <c r="B7390" s="50">
        <v>45199.0</v>
      </c>
      <c r="C7390" s="49" t="s">
        <v>780</v>
      </c>
      <c r="D7390" s="49">
        <v>0.0</v>
      </c>
    </row>
    <row r="7391" ht="15.0" hidden="1" customHeight="1">
      <c r="A7391" s="49" t="s">
        <v>177</v>
      </c>
      <c r="B7391" s="50">
        <v>45199.0</v>
      </c>
      <c r="C7391" s="49" t="s">
        <v>780</v>
      </c>
      <c r="D7391" s="49">
        <v>-362800.0</v>
      </c>
    </row>
    <row r="7392" ht="15.0" hidden="1" customHeight="1">
      <c r="A7392" s="49" t="s">
        <v>182</v>
      </c>
      <c r="B7392" s="50">
        <v>45199.0</v>
      </c>
      <c r="C7392" s="49" t="s">
        <v>780</v>
      </c>
      <c r="D7392" s="49">
        <v>0.0</v>
      </c>
    </row>
    <row r="7393" ht="15.0" hidden="1" customHeight="1">
      <c r="A7393" s="49" t="s">
        <v>187</v>
      </c>
      <c r="B7393" s="50">
        <v>45199.0</v>
      </c>
      <c r="C7393" s="49" t="s">
        <v>780</v>
      </c>
      <c r="D7393" s="49">
        <v>0.0</v>
      </c>
    </row>
    <row r="7394" ht="15.0" hidden="1" customHeight="1">
      <c r="A7394" s="49" t="s">
        <v>192</v>
      </c>
      <c r="B7394" s="50">
        <v>45199.0</v>
      </c>
      <c r="C7394" s="49" t="s">
        <v>780</v>
      </c>
      <c r="D7394" s="49">
        <v>0.0</v>
      </c>
    </row>
    <row r="7395" ht="15.0" hidden="1" customHeight="1">
      <c r="A7395" s="49" t="s">
        <v>197</v>
      </c>
      <c r="B7395" s="50">
        <v>45199.0</v>
      </c>
      <c r="C7395" s="49" t="s">
        <v>780</v>
      </c>
      <c r="D7395" s="49">
        <v>0.0</v>
      </c>
    </row>
    <row r="7396" ht="15.0" hidden="1" customHeight="1">
      <c r="A7396" s="49" t="s">
        <v>202</v>
      </c>
      <c r="B7396" s="50">
        <v>45199.0</v>
      </c>
      <c r="C7396" s="49" t="s">
        <v>780</v>
      </c>
      <c r="D7396" s="49">
        <v>0.0</v>
      </c>
    </row>
    <row r="7397" ht="15.0" hidden="1" customHeight="1">
      <c r="A7397" s="49" t="s">
        <v>206</v>
      </c>
      <c r="B7397" s="50">
        <v>45199.0</v>
      </c>
      <c r="C7397" s="49" t="s">
        <v>780</v>
      </c>
      <c r="D7397" s="49">
        <v>0.0</v>
      </c>
    </row>
    <row r="7398" ht="15.0" hidden="1" customHeight="1">
      <c r="A7398" s="49" t="s">
        <v>211</v>
      </c>
      <c r="B7398" s="50">
        <v>45199.0</v>
      </c>
      <c r="C7398" s="49" t="s">
        <v>780</v>
      </c>
      <c r="D7398" s="49">
        <v>0.0</v>
      </c>
    </row>
    <row r="7399" ht="15.0" hidden="1" customHeight="1">
      <c r="A7399" s="49" t="s">
        <v>779</v>
      </c>
      <c r="B7399" s="50">
        <v>45199.0</v>
      </c>
      <c r="C7399" s="49" t="s">
        <v>780</v>
      </c>
      <c r="D7399" s="49">
        <v>0.0</v>
      </c>
    </row>
    <row r="7400" ht="15.0" hidden="1" customHeight="1">
      <c r="A7400" s="49" t="s">
        <v>221</v>
      </c>
      <c r="B7400" s="50">
        <v>45199.0</v>
      </c>
      <c r="C7400" s="49" t="s">
        <v>780</v>
      </c>
      <c r="D7400" s="49">
        <v>0.0</v>
      </c>
    </row>
    <row r="7401" ht="15.0" hidden="1" customHeight="1">
      <c r="A7401" s="49" t="s">
        <v>226</v>
      </c>
      <c r="B7401" s="50">
        <v>45199.0</v>
      </c>
      <c r="C7401" s="49" t="s">
        <v>780</v>
      </c>
      <c r="D7401" s="49">
        <v>0.0</v>
      </c>
    </row>
    <row r="7402" ht="15.0" hidden="1" customHeight="1">
      <c r="A7402" s="49" t="s">
        <v>231</v>
      </c>
      <c r="B7402" s="50">
        <v>45199.0</v>
      </c>
      <c r="C7402" s="49" t="s">
        <v>780</v>
      </c>
      <c r="D7402" s="49">
        <v>0.0</v>
      </c>
    </row>
    <row r="7403" ht="15.0" hidden="1" customHeight="1">
      <c r="A7403" s="49" t="s">
        <v>236</v>
      </c>
      <c r="B7403" s="50">
        <v>45199.0</v>
      </c>
      <c r="C7403" s="49" t="s">
        <v>780</v>
      </c>
      <c r="D7403" s="49">
        <v>0.0</v>
      </c>
    </row>
    <row r="7404" ht="15.0" hidden="1" customHeight="1">
      <c r="A7404" s="49" t="s">
        <v>242</v>
      </c>
      <c r="B7404" s="50">
        <v>45199.0</v>
      </c>
      <c r="C7404" s="49" t="s">
        <v>780</v>
      </c>
      <c r="D7404" s="49">
        <v>-750000.0</v>
      </c>
    </row>
    <row r="7405" ht="15.0" hidden="1" customHeight="1">
      <c r="A7405" s="49" t="s">
        <v>248</v>
      </c>
      <c r="B7405" s="50">
        <v>45199.0</v>
      </c>
      <c r="C7405" s="49" t="s">
        <v>780</v>
      </c>
      <c r="D7405" s="49">
        <v>0.0</v>
      </c>
    </row>
    <row r="7406" ht="15.0" hidden="1" customHeight="1">
      <c r="A7406" s="49" t="s">
        <v>253</v>
      </c>
      <c r="B7406" s="50">
        <v>45199.0</v>
      </c>
      <c r="C7406" s="49" t="s">
        <v>780</v>
      </c>
      <c r="D7406" s="49">
        <v>0.0</v>
      </c>
    </row>
    <row r="7407" ht="15.0" hidden="1" customHeight="1">
      <c r="A7407" s="49" t="s">
        <v>258</v>
      </c>
      <c r="B7407" s="50">
        <v>45199.0</v>
      </c>
      <c r="C7407" s="49" t="s">
        <v>780</v>
      </c>
      <c r="D7407" s="49">
        <v>0.0</v>
      </c>
    </row>
    <row r="7408" ht="15.0" hidden="1" customHeight="1">
      <c r="A7408" s="49" t="s">
        <v>263</v>
      </c>
      <c r="B7408" s="50">
        <v>45199.0</v>
      </c>
      <c r="C7408" s="49" t="s">
        <v>780</v>
      </c>
      <c r="D7408" s="49">
        <v>0.0</v>
      </c>
    </row>
    <row r="7409" ht="15.0" hidden="1" customHeight="1">
      <c r="A7409" s="49" t="s">
        <v>268</v>
      </c>
      <c r="B7409" s="50">
        <v>45199.0</v>
      </c>
      <c r="C7409" s="49" t="s">
        <v>780</v>
      </c>
      <c r="D7409" s="49">
        <v>0.0</v>
      </c>
    </row>
    <row r="7410" ht="15.0" hidden="1" customHeight="1">
      <c r="A7410" s="49" t="s">
        <v>273</v>
      </c>
      <c r="B7410" s="50">
        <v>45199.0</v>
      </c>
      <c r="C7410" s="49" t="s">
        <v>780</v>
      </c>
      <c r="D7410" s="49">
        <v>0.0</v>
      </c>
    </row>
    <row r="7411" ht="15.0" hidden="1" customHeight="1">
      <c r="A7411" s="49" t="s">
        <v>278</v>
      </c>
      <c r="B7411" s="50">
        <v>45199.0</v>
      </c>
      <c r="C7411" s="49" t="s">
        <v>780</v>
      </c>
      <c r="D7411" s="49">
        <v>0.0</v>
      </c>
    </row>
    <row r="7412" ht="15.0" hidden="1" customHeight="1">
      <c r="A7412" s="49" t="s">
        <v>283</v>
      </c>
      <c r="B7412" s="50">
        <v>45199.0</v>
      </c>
      <c r="C7412" s="49" t="s">
        <v>780</v>
      </c>
      <c r="D7412" s="49">
        <v>0.0</v>
      </c>
    </row>
    <row r="7413" ht="15.0" hidden="1" customHeight="1">
      <c r="A7413" s="49" t="s">
        <v>288</v>
      </c>
      <c r="B7413" s="50">
        <v>45199.0</v>
      </c>
      <c r="C7413" s="49" t="s">
        <v>780</v>
      </c>
      <c r="D7413" s="49">
        <v>0.0</v>
      </c>
    </row>
    <row r="7414" ht="15.0" hidden="1" customHeight="1">
      <c r="A7414" s="49" t="s">
        <v>293</v>
      </c>
      <c r="B7414" s="50">
        <v>45199.0</v>
      </c>
      <c r="C7414" s="49" t="s">
        <v>780</v>
      </c>
      <c r="D7414" s="49">
        <v>0.0</v>
      </c>
    </row>
    <row r="7415" ht="15.0" hidden="1" customHeight="1">
      <c r="A7415" s="49" t="s">
        <v>298</v>
      </c>
      <c r="B7415" s="50">
        <v>45199.0</v>
      </c>
      <c r="C7415" s="49" t="s">
        <v>780</v>
      </c>
      <c r="D7415" s="49">
        <v>0.0</v>
      </c>
    </row>
    <row r="7416" ht="15.0" hidden="1" customHeight="1">
      <c r="A7416" s="49" t="s">
        <v>303</v>
      </c>
      <c r="B7416" s="50">
        <v>45199.0</v>
      </c>
      <c r="C7416" s="49" t="s">
        <v>780</v>
      </c>
      <c r="D7416" s="49">
        <v>0.0</v>
      </c>
    </row>
    <row r="7417" ht="15.0" hidden="1" customHeight="1">
      <c r="A7417" s="49" t="s">
        <v>307</v>
      </c>
      <c r="B7417" s="50">
        <v>45199.0</v>
      </c>
      <c r="C7417" s="49" t="s">
        <v>780</v>
      </c>
      <c r="D7417" s="49">
        <v>0.0</v>
      </c>
    </row>
    <row r="7418" ht="15.0" hidden="1" customHeight="1">
      <c r="A7418" s="49" t="s">
        <v>313</v>
      </c>
      <c r="B7418" s="50">
        <v>45199.0</v>
      </c>
      <c r="C7418" s="49" t="s">
        <v>780</v>
      </c>
      <c r="D7418" s="49">
        <v>-561250.0</v>
      </c>
    </row>
    <row r="7419" ht="15.0" hidden="1" customHeight="1">
      <c r="A7419" s="49" t="s">
        <v>318</v>
      </c>
      <c r="B7419" s="50">
        <v>45199.0</v>
      </c>
      <c r="C7419" s="49" t="s">
        <v>780</v>
      </c>
      <c r="D7419" s="49">
        <v>0.0</v>
      </c>
    </row>
    <row r="7420" ht="15.0" hidden="1" customHeight="1">
      <c r="A7420" s="49" t="s">
        <v>323</v>
      </c>
      <c r="B7420" s="50">
        <v>45199.0</v>
      </c>
      <c r="C7420" s="49" t="s">
        <v>780</v>
      </c>
      <c r="D7420" s="49">
        <v>-200000.0</v>
      </c>
    </row>
    <row r="7421" ht="15.0" hidden="1" customHeight="1">
      <c r="A7421" s="49" t="s">
        <v>328</v>
      </c>
      <c r="B7421" s="50">
        <v>45199.0</v>
      </c>
      <c r="C7421" s="49" t="s">
        <v>780</v>
      </c>
      <c r="D7421" s="49">
        <v>0.0</v>
      </c>
    </row>
    <row r="7422" ht="15.0" hidden="1" customHeight="1">
      <c r="A7422" s="49" t="s">
        <v>335</v>
      </c>
      <c r="B7422" s="50">
        <v>45199.0</v>
      </c>
      <c r="C7422" s="49" t="s">
        <v>780</v>
      </c>
      <c r="D7422" s="49">
        <v>0.0</v>
      </c>
    </row>
    <row r="7423" ht="15.0" hidden="1" customHeight="1">
      <c r="A7423" s="49" t="s">
        <v>340</v>
      </c>
      <c r="B7423" s="50">
        <v>45199.0</v>
      </c>
      <c r="C7423" s="49" t="s">
        <v>780</v>
      </c>
      <c r="D7423" s="49">
        <v>0.0</v>
      </c>
    </row>
    <row r="7424" ht="15.0" hidden="1" customHeight="1">
      <c r="A7424" s="49" t="s">
        <v>345</v>
      </c>
      <c r="B7424" s="50">
        <v>45199.0</v>
      </c>
      <c r="C7424" s="49" t="s">
        <v>780</v>
      </c>
      <c r="D7424" s="49">
        <v>0.0</v>
      </c>
    </row>
    <row r="7425" ht="15.0" hidden="1" customHeight="1">
      <c r="A7425" s="49" t="s">
        <v>350</v>
      </c>
      <c r="B7425" s="50">
        <v>45199.0</v>
      </c>
      <c r="C7425" s="49" t="s">
        <v>780</v>
      </c>
      <c r="D7425" s="49">
        <v>-668000.0</v>
      </c>
    </row>
    <row r="7426" ht="15.0" hidden="1" customHeight="1">
      <c r="A7426" s="49" t="s">
        <v>355</v>
      </c>
      <c r="B7426" s="50">
        <v>45199.0</v>
      </c>
      <c r="C7426" s="49" t="s">
        <v>780</v>
      </c>
      <c r="D7426" s="49">
        <v>-263699.48</v>
      </c>
    </row>
    <row r="7427" ht="15.0" hidden="1" customHeight="1">
      <c r="A7427" s="49" t="s">
        <v>360</v>
      </c>
      <c r="B7427" s="50">
        <v>45199.0</v>
      </c>
      <c r="C7427" s="49" t="s">
        <v>780</v>
      </c>
      <c r="D7427" s="49">
        <v>0.0</v>
      </c>
    </row>
    <row r="7428" ht="15.0" hidden="1" customHeight="1">
      <c r="A7428" s="49" t="s">
        <v>365</v>
      </c>
      <c r="B7428" s="50">
        <v>45199.0</v>
      </c>
      <c r="C7428" s="49" t="s">
        <v>780</v>
      </c>
      <c r="D7428" s="49">
        <v>-325000.0</v>
      </c>
    </row>
    <row r="7429" ht="15.0" hidden="1" customHeight="1">
      <c r="A7429" s="49" t="s">
        <v>370</v>
      </c>
      <c r="B7429" s="50">
        <v>45199.0</v>
      </c>
      <c r="C7429" s="49" t="s">
        <v>780</v>
      </c>
      <c r="D7429" s="49">
        <v>-243000.0</v>
      </c>
    </row>
    <row r="7430" ht="15.0" hidden="1" customHeight="1">
      <c r="A7430" s="49" t="s">
        <v>375</v>
      </c>
      <c r="B7430" s="50">
        <v>45199.0</v>
      </c>
      <c r="C7430" s="49" t="s">
        <v>780</v>
      </c>
      <c r="D7430" s="49">
        <v>-722221.1699999999</v>
      </c>
    </row>
    <row r="7431" ht="15.0" hidden="1" customHeight="1">
      <c r="A7431" s="49" t="s">
        <v>380</v>
      </c>
      <c r="B7431" s="50">
        <v>45199.0</v>
      </c>
      <c r="C7431" s="49" t="s">
        <v>780</v>
      </c>
      <c r="D7431" s="49">
        <v>-187500.0</v>
      </c>
    </row>
    <row r="7432" ht="15.0" hidden="1" customHeight="1">
      <c r="A7432" s="49" t="s">
        <v>385</v>
      </c>
      <c r="B7432" s="50">
        <v>45199.0</v>
      </c>
      <c r="C7432" s="49" t="s">
        <v>780</v>
      </c>
      <c r="D7432" s="49">
        <v>-2625914.0997067</v>
      </c>
    </row>
    <row r="7433" ht="15.0" hidden="1" customHeight="1">
      <c r="A7433" s="49" t="s">
        <v>390</v>
      </c>
      <c r="B7433" s="50">
        <v>45199.0</v>
      </c>
      <c r="C7433" s="49" t="s">
        <v>780</v>
      </c>
      <c r="D7433" s="49">
        <v>0.0</v>
      </c>
    </row>
    <row r="7434" ht="15.0" hidden="1" customHeight="1">
      <c r="A7434" s="49" t="s">
        <v>395</v>
      </c>
      <c r="B7434" s="50">
        <v>45199.0</v>
      </c>
      <c r="C7434" s="49" t="s">
        <v>780</v>
      </c>
      <c r="D7434" s="49">
        <v>-500000.0</v>
      </c>
    </row>
    <row r="7435" ht="15.0" hidden="1" customHeight="1">
      <c r="A7435" s="49" t="s">
        <v>400</v>
      </c>
      <c r="B7435" s="50">
        <v>45199.0</v>
      </c>
      <c r="C7435" s="49" t="s">
        <v>780</v>
      </c>
      <c r="D7435" s="49">
        <v>5520000.0</v>
      </c>
    </row>
    <row r="7436" ht="15.0" hidden="1" customHeight="1">
      <c r="A7436" s="49" t="s">
        <v>405</v>
      </c>
      <c r="B7436" s="50">
        <v>45199.0</v>
      </c>
      <c r="C7436" s="49" t="s">
        <v>780</v>
      </c>
      <c r="D7436" s="49">
        <v>0.0</v>
      </c>
    </row>
    <row r="7437" ht="15.0" hidden="1" customHeight="1">
      <c r="A7437" s="49" t="s">
        <v>410</v>
      </c>
      <c r="B7437" s="50">
        <v>45199.0</v>
      </c>
      <c r="C7437" s="49" t="s">
        <v>780</v>
      </c>
      <c r="D7437" s="49">
        <v>790239.0</v>
      </c>
    </row>
    <row r="7438" ht="15.0" hidden="1" customHeight="1">
      <c r="A7438" s="49" t="s">
        <v>415</v>
      </c>
      <c r="B7438" s="50">
        <v>45199.0</v>
      </c>
      <c r="C7438" s="49" t="s">
        <v>780</v>
      </c>
      <c r="D7438" s="49">
        <v>-1900000.0</v>
      </c>
    </row>
    <row r="7439" ht="15.0" hidden="1" customHeight="1">
      <c r="A7439" s="49" t="s">
        <v>420</v>
      </c>
      <c r="B7439" s="50">
        <v>45199.0</v>
      </c>
      <c r="C7439" s="49" t="s">
        <v>780</v>
      </c>
      <c r="D7439" s="49">
        <v>1710000.0</v>
      </c>
    </row>
    <row r="7440" ht="15.0" hidden="1" customHeight="1">
      <c r="A7440" s="49" t="s">
        <v>425</v>
      </c>
      <c r="B7440" s="50">
        <v>45199.0</v>
      </c>
      <c r="C7440" s="49" t="s">
        <v>780</v>
      </c>
      <c r="D7440" s="49">
        <v>500000.0</v>
      </c>
    </row>
    <row r="7441" ht="15.0" hidden="1" customHeight="1">
      <c r="A7441" s="49" t="s">
        <v>430</v>
      </c>
      <c r="B7441" s="50">
        <v>45199.0</v>
      </c>
      <c r="C7441" s="49" t="s">
        <v>780</v>
      </c>
      <c r="D7441" s="49">
        <v>4100000.0</v>
      </c>
    </row>
    <row r="7442" ht="15.0" hidden="1" customHeight="1">
      <c r="A7442" s="49" t="s">
        <v>434</v>
      </c>
      <c r="B7442" s="50">
        <v>45199.0</v>
      </c>
      <c r="C7442" s="49" t="s">
        <v>780</v>
      </c>
      <c r="D7442" s="49">
        <v>3000000.0</v>
      </c>
    </row>
    <row r="7443" ht="15.0" hidden="1" customHeight="1">
      <c r="A7443" s="49" t="s">
        <v>439</v>
      </c>
      <c r="B7443" s="50">
        <v>45199.0</v>
      </c>
      <c r="C7443" s="49" t="s">
        <v>780</v>
      </c>
      <c r="D7443" s="49">
        <v>3134250.0</v>
      </c>
    </row>
    <row r="7444" ht="15.0" hidden="1" customHeight="1">
      <c r="A7444" s="49" t="s">
        <v>444</v>
      </c>
      <c r="B7444" s="50">
        <v>45199.0</v>
      </c>
      <c r="C7444" s="49" t="s">
        <v>780</v>
      </c>
      <c r="D7444" s="49">
        <v>385000.0</v>
      </c>
    </row>
    <row r="7445" ht="15.0" hidden="1" customHeight="1">
      <c r="A7445" s="49" t="s">
        <v>449</v>
      </c>
      <c r="B7445" s="50">
        <v>45199.0</v>
      </c>
      <c r="C7445" s="49" t="s">
        <v>780</v>
      </c>
      <c r="D7445" s="49">
        <v>0.0</v>
      </c>
    </row>
    <row r="7446" ht="15.0" hidden="1" customHeight="1">
      <c r="A7446" s="49" t="s">
        <v>455</v>
      </c>
      <c r="B7446" s="50">
        <v>45199.0</v>
      </c>
      <c r="C7446" s="49" t="s">
        <v>780</v>
      </c>
      <c r="D7446" s="49">
        <v>0.0</v>
      </c>
    </row>
    <row r="7447" ht="15.0" hidden="1" customHeight="1">
      <c r="A7447" s="49" t="s">
        <v>470</v>
      </c>
      <c r="B7447" s="50">
        <v>45199.0</v>
      </c>
      <c r="C7447" s="49" t="s">
        <v>780</v>
      </c>
      <c r="D7447" s="49">
        <v>0.0</v>
      </c>
    </row>
    <row r="7448" ht="15.0" hidden="1" customHeight="1">
      <c r="A7448" s="49" t="s">
        <v>476</v>
      </c>
      <c r="B7448" s="50">
        <v>45199.0</v>
      </c>
      <c r="C7448" s="49" t="s">
        <v>780</v>
      </c>
      <c r="D7448" s="49">
        <v>0.0</v>
      </c>
    </row>
    <row r="7449" ht="15.0" hidden="1" customHeight="1">
      <c r="A7449" s="49" t="s">
        <v>481</v>
      </c>
      <c r="B7449" s="50">
        <v>45199.0</v>
      </c>
      <c r="C7449" s="49" t="s">
        <v>780</v>
      </c>
      <c r="D7449" s="49">
        <v>0.0</v>
      </c>
    </row>
    <row r="7450" ht="15.0" hidden="1" customHeight="1">
      <c r="A7450" s="49" t="s">
        <v>486</v>
      </c>
      <c r="B7450" s="50">
        <v>45199.0</v>
      </c>
      <c r="C7450" s="49" t="s">
        <v>780</v>
      </c>
      <c r="D7450" s="49">
        <v>0.0</v>
      </c>
    </row>
    <row r="7451" ht="15.0" hidden="1" customHeight="1">
      <c r="A7451" s="49" t="s">
        <v>491</v>
      </c>
      <c r="B7451" s="50">
        <v>45199.0</v>
      </c>
      <c r="C7451" s="49" t="s">
        <v>780</v>
      </c>
      <c r="D7451" s="49">
        <v>0.0</v>
      </c>
    </row>
    <row r="7452" ht="15.0" hidden="1" customHeight="1">
      <c r="A7452" s="49" t="s">
        <v>496</v>
      </c>
      <c r="B7452" s="50">
        <v>45199.0</v>
      </c>
      <c r="C7452" s="49" t="s">
        <v>780</v>
      </c>
      <c r="D7452" s="49">
        <v>0.0</v>
      </c>
    </row>
    <row r="7453" ht="15.0" hidden="1" customHeight="1">
      <c r="A7453" s="49" t="s">
        <v>501</v>
      </c>
      <c r="B7453" s="50">
        <v>45199.0</v>
      </c>
      <c r="C7453" s="49" t="s">
        <v>780</v>
      </c>
      <c r="D7453" s="49">
        <v>0.0</v>
      </c>
    </row>
    <row r="7454" ht="15.0" hidden="1" customHeight="1">
      <c r="A7454" s="49" t="s">
        <v>506</v>
      </c>
      <c r="B7454" s="50">
        <v>45199.0</v>
      </c>
      <c r="C7454" s="49" t="s">
        <v>780</v>
      </c>
      <c r="D7454" s="49">
        <v>0.0</v>
      </c>
    </row>
    <row r="7455" ht="15.0" hidden="1" customHeight="1">
      <c r="A7455" s="49" t="s">
        <v>512</v>
      </c>
      <c r="B7455" s="50">
        <v>45199.0</v>
      </c>
      <c r="C7455" s="49" t="s">
        <v>780</v>
      </c>
      <c r="D7455" s="49">
        <v>0.0</v>
      </c>
    </row>
    <row r="7456" ht="15.0" hidden="1" customHeight="1">
      <c r="A7456" s="49" t="s">
        <v>517</v>
      </c>
      <c r="B7456" s="50">
        <v>45199.0</v>
      </c>
      <c r="C7456" s="49" t="s">
        <v>780</v>
      </c>
      <c r="D7456" s="49">
        <v>0.0</v>
      </c>
    </row>
    <row r="7457" ht="15.0" hidden="1" customHeight="1">
      <c r="A7457" s="49" t="s">
        <v>522</v>
      </c>
      <c r="B7457" s="50">
        <v>45199.0</v>
      </c>
      <c r="C7457" s="49" t="s">
        <v>780</v>
      </c>
      <c r="D7457" s="49">
        <v>0.0</v>
      </c>
    </row>
    <row r="7458" ht="15.0" hidden="1" customHeight="1">
      <c r="A7458" s="49" t="s">
        <v>528</v>
      </c>
      <c r="B7458" s="50">
        <v>45199.0</v>
      </c>
      <c r="C7458" s="49" t="s">
        <v>780</v>
      </c>
      <c r="D7458" s="49">
        <v>0.0</v>
      </c>
    </row>
    <row r="7459" ht="15.0" hidden="1" customHeight="1">
      <c r="A7459" s="49" t="s">
        <v>533</v>
      </c>
      <c r="B7459" s="50">
        <v>45199.0</v>
      </c>
      <c r="C7459" s="49" t="s">
        <v>780</v>
      </c>
      <c r="D7459" s="49">
        <v>0.0</v>
      </c>
    </row>
    <row r="7460" ht="15.0" hidden="1" customHeight="1">
      <c r="A7460" s="49" t="s">
        <v>538</v>
      </c>
      <c r="B7460" s="50">
        <v>45199.0</v>
      </c>
      <c r="C7460" s="49" t="s">
        <v>780</v>
      </c>
      <c r="D7460" s="49">
        <v>0.0</v>
      </c>
    </row>
    <row r="7461" ht="15.0" hidden="1" customHeight="1">
      <c r="A7461" s="49" t="s">
        <v>546</v>
      </c>
      <c r="B7461" s="50">
        <v>45199.0</v>
      </c>
      <c r="C7461" s="49" t="s">
        <v>780</v>
      </c>
      <c r="D7461" s="49">
        <v>0.0</v>
      </c>
    </row>
    <row r="7462" ht="15.0" hidden="1" customHeight="1">
      <c r="A7462" s="49" t="s">
        <v>551</v>
      </c>
      <c r="B7462" s="50">
        <v>45199.0</v>
      </c>
      <c r="C7462" s="49" t="s">
        <v>780</v>
      </c>
      <c r="D7462" s="49">
        <v>0.0</v>
      </c>
    </row>
    <row r="7463" ht="15.0" hidden="1" customHeight="1">
      <c r="A7463" s="49" t="s">
        <v>556</v>
      </c>
      <c r="B7463" s="50">
        <v>45199.0</v>
      </c>
      <c r="C7463" s="49" t="s">
        <v>780</v>
      </c>
      <c r="D7463" s="49">
        <v>0.0</v>
      </c>
    </row>
    <row r="7464" ht="15.0" hidden="1" customHeight="1">
      <c r="A7464" s="49" t="s">
        <v>561</v>
      </c>
      <c r="B7464" s="50">
        <v>45199.0</v>
      </c>
      <c r="C7464" s="49" t="s">
        <v>780</v>
      </c>
      <c r="D7464" s="49">
        <v>0.0</v>
      </c>
    </row>
    <row r="7465" ht="15.0" hidden="1" customHeight="1">
      <c r="A7465" s="49" t="s">
        <v>566</v>
      </c>
      <c r="B7465" s="50">
        <v>45199.0</v>
      </c>
      <c r="C7465" s="49" t="s">
        <v>780</v>
      </c>
      <c r="D7465" s="49">
        <v>0.0</v>
      </c>
    </row>
    <row r="7466" ht="15.0" hidden="1" customHeight="1">
      <c r="A7466" s="49" t="s">
        <v>571</v>
      </c>
      <c r="B7466" s="50">
        <v>45199.0</v>
      </c>
      <c r="C7466" s="49" t="s">
        <v>780</v>
      </c>
      <c r="D7466" s="49">
        <v>0.0</v>
      </c>
    </row>
    <row r="7467" ht="15.0" hidden="1" customHeight="1">
      <c r="A7467" s="49" t="s">
        <v>576</v>
      </c>
      <c r="B7467" s="50">
        <v>45199.0</v>
      </c>
      <c r="C7467" s="49" t="s">
        <v>780</v>
      </c>
      <c r="D7467" s="49">
        <v>0.0</v>
      </c>
    </row>
    <row r="7468" ht="15.0" hidden="1" customHeight="1">
      <c r="A7468" s="49" t="s">
        <v>581</v>
      </c>
      <c r="B7468" s="50">
        <v>45199.0</v>
      </c>
      <c r="C7468" s="49" t="s">
        <v>780</v>
      </c>
      <c r="D7468" s="49">
        <v>0.0</v>
      </c>
    </row>
    <row r="7469" ht="15.0" hidden="1" customHeight="1">
      <c r="A7469" s="49" t="s">
        <v>586</v>
      </c>
      <c r="B7469" s="50">
        <v>45199.0</v>
      </c>
      <c r="C7469" s="49" t="s">
        <v>780</v>
      </c>
      <c r="D7469" s="49">
        <v>0.0</v>
      </c>
    </row>
    <row r="7470" ht="15.0" hidden="1" customHeight="1">
      <c r="A7470" s="49" t="s">
        <v>754</v>
      </c>
      <c r="B7470" s="50">
        <v>45199.0</v>
      </c>
      <c r="C7470" s="49" t="s">
        <v>780</v>
      </c>
      <c r="D7470" s="49">
        <v>0.0</v>
      </c>
    </row>
    <row r="7471" ht="15.0" hidden="1" customHeight="1">
      <c r="A7471" s="49" t="s">
        <v>591</v>
      </c>
      <c r="B7471" s="50">
        <v>45199.0</v>
      </c>
      <c r="C7471" s="49" t="s">
        <v>780</v>
      </c>
      <c r="D7471" s="49">
        <v>0.0</v>
      </c>
    </row>
    <row r="7472" ht="15.0" hidden="1" customHeight="1">
      <c r="A7472" s="49" t="s">
        <v>759</v>
      </c>
      <c r="B7472" s="50">
        <v>45199.0</v>
      </c>
      <c r="C7472" s="49" t="s">
        <v>780</v>
      </c>
      <c r="D7472" s="49">
        <v>0.0</v>
      </c>
    </row>
    <row r="7473" ht="15.0" hidden="1" customHeight="1">
      <c r="A7473" s="49" t="s">
        <v>596</v>
      </c>
      <c r="B7473" s="50">
        <v>45199.0</v>
      </c>
      <c r="C7473" s="49" t="s">
        <v>780</v>
      </c>
      <c r="D7473" s="49">
        <v>0.0</v>
      </c>
    </row>
    <row r="7474" ht="15.0" hidden="1" customHeight="1">
      <c r="A7474" s="49" t="s">
        <v>602</v>
      </c>
      <c r="B7474" s="50">
        <v>45199.0</v>
      </c>
      <c r="C7474" s="49" t="s">
        <v>780</v>
      </c>
      <c r="D7474" s="49">
        <v>0.0</v>
      </c>
    </row>
    <row r="7475" ht="15.0" hidden="1" customHeight="1">
      <c r="A7475" s="49" t="s">
        <v>607</v>
      </c>
      <c r="B7475" s="50">
        <v>45199.0</v>
      </c>
      <c r="C7475" s="49" t="s">
        <v>780</v>
      </c>
      <c r="D7475" s="49">
        <v>0.0</v>
      </c>
    </row>
    <row r="7476" ht="15.0" hidden="1" customHeight="1">
      <c r="A7476" s="49" t="s">
        <v>612</v>
      </c>
      <c r="B7476" s="50">
        <v>45199.0</v>
      </c>
      <c r="C7476" s="49" t="s">
        <v>780</v>
      </c>
      <c r="D7476" s="49">
        <v>0.0</v>
      </c>
    </row>
    <row r="7477" ht="15.0" hidden="1" customHeight="1">
      <c r="A7477" s="49" t="s">
        <v>617</v>
      </c>
      <c r="B7477" s="50">
        <v>45199.0</v>
      </c>
      <c r="C7477" s="49" t="s">
        <v>780</v>
      </c>
      <c r="D7477" s="49">
        <v>0.0</v>
      </c>
    </row>
    <row r="7478" ht="15.0" hidden="1" customHeight="1">
      <c r="A7478" s="49" t="s">
        <v>622</v>
      </c>
      <c r="B7478" s="50">
        <v>45199.0</v>
      </c>
      <c r="C7478" s="49" t="s">
        <v>780</v>
      </c>
      <c r="D7478" s="49">
        <v>0.0</v>
      </c>
    </row>
    <row r="7479" ht="15.0" hidden="1" customHeight="1">
      <c r="A7479" s="49" t="s">
        <v>627</v>
      </c>
      <c r="B7479" s="50">
        <v>45199.0</v>
      </c>
      <c r="C7479" s="49" t="s">
        <v>780</v>
      </c>
      <c r="D7479" s="49">
        <v>0.0</v>
      </c>
    </row>
    <row r="7480" ht="15.0" hidden="1" customHeight="1">
      <c r="A7480" s="49" t="s">
        <v>631</v>
      </c>
      <c r="B7480" s="50">
        <v>45199.0</v>
      </c>
      <c r="C7480" s="49" t="s">
        <v>780</v>
      </c>
      <c r="D7480" s="49">
        <v>0.0</v>
      </c>
    </row>
    <row r="7481" ht="15.0" hidden="1" customHeight="1">
      <c r="A7481" s="49" t="s">
        <v>636</v>
      </c>
      <c r="B7481" s="50">
        <v>45199.0</v>
      </c>
      <c r="C7481" s="49" t="s">
        <v>780</v>
      </c>
      <c r="D7481" s="49">
        <v>0.0</v>
      </c>
    </row>
    <row r="7482" ht="15.0" hidden="1" customHeight="1">
      <c r="A7482" s="49" t="s">
        <v>640</v>
      </c>
      <c r="B7482" s="50">
        <v>45199.0</v>
      </c>
      <c r="C7482" s="49" t="s">
        <v>780</v>
      </c>
      <c r="D7482" s="49">
        <v>0.0</v>
      </c>
    </row>
    <row r="7483" ht="15.0" hidden="1" customHeight="1">
      <c r="A7483" s="49" t="s">
        <v>644</v>
      </c>
      <c r="B7483" s="50">
        <v>45199.0</v>
      </c>
      <c r="C7483" s="49" t="s">
        <v>780</v>
      </c>
      <c r="D7483" s="49">
        <v>0.0</v>
      </c>
    </row>
    <row r="7484" ht="15.0" hidden="1" customHeight="1">
      <c r="A7484" s="49" t="s">
        <v>649</v>
      </c>
      <c r="B7484" s="50">
        <v>45199.0</v>
      </c>
      <c r="C7484" s="49" t="s">
        <v>780</v>
      </c>
      <c r="D7484" s="49">
        <v>0.0</v>
      </c>
    </row>
    <row r="7485" ht="15.0" hidden="1" customHeight="1">
      <c r="A7485" s="49" t="s">
        <v>654</v>
      </c>
      <c r="B7485" s="50">
        <v>45199.0</v>
      </c>
      <c r="C7485" s="49" t="s">
        <v>780</v>
      </c>
      <c r="D7485" s="49">
        <v>0.0</v>
      </c>
    </row>
    <row r="7486" ht="15.0" hidden="1" customHeight="1">
      <c r="A7486" s="49" t="s">
        <v>659</v>
      </c>
      <c r="B7486" s="50">
        <v>45199.0</v>
      </c>
      <c r="C7486" s="49" t="s">
        <v>780</v>
      </c>
      <c r="D7486" s="49">
        <v>0.0</v>
      </c>
    </row>
    <row r="7487" ht="15.0" hidden="1" customHeight="1">
      <c r="A7487" s="49" t="s">
        <v>664</v>
      </c>
      <c r="B7487" s="50">
        <v>45199.0</v>
      </c>
      <c r="C7487" s="49" t="s">
        <v>780</v>
      </c>
      <c r="D7487" s="49">
        <v>0.0</v>
      </c>
    </row>
    <row r="7488" ht="15.0" hidden="1" customHeight="1">
      <c r="A7488" s="49" t="s">
        <v>669</v>
      </c>
      <c r="B7488" s="50">
        <v>45199.0</v>
      </c>
      <c r="C7488" s="49" t="s">
        <v>780</v>
      </c>
      <c r="D7488" s="49">
        <v>0.0</v>
      </c>
    </row>
    <row r="7489" ht="15.0" hidden="1" customHeight="1">
      <c r="A7489" s="49" t="s">
        <v>674</v>
      </c>
      <c r="B7489" s="50">
        <v>45199.0</v>
      </c>
      <c r="C7489" s="49" t="s">
        <v>780</v>
      </c>
      <c r="D7489" s="49">
        <v>0.0</v>
      </c>
    </row>
    <row r="7490" ht="15.0" hidden="1" customHeight="1">
      <c r="A7490" s="49" t="s">
        <v>679</v>
      </c>
      <c r="B7490" s="50">
        <v>45199.0</v>
      </c>
      <c r="C7490" s="49" t="s">
        <v>780</v>
      </c>
      <c r="D7490" s="49">
        <v>0.0</v>
      </c>
    </row>
    <row r="7491" ht="15.0" hidden="1" customHeight="1">
      <c r="A7491" s="49" t="s">
        <v>684</v>
      </c>
      <c r="B7491" s="50">
        <v>45199.0</v>
      </c>
      <c r="C7491" s="49" t="s">
        <v>780</v>
      </c>
      <c r="D7491" s="49">
        <v>0.0</v>
      </c>
    </row>
    <row r="7492" ht="15.0" hidden="1" customHeight="1">
      <c r="A7492" s="49" t="s">
        <v>689</v>
      </c>
      <c r="B7492" s="50">
        <v>45199.0</v>
      </c>
      <c r="C7492" s="49" t="s">
        <v>780</v>
      </c>
      <c r="D7492" s="49">
        <v>0.0</v>
      </c>
    </row>
    <row r="7493" ht="15.0" hidden="1" customHeight="1">
      <c r="A7493" s="49" t="s">
        <v>694</v>
      </c>
      <c r="B7493" s="50">
        <v>45199.0</v>
      </c>
      <c r="C7493" s="49" t="s">
        <v>780</v>
      </c>
      <c r="D7493" s="49">
        <v>0.0</v>
      </c>
    </row>
    <row r="7494" ht="15.0" hidden="1" customHeight="1">
      <c r="A7494" s="49" t="s">
        <v>699</v>
      </c>
      <c r="B7494" s="50">
        <v>45199.0</v>
      </c>
      <c r="C7494" s="49" t="s">
        <v>780</v>
      </c>
      <c r="D7494" s="49">
        <v>0.0</v>
      </c>
    </row>
    <row r="7495" ht="15.0" hidden="1" customHeight="1">
      <c r="A7495" s="49" t="s">
        <v>705</v>
      </c>
      <c r="B7495" s="50">
        <v>45199.0</v>
      </c>
      <c r="C7495" s="49" t="s">
        <v>780</v>
      </c>
      <c r="D7495" s="49">
        <v>0.0</v>
      </c>
    </row>
    <row r="7496" ht="15.0" hidden="1" customHeight="1">
      <c r="A7496" s="49" t="s">
        <v>710</v>
      </c>
      <c r="B7496" s="50">
        <v>45199.0</v>
      </c>
      <c r="C7496" s="49" t="s">
        <v>780</v>
      </c>
      <c r="D7496" s="49">
        <v>0.0</v>
      </c>
    </row>
    <row r="7497" ht="15.0" hidden="1" customHeight="1">
      <c r="A7497" s="49" t="s">
        <v>715</v>
      </c>
      <c r="B7497" s="50">
        <v>45199.0</v>
      </c>
      <c r="C7497" s="49" t="s">
        <v>780</v>
      </c>
      <c r="D7497" s="49">
        <v>0.0</v>
      </c>
    </row>
    <row r="7498" ht="15.0" hidden="1" customHeight="1">
      <c r="A7498" s="49" t="s">
        <v>765</v>
      </c>
      <c r="B7498" s="50">
        <v>45199.0</v>
      </c>
      <c r="C7498" s="49" t="s">
        <v>780</v>
      </c>
      <c r="D7498" s="49">
        <v>0.0</v>
      </c>
    </row>
    <row r="7499" ht="15.0" hidden="1" customHeight="1">
      <c r="A7499" s="49" t="s">
        <v>720</v>
      </c>
      <c r="B7499" s="50">
        <v>45199.0</v>
      </c>
      <c r="C7499" s="49" t="s">
        <v>780</v>
      </c>
      <c r="D7499" s="49">
        <v>0.0</v>
      </c>
    </row>
    <row r="7500" ht="15.0" hidden="1" customHeight="1">
      <c r="A7500" s="49" t="s">
        <v>725</v>
      </c>
      <c r="B7500" s="50">
        <v>45199.0</v>
      </c>
      <c r="C7500" s="49" t="s">
        <v>780</v>
      </c>
      <c r="D7500" s="49">
        <v>0.0</v>
      </c>
    </row>
    <row r="7501" ht="15.0" hidden="1" customHeight="1">
      <c r="A7501" s="49" t="s">
        <v>730</v>
      </c>
      <c r="B7501" s="50">
        <v>45199.0</v>
      </c>
      <c r="C7501" s="49" t="s">
        <v>780</v>
      </c>
      <c r="D7501" s="49">
        <v>0.0</v>
      </c>
    </row>
    <row r="7502" ht="15.0" hidden="1" customHeight="1">
      <c r="A7502" s="49" t="s">
        <v>734</v>
      </c>
      <c r="B7502" s="50">
        <v>45199.0</v>
      </c>
      <c r="C7502" s="49" t="s">
        <v>780</v>
      </c>
      <c r="D7502" s="49">
        <v>0.0</v>
      </c>
    </row>
    <row r="7503" ht="15.0" hidden="1" customHeight="1">
      <c r="A7503" s="49" t="s">
        <v>739</v>
      </c>
      <c r="B7503" s="50">
        <v>45199.0</v>
      </c>
      <c r="C7503" s="49" t="s">
        <v>780</v>
      </c>
      <c r="D7503" s="49">
        <v>0.0</v>
      </c>
    </row>
    <row r="7504" ht="15.0" hidden="1" customHeight="1">
      <c r="A7504" s="49" t="s">
        <v>744</v>
      </c>
      <c r="B7504" s="50">
        <v>45199.0</v>
      </c>
      <c r="C7504" s="49" t="s">
        <v>780</v>
      </c>
      <c r="D7504" s="49">
        <v>0.0</v>
      </c>
    </row>
    <row r="7505" ht="15.0" hidden="1" customHeight="1">
      <c r="A7505" s="49" t="s">
        <v>749</v>
      </c>
      <c r="B7505" s="50">
        <v>45199.0</v>
      </c>
      <c r="C7505" s="49" t="s">
        <v>780</v>
      </c>
      <c r="D7505" s="49">
        <v>0.0</v>
      </c>
    </row>
    <row r="7506" ht="15.0" customHeight="1">
      <c r="A7506" s="49" t="s">
        <v>776</v>
      </c>
      <c r="B7506" s="50">
        <v>45291.0</v>
      </c>
      <c r="C7506" s="49" t="s">
        <v>777</v>
      </c>
      <c r="D7506" s="49">
        <v>0.0</v>
      </c>
    </row>
    <row r="7507" ht="15.0" hidden="1" customHeight="1">
      <c r="A7507" s="49" t="s">
        <v>778</v>
      </c>
      <c r="B7507" s="50">
        <v>45291.0</v>
      </c>
      <c r="C7507" s="49" t="s">
        <v>777</v>
      </c>
      <c r="D7507" s="49">
        <v>0.0</v>
      </c>
    </row>
    <row r="7508" ht="15.0" hidden="1" customHeight="1">
      <c r="A7508" s="49" t="s">
        <v>92</v>
      </c>
      <c r="B7508" s="50">
        <v>45291.0</v>
      </c>
      <c r="C7508" s="49" t="s">
        <v>777</v>
      </c>
      <c r="D7508" s="49">
        <v>0.0</v>
      </c>
    </row>
    <row r="7509" ht="15.0" hidden="1" customHeight="1">
      <c r="A7509" s="49" t="s">
        <v>97</v>
      </c>
      <c r="B7509" s="50">
        <v>45291.0</v>
      </c>
      <c r="C7509" s="49" t="s">
        <v>777</v>
      </c>
      <c r="D7509" s="49">
        <v>0.0</v>
      </c>
    </row>
    <row r="7510" ht="15.0" hidden="1" customHeight="1">
      <c r="A7510" s="49" t="s">
        <v>102</v>
      </c>
      <c r="B7510" s="50">
        <v>45291.0</v>
      </c>
      <c r="C7510" s="49" t="s">
        <v>777</v>
      </c>
      <c r="D7510" s="49">
        <v>0.0</v>
      </c>
    </row>
    <row r="7511" ht="15.0" hidden="1" customHeight="1">
      <c r="A7511" s="49" t="s">
        <v>106</v>
      </c>
      <c r="B7511" s="50">
        <v>45291.0</v>
      </c>
      <c r="C7511" s="49" t="s">
        <v>777</v>
      </c>
      <c r="D7511" s="49">
        <v>0.0</v>
      </c>
    </row>
    <row r="7512" ht="15.0" hidden="1" customHeight="1">
      <c r="A7512" s="49" t="s">
        <v>111</v>
      </c>
      <c r="B7512" s="50">
        <v>45291.0</v>
      </c>
      <c r="C7512" s="49" t="s">
        <v>777</v>
      </c>
      <c r="D7512" s="49">
        <v>0.0</v>
      </c>
    </row>
    <row r="7513" ht="15.0" hidden="1" customHeight="1">
      <c r="A7513" s="49" t="s">
        <v>116</v>
      </c>
      <c r="B7513" s="50">
        <v>45291.0</v>
      </c>
      <c r="C7513" s="49" t="s">
        <v>777</v>
      </c>
      <c r="D7513" s="49">
        <v>0.0</v>
      </c>
    </row>
    <row r="7514" ht="15.0" hidden="1" customHeight="1">
      <c r="A7514" s="49" t="s">
        <v>120</v>
      </c>
      <c r="B7514" s="50">
        <v>45291.0</v>
      </c>
      <c r="C7514" s="49" t="s">
        <v>777</v>
      </c>
      <c r="D7514" s="49">
        <v>0.0</v>
      </c>
    </row>
    <row r="7515" ht="15.0" hidden="1" customHeight="1">
      <c r="A7515" s="49" t="s">
        <v>125</v>
      </c>
      <c r="B7515" s="50">
        <v>45291.0</v>
      </c>
      <c r="C7515" s="49" t="s">
        <v>777</v>
      </c>
      <c r="D7515" s="49">
        <v>0.0</v>
      </c>
    </row>
    <row r="7516" ht="15.0" hidden="1" customHeight="1">
      <c r="A7516" s="49" t="s">
        <v>130</v>
      </c>
      <c r="B7516" s="50">
        <v>45291.0</v>
      </c>
      <c r="C7516" s="49" t="s">
        <v>777</v>
      </c>
      <c r="D7516" s="49">
        <v>0.0</v>
      </c>
    </row>
    <row r="7517" ht="15.0" hidden="1" customHeight="1">
      <c r="A7517" s="49" t="s">
        <v>137</v>
      </c>
      <c r="B7517" s="50">
        <v>45291.0</v>
      </c>
      <c r="C7517" s="49" t="s">
        <v>777</v>
      </c>
      <c r="D7517" s="49">
        <v>0.0</v>
      </c>
    </row>
    <row r="7518" ht="15.0" hidden="1" customHeight="1">
      <c r="A7518" s="49" t="s">
        <v>142</v>
      </c>
      <c r="B7518" s="50">
        <v>45291.0</v>
      </c>
      <c r="C7518" s="49" t="s">
        <v>777</v>
      </c>
      <c r="D7518" s="49">
        <v>0.0</v>
      </c>
    </row>
    <row r="7519" ht="15.0" hidden="1" customHeight="1">
      <c r="A7519" s="49" t="s">
        <v>147</v>
      </c>
      <c r="B7519" s="50">
        <v>45291.0</v>
      </c>
      <c r="C7519" s="49" t="s">
        <v>777</v>
      </c>
      <c r="D7519" s="49">
        <v>0.0</v>
      </c>
    </row>
    <row r="7520" ht="15.0" hidden="1" customHeight="1">
      <c r="A7520" s="49" t="s">
        <v>152</v>
      </c>
      <c r="B7520" s="50">
        <v>45291.0</v>
      </c>
      <c r="C7520" s="49" t="s">
        <v>777</v>
      </c>
      <c r="D7520" s="49">
        <v>0.0</v>
      </c>
    </row>
    <row r="7521" ht="15.0" hidden="1" customHeight="1">
      <c r="A7521" s="49" t="s">
        <v>157</v>
      </c>
      <c r="B7521" s="50">
        <v>45291.0</v>
      </c>
      <c r="C7521" s="49" t="s">
        <v>777</v>
      </c>
      <c r="D7521" s="49">
        <v>0.0</v>
      </c>
    </row>
    <row r="7522" ht="15.0" hidden="1" customHeight="1">
      <c r="A7522" s="49" t="s">
        <v>162</v>
      </c>
      <c r="B7522" s="50">
        <v>45291.0</v>
      </c>
      <c r="C7522" s="49" t="s">
        <v>777</v>
      </c>
      <c r="D7522" s="49">
        <v>0.0</v>
      </c>
    </row>
    <row r="7523" ht="15.0" hidden="1" customHeight="1">
      <c r="A7523" s="49" t="s">
        <v>167</v>
      </c>
      <c r="B7523" s="50">
        <v>45291.0</v>
      </c>
      <c r="C7523" s="49" t="s">
        <v>777</v>
      </c>
      <c r="D7523" s="49">
        <v>0.0</v>
      </c>
    </row>
    <row r="7524" ht="15.0" hidden="1" customHeight="1">
      <c r="A7524" s="49" t="s">
        <v>172</v>
      </c>
      <c r="B7524" s="50">
        <v>45291.0</v>
      </c>
      <c r="C7524" s="49" t="s">
        <v>777</v>
      </c>
      <c r="D7524" s="49">
        <v>0.0</v>
      </c>
    </row>
    <row r="7525" ht="15.0" hidden="1" customHeight="1">
      <c r="A7525" s="49" t="s">
        <v>177</v>
      </c>
      <c r="B7525" s="50">
        <v>45291.0</v>
      </c>
      <c r="C7525" s="49" t="s">
        <v>777</v>
      </c>
      <c r="D7525" s="49">
        <v>0.0</v>
      </c>
    </row>
    <row r="7526" ht="15.0" hidden="1" customHeight="1">
      <c r="A7526" s="49" t="s">
        <v>182</v>
      </c>
      <c r="B7526" s="50">
        <v>45291.0</v>
      </c>
      <c r="C7526" s="49" t="s">
        <v>777</v>
      </c>
      <c r="D7526" s="49">
        <v>0.0</v>
      </c>
    </row>
    <row r="7527" ht="15.0" hidden="1" customHeight="1">
      <c r="A7527" s="49" t="s">
        <v>187</v>
      </c>
      <c r="B7527" s="50">
        <v>45291.0</v>
      </c>
      <c r="C7527" s="49" t="s">
        <v>777</v>
      </c>
      <c r="D7527" s="49">
        <v>0.0</v>
      </c>
    </row>
    <row r="7528" ht="15.0" hidden="1" customHeight="1">
      <c r="A7528" s="49" t="s">
        <v>192</v>
      </c>
      <c r="B7528" s="50">
        <v>45291.0</v>
      </c>
      <c r="C7528" s="49" t="s">
        <v>777</v>
      </c>
      <c r="D7528" s="49">
        <v>0.0</v>
      </c>
    </row>
    <row r="7529" ht="15.0" hidden="1" customHeight="1">
      <c r="A7529" s="49" t="s">
        <v>197</v>
      </c>
      <c r="B7529" s="50">
        <v>45291.0</v>
      </c>
      <c r="C7529" s="49" t="s">
        <v>777</v>
      </c>
      <c r="D7529" s="49">
        <v>0.0</v>
      </c>
    </row>
    <row r="7530" ht="15.0" hidden="1" customHeight="1">
      <c r="A7530" s="49" t="s">
        <v>202</v>
      </c>
      <c r="B7530" s="50">
        <v>45291.0</v>
      </c>
      <c r="C7530" s="49" t="s">
        <v>777</v>
      </c>
      <c r="D7530" s="49">
        <v>0.0</v>
      </c>
    </row>
    <row r="7531" ht="15.0" hidden="1" customHeight="1">
      <c r="A7531" s="49" t="s">
        <v>206</v>
      </c>
      <c r="B7531" s="50">
        <v>45291.0</v>
      </c>
      <c r="C7531" s="49" t="s">
        <v>777</v>
      </c>
      <c r="D7531" s="49">
        <v>0.0</v>
      </c>
    </row>
    <row r="7532" ht="15.0" hidden="1" customHeight="1">
      <c r="A7532" s="49" t="s">
        <v>211</v>
      </c>
      <c r="B7532" s="50">
        <v>45291.0</v>
      </c>
      <c r="C7532" s="49" t="s">
        <v>777</v>
      </c>
      <c r="D7532" s="49">
        <v>0.0</v>
      </c>
    </row>
    <row r="7533" ht="15.0" hidden="1" customHeight="1">
      <c r="A7533" s="49" t="s">
        <v>779</v>
      </c>
      <c r="B7533" s="50">
        <v>45291.0</v>
      </c>
      <c r="C7533" s="49" t="s">
        <v>777</v>
      </c>
      <c r="D7533" s="49">
        <v>0.0</v>
      </c>
    </row>
    <row r="7534" ht="15.0" hidden="1" customHeight="1">
      <c r="A7534" s="49" t="s">
        <v>221</v>
      </c>
      <c r="B7534" s="50">
        <v>45291.0</v>
      </c>
      <c r="C7534" s="49" t="s">
        <v>777</v>
      </c>
      <c r="D7534" s="49">
        <v>0.0</v>
      </c>
    </row>
    <row r="7535" ht="15.0" hidden="1" customHeight="1">
      <c r="A7535" s="49" t="s">
        <v>226</v>
      </c>
      <c r="B7535" s="50">
        <v>45291.0</v>
      </c>
      <c r="C7535" s="49" t="s">
        <v>777</v>
      </c>
      <c r="D7535" s="49">
        <v>0.0</v>
      </c>
    </row>
    <row r="7536" ht="15.0" hidden="1" customHeight="1">
      <c r="A7536" s="49" t="s">
        <v>231</v>
      </c>
      <c r="B7536" s="50">
        <v>45291.0</v>
      </c>
      <c r="C7536" s="49" t="s">
        <v>777</v>
      </c>
      <c r="D7536" s="49">
        <v>0.0</v>
      </c>
    </row>
    <row r="7537" ht="15.0" hidden="1" customHeight="1">
      <c r="A7537" s="49" t="s">
        <v>236</v>
      </c>
      <c r="B7537" s="50">
        <v>45291.0</v>
      </c>
      <c r="C7537" s="49" t="s">
        <v>777</v>
      </c>
      <c r="D7537" s="49">
        <v>0.0</v>
      </c>
    </row>
    <row r="7538" ht="15.0" hidden="1" customHeight="1">
      <c r="A7538" s="49" t="s">
        <v>242</v>
      </c>
      <c r="B7538" s="50">
        <v>45291.0</v>
      </c>
      <c r="C7538" s="49" t="s">
        <v>777</v>
      </c>
      <c r="D7538" s="49">
        <v>0.0</v>
      </c>
    </row>
    <row r="7539" ht="15.0" hidden="1" customHeight="1">
      <c r="A7539" s="49" t="s">
        <v>248</v>
      </c>
      <c r="B7539" s="50">
        <v>45291.0</v>
      </c>
      <c r="C7539" s="49" t="s">
        <v>777</v>
      </c>
      <c r="D7539" s="49">
        <v>0.0</v>
      </c>
    </row>
    <row r="7540" ht="15.0" hidden="1" customHeight="1">
      <c r="A7540" s="49" t="s">
        <v>253</v>
      </c>
      <c r="B7540" s="50">
        <v>45291.0</v>
      </c>
      <c r="C7540" s="49" t="s">
        <v>777</v>
      </c>
      <c r="D7540" s="49">
        <v>0.0</v>
      </c>
    </row>
    <row r="7541" ht="15.0" hidden="1" customHeight="1">
      <c r="A7541" s="49" t="s">
        <v>258</v>
      </c>
      <c r="B7541" s="50">
        <v>45291.0</v>
      </c>
      <c r="C7541" s="49" t="s">
        <v>777</v>
      </c>
      <c r="D7541" s="49">
        <v>0.0</v>
      </c>
    </row>
    <row r="7542" ht="15.0" hidden="1" customHeight="1">
      <c r="A7542" s="49" t="s">
        <v>263</v>
      </c>
      <c r="B7542" s="50">
        <v>45291.0</v>
      </c>
      <c r="C7542" s="49" t="s">
        <v>777</v>
      </c>
      <c r="D7542" s="49">
        <v>0.0</v>
      </c>
    </row>
    <row r="7543" ht="15.0" hidden="1" customHeight="1">
      <c r="A7543" s="49" t="s">
        <v>268</v>
      </c>
      <c r="B7543" s="50">
        <v>45291.0</v>
      </c>
      <c r="C7543" s="49" t="s">
        <v>777</v>
      </c>
      <c r="D7543" s="49">
        <v>0.0</v>
      </c>
    </row>
    <row r="7544" ht="15.0" hidden="1" customHeight="1">
      <c r="A7544" s="49" t="s">
        <v>273</v>
      </c>
      <c r="B7544" s="50">
        <v>45291.0</v>
      </c>
      <c r="C7544" s="49" t="s">
        <v>777</v>
      </c>
      <c r="D7544" s="49">
        <v>0.0</v>
      </c>
    </row>
    <row r="7545" ht="15.0" hidden="1" customHeight="1">
      <c r="A7545" s="49" t="s">
        <v>278</v>
      </c>
      <c r="B7545" s="50">
        <v>45291.0</v>
      </c>
      <c r="C7545" s="49" t="s">
        <v>777</v>
      </c>
      <c r="D7545" s="49">
        <v>0.0</v>
      </c>
    </row>
    <row r="7546" ht="15.0" hidden="1" customHeight="1">
      <c r="A7546" s="49" t="s">
        <v>283</v>
      </c>
      <c r="B7546" s="50">
        <v>45291.0</v>
      </c>
      <c r="C7546" s="49" t="s">
        <v>777</v>
      </c>
      <c r="D7546" s="49">
        <v>0.0</v>
      </c>
    </row>
    <row r="7547" ht="15.0" hidden="1" customHeight="1">
      <c r="A7547" s="49" t="s">
        <v>288</v>
      </c>
      <c r="B7547" s="50">
        <v>45291.0</v>
      </c>
      <c r="C7547" s="49" t="s">
        <v>777</v>
      </c>
      <c r="D7547" s="49">
        <v>0.0</v>
      </c>
    </row>
    <row r="7548" ht="15.0" hidden="1" customHeight="1">
      <c r="A7548" s="49" t="s">
        <v>293</v>
      </c>
      <c r="B7548" s="50">
        <v>45291.0</v>
      </c>
      <c r="C7548" s="49" t="s">
        <v>777</v>
      </c>
      <c r="D7548" s="49">
        <v>0.0</v>
      </c>
    </row>
    <row r="7549" ht="15.0" hidden="1" customHeight="1">
      <c r="A7549" s="49" t="s">
        <v>298</v>
      </c>
      <c r="B7549" s="50">
        <v>45291.0</v>
      </c>
      <c r="C7549" s="49" t="s">
        <v>777</v>
      </c>
      <c r="D7549" s="49">
        <v>0.0</v>
      </c>
    </row>
    <row r="7550" ht="15.0" hidden="1" customHeight="1">
      <c r="A7550" s="49" t="s">
        <v>303</v>
      </c>
      <c r="B7550" s="50">
        <v>45291.0</v>
      </c>
      <c r="C7550" s="49" t="s">
        <v>777</v>
      </c>
      <c r="D7550" s="49">
        <v>0.0</v>
      </c>
    </row>
    <row r="7551" ht="15.0" hidden="1" customHeight="1">
      <c r="A7551" s="49" t="s">
        <v>307</v>
      </c>
      <c r="B7551" s="50">
        <v>45291.0</v>
      </c>
      <c r="C7551" s="49" t="s">
        <v>777</v>
      </c>
      <c r="D7551" s="49">
        <v>0.0</v>
      </c>
    </row>
    <row r="7552" ht="15.0" hidden="1" customHeight="1">
      <c r="A7552" s="49" t="s">
        <v>313</v>
      </c>
      <c r="B7552" s="50">
        <v>45291.0</v>
      </c>
      <c r="C7552" s="49" t="s">
        <v>777</v>
      </c>
      <c r="D7552" s="49">
        <v>0.0</v>
      </c>
    </row>
    <row r="7553" ht="15.0" hidden="1" customHeight="1">
      <c r="A7553" s="49" t="s">
        <v>318</v>
      </c>
      <c r="B7553" s="50">
        <v>45291.0</v>
      </c>
      <c r="C7553" s="49" t="s">
        <v>777</v>
      </c>
      <c r="D7553" s="49">
        <v>0.0</v>
      </c>
    </row>
    <row r="7554" ht="15.0" hidden="1" customHeight="1">
      <c r="A7554" s="49" t="s">
        <v>323</v>
      </c>
      <c r="B7554" s="50">
        <v>45291.0</v>
      </c>
      <c r="C7554" s="49" t="s">
        <v>777</v>
      </c>
      <c r="D7554" s="49">
        <v>0.0</v>
      </c>
    </row>
    <row r="7555" ht="15.0" hidden="1" customHeight="1">
      <c r="A7555" s="49" t="s">
        <v>328</v>
      </c>
      <c r="B7555" s="50">
        <v>45291.0</v>
      </c>
      <c r="C7555" s="49" t="s">
        <v>777</v>
      </c>
      <c r="D7555" s="49">
        <v>0.0</v>
      </c>
    </row>
    <row r="7556" ht="15.0" hidden="1" customHeight="1">
      <c r="A7556" s="49" t="s">
        <v>335</v>
      </c>
      <c r="B7556" s="50">
        <v>45291.0</v>
      </c>
      <c r="C7556" s="49" t="s">
        <v>777</v>
      </c>
      <c r="D7556" s="49">
        <v>0.0</v>
      </c>
    </row>
    <row r="7557" ht="15.0" hidden="1" customHeight="1">
      <c r="A7557" s="49" t="s">
        <v>340</v>
      </c>
      <c r="B7557" s="50">
        <v>45291.0</v>
      </c>
      <c r="C7557" s="49" t="s">
        <v>777</v>
      </c>
      <c r="D7557" s="49">
        <v>0.0</v>
      </c>
    </row>
    <row r="7558" ht="15.0" hidden="1" customHeight="1">
      <c r="A7558" s="49" t="s">
        <v>345</v>
      </c>
      <c r="B7558" s="50">
        <v>45291.0</v>
      </c>
      <c r="C7558" s="49" t="s">
        <v>777</v>
      </c>
      <c r="D7558" s="49">
        <v>0.0</v>
      </c>
    </row>
    <row r="7559" ht="15.0" hidden="1" customHeight="1">
      <c r="A7559" s="49" t="s">
        <v>350</v>
      </c>
      <c r="B7559" s="50">
        <v>45291.0</v>
      </c>
      <c r="C7559" s="49" t="s">
        <v>777</v>
      </c>
      <c r="D7559" s="49">
        <v>0.0</v>
      </c>
    </row>
    <row r="7560" ht="15.0" hidden="1" customHeight="1">
      <c r="A7560" s="49" t="s">
        <v>355</v>
      </c>
      <c r="B7560" s="50">
        <v>45291.0</v>
      </c>
      <c r="C7560" s="49" t="s">
        <v>777</v>
      </c>
      <c r="D7560" s="49">
        <v>0.0</v>
      </c>
    </row>
    <row r="7561" ht="15.0" hidden="1" customHeight="1">
      <c r="A7561" s="49" t="s">
        <v>360</v>
      </c>
      <c r="B7561" s="50">
        <v>45291.0</v>
      </c>
      <c r="C7561" s="49" t="s">
        <v>777</v>
      </c>
      <c r="D7561" s="49">
        <v>0.0</v>
      </c>
    </row>
    <row r="7562" ht="15.0" hidden="1" customHeight="1">
      <c r="A7562" s="49" t="s">
        <v>365</v>
      </c>
      <c r="B7562" s="50">
        <v>45291.0</v>
      </c>
      <c r="C7562" s="49" t="s">
        <v>777</v>
      </c>
      <c r="D7562" s="49">
        <v>0.0</v>
      </c>
    </row>
    <row r="7563" ht="15.0" hidden="1" customHeight="1">
      <c r="A7563" s="49" t="s">
        <v>370</v>
      </c>
      <c r="B7563" s="50">
        <v>45291.0</v>
      </c>
      <c r="C7563" s="49" t="s">
        <v>777</v>
      </c>
      <c r="D7563" s="49">
        <v>0.0</v>
      </c>
    </row>
    <row r="7564" ht="15.0" hidden="1" customHeight="1">
      <c r="A7564" s="49" t="s">
        <v>375</v>
      </c>
      <c r="B7564" s="50">
        <v>45291.0</v>
      </c>
      <c r="C7564" s="49" t="s">
        <v>777</v>
      </c>
      <c r="D7564" s="49">
        <v>0.0</v>
      </c>
    </row>
    <row r="7565" ht="15.0" hidden="1" customHeight="1">
      <c r="A7565" s="49" t="s">
        <v>380</v>
      </c>
      <c r="B7565" s="50">
        <v>45291.0</v>
      </c>
      <c r="C7565" s="49" t="s">
        <v>777</v>
      </c>
      <c r="D7565" s="49">
        <v>0.0</v>
      </c>
    </row>
    <row r="7566" ht="15.0" hidden="1" customHeight="1">
      <c r="A7566" s="49" t="s">
        <v>385</v>
      </c>
      <c r="B7566" s="50">
        <v>45291.0</v>
      </c>
      <c r="C7566" s="49" t="s">
        <v>777</v>
      </c>
      <c r="D7566" s="49">
        <v>0.0</v>
      </c>
    </row>
    <row r="7567" ht="15.0" hidden="1" customHeight="1">
      <c r="A7567" s="49" t="s">
        <v>390</v>
      </c>
      <c r="B7567" s="50">
        <v>45291.0</v>
      </c>
      <c r="C7567" s="49" t="s">
        <v>777</v>
      </c>
      <c r="D7567" s="49">
        <v>0.0</v>
      </c>
    </row>
    <row r="7568" ht="15.0" hidden="1" customHeight="1">
      <c r="A7568" s="49" t="s">
        <v>395</v>
      </c>
      <c r="B7568" s="50">
        <v>45291.0</v>
      </c>
      <c r="C7568" s="49" t="s">
        <v>777</v>
      </c>
      <c r="D7568" s="49">
        <v>0.0</v>
      </c>
    </row>
    <row r="7569" ht="15.0" hidden="1" customHeight="1">
      <c r="A7569" s="49" t="s">
        <v>400</v>
      </c>
      <c r="B7569" s="50">
        <v>45291.0</v>
      </c>
      <c r="C7569" s="49" t="s">
        <v>777</v>
      </c>
      <c r="D7569" s="49">
        <v>0.0</v>
      </c>
    </row>
    <row r="7570" ht="15.0" hidden="1" customHeight="1">
      <c r="A7570" s="49" t="s">
        <v>405</v>
      </c>
      <c r="B7570" s="50">
        <v>45291.0</v>
      </c>
      <c r="C7570" s="49" t="s">
        <v>777</v>
      </c>
      <c r="D7570" s="49">
        <v>0.0</v>
      </c>
    </row>
    <row r="7571" ht="15.0" hidden="1" customHeight="1">
      <c r="A7571" s="49" t="s">
        <v>410</v>
      </c>
      <c r="B7571" s="50">
        <v>45291.0</v>
      </c>
      <c r="C7571" s="49" t="s">
        <v>777</v>
      </c>
      <c r="D7571" s="49">
        <v>0.0</v>
      </c>
    </row>
    <row r="7572" ht="15.0" hidden="1" customHeight="1">
      <c r="A7572" s="49" t="s">
        <v>415</v>
      </c>
      <c r="B7572" s="50">
        <v>45291.0</v>
      </c>
      <c r="C7572" s="49" t="s">
        <v>777</v>
      </c>
      <c r="D7572" s="49">
        <v>0.0</v>
      </c>
    </row>
    <row r="7573" ht="15.0" hidden="1" customHeight="1">
      <c r="A7573" s="49" t="s">
        <v>420</v>
      </c>
      <c r="B7573" s="50">
        <v>45291.0</v>
      </c>
      <c r="C7573" s="49" t="s">
        <v>777</v>
      </c>
      <c r="D7573" s="49">
        <v>0.0</v>
      </c>
    </row>
    <row r="7574" ht="15.0" hidden="1" customHeight="1">
      <c r="A7574" s="49" t="s">
        <v>425</v>
      </c>
      <c r="B7574" s="50">
        <v>45291.0</v>
      </c>
      <c r="C7574" s="49" t="s">
        <v>777</v>
      </c>
      <c r="D7574" s="49">
        <v>0.0</v>
      </c>
    </row>
    <row r="7575" ht="15.0" hidden="1" customHeight="1">
      <c r="A7575" s="49" t="s">
        <v>430</v>
      </c>
      <c r="B7575" s="50">
        <v>45291.0</v>
      </c>
      <c r="C7575" s="49" t="s">
        <v>777</v>
      </c>
      <c r="D7575" s="49">
        <v>0.0</v>
      </c>
    </row>
    <row r="7576" ht="15.0" hidden="1" customHeight="1">
      <c r="A7576" s="49" t="s">
        <v>434</v>
      </c>
      <c r="B7576" s="50">
        <v>45291.0</v>
      </c>
      <c r="C7576" s="49" t="s">
        <v>777</v>
      </c>
      <c r="D7576" s="49">
        <v>0.0</v>
      </c>
    </row>
    <row r="7577" ht="15.0" hidden="1" customHeight="1">
      <c r="A7577" s="49" t="s">
        <v>439</v>
      </c>
      <c r="B7577" s="50">
        <v>45291.0</v>
      </c>
      <c r="C7577" s="49" t="s">
        <v>777</v>
      </c>
      <c r="D7577" s="49">
        <v>0.0</v>
      </c>
    </row>
    <row r="7578" ht="15.0" hidden="1" customHeight="1">
      <c r="A7578" s="49" t="s">
        <v>444</v>
      </c>
      <c r="B7578" s="50">
        <v>45291.0</v>
      </c>
      <c r="C7578" s="49" t="s">
        <v>777</v>
      </c>
      <c r="D7578" s="49">
        <v>0.0</v>
      </c>
    </row>
    <row r="7579" ht="15.0" hidden="1" customHeight="1">
      <c r="A7579" s="49" t="s">
        <v>449</v>
      </c>
      <c r="B7579" s="50">
        <v>45291.0</v>
      </c>
      <c r="C7579" s="49" t="s">
        <v>777</v>
      </c>
      <c r="D7579" s="49">
        <v>1.2E7</v>
      </c>
    </row>
    <row r="7580" ht="15.0" hidden="1" customHeight="1">
      <c r="A7580" s="49" t="s">
        <v>455</v>
      </c>
      <c r="B7580" s="50">
        <v>45291.0</v>
      </c>
      <c r="C7580" s="49" t="s">
        <v>777</v>
      </c>
      <c r="D7580" s="49">
        <v>5100000.0</v>
      </c>
    </row>
    <row r="7581" ht="15.0" hidden="1" customHeight="1">
      <c r="A7581" s="49" t="s">
        <v>470</v>
      </c>
      <c r="B7581" s="50">
        <v>45291.0</v>
      </c>
      <c r="C7581" s="49" t="s">
        <v>777</v>
      </c>
      <c r="D7581" s="49">
        <v>250000.0</v>
      </c>
    </row>
    <row r="7582" ht="15.0" hidden="1" customHeight="1">
      <c r="A7582" s="49" t="s">
        <v>476</v>
      </c>
      <c r="B7582" s="50">
        <v>45291.0</v>
      </c>
      <c r="C7582" s="49" t="s">
        <v>777</v>
      </c>
      <c r="D7582" s="49">
        <v>6000000.0</v>
      </c>
    </row>
    <row r="7583" ht="15.0" hidden="1" customHeight="1">
      <c r="A7583" s="49" t="s">
        <v>481</v>
      </c>
      <c r="B7583" s="50">
        <v>45291.0</v>
      </c>
      <c r="C7583" s="49" t="s">
        <v>777</v>
      </c>
      <c r="D7583" s="49">
        <v>320000.0</v>
      </c>
    </row>
    <row r="7584" ht="15.0" hidden="1" customHeight="1">
      <c r="A7584" s="49" t="s">
        <v>486</v>
      </c>
      <c r="B7584" s="50">
        <v>45291.0</v>
      </c>
      <c r="C7584" s="49" t="s">
        <v>777</v>
      </c>
      <c r="D7584" s="49">
        <v>0.0</v>
      </c>
    </row>
    <row r="7585" ht="15.0" hidden="1" customHeight="1">
      <c r="A7585" s="49" t="s">
        <v>491</v>
      </c>
      <c r="B7585" s="50">
        <v>45291.0</v>
      </c>
      <c r="C7585" s="49" t="s">
        <v>777</v>
      </c>
      <c r="D7585" s="49">
        <v>0.0</v>
      </c>
    </row>
    <row r="7586" ht="15.0" hidden="1" customHeight="1">
      <c r="A7586" s="49" t="s">
        <v>496</v>
      </c>
      <c r="B7586" s="50">
        <v>45291.0</v>
      </c>
      <c r="C7586" s="49" t="s">
        <v>777</v>
      </c>
      <c r="D7586" s="49">
        <v>0.0</v>
      </c>
    </row>
    <row r="7587" ht="15.0" hidden="1" customHeight="1">
      <c r="A7587" s="49" t="s">
        <v>501</v>
      </c>
      <c r="B7587" s="50">
        <v>45291.0</v>
      </c>
      <c r="C7587" s="49" t="s">
        <v>777</v>
      </c>
      <c r="D7587" s="49">
        <v>0.0</v>
      </c>
    </row>
    <row r="7588" ht="15.0" hidden="1" customHeight="1">
      <c r="A7588" s="49" t="s">
        <v>506</v>
      </c>
      <c r="B7588" s="50">
        <v>45291.0</v>
      </c>
      <c r="C7588" s="49" t="s">
        <v>777</v>
      </c>
      <c r="D7588" s="49">
        <v>0.0</v>
      </c>
    </row>
    <row r="7589" ht="15.0" hidden="1" customHeight="1">
      <c r="A7589" s="49" t="s">
        <v>512</v>
      </c>
      <c r="B7589" s="50">
        <v>45291.0</v>
      </c>
      <c r="C7589" s="49" t="s">
        <v>777</v>
      </c>
      <c r="D7589" s="49">
        <v>0.0</v>
      </c>
    </row>
    <row r="7590" ht="15.0" hidden="1" customHeight="1">
      <c r="A7590" s="49" t="s">
        <v>517</v>
      </c>
      <c r="B7590" s="50">
        <v>45291.0</v>
      </c>
      <c r="C7590" s="49" t="s">
        <v>777</v>
      </c>
      <c r="D7590" s="49">
        <v>0.0</v>
      </c>
    </row>
    <row r="7591" ht="15.0" hidden="1" customHeight="1">
      <c r="A7591" s="49" t="s">
        <v>522</v>
      </c>
      <c r="B7591" s="50">
        <v>45291.0</v>
      </c>
      <c r="C7591" s="49" t="s">
        <v>777</v>
      </c>
      <c r="D7591" s="49">
        <v>0.0</v>
      </c>
    </row>
    <row r="7592" ht="15.0" hidden="1" customHeight="1">
      <c r="A7592" s="49" t="s">
        <v>528</v>
      </c>
      <c r="B7592" s="50">
        <v>45291.0</v>
      </c>
      <c r="C7592" s="49" t="s">
        <v>777</v>
      </c>
      <c r="D7592" s="49">
        <v>0.0</v>
      </c>
    </row>
    <row r="7593" ht="15.0" hidden="1" customHeight="1">
      <c r="A7593" s="49" t="s">
        <v>533</v>
      </c>
      <c r="B7593" s="50">
        <v>45291.0</v>
      </c>
      <c r="C7593" s="49" t="s">
        <v>777</v>
      </c>
      <c r="D7593" s="49">
        <v>0.0</v>
      </c>
    </row>
    <row r="7594" ht="15.0" hidden="1" customHeight="1">
      <c r="A7594" s="49" t="s">
        <v>538</v>
      </c>
      <c r="B7594" s="50">
        <v>45291.0</v>
      </c>
      <c r="C7594" s="49" t="s">
        <v>777</v>
      </c>
      <c r="D7594" s="49">
        <v>0.0</v>
      </c>
    </row>
    <row r="7595" ht="15.0" hidden="1" customHeight="1">
      <c r="A7595" s="49" t="s">
        <v>546</v>
      </c>
      <c r="B7595" s="50">
        <v>45291.0</v>
      </c>
      <c r="C7595" s="49" t="s">
        <v>777</v>
      </c>
      <c r="D7595" s="49">
        <v>0.0</v>
      </c>
    </row>
    <row r="7596" ht="15.0" hidden="1" customHeight="1">
      <c r="A7596" s="49" t="s">
        <v>551</v>
      </c>
      <c r="B7596" s="50">
        <v>45291.0</v>
      </c>
      <c r="C7596" s="49" t="s">
        <v>777</v>
      </c>
      <c r="D7596" s="49">
        <v>0.0</v>
      </c>
    </row>
    <row r="7597" ht="15.0" hidden="1" customHeight="1">
      <c r="A7597" s="49" t="s">
        <v>556</v>
      </c>
      <c r="B7597" s="50">
        <v>45291.0</v>
      </c>
      <c r="C7597" s="49" t="s">
        <v>777</v>
      </c>
      <c r="D7597" s="49">
        <v>0.0</v>
      </c>
    </row>
    <row r="7598" ht="15.0" hidden="1" customHeight="1">
      <c r="A7598" s="49" t="s">
        <v>561</v>
      </c>
      <c r="B7598" s="50">
        <v>45291.0</v>
      </c>
      <c r="C7598" s="49" t="s">
        <v>777</v>
      </c>
      <c r="D7598" s="49">
        <v>0.0</v>
      </c>
    </row>
    <row r="7599" ht="15.0" hidden="1" customHeight="1">
      <c r="A7599" s="49" t="s">
        <v>566</v>
      </c>
      <c r="B7599" s="50">
        <v>45291.0</v>
      </c>
      <c r="C7599" s="49" t="s">
        <v>777</v>
      </c>
      <c r="D7599" s="49">
        <v>0.0</v>
      </c>
    </row>
    <row r="7600" ht="15.0" hidden="1" customHeight="1">
      <c r="A7600" s="49" t="s">
        <v>571</v>
      </c>
      <c r="B7600" s="50">
        <v>45291.0</v>
      </c>
      <c r="C7600" s="49" t="s">
        <v>777</v>
      </c>
      <c r="D7600" s="49">
        <v>0.0</v>
      </c>
    </row>
    <row r="7601" ht="15.0" hidden="1" customHeight="1">
      <c r="A7601" s="49" t="s">
        <v>576</v>
      </c>
      <c r="B7601" s="50">
        <v>45291.0</v>
      </c>
      <c r="C7601" s="49" t="s">
        <v>777</v>
      </c>
      <c r="D7601" s="49">
        <v>0.0</v>
      </c>
    </row>
    <row r="7602" ht="15.0" hidden="1" customHeight="1">
      <c r="A7602" s="49" t="s">
        <v>581</v>
      </c>
      <c r="B7602" s="50">
        <v>45291.0</v>
      </c>
      <c r="C7602" s="49" t="s">
        <v>777</v>
      </c>
      <c r="D7602" s="49">
        <v>0.0</v>
      </c>
    </row>
    <row r="7603" ht="15.0" hidden="1" customHeight="1">
      <c r="A7603" s="49" t="s">
        <v>586</v>
      </c>
      <c r="B7603" s="50">
        <v>45291.0</v>
      </c>
      <c r="C7603" s="49" t="s">
        <v>777</v>
      </c>
      <c r="D7603" s="49">
        <v>0.0</v>
      </c>
    </row>
    <row r="7604" ht="15.0" hidden="1" customHeight="1">
      <c r="A7604" s="49" t="s">
        <v>754</v>
      </c>
      <c r="B7604" s="50">
        <v>45291.0</v>
      </c>
      <c r="C7604" s="49" t="s">
        <v>777</v>
      </c>
      <c r="D7604" s="49">
        <v>0.0</v>
      </c>
    </row>
    <row r="7605" ht="15.0" hidden="1" customHeight="1">
      <c r="A7605" s="49" t="s">
        <v>591</v>
      </c>
      <c r="B7605" s="50">
        <v>45291.0</v>
      </c>
      <c r="C7605" s="49" t="s">
        <v>777</v>
      </c>
      <c r="D7605" s="49">
        <v>0.0</v>
      </c>
    </row>
    <row r="7606" ht="15.0" hidden="1" customHeight="1">
      <c r="A7606" s="49" t="s">
        <v>759</v>
      </c>
      <c r="B7606" s="50">
        <v>45291.0</v>
      </c>
      <c r="C7606" s="49" t="s">
        <v>777</v>
      </c>
      <c r="D7606" s="49">
        <v>0.0</v>
      </c>
    </row>
    <row r="7607" ht="15.0" hidden="1" customHeight="1">
      <c r="A7607" s="49" t="s">
        <v>596</v>
      </c>
      <c r="B7607" s="50">
        <v>45291.0</v>
      </c>
      <c r="C7607" s="49" t="s">
        <v>777</v>
      </c>
      <c r="D7607" s="49">
        <v>0.0</v>
      </c>
    </row>
    <row r="7608" ht="15.0" hidden="1" customHeight="1">
      <c r="A7608" s="49" t="s">
        <v>602</v>
      </c>
      <c r="B7608" s="50">
        <v>45291.0</v>
      </c>
      <c r="C7608" s="49" t="s">
        <v>777</v>
      </c>
      <c r="D7608" s="49">
        <v>0.0</v>
      </c>
    </row>
    <row r="7609" ht="15.0" hidden="1" customHeight="1">
      <c r="A7609" s="49" t="s">
        <v>607</v>
      </c>
      <c r="B7609" s="50">
        <v>45291.0</v>
      </c>
      <c r="C7609" s="49" t="s">
        <v>777</v>
      </c>
      <c r="D7609" s="49">
        <v>0.0</v>
      </c>
    </row>
    <row r="7610" ht="15.0" hidden="1" customHeight="1">
      <c r="A7610" s="49" t="s">
        <v>612</v>
      </c>
      <c r="B7610" s="50">
        <v>45291.0</v>
      </c>
      <c r="C7610" s="49" t="s">
        <v>777</v>
      </c>
      <c r="D7610" s="49">
        <v>0.0</v>
      </c>
    </row>
    <row r="7611" ht="15.0" hidden="1" customHeight="1">
      <c r="A7611" s="49" t="s">
        <v>617</v>
      </c>
      <c r="B7611" s="50">
        <v>45291.0</v>
      </c>
      <c r="C7611" s="49" t="s">
        <v>777</v>
      </c>
      <c r="D7611" s="49">
        <v>0.0</v>
      </c>
    </row>
    <row r="7612" ht="15.0" hidden="1" customHeight="1">
      <c r="A7612" s="49" t="s">
        <v>622</v>
      </c>
      <c r="B7612" s="50">
        <v>45291.0</v>
      </c>
      <c r="C7612" s="49" t="s">
        <v>777</v>
      </c>
      <c r="D7612" s="49">
        <v>0.0</v>
      </c>
    </row>
    <row r="7613" ht="15.0" hidden="1" customHeight="1">
      <c r="A7613" s="49" t="s">
        <v>627</v>
      </c>
      <c r="B7613" s="50">
        <v>45291.0</v>
      </c>
      <c r="C7613" s="49" t="s">
        <v>777</v>
      </c>
      <c r="D7613" s="49">
        <v>0.0</v>
      </c>
    </row>
    <row r="7614" ht="15.0" hidden="1" customHeight="1">
      <c r="A7614" s="49" t="s">
        <v>631</v>
      </c>
      <c r="B7614" s="50">
        <v>45291.0</v>
      </c>
      <c r="C7614" s="49" t="s">
        <v>777</v>
      </c>
      <c r="D7614" s="49">
        <v>0.0</v>
      </c>
    </row>
    <row r="7615" ht="15.0" hidden="1" customHeight="1">
      <c r="A7615" s="49" t="s">
        <v>636</v>
      </c>
      <c r="B7615" s="50">
        <v>45291.0</v>
      </c>
      <c r="C7615" s="49" t="s">
        <v>777</v>
      </c>
      <c r="D7615" s="49">
        <v>0.0</v>
      </c>
    </row>
    <row r="7616" ht="15.0" hidden="1" customHeight="1">
      <c r="A7616" s="49" t="s">
        <v>640</v>
      </c>
      <c r="B7616" s="50">
        <v>45291.0</v>
      </c>
      <c r="C7616" s="49" t="s">
        <v>777</v>
      </c>
      <c r="D7616" s="49">
        <v>0.0</v>
      </c>
    </row>
    <row r="7617" ht="15.0" hidden="1" customHeight="1">
      <c r="A7617" s="49" t="s">
        <v>644</v>
      </c>
      <c r="B7617" s="50">
        <v>45291.0</v>
      </c>
      <c r="C7617" s="49" t="s">
        <v>777</v>
      </c>
      <c r="D7617" s="49">
        <v>0.0</v>
      </c>
    </row>
    <row r="7618" ht="15.0" hidden="1" customHeight="1">
      <c r="A7618" s="49" t="s">
        <v>649</v>
      </c>
      <c r="B7618" s="50">
        <v>45291.0</v>
      </c>
      <c r="C7618" s="49" t="s">
        <v>777</v>
      </c>
      <c r="D7618" s="49">
        <v>0.0</v>
      </c>
    </row>
    <row r="7619" ht="15.0" hidden="1" customHeight="1">
      <c r="A7619" s="49" t="s">
        <v>654</v>
      </c>
      <c r="B7619" s="50">
        <v>45291.0</v>
      </c>
      <c r="C7619" s="49" t="s">
        <v>777</v>
      </c>
      <c r="D7619" s="49">
        <v>0.0</v>
      </c>
    </row>
    <row r="7620" ht="15.0" hidden="1" customHeight="1">
      <c r="A7620" s="49" t="s">
        <v>659</v>
      </c>
      <c r="B7620" s="50">
        <v>45291.0</v>
      </c>
      <c r="C7620" s="49" t="s">
        <v>777</v>
      </c>
      <c r="D7620" s="49">
        <v>0.0</v>
      </c>
    </row>
    <row r="7621" ht="15.0" hidden="1" customHeight="1">
      <c r="A7621" s="49" t="s">
        <v>664</v>
      </c>
      <c r="B7621" s="50">
        <v>45291.0</v>
      </c>
      <c r="C7621" s="49" t="s">
        <v>777</v>
      </c>
      <c r="D7621" s="49">
        <v>0.0</v>
      </c>
    </row>
    <row r="7622" ht="15.0" hidden="1" customHeight="1">
      <c r="A7622" s="49" t="s">
        <v>669</v>
      </c>
      <c r="B7622" s="50">
        <v>45291.0</v>
      </c>
      <c r="C7622" s="49" t="s">
        <v>777</v>
      </c>
      <c r="D7622" s="49">
        <v>0.0</v>
      </c>
    </row>
    <row r="7623" ht="15.0" hidden="1" customHeight="1">
      <c r="A7623" s="49" t="s">
        <v>674</v>
      </c>
      <c r="B7623" s="50">
        <v>45291.0</v>
      </c>
      <c r="C7623" s="49" t="s">
        <v>777</v>
      </c>
      <c r="D7623" s="49">
        <v>0.0</v>
      </c>
    </row>
    <row r="7624" ht="15.0" hidden="1" customHeight="1">
      <c r="A7624" s="49" t="s">
        <v>679</v>
      </c>
      <c r="B7624" s="50">
        <v>45291.0</v>
      </c>
      <c r="C7624" s="49" t="s">
        <v>777</v>
      </c>
      <c r="D7624" s="49">
        <v>0.0</v>
      </c>
    </row>
    <row r="7625" ht="15.0" hidden="1" customHeight="1">
      <c r="A7625" s="49" t="s">
        <v>684</v>
      </c>
      <c r="B7625" s="50">
        <v>45291.0</v>
      </c>
      <c r="C7625" s="49" t="s">
        <v>777</v>
      </c>
      <c r="D7625" s="49">
        <v>0.0</v>
      </c>
    </row>
    <row r="7626" ht="15.0" hidden="1" customHeight="1">
      <c r="A7626" s="49" t="s">
        <v>689</v>
      </c>
      <c r="B7626" s="50">
        <v>45291.0</v>
      </c>
      <c r="C7626" s="49" t="s">
        <v>777</v>
      </c>
      <c r="D7626" s="49">
        <v>0.0</v>
      </c>
    </row>
    <row r="7627" ht="15.0" hidden="1" customHeight="1">
      <c r="A7627" s="49" t="s">
        <v>694</v>
      </c>
      <c r="B7627" s="50">
        <v>45291.0</v>
      </c>
      <c r="C7627" s="49" t="s">
        <v>777</v>
      </c>
      <c r="D7627" s="49">
        <v>0.0</v>
      </c>
    </row>
    <row r="7628" ht="15.0" hidden="1" customHeight="1">
      <c r="A7628" s="49" t="s">
        <v>699</v>
      </c>
      <c r="B7628" s="50">
        <v>45291.0</v>
      </c>
      <c r="C7628" s="49" t="s">
        <v>777</v>
      </c>
      <c r="D7628" s="49">
        <v>0.0</v>
      </c>
    </row>
    <row r="7629" ht="15.0" hidden="1" customHeight="1">
      <c r="A7629" s="49" t="s">
        <v>705</v>
      </c>
      <c r="B7629" s="50">
        <v>45291.0</v>
      </c>
      <c r="C7629" s="49" t="s">
        <v>777</v>
      </c>
      <c r="D7629" s="49">
        <v>0.0</v>
      </c>
    </row>
    <row r="7630" ht="15.0" hidden="1" customHeight="1">
      <c r="A7630" s="49" t="s">
        <v>710</v>
      </c>
      <c r="B7630" s="50">
        <v>45291.0</v>
      </c>
      <c r="C7630" s="49" t="s">
        <v>777</v>
      </c>
      <c r="D7630" s="49">
        <v>0.0</v>
      </c>
    </row>
    <row r="7631" ht="15.0" hidden="1" customHeight="1">
      <c r="A7631" s="49" t="s">
        <v>715</v>
      </c>
      <c r="B7631" s="50">
        <v>45291.0</v>
      </c>
      <c r="C7631" s="49" t="s">
        <v>777</v>
      </c>
      <c r="D7631" s="49">
        <v>0.0</v>
      </c>
    </row>
    <row r="7632" ht="15.0" hidden="1" customHeight="1">
      <c r="A7632" s="49" t="s">
        <v>765</v>
      </c>
      <c r="B7632" s="50">
        <v>45291.0</v>
      </c>
      <c r="C7632" s="49" t="s">
        <v>777</v>
      </c>
      <c r="D7632" s="49">
        <v>0.0</v>
      </c>
    </row>
    <row r="7633" ht="15.0" hidden="1" customHeight="1">
      <c r="A7633" s="49" t="s">
        <v>720</v>
      </c>
      <c r="B7633" s="50">
        <v>45291.0</v>
      </c>
      <c r="C7633" s="49" t="s">
        <v>777</v>
      </c>
      <c r="D7633" s="49">
        <v>0.0</v>
      </c>
    </row>
    <row r="7634" ht="15.0" hidden="1" customHeight="1">
      <c r="A7634" s="49" t="s">
        <v>725</v>
      </c>
      <c r="B7634" s="50">
        <v>45291.0</v>
      </c>
      <c r="C7634" s="49" t="s">
        <v>777</v>
      </c>
      <c r="D7634" s="49">
        <v>0.0</v>
      </c>
    </row>
    <row r="7635" ht="15.0" hidden="1" customHeight="1">
      <c r="A7635" s="49" t="s">
        <v>730</v>
      </c>
      <c r="B7635" s="50">
        <v>45291.0</v>
      </c>
      <c r="C7635" s="49" t="s">
        <v>777</v>
      </c>
      <c r="D7635" s="49">
        <v>0.0</v>
      </c>
    </row>
    <row r="7636" ht="15.0" hidden="1" customHeight="1">
      <c r="A7636" s="49" t="s">
        <v>734</v>
      </c>
      <c r="B7636" s="50">
        <v>45291.0</v>
      </c>
      <c r="C7636" s="49" t="s">
        <v>777</v>
      </c>
      <c r="D7636" s="49">
        <v>0.0</v>
      </c>
    </row>
    <row r="7637" ht="15.0" hidden="1" customHeight="1">
      <c r="A7637" s="49" t="s">
        <v>739</v>
      </c>
      <c r="B7637" s="50">
        <v>45291.0</v>
      </c>
      <c r="C7637" s="49" t="s">
        <v>777</v>
      </c>
      <c r="D7637" s="49">
        <v>0.0</v>
      </c>
    </row>
    <row r="7638" ht="15.0" hidden="1" customHeight="1">
      <c r="A7638" s="49" t="s">
        <v>744</v>
      </c>
      <c r="B7638" s="50">
        <v>45291.0</v>
      </c>
      <c r="C7638" s="49" t="s">
        <v>777</v>
      </c>
      <c r="D7638" s="49">
        <v>0.0</v>
      </c>
    </row>
    <row r="7639" ht="15.0" hidden="1" customHeight="1">
      <c r="A7639" s="49" t="s">
        <v>749</v>
      </c>
      <c r="B7639" s="50">
        <v>45291.0</v>
      </c>
      <c r="C7639" s="49" t="s">
        <v>777</v>
      </c>
      <c r="D7639" s="49">
        <v>0.0</v>
      </c>
    </row>
    <row r="7640" ht="15.0" customHeight="1">
      <c r="A7640" s="49" t="s">
        <v>776</v>
      </c>
      <c r="B7640" s="50">
        <v>45291.0</v>
      </c>
      <c r="C7640" s="49" t="s">
        <v>78</v>
      </c>
      <c r="D7640" s="49">
        <v>0.0</v>
      </c>
    </row>
    <row r="7641" ht="15.0" hidden="1" customHeight="1">
      <c r="A7641" s="49" t="s">
        <v>778</v>
      </c>
      <c r="B7641" s="50">
        <v>45291.0</v>
      </c>
      <c r="C7641" s="49" t="s">
        <v>78</v>
      </c>
      <c r="D7641" s="49">
        <v>0.0</v>
      </c>
    </row>
    <row r="7642" ht="15.0" hidden="1" customHeight="1">
      <c r="A7642" s="49" t="s">
        <v>92</v>
      </c>
      <c r="B7642" s="50">
        <v>45291.0</v>
      </c>
      <c r="C7642" s="49" t="s">
        <v>78</v>
      </c>
      <c r="D7642" s="49">
        <v>0.0</v>
      </c>
    </row>
    <row r="7643" ht="15.0" hidden="1" customHeight="1">
      <c r="A7643" s="49" t="s">
        <v>97</v>
      </c>
      <c r="B7643" s="50">
        <v>45291.0</v>
      </c>
      <c r="C7643" s="49" t="s">
        <v>78</v>
      </c>
      <c r="D7643" s="49">
        <v>0.0</v>
      </c>
    </row>
    <row r="7644" ht="15.0" hidden="1" customHeight="1">
      <c r="A7644" s="49" t="s">
        <v>102</v>
      </c>
      <c r="B7644" s="50">
        <v>45291.0</v>
      </c>
      <c r="C7644" s="49" t="s">
        <v>78</v>
      </c>
      <c r="D7644" s="49">
        <v>0.0</v>
      </c>
    </row>
    <row r="7645" ht="15.0" hidden="1" customHeight="1">
      <c r="A7645" s="49" t="s">
        <v>106</v>
      </c>
      <c r="B7645" s="50">
        <v>45291.0</v>
      </c>
      <c r="C7645" s="49" t="s">
        <v>78</v>
      </c>
      <c r="D7645" s="49">
        <v>0.0</v>
      </c>
    </row>
    <row r="7646" ht="15.0" hidden="1" customHeight="1">
      <c r="A7646" s="49" t="s">
        <v>111</v>
      </c>
      <c r="B7646" s="50">
        <v>45291.0</v>
      </c>
      <c r="C7646" s="49" t="s">
        <v>78</v>
      </c>
      <c r="D7646" s="49">
        <v>0.0</v>
      </c>
    </row>
    <row r="7647" ht="15.0" hidden="1" customHeight="1">
      <c r="A7647" s="49" t="s">
        <v>116</v>
      </c>
      <c r="B7647" s="50">
        <v>45291.0</v>
      </c>
      <c r="C7647" s="49" t="s">
        <v>78</v>
      </c>
      <c r="D7647" s="49">
        <v>0.0</v>
      </c>
    </row>
    <row r="7648" ht="15.0" hidden="1" customHeight="1">
      <c r="A7648" s="49" t="s">
        <v>120</v>
      </c>
      <c r="B7648" s="50">
        <v>45291.0</v>
      </c>
      <c r="C7648" s="49" t="s">
        <v>78</v>
      </c>
      <c r="D7648" s="49">
        <v>0.0</v>
      </c>
    </row>
    <row r="7649" ht="15.0" hidden="1" customHeight="1">
      <c r="A7649" s="49" t="s">
        <v>125</v>
      </c>
      <c r="B7649" s="50">
        <v>45291.0</v>
      </c>
      <c r="C7649" s="49" t="s">
        <v>78</v>
      </c>
      <c r="D7649" s="49">
        <v>0.0</v>
      </c>
    </row>
    <row r="7650" ht="15.0" hidden="1" customHeight="1">
      <c r="A7650" s="49" t="s">
        <v>130</v>
      </c>
      <c r="B7650" s="50">
        <v>45291.0</v>
      </c>
      <c r="C7650" s="49" t="s">
        <v>78</v>
      </c>
      <c r="D7650" s="49">
        <v>0.0</v>
      </c>
    </row>
    <row r="7651" ht="15.0" hidden="1" customHeight="1">
      <c r="A7651" s="49" t="s">
        <v>137</v>
      </c>
      <c r="B7651" s="50">
        <v>45291.0</v>
      </c>
      <c r="C7651" s="49" t="s">
        <v>78</v>
      </c>
      <c r="D7651" s="49">
        <v>0.0</v>
      </c>
    </row>
    <row r="7652" ht="15.0" hidden="1" customHeight="1">
      <c r="A7652" s="49" t="s">
        <v>142</v>
      </c>
      <c r="B7652" s="50">
        <v>45291.0</v>
      </c>
      <c r="C7652" s="49" t="s">
        <v>78</v>
      </c>
      <c r="D7652" s="49">
        <v>0.0</v>
      </c>
    </row>
    <row r="7653" ht="15.0" hidden="1" customHeight="1">
      <c r="A7653" s="49" t="s">
        <v>147</v>
      </c>
      <c r="B7653" s="50">
        <v>45291.0</v>
      </c>
      <c r="C7653" s="49" t="s">
        <v>78</v>
      </c>
      <c r="D7653" s="49">
        <v>0.0</v>
      </c>
    </row>
    <row r="7654" ht="15.0" hidden="1" customHeight="1">
      <c r="A7654" s="49" t="s">
        <v>152</v>
      </c>
      <c r="B7654" s="50">
        <v>45291.0</v>
      </c>
      <c r="C7654" s="49" t="s">
        <v>78</v>
      </c>
      <c r="D7654" s="49">
        <v>0.0</v>
      </c>
    </row>
    <row r="7655" ht="15.0" hidden="1" customHeight="1">
      <c r="A7655" s="49" t="s">
        <v>157</v>
      </c>
      <c r="B7655" s="50">
        <v>45291.0</v>
      </c>
      <c r="C7655" s="49" t="s">
        <v>78</v>
      </c>
      <c r="D7655" s="49">
        <v>0.0</v>
      </c>
    </row>
    <row r="7656" ht="15.0" hidden="1" customHeight="1">
      <c r="A7656" s="49" t="s">
        <v>162</v>
      </c>
      <c r="B7656" s="50">
        <v>45291.0</v>
      </c>
      <c r="C7656" s="49" t="s">
        <v>78</v>
      </c>
      <c r="D7656" s="49">
        <v>0.0</v>
      </c>
    </row>
    <row r="7657" ht="15.0" hidden="1" customHeight="1">
      <c r="A7657" s="49" t="s">
        <v>167</v>
      </c>
      <c r="B7657" s="50">
        <v>45291.0</v>
      </c>
      <c r="C7657" s="49" t="s">
        <v>78</v>
      </c>
      <c r="D7657" s="49">
        <v>0.0</v>
      </c>
    </row>
    <row r="7658" ht="15.0" hidden="1" customHeight="1">
      <c r="A7658" s="49" t="s">
        <v>172</v>
      </c>
      <c r="B7658" s="50">
        <v>45291.0</v>
      </c>
      <c r="C7658" s="49" t="s">
        <v>78</v>
      </c>
      <c r="D7658" s="49">
        <v>0.0</v>
      </c>
    </row>
    <row r="7659" ht="15.0" hidden="1" customHeight="1">
      <c r="A7659" s="49" t="s">
        <v>177</v>
      </c>
      <c r="B7659" s="50">
        <v>45291.0</v>
      </c>
      <c r="C7659" s="49" t="s">
        <v>78</v>
      </c>
      <c r="D7659" s="49">
        <v>0.0</v>
      </c>
    </row>
    <row r="7660" ht="15.0" hidden="1" customHeight="1">
      <c r="A7660" s="49" t="s">
        <v>182</v>
      </c>
      <c r="B7660" s="50">
        <v>45291.0</v>
      </c>
      <c r="C7660" s="49" t="s">
        <v>78</v>
      </c>
      <c r="D7660" s="49">
        <v>0.0</v>
      </c>
    </row>
    <row r="7661" ht="15.0" hidden="1" customHeight="1">
      <c r="A7661" s="49" t="s">
        <v>187</v>
      </c>
      <c r="B7661" s="50">
        <v>45291.0</v>
      </c>
      <c r="C7661" s="49" t="s">
        <v>78</v>
      </c>
      <c r="D7661" s="49">
        <v>0.0</v>
      </c>
    </row>
    <row r="7662" ht="15.0" hidden="1" customHeight="1">
      <c r="A7662" s="49" t="s">
        <v>192</v>
      </c>
      <c r="B7662" s="50">
        <v>45291.0</v>
      </c>
      <c r="C7662" s="49" t="s">
        <v>78</v>
      </c>
      <c r="D7662" s="49">
        <v>0.0</v>
      </c>
    </row>
    <row r="7663" ht="15.0" hidden="1" customHeight="1">
      <c r="A7663" s="49" t="s">
        <v>197</v>
      </c>
      <c r="B7663" s="50">
        <v>45291.0</v>
      </c>
      <c r="C7663" s="49" t="s">
        <v>78</v>
      </c>
      <c r="D7663" s="49">
        <v>0.0</v>
      </c>
    </row>
    <row r="7664" ht="15.0" hidden="1" customHeight="1">
      <c r="A7664" s="49" t="s">
        <v>202</v>
      </c>
      <c r="B7664" s="50">
        <v>45291.0</v>
      </c>
      <c r="C7664" s="49" t="s">
        <v>78</v>
      </c>
      <c r="D7664" s="49">
        <v>0.0</v>
      </c>
    </row>
    <row r="7665" ht="15.0" hidden="1" customHeight="1">
      <c r="A7665" s="49" t="s">
        <v>206</v>
      </c>
      <c r="B7665" s="50">
        <v>45291.0</v>
      </c>
      <c r="C7665" s="49" t="s">
        <v>78</v>
      </c>
      <c r="D7665" s="49">
        <v>0.0</v>
      </c>
    </row>
    <row r="7666" ht="15.0" hidden="1" customHeight="1">
      <c r="A7666" s="49" t="s">
        <v>211</v>
      </c>
      <c r="B7666" s="50">
        <v>45291.0</v>
      </c>
      <c r="C7666" s="49" t="s">
        <v>78</v>
      </c>
      <c r="D7666" s="49">
        <v>0.0</v>
      </c>
    </row>
    <row r="7667" ht="15.0" hidden="1" customHeight="1">
      <c r="A7667" s="49" t="s">
        <v>779</v>
      </c>
      <c r="B7667" s="50">
        <v>45291.0</v>
      </c>
      <c r="C7667" s="49" t="s">
        <v>78</v>
      </c>
      <c r="D7667" s="49">
        <v>0.0</v>
      </c>
    </row>
    <row r="7668" ht="15.0" hidden="1" customHeight="1">
      <c r="A7668" s="49" t="s">
        <v>221</v>
      </c>
      <c r="B7668" s="50">
        <v>45291.0</v>
      </c>
      <c r="C7668" s="49" t="s">
        <v>78</v>
      </c>
      <c r="D7668" s="49">
        <v>0.0</v>
      </c>
    </row>
    <row r="7669" ht="15.0" hidden="1" customHeight="1">
      <c r="A7669" s="49" t="s">
        <v>226</v>
      </c>
      <c r="B7669" s="50">
        <v>45291.0</v>
      </c>
      <c r="C7669" s="49" t="s">
        <v>78</v>
      </c>
      <c r="D7669" s="49">
        <v>0.0</v>
      </c>
    </row>
    <row r="7670" ht="15.0" hidden="1" customHeight="1">
      <c r="A7670" s="49" t="s">
        <v>231</v>
      </c>
      <c r="B7670" s="50">
        <v>45291.0</v>
      </c>
      <c r="C7670" s="49" t="s">
        <v>78</v>
      </c>
      <c r="D7670" s="49">
        <v>0.0</v>
      </c>
    </row>
    <row r="7671" ht="15.0" hidden="1" customHeight="1">
      <c r="A7671" s="49" t="s">
        <v>236</v>
      </c>
      <c r="B7671" s="50">
        <v>45291.0</v>
      </c>
      <c r="C7671" s="49" t="s">
        <v>78</v>
      </c>
      <c r="D7671" s="49">
        <v>0.0</v>
      </c>
    </row>
    <row r="7672" ht="15.0" hidden="1" customHeight="1">
      <c r="A7672" s="49" t="s">
        <v>242</v>
      </c>
      <c r="B7672" s="50">
        <v>45291.0</v>
      </c>
      <c r="C7672" s="49" t="s">
        <v>78</v>
      </c>
      <c r="D7672" s="49">
        <v>0.0</v>
      </c>
    </row>
    <row r="7673" ht="15.0" hidden="1" customHeight="1">
      <c r="A7673" s="49" t="s">
        <v>248</v>
      </c>
      <c r="B7673" s="50">
        <v>45291.0</v>
      </c>
      <c r="C7673" s="49" t="s">
        <v>78</v>
      </c>
      <c r="D7673" s="49">
        <v>0.0</v>
      </c>
    </row>
    <row r="7674" ht="15.0" hidden="1" customHeight="1">
      <c r="A7674" s="49" t="s">
        <v>253</v>
      </c>
      <c r="B7674" s="50">
        <v>45291.0</v>
      </c>
      <c r="C7674" s="49" t="s">
        <v>78</v>
      </c>
      <c r="D7674" s="49">
        <v>0.0</v>
      </c>
    </row>
    <row r="7675" ht="15.0" hidden="1" customHeight="1">
      <c r="A7675" s="49" t="s">
        <v>258</v>
      </c>
      <c r="B7675" s="50">
        <v>45291.0</v>
      </c>
      <c r="C7675" s="49" t="s">
        <v>78</v>
      </c>
      <c r="D7675" s="49">
        <v>0.0</v>
      </c>
    </row>
    <row r="7676" ht="15.0" hidden="1" customHeight="1">
      <c r="A7676" s="49" t="s">
        <v>263</v>
      </c>
      <c r="B7676" s="50">
        <v>45291.0</v>
      </c>
      <c r="C7676" s="49" t="s">
        <v>78</v>
      </c>
      <c r="D7676" s="49">
        <v>0.0</v>
      </c>
    </row>
    <row r="7677" ht="15.0" hidden="1" customHeight="1">
      <c r="A7677" s="49" t="s">
        <v>268</v>
      </c>
      <c r="B7677" s="50">
        <v>45291.0</v>
      </c>
      <c r="C7677" s="49" t="s">
        <v>78</v>
      </c>
      <c r="D7677" s="49">
        <v>0.0</v>
      </c>
    </row>
    <row r="7678" ht="15.0" hidden="1" customHeight="1">
      <c r="A7678" s="49" t="s">
        <v>273</v>
      </c>
      <c r="B7678" s="50">
        <v>45291.0</v>
      </c>
      <c r="C7678" s="49" t="s">
        <v>78</v>
      </c>
      <c r="D7678" s="49">
        <v>0.0</v>
      </c>
    </row>
    <row r="7679" ht="15.0" hidden="1" customHeight="1">
      <c r="A7679" s="49" t="s">
        <v>278</v>
      </c>
      <c r="B7679" s="50">
        <v>45291.0</v>
      </c>
      <c r="C7679" s="49" t="s">
        <v>78</v>
      </c>
      <c r="D7679" s="49">
        <v>0.0</v>
      </c>
    </row>
    <row r="7680" ht="15.0" hidden="1" customHeight="1">
      <c r="A7680" s="49" t="s">
        <v>283</v>
      </c>
      <c r="B7680" s="50">
        <v>45291.0</v>
      </c>
      <c r="C7680" s="49" t="s">
        <v>78</v>
      </c>
      <c r="D7680" s="49">
        <v>0.0</v>
      </c>
    </row>
    <row r="7681" ht="15.0" hidden="1" customHeight="1">
      <c r="A7681" s="49" t="s">
        <v>288</v>
      </c>
      <c r="B7681" s="50">
        <v>45291.0</v>
      </c>
      <c r="C7681" s="49" t="s">
        <v>78</v>
      </c>
      <c r="D7681" s="49">
        <v>0.0</v>
      </c>
    </row>
    <row r="7682" ht="15.0" hidden="1" customHeight="1">
      <c r="A7682" s="49" t="s">
        <v>293</v>
      </c>
      <c r="B7682" s="50">
        <v>45291.0</v>
      </c>
      <c r="C7682" s="49" t="s">
        <v>78</v>
      </c>
      <c r="D7682" s="49">
        <v>0.0</v>
      </c>
    </row>
    <row r="7683" ht="15.0" hidden="1" customHeight="1">
      <c r="A7683" s="49" t="s">
        <v>298</v>
      </c>
      <c r="B7683" s="50">
        <v>45291.0</v>
      </c>
      <c r="C7683" s="49" t="s">
        <v>78</v>
      </c>
      <c r="D7683" s="49">
        <v>0.0</v>
      </c>
    </row>
    <row r="7684" ht="15.0" hidden="1" customHeight="1">
      <c r="A7684" s="49" t="s">
        <v>303</v>
      </c>
      <c r="B7684" s="50">
        <v>45291.0</v>
      </c>
      <c r="C7684" s="49" t="s">
        <v>78</v>
      </c>
      <c r="D7684" s="49">
        <v>0.0</v>
      </c>
    </row>
    <row r="7685" ht="15.0" hidden="1" customHeight="1">
      <c r="A7685" s="49" t="s">
        <v>307</v>
      </c>
      <c r="B7685" s="50">
        <v>45291.0</v>
      </c>
      <c r="C7685" s="49" t="s">
        <v>78</v>
      </c>
      <c r="D7685" s="49">
        <v>0.0</v>
      </c>
    </row>
    <row r="7686" ht="15.0" hidden="1" customHeight="1">
      <c r="A7686" s="49" t="s">
        <v>313</v>
      </c>
      <c r="B7686" s="50">
        <v>45291.0</v>
      </c>
      <c r="C7686" s="49" t="s">
        <v>78</v>
      </c>
      <c r="D7686" s="49">
        <v>0.0</v>
      </c>
    </row>
    <row r="7687" ht="15.0" hidden="1" customHeight="1">
      <c r="A7687" s="49" t="s">
        <v>318</v>
      </c>
      <c r="B7687" s="50">
        <v>45291.0</v>
      </c>
      <c r="C7687" s="49" t="s">
        <v>78</v>
      </c>
      <c r="D7687" s="49">
        <v>0.0</v>
      </c>
    </row>
    <row r="7688" ht="15.0" hidden="1" customHeight="1">
      <c r="A7688" s="49" t="s">
        <v>323</v>
      </c>
      <c r="B7688" s="50">
        <v>45291.0</v>
      </c>
      <c r="C7688" s="49" t="s">
        <v>78</v>
      </c>
      <c r="D7688" s="49">
        <v>0.0</v>
      </c>
    </row>
    <row r="7689" ht="15.0" hidden="1" customHeight="1">
      <c r="A7689" s="49" t="s">
        <v>328</v>
      </c>
      <c r="B7689" s="50">
        <v>45291.0</v>
      </c>
      <c r="C7689" s="49" t="s">
        <v>78</v>
      </c>
      <c r="D7689" s="49">
        <v>0.0</v>
      </c>
    </row>
    <row r="7690" ht="15.0" hidden="1" customHeight="1">
      <c r="A7690" s="49" t="s">
        <v>335</v>
      </c>
      <c r="B7690" s="50">
        <v>45291.0</v>
      </c>
      <c r="C7690" s="49" t="s">
        <v>78</v>
      </c>
      <c r="D7690" s="49">
        <v>0.0</v>
      </c>
    </row>
    <row r="7691" ht="15.0" hidden="1" customHeight="1">
      <c r="A7691" s="49" t="s">
        <v>340</v>
      </c>
      <c r="B7691" s="50">
        <v>45291.0</v>
      </c>
      <c r="C7691" s="49" t="s">
        <v>78</v>
      </c>
      <c r="D7691" s="49">
        <v>0.0</v>
      </c>
    </row>
    <row r="7692" ht="15.0" hidden="1" customHeight="1">
      <c r="A7692" s="49" t="s">
        <v>345</v>
      </c>
      <c r="B7692" s="50">
        <v>45291.0</v>
      </c>
      <c r="C7692" s="49" t="s">
        <v>78</v>
      </c>
      <c r="D7692" s="49">
        <v>0.0</v>
      </c>
    </row>
    <row r="7693" ht="15.0" hidden="1" customHeight="1">
      <c r="A7693" s="49" t="s">
        <v>350</v>
      </c>
      <c r="B7693" s="50">
        <v>45291.0</v>
      </c>
      <c r="C7693" s="49" t="s">
        <v>78</v>
      </c>
      <c r="D7693" s="49">
        <v>0.0</v>
      </c>
    </row>
    <row r="7694" ht="15.0" hidden="1" customHeight="1">
      <c r="A7694" s="49" t="s">
        <v>355</v>
      </c>
      <c r="B7694" s="50">
        <v>45291.0</v>
      </c>
      <c r="C7694" s="49" t="s">
        <v>78</v>
      </c>
      <c r="D7694" s="49">
        <v>0.0</v>
      </c>
    </row>
    <row r="7695" ht="15.0" hidden="1" customHeight="1">
      <c r="A7695" s="49" t="s">
        <v>360</v>
      </c>
      <c r="B7695" s="50">
        <v>45291.0</v>
      </c>
      <c r="C7695" s="49" t="s">
        <v>78</v>
      </c>
      <c r="D7695" s="49">
        <v>0.0</v>
      </c>
    </row>
    <row r="7696" ht="15.0" hidden="1" customHeight="1">
      <c r="A7696" s="49" t="s">
        <v>365</v>
      </c>
      <c r="B7696" s="50">
        <v>45291.0</v>
      </c>
      <c r="C7696" s="49" t="s">
        <v>78</v>
      </c>
      <c r="D7696" s="49">
        <v>0.0</v>
      </c>
    </row>
    <row r="7697" ht="15.0" hidden="1" customHeight="1">
      <c r="A7697" s="49" t="s">
        <v>370</v>
      </c>
      <c r="B7697" s="50">
        <v>45291.0</v>
      </c>
      <c r="C7697" s="49" t="s">
        <v>78</v>
      </c>
      <c r="D7697" s="49">
        <v>0.0</v>
      </c>
    </row>
    <row r="7698" ht="15.0" hidden="1" customHeight="1">
      <c r="A7698" s="49" t="s">
        <v>375</v>
      </c>
      <c r="B7698" s="50">
        <v>45291.0</v>
      </c>
      <c r="C7698" s="49" t="s">
        <v>78</v>
      </c>
      <c r="D7698" s="49">
        <v>0.0</v>
      </c>
    </row>
    <row r="7699" ht="15.0" hidden="1" customHeight="1">
      <c r="A7699" s="49" t="s">
        <v>380</v>
      </c>
      <c r="B7699" s="50">
        <v>45291.0</v>
      </c>
      <c r="C7699" s="49" t="s">
        <v>78</v>
      </c>
      <c r="D7699" s="49">
        <v>0.0</v>
      </c>
    </row>
    <row r="7700" ht="15.0" hidden="1" customHeight="1">
      <c r="A7700" s="49" t="s">
        <v>385</v>
      </c>
      <c r="B7700" s="50">
        <v>45291.0</v>
      </c>
      <c r="C7700" s="49" t="s">
        <v>78</v>
      </c>
      <c r="D7700" s="49">
        <v>0.0</v>
      </c>
    </row>
    <row r="7701" ht="15.0" hidden="1" customHeight="1">
      <c r="A7701" s="49" t="s">
        <v>390</v>
      </c>
      <c r="B7701" s="50">
        <v>45291.0</v>
      </c>
      <c r="C7701" s="49" t="s">
        <v>78</v>
      </c>
      <c r="D7701" s="49">
        <v>0.0</v>
      </c>
    </row>
    <row r="7702" ht="15.0" hidden="1" customHeight="1">
      <c r="A7702" s="49" t="s">
        <v>395</v>
      </c>
      <c r="B7702" s="50">
        <v>45291.0</v>
      </c>
      <c r="C7702" s="49" t="s">
        <v>78</v>
      </c>
      <c r="D7702" s="49">
        <v>0.0</v>
      </c>
    </row>
    <row r="7703" ht="15.0" hidden="1" customHeight="1">
      <c r="A7703" s="49" t="s">
        <v>400</v>
      </c>
      <c r="B7703" s="50">
        <v>45291.0</v>
      </c>
      <c r="C7703" s="49" t="s">
        <v>78</v>
      </c>
      <c r="D7703" s="49">
        <v>0.0</v>
      </c>
    </row>
    <row r="7704" ht="15.0" hidden="1" customHeight="1">
      <c r="A7704" s="49" t="s">
        <v>405</v>
      </c>
      <c r="B7704" s="50">
        <v>45291.0</v>
      </c>
      <c r="C7704" s="49" t="s">
        <v>78</v>
      </c>
      <c r="D7704" s="49">
        <v>0.0</v>
      </c>
    </row>
    <row r="7705" ht="15.0" hidden="1" customHeight="1">
      <c r="A7705" s="49" t="s">
        <v>410</v>
      </c>
      <c r="B7705" s="50">
        <v>45291.0</v>
      </c>
      <c r="C7705" s="49" t="s">
        <v>78</v>
      </c>
      <c r="D7705" s="49">
        <v>0.0</v>
      </c>
    </row>
    <row r="7706" ht="15.0" hidden="1" customHeight="1">
      <c r="A7706" s="49" t="s">
        <v>415</v>
      </c>
      <c r="B7706" s="50">
        <v>45291.0</v>
      </c>
      <c r="C7706" s="49" t="s">
        <v>78</v>
      </c>
      <c r="D7706" s="49">
        <v>0.0</v>
      </c>
    </row>
    <row r="7707" ht="15.0" hidden="1" customHeight="1">
      <c r="A7707" s="49" t="s">
        <v>420</v>
      </c>
      <c r="B7707" s="50">
        <v>45291.0</v>
      </c>
      <c r="C7707" s="49" t="s">
        <v>78</v>
      </c>
      <c r="D7707" s="49">
        <v>0.0</v>
      </c>
    </row>
    <row r="7708" ht="15.0" hidden="1" customHeight="1">
      <c r="A7708" s="49" t="s">
        <v>425</v>
      </c>
      <c r="B7708" s="50">
        <v>45291.0</v>
      </c>
      <c r="C7708" s="49" t="s">
        <v>78</v>
      </c>
      <c r="D7708" s="49">
        <v>0.0</v>
      </c>
    </row>
    <row r="7709" ht="15.0" hidden="1" customHeight="1">
      <c r="A7709" s="49" t="s">
        <v>430</v>
      </c>
      <c r="B7709" s="50">
        <v>45291.0</v>
      </c>
      <c r="C7709" s="49" t="s">
        <v>78</v>
      </c>
      <c r="D7709" s="49">
        <v>0.0</v>
      </c>
    </row>
    <row r="7710" ht="15.0" hidden="1" customHeight="1">
      <c r="A7710" s="49" t="s">
        <v>434</v>
      </c>
      <c r="B7710" s="50">
        <v>45291.0</v>
      </c>
      <c r="C7710" s="49" t="s">
        <v>78</v>
      </c>
      <c r="D7710" s="49">
        <v>0.0</v>
      </c>
    </row>
    <row r="7711" ht="15.0" hidden="1" customHeight="1">
      <c r="A7711" s="49" t="s">
        <v>439</v>
      </c>
      <c r="B7711" s="50">
        <v>45291.0</v>
      </c>
      <c r="C7711" s="49" t="s">
        <v>78</v>
      </c>
      <c r="D7711" s="49">
        <v>0.0</v>
      </c>
    </row>
    <row r="7712" ht="15.0" hidden="1" customHeight="1">
      <c r="A7712" s="49" t="s">
        <v>444</v>
      </c>
      <c r="B7712" s="50">
        <v>45291.0</v>
      </c>
      <c r="C7712" s="49" t="s">
        <v>78</v>
      </c>
      <c r="D7712" s="49">
        <v>0.0</v>
      </c>
    </row>
    <row r="7713" ht="15.0" hidden="1" customHeight="1">
      <c r="A7713" s="49" t="s">
        <v>449</v>
      </c>
      <c r="B7713" s="50">
        <v>45291.0</v>
      </c>
      <c r="C7713" s="49" t="s">
        <v>78</v>
      </c>
      <c r="D7713" s="49">
        <v>1.2E7</v>
      </c>
    </row>
    <row r="7714" ht="15.0" hidden="1" customHeight="1">
      <c r="A7714" s="49" t="s">
        <v>455</v>
      </c>
      <c r="B7714" s="50">
        <v>45291.0</v>
      </c>
      <c r="C7714" s="49" t="s">
        <v>78</v>
      </c>
      <c r="D7714" s="49">
        <v>4964442.0</v>
      </c>
    </row>
    <row r="7715" ht="15.0" hidden="1" customHeight="1">
      <c r="A7715" s="49" t="s">
        <v>470</v>
      </c>
      <c r="B7715" s="50">
        <v>45291.0</v>
      </c>
      <c r="C7715" s="49" t="s">
        <v>78</v>
      </c>
      <c r="D7715" s="49">
        <v>250000.0</v>
      </c>
    </row>
    <row r="7716" ht="15.0" hidden="1" customHeight="1">
      <c r="A7716" s="49" t="s">
        <v>476</v>
      </c>
      <c r="B7716" s="50">
        <v>45291.0</v>
      </c>
      <c r="C7716" s="49" t="s">
        <v>78</v>
      </c>
      <c r="D7716" s="49">
        <v>6000000.0</v>
      </c>
    </row>
    <row r="7717" ht="15.0" hidden="1" customHeight="1">
      <c r="A7717" s="49" t="s">
        <v>481</v>
      </c>
      <c r="B7717" s="50">
        <v>45291.0</v>
      </c>
      <c r="C7717" s="49" t="s">
        <v>78</v>
      </c>
      <c r="D7717" s="49">
        <v>320000.0</v>
      </c>
    </row>
    <row r="7718" ht="15.0" hidden="1" customHeight="1">
      <c r="A7718" s="49" t="s">
        <v>486</v>
      </c>
      <c r="B7718" s="50">
        <v>45291.0</v>
      </c>
      <c r="C7718" s="49" t="s">
        <v>78</v>
      </c>
      <c r="D7718" s="49">
        <v>0.0</v>
      </c>
    </row>
    <row r="7719" ht="15.0" hidden="1" customHeight="1">
      <c r="A7719" s="49" t="s">
        <v>491</v>
      </c>
      <c r="B7719" s="50">
        <v>45291.0</v>
      </c>
      <c r="C7719" s="49" t="s">
        <v>78</v>
      </c>
      <c r="D7719" s="49">
        <v>0.0</v>
      </c>
    </row>
    <row r="7720" ht="15.0" hidden="1" customHeight="1">
      <c r="A7720" s="49" t="s">
        <v>496</v>
      </c>
      <c r="B7720" s="50">
        <v>45291.0</v>
      </c>
      <c r="C7720" s="49" t="s">
        <v>78</v>
      </c>
      <c r="D7720" s="49">
        <v>0.0</v>
      </c>
    </row>
    <row r="7721" ht="15.0" hidden="1" customHeight="1">
      <c r="A7721" s="49" t="s">
        <v>501</v>
      </c>
      <c r="B7721" s="50">
        <v>45291.0</v>
      </c>
      <c r="C7721" s="49" t="s">
        <v>78</v>
      </c>
      <c r="D7721" s="49">
        <v>0.0</v>
      </c>
    </row>
    <row r="7722" ht="15.0" hidden="1" customHeight="1">
      <c r="A7722" s="49" t="s">
        <v>506</v>
      </c>
      <c r="B7722" s="50">
        <v>45291.0</v>
      </c>
      <c r="C7722" s="49" t="s">
        <v>78</v>
      </c>
      <c r="D7722" s="49">
        <v>0.0</v>
      </c>
    </row>
    <row r="7723" ht="15.0" hidden="1" customHeight="1">
      <c r="A7723" s="49" t="s">
        <v>512</v>
      </c>
      <c r="B7723" s="50">
        <v>45291.0</v>
      </c>
      <c r="C7723" s="49" t="s">
        <v>78</v>
      </c>
      <c r="D7723" s="49">
        <v>0.0</v>
      </c>
    </row>
    <row r="7724" ht="15.0" hidden="1" customHeight="1">
      <c r="A7724" s="49" t="s">
        <v>517</v>
      </c>
      <c r="B7724" s="50">
        <v>45291.0</v>
      </c>
      <c r="C7724" s="49" t="s">
        <v>78</v>
      </c>
      <c r="D7724" s="49">
        <v>0.0</v>
      </c>
    </row>
    <row r="7725" ht="15.0" hidden="1" customHeight="1">
      <c r="A7725" s="49" t="s">
        <v>522</v>
      </c>
      <c r="B7725" s="50">
        <v>45291.0</v>
      </c>
      <c r="C7725" s="49" t="s">
        <v>78</v>
      </c>
      <c r="D7725" s="49">
        <v>0.0</v>
      </c>
    </row>
    <row r="7726" ht="15.0" hidden="1" customHeight="1">
      <c r="A7726" s="49" t="s">
        <v>528</v>
      </c>
      <c r="B7726" s="50">
        <v>45291.0</v>
      </c>
      <c r="C7726" s="49" t="s">
        <v>78</v>
      </c>
      <c r="D7726" s="49">
        <v>0.0</v>
      </c>
    </row>
    <row r="7727" ht="15.0" hidden="1" customHeight="1">
      <c r="A7727" s="49" t="s">
        <v>533</v>
      </c>
      <c r="B7727" s="50">
        <v>45291.0</v>
      </c>
      <c r="C7727" s="49" t="s">
        <v>78</v>
      </c>
      <c r="D7727" s="49">
        <v>0.0</v>
      </c>
    </row>
    <row r="7728" ht="15.0" hidden="1" customHeight="1">
      <c r="A7728" s="49" t="s">
        <v>538</v>
      </c>
      <c r="B7728" s="50">
        <v>45291.0</v>
      </c>
      <c r="C7728" s="49" t="s">
        <v>78</v>
      </c>
      <c r="D7728" s="49">
        <v>0.0</v>
      </c>
    </row>
    <row r="7729" ht="15.0" hidden="1" customHeight="1">
      <c r="A7729" s="49" t="s">
        <v>546</v>
      </c>
      <c r="B7729" s="50">
        <v>45291.0</v>
      </c>
      <c r="C7729" s="49" t="s">
        <v>78</v>
      </c>
      <c r="D7729" s="49">
        <v>0.0</v>
      </c>
    </row>
    <row r="7730" ht="15.0" hidden="1" customHeight="1">
      <c r="A7730" s="49" t="s">
        <v>551</v>
      </c>
      <c r="B7730" s="50">
        <v>45291.0</v>
      </c>
      <c r="C7730" s="49" t="s">
        <v>78</v>
      </c>
      <c r="D7730" s="49">
        <v>0.0</v>
      </c>
    </row>
    <row r="7731" ht="15.0" hidden="1" customHeight="1">
      <c r="A7731" s="49" t="s">
        <v>556</v>
      </c>
      <c r="B7731" s="50">
        <v>45291.0</v>
      </c>
      <c r="C7731" s="49" t="s">
        <v>78</v>
      </c>
      <c r="D7731" s="49">
        <v>0.0</v>
      </c>
    </row>
    <row r="7732" ht="15.0" hidden="1" customHeight="1">
      <c r="A7732" s="49" t="s">
        <v>561</v>
      </c>
      <c r="B7732" s="50">
        <v>45291.0</v>
      </c>
      <c r="C7732" s="49" t="s">
        <v>78</v>
      </c>
      <c r="D7732" s="49">
        <v>0.0</v>
      </c>
    </row>
    <row r="7733" ht="15.0" hidden="1" customHeight="1">
      <c r="A7733" s="49" t="s">
        <v>566</v>
      </c>
      <c r="B7733" s="50">
        <v>45291.0</v>
      </c>
      <c r="C7733" s="49" t="s">
        <v>78</v>
      </c>
      <c r="D7733" s="49">
        <v>0.0</v>
      </c>
    </row>
    <row r="7734" ht="15.0" hidden="1" customHeight="1">
      <c r="A7734" s="49" t="s">
        <v>571</v>
      </c>
      <c r="B7734" s="50">
        <v>45291.0</v>
      </c>
      <c r="C7734" s="49" t="s">
        <v>78</v>
      </c>
      <c r="D7734" s="49">
        <v>0.0</v>
      </c>
    </row>
    <row r="7735" ht="15.0" hidden="1" customHeight="1">
      <c r="A7735" s="49" t="s">
        <v>576</v>
      </c>
      <c r="B7735" s="50">
        <v>45291.0</v>
      </c>
      <c r="C7735" s="49" t="s">
        <v>78</v>
      </c>
      <c r="D7735" s="49">
        <v>0.0</v>
      </c>
    </row>
    <row r="7736" ht="15.0" hidden="1" customHeight="1">
      <c r="A7736" s="49" t="s">
        <v>581</v>
      </c>
      <c r="B7736" s="50">
        <v>45291.0</v>
      </c>
      <c r="C7736" s="49" t="s">
        <v>78</v>
      </c>
      <c r="D7736" s="49">
        <v>0.0</v>
      </c>
    </row>
    <row r="7737" ht="15.0" hidden="1" customHeight="1">
      <c r="A7737" s="49" t="s">
        <v>586</v>
      </c>
      <c r="B7737" s="50">
        <v>45291.0</v>
      </c>
      <c r="C7737" s="49" t="s">
        <v>78</v>
      </c>
      <c r="D7737" s="49">
        <v>0.0</v>
      </c>
    </row>
    <row r="7738" ht="15.0" hidden="1" customHeight="1">
      <c r="A7738" s="49" t="s">
        <v>754</v>
      </c>
      <c r="B7738" s="50">
        <v>45291.0</v>
      </c>
      <c r="C7738" s="49" t="s">
        <v>78</v>
      </c>
      <c r="D7738" s="49">
        <v>0.0</v>
      </c>
    </row>
    <row r="7739" ht="15.0" hidden="1" customHeight="1">
      <c r="A7739" s="49" t="s">
        <v>591</v>
      </c>
      <c r="B7739" s="50">
        <v>45291.0</v>
      </c>
      <c r="C7739" s="49" t="s">
        <v>78</v>
      </c>
      <c r="D7739" s="49">
        <v>0.0</v>
      </c>
    </row>
    <row r="7740" ht="15.0" hidden="1" customHeight="1">
      <c r="A7740" s="49" t="s">
        <v>759</v>
      </c>
      <c r="B7740" s="50">
        <v>45291.0</v>
      </c>
      <c r="C7740" s="49" t="s">
        <v>78</v>
      </c>
      <c r="D7740" s="49">
        <v>0.0</v>
      </c>
    </row>
    <row r="7741" ht="15.0" hidden="1" customHeight="1">
      <c r="A7741" s="49" t="s">
        <v>596</v>
      </c>
      <c r="B7741" s="50">
        <v>45291.0</v>
      </c>
      <c r="C7741" s="49" t="s">
        <v>78</v>
      </c>
      <c r="D7741" s="49">
        <v>0.0</v>
      </c>
    </row>
    <row r="7742" ht="15.0" hidden="1" customHeight="1">
      <c r="A7742" s="49" t="s">
        <v>602</v>
      </c>
      <c r="B7742" s="50">
        <v>45291.0</v>
      </c>
      <c r="C7742" s="49" t="s">
        <v>78</v>
      </c>
      <c r="D7742" s="49">
        <v>0.0</v>
      </c>
    </row>
    <row r="7743" ht="15.0" hidden="1" customHeight="1">
      <c r="A7743" s="49" t="s">
        <v>607</v>
      </c>
      <c r="B7743" s="50">
        <v>45291.0</v>
      </c>
      <c r="C7743" s="49" t="s">
        <v>78</v>
      </c>
      <c r="D7743" s="49">
        <v>0.0</v>
      </c>
    </row>
    <row r="7744" ht="15.0" hidden="1" customHeight="1">
      <c r="A7744" s="49" t="s">
        <v>612</v>
      </c>
      <c r="B7744" s="50">
        <v>45291.0</v>
      </c>
      <c r="C7744" s="49" t="s">
        <v>78</v>
      </c>
      <c r="D7744" s="49">
        <v>0.0</v>
      </c>
    </row>
    <row r="7745" ht="15.0" hidden="1" customHeight="1">
      <c r="A7745" s="49" t="s">
        <v>617</v>
      </c>
      <c r="B7745" s="50">
        <v>45291.0</v>
      </c>
      <c r="C7745" s="49" t="s">
        <v>78</v>
      </c>
      <c r="D7745" s="49">
        <v>0.0</v>
      </c>
    </row>
    <row r="7746" ht="15.0" hidden="1" customHeight="1">
      <c r="A7746" s="49" t="s">
        <v>622</v>
      </c>
      <c r="B7746" s="50">
        <v>45291.0</v>
      </c>
      <c r="C7746" s="49" t="s">
        <v>78</v>
      </c>
      <c r="D7746" s="49">
        <v>0.0</v>
      </c>
    </row>
    <row r="7747" ht="15.0" hidden="1" customHeight="1">
      <c r="A7747" s="49" t="s">
        <v>627</v>
      </c>
      <c r="B7747" s="50">
        <v>45291.0</v>
      </c>
      <c r="C7747" s="49" t="s">
        <v>78</v>
      </c>
      <c r="D7747" s="49">
        <v>0.0</v>
      </c>
    </row>
    <row r="7748" ht="15.0" hidden="1" customHeight="1">
      <c r="A7748" s="49" t="s">
        <v>631</v>
      </c>
      <c r="B7748" s="50">
        <v>45291.0</v>
      </c>
      <c r="C7748" s="49" t="s">
        <v>78</v>
      </c>
      <c r="D7748" s="49">
        <v>0.0</v>
      </c>
    </row>
    <row r="7749" ht="15.0" hidden="1" customHeight="1">
      <c r="A7749" s="49" t="s">
        <v>636</v>
      </c>
      <c r="B7749" s="50">
        <v>45291.0</v>
      </c>
      <c r="C7749" s="49" t="s">
        <v>78</v>
      </c>
      <c r="D7749" s="49">
        <v>0.0</v>
      </c>
    </row>
    <row r="7750" ht="15.0" hidden="1" customHeight="1">
      <c r="A7750" s="49" t="s">
        <v>640</v>
      </c>
      <c r="B7750" s="50">
        <v>45291.0</v>
      </c>
      <c r="C7750" s="49" t="s">
        <v>78</v>
      </c>
      <c r="D7750" s="49">
        <v>0.0</v>
      </c>
    </row>
    <row r="7751" ht="15.0" hidden="1" customHeight="1">
      <c r="A7751" s="49" t="s">
        <v>644</v>
      </c>
      <c r="B7751" s="50">
        <v>45291.0</v>
      </c>
      <c r="C7751" s="49" t="s">
        <v>78</v>
      </c>
      <c r="D7751" s="49">
        <v>0.0</v>
      </c>
    </row>
    <row r="7752" ht="15.0" hidden="1" customHeight="1">
      <c r="A7752" s="49" t="s">
        <v>649</v>
      </c>
      <c r="B7752" s="50">
        <v>45291.0</v>
      </c>
      <c r="C7752" s="49" t="s">
        <v>78</v>
      </c>
      <c r="D7752" s="49">
        <v>0.0</v>
      </c>
    </row>
    <row r="7753" ht="15.0" hidden="1" customHeight="1">
      <c r="A7753" s="49" t="s">
        <v>654</v>
      </c>
      <c r="B7753" s="50">
        <v>45291.0</v>
      </c>
      <c r="C7753" s="49" t="s">
        <v>78</v>
      </c>
      <c r="D7753" s="49">
        <v>0.0</v>
      </c>
    </row>
    <row r="7754" ht="15.0" hidden="1" customHeight="1">
      <c r="A7754" s="49" t="s">
        <v>659</v>
      </c>
      <c r="B7754" s="50">
        <v>45291.0</v>
      </c>
      <c r="C7754" s="49" t="s">
        <v>78</v>
      </c>
      <c r="D7754" s="49">
        <v>0.0</v>
      </c>
    </row>
    <row r="7755" ht="15.0" hidden="1" customHeight="1">
      <c r="A7755" s="49" t="s">
        <v>664</v>
      </c>
      <c r="B7755" s="50">
        <v>45291.0</v>
      </c>
      <c r="C7755" s="49" t="s">
        <v>78</v>
      </c>
      <c r="D7755" s="49">
        <v>0.0</v>
      </c>
    </row>
    <row r="7756" ht="15.0" hidden="1" customHeight="1">
      <c r="A7756" s="49" t="s">
        <v>669</v>
      </c>
      <c r="B7756" s="50">
        <v>45291.0</v>
      </c>
      <c r="C7756" s="49" t="s">
        <v>78</v>
      </c>
      <c r="D7756" s="49">
        <v>0.0</v>
      </c>
    </row>
    <row r="7757" ht="15.0" hidden="1" customHeight="1">
      <c r="A7757" s="49" t="s">
        <v>674</v>
      </c>
      <c r="B7757" s="50">
        <v>45291.0</v>
      </c>
      <c r="C7757" s="49" t="s">
        <v>78</v>
      </c>
      <c r="D7757" s="49">
        <v>0.0</v>
      </c>
    </row>
    <row r="7758" ht="15.0" hidden="1" customHeight="1">
      <c r="A7758" s="49" t="s">
        <v>679</v>
      </c>
      <c r="B7758" s="50">
        <v>45291.0</v>
      </c>
      <c r="C7758" s="49" t="s">
        <v>78</v>
      </c>
      <c r="D7758" s="49">
        <v>0.0</v>
      </c>
    </row>
    <row r="7759" ht="15.0" hidden="1" customHeight="1">
      <c r="A7759" s="49" t="s">
        <v>684</v>
      </c>
      <c r="B7759" s="50">
        <v>45291.0</v>
      </c>
      <c r="C7759" s="49" t="s">
        <v>78</v>
      </c>
      <c r="D7759" s="49">
        <v>0.0</v>
      </c>
    </row>
    <row r="7760" ht="15.0" hidden="1" customHeight="1">
      <c r="A7760" s="49" t="s">
        <v>689</v>
      </c>
      <c r="B7760" s="50">
        <v>45291.0</v>
      </c>
      <c r="C7760" s="49" t="s">
        <v>78</v>
      </c>
      <c r="D7760" s="49">
        <v>0.0</v>
      </c>
    </row>
    <row r="7761" ht="15.0" hidden="1" customHeight="1">
      <c r="A7761" s="49" t="s">
        <v>694</v>
      </c>
      <c r="B7761" s="50">
        <v>45291.0</v>
      </c>
      <c r="C7761" s="49" t="s">
        <v>78</v>
      </c>
      <c r="D7761" s="49">
        <v>0.0</v>
      </c>
    </row>
    <row r="7762" ht="15.0" hidden="1" customHeight="1">
      <c r="A7762" s="49" t="s">
        <v>699</v>
      </c>
      <c r="B7762" s="50">
        <v>45291.0</v>
      </c>
      <c r="C7762" s="49" t="s">
        <v>78</v>
      </c>
      <c r="D7762" s="49">
        <v>0.0</v>
      </c>
    </row>
    <row r="7763" ht="15.0" hidden="1" customHeight="1">
      <c r="A7763" s="49" t="s">
        <v>705</v>
      </c>
      <c r="B7763" s="50">
        <v>45291.0</v>
      </c>
      <c r="C7763" s="49" t="s">
        <v>78</v>
      </c>
      <c r="D7763" s="49">
        <v>0.0</v>
      </c>
    </row>
    <row r="7764" ht="15.0" hidden="1" customHeight="1">
      <c r="A7764" s="49" t="s">
        <v>710</v>
      </c>
      <c r="B7764" s="50">
        <v>45291.0</v>
      </c>
      <c r="C7764" s="49" t="s">
        <v>78</v>
      </c>
      <c r="D7764" s="49">
        <v>0.0</v>
      </c>
    </row>
    <row r="7765" ht="15.0" hidden="1" customHeight="1">
      <c r="A7765" s="49" t="s">
        <v>715</v>
      </c>
      <c r="B7765" s="50">
        <v>45291.0</v>
      </c>
      <c r="C7765" s="49" t="s">
        <v>78</v>
      </c>
      <c r="D7765" s="49">
        <v>0.0</v>
      </c>
    </row>
    <row r="7766" ht="15.0" hidden="1" customHeight="1">
      <c r="A7766" s="49" t="s">
        <v>765</v>
      </c>
      <c r="B7766" s="50">
        <v>45291.0</v>
      </c>
      <c r="C7766" s="49" t="s">
        <v>78</v>
      </c>
      <c r="D7766" s="49">
        <v>0.0</v>
      </c>
    </row>
    <row r="7767" ht="15.0" hidden="1" customHeight="1">
      <c r="A7767" s="49" t="s">
        <v>720</v>
      </c>
      <c r="B7767" s="50">
        <v>45291.0</v>
      </c>
      <c r="C7767" s="49" t="s">
        <v>78</v>
      </c>
      <c r="D7767" s="49">
        <v>0.0</v>
      </c>
    </row>
    <row r="7768" ht="15.0" hidden="1" customHeight="1">
      <c r="A7768" s="49" t="s">
        <v>725</v>
      </c>
      <c r="B7768" s="50">
        <v>45291.0</v>
      </c>
      <c r="C7768" s="49" t="s">
        <v>78</v>
      </c>
      <c r="D7768" s="49">
        <v>0.0</v>
      </c>
    </row>
    <row r="7769" ht="15.0" hidden="1" customHeight="1">
      <c r="A7769" s="49" t="s">
        <v>730</v>
      </c>
      <c r="B7769" s="50">
        <v>45291.0</v>
      </c>
      <c r="C7769" s="49" t="s">
        <v>78</v>
      </c>
      <c r="D7769" s="49">
        <v>0.0</v>
      </c>
    </row>
    <row r="7770" ht="15.0" hidden="1" customHeight="1">
      <c r="A7770" s="49" t="s">
        <v>734</v>
      </c>
      <c r="B7770" s="50">
        <v>45291.0</v>
      </c>
      <c r="C7770" s="49" t="s">
        <v>78</v>
      </c>
      <c r="D7770" s="49">
        <v>0.0</v>
      </c>
    </row>
    <row r="7771" ht="15.0" hidden="1" customHeight="1">
      <c r="A7771" s="49" t="s">
        <v>739</v>
      </c>
      <c r="B7771" s="50">
        <v>45291.0</v>
      </c>
      <c r="C7771" s="49" t="s">
        <v>78</v>
      </c>
      <c r="D7771" s="49">
        <v>0.0</v>
      </c>
    </row>
    <row r="7772" ht="15.0" hidden="1" customHeight="1">
      <c r="A7772" s="49" t="s">
        <v>744</v>
      </c>
      <c r="B7772" s="50">
        <v>45291.0</v>
      </c>
      <c r="C7772" s="49" t="s">
        <v>78</v>
      </c>
      <c r="D7772" s="49">
        <v>0.0</v>
      </c>
    </row>
    <row r="7773" ht="15.0" hidden="1" customHeight="1">
      <c r="A7773" s="49" t="s">
        <v>749</v>
      </c>
      <c r="B7773" s="50">
        <v>45291.0</v>
      </c>
      <c r="C7773" s="49" t="s">
        <v>78</v>
      </c>
      <c r="D7773" s="49">
        <v>0.0</v>
      </c>
    </row>
    <row r="7774" ht="15.0" customHeight="1">
      <c r="A7774" s="49" t="s">
        <v>776</v>
      </c>
      <c r="B7774" s="50">
        <v>45291.0</v>
      </c>
      <c r="C7774" s="49" t="s">
        <v>69</v>
      </c>
      <c r="D7774" s="49">
        <v>0.0</v>
      </c>
    </row>
    <row r="7775" ht="15.0" hidden="1" customHeight="1">
      <c r="A7775" s="49" t="s">
        <v>778</v>
      </c>
      <c r="B7775" s="50">
        <v>45291.0</v>
      </c>
      <c r="C7775" s="49" t="s">
        <v>69</v>
      </c>
      <c r="D7775" s="49">
        <v>0.0</v>
      </c>
    </row>
    <row r="7776" ht="15.0" hidden="1" customHeight="1">
      <c r="A7776" s="49" t="s">
        <v>92</v>
      </c>
      <c r="B7776" s="50">
        <v>45291.0</v>
      </c>
      <c r="C7776" s="49" t="s">
        <v>69</v>
      </c>
      <c r="D7776" s="49">
        <v>0.0</v>
      </c>
    </row>
    <row r="7777" ht="15.0" hidden="1" customHeight="1">
      <c r="A7777" s="49" t="s">
        <v>97</v>
      </c>
      <c r="B7777" s="50">
        <v>45291.0</v>
      </c>
      <c r="C7777" s="49" t="s">
        <v>69</v>
      </c>
      <c r="D7777" s="49">
        <v>0.0</v>
      </c>
    </row>
    <row r="7778" ht="15.0" hidden="1" customHeight="1">
      <c r="A7778" s="49" t="s">
        <v>102</v>
      </c>
      <c r="B7778" s="50">
        <v>45291.0</v>
      </c>
      <c r="C7778" s="49" t="s">
        <v>69</v>
      </c>
      <c r="D7778" s="49">
        <v>0.0</v>
      </c>
    </row>
    <row r="7779" ht="15.0" hidden="1" customHeight="1">
      <c r="A7779" s="49" t="s">
        <v>106</v>
      </c>
      <c r="B7779" s="50">
        <v>45291.0</v>
      </c>
      <c r="C7779" s="49" t="s">
        <v>69</v>
      </c>
      <c r="D7779" s="49">
        <v>0.0</v>
      </c>
    </row>
    <row r="7780" ht="15.0" hidden="1" customHeight="1">
      <c r="A7780" s="49" t="s">
        <v>111</v>
      </c>
      <c r="B7780" s="50">
        <v>45291.0</v>
      </c>
      <c r="C7780" s="49" t="s">
        <v>69</v>
      </c>
      <c r="D7780" s="49">
        <v>0.0</v>
      </c>
    </row>
    <row r="7781" ht="15.0" hidden="1" customHeight="1">
      <c r="A7781" s="49" t="s">
        <v>116</v>
      </c>
      <c r="B7781" s="50">
        <v>45291.0</v>
      </c>
      <c r="C7781" s="49" t="s">
        <v>69</v>
      </c>
      <c r="D7781" s="49">
        <v>0.0</v>
      </c>
    </row>
    <row r="7782" ht="15.0" hidden="1" customHeight="1">
      <c r="A7782" s="49" t="s">
        <v>120</v>
      </c>
      <c r="B7782" s="50">
        <v>45291.0</v>
      </c>
      <c r="C7782" s="49" t="s">
        <v>69</v>
      </c>
      <c r="D7782" s="49">
        <v>0.0</v>
      </c>
    </row>
    <row r="7783" ht="15.0" hidden="1" customHeight="1">
      <c r="A7783" s="49" t="s">
        <v>125</v>
      </c>
      <c r="B7783" s="50">
        <v>45291.0</v>
      </c>
      <c r="C7783" s="49" t="s">
        <v>69</v>
      </c>
      <c r="D7783" s="49">
        <v>0.0</v>
      </c>
    </row>
    <row r="7784" ht="15.0" hidden="1" customHeight="1">
      <c r="A7784" s="49" t="s">
        <v>130</v>
      </c>
      <c r="B7784" s="50">
        <v>45291.0</v>
      </c>
      <c r="C7784" s="49" t="s">
        <v>69</v>
      </c>
      <c r="D7784" s="49">
        <v>0.0</v>
      </c>
    </row>
    <row r="7785" ht="15.0" hidden="1" customHeight="1">
      <c r="A7785" s="49" t="s">
        <v>137</v>
      </c>
      <c r="B7785" s="50">
        <v>45291.0</v>
      </c>
      <c r="C7785" s="49" t="s">
        <v>69</v>
      </c>
      <c r="D7785" s="49">
        <v>0.0</v>
      </c>
    </row>
    <row r="7786" ht="15.0" hidden="1" customHeight="1">
      <c r="A7786" s="49" t="s">
        <v>142</v>
      </c>
      <c r="B7786" s="50">
        <v>45291.0</v>
      </c>
      <c r="C7786" s="49" t="s">
        <v>69</v>
      </c>
      <c r="D7786" s="49">
        <v>0.0</v>
      </c>
    </row>
    <row r="7787" ht="15.0" hidden="1" customHeight="1">
      <c r="A7787" s="49" t="s">
        <v>147</v>
      </c>
      <c r="B7787" s="50">
        <v>45291.0</v>
      </c>
      <c r="C7787" s="49" t="s">
        <v>69</v>
      </c>
      <c r="D7787" s="49">
        <v>0.0</v>
      </c>
    </row>
    <row r="7788" ht="15.0" hidden="1" customHeight="1">
      <c r="A7788" s="49" t="s">
        <v>152</v>
      </c>
      <c r="B7788" s="50">
        <v>45291.0</v>
      </c>
      <c r="C7788" s="49" t="s">
        <v>69</v>
      </c>
      <c r="D7788" s="49">
        <v>0.0</v>
      </c>
    </row>
    <row r="7789" ht="15.0" hidden="1" customHeight="1">
      <c r="A7789" s="49" t="s">
        <v>157</v>
      </c>
      <c r="B7789" s="50">
        <v>45291.0</v>
      </c>
      <c r="C7789" s="49" t="s">
        <v>69</v>
      </c>
      <c r="D7789" s="49">
        <v>0.0</v>
      </c>
    </row>
    <row r="7790" ht="15.0" hidden="1" customHeight="1">
      <c r="A7790" s="49" t="s">
        <v>162</v>
      </c>
      <c r="B7790" s="50">
        <v>45291.0</v>
      </c>
      <c r="C7790" s="49" t="s">
        <v>69</v>
      </c>
      <c r="D7790" s="49">
        <v>0.0</v>
      </c>
    </row>
    <row r="7791" ht="15.0" hidden="1" customHeight="1">
      <c r="A7791" s="49" t="s">
        <v>167</v>
      </c>
      <c r="B7791" s="50">
        <v>45291.0</v>
      </c>
      <c r="C7791" s="49" t="s">
        <v>69</v>
      </c>
      <c r="D7791" s="49">
        <v>0.0</v>
      </c>
    </row>
    <row r="7792" ht="15.0" hidden="1" customHeight="1">
      <c r="A7792" s="49" t="s">
        <v>172</v>
      </c>
      <c r="B7792" s="50">
        <v>45291.0</v>
      </c>
      <c r="C7792" s="49" t="s">
        <v>69</v>
      </c>
      <c r="D7792" s="49">
        <v>0.0</v>
      </c>
    </row>
    <row r="7793" ht="15.0" hidden="1" customHeight="1">
      <c r="A7793" s="49" t="s">
        <v>177</v>
      </c>
      <c r="B7793" s="50">
        <v>45291.0</v>
      </c>
      <c r="C7793" s="49" t="s">
        <v>69</v>
      </c>
      <c r="D7793" s="49">
        <v>0.0</v>
      </c>
    </row>
    <row r="7794" ht="15.0" hidden="1" customHeight="1">
      <c r="A7794" s="49" t="s">
        <v>182</v>
      </c>
      <c r="B7794" s="50">
        <v>45291.0</v>
      </c>
      <c r="C7794" s="49" t="s">
        <v>69</v>
      </c>
      <c r="D7794" s="49">
        <v>0.0</v>
      </c>
    </row>
    <row r="7795" ht="15.0" hidden="1" customHeight="1">
      <c r="A7795" s="49" t="s">
        <v>187</v>
      </c>
      <c r="B7795" s="50">
        <v>45291.0</v>
      </c>
      <c r="C7795" s="49" t="s">
        <v>69</v>
      </c>
      <c r="D7795" s="49">
        <v>0.0</v>
      </c>
    </row>
    <row r="7796" ht="15.0" hidden="1" customHeight="1">
      <c r="A7796" s="49" t="s">
        <v>192</v>
      </c>
      <c r="B7796" s="50">
        <v>45291.0</v>
      </c>
      <c r="C7796" s="49" t="s">
        <v>69</v>
      </c>
      <c r="D7796" s="49">
        <v>0.0</v>
      </c>
    </row>
    <row r="7797" ht="15.0" hidden="1" customHeight="1">
      <c r="A7797" s="49" t="s">
        <v>197</v>
      </c>
      <c r="B7797" s="50">
        <v>45291.0</v>
      </c>
      <c r="C7797" s="49" t="s">
        <v>69</v>
      </c>
      <c r="D7797" s="49">
        <v>0.0</v>
      </c>
    </row>
    <row r="7798" ht="15.0" hidden="1" customHeight="1">
      <c r="A7798" s="49" t="s">
        <v>202</v>
      </c>
      <c r="B7798" s="50">
        <v>45291.0</v>
      </c>
      <c r="C7798" s="49" t="s">
        <v>69</v>
      </c>
      <c r="D7798" s="49">
        <v>0.0</v>
      </c>
    </row>
    <row r="7799" ht="15.0" hidden="1" customHeight="1">
      <c r="A7799" s="49" t="s">
        <v>206</v>
      </c>
      <c r="B7799" s="50">
        <v>45291.0</v>
      </c>
      <c r="C7799" s="49" t="s">
        <v>69</v>
      </c>
      <c r="D7799" s="49">
        <v>0.0</v>
      </c>
    </row>
    <row r="7800" ht="15.0" hidden="1" customHeight="1">
      <c r="A7800" s="49" t="s">
        <v>211</v>
      </c>
      <c r="B7800" s="50">
        <v>45291.0</v>
      </c>
      <c r="C7800" s="49" t="s">
        <v>69</v>
      </c>
      <c r="D7800" s="49">
        <v>0.0</v>
      </c>
    </row>
    <row r="7801" ht="15.0" hidden="1" customHeight="1">
      <c r="A7801" s="49" t="s">
        <v>779</v>
      </c>
      <c r="B7801" s="50">
        <v>45291.0</v>
      </c>
      <c r="C7801" s="49" t="s">
        <v>69</v>
      </c>
      <c r="D7801" s="49">
        <v>0.0</v>
      </c>
    </row>
    <row r="7802" ht="15.0" hidden="1" customHeight="1">
      <c r="A7802" s="49" t="s">
        <v>221</v>
      </c>
      <c r="B7802" s="50">
        <v>45291.0</v>
      </c>
      <c r="C7802" s="49" t="s">
        <v>69</v>
      </c>
      <c r="D7802" s="49">
        <v>0.0</v>
      </c>
    </row>
    <row r="7803" ht="15.0" hidden="1" customHeight="1">
      <c r="A7803" s="49" t="s">
        <v>226</v>
      </c>
      <c r="B7803" s="50">
        <v>45291.0</v>
      </c>
      <c r="C7803" s="49" t="s">
        <v>69</v>
      </c>
      <c r="D7803" s="49">
        <v>-85000.0</v>
      </c>
    </row>
    <row r="7804" ht="15.0" hidden="1" customHeight="1">
      <c r="A7804" s="49" t="s">
        <v>231</v>
      </c>
      <c r="B7804" s="50">
        <v>45291.0</v>
      </c>
      <c r="C7804" s="49" t="s">
        <v>69</v>
      </c>
      <c r="D7804" s="49">
        <v>0.0</v>
      </c>
    </row>
    <row r="7805" ht="15.0" hidden="1" customHeight="1">
      <c r="A7805" s="49" t="s">
        <v>236</v>
      </c>
      <c r="B7805" s="50">
        <v>45291.0</v>
      </c>
      <c r="C7805" s="49" t="s">
        <v>69</v>
      </c>
      <c r="D7805" s="49">
        <v>0.0</v>
      </c>
    </row>
    <row r="7806" ht="15.0" hidden="1" customHeight="1">
      <c r="A7806" s="49" t="s">
        <v>242</v>
      </c>
      <c r="B7806" s="50">
        <v>45291.0</v>
      </c>
      <c r="C7806" s="49" t="s">
        <v>69</v>
      </c>
      <c r="D7806" s="49">
        <v>0.0</v>
      </c>
    </row>
    <row r="7807" ht="15.0" hidden="1" customHeight="1">
      <c r="A7807" s="49" t="s">
        <v>248</v>
      </c>
      <c r="B7807" s="50">
        <v>45291.0</v>
      </c>
      <c r="C7807" s="49" t="s">
        <v>69</v>
      </c>
      <c r="D7807" s="49">
        <v>0.0</v>
      </c>
    </row>
    <row r="7808" ht="15.0" hidden="1" customHeight="1">
      <c r="A7808" s="49" t="s">
        <v>253</v>
      </c>
      <c r="B7808" s="50">
        <v>45291.0</v>
      </c>
      <c r="C7808" s="49" t="s">
        <v>69</v>
      </c>
      <c r="D7808" s="49">
        <v>0.0</v>
      </c>
    </row>
    <row r="7809" ht="15.0" hidden="1" customHeight="1">
      <c r="A7809" s="49" t="s">
        <v>258</v>
      </c>
      <c r="B7809" s="50">
        <v>45291.0</v>
      </c>
      <c r="C7809" s="49" t="s">
        <v>69</v>
      </c>
      <c r="D7809" s="49">
        <v>0.0</v>
      </c>
    </row>
    <row r="7810" ht="15.0" hidden="1" customHeight="1">
      <c r="A7810" s="49" t="s">
        <v>263</v>
      </c>
      <c r="B7810" s="50">
        <v>45291.0</v>
      </c>
      <c r="C7810" s="49" t="s">
        <v>69</v>
      </c>
      <c r="D7810" s="49">
        <v>0.0</v>
      </c>
    </row>
    <row r="7811" ht="15.0" hidden="1" customHeight="1">
      <c r="A7811" s="49" t="s">
        <v>268</v>
      </c>
      <c r="B7811" s="50">
        <v>45291.0</v>
      </c>
      <c r="C7811" s="49" t="s">
        <v>69</v>
      </c>
      <c r="D7811" s="49">
        <v>0.0</v>
      </c>
    </row>
    <row r="7812" ht="15.0" hidden="1" customHeight="1">
      <c r="A7812" s="49" t="s">
        <v>273</v>
      </c>
      <c r="B7812" s="50">
        <v>45291.0</v>
      </c>
      <c r="C7812" s="49" t="s">
        <v>69</v>
      </c>
      <c r="D7812" s="49">
        <v>0.0</v>
      </c>
    </row>
    <row r="7813" ht="15.0" hidden="1" customHeight="1">
      <c r="A7813" s="49" t="s">
        <v>278</v>
      </c>
      <c r="B7813" s="50">
        <v>45291.0</v>
      </c>
      <c r="C7813" s="49" t="s">
        <v>69</v>
      </c>
      <c r="D7813" s="49">
        <v>0.0</v>
      </c>
    </row>
    <row r="7814" ht="15.0" hidden="1" customHeight="1">
      <c r="A7814" s="49" t="s">
        <v>283</v>
      </c>
      <c r="B7814" s="50">
        <v>45291.0</v>
      </c>
      <c r="C7814" s="49" t="s">
        <v>69</v>
      </c>
      <c r="D7814" s="49">
        <v>0.0</v>
      </c>
    </row>
    <row r="7815" ht="15.0" hidden="1" customHeight="1">
      <c r="A7815" s="49" t="s">
        <v>288</v>
      </c>
      <c r="B7815" s="50">
        <v>45291.0</v>
      </c>
      <c r="C7815" s="49" t="s">
        <v>69</v>
      </c>
      <c r="D7815" s="49">
        <v>0.0</v>
      </c>
    </row>
    <row r="7816" ht="15.0" hidden="1" customHeight="1">
      <c r="A7816" s="49" t="s">
        <v>293</v>
      </c>
      <c r="B7816" s="50">
        <v>45291.0</v>
      </c>
      <c r="C7816" s="49" t="s">
        <v>69</v>
      </c>
      <c r="D7816" s="49">
        <v>0.0</v>
      </c>
    </row>
    <row r="7817" ht="15.0" hidden="1" customHeight="1">
      <c r="A7817" s="49" t="s">
        <v>298</v>
      </c>
      <c r="B7817" s="50">
        <v>45291.0</v>
      </c>
      <c r="C7817" s="49" t="s">
        <v>69</v>
      </c>
      <c r="D7817" s="49">
        <v>0.0</v>
      </c>
    </row>
    <row r="7818" ht="15.0" hidden="1" customHeight="1">
      <c r="A7818" s="49" t="s">
        <v>303</v>
      </c>
      <c r="B7818" s="50">
        <v>45291.0</v>
      </c>
      <c r="C7818" s="49" t="s">
        <v>69</v>
      </c>
      <c r="D7818" s="49">
        <v>0.0</v>
      </c>
    </row>
    <row r="7819" ht="15.0" hidden="1" customHeight="1">
      <c r="A7819" s="49" t="s">
        <v>307</v>
      </c>
      <c r="B7819" s="50">
        <v>45291.0</v>
      </c>
      <c r="C7819" s="49" t="s">
        <v>69</v>
      </c>
      <c r="D7819" s="49">
        <v>0.0</v>
      </c>
    </row>
    <row r="7820" ht="15.0" hidden="1" customHeight="1">
      <c r="A7820" s="49" t="s">
        <v>313</v>
      </c>
      <c r="B7820" s="50">
        <v>45291.0</v>
      </c>
      <c r="C7820" s="49" t="s">
        <v>69</v>
      </c>
      <c r="D7820" s="49">
        <v>0.0</v>
      </c>
    </row>
    <row r="7821" ht="15.0" hidden="1" customHeight="1">
      <c r="A7821" s="49" t="s">
        <v>318</v>
      </c>
      <c r="B7821" s="50">
        <v>45291.0</v>
      </c>
      <c r="C7821" s="49" t="s">
        <v>69</v>
      </c>
      <c r="D7821" s="49">
        <v>0.0</v>
      </c>
    </row>
    <row r="7822" ht="15.0" hidden="1" customHeight="1">
      <c r="A7822" s="49" t="s">
        <v>323</v>
      </c>
      <c r="B7822" s="50">
        <v>45291.0</v>
      </c>
      <c r="C7822" s="49" t="s">
        <v>69</v>
      </c>
      <c r="D7822" s="49">
        <v>258000.0</v>
      </c>
    </row>
    <row r="7823" ht="15.0" hidden="1" customHeight="1">
      <c r="A7823" s="49" t="s">
        <v>328</v>
      </c>
      <c r="B7823" s="50">
        <v>45291.0</v>
      </c>
      <c r="C7823" s="49" t="s">
        <v>69</v>
      </c>
      <c r="D7823" s="49">
        <v>0.0</v>
      </c>
    </row>
    <row r="7824" ht="15.0" hidden="1" customHeight="1">
      <c r="A7824" s="49" t="s">
        <v>335</v>
      </c>
      <c r="B7824" s="50">
        <v>45291.0</v>
      </c>
      <c r="C7824" s="49" t="s">
        <v>69</v>
      </c>
      <c r="D7824" s="49">
        <v>0.0</v>
      </c>
    </row>
    <row r="7825" ht="15.0" hidden="1" customHeight="1">
      <c r="A7825" s="49" t="s">
        <v>340</v>
      </c>
      <c r="B7825" s="50">
        <v>45291.0</v>
      </c>
      <c r="C7825" s="49" t="s">
        <v>69</v>
      </c>
      <c r="D7825" s="49">
        <v>0.0</v>
      </c>
    </row>
    <row r="7826" ht="15.0" hidden="1" customHeight="1">
      <c r="A7826" s="49" t="s">
        <v>345</v>
      </c>
      <c r="B7826" s="50">
        <v>45291.0</v>
      </c>
      <c r="C7826" s="49" t="s">
        <v>69</v>
      </c>
      <c r="D7826" s="49">
        <v>0.0</v>
      </c>
    </row>
    <row r="7827" ht="15.0" hidden="1" customHeight="1">
      <c r="A7827" s="49" t="s">
        <v>350</v>
      </c>
      <c r="B7827" s="50">
        <v>45291.0</v>
      </c>
      <c r="C7827" s="49" t="s">
        <v>69</v>
      </c>
      <c r="D7827" s="49">
        <v>0.0</v>
      </c>
    </row>
    <row r="7828" ht="15.0" hidden="1" customHeight="1">
      <c r="A7828" s="49" t="s">
        <v>355</v>
      </c>
      <c r="B7828" s="50">
        <v>45291.0</v>
      </c>
      <c r="C7828" s="49" t="s">
        <v>69</v>
      </c>
      <c r="D7828" s="49">
        <v>155699.48</v>
      </c>
    </row>
    <row r="7829" ht="15.0" hidden="1" customHeight="1">
      <c r="A7829" s="49" t="s">
        <v>360</v>
      </c>
      <c r="B7829" s="50">
        <v>45291.0</v>
      </c>
      <c r="C7829" s="49" t="s">
        <v>69</v>
      </c>
      <c r="D7829" s="49">
        <v>0.0</v>
      </c>
    </row>
    <row r="7830" ht="15.0" hidden="1" customHeight="1">
      <c r="A7830" s="49" t="s">
        <v>365</v>
      </c>
      <c r="B7830" s="50">
        <v>45291.0</v>
      </c>
      <c r="C7830" s="49" t="s">
        <v>69</v>
      </c>
      <c r="D7830" s="49">
        <v>175000.0</v>
      </c>
    </row>
    <row r="7831" ht="15.0" hidden="1" customHeight="1">
      <c r="A7831" s="49" t="s">
        <v>370</v>
      </c>
      <c r="B7831" s="50">
        <v>45291.0</v>
      </c>
      <c r="C7831" s="49" t="s">
        <v>69</v>
      </c>
      <c r="D7831" s="49">
        <v>250000.0</v>
      </c>
    </row>
    <row r="7832" ht="15.0" hidden="1" customHeight="1">
      <c r="A7832" s="49" t="s">
        <v>375</v>
      </c>
      <c r="B7832" s="50">
        <v>45291.0</v>
      </c>
      <c r="C7832" s="49" t="s">
        <v>69</v>
      </c>
      <c r="D7832" s="49">
        <v>1100000.0</v>
      </c>
    </row>
    <row r="7833" ht="15.0" hidden="1" customHeight="1">
      <c r="A7833" s="49" t="s">
        <v>380</v>
      </c>
      <c r="B7833" s="50">
        <v>45291.0</v>
      </c>
      <c r="C7833" s="49" t="s">
        <v>69</v>
      </c>
      <c r="D7833" s="49">
        <v>0.0</v>
      </c>
    </row>
    <row r="7834" ht="15.0" hidden="1" customHeight="1">
      <c r="A7834" s="49" t="s">
        <v>385</v>
      </c>
      <c r="B7834" s="50">
        <v>45291.0</v>
      </c>
      <c r="C7834" s="49" t="s">
        <v>69</v>
      </c>
      <c r="D7834" s="49">
        <v>0.0</v>
      </c>
    </row>
    <row r="7835" ht="15.0" hidden="1" customHeight="1">
      <c r="A7835" s="49" t="s">
        <v>390</v>
      </c>
      <c r="B7835" s="50">
        <v>45291.0</v>
      </c>
      <c r="C7835" s="49" t="s">
        <v>69</v>
      </c>
      <c r="D7835" s="49">
        <v>1050000.0</v>
      </c>
    </row>
    <row r="7836" ht="15.0" hidden="1" customHeight="1">
      <c r="A7836" s="49" t="s">
        <v>395</v>
      </c>
      <c r="B7836" s="50">
        <v>45291.0</v>
      </c>
      <c r="C7836" s="49" t="s">
        <v>69</v>
      </c>
      <c r="D7836" s="49">
        <v>0.0</v>
      </c>
    </row>
    <row r="7837" ht="15.0" hidden="1" customHeight="1">
      <c r="A7837" s="49" t="s">
        <v>400</v>
      </c>
      <c r="B7837" s="50">
        <v>45291.0</v>
      </c>
      <c r="C7837" s="49" t="s">
        <v>69</v>
      </c>
      <c r="D7837" s="49">
        <v>460000.0</v>
      </c>
    </row>
    <row r="7838" ht="15.0" hidden="1" customHeight="1">
      <c r="A7838" s="49" t="s">
        <v>405</v>
      </c>
      <c r="B7838" s="50">
        <v>45291.0</v>
      </c>
      <c r="C7838" s="49" t="s">
        <v>69</v>
      </c>
      <c r="D7838" s="49">
        <v>2000000.0</v>
      </c>
    </row>
    <row r="7839" ht="15.0" hidden="1" customHeight="1">
      <c r="A7839" s="49" t="s">
        <v>410</v>
      </c>
      <c r="B7839" s="50">
        <v>45291.0</v>
      </c>
      <c r="C7839" s="49" t="s">
        <v>69</v>
      </c>
      <c r="D7839" s="49">
        <v>395000.0</v>
      </c>
    </row>
    <row r="7840" ht="15.0" hidden="1" customHeight="1">
      <c r="A7840" s="49" t="s">
        <v>415</v>
      </c>
      <c r="B7840" s="50">
        <v>45291.0</v>
      </c>
      <c r="C7840" s="49" t="s">
        <v>69</v>
      </c>
      <c r="D7840" s="49">
        <v>1000000.0</v>
      </c>
    </row>
    <row r="7841" ht="15.0" hidden="1" customHeight="1">
      <c r="A7841" s="49" t="s">
        <v>420</v>
      </c>
      <c r="B7841" s="50">
        <v>45291.0</v>
      </c>
      <c r="C7841" s="49" t="s">
        <v>69</v>
      </c>
      <c r="D7841" s="49">
        <v>435000.0</v>
      </c>
    </row>
    <row r="7842" ht="15.0" hidden="1" customHeight="1">
      <c r="A7842" s="49" t="s">
        <v>425</v>
      </c>
      <c r="B7842" s="50">
        <v>45291.0</v>
      </c>
      <c r="C7842" s="49" t="s">
        <v>69</v>
      </c>
      <c r="D7842" s="49">
        <v>250000.0</v>
      </c>
    </row>
    <row r="7843" ht="15.0" hidden="1" customHeight="1">
      <c r="A7843" s="49" t="s">
        <v>430</v>
      </c>
      <c r="B7843" s="50">
        <v>45291.0</v>
      </c>
      <c r="C7843" s="49" t="s">
        <v>69</v>
      </c>
      <c r="D7843" s="49">
        <v>525000.0</v>
      </c>
    </row>
    <row r="7844" ht="15.0" hidden="1" customHeight="1">
      <c r="A7844" s="49" t="s">
        <v>434</v>
      </c>
      <c r="B7844" s="50">
        <v>45291.0</v>
      </c>
      <c r="C7844" s="49" t="s">
        <v>69</v>
      </c>
      <c r="D7844" s="49">
        <v>500000.0</v>
      </c>
    </row>
    <row r="7845" ht="15.0" hidden="1" customHeight="1">
      <c r="A7845" s="49" t="s">
        <v>439</v>
      </c>
      <c r="B7845" s="50">
        <v>45291.0</v>
      </c>
      <c r="C7845" s="49" t="s">
        <v>69</v>
      </c>
      <c r="D7845" s="49">
        <v>1550000.0</v>
      </c>
    </row>
    <row r="7846" ht="15.0" hidden="1" customHeight="1">
      <c r="A7846" s="49" t="s">
        <v>444</v>
      </c>
      <c r="B7846" s="50">
        <v>45291.0</v>
      </c>
      <c r="C7846" s="49" t="s">
        <v>69</v>
      </c>
      <c r="D7846" s="49">
        <v>0.0</v>
      </c>
    </row>
    <row r="7847" ht="15.0" hidden="1" customHeight="1">
      <c r="A7847" s="49" t="s">
        <v>449</v>
      </c>
      <c r="B7847" s="50">
        <v>45291.0</v>
      </c>
      <c r="C7847" s="49" t="s">
        <v>69</v>
      </c>
      <c r="D7847" s="49">
        <v>0.0</v>
      </c>
    </row>
    <row r="7848" ht="15.0" hidden="1" customHeight="1">
      <c r="A7848" s="49" t="s">
        <v>455</v>
      </c>
      <c r="B7848" s="50">
        <v>45291.0</v>
      </c>
      <c r="C7848" s="49" t="s">
        <v>69</v>
      </c>
      <c r="D7848" s="49">
        <v>0.0</v>
      </c>
    </row>
    <row r="7849" ht="15.0" hidden="1" customHeight="1">
      <c r="A7849" s="49" t="s">
        <v>470</v>
      </c>
      <c r="B7849" s="50">
        <v>45291.0</v>
      </c>
      <c r="C7849" s="49" t="s">
        <v>69</v>
      </c>
      <c r="D7849" s="49">
        <v>0.0</v>
      </c>
    </row>
    <row r="7850" ht="15.0" hidden="1" customHeight="1">
      <c r="A7850" s="49" t="s">
        <v>476</v>
      </c>
      <c r="B7850" s="50">
        <v>45291.0</v>
      </c>
      <c r="C7850" s="49" t="s">
        <v>69</v>
      </c>
      <c r="D7850" s="49">
        <v>0.0</v>
      </c>
    </row>
    <row r="7851" ht="15.0" hidden="1" customHeight="1">
      <c r="A7851" s="49" t="s">
        <v>481</v>
      </c>
      <c r="B7851" s="50">
        <v>45291.0</v>
      </c>
      <c r="C7851" s="49" t="s">
        <v>69</v>
      </c>
      <c r="D7851" s="49">
        <v>0.0</v>
      </c>
    </row>
    <row r="7852" ht="15.0" hidden="1" customHeight="1">
      <c r="A7852" s="49" t="s">
        <v>486</v>
      </c>
      <c r="B7852" s="50">
        <v>45291.0</v>
      </c>
      <c r="C7852" s="49" t="s">
        <v>69</v>
      </c>
      <c r="D7852" s="49">
        <v>0.0</v>
      </c>
    </row>
    <row r="7853" ht="15.0" hidden="1" customHeight="1">
      <c r="A7853" s="49" t="s">
        <v>491</v>
      </c>
      <c r="B7853" s="50">
        <v>45291.0</v>
      </c>
      <c r="C7853" s="49" t="s">
        <v>69</v>
      </c>
      <c r="D7853" s="49">
        <v>0.0</v>
      </c>
    </row>
    <row r="7854" ht="15.0" hidden="1" customHeight="1">
      <c r="A7854" s="49" t="s">
        <v>496</v>
      </c>
      <c r="B7854" s="50">
        <v>45291.0</v>
      </c>
      <c r="C7854" s="49" t="s">
        <v>69</v>
      </c>
      <c r="D7854" s="49">
        <v>0.0</v>
      </c>
    </row>
    <row r="7855" ht="15.0" hidden="1" customHeight="1">
      <c r="A7855" s="49" t="s">
        <v>501</v>
      </c>
      <c r="B7855" s="50">
        <v>45291.0</v>
      </c>
      <c r="C7855" s="49" t="s">
        <v>69</v>
      </c>
      <c r="D7855" s="49">
        <v>0.0</v>
      </c>
    </row>
    <row r="7856" ht="15.0" hidden="1" customHeight="1">
      <c r="A7856" s="49" t="s">
        <v>506</v>
      </c>
      <c r="B7856" s="50">
        <v>45291.0</v>
      </c>
      <c r="C7856" s="49" t="s">
        <v>69</v>
      </c>
      <c r="D7856" s="49">
        <v>0.0</v>
      </c>
    </row>
    <row r="7857" ht="15.0" hidden="1" customHeight="1">
      <c r="A7857" s="49" t="s">
        <v>512</v>
      </c>
      <c r="B7857" s="50">
        <v>45291.0</v>
      </c>
      <c r="C7857" s="49" t="s">
        <v>69</v>
      </c>
      <c r="D7857" s="49">
        <v>0.0</v>
      </c>
    </row>
    <row r="7858" ht="15.0" hidden="1" customHeight="1">
      <c r="A7858" s="49" t="s">
        <v>517</v>
      </c>
      <c r="B7858" s="50">
        <v>45291.0</v>
      </c>
      <c r="C7858" s="49" t="s">
        <v>69</v>
      </c>
      <c r="D7858" s="49">
        <v>0.0</v>
      </c>
    </row>
    <row r="7859" ht="15.0" hidden="1" customHeight="1">
      <c r="A7859" s="49" t="s">
        <v>522</v>
      </c>
      <c r="B7859" s="50">
        <v>45291.0</v>
      </c>
      <c r="C7859" s="49" t="s">
        <v>69</v>
      </c>
      <c r="D7859" s="49">
        <v>0.0</v>
      </c>
    </row>
    <row r="7860" ht="15.0" hidden="1" customHeight="1">
      <c r="A7860" s="49" t="s">
        <v>528</v>
      </c>
      <c r="B7860" s="50">
        <v>45291.0</v>
      </c>
      <c r="C7860" s="49" t="s">
        <v>69</v>
      </c>
      <c r="D7860" s="49">
        <v>0.0</v>
      </c>
    </row>
    <row r="7861" ht="15.0" hidden="1" customHeight="1">
      <c r="A7861" s="49" t="s">
        <v>533</v>
      </c>
      <c r="B7861" s="50">
        <v>45291.0</v>
      </c>
      <c r="C7861" s="49" t="s">
        <v>69</v>
      </c>
      <c r="D7861" s="49">
        <v>0.0</v>
      </c>
    </row>
    <row r="7862" ht="15.0" hidden="1" customHeight="1">
      <c r="A7862" s="49" t="s">
        <v>538</v>
      </c>
      <c r="B7862" s="50">
        <v>45291.0</v>
      </c>
      <c r="C7862" s="49" t="s">
        <v>69</v>
      </c>
      <c r="D7862" s="49">
        <v>0.0</v>
      </c>
    </row>
    <row r="7863" ht="15.0" hidden="1" customHeight="1">
      <c r="A7863" s="49" t="s">
        <v>546</v>
      </c>
      <c r="B7863" s="50">
        <v>45291.0</v>
      </c>
      <c r="C7863" s="49" t="s">
        <v>69</v>
      </c>
      <c r="D7863" s="49">
        <v>0.0</v>
      </c>
    </row>
    <row r="7864" ht="15.0" hidden="1" customHeight="1">
      <c r="A7864" s="49" t="s">
        <v>551</v>
      </c>
      <c r="B7864" s="50">
        <v>45291.0</v>
      </c>
      <c r="C7864" s="49" t="s">
        <v>69</v>
      </c>
      <c r="D7864" s="49">
        <v>0.0</v>
      </c>
    </row>
    <row r="7865" ht="15.0" hidden="1" customHeight="1">
      <c r="A7865" s="49" t="s">
        <v>556</v>
      </c>
      <c r="B7865" s="50">
        <v>45291.0</v>
      </c>
      <c r="C7865" s="49" t="s">
        <v>69</v>
      </c>
      <c r="D7865" s="49">
        <v>0.0</v>
      </c>
    </row>
    <row r="7866" ht="15.0" hidden="1" customHeight="1">
      <c r="A7866" s="49" t="s">
        <v>561</v>
      </c>
      <c r="B7866" s="50">
        <v>45291.0</v>
      </c>
      <c r="C7866" s="49" t="s">
        <v>69</v>
      </c>
      <c r="D7866" s="49">
        <v>0.0</v>
      </c>
    </row>
    <row r="7867" ht="15.0" hidden="1" customHeight="1">
      <c r="A7867" s="49" t="s">
        <v>566</v>
      </c>
      <c r="B7867" s="50">
        <v>45291.0</v>
      </c>
      <c r="C7867" s="49" t="s">
        <v>69</v>
      </c>
      <c r="D7867" s="49">
        <v>0.0</v>
      </c>
    </row>
    <row r="7868" ht="15.0" hidden="1" customHeight="1">
      <c r="A7868" s="49" t="s">
        <v>571</v>
      </c>
      <c r="B7868" s="50">
        <v>45291.0</v>
      </c>
      <c r="C7868" s="49" t="s">
        <v>69</v>
      </c>
      <c r="D7868" s="49">
        <v>0.0</v>
      </c>
    </row>
    <row r="7869" ht="15.0" hidden="1" customHeight="1">
      <c r="A7869" s="49" t="s">
        <v>576</v>
      </c>
      <c r="B7869" s="50">
        <v>45291.0</v>
      </c>
      <c r="C7869" s="49" t="s">
        <v>69</v>
      </c>
      <c r="D7869" s="49">
        <v>0.0</v>
      </c>
    </row>
    <row r="7870" ht="15.0" hidden="1" customHeight="1">
      <c r="A7870" s="49" t="s">
        <v>581</v>
      </c>
      <c r="B7870" s="50">
        <v>45291.0</v>
      </c>
      <c r="C7870" s="49" t="s">
        <v>69</v>
      </c>
      <c r="D7870" s="49">
        <v>0.0</v>
      </c>
    </row>
    <row r="7871" ht="15.0" hidden="1" customHeight="1">
      <c r="A7871" s="49" t="s">
        <v>586</v>
      </c>
      <c r="B7871" s="50">
        <v>45291.0</v>
      </c>
      <c r="C7871" s="49" t="s">
        <v>69</v>
      </c>
      <c r="D7871" s="49">
        <v>0.0</v>
      </c>
    </row>
    <row r="7872" ht="15.0" hidden="1" customHeight="1">
      <c r="A7872" s="49" t="s">
        <v>754</v>
      </c>
      <c r="B7872" s="50">
        <v>45291.0</v>
      </c>
      <c r="C7872" s="49" t="s">
        <v>69</v>
      </c>
      <c r="D7872" s="49">
        <v>0.0</v>
      </c>
    </row>
    <row r="7873" ht="15.0" hidden="1" customHeight="1">
      <c r="A7873" s="49" t="s">
        <v>591</v>
      </c>
      <c r="B7873" s="50">
        <v>45291.0</v>
      </c>
      <c r="C7873" s="49" t="s">
        <v>69</v>
      </c>
      <c r="D7873" s="49">
        <v>0.0</v>
      </c>
    </row>
    <row r="7874" ht="15.0" hidden="1" customHeight="1">
      <c r="A7874" s="49" t="s">
        <v>759</v>
      </c>
      <c r="B7874" s="50">
        <v>45291.0</v>
      </c>
      <c r="C7874" s="49" t="s">
        <v>69</v>
      </c>
      <c r="D7874" s="49">
        <v>0.0</v>
      </c>
    </row>
    <row r="7875" ht="15.0" hidden="1" customHeight="1">
      <c r="A7875" s="49" t="s">
        <v>596</v>
      </c>
      <c r="B7875" s="50">
        <v>45291.0</v>
      </c>
      <c r="C7875" s="49" t="s">
        <v>69</v>
      </c>
      <c r="D7875" s="49">
        <v>0.0</v>
      </c>
    </row>
    <row r="7876" ht="15.0" hidden="1" customHeight="1">
      <c r="A7876" s="49" t="s">
        <v>602</v>
      </c>
      <c r="B7876" s="50">
        <v>45291.0</v>
      </c>
      <c r="C7876" s="49" t="s">
        <v>69</v>
      </c>
      <c r="D7876" s="49">
        <v>0.0</v>
      </c>
    </row>
    <row r="7877" ht="15.0" hidden="1" customHeight="1">
      <c r="A7877" s="49" t="s">
        <v>607</v>
      </c>
      <c r="B7877" s="50">
        <v>45291.0</v>
      </c>
      <c r="C7877" s="49" t="s">
        <v>69</v>
      </c>
      <c r="D7877" s="49">
        <v>0.0</v>
      </c>
    </row>
    <row r="7878" ht="15.0" hidden="1" customHeight="1">
      <c r="A7878" s="49" t="s">
        <v>612</v>
      </c>
      <c r="B7878" s="50">
        <v>45291.0</v>
      </c>
      <c r="C7878" s="49" t="s">
        <v>69</v>
      </c>
      <c r="D7878" s="49">
        <v>0.0</v>
      </c>
    </row>
    <row r="7879" ht="15.0" hidden="1" customHeight="1">
      <c r="A7879" s="49" t="s">
        <v>617</v>
      </c>
      <c r="B7879" s="50">
        <v>45291.0</v>
      </c>
      <c r="C7879" s="49" t="s">
        <v>69</v>
      </c>
      <c r="D7879" s="49">
        <v>0.0</v>
      </c>
    </row>
    <row r="7880" ht="15.0" hidden="1" customHeight="1">
      <c r="A7880" s="49" t="s">
        <v>622</v>
      </c>
      <c r="B7880" s="50">
        <v>45291.0</v>
      </c>
      <c r="C7880" s="49" t="s">
        <v>69</v>
      </c>
      <c r="D7880" s="49">
        <v>0.0</v>
      </c>
    </row>
    <row r="7881" ht="15.0" hidden="1" customHeight="1">
      <c r="A7881" s="49" t="s">
        <v>627</v>
      </c>
      <c r="B7881" s="50">
        <v>45291.0</v>
      </c>
      <c r="C7881" s="49" t="s">
        <v>69</v>
      </c>
      <c r="D7881" s="49">
        <v>0.0</v>
      </c>
    </row>
    <row r="7882" ht="15.0" hidden="1" customHeight="1">
      <c r="A7882" s="49" t="s">
        <v>631</v>
      </c>
      <c r="B7882" s="50">
        <v>45291.0</v>
      </c>
      <c r="C7882" s="49" t="s">
        <v>69</v>
      </c>
      <c r="D7882" s="49">
        <v>0.0</v>
      </c>
    </row>
    <row r="7883" ht="15.0" hidden="1" customHeight="1">
      <c r="A7883" s="49" t="s">
        <v>636</v>
      </c>
      <c r="B7883" s="50">
        <v>45291.0</v>
      </c>
      <c r="C7883" s="49" t="s">
        <v>69</v>
      </c>
      <c r="D7883" s="49">
        <v>0.0</v>
      </c>
    </row>
    <row r="7884" ht="15.0" hidden="1" customHeight="1">
      <c r="A7884" s="49" t="s">
        <v>640</v>
      </c>
      <c r="B7884" s="50">
        <v>45291.0</v>
      </c>
      <c r="C7884" s="49" t="s">
        <v>69</v>
      </c>
      <c r="D7884" s="49">
        <v>0.0</v>
      </c>
    </row>
    <row r="7885" ht="15.0" hidden="1" customHeight="1">
      <c r="A7885" s="49" t="s">
        <v>644</v>
      </c>
      <c r="B7885" s="50">
        <v>45291.0</v>
      </c>
      <c r="C7885" s="49" t="s">
        <v>69</v>
      </c>
      <c r="D7885" s="49">
        <v>0.0</v>
      </c>
    </row>
    <row r="7886" ht="15.0" hidden="1" customHeight="1">
      <c r="A7886" s="49" t="s">
        <v>649</v>
      </c>
      <c r="B7886" s="50">
        <v>45291.0</v>
      </c>
      <c r="C7886" s="49" t="s">
        <v>69</v>
      </c>
      <c r="D7886" s="49">
        <v>0.0</v>
      </c>
    </row>
    <row r="7887" ht="15.0" hidden="1" customHeight="1">
      <c r="A7887" s="49" t="s">
        <v>654</v>
      </c>
      <c r="B7887" s="50">
        <v>45291.0</v>
      </c>
      <c r="C7887" s="49" t="s">
        <v>69</v>
      </c>
      <c r="D7887" s="49">
        <v>0.0</v>
      </c>
    </row>
    <row r="7888" ht="15.0" hidden="1" customHeight="1">
      <c r="A7888" s="49" t="s">
        <v>659</v>
      </c>
      <c r="B7888" s="50">
        <v>45291.0</v>
      </c>
      <c r="C7888" s="49" t="s">
        <v>69</v>
      </c>
      <c r="D7888" s="49">
        <v>0.0</v>
      </c>
    </row>
    <row r="7889" ht="15.0" hidden="1" customHeight="1">
      <c r="A7889" s="49" t="s">
        <v>664</v>
      </c>
      <c r="B7889" s="50">
        <v>45291.0</v>
      </c>
      <c r="C7889" s="49" t="s">
        <v>69</v>
      </c>
      <c r="D7889" s="49">
        <v>0.0</v>
      </c>
    </row>
    <row r="7890" ht="15.0" hidden="1" customHeight="1">
      <c r="A7890" s="49" t="s">
        <v>669</v>
      </c>
      <c r="B7890" s="50">
        <v>45291.0</v>
      </c>
      <c r="C7890" s="49" t="s">
        <v>69</v>
      </c>
      <c r="D7890" s="49">
        <v>0.0</v>
      </c>
    </row>
    <row r="7891" ht="15.0" hidden="1" customHeight="1">
      <c r="A7891" s="49" t="s">
        <v>674</v>
      </c>
      <c r="B7891" s="50">
        <v>45291.0</v>
      </c>
      <c r="C7891" s="49" t="s">
        <v>69</v>
      </c>
      <c r="D7891" s="49">
        <v>0.0</v>
      </c>
    </row>
    <row r="7892" ht="15.0" hidden="1" customHeight="1">
      <c r="A7892" s="49" t="s">
        <v>679</v>
      </c>
      <c r="B7892" s="50">
        <v>45291.0</v>
      </c>
      <c r="C7892" s="49" t="s">
        <v>69</v>
      </c>
      <c r="D7892" s="49">
        <v>0.0</v>
      </c>
    </row>
    <row r="7893" ht="15.0" hidden="1" customHeight="1">
      <c r="A7893" s="49" t="s">
        <v>684</v>
      </c>
      <c r="B7893" s="50">
        <v>45291.0</v>
      </c>
      <c r="C7893" s="49" t="s">
        <v>69</v>
      </c>
      <c r="D7893" s="49">
        <v>0.0</v>
      </c>
    </row>
    <row r="7894" ht="15.0" hidden="1" customHeight="1">
      <c r="A7894" s="49" t="s">
        <v>689</v>
      </c>
      <c r="B7894" s="50">
        <v>45291.0</v>
      </c>
      <c r="C7894" s="49" t="s">
        <v>69</v>
      </c>
      <c r="D7894" s="49">
        <v>0.0</v>
      </c>
    </row>
    <row r="7895" ht="15.0" hidden="1" customHeight="1">
      <c r="A7895" s="49" t="s">
        <v>694</v>
      </c>
      <c r="B7895" s="50">
        <v>45291.0</v>
      </c>
      <c r="C7895" s="49" t="s">
        <v>69</v>
      </c>
      <c r="D7895" s="49">
        <v>0.0</v>
      </c>
    </row>
    <row r="7896" ht="15.0" hidden="1" customHeight="1">
      <c r="A7896" s="49" t="s">
        <v>699</v>
      </c>
      <c r="B7896" s="50">
        <v>45291.0</v>
      </c>
      <c r="C7896" s="49" t="s">
        <v>69</v>
      </c>
      <c r="D7896" s="49">
        <v>0.0</v>
      </c>
    </row>
    <row r="7897" ht="15.0" hidden="1" customHeight="1">
      <c r="A7897" s="49" t="s">
        <v>705</v>
      </c>
      <c r="B7897" s="50">
        <v>45291.0</v>
      </c>
      <c r="C7897" s="49" t="s">
        <v>69</v>
      </c>
      <c r="D7897" s="49">
        <v>0.0</v>
      </c>
    </row>
    <row r="7898" ht="15.0" hidden="1" customHeight="1">
      <c r="A7898" s="49" t="s">
        <v>710</v>
      </c>
      <c r="B7898" s="50">
        <v>45291.0</v>
      </c>
      <c r="C7898" s="49" t="s">
        <v>69</v>
      </c>
      <c r="D7898" s="49">
        <v>0.0</v>
      </c>
    </row>
    <row r="7899" ht="15.0" hidden="1" customHeight="1">
      <c r="A7899" s="49" t="s">
        <v>715</v>
      </c>
      <c r="B7899" s="50">
        <v>45291.0</v>
      </c>
      <c r="C7899" s="49" t="s">
        <v>69</v>
      </c>
      <c r="D7899" s="49">
        <v>0.0</v>
      </c>
    </row>
    <row r="7900" ht="15.0" hidden="1" customHeight="1">
      <c r="A7900" s="49" t="s">
        <v>765</v>
      </c>
      <c r="B7900" s="50">
        <v>45291.0</v>
      </c>
      <c r="C7900" s="49" t="s">
        <v>69</v>
      </c>
      <c r="D7900" s="49">
        <v>0.0</v>
      </c>
    </row>
    <row r="7901" ht="15.0" hidden="1" customHeight="1">
      <c r="A7901" s="49" t="s">
        <v>720</v>
      </c>
      <c r="B7901" s="50">
        <v>45291.0</v>
      </c>
      <c r="C7901" s="49" t="s">
        <v>69</v>
      </c>
      <c r="D7901" s="49">
        <v>0.0</v>
      </c>
    </row>
    <row r="7902" ht="15.0" hidden="1" customHeight="1">
      <c r="A7902" s="49" t="s">
        <v>725</v>
      </c>
      <c r="B7902" s="50">
        <v>45291.0</v>
      </c>
      <c r="C7902" s="49" t="s">
        <v>69</v>
      </c>
      <c r="D7902" s="49">
        <v>0.0</v>
      </c>
    </row>
    <row r="7903" ht="15.0" hidden="1" customHeight="1">
      <c r="A7903" s="49" t="s">
        <v>730</v>
      </c>
      <c r="B7903" s="50">
        <v>45291.0</v>
      </c>
      <c r="C7903" s="49" t="s">
        <v>69</v>
      </c>
      <c r="D7903" s="49">
        <v>0.0</v>
      </c>
    </row>
    <row r="7904" ht="15.0" hidden="1" customHeight="1">
      <c r="A7904" s="49" t="s">
        <v>734</v>
      </c>
      <c r="B7904" s="50">
        <v>45291.0</v>
      </c>
      <c r="C7904" s="49" t="s">
        <v>69</v>
      </c>
      <c r="D7904" s="49">
        <v>0.0</v>
      </c>
    </row>
    <row r="7905" ht="15.0" hidden="1" customHeight="1">
      <c r="A7905" s="49" t="s">
        <v>739</v>
      </c>
      <c r="B7905" s="50">
        <v>45291.0</v>
      </c>
      <c r="C7905" s="49" t="s">
        <v>69</v>
      </c>
      <c r="D7905" s="49">
        <v>0.0</v>
      </c>
    </row>
    <row r="7906" ht="15.0" hidden="1" customHeight="1">
      <c r="A7906" s="49" t="s">
        <v>744</v>
      </c>
      <c r="B7906" s="50">
        <v>45291.0</v>
      </c>
      <c r="C7906" s="49" t="s">
        <v>69</v>
      </c>
      <c r="D7906" s="49">
        <v>0.0</v>
      </c>
    </row>
    <row r="7907" ht="15.0" hidden="1" customHeight="1">
      <c r="A7907" s="49" t="s">
        <v>749</v>
      </c>
      <c r="B7907" s="50">
        <v>45291.0</v>
      </c>
      <c r="C7907" s="49" t="s">
        <v>69</v>
      </c>
      <c r="D7907" s="49">
        <v>0.0</v>
      </c>
    </row>
    <row r="7908" ht="15.0" customHeight="1">
      <c r="A7908" s="49" t="s">
        <v>776</v>
      </c>
      <c r="B7908" s="50">
        <v>45291.0</v>
      </c>
      <c r="C7908" s="49" t="s">
        <v>780</v>
      </c>
      <c r="D7908" s="49">
        <v>0.0</v>
      </c>
    </row>
    <row r="7909" ht="15.0" hidden="1" customHeight="1">
      <c r="A7909" s="49" t="s">
        <v>778</v>
      </c>
      <c r="B7909" s="50">
        <v>45291.0</v>
      </c>
      <c r="C7909" s="49" t="s">
        <v>780</v>
      </c>
      <c r="D7909" s="49">
        <v>0.0</v>
      </c>
    </row>
    <row r="7910" ht="15.0" hidden="1" customHeight="1">
      <c r="A7910" s="49" t="s">
        <v>92</v>
      </c>
      <c r="B7910" s="50">
        <v>45291.0</v>
      </c>
      <c r="C7910" s="49" t="s">
        <v>780</v>
      </c>
      <c r="D7910" s="49">
        <v>0.0</v>
      </c>
    </row>
    <row r="7911" ht="15.0" hidden="1" customHeight="1">
      <c r="A7911" s="49" t="s">
        <v>97</v>
      </c>
      <c r="B7911" s="50">
        <v>45291.0</v>
      </c>
      <c r="C7911" s="49" t="s">
        <v>780</v>
      </c>
      <c r="D7911" s="49">
        <v>0.0</v>
      </c>
    </row>
    <row r="7912" ht="15.0" hidden="1" customHeight="1">
      <c r="A7912" s="49" t="s">
        <v>102</v>
      </c>
      <c r="B7912" s="50">
        <v>45291.0</v>
      </c>
      <c r="C7912" s="49" t="s">
        <v>780</v>
      </c>
      <c r="D7912" s="49">
        <v>0.0</v>
      </c>
    </row>
    <row r="7913" ht="15.0" hidden="1" customHeight="1">
      <c r="A7913" s="49" t="s">
        <v>106</v>
      </c>
      <c r="B7913" s="50">
        <v>45291.0</v>
      </c>
      <c r="C7913" s="49" t="s">
        <v>780</v>
      </c>
      <c r="D7913" s="49">
        <v>0.0</v>
      </c>
    </row>
    <row r="7914" ht="15.0" hidden="1" customHeight="1">
      <c r="A7914" s="49" t="s">
        <v>111</v>
      </c>
      <c r="B7914" s="50">
        <v>45291.0</v>
      </c>
      <c r="C7914" s="49" t="s">
        <v>780</v>
      </c>
      <c r="D7914" s="49">
        <v>0.0</v>
      </c>
    </row>
    <row r="7915" ht="15.0" hidden="1" customHeight="1">
      <c r="A7915" s="49" t="s">
        <v>116</v>
      </c>
      <c r="B7915" s="50">
        <v>45291.0</v>
      </c>
      <c r="C7915" s="49" t="s">
        <v>780</v>
      </c>
      <c r="D7915" s="49">
        <v>0.0</v>
      </c>
    </row>
    <row r="7916" ht="15.0" hidden="1" customHeight="1">
      <c r="A7916" s="49" t="s">
        <v>120</v>
      </c>
      <c r="B7916" s="50">
        <v>45291.0</v>
      </c>
      <c r="C7916" s="49" t="s">
        <v>780</v>
      </c>
      <c r="D7916" s="49">
        <v>0.0</v>
      </c>
    </row>
    <row r="7917" ht="15.0" hidden="1" customHeight="1">
      <c r="A7917" s="49" t="s">
        <v>125</v>
      </c>
      <c r="B7917" s="50">
        <v>45291.0</v>
      </c>
      <c r="C7917" s="49" t="s">
        <v>780</v>
      </c>
      <c r="D7917" s="49">
        <v>0.0</v>
      </c>
    </row>
    <row r="7918" ht="15.0" hidden="1" customHeight="1">
      <c r="A7918" s="49" t="s">
        <v>130</v>
      </c>
      <c r="B7918" s="50">
        <v>45291.0</v>
      </c>
      <c r="C7918" s="49" t="s">
        <v>780</v>
      </c>
      <c r="D7918" s="49">
        <v>0.0</v>
      </c>
    </row>
    <row r="7919" ht="15.0" hidden="1" customHeight="1">
      <c r="A7919" s="49" t="s">
        <v>137</v>
      </c>
      <c r="B7919" s="50">
        <v>45291.0</v>
      </c>
      <c r="C7919" s="49" t="s">
        <v>780</v>
      </c>
      <c r="D7919" s="49">
        <v>0.0</v>
      </c>
    </row>
    <row r="7920" ht="15.0" hidden="1" customHeight="1">
      <c r="A7920" s="49" t="s">
        <v>142</v>
      </c>
      <c r="B7920" s="50">
        <v>45291.0</v>
      </c>
      <c r="C7920" s="49" t="s">
        <v>780</v>
      </c>
      <c r="D7920" s="49">
        <v>0.0</v>
      </c>
    </row>
    <row r="7921" ht="15.0" hidden="1" customHeight="1">
      <c r="A7921" s="49" t="s">
        <v>147</v>
      </c>
      <c r="B7921" s="50">
        <v>45291.0</v>
      </c>
      <c r="C7921" s="49" t="s">
        <v>780</v>
      </c>
      <c r="D7921" s="49">
        <v>0.0</v>
      </c>
    </row>
    <row r="7922" ht="15.0" hidden="1" customHeight="1">
      <c r="A7922" s="49" t="s">
        <v>152</v>
      </c>
      <c r="B7922" s="50">
        <v>45291.0</v>
      </c>
      <c r="C7922" s="49" t="s">
        <v>780</v>
      </c>
      <c r="D7922" s="49">
        <v>0.0</v>
      </c>
    </row>
    <row r="7923" ht="15.0" hidden="1" customHeight="1">
      <c r="A7923" s="49" t="s">
        <v>157</v>
      </c>
      <c r="B7923" s="50">
        <v>45291.0</v>
      </c>
      <c r="C7923" s="49" t="s">
        <v>780</v>
      </c>
      <c r="D7923" s="49">
        <v>0.0</v>
      </c>
    </row>
    <row r="7924" ht="15.0" hidden="1" customHeight="1">
      <c r="A7924" s="49" t="s">
        <v>162</v>
      </c>
      <c r="B7924" s="50">
        <v>45291.0</v>
      </c>
      <c r="C7924" s="49" t="s">
        <v>780</v>
      </c>
      <c r="D7924" s="49">
        <v>0.0</v>
      </c>
    </row>
    <row r="7925" ht="15.0" hidden="1" customHeight="1">
      <c r="A7925" s="49" t="s">
        <v>167</v>
      </c>
      <c r="B7925" s="50">
        <v>45291.0</v>
      </c>
      <c r="C7925" s="49" t="s">
        <v>780</v>
      </c>
      <c r="D7925" s="49">
        <v>0.0</v>
      </c>
    </row>
    <row r="7926" ht="15.0" hidden="1" customHeight="1">
      <c r="A7926" s="49" t="s">
        <v>172</v>
      </c>
      <c r="B7926" s="50">
        <v>45291.0</v>
      </c>
      <c r="C7926" s="49" t="s">
        <v>780</v>
      </c>
      <c r="D7926" s="49">
        <v>0.0</v>
      </c>
    </row>
    <row r="7927" ht="15.0" hidden="1" customHeight="1">
      <c r="A7927" s="49" t="s">
        <v>177</v>
      </c>
      <c r="B7927" s="50">
        <v>45291.0</v>
      </c>
      <c r="C7927" s="49" t="s">
        <v>780</v>
      </c>
      <c r="D7927" s="49">
        <v>0.0</v>
      </c>
    </row>
    <row r="7928" ht="15.0" hidden="1" customHeight="1">
      <c r="A7928" s="49" t="s">
        <v>182</v>
      </c>
      <c r="B7928" s="50">
        <v>45291.0</v>
      </c>
      <c r="C7928" s="49" t="s">
        <v>780</v>
      </c>
      <c r="D7928" s="49">
        <v>0.0</v>
      </c>
    </row>
    <row r="7929" ht="15.0" hidden="1" customHeight="1">
      <c r="A7929" s="49" t="s">
        <v>187</v>
      </c>
      <c r="B7929" s="50">
        <v>45291.0</v>
      </c>
      <c r="C7929" s="49" t="s">
        <v>780</v>
      </c>
      <c r="D7929" s="49">
        <v>0.0</v>
      </c>
    </row>
    <row r="7930" ht="15.0" hidden="1" customHeight="1">
      <c r="A7930" s="49" t="s">
        <v>192</v>
      </c>
      <c r="B7930" s="50">
        <v>45291.0</v>
      </c>
      <c r="C7930" s="49" t="s">
        <v>780</v>
      </c>
      <c r="D7930" s="49">
        <v>0.0</v>
      </c>
    </row>
    <row r="7931" ht="15.0" hidden="1" customHeight="1">
      <c r="A7931" s="49" t="s">
        <v>197</v>
      </c>
      <c r="B7931" s="50">
        <v>45291.0</v>
      </c>
      <c r="C7931" s="49" t="s">
        <v>780</v>
      </c>
      <c r="D7931" s="49">
        <v>0.0</v>
      </c>
    </row>
    <row r="7932" ht="15.0" hidden="1" customHeight="1">
      <c r="A7932" s="49" t="s">
        <v>202</v>
      </c>
      <c r="B7932" s="50">
        <v>45291.0</v>
      </c>
      <c r="C7932" s="49" t="s">
        <v>780</v>
      </c>
      <c r="D7932" s="49">
        <v>0.0</v>
      </c>
    </row>
    <row r="7933" ht="15.0" hidden="1" customHeight="1">
      <c r="A7933" s="49" t="s">
        <v>206</v>
      </c>
      <c r="B7933" s="50">
        <v>45291.0</v>
      </c>
      <c r="C7933" s="49" t="s">
        <v>780</v>
      </c>
      <c r="D7933" s="49">
        <v>0.0</v>
      </c>
    </row>
    <row r="7934" ht="15.0" hidden="1" customHeight="1">
      <c r="A7934" s="49" t="s">
        <v>211</v>
      </c>
      <c r="B7934" s="50">
        <v>45291.0</v>
      </c>
      <c r="C7934" s="49" t="s">
        <v>780</v>
      </c>
      <c r="D7934" s="49">
        <v>0.0</v>
      </c>
    </row>
    <row r="7935" ht="15.0" hidden="1" customHeight="1">
      <c r="A7935" s="49" t="s">
        <v>779</v>
      </c>
      <c r="B7935" s="50">
        <v>45291.0</v>
      </c>
      <c r="C7935" s="49" t="s">
        <v>780</v>
      </c>
      <c r="D7935" s="49">
        <v>0.0</v>
      </c>
    </row>
    <row r="7936" ht="15.0" hidden="1" customHeight="1">
      <c r="A7936" s="49" t="s">
        <v>221</v>
      </c>
      <c r="B7936" s="50">
        <v>45291.0</v>
      </c>
      <c r="C7936" s="49" t="s">
        <v>780</v>
      </c>
      <c r="D7936" s="49">
        <v>0.0</v>
      </c>
    </row>
    <row r="7937" ht="15.0" hidden="1" customHeight="1">
      <c r="A7937" s="49" t="s">
        <v>226</v>
      </c>
      <c r="B7937" s="50">
        <v>45291.0</v>
      </c>
      <c r="C7937" s="49" t="s">
        <v>780</v>
      </c>
      <c r="D7937" s="49">
        <v>85000.0</v>
      </c>
    </row>
    <row r="7938" ht="15.0" hidden="1" customHeight="1">
      <c r="A7938" s="49" t="s">
        <v>231</v>
      </c>
      <c r="B7938" s="50">
        <v>45291.0</v>
      </c>
      <c r="C7938" s="49" t="s">
        <v>780</v>
      </c>
      <c r="D7938" s="49">
        <v>0.0</v>
      </c>
    </row>
    <row r="7939" ht="15.0" hidden="1" customHeight="1">
      <c r="A7939" s="49" t="s">
        <v>236</v>
      </c>
      <c r="B7939" s="50">
        <v>45291.0</v>
      </c>
      <c r="C7939" s="49" t="s">
        <v>780</v>
      </c>
      <c r="D7939" s="49">
        <v>0.0</v>
      </c>
    </row>
    <row r="7940" ht="15.0" hidden="1" customHeight="1">
      <c r="A7940" s="49" t="s">
        <v>242</v>
      </c>
      <c r="B7940" s="50">
        <v>45291.0</v>
      </c>
      <c r="C7940" s="49" t="s">
        <v>780</v>
      </c>
      <c r="D7940" s="49">
        <v>0.0</v>
      </c>
    </row>
    <row r="7941" ht="15.0" hidden="1" customHeight="1">
      <c r="A7941" s="49" t="s">
        <v>248</v>
      </c>
      <c r="B7941" s="50">
        <v>45291.0</v>
      </c>
      <c r="C7941" s="49" t="s">
        <v>780</v>
      </c>
      <c r="D7941" s="49">
        <v>0.0</v>
      </c>
    </row>
    <row r="7942" ht="15.0" hidden="1" customHeight="1">
      <c r="A7942" s="49" t="s">
        <v>253</v>
      </c>
      <c r="B7942" s="50">
        <v>45291.0</v>
      </c>
      <c r="C7942" s="49" t="s">
        <v>780</v>
      </c>
      <c r="D7942" s="49">
        <v>0.0</v>
      </c>
    </row>
    <row r="7943" ht="15.0" hidden="1" customHeight="1">
      <c r="A7943" s="49" t="s">
        <v>258</v>
      </c>
      <c r="B7943" s="50">
        <v>45291.0</v>
      </c>
      <c r="C7943" s="49" t="s">
        <v>780</v>
      </c>
      <c r="D7943" s="49">
        <v>0.0</v>
      </c>
    </row>
    <row r="7944" ht="15.0" hidden="1" customHeight="1">
      <c r="A7944" s="49" t="s">
        <v>263</v>
      </c>
      <c r="B7944" s="50">
        <v>45291.0</v>
      </c>
      <c r="C7944" s="49" t="s">
        <v>780</v>
      </c>
      <c r="D7944" s="49">
        <v>0.0</v>
      </c>
    </row>
    <row r="7945" ht="15.0" hidden="1" customHeight="1">
      <c r="A7945" s="49" t="s">
        <v>268</v>
      </c>
      <c r="B7945" s="50">
        <v>45291.0</v>
      </c>
      <c r="C7945" s="49" t="s">
        <v>780</v>
      </c>
      <c r="D7945" s="49">
        <v>0.0</v>
      </c>
    </row>
    <row r="7946" ht="15.0" hidden="1" customHeight="1">
      <c r="A7946" s="49" t="s">
        <v>273</v>
      </c>
      <c r="B7946" s="50">
        <v>45291.0</v>
      </c>
      <c r="C7946" s="49" t="s">
        <v>780</v>
      </c>
      <c r="D7946" s="49">
        <v>0.0</v>
      </c>
    </row>
    <row r="7947" ht="15.0" hidden="1" customHeight="1">
      <c r="A7947" s="49" t="s">
        <v>278</v>
      </c>
      <c r="B7947" s="50">
        <v>45291.0</v>
      </c>
      <c r="C7947" s="49" t="s">
        <v>780</v>
      </c>
      <c r="D7947" s="49">
        <v>0.0</v>
      </c>
    </row>
    <row r="7948" ht="15.0" hidden="1" customHeight="1">
      <c r="A7948" s="49" t="s">
        <v>283</v>
      </c>
      <c r="B7948" s="50">
        <v>45291.0</v>
      </c>
      <c r="C7948" s="49" t="s">
        <v>780</v>
      </c>
      <c r="D7948" s="49">
        <v>0.0</v>
      </c>
    </row>
    <row r="7949" ht="15.0" hidden="1" customHeight="1">
      <c r="A7949" s="49" t="s">
        <v>288</v>
      </c>
      <c r="B7949" s="50">
        <v>45291.0</v>
      </c>
      <c r="C7949" s="49" t="s">
        <v>780</v>
      </c>
      <c r="D7949" s="49">
        <v>0.0</v>
      </c>
    </row>
    <row r="7950" ht="15.0" hidden="1" customHeight="1">
      <c r="A7950" s="49" t="s">
        <v>293</v>
      </c>
      <c r="B7950" s="50">
        <v>45291.0</v>
      </c>
      <c r="C7950" s="49" t="s">
        <v>780</v>
      </c>
      <c r="D7950" s="49">
        <v>0.0</v>
      </c>
    </row>
    <row r="7951" ht="15.0" hidden="1" customHeight="1">
      <c r="A7951" s="49" t="s">
        <v>298</v>
      </c>
      <c r="B7951" s="50">
        <v>45291.0</v>
      </c>
      <c r="C7951" s="49" t="s">
        <v>780</v>
      </c>
      <c r="D7951" s="49">
        <v>0.0</v>
      </c>
    </row>
    <row r="7952" ht="15.0" hidden="1" customHeight="1">
      <c r="A7952" s="49" t="s">
        <v>303</v>
      </c>
      <c r="B7952" s="50">
        <v>45291.0</v>
      </c>
      <c r="C7952" s="49" t="s">
        <v>780</v>
      </c>
      <c r="D7952" s="49">
        <v>0.0</v>
      </c>
    </row>
    <row r="7953" ht="15.0" hidden="1" customHeight="1">
      <c r="A7953" s="49" t="s">
        <v>307</v>
      </c>
      <c r="B7953" s="50">
        <v>45291.0</v>
      </c>
      <c r="C7953" s="49" t="s">
        <v>780</v>
      </c>
      <c r="D7953" s="49">
        <v>0.0</v>
      </c>
    </row>
    <row r="7954" ht="15.0" hidden="1" customHeight="1">
      <c r="A7954" s="49" t="s">
        <v>313</v>
      </c>
      <c r="B7954" s="50">
        <v>45291.0</v>
      </c>
      <c r="C7954" s="49" t="s">
        <v>780</v>
      </c>
      <c r="D7954" s="49">
        <v>0.0</v>
      </c>
    </row>
    <row r="7955" ht="15.0" hidden="1" customHeight="1">
      <c r="A7955" s="49" t="s">
        <v>318</v>
      </c>
      <c r="B7955" s="50">
        <v>45291.0</v>
      </c>
      <c r="C7955" s="49" t="s">
        <v>780</v>
      </c>
      <c r="D7955" s="49">
        <v>0.0</v>
      </c>
    </row>
    <row r="7956" ht="15.0" hidden="1" customHeight="1">
      <c r="A7956" s="49" t="s">
        <v>323</v>
      </c>
      <c r="B7956" s="50">
        <v>45291.0</v>
      </c>
      <c r="C7956" s="49" t="s">
        <v>780</v>
      </c>
      <c r="D7956" s="49">
        <v>-258000.0</v>
      </c>
    </row>
    <row r="7957" ht="15.0" hidden="1" customHeight="1">
      <c r="A7957" s="49" t="s">
        <v>328</v>
      </c>
      <c r="B7957" s="50">
        <v>45291.0</v>
      </c>
      <c r="C7957" s="49" t="s">
        <v>780</v>
      </c>
      <c r="D7957" s="49">
        <v>0.0</v>
      </c>
    </row>
    <row r="7958" ht="15.0" hidden="1" customHeight="1">
      <c r="A7958" s="49" t="s">
        <v>335</v>
      </c>
      <c r="B7958" s="50">
        <v>45291.0</v>
      </c>
      <c r="C7958" s="49" t="s">
        <v>780</v>
      </c>
      <c r="D7958" s="49">
        <v>0.0</v>
      </c>
    </row>
    <row r="7959" ht="15.0" hidden="1" customHeight="1">
      <c r="A7959" s="49" t="s">
        <v>340</v>
      </c>
      <c r="B7959" s="50">
        <v>45291.0</v>
      </c>
      <c r="C7959" s="49" t="s">
        <v>780</v>
      </c>
      <c r="D7959" s="49">
        <v>0.0</v>
      </c>
    </row>
    <row r="7960" ht="15.0" hidden="1" customHeight="1">
      <c r="A7960" s="49" t="s">
        <v>345</v>
      </c>
      <c r="B7960" s="50">
        <v>45291.0</v>
      </c>
      <c r="C7960" s="49" t="s">
        <v>780</v>
      </c>
      <c r="D7960" s="49">
        <v>0.0</v>
      </c>
    </row>
    <row r="7961" ht="15.0" hidden="1" customHeight="1">
      <c r="A7961" s="49" t="s">
        <v>350</v>
      </c>
      <c r="B7961" s="50">
        <v>45291.0</v>
      </c>
      <c r="C7961" s="49" t="s">
        <v>780</v>
      </c>
      <c r="D7961" s="49">
        <v>0.0</v>
      </c>
    </row>
    <row r="7962" ht="15.0" hidden="1" customHeight="1">
      <c r="A7962" s="49" t="s">
        <v>355</v>
      </c>
      <c r="B7962" s="50">
        <v>45291.0</v>
      </c>
      <c r="C7962" s="49" t="s">
        <v>780</v>
      </c>
      <c r="D7962" s="49">
        <v>-155699.48</v>
      </c>
    </row>
    <row r="7963" ht="15.0" hidden="1" customHeight="1">
      <c r="A7963" s="49" t="s">
        <v>360</v>
      </c>
      <c r="B7963" s="50">
        <v>45291.0</v>
      </c>
      <c r="C7963" s="49" t="s">
        <v>780</v>
      </c>
      <c r="D7963" s="49">
        <v>0.0</v>
      </c>
    </row>
    <row r="7964" ht="15.0" hidden="1" customHeight="1">
      <c r="A7964" s="49" t="s">
        <v>365</v>
      </c>
      <c r="B7964" s="50">
        <v>45291.0</v>
      </c>
      <c r="C7964" s="49" t="s">
        <v>780</v>
      </c>
      <c r="D7964" s="49">
        <v>-175000.0</v>
      </c>
    </row>
    <row r="7965" ht="15.0" hidden="1" customHeight="1">
      <c r="A7965" s="49" t="s">
        <v>370</v>
      </c>
      <c r="B7965" s="50">
        <v>45291.0</v>
      </c>
      <c r="C7965" s="49" t="s">
        <v>780</v>
      </c>
      <c r="D7965" s="49">
        <v>-250000.0</v>
      </c>
    </row>
    <row r="7966" ht="15.0" hidden="1" customHeight="1">
      <c r="A7966" s="49" t="s">
        <v>375</v>
      </c>
      <c r="B7966" s="50">
        <v>45291.0</v>
      </c>
      <c r="C7966" s="49" t="s">
        <v>780</v>
      </c>
      <c r="D7966" s="49">
        <v>-1100000.0</v>
      </c>
    </row>
    <row r="7967" ht="15.0" hidden="1" customHeight="1">
      <c r="A7967" s="49" t="s">
        <v>380</v>
      </c>
      <c r="B7967" s="50">
        <v>45291.0</v>
      </c>
      <c r="C7967" s="49" t="s">
        <v>780</v>
      </c>
      <c r="D7967" s="49">
        <v>0.0</v>
      </c>
    </row>
    <row r="7968" ht="15.0" hidden="1" customHeight="1">
      <c r="A7968" s="49" t="s">
        <v>385</v>
      </c>
      <c r="B7968" s="50">
        <v>45291.0</v>
      </c>
      <c r="C7968" s="49" t="s">
        <v>780</v>
      </c>
      <c r="D7968" s="49">
        <v>0.0</v>
      </c>
    </row>
    <row r="7969" ht="15.0" hidden="1" customHeight="1">
      <c r="A7969" s="49" t="s">
        <v>390</v>
      </c>
      <c r="B7969" s="50">
        <v>45291.0</v>
      </c>
      <c r="C7969" s="49" t="s">
        <v>780</v>
      </c>
      <c r="D7969" s="49">
        <v>-1050000.0</v>
      </c>
    </row>
    <row r="7970" ht="15.0" hidden="1" customHeight="1">
      <c r="A7970" s="49" t="s">
        <v>395</v>
      </c>
      <c r="B7970" s="50">
        <v>45291.0</v>
      </c>
      <c r="C7970" s="49" t="s">
        <v>780</v>
      </c>
      <c r="D7970" s="49">
        <v>0.0</v>
      </c>
    </row>
    <row r="7971" ht="15.0" hidden="1" customHeight="1">
      <c r="A7971" s="49" t="s">
        <v>400</v>
      </c>
      <c r="B7971" s="50">
        <v>45291.0</v>
      </c>
      <c r="C7971" s="49" t="s">
        <v>780</v>
      </c>
      <c r="D7971" s="49">
        <v>-460000.0</v>
      </c>
    </row>
    <row r="7972" ht="15.0" hidden="1" customHeight="1">
      <c r="A7972" s="49" t="s">
        <v>405</v>
      </c>
      <c r="B7972" s="50">
        <v>45291.0</v>
      </c>
      <c r="C7972" s="49" t="s">
        <v>780</v>
      </c>
      <c r="D7972" s="49">
        <v>-2000000.0</v>
      </c>
    </row>
    <row r="7973" ht="15.0" hidden="1" customHeight="1">
      <c r="A7973" s="49" t="s">
        <v>410</v>
      </c>
      <c r="B7973" s="50">
        <v>45291.0</v>
      </c>
      <c r="C7973" s="49" t="s">
        <v>780</v>
      </c>
      <c r="D7973" s="49">
        <v>-395000.0</v>
      </c>
    </row>
    <row r="7974" ht="15.0" hidden="1" customHeight="1">
      <c r="A7974" s="49" t="s">
        <v>415</v>
      </c>
      <c r="B7974" s="50">
        <v>45291.0</v>
      </c>
      <c r="C7974" s="49" t="s">
        <v>780</v>
      </c>
      <c r="D7974" s="49">
        <v>-1000000.0</v>
      </c>
    </row>
    <row r="7975" ht="15.0" hidden="1" customHeight="1">
      <c r="A7975" s="49" t="s">
        <v>420</v>
      </c>
      <c r="B7975" s="50">
        <v>45291.0</v>
      </c>
      <c r="C7975" s="49" t="s">
        <v>780</v>
      </c>
      <c r="D7975" s="49">
        <v>-435000.0</v>
      </c>
    </row>
    <row r="7976" ht="15.0" hidden="1" customHeight="1">
      <c r="A7976" s="49" t="s">
        <v>425</v>
      </c>
      <c r="B7976" s="50">
        <v>45291.0</v>
      </c>
      <c r="C7976" s="49" t="s">
        <v>780</v>
      </c>
      <c r="D7976" s="49">
        <v>-250000.0</v>
      </c>
    </row>
    <row r="7977" ht="15.0" hidden="1" customHeight="1">
      <c r="A7977" s="49" t="s">
        <v>430</v>
      </c>
      <c r="B7977" s="50">
        <v>45291.0</v>
      </c>
      <c r="C7977" s="49" t="s">
        <v>780</v>
      </c>
      <c r="D7977" s="49">
        <v>-525000.0</v>
      </c>
    </row>
    <row r="7978" ht="15.0" hidden="1" customHeight="1">
      <c r="A7978" s="49" t="s">
        <v>434</v>
      </c>
      <c r="B7978" s="50">
        <v>45291.0</v>
      </c>
      <c r="C7978" s="49" t="s">
        <v>780</v>
      </c>
      <c r="D7978" s="49">
        <v>-500000.0</v>
      </c>
    </row>
    <row r="7979" ht="15.0" hidden="1" customHeight="1">
      <c r="A7979" s="49" t="s">
        <v>439</v>
      </c>
      <c r="B7979" s="50">
        <v>45291.0</v>
      </c>
      <c r="C7979" s="49" t="s">
        <v>780</v>
      </c>
      <c r="D7979" s="49">
        <v>-1550000.0</v>
      </c>
    </row>
    <row r="7980" ht="15.0" hidden="1" customHeight="1">
      <c r="A7980" s="49" t="s">
        <v>444</v>
      </c>
      <c r="B7980" s="50">
        <v>45291.0</v>
      </c>
      <c r="C7980" s="49" t="s">
        <v>780</v>
      </c>
      <c r="D7980" s="49">
        <v>0.0</v>
      </c>
    </row>
    <row r="7981" ht="15.0" hidden="1" customHeight="1">
      <c r="A7981" s="49" t="s">
        <v>449</v>
      </c>
      <c r="B7981" s="50">
        <v>45291.0</v>
      </c>
      <c r="C7981" s="49" t="s">
        <v>780</v>
      </c>
      <c r="D7981" s="49">
        <v>1.2E7</v>
      </c>
    </row>
    <row r="7982" ht="15.0" hidden="1" customHeight="1">
      <c r="A7982" s="49" t="s">
        <v>455</v>
      </c>
      <c r="B7982" s="50">
        <v>45291.0</v>
      </c>
      <c r="C7982" s="49" t="s">
        <v>780</v>
      </c>
      <c r="D7982" s="49">
        <v>4964442.0</v>
      </c>
    </row>
    <row r="7983" ht="15.0" hidden="1" customHeight="1">
      <c r="A7983" s="49" t="s">
        <v>470</v>
      </c>
      <c r="B7983" s="50">
        <v>45291.0</v>
      </c>
      <c r="C7983" s="49" t="s">
        <v>780</v>
      </c>
      <c r="D7983" s="49">
        <v>250000.0</v>
      </c>
    </row>
    <row r="7984" ht="15.0" hidden="1" customHeight="1">
      <c r="A7984" s="49" t="s">
        <v>476</v>
      </c>
      <c r="B7984" s="50">
        <v>45291.0</v>
      </c>
      <c r="C7984" s="49" t="s">
        <v>780</v>
      </c>
      <c r="D7984" s="49">
        <v>6000000.0</v>
      </c>
    </row>
    <row r="7985" ht="15.0" hidden="1" customHeight="1">
      <c r="A7985" s="49" t="s">
        <v>481</v>
      </c>
      <c r="B7985" s="50">
        <v>45291.0</v>
      </c>
      <c r="C7985" s="49" t="s">
        <v>780</v>
      </c>
      <c r="D7985" s="49">
        <v>320000.0</v>
      </c>
    </row>
    <row r="7986" ht="15.0" hidden="1" customHeight="1">
      <c r="A7986" s="49" t="s">
        <v>486</v>
      </c>
      <c r="B7986" s="50">
        <v>45291.0</v>
      </c>
      <c r="C7986" s="49" t="s">
        <v>780</v>
      </c>
      <c r="D7986" s="49">
        <v>0.0</v>
      </c>
    </row>
    <row r="7987" ht="15.0" hidden="1" customHeight="1">
      <c r="A7987" s="49" t="s">
        <v>491</v>
      </c>
      <c r="B7987" s="50">
        <v>45291.0</v>
      </c>
      <c r="C7987" s="49" t="s">
        <v>780</v>
      </c>
      <c r="D7987" s="49">
        <v>0.0</v>
      </c>
    </row>
    <row r="7988" ht="15.0" hidden="1" customHeight="1">
      <c r="A7988" s="49" t="s">
        <v>496</v>
      </c>
      <c r="B7988" s="50">
        <v>45291.0</v>
      </c>
      <c r="C7988" s="49" t="s">
        <v>780</v>
      </c>
      <c r="D7988" s="49">
        <v>0.0</v>
      </c>
    </row>
    <row r="7989" ht="15.0" hidden="1" customHeight="1">
      <c r="A7989" s="49" t="s">
        <v>501</v>
      </c>
      <c r="B7989" s="50">
        <v>45291.0</v>
      </c>
      <c r="C7989" s="49" t="s">
        <v>780</v>
      </c>
      <c r="D7989" s="49">
        <v>0.0</v>
      </c>
    </row>
    <row r="7990" ht="15.0" hidden="1" customHeight="1">
      <c r="A7990" s="49" t="s">
        <v>506</v>
      </c>
      <c r="B7990" s="50">
        <v>45291.0</v>
      </c>
      <c r="C7990" s="49" t="s">
        <v>780</v>
      </c>
      <c r="D7990" s="49">
        <v>0.0</v>
      </c>
    </row>
    <row r="7991" ht="15.0" hidden="1" customHeight="1">
      <c r="A7991" s="49" t="s">
        <v>512</v>
      </c>
      <c r="B7991" s="50">
        <v>45291.0</v>
      </c>
      <c r="C7991" s="49" t="s">
        <v>780</v>
      </c>
      <c r="D7991" s="49">
        <v>0.0</v>
      </c>
    </row>
    <row r="7992" ht="15.0" hidden="1" customHeight="1">
      <c r="A7992" s="49" t="s">
        <v>517</v>
      </c>
      <c r="B7992" s="50">
        <v>45291.0</v>
      </c>
      <c r="C7992" s="49" t="s">
        <v>780</v>
      </c>
      <c r="D7992" s="49">
        <v>0.0</v>
      </c>
    </row>
    <row r="7993" ht="15.0" hidden="1" customHeight="1">
      <c r="A7993" s="49" t="s">
        <v>522</v>
      </c>
      <c r="B7993" s="50">
        <v>45291.0</v>
      </c>
      <c r="C7993" s="49" t="s">
        <v>780</v>
      </c>
      <c r="D7993" s="49">
        <v>0.0</v>
      </c>
    </row>
    <row r="7994" ht="15.0" hidden="1" customHeight="1">
      <c r="A7994" s="49" t="s">
        <v>528</v>
      </c>
      <c r="B7994" s="50">
        <v>45291.0</v>
      </c>
      <c r="C7994" s="49" t="s">
        <v>780</v>
      </c>
      <c r="D7994" s="49">
        <v>0.0</v>
      </c>
    </row>
    <row r="7995" ht="15.0" hidden="1" customHeight="1">
      <c r="A7995" s="49" t="s">
        <v>533</v>
      </c>
      <c r="B7995" s="50">
        <v>45291.0</v>
      </c>
      <c r="C7995" s="49" t="s">
        <v>780</v>
      </c>
      <c r="D7995" s="49">
        <v>0.0</v>
      </c>
    </row>
    <row r="7996" ht="15.0" hidden="1" customHeight="1">
      <c r="A7996" s="49" t="s">
        <v>538</v>
      </c>
      <c r="B7996" s="50">
        <v>45291.0</v>
      </c>
      <c r="C7996" s="49" t="s">
        <v>780</v>
      </c>
      <c r="D7996" s="49">
        <v>0.0</v>
      </c>
    </row>
    <row r="7997" ht="15.0" hidden="1" customHeight="1">
      <c r="A7997" s="49" t="s">
        <v>546</v>
      </c>
      <c r="B7997" s="50">
        <v>45291.0</v>
      </c>
      <c r="C7997" s="49" t="s">
        <v>780</v>
      </c>
      <c r="D7997" s="49">
        <v>0.0</v>
      </c>
    </row>
    <row r="7998" ht="15.0" hidden="1" customHeight="1">
      <c r="A7998" s="49" t="s">
        <v>551</v>
      </c>
      <c r="B7998" s="50">
        <v>45291.0</v>
      </c>
      <c r="C7998" s="49" t="s">
        <v>780</v>
      </c>
      <c r="D7998" s="49">
        <v>0.0</v>
      </c>
    </row>
    <row r="7999" ht="15.0" hidden="1" customHeight="1">
      <c r="A7999" s="49" t="s">
        <v>556</v>
      </c>
      <c r="B7999" s="50">
        <v>45291.0</v>
      </c>
      <c r="C7999" s="49" t="s">
        <v>780</v>
      </c>
      <c r="D7999" s="49">
        <v>0.0</v>
      </c>
    </row>
    <row r="8000" ht="15.0" hidden="1" customHeight="1">
      <c r="A8000" s="49" t="s">
        <v>561</v>
      </c>
      <c r="B8000" s="50">
        <v>45291.0</v>
      </c>
      <c r="C8000" s="49" t="s">
        <v>780</v>
      </c>
      <c r="D8000" s="49">
        <v>0.0</v>
      </c>
    </row>
    <row r="8001" ht="15.0" hidden="1" customHeight="1">
      <c r="A8001" s="49" t="s">
        <v>566</v>
      </c>
      <c r="B8001" s="50">
        <v>45291.0</v>
      </c>
      <c r="C8001" s="49" t="s">
        <v>780</v>
      </c>
      <c r="D8001" s="49">
        <v>0.0</v>
      </c>
    </row>
    <row r="8002" ht="15.0" hidden="1" customHeight="1">
      <c r="A8002" s="49" t="s">
        <v>571</v>
      </c>
      <c r="B8002" s="50">
        <v>45291.0</v>
      </c>
      <c r="C8002" s="49" t="s">
        <v>780</v>
      </c>
      <c r="D8002" s="49">
        <v>0.0</v>
      </c>
    </row>
    <row r="8003" ht="15.0" hidden="1" customHeight="1">
      <c r="A8003" s="49" t="s">
        <v>576</v>
      </c>
      <c r="B8003" s="50">
        <v>45291.0</v>
      </c>
      <c r="C8003" s="49" t="s">
        <v>780</v>
      </c>
      <c r="D8003" s="49">
        <v>0.0</v>
      </c>
    </row>
    <row r="8004" ht="15.0" hidden="1" customHeight="1">
      <c r="A8004" s="49" t="s">
        <v>581</v>
      </c>
      <c r="B8004" s="50">
        <v>45291.0</v>
      </c>
      <c r="C8004" s="49" t="s">
        <v>780</v>
      </c>
      <c r="D8004" s="49">
        <v>0.0</v>
      </c>
    </row>
    <row r="8005" ht="15.0" hidden="1" customHeight="1">
      <c r="A8005" s="49" t="s">
        <v>586</v>
      </c>
      <c r="B8005" s="50">
        <v>45291.0</v>
      </c>
      <c r="C8005" s="49" t="s">
        <v>780</v>
      </c>
      <c r="D8005" s="49">
        <v>0.0</v>
      </c>
    </row>
    <row r="8006" ht="15.0" hidden="1" customHeight="1">
      <c r="A8006" s="49" t="s">
        <v>754</v>
      </c>
      <c r="B8006" s="50">
        <v>45291.0</v>
      </c>
      <c r="C8006" s="49" t="s">
        <v>780</v>
      </c>
      <c r="D8006" s="49">
        <v>0.0</v>
      </c>
    </row>
    <row r="8007" ht="15.0" hidden="1" customHeight="1">
      <c r="A8007" s="49" t="s">
        <v>591</v>
      </c>
      <c r="B8007" s="50">
        <v>45291.0</v>
      </c>
      <c r="C8007" s="49" t="s">
        <v>780</v>
      </c>
      <c r="D8007" s="49">
        <v>0.0</v>
      </c>
    </row>
    <row r="8008" ht="15.0" hidden="1" customHeight="1">
      <c r="A8008" s="49" t="s">
        <v>759</v>
      </c>
      <c r="B8008" s="50">
        <v>45291.0</v>
      </c>
      <c r="C8008" s="49" t="s">
        <v>780</v>
      </c>
      <c r="D8008" s="49">
        <v>0.0</v>
      </c>
    </row>
    <row r="8009" ht="15.0" hidden="1" customHeight="1">
      <c r="A8009" s="49" t="s">
        <v>596</v>
      </c>
      <c r="B8009" s="50">
        <v>45291.0</v>
      </c>
      <c r="C8009" s="49" t="s">
        <v>780</v>
      </c>
      <c r="D8009" s="49">
        <v>0.0</v>
      </c>
    </row>
    <row r="8010" ht="15.0" hidden="1" customHeight="1">
      <c r="A8010" s="49" t="s">
        <v>602</v>
      </c>
      <c r="B8010" s="50">
        <v>45291.0</v>
      </c>
      <c r="C8010" s="49" t="s">
        <v>780</v>
      </c>
      <c r="D8010" s="49">
        <v>0.0</v>
      </c>
    </row>
    <row r="8011" ht="15.0" hidden="1" customHeight="1">
      <c r="A8011" s="49" t="s">
        <v>607</v>
      </c>
      <c r="B8011" s="50">
        <v>45291.0</v>
      </c>
      <c r="C8011" s="49" t="s">
        <v>780</v>
      </c>
      <c r="D8011" s="49">
        <v>0.0</v>
      </c>
    </row>
    <row r="8012" ht="15.0" hidden="1" customHeight="1">
      <c r="A8012" s="49" t="s">
        <v>612</v>
      </c>
      <c r="B8012" s="50">
        <v>45291.0</v>
      </c>
      <c r="C8012" s="49" t="s">
        <v>780</v>
      </c>
      <c r="D8012" s="49">
        <v>0.0</v>
      </c>
    </row>
    <row r="8013" ht="15.0" hidden="1" customHeight="1">
      <c r="A8013" s="49" t="s">
        <v>617</v>
      </c>
      <c r="B8013" s="50">
        <v>45291.0</v>
      </c>
      <c r="C8013" s="49" t="s">
        <v>780</v>
      </c>
      <c r="D8013" s="49">
        <v>0.0</v>
      </c>
    </row>
    <row r="8014" ht="15.0" hidden="1" customHeight="1">
      <c r="A8014" s="49" t="s">
        <v>622</v>
      </c>
      <c r="B8014" s="50">
        <v>45291.0</v>
      </c>
      <c r="C8014" s="49" t="s">
        <v>780</v>
      </c>
      <c r="D8014" s="49">
        <v>0.0</v>
      </c>
    </row>
    <row r="8015" ht="15.0" hidden="1" customHeight="1">
      <c r="A8015" s="49" t="s">
        <v>627</v>
      </c>
      <c r="B8015" s="50">
        <v>45291.0</v>
      </c>
      <c r="C8015" s="49" t="s">
        <v>780</v>
      </c>
      <c r="D8015" s="49">
        <v>0.0</v>
      </c>
    </row>
    <row r="8016" ht="15.0" hidden="1" customHeight="1">
      <c r="A8016" s="49" t="s">
        <v>631</v>
      </c>
      <c r="B8016" s="50">
        <v>45291.0</v>
      </c>
      <c r="C8016" s="49" t="s">
        <v>780</v>
      </c>
      <c r="D8016" s="49">
        <v>0.0</v>
      </c>
    </row>
    <row r="8017" ht="15.0" hidden="1" customHeight="1">
      <c r="A8017" s="49" t="s">
        <v>636</v>
      </c>
      <c r="B8017" s="50">
        <v>45291.0</v>
      </c>
      <c r="C8017" s="49" t="s">
        <v>780</v>
      </c>
      <c r="D8017" s="49">
        <v>0.0</v>
      </c>
    </row>
    <row r="8018" ht="15.0" hidden="1" customHeight="1">
      <c r="A8018" s="49" t="s">
        <v>640</v>
      </c>
      <c r="B8018" s="50">
        <v>45291.0</v>
      </c>
      <c r="C8018" s="49" t="s">
        <v>780</v>
      </c>
      <c r="D8018" s="49">
        <v>0.0</v>
      </c>
    </row>
    <row r="8019" ht="15.0" hidden="1" customHeight="1">
      <c r="A8019" s="49" t="s">
        <v>644</v>
      </c>
      <c r="B8019" s="50">
        <v>45291.0</v>
      </c>
      <c r="C8019" s="49" t="s">
        <v>780</v>
      </c>
      <c r="D8019" s="49">
        <v>0.0</v>
      </c>
    </row>
    <row r="8020" ht="15.0" hidden="1" customHeight="1">
      <c r="A8020" s="49" t="s">
        <v>649</v>
      </c>
      <c r="B8020" s="50">
        <v>45291.0</v>
      </c>
      <c r="C8020" s="49" t="s">
        <v>780</v>
      </c>
      <c r="D8020" s="49">
        <v>0.0</v>
      </c>
    </row>
    <row r="8021" ht="15.0" hidden="1" customHeight="1">
      <c r="A8021" s="49" t="s">
        <v>654</v>
      </c>
      <c r="B8021" s="50">
        <v>45291.0</v>
      </c>
      <c r="C8021" s="49" t="s">
        <v>780</v>
      </c>
      <c r="D8021" s="49">
        <v>0.0</v>
      </c>
    </row>
    <row r="8022" ht="15.0" hidden="1" customHeight="1">
      <c r="A8022" s="49" t="s">
        <v>659</v>
      </c>
      <c r="B8022" s="50">
        <v>45291.0</v>
      </c>
      <c r="C8022" s="49" t="s">
        <v>780</v>
      </c>
      <c r="D8022" s="49">
        <v>0.0</v>
      </c>
    </row>
    <row r="8023" ht="15.0" hidden="1" customHeight="1">
      <c r="A8023" s="49" t="s">
        <v>664</v>
      </c>
      <c r="B8023" s="50">
        <v>45291.0</v>
      </c>
      <c r="C8023" s="49" t="s">
        <v>780</v>
      </c>
      <c r="D8023" s="49">
        <v>0.0</v>
      </c>
    </row>
    <row r="8024" ht="15.0" hidden="1" customHeight="1">
      <c r="A8024" s="49" t="s">
        <v>669</v>
      </c>
      <c r="B8024" s="50">
        <v>45291.0</v>
      </c>
      <c r="C8024" s="49" t="s">
        <v>780</v>
      </c>
      <c r="D8024" s="49">
        <v>0.0</v>
      </c>
    </row>
    <row r="8025" ht="15.0" hidden="1" customHeight="1">
      <c r="A8025" s="49" t="s">
        <v>674</v>
      </c>
      <c r="B8025" s="50">
        <v>45291.0</v>
      </c>
      <c r="C8025" s="49" t="s">
        <v>780</v>
      </c>
      <c r="D8025" s="49">
        <v>0.0</v>
      </c>
    </row>
    <row r="8026" ht="15.0" hidden="1" customHeight="1">
      <c r="A8026" s="49" t="s">
        <v>679</v>
      </c>
      <c r="B8026" s="50">
        <v>45291.0</v>
      </c>
      <c r="C8026" s="49" t="s">
        <v>780</v>
      </c>
      <c r="D8026" s="49">
        <v>0.0</v>
      </c>
    </row>
    <row r="8027" ht="15.0" hidden="1" customHeight="1">
      <c r="A8027" s="49" t="s">
        <v>684</v>
      </c>
      <c r="B8027" s="50">
        <v>45291.0</v>
      </c>
      <c r="C8027" s="49" t="s">
        <v>780</v>
      </c>
      <c r="D8027" s="49">
        <v>0.0</v>
      </c>
    </row>
    <row r="8028" ht="15.0" hidden="1" customHeight="1">
      <c r="A8028" s="49" t="s">
        <v>689</v>
      </c>
      <c r="B8028" s="50">
        <v>45291.0</v>
      </c>
      <c r="C8028" s="49" t="s">
        <v>780</v>
      </c>
      <c r="D8028" s="49">
        <v>0.0</v>
      </c>
    </row>
    <row r="8029" ht="15.0" hidden="1" customHeight="1">
      <c r="A8029" s="49" t="s">
        <v>694</v>
      </c>
      <c r="B8029" s="50">
        <v>45291.0</v>
      </c>
      <c r="C8029" s="49" t="s">
        <v>780</v>
      </c>
      <c r="D8029" s="49">
        <v>0.0</v>
      </c>
    </row>
    <row r="8030" ht="15.0" hidden="1" customHeight="1">
      <c r="A8030" s="49" t="s">
        <v>699</v>
      </c>
      <c r="B8030" s="50">
        <v>45291.0</v>
      </c>
      <c r="C8030" s="49" t="s">
        <v>780</v>
      </c>
      <c r="D8030" s="49">
        <v>0.0</v>
      </c>
    </row>
    <row r="8031" ht="15.0" hidden="1" customHeight="1">
      <c r="A8031" s="49" t="s">
        <v>705</v>
      </c>
      <c r="B8031" s="50">
        <v>45291.0</v>
      </c>
      <c r="C8031" s="49" t="s">
        <v>780</v>
      </c>
      <c r="D8031" s="49">
        <v>0.0</v>
      </c>
    </row>
    <row r="8032" ht="15.0" hidden="1" customHeight="1">
      <c r="A8032" s="49" t="s">
        <v>710</v>
      </c>
      <c r="B8032" s="50">
        <v>45291.0</v>
      </c>
      <c r="C8032" s="49" t="s">
        <v>780</v>
      </c>
      <c r="D8032" s="49">
        <v>0.0</v>
      </c>
    </row>
    <row r="8033" ht="15.0" hidden="1" customHeight="1">
      <c r="A8033" s="49" t="s">
        <v>715</v>
      </c>
      <c r="B8033" s="50">
        <v>45291.0</v>
      </c>
      <c r="C8033" s="49" t="s">
        <v>780</v>
      </c>
      <c r="D8033" s="49">
        <v>0.0</v>
      </c>
    </row>
    <row r="8034" ht="15.0" hidden="1" customHeight="1">
      <c r="A8034" s="49" t="s">
        <v>765</v>
      </c>
      <c r="B8034" s="50">
        <v>45291.0</v>
      </c>
      <c r="C8034" s="49" t="s">
        <v>780</v>
      </c>
      <c r="D8034" s="49">
        <v>0.0</v>
      </c>
    </row>
    <row r="8035" ht="15.0" hidden="1" customHeight="1">
      <c r="A8035" s="49" t="s">
        <v>720</v>
      </c>
      <c r="B8035" s="50">
        <v>45291.0</v>
      </c>
      <c r="C8035" s="49" t="s">
        <v>780</v>
      </c>
      <c r="D8035" s="49">
        <v>0.0</v>
      </c>
    </row>
    <row r="8036" ht="15.0" hidden="1" customHeight="1">
      <c r="A8036" s="49" t="s">
        <v>725</v>
      </c>
      <c r="B8036" s="50">
        <v>45291.0</v>
      </c>
      <c r="C8036" s="49" t="s">
        <v>780</v>
      </c>
      <c r="D8036" s="49">
        <v>0.0</v>
      </c>
    </row>
    <row r="8037" ht="15.0" hidden="1" customHeight="1">
      <c r="A8037" s="49" t="s">
        <v>730</v>
      </c>
      <c r="B8037" s="50">
        <v>45291.0</v>
      </c>
      <c r="C8037" s="49" t="s">
        <v>780</v>
      </c>
      <c r="D8037" s="49">
        <v>0.0</v>
      </c>
    </row>
    <row r="8038" ht="15.0" hidden="1" customHeight="1">
      <c r="A8038" s="49" t="s">
        <v>734</v>
      </c>
      <c r="B8038" s="50">
        <v>45291.0</v>
      </c>
      <c r="C8038" s="49" t="s">
        <v>780</v>
      </c>
      <c r="D8038" s="49">
        <v>0.0</v>
      </c>
    </row>
    <row r="8039" ht="15.0" hidden="1" customHeight="1">
      <c r="A8039" s="49" t="s">
        <v>739</v>
      </c>
      <c r="B8039" s="50">
        <v>45291.0</v>
      </c>
      <c r="C8039" s="49" t="s">
        <v>780</v>
      </c>
      <c r="D8039" s="49">
        <v>0.0</v>
      </c>
    </row>
    <row r="8040" ht="15.0" hidden="1" customHeight="1">
      <c r="A8040" s="49" t="s">
        <v>744</v>
      </c>
      <c r="B8040" s="50">
        <v>45291.0</v>
      </c>
      <c r="C8040" s="49" t="s">
        <v>780</v>
      </c>
      <c r="D8040" s="49">
        <v>0.0</v>
      </c>
    </row>
    <row r="8041" ht="15.0" hidden="1" customHeight="1">
      <c r="A8041" s="49" t="s">
        <v>749</v>
      </c>
      <c r="B8041" s="50">
        <v>45291.0</v>
      </c>
      <c r="C8041" s="49" t="s">
        <v>780</v>
      </c>
      <c r="D8041" s="49">
        <v>0.0</v>
      </c>
    </row>
    <row r="8042" ht="15.0" customHeight="1">
      <c r="A8042" s="49" t="s">
        <v>776</v>
      </c>
      <c r="B8042" s="50">
        <v>45381.0</v>
      </c>
      <c r="C8042" s="49" t="s">
        <v>777</v>
      </c>
      <c r="D8042" s="49">
        <v>0.0</v>
      </c>
    </row>
    <row r="8043" ht="15.0" hidden="1" customHeight="1">
      <c r="A8043" s="49" t="s">
        <v>778</v>
      </c>
      <c r="B8043" s="50">
        <v>45381.0</v>
      </c>
      <c r="C8043" s="49" t="s">
        <v>777</v>
      </c>
      <c r="D8043" s="49">
        <v>0.0</v>
      </c>
    </row>
    <row r="8044" ht="15.0" hidden="1" customHeight="1">
      <c r="A8044" s="49" t="s">
        <v>92</v>
      </c>
      <c r="B8044" s="50">
        <v>45381.0</v>
      </c>
      <c r="C8044" s="49" t="s">
        <v>777</v>
      </c>
      <c r="D8044" s="49">
        <v>0.0</v>
      </c>
    </row>
    <row r="8045" ht="15.0" hidden="1" customHeight="1">
      <c r="A8045" s="49" t="s">
        <v>97</v>
      </c>
      <c r="B8045" s="50">
        <v>45381.0</v>
      </c>
      <c r="C8045" s="49" t="s">
        <v>777</v>
      </c>
      <c r="D8045" s="49">
        <v>0.0</v>
      </c>
    </row>
    <row r="8046" ht="15.0" hidden="1" customHeight="1">
      <c r="A8046" s="49" t="s">
        <v>102</v>
      </c>
      <c r="B8046" s="50">
        <v>45381.0</v>
      </c>
      <c r="C8046" s="49" t="s">
        <v>777</v>
      </c>
      <c r="D8046" s="49">
        <v>0.0</v>
      </c>
    </row>
    <row r="8047" ht="15.0" hidden="1" customHeight="1">
      <c r="A8047" s="49" t="s">
        <v>106</v>
      </c>
      <c r="B8047" s="50">
        <v>45381.0</v>
      </c>
      <c r="C8047" s="49" t="s">
        <v>777</v>
      </c>
      <c r="D8047" s="49">
        <v>0.0</v>
      </c>
    </row>
    <row r="8048" ht="15.0" hidden="1" customHeight="1">
      <c r="A8048" s="49" t="s">
        <v>111</v>
      </c>
      <c r="B8048" s="50">
        <v>45381.0</v>
      </c>
      <c r="C8048" s="49" t="s">
        <v>777</v>
      </c>
      <c r="D8048" s="49">
        <v>0.0</v>
      </c>
    </row>
    <row r="8049" ht="15.0" hidden="1" customHeight="1">
      <c r="A8049" s="49" t="s">
        <v>116</v>
      </c>
      <c r="B8049" s="50">
        <v>45381.0</v>
      </c>
      <c r="C8049" s="49" t="s">
        <v>777</v>
      </c>
      <c r="D8049" s="49">
        <v>0.0</v>
      </c>
    </row>
    <row r="8050" ht="15.0" hidden="1" customHeight="1">
      <c r="A8050" s="49" t="s">
        <v>120</v>
      </c>
      <c r="B8050" s="50">
        <v>45381.0</v>
      </c>
      <c r="C8050" s="49" t="s">
        <v>777</v>
      </c>
      <c r="D8050" s="49">
        <v>0.0</v>
      </c>
    </row>
    <row r="8051" ht="15.0" hidden="1" customHeight="1">
      <c r="A8051" s="49" t="s">
        <v>125</v>
      </c>
      <c r="B8051" s="50">
        <v>45381.0</v>
      </c>
      <c r="C8051" s="49" t="s">
        <v>777</v>
      </c>
      <c r="D8051" s="49">
        <v>0.0</v>
      </c>
    </row>
    <row r="8052" ht="15.0" hidden="1" customHeight="1">
      <c r="A8052" s="49" t="s">
        <v>130</v>
      </c>
      <c r="B8052" s="50">
        <v>45381.0</v>
      </c>
      <c r="C8052" s="49" t="s">
        <v>777</v>
      </c>
      <c r="D8052" s="49">
        <v>0.0</v>
      </c>
    </row>
    <row r="8053" ht="15.0" hidden="1" customHeight="1">
      <c r="A8053" s="49" t="s">
        <v>137</v>
      </c>
      <c r="B8053" s="50">
        <v>45381.0</v>
      </c>
      <c r="C8053" s="49" t="s">
        <v>777</v>
      </c>
      <c r="D8053" s="49">
        <v>0.0</v>
      </c>
    </row>
    <row r="8054" ht="15.0" hidden="1" customHeight="1">
      <c r="A8054" s="49" t="s">
        <v>142</v>
      </c>
      <c r="B8054" s="50">
        <v>45381.0</v>
      </c>
      <c r="C8054" s="49" t="s">
        <v>777</v>
      </c>
      <c r="D8054" s="49">
        <v>0.0</v>
      </c>
    </row>
    <row r="8055" ht="15.0" hidden="1" customHeight="1">
      <c r="A8055" s="49" t="s">
        <v>147</v>
      </c>
      <c r="B8055" s="50">
        <v>45381.0</v>
      </c>
      <c r="C8055" s="49" t="s">
        <v>777</v>
      </c>
      <c r="D8055" s="49">
        <v>0.0</v>
      </c>
    </row>
    <row r="8056" ht="15.0" hidden="1" customHeight="1">
      <c r="A8056" s="49" t="s">
        <v>152</v>
      </c>
      <c r="B8056" s="50">
        <v>45381.0</v>
      </c>
      <c r="C8056" s="49" t="s">
        <v>777</v>
      </c>
      <c r="D8056" s="49">
        <v>0.0</v>
      </c>
    </row>
    <row r="8057" ht="15.0" hidden="1" customHeight="1">
      <c r="A8057" s="49" t="s">
        <v>157</v>
      </c>
      <c r="B8057" s="50">
        <v>45381.0</v>
      </c>
      <c r="C8057" s="49" t="s">
        <v>777</v>
      </c>
      <c r="D8057" s="49">
        <v>0.0</v>
      </c>
    </row>
    <row r="8058" ht="15.0" hidden="1" customHeight="1">
      <c r="A8058" s="49" t="s">
        <v>162</v>
      </c>
      <c r="B8058" s="50">
        <v>45381.0</v>
      </c>
      <c r="C8058" s="49" t="s">
        <v>777</v>
      </c>
      <c r="D8058" s="49">
        <v>0.0</v>
      </c>
    </row>
    <row r="8059" ht="15.0" hidden="1" customHeight="1">
      <c r="A8059" s="49" t="s">
        <v>167</v>
      </c>
      <c r="B8059" s="50">
        <v>45381.0</v>
      </c>
      <c r="C8059" s="49" t="s">
        <v>777</v>
      </c>
      <c r="D8059" s="49">
        <v>0.0</v>
      </c>
    </row>
    <row r="8060" ht="15.0" hidden="1" customHeight="1">
      <c r="A8060" s="49" t="s">
        <v>172</v>
      </c>
      <c r="B8060" s="50">
        <v>45381.0</v>
      </c>
      <c r="C8060" s="49" t="s">
        <v>777</v>
      </c>
      <c r="D8060" s="49">
        <v>0.0</v>
      </c>
    </row>
    <row r="8061" ht="15.0" hidden="1" customHeight="1">
      <c r="A8061" s="49" t="s">
        <v>177</v>
      </c>
      <c r="B8061" s="50">
        <v>45381.0</v>
      </c>
      <c r="C8061" s="49" t="s">
        <v>777</v>
      </c>
      <c r="D8061" s="49">
        <v>0.0</v>
      </c>
    </row>
    <row r="8062" ht="15.0" hidden="1" customHeight="1">
      <c r="A8062" s="49" t="s">
        <v>182</v>
      </c>
      <c r="B8062" s="50">
        <v>45381.0</v>
      </c>
      <c r="C8062" s="49" t="s">
        <v>777</v>
      </c>
      <c r="D8062" s="49">
        <v>0.0</v>
      </c>
    </row>
    <row r="8063" ht="15.0" hidden="1" customHeight="1">
      <c r="A8063" s="49" t="s">
        <v>187</v>
      </c>
      <c r="B8063" s="50">
        <v>45381.0</v>
      </c>
      <c r="C8063" s="49" t="s">
        <v>777</v>
      </c>
      <c r="D8063" s="49">
        <v>0.0</v>
      </c>
    </row>
    <row r="8064" ht="15.0" hidden="1" customHeight="1">
      <c r="A8064" s="49" t="s">
        <v>192</v>
      </c>
      <c r="B8064" s="50">
        <v>45381.0</v>
      </c>
      <c r="C8064" s="49" t="s">
        <v>777</v>
      </c>
      <c r="D8064" s="49">
        <v>0.0</v>
      </c>
    </row>
    <row r="8065" ht="15.0" hidden="1" customHeight="1">
      <c r="A8065" s="49" t="s">
        <v>197</v>
      </c>
      <c r="B8065" s="50">
        <v>45381.0</v>
      </c>
      <c r="C8065" s="49" t="s">
        <v>777</v>
      </c>
      <c r="D8065" s="49">
        <v>0.0</v>
      </c>
    </row>
    <row r="8066" ht="15.0" hidden="1" customHeight="1">
      <c r="A8066" s="49" t="s">
        <v>202</v>
      </c>
      <c r="B8066" s="50">
        <v>45381.0</v>
      </c>
      <c r="C8066" s="49" t="s">
        <v>777</v>
      </c>
      <c r="D8066" s="49">
        <v>0.0</v>
      </c>
    </row>
    <row r="8067" ht="15.0" hidden="1" customHeight="1">
      <c r="A8067" s="49" t="s">
        <v>206</v>
      </c>
      <c r="B8067" s="50">
        <v>45381.0</v>
      </c>
      <c r="C8067" s="49" t="s">
        <v>777</v>
      </c>
      <c r="D8067" s="49">
        <v>0.0</v>
      </c>
    </row>
    <row r="8068" ht="15.0" hidden="1" customHeight="1">
      <c r="A8068" s="49" t="s">
        <v>211</v>
      </c>
      <c r="B8068" s="50">
        <v>45381.0</v>
      </c>
      <c r="C8068" s="49" t="s">
        <v>777</v>
      </c>
      <c r="D8068" s="49">
        <v>0.0</v>
      </c>
    </row>
    <row r="8069" ht="15.0" hidden="1" customHeight="1">
      <c r="A8069" s="49" t="s">
        <v>779</v>
      </c>
      <c r="B8069" s="50">
        <v>45381.0</v>
      </c>
      <c r="C8069" s="49" t="s">
        <v>777</v>
      </c>
      <c r="D8069" s="49">
        <v>0.0</v>
      </c>
    </row>
    <row r="8070" ht="15.0" hidden="1" customHeight="1">
      <c r="A8070" s="49" t="s">
        <v>221</v>
      </c>
      <c r="B8070" s="50">
        <v>45381.0</v>
      </c>
      <c r="C8070" s="49" t="s">
        <v>777</v>
      </c>
      <c r="D8070" s="49">
        <v>0.0</v>
      </c>
    </row>
    <row r="8071" ht="15.0" hidden="1" customHeight="1">
      <c r="A8071" s="49" t="s">
        <v>226</v>
      </c>
      <c r="B8071" s="50">
        <v>45381.0</v>
      </c>
      <c r="C8071" s="49" t="s">
        <v>777</v>
      </c>
      <c r="D8071" s="49">
        <v>0.0</v>
      </c>
    </row>
    <row r="8072" ht="15.0" hidden="1" customHeight="1">
      <c r="A8072" s="49" t="s">
        <v>231</v>
      </c>
      <c r="B8072" s="50">
        <v>45381.0</v>
      </c>
      <c r="C8072" s="49" t="s">
        <v>777</v>
      </c>
      <c r="D8072" s="49">
        <v>0.0</v>
      </c>
    </row>
    <row r="8073" ht="15.0" hidden="1" customHeight="1">
      <c r="A8073" s="49" t="s">
        <v>236</v>
      </c>
      <c r="B8073" s="50">
        <v>45381.0</v>
      </c>
      <c r="C8073" s="49" t="s">
        <v>777</v>
      </c>
      <c r="D8073" s="49">
        <v>0.0</v>
      </c>
    </row>
    <row r="8074" ht="15.0" hidden="1" customHeight="1">
      <c r="A8074" s="49" t="s">
        <v>242</v>
      </c>
      <c r="B8074" s="50">
        <v>45381.0</v>
      </c>
      <c r="C8074" s="49" t="s">
        <v>777</v>
      </c>
      <c r="D8074" s="49">
        <v>0.0</v>
      </c>
    </row>
    <row r="8075" ht="15.0" hidden="1" customHeight="1">
      <c r="A8075" s="49" t="s">
        <v>248</v>
      </c>
      <c r="B8075" s="50">
        <v>45381.0</v>
      </c>
      <c r="C8075" s="49" t="s">
        <v>777</v>
      </c>
      <c r="D8075" s="49">
        <v>0.0</v>
      </c>
    </row>
    <row r="8076" ht="15.0" hidden="1" customHeight="1">
      <c r="A8076" s="49" t="s">
        <v>253</v>
      </c>
      <c r="B8076" s="50">
        <v>45381.0</v>
      </c>
      <c r="C8076" s="49" t="s">
        <v>777</v>
      </c>
      <c r="D8076" s="49">
        <v>0.0</v>
      </c>
    </row>
    <row r="8077" ht="15.0" hidden="1" customHeight="1">
      <c r="A8077" s="49" t="s">
        <v>258</v>
      </c>
      <c r="B8077" s="50">
        <v>45381.0</v>
      </c>
      <c r="C8077" s="49" t="s">
        <v>777</v>
      </c>
      <c r="D8077" s="49">
        <v>0.0</v>
      </c>
    </row>
    <row r="8078" ht="15.0" hidden="1" customHeight="1">
      <c r="A8078" s="49" t="s">
        <v>263</v>
      </c>
      <c r="B8078" s="50">
        <v>45381.0</v>
      </c>
      <c r="C8078" s="49" t="s">
        <v>777</v>
      </c>
      <c r="D8078" s="49">
        <v>0.0</v>
      </c>
    </row>
    <row r="8079" ht="15.0" hidden="1" customHeight="1">
      <c r="A8079" s="49" t="s">
        <v>268</v>
      </c>
      <c r="B8079" s="50">
        <v>45381.0</v>
      </c>
      <c r="C8079" s="49" t="s">
        <v>777</v>
      </c>
      <c r="D8079" s="49">
        <v>0.0</v>
      </c>
    </row>
    <row r="8080" ht="15.0" hidden="1" customHeight="1">
      <c r="A8080" s="49" t="s">
        <v>273</v>
      </c>
      <c r="B8080" s="50">
        <v>45381.0</v>
      </c>
      <c r="C8080" s="49" t="s">
        <v>777</v>
      </c>
      <c r="D8080" s="49">
        <v>0.0</v>
      </c>
    </row>
    <row r="8081" ht="15.0" hidden="1" customHeight="1">
      <c r="A8081" s="49" t="s">
        <v>278</v>
      </c>
      <c r="B8081" s="50">
        <v>45381.0</v>
      </c>
      <c r="C8081" s="49" t="s">
        <v>777</v>
      </c>
      <c r="D8081" s="49">
        <v>0.0</v>
      </c>
    </row>
    <row r="8082" ht="15.0" hidden="1" customHeight="1">
      <c r="A8082" s="49" t="s">
        <v>283</v>
      </c>
      <c r="B8082" s="50">
        <v>45381.0</v>
      </c>
      <c r="C8082" s="49" t="s">
        <v>777</v>
      </c>
      <c r="D8082" s="49">
        <v>0.0</v>
      </c>
    </row>
    <row r="8083" ht="15.0" hidden="1" customHeight="1">
      <c r="A8083" s="49" t="s">
        <v>288</v>
      </c>
      <c r="B8083" s="50">
        <v>45381.0</v>
      </c>
      <c r="C8083" s="49" t="s">
        <v>777</v>
      </c>
      <c r="D8083" s="49">
        <v>0.0</v>
      </c>
    </row>
    <row r="8084" ht="15.0" hidden="1" customHeight="1">
      <c r="A8084" s="49" t="s">
        <v>293</v>
      </c>
      <c r="B8084" s="50">
        <v>45381.0</v>
      </c>
      <c r="C8084" s="49" t="s">
        <v>777</v>
      </c>
      <c r="D8084" s="49">
        <v>0.0</v>
      </c>
    </row>
    <row r="8085" ht="15.0" hidden="1" customHeight="1">
      <c r="A8085" s="49" t="s">
        <v>298</v>
      </c>
      <c r="B8085" s="50">
        <v>45381.0</v>
      </c>
      <c r="C8085" s="49" t="s">
        <v>777</v>
      </c>
      <c r="D8085" s="49">
        <v>0.0</v>
      </c>
    </row>
    <row r="8086" ht="15.0" hidden="1" customHeight="1">
      <c r="A8086" s="49" t="s">
        <v>303</v>
      </c>
      <c r="B8086" s="50">
        <v>45381.0</v>
      </c>
      <c r="C8086" s="49" t="s">
        <v>777</v>
      </c>
      <c r="D8086" s="49">
        <v>0.0</v>
      </c>
    </row>
    <row r="8087" ht="15.0" hidden="1" customHeight="1">
      <c r="A8087" s="49" t="s">
        <v>307</v>
      </c>
      <c r="B8087" s="50">
        <v>45381.0</v>
      </c>
      <c r="C8087" s="49" t="s">
        <v>777</v>
      </c>
      <c r="D8087" s="49">
        <v>0.0</v>
      </c>
    </row>
    <row r="8088" ht="15.0" hidden="1" customHeight="1">
      <c r="A8088" s="49" t="s">
        <v>313</v>
      </c>
      <c r="B8088" s="50">
        <v>45381.0</v>
      </c>
      <c r="C8088" s="49" t="s">
        <v>777</v>
      </c>
      <c r="D8088" s="49">
        <v>0.0</v>
      </c>
    </row>
    <row r="8089" ht="15.0" hidden="1" customHeight="1">
      <c r="A8089" s="49" t="s">
        <v>318</v>
      </c>
      <c r="B8089" s="50">
        <v>45381.0</v>
      </c>
      <c r="C8089" s="49" t="s">
        <v>777</v>
      </c>
      <c r="D8089" s="49">
        <v>0.0</v>
      </c>
    </row>
    <row r="8090" ht="15.0" hidden="1" customHeight="1">
      <c r="A8090" s="49" t="s">
        <v>323</v>
      </c>
      <c r="B8090" s="50">
        <v>45381.0</v>
      </c>
      <c r="C8090" s="49" t="s">
        <v>777</v>
      </c>
      <c r="D8090" s="49">
        <v>0.0</v>
      </c>
    </row>
    <row r="8091" ht="15.0" hidden="1" customHeight="1">
      <c r="A8091" s="49" t="s">
        <v>328</v>
      </c>
      <c r="B8091" s="50">
        <v>45381.0</v>
      </c>
      <c r="C8091" s="49" t="s">
        <v>777</v>
      </c>
      <c r="D8091" s="49">
        <v>0.0</v>
      </c>
    </row>
    <row r="8092" ht="15.0" hidden="1" customHeight="1">
      <c r="A8092" s="49" t="s">
        <v>335</v>
      </c>
      <c r="B8092" s="50">
        <v>45381.0</v>
      </c>
      <c r="C8092" s="49" t="s">
        <v>777</v>
      </c>
      <c r="D8092" s="49">
        <v>0.0</v>
      </c>
    </row>
    <row r="8093" ht="15.0" hidden="1" customHeight="1">
      <c r="A8093" s="49" t="s">
        <v>340</v>
      </c>
      <c r="B8093" s="50">
        <v>45381.0</v>
      </c>
      <c r="C8093" s="49" t="s">
        <v>777</v>
      </c>
      <c r="D8093" s="49">
        <v>0.0</v>
      </c>
    </row>
    <row r="8094" ht="15.0" hidden="1" customHeight="1">
      <c r="A8094" s="49" t="s">
        <v>345</v>
      </c>
      <c r="B8094" s="50">
        <v>45381.0</v>
      </c>
      <c r="C8094" s="49" t="s">
        <v>777</v>
      </c>
      <c r="D8094" s="49">
        <v>0.0</v>
      </c>
    </row>
    <row r="8095" ht="15.0" hidden="1" customHeight="1">
      <c r="A8095" s="49" t="s">
        <v>350</v>
      </c>
      <c r="B8095" s="50">
        <v>45381.0</v>
      </c>
      <c r="C8095" s="49" t="s">
        <v>777</v>
      </c>
      <c r="D8095" s="49">
        <v>0.0</v>
      </c>
    </row>
    <row r="8096" ht="15.0" hidden="1" customHeight="1">
      <c r="A8096" s="49" t="s">
        <v>355</v>
      </c>
      <c r="B8096" s="50">
        <v>45381.0</v>
      </c>
      <c r="C8096" s="49" t="s">
        <v>777</v>
      </c>
      <c r="D8096" s="49">
        <v>0.0</v>
      </c>
    </row>
    <row r="8097" ht="15.0" hidden="1" customHeight="1">
      <c r="A8097" s="49" t="s">
        <v>360</v>
      </c>
      <c r="B8097" s="50">
        <v>45381.0</v>
      </c>
      <c r="C8097" s="49" t="s">
        <v>777</v>
      </c>
      <c r="D8097" s="49">
        <v>0.0</v>
      </c>
    </row>
    <row r="8098" ht="15.0" hidden="1" customHeight="1">
      <c r="A8098" s="49" t="s">
        <v>365</v>
      </c>
      <c r="B8098" s="50">
        <v>45381.0</v>
      </c>
      <c r="C8098" s="49" t="s">
        <v>777</v>
      </c>
      <c r="D8098" s="49">
        <v>0.0</v>
      </c>
    </row>
    <row r="8099" ht="15.0" hidden="1" customHeight="1">
      <c r="A8099" s="49" t="s">
        <v>370</v>
      </c>
      <c r="B8099" s="50">
        <v>45381.0</v>
      </c>
      <c r="C8099" s="49" t="s">
        <v>777</v>
      </c>
      <c r="D8099" s="49">
        <v>0.0</v>
      </c>
    </row>
    <row r="8100" ht="15.0" hidden="1" customHeight="1">
      <c r="A8100" s="49" t="s">
        <v>375</v>
      </c>
      <c r="B8100" s="50">
        <v>45381.0</v>
      </c>
      <c r="C8100" s="49" t="s">
        <v>777</v>
      </c>
      <c r="D8100" s="49">
        <v>0.0</v>
      </c>
    </row>
    <row r="8101" ht="15.0" hidden="1" customHeight="1">
      <c r="A8101" s="49" t="s">
        <v>380</v>
      </c>
      <c r="B8101" s="50">
        <v>45381.0</v>
      </c>
      <c r="C8101" s="49" t="s">
        <v>777</v>
      </c>
      <c r="D8101" s="49">
        <v>0.0</v>
      </c>
    </row>
    <row r="8102" ht="15.0" hidden="1" customHeight="1">
      <c r="A8102" s="49" t="s">
        <v>385</v>
      </c>
      <c r="B8102" s="50">
        <v>45381.0</v>
      </c>
      <c r="C8102" s="49" t="s">
        <v>777</v>
      </c>
      <c r="D8102" s="49">
        <v>0.0</v>
      </c>
    </row>
    <row r="8103" ht="15.0" hidden="1" customHeight="1">
      <c r="A8103" s="49" t="s">
        <v>390</v>
      </c>
      <c r="B8103" s="50">
        <v>45381.0</v>
      </c>
      <c r="C8103" s="49" t="s">
        <v>777</v>
      </c>
      <c r="D8103" s="49">
        <v>0.0</v>
      </c>
    </row>
    <row r="8104" ht="15.0" hidden="1" customHeight="1">
      <c r="A8104" s="49" t="s">
        <v>395</v>
      </c>
      <c r="B8104" s="50">
        <v>45381.0</v>
      </c>
      <c r="C8104" s="49" t="s">
        <v>777</v>
      </c>
      <c r="D8104" s="49">
        <v>0.0</v>
      </c>
    </row>
    <row r="8105" ht="15.0" hidden="1" customHeight="1">
      <c r="A8105" s="49" t="s">
        <v>400</v>
      </c>
      <c r="B8105" s="50">
        <v>45381.0</v>
      </c>
      <c r="C8105" s="49" t="s">
        <v>777</v>
      </c>
      <c r="D8105" s="49">
        <v>0.0</v>
      </c>
    </row>
    <row r="8106" ht="15.0" hidden="1" customHeight="1">
      <c r="A8106" s="49" t="s">
        <v>405</v>
      </c>
      <c r="B8106" s="50">
        <v>45381.0</v>
      </c>
      <c r="C8106" s="49" t="s">
        <v>777</v>
      </c>
      <c r="D8106" s="49">
        <v>0.0</v>
      </c>
    </row>
    <row r="8107" ht="15.0" hidden="1" customHeight="1">
      <c r="A8107" s="49" t="s">
        <v>410</v>
      </c>
      <c r="B8107" s="50">
        <v>45381.0</v>
      </c>
      <c r="C8107" s="49" t="s">
        <v>777</v>
      </c>
      <c r="D8107" s="49">
        <v>0.0</v>
      </c>
    </row>
    <row r="8108" ht="15.0" hidden="1" customHeight="1">
      <c r="A8108" s="49" t="s">
        <v>415</v>
      </c>
      <c r="B8108" s="50">
        <v>45381.0</v>
      </c>
      <c r="C8108" s="49" t="s">
        <v>777</v>
      </c>
      <c r="D8108" s="49">
        <v>0.0</v>
      </c>
    </row>
    <row r="8109" ht="15.0" hidden="1" customHeight="1">
      <c r="A8109" s="49" t="s">
        <v>420</v>
      </c>
      <c r="B8109" s="50">
        <v>45381.0</v>
      </c>
      <c r="C8109" s="49" t="s">
        <v>777</v>
      </c>
      <c r="D8109" s="49">
        <v>0.0</v>
      </c>
    </row>
    <row r="8110" ht="15.0" hidden="1" customHeight="1">
      <c r="A8110" s="49" t="s">
        <v>425</v>
      </c>
      <c r="B8110" s="50">
        <v>45381.0</v>
      </c>
      <c r="C8110" s="49" t="s">
        <v>777</v>
      </c>
      <c r="D8110" s="49">
        <v>0.0</v>
      </c>
    </row>
    <row r="8111" ht="15.0" hidden="1" customHeight="1">
      <c r="A8111" s="49" t="s">
        <v>430</v>
      </c>
      <c r="B8111" s="50">
        <v>45381.0</v>
      </c>
      <c r="C8111" s="49" t="s">
        <v>777</v>
      </c>
      <c r="D8111" s="49">
        <v>0.0</v>
      </c>
    </row>
    <row r="8112" ht="15.0" hidden="1" customHeight="1">
      <c r="A8112" s="49" t="s">
        <v>434</v>
      </c>
      <c r="B8112" s="50">
        <v>45381.0</v>
      </c>
      <c r="C8112" s="49" t="s">
        <v>777</v>
      </c>
      <c r="D8112" s="49">
        <v>0.0</v>
      </c>
    </row>
    <row r="8113" ht="15.0" hidden="1" customHeight="1">
      <c r="A8113" s="49" t="s">
        <v>439</v>
      </c>
      <c r="B8113" s="50">
        <v>45381.0</v>
      </c>
      <c r="C8113" s="49" t="s">
        <v>777</v>
      </c>
      <c r="D8113" s="49">
        <v>0.0</v>
      </c>
    </row>
    <row r="8114" ht="15.0" hidden="1" customHeight="1">
      <c r="A8114" s="49" t="s">
        <v>444</v>
      </c>
      <c r="B8114" s="50">
        <v>45381.0</v>
      </c>
      <c r="C8114" s="49" t="s">
        <v>777</v>
      </c>
      <c r="D8114" s="49">
        <v>0.0</v>
      </c>
    </row>
    <row r="8115" ht="15.0" hidden="1" customHeight="1">
      <c r="A8115" s="49" t="s">
        <v>449</v>
      </c>
      <c r="B8115" s="50">
        <v>45381.0</v>
      </c>
      <c r="C8115" s="49" t="s">
        <v>777</v>
      </c>
      <c r="D8115" s="49">
        <v>0.0</v>
      </c>
    </row>
    <row r="8116" ht="15.0" hidden="1" customHeight="1">
      <c r="A8116" s="49" t="s">
        <v>455</v>
      </c>
      <c r="B8116" s="50">
        <v>45381.0</v>
      </c>
      <c r="C8116" s="49" t="s">
        <v>777</v>
      </c>
      <c r="D8116" s="49">
        <v>0.0</v>
      </c>
    </row>
    <row r="8117" ht="15.0" hidden="1" customHeight="1">
      <c r="A8117" s="49" t="s">
        <v>470</v>
      </c>
      <c r="B8117" s="50">
        <v>45381.0</v>
      </c>
      <c r="C8117" s="49" t="s">
        <v>777</v>
      </c>
      <c r="D8117" s="49">
        <v>0.0</v>
      </c>
    </row>
    <row r="8118" ht="15.0" hidden="1" customHeight="1">
      <c r="A8118" s="49" t="s">
        <v>476</v>
      </c>
      <c r="B8118" s="50">
        <v>45381.0</v>
      </c>
      <c r="C8118" s="49" t="s">
        <v>777</v>
      </c>
      <c r="D8118" s="49">
        <v>0.0</v>
      </c>
    </row>
    <row r="8119" ht="15.0" hidden="1" customHeight="1">
      <c r="A8119" s="49" t="s">
        <v>481</v>
      </c>
      <c r="B8119" s="50">
        <v>45381.0</v>
      </c>
      <c r="C8119" s="49" t="s">
        <v>777</v>
      </c>
      <c r="D8119" s="49">
        <v>0.0</v>
      </c>
    </row>
    <row r="8120" ht="15.0" hidden="1" customHeight="1">
      <c r="A8120" s="49" t="s">
        <v>486</v>
      </c>
      <c r="B8120" s="50">
        <v>45381.0</v>
      </c>
      <c r="C8120" s="49" t="s">
        <v>777</v>
      </c>
      <c r="D8120" s="49">
        <v>275000.0</v>
      </c>
    </row>
    <row r="8121" ht="15.0" hidden="1" customHeight="1">
      <c r="A8121" s="49" t="s">
        <v>491</v>
      </c>
      <c r="B8121" s="50">
        <v>45381.0</v>
      </c>
      <c r="C8121" s="49" t="s">
        <v>777</v>
      </c>
      <c r="D8121" s="49">
        <v>635343.0</v>
      </c>
    </row>
    <row r="8122" ht="15.0" hidden="1" customHeight="1">
      <c r="A8122" s="49" t="s">
        <v>496</v>
      </c>
      <c r="B8122" s="50">
        <v>45381.0</v>
      </c>
      <c r="C8122" s="49" t="s">
        <v>777</v>
      </c>
      <c r="D8122" s="49">
        <v>840310.0</v>
      </c>
    </row>
    <row r="8123" ht="15.0" hidden="1" customHeight="1">
      <c r="A8123" s="49" t="s">
        <v>501</v>
      </c>
      <c r="B8123" s="50">
        <v>45381.0</v>
      </c>
      <c r="C8123" s="49" t="s">
        <v>777</v>
      </c>
      <c r="D8123" s="49">
        <v>425000.0</v>
      </c>
    </row>
    <row r="8124" ht="15.0" hidden="1" customHeight="1">
      <c r="A8124" s="49" t="s">
        <v>506</v>
      </c>
      <c r="B8124" s="50">
        <v>45381.0</v>
      </c>
      <c r="C8124" s="49" t="s">
        <v>777</v>
      </c>
      <c r="D8124" s="49">
        <v>1290373.28</v>
      </c>
    </row>
    <row r="8125" ht="15.0" hidden="1" customHeight="1">
      <c r="A8125" s="49" t="s">
        <v>512</v>
      </c>
      <c r="B8125" s="50">
        <v>45381.0</v>
      </c>
      <c r="C8125" s="49" t="s">
        <v>777</v>
      </c>
      <c r="D8125" s="49">
        <v>1644300.0</v>
      </c>
    </row>
    <row r="8126" ht="15.0" hidden="1" customHeight="1">
      <c r="A8126" s="49" t="s">
        <v>517</v>
      </c>
      <c r="B8126" s="50">
        <v>45381.0</v>
      </c>
      <c r="C8126" s="49" t="s">
        <v>777</v>
      </c>
      <c r="D8126" s="49">
        <v>1000000.0</v>
      </c>
    </row>
    <row r="8127" ht="15.0" hidden="1" customHeight="1">
      <c r="A8127" s="49" t="s">
        <v>522</v>
      </c>
      <c r="B8127" s="50">
        <v>45381.0</v>
      </c>
      <c r="C8127" s="49" t="s">
        <v>777</v>
      </c>
      <c r="D8127" s="49">
        <v>0.0</v>
      </c>
    </row>
    <row r="8128" ht="15.0" hidden="1" customHeight="1">
      <c r="A8128" s="49" t="s">
        <v>528</v>
      </c>
      <c r="B8128" s="50">
        <v>45381.0</v>
      </c>
      <c r="C8128" s="49" t="s">
        <v>777</v>
      </c>
      <c r="D8128" s="49">
        <v>0.0</v>
      </c>
    </row>
    <row r="8129" ht="15.0" hidden="1" customHeight="1">
      <c r="A8129" s="49" t="s">
        <v>533</v>
      </c>
      <c r="B8129" s="50">
        <v>45381.0</v>
      </c>
      <c r="C8129" s="49" t="s">
        <v>777</v>
      </c>
      <c r="D8129" s="49">
        <v>0.0</v>
      </c>
    </row>
    <row r="8130" ht="15.0" hidden="1" customHeight="1">
      <c r="A8130" s="49" t="s">
        <v>538</v>
      </c>
      <c r="B8130" s="50">
        <v>45381.0</v>
      </c>
      <c r="C8130" s="49" t="s">
        <v>777</v>
      </c>
      <c r="D8130" s="49">
        <v>0.0</v>
      </c>
    </row>
    <row r="8131" ht="15.0" hidden="1" customHeight="1">
      <c r="A8131" s="49" t="s">
        <v>546</v>
      </c>
      <c r="B8131" s="50">
        <v>45381.0</v>
      </c>
      <c r="C8131" s="49" t="s">
        <v>777</v>
      </c>
      <c r="D8131" s="49">
        <v>0.0</v>
      </c>
    </row>
    <row r="8132" ht="15.0" hidden="1" customHeight="1">
      <c r="A8132" s="49" t="s">
        <v>551</v>
      </c>
      <c r="B8132" s="50">
        <v>45381.0</v>
      </c>
      <c r="C8132" s="49" t="s">
        <v>777</v>
      </c>
      <c r="D8132" s="49">
        <v>0.0</v>
      </c>
    </row>
    <row r="8133" ht="15.0" hidden="1" customHeight="1">
      <c r="A8133" s="49" t="s">
        <v>556</v>
      </c>
      <c r="B8133" s="50">
        <v>45381.0</v>
      </c>
      <c r="C8133" s="49" t="s">
        <v>777</v>
      </c>
      <c r="D8133" s="49">
        <v>0.0</v>
      </c>
    </row>
    <row r="8134" ht="15.0" hidden="1" customHeight="1">
      <c r="A8134" s="49" t="s">
        <v>561</v>
      </c>
      <c r="B8134" s="50">
        <v>45381.0</v>
      </c>
      <c r="C8134" s="49" t="s">
        <v>777</v>
      </c>
      <c r="D8134" s="49">
        <v>0.0</v>
      </c>
    </row>
    <row r="8135" ht="15.0" hidden="1" customHeight="1">
      <c r="A8135" s="49" t="s">
        <v>566</v>
      </c>
      <c r="B8135" s="50">
        <v>45381.0</v>
      </c>
      <c r="C8135" s="49" t="s">
        <v>777</v>
      </c>
      <c r="D8135" s="49">
        <v>0.0</v>
      </c>
    </row>
    <row r="8136" ht="15.0" hidden="1" customHeight="1">
      <c r="A8136" s="49" t="s">
        <v>571</v>
      </c>
      <c r="B8136" s="50">
        <v>45381.0</v>
      </c>
      <c r="C8136" s="49" t="s">
        <v>777</v>
      </c>
      <c r="D8136" s="49">
        <v>0.0</v>
      </c>
    </row>
    <row r="8137" ht="15.0" hidden="1" customHeight="1">
      <c r="A8137" s="49" t="s">
        <v>576</v>
      </c>
      <c r="B8137" s="50">
        <v>45381.0</v>
      </c>
      <c r="C8137" s="49" t="s">
        <v>777</v>
      </c>
      <c r="D8137" s="49">
        <v>0.0</v>
      </c>
    </row>
    <row r="8138" ht="15.0" hidden="1" customHeight="1">
      <c r="A8138" s="49" t="s">
        <v>581</v>
      </c>
      <c r="B8138" s="50">
        <v>45381.0</v>
      </c>
      <c r="C8138" s="49" t="s">
        <v>777</v>
      </c>
      <c r="D8138" s="49">
        <v>0.0</v>
      </c>
    </row>
    <row r="8139" ht="15.0" hidden="1" customHeight="1">
      <c r="A8139" s="49" t="s">
        <v>586</v>
      </c>
      <c r="B8139" s="50">
        <v>45381.0</v>
      </c>
      <c r="C8139" s="49" t="s">
        <v>777</v>
      </c>
      <c r="D8139" s="49">
        <v>0.0</v>
      </c>
    </row>
    <row r="8140" ht="15.0" hidden="1" customHeight="1">
      <c r="A8140" s="49" t="s">
        <v>754</v>
      </c>
      <c r="B8140" s="50">
        <v>45381.0</v>
      </c>
      <c r="C8140" s="49" t="s">
        <v>777</v>
      </c>
      <c r="D8140" s="49">
        <v>0.0</v>
      </c>
    </row>
    <row r="8141" ht="15.0" hidden="1" customHeight="1">
      <c r="A8141" s="49" t="s">
        <v>591</v>
      </c>
      <c r="B8141" s="50">
        <v>45381.0</v>
      </c>
      <c r="C8141" s="49" t="s">
        <v>777</v>
      </c>
      <c r="D8141" s="49">
        <v>0.0</v>
      </c>
    </row>
    <row r="8142" ht="15.0" hidden="1" customHeight="1">
      <c r="A8142" s="49" t="s">
        <v>759</v>
      </c>
      <c r="B8142" s="50">
        <v>45381.0</v>
      </c>
      <c r="C8142" s="49" t="s">
        <v>777</v>
      </c>
      <c r="D8142" s="49">
        <v>0.0</v>
      </c>
    </row>
    <row r="8143" ht="15.0" hidden="1" customHeight="1">
      <c r="A8143" s="49" t="s">
        <v>596</v>
      </c>
      <c r="B8143" s="50">
        <v>45381.0</v>
      </c>
      <c r="C8143" s="49" t="s">
        <v>777</v>
      </c>
      <c r="D8143" s="49">
        <v>0.0</v>
      </c>
    </row>
    <row r="8144" ht="15.0" hidden="1" customHeight="1">
      <c r="A8144" s="49" t="s">
        <v>602</v>
      </c>
      <c r="B8144" s="50">
        <v>45381.0</v>
      </c>
      <c r="C8144" s="49" t="s">
        <v>777</v>
      </c>
      <c r="D8144" s="49">
        <v>0.0</v>
      </c>
    </row>
    <row r="8145" ht="15.0" hidden="1" customHeight="1">
      <c r="A8145" s="49" t="s">
        <v>607</v>
      </c>
      <c r="B8145" s="50">
        <v>45381.0</v>
      </c>
      <c r="C8145" s="49" t="s">
        <v>777</v>
      </c>
      <c r="D8145" s="49">
        <v>0.0</v>
      </c>
    </row>
    <row r="8146" ht="15.0" hidden="1" customHeight="1">
      <c r="A8146" s="49" t="s">
        <v>612</v>
      </c>
      <c r="B8146" s="50">
        <v>45381.0</v>
      </c>
      <c r="C8146" s="49" t="s">
        <v>777</v>
      </c>
      <c r="D8146" s="49">
        <v>0.0</v>
      </c>
    </row>
    <row r="8147" ht="15.0" hidden="1" customHeight="1">
      <c r="A8147" s="49" t="s">
        <v>617</v>
      </c>
      <c r="B8147" s="50">
        <v>45381.0</v>
      </c>
      <c r="C8147" s="49" t="s">
        <v>777</v>
      </c>
      <c r="D8147" s="49">
        <v>0.0</v>
      </c>
    </row>
    <row r="8148" ht="15.0" hidden="1" customHeight="1">
      <c r="A8148" s="49" t="s">
        <v>622</v>
      </c>
      <c r="B8148" s="50">
        <v>45381.0</v>
      </c>
      <c r="C8148" s="49" t="s">
        <v>777</v>
      </c>
      <c r="D8148" s="49">
        <v>0.0</v>
      </c>
    </row>
    <row r="8149" ht="15.0" hidden="1" customHeight="1">
      <c r="A8149" s="49" t="s">
        <v>627</v>
      </c>
      <c r="B8149" s="50">
        <v>45381.0</v>
      </c>
      <c r="C8149" s="49" t="s">
        <v>777</v>
      </c>
      <c r="D8149" s="49">
        <v>0.0</v>
      </c>
    </row>
    <row r="8150" ht="15.0" hidden="1" customHeight="1">
      <c r="A8150" s="49" t="s">
        <v>631</v>
      </c>
      <c r="B8150" s="50">
        <v>45381.0</v>
      </c>
      <c r="C8150" s="49" t="s">
        <v>777</v>
      </c>
      <c r="D8150" s="49">
        <v>0.0</v>
      </c>
    </row>
    <row r="8151" ht="15.0" hidden="1" customHeight="1">
      <c r="A8151" s="49" t="s">
        <v>636</v>
      </c>
      <c r="B8151" s="50">
        <v>45381.0</v>
      </c>
      <c r="C8151" s="49" t="s">
        <v>777</v>
      </c>
      <c r="D8151" s="49">
        <v>0.0</v>
      </c>
    </row>
    <row r="8152" ht="15.0" hidden="1" customHeight="1">
      <c r="A8152" s="49" t="s">
        <v>640</v>
      </c>
      <c r="B8152" s="50">
        <v>45381.0</v>
      </c>
      <c r="C8152" s="49" t="s">
        <v>777</v>
      </c>
      <c r="D8152" s="49">
        <v>0.0</v>
      </c>
    </row>
    <row r="8153" ht="15.0" hidden="1" customHeight="1">
      <c r="A8153" s="49" t="s">
        <v>644</v>
      </c>
      <c r="B8153" s="50">
        <v>45381.0</v>
      </c>
      <c r="C8153" s="49" t="s">
        <v>777</v>
      </c>
      <c r="D8153" s="49">
        <v>0.0</v>
      </c>
    </row>
    <row r="8154" ht="15.0" hidden="1" customHeight="1">
      <c r="A8154" s="49" t="s">
        <v>649</v>
      </c>
      <c r="B8154" s="50">
        <v>45381.0</v>
      </c>
      <c r="C8154" s="49" t="s">
        <v>777</v>
      </c>
      <c r="D8154" s="49">
        <v>0.0</v>
      </c>
    </row>
    <row r="8155" ht="15.0" hidden="1" customHeight="1">
      <c r="A8155" s="49" t="s">
        <v>654</v>
      </c>
      <c r="B8155" s="50">
        <v>45381.0</v>
      </c>
      <c r="C8155" s="49" t="s">
        <v>777</v>
      </c>
      <c r="D8155" s="49">
        <v>0.0</v>
      </c>
    </row>
    <row r="8156" ht="15.0" hidden="1" customHeight="1">
      <c r="A8156" s="49" t="s">
        <v>659</v>
      </c>
      <c r="B8156" s="50">
        <v>45381.0</v>
      </c>
      <c r="C8156" s="49" t="s">
        <v>777</v>
      </c>
      <c r="D8156" s="49">
        <v>0.0</v>
      </c>
    </row>
    <row r="8157" ht="15.0" hidden="1" customHeight="1">
      <c r="A8157" s="49" t="s">
        <v>664</v>
      </c>
      <c r="B8157" s="50">
        <v>45381.0</v>
      </c>
      <c r="C8157" s="49" t="s">
        <v>777</v>
      </c>
      <c r="D8157" s="49">
        <v>0.0</v>
      </c>
    </row>
    <row r="8158" ht="15.0" hidden="1" customHeight="1">
      <c r="A8158" s="49" t="s">
        <v>669</v>
      </c>
      <c r="B8158" s="50">
        <v>45381.0</v>
      </c>
      <c r="C8158" s="49" t="s">
        <v>777</v>
      </c>
      <c r="D8158" s="49">
        <v>0.0</v>
      </c>
    </row>
    <row r="8159" ht="15.0" hidden="1" customHeight="1">
      <c r="A8159" s="49" t="s">
        <v>674</v>
      </c>
      <c r="B8159" s="50">
        <v>45381.0</v>
      </c>
      <c r="C8159" s="49" t="s">
        <v>777</v>
      </c>
      <c r="D8159" s="49">
        <v>0.0</v>
      </c>
    </row>
    <row r="8160" ht="15.0" hidden="1" customHeight="1">
      <c r="A8160" s="49" t="s">
        <v>679</v>
      </c>
      <c r="B8160" s="50">
        <v>45381.0</v>
      </c>
      <c r="C8160" s="49" t="s">
        <v>777</v>
      </c>
      <c r="D8160" s="49">
        <v>0.0</v>
      </c>
    </row>
    <row r="8161" ht="15.0" hidden="1" customHeight="1">
      <c r="A8161" s="49" t="s">
        <v>684</v>
      </c>
      <c r="B8161" s="50">
        <v>45381.0</v>
      </c>
      <c r="C8161" s="49" t="s">
        <v>777</v>
      </c>
      <c r="D8161" s="49">
        <v>0.0</v>
      </c>
    </row>
    <row r="8162" ht="15.0" hidden="1" customHeight="1">
      <c r="A8162" s="49" t="s">
        <v>689</v>
      </c>
      <c r="B8162" s="50">
        <v>45381.0</v>
      </c>
      <c r="C8162" s="49" t="s">
        <v>777</v>
      </c>
      <c r="D8162" s="49">
        <v>0.0</v>
      </c>
    </row>
    <row r="8163" ht="15.0" hidden="1" customHeight="1">
      <c r="A8163" s="49" t="s">
        <v>694</v>
      </c>
      <c r="B8163" s="50">
        <v>45381.0</v>
      </c>
      <c r="C8163" s="49" t="s">
        <v>777</v>
      </c>
      <c r="D8163" s="49">
        <v>0.0</v>
      </c>
    </row>
    <row r="8164" ht="15.0" hidden="1" customHeight="1">
      <c r="A8164" s="49" t="s">
        <v>699</v>
      </c>
      <c r="B8164" s="50">
        <v>45381.0</v>
      </c>
      <c r="C8164" s="49" t="s">
        <v>777</v>
      </c>
      <c r="D8164" s="49">
        <v>0.0</v>
      </c>
    </row>
    <row r="8165" ht="15.0" hidden="1" customHeight="1">
      <c r="A8165" s="49" t="s">
        <v>705</v>
      </c>
      <c r="B8165" s="50">
        <v>45381.0</v>
      </c>
      <c r="C8165" s="49" t="s">
        <v>777</v>
      </c>
      <c r="D8165" s="49">
        <v>0.0</v>
      </c>
    </row>
    <row r="8166" ht="15.0" hidden="1" customHeight="1">
      <c r="A8166" s="49" t="s">
        <v>710</v>
      </c>
      <c r="B8166" s="50">
        <v>45381.0</v>
      </c>
      <c r="C8166" s="49" t="s">
        <v>777</v>
      </c>
      <c r="D8166" s="49">
        <v>0.0</v>
      </c>
    </row>
    <row r="8167" ht="15.0" hidden="1" customHeight="1">
      <c r="A8167" s="49" t="s">
        <v>715</v>
      </c>
      <c r="B8167" s="50">
        <v>45381.0</v>
      </c>
      <c r="C8167" s="49" t="s">
        <v>777</v>
      </c>
      <c r="D8167" s="49">
        <v>0.0</v>
      </c>
    </row>
    <row r="8168" ht="15.0" hidden="1" customHeight="1">
      <c r="A8168" s="49" t="s">
        <v>765</v>
      </c>
      <c r="B8168" s="50">
        <v>45381.0</v>
      </c>
      <c r="C8168" s="49" t="s">
        <v>777</v>
      </c>
      <c r="D8168" s="49">
        <v>0.0</v>
      </c>
    </row>
    <row r="8169" ht="15.0" hidden="1" customHeight="1">
      <c r="A8169" s="49" t="s">
        <v>720</v>
      </c>
      <c r="B8169" s="50">
        <v>45381.0</v>
      </c>
      <c r="C8169" s="49" t="s">
        <v>777</v>
      </c>
      <c r="D8169" s="49">
        <v>0.0</v>
      </c>
    </row>
    <row r="8170" ht="15.0" hidden="1" customHeight="1">
      <c r="A8170" s="49" t="s">
        <v>725</v>
      </c>
      <c r="B8170" s="50">
        <v>45381.0</v>
      </c>
      <c r="C8170" s="49" t="s">
        <v>777</v>
      </c>
      <c r="D8170" s="49">
        <v>0.0</v>
      </c>
    </row>
    <row r="8171" ht="15.0" hidden="1" customHeight="1">
      <c r="A8171" s="49" t="s">
        <v>730</v>
      </c>
      <c r="B8171" s="50">
        <v>45381.0</v>
      </c>
      <c r="C8171" s="49" t="s">
        <v>777</v>
      </c>
      <c r="D8171" s="49">
        <v>0.0</v>
      </c>
    </row>
    <row r="8172" ht="15.0" hidden="1" customHeight="1">
      <c r="A8172" s="49" t="s">
        <v>734</v>
      </c>
      <c r="B8172" s="50">
        <v>45381.0</v>
      </c>
      <c r="C8172" s="49" t="s">
        <v>777</v>
      </c>
      <c r="D8172" s="49">
        <v>0.0</v>
      </c>
    </row>
    <row r="8173" ht="15.0" hidden="1" customHeight="1">
      <c r="A8173" s="49" t="s">
        <v>739</v>
      </c>
      <c r="B8173" s="50">
        <v>45381.0</v>
      </c>
      <c r="C8173" s="49" t="s">
        <v>777</v>
      </c>
      <c r="D8173" s="49">
        <v>0.0</v>
      </c>
    </row>
    <row r="8174" ht="15.0" hidden="1" customHeight="1">
      <c r="A8174" s="49" t="s">
        <v>744</v>
      </c>
      <c r="B8174" s="50">
        <v>45381.0</v>
      </c>
      <c r="C8174" s="49" t="s">
        <v>777</v>
      </c>
      <c r="D8174" s="49">
        <v>0.0</v>
      </c>
    </row>
    <row r="8175" ht="15.0" hidden="1" customHeight="1">
      <c r="A8175" s="49" t="s">
        <v>749</v>
      </c>
      <c r="B8175" s="50">
        <v>45381.0</v>
      </c>
      <c r="C8175" s="49" t="s">
        <v>777</v>
      </c>
      <c r="D8175" s="49">
        <v>0.0</v>
      </c>
    </row>
    <row r="8176" ht="15.0" customHeight="1">
      <c r="A8176" s="49" t="s">
        <v>776</v>
      </c>
      <c r="B8176" s="50">
        <v>45381.0</v>
      </c>
      <c r="C8176" s="49" t="s">
        <v>78</v>
      </c>
      <c r="D8176" s="49">
        <v>0.0</v>
      </c>
    </row>
    <row r="8177" ht="15.0" hidden="1" customHeight="1">
      <c r="A8177" s="49" t="s">
        <v>778</v>
      </c>
      <c r="B8177" s="50">
        <v>45381.0</v>
      </c>
      <c r="C8177" s="49" t="s">
        <v>78</v>
      </c>
      <c r="D8177" s="49">
        <v>0.0</v>
      </c>
    </row>
    <row r="8178" ht="15.0" hidden="1" customHeight="1">
      <c r="A8178" s="49" t="s">
        <v>92</v>
      </c>
      <c r="B8178" s="50">
        <v>45381.0</v>
      </c>
      <c r="C8178" s="49" t="s">
        <v>78</v>
      </c>
      <c r="D8178" s="49">
        <v>0.0</v>
      </c>
    </row>
    <row r="8179" ht="15.0" hidden="1" customHeight="1">
      <c r="A8179" s="49" t="s">
        <v>97</v>
      </c>
      <c r="B8179" s="50">
        <v>45381.0</v>
      </c>
      <c r="C8179" s="49" t="s">
        <v>78</v>
      </c>
      <c r="D8179" s="49">
        <v>0.0</v>
      </c>
    </row>
    <row r="8180" ht="15.0" hidden="1" customHeight="1">
      <c r="A8180" s="49" t="s">
        <v>102</v>
      </c>
      <c r="B8180" s="50">
        <v>45381.0</v>
      </c>
      <c r="C8180" s="49" t="s">
        <v>78</v>
      </c>
      <c r="D8180" s="49">
        <v>0.0</v>
      </c>
    </row>
    <row r="8181" ht="15.0" hidden="1" customHeight="1">
      <c r="A8181" s="49" t="s">
        <v>106</v>
      </c>
      <c r="B8181" s="50">
        <v>45381.0</v>
      </c>
      <c r="C8181" s="49" t="s">
        <v>78</v>
      </c>
      <c r="D8181" s="49">
        <v>0.0</v>
      </c>
    </row>
    <row r="8182" ht="15.0" hidden="1" customHeight="1">
      <c r="A8182" s="49" t="s">
        <v>111</v>
      </c>
      <c r="B8182" s="50">
        <v>45381.0</v>
      </c>
      <c r="C8182" s="49" t="s">
        <v>78</v>
      </c>
      <c r="D8182" s="49">
        <v>0.0</v>
      </c>
    </row>
    <row r="8183" ht="15.0" hidden="1" customHeight="1">
      <c r="A8183" s="49" t="s">
        <v>116</v>
      </c>
      <c r="B8183" s="50">
        <v>45381.0</v>
      </c>
      <c r="C8183" s="49" t="s">
        <v>78</v>
      </c>
      <c r="D8183" s="49">
        <v>0.0</v>
      </c>
    </row>
    <row r="8184" ht="15.0" hidden="1" customHeight="1">
      <c r="A8184" s="49" t="s">
        <v>120</v>
      </c>
      <c r="B8184" s="50">
        <v>45381.0</v>
      </c>
      <c r="C8184" s="49" t="s">
        <v>78</v>
      </c>
      <c r="D8184" s="49">
        <v>0.0</v>
      </c>
    </row>
    <row r="8185" ht="15.0" hidden="1" customHeight="1">
      <c r="A8185" s="49" t="s">
        <v>125</v>
      </c>
      <c r="B8185" s="50">
        <v>45381.0</v>
      </c>
      <c r="C8185" s="49" t="s">
        <v>78</v>
      </c>
      <c r="D8185" s="49">
        <v>0.0</v>
      </c>
    </row>
    <row r="8186" ht="15.0" hidden="1" customHeight="1">
      <c r="A8186" s="49" t="s">
        <v>130</v>
      </c>
      <c r="B8186" s="50">
        <v>45381.0</v>
      </c>
      <c r="C8186" s="49" t="s">
        <v>78</v>
      </c>
      <c r="D8186" s="49">
        <v>0.0</v>
      </c>
    </row>
    <row r="8187" ht="15.0" hidden="1" customHeight="1">
      <c r="A8187" s="49" t="s">
        <v>137</v>
      </c>
      <c r="B8187" s="50">
        <v>45381.0</v>
      </c>
      <c r="C8187" s="49" t="s">
        <v>78</v>
      </c>
      <c r="D8187" s="49">
        <v>0.0</v>
      </c>
    </row>
    <row r="8188" ht="15.0" hidden="1" customHeight="1">
      <c r="A8188" s="49" t="s">
        <v>142</v>
      </c>
      <c r="B8188" s="50">
        <v>45381.0</v>
      </c>
      <c r="C8188" s="49" t="s">
        <v>78</v>
      </c>
      <c r="D8188" s="49">
        <v>0.0</v>
      </c>
    </row>
    <row r="8189" ht="15.0" hidden="1" customHeight="1">
      <c r="A8189" s="49" t="s">
        <v>147</v>
      </c>
      <c r="B8189" s="50">
        <v>45381.0</v>
      </c>
      <c r="C8189" s="49" t="s">
        <v>78</v>
      </c>
      <c r="D8189" s="49">
        <v>0.0</v>
      </c>
    </row>
    <row r="8190" ht="15.0" hidden="1" customHeight="1">
      <c r="A8190" s="49" t="s">
        <v>152</v>
      </c>
      <c r="B8190" s="50">
        <v>45381.0</v>
      </c>
      <c r="C8190" s="49" t="s">
        <v>78</v>
      </c>
      <c r="D8190" s="49">
        <v>0.0</v>
      </c>
    </row>
    <row r="8191" ht="15.0" hidden="1" customHeight="1">
      <c r="A8191" s="49" t="s">
        <v>157</v>
      </c>
      <c r="B8191" s="50">
        <v>45381.0</v>
      </c>
      <c r="C8191" s="49" t="s">
        <v>78</v>
      </c>
      <c r="D8191" s="49">
        <v>0.0</v>
      </c>
    </row>
    <row r="8192" ht="15.0" hidden="1" customHeight="1">
      <c r="A8192" s="49" t="s">
        <v>162</v>
      </c>
      <c r="B8192" s="50">
        <v>45381.0</v>
      </c>
      <c r="C8192" s="49" t="s">
        <v>78</v>
      </c>
      <c r="D8192" s="49">
        <v>0.0</v>
      </c>
    </row>
    <row r="8193" ht="15.0" hidden="1" customHeight="1">
      <c r="A8193" s="49" t="s">
        <v>167</v>
      </c>
      <c r="B8193" s="50">
        <v>45381.0</v>
      </c>
      <c r="C8193" s="49" t="s">
        <v>78</v>
      </c>
      <c r="D8193" s="49">
        <v>0.0</v>
      </c>
    </row>
    <row r="8194" ht="15.0" hidden="1" customHeight="1">
      <c r="A8194" s="49" t="s">
        <v>172</v>
      </c>
      <c r="B8194" s="50">
        <v>45381.0</v>
      </c>
      <c r="C8194" s="49" t="s">
        <v>78</v>
      </c>
      <c r="D8194" s="49">
        <v>0.0</v>
      </c>
    </row>
    <row r="8195" ht="15.0" hidden="1" customHeight="1">
      <c r="A8195" s="49" t="s">
        <v>177</v>
      </c>
      <c r="B8195" s="50">
        <v>45381.0</v>
      </c>
      <c r="C8195" s="49" t="s">
        <v>78</v>
      </c>
      <c r="D8195" s="49">
        <v>0.0</v>
      </c>
    </row>
    <row r="8196" ht="15.0" hidden="1" customHeight="1">
      <c r="A8196" s="49" t="s">
        <v>182</v>
      </c>
      <c r="B8196" s="50">
        <v>45381.0</v>
      </c>
      <c r="C8196" s="49" t="s">
        <v>78</v>
      </c>
      <c r="D8196" s="49">
        <v>0.0</v>
      </c>
    </row>
    <row r="8197" ht="15.0" hidden="1" customHeight="1">
      <c r="A8197" s="49" t="s">
        <v>187</v>
      </c>
      <c r="B8197" s="50">
        <v>45381.0</v>
      </c>
      <c r="C8197" s="49" t="s">
        <v>78</v>
      </c>
      <c r="D8197" s="49">
        <v>0.0</v>
      </c>
    </row>
    <row r="8198" ht="15.0" hidden="1" customHeight="1">
      <c r="A8198" s="49" t="s">
        <v>192</v>
      </c>
      <c r="B8198" s="50">
        <v>45381.0</v>
      </c>
      <c r="C8198" s="49" t="s">
        <v>78</v>
      </c>
      <c r="D8198" s="49">
        <v>0.0</v>
      </c>
    </row>
    <row r="8199" ht="15.0" hidden="1" customHeight="1">
      <c r="A8199" s="49" t="s">
        <v>197</v>
      </c>
      <c r="B8199" s="50">
        <v>45381.0</v>
      </c>
      <c r="C8199" s="49" t="s">
        <v>78</v>
      </c>
      <c r="D8199" s="49">
        <v>0.0</v>
      </c>
    </row>
    <row r="8200" ht="15.0" hidden="1" customHeight="1">
      <c r="A8200" s="49" t="s">
        <v>202</v>
      </c>
      <c r="B8200" s="50">
        <v>45381.0</v>
      </c>
      <c r="C8200" s="49" t="s">
        <v>78</v>
      </c>
      <c r="D8200" s="49">
        <v>0.0</v>
      </c>
    </row>
    <row r="8201" ht="15.0" hidden="1" customHeight="1">
      <c r="A8201" s="49" t="s">
        <v>206</v>
      </c>
      <c r="B8201" s="50">
        <v>45381.0</v>
      </c>
      <c r="C8201" s="49" t="s">
        <v>78</v>
      </c>
      <c r="D8201" s="49">
        <v>0.0</v>
      </c>
    </row>
    <row r="8202" ht="15.0" hidden="1" customHeight="1">
      <c r="A8202" s="49" t="s">
        <v>211</v>
      </c>
      <c r="B8202" s="50">
        <v>45381.0</v>
      </c>
      <c r="C8202" s="49" t="s">
        <v>78</v>
      </c>
      <c r="D8202" s="49">
        <v>0.0</v>
      </c>
    </row>
    <row r="8203" ht="15.0" hidden="1" customHeight="1">
      <c r="A8203" s="49" t="s">
        <v>779</v>
      </c>
      <c r="B8203" s="50">
        <v>45381.0</v>
      </c>
      <c r="C8203" s="49" t="s">
        <v>78</v>
      </c>
      <c r="D8203" s="49">
        <v>0.0</v>
      </c>
    </row>
    <row r="8204" ht="15.0" hidden="1" customHeight="1">
      <c r="A8204" s="49" t="s">
        <v>221</v>
      </c>
      <c r="B8204" s="50">
        <v>45381.0</v>
      </c>
      <c r="C8204" s="49" t="s">
        <v>78</v>
      </c>
      <c r="D8204" s="49">
        <v>0.0</v>
      </c>
    </row>
    <row r="8205" ht="15.0" hidden="1" customHeight="1">
      <c r="A8205" s="49" t="s">
        <v>226</v>
      </c>
      <c r="B8205" s="50">
        <v>45381.0</v>
      </c>
      <c r="C8205" s="49" t="s">
        <v>78</v>
      </c>
      <c r="D8205" s="49">
        <v>0.0</v>
      </c>
    </row>
    <row r="8206" ht="15.0" hidden="1" customHeight="1">
      <c r="A8206" s="49" t="s">
        <v>231</v>
      </c>
      <c r="B8206" s="50">
        <v>45381.0</v>
      </c>
      <c r="C8206" s="49" t="s">
        <v>78</v>
      </c>
      <c r="D8206" s="49">
        <v>0.0</v>
      </c>
    </row>
    <row r="8207" ht="15.0" hidden="1" customHeight="1">
      <c r="A8207" s="49" t="s">
        <v>236</v>
      </c>
      <c r="B8207" s="50">
        <v>45381.0</v>
      </c>
      <c r="C8207" s="49" t="s">
        <v>78</v>
      </c>
      <c r="D8207" s="49">
        <v>0.0</v>
      </c>
    </row>
    <row r="8208" ht="15.0" hidden="1" customHeight="1">
      <c r="A8208" s="49" t="s">
        <v>242</v>
      </c>
      <c r="B8208" s="50">
        <v>45381.0</v>
      </c>
      <c r="C8208" s="49" t="s">
        <v>78</v>
      </c>
      <c r="D8208" s="49">
        <v>0.0</v>
      </c>
    </row>
    <row r="8209" ht="15.0" hidden="1" customHeight="1">
      <c r="A8209" s="49" t="s">
        <v>248</v>
      </c>
      <c r="B8209" s="50">
        <v>45381.0</v>
      </c>
      <c r="C8209" s="49" t="s">
        <v>78</v>
      </c>
      <c r="D8209" s="49">
        <v>0.0</v>
      </c>
    </row>
    <row r="8210" ht="15.0" hidden="1" customHeight="1">
      <c r="A8210" s="49" t="s">
        <v>253</v>
      </c>
      <c r="B8210" s="50">
        <v>45381.0</v>
      </c>
      <c r="C8210" s="49" t="s">
        <v>78</v>
      </c>
      <c r="D8210" s="49">
        <v>0.0</v>
      </c>
    </row>
    <row r="8211" ht="15.0" hidden="1" customHeight="1">
      <c r="A8211" s="49" t="s">
        <v>258</v>
      </c>
      <c r="B8211" s="50">
        <v>45381.0</v>
      </c>
      <c r="C8211" s="49" t="s">
        <v>78</v>
      </c>
      <c r="D8211" s="49">
        <v>0.0</v>
      </c>
    </row>
    <row r="8212" ht="15.0" hidden="1" customHeight="1">
      <c r="A8212" s="49" t="s">
        <v>263</v>
      </c>
      <c r="B8212" s="50">
        <v>45381.0</v>
      </c>
      <c r="C8212" s="49" t="s">
        <v>78</v>
      </c>
      <c r="D8212" s="49">
        <v>0.0</v>
      </c>
    </row>
    <row r="8213" ht="15.0" hidden="1" customHeight="1">
      <c r="A8213" s="49" t="s">
        <v>268</v>
      </c>
      <c r="B8213" s="50">
        <v>45381.0</v>
      </c>
      <c r="C8213" s="49" t="s">
        <v>78</v>
      </c>
      <c r="D8213" s="49">
        <v>0.0</v>
      </c>
    </row>
    <row r="8214" ht="15.0" hidden="1" customHeight="1">
      <c r="A8214" s="49" t="s">
        <v>273</v>
      </c>
      <c r="B8214" s="50">
        <v>45381.0</v>
      </c>
      <c r="C8214" s="49" t="s">
        <v>78</v>
      </c>
      <c r="D8214" s="49">
        <v>0.0</v>
      </c>
    </row>
    <row r="8215" ht="15.0" hidden="1" customHeight="1">
      <c r="A8215" s="49" t="s">
        <v>278</v>
      </c>
      <c r="B8215" s="50">
        <v>45381.0</v>
      </c>
      <c r="C8215" s="49" t="s">
        <v>78</v>
      </c>
      <c r="D8215" s="49">
        <v>0.0</v>
      </c>
    </row>
    <row r="8216" ht="15.0" hidden="1" customHeight="1">
      <c r="A8216" s="49" t="s">
        <v>283</v>
      </c>
      <c r="B8216" s="50">
        <v>45381.0</v>
      </c>
      <c r="C8216" s="49" t="s">
        <v>78</v>
      </c>
      <c r="D8216" s="49">
        <v>0.0</v>
      </c>
    </row>
    <row r="8217" ht="15.0" hidden="1" customHeight="1">
      <c r="A8217" s="49" t="s">
        <v>288</v>
      </c>
      <c r="B8217" s="50">
        <v>45381.0</v>
      </c>
      <c r="C8217" s="49" t="s">
        <v>78</v>
      </c>
      <c r="D8217" s="49">
        <v>0.0</v>
      </c>
    </row>
    <row r="8218" ht="15.0" hidden="1" customHeight="1">
      <c r="A8218" s="49" t="s">
        <v>293</v>
      </c>
      <c r="B8218" s="50">
        <v>45381.0</v>
      </c>
      <c r="C8218" s="49" t="s">
        <v>78</v>
      </c>
      <c r="D8218" s="49">
        <v>0.0</v>
      </c>
    </row>
    <row r="8219" ht="15.0" hidden="1" customHeight="1">
      <c r="A8219" s="49" t="s">
        <v>298</v>
      </c>
      <c r="B8219" s="50">
        <v>45381.0</v>
      </c>
      <c r="C8219" s="49" t="s">
        <v>78</v>
      </c>
      <c r="D8219" s="49">
        <v>0.0</v>
      </c>
    </row>
    <row r="8220" ht="15.0" hidden="1" customHeight="1">
      <c r="A8220" s="49" t="s">
        <v>303</v>
      </c>
      <c r="B8220" s="50">
        <v>45381.0</v>
      </c>
      <c r="C8220" s="49" t="s">
        <v>78</v>
      </c>
      <c r="D8220" s="49">
        <v>0.0</v>
      </c>
    </row>
    <row r="8221" ht="15.0" hidden="1" customHeight="1">
      <c r="A8221" s="49" t="s">
        <v>307</v>
      </c>
      <c r="B8221" s="50">
        <v>45381.0</v>
      </c>
      <c r="C8221" s="49" t="s">
        <v>78</v>
      </c>
      <c r="D8221" s="49">
        <v>0.0</v>
      </c>
    </row>
    <row r="8222" ht="15.0" hidden="1" customHeight="1">
      <c r="A8222" s="49" t="s">
        <v>313</v>
      </c>
      <c r="B8222" s="50">
        <v>45381.0</v>
      </c>
      <c r="C8222" s="49" t="s">
        <v>78</v>
      </c>
      <c r="D8222" s="49">
        <v>0.0</v>
      </c>
    </row>
    <row r="8223" ht="15.0" hidden="1" customHeight="1">
      <c r="A8223" s="49" t="s">
        <v>318</v>
      </c>
      <c r="B8223" s="50">
        <v>45381.0</v>
      </c>
      <c r="C8223" s="49" t="s">
        <v>78</v>
      </c>
      <c r="D8223" s="49">
        <v>0.0</v>
      </c>
    </row>
    <row r="8224" ht="15.0" hidden="1" customHeight="1">
      <c r="A8224" s="49" t="s">
        <v>323</v>
      </c>
      <c r="B8224" s="50">
        <v>45381.0</v>
      </c>
      <c r="C8224" s="49" t="s">
        <v>78</v>
      </c>
      <c r="D8224" s="49">
        <v>0.0</v>
      </c>
    </row>
    <row r="8225" ht="15.0" hidden="1" customHeight="1">
      <c r="A8225" s="49" t="s">
        <v>328</v>
      </c>
      <c r="B8225" s="50">
        <v>45381.0</v>
      </c>
      <c r="C8225" s="49" t="s">
        <v>78</v>
      </c>
      <c r="D8225" s="49">
        <v>0.0</v>
      </c>
    </row>
    <row r="8226" ht="15.0" hidden="1" customHeight="1">
      <c r="A8226" s="49" t="s">
        <v>335</v>
      </c>
      <c r="B8226" s="50">
        <v>45381.0</v>
      </c>
      <c r="C8226" s="49" t="s">
        <v>78</v>
      </c>
      <c r="D8226" s="49">
        <v>0.0</v>
      </c>
    </row>
    <row r="8227" ht="15.0" hidden="1" customHeight="1">
      <c r="A8227" s="49" t="s">
        <v>340</v>
      </c>
      <c r="B8227" s="50">
        <v>45381.0</v>
      </c>
      <c r="C8227" s="49" t="s">
        <v>78</v>
      </c>
      <c r="D8227" s="49">
        <v>0.0</v>
      </c>
    </row>
    <row r="8228" ht="15.0" hidden="1" customHeight="1">
      <c r="A8228" s="49" t="s">
        <v>345</v>
      </c>
      <c r="B8228" s="50">
        <v>45381.0</v>
      </c>
      <c r="C8228" s="49" t="s">
        <v>78</v>
      </c>
      <c r="D8228" s="49">
        <v>0.0</v>
      </c>
    </row>
    <row r="8229" ht="15.0" hidden="1" customHeight="1">
      <c r="A8229" s="49" t="s">
        <v>350</v>
      </c>
      <c r="B8229" s="50">
        <v>45381.0</v>
      </c>
      <c r="C8229" s="49" t="s">
        <v>78</v>
      </c>
      <c r="D8229" s="49">
        <v>0.0</v>
      </c>
    </row>
    <row r="8230" ht="15.0" hidden="1" customHeight="1">
      <c r="A8230" s="49" t="s">
        <v>355</v>
      </c>
      <c r="B8230" s="50">
        <v>45381.0</v>
      </c>
      <c r="C8230" s="49" t="s">
        <v>78</v>
      </c>
      <c r="D8230" s="49">
        <v>0.0</v>
      </c>
    </row>
    <row r="8231" ht="15.0" hidden="1" customHeight="1">
      <c r="A8231" s="49" t="s">
        <v>360</v>
      </c>
      <c r="B8231" s="50">
        <v>45381.0</v>
      </c>
      <c r="C8231" s="49" t="s">
        <v>78</v>
      </c>
      <c r="D8231" s="49">
        <v>0.0</v>
      </c>
    </row>
    <row r="8232" ht="15.0" hidden="1" customHeight="1">
      <c r="A8232" s="49" t="s">
        <v>365</v>
      </c>
      <c r="B8232" s="50">
        <v>45381.0</v>
      </c>
      <c r="C8232" s="49" t="s">
        <v>78</v>
      </c>
      <c r="D8232" s="49">
        <v>0.0</v>
      </c>
    </row>
    <row r="8233" ht="15.0" hidden="1" customHeight="1">
      <c r="A8233" s="49" t="s">
        <v>370</v>
      </c>
      <c r="B8233" s="50">
        <v>45381.0</v>
      </c>
      <c r="C8233" s="49" t="s">
        <v>78</v>
      </c>
      <c r="D8233" s="49">
        <v>0.0</v>
      </c>
    </row>
    <row r="8234" ht="15.0" hidden="1" customHeight="1">
      <c r="A8234" s="49" t="s">
        <v>375</v>
      </c>
      <c r="B8234" s="50">
        <v>45381.0</v>
      </c>
      <c r="C8234" s="49" t="s">
        <v>78</v>
      </c>
      <c r="D8234" s="49">
        <v>0.0</v>
      </c>
    </row>
    <row r="8235" ht="15.0" hidden="1" customHeight="1">
      <c r="A8235" s="49" t="s">
        <v>380</v>
      </c>
      <c r="B8235" s="50">
        <v>45381.0</v>
      </c>
      <c r="C8235" s="49" t="s">
        <v>78</v>
      </c>
      <c r="D8235" s="49">
        <v>0.0</v>
      </c>
    </row>
    <row r="8236" ht="15.0" hidden="1" customHeight="1">
      <c r="A8236" s="49" t="s">
        <v>385</v>
      </c>
      <c r="B8236" s="50">
        <v>45381.0</v>
      </c>
      <c r="C8236" s="49" t="s">
        <v>78</v>
      </c>
      <c r="D8236" s="49">
        <v>0.0</v>
      </c>
    </row>
    <row r="8237" ht="15.0" hidden="1" customHeight="1">
      <c r="A8237" s="49" t="s">
        <v>390</v>
      </c>
      <c r="B8237" s="50">
        <v>45381.0</v>
      </c>
      <c r="C8237" s="49" t="s">
        <v>78</v>
      </c>
      <c r="D8237" s="49">
        <v>0.0</v>
      </c>
    </row>
    <row r="8238" ht="15.0" hidden="1" customHeight="1">
      <c r="A8238" s="49" t="s">
        <v>395</v>
      </c>
      <c r="B8238" s="50">
        <v>45381.0</v>
      </c>
      <c r="C8238" s="49" t="s">
        <v>78</v>
      </c>
      <c r="D8238" s="49">
        <v>0.0</v>
      </c>
    </row>
    <row r="8239" ht="15.0" hidden="1" customHeight="1">
      <c r="A8239" s="49" t="s">
        <v>400</v>
      </c>
      <c r="B8239" s="50">
        <v>45381.0</v>
      </c>
      <c r="C8239" s="49" t="s">
        <v>78</v>
      </c>
      <c r="D8239" s="49">
        <v>0.0</v>
      </c>
    </row>
    <row r="8240" ht="15.0" hidden="1" customHeight="1">
      <c r="A8240" s="49" t="s">
        <v>405</v>
      </c>
      <c r="B8240" s="50">
        <v>45381.0</v>
      </c>
      <c r="C8240" s="49" t="s">
        <v>78</v>
      </c>
      <c r="D8240" s="49">
        <v>0.0</v>
      </c>
    </row>
    <row r="8241" ht="15.0" hidden="1" customHeight="1">
      <c r="A8241" s="49" t="s">
        <v>410</v>
      </c>
      <c r="B8241" s="50">
        <v>45381.0</v>
      </c>
      <c r="C8241" s="49" t="s">
        <v>78</v>
      </c>
      <c r="D8241" s="49">
        <v>0.0</v>
      </c>
    </row>
    <row r="8242" ht="15.0" hidden="1" customHeight="1">
      <c r="A8242" s="49" t="s">
        <v>415</v>
      </c>
      <c r="B8242" s="50">
        <v>45381.0</v>
      </c>
      <c r="C8242" s="49" t="s">
        <v>78</v>
      </c>
      <c r="D8242" s="49">
        <v>0.0</v>
      </c>
    </row>
    <row r="8243" ht="15.0" hidden="1" customHeight="1">
      <c r="A8243" s="49" t="s">
        <v>420</v>
      </c>
      <c r="B8243" s="50">
        <v>45381.0</v>
      </c>
      <c r="C8243" s="49" t="s">
        <v>78</v>
      </c>
      <c r="D8243" s="49">
        <v>0.0</v>
      </c>
    </row>
    <row r="8244" ht="15.0" hidden="1" customHeight="1">
      <c r="A8244" s="49" t="s">
        <v>425</v>
      </c>
      <c r="B8244" s="50">
        <v>45381.0</v>
      </c>
      <c r="C8244" s="49" t="s">
        <v>78</v>
      </c>
      <c r="D8244" s="49">
        <v>0.0</v>
      </c>
    </row>
    <row r="8245" ht="15.0" hidden="1" customHeight="1">
      <c r="A8245" s="49" t="s">
        <v>430</v>
      </c>
      <c r="B8245" s="50">
        <v>45381.0</v>
      </c>
      <c r="C8245" s="49" t="s">
        <v>78</v>
      </c>
      <c r="D8245" s="49">
        <v>0.0</v>
      </c>
    </row>
    <row r="8246" ht="15.0" hidden="1" customHeight="1">
      <c r="A8246" s="49" t="s">
        <v>434</v>
      </c>
      <c r="B8246" s="50">
        <v>45381.0</v>
      </c>
      <c r="C8246" s="49" t="s">
        <v>78</v>
      </c>
      <c r="D8246" s="49">
        <v>0.0</v>
      </c>
    </row>
    <row r="8247" ht="15.0" hidden="1" customHeight="1">
      <c r="A8247" s="49" t="s">
        <v>439</v>
      </c>
      <c r="B8247" s="50">
        <v>45381.0</v>
      </c>
      <c r="C8247" s="49" t="s">
        <v>78</v>
      </c>
      <c r="D8247" s="49">
        <v>0.0</v>
      </c>
    </row>
    <row r="8248" ht="15.0" hidden="1" customHeight="1">
      <c r="A8248" s="49" t="s">
        <v>444</v>
      </c>
      <c r="B8248" s="50">
        <v>45381.0</v>
      </c>
      <c r="C8248" s="49" t="s">
        <v>78</v>
      </c>
      <c r="D8248" s="49">
        <v>0.0</v>
      </c>
    </row>
    <row r="8249" ht="15.0" hidden="1" customHeight="1">
      <c r="A8249" s="49" t="s">
        <v>449</v>
      </c>
      <c r="B8249" s="50">
        <v>45381.0</v>
      </c>
      <c r="C8249" s="49" t="s">
        <v>78</v>
      </c>
      <c r="D8249" s="49">
        <v>0.0</v>
      </c>
    </row>
    <row r="8250" ht="15.0" hidden="1" customHeight="1">
      <c r="A8250" s="49" t="s">
        <v>455</v>
      </c>
      <c r="B8250" s="50">
        <v>45381.0</v>
      </c>
      <c r="C8250" s="49" t="s">
        <v>78</v>
      </c>
      <c r="D8250" s="49">
        <v>0.0</v>
      </c>
    </row>
    <row r="8251" ht="15.0" hidden="1" customHeight="1">
      <c r="A8251" s="49" t="s">
        <v>470</v>
      </c>
      <c r="B8251" s="50">
        <v>45381.0</v>
      </c>
      <c r="C8251" s="49" t="s">
        <v>78</v>
      </c>
      <c r="D8251" s="49">
        <v>0.0</v>
      </c>
    </row>
    <row r="8252" ht="15.0" hidden="1" customHeight="1">
      <c r="A8252" s="49" t="s">
        <v>476</v>
      </c>
      <c r="B8252" s="50">
        <v>45381.0</v>
      </c>
      <c r="C8252" s="49" t="s">
        <v>78</v>
      </c>
      <c r="D8252" s="49">
        <v>0.0</v>
      </c>
    </row>
    <row r="8253" ht="15.0" hidden="1" customHeight="1">
      <c r="A8253" s="49" t="s">
        <v>481</v>
      </c>
      <c r="B8253" s="50">
        <v>45381.0</v>
      </c>
      <c r="C8253" s="49" t="s">
        <v>78</v>
      </c>
      <c r="D8253" s="49">
        <v>0.0</v>
      </c>
    </row>
    <row r="8254" ht="15.0" hidden="1" customHeight="1">
      <c r="A8254" s="49" t="s">
        <v>486</v>
      </c>
      <c r="B8254" s="50">
        <v>45381.0</v>
      </c>
      <c r="C8254" s="49" t="s">
        <v>78</v>
      </c>
      <c r="D8254" s="49">
        <v>275000.0</v>
      </c>
    </row>
    <row r="8255" ht="15.0" hidden="1" customHeight="1">
      <c r="A8255" s="49" t="s">
        <v>491</v>
      </c>
      <c r="B8255" s="50">
        <v>45381.0</v>
      </c>
      <c r="C8255" s="49" t="s">
        <v>78</v>
      </c>
      <c r="D8255" s="49">
        <v>635343.0</v>
      </c>
    </row>
    <row r="8256" ht="15.0" hidden="1" customHeight="1">
      <c r="A8256" s="49" t="s">
        <v>496</v>
      </c>
      <c r="B8256" s="50">
        <v>45381.0</v>
      </c>
      <c r="C8256" s="49" t="s">
        <v>78</v>
      </c>
      <c r="D8256" s="49">
        <v>840310.0</v>
      </c>
    </row>
    <row r="8257" ht="15.0" hidden="1" customHeight="1">
      <c r="A8257" s="49" t="s">
        <v>501</v>
      </c>
      <c r="B8257" s="50">
        <v>45381.0</v>
      </c>
      <c r="C8257" s="49" t="s">
        <v>78</v>
      </c>
      <c r="D8257" s="49">
        <v>425000.0</v>
      </c>
    </row>
    <row r="8258" ht="15.0" hidden="1" customHeight="1">
      <c r="A8258" s="49" t="s">
        <v>506</v>
      </c>
      <c r="B8258" s="50">
        <v>45381.0</v>
      </c>
      <c r="C8258" s="49" t="s">
        <v>78</v>
      </c>
      <c r="D8258" s="49">
        <v>1290373.28</v>
      </c>
    </row>
    <row r="8259" ht="15.0" hidden="1" customHeight="1">
      <c r="A8259" s="49" t="s">
        <v>512</v>
      </c>
      <c r="B8259" s="50">
        <v>45381.0</v>
      </c>
      <c r="C8259" s="49" t="s">
        <v>78</v>
      </c>
      <c r="D8259" s="49">
        <v>1644300.0</v>
      </c>
    </row>
    <row r="8260" ht="15.0" hidden="1" customHeight="1">
      <c r="A8260" s="49" t="s">
        <v>517</v>
      </c>
      <c r="B8260" s="50">
        <v>45381.0</v>
      </c>
      <c r="C8260" s="49" t="s">
        <v>78</v>
      </c>
      <c r="D8260" s="49">
        <v>1000000.0</v>
      </c>
    </row>
    <row r="8261" ht="15.0" hidden="1" customHeight="1">
      <c r="A8261" s="49" t="s">
        <v>522</v>
      </c>
      <c r="B8261" s="50">
        <v>45381.0</v>
      </c>
      <c r="C8261" s="49" t="s">
        <v>78</v>
      </c>
      <c r="D8261" s="49">
        <v>0.0</v>
      </c>
    </row>
    <row r="8262" ht="15.0" hidden="1" customHeight="1">
      <c r="A8262" s="49" t="s">
        <v>528</v>
      </c>
      <c r="B8262" s="50">
        <v>45381.0</v>
      </c>
      <c r="C8262" s="49" t="s">
        <v>78</v>
      </c>
      <c r="D8262" s="49">
        <v>0.0</v>
      </c>
    </row>
    <row r="8263" ht="15.0" hidden="1" customHeight="1">
      <c r="A8263" s="49" t="s">
        <v>533</v>
      </c>
      <c r="B8263" s="50">
        <v>45381.0</v>
      </c>
      <c r="C8263" s="49" t="s">
        <v>78</v>
      </c>
      <c r="D8263" s="49">
        <v>0.0</v>
      </c>
    </row>
    <row r="8264" ht="15.0" hidden="1" customHeight="1">
      <c r="A8264" s="49" t="s">
        <v>538</v>
      </c>
      <c r="B8264" s="50">
        <v>45381.0</v>
      </c>
      <c r="C8264" s="49" t="s">
        <v>78</v>
      </c>
      <c r="D8264" s="49">
        <v>0.0</v>
      </c>
    </row>
    <row r="8265" ht="15.0" hidden="1" customHeight="1">
      <c r="A8265" s="49" t="s">
        <v>546</v>
      </c>
      <c r="B8265" s="50">
        <v>45381.0</v>
      </c>
      <c r="C8265" s="49" t="s">
        <v>78</v>
      </c>
      <c r="D8265" s="49">
        <v>0.0</v>
      </c>
    </row>
    <row r="8266" ht="15.0" hidden="1" customHeight="1">
      <c r="A8266" s="49" t="s">
        <v>551</v>
      </c>
      <c r="B8266" s="50">
        <v>45381.0</v>
      </c>
      <c r="C8266" s="49" t="s">
        <v>78</v>
      </c>
      <c r="D8266" s="49">
        <v>0.0</v>
      </c>
    </row>
    <row r="8267" ht="15.0" hidden="1" customHeight="1">
      <c r="A8267" s="49" t="s">
        <v>556</v>
      </c>
      <c r="B8267" s="50">
        <v>45381.0</v>
      </c>
      <c r="C8267" s="49" t="s">
        <v>78</v>
      </c>
      <c r="D8267" s="49">
        <v>0.0</v>
      </c>
    </row>
    <row r="8268" ht="15.0" hidden="1" customHeight="1">
      <c r="A8268" s="49" t="s">
        <v>561</v>
      </c>
      <c r="B8268" s="50">
        <v>45381.0</v>
      </c>
      <c r="C8268" s="49" t="s">
        <v>78</v>
      </c>
      <c r="D8268" s="49">
        <v>0.0</v>
      </c>
    </row>
    <row r="8269" ht="15.0" hidden="1" customHeight="1">
      <c r="A8269" s="49" t="s">
        <v>566</v>
      </c>
      <c r="B8269" s="50">
        <v>45381.0</v>
      </c>
      <c r="C8269" s="49" t="s">
        <v>78</v>
      </c>
      <c r="D8269" s="49">
        <v>0.0</v>
      </c>
    </row>
    <row r="8270" ht="15.0" hidden="1" customHeight="1">
      <c r="A8270" s="49" t="s">
        <v>571</v>
      </c>
      <c r="B8270" s="50">
        <v>45381.0</v>
      </c>
      <c r="C8270" s="49" t="s">
        <v>78</v>
      </c>
      <c r="D8270" s="49">
        <v>0.0</v>
      </c>
    </row>
    <row r="8271" ht="15.0" hidden="1" customHeight="1">
      <c r="A8271" s="49" t="s">
        <v>576</v>
      </c>
      <c r="B8271" s="50">
        <v>45381.0</v>
      </c>
      <c r="C8271" s="49" t="s">
        <v>78</v>
      </c>
      <c r="D8271" s="49">
        <v>0.0</v>
      </c>
    </row>
    <row r="8272" ht="15.0" hidden="1" customHeight="1">
      <c r="A8272" s="49" t="s">
        <v>581</v>
      </c>
      <c r="B8272" s="50">
        <v>45381.0</v>
      </c>
      <c r="C8272" s="49" t="s">
        <v>78</v>
      </c>
      <c r="D8272" s="49">
        <v>0.0</v>
      </c>
    </row>
    <row r="8273" ht="15.0" hidden="1" customHeight="1">
      <c r="A8273" s="49" t="s">
        <v>586</v>
      </c>
      <c r="B8273" s="50">
        <v>45381.0</v>
      </c>
      <c r="C8273" s="49" t="s">
        <v>78</v>
      </c>
      <c r="D8273" s="49">
        <v>0.0</v>
      </c>
    </row>
    <row r="8274" ht="15.0" hidden="1" customHeight="1">
      <c r="A8274" s="49" t="s">
        <v>754</v>
      </c>
      <c r="B8274" s="50">
        <v>45381.0</v>
      </c>
      <c r="C8274" s="49" t="s">
        <v>78</v>
      </c>
      <c r="D8274" s="49">
        <v>0.0</v>
      </c>
    </row>
    <row r="8275" ht="15.0" hidden="1" customHeight="1">
      <c r="A8275" s="49" t="s">
        <v>591</v>
      </c>
      <c r="B8275" s="50">
        <v>45381.0</v>
      </c>
      <c r="C8275" s="49" t="s">
        <v>78</v>
      </c>
      <c r="D8275" s="49">
        <v>0.0</v>
      </c>
    </row>
    <row r="8276" ht="15.0" hidden="1" customHeight="1">
      <c r="A8276" s="49" t="s">
        <v>759</v>
      </c>
      <c r="B8276" s="50">
        <v>45381.0</v>
      </c>
      <c r="C8276" s="49" t="s">
        <v>78</v>
      </c>
      <c r="D8276" s="49">
        <v>0.0</v>
      </c>
    </row>
    <row r="8277" ht="15.0" hidden="1" customHeight="1">
      <c r="A8277" s="49" t="s">
        <v>596</v>
      </c>
      <c r="B8277" s="50">
        <v>45381.0</v>
      </c>
      <c r="C8277" s="49" t="s">
        <v>78</v>
      </c>
      <c r="D8277" s="49">
        <v>0.0</v>
      </c>
    </row>
    <row r="8278" ht="15.0" hidden="1" customHeight="1">
      <c r="A8278" s="49" t="s">
        <v>602</v>
      </c>
      <c r="B8278" s="50">
        <v>45381.0</v>
      </c>
      <c r="C8278" s="49" t="s">
        <v>78</v>
      </c>
      <c r="D8278" s="49">
        <v>0.0</v>
      </c>
    </row>
    <row r="8279" ht="15.0" hidden="1" customHeight="1">
      <c r="A8279" s="49" t="s">
        <v>607</v>
      </c>
      <c r="B8279" s="50">
        <v>45381.0</v>
      </c>
      <c r="C8279" s="49" t="s">
        <v>78</v>
      </c>
      <c r="D8279" s="49">
        <v>0.0</v>
      </c>
    </row>
    <row r="8280" ht="15.0" hidden="1" customHeight="1">
      <c r="A8280" s="49" t="s">
        <v>612</v>
      </c>
      <c r="B8280" s="50">
        <v>45381.0</v>
      </c>
      <c r="C8280" s="49" t="s">
        <v>78</v>
      </c>
      <c r="D8280" s="49">
        <v>0.0</v>
      </c>
    </row>
    <row r="8281" ht="15.0" hidden="1" customHeight="1">
      <c r="A8281" s="49" t="s">
        <v>617</v>
      </c>
      <c r="B8281" s="50">
        <v>45381.0</v>
      </c>
      <c r="C8281" s="49" t="s">
        <v>78</v>
      </c>
      <c r="D8281" s="49">
        <v>0.0</v>
      </c>
    </row>
    <row r="8282" ht="15.0" hidden="1" customHeight="1">
      <c r="A8282" s="49" t="s">
        <v>622</v>
      </c>
      <c r="B8282" s="50">
        <v>45381.0</v>
      </c>
      <c r="C8282" s="49" t="s">
        <v>78</v>
      </c>
      <c r="D8282" s="49">
        <v>0.0</v>
      </c>
    </row>
    <row r="8283" ht="15.0" hidden="1" customHeight="1">
      <c r="A8283" s="49" t="s">
        <v>627</v>
      </c>
      <c r="B8283" s="50">
        <v>45381.0</v>
      </c>
      <c r="C8283" s="49" t="s">
        <v>78</v>
      </c>
      <c r="D8283" s="49">
        <v>0.0</v>
      </c>
    </row>
    <row r="8284" ht="15.0" hidden="1" customHeight="1">
      <c r="A8284" s="49" t="s">
        <v>631</v>
      </c>
      <c r="B8284" s="50">
        <v>45381.0</v>
      </c>
      <c r="C8284" s="49" t="s">
        <v>78</v>
      </c>
      <c r="D8284" s="49">
        <v>0.0</v>
      </c>
    </row>
    <row r="8285" ht="15.0" hidden="1" customHeight="1">
      <c r="A8285" s="49" t="s">
        <v>636</v>
      </c>
      <c r="B8285" s="50">
        <v>45381.0</v>
      </c>
      <c r="C8285" s="49" t="s">
        <v>78</v>
      </c>
      <c r="D8285" s="49">
        <v>0.0</v>
      </c>
    </row>
    <row r="8286" ht="15.0" hidden="1" customHeight="1">
      <c r="A8286" s="49" t="s">
        <v>640</v>
      </c>
      <c r="B8286" s="50">
        <v>45381.0</v>
      </c>
      <c r="C8286" s="49" t="s">
        <v>78</v>
      </c>
      <c r="D8286" s="49">
        <v>0.0</v>
      </c>
    </row>
    <row r="8287" ht="15.0" hidden="1" customHeight="1">
      <c r="A8287" s="49" t="s">
        <v>644</v>
      </c>
      <c r="B8287" s="50">
        <v>45381.0</v>
      </c>
      <c r="C8287" s="49" t="s">
        <v>78</v>
      </c>
      <c r="D8287" s="49">
        <v>0.0</v>
      </c>
    </row>
    <row r="8288" ht="15.0" hidden="1" customHeight="1">
      <c r="A8288" s="49" t="s">
        <v>649</v>
      </c>
      <c r="B8288" s="50">
        <v>45381.0</v>
      </c>
      <c r="C8288" s="49" t="s">
        <v>78</v>
      </c>
      <c r="D8288" s="49">
        <v>0.0</v>
      </c>
    </row>
    <row r="8289" ht="15.0" hidden="1" customHeight="1">
      <c r="A8289" s="49" t="s">
        <v>654</v>
      </c>
      <c r="B8289" s="50">
        <v>45381.0</v>
      </c>
      <c r="C8289" s="49" t="s">
        <v>78</v>
      </c>
      <c r="D8289" s="49">
        <v>0.0</v>
      </c>
    </row>
    <row r="8290" ht="15.0" hidden="1" customHeight="1">
      <c r="A8290" s="49" t="s">
        <v>659</v>
      </c>
      <c r="B8290" s="50">
        <v>45381.0</v>
      </c>
      <c r="C8290" s="49" t="s">
        <v>78</v>
      </c>
      <c r="D8290" s="49">
        <v>0.0</v>
      </c>
    </row>
    <row r="8291" ht="15.0" hidden="1" customHeight="1">
      <c r="A8291" s="49" t="s">
        <v>664</v>
      </c>
      <c r="B8291" s="50">
        <v>45381.0</v>
      </c>
      <c r="C8291" s="49" t="s">
        <v>78</v>
      </c>
      <c r="D8291" s="49">
        <v>0.0</v>
      </c>
    </row>
    <row r="8292" ht="15.0" hidden="1" customHeight="1">
      <c r="A8292" s="49" t="s">
        <v>669</v>
      </c>
      <c r="B8292" s="50">
        <v>45381.0</v>
      </c>
      <c r="C8292" s="49" t="s">
        <v>78</v>
      </c>
      <c r="D8292" s="49">
        <v>0.0</v>
      </c>
    </row>
    <row r="8293" ht="15.0" hidden="1" customHeight="1">
      <c r="A8293" s="49" t="s">
        <v>674</v>
      </c>
      <c r="B8293" s="50">
        <v>45381.0</v>
      </c>
      <c r="C8293" s="49" t="s">
        <v>78</v>
      </c>
      <c r="D8293" s="49">
        <v>0.0</v>
      </c>
    </row>
    <row r="8294" ht="15.0" hidden="1" customHeight="1">
      <c r="A8294" s="49" t="s">
        <v>679</v>
      </c>
      <c r="B8294" s="50">
        <v>45381.0</v>
      </c>
      <c r="C8294" s="49" t="s">
        <v>78</v>
      </c>
      <c r="D8294" s="49">
        <v>0.0</v>
      </c>
    </row>
    <row r="8295" ht="15.0" hidden="1" customHeight="1">
      <c r="A8295" s="49" t="s">
        <v>684</v>
      </c>
      <c r="B8295" s="50">
        <v>45381.0</v>
      </c>
      <c r="C8295" s="49" t="s">
        <v>78</v>
      </c>
      <c r="D8295" s="49">
        <v>0.0</v>
      </c>
    </row>
    <row r="8296" ht="15.0" hidden="1" customHeight="1">
      <c r="A8296" s="49" t="s">
        <v>689</v>
      </c>
      <c r="B8296" s="50">
        <v>45381.0</v>
      </c>
      <c r="C8296" s="49" t="s">
        <v>78</v>
      </c>
      <c r="D8296" s="49">
        <v>0.0</v>
      </c>
    </row>
    <row r="8297" ht="15.0" hidden="1" customHeight="1">
      <c r="A8297" s="49" t="s">
        <v>694</v>
      </c>
      <c r="B8297" s="50">
        <v>45381.0</v>
      </c>
      <c r="C8297" s="49" t="s">
        <v>78</v>
      </c>
      <c r="D8297" s="49">
        <v>0.0</v>
      </c>
    </row>
    <row r="8298" ht="15.0" hidden="1" customHeight="1">
      <c r="A8298" s="49" t="s">
        <v>699</v>
      </c>
      <c r="B8298" s="50">
        <v>45381.0</v>
      </c>
      <c r="C8298" s="49" t="s">
        <v>78</v>
      </c>
      <c r="D8298" s="49">
        <v>0.0</v>
      </c>
    </row>
    <row r="8299" ht="15.0" hidden="1" customHeight="1">
      <c r="A8299" s="49" t="s">
        <v>705</v>
      </c>
      <c r="B8299" s="50">
        <v>45381.0</v>
      </c>
      <c r="C8299" s="49" t="s">
        <v>78</v>
      </c>
      <c r="D8299" s="49">
        <v>0.0</v>
      </c>
    </row>
    <row r="8300" ht="15.0" hidden="1" customHeight="1">
      <c r="A8300" s="49" t="s">
        <v>710</v>
      </c>
      <c r="B8300" s="50">
        <v>45381.0</v>
      </c>
      <c r="C8300" s="49" t="s">
        <v>78</v>
      </c>
      <c r="D8300" s="49">
        <v>0.0</v>
      </c>
    </row>
    <row r="8301" ht="15.0" hidden="1" customHeight="1">
      <c r="A8301" s="49" t="s">
        <v>715</v>
      </c>
      <c r="B8301" s="50">
        <v>45381.0</v>
      </c>
      <c r="C8301" s="49" t="s">
        <v>78</v>
      </c>
      <c r="D8301" s="49">
        <v>0.0</v>
      </c>
    </row>
    <row r="8302" ht="15.0" hidden="1" customHeight="1">
      <c r="A8302" s="49" t="s">
        <v>765</v>
      </c>
      <c r="B8302" s="50">
        <v>45381.0</v>
      </c>
      <c r="C8302" s="49" t="s">
        <v>78</v>
      </c>
      <c r="D8302" s="49">
        <v>0.0</v>
      </c>
    </row>
    <row r="8303" ht="15.0" hidden="1" customHeight="1">
      <c r="A8303" s="49" t="s">
        <v>720</v>
      </c>
      <c r="B8303" s="50">
        <v>45381.0</v>
      </c>
      <c r="C8303" s="49" t="s">
        <v>78</v>
      </c>
      <c r="D8303" s="49">
        <v>0.0</v>
      </c>
    </row>
    <row r="8304" ht="15.0" hidden="1" customHeight="1">
      <c r="A8304" s="49" t="s">
        <v>725</v>
      </c>
      <c r="B8304" s="50">
        <v>45381.0</v>
      </c>
      <c r="C8304" s="49" t="s">
        <v>78</v>
      </c>
      <c r="D8304" s="49">
        <v>0.0</v>
      </c>
    </row>
    <row r="8305" ht="15.0" hidden="1" customHeight="1">
      <c r="A8305" s="49" t="s">
        <v>730</v>
      </c>
      <c r="B8305" s="50">
        <v>45381.0</v>
      </c>
      <c r="C8305" s="49" t="s">
        <v>78</v>
      </c>
      <c r="D8305" s="49">
        <v>0.0</v>
      </c>
    </row>
    <row r="8306" ht="15.0" hidden="1" customHeight="1">
      <c r="A8306" s="49" t="s">
        <v>734</v>
      </c>
      <c r="B8306" s="50">
        <v>45381.0</v>
      </c>
      <c r="C8306" s="49" t="s">
        <v>78</v>
      </c>
      <c r="D8306" s="49">
        <v>0.0</v>
      </c>
    </row>
    <row r="8307" ht="15.0" hidden="1" customHeight="1">
      <c r="A8307" s="49" t="s">
        <v>739</v>
      </c>
      <c r="B8307" s="50">
        <v>45381.0</v>
      </c>
      <c r="C8307" s="49" t="s">
        <v>78</v>
      </c>
      <c r="D8307" s="49">
        <v>0.0</v>
      </c>
    </row>
    <row r="8308" ht="15.0" hidden="1" customHeight="1">
      <c r="A8308" s="49" t="s">
        <v>744</v>
      </c>
      <c r="B8308" s="50">
        <v>45381.0</v>
      </c>
      <c r="C8308" s="49" t="s">
        <v>78</v>
      </c>
      <c r="D8308" s="49">
        <v>0.0</v>
      </c>
    </row>
    <row r="8309" ht="15.0" hidden="1" customHeight="1">
      <c r="A8309" s="49" t="s">
        <v>749</v>
      </c>
      <c r="B8309" s="50">
        <v>45381.0</v>
      </c>
      <c r="C8309" s="49" t="s">
        <v>78</v>
      </c>
      <c r="D8309" s="49">
        <v>0.0</v>
      </c>
    </row>
    <row r="8310" ht="15.0" customHeight="1">
      <c r="A8310" s="49" t="s">
        <v>776</v>
      </c>
      <c r="B8310" s="50">
        <v>45381.0</v>
      </c>
      <c r="C8310" s="49" t="s">
        <v>69</v>
      </c>
      <c r="D8310" s="49">
        <v>0.0</v>
      </c>
    </row>
    <row r="8311" ht="15.0" hidden="1" customHeight="1">
      <c r="A8311" s="49" t="s">
        <v>778</v>
      </c>
      <c r="B8311" s="50">
        <v>45381.0</v>
      </c>
      <c r="C8311" s="49" t="s">
        <v>69</v>
      </c>
      <c r="D8311" s="49">
        <v>0.0</v>
      </c>
    </row>
    <row r="8312" ht="15.0" hidden="1" customHeight="1">
      <c r="A8312" s="49" t="s">
        <v>92</v>
      </c>
      <c r="B8312" s="50">
        <v>45381.0</v>
      </c>
      <c r="C8312" s="49" t="s">
        <v>69</v>
      </c>
      <c r="D8312" s="49">
        <v>0.0</v>
      </c>
    </row>
    <row r="8313" ht="15.0" hidden="1" customHeight="1">
      <c r="A8313" s="49" t="s">
        <v>97</v>
      </c>
      <c r="B8313" s="50">
        <v>45381.0</v>
      </c>
      <c r="C8313" s="49" t="s">
        <v>69</v>
      </c>
      <c r="D8313" s="49">
        <v>0.0</v>
      </c>
    </row>
    <row r="8314" ht="15.0" hidden="1" customHeight="1">
      <c r="A8314" s="49" t="s">
        <v>102</v>
      </c>
      <c r="B8314" s="50">
        <v>45381.0</v>
      </c>
      <c r="C8314" s="49" t="s">
        <v>69</v>
      </c>
      <c r="D8314" s="49">
        <v>0.0</v>
      </c>
    </row>
    <row r="8315" ht="15.0" hidden="1" customHeight="1">
      <c r="A8315" s="49" t="s">
        <v>106</v>
      </c>
      <c r="B8315" s="50">
        <v>45381.0</v>
      </c>
      <c r="C8315" s="49" t="s">
        <v>69</v>
      </c>
      <c r="D8315" s="49">
        <v>0.0</v>
      </c>
    </row>
    <row r="8316" ht="15.0" hidden="1" customHeight="1">
      <c r="A8316" s="49" t="s">
        <v>111</v>
      </c>
      <c r="B8316" s="50">
        <v>45381.0</v>
      </c>
      <c r="C8316" s="49" t="s">
        <v>69</v>
      </c>
      <c r="D8316" s="49">
        <v>0.0</v>
      </c>
    </row>
    <row r="8317" ht="15.0" hidden="1" customHeight="1">
      <c r="A8317" s="49" t="s">
        <v>116</v>
      </c>
      <c r="B8317" s="50">
        <v>45381.0</v>
      </c>
      <c r="C8317" s="49" t="s">
        <v>69</v>
      </c>
      <c r="D8317" s="49">
        <v>0.0</v>
      </c>
    </row>
    <row r="8318" ht="15.0" hidden="1" customHeight="1">
      <c r="A8318" s="49" t="s">
        <v>120</v>
      </c>
      <c r="B8318" s="50">
        <v>45381.0</v>
      </c>
      <c r="C8318" s="49" t="s">
        <v>69</v>
      </c>
      <c r="D8318" s="49">
        <v>0.0</v>
      </c>
    </row>
    <row r="8319" ht="15.0" hidden="1" customHeight="1">
      <c r="A8319" s="49" t="s">
        <v>125</v>
      </c>
      <c r="B8319" s="50">
        <v>45381.0</v>
      </c>
      <c r="C8319" s="49" t="s">
        <v>69</v>
      </c>
      <c r="D8319" s="49">
        <v>0.0</v>
      </c>
    </row>
    <row r="8320" ht="15.0" hidden="1" customHeight="1">
      <c r="A8320" s="49" t="s">
        <v>130</v>
      </c>
      <c r="B8320" s="50">
        <v>45381.0</v>
      </c>
      <c r="C8320" s="49" t="s">
        <v>69</v>
      </c>
      <c r="D8320" s="49">
        <v>0.0</v>
      </c>
    </row>
    <row r="8321" ht="15.0" hidden="1" customHeight="1">
      <c r="A8321" s="49" t="s">
        <v>137</v>
      </c>
      <c r="B8321" s="50">
        <v>45381.0</v>
      </c>
      <c r="C8321" s="49" t="s">
        <v>69</v>
      </c>
      <c r="D8321" s="49">
        <v>0.0</v>
      </c>
    </row>
    <row r="8322" ht="15.0" hidden="1" customHeight="1">
      <c r="A8322" s="49" t="s">
        <v>142</v>
      </c>
      <c r="B8322" s="50">
        <v>45381.0</v>
      </c>
      <c r="C8322" s="49" t="s">
        <v>69</v>
      </c>
      <c r="D8322" s="49">
        <v>0.0</v>
      </c>
    </row>
    <row r="8323" ht="15.0" hidden="1" customHeight="1">
      <c r="A8323" s="49" t="s">
        <v>147</v>
      </c>
      <c r="B8323" s="50">
        <v>45381.0</v>
      </c>
      <c r="C8323" s="49" t="s">
        <v>69</v>
      </c>
      <c r="D8323" s="49">
        <v>0.0</v>
      </c>
    </row>
    <row r="8324" ht="15.0" hidden="1" customHeight="1">
      <c r="A8324" s="49" t="s">
        <v>152</v>
      </c>
      <c r="B8324" s="50">
        <v>45381.0</v>
      </c>
      <c r="C8324" s="49" t="s">
        <v>69</v>
      </c>
      <c r="D8324" s="49">
        <v>0.0</v>
      </c>
    </row>
    <row r="8325" ht="15.0" hidden="1" customHeight="1">
      <c r="A8325" s="49" t="s">
        <v>157</v>
      </c>
      <c r="B8325" s="50">
        <v>45381.0</v>
      </c>
      <c r="C8325" s="49" t="s">
        <v>69</v>
      </c>
      <c r="D8325" s="49">
        <v>0.0</v>
      </c>
    </row>
    <row r="8326" ht="15.0" hidden="1" customHeight="1">
      <c r="A8326" s="49" t="s">
        <v>162</v>
      </c>
      <c r="B8326" s="50">
        <v>45381.0</v>
      </c>
      <c r="C8326" s="49" t="s">
        <v>69</v>
      </c>
      <c r="D8326" s="49">
        <v>0.0</v>
      </c>
    </row>
    <row r="8327" ht="15.0" hidden="1" customHeight="1">
      <c r="A8327" s="49" t="s">
        <v>167</v>
      </c>
      <c r="B8327" s="50">
        <v>45381.0</v>
      </c>
      <c r="C8327" s="49" t="s">
        <v>69</v>
      </c>
      <c r="D8327" s="49">
        <v>0.0</v>
      </c>
    </row>
    <row r="8328" ht="15.0" hidden="1" customHeight="1">
      <c r="A8328" s="49" t="s">
        <v>172</v>
      </c>
      <c r="B8328" s="50">
        <v>45381.0</v>
      </c>
      <c r="C8328" s="49" t="s">
        <v>69</v>
      </c>
      <c r="D8328" s="49">
        <v>0.0</v>
      </c>
    </row>
    <row r="8329" ht="15.0" hidden="1" customHeight="1">
      <c r="A8329" s="49" t="s">
        <v>177</v>
      </c>
      <c r="B8329" s="50">
        <v>45381.0</v>
      </c>
      <c r="C8329" s="49" t="s">
        <v>69</v>
      </c>
      <c r="D8329" s="49">
        <v>0.0</v>
      </c>
    </row>
    <row r="8330" ht="15.0" hidden="1" customHeight="1">
      <c r="A8330" s="49" t="s">
        <v>182</v>
      </c>
      <c r="B8330" s="50">
        <v>45381.0</v>
      </c>
      <c r="C8330" s="49" t="s">
        <v>69</v>
      </c>
      <c r="D8330" s="49">
        <v>0.0</v>
      </c>
    </row>
    <row r="8331" ht="15.0" hidden="1" customHeight="1">
      <c r="A8331" s="49" t="s">
        <v>187</v>
      </c>
      <c r="B8331" s="50">
        <v>45381.0</v>
      </c>
      <c r="C8331" s="49" t="s">
        <v>69</v>
      </c>
      <c r="D8331" s="49">
        <v>0.0</v>
      </c>
    </row>
    <row r="8332" ht="15.0" hidden="1" customHeight="1">
      <c r="A8332" s="49" t="s">
        <v>192</v>
      </c>
      <c r="B8332" s="50">
        <v>45381.0</v>
      </c>
      <c r="C8332" s="49" t="s">
        <v>69</v>
      </c>
      <c r="D8332" s="49">
        <v>0.0</v>
      </c>
    </row>
    <row r="8333" ht="15.0" hidden="1" customHeight="1">
      <c r="A8333" s="49" t="s">
        <v>197</v>
      </c>
      <c r="B8333" s="50">
        <v>45381.0</v>
      </c>
      <c r="C8333" s="49" t="s">
        <v>69</v>
      </c>
      <c r="D8333" s="49">
        <v>0.0</v>
      </c>
    </row>
    <row r="8334" ht="15.0" hidden="1" customHeight="1">
      <c r="A8334" s="49" t="s">
        <v>202</v>
      </c>
      <c r="B8334" s="50">
        <v>45381.0</v>
      </c>
      <c r="C8334" s="49" t="s">
        <v>69</v>
      </c>
      <c r="D8334" s="49">
        <v>0.0</v>
      </c>
    </row>
    <row r="8335" ht="15.0" hidden="1" customHeight="1">
      <c r="A8335" s="49" t="s">
        <v>206</v>
      </c>
      <c r="B8335" s="50">
        <v>45381.0</v>
      </c>
      <c r="C8335" s="49" t="s">
        <v>69</v>
      </c>
      <c r="D8335" s="49">
        <v>0.0</v>
      </c>
    </row>
    <row r="8336" ht="15.0" hidden="1" customHeight="1">
      <c r="A8336" s="49" t="s">
        <v>211</v>
      </c>
      <c r="B8336" s="50">
        <v>45381.0</v>
      </c>
      <c r="C8336" s="49" t="s">
        <v>69</v>
      </c>
      <c r="D8336" s="49">
        <v>0.0</v>
      </c>
    </row>
    <row r="8337" ht="15.0" hidden="1" customHeight="1">
      <c r="A8337" s="49" t="s">
        <v>779</v>
      </c>
      <c r="B8337" s="50">
        <v>45381.0</v>
      </c>
      <c r="C8337" s="49" t="s">
        <v>69</v>
      </c>
      <c r="D8337" s="49">
        <v>0.0</v>
      </c>
    </row>
    <row r="8338" ht="15.0" hidden="1" customHeight="1">
      <c r="A8338" s="49" t="s">
        <v>221</v>
      </c>
      <c r="B8338" s="50">
        <v>45381.0</v>
      </c>
      <c r="C8338" s="49" t="s">
        <v>69</v>
      </c>
      <c r="D8338" s="49">
        <v>0.0</v>
      </c>
    </row>
    <row r="8339" ht="15.0" hidden="1" customHeight="1">
      <c r="A8339" s="49" t="s">
        <v>226</v>
      </c>
      <c r="B8339" s="50">
        <v>45381.0</v>
      </c>
      <c r="C8339" s="49" t="s">
        <v>69</v>
      </c>
      <c r="D8339" s="49">
        <v>85000.0</v>
      </c>
    </row>
    <row r="8340" ht="15.0" hidden="1" customHeight="1">
      <c r="A8340" s="49" t="s">
        <v>231</v>
      </c>
      <c r="B8340" s="50">
        <v>45381.0</v>
      </c>
      <c r="C8340" s="49" t="s">
        <v>69</v>
      </c>
      <c r="D8340" s="49">
        <v>0.0</v>
      </c>
    </row>
    <row r="8341" ht="15.0" hidden="1" customHeight="1">
      <c r="A8341" s="49" t="s">
        <v>236</v>
      </c>
      <c r="B8341" s="50">
        <v>45381.0</v>
      </c>
      <c r="C8341" s="49" t="s">
        <v>69</v>
      </c>
      <c r="D8341" s="49">
        <v>0.0</v>
      </c>
    </row>
    <row r="8342" ht="15.0" hidden="1" customHeight="1">
      <c r="A8342" s="49" t="s">
        <v>242</v>
      </c>
      <c r="B8342" s="50">
        <v>45381.0</v>
      </c>
      <c r="C8342" s="49" t="s">
        <v>69</v>
      </c>
      <c r="D8342" s="49">
        <v>1200000.0</v>
      </c>
    </row>
    <row r="8343" ht="15.0" hidden="1" customHeight="1">
      <c r="A8343" s="49" t="s">
        <v>248</v>
      </c>
      <c r="B8343" s="50">
        <v>45381.0</v>
      </c>
      <c r="C8343" s="49" t="s">
        <v>69</v>
      </c>
      <c r="D8343" s="49">
        <v>0.0</v>
      </c>
    </row>
    <row r="8344" ht="15.0" hidden="1" customHeight="1">
      <c r="A8344" s="49" t="s">
        <v>253</v>
      </c>
      <c r="B8344" s="50">
        <v>45381.0</v>
      </c>
      <c r="C8344" s="49" t="s">
        <v>69</v>
      </c>
      <c r="D8344" s="49">
        <v>0.0</v>
      </c>
    </row>
    <row r="8345" ht="15.0" hidden="1" customHeight="1">
      <c r="A8345" s="49" t="s">
        <v>258</v>
      </c>
      <c r="B8345" s="50">
        <v>45381.0</v>
      </c>
      <c r="C8345" s="49" t="s">
        <v>69</v>
      </c>
      <c r="D8345" s="49">
        <v>0.0</v>
      </c>
    </row>
    <row r="8346" ht="15.0" hidden="1" customHeight="1">
      <c r="A8346" s="49" t="s">
        <v>263</v>
      </c>
      <c r="B8346" s="50">
        <v>45381.0</v>
      </c>
      <c r="C8346" s="49" t="s">
        <v>69</v>
      </c>
      <c r="D8346" s="49">
        <v>0.0</v>
      </c>
    </row>
    <row r="8347" ht="15.0" hidden="1" customHeight="1">
      <c r="A8347" s="49" t="s">
        <v>268</v>
      </c>
      <c r="B8347" s="50">
        <v>45381.0</v>
      </c>
      <c r="C8347" s="49" t="s">
        <v>69</v>
      </c>
      <c r="D8347" s="49">
        <v>0.0</v>
      </c>
    </row>
    <row r="8348" ht="15.0" hidden="1" customHeight="1">
      <c r="A8348" s="49" t="s">
        <v>273</v>
      </c>
      <c r="B8348" s="50">
        <v>45381.0</v>
      </c>
      <c r="C8348" s="49" t="s">
        <v>69</v>
      </c>
      <c r="D8348" s="49">
        <v>0.0</v>
      </c>
    </row>
    <row r="8349" ht="15.0" hidden="1" customHeight="1">
      <c r="A8349" s="49" t="s">
        <v>278</v>
      </c>
      <c r="B8349" s="50">
        <v>45381.0</v>
      </c>
      <c r="C8349" s="49" t="s">
        <v>69</v>
      </c>
      <c r="D8349" s="49">
        <v>0.0</v>
      </c>
    </row>
    <row r="8350" ht="15.0" hidden="1" customHeight="1">
      <c r="A8350" s="49" t="s">
        <v>283</v>
      </c>
      <c r="B8350" s="50">
        <v>45381.0</v>
      </c>
      <c r="C8350" s="49" t="s">
        <v>69</v>
      </c>
      <c r="D8350" s="49">
        <v>0.0</v>
      </c>
    </row>
    <row r="8351" ht="15.0" hidden="1" customHeight="1">
      <c r="A8351" s="49" t="s">
        <v>288</v>
      </c>
      <c r="B8351" s="50">
        <v>45381.0</v>
      </c>
      <c r="C8351" s="49" t="s">
        <v>69</v>
      </c>
      <c r="D8351" s="49">
        <v>0.0</v>
      </c>
    </row>
    <row r="8352" ht="15.0" hidden="1" customHeight="1">
      <c r="A8352" s="49" t="s">
        <v>293</v>
      </c>
      <c r="B8352" s="50">
        <v>45381.0</v>
      </c>
      <c r="C8352" s="49" t="s">
        <v>69</v>
      </c>
      <c r="D8352" s="49">
        <v>0.0</v>
      </c>
    </row>
    <row r="8353" ht="15.0" hidden="1" customHeight="1">
      <c r="A8353" s="49" t="s">
        <v>298</v>
      </c>
      <c r="B8353" s="50">
        <v>45381.0</v>
      </c>
      <c r="C8353" s="49" t="s">
        <v>69</v>
      </c>
      <c r="D8353" s="49">
        <v>0.0</v>
      </c>
    </row>
    <row r="8354" ht="15.0" hidden="1" customHeight="1">
      <c r="A8354" s="49" t="s">
        <v>303</v>
      </c>
      <c r="B8354" s="50">
        <v>45381.0</v>
      </c>
      <c r="C8354" s="49" t="s">
        <v>69</v>
      </c>
      <c r="D8354" s="49">
        <v>0.0</v>
      </c>
    </row>
    <row r="8355" ht="15.0" hidden="1" customHeight="1">
      <c r="A8355" s="49" t="s">
        <v>307</v>
      </c>
      <c r="B8355" s="50">
        <v>45381.0</v>
      </c>
      <c r="C8355" s="49" t="s">
        <v>69</v>
      </c>
      <c r="D8355" s="49">
        <v>0.0</v>
      </c>
    </row>
    <row r="8356" ht="15.0" hidden="1" customHeight="1">
      <c r="A8356" s="49" t="s">
        <v>313</v>
      </c>
      <c r="B8356" s="50">
        <v>45381.0</v>
      </c>
      <c r="C8356" s="49" t="s">
        <v>69</v>
      </c>
      <c r="D8356" s="49">
        <v>0.0</v>
      </c>
    </row>
    <row r="8357" ht="15.0" hidden="1" customHeight="1">
      <c r="A8357" s="49" t="s">
        <v>318</v>
      </c>
      <c r="B8357" s="50">
        <v>45381.0</v>
      </c>
      <c r="C8357" s="49" t="s">
        <v>69</v>
      </c>
      <c r="D8357" s="49">
        <v>0.0</v>
      </c>
    </row>
    <row r="8358" ht="15.0" hidden="1" customHeight="1">
      <c r="A8358" s="49" t="s">
        <v>323</v>
      </c>
      <c r="B8358" s="50">
        <v>45381.0</v>
      </c>
      <c r="C8358" s="49" t="s">
        <v>69</v>
      </c>
      <c r="D8358" s="49">
        <v>42000.0</v>
      </c>
    </row>
    <row r="8359" ht="15.0" hidden="1" customHeight="1">
      <c r="A8359" s="49" t="s">
        <v>328</v>
      </c>
      <c r="B8359" s="50">
        <v>45381.0</v>
      </c>
      <c r="C8359" s="49" t="s">
        <v>69</v>
      </c>
      <c r="D8359" s="49">
        <v>200000.0</v>
      </c>
    </row>
    <row r="8360" ht="15.0" hidden="1" customHeight="1">
      <c r="A8360" s="49" t="s">
        <v>335</v>
      </c>
      <c r="B8360" s="50">
        <v>45381.0</v>
      </c>
      <c r="C8360" s="49" t="s">
        <v>69</v>
      </c>
      <c r="D8360" s="49">
        <v>0.0</v>
      </c>
    </row>
    <row r="8361" ht="15.0" hidden="1" customHeight="1">
      <c r="A8361" s="49" t="s">
        <v>340</v>
      </c>
      <c r="B8361" s="50">
        <v>45381.0</v>
      </c>
      <c r="C8361" s="49" t="s">
        <v>69</v>
      </c>
      <c r="D8361" s="49">
        <v>0.0</v>
      </c>
    </row>
    <row r="8362" ht="15.0" hidden="1" customHeight="1">
      <c r="A8362" s="49" t="s">
        <v>345</v>
      </c>
      <c r="B8362" s="50">
        <v>45381.0</v>
      </c>
      <c r="C8362" s="49" t="s">
        <v>69</v>
      </c>
      <c r="D8362" s="49">
        <v>0.0</v>
      </c>
    </row>
    <row r="8363" ht="15.0" hidden="1" customHeight="1">
      <c r="A8363" s="49" t="s">
        <v>350</v>
      </c>
      <c r="B8363" s="50">
        <v>45381.0</v>
      </c>
      <c r="C8363" s="49" t="s">
        <v>69</v>
      </c>
      <c r="D8363" s="49">
        <v>0.0</v>
      </c>
    </row>
    <row r="8364" ht="15.0" hidden="1" customHeight="1">
      <c r="A8364" s="49" t="s">
        <v>355</v>
      </c>
      <c r="B8364" s="50">
        <v>45381.0</v>
      </c>
      <c r="C8364" s="49" t="s">
        <v>69</v>
      </c>
      <c r="D8364" s="49">
        <v>108000.0</v>
      </c>
    </row>
    <row r="8365" ht="15.0" hidden="1" customHeight="1">
      <c r="A8365" s="49" t="s">
        <v>360</v>
      </c>
      <c r="B8365" s="50">
        <v>45381.0</v>
      </c>
      <c r="C8365" s="49" t="s">
        <v>69</v>
      </c>
      <c r="D8365" s="49">
        <v>0.0</v>
      </c>
    </row>
    <row r="8366" ht="15.0" hidden="1" customHeight="1">
      <c r="A8366" s="49" t="s">
        <v>365</v>
      </c>
      <c r="B8366" s="50">
        <v>45381.0</v>
      </c>
      <c r="C8366" s="49" t="s">
        <v>69</v>
      </c>
      <c r="D8366" s="49">
        <v>500000.0</v>
      </c>
    </row>
    <row r="8367" ht="15.0" hidden="1" customHeight="1">
      <c r="A8367" s="49" t="s">
        <v>370</v>
      </c>
      <c r="B8367" s="50">
        <v>45381.0</v>
      </c>
      <c r="C8367" s="49" t="s">
        <v>69</v>
      </c>
      <c r="D8367" s="49">
        <v>477445.23</v>
      </c>
    </row>
    <row r="8368" ht="15.0" hidden="1" customHeight="1">
      <c r="A8368" s="49" t="s">
        <v>375</v>
      </c>
      <c r="B8368" s="50">
        <v>45381.0</v>
      </c>
      <c r="C8368" s="49" t="s">
        <v>69</v>
      </c>
      <c r="D8368" s="49">
        <v>778747.95</v>
      </c>
    </row>
    <row r="8369" ht="15.0" hidden="1" customHeight="1">
      <c r="A8369" s="49" t="s">
        <v>380</v>
      </c>
      <c r="B8369" s="50">
        <v>45381.0</v>
      </c>
      <c r="C8369" s="49" t="s">
        <v>69</v>
      </c>
      <c r="D8369" s="49">
        <v>562500.0</v>
      </c>
    </row>
    <row r="8370" ht="15.0" hidden="1" customHeight="1">
      <c r="A8370" s="49" t="s">
        <v>385</v>
      </c>
      <c r="B8370" s="50">
        <v>45381.0</v>
      </c>
      <c r="C8370" s="49" t="s">
        <v>69</v>
      </c>
      <c r="D8370" s="49">
        <v>3200000.0</v>
      </c>
    </row>
    <row r="8371" ht="15.0" hidden="1" customHeight="1">
      <c r="A8371" s="49" t="s">
        <v>390</v>
      </c>
      <c r="B8371" s="50">
        <v>45381.0</v>
      </c>
      <c r="C8371" s="49" t="s">
        <v>69</v>
      </c>
      <c r="D8371" s="49">
        <v>1056671.22</v>
      </c>
    </row>
    <row r="8372" ht="15.0" hidden="1" customHeight="1">
      <c r="A8372" s="49" t="s">
        <v>395</v>
      </c>
      <c r="B8372" s="50">
        <v>45381.0</v>
      </c>
      <c r="C8372" s="49" t="s">
        <v>69</v>
      </c>
      <c r="D8372" s="49">
        <v>0.0</v>
      </c>
    </row>
    <row r="8373" ht="15.0" hidden="1" customHeight="1">
      <c r="A8373" s="49" t="s">
        <v>400</v>
      </c>
      <c r="B8373" s="50">
        <v>45381.0</v>
      </c>
      <c r="C8373" s="49" t="s">
        <v>69</v>
      </c>
      <c r="D8373" s="49">
        <v>350000.0</v>
      </c>
    </row>
    <row r="8374" ht="15.0" hidden="1" customHeight="1">
      <c r="A8374" s="49" t="s">
        <v>405</v>
      </c>
      <c r="B8374" s="50">
        <v>45381.0</v>
      </c>
      <c r="C8374" s="49" t="s">
        <v>69</v>
      </c>
      <c r="D8374" s="49">
        <v>1000000.0</v>
      </c>
    </row>
    <row r="8375" ht="15.0" hidden="1" customHeight="1">
      <c r="A8375" s="49" t="s">
        <v>410</v>
      </c>
      <c r="B8375" s="50">
        <v>45381.0</v>
      </c>
      <c r="C8375" s="49" t="s">
        <v>69</v>
      </c>
      <c r="D8375" s="49">
        <v>395239.0</v>
      </c>
    </row>
    <row r="8376" ht="15.0" hidden="1" customHeight="1">
      <c r="A8376" s="49" t="s">
        <v>415</v>
      </c>
      <c r="B8376" s="50">
        <v>45381.0</v>
      </c>
      <c r="C8376" s="49" t="s">
        <v>69</v>
      </c>
      <c r="D8376" s="49">
        <v>700000.0</v>
      </c>
    </row>
    <row r="8377" ht="15.0" hidden="1" customHeight="1">
      <c r="A8377" s="49" t="s">
        <v>420</v>
      </c>
      <c r="B8377" s="50">
        <v>45381.0</v>
      </c>
      <c r="C8377" s="49" t="s">
        <v>69</v>
      </c>
      <c r="D8377" s="49">
        <v>605350.0</v>
      </c>
    </row>
    <row r="8378" ht="15.0" hidden="1" customHeight="1">
      <c r="A8378" s="49" t="s">
        <v>425</v>
      </c>
      <c r="B8378" s="50">
        <v>45381.0</v>
      </c>
      <c r="C8378" s="49" t="s">
        <v>69</v>
      </c>
      <c r="D8378" s="49">
        <v>250000.0</v>
      </c>
    </row>
    <row r="8379" ht="15.0" hidden="1" customHeight="1">
      <c r="A8379" s="49" t="s">
        <v>430</v>
      </c>
      <c r="B8379" s="50">
        <v>45381.0</v>
      </c>
      <c r="C8379" s="49" t="s">
        <v>69</v>
      </c>
      <c r="D8379" s="49">
        <v>500000.0</v>
      </c>
    </row>
    <row r="8380" ht="15.0" hidden="1" customHeight="1">
      <c r="A8380" s="49" t="s">
        <v>434</v>
      </c>
      <c r="B8380" s="50">
        <v>45381.0</v>
      </c>
      <c r="C8380" s="49" t="s">
        <v>69</v>
      </c>
      <c r="D8380" s="49">
        <v>500000.0</v>
      </c>
    </row>
    <row r="8381" ht="15.0" hidden="1" customHeight="1">
      <c r="A8381" s="49" t="s">
        <v>439</v>
      </c>
      <c r="B8381" s="50">
        <v>45381.0</v>
      </c>
      <c r="C8381" s="49" t="s">
        <v>69</v>
      </c>
      <c r="D8381" s="49">
        <v>800000.0</v>
      </c>
    </row>
    <row r="8382" ht="15.0" hidden="1" customHeight="1">
      <c r="A8382" s="49" t="s">
        <v>444</v>
      </c>
      <c r="B8382" s="50">
        <v>45381.0</v>
      </c>
      <c r="C8382" s="49" t="s">
        <v>69</v>
      </c>
      <c r="D8382" s="49">
        <v>215000.0</v>
      </c>
    </row>
    <row r="8383" ht="15.0" hidden="1" customHeight="1">
      <c r="A8383" s="49" t="s">
        <v>449</v>
      </c>
      <c r="B8383" s="50">
        <v>45381.0</v>
      </c>
      <c r="C8383" s="49" t="s">
        <v>69</v>
      </c>
      <c r="D8383" s="49">
        <v>4000000.0</v>
      </c>
    </row>
    <row r="8384" ht="15.0" hidden="1" customHeight="1">
      <c r="A8384" s="49" t="s">
        <v>455</v>
      </c>
      <c r="B8384" s="50">
        <v>45381.0</v>
      </c>
      <c r="C8384" s="49" t="s">
        <v>69</v>
      </c>
      <c r="D8384" s="49">
        <v>731800.0</v>
      </c>
    </row>
    <row r="8385" ht="15.0" hidden="1" customHeight="1">
      <c r="A8385" s="49" t="s">
        <v>470</v>
      </c>
      <c r="B8385" s="50">
        <v>45381.0</v>
      </c>
      <c r="C8385" s="49" t="s">
        <v>69</v>
      </c>
      <c r="D8385" s="49">
        <v>150000.0</v>
      </c>
    </row>
    <row r="8386" ht="15.0" hidden="1" customHeight="1">
      <c r="A8386" s="49" t="s">
        <v>476</v>
      </c>
      <c r="B8386" s="50">
        <v>45381.0</v>
      </c>
      <c r="C8386" s="49" t="s">
        <v>69</v>
      </c>
      <c r="D8386" s="49">
        <v>4000000.0</v>
      </c>
    </row>
    <row r="8387" ht="15.0" hidden="1" customHeight="1">
      <c r="A8387" s="49" t="s">
        <v>481</v>
      </c>
      <c r="B8387" s="50">
        <v>45381.0</v>
      </c>
      <c r="C8387" s="49" t="s">
        <v>69</v>
      </c>
      <c r="D8387" s="49">
        <v>150000.0</v>
      </c>
    </row>
    <row r="8388" ht="15.0" hidden="1" customHeight="1">
      <c r="A8388" s="49" t="s">
        <v>486</v>
      </c>
      <c r="B8388" s="50">
        <v>45381.0</v>
      </c>
      <c r="C8388" s="49" t="s">
        <v>69</v>
      </c>
      <c r="D8388" s="49">
        <v>0.0</v>
      </c>
    </row>
    <row r="8389" ht="15.0" hidden="1" customHeight="1">
      <c r="A8389" s="49" t="s">
        <v>491</v>
      </c>
      <c r="B8389" s="50">
        <v>45381.0</v>
      </c>
      <c r="C8389" s="49" t="s">
        <v>69</v>
      </c>
      <c r="D8389" s="49">
        <v>0.0</v>
      </c>
    </row>
    <row r="8390" ht="15.0" hidden="1" customHeight="1">
      <c r="A8390" s="49" t="s">
        <v>496</v>
      </c>
      <c r="B8390" s="50">
        <v>45381.0</v>
      </c>
      <c r="C8390" s="49" t="s">
        <v>69</v>
      </c>
      <c r="D8390" s="49">
        <v>0.0</v>
      </c>
    </row>
    <row r="8391" ht="15.0" hidden="1" customHeight="1">
      <c r="A8391" s="49" t="s">
        <v>501</v>
      </c>
      <c r="B8391" s="50">
        <v>45381.0</v>
      </c>
      <c r="C8391" s="49" t="s">
        <v>69</v>
      </c>
      <c r="D8391" s="49">
        <v>0.0</v>
      </c>
    </row>
    <row r="8392" ht="15.0" hidden="1" customHeight="1">
      <c r="A8392" s="49" t="s">
        <v>506</v>
      </c>
      <c r="B8392" s="50">
        <v>45381.0</v>
      </c>
      <c r="C8392" s="49" t="s">
        <v>69</v>
      </c>
      <c r="D8392" s="49">
        <v>0.0</v>
      </c>
    </row>
    <row r="8393" ht="15.0" hidden="1" customHeight="1">
      <c r="A8393" s="49" t="s">
        <v>512</v>
      </c>
      <c r="B8393" s="50">
        <v>45381.0</v>
      </c>
      <c r="C8393" s="49" t="s">
        <v>69</v>
      </c>
      <c r="D8393" s="49">
        <v>0.0</v>
      </c>
    </row>
    <row r="8394" ht="15.0" hidden="1" customHeight="1">
      <c r="A8394" s="49" t="s">
        <v>517</v>
      </c>
      <c r="B8394" s="50">
        <v>45381.0</v>
      </c>
      <c r="C8394" s="49" t="s">
        <v>69</v>
      </c>
      <c r="D8394" s="49">
        <v>0.0</v>
      </c>
    </row>
    <row r="8395" ht="15.0" hidden="1" customHeight="1">
      <c r="A8395" s="49" t="s">
        <v>522</v>
      </c>
      <c r="B8395" s="50">
        <v>45381.0</v>
      </c>
      <c r="C8395" s="49" t="s">
        <v>69</v>
      </c>
      <c r="D8395" s="49">
        <v>0.0</v>
      </c>
    </row>
    <row r="8396" ht="15.0" hidden="1" customHeight="1">
      <c r="A8396" s="49" t="s">
        <v>528</v>
      </c>
      <c r="B8396" s="50">
        <v>45381.0</v>
      </c>
      <c r="C8396" s="49" t="s">
        <v>69</v>
      </c>
      <c r="D8396" s="49">
        <v>0.0</v>
      </c>
    </row>
    <row r="8397" ht="15.0" hidden="1" customHeight="1">
      <c r="A8397" s="49" t="s">
        <v>533</v>
      </c>
      <c r="B8397" s="50">
        <v>45381.0</v>
      </c>
      <c r="C8397" s="49" t="s">
        <v>69</v>
      </c>
      <c r="D8397" s="49">
        <v>0.0</v>
      </c>
    </row>
    <row r="8398" ht="15.0" hidden="1" customHeight="1">
      <c r="A8398" s="49" t="s">
        <v>538</v>
      </c>
      <c r="B8398" s="50">
        <v>45381.0</v>
      </c>
      <c r="C8398" s="49" t="s">
        <v>69</v>
      </c>
      <c r="D8398" s="49">
        <v>0.0</v>
      </c>
    </row>
    <row r="8399" ht="15.0" hidden="1" customHeight="1">
      <c r="A8399" s="49" t="s">
        <v>546</v>
      </c>
      <c r="B8399" s="50">
        <v>45381.0</v>
      </c>
      <c r="C8399" s="49" t="s">
        <v>69</v>
      </c>
      <c r="D8399" s="49">
        <v>0.0</v>
      </c>
    </row>
    <row r="8400" ht="15.0" hidden="1" customHeight="1">
      <c r="A8400" s="49" t="s">
        <v>551</v>
      </c>
      <c r="B8400" s="50">
        <v>45381.0</v>
      </c>
      <c r="C8400" s="49" t="s">
        <v>69</v>
      </c>
      <c r="D8400" s="49">
        <v>0.0</v>
      </c>
    </row>
    <row r="8401" ht="15.0" hidden="1" customHeight="1">
      <c r="A8401" s="49" t="s">
        <v>556</v>
      </c>
      <c r="B8401" s="50">
        <v>45381.0</v>
      </c>
      <c r="C8401" s="49" t="s">
        <v>69</v>
      </c>
      <c r="D8401" s="49">
        <v>0.0</v>
      </c>
    </row>
    <row r="8402" ht="15.0" hidden="1" customHeight="1">
      <c r="A8402" s="49" t="s">
        <v>561</v>
      </c>
      <c r="B8402" s="50">
        <v>45381.0</v>
      </c>
      <c r="C8402" s="49" t="s">
        <v>69</v>
      </c>
      <c r="D8402" s="49">
        <v>0.0</v>
      </c>
    </row>
    <row r="8403" ht="15.0" hidden="1" customHeight="1">
      <c r="A8403" s="49" t="s">
        <v>566</v>
      </c>
      <c r="B8403" s="50">
        <v>45381.0</v>
      </c>
      <c r="C8403" s="49" t="s">
        <v>69</v>
      </c>
      <c r="D8403" s="49">
        <v>0.0</v>
      </c>
    </row>
    <row r="8404" ht="15.0" hidden="1" customHeight="1">
      <c r="A8404" s="49" t="s">
        <v>571</v>
      </c>
      <c r="B8404" s="50">
        <v>45381.0</v>
      </c>
      <c r="C8404" s="49" t="s">
        <v>69</v>
      </c>
      <c r="D8404" s="49">
        <v>0.0</v>
      </c>
    </row>
    <row r="8405" ht="15.0" hidden="1" customHeight="1">
      <c r="A8405" s="49" t="s">
        <v>576</v>
      </c>
      <c r="B8405" s="50">
        <v>45381.0</v>
      </c>
      <c r="C8405" s="49" t="s">
        <v>69</v>
      </c>
      <c r="D8405" s="49">
        <v>0.0</v>
      </c>
    </row>
    <row r="8406" ht="15.0" hidden="1" customHeight="1">
      <c r="A8406" s="49" t="s">
        <v>581</v>
      </c>
      <c r="B8406" s="50">
        <v>45381.0</v>
      </c>
      <c r="C8406" s="49" t="s">
        <v>69</v>
      </c>
      <c r="D8406" s="49">
        <v>0.0</v>
      </c>
    </row>
    <row r="8407" ht="15.0" hidden="1" customHeight="1">
      <c r="A8407" s="49" t="s">
        <v>586</v>
      </c>
      <c r="B8407" s="50">
        <v>45381.0</v>
      </c>
      <c r="C8407" s="49" t="s">
        <v>69</v>
      </c>
      <c r="D8407" s="49">
        <v>0.0</v>
      </c>
    </row>
    <row r="8408" ht="15.0" hidden="1" customHeight="1">
      <c r="A8408" s="49" t="s">
        <v>754</v>
      </c>
      <c r="B8408" s="50">
        <v>45381.0</v>
      </c>
      <c r="C8408" s="49" t="s">
        <v>69</v>
      </c>
      <c r="D8408" s="49">
        <v>0.0</v>
      </c>
    </row>
    <row r="8409" ht="15.0" hidden="1" customHeight="1">
      <c r="A8409" s="49" t="s">
        <v>591</v>
      </c>
      <c r="B8409" s="50">
        <v>45381.0</v>
      </c>
      <c r="C8409" s="49" t="s">
        <v>69</v>
      </c>
      <c r="D8409" s="49">
        <v>0.0</v>
      </c>
    </row>
    <row r="8410" ht="15.0" hidden="1" customHeight="1">
      <c r="A8410" s="49" t="s">
        <v>759</v>
      </c>
      <c r="B8410" s="50">
        <v>45381.0</v>
      </c>
      <c r="C8410" s="49" t="s">
        <v>69</v>
      </c>
      <c r="D8410" s="49">
        <v>0.0</v>
      </c>
    </row>
    <row r="8411" ht="15.0" hidden="1" customHeight="1">
      <c r="A8411" s="49" t="s">
        <v>596</v>
      </c>
      <c r="B8411" s="50">
        <v>45381.0</v>
      </c>
      <c r="C8411" s="49" t="s">
        <v>69</v>
      </c>
      <c r="D8411" s="49">
        <v>0.0</v>
      </c>
    </row>
    <row r="8412" ht="15.0" hidden="1" customHeight="1">
      <c r="A8412" s="49" t="s">
        <v>602</v>
      </c>
      <c r="B8412" s="50">
        <v>45381.0</v>
      </c>
      <c r="C8412" s="49" t="s">
        <v>69</v>
      </c>
      <c r="D8412" s="49">
        <v>0.0</v>
      </c>
    </row>
    <row r="8413" ht="15.0" hidden="1" customHeight="1">
      <c r="A8413" s="49" t="s">
        <v>607</v>
      </c>
      <c r="B8413" s="50">
        <v>45381.0</v>
      </c>
      <c r="C8413" s="49" t="s">
        <v>69</v>
      </c>
      <c r="D8413" s="49">
        <v>0.0</v>
      </c>
    </row>
    <row r="8414" ht="15.0" hidden="1" customHeight="1">
      <c r="A8414" s="49" t="s">
        <v>612</v>
      </c>
      <c r="B8414" s="50">
        <v>45381.0</v>
      </c>
      <c r="C8414" s="49" t="s">
        <v>69</v>
      </c>
      <c r="D8414" s="49">
        <v>0.0</v>
      </c>
    </row>
    <row r="8415" ht="15.0" hidden="1" customHeight="1">
      <c r="A8415" s="49" t="s">
        <v>617</v>
      </c>
      <c r="B8415" s="50">
        <v>45381.0</v>
      </c>
      <c r="C8415" s="49" t="s">
        <v>69</v>
      </c>
      <c r="D8415" s="49">
        <v>0.0</v>
      </c>
    </row>
    <row r="8416" ht="15.0" hidden="1" customHeight="1">
      <c r="A8416" s="49" t="s">
        <v>622</v>
      </c>
      <c r="B8416" s="50">
        <v>45381.0</v>
      </c>
      <c r="C8416" s="49" t="s">
        <v>69</v>
      </c>
      <c r="D8416" s="49">
        <v>0.0</v>
      </c>
    </row>
    <row r="8417" ht="15.0" hidden="1" customHeight="1">
      <c r="A8417" s="49" t="s">
        <v>627</v>
      </c>
      <c r="B8417" s="50">
        <v>45381.0</v>
      </c>
      <c r="C8417" s="49" t="s">
        <v>69</v>
      </c>
      <c r="D8417" s="49">
        <v>0.0</v>
      </c>
    </row>
    <row r="8418" ht="15.0" hidden="1" customHeight="1">
      <c r="A8418" s="49" t="s">
        <v>631</v>
      </c>
      <c r="B8418" s="50">
        <v>45381.0</v>
      </c>
      <c r="C8418" s="49" t="s">
        <v>69</v>
      </c>
      <c r="D8418" s="49">
        <v>0.0</v>
      </c>
    </row>
    <row r="8419" ht="15.0" hidden="1" customHeight="1">
      <c r="A8419" s="49" t="s">
        <v>636</v>
      </c>
      <c r="B8419" s="50">
        <v>45381.0</v>
      </c>
      <c r="C8419" s="49" t="s">
        <v>69</v>
      </c>
      <c r="D8419" s="49">
        <v>0.0</v>
      </c>
    </row>
    <row r="8420" ht="15.0" hidden="1" customHeight="1">
      <c r="A8420" s="49" t="s">
        <v>640</v>
      </c>
      <c r="B8420" s="50">
        <v>45381.0</v>
      </c>
      <c r="C8420" s="49" t="s">
        <v>69</v>
      </c>
      <c r="D8420" s="49">
        <v>0.0</v>
      </c>
    </row>
    <row r="8421" ht="15.0" hidden="1" customHeight="1">
      <c r="A8421" s="49" t="s">
        <v>644</v>
      </c>
      <c r="B8421" s="50">
        <v>45381.0</v>
      </c>
      <c r="C8421" s="49" t="s">
        <v>69</v>
      </c>
      <c r="D8421" s="49">
        <v>0.0</v>
      </c>
    </row>
    <row r="8422" ht="15.0" hidden="1" customHeight="1">
      <c r="A8422" s="49" t="s">
        <v>649</v>
      </c>
      <c r="B8422" s="50">
        <v>45381.0</v>
      </c>
      <c r="C8422" s="49" t="s">
        <v>69</v>
      </c>
      <c r="D8422" s="49">
        <v>0.0</v>
      </c>
    </row>
    <row r="8423" ht="15.0" hidden="1" customHeight="1">
      <c r="A8423" s="49" t="s">
        <v>654</v>
      </c>
      <c r="B8423" s="50">
        <v>45381.0</v>
      </c>
      <c r="C8423" s="49" t="s">
        <v>69</v>
      </c>
      <c r="D8423" s="49">
        <v>0.0</v>
      </c>
    </row>
    <row r="8424" ht="15.0" hidden="1" customHeight="1">
      <c r="A8424" s="49" t="s">
        <v>659</v>
      </c>
      <c r="B8424" s="50">
        <v>45381.0</v>
      </c>
      <c r="C8424" s="49" t="s">
        <v>69</v>
      </c>
      <c r="D8424" s="49">
        <v>0.0</v>
      </c>
    </row>
    <row r="8425" ht="15.0" hidden="1" customHeight="1">
      <c r="A8425" s="49" t="s">
        <v>664</v>
      </c>
      <c r="B8425" s="50">
        <v>45381.0</v>
      </c>
      <c r="C8425" s="49" t="s">
        <v>69</v>
      </c>
      <c r="D8425" s="49">
        <v>0.0</v>
      </c>
    </row>
    <row r="8426" ht="15.0" hidden="1" customHeight="1">
      <c r="A8426" s="49" t="s">
        <v>669</v>
      </c>
      <c r="B8426" s="50">
        <v>45381.0</v>
      </c>
      <c r="C8426" s="49" t="s">
        <v>69</v>
      </c>
      <c r="D8426" s="49">
        <v>0.0</v>
      </c>
    </row>
    <row r="8427" ht="15.0" hidden="1" customHeight="1">
      <c r="A8427" s="49" t="s">
        <v>674</v>
      </c>
      <c r="B8427" s="50">
        <v>45381.0</v>
      </c>
      <c r="C8427" s="49" t="s">
        <v>69</v>
      </c>
      <c r="D8427" s="49">
        <v>0.0</v>
      </c>
    </row>
    <row r="8428" ht="15.0" hidden="1" customHeight="1">
      <c r="A8428" s="49" t="s">
        <v>679</v>
      </c>
      <c r="B8428" s="50">
        <v>45381.0</v>
      </c>
      <c r="C8428" s="49" t="s">
        <v>69</v>
      </c>
      <c r="D8428" s="49">
        <v>0.0</v>
      </c>
    </row>
    <row r="8429" ht="15.0" hidden="1" customHeight="1">
      <c r="A8429" s="49" t="s">
        <v>684</v>
      </c>
      <c r="B8429" s="50">
        <v>45381.0</v>
      </c>
      <c r="C8429" s="49" t="s">
        <v>69</v>
      </c>
      <c r="D8429" s="49">
        <v>0.0</v>
      </c>
    </row>
    <row r="8430" ht="15.0" hidden="1" customHeight="1">
      <c r="A8430" s="49" t="s">
        <v>689</v>
      </c>
      <c r="B8430" s="50">
        <v>45381.0</v>
      </c>
      <c r="C8430" s="49" t="s">
        <v>69</v>
      </c>
      <c r="D8430" s="49">
        <v>0.0</v>
      </c>
    </row>
    <row r="8431" ht="15.0" hidden="1" customHeight="1">
      <c r="A8431" s="49" t="s">
        <v>694</v>
      </c>
      <c r="B8431" s="50">
        <v>45381.0</v>
      </c>
      <c r="C8431" s="49" t="s">
        <v>69</v>
      </c>
      <c r="D8431" s="49">
        <v>0.0</v>
      </c>
    </row>
    <row r="8432" ht="15.0" hidden="1" customHeight="1">
      <c r="A8432" s="49" t="s">
        <v>699</v>
      </c>
      <c r="B8432" s="50">
        <v>45381.0</v>
      </c>
      <c r="C8432" s="49" t="s">
        <v>69</v>
      </c>
      <c r="D8432" s="49">
        <v>0.0</v>
      </c>
    </row>
    <row r="8433" ht="15.0" hidden="1" customHeight="1">
      <c r="A8433" s="49" t="s">
        <v>705</v>
      </c>
      <c r="B8433" s="50">
        <v>45381.0</v>
      </c>
      <c r="C8433" s="49" t="s">
        <v>69</v>
      </c>
      <c r="D8433" s="49">
        <v>0.0</v>
      </c>
    </row>
    <row r="8434" ht="15.0" hidden="1" customHeight="1">
      <c r="A8434" s="49" t="s">
        <v>710</v>
      </c>
      <c r="B8434" s="50">
        <v>45381.0</v>
      </c>
      <c r="C8434" s="49" t="s">
        <v>69</v>
      </c>
      <c r="D8434" s="49">
        <v>0.0</v>
      </c>
    </row>
    <row r="8435" ht="15.0" hidden="1" customHeight="1">
      <c r="A8435" s="49" t="s">
        <v>715</v>
      </c>
      <c r="B8435" s="50">
        <v>45381.0</v>
      </c>
      <c r="C8435" s="49" t="s">
        <v>69</v>
      </c>
      <c r="D8435" s="49">
        <v>0.0</v>
      </c>
    </row>
    <row r="8436" ht="15.0" hidden="1" customHeight="1">
      <c r="A8436" s="49" t="s">
        <v>765</v>
      </c>
      <c r="B8436" s="50">
        <v>45381.0</v>
      </c>
      <c r="C8436" s="49" t="s">
        <v>69</v>
      </c>
      <c r="D8436" s="49">
        <v>0.0</v>
      </c>
    </row>
    <row r="8437" ht="15.0" hidden="1" customHeight="1">
      <c r="A8437" s="49" t="s">
        <v>720</v>
      </c>
      <c r="B8437" s="50">
        <v>45381.0</v>
      </c>
      <c r="C8437" s="49" t="s">
        <v>69</v>
      </c>
      <c r="D8437" s="49">
        <v>0.0</v>
      </c>
    </row>
    <row r="8438" ht="15.0" hidden="1" customHeight="1">
      <c r="A8438" s="49" t="s">
        <v>725</v>
      </c>
      <c r="B8438" s="50">
        <v>45381.0</v>
      </c>
      <c r="C8438" s="49" t="s">
        <v>69</v>
      </c>
      <c r="D8438" s="49">
        <v>0.0</v>
      </c>
    </row>
    <row r="8439" ht="15.0" hidden="1" customHeight="1">
      <c r="A8439" s="49" t="s">
        <v>730</v>
      </c>
      <c r="B8439" s="50">
        <v>45381.0</v>
      </c>
      <c r="C8439" s="49" t="s">
        <v>69</v>
      </c>
      <c r="D8439" s="49">
        <v>0.0</v>
      </c>
    </row>
    <row r="8440" ht="15.0" hidden="1" customHeight="1">
      <c r="A8440" s="49" t="s">
        <v>734</v>
      </c>
      <c r="B8440" s="50">
        <v>45381.0</v>
      </c>
      <c r="C8440" s="49" t="s">
        <v>69</v>
      </c>
      <c r="D8440" s="49">
        <v>0.0</v>
      </c>
    </row>
    <row r="8441" ht="15.0" hidden="1" customHeight="1">
      <c r="A8441" s="49" t="s">
        <v>739</v>
      </c>
      <c r="B8441" s="50">
        <v>45381.0</v>
      </c>
      <c r="C8441" s="49" t="s">
        <v>69</v>
      </c>
      <c r="D8441" s="49">
        <v>0.0</v>
      </c>
    </row>
    <row r="8442" ht="15.0" hidden="1" customHeight="1">
      <c r="A8442" s="49" t="s">
        <v>744</v>
      </c>
      <c r="B8442" s="50">
        <v>45381.0</v>
      </c>
      <c r="C8442" s="49" t="s">
        <v>69</v>
      </c>
      <c r="D8442" s="49">
        <v>0.0</v>
      </c>
    </row>
    <row r="8443" ht="15.0" hidden="1" customHeight="1">
      <c r="A8443" s="49" t="s">
        <v>749</v>
      </c>
      <c r="B8443" s="50">
        <v>45381.0</v>
      </c>
      <c r="C8443" s="49" t="s">
        <v>69</v>
      </c>
      <c r="D8443" s="49">
        <v>0.0</v>
      </c>
    </row>
    <row r="8444" ht="15.0" customHeight="1">
      <c r="A8444" s="49" t="s">
        <v>776</v>
      </c>
      <c r="B8444" s="50">
        <v>45381.0</v>
      </c>
      <c r="C8444" s="49" t="s">
        <v>780</v>
      </c>
      <c r="D8444" s="49">
        <v>0.0</v>
      </c>
    </row>
    <row r="8445" ht="15.0" hidden="1" customHeight="1">
      <c r="A8445" s="49" t="s">
        <v>778</v>
      </c>
      <c r="B8445" s="50">
        <v>45381.0</v>
      </c>
      <c r="C8445" s="49" t="s">
        <v>780</v>
      </c>
      <c r="D8445" s="49">
        <v>0.0</v>
      </c>
    </row>
    <row r="8446" ht="15.0" hidden="1" customHeight="1">
      <c r="A8446" s="49" t="s">
        <v>92</v>
      </c>
      <c r="B8446" s="50">
        <v>45381.0</v>
      </c>
      <c r="C8446" s="49" t="s">
        <v>780</v>
      </c>
      <c r="D8446" s="49">
        <v>0.0</v>
      </c>
    </row>
    <row r="8447" ht="15.0" hidden="1" customHeight="1">
      <c r="A8447" s="49" t="s">
        <v>97</v>
      </c>
      <c r="B8447" s="50">
        <v>45381.0</v>
      </c>
      <c r="C8447" s="49" t="s">
        <v>780</v>
      </c>
      <c r="D8447" s="49">
        <v>0.0</v>
      </c>
    </row>
    <row r="8448" ht="15.0" hidden="1" customHeight="1">
      <c r="A8448" s="49" t="s">
        <v>102</v>
      </c>
      <c r="B8448" s="50">
        <v>45381.0</v>
      </c>
      <c r="C8448" s="49" t="s">
        <v>780</v>
      </c>
      <c r="D8448" s="49">
        <v>0.0</v>
      </c>
    </row>
    <row r="8449" ht="15.0" hidden="1" customHeight="1">
      <c r="A8449" s="49" t="s">
        <v>106</v>
      </c>
      <c r="B8449" s="50">
        <v>45381.0</v>
      </c>
      <c r="C8449" s="49" t="s">
        <v>780</v>
      </c>
      <c r="D8449" s="49">
        <v>0.0</v>
      </c>
    </row>
    <row r="8450" ht="15.0" hidden="1" customHeight="1">
      <c r="A8450" s="49" t="s">
        <v>111</v>
      </c>
      <c r="B8450" s="50">
        <v>45381.0</v>
      </c>
      <c r="C8450" s="49" t="s">
        <v>780</v>
      </c>
      <c r="D8450" s="49">
        <v>0.0</v>
      </c>
    </row>
    <row r="8451" ht="15.0" hidden="1" customHeight="1">
      <c r="A8451" s="49" t="s">
        <v>116</v>
      </c>
      <c r="B8451" s="50">
        <v>45381.0</v>
      </c>
      <c r="C8451" s="49" t="s">
        <v>780</v>
      </c>
      <c r="D8451" s="49">
        <v>0.0</v>
      </c>
    </row>
    <row r="8452" ht="15.0" hidden="1" customHeight="1">
      <c r="A8452" s="49" t="s">
        <v>120</v>
      </c>
      <c r="B8452" s="50">
        <v>45381.0</v>
      </c>
      <c r="C8452" s="49" t="s">
        <v>780</v>
      </c>
      <c r="D8452" s="49">
        <v>0.0</v>
      </c>
    </row>
    <row r="8453" ht="15.0" hidden="1" customHeight="1">
      <c r="A8453" s="49" t="s">
        <v>125</v>
      </c>
      <c r="B8453" s="50">
        <v>45381.0</v>
      </c>
      <c r="C8453" s="49" t="s">
        <v>780</v>
      </c>
      <c r="D8453" s="49">
        <v>0.0</v>
      </c>
    </row>
    <row r="8454" ht="15.0" hidden="1" customHeight="1">
      <c r="A8454" s="49" t="s">
        <v>130</v>
      </c>
      <c r="B8454" s="50">
        <v>45381.0</v>
      </c>
      <c r="C8454" s="49" t="s">
        <v>780</v>
      </c>
      <c r="D8454" s="49">
        <v>0.0</v>
      </c>
    </row>
    <row r="8455" ht="15.0" hidden="1" customHeight="1">
      <c r="A8455" s="49" t="s">
        <v>137</v>
      </c>
      <c r="B8455" s="50">
        <v>45381.0</v>
      </c>
      <c r="C8455" s="49" t="s">
        <v>780</v>
      </c>
      <c r="D8455" s="49">
        <v>0.0</v>
      </c>
    </row>
    <row r="8456" ht="15.0" hidden="1" customHeight="1">
      <c r="A8456" s="49" t="s">
        <v>142</v>
      </c>
      <c r="B8456" s="50">
        <v>45381.0</v>
      </c>
      <c r="C8456" s="49" t="s">
        <v>780</v>
      </c>
      <c r="D8456" s="49">
        <v>0.0</v>
      </c>
    </row>
    <row r="8457" ht="15.0" hidden="1" customHeight="1">
      <c r="A8457" s="49" t="s">
        <v>147</v>
      </c>
      <c r="B8457" s="50">
        <v>45381.0</v>
      </c>
      <c r="C8457" s="49" t="s">
        <v>780</v>
      </c>
      <c r="D8457" s="49">
        <v>0.0</v>
      </c>
    </row>
    <row r="8458" ht="15.0" hidden="1" customHeight="1">
      <c r="A8458" s="49" t="s">
        <v>152</v>
      </c>
      <c r="B8458" s="50">
        <v>45381.0</v>
      </c>
      <c r="C8458" s="49" t="s">
        <v>780</v>
      </c>
      <c r="D8458" s="49">
        <v>0.0</v>
      </c>
    </row>
    <row r="8459" ht="15.0" hidden="1" customHeight="1">
      <c r="A8459" s="49" t="s">
        <v>157</v>
      </c>
      <c r="B8459" s="50">
        <v>45381.0</v>
      </c>
      <c r="C8459" s="49" t="s">
        <v>780</v>
      </c>
      <c r="D8459" s="49">
        <v>0.0</v>
      </c>
    </row>
    <row r="8460" ht="15.0" hidden="1" customHeight="1">
      <c r="A8460" s="49" t="s">
        <v>162</v>
      </c>
      <c r="B8460" s="50">
        <v>45381.0</v>
      </c>
      <c r="C8460" s="49" t="s">
        <v>780</v>
      </c>
      <c r="D8460" s="49">
        <v>0.0</v>
      </c>
    </row>
    <row r="8461" ht="15.0" hidden="1" customHeight="1">
      <c r="A8461" s="49" t="s">
        <v>167</v>
      </c>
      <c r="B8461" s="50">
        <v>45381.0</v>
      </c>
      <c r="C8461" s="49" t="s">
        <v>780</v>
      </c>
      <c r="D8461" s="49">
        <v>0.0</v>
      </c>
    </row>
    <row r="8462" ht="15.0" hidden="1" customHeight="1">
      <c r="A8462" s="49" t="s">
        <v>172</v>
      </c>
      <c r="B8462" s="50">
        <v>45381.0</v>
      </c>
      <c r="C8462" s="49" t="s">
        <v>780</v>
      </c>
      <c r="D8462" s="49">
        <v>0.0</v>
      </c>
    </row>
    <row r="8463" ht="15.0" hidden="1" customHeight="1">
      <c r="A8463" s="49" t="s">
        <v>177</v>
      </c>
      <c r="B8463" s="50">
        <v>45381.0</v>
      </c>
      <c r="C8463" s="49" t="s">
        <v>780</v>
      </c>
      <c r="D8463" s="49">
        <v>0.0</v>
      </c>
    </row>
    <row r="8464" ht="15.0" hidden="1" customHeight="1">
      <c r="A8464" s="49" t="s">
        <v>182</v>
      </c>
      <c r="B8464" s="50">
        <v>45381.0</v>
      </c>
      <c r="C8464" s="49" t="s">
        <v>780</v>
      </c>
      <c r="D8464" s="49">
        <v>0.0</v>
      </c>
    </row>
    <row r="8465" ht="15.0" hidden="1" customHeight="1">
      <c r="A8465" s="49" t="s">
        <v>187</v>
      </c>
      <c r="B8465" s="50">
        <v>45381.0</v>
      </c>
      <c r="C8465" s="49" t="s">
        <v>780</v>
      </c>
      <c r="D8465" s="49">
        <v>0.0</v>
      </c>
    </row>
    <row r="8466" ht="15.0" hidden="1" customHeight="1">
      <c r="A8466" s="49" t="s">
        <v>192</v>
      </c>
      <c r="B8466" s="50">
        <v>45381.0</v>
      </c>
      <c r="C8466" s="49" t="s">
        <v>780</v>
      </c>
      <c r="D8466" s="49">
        <v>0.0</v>
      </c>
    </row>
    <row r="8467" ht="15.0" hidden="1" customHeight="1">
      <c r="A8467" s="49" t="s">
        <v>197</v>
      </c>
      <c r="B8467" s="50">
        <v>45381.0</v>
      </c>
      <c r="C8467" s="49" t="s">
        <v>780</v>
      </c>
      <c r="D8467" s="49">
        <v>0.0</v>
      </c>
    </row>
    <row r="8468" ht="15.0" hidden="1" customHeight="1">
      <c r="A8468" s="49" t="s">
        <v>202</v>
      </c>
      <c r="B8468" s="50">
        <v>45381.0</v>
      </c>
      <c r="C8468" s="49" t="s">
        <v>780</v>
      </c>
      <c r="D8468" s="49">
        <v>0.0</v>
      </c>
    </row>
    <row r="8469" ht="15.0" hidden="1" customHeight="1">
      <c r="A8469" s="49" t="s">
        <v>206</v>
      </c>
      <c r="B8469" s="50">
        <v>45381.0</v>
      </c>
      <c r="C8469" s="49" t="s">
        <v>780</v>
      </c>
      <c r="D8469" s="49">
        <v>0.0</v>
      </c>
    </row>
    <row r="8470" ht="15.0" hidden="1" customHeight="1">
      <c r="A8470" s="49" t="s">
        <v>211</v>
      </c>
      <c r="B8470" s="50">
        <v>45381.0</v>
      </c>
      <c r="C8470" s="49" t="s">
        <v>780</v>
      </c>
      <c r="D8470" s="49">
        <v>0.0</v>
      </c>
    </row>
    <row r="8471" ht="15.0" hidden="1" customHeight="1">
      <c r="A8471" s="49" t="s">
        <v>779</v>
      </c>
      <c r="B8471" s="50">
        <v>45381.0</v>
      </c>
      <c r="C8471" s="49" t="s">
        <v>780</v>
      </c>
      <c r="D8471" s="49">
        <v>0.0</v>
      </c>
    </row>
    <row r="8472" ht="15.0" hidden="1" customHeight="1">
      <c r="A8472" s="49" t="s">
        <v>221</v>
      </c>
      <c r="B8472" s="50">
        <v>45381.0</v>
      </c>
      <c r="C8472" s="49" t="s">
        <v>780</v>
      </c>
      <c r="D8472" s="49">
        <v>0.0</v>
      </c>
    </row>
    <row r="8473" ht="15.0" hidden="1" customHeight="1">
      <c r="A8473" s="49" t="s">
        <v>226</v>
      </c>
      <c r="B8473" s="50">
        <v>45381.0</v>
      </c>
      <c r="C8473" s="49" t="s">
        <v>780</v>
      </c>
      <c r="D8473" s="49">
        <v>-85000.0</v>
      </c>
    </row>
    <row r="8474" ht="15.0" hidden="1" customHeight="1">
      <c r="A8474" s="49" t="s">
        <v>231</v>
      </c>
      <c r="B8474" s="50">
        <v>45381.0</v>
      </c>
      <c r="C8474" s="49" t="s">
        <v>780</v>
      </c>
      <c r="D8474" s="49">
        <v>0.0</v>
      </c>
    </row>
    <row r="8475" ht="15.0" hidden="1" customHeight="1">
      <c r="A8475" s="49" t="s">
        <v>236</v>
      </c>
      <c r="B8475" s="50">
        <v>45381.0</v>
      </c>
      <c r="C8475" s="49" t="s">
        <v>780</v>
      </c>
      <c r="D8475" s="49">
        <v>0.0</v>
      </c>
    </row>
    <row r="8476" ht="15.0" hidden="1" customHeight="1">
      <c r="A8476" s="49" t="s">
        <v>242</v>
      </c>
      <c r="B8476" s="50">
        <v>45381.0</v>
      </c>
      <c r="C8476" s="49" t="s">
        <v>780</v>
      </c>
      <c r="D8476" s="49">
        <v>-1200000.0</v>
      </c>
    </row>
    <row r="8477" ht="15.0" hidden="1" customHeight="1">
      <c r="A8477" s="49" t="s">
        <v>248</v>
      </c>
      <c r="B8477" s="50">
        <v>45381.0</v>
      </c>
      <c r="C8477" s="49" t="s">
        <v>780</v>
      </c>
      <c r="D8477" s="49">
        <v>0.0</v>
      </c>
    </row>
    <row r="8478" ht="15.0" hidden="1" customHeight="1">
      <c r="A8478" s="49" t="s">
        <v>253</v>
      </c>
      <c r="B8478" s="50">
        <v>45381.0</v>
      </c>
      <c r="C8478" s="49" t="s">
        <v>780</v>
      </c>
      <c r="D8478" s="49">
        <v>0.0</v>
      </c>
    </row>
    <row r="8479" ht="15.0" hidden="1" customHeight="1">
      <c r="A8479" s="49" t="s">
        <v>258</v>
      </c>
      <c r="B8479" s="50">
        <v>45381.0</v>
      </c>
      <c r="C8479" s="49" t="s">
        <v>780</v>
      </c>
      <c r="D8479" s="49">
        <v>0.0</v>
      </c>
    </row>
    <row r="8480" ht="15.0" hidden="1" customHeight="1">
      <c r="A8480" s="49" t="s">
        <v>263</v>
      </c>
      <c r="B8480" s="50">
        <v>45381.0</v>
      </c>
      <c r="C8480" s="49" t="s">
        <v>780</v>
      </c>
      <c r="D8480" s="49">
        <v>0.0</v>
      </c>
    </row>
    <row r="8481" ht="15.0" hidden="1" customHeight="1">
      <c r="A8481" s="49" t="s">
        <v>268</v>
      </c>
      <c r="B8481" s="50">
        <v>45381.0</v>
      </c>
      <c r="C8481" s="49" t="s">
        <v>780</v>
      </c>
      <c r="D8481" s="49">
        <v>0.0</v>
      </c>
    </row>
    <row r="8482" ht="15.0" hidden="1" customHeight="1">
      <c r="A8482" s="49" t="s">
        <v>273</v>
      </c>
      <c r="B8482" s="50">
        <v>45381.0</v>
      </c>
      <c r="C8482" s="49" t="s">
        <v>780</v>
      </c>
      <c r="D8482" s="49">
        <v>0.0</v>
      </c>
    </row>
    <row r="8483" ht="15.0" hidden="1" customHeight="1">
      <c r="A8483" s="49" t="s">
        <v>278</v>
      </c>
      <c r="B8483" s="50">
        <v>45381.0</v>
      </c>
      <c r="C8483" s="49" t="s">
        <v>780</v>
      </c>
      <c r="D8483" s="49">
        <v>0.0</v>
      </c>
    </row>
    <row r="8484" ht="15.0" hidden="1" customHeight="1">
      <c r="A8484" s="49" t="s">
        <v>283</v>
      </c>
      <c r="B8484" s="50">
        <v>45381.0</v>
      </c>
      <c r="C8484" s="49" t="s">
        <v>780</v>
      </c>
      <c r="D8484" s="49">
        <v>0.0</v>
      </c>
    </row>
    <row r="8485" ht="15.0" hidden="1" customHeight="1">
      <c r="A8485" s="49" t="s">
        <v>288</v>
      </c>
      <c r="B8485" s="50">
        <v>45381.0</v>
      </c>
      <c r="C8485" s="49" t="s">
        <v>780</v>
      </c>
      <c r="D8485" s="49">
        <v>0.0</v>
      </c>
    </row>
    <row r="8486" ht="15.0" hidden="1" customHeight="1">
      <c r="A8486" s="49" t="s">
        <v>293</v>
      </c>
      <c r="B8486" s="50">
        <v>45381.0</v>
      </c>
      <c r="C8486" s="49" t="s">
        <v>780</v>
      </c>
      <c r="D8486" s="49">
        <v>0.0</v>
      </c>
    </row>
    <row r="8487" ht="15.0" hidden="1" customHeight="1">
      <c r="A8487" s="49" t="s">
        <v>298</v>
      </c>
      <c r="B8487" s="50">
        <v>45381.0</v>
      </c>
      <c r="C8487" s="49" t="s">
        <v>780</v>
      </c>
      <c r="D8487" s="49">
        <v>0.0</v>
      </c>
    </row>
    <row r="8488" ht="15.0" hidden="1" customHeight="1">
      <c r="A8488" s="49" t="s">
        <v>303</v>
      </c>
      <c r="B8488" s="50">
        <v>45381.0</v>
      </c>
      <c r="C8488" s="49" t="s">
        <v>780</v>
      </c>
      <c r="D8488" s="49">
        <v>0.0</v>
      </c>
    </row>
    <row r="8489" ht="15.0" hidden="1" customHeight="1">
      <c r="A8489" s="49" t="s">
        <v>307</v>
      </c>
      <c r="B8489" s="50">
        <v>45381.0</v>
      </c>
      <c r="C8489" s="49" t="s">
        <v>780</v>
      </c>
      <c r="D8489" s="49">
        <v>0.0</v>
      </c>
    </row>
    <row r="8490" ht="15.0" hidden="1" customHeight="1">
      <c r="A8490" s="49" t="s">
        <v>313</v>
      </c>
      <c r="B8490" s="50">
        <v>45381.0</v>
      </c>
      <c r="C8490" s="49" t="s">
        <v>780</v>
      </c>
      <c r="D8490" s="49">
        <v>0.0</v>
      </c>
    </row>
    <row r="8491" ht="15.0" hidden="1" customHeight="1">
      <c r="A8491" s="49" t="s">
        <v>318</v>
      </c>
      <c r="B8491" s="50">
        <v>45381.0</v>
      </c>
      <c r="C8491" s="49" t="s">
        <v>780</v>
      </c>
      <c r="D8491" s="49">
        <v>0.0</v>
      </c>
    </row>
    <row r="8492" ht="15.0" hidden="1" customHeight="1">
      <c r="A8492" s="49" t="s">
        <v>323</v>
      </c>
      <c r="B8492" s="50">
        <v>45381.0</v>
      </c>
      <c r="C8492" s="49" t="s">
        <v>780</v>
      </c>
      <c r="D8492" s="49">
        <v>-42000.0</v>
      </c>
    </row>
    <row r="8493" ht="15.0" hidden="1" customHeight="1">
      <c r="A8493" s="49" t="s">
        <v>328</v>
      </c>
      <c r="B8493" s="50">
        <v>45381.0</v>
      </c>
      <c r="C8493" s="49" t="s">
        <v>780</v>
      </c>
      <c r="D8493" s="49">
        <v>-200000.0</v>
      </c>
    </row>
    <row r="8494" ht="15.0" hidden="1" customHeight="1">
      <c r="A8494" s="49" t="s">
        <v>335</v>
      </c>
      <c r="B8494" s="50">
        <v>45381.0</v>
      </c>
      <c r="C8494" s="49" t="s">
        <v>780</v>
      </c>
      <c r="D8494" s="49">
        <v>0.0</v>
      </c>
    </row>
    <row r="8495" ht="15.0" hidden="1" customHeight="1">
      <c r="A8495" s="49" t="s">
        <v>340</v>
      </c>
      <c r="B8495" s="50">
        <v>45381.0</v>
      </c>
      <c r="C8495" s="49" t="s">
        <v>780</v>
      </c>
      <c r="D8495" s="49">
        <v>0.0</v>
      </c>
    </row>
    <row r="8496" ht="15.0" hidden="1" customHeight="1">
      <c r="A8496" s="49" t="s">
        <v>345</v>
      </c>
      <c r="B8496" s="50">
        <v>45381.0</v>
      </c>
      <c r="C8496" s="49" t="s">
        <v>780</v>
      </c>
      <c r="D8496" s="49">
        <v>0.0</v>
      </c>
    </row>
    <row r="8497" ht="15.0" hidden="1" customHeight="1">
      <c r="A8497" s="49" t="s">
        <v>350</v>
      </c>
      <c r="B8497" s="50">
        <v>45381.0</v>
      </c>
      <c r="C8497" s="49" t="s">
        <v>780</v>
      </c>
      <c r="D8497" s="49">
        <v>0.0</v>
      </c>
    </row>
    <row r="8498" ht="15.0" hidden="1" customHeight="1">
      <c r="A8498" s="49" t="s">
        <v>355</v>
      </c>
      <c r="B8498" s="50">
        <v>45381.0</v>
      </c>
      <c r="C8498" s="49" t="s">
        <v>780</v>
      </c>
      <c r="D8498" s="49">
        <v>-108000.0</v>
      </c>
    </row>
    <row r="8499" ht="15.0" hidden="1" customHeight="1">
      <c r="A8499" s="49" t="s">
        <v>360</v>
      </c>
      <c r="B8499" s="50">
        <v>45381.0</v>
      </c>
      <c r="C8499" s="49" t="s">
        <v>780</v>
      </c>
      <c r="D8499" s="49">
        <v>0.0</v>
      </c>
    </row>
    <row r="8500" ht="15.0" hidden="1" customHeight="1">
      <c r="A8500" s="49" t="s">
        <v>365</v>
      </c>
      <c r="B8500" s="50">
        <v>45381.0</v>
      </c>
      <c r="C8500" s="49" t="s">
        <v>780</v>
      </c>
      <c r="D8500" s="49">
        <v>-500000.0</v>
      </c>
    </row>
    <row r="8501" ht="15.0" hidden="1" customHeight="1">
      <c r="A8501" s="49" t="s">
        <v>370</v>
      </c>
      <c r="B8501" s="50">
        <v>45381.0</v>
      </c>
      <c r="C8501" s="49" t="s">
        <v>780</v>
      </c>
      <c r="D8501" s="49">
        <v>-477445.23</v>
      </c>
    </row>
    <row r="8502" ht="15.0" hidden="1" customHeight="1">
      <c r="A8502" s="49" t="s">
        <v>375</v>
      </c>
      <c r="B8502" s="50">
        <v>45381.0</v>
      </c>
      <c r="C8502" s="49" t="s">
        <v>780</v>
      </c>
      <c r="D8502" s="49">
        <v>-778747.95</v>
      </c>
    </row>
    <row r="8503" ht="15.0" hidden="1" customHeight="1">
      <c r="A8503" s="49" t="s">
        <v>380</v>
      </c>
      <c r="B8503" s="50">
        <v>45381.0</v>
      </c>
      <c r="C8503" s="49" t="s">
        <v>780</v>
      </c>
      <c r="D8503" s="49">
        <v>-562500.0</v>
      </c>
    </row>
    <row r="8504" ht="15.0" hidden="1" customHeight="1">
      <c r="A8504" s="49" t="s">
        <v>385</v>
      </c>
      <c r="B8504" s="50">
        <v>45381.0</v>
      </c>
      <c r="C8504" s="49" t="s">
        <v>780</v>
      </c>
      <c r="D8504" s="49">
        <v>-3200000.0</v>
      </c>
    </row>
    <row r="8505" ht="15.0" hidden="1" customHeight="1">
      <c r="A8505" s="49" t="s">
        <v>390</v>
      </c>
      <c r="B8505" s="50">
        <v>45381.0</v>
      </c>
      <c r="C8505" s="49" t="s">
        <v>780</v>
      </c>
      <c r="D8505" s="49">
        <v>-1056671.22</v>
      </c>
    </row>
    <row r="8506" ht="15.0" hidden="1" customHeight="1">
      <c r="A8506" s="49" t="s">
        <v>395</v>
      </c>
      <c r="B8506" s="50">
        <v>45381.0</v>
      </c>
      <c r="C8506" s="49" t="s">
        <v>780</v>
      </c>
      <c r="D8506" s="49">
        <v>0.0</v>
      </c>
    </row>
    <row r="8507" ht="15.0" hidden="1" customHeight="1">
      <c r="A8507" s="49" t="s">
        <v>400</v>
      </c>
      <c r="B8507" s="50">
        <v>45381.0</v>
      </c>
      <c r="C8507" s="49" t="s">
        <v>780</v>
      </c>
      <c r="D8507" s="49">
        <v>-350000.0</v>
      </c>
    </row>
    <row r="8508" ht="15.0" hidden="1" customHeight="1">
      <c r="A8508" s="49" t="s">
        <v>405</v>
      </c>
      <c r="B8508" s="50">
        <v>45381.0</v>
      </c>
      <c r="C8508" s="49" t="s">
        <v>780</v>
      </c>
      <c r="D8508" s="49">
        <v>-1000000.0</v>
      </c>
    </row>
    <row r="8509" ht="15.0" hidden="1" customHeight="1">
      <c r="A8509" s="49" t="s">
        <v>410</v>
      </c>
      <c r="B8509" s="50">
        <v>45381.0</v>
      </c>
      <c r="C8509" s="49" t="s">
        <v>780</v>
      </c>
      <c r="D8509" s="49">
        <v>-395239.0</v>
      </c>
    </row>
    <row r="8510" ht="15.0" hidden="1" customHeight="1">
      <c r="A8510" s="49" t="s">
        <v>415</v>
      </c>
      <c r="B8510" s="50">
        <v>45381.0</v>
      </c>
      <c r="C8510" s="49" t="s">
        <v>780</v>
      </c>
      <c r="D8510" s="49">
        <v>-700000.0</v>
      </c>
    </row>
    <row r="8511" ht="15.0" hidden="1" customHeight="1">
      <c r="A8511" s="49" t="s">
        <v>420</v>
      </c>
      <c r="B8511" s="50">
        <v>45381.0</v>
      </c>
      <c r="C8511" s="49" t="s">
        <v>780</v>
      </c>
      <c r="D8511" s="49">
        <v>-605350.0</v>
      </c>
    </row>
    <row r="8512" ht="15.0" hidden="1" customHeight="1">
      <c r="A8512" s="49" t="s">
        <v>425</v>
      </c>
      <c r="B8512" s="50">
        <v>45381.0</v>
      </c>
      <c r="C8512" s="49" t="s">
        <v>780</v>
      </c>
      <c r="D8512" s="49">
        <v>-250000.0</v>
      </c>
    </row>
    <row r="8513" ht="15.0" hidden="1" customHeight="1">
      <c r="A8513" s="49" t="s">
        <v>430</v>
      </c>
      <c r="B8513" s="50">
        <v>45381.0</v>
      </c>
      <c r="C8513" s="49" t="s">
        <v>780</v>
      </c>
      <c r="D8513" s="49">
        <v>-500000.0</v>
      </c>
    </row>
    <row r="8514" ht="15.0" hidden="1" customHeight="1">
      <c r="A8514" s="49" t="s">
        <v>434</v>
      </c>
      <c r="B8514" s="50">
        <v>45381.0</v>
      </c>
      <c r="C8514" s="49" t="s">
        <v>780</v>
      </c>
      <c r="D8514" s="49">
        <v>-500000.0</v>
      </c>
    </row>
    <row r="8515" ht="15.0" hidden="1" customHeight="1">
      <c r="A8515" s="49" t="s">
        <v>439</v>
      </c>
      <c r="B8515" s="50">
        <v>45381.0</v>
      </c>
      <c r="C8515" s="49" t="s">
        <v>780</v>
      </c>
      <c r="D8515" s="49">
        <v>-800000.0</v>
      </c>
    </row>
    <row r="8516" ht="15.0" hidden="1" customHeight="1">
      <c r="A8516" s="49" t="s">
        <v>444</v>
      </c>
      <c r="B8516" s="50">
        <v>45381.0</v>
      </c>
      <c r="C8516" s="49" t="s">
        <v>780</v>
      </c>
      <c r="D8516" s="49">
        <v>-215000.0</v>
      </c>
    </row>
    <row r="8517" ht="15.0" hidden="1" customHeight="1">
      <c r="A8517" s="49" t="s">
        <v>449</v>
      </c>
      <c r="B8517" s="50">
        <v>45381.0</v>
      </c>
      <c r="C8517" s="49" t="s">
        <v>780</v>
      </c>
      <c r="D8517" s="49">
        <v>-4000000.0</v>
      </c>
    </row>
    <row r="8518" ht="15.0" hidden="1" customHeight="1">
      <c r="A8518" s="49" t="s">
        <v>455</v>
      </c>
      <c r="B8518" s="50">
        <v>45381.0</v>
      </c>
      <c r="C8518" s="49" t="s">
        <v>780</v>
      </c>
      <c r="D8518" s="49">
        <v>-731800.0</v>
      </c>
    </row>
    <row r="8519" ht="15.0" hidden="1" customHeight="1">
      <c r="A8519" s="49" t="s">
        <v>470</v>
      </c>
      <c r="B8519" s="50">
        <v>45381.0</v>
      </c>
      <c r="C8519" s="49" t="s">
        <v>780</v>
      </c>
      <c r="D8519" s="49">
        <v>-150000.0</v>
      </c>
    </row>
    <row r="8520" ht="15.0" hidden="1" customHeight="1">
      <c r="A8520" s="49" t="s">
        <v>476</v>
      </c>
      <c r="B8520" s="50">
        <v>45381.0</v>
      </c>
      <c r="C8520" s="49" t="s">
        <v>780</v>
      </c>
      <c r="D8520" s="49">
        <v>-4000000.0</v>
      </c>
    </row>
    <row r="8521" ht="15.0" hidden="1" customHeight="1">
      <c r="A8521" s="49" t="s">
        <v>481</v>
      </c>
      <c r="B8521" s="50">
        <v>45381.0</v>
      </c>
      <c r="C8521" s="49" t="s">
        <v>780</v>
      </c>
      <c r="D8521" s="49">
        <v>-150000.0</v>
      </c>
    </row>
    <row r="8522" ht="15.0" hidden="1" customHeight="1">
      <c r="A8522" s="49" t="s">
        <v>486</v>
      </c>
      <c r="B8522" s="50">
        <v>45381.0</v>
      </c>
      <c r="C8522" s="49" t="s">
        <v>780</v>
      </c>
      <c r="D8522" s="49">
        <v>275000.0</v>
      </c>
    </row>
    <row r="8523" ht="15.0" hidden="1" customHeight="1">
      <c r="A8523" s="49" t="s">
        <v>491</v>
      </c>
      <c r="B8523" s="50">
        <v>45381.0</v>
      </c>
      <c r="C8523" s="49" t="s">
        <v>780</v>
      </c>
      <c r="D8523" s="49">
        <v>635343.0</v>
      </c>
    </row>
    <row r="8524" ht="15.0" hidden="1" customHeight="1">
      <c r="A8524" s="49" t="s">
        <v>496</v>
      </c>
      <c r="B8524" s="50">
        <v>45381.0</v>
      </c>
      <c r="C8524" s="49" t="s">
        <v>780</v>
      </c>
      <c r="D8524" s="49">
        <v>840310.0</v>
      </c>
    </row>
    <row r="8525" ht="15.0" hidden="1" customHeight="1">
      <c r="A8525" s="49" t="s">
        <v>501</v>
      </c>
      <c r="B8525" s="50">
        <v>45381.0</v>
      </c>
      <c r="C8525" s="49" t="s">
        <v>780</v>
      </c>
      <c r="D8525" s="49">
        <v>425000.0</v>
      </c>
    </row>
    <row r="8526" ht="15.0" hidden="1" customHeight="1">
      <c r="A8526" s="49" t="s">
        <v>506</v>
      </c>
      <c r="B8526" s="50">
        <v>45381.0</v>
      </c>
      <c r="C8526" s="49" t="s">
        <v>780</v>
      </c>
      <c r="D8526" s="49">
        <v>1290373.28</v>
      </c>
    </row>
    <row r="8527" ht="15.0" hidden="1" customHeight="1">
      <c r="A8527" s="49" t="s">
        <v>512</v>
      </c>
      <c r="B8527" s="50">
        <v>45381.0</v>
      </c>
      <c r="C8527" s="49" t="s">
        <v>780</v>
      </c>
      <c r="D8527" s="49">
        <v>1644300.0</v>
      </c>
    </row>
    <row r="8528" ht="15.0" hidden="1" customHeight="1">
      <c r="A8528" s="49" t="s">
        <v>517</v>
      </c>
      <c r="B8528" s="50">
        <v>45381.0</v>
      </c>
      <c r="C8528" s="49" t="s">
        <v>780</v>
      </c>
      <c r="D8528" s="49">
        <v>1000000.0</v>
      </c>
    </row>
    <row r="8529" ht="15.0" hidden="1" customHeight="1">
      <c r="A8529" s="49" t="s">
        <v>522</v>
      </c>
      <c r="B8529" s="50">
        <v>45381.0</v>
      </c>
      <c r="C8529" s="49" t="s">
        <v>780</v>
      </c>
      <c r="D8529" s="49">
        <v>0.0</v>
      </c>
    </row>
    <row r="8530" ht="15.0" hidden="1" customHeight="1">
      <c r="A8530" s="49" t="s">
        <v>528</v>
      </c>
      <c r="B8530" s="50">
        <v>45381.0</v>
      </c>
      <c r="C8530" s="49" t="s">
        <v>780</v>
      </c>
      <c r="D8530" s="49">
        <v>0.0</v>
      </c>
    </row>
    <row r="8531" ht="15.0" hidden="1" customHeight="1">
      <c r="A8531" s="49" t="s">
        <v>533</v>
      </c>
      <c r="B8531" s="50">
        <v>45381.0</v>
      </c>
      <c r="C8531" s="49" t="s">
        <v>780</v>
      </c>
      <c r="D8531" s="49">
        <v>0.0</v>
      </c>
    </row>
    <row r="8532" ht="15.0" hidden="1" customHeight="1">
      <c r="A8532" s="49" t="s">
        <v>538</v>
      </c>
      <c r="B8532" s="50">
        <v>45381.0</v>
      </c>
      <c r="C8532" s="49" t="s">
        <v>780</v>
      </c>
      <c r="D8532" s="49">
        <v>0.0</v>
      </c>
    </row>
    <row r="8533" ht="15.0" hidden="1" customHeight="1">
      <c r="A8533" s="49" t="s">
        <v>546</v>
      </c>
      <c r="B8533" s="50">
        <v>45381.0</v>
      </c>
      <c r="C8533" s="49" t="s">
        <v>780</v>
      </c>
      <c r="D8533" s="49">
        <v>0.0</v>
      </c>
    </row>
    <row r="8534" ht="15.0" hidden="1" customHeight="1">
      <c r="A8534" s="49" t="s">
        <v>551</v>
      </c>
      <c r="B8534" s="50">
        <v>45381.0</v>
      </c>
      <c r="C8534" s="49" t="s">
        <v>780</v>
      </c>
      <c r="D8534" s="49">
        <v>0.0</v>
      </c>
    </row>
    <row r="8535" ht="15.0" hidden="1" customHeight="1">
      <c r="A8535" s="49" t="s">
        <v>556</v>
      </c>
      <c r="B8535" s="50">
        <v>45381.0</v>
      </c>
      <c r="C8535" s="49" t="s">
        <v>780</v>
      </c>
      <c r="D8535" s="49">
        <v>0.0</v>
      </c>
    </row>
    <row r="8536" ht="15.0" hidden="1" customHeight="1">
      <c r="A8536" s="49" t="s">
        <v>561</v>
      </c>
      <c r="B8536" s="50">
        <v>45381.0</v>
      </c>
      <c r="C8536" s="49" t="s">
        <v>780</v>
      </c>
      <c r="D8536" s="49">
        <v>0.0</v>
      </c>
    </row>
    <row r="8537" ht="15.0" hidden="1" customHeight="1">
      <c r="A8537" s="49" t="s">
        <v>566</v>
      </c>
      <c r="B8537" s="50">
        <v>45381.0</v>
      </c>
      <c r="C8537" s="49" t="s">
        <v>780</v>
      </c>
      <c r="D8537" s="49">
        <v>0.0</v>
      </c>
    </row>
    <row r="8538" ht="15.0" hidden="1" customHeight="1">
      <c r="A8538" s="49" t="s">
        <v>571</v>
      </c>
      <c r="B8538" s="50">
        <v>45381.0</v>
      </c>
      <c r="C8538" s="49" t="s">
        <v>780</v>
      </c>
      <c r="D8538" s="49">
        <v>0.0</v>
      </c>
    </row>
    <row r="8539" ht="15.0" hidden="1" customHeight="1">
      <c r="A8539" s="49" t="s">
        <v>576</v>
      </c>
      <c r="B8539" s="50">
        <v>45381.0</v>
      </c>
      <c r="C8539" s="49" t="s">
        <v>780</v>
      </c>
      <c r="D8539" s="49">
        <v>0.0</v>
      </c>
    </row>
    <row r="8540" ht="15.0" hidden="1" customHeight="1">
      <c r="A8540" s="49" t="s">
        <v>581</v>
      </c>
      <c r="B8540" s="50">
        <v>45381.0</v>
      </c>
      <c r="C8540" s="49" t="s">
        <v>780</v>
      </c>
      <c r="D8540" s="49">
        <v>0.0</v>
      </c>
    </row>
    <row r="8541" ht="15.0" hidden="1" customHeight="1">
      <c r="A8541" s="49" t="s">
        <v>586</v>
      </c>
      <c r="B8541" s="50">
        <v>45381.0</v>
      </c>
      <c r="C8541" s="49" t="s">
        <v>780</v>
      </c>
      <c r="D8541" s="49">
        <v>0.0</v>
      </c>
    </row>
    <row r="8542" ht="15.0" hidden="1" customHeight="1">
      <c r="A8542" s="49" t="s">
        <v>754</v>
      </c>
      <c r="B8542" s="50">
        <v>45381.0</v>
      </c>
      <c r="C8542" s="49" t="s">
        <v>780</v>
      </c>
      <c r="D8542" s="49">
        <v>0.0</v>
      </c>
    </row>
    <row r="8543" ht="15.0" hidden="1" customHeight="1">
      <c r="A8543" s="49" t="s">
        <v>591</v>
      </c>
      <c r="B8543" s="50">
        <v>45381.0</v>
      </c>
      <c r="C8543" s="49" t="s">
        <v>780</v>
      </c>
      <c r="D8543" s="49">
        <v>0.0</v>
      </c>
    </row>
    <row r="8544" ht="15.0" hidden="1" customHeight="1">
      <c r="A8544" s="49" t="s">
        <v>759</v>
      </c>
      <c r="B8544" s="50">
        <v>45381.0</v>
      </c>
      <c r="C8544" s="49" t="s">
        <v>780</v>
      </c>
      <c r="D8544" s="49">
        <v>0.0</v>
      </c>
    </row>
    <row r="8545" ht="15.0" hidden="1" customHeight="1">
      <c r="A8545" s="49" t="s">
        <v>596</v>
      </c>
      <c r="B8545" s="50">
        <v>45381.0</v>
      </c>
      <c r="C8545" s="49" t="s">
        <v>780</v>
      </c>
      <c r="D8545" s="49">
        <v>0.0</v>
      </c>
    </row>
    <row r="8546" ht="15.0" hidden="1" customHeight="1">
      <c r="A8546" s="49" t="s">
        <v>602</v>
      </c>
      <c r="B8546" s="50">
        <v>45381.0</v>
      </c>
      <c r="C8546" s="49" t="s">
        <v>780</v>
      </c>
      <c r="D8546" s="49">
        <v>0.0</v>
      </c>
    </row>
    <row r="8547" ht="15.0" hidden="1" customHeight="1">
      <c r="A8547" s="49" t="s">
        <v>607</v>
      </c>
      <c r="B8547" s="50">
        <v>45381.0</v>
      </c>
      <c r="C8547" s="49" t="s">
        <v>780</v>
      </c>
      <c r="D8547" s="49">
        <v>0.0</v>
      </c>
    </row>
    <row r="8548" ht="15.0" hidden="1" customHeight="1">
      <c r="A8548" s="49" t="s">
        <v>612</v>
      </c>
      <c r="B8548" s="50">
        <v>45381.0</v>
      </c>
      <c r="C8548" s="49" t="s">
        <v>780</v>
      </c>
      <c r="D8548" s="49">
        <v>0.0</v>
      </c>
    </row>
    <row r="8549" ht="15.0" hidden="1" customHeight="1">
      <c r="A8549" s="49" t="s">
        <v>617</v>
      </c>
      <c r="B8549" s="50">
        <v>45381.0</v>
      </c>
      <c r="C8549" s="49" t="s">
        <v>780</v>
      </c>
      <c r="D8549" s="49">
        <v>0.0</v>
      </c>
    </row>
    <row r="8550" ht="15.0" hidden="1" customHeight="1">
      <c r="A8550" s="49" t="s">
        <v>622</v>
      </c>
      <c r="B8550" s="50">
        <v>45381.0</v>
      </c>
      <c r="C8550" s="49" t="s">
        <v>780</v>
      </c>
      <c r="D8550" s="49">
        <v>0.0</v>
      </c>
    </row>
    <row r="8551" ht="15.0" hidden="1" customHeight="1">
      <c r="A8551" s="49" t="s">
        <v>627</v>
      </c>
      <c r="B8551" s="50">
        <v>45381.0</v>
      </c>
      <c r="C8551" s="49" t="s">
        <v>780</v>
      </c>
      <c r="D8551" s="49">
        <v>0.0</v>
      </c>
    </row>
    <row r="8552" ht="15.0" hidden="1" customHeight="1">
      <c r="A8552" s="49" t="s">
        <v>631</v>
      </c>
      <c r="B8552" s="50">
        <v>45381.0</v>
      </c>
      <c r="C8552" s="49" t="s">
        <v>780</v>
      </c>
      <c r="D8552" s="49">
        <v>0.0</v>
      </c>
    </row>
    <row r="8553" ht="15.0" hidden="1" customHeight="1">
      <c r="A8553" s="49" t="s">
        <v>636</v>
      </c>
      <c r="B8553" s="50">
        <v>45381.0</v>
      </c>
      <c r="C8553" s="49" t="s">
        <v>780</v>
      </c>
      <c r="D8553" s="49">
        <v>0.0</v>
      </c>
    </row>
    <row r="8554" ht="15.0" hidden="1" customHeight="1">
      <c r="A8554" s="49" t="s">
        <v>640</v>
      </c>
      <c r="B8554" s="50">
        <v>45381.0</v>
      </c>
      <c r="C8554" s="49" t="s">
        <v>780</v>
      </c>
      <c r="D8554" s="49">
        <v>0.0</v>
      </c>
    </row>
    <row r="8555" ht="15.0" hidden="1" customHeight="1">
      <c r="A8555" s="49" t="s">
        <v>644</v>
      </c>
      <c r="B8555" s="50">
        <v>45381.0</v>
      </c>
      <c r="C8555" s="49" t="s">
        <v>780</v>
      </c>
      <c r="D8555" s="49">
        <v>0.0</v>
      </c>
    </row>
    <row r="8556" ht="15.0" hidden="1" customHeight="1">
      <c r="A8556" s="49" t="s">
        <v>649</v>
      </c>
      <c r="B8556" s="50">
        <v>45381.0</v>
      </c>
      <c r="C8556" s="49" t="s">
        <v>780</v>
      </c>
      <c r="D8556" s="49">
        <v>0.0</v>
      </c>
    </row>
    <row r="8557" ht="15.0" hidden="1" customHeight="1">
      <c r="A8557" s="49" t="s">
        <v>654</v>
      </c>
      <c r="B8557" s="50">
        <v>45381.0</v>
      </c>
      <c r="C8557" s="49" t="s">
        <v>780</v>
      </c>
      <c r="D8557" s="49">
        <v>0.0</v>
      </c>
    </row>
    <row r="8558" ht="15.0" hidden="1" customHeight="1">
      <c r="A8558" s="49" t="s">
        <v>659</v>
      </c>
      <c r="B8558" s="50">
        <v>45381.0</v>
      </c>
      <c r="C8558" s="49" t="s">
        <v>780</v>
      </c>
      <c r="D8558" s="49">
        <v>0.0</v>
      </c>
    </row>
    <row r="8559" ht="15.0" hidden="1" customHeight="1">
      <c r="A8559" s="49" t="s">
        <v>664</v>
      </c>
      <c r="B8559" s="50">
        <v>45381.0</v>
      </c>
      <c r="C8559" s="49" t="s">
        <v>780</v>
      </c>
      <c r="D8559" s="49">
        <v>0.0</v>
      </c>
    </row>
    <row r="8560" ht="15.0" hidden="1" customHeight="1">
      <c r="A8560" s="49" t="s">
        <v>669</v>
      </c>
      <c r="B8560" s="50">
        <v>45381.0</v>
      </c>
      <c r="C8560" s="49" t="s">
        <v>780</v>
      </c>
      <c r="D8560" s="49">
        <v>0.0</v>
      </c>
    </row>
    <row r="8561" ht="15.0" hidden="1" customHeight="1">
      <c r="A8561" s="49" t="s">
        <v>674</v>
      </c>
      <c r="B8561" s="50">
        <v>45381.0</v>
      </c>
      <c r="C8561" s="49" t="s">
        <v>780</v>
      </c>
      <c r="D8561" s="49">
        <v>0.0</v>
      </c>
    </row>
    <row r="8562" ht="15.0" hidden="1" customHeight="1">
      <c r="A8562" s="49" t="s">
        <v>679</v>
      </c>
      <c r="B8562" s="50">
        <v>45381.0</v>
      </c>
      <c r="C8562" s="49" t="s">
        <v>780</v>
      </c>
      <c r="D8562" s="49">
        <v>0.0</v>
      </c>
    </row>
    <row r="8563" ht="15.0" hidden="1" customHeight="1">
      <c r="A8563" s="49" t="s">
        <v>684</v>
      </c>
      <c r="B8563" s="50">
        <v>45381.0</v>
      </c>
      <c r="C8563" s="49" t="s">
        <v>780</v>
      </c>
      <c r="D8563" s="49">
        <v>0.0</v>
      </c>
    </row>
    <row r="8564" ht="15.0" hidden="1" customHeight="1">
      <c r="A8564" s="49" t="s">
        <v>689</v>
      </c>
      <c r="B8564" s="50">
        <v>45381.0</v>
      </c>
      <c r="C8564" s="49" t="s">
        <v>780</v>
      </c>
      <c r="D8564" s="49">
        <v>0.0</v>
      </c>
    </row>
    <row r="8565" ht="15.0" hidden="1" customHeight="1">
      <c r="A8565" s="49" t="s">
        <v>694</v>
      </c>
      <c r="B8565" s="50">
        <v>45381.0</v>
      </c>
      <c r="C8565" s="49" t="s">
        <v>780</v>
      </c>
      <c r="D8565" s="49">
        <v>0.0</v>
      </c>
    </row>
    <row r="8566" ht="15.0" hidden="1" customHeight="1">
      <c r="A8566" s="49" t="s">
        <v>699</v>
      </c>
      <c r="B8566" s="50">
        <v>45381.0</v>
      </c>
      <c r="C8566" s="49" t="s">
        <v>780</v>
      </c>
      <c r="D8566" s="49">
        <v>0.0</v>
      </c>
    </row>
    <row r="8567" ht="15.0" hidden="1" customHeight="1">
      <c r="A8567" s="49" t="s">
        <v>705</v>
      </c>
      <c r="B8567" s="50">
        <v>45381.0</v>
      </c>
      <c r="C8567" s="49" t="s">
        <v>780</v>
      </c>
      <c r="D8567" s="49">
        <v>0.0</v>
      </c>
    </row>
    <row r="8568" ht="15.0" hidden="1" customHeight="1">
      <c r="A8568" s="49" t="s">
        <v>710</v>
      </c>
      <c r="B8568" s="50">
        <v>45381.0</v>
      </c>
      <c r="C8568" s="49" t="s">
        <v>780</v>
      </c>
      <c r="D8568" s="49">
        <v>0.0</v>
      </c>
    </row>
    <row r="8569" ht="15.0" hidden="1" customHeight="1">
      <c r="A8569" s="49" t="s">
        <v>715</v>
      </c>
      <c r="B8569" s="50">
        <v>45381.0</v>
      </c>
      <c r="C8569" s="49" t="s">
        <v>780</v>
      </c>
      <c r="D8569" s="49">
        <v>0.0</v>
      </c>
    </row>
    <row r="8570" ht="15.0" hidden="1" customHeight="1">
      <c r="A8570" s="49" t="s">
        <v>765</v>
      </c>
      <c r="B8570" s="50">
        <v>45381.0</v>
      </c>
      <c r="C8570" s="49" t="s">
        <v>780</v>
      </c>
      <c r="D8570" s="49">
        <v>0.0</v>
      </c>
    </row>
    <row r="8571" ht="15.0" hidden="1" customHeight="1">
      <c r="A8571" s="49" t="s">
        <v>720</v>
      </c>
      <c r="B8571" s="50">
        <v>45381.0</v>
      </c>
      <c r="C8571" s="49" t="s">
        <v>780</v>
      </c>
      <c r="D8571" s="49">
        <v>0.0</v>
      </c>
    </row>
    <row r="8572" ht="15.0" hidden="1" customHeight="1">
      <c r="A8572" s="49" t="s">
        <v>725</v>
      </c>
      <c r="B8572" s="50">
        <v>45381.0</v>
      </c>
      <c r="C8572" s="49" t="s">
        <v>780</v>
      </c>
      <c r="D8572" s="49">
        <v>0.0</v>
      </c>
    </row>
    <row r="8573" ht="15.0" hidden="1" customHeight="1">
      <c r="A8573" s="49" t="s">
        <v>730</v>
      </c>
      <c r="B8573" s="50">
        <v>45381.0</v>
      </c>
      <c r="C8573" s="49" t="s">
        <v>780</v>
      </c>
      <c r="D8573" s="49">
        <v>0.0</v>
      </c>
    </row>
    <row r="8574" ht="15.0" hidden="1" customHeight="1">
      <c r="A8574" s="49" t="s">
        <v>734</v>
      </c>
      <c r="B8574" s="50">
        <v>45381.0</v>
      </c>
      <c r="C8574" s="49" t="s">
        <v>780</v>
      </c>
      <c r="D8574" s="49">
        <v>0.0</v>
      </c>
    </row>
    <row r="8575" ht="15.0" hidden="1" customHeight="1">
      <c r="A8575" s="49" t="s">
        <v>739</v>
      </c>
      <c r="B8575" s="50">
        <v>45381.0</v>
      </c>
      <c r="C8575" s="49" t="s">
        <v>780</v>
      </c>
      <c r="D8575" s="49">
        <v>0.0</v>
      </c>
    </row>
    <row r="8576" ht="15.0" hidden="1" customHeight="1">
      <c r="A8576" s="49" t="s">
        <v>744</v>
      </c>
      <c r="B8576" s="50">
        <v>45381.0</v>
      </c>
      <c r="C8576" s="49" t="s">
        <v>780</v>
      </c>
      <c r="D8576" s="49">
        <v>0.0</v>
      </c>
    </row>
    <row r="8577" ht="15.0" hidden="1" customHeight="1">
      <c r="A8577" s="49" t="s">
        <v>749</v>
      </c>
      <c r="B8577" s="50">
        <v>45381.0</v>
      </c>
      <c r="C8577" s="49" t="s">
        <v>780</v>
      </c>
      <c r="D8577" s="49">
        <v>0.0</v>
      </c>
    </row>
    <row r="8578" ht="15.0" customHeight="1">
      <c r="A8578" s="49" t="s">
        <v>776</v>
      </c>
      <c r="B8578" s="50">
        <v>45473.0</v>
      </c>
      <c r="C8578" s="49" t="s">
        <v>777</v>
      </c>
      <c r="D8578" s="49">
        <v>0.0</v>
      </c>
    </row>
    <row r="8579" ht="15.0" hidden="1" customHeight="1">
      <c r="A8579" s="49" t="s">
        <v>778</v>
      </c>
      <c r="B8579" s="50">
        <v>45473.0</v>
      </c>
      <c r="C8579" s="49" t="s">
        <v>777</v>
      </c>
      <c r="D8579" s="49">
        <v>0.0</v>
      </c>
    </row>
    <row r="8580" ht="15.0" hidden="1" customHeight="1">
      <c r="A8580" s="49" t="s">
        <v>92</v>
      </c>
      <c r="B8580" s="50">
        <v>45473.0</v>
      </c>
      <c r="C8580" s="49" t="s">
        <v>777</v>
      </c>
      <c r="D8580" s="49">
        <v>0.0</v>
      </c>
    </row>
    <row r="8581" ht="15.0" hidden="1" customHeight="1">
      <c r="A8581" s="49" t="s">
        <v>97</v>
      </c>
      <c r="B8581" s="50">
        <v>45473.0</v>
      </c>
      <c r="C8581" s="49" t="s">
        <v>777</v>
      </c>
      <c r="D8581" s="49">
        <v>0.0</v>
      </c>
    </row>
    <row r="8582" ht="15.0" hidden="1" customHeight="1">
      <c r="A8582" s="49" t="s">
        <v>102</v>
      </c>
      <c r="B8582" s="50">
        <v>45473.0</v>
      </c>
      <c r="C8582" s="49" t="s">
        <v>777</v>
      </c>
      <c r="D8582" s="49">
        <v>0.0</v>
      </c>
    </row>
    <row r="8583" ht="15.0" hidden="1" customHeight="1">
      <c r="A8583" s="49" t="s">
        <v>106</v>
      </c>
      <c r="B8583" s="50">
        <v>45473.0</v>
      </c>
      <c r="C8583" s="49" t="s">
        <v>777</v>
      </c>
      <c r="D8583" s="49">
        <v>0.0</v>
      </c>
    </row>
    <row r="8584" ht="15.0" hidden="1" customHeight="1">
      <c r="A8584" s="49" t="s">
        <v>111</v>
      </c>
      <c r="B8584" s="50">
        <v>45473.0</v>
      </c>
      <c r="C8584" s="49" t="s">
        <v>777</v>
      </c>
      <c r="D8584" s="49">
        <v>0.0</v>
      </c>
    </row>
    <row r="8585" ht="15.0" hidden="1" customHeight="1">
      <c r="A8585" s="49" t="s">
        <v>116</v>
      </c>
      <c r="B8585" s="50">
        <v>45473.0</v>
      </c>
      <c r="C8585" s="49" t="s">
        <v>777</v>
      </c>
      <c r="D8585" s="49">
        <v>0.0</v>
      </c>
    </row>
    <row r="8586" ht="15.0" hidden="1" customHeight="1">
      <c r="A8586" s="49" t="s">
        <v>120</v>
      </c>
      <c r="B8586" s="50">
        <v>45473.0</v>
      </c>
      <c r="C8586" s="49" t="s">
        <v>777</v>
      </c>
      <c r="D8586" s="49">
        <v>0.0</v>
      </c>
    </row>
    <row r="8587" ht="15.0" hidden="1" customHeight="1">
      <c r="A8587" s="49" t="s">
        <v>125</v>
      </c>
      <c r="B8587" s="50">
        <v>45473.0</v>
      </c>
      <c r="C8587" s="49" t="s">
        <v>777</v>
      </c>
      <c r="D8587" s="49">
        <v>0.0</v>
      </c>
    </row>
    <row r="8588" ht="15.0" hidden="1" customHeight="1">
      <c r="A8588" s="49" t="s">
        <v>130</v>
      </c>
      <c r="B8588" s="50">
        <v>45473.0</v>
      </c>
      <c r="C8588" s="49" t="s">
        <v>777</v>
      </c>
      <c r="D8588" s="49">
        <v>0.0</v>
      </c>
    </row>
    <row r="8589" ht="15.0" hidden="1" customHeight="1">
      <c r="A8589" s="49" t="s">
        <v>137</v>
      </c>
      <c r="B8589" s="50">
        <v>45473.0</v>
      </c>
      <c r="C8589" s="49" t="s">
        <v>777</v>
      </c>
      <c r="D8589" s="49">
        <v>0.0</v>
      </c>
    </row>
    <row r="8590" ht="15.0" hidden="1" customHeight="1">
      <c r="A8590" s="49" t="s">
        <v>142</v>
      </c>
      <c r="B8590" s="50">
        <v>45473.0</v>
      </c>
      <c r="C8590" s="49" t="s">
        <v>777</v>
      </c>
      <c r="D8590" s="49">
        <v>0.0</v>
      </c>
    </row>
    <row r="8591" ht="15.0" hidden="1" customHeight="1">
      <c r="A8591" s="49" t="s">
        <v>147</v>
      </c>
      <c r="B8591" s="50">
        <v>45473.0</v>
      </c>
      <c r="C8591" s="49" t="s">
        <v>777</v>
      </c>
      <c r="D8591" s="49">
        <v>0.0</v>
      </c>
    </row>
    <row r="8592" ht="15.0" hidden="1" customHeight="1">
      <c r="A8592" s="49" t="s">
        <v>152</v>
      </c>
      <c r="B8592" s="50">
        <v>45473.0</v>
      </c>
      <c r="C8592" s="49" t="s">
        <v>777</v>
      </c>
      <c r="D8592" s="49">
        <v>0.0</v>
      </c>
    </row>
    <row r="8593" ht="15.0" hidden="1" customHeight="1">
      <c r="A8593" s="49" t="s">
        <v>157</v>
      </c>
      <c r="B8593" s="50">
        <v>45473.0</v>
      </c>
      <c r="C8593" s="49" t="s">
        <v>777</v>
      </c>
      <c r="D8593" s="49">
        <v>0.0</v>
      </c>
    </row>
    <row r="8594" ht="15.0" hidden="1" customHeight="1">
      <c r="A8594" s="49" t="s">
        <v>162</v>
      </c>
      <c r="B8594" s="50">
        <v>45473.0</v>
      </c>
      <c r="C8594" s="49" t="s">
        <v>777</v>
      </c>
      <c r="D8594" s="49">
        <v>0.0</v>
      </c>
    </row>
    <row r="8595" ht="15.0" hidden="1" customHeight="1">
      <c r="A8595" s="49" t="s">
        <v>167</v>
      </c>
      <c r="B8595" s="50">
        <v>45473.0</v>
      </c>
      <c r="C8595" s="49" t="s">
        <v>777</v>
      </c>
      <c r="D8595" s="49">
        <v>0.0</v>
      </c>
    </row>
    <row r="8596" ht="15.0" hidden="1" customHeight="1">
      <c r="A8596" s="49" t="s">
        <v>172</v>
      </c>
      <c r="B8596" s="50">
        <v>45473.0</v>
      </c>
      <c r="C8596" s="49" t="s">
        <v>777</v>
      </c>
      <c r="D8596" s="49">
        <v>0.0</v>
      </c>
    </row>
    <row r="8597" ht="15.0" hidden="1" customHeight="1">
      <c r="A8597" s="49" t="s">
        <v>177</v>
      </c>
      <c r="B8597" s="50">
        <v>45473.0</v>
      </c>
      <c r="C8597" s="49" t="s">
        <v>777</v>
      </c>
      <c r="D8597" s="49">
        <v>0.0</v>
      </c>
    </row>
    <row r="8598" ht="15.0" hidden="1" customHeight="1">
      <c r="A8598" s="49" t="s">
        <v>182</v>
      </c>
      <c r="B8598" s="50">
        <v>45473.0</v>
      </c>
      <c r="C8598" s="49" t="s">
        <v>777</v>
      </c>
      <c r="D8598" s="49">
        <v>0.0</v>
      </c>
    </row>
    <row r="8599" ht="15.0" hidden="1" customHeight="1">
      <c r="A8599" s="49" t="s">
        <v>187</v>
      </c>
      <c r="B8599" s="50">
        <v>45473.0</v>
      </c>
      <c r="C8599" s="49" t="s">
        <v>777</v>
      </c>
      <c r="D8599" s="49">
        <v>0.0</v>
      </c>
    </row>
    <row r="8600" ht="15.0" hidden="1" customHeight="1">
      <c r="A8600" s="49" t="s">
        <v>192</v>
      </c>
      <c r="B8600" s="50">
        <v>45473.0</v>
      </c>
      <c r="C8600" s="49" t="s">
        <v>777</v>
      </c>
      <c r="D8600" s="49">
        <v>0.0</v>
      </c>
    </row>
    <row r="8601" ht="15.0" hidden="1" customHeight="1">
      <c r="A8601" s="49" t="s">
        <v>197</v>
      </c>
      <c r="B8601" s="50">
        <v>45473.0</v>
      </c>
      <c r="C8601" s="49" t="s">
        <v>777</v>
      </c>
      <c r="D8601" s="49">
        <v>0.0</v>
      </c>
    </row>
    <row r="8602" ht="15.0" hidden="1" customHeight="1">
      <c r="A8602" s="49" t="s">
        <v>202</v>
      </c>
      <c r="B8602" s="50">
        <v>45473.0</v>
      </c>
      <c r="C8602" s="49" t="s">
        <v>777</v>
      </c>
      <c r="D8602" s="49">
        <v>0.0</v>
      </c>
    </row>
    <row r="8603" ht="15.0" hidden="1" customHeight="1">
      <c r="A8603" s="49" t="s">
        <v>206</v>
      </c>
      <c r="B8603" s="50">
        <v>45473.0</v>
      </c>
      <c r="C8603" s="49" t="s">
        <v>777</v>
      </c>
      <c r="D8603" s="49">
        <v>0.0</v>
      </c>
    </row>
    <row r="8604" ht="15.0" hidden="1" customHeight="1">
      <c r="A8604" s="49" t="s">
        <v>211</v>
      </c>
      <c r="B8604" s="50">
        <v>45473.0</v>
      </c>
      <c r="C8604" s="49" t="s">
        <v>777</v>
      </c>
      <c r="D8604" s="49">
        <v>0.0</v>
      </c>
    </row>
    <row r="8605" ht="15.0" hidden="1" customHeight="1">
      <c r="A8605" s="49" t="s">
        <v>779</v>
      </c>
      <c r="B8605" s="50">
        <v>45473.0</v>
      </c>
      <c r="C8605" s="49" t="s">
        <v>777</v>
      </c>
      <c r="D8605" s="49">
        <v>0.0</v>
      </c>
    </row>
    <row r="8606" ht="15.0" hidden="1" customHeight="1">
      <c r="A8606" s="49" t="s">
        <v>221</v>
      </c>
      <c r="B8606" s="50">
        <v>45473.0</v>
      </c>
      <c r="C8606" s="49" t="s">
        <v>777</v>
      </c>
      <c r="D8606" s="49">
        <v>0.0</v>
      </c>
    </row>
    <row r="8607" ht="15.0" hidden="1" customHeight="1">
      <c r="A8607" s="49" t="s">
        <v>226</v>
      </c>
      <c r="B8607" s="50">
        <v>45473.0</v>
      </c>
      <c r="C8607" s="49" t="s">
        <v>777</v>
      </c>
      <c r="D8607" s="49">
        <v>0.0</v>
      </c>
    </row>
    <row r="8608" ht="15.0" hidden="1" customHeight="1">
      <c r="A8608" s="49" t="s">
        <v>231</v>
      </c>
      <c r="B8608" s="50">
        <v>45473.0</v>
      </c>
      <c r="C8608" s="49" t="s">
        <v>777</v>
      </c>
      <c r="D8608" s="49">
        <v>0.0</v>
      </c>
    </row>
    <row r="8609" ht="15.0" hidden="1" customHeight="1">
      <c r="A8609" s="49" t="s">
        <v>236</v>
      </c>
      <c r="B8609" s="50">
        <v>45473.0</v>
      </c>
      <c r="C8609" s="49" t="s">
        <v>777</v>
      </c>
      <c r="D8609" s="49">
        <v>0.0</v>
      </c>
    </row>
    <row r="8610" ht="15.0" hidden="1" customHeight="1">
      <c r="A8610" s="49" t="s">
        <v>242</v>
      </c>
      <c r="B8610" s="50">
        <v>45473.0</v>
      </c>
      <c r="C8610" s="49" t="s">
        <v>777</v>
      </c>
      <c r="D8610" s="49">
        <v>0.0</v>
      </c>
    </row>
    <row r="8611" ht="15.0" hidden="1" customHeight="1">
      <c r="A8611" s="49" t="s">
        <v>248</v>
      </c>
      <c r="B8611" s="50">
        <v>45473.0</v>
      </c>
      <c r="C8611" s="49" t="s">
        <v>777</v>
      </c>
      <c r="D8611" s="49">
        <v>0.0</v>
      </c>
    </row>
    <row r="8612" ht="15.0" hidden="1" customHeight="1">
      <c r="A8612" s="49" t="s">
        <v>253</v>
      </c>
      <c r="B8612" s="50">
        <v>45473.0</v>
      </c>
      <c r="C8612" s="49" t="s">
        <v>777</v>
      </c>
      <c r="D8612" s="49">
        <v>0.0</v>
      </c>
    </row>
    <row r="8613" ht="15.0" hidden="1" customHeight="1">
      <c r="A8613" s="49" t="s">
        <v>258</v>
      </c>
      <c r="B8613" s="50">
        <v>45473.0</v>
      </c>
      <c r="C8613" s="49" t="s">
        <v>777</v>
      </c>
      <c r="D8613" s="49">
        <v>0.0</v>
      </c>
    </row>
    <row r="8614" ht="15.0" hidden="1" customHeight="1">
      <c r="A8614" s="49" t="s">
        <v>263</v>
      </c>
      <c r="B8614" s="50">
        <v>45473.0</v>
      </c>
      <c r="C8614" s="49" t="s">
        <v>777</v>
      </c>
      <c r="D8614" s="49">
        <v>0.0</v>
      </c>
    </row>
    <row r="8615" ht="15.0" hidden="1" customHeight="1">
      <c r="A8615" s="49" t="s">
        <v>268</v>
      </c>
      <c r="B8615" s="50">
        <v>45473.0</v>
      </c>
      <c r="C8615" s="49" t="s">
        <v>777</v>
      </c>
      <c r="D8615" s="49">
        <v>0.0</v>
      </c>
    </row>
    <row r="8616" ht="15.0" hidden="1" customHeight="1">
      <c r="A8616" s="49" t="s">
        <v>273</v>
      </c>
      <c r="B8616" s="50">
        <v>45473.0</v>
      </c>
      <c r="C8616" s="49" t="s">
        <v>777</v>
      </c>
      <c r="D8616" s="49">
        <v>0.0</v>
      </c>
    </row>
    <row r="8617" ht="15.0" hidden="1" customHeight="1">
      <c r="A8617" s="49" t="s">
        <v>278</v>
      </c>
      <c r="B8617" s="50">
        <v>45473.0</v>
      </c>
      <c r="C8617" s="49" t="s">
        <v>777</v>
      </c>
      <c r="D8617" s="49">
        <v>0.0</v>
      </c>
    </row>
    <row r="8618" ht="15.0" hidden="1" customHeight="1">
      <c r="A8618" s="49" t="s">
        <v>283</v>
      </c>
      <c r="B8618" s="50">
        <v>45473.0</v>
      </c>
      <c r="C8618" s="49" t="s">
        <v>777</v>
      </c>
      <c r="D8618" s="49">
        <v>0.0</v>
      </c>
    </row>
    <row r="8619" ht="15.0" hidden="1" customHeight="1">
      <c r="A8619" s="49" t="s">
        <v>288</v>
      </c>
      <c r="B8619" s="50">
        <v>45473.0</v>
      </c>
      <c r="C8619" s="49" t="s">
        <v>777</v>
      </c>
      <c r="D8619" s="49">
        <v>0.0</v>
      </c>
    </row>
    <row r="8620" ht="15.0" hidden="1" customHeight="1">
      <c r="A8620" s="49" t="s">
        <v>293</v>
      </c>
      <c r="B8620" s="50">
        <v>45473.0</v>
      </c>
      <c r="C8620" s="49" t="s">
        <v>777</v>
      </c>
      <c r="D8620" s="49">
        <v>0.0</v>
      </c>
    </row>
    <row r="8621" ht="15.0" hidden="1" customHeight="1">
      <c r="A8621" s="49" t="s">
        <v>298</v>
      </c>
      <c r="B8621" s="50">
        <v>45473.0</v>
      </c>
      <c r="C8621" s="49" t="s">
        <v>777</v>
      </c>
      <c r="D8621" s="49">
        <v>0.0</v>
      </c>
    </row>
    <row r="8622" ht="15.0" hidden="1" customHeight="1">
      <c r="A8622" s="49" t="s">
        <v>303</v>
      </c>
      <c r="B8622" s="50">
        <v>45473.0</v>
      </c>
      <c r="C8622" s="49" t="s">
        <v>777</v>
      </c>
      <c r="D8622" s="49">
        <v>0.0</v>
      </c>
    </row>
    <row r="8623" ht="15.0" hidden="1" customHeight="1">
      <c r="A8623" s="49" t="s">
        <v>307</v>
      </c>
      <c r="B8623" s="50">
        <v>45473.0</v>
      </c>
      <c r="C8623" s="49" t="s">
        <v>777</v>
      </c>
      <c r="D8623" s="49">
        <v>0.0</v>
      </c>
    </row>
    <row r="8624" ht="15.0" hidden="1" customHeight="1">
      <c r="A8624" s="49" t="s">
        <v>313</v>
      </c>
      <c r="B8624" s="50">
        <v>45473.0</v>
      </c>
      <c r="C8624" s="49" t="s">
        <v>777</v>
      </c>
      <c r="D8624" s="49">
        <v>0.0</v>
      </c>
    </row>
    <row r="8625" ht="15.0" hidden="1" customHeight="1">
      <c r="A8625" s="49" t="s">
        <v>318</v>
      </c>
      <c r="B8625" s="50">
        <v>45473.0</v>
      </c>
      <c r="C8625" s="49" t="s">
        <v>777</v>
      </c>
      <c r="D8625" s="49">
        <v>0.0</v>
      </c>
    </row>
    <row r="8626" ht="15.0" hidden="1" customHeight="1">
      <c r="A8626" s="49" t="s">
        <v>323</v>
      </c>
      <c r="B8626" s="50">
        <v>45473.0</v>
      </c>
      <c r="C8626" s="49" t="s">
        <v>777</v>
      </c>
      <c r="D8626" s="49">
        <v>0.0</v>
      </c>
    </row>
    <row r="8627" ht="15.0" hidden="1" customHeight="1">
      <c r="A8627" s="49" t="s">
        <v>328</v>
      </c>
      <c r="B8627" s="50">
        <v>45473.0</v>
      </c>
      <c r="C8627" s="49" t="s">
        <v>777</v>
      </c>
      <c r="D8627" s="49">
        <v>0.0</v>
      </c>
    </row>
    <row r="8628" ht="15.0" hidden="1" customHeight="1">
      <c r="A8628" s="49" t="s">
        <v>335</v>
      </c>
      <c r="B8628" s="50">
        <v>45473.0</v>
      </c>
      <c r="C8628" s="49" t="s">
        <v>777</v>
      </c>
      <c r="D8628" s="49">
        <v>0.0</v>
      </c>
    </row>
    <row r="8629" ht="15.0" hidden="1" customHeight="1">
      <c r="A8629" s="49" t="s">
        <v>340</v>
      </c>
      <c r="B8629" s="50">
        <v>45473.0</v>
      </c>
      <c r="C8629" s="49" t="s">
        <v>777</v>
      </c>
      <c r="D8629" s="49">
        <v>0.0</v>
      </c>
    </row>
    <row r="8630" ht="15.0" hidden="1" customHeight="1">
      <c r="A8630" s="49" t="s">
        <v>345</v>
      </c>
      <c r="B8630" s="50">
        <v>45473.0</v>
      </c>
      <c r="C8630" s="49" t="s">
        <v>777</v>
      </c>
      <c r="D8630" s="49">
        <v>0.0</v>
      </c>
    </row>
    <row r="8631" ht="15.0" hidden="1" customHeight="1">
      <c r="A8631" s="49" t="s">
        <v>350</v>
      </c>
      <c r="B8631" s="50">
        <v>45473.0</v>
      </c>
      <c r="C8631" s="49" t="s">
        <v>777</v>
      </c>
      <c r="D8631" s="49">
        <v>0.0</v>
      </c>
    </row>
    <row r="8632" ht="15.0" hidden="1" customHeight="1">
      <c r="A8632" s="49" t="s">
        <v>355</v>
      </c>
      <c r="B8632" s="50">
        <v>45473.0</v>
      </c>
      <c r="C8632" s="49" t="s">
        <v>777</v>
      </c>
      <c r="D8632" s="49">
        <v>0.0</v>
      </c>
    </row>
    <row r="8633" ht="15.0" hidden="1" customHeight="1">
      <c r="A8633" s="49" t="s">
        <v>360</v>
      </c>
      <c r="B8633" s="50">
        <v>45473.0</v>
      </c>
      <c r="C8633" s="49" t="s">
        <v>777</v>
      </c>
      <c r="D8633" s="49">
        <v>0.0</v>
      </c>
    </row>
    <row r="8634" ht="15.0" hidden="1" customHeight="1">
      <c r="A8634" s="49" t="s">
        <v>365</v>
      </c>
      <c r="B8634" s="50">
        <v>45473.0</v>
      </c>
      <c r="C8634" s="49" t="s">
        <v>777</v>
      </c>
      <c r="D8634" s="49">
        <v>0.0</v>
      </c>
    </row>
    <row r="8635" ht="15.0" hidden="1" customHeight="1">
      <c r="A8635" s="49" t="s">
        <v>370</v>
      </c>
      <c r="B8635" s="50">
        <v>45473.0</v>
      </c>
      <c r="C8635" s="49" t="s">
        <v>777</v>
      </c>
      <c r="D8635" s="49">
        <v>0.0</v>
      </c>
    </row>
    <row r="8636" ht="15.0" hidden="1" customHeight="1">
      <c r="A8636" s="49" t="s">
        <v>375</v>
      </c>
      <c r="B8636" s="50">
        <v>45473.0</v>
      </c>
      <c r="C8636" s="49" t="s">
        <v>777</v>
      </c>
      <c r="D8636" s="49">
        <v>0.0</v>
      </c>
    </row>
    <row r="8637" ht="15.0" hidden="1" customHeight="1">
      <c r="A8637" s="49" t="s">
        <v>380</v>
      </c>
      <c r="B8637" s="50">
        <v>45473.0</v>
      </c>
      <c r="C8637" s="49" t="s">
        <v>777</v>
      </c>
      <c r="D8637" s="49">
        <v>0.0</v>
      </c>
    </row>
    <row r="8638" ht="15.0" hidden="1" customHeight="1">
      <c r="A8638" s="49" t="s">
        <v>385</v>
      </c>
      <c r="B8638" s="50">
        <v>45473.0</v>
      </c>
      <c r="C8638" s="49" t="s">
        <v>777</v>
      </c>
      <c r="D8638" s="49">
        <v>0.0</v>
      </c>
    </row>
    <row r="8639" ht="15.0" hidden="1" customHeight="1">
      <c r="A8639" s="49" t="s">
        <v>390</v>
      </c>
      <c r="B8639" s="50">
        <v>45473.0</v>
      </c>
      <c r="C8639" s="49" t="s">
        <v>777</v>
      </c>
      <c r="D8639" s="49">
        <v>0.0</v>
      </c>
    </row>
    <row r="8640" ht="15.0" hidden="1" customHeight="1">
      <c r="A8640" s="49" t="s">
        <v>395</v>
      </c>
      <c r="B8640" s="50">
        <v>45473.0</v>
      </c>
      <c r="C8640" s="49" t="s">
        <v>777</v>
      </c>
      <c r="D8640" s="49">
        <v>0.0</v>
      </c>
    </row>
    <row r="8641" ht="15.0" hidden="1" customHeight="1">
      <c r="A8641" s="49" t="s">
        <v>400</v>
      </c>
      <c r="B8641" s="50">
        <v>45473.0</v>
      </c>
      <c r="C8641" s="49" t="s">
        <v>777</v>
      </c>
      <c r="D8641" s="49">
        <v>0.0</v>
      </c>
    </row>
    <row r="8642" ht="15.0" hidden="1" customHeight="1">
      <c r="A8642" s="49" t="s">
        <v>405</v>
      </c>
      <c r="B8642" s="50">
        <v>45473.0</v>
      </c>
      <c r="C8642" s="49" t="s">
        <v>777</v>
      </c>
      <c r="D8642" s="49">
        <v>0.0</v>
      </c>
    </row>
    <row r="8643" ht="15.0" hidden="1" customHeight="1">
      <c r="A8643" s="49" t="s">
        <v>410</v>
      </c>
      <c r="B8643" s="50">
        <v>45473.0</v>
      </c>
      <c r="C8643" s="49" t="s">
        <v>777</v>
      </c>
      <c r="D8643" s="49">
        <v>0.0</v>
      </c>
    </row>
    <row r="8644" ht="15.0" hidden="1" customHeight="1">
      <c r="A8644" s="49" t="s">
        <v>415</v>
      </c>
      <c r="B8644" s="50">
        <v>45473.0</v>
      </c>
      <c r="C8644" s="49" t="s">
        <v>777</v>
      </c>
      <c r="D8644" s="49">
        <v>0.0</v>
      </c>
    </row>
    <row r="8645" ht="15.0" hidden="1" customHeight="1">
      <c r="A8645" s="49" t="s">
        <v>420</v>
      </c>
      <c r="B8645" s="50">
        <v>45473.0</v>
      </c>
      <c r="C8645" s="49" t="s">
        <v>777</v>
      </c>
      <c r="D8645" s="49">
        <v>0.0</v>
      </c>
    </row>
    <row r="8646" ht="15.0" hidden="1" customHeight="1">
      <c r="A8646" s="49" t="s">
        <v>425</v>
      </c>
      <c r="B8646" s="50">
        <v>45473.0</v>
      </c>
      <c r="C8646" s="49" t="s">
        <v>777</v>
      </c>
      <c r="D8646" s="49">
        <v>0.0</v>
      </c>
    </row>
    <row r="8647" ht="15.0" hidden="1" customHeight="1">
      <c r="A8647" s="49" t="s">
        <v>430</v>
      </c>
      <c r="B8647" s="50">
        <v>45473.0</v>
      </c>
      <c r="C8647" s="49" t="s">
        <v>777</v>
      </c>
      <c r="D8647" s="49">
        <v>0.0</v>
      </c>
    </row>
    <row r="8648" ht="15.0" hidden="1" customHeight="1">
      <c r="A8648" s="49" t="s">
        <v>434</v>
      </c>
      <c r="B8648" s="50">
        <v>45473.0</v>
      </c>
      <c r="C8648" s="49" t="s">
        <v>777</v>
      </c>
      <c r="D8648" s="49">
        <v>0.0</v>
      </c>
    </row>
    <row r="8649" ht="15.0" hidden="1" customHeight="1">
      <c r="A8649" s="49" t="s">
        <v>439</v>
      </c>
      <c r="B8649" s="50">
        <v>45473.0</v>
      </c>
      <c r="C8649" s="49" t="s">
        <v>777</v>
      </c>
      <c r="D8649" s="49">
        <v>0.0</v>
      </c>
    </row>
    <row r="8650" ht="15.0" hidden="1" customHeight="1">
      <c r="A8650" s="49" t="s">
        <v>444</v>
      </c>
      <c r="B8650" s="50">
        <v>45473.0</v>
      </c>
      <c r="C8650" s="49" t="s">
        <v>777</v>
      </c>
      <c r="D8650" s="49">
        <v>0.0</v>
      </c>
    </row>
    <row r="8651" ht="15.0" hidden="1" customHeight="1">
      <c r="A8651" s="49" t="s">
        <v>449</v>
      </c>
      <c r="B8651" s="50">
        <v>45473.0</v>
      </c>
      <c r="C8651" s="49" t="s">
        <v>777</v>
      </c>
      <c r="D8651" s="49">
        <v>0.0</v>
      </c>
    </row>
    <row r="8652" ht="15.0" hidden="1" customHeight="1">
      <c r="A8652" s="49" t="s">
        <v>455</v>
      </c>
      <c r="B8652" s="50">
        <v>45473.0</v>
      </c>
      <c r="C8652" s="49" t="s">
        <v>777</v>
      </c>
      <c r="D8652" s="49">
        <v>0.0</v>
      </c>
    </row>
    <row r="8653" ht="15.0" hidden="1" customHeight="1">
      <c r="A8653" s="49" t="s">
        <v>470</v>
      </c>
      <c r="B8653" s="50">
        <v>45473.0</v>
      </c>
      <c r="C8653" s="49" t="s">
        <v>777</v>
      </c>
      <c r="D8653" s="49">
        <v>0.0</v>
      </c>
    </row>
    <row r="8654" ht="15.0" hidden="1" customHeight="1">
      <c r="A8654" s="49" t="s">
        <v>476</v>
      </c>
      <c r="B8654" s="50">
        <v>45473.0</v>
      </c>
      <c r="C8654" s="49" t="s">
        <v>777</v>
      </c>
      <c r="D8654" s="49">
        <v>0.0</v>
      </c>
    </row>
    <row r="8655" ht="15.0" hidden="1" customHeight="1">
      <c r="A8655" s="49" t="s">
        <v>481</v>
      </c>
      <c r="B8655" s="50">
        <v>45473.0</v>
      </c>
      <c r="C8655" s="49" t="s">
        <v>777</v>
      </c>
      <c r="D8655" s="49">
        <v>0.0</v>
      </c>
    </row>
    <row r="8656" ht="15.0" hidden="1" customHeight="1">
      <c r="A8656" s="49" t="s">
        <v>486</v>
      </c>
      <c r="B8656" s="50">
        <v>45473.0</v>
      </c>
      <c r="C8656" s="49" t="s">
        <v>777</v>
      </c>
      <c r="D8656" s="49">
        <v>0.0</v>
      </c>
    </row>
    <row r="8657" ht="15.0" hidden="1" customHeight="1">
      <c r="A8657" s="49" t="s">
        <v>491</v>
      </c>
      <c r="B8657" s="50">
        <v>45473.0</v>
      </c>
      <c r="C8657" s="49" t="s">
        <v>777</v>
      </c>
      <c r="D8657" s="49">
        <v>0.0</v>
      </c>
    </row>
    <row r="8658" ht="15.0" hidden="1" customHeight="1">
      <c r="A8658" s="49" t="s">
        <v>496</v>
      </c>
      <c r="B8658" s="50">
        <v>45473.0</v>
      </c>
      <c r="C8658" s="49" t="s">
        <v>777</v>
      </c>
      <c r="D8658" s="49">
        <v>0.0</v>
      </c>
    </row>
    <row r="8659" ht="15.0" hidden="1" customHeight="1">
      <c r="A8659" s="49" t="s">
        <v>501</v>
      </c>
      <c r="B8659" s="50">
        <v>45473.0</v>
      </c>
      <c r="C8659" s="49" t="s">
        <v>777</v>
      </c>
      <c r="D8659" s="49">
        <v>0.0</v>
      </c>
    </row>
    <row r="8660" ht="15.0" hidden="1" customHeight="1">
      <c r="A8660" s="49" t="s">
        <v>506</v>
      </c>
      <c r="B8660" s="50">
        <v>45473.0</v>
      </c>
      <c r="C8660" s="49" t="s">
        <v>777</v>
      </c>
      <c r="D8660" s="49">
        <v>0.0</v>
      </c>
    </row>
    <row r="8661" ht="15.0" hidden="1" customHeight="1">
      <c r="A8661" s="49" t="s">
        <v>512</v>
      </c>
      <c r="B8661" s="50">
        <v>45473.0</v>
      </c>
      <c r="C8661" s="49" t="s">
        <v>777</v>
      </c>
      <c r="D8661" s="49">
        <v>0.0</v>
      </c>
    </row>
    <row r="8662" ht="15.0" hidden="1" customHeight="1">
      <c r="A8662" s="49" t="s">
        <v>517</v>
      </c>
      <c r="B8662" s="50">
        <v>45473.0</v>
      </c>
      <c r="C8662" s="49" t="s">
        <v>777</v>
      </c>
      <c r="D8662" s="49">
        <v>0.0</v>
      </c>
    </row>
    <row r="8663" ht="15.0" hidden="1" customHeight="1">
      <c r="A8663" s="49" t="s">
        <v>522</v>
      </c>
      <c r="B8663" s="50">
        <v>45473.0</v>
      </c>
      <c r="C8663" s="49" t="s">
        <v>777</v>
      </c>
      <c r="D8663" s="49">
        <v>500000.0</v>
      </c>
    </row>
    <row r="8664" ht="15.0" hidden="1" customHeight="1">
      <c r="A8664" s="49" t="s">
        <v>528</v>
      </c>
      <c r="B8664" s="50">
        <v>45473.0</v>
      </c>
      <c r="C8664" s="49" t="s">
        <v>777</v>
      </c>
      <c r="D8664" s="49">
        <v>1000000.0</v>
      </c>
    </row>
    <row r="8665" ht="15.0" hidden="1" customHeight="1">
      <c r="A8665" s="49" t="s">
        <v>533</v>
      </c>
      <c r="B8665" s="50">
        <v>45473.0</v>
      </c>
      <c r="C8665" s="49" t="s">
        <v>777</v>
      </c>
      <c r="D8665" s="49">
        <v>500000.0</v>
      </c>
    </row>
    <row r="8666" ht="15.0" hidden="1" customHeight="1">
      <c r="A8666" s="49" t="s">
        <v>538</v>
      </c>
      <c r="B8666" s="50">
        <v>45473.0</v>
      </c>
      <c r="C8666" s="49" t="s">
        <v>777</v>
      </c>
      <c r="D8666" s="49">
        <v>1260076.0</v>
      </c>
    </row>
    <row r="8667" ht="15.0" hidden="1" customHeight="1">
      <c r="A8667" s="49" t="s">
        <v>546</v>
      </c>
      <c r="B8667" s="50">
        <v>45473.0</v>
      </c>
      <c r="C8667" s="49" t="s">
        <v>777</v>
      </c>
      <c r="D8667" s="49">
        <v>2894210.47</v>
      </c>
    </row>
    <row r="8668" ht="15.0" hidden="1" customHeight="1">
      <c r="A8668" s="49" t="s">
        <v>551</v>
      </c>
      <c r="B8668" s="50">
        <v>45473.0</v>
      </c>
      <c r="C8668" s="49" t="s">
        <v>777</v>
      </c>
      <c r="D8668" s="49">
        <v>1620801.75</v>
      </c>
    </row>
    <row r="8669" ht="15.0" hidden="1" customHeight="1">
      <c r="A8669" s="49" t="s">
        <v>556</v>
      </c>
      <c r="B8669" s="50">
        <v>45473.0</v>
      </c>
      <c r="C8669" s="49" t="s">
        <v>777</v>
      </c>
      <c r="D8669" s="49">
        <v>0.0</v>
      </c>
    </row>
    <row r="8670" ht="15.0" hidden="1" customHeight="1">
      <c r="A8670" s="49" t="s">
        <v>561</v>
      </c>
      <c r="B8670" s="50">
        <v>45473.0</v>
      </c>
      <c r="C8670" s="49" t="s">
        <v>777</v>
      </c>
      <c r="D8670" s="49">
        <v>0.0</v>
      </c>
    </row>
    <row r="8671" ht="15.0" hidden="1" customHeight="1">
      <c r="A8671" s="49" t="s">
        <v>566</v>
      </c>
      <c r="B8671" s="50">
        <v>45473.0</v>
      </c>
      <c r="C8671" s="49" t="s">
        <v>777</v>
      </c>
      <c r="D8671" s="49">
        <v>0.0</v>
      </c>
    </row>
    <row r="8672" ht="15.0" hidden="1" customHeight="1">
      <c r="A8672" s="49" t="s">
        <v>571</v>
      </c>
      <c r="B8672" s="50">
        <v>45473.0</v>
      </c>
      <c r="C8672" s="49" t="s">
        <v>777</v>
      </c>
      <c r="D8672" s="49">
        <v>0.0</v>
      </c>
    </row>
    <row r="8673" ht="15.0" hidden="1" customHeight="1">
      <c r="A8673" s="49" t="s">
        <v>576</v>
      </c>
      <c r="B8673" s="50">
        <v>45473.0</v>
      </c>
      <c r="C8673" s="49" t="s">
        <v>777</v>
      </c>
      <c r="D8673" s="49">
        <v>0.0</v>
      </c>
    </row>
    <row r="8674" ht="15.0" hidden="1" customHeight="1">
      <c r="A8674" s="49" t="s">
        <v>581</v>
      </c>
      <c r="B8674" s="50">
        <v>45473.0</v>
      </c>
      <c r="C8674" s="49" t="s">
        <v>777</v>
      </c>
      <c r="D8674" s="49">
        <v>0.0</v>
      </c>
    </row>
    <row r="8675" ht="15.0" hidden="1" customHeight="1">
      <c r="A8675" s="49" t="s">
        <v>586</v>
      </c>
      <c r="B8675" s="50">
        <v>45473.0</v>
      </c>
      <c r="C8675" s="49" t="s">
        <v>777</v>
      </c>
      <c r="D8675" s="49">
        <v>0.0</v>
      </c>
    </row>
    <row r="8676" ht="15.0" hidden="1" customHeight="1">
      <c r="A8676" s="49" t="s">
        <v>754</v>
      </c>
      <c r="B8676" s="50">
        <v>45473.0</v>
      </c>
      <c r="C8676" s="49" t="s">
        <v>777</v>
      </c>
      <c r="D8676" s="49">
        <v>0.0</v>
      </c>
    </row>
    <row r="8677" ht="15.0" hidden="1" customHeight="1">
      <c r="A8677" s="49" t="s">
        <v>591</v>
      </c>
      <c r="B8677" s="50">
        <v>45473.0</v>
      </c>
      <c r="C8677" s="49" t="s">
        <v>777</v>
      </c>
      <c r="D8677" s="49">
        <v>0.0</v>
      </c>
    </row>
    <row r="8678" ht="15.0" hidden="1" customHeight="1">
      <c r="A8678" s="49" t="s">
        <v>759</v>
      </c>
      <c r="B8678" s="50">
        <v>45473.0</v>
      </c>
      <c r="C8678" s="49" t="s">
        <v>777</v>
      </c>
      <c r="D8678" s="49">
        <v>0.0</v>
      </c>
    </row>
    <row r="8679" ht="15.0" hidden="1" customHeight="1">
      <c r="A8679" s="49" t="s">
        <v>596</v>
      </c>
      <c r="B8679" s="50">
        <v>45473.0</v>
      </c>
      <c r="C8679" s="49" t="s">
        <v>777</v>
      </c>
      <c r="D8679" s="49">
        <v>0.0</v>
      </c>
    </row>
    <row r="8680" ht="15.0" hidden="1" customHeight="1">
      <c r="A8680" s="49" t="s">
        <v>602</v>
      </c>
      <c r="B8680" s="50">
        <v>45473.0</v>
      </c>
      <c r="C8680" s="49" t="s">
        <v>777</v>
      </c>
      <c r="D8680" s="49">
        <v>0.0</v>
      </c>
    </row>
    <row r="8681" ht="15.0" hidden="1" customHeight="1">
      <c r="A8681" s="49" t="s">
        <v>607</v>
      </c>
      <c r="B8681" s="50">
        <v>45473.0</v>
      </c>
      <c r="C8681" s="49" t="s">
        <v>777</v>
      </c>
      <c r="D8681" s="49">
        <v>0.0</v>
      </c>
    </row>
    <row r="8682" ht="15.0" hidden="1" customHeight="1">
      <c r="A8682" s="49" t="s">
        <v>612</v>
      </c>
      <c r="B8682" s="50">
        <v>45473.0</v>
      </c>
      <c r="C8682" s="49" t="s">
        <v>777</v>
      </c>
      <c r="D8682" s="49">
        <v>0.0</v>
      </c>
    </row>
    <row r="8683" ht="15.0" hidden="1" customHeight="1">
      <c r="A8683" s="49" t="s">
        <v>617</v>
      </c>
      <c r="B8683" s="50">
        <v>45473.0</v>
      </c>
      <c r="C8683" s="49" t="s">
        <v>777</v>
      </c>
      <c r="D8683" s="49">
        <v>0.0</v>
      </c>
    </row>
    <row r="8684" ht="15.0" hidden="1" customHeight="1">
      <c r="A8684" s="49" t="s">
        <v>622</v>
      </c>
      <c r="B8684" s="50">
        <v>45473.0</v>
      </c>
      <c r="C8684" s="49" t="s">
        <v>777</v>
      </c>
      <c r="D8684" s="49">
        <v>0.0</v>
      </c>
    </row>
    <row r="8685" ht="15.0" hidden="1" customHeight="1">
      <c r="A8685" s="49" t="s">
        <v>627</v>
      </c>
      <c r="B8685" s="50">
        <v>45473.0</v>
      </c>
      <c r="C8685" s="49" t="s">
        <v>777</v>
      </c>
      <c r="D8685" s="49">
        <v>0.0</v>
      </c>
    </row>
    <row r="8686" ht="15.0" hidden="1" customHeight="1">
      <c r="A8686" s="49" t="s">
        <v>631</v>
      </c>
      <c r="B8686" s="50">
        <v>45473.0</v>
      </c>
      <c r="C8686" s="49" t="s">
        <v>777</v>
      </c>
      <c r="D8686" s="49">
        <v>0.0</v>
      </c>
    </row>
    <row r="8687" ht="15.0" hidden="1" customHeight="1">
      <c r="A8687" s="49" t="s">
        <v>636</v>
      </c>
      <c r="B8687" s="50">
        <v>45473.0</v>
      </c>
      <c r="C8687" s="49" t="s">
        <v>777</v>
      </c>
      <c r="D8687" s="49">
        <v>0.0</v>
      </c>
    </row>
    <row r="8688" ht="15.0" hidden="1" customHeight="1">
      <c r="A8688" s="49" t="s">
        <v>640</v>
      </c>
      <c r="B8688" s="50">
        <v>45473.0</v>
      </c>
      <c r="C8688" s="49" t="s">
        <v>777</v>
      </c>
      <c r="D8688" s="49">
        <v>0.0</v>
      </c>
    </row>
    <row r="8689" ht="15.0" hidden="1" customHeight="1">
      <c r="A8689" s="49" t="s">
        <v>644</v>
      </c>
      <c r="B8689" s="50">
        <v>45473.0</v>
      </c>
      <c r="C8689" s="49" t="s">
        <v>777</v>
      </c>
      <c r="D8689" s="49">
        <v>0.0</v>
      </c>
    </row>
    <row r="8690" ht="15.0" hidden="1" customHeight="1">
      <c r="A8690" s="49" t="s">
        <v>649</v>
      </c>
      <c r="B8690" s="50">
        <v>45473.0</v>
      </c>
      <c r="C8690" s="49" t="s">
        <v>777</v>
      </c>
      <c r="D8690" s="49">
        <v>0.0</v>
      </c>
    </row>
    <row r="8691" ht="15.0" hidden="1" customHeight="1">
      <c r="A8691" s="49" t="s">
        <v>654</v>
      </c>
      <c r="B8691" s="50">
        <v>45473.0</v>
      </c>
      <c r="C8691" s="49" t="s">
        <v>777</v>
      </c>
      <c r="D8691" s="49">
        <v>0.0</v>
      </c>
    </row>
    <row r="8692" ht="15.0" hidden="1" customHeight="1">
      <c r="A8692" s="49" t="s">
        <v>659</v>
      </c>
      <c r="B8692" s="50">
        <v>45473.0</v>
      </c>
      <c r="C8692" s="49" t="s">
        <v>777</v>
      </c>
      <c r="D8692" s="49">
        <v>0.0</v>
      </c>
    </row>
    <row r="8693" ht="15.0" hidden="1" customHeight="1">
      <c r="A8693" s="49" t="s">
        <v>664</v>
      </c>
      <c r="B8693" s="50">
        <v>45473.0</v>
      </c>
      <c r="C8693" s="49" t="s">
        <v>777</v>
      </c>
      <c r="D8693" s="49">
        <v>0.0</v>
      </c>
    </row>
    <row r="8694" ht="15.0" hidden="1" customHeight="1">
      <c r="A8694" s="49" t="s">
        <v>669</v>
      </c>
      <c r="B8694" s="50">
        <v>45473.0</v>
      </c>
      <c r="C8694" s="49" t="s">
        <v>777</v>
      </c>
      <c r="D8694" s="49">
        <v>0.0</v>
      </c>
    </row>
    <row r="8695" ht="15.0" hidden="1" customHeight="1">
      <c r="A8695" s="49" t="s">
        <v>674</v>
      </c>
      <c r="B8695" s="50">
        <v>45473.0</v>
      </c>
      <c r="C8695" s="49" t="s">
        <v>777</v>
      </c>
      <c r="D8695" s="49">
        <v>0.0</v>
      </c>
    </row>
    <row r="8696" ht="15.0" hidden="1" customHeight="1">
      <c r="A8696" s="49" t="s">
        <v>679</v>
      </c>
      <c r="B8696" s="50">
        <v>45473.0</v>
      </c>
      <c r="C8696" s="49" t="s">
        <v>777</v>
      </c>
      <c r="D8696" s="49">
        <v>0.0</v>
      </c>
    </row>
    <row r="8697" ht="15.0" hidden="1" customHeight="1">
      <c r="A8697" s="49" t="s">
        <v>684</v>
      </c>
      <c r="B8697" s="50">
        <v>45473.0</v>
      </c>
      <c r="C8697" s="49" t="s">
        <v>777</v>
      </c>
      <c r="D8697" s="49">
        <v>0.0</v>
      </c>
    </row>
    <row r="8698" ht="15.0" hidden="1" customHeight="1">
      <c r="A8698" s="49" t="s">
        <v>689</v>
      </c>
      <c r="B8698" s="50">
        <v>45473.0</v>
      </c>
      <c r="C8698" s="49" t="s">
        <v>777</v>
      </c>
      <c r="D8698" s="49">
        <v>0.0</v>
      </c>
    </row>
    <row r="8699" ht="15.0" hidden="1" customHeight="1">
      <c r="A8699" s="49" t="s">
        <v>694</v>
      </c>
      <c r="B8699" s="50">
        <v>45473.0</v>
      </c>
      <c r="C8699" s="49" t="s">
        <v>777</v>
      </c>
      <c r="D8699" s="49">
        <v>0.0</v>
      </c>
    </row>
    <row r="8700" ht="15.0" hidden="1" customHeight="1">
      <c r="A8700" s="49" t="s">
        <v>699</v>
      </c>
      <c r="B8700" s="50">
        <v>45473.0</v>
      </c>
      <c r="C8700" s="49" t="s">
        <v>777</v>
      </c>
      <c r="D8700" s="49">
        <v>0.0</v>
      </c>
    </row>
    <row r="8701" ht="15.0" hidden="1" customHeight="1">
      <c r="A8701" s="49" t="s">
        <v>705</v>
      </c>
      <c r="B8701" s="50">
        <v>45473.0</v>
      </c>
      <c r="C8701" s="49" t="s">
        <v>777</v>
      </c>
      <c r="D8701" s="49">
        <v>0.0</v>
      </c>
    </row>
    <row r="8702" ht="15.0" hidden="1" customHeight="1">
      <c r="A8702" s="49" t="s">
        <v>710</v>
      </c>
      <c r="B8702" s="50">
        <v>45473.0</v>
      </c>
      <c r="C8702" s="49" t="s">
        <v>777</v>
      </c>
      <c r="D8702" s="49">
        <v>0.0</v>
      </c>
    </row>
    <row r="8703" ht="15.0" hidden="1" customHeight="1">
      <c r="A8703" s="49" t="s">
        <v>715</v>
      </c>
      <c r="B8703" s="50">
        <v>45473.0</v>
      </c>
      <c r="C8703" s="49" t="s">
        <v>777</v>
      </c>
      <c r="D8703" s="49">
        <v>0.0</v>
      </c>
    </row>
    <row r="8704" ht="15.0" hidden="1" customHeight="1">
      <c r="A8704" s="49" t="s">
        <v>765</v>
      </c>
      <c r="B8704" s="50">
        <v>45473.0</v>
      </c>
      <c r="C8704" s="49" t="s">
        <v>777</v>
      </c>
      <c r="D8704" s="49">
        <v>0.0</v>
      </c>
    </row>
    <row r="8705" ht="15.0" hidden="1" customHeight="1">
      <c r="A8705" s="49" t="s">
        <v>720</v>
      </c>
      <c r="B8705" s="50">
        <v>45473.0</v>
      </c>
      <c r="C8705" s="49" t="s">
        <v>777</v>
      </c>
      <c r="D8705" s="49">
        <v>0.0</v>
      </c>
    </row>
    <row r="8706" ht="15.0" hidden="1" customHeight="1">
      <c r="A8706" s="49" t="s">
        <v>725</v>
      </c>
      <c r="B8706" s="50">
        <v>45473.0</v>
      </c>
      <c r="C8706" s="49" t="s">
        <v>777</v>
      </c>
      <c r="D8706" s="49">
        <v>0.0</v>
      </c>
    </row>
    <row r="8707" ht="15.0" hidden="1" customHeight="1">
      <c r="A8707" s="49" t="s">
        <v>730</v>
      </c>
      <c r="B8707" s="50">
        <v>45473.0</v>
      </c>
      <c r="C8707" s="49" t="s">
        <v>777</v>
      </c>
      <c r="D8707" s="49">
        <v>0.0</v>
      </c>
    </row>
    <row r="8708" ht="15.0" hidden="1" customHeight="1">
      <c r="A8708" s="49" t="s">
        <v>734</v>
      </c>
      <c r="B8708" s="50">
        <v>45473.0</v>
      </c>
      <c r="C8708" s="49" t="s">
        <v>777</v>
      </c>
      <c r="D8708" s="49">
        <v>0.0</v>
      </c>
    </row>
    <row r="8709" ht="15.0" hidden="1" customHeight="1">
      <c r="A8709" s="49" t="s">
        <v>739</v>
      </c>
      <c r="B8709" s="50">
        <v>45473.0</v>
      </c>
      <c r="C8709" s="49" t="s">
        <v>777</v>
      </c>
      <c r="D8709" s="49">
        <v>0.0</v>
      </c>
    </row>
    <row r="8710" ht="15.0" hidden="1" customHeight="1">
      <c r="A8710" s="49" t="s">
        <v>744</v>
      </c>
      <c r="B8710" s="50">
        <v>45473.0</v>
      </c>
      <c r="C8710" s="49" t="s">
        <v>777</v>
      </c>
      <c r="D8710" s="49">
        <v>0.0</v>
      </c>
    </row>
    <row r="8711" ht="15.0" hidden="1" customHeight="1">
      <c r="A8711" s="49" t="s">
        <v>749</v>
      </c>
      <c r="B8711" s="50">
        <v>45473.0</v>
      </c>
      <c r="C8711" s="49" t="s">
        <v>777</v>
      </c>
      <c r="D8711" s="49">
        <v>0.0</v>
      </c>
    </row>
    <row r="8712" ht="15.0" customHeight="1">
      <c r="A8712" s="49" t="s">
        <v>776</v>
      </c>
      <c r="B8712" s="50">
        <v>45473.0</v>
      </c>
      <c r="C8712" s="49" t="s">
        <v>78</v>
      </c>
      <c r="D8712" s="49">
        <v>0.0</v>
      </c>
    </row>
    <row r="8713" ht="15.0" hidden="1" customHeight="1">
      <c r="A8713" s="49" t="s">
        <v>778</v>
      </c>
      <c r="B8713" s="50">
        <v>45473.0</v>
      </c>
      <c r="C8713" s="49" t="s">
        <v>78</v>
      </c>
      <c r="D8713" s="49">
        <v>0.0</v>
      </c>
    </row>
    <row r="8714" ht="15.0" hidden="1" customHeight="1">
      <c r="A8714" s="49" t="s">
        <v>92</v>
      </c>
      <c r="B8714" s="50">
        <v>45473.0</v>
      </c>
      <c r="C8714" s="49" t="s">
        <v>78</v>
      </c>
      <c r="D8714" s="49">
        <v>0.0</v>
      </c>
    </row>
    <row r="8715" ht="15.0" hidden="1" customHeight="1">
      <c r="A8715" s="49" t="s">
        <v>97</v>
      </c>
      <c r="B8715" s="50">
        <v>45473.0</v>
      </c>
      <c r="C8715" s="49" t="s">
        <v>78</v>
      </c>
      <c r="D8715" s="49">
        <v>0.0</v>
      </c>
    </row>
    <row r="8716" ht="15.0" hidden="1" customHeight="1">
      <c r="A8716" s="49" t="s">
        <v>102</v>
      </c>
      <c r="B8716" s="50">
        <v>45473.0</v>
      </c>
      <c r="C8716" s="49" t="s">
        <v>78</v>
      </c>
      <c r="D8716" s="49">
        <v>0.0</v>
      </c>
    </row>
    <row r="8717" ht="15.0" hidden="1" customHeight="1">
      <c r="A8717" s="49" t="s">
        <v>106</v>
      </c>
      <c r="B8717" s="50">
        <v>45473.0</v>
      </c>
      <c r="C8717" s="49" t="s">
        <v>78</v>
      </c>
      <c r="D8717" s="49">
        <v>0.0</v>
      </c>
    </row>
    <row r="8718" ht="15.0" hidden="1" customHeight="1">
      <c r="A8718" s="49" t="s">
        <v>111</v>
      </c>
      <c r="B8718" s="50">
        <v>45473.0</v>
      </c>
      <c r="C8718" s="49" t="s">
        <v>78</v>
      </c>
      <c r="D8718" s="49">
        <v>0.0</v>
      </c>
    </row>
    <row r="8719" ht="15.0" hidden="1" customHeight="1">
      <c r="A8719" s="49" t="s">
        <v>116</v>
      </c>
      <c r="B8719" s="50">
        <v>45473.0</v>
      </c>
      <c r="C8719" s="49" t="s">
        <v>78</v>
      </c>
      <c r="D8719" s="49">
        <v>0.0</v>
      </c>
    </row>
    <row r="8720" ht="15.0" hidden="1" customHeight="1">
      <c r="A8720" s="49" t="s">
        <v>120</v>
      </c>
      <c r="B8720" s="50">
        <v>45473.0</v>
      </c>
      <c r="C8720" s="49" t="s">
        <v>78</v>
      </c>
      <c r="D8720" s="49">
        <v>0.0</v>
      </c>
    </row>
    <row r="8721" ht="15.0" hidden="1" customHeight="1">
      <c r="A8721" s="49" t="s">
        <v>125</v>
      </c>
      <c r="B8721" s="50">
        <v>45473.0</v>
      </c>
      <c r="C8721" s="49" t="s">
        <v>78</v>
      </c>
      <c r="D8721" s="49">
        <v>0.0</v>
      </c>
    </row>
    <row r="8722" ht="15.0" hidden="1" customHeight="1">
      <c r="A8722" s="49" t="s">
        <v>130</v>
      </c>
      <c r="B8722" s="50">
        <v>45473.0</v>
      </c>
      <c r="C8722" s="49" t="s">
        <v>78</v>
      </c>
      <c r="D8722" s="49">
        <v>0.0</v>
      </c>
    </row>
    <row r="8723" ht="15.0" hidden="1" customHeight="1">
      <c r="A8723" s="49" t="s">
        <v>137</v>
      </c>
      <c r="B8723" s="50">
        <v>45473.0</v>
      </c>
      <c r="C8723" s="49" t="s">
        <v>78</v>
      </c>
      <c r="D8723" s="49">
        <v>0.0</v>
      </c>
    </row>
    <row r="8724" ht="15.0" hidden="1" customHeight="1">
      <c r="A8724" s="49" t="s">
        <v>142</v>
      </c>
      <c r="B8724" s="50">
        <v>45473.0</v>
      </c>
      <c r="C8724" s="49" t="s">
        <v>78</v>
      </c>
      <c r="D8724" s="49">
        <v>0.0</v>
      </c>
    </row>
    <row r="8725" ht="15.0" hidden="1" customHeight="1">
      <c r="A8725" s="49" t="s">
        <v>147</v>
      </c>
      <c r="B8725" s="50">
        <v>45473.0</v>
      </c>
      <c r="C8725" s="49" t="s">
        <v>78</v>
      </c>
      <c r="D8725" s="49">
        <v>0.0</v>
      </c>
    </row>
    <row r="8726" ht="15.0" hidden="1" customHeight="1">
      <c r="A8726" s="49" t="s">
        <v>152</v>
      </c>
      <c r="B8726" s="50">
        <v>45473.0</v>
      </c>
      <c r="C8726" s="49" t="s">
        <v>78</v>
      </c>
      <c r="D8726" s="49">
        <v>0.0</v>
      </c>
    </row>
    <row r="8727" ht="15.0" hidden="1" customHeight="1">
      <c r="A8727" s="49" t="s">
        <v>157</v>
      </c>
      <c r="B8727" s="50">
        <v>45473.0</v>
      </c>
      <c r="C8727" s="49" t="s">
        <v>78</v>
      </c>
      <c r="D8727" s="49">
        <v>0.0</v>
      </c>
    </row>
    <row r="8728" ht="15.0" hidden="1" customHeight="1">
      <c r="A8728" s="49" t="s">
        <v>162</v>
      </c>
      <c r="B8728" s="50">
        <v>45473.0</v>
      </c>
      <c r="C8728" s="49" t="s">
        <v>78</v>
      </c>
      <c r="D8728" s="49">
        <v>0.0</v>
      </c>
    </row>
    <row r="8729" ht="15.0" hidden="1" customHeight="1">
      <c r="A8729" s="49" t="s">
        <v>167</v>
      </c>
      <c r="B8729" s="50">
        <v>45473.0</v>
      </c>
      <c r="C8729" s="49" t="s">
        <v>78</v>
      </c>
      <c r="D8729" s="49">
        <v>0.0</v>
      </c>
    </row>
    <row r="8730" ht="15.0" hidden="1" customHeight="1">
      <c r="A8730" s="49" t="s">
        <v>172</v>
      </c>
      <c r="B8730" s="50">
        <v>45473.0</v>
      </c>
      <c r="C8730" s="49" t="s">
        <v>78</v>
      </c>
      <c r="D8730" s="49">
        <v>0.0</v>
      </c>
    </row>
    <row r="8731" ht="15.0" hidden="1" customHeight="1">
      <c r="A8731" s="49" t="s">
        <v>177</v>
      </c>
      <c r="B8731" s="50">
        <v>45473.0</v>
      </c>
      <c r="C8731" s="49" t="s">
        <v>78</v>
      </c>
      <c r="D8731" s="49">
        <v>0.0</v>
      </c>
    </row>
    <row r="8732" ht="15.0" hidden="1" customHeight="1">
      <c r="A8732" s="49" t="s">
        <v>182</v>
      </c>
      <c r="B8732" s="50">
        <v>45473.0</v>
      </c>
      <c r="C8732" s="49" t="s">
        <v>78</v>
      </c>
      <c r="D8732" s="49">
        <v>0.0</v>
      </c>
    </row>
    <row r="8733" ht="15.0" hidden="1" customHeight="1">
      <c r="A8733" s="49" t="s">
        <v>187</v>
      </c>
      <c r="B8733" s="50">
        <v>45473.0</v>
      </c>
      <c r="C8733" s="49" t="s">
        <v>78</v>
      </c>
      <c r="D8733" s="49">
        <v>0.0</v>
      </c>
    </row>
    <row r="8734" ht="15.0" hidden="1" customHeight="1">
      <c r="A8734" s="49" t="s">
        <v>192</v>
      </c>
      <c r="B8734" s="50">
        <v>45473.0</v>
      </c>
      <c r="C8734" s="49" t="s">
        <v>78</v>
      </c>
      <c r="D8734" s="49">
        <v>0.0</v>
      </c>
    </row>
    <row r="8735" ht="15.0" hidden="1" customHeight="1">
      <c r="A8735" s="49" t="s">
        <v>197</v>
      </c>
      <c r="B8735" s="50">
        <v>45473.0</v>
      </c>
      <c r="C8735" s="49" t="s">
        <v>78</v>
      </c>
      <c r="D8735" s="49">
        <v>0.0</v>
      </c>
    </row>
    <row r="8736" ht="15.0" hidden="1" customHeight="1">
      <c r="A8736" s="49" t="s">
        <v>202</v>
      </c>
      <c r="B8736" s="50">
        <v>45473.0</v>
      </c>
      <c r="C8736" s="49" t="s">
        <v>78</v>
      </c>
      <c r="D8736" s="49">
        <v>0.0</v>
      </c>
    </row>
    <row r="8737" ht="15.0" hidden="1" customHeight="1">
      <c r="A8737" s="49" t="s">
        <v>206</v>
      </c>
      <c r="B8737" s="50">
        <v>45473.0</v>
      </c>
      <c r="C8737" s="49" t="s">
        <v>78</v>
      </c>
      <c r="D8737" s="49">
        <v>0.0</v>
      </c>
    </row>
    <row r="8738" ht="15.0" hidden="1" customHeight="1">
      <c r="A8738" s="49" t="s">
        <v>211</v>
      </c>
      <c r="B8738" s="50">
        <v>45473.0</v>
      </c>
      <c r="C8738" s="49" t="s">
        <v>78</v>
      </c>
      <c r="D8738" s="49">
        <v>0.0</v>
      </c>
    </row>
    <row r="8739" ht="15.0" hidden="1" customHeight="1">
      <c r="A8739" s="49" t="s">
        <v>779</v>
      </c>
      <c r="B8739" s="50">
        <v>45473.0</v>
      </c>
      <c r="C8739" s="49" t="s">
        <v>78</v>
      </c>
      <c r="D8739" s="49">
        <v>0.0</v>
      </c>
    </row>
    <row r="8740" ht="15.0" hidden="1" customHeight="1">
      <c r="A8740" s="49" t="s">
        <v>221</v>
      </c>
      <c r="B8740" s="50">
        <v>45473.0</v>
      </c>
      <c r="C8740" s="49" t="s">
        <v>78</v>
      </c>
      <c r="D8740" s="49">
        <v>0.0</v>
      </c>
    </row>
    <row r="8741" ht="15.0" hidden="1" customHeight="1">
      <c r="A8741" s="49" t="s">
        <v>226</v>
      </c>
      <c r="B8741" s="50">
        <v>45473.0</v>
      </c>
      <c r="C8741" s="49" t="s">
        <v>78</v>
      </c>
      <c r="D8741" s="49">
        <v>0.0</v>
      </c>
    </row>
    <row r="8742" ht="15.0" hidden="1" customHeight="1">
      <c r="A8742" s="49" t="s">
        <v>231</v>
      </c>
      <c r="B8742" s="50">
        <v>45473.0</v>
      </c>
      <c r="C8742" s="49" t="s">
        <v>78</v>
      </c>
      <c r="D8742" s="49">
        <v>0.0</v>
      </c>
    </row>
    <row r="8743" ht="15.0" hidden="1" customHeight="1">
      <c r="A8743" s="49" t="s">
        <v>236</v>
      </c>
      <c r="B8743" s="50">
        <v>45473.0</v>
      </c>
      <c r="C8743" s="49" t="s">
        <v>78</v>
      </c>
      <c r="D8743" s="49">
        <v>0.0</v>
      </c>
    </row>
    <row r="8744" ht="15.0" hidden="1" customHeight="1">
      <c r="A8744" s="49" t="s">
        <v>242</v>
      </c>
      <c r="B8744" s="50">
        <v>45473.0</v>
      </c>
      <c r="C8744" s="49" t="s">
        <v>78</v>
      </c>
      <c r="D8744" s="49">
        <v>0.0</v>
      </c>
    </row>
    <row r="8745" ht="15.0" hidden="1" customHeight="1">
      <c r="A8745" s="49" t="s">
        <v>248</v>
      </c>
      <c r="B8745" s="50">
        <v>45473.0</v>
      </c>
      <c r="C8745" s="49" t="s">
        <v>78</v>
      </c>
      <c r="D8745" s="49">
        <v>0.0</v>
      </c>
    </row>
    <row r="8746" ht="15.0" hidden="1" customHeight="1">
      <c r="A8746" s="49" t="s">
        <v>253</v>
      </c>
      <c r="B8746" s="50">
        <v>45473.0</v>
      </c>
      <c r="C8746" s="49" t="s">
        <v>78</v>
      </c>
      <c r="D8746" s="49">
        <v>0.0</v>
      </c>
    </row>
    <row r="8747" ht="15.0" hidden="1" customHeight="1">
      <c r="A8747" s="49" t="s">
        <v>258</v>
      </c>
      <c r="B8747" s="50">
        <v>45473.0</v>
      </c>
      <c r="C8747" s="49" t="s">
        <v>78</v>
      </c>
      <c r="D8747" s="49">
        <v>0.0</v>
      </c>
    </row>
    <row r="8748" ht="15.0" hidden="1" customHeight="1">
      <c r="A8748" s="49" t="s">
        <v>263</v>
      </c>
      <c r="B8748" s="50">
        <v>45473.0</v>
      </c>
      <c r="C8748" s="49" t="s">
        <v>78</v>
      </c>
      <c r="D8748" s="49">
        <v>0.0</v>
      </c>
    </row>
    <row r="8749" ht="15.0" hidden="1" customHeight="1">
      <c r="A8749" s="49" t="s">
        <v>268</v>
      </c>
      <c r="B8749" s="50">
        <v>45473.0</v>
      </c>
      <c r="C8749" s="49" t="s">
        <v>78</v>
      </c>
      <c r="D8749" s="49">
        <v>0.0</v>
      </c>
    </row>
    <row r="8750" ht="15.0" hidden="1" customHeight="1">
      <c r="A8750" s="49" t="s">
        <v>273</v>
      </c>
      <c r="B8750" s="50">
        <v>45473.0</v>
      </c>
      <c r="C8750" s="49" t="s">
        <v>78</v>
      </c>
      <c r="D8750" s="49">
        <v>0.0</v>
      </c>
    </row>
    <row r="8751" ht="15.0" hidden="1" customHeight="1">
      <c r="A8751" s="49" t="s">
        <v>278</v>
      </c>
      <c r="B8751" s="50">
        <v>45473.0</v>
      </c>
      <c r="C8751" s="49" t="s">
        <v>78</v>
      </c>
      <c r="D8751" s="49">
        <v>0.0</v>
      </c>
    </row>
    <row r="8752" ht="15.0" hidden="1" customHeight="1">
      <c r="A8752" s="49" t="s">
        <v>283</v>
      </c>
      <c r="B8752" s="50">
        <v>45473.0</v>
      </c>
      <c r="C8752" s="49" t="s">
        <v>78</v>
      </c>
      <c r="D8752" s="49">
        <v>0.0</v>
      </c>
    </row>
    <row r="8753" ht="15.0" hidden="1" customHeight="1">
      <c r="A8753" s="49" t="s">
        <v>288</v>
      </c>
      <c r="B8753" s="50">
        <v>45473.0</v>
      </c>
      <c r="C8753" s="49" t="s">
        <v>78</v>
      </c>
      <c r="D8753" s="49">
        <v>0.0</v>
      </c>
    </row>
    <row r="8754" ht="15.0" hidden="1" customHeight="1">
      <c r="A8754" s="49" t="s">
        <v>293</v>
      </c>
      <c r="B8754" s="50">
        <v>45473.0</v>
      </c>
      <c r="C8754" s="49" t="s">
        <v>78</v>
      </c>
      <c r="D8754" s="49">
        <v>0.0</v>
      </c>
    </row>
    <row r="8755" ht="15.0" hidden="1" customHeight="1">
      <c r="A8755" s="49" t="s">
        <v>298</v>
      </c>
      <c r="B8755" s="50">
        <v>45473.0</v>
      </c>
      <c r="C8755" s="49" t="s">
        <v>78</v>
      </c>
      <c r="D8755" s="49">
        <v>0.0</v>
      </c>
    </row>
    <row r="8756" ht="15.0" hidden="1" customHeight="1">
      <c r="A8756" s="49" t="s">
        <v>303</v>
      </c>
      <c r="B8756" s="50">
        <v>45473.0</v>
      </c>
      <c r="C8756" s="49" t="s">
        <v>78</v>
      </c>
      <c r="D8756" s="49">
        <v>0.0</v>
      </c>
    </row>
    <row r="8757" ht="15.0" hidden="1" customHeight="1">
      <c r="A8757" s="49" t="s">
        <v>307</v>
      </c>
      <c r="B8757" s="50">
        <v>45473.0</v>
      </c>
      <c r="C8757" s="49" t="s">
        <v>78</v>
      </c>
      <c r="D8757" s="49">
        <v>0.0</v>
      </c>
    </row>
    <row r="8758" ht="15.0" hidden="1" customHeight="1">
      <c r="A8758" s="49" t="s">
        <v>313</v>
      </c>
      <c r="B8758" s="50">
        <v>45473.0</v>
      </c>
      <c r="C8758" s="49" t="s">
        <v>78</v>
      </c>
      <c r="D8758" s="49">
        <v>0.0</v>
      </c>
    </row>
    <row r="8759" ht="15.0" hidden="1" customHeight="1">
      <c r="A8759" s="49" t="s">
        <v>318</v>
      </c>
      <c r="B8759" s="50">
        <v>45473.0</v>
      </c>
      <c r="C8759" s="49" t="s">
        <v>78</v>
      </c>
      <c r="D8759" s="49">
        <v>0.0</v>
      </c>
    </row>
    <row r="8760" ht="15.0" hidden="1" customHeight="1">
      <c r="A8760" s="49" t="s">
        <v>323</v>
      </c>
      <c r="B8760" s="50">
        <v>45473.0</v>
      </c>
      <c r="C8760" s="49" t="s">
        <v>78</v>
      </c>
      <c r="D8760" s="49">
        <v>0.0</v>
      </c>
    </row>
    <row r="8761" ht="15.0" hidden="1" customHeight="1">
      <c r="A8761" s="49" t="s">
        <v>328</v>
      </c>
      <c r="B8761" s="50">
        <v>45473.0</v>
      </c>
      <c r="C8761" s="49" t="s">
        <v>78</v>
      </c>
      <c r="D8761" s="49">
        <v>0.0</v>
      </c>
    </row>
    <row r="8762" ht="15.0" hidden="1" customHeight="1">
      <c r="A8762" s="49" t="s">
        <v>335</v>
      </c>
      <c r="B8762" s="50">
        <v>45473.0</v>
      </c>
      <c r="C8762" s="49" t="s">
        <v>78</v>
      </c>
      <c r="D8762" s="49">
        <v>0.0</v>
      </c>
    </row>
    <row r="8763" ht="15.0" hidden="1" customHeight="1">
      <c r="A8763" s="49" t="s">
        <v>340</v>
      </c>
      <c r="B8763" s="50">
        <v>45473.0</v>
      </c>
      <c r="C8763" s="49" t="s">
        <v>78</v>
      </c>
      <c r="D8763" s="49">
        <v>0.0</v>
      </c>
    </row>
    <row r="8764" ht="15.0" hidden="1" customHeight="1">
      <c r="A8764" s="49" t="s">
        <v>345</v>
      </c>
      <c r="B8764" s="50">
        <v>45473.0</v>
      </c>
      <c r="C8764" s="49" t="s">
        <v>78</v>
      </c>
      <c r="D8764" s="49">
        <v>0.0</v>
      </c>
    </row>
    <row r="8765" ht="15.0" hidden="1" customHeight="1">
      <c r="A8765" s="49" t="s">
        <v>350</v>
      </c>
      <c r="B8765" s="50">
        <v>45473.0</v>
      </c>
      <c r="C8765" s="49" t="s">
        <v>78</v>
      </c>
      <c r="D8765" s="49">
        <v>0.0</v>
      </c>
    </row>
    <row r="8766" ht="15.0" hidden="1" customHeight="1">
      <c r="A8766" s="49" t="s">
        <v>355</v>
      </c>
      <c r="B8766" s="50">
        <v>45473.0</v>
      </c>
      <c r="C8766" s="49" t="s">
        <v>78</v>
      </c>
      <c r="D8766" s="49">
        <v>0.0</v>
      </c>
    </row>
    <row r="8767" ht="15.0" hidden="1" customHeight="1">
      <c r="A8767" s="49" t="s">
        <v>360</v>
      </c>
      <c r="B8767" s="50">
        <v>45473.0</v>
      </c>
      <c r="C8767" s="49" t="s">
        <v>78</v>
      </c>
      <c r="D8767" s="49">
        <v>0.0</v>
      </c>
    </row>
    <row r="8768" ht="15.0" hidden="1" customHeight="1">
      <c r="A8768" s="49" t="s">
        <v>365</v>
      </c>
      <c r="B8768" s="50">
        <v>45473.0</v>
      </c>
      <c r="C8768" s="49" t="s">
        <v>78</v>
      </c>
      <c r="D8768" s="49">
        <v>0.0</v>
      </c>
    </row>
    <row r="8769" ht="15.0" hidden="1" customHeight="1">
      <c r="A8769" s="49" t="s">
        <v>370</v>
      </c>
      <c r="B8769" s="50">
        <v>45473.0</v>
      </c>
      <c r="C8769" s="49" t="s">
        <v>78</v>
      </c>
      <c r="D8769" s="49">
        <v>0.0</v>
      </c>
    </row>
    <row r="8770" ht="15.0" hidden="1" customHeight="1">
      <c r="A8770" s="49" t="s">
        <v>375</v>
      </c>
      <c r="B8770" s="50">
        <v>45473.0</v>
      </c>
      <c r="C8770" s="49" t="s">
        <v>78</v>
      </c>
      <c r="D8770" s="49">
        <v>0.0</v>
      </c>
    </row>
    <row r="8771" ht="15.0" hidden="1" customHeight="1">
      <c r="A8771" s="49" t="s">
        <v>380</v>
      </c>
      <c r="B8771" s="50">
        <v>45473.0</v>
      </c>
      <c r="C8771" s="49" t="s">
        <v>78</v>
      </c>
      <c r="D8771" s="49">
        <v>0.0</v>
      </c>
    </row>
    <row r="8772" ht="15.0" hidden="1" customHeight="1">
      <c r="A8772" s="49" t="s">
        <v>385</v>
      </c>
      <c r="B8772" s="50">
        <v>45473.0</v>
      </c>
      <c r="C8772" s="49" t="s">
        <v>78</v>
      </c>
      <c r="D8772" s="49">
        <v>0.0</v>
      </c>
    </row>
    <row r="8773" ht="15.0" hidden="1" customHeight="1">
      <c r="A8773" s="49" t="s">
        <v>390</v>
      </c>
      <c r="B8773" s="50">
        <v>45473.0</v>
      </c>
      <c r="C8773" s="49" t="s">
        <v>78</v>
      </c>
      <c r="D8773" s="49">
        <v>0.0</v>
      </c>
    </row>
    <row r="8774" ht="15.0" hidden="1" customHeight="1">
      <c r="A8774" s="49" t="s">
        <v>395</v>
      </c>
      <c r="B8774" s="50">
        <v>45473.0</v>
      </c>
      <c r="C8774" s="49" t="s">
        <v>78</v>
      </c>
      <c r="D8774" s="49">
        <v>0.0</v>
      </c>
    </row>
    <row r="8775" ht="15.0" hidden="1" customHeight="1">
      <c r="A8775" s="49" t="s">
        <v>400</v>
      </c>
      <c r="B8775" s="50">
        <v>45473.0</v>
      </c>
      <c r="C8775" s="49" t="s">
        <v>78</v>
      </c>
      <c r="D8775" s="49">
        <v>0.0</v>
      </c>
    </row>
    <row r="8776" ht="15.0" hidden="1" customHeight="1">
      <c r="A8776" s="49" t="s">
        <v>405</v>
      </c>
      <c r="B8776" s="50">
        <v>45473.0</v>
      </c>
      <c r="C8776" s="49" t="s">
        <v>78</v>
      </c>
      <c r="D8776" s="49">
        <v>0.0</v>
      </c>
    </row>
    <row r="8777" ht="15.0" hidden="1" customHeight="1">
      <c r="A8777" s="49" t="s">
        <v>410</v>
      </c>
      <c r="B8777" s="50">
        <v>45473.0</v>
      </c>
      <c r="C8777" s="49" t="s">
        <v>78</v>
      </c>
      <c r="D8777" s="49">
        <v>0.0</v>
      </c>
    </row>
    <row r="8778" ht="15.0" hidden="1" customHeight="1">
      <c r="A8778" s="49" t="s">
        <v>415</v>
      </c>
      <c r="B8778" s="50">
        <v>45473.0</v>
      </c>
      <c r="C8778" s="49" t="s">
        <v>78</v>
      </c>
      <c r="D8778" s="49">
        <v>0.0</v>
      </c>
    </row>
    <row r="8779" ht="15.0" hidden="1" customHeight="1">
      <c r="A8779" s="49" t="s">
        <v>420</v>
      </c>
      <c r="B8779" s="50">
        <v>45473.0</v>
      </c>
      <c r="C8779" s="49" t="s">
        <v>78</v>
      </c>
      <c r="D8779" s="49">
        <v>0.0</v>
      </c>
    </row>
    <row r="8780" ht="15.0" hidden="1" customHeight="1">
      <c r="A8780" s="49" t="s">
        <v>425</v>
      </c>
      <c r="B8780" s="50">
        <v>45473.0</v>
      </c>
      <c r="C8780" s="49" t="s">
        <v>78</v>
      </c>
      <c r="D8780" s="49">
        <v>0.0</v>
      </c>
    </row>
    <row r="8781" ht="15.0" hidden="1" customHeight="1">
      <c r="A8781" s="49" t="s">
        <v>430</v>
      </c>
      <c r="B8781" s="50">
        <v>45473.0</v>
      </c>
      <c r="C8781" s="49" t="s">
        <v>78</v>
      </c>
      <c r="D8781" s="49">
        <v>0.0</v>
      </c>
    </row>
    <row r="8782" ht="15.0" hidden="1" customHeight="1">
      <c r="A8782" s="49" t="s">
        <v>434</v>
      </c>
      <c r="B8782" s="50">
        <v>45473.0</v>
      </c>
      <c r="C8782" s="49" t="s">
        <v>78</v>
      </c>
      <c r="D8782" s="49">
        <v>0.0</v>
      </c>
    </row>
    <row r="8783" ht="15.0" hidden="1" customHeight="1">
      <c r="A8783" s="49" t="s">
        <v>439</v>
      </c>
      <c r="B8783" s="50">
        <v>45473.0</v>
      </c>
      <c r="C8783" s="49" t="s">
        <v>78</v>
      </c>
      <c r="D8783" s="49">
        <v>0.0</v>
      </c>
    </row>
    <row r="8784" ht="15.0" hidden="1" customHeight="1">
      <c r="A8784" s="49" t="s">
        <v>444</v>
      </c>
      <c r="B8784" s="50">
        <v>45473.0</v>
      </c>
      <c r="C8784" s="49" t="s">
        <v>78</v>
      </c>
      <c r="D8784" s="49">
        <v>0.0</v>
      </c>
    </row>
    <row r="8785" ht="15.0" hidden="1" customHeight="1">
      <c r="A8785" s="49" t="s">
        <v>449</v>
      </c>
      <c r="B8785" s="50">
        <v>45473.0</v>
      </c>
      <c r="C8785" s="49" t="s">
        <v>78</v>
      </c>
      <c r="D8785" s="49">
        <v>0.0</v>
      </c>
    </row>
    <row r="8786" ht="15.0" hidden="1" customHeight="1">
      <c r="A8786" s="49" t="s">
        <v>455</v>
      </c>
      <c r="B8786" s="50">
        <v>45473.0</v>
      </c>
      <c r="C8786" s="49" t="s">
        <v>78</v>
      </c>
      <c r="D8786" s="49">
        <v>0.0</v>
      </c>
    </row>
    <row r="8787" ht="15.0" hidden="1" customHeight="1">
      <c r="A8787" s="49" t="s">
        <v>470</v>
      </c>
      <c r="B8787" s="50">
        <v>45473.0</v>
      </c>
      <c r="C8787" s="49" t="s">
        <v>78</v>
      </c>
      <c r="D8787" s="49">
        <v>0.0</v>
      </c>
    </row>
    <row r="8788" ht="15.0" hidden="1" customHeight="1">
      <c r="A8788" s="49" t="s">
        <v>476</v>
      </c>
      <c r="B8788" s="50">
        <v>45473.0</v>
      </c>
      <c r="C8788" s="49" t="s">
        <v>78</v>
      </c>
      <c r="D8788" s="49">
        <v>0.0</v>
      </c>
    </row>
    <row r="8789" ht="15.0" hidden="1" customHeight="1">
      <c r="A8789" s="49" t="s">
        <v>481</v>
      </c>
      <c r="B8789" s="50">
        <v>45473.0</v>
      </c>
      <c r="C8789" s="49" t="s">
        <v>78</v>
      </c>
      <c r="D8789" s="49">
        <v>0.0</v>
      </c>
    </row>
    <row r="8790" ht="15.0" hidden="1" customHeight="1">
      <c r="A8790" s="49" t="s">
        <v>486</v>
      </c>
      <c r="B8790" s="50">
        <v>45473.0</v>
      </c>
      <c r="C8790" s="49" t="s">
        <v>78</v>
      </c>
      <c r="D8790" s="49">
        <v>0.0</v>
      </c>
    </row>
    <row r="8791" ht="15.0" hidden="1" customHeight="1">
      <c r="A8791" s="49" t="s">
        <v>491</v>
      </c>
      <c r="B8791" s="50">
        <v>45473.0</v>
      </c>
      <c r="C8791" s="49" t="s">
        <v>78</v>
      </c>
      <c r="D8791" s="49">
        <v>0.0</v>
      </c>
    </row>
    <row r="8792" ht="15.0" hidden="1" customHeight="1">
      <c r="A8792" s="49" t="s">
        <v>496</v>
      </c>
      <c r="B8792" s="50">
        <v>45473.0</v>
      </c>
      <c r="C8792" s="49" t="s">
        <v>78</v>
      </c>
      <c r="D8792" s="49">
        <v>0.0</v>
      </c>
    </row>
    <row r="8793" ht="15.0" hidden="1" customHeight="1">
      <c r="A8793" s="49" t="s">
        <v>501</v>
      </c>
      <c r="B8793" s="50">
        <v>45473.0</v>
      </c>
      <c r="C8793" s="49" t="s">
        <v>78</v>
      </c>
      <c r="D8793" s="49">
        <v>0.0</v>
      </c>
    </row>
    <row r="8794" ht="15.0" hidden="1" customHeight="1">
      <c r="A8794" s="49" t="s">
        <v>506</v>
      </c>
      <c r="B8794" s="50">
        <v>45473.0</v>
      </c>
      <c r="C8794" s="49" t="s">
        <v>78</v>
      </c>
      <c r="D8794" s="49">
        <v>0.0</v>
      </c>
    </row>
    <row r="8795" ht="15.0" hidden="1" customHeight="1">
      <c r="A8795" s="49" t="s">
        <v>512</v>
      </c>
      <c r="B8795" s="50">
        <v>45473.0</v>
      </c>
      <c r="C8795" s="49" t="s">
        <v>78</v>
      </c>
      <c r="D8795" s="49">
        <v>0.0</v>
      </c>
    </row>
    <row r="8796" ht="15.0" hidden="1" customHeight="1">
      <c r="A8796" s="49" t="s">
        <v>517</v>
      </c>
      <c r="B8796" s="50">
        <v>45473.0</v>
      </c>
      <c r="C8796" s="49" t="s">
        <v>78</v>
      </c>
      <c r="D8796" s="49">
        <v>0.0</v>
      </c>
    </row>
    <row r="8797" ht="15.0" hidden="1" customHeight="1">
      <c r="A8797" s="49" t="s">
        <v>522</v>
      </c>
      <c r="B8797" s="50">
        <v>45473.0</v>
      </c>
      <c r="C8797" s="49" t="s">
        <v>78</v>
      </c>
      <c r="D8797" s="49">
        <v>500000.0</v>
      </c>
    </row>
    <row r="8798" ht="15.0" hidden="1" customHeight="1">
      <c r="A8798" s="49" t="s">
        <v>528</v>
      </c>
      <c r="B8798" s="50">
        <v>45473.0</v>
      </c>
      <c r="C8798" s="49" t="s">
        <v>78</v>
      </c>
      <c r="D8798" s="49">
        <v>1000000.0</v>
      </c>
    </row>
    <row r="8799" ht="15.0" hidden="1" customHeight="1">
      <c r="A8799" s="49" t="s">
        <v>533</v>
      </c>
      <c r="B8799" s="50">
        <v>45473.0</v>
      </c>
      <c r="C8799" s="49" t="s">
        <v>78</v>
      </c>
      <c r="D8799" s="49">
        <v>500000.0</v>
      </c>
    </row>
    <row r="8800" ht="15.0" hidden="1" customHeight="1">
      <c r="A8800" s="49" t="s">
        <v>538</v>
      </c>
      <c r="B8800" s="50">
        <v>45473.0</v>
      </c>
      <c r="C8800" s="49" t="s">
        <v>78</v>
      </c>
      <c r="D8800" s="49">
        <v>1260076.0</v>
      </c>
    </row>
    <row r="8801" ht="15.0" hidden="1" customHeight="1">
      <c r="A8801" s="49" t="s">
        <v>546</v>
      </c>
      <c r="B8801" s="50">
        <v>45473.0</v>
      </c>
      <c r="C8801" s="49" t="s">
        <v>78</v>
      </c>
      <c r="D8801" s="49">
        <v>2894210.47</v>
      </c>
    </row>
    <row r="8802" ht="15.0" hidden="1" customHeight="1">
      <c r="A8802" s="49" t="s">
        <v>551</v>
      </c>
      <c r="B8802" s="50">
        <v>45473.0</v>
      </c>
      <c r="C8802" s="49" t="s">
        <v>78</v>
      </c>
      <c r="D8802" s="49">
        <v>1620801.75</v>
      </c>
    </row>
    <row r="8803" ht="15.0" hidden="1" customHeight="1">
      <c r="A8803" s="49" t="s">
        <v>556</v>
      </c>
      <c r="B8803" s="50">
        <v>45473.0</v>
      </c>
      <c r="C8803" s="49" t="s">
        <v>78</v>
      </c>
      <c r="D8803" s="49">
        <v>0.0</v>
      </c>
    </row>
    <row r="8804" ht="15.0" hidden="1" customHeight="1">
      <c r="A8804" s="49" t="s">
        <v>561</v>
      </c>
      <c r="B8804" s="50">
        <v>45473.0</v>
      </c>
      <c r="C8804" s="49" t="s">
        <v>78</v>
      </c>
      <c r="D8804" s="49">
        <v>0.0</v>
      </c>
    </row>
    <row r="8805" ht="15.0" hidden="1" customHeight="1">
      <c r="A8805" s="49" t="s">
        <v>566</v>
      </c>
      <c r="B8805" s="50">
        <v>45473.0</v>
      </c>
      <c r="C8805" s="49" t="s">
        <v>78</v>
      </c>
      <c r="D8805" s="49">
        <v>0.0</v>
      </c>
    </row>
    <row r="8806" ht="15.0" hidden="1" customHeight="1">
      <c r="A8806" s="49" t="s">
        <v>571</v>
      </c>
      <c r="B8806" s="50">
        <v>45473.0</v>
      </c>
      <c r="C8806" s="49" t="s">
        <v>78</v>
      </c>
      <c r="D8806" s="49">
        <v>0.0</v>
      </c>
    </row>
    <row r="8807" ht="15.0" hidden="1" customHeight="1">
      <c r="A8807" s="49" t="s">
        <v>576</v>
      </c>
      <c r="B8807" s="50">
        <v>45473.0</v>
      </c>
      <c r="C8807" s="49" t="s">
        <v>78</v>
      </c>
      <c r="D8807" s="49">
        <v>0.0</v>
      </c>
    </row>
    <row r="8808" ht="15.0" hidden="1" customHeight="1">
      <c r="A8808" s="49" t="s">
        <v>581</v>
      </c>
      <c r="B8808" s="50">
        <v>45473.0</v>
      </c>
      <c r="C8808" s="49" t="s">
        <v>78</v>
      </c>
      <c r="D8808" s="49">
        <v>0.0</v>
      </c>
    </row>
    <row r="8809" ht="15.0" hidden="1" customHeight="1">
      <c r="A8809" s="49" t="s">
        <v>586</v>
      </c>
      <c r="B8809" s="50">
        <v>45473.0</v>
      </c>
      <c r="C8809" s="49" t="s">
        <v>78</v>
      </c>
      <c r="D8809" s="49">
        <v>0.0</v>
      </c>
    </row>
    <row r="8810" ht="15.0" hidden="1" customHeight="1">
      <c r="A8810" s="49" t="s">
        <v>754</v>
      </c>
      <c r="B8810" s="50">
        <v>45473.0</v>
      </c>
      <c r="C8810" s="49" t="s">
        <v>78</v>
      </c>
      <c r="D8810" s="49">
        <v>0.0</v>
      </c>
    </row>
    <row r="8811" ht="15.0" hidden="1" customHeight="1">
      <c r="A8811" s="49" t="s">
        <v>591</v>
      </c>
      <c r="B8811" s="50">
        <v>45473.0</v>
      </c>
      <c r="C8811" s="49" t="s">
        <v>78</v>
      </c>
      <c r="D8811" s="49">
        <v>0.0</v>
      </c>
    </row>
    <row r="8812" ht="15.0" hidden="1" customHeight="1">
      <c r="A8812" s="49" t="s">
        <v>759</v>
      </c>
      <c r="B8812" s="50">
        <v>45473.0</v>
      </c>
      <c r="C8812" s="49" t="s">
        <v>78</v>
      </c>
      <c r="D8812" s="49">
        <v>0.0</v>
      </c>
    </row>
    <row r="8813" ht="15.0" hidden="1" customHeight="1">
      <c r="A8813" s="49" t="s">
        <v>596</v>
      </c>
      <c r="B8813" s="50">
        <v>45473.0</v>
      </c>
      <c r="C8813" s="49" t="s">
        <v>78</v>
      </c>
      <c r="D8813" s="49">
        <v>0.0</v>
      </c>
    </row>
    <row r="8814" ht="15.0" hidden="1" customHeight="1">
      <c r="A8814" s="49" t="s">
        <v>602</v>
      </c>
      <c r="B8814" s="50">
        <v>45473.0</v>
      </c>
      <c r="C8814" s="49" t="s">
        <v>78</v>
      </c>
      <c r="D8814" s="49">
        <v>0.0</v>
      </c>
    </row>
    <row r="8815" ht="15.0" hidden="1" customHeight="1">
      <c r="A8815" s="49" t="s">
        <v>607</v>
      </c>
      <c r="B8815" s="50">
        <v>45473.0</v>
      </c>
      <c r="C8815" s="49" t="s">
        <v>78</v>
      </c>
      <c r="D8815" s="49">
        <v>0.0</v>
      </c>
    </row>
    <row r="8816" ht="15.0" hidden="1" customHeight="1">
      <c r="A8816" s="49" t="s">
        <v>612</v>
      </c>
      <c r="B8816" s="50">
        <v>45473.0</v>
      </c>
      <c r="C8816" s="49" t="s">
        <v>78</v>
      </c>
      <c r="D8816" s="49">
        <v>0.0</v>
      </c>
    </row>
    <row r="8817" ht="15.0" hidden="1" customHeight="1">
      <c r="A8817" s="49" t="s">
        <v>617</v>
      </c>
      <c r="B8817" s="50">
        <v>45473.0</v>
      </c>
      <c r="C8817" s="49" t="s">
        <v>78</v>
      </c>
      <c r="D8817" s="49">
        <v>0.0</v>
      </c>
    </row>
    <row r="8818" ht="15.0" hidden="1" customHeight="1">
      <c r="A8818" s="49" t="s">
        <v>622</v>
      </c>
      <c r="B8818" s="50">
        <v>45473.0</v>
      </c>
      <c r="C8818" s="49" t="s">
        <v>78</v>
      </c>
      <c r="D8818" s="49">
        <v>0.0</v>
      </c>
    </row>
    <row r="8819" ht="15.0" hidden="1" customHeight="1">
      <c r="A8819" s="49" t="s">
        <v>627</v>
      </c>
      <c r="B8819" s="50">
        <v>45473.0</v>
      </c>
      <c r="C8819" s="49" t="s">
        <v>78</v>
      </c>
      <c r="D8819" s="49">
        <v>0.0</v>
      </c>
    </row>
    <row r="8820" ht="15.0" hidden="1" customHeight="1">
      <c r="A8820" s="49" t="s">
        <v>631</v>
      </c>
      <c r="B8820" s="50">
        <v>45473.0</v>
      </c>
      <c r="C8820" s="49" t="s">
        <v>78</v>
      </c>
      <c r="D8820" s="49">
        <v>0.0</v>
      </c>
    </row>
    <row r="8821" ht="15.0" hidden="1" customHeight="1">
      <c r="A8821" s="49" t="s">
        <v>636</v>
      </c>
      <c r="B8821" s="50">
        <v>45473.0</v>
      </c>
      <c r="C8821" s="49" t="s">
        <v>78</v>
      </c>
      <c r="D8821" s="49">
        <v>0.0</v>
      </c>
    </row>
    <row r="8822" ht="15.0" hidden="1" customHeight="1">
      <c r="A8822" s="49" t="s">
        <v>640</v>
      </c>
      <c r="B8822" s="50">
        <v>45473.0</v>
      </c>
      <c r="C8822" s="49" t="s">
        <v>78</v>
      </c>
      <c r="D8822" s="49">
        <v>0.0</v>
      </c>
    </row>
    <row r="8823" ht="15.0" hidden="1" customHeight="1">
      <c r="A8823" s="49" t="s">
        <v>644</v>
      </c>
      <c r="B8823" s="50">
        <v>45473.0</v>
      </c>
      <c r="C8823" s="49" t="s">
        <v>78</v>
      </c>
      <c r="D8823" s="49">
        <v>0.0</v>
      </c>
    </row>
    <row r="8824" ht="15.0" hidden="1" customHeight="1">
      <c r="A8824" s="49" t="s">
        <v>649</v>
      </c>
      <c r="B8824" s="50">
        <v>45473.0</v>
      </c>
      <c r="C8824" s="49" t="s">
        <v>78</v>
      </c>
      <c r="D8824" s="49">
        <v>0.0</v>
      </c>
    </row>
    <row r="8825" ht="15.0" hidden="1" customHeight="1">
      <c r="A8825" s="49" t="s">
        <v>654</v>
      </c>
      <c r="B8825" s="50">
        <v>45473.0</v>
      </c>
      <c r="C8825" s="49" t="s">
        <v>78</v>
      </c>
      <c r="D8825" s="49">
        <v>0.0</v>
      </c>
    </row>
    <row r="8826" ht="15.0" hidden="1" customHeight="1">
      <c r="A8826" s="49" t="s">
        <v>659</v>
      </c>
      <c r="B8826" s="50">
        <v>45473.0</v>
      </c>
      <c r="C8826" s="49" t="s">
        <v>78</v>
      </c>
      <c r="D8826" s="49">
        <v>0.0</v>
      </c>
    </row>
    <row r="8827" ht="15.0" hidden="1" customHeight="1">
      <c r="A8827" s="49" t="s">
        <v>664</v>
      </c>
      <c r="B8827" s="50">
        <v>45473.0</v>
      </c>
      <c r="C8827" s="49" t="s">
        <v>78</v>
      </c>
      <c r="D8827" s="49">
        <v>0.0</v>
      </c>
    </row>
    <row r="8828" ht="15.0" hidden="1" customHeight="1">
      <c r="A8828" s="49" t="s">
        <v>669</v>
      </c>
      <c r="B8828" s="50">
        <v>45473.0</v>
      </c>
      <c r="C8828" s="49" t="s">
        <v>78</v>
      </c>
      <c r="D8828" s="49">
        <v>0.0</v>
      </c>
    </row>
    <row r="8829" ht="15.0" hidden="1" customHeight="1">
      <c r="A8829" s="49" t="s">
        <v>674</v>
      </c>
      <c r="B8829" s="50">
        <v>45473.0</v>
      </c>
      <c r="C8829" s="49" t="s">
        <v>78</v>
      </c>
      <c r="D8829" s="49">
        <v>0.0</v>
      </c>
    </row>
    <row r="8830" ht="15.0" hidden="1" customHeight="1">
      <c r="A8830" s="49" t="s">
        <v>679</v>
      </c>
      <c r="B8830" s="50">
        <v>45473.0</v>
      </c>
      <c r="C8830" s="49" t="s">
        <v>78</v>
      </c>
      <c r="D8830" s="49">
        <v>0.0</v>
      </c>
    </row>
    <row r="8831" ht="15.0" hidden="1" customHeight="1">
      <c r="A8831" s="49" t="s">
        <v>684</v>
      </c>
      <c r="B8831" s="50">
        <v>45473.0</v>
      </c>
      <c r="C8831" s="49" t="s">
        <v>78</v>
      </c>
      <c r="D8831" s="49">
        <v>0.0</v>
      </c>
    </row>
    <row r="8832" ht="15.0" hidden="1" customHeight="1">
      <c r="A8832" s="49" t="s">
        <v>689</v>
      </c>
      <c r="B8832" s="50">
        <v>45473.0</v>
      </c>
      <c r="C8832" s="49" t="s">
        <v>78</v>
      </c>
      <c r="D8832" s="49">
        <v>0.0</v>
      </c>
    </row>
    <row r="8833" ht="15.0" hidden="1" customHeight="1">
      <c r="A8833" s="49" t="s">
        <v>694</v>
      </c>
      <c r="B8833" s="50">
        <v>45473.0</v>
      </c>
      <c r="C8833" s="49" t="s">
        <v>78</v>
      </c>
      <c r="D8833" s="49">
        <v>0.0</v>
      </c>
    </row>
    <row r="8834" ht="15.0" hidden="1" customHeight="1">
      <c r="A8834" s="49" t="s">
        <v>699</v>
      </c>
      <c r="B8834" s="50">
        <v>45473.0</v>
      </c>
      <c r="C8834" s="49" t="s">
        <v>78</v>
      </c>
      <c r="D8834" s="49">
        <v>0.0</v>
      </c>
    </row>
    <row r="8835" ht="15.0" hidden="1" customHeight="1">
      <c r="A8835" s="49" t="s">
        <v>705</v>
      </c>
      <c r="B8835" s="50">
        <v>45473.0</v>
      </c>
      <c r="C8835" s="49" t="s">
        <v>78</v>
      </c>
      <c r="D8835" s="49">
        <v>0.0</v>
      </c>
    </row>
    <row r="8836" ht="15.0" hidden="1" customHeight="1">
      <c r="A8836" s="49" t="s">
        <v>710</v>
      </c>
      <c r="B8836" s="50">
        <v>45473.0</v>
      </c>
      <c r="C8836" s="49" t="s">
        <v>78</v>
      </c>
      <c r="D8836" s="49">
        <v>0.0</v>
      </c>
    </row>
    <row r="8837" ht="15.0" hidden="1" customHeight="1">
      <c r="A8837" s="49" t="s">
        <v>715</v>
      </c>
      <c r="B8837" s="50">
        <v>45473.0</v>
      </c>
      <c r="C8837" s="49" t="s">
        <v>78</v>
      </c>
      <c r="D8837" s="49">
        <v>0.0</v>
      </c>
    </row>
    <row r="8838" ht="15.0" hidden="1" customHeight="1">
      <c r="A8838" s="49" t="s">
        <v>765</v>
      </c>
      <c r="B8838" s="50">
        <v>45473.0</v>
      </c>
      <c r="C8838" s="49" t="s">
        <v>78</v>
      </c>
      <c r="D8838" s="49">
        <v>0.0</v>
      </c>
    </row>
    <row r="8839" ht="15.0" hidden="1" customHeight="1">
      <c r="A8839" s="49" t="s">
        <v>720</v>
      </c>
      <c r="B8839" s="50">
        <v>45473.0</v>
      </c>
      <c r="C8839" s="49" t="s">
        <v>78</v>
      </c>
      <c r="D8839" s="49">
        <v>0.0</v>
      </c>
    </row>
    <row r="8840" ht="15.0" hidden="1" customHeight="1">
      <c r="A8840" s="49" t="s">
        <v>725</v>
      </c>
      <c r="B8840" s="50">
        <v>45473.0</v>
      </c>
      <c r="C8840" s="49" t="s">
        <v>78</v>
      </c>
      <c r="D8840" s="49">
        <v>0.0</v>
      </c>
    </row>
    <row r="8841" ht="15.0" hidden="1" customHeight="1">
      <c r="A8841" s="49" t="s">
        <v>730</v>
      </c>
      <c r="B8841" s="50">
        <v>45473.0</v>
      </c>
      <c r="C8841" s="49" t="s">
        <v>78</v>
      </c>
      <c r="D8841" s="49">
        <v>0.0</v>
      </c>
    </row>
    <row r="8842" ht="15.0" hidden="1" customHeight="1">
      <c r="A8842" s="49" t="s">
        <v>734</v>
      </c>
      <c r="B8842" s="50">
        <v>45473.0</v>
      </c>
      <c r="C8842" s="49" t="s">
        <v>78</v>
      </c>
      <c r="D8842" s="49">
        <v>0.0</v>
      </c>
    </row>
    <row r="8843" ht="15.0" hidden="1" customHeight="1">
      <c r="A8843" s="49" t="s">
        <v>739</v>
      </c>
      <c r="B8843" s="50">
        <v>45473.0</v>
      </c>
      <c r="C8843" s="49" t="s">
        <v>78</v>
      </c>
      <c r="D8843" s="49">
        <v>0.0</v>
      </c>
    </row>
    <row r="8844" ht="15.0" hidden="1" customHeight="1">
      <c r="A8844" s="49" t="s">
        <v>744</v>
      </c>
      <c r="B8844" s="50">
        <v>45473.0</v>
      </c>
      <c r="C8844" s="49" t="s">
        <v>78</v>
      </c>
      <c r="D8844" s="49">
        <v>0.0</v>
      </c>
    </row>
    <row r="8845" ht="15.0" hidden="1" customHeight="1">
      <c r="A8845" s="49" t="s">
        <v>749</v>
      </c>
      <c r="B8845" s="50">
        <v>45473.0</v>
      </c>
      <c r="C8845" s="49" t="s">
        <v>78</v>
      </c>
      <c r="D8845" s="49">
        <v>0.0</v>
      </c>
    </row>
    <row r="8846" ht="15.0" customHeight="1">
      <c r="A8846" s="49" t="s">
        <v>776</v>
      </c>
      <c r="B8846" s="50">
        <v>45473.0</v>
      </c>
      <c r="C8846" s="49" t="s">
        <v>69</v>
      </c>
      <c r="D8846" s="49">
        <v>0.0</v>
      </c>
    </row>
    <row r="8847" ht="15.0" hidden="1" customHeight="1">
      <c r="A8847" s="49" t="s">
        <v>778</v>
      </c>
      <c r="B8847" s="50">
        <v>45473.0</v>
      </c>
      <c r="C8847" s="49" t="s">
        <v>69</v>
      </c>
      <c r="D8847" s="49">
        <v>0.0</v>
      </c>
    </row>
    <row r="8848" ht="15.0" hidden="1" customHeight="1">
      <c r="A8848" s="49" t="s">
        <v>92</v>
      </c>
      <c r="B8848" s="50">
        <v>45473.0</v>
      </c>
      <c r="C8848" s="49" t="s">
        <v>69</v>
      </c>
      <c r="D8848" s="49">
        <v>0.0</v>
      </c>
    </row>
    <row r="8849" ht="15.0" hidden="1" customHeight="1">
      <c r="A8849" s="49" t="s">
        <v>97</v>
      </c>
      <c r="B8849" s="50">
        <v>45473.0</v>
      </c>
      <c r="C8849" s="49" t="s">
        <v>69</v>
      </c>
      <c r="D8849" s="49">
        <v>0.0</v>
      </c>
    </row>
    <row r="8850" ht="15.0" hidden="1" customHeight="1">
      <c r="A8850" s="49" t="s">
        <v>102</v>
      </c>
      <c r="B8850" s="50">
        <v>45473.0</v>
      </c>
      <c r="C8850" s="49" t="s">
        <v>69</v>
      </c>
      <c r="D8850" s="49">
        <v>0.0</v>
      </c>
    </row>
    <row r="8851" ht="15.0" hidden="1" customHeight="1">
      <c r="A8851" s="49" t="s">
        <v>106</v>
      </c>
      <c r="B8851" s="50">
        <v>45473.0</v>
      </c>
      <c r="C8851" s="49" t="s">
        <v>69</v>
      </c>
      <c r="D8851" s="49">
        <v>0.0</v>
      </c>
    </row>
    <row r="8852" ht="15.0" hidden="1" customHeight="1">
      <c r="A8852" s="49" t="s">
        <v>111</v>
      </c>
      <c r="B8852" s="50">
        <v>45473.0</v>
      </c>
      <c r="C8852" s="49" t="s">
        <v>69</v>
      </c>
      <c r="D8852" s="49">
        <v>0.0</v>
      </c>
    </row>
    <row r="8853" ht="15.0" hidden="1" customHeight="1">
      <c r="A8853" s="49" t="s">
        <v>116</v>
      </c>
      <c r="B8853" s="50">
        <v>45473.0</v>
      </c>
      <c r="C8853" s="49" t="s">
        <v>69</v>
      </c>
      <c r="D8853" s="49">
        <v>0.0</v>
      </c>
    </row>
    <row r="8854" ht="15.0" hidden="1" customHeight="1">
      <c r="A8854" s="49" t="s">
        <v>120</v>
      </c>
      <c r="B8854" s="50">
        <v>45473.0</v>
      </c>
      <c r="C8854" s="49" t="s">
        <v>69</v>
      </c>
      <c r="D8854" s="49">
        <v>0.0</v>
      </c>
    </row>
    <row r="8855" ht="15.0" hidden="1" customHeight="1">
      <c r="A8855" s="49" t="s">
        <v>125</v>
      </c>
      <c r="B8855" s="50">
        <v>45473.0</v>
      </c>
      <c r="C8855" s="49" t="s">
        <v>69</v>
      </c>
      <c r="D8855" s="49">
        <v>0.0</v>
      </c>
    </row>
    <row r="8856" ht="15.0" hidden="1" customHeight="1">
      <c r="A8856" s="49" t="s">
        <v>130</v>
      </c>
      <c r="B8856" s="50">
        <v>45473.0</v>
      </c>
      <c r="C8856" s="49" t="s">
        <v>69</v>
      </c>
      <c r="D8856" s="49">
        <v>0.0</v>
      </c>
    </row>
    <row r="8857" ht="15.0" hidden="1" customHeight="1">
      <c r="A8857" s="49" t="s">
        <v>137</v>
      </c>
      <c r="B8857" s="50">
        <v>45473.0</v>
      </c>
      <c r="C8857" s="49" t="s">
        <v>69</v>
      </c>
      <c r="D8857" s="49">
        <v>0.0</v>
      </c>
    </row>
    <row r="8858" ht="15.0" hidden="1" customHeight="1">
      <c r="A8858" s="49" t="s">
        <v>142</v>
      </c>
      <c r="B8858" s="50">
        <v>45473.0</v>
      </c>
      <c r="C8858" s="49" t="s">
        <v>69</v>
      </c>
      <c r="D8858" s="49">
        <v>0.0</v>
      </c>
    </row>
    <row r="8859" ht="15.0" hidden="1" customHeight="1">
      <c r="A8859" s="49" t="s">
        <v>147</v>
      </c>
      <c r="B8859" s="50">
        <v>45473.0</v>
      </c>
      <c r="C8859" s="49" t="s">
        <v>69</v>
      </c>
      <c r="D8859" s="49">
        <v>0.0</v>
      </c>
    </row>
    <row r="8860" ht="15.0" hidden="1" customHeight="1">
      <c r="A8860" s="49" t="s">
        <v>152</v>
      </c>
      <c r="B8860" s="50">
        <v>45473.0</v>
      </c>
      <c r="C8860" s="49" t="s">
        <v>69</v>
      </c>
      <c r="D8860" s="49">
        <v>0.0</v>
      </c>
    </row>
    <row r="8861" ht="15.0" hidden="1" customHeight="1">
      <c r="A8861" s="49" t="s">
        <v>157</v>
      </c>
      <c r="B8861" s="50">
        <v>45473.0</v>
      </c>
      <c r="C8861" s="49" t="s">
        <v>69</v>
      </c>
      <c r="D8861" s="49">
        <v>0.0</v>
      </c>
    </row>
    <row r="8862" ht="15.0" hidden="1" customHeight="1">
      <c r="A8862" s="49" t="s">
        <v>162</v>
      </c>
      <c r="B8862" s="50">
        <v>45473.0</v>
      </c>
      <c r="C8862" s="49" t="s">
        <v>69</v>
      </c>
      <c r="D8862" s="49">
        <v>0.0</v>
      </c>
    </row>
    <row r="8863" ht="15.0" hidden="1" customHeight="1">
      <c r="A8863" s="49" t="s">
        <v>167</v>
      </c>
      <c r="B8863" s="50">
        <v>45473.0</v>
      </c>
      <c r="C8863" s="49" t="s">
        <v>69</v>
      </c>
      <c r="D8863" s="49">
        <v>0.0</v>
      </c>
    </row>
    <row r="8864" ht="15.0" hidden="1" customHeight="1">
      <c r="A8864" s="49" t="s">
        <v>172</v>
      </c>
      <c r="B8864" s="50">
        <v>45473.0</v>
      </c>
      <c r="C8864" s="49" t="s">
        <v>69</v>
      </c>
      <c r="D8864" s="49">
        <v>0.0</v>
      </c>
    </row>
    <row r="8865" ht="15.0" hidden="1" customHeight="1">
      <c r="A8865" s="49" t="s">
        <v>177</v>
      </c>
      <c r="B8865" s="50">
        <v>45473.0</v>
      </c>
      <c r="C8865" s="49" t="s">
        <v>69</v>
      </c>
      <c r="D8865" s="49">
        <v>0.0</v>
      </c>
    </row>
    <row r="8866" ht="15.0" hidden="1" customHeight="1">
      <c r="A8866" s="49" t="s">
        <v>182</v>
      </c>
      <c r="B8866" s="50">
        <v>45473.0</v>
      </c>
      <c r="C8866" s="49" t="s">
        <v>69</v>
      </c>
      <c r="D8866" s="49">
        <v>0.0</v>
      </c>
    </row>
    <row r="8867" ht="15.0" hidden="1" customHeight="1">
      <c r="A8867" s="49" t="s">
        <v>187</v>
      </c>
      <c r="B8867" s="50">
        <v>45473.0</v>
      </c>
      <c r="C8867" s="49" t="s">
        <v>69</v>
      </c>
      <c r="D8867" s="49">
        <v>0.0</v>
      </c>
    </row>
    <row r="8868" ht="15.0" hidden="1" customHeight="1">
      <c r="A8868" s="49" t="s">
        <v>192</v>
      </c>
      <c r="B8868" s="50">
        <v>45473.0</v>
      </c>
      <c r="C8868" s="49" t="s">
        <v>69</v>
      </c>
      <c r="D8868" s="49">
        <v>0.0</v>
      </c>
    </row>
    <row r="8869" ht="15.0" hidden="1" customHeight="1">
      <c r="A8869" s="49" t="s">
        <v>197</v>
      </c>
      <c r="B8869" s="50">
        <v>45473.0</v>
      </c>
      <c r="C8869" s="49" t="s">
        <v>69</v>
      </c>
      <c r="D8869" s="49">
        <v>0.0</v>
      </c>
    </row>
    <row r="8870" ht="15.0" hidden="1" customHeight="1">
      <c r="A8870" s="49" t="s">
        <v>202</v>
      </c>
      <c r="B8870" s="50">
        <v>45473.0</v>
      </c>
      <c r="C8870" s="49" t="s">
        <v>69</v>
      </c>
      <c r="D8870" s="49">
        <v>0.0</v>
      </c>
    </row>
    <row r="8871" ht="15.0" hidden="1" customHeight="1">
      <c r="A8871" s="49" t="s">
        <v>206</v>
      </c>
      <c r="B8871" s="50">
        <v>45473.0</v>
      </c>
      <c r="C8871" s="49" t="s">
        <v>69</v>
      </c>
      <c r="D8871" s="49">
        <v>0.0</v>
      </c>
    </row>
    <row r="8872" ht="15.0" hidden="1" customHeight="1">
      <c r="A8872" s="49" t="s">
        <v>211</v>
      </c>
      <c r="B8872" s="50">
        <v>45473.0</v>
      </c>
      <c r="C8872" s="49" t="s">
        <v>69</v>
      </c>
      <c r="D8872" s="49">
        <v>0.0</v>
      </c>
    </row>
    <row r="8873" ht="15.0" hidden="1" customHeight="1">
      <c r="A8873" s="49" t="s">
        <v>779</v>
      </c>
      <c r="B8873" s="50">
        <v>45473.0</v>
      </c>
      <c r="C8873" s="49" t="s">
        <v>69</v>
      </c>
      <c r="D8873" s="49">
        <v>0.0</v>
      </c>
    </row>
    <row r="8874" ht="15.0" hidden="1" customHeight="1">
      <c r="A8874" s="49" t="s">
        <v>221</v>
      </c>
      <c r="B8874" s="50">
        <v>45473.0</v>
      </c>
      <c r="C8874" s="49" t="s">
        <v>69</v>
      </c>
      <c r="D8874" s="49">
        <v>0.0</v>
      </c>
    </row>
    <row r="8875" ht="15.0" hidden="1" customHeight="1">
      <c r="A8875" s="49" t="s">
        <v>226</v>
      </c>
      <c r="B8875" s="50">
        <v>45473.0</v>
      </c>
      <c r="C8875" s="49" t="s">
        <v>69</v>
      </c>
      <c r="D8875" s="49">
        <v>0.0</v>
      </c>
    </row>
    <row r="8876" ht="15.0" hidden="1" customHeight="1">
      <c r="A8876" s="49" t="s">
        <v>231</v>
      </c>
      <c r="B8876" s="50">
        <v>45473.0</v>
      </c>
      <c r="C8876" s="49" t="s">
        <v>69</v>
      </c>
      <c r="D8876" s="49">
        <v>0.0</v>
      </c>
    </row>
    <row r="8877" ht="15.0" hidden="1" customHeight="1">
      <c r="A8877" s="49" t="s">
        <v>236</v>
      </c>
      <c r="B8877" s="50">
        <v>45473.0</v>
      </c>
      <c r="C8877" s="49" t="s">
        <v>69</v>
      </c>
      <c r="D8877" s="49">
        <v>0.0</v>
      </c>
    </row>
    <row r="8878" ht="15.0" hidden="1" customHeight="1">
      <c r="A8878" s="49" t="s">
        <v>242</v>
      </c>
      <c r="B8878" s="50">
        <v>45473.0</v>
      </c>
      <c r="C8878" s="49" t="s">
        <v>69</v>
      </c>
      <c r="D8878" s="49">
        <v>300000.0</v>
      </c>
    </row>
    <row r="8879" ht="15.0" hidden="1" customHeight="1">
      <c r="A8879" s="49" t="s">
        <v>248</v>
      </c>
      <c r="B8879" s="50">
        <v>45473.0</v>
      </c>
      <c r="C8879" s="49" t="s">
        <v>69</v>
      </c>
      <c r="D8879" s="49">
        <v>0.0</v>
      </c>
    </row>
    <row r="8880" ht="15.0" hidden="1" customHeight="1">
      <c r="A8880" s="49" t="s">
        <v>253</v>
      </c>
      <c r="B8880" s="50">
        <v>45473.0</v>
      </c>
      <c r="C8880" s="49" t="s">
        <v>69</v>
      </c>
      <c r="D8880" s="49">
        <v>0.0</v>
      </c>
    </row>
    <row r="8881" ht="15.0" hidden="1" customHeight="1">
      <c r="A8881" s="49" t="s">
        <v>258</v>
      </c>
      <c r="B8881" s="50">
        <v>45473.0</v>
      </c>
      <c r="C8881" s="49" t="s">
        <v>69</v>
      </c>
      <c r="D8881" s="49">
        <v>0.0</v>
      </c>
    </row>
    <row r="8882" ht="15.0" hidden="1" customHeight="1">
      <c r="A8882" s="49" t="s">
        <v>263</v>
      </c>
      <c r="B8882" s="50">
        <v>45473.0</v>
      </c>
      <c r="C8882" s="49" t="s">
        <v>69</v>
      </c>
      <c r="D8882" s="49">
        <v>0.0</v>
      </c>
    </row>
    <row r="8883" ht="15.0" hidden="1" customHeight="1">
      <c r="A8883" s="49" t="s">
        <v>268</v>
      </c>
      <c r="B8883" s="50">
        <v>45473.0</v>
      </c>
      <c r="C8883" s="49" t="s">
        <v>69</v>
      </c>
      <c r="D8883" s="49">
        <v>0.0</v>
      </c>
    </row>
    <row r="8884" ht="15.0" hidden="1" customHeight="1">
      <c r="A8884" s="49" t="s">
        <v>273</v>
      </c>
      <c r="B8884" s="50">
        <v>45473.0</v>
      </c>
      <c r="C8884" s="49" t="s">
        <v>69</v>
      </c>
      <c r="D8884" s="49">
        <v>0.0</v>
      </c>
    </row>
    <row r="8885" ht="15.0" hidden="1" customHeight="1">
      <c r="A8885" s="49" t="s">
        <v>278</v>
      </c>
      <c r="B8885" s="50">
        <v>45473.0</v>
      </c>
      <c r="C8885" s="49" t="s">
        <v>69</v>
      </c>
      <c r="D8885" s="49">
        <v>0.0</v>
      </c>
    </row>
    <row r="8886" ht="15.0" hidden="1" customHeight="1">
      <c r="A8886" s="49" t="s">
        <v>283</v>
      </c>
      <c r="B8886" s="50">
        <v>45473.0</v>
      </c>
      <c r="C8886" s="49" t="s">
        <v>69</v>
      </c>
      <c r="D8886" s="49">
        <v>0.0</v>
      </c>
    </row>
    <row r="8887" ht="15.0" hidden="1" customHeight="1">
      <c r="A8887" s="49" t="s">
        <v>288</v>
      </c>
      <c r="B8887" s="50">
        <v>45473.0</v>
      </c>
      <c r="C8887" s="49" t="s">
        <v>69</v>
      </c>
      <c r="D8887" s="49">
        <v>0.0</v>
      </c>
    </row>
    <row r="8888" ht="15.0" hidden="1" customHeight="1">
      <c r="A8888" s="49" t="s">
        <v>293</v>
      </c>
      <c r="B8888" s="50">
        <v>45473.0</v>
      </c>
      <c r="C8888" s="49" t="s">
        <v>69</v>
      </c>
      <c r="D8888" s="49">
        <v>0.0</v>
      </c>
    </row>
    <row r="8889" ht="15.0" hidden="1" customHeight="1">
      <c r="A8889" s="49" t="s">
        <v>298</v>
      </c>
      <c r="B8889" s="50">
        <v>45473.0</v>
      </c>
      <c r="C8889" s="49" t="s">
        <v>69</v>
      </c>
      <c r="D8889" s="49">
        <v>0.0</v>
      </c>
    </row>
    <row r="8890" ht="15.0" hidden="1" customHeight="1">
      <c r="A8890" s="49" t="s">
        <v>303</v>
      </c>
      <c r="B8890" s="50">
        <v>45473.0</v>
      </c>
      <c r="C8890" s="49" t="s">
        <v>69</v>
      </c>
      <c r="D8890" s="49">
        <v>0.0</v>
      </c>
    </row>
    <row r="8891" ht="15.0" hidden="1" customHeight="1">
      <c r="A8891" s="49" t="s">
        <v>307</v>
      </c>
      <c r="B8891" s="50">
        <v>45473.0</v>
      </c>
      <c r="C8891" s="49" t="s">
        <v>69</v>
      </c>
      <c r="D8891" s="49">
        <v>0.0</v>
      </c>
    </row>
    <row r="8892" ht="15.0" hidden="1" customHeight="1">
      <c r="A8892" s="49" t="s">
        <v>313</v>
      </c>
      <c r="B8892" s="50">
        <v>45473.0</v>
      </c>
      <c r="C8892" s="49" t="s">
        <v>69</v>
      </c>
      <c r="D8892" s="49">
        <v>0.0</v>
      </c>
    </row>
    <row r="8893" ht="15.0" hidden="1" customHeight="1">
      <c r="A8893" s="49" t="s">
        <v>318</v>
      </c>
      <c r="B8893" s="50">
        <v>45473.0</v>
      </c>
      <c r="C8893" s="49" t="s">
        <v>69</v>
      </c>
      <c r="D8893" s="49">
        <v>0.0</v>
      </c>
    </row>
    <row r="8894" ht="15.0" hidden="1" customHeight="1">
      <c r="A8894" s="49" t="s">
        <v>323</v>
      </c>
      <c r="B8894" s="50">
        <v>45473.0</v>
      </c>
      <c r="C8894" s="49" t="s">
        <v>69</v>
      </c>
      <c r="D8894" s="49">
        <v>0.0</v>
      </c>
    </row>
    <row r="8895" ht="15.0" hidden="1" customHeight="1">
      <c r="A8895" s="49" t="s">
        <v>328</v>
      </c>
      <c r="B8895" s="50">
        <v>45473.0</v>
      </c>
      <c r="C8895" s="49" t="s">
        <v>69</v>
      </c>
      <c r="D8895" s="49">
        <v>0.0</v>
      </c>
    </row>
    <row r="8896" ht="15.0" hidden="1" customHeight="1">
      <c r="A8896" s="49" t="s">
        <v>335</v>
      </c>
      <c r="B8896" s="50">
        <v>45473.0</v>
      </c>
      <c r="C8896" s="49" t="s">
        <v>69</v>
      </c>
      <c r="D8896" s="49">
        <v>0.0</v>
      </c>
    </row>
    <row r="8897" ht="15.0" hidden="1" customHeight="1">
      <c r="A8897" s="49" t="s">
        <v>340</v>
      </c>
      <c r="B8897" s="50">
        <v>45473.0</v>
      </c>
      <c r="C8897" s="49" t="s">
        <v>69</v>
      </c>
      <c r="D8897" s="49">
        <v>0.0</v>
      </c>
    </row>
    <row r="8898" ht="15.0" hidden="1" customHeight="1">
      <c r="A8898" s="49" t="s">
        <v>345</v>
      </c>
      <c r="B8898" s="50">
        <v>45473.0</v>
      </c>
      <c r="C8898" s="49" t="s">
        <v>69</v>
      </c>
      <c r="D8898" s="49">
        <v>0.0</v>
      </c>
    </row>
    <row r="8899" ht="15.0" hidden="1" customHeight="1">
      <c r="A8899" s="49" t="s">
        <v>350</v>
      </c>
      <c r="B8899" s="50">
        <v>45473.0</v>
      </c>
      <c r="C8899" s="49" t="s">
        <v>69</v>
      </c>
      <c r="D8899" s="49">
        <v>0.0</v>
      </c>
    </row>
    <row r="8900" ht="15.0" hidden="1" customHeight="1">
      <c r="A8900" s="49" t="s">
        <v>355</v>
      </c>
      <c r="B8900" s="50">
        <v>45473.0</v>
      </c>
      <c r="C8900" s="49" t="s">
        <v>69</v>
      </c>
      <c r="D8900" s="49">
        <v>0.0</v>
      </c>
    </row>
    <row r="8901" ht="15.0" hidden="1" customHeight="1">
      <c r="A8901" s="49" t="s">
        <v>360</v>
      </c>
      <c r="B8901" s="50">
        <v>45473.0</v>
      </c>
      <c r="C8901" s="49" t="s">
        <v>69</v>
      </c>
      <c r="D8901" s="49">
        <v>0.0</v>
      </c>
    </row>
    <row r="8902" ht="15.0" hidden="1" customHeight="1">
      <c r="A8902" s="49" t="s">
        <v>365</v>
      </c>
      <c r="B8902" s="50">
        <v>45473.0</v>
      </c>
      <c r="C8902" s="49" t="s">
        <v>69</v>
      </c>
      <c r="D8902" s="49">
        <v>120000.0</v>
      </c>
    </row>
    <row r="8903" ht="15.0" hidden="1" customHeight="1">
      <c r="A8903" s="49" t="s">
        <v>370</v>
      </c>
      <c r="B8903" s="50">
        <v>45473.0</v>
      </c>
      <c r="C8903" s="49" t="s">
        <v>69</v>
      </c>
      <c r="D8903" s="49">
        <v>0.0</v>
      </c>
    </row>
    <row r="8904" ht="15.0" hidden="1" customHeight="1">
      <c r="A8904" s="49" t="s">
        <v>375</v>
      </c>
      <c r="B8904" s="50">
        <v>45473.0</v>
      </c>
      <c r="C8904" s="49" t="s">
        <v>69</v>
      </c>
      <c r="D8904" s="49">
        <v>100000.0</v>
      </c>
    </row>
    <row r="8905" ht="15.0" hidden="1" customHeight="1">
      <c r="A8905" s="49" t="s">
        <v>380</v>
      </c>
      <c r="B8905" s="50">
        <v>45473.0</v>
      </c>
      <c r="C8905" s="49" t="s">
        <v>69</v>
      </c>
      <c r="D8905" s="49">
        <v>0.0</v>
      </c>
    </row>
    <row r="8906" ht="15.0" hidden="1" customHeight="1">
      <c r="A8906" s="49" t="s">
        <v>385</v>
      </c>
      <c r="B8906" s="50">
        <v>45473.0</v>
      </c>
      <c r="C8906" s="49" t="s">
        <v>69</v>
      </c>
      <c r="D8906" s="49">
        <v>0.0</v>
      </c>
    </row>
    <row r="8907" ht="15.0" hidden="1" customHeight="1">
      <c r="A8907" s="49" t="s">
        <v>390</v>
      </c>
      <c r="B8907" s="50">
        <v>45473.0</v>
      </c>
      <c r="C8907" s="49" t="s">
        <v>69</v>
      </c>
      <c r="D8907" s="49">
        <v>1800000.0</v>
      </c>
    </row>
    <row r="8908" ht="15.0" hidden="1" customHeight="1">
      <c r="A8908" s="49" t="s">
        <v>395</v>
      </c>
      <c r="B8908" s="50">
        <v>45473.0</v>
      </c>
      <c r="C8908" s="49" t="s">
        <v>69</v>
      </c>
      <c r="D8908" s="49">
        <v>0.0</v>
      </c>
    </row>
    <row r="8909" ht="15.0" hidden="1" customHeight="1">
      <c r="A8909" s="49" t="s">
        <v>400</v>
      </c>
      <c r="B8909" s="50">
        <v>45473.0</v>
      </c>
      <c r="C8909" s="49" t="s">
        <v>69</v>
      </c>
      <c r="D8909" s="49">
        <v>100000.0</v>
      </c>
    </row>
    <row r="8910" ht="15.0" hidden="1" customHeight="1">
      <c r="A8910" s="49" t="s">
        <v>405</v>
      </c>
      <c r="B8910" s="50">
        <v>45473.0</v>
      </c>
      <c r="C8910" s="49" t="s">
        <v>69</v>
      </c>
      <c r="D8910" s="49">
        <v>0.0</v>
      </c>
    </row>
    <row r="8911" ht="15.0" hidden="1" customHeight="1">
      <c r="A8911" s="49" t="s">
        <v>410</v>
      </c>
      <c r="B8911" s="50">
        <v>45473.0</v>
      </c>
      <c r="C8911" s="49" t="s">
        <v>69</v>
      </c>
      <c r="D8911" s="49">
        <v>0.0</v>
      </c>
    </row>
    <row r="8912" ht="15.0" hidden="1" customHeight="1">
      <c r="A8912" s="49" t="s">
        <v>415</v>
      </c>
      <c r="B8912" s="50">
        <v>45473.0</v>
      </c>
      <c r="C8912" s="49" t="s">
        <v>69</v>
      </c>
      <c r="D8912" s="49">
        <v>0.0</v>
      </c>
    </row>
    <row r="8913" ht="15.0" hidden="1" customHeight="1">
      <c r="A8913" s="49" t="s">
        <v>420</v>
      </c>
      <c r="B8913" s="50">
        <v>45473.0</v>
      </c>
      <c r="C8913" s="49" t="s">
        <v>69</v>
      </c>
      <c r="D8913" s="49">
        <v>669650.0</v>
      </c>
    </row>
    <row r="8914" ht="15.0" hidden="1" customHeight="1">
      <c r="A8914" s="49" t="s">
        <v>425</v>
      </c>
      <c r="B8914" s="50">
        <v>45473.0</v>
      </c>
      <c r="C8914" s="49" t="s">
        <v>69</v>
      </c>
      <c r="D8914" s="49">
        <v>0.0</v>
      </c>
    </row>
    <row r="8915" ht="15.0" hidden="1" customHeight="1">
      <c r="A8915" s="49" t="s">
        <v>430</v>
      </c>
      <c r="B8915" s="50">
        <v>45473.0</v>
      </c>
      <c r="C8915" s="49" t="s">
        <v>69</v>
      </c>
      <c r="D8915" s="49">
        <v>0.0</v>
      </c>
    </row>
    <row r="8916" ht="15.0" hidden="1" customHeight="1">
      <c r="A8916" s="49" t="s">
        <v>434</v>
      </c>
      <c r="B8916" s="50">
        <v>45473.0</v>
      </c>
      <c r="C8916" s="49" t="s">
        <v>69</v>
      </c>
      <c r="D8916" s="49">
        <v>500000.0</v>
      </c>
    </row>
    <row r="8917" ht="15.0" hidden="1" customHeight="1">
      <c r="A8917" s="49" t="s">
        <v>439</v>
      </c>
      <c r="B8917" s="50">
        <v>45473.0</v>
      </c>
      <c r="C8917" s="49" t="s">
        <v>69</v>
      </c>
      <c r="D8917" s="49">
        <v>434250.0</v>
      </c>
    </row>
    <row r="8918" ht="15.0" hidden="1" customHeight="1">
      <c r="A8918" s="49" t="s">
        <v>444</v>
      </c>
      <c r="B8918" s="50">
        <v>45473.0</v>
      </c>
      <c r="C8918" s="49" t="s">
        <v>69</v>
      </c>
      <c r="D8918" s="49">
        <v>0.0</v>
      </c>
    </row>
    <row r="8919" ht="15.0" hidden="1" customHeight="1">
      <c r="A8919" s="49" t="s">
        <v>449</v>
      </c>
      <c r="B8919" s="50">
        <v>45473.0</v>
      </c>
      <c r="C8919" s="49" t="s">
        <v>69</v>
      </c>
      <c r="D8919" s="49">
        <v>0.0</v>
      </c>
    </row>
    <row r="8920" ht="15.0" hidden="1" customHeight="1">
      <c r="A8920" s="49" t="s">
        <v>455</v>
      </c>
      <c r="B8920" s="50">
        <v>45473.0</v>
      </c>
      <c r="C8920" s="49" t="s">
        <v>69</v>
      </c>
      <c r="D8920" s="49">
        <v>400000.0</v>
      </c>
    </row>
    <row r="8921" ht="15.0" hidden="1" customHeight="1">
      <c r="A8921" s="49" t="s">
        <v>470</v>
      </c>
      <c r="B8921" s="50">
        <v>45473.0</v>
      </c>
      <c r="C8921" s="49" t="s">
        <v>69</v>
      </c>
      <c r="D8921" s="49">
        <v>100000.0</v>
      </c>
    </row>
    <row r="8922" ht="15.0" hidden="1" customHeight="1">
      <c r="A8922" s="49" t="s">
        <v>476</v>
      </c>
      <c r="B8922" s="50">
        <v>45473.0</v>
      </c>
      <c r="C8922" s="49" t="s">
        <v>69</v>
      </c>
      <c r="D8922" s="49">
        <v>1500000.0</v>
      </c>
    </row>
    <row r="8923" ht="15.0" hidden="1" customHeight="1">
      <c r="A8923" s="49" t="s">
        <v>481</v>
      </c>
      <c r="B8923" s="50">
        <v>45473.0</v>
      </c>
      <c r="C8923" s="49" t="s">
        <v>69</v>
      </c>
      <c r="D8923" s="49">
        <v>50000.0</v>
      </c>
    </row>
    <row r="8924" ht="15.0" hidden="1" customHeight="1">
      <c r="A8924" s="49" t="s">
        <v>486</v>
      </c>
      <c r="B8924" s="50">
        <v>45473.0</v>
      </c>
      <c r="C8924" s="49" t="s">
        <v>69</v>
      </c>
      <c r="D8924" s="49">
        <v>102550.37</v>
      </c>
    </row>
    <row r="8925" ht="15.0" hidden="1" customHeight="1">
      <c r="A8925" s="49" t="s">
        <v>491</v>
      </c>
      <c r="B8925" s="50">
        <v>45473.0</v>
      </c>
      <c r="C8925" s="49" t="s">
        <v>69</v>
      </c>
      <c r="D8925" s="49">
        <v>154004.15</v>
      </c>
    </row>
    <row r="8926" ht="15.0" hidden="1" customHeight="1">
      <c r="A8926" s="49" t="s">
        <v>496</v>
      </c>
      <c r="B8926" s="50">
        <v>45473.0</v>
      </c>
      <c r="C8926" s="49" t="s">
        <v>69</v>
      </c>
      <c r="D8926" s="49">
        <v>0.0</v>
      </c>
    </row>
    <row r="8927" ht="15.0" hidden="1" customHeight="1">
      <c r="A8927" s="49" t="s">
        <v>501</v>
      </c>
      <c r="B8927" s="50">
        <v>45473.0</v>
      </c>
      <c r="C8927" s="49" t="s">
        <v>69</v>
      </c>
      <c r="D8927" s="49">
        <v>400000.0</v>
      </c>
    </row>
    <row r="8928" ht="15.0" hidden="1" customHeight="1">
      <c r="A8928" s="49" t="s">
        <v>506</v>
      </c>
      <c r="B8928" s="50">
        <v>45473.0</v>
      </c>
      <c r="C8928" s="49" t="s">
        <v>69</v>
      </c>
      <c r="D8928" s="49">
        <v>775073.28</v>
      </c>
    </row>
    <row r="8929" ht="15.0" hidden="1" customHeight="1">
      <c r="A8929" s="49" t="s">
        <v>512</v>
      </c>
      <c r="B8929" s="50">
        <v>45473.0</v>
      </c>
      <c r="C8929" s="49" t="s">
        <v>69</v>
      </c>
      <c r="D8929" s="49">
        <v>30000.0</v>
      </c>
    </row>
    <row r="8930" ht="15.0" hidden="1" customHeight="1">
      <c r="A8930" s="49" t="s">
        <v>517</v>
      </c>
      <c r="B8930" s="50">
        <v>45473.0</v>
      </c>
      <c r="C8930" s="49" t="s">
        <v>69</v>
      </c>
      <c r="D8930" s="49">
        <v>0.0</v>
      </c>
    </row>
    <row r="8931" ht="15.0" hidden="1" customHeight="1">
      <c r="A8931" s="49" t="s">
        <v>522</v>
      </c>
      <c r="B8931" s="50">
        <v>45473.0</v>
      </c>
      <c r="C8931" s="49" t="s">
        <v>69</v>
      </c>
      <c r="D8931" s="49">
        <v>0.0</v>
      </c>
    </row>
    <row r="8932" ht="15.0" hidden="1" customHeight="1">
      <c r="A8932" s="49" t="s">
        <v>528</v>
      </c>
      <c r="B8932" s="50">
        <v>45473.0</v>
      </c>
      <c r="C8932" s="49" t="s">
        <v>69</v>
      </c>
      <c r="D8932" s="49">
        <v>0.0</v>
      </c>
    </row>
    <row r="8933" ht="15.0" hidden="1" customHeight="1">
      <c r="A8933" s="49" t="s">
        <v>533</v>
      </c>
      <c r="B8933" s="50">
        <v>45473.0</v>
      </c>
      <c r="C8933" s="49" t="s">
        <v>69</v>
      </c>
      <c r="D8933" s="49">
        <v>0.0</v>
      </c>
    </row>
    <row r="8934" ht="15.0" hidden="1" customHeight="1">
      <c r="A8934" s="49" t="s">
        <v>538</v>
      </c>
      <c r="B8934" s="50">
        <v>45473.0</v>
      </c>
      <c r="C8934" s="49" t="s">
        <v>69</v>
      </c>
      <c r="D8934" s="49">
        <v>0.0</v>
      </c>
    </row>
    <row r="8935" ht="15.0" hidden="1" customHeight="1">
      <c r="A8935" s="49" t="s">
        <v>546</v>
      </c>
      <c r="B8935" s="50">
        <v>45473.0</v>
      </c>
      <c r="C8935" s="49" t="s">
        <v>69</v>
      </c>
      <c r="D8935" s="49">
        <v>0.0</v>
      </c>
    </row>
    <row r="8936" ht="15.0" hidden="1" customHeight="1">
      <c r="A8936" s="49" t="s">
        <v>551</v>
      </c>
      <c r="B8936" s="50">
        <v>45473.0</v>
      </c>
      <c r="C8936" s="49" t="s">
        <v>69</v>
      </c>
      <c r="D8936" s="49">
        <v>0.0</v>
      </c>
    </row>
    <row r="8937" ht="15.0" hidden="1" customHeight="1">
      <c r="A8937" s="49" t="s">
        <v>556</v>
      </c>
      <c r="B8937" s="50">
        <v>45473.0</v>
      </c>
      <c r="C8937" s="49" t="s">
        <v>69</v>
      </c>
      <c r="D8937" s="49">
        <v>0.0</v>
      </c>
    </row>
    <row r="8938" ht="15.0" hidden="1" customHeight="1">
      <c r="A8938" s="49" t="s">
        <v>561</v>
      </c>
      <c r="B8938" s="50">
        <v>45473.0</v>
      </c>
      <c r="C8938" s="49" t="s">
        <v>69</v>
      </c>
      <c r="D8938" s="49">
        <v>0.0</v>
      </c>
    </row>
    <row r="8939" ht="15.0" hidden="1" customHeight="1">
      <c r="A8939" s="49" t="s">
        <v>566</v>
      </c>
      <c r="B8939" s="50">
        <v>45473.0</v>
      </c>
      <c r="C8939" s="49" t="s">
        <v>69</v>
      </c>
      <c r="D8939" s="49">
        <v>0.0</v>
      </c>
    </row>
    <row r="8940" ht="15.0" hidden="1" customHeight="1">
      <c r="A8940" s="49" t="s">
        <v>571</v>
      </c>
      <c r="B8940" s="50">
        <v>45473.0</v>
      </c>
      <c r="C8940" s="49" t="s">
        <v>69</v>
      </c>
      <c r="D8940" s="49">
        <v>0.0</v>
      </c>
    </row>
    <row r="8941" ht="15.0" hidden="1" customHeight="1">
      <c r="A8941" s="49" t="s">
        <v>576</v>
      </c>
      <c r="B8941" s="50">
        <v>45473.0</v>
      </c>
      <c r="C8941" s="49" t="s">
        <v>69</v>
      </c>
      <c r="D8941" s="49">
        <v>0.0</v>
      </c>
    </row>
    <row r="8942" ht="15.0" hidden="1" customHeight="1">
      <c r="A8942" s="49" t="s">
        <v>581</v>
      </c>
      <c r="B8942" s="50">
        <v>45473.0</v>
      </c>
      <c r="C8942" s="49" t="s">
        <v>69</v>
      </c>
      <c r="D8942" s="49">
        <v>0.0</v>
      </c>
    </row>
    <row r="8943" ht="15.0" hidden="1" customHeight="1">
      <c r="A8943" s="49" t="s">
        <v>586</v>
      </c>
      <c r="B8943" s="50">
        <v>45473.0</v>
      </c>
      <c r="C8943" s="49" t="s">
        <v>69</v>
      </c>
      <c r="D8943" s="49">
        <v>0.0</v>
      </c>
    </row>
    <row r="8944" ht="15.0" hidden="1" customHeight="1">
      <c r="A8944" s="49" t="s">
        <v>754</v>
      </c>
      <c r="B8944" s="50">
        <v>45473.0</v>
      </c>
      <c r="C8944" s="49" t="s">
        <v>69</v>
      </c>
      <c r="D8944" s="49">
        <v>0.0</v>
      </c>
    </row>
    <row r="8945" ht="15.0" hidden="1" customHeight="1">
      <c r="A8945" s="49" t="s">
        <v>591</v>
      </c>
      <c r="B8945" s="50">
        <v>45473.0</v>
      </c>
      <c r="C8945" s="49" t="s">
        <v>69</v>
      </c>
      <c r="D8945" s="49">
        <v>0.0</v>
      </c>
    </row>
    <row r="8946" ht="15.0" hidden="1" customHeight="1">
      <c r="A8946" s="49" t="s">
        <v>759</v>
      </c>
      <c r="B8946" s="50">
        <v>45473.0</v>
      </c>
      <c r="C8946" s="49" t="s">
        <v>69</v>
      </c>
      <c r="D8946" s="49">
        <v>0.0</v>
      </c>
    </row>
    <row r="8947" ht="15.0" hidden="1" customHeight="1">
      <c r="A8947" s="49" t="s">
        <v>596</v>
      </c>
      <c r="B8947" s="50">
        <v>45473.0</v>
      </c>
      <c r="C8947" s="49" t="s">
        <v>69</v>
      </c>
      <c r="D8947" s="49">
        <v>0.0</v>
      </c>
    </row>
    <row r="8948" ht="15.0" hidden="1" customHeight="1">
      <c r="A8948" s="49" t="s">
        <v>602</v>
      </c>
      <c r="B8948" s="50">
        <v>45473.0</v>
      </c>
      <c r="C8948" s="49" t="s">
        <v>69</v>
      </c>
      <c r="D8948" s="49">
        <v>0.0</v>
      </c>
    </row>
    <row r="8949" ht="15.0" hidden="1" customHeight="1">
      <c r="A8949" s="49" t="s">
        <v>607</v>
      </c>
      <c r="B8949" s="50">
        <v>45473.0</v>
      </c>
      <c r="C8949" s="49" t="s">
        <v>69</v>
      </c>
      <c r="D8949" s="49">
        <v>0.0</v>
      </c>
    </row>
    <row r="8950" ht="15.0" hidden="1" customHeight="1">
      <c r="A8950" s="49" t="s">
        <v>612</v>
      </c>
      <c r="B8950" s="50">
        <v>45473.0</v>
      </c>
      <c r="C8950" s="49" t="s">
        <v>69</v>
      </c>
      <c r="D8950" s="49">
        <v>0.0</v>
      </c>
    </row>
    <row r="8951" ht="15.0" hidden="1" customHeight="1">
      <c r="A8951" s="49" t="s">
        <v>617</v>
      </c>
      <c r="B8951" s="50">
        <v>45473.0</v>
      </c>
      <c r="C8951" s="49" t="s">
        <v>69</v>
      </c>
      <c r="D8951" s="49">
        <v>0.0</v>
      </c>
    </row>
    <row r="8952" ht="15.0" hidden="1" customHeight="1">
      <c r="A8952" s="49" t="s">
        <v>622</v>
      </c>
      <c r="B8952" s="50">
        <v>45473.0</v>
      </c>
      <c r="C8952" s="49" t="s">
        <v>69</v>
      </c>
      <c r="D8952" s="49">
        <v>0.0</v>
      </c>
    </row>
    <row r="8953" ht="15.0" hidden="1" customHeight="1">
      <c r="A8953" s="49" t="s">
        <v>627</v>
      </c>
      <c r="B8953" s="50">
        <v>45473.0</v>
      </c>
      <c r="C8953" s="49" t="s">
        <v>69</v>
      </c>
      <c r="D8953" s="49">
        <v>0.0</v>
      </c>
    </row>
    <row r="8954" ht="15.0" hidden="1" customHeight="1">
      <c r="A8954" s="49" t="s">
        <v>631</v>
      </c>
      <c r="B8954" s="50">
        <v>45473.0</v>
      </c>
      <c r="C8954" s="49" t="s">
        <v>69</v>
      </c>
      <c r="D8954" s="49">
        <v>0.0</v>
      </c>
    </row>
    <row r="8955" ht="15.0" hidden="1" customHeight="1">
      <c r="A8955" s="49" t="s">
        <v>636</v>
      </c>
      <c r="B8955" s="50">
        <v>45473.0</v>
      </c>
      <c r="C8955" s="49" t="s">
        <v>69</v>
      </c>
      <c r="D8955" s="49">
        <v>0.0</v>
      </c>
    </row>
    <row r="8956" ht="15.0" hidden="1" customHeight="1">
      <c r="A8956" s="49" t="s">
        <v>640</v>
      </c>
      <c r="B8956" s="50">
        <v>45473.0</v>
      </c>
      <c r="C8956" s="49" t="s">
        <v>69</v>
      </c>
      <c r="D8956" s="49">
        <v>0.0</v>
      </c>
    </row>
    <row r="8957" ht="15.0" hidden="1" customHeight="1">
      <c r="A8957" s="49" t="s">
        <v>644</v>
      </c>
      <c r="B8957" s="50">
        <v>45473.0</v>
      </c>
      <c r="C8957" s="49" t="s">
        <v>69</v>
      </c>
      <c r="D8957" s="49">
        <v>0.0</v>
      </c>
    </row>
    <row r="8958" ht="15.0" hidden="1" customHeight="1">
      <c r="A8958" s="49" t="s">
        <v>649</v>
      </c>
      <c r="B8958" s="50">
        <v>45473.0</v>
      </c>
      <c r="C8958" s="49" t="s">
        <v>69</v>
      </c>
      <c r="D8958" s="49">
        <v>0.0</v>
      </c>
    </row>
    <row r="8959" ht="15.0" hidden="1" customHeight="1">
      <c r="A8959" s="49" t="s">
        <v>654</v>
      </c>
      <c r="B8959" s="50">
        <v>45473.0</v>
      </c>
      <c r="C8959" s="49" t="s">
        <v>69</v>
      </c>
      <c r="D8959" s="49">
        <v>0.0</v>
      </c>
    </row>
    <row r="8960" ht="15.0" hidden="1" customHeight="1">
      <c r="A8960" s="49" t="s">
        <v>659</v>
      </c>
      <c r="B8960" s="50">
        <v>45473.0</v>
      </c>
      <c r="C8960" s="49" t="s">
        <v>69</v>
      </c>
      <c r="D8960" s="49">
        <v>0.0</v>
      </c>
    </row>
    <row r="8961" ht="15.0" hidden="1" customHeight="1">
      <c r="A8961" s="49" t="s">
        <v>664</v>
      </c>
      <c r="B8961" s="50">
        <v>45473.0</v>
      </c>
      <c r="C8961" s="49" t="s">
        <v>69</v>
      </c>
      <c r="D8961" s="49">
        <v>0.0</v>
      </c>
    </row>
    <row r="8962" ht="15.0" hidden="1" customHeight="1">
      <c r="A8962" s="49" t="s">
        <v>669</v>
      </c>
      <c r="B8962" s="50">
        <v>45473.0</v>
      </c>
      <c r="C8962" s="49" t="s">
        <v>69</v>
      </c>
      <c r="D8962" s="49">
        <v>0.0</v>
      </c>
    </row>
    <row r="8963" ht="15.0" hidden="1" customHeight="1">
      <c r="A8963" s="49" t="s">
        <v>674</v>
      </c>
      <c r="B8963" s="50">
        <v>45473.0</v>
      </c>
      <c r="C8963" s="49" t="s">
        <v>69</v>
      </c>
      <c r="D8963" s="49">
        <v>0.0</v>
      </c>
    </row>
    <row r="8964" ht="15.0" hidden="1" customHeight="1">
      <c r="A8964" s="49" t="s">
        <v>679</v>
      </c>
      <c r="B8964" s="50">
        <v>45473.0</v>
      </c>
      <c r="C8964" s="49" t="s">
        <v>69</v>
      </c>
      <c r="D8964" s="49">
        <v>0.0</v>
      </c>
    </row>
    <row r="8965" ht="15.0" hidden="1" customHeight="1">
      <c r="A8965" s="49" t="s">
        <v>684</v>
      </c>
      <c r="B8965" s="50">
        <v>45473.0</v>
      </c>
      <c r="C8965" s="49" t="s">
        <v>69</v>
      </c>
      <c r="D8965" s="49">
        <v>0.0</v>
      </c>
    </row>
    <row r="8966" ht="15.0" hidden="1" customHeight="1">
      <c r="A8966" s="49" t="s">
        <v>689</v>
      </c>
      <c r="B8966" s="50">
        <v>45473.0</v>
      </c>
      <c r="C8966" s="49" t="s">
        <v>69</v>
      </c>
      <c r="D8966" s="49">
        <v>0.0</v>
      </c>
    </row>
    <row r="8967" ht="15.0" hidden="1" customHeight="1">
      <c r="A8967" s="49" t="s">
        <v>694</v>
      </c>
      <c r="B8967" s="50">
        <v>45473.0</v>
      </c>
      <c r="C8967" s="49" t="s">
        <v>69</v>
      </c>
      <c r="D8967" s="49">
        <v>0.0</v>
      </c>
    </row>
    <row r="8968" ht="15.0" hidden="1" customHeight="1">
      <c r="A8968" s="49" t="s">
        <v>699</v>
      </c>
      <c r="B8968" s="50">
        <v>45473.0</v>
      </c>
      <c r="C8968" s="49" t="s">
        <v>69</v>
      </c>
      <c r="D8968" s="49">
        <v>0.0</v>
      </c>
    </row>
    <row r="8969" ht="15.0" hidden="1" customHeight="1">
      <c r="A8969" s="49" t="s">
        <v>705</v>
      </c>
      <c r="B8969" s="50">
        <v>45473.0</v>
      </c>
      <c r="C8969" s="49" t="s">
        <v>69</v>
      </c>
      <c r="D8969" s="49">
        <v>0.0</v>
      </c>
    </row>
    <row r="8970" ht="15.0" hidden="1" customHeight="1">
      <c r="A8970" s="49" t="s">
        <v>710</v>
      </c>
      <c r="B8970" s="50">
        <v>45473.0</v>
      </c>
      <c r="C8970" s="49" t="s">
        <v>69</v>
      </c>
      <c r="D8970" s="49">
        <v>0.0</v>
      </c>
    </row>
    <row r="8971" ht="15.0" hidden="1" customHeight="1">
      <c r="A8971" s="49" t="s">
        <v>715</v>
      </c>
      <c r="B8971" s="50">
        <v>45473.0</v>
      </c>
      <c r="C8971" s="49" t="s">
        <v>69</v>
      </c>
      <c r="D8971" s="49">
        <v>0.0</v>
      </c>
    </row>
    <row r="8972" ht="15.0" hidden="1" customHeight="1">
      <c r="A8972" s="49" t="s">
        <v>765</v>
      </c>
      <c r="B8972" s="50">
        <v>45473.0</v>
      </c>
      <c r="C8972" s="49" t="s">
        <v>69</v>
      </c>
      <c r="D8972" s="49">
        <v>0.0</v>
      </c>
    </row>
    <row r="8973" ht="15.0" hidden="1" customHeight="1">
      <c r="A8973" s="49" t="s">
        <v>720</v>
      </c>
      <c r="B8973" s="50">
        <v>45473.0</v>
      </c>
      <c r="C8973" s="49" t="s">
        <v>69</v>
      </c>
      <c r="D8973" s="49">
        <v>0.0</v>
      </c>
    </row>
    <row r="8974" ht="15.0" hidden="1" customHeight="1">
      <c r="A8974" s="49" t="s">
        <v>725</v>
      </c>
      <c r="B8974" s="50">
        <v>45473.0</v>
      </c>
      <c r="C8974" s="49" t="s">
        <v>69</v>
      </c>
      <c r="D8974" s="49">
        <v>0.0</v>
      </c>
    </row>
    <row r="8975" ht="15.0" hidden="1" customHeight="1">
      <c r="A8975" s="49" t="s">
        <v>730</v>
      </c>
      <c r="B8975" s="50">
        <v>45473.0</v>
      </c>
      <c r="C8975" s="49" t="s">
        <v>69</v>
      </c>
      <c r="D8975" s="49">
        <v>0.0</v>
      </c>
    </row>
    <row r="8976" ht="15.0" hidden="1" customHeight="1">
      <c r="A8976" s="49" t="s">
        <v>734</v>
      </c>
      <c r="B8976" s="50">
        <v>45473.0</v>
      </c>
      <c r="C8976" s="49" t="s">
        <v>69</v>
      </c>
      <c r="D8976" s="49">
        <v>0.0</v>
      </c>
    </row>
    <row r="8977" ht="15.0" hidden="1" customHeight="1">
      <c r="A8977" s="49" t="s">
        <v>739</v>
      </c>
      <c r="B8977" s="50">
        <v>45473.0</v>
      </c>
      <c r="C8977" s="49" t="s">
        <v>69</v>
      </c>
      <c r="D8977" s="49">
        <v>0.0</v>
      </c>
    </row>
    <row r="8978" ht="15.0" hidden="1" customHeight="1">
      <c r="A8978" s="49" t="s">
        <v>744</v>
      </c>
      <c r="B8978" s="50">
        <v>45473.0</v>
      </c>
      <c r="C8978" s="49" t="s">
        <v>69</v>
      </c>
      <c r="D8978" s="49">
        <v>0.0</v>
      </c>
    </row>
    <row r="8979" ht="15.0" hidden="1" customHeight="1">
      <c r="A8979" s="49" t="s">
        <v>749</v>
      </c>
      <c r="B8979" s="50">
        <v>45473.0</v>
      </c>
      <c r="C8979" s="49" t="s">
        <v>69</v>
      </c>
      <c r="D8979" s="49">
        <v>0.0</v>
      </c>
    </row>
    <row r="8980" ht="15.0" customHeight="1">
      <c r="A8980" s="49" t="s">
        <v>776</v>
      </c>
      <c r="B8980" s="50">
        <v>45473.0</v>
      </c>
      <c r="C8980" s="49" t="s">
        <v>780</v>
      </c>
      <c r="D8980" s="49">
        <v>0.0</v>
      </c>
    </row>
    <row r="8981" ht="15.0" hidden="1" customHeight="1">
      <c r="A8981" s="49" t="s">
        <v>778</v>
      </c>
      <c r="B8981" s="50">
        <v>45473.0</v>
      </c>
      <c r="C8981" s="49" t="s">
        <v>780</v>
      </c>
      <c r="D8981" s="49">
        <v>0.0</v>
      </c>
    </row>
    <row r="8982" ht="15.0" hidden="1" customHeight="1">
      <c r="A8982" s="49" t="s">
        <v>92</v>
      </c>
      <c r="B8982" s="50">
        <v>45473.0</v>
      </c>
      <c r="C8982" s="49" t="s">
        <v>780</v>
      </c>
      <c r="D8982" s="49">
        <v>0.0</v>
      </c>
    </row>
    <row r="8983" ht="15.0" hidden="1" customHeight="1">
      <c r="A8983" s="49" t="s">
        <v>97</v>
      </c>
      <c r="B8983" s="50">
        <v>45473.0</v>
      </c>
      <c r="C8983" s="49" t="s">
        <v>780</v>
      </c>
      <c r="D8983" s="49">
        <v>0.0</v>
      </c>
    </row>
    <row r="8984" ht="15.0" hidden="1" customHeight="1">
      <c r="A8984" s="49" t="s">
        <v>102</v>
      </c>
      <c r="B8984" s="50">
        <v>45473.0</v>
      </c>
      <c r="C8984" s="49" t="s">
        <v>780</v>
      </c>
      <c r="D8984" s="49">
        <v>0.0</v>
      </c>
    </row>
    <row r="8985" ht="15.0" hidden="1" customHeight="1">
      <c r="A8985" s="49" t="s">
        <v>106</v>
      </c>
      <c r="B8985" s="50">
        <v>45473.0</v>
      </c>
      <c r="C8985" s="49" t="s">
        <v>780</v>
      </c>
      <c r="D8985" s="49">
        <v>0.0</v>
      </c>
    </row>
    <row r="8986" ht="15.0" hidden="1" customHeight="1">
      <c r="A8986" s="49" t="s">
        <v>111</v>
      </c>
      <c r="B8986" s="50">
        <v>45473.0</v>
      </c>
      <c r="C8986" s="49" t="s">
        <v>780</v>
      </c>
      <c r="D8986" s="49">
        <v>0.0</v>
      </c>
    </row>
    <row r="8987" ht="15.0" hidden="1" customHeight="1">
      <c r="A8987" s="49" t="s">
        <v>116</v>
      </c>
      <c r="B8987" s="50">
        <v>45473.0</v>
      </c>
      <c r="C8987" s="49" t="s">
        <v>780</v>
      </c>
      <c r="D8987" s="49">
        <v>0.0</v>
      </c>
    </row>
    <row r="8988" ht="15.0" hidden="1" customHeight="1">
      <c r="A8988" s="49" t="s">
        <v>120</v>
      </c>
      <c r="B8988" s="50">
        <v>45473.0</v>
      </c>
      <c r="C8988" s="49" t="s">
        <v>780</v>
      </c>
      <c r="D8988" s="49">
        <v>0.0</v>
      </c>
    </row>
    <row r="8989" ht="15.0" hidden="1" customHeight="1">
      <c r="A8989" s="49" t="s">
        <v>125</v>
      </c>
      <c r="B8989" s="50">
        <v>45473.0</v>
      </c>
      <c r="C8989" s="49" t="s">
        <v>780</v>
      </c>
      <c r="D8989" s="49">
        <v>0.0</v>
      </c>
    </row>
    <row r="8990" ht="15.0" hidden="1" customHeight="1">
      <c r="A8990" s="49" t="s">
        <v>130</v>
      </c>
      <c r="B8990" s="50">
        <v>45473.0</v>
      </c>
      <c r="C8990" s="49" t="s">
        <v>780</v>
      </c>
      <c r="D8990" s="49">
        <v>0.0</v>
      </c>
    </row>
    <row r="8991" ht="15.0" hidden="1" customHeight="1">
      <c r="A8991" s="49" t="s">
        <v>137</v>
      </c>
      <c r="B8991" s="50">
        <v>45473.0</v>
      </c>
      <c r="C8991" s="49" t="s">
        <v>780</v>
      </c>
      <c r="D8991" s="49">
        <v>0.0</v>
      </c>
    </row>
    <row r="8992" ht="15.0" hidden="1" customHeight="1">
      <c r="A8992" s="49" t="s">
        <v>142</v>
      </c>
      <c r="B8992" s="50">
        <v>45473.0</v>
      </c>
      <c r="C8992" s="49" t="s">
        <v>780</v>
      </c>
      <c r="D8992" s="49">
        <v>0.0</v>
      </c>
    </row>
    <row r="8993" ht="15.0" hidden="1" customHeight="1">
      <c r="A8993" s="49" t="s">
        <v>147</v>
      </c>
      <c r="B8993" s="50">
        <v>45473.0</v>
      </c>
      <c r="C8993" s="49" t="s">
        <v>780</v>
      </c>
      <c r="D8993" s="49">
        <v>0.0</v>
      </c>
    </row>
    <row r="8994" ht="15.0" hidden="1" customHeight="1">
      <c r="A8994" s="49" t="s">
        <v>152</v>
      </c>
      <c r="B8994" s="50">
        <v>45473.0</v>
      </c>
      <c r="C8994" s="49" t="s">
        <v>780</v>
      </c>
      <c r="D8994" s="49">
        <v>0.0</v>
      </c>
    </row>
    <row r="8995" ht="15.0" hidden="1" customHeight="1">
      <c r="A8995" s="49" t="s">
        <v>157</v>
      </c>
      <c r="B8995" s="50">
        <v>45473.0</v>
      </c>
      <c r="C8995" s="49" t="s">
        <v>780</v>
      </c>
      <c r="D8995" s="49">
        <v>0.0</v>
      </c>
    </row>
    <row r="8996" ht="15.0" hidden="1" customHeight="1">
      <c r="A8996" s="49" t="s">
        <v>162</v>
      </c>
      <c r="B8996" s="50">
        <v>45473.0</v>
      </c>
      <c r="C8996" s="49" t="s">
        <v>780</v>
      </c>
      <c r="D8996" s="49">
        <v>0.0</v>
      </c>
    </row>
    <row r="8997" ht="15.0" hidden="1" customHeight="1">
      <c r="A8997" s="49" t="s">
        <v>167</v>
      </c>
      <c r="B8997" s="50">
        <v>45473.0</v>
      </c>
      <c r="C8997" s="49" t="s">
        <v>780</v>
      </c>
      <c r="D8997" s="49">
        <v>0.0</v>
      </c>
    </row>
    <row r="8998" ht="15.0" hidden="1" customHeight="1">
      <c r="A8998" s="49" t="s">
        <v>172</v>
      </c>
      <c r="B8998" s="50">
        <v>45473.0</v>
      </c>
      <c r="C8998" s="49" t="s">
        <v>780</v>
      </c>
      <c r="D8998" s="49">
        <v>0.0</v>
      </c>
    </row>
    <row r="8999" ht="15.0" hidden="1" customHeight="1">
      <c r="A8999" s="49" t="s">
        <v>177</v>
      </c>
      <c r="B8999" s="50">
        <v>45473.0</v>
      </c>
      <c r="C8999" s="49" t="s">
        <v>780</v>
      </c>
      <c r="D8999" s="49">
        <v>0.0</v>
      </c>
    </row>
    <row r="9000" ht="15.0" hidden="1" customHeight="1">
      <c r="A9000" s="49" t="s">
        <v>182</v>
      </c>
      <c r="B9000" s="50">
        <v>45473.0</v>
      </c>
      <c r="C9000" s="49" t="s">
        <v>780</v>
      </c>
      <c r="D9000" s="49">
        <v>0.0</v>
      </c>
    </row>
    <row r="9001" ht="15.0" hidden="1" customHeight="1">
      <c r="A9001" s="49" t="s">
        <v>187</v>
      </c>
      <c r="B9001" s="50">
        <v>45473.0</v>
      </c>
      <c r="C9001" s="49" t="s">
        <v>780</v>
      </c>
      <c r="D9001" s="49">
        <v>0.0</v>
      </c>
    </row>
    <row r="9002" ht="15.0" hidden="1" customHeight="1">
      <c r="A9002" s="49" t="s">
        <v>192</v>
      </c>
      <c r="B9002" s="50">
        <v>45473.0</v>
      </c>
      <c r="C9002" s="49" t="s">
        <v>780</v>
      </c>
      <c r="D9002" s="49">
        <v>0.0</v>
      </c>
    </row>
    <row r="9003" ht="15.0" hidden="1" customHeight="1">
      <c r="A9003" s="49" t="s">
        <v>197</v>
      </c>
      <c r="B9003" s="50">
        <v>45473.0</v>
      </c>
      <c r="C9003" s="49" t="s">
        <v>780</v>
      </c>
      <c r="D9003" s="49">
        <v>0.0</v>
      </c>
    </row>
    <row r="9004" ht="15.0" hidden="1" customHeight="1">
      <c r="A9004" s="49" t="s">
        <v>202</v>
      </c>
      <c r="B9004" s="50">
        <v>45473.0</v>
      </c>
      <c r="C9004" s="49" t="s">
        <v>780</v>
      </c>
      <c r="D9004" s="49">
        <v>0.0</v>
      </c>
    </row>
    <row r="9005" ht="15.0" hidden="1" customHeight="1">
      <c r="A9005" s="49" t="s">
        <v>206</v>
      </c>
      <c r="B9005" s="50">
        <v>45473.0</v>
      </c>
      <c r="C9005" s="49" t="s">
        <v>780</v>
      </c>
      <c r="D9005" s="49">
        <v>0.0</v>
      </c>
    </row>
    <row r="9006" ht="15.0" hidden="1" customHeight="1">
      <c r="A9006" s="49" t="s">
        <v>211</v>
      </c>
      <c r="B9006" s="50">
        <v>45473.0</v>
      </c>
      <c r="C9006" s="49" t="s">
        <v>780</v>
      </c>
      <c r="D9006" s="49">
        <v>0.0</v>
      </c>
    </row>
    <row r="9007" ht="15.0" hidden="1" customHeight="1">
      <c r="A9007" s="49" t="s">
        <v>779</v>
      </c>
      <c r="B9007" s="50">
        <v>45473.0</v>
      </c>
      <c r="C9007" s="49" t="s">
        <v>780</v>
      </c>
      <c r="D9007" s="49">
        <v>0.0</v>
      </c>
    </row>
    <row r="9008" ht="15.0" hidden="1" customHeight="1">
      <c r="A9008" s="49" t="s">
        <v>221</v>
      </c>
      <c r="B9008" s="50">
        <v>45473.0</v>
      </c>
      <c r="C9008" s="49" t="s">
        <v>780</v>
      </c>
      <c r="D9008" s="49">
        <v>0.0</v>
      </c>
    </row>
    <row r="9009" ht="15.0" hidden="1" customHeight="1">
      <c r="A9009" s="49" t="s">
        <v>226</v>
      </c>
      <c r="B9009" s="50">
        <v>45473.0</v>
      </c>
      <c r="C9009" s="49" t="s">
        <v>780</v>
      </c>
      <c r="D9009" s="49">
        <v>0.0</v>
      </c>
    </row>
    <row r="9010" ht="15.0" hidden="1" customHeight="1">
      <c r="A9010" s="49" t="s">
        <v>231</v>
      </c>
      <c r="B9010" s="50">
        <v>45473.0</v>
      </c>
      <c r="C9010" s="49" t="s">
        <v>780</v>
      </c>
      <c r="D9010" s="49">
        <v>0.0</v>
      </c>
    </row>
    <row r="9011" ht="15.0" hidden="1" customHeight="1">
      <c r="A9011" s="49" t="s">
        <v>236</v>
      </c>
      <c r="B9011" s="50">
        <v>45473.0</v>
      </c>
      <c r="C9011" s="49" t="s">
        <v>780</v>
      </c>
      <c r="D9011" s="49">
        <v>0.0</v>
      </c>
    </row>
    <row r="9012" ht="15.0" hidden="1" customHeight="1">
      <c r="A9012" s="49" t="s">
        <v>242</v>
      </c>
      <c r="B9012" s="50">
        <v>45473.0</v>
      </c>
      <c r="C9012" s="49" t="s">
        <v>780</v>
      </c>
      <c r="D9012" s="49">
        <v>-300000.0</v>
      </c>
    </row>
    <row r="9013" ht="15.0" hidden="1" customHeight="1">
      <c r="A9013" s="49" t="s">
        <v>248</v>
      </c>
      <c r="B9013" s="50">
        <v>45473.0</v>
      </c>
      <c r="C9013" s="49" t="s">
        <v>780</v>
      </c>
      <c r="D9013" s="49">
        <v>0.0</v>
      </c>
    </row>
    <row r="9014" ht="15.0" hidden="1" customHeight="1">
      <c r="A9014" s="49" t="s">
        <v>253</v>
      </c>
      <c r="B9014" s="50">
        <v>45473.0</v>
      </c>
      <c r="C9014" s="49" t="s">
        <v>780</v>
      </c>
      <c r="D9014" s="49">
        <v>0.0</v>
      </c>
    </row>
    <row r="9015" ht="15.0" hidden="1" customHeight="1">
      <c r="A9015" s="49" t="s">
        <v>258</v>
      </c>
      <c r="B9015" s="50">
        <v>45473.0</v>
      </c>
      <c r="C9015" s="49" t="s">
        <v>780</v>
      </c>
      <c r="D9015" s="49">
        <v>0.0</v>
      </c>
    </row>
    <row r="9016" ht="15.0" hidden="1" customHeight="1">
      <c r="A9016" s="49" t="s">
        <v>263</v>
      </c>
      <c r="B9016" s="50">
        <v>45473.0</v>
      </c>
      <c r="C9016" s="49" t="s">
        <v>780</v>
      </c>
      <c r="D9016" s="49">
        <v>0.0</v>
      </c>
    </row>
    <row r="9017" ht="15.0" hidden="1" customHeight="1">
      <c r="A9017" s="49" t="s">
        <v>268</v>
      </c>
      <c r="B9017" s="50">
        <v>45473.0</v>
      </c>
      <c r="C9017" s="49" t="s">
        <v>780</v>
      </c>
      <c r="D9017" s="49">
        <v>0.0</v>
      </c>
    </row>
    <row r="9018" ht="15.0" hidden="1" customHeight="1">
      <c r="A9018" s="49" t="s">
        <v>273</v>
      </c>
      <c r="B9018" s="50">
        <v>45473.0</v>
      </c>
      <c r="C9018" s="49" t="s">
        <v>780</v>
      </c>
      <c r="D9018" s="49">
        <v>0.0</v>
      </c>
    </row>
    <row r="9019" ht="15.0" hidden="1" customHeight="1">
      <c r="A9019" s="49" t="s">
        <v>278</v>
      </c>
      <c r="B9019" s="50">
        <v>45473.0</v>
      </c>
      <c r="C9019" s="49" t="s">
        <v>780</v>
      </c>
      <c r="D9019" s="49">
        <v>0.0</v>
      </c>
    </row>
    <row r="9020" ht="15.0" hidden="1" customHeight="1">
      <c r="A9020" s="49" t="s">
        <v>283</v>
      </c>
      <c r="B9020" s="50">
        <v>45473.0</v>
      </c>
      <c r="C9020" s="49" t="s">
        <v>780</v>
      </c>
      <c r="D9020" s="49">
        <v>0.0</v>
      </c>
    </row>
    <row r="9021" ht="15.0" hidden="1" customHeight="1">
      <c r="A9021" s="49" t="s">
        <v>288</v>
      </c>
      <c r="B9021" s="50">
        <v>45473.0</v>
      </c>
      <c r="C9021" s="49" t="s">
        <v>780</v>
      </c>
      <c r="D9021" s="49">
        <v>0.0</v>
      </c>
    </row>
    <row r="9022" ht="15.0" hidden="1" customHeight="1">
      <c r="A9022" s="49" t="s">
        <v>293</v>
      </c>
      <c r="B9022" s="50">
        <v>45473.0</v>
      </c>
      <c r="C9022" s="49" t="s">
        <v>780</v>
      </c>
      <c r="D9022" s="49">
        <v>0.0</v>
      </c>
    </row>
    <row r="9023" ht="15.0" hidden="1" customHeight="1">
      <c r="A9023" s="49" t="s">
        <v>298</v>
      </c>
      <c r="B9023" s="50">
        <v>45473.0</v>
      </c>
      <c r="C9023" s="49" t="s">
        <v>780</v>
      </c>
      <c r="D9023" s="49">
        <v>0.0</v>
      </c>
    </row>
    <row r="9024" ht="15.0" hidden="1" customHeight="1">
      <c r="A9024" s="49" t="s">
        <v>303</v>
      </c>
      <c r="B9024" s="50">
        <v>45473.0</v>
      </c>
      <c r="C9024" s="49" t="s">
        <v>780</v>
      </c>
      <c r="D9024" s="49">
        <v>0.0</v>
      </c>
    </row>
    <row r="9025" ht="15.0" hidden="1" customHeight="1">
      <c r="A9025" s="49" t="s">
        <v>307</v>
      </c>
      <c r="B9025" s="50">
        <v>45473.0</v>
      </c>
      <c r="C9025" s="49" t="s">
        <v>780</v>
      </c>
      <c r="D9025" s="49">
        <v>0.0</v>
      </c>
    </row>
    <row r="9026" ht="15.0" hidden="1" customHeight="1">
      <c r="A9026" s="49" t="s">
        <v>313</v>
      </c>
      <c r="B9026" s="50">
        <v>45473.0</v>
      </c>
      <c r="C9026" s="49" t="s">
        <v>780</v>
      </c>
      <c r="D9026" s="49">
        <v>0.0</v>
      </c>
    </row>
    <row r="9027" ht="15.0" hidden="1" customHeight="1">
      <c r="A9027" s="49" t="s">
        <v>318</v>
      </c>
      <c r="B9027" s="50">
        <v>45473.0</v>
      </c>
      <c r="C9027" s="49" t="s">
        <v>780</v>
      </c>
      <c r="D9027" s="49">
        <v>0.0</v>
      </c>
    </row>
    <row r="9028" ht="15.0" hidden="1" customHeight="1">
      <c r="A9028" s="49" t="s">
        <v>323</v>
      </c>
      <c r="B9028" s="50">
        <v>45473.0</v>
      </c>
      <c r="C9028" s="49" t="s">
        <v>780</v>
      </c>
      <c r="D9028" s="49">
        <v>0.0</v>
      </c>
    </row>
    <row r="9029" ht="15.0" hidden="1" customHeight="1">
      <c r="A9029" s="49" t="s">
        <v>328</v>
      </c>
      <c r="B9029" s="50">
        <v>45473.0</v>
      </c>
      <c r="C9029" s="49" t="s">
        <v>780</v>
      </c>
      <c r="D9029" s="49">
        <v>0.0</v>
      </c>
    </row>
    <row r="9030" ht="15.0" hidden="1" customHeight="1">
      <c r="A9030" s="49" t="s">
        <v>335</v>
      </c>
      <c r="B9030" s="50">
        <v>45473.0</v>
      </c>
      <c r="C9030" s="49" t="s">
        <v>780</v>
      </c>
      <c r="D9030" s="49">
        <v>0.0</v>
      </c>
    </row>
    <row r="9031" ht="15.0" hidden="1" customHeight="1">
      <c r="A9031" s="49" t="s">
        <v>340</v>
      </c>
      <c r="B9031" s="50">
        <v>45473.0</v>
      </c>
      <c r="C9031" s="49" t="s">
        <v>780</v>
      </c>
      <c r="D9031" s="49">
        <v>0.0</v>
      </c>
    </row>
    <row r="9032" ht="15.0" hidden="1" customHeight="1">
      <c r="A9032" s="49" t="s">
        <v>345</v>
      </c>
      <c r="B9032" s="50">
        <v>45473.0</v>
      </c>
      <c r="C9032" s="49" t="s">
        <v>780</v>
      </c>
      <c r="D9032" s="49">
        <v>0.0</v>
      </c>
    </row>
    <row r="9033" ht="15.0" hidden="1" customHeight="1">
      <c r="A9033" s="49" t="s">
        <v>350</v>
      </c>
      <c r="B9033" s="50">
        <v>45473.0</v>
      </c>
      <c r="C9033" s="49" t="s">
        <v>780</v>
      </c>
      <c r="D9033" s="49">
        <v>0.0</v>
      </c>
    </row>
    <row r="9034" ht="15.0" hidden="1" customHeight="1">
      <c r="A9034" s="49" t="s">
        <v>355</v>
      </c>
      <c r="B9034" s="50">
        <v>45473.0</v>
      </c>
      <c r="C9034" s="49" t="s">
        <v>780</v>
      </c>
      <c r="D9034" s="49">
        <v>0.0</v>
      </c>
    </row>
    <row r="9035" ht="15.0" hidden="1" customHeight="1">
      <c r="A9035" s="49" t="s">
        <v>360</v>
      </c>
      <c r="B9035" s="50">
        <v>45473.0</v>
      </c>
      <c r="C9035" s="49" t="s">
        <v>780</v>
      </c>
      <c r="D9035" s="49">
        <v>0.0</v>
      </c>
    </row>
    <row r="9036" ht="15.0" hidden="1" customHeight="1">
      <c r="A9036" s="49" t="s">
        <v>365</v>
      </c>
      <c r="B9036" s="50">
        <v>45473.0</v>
      </c>
      <c r="C9036" s="49" t="s">
        <v>780</v>
      </c>
      <c r="D9036" s="49">
        <v>-120000.0</v>
      </c>
    </row>
    <row r="9037" ht="15.0" hidden="1" customHeight="1">
      <c r="A9037" s="49" t="s">
        <v>370</v>
      </c>
      <c r="B9037" s="50">
        <v>45473.0</v>
      </c>
      <c r="C9037" s="49" t="s">
        <v>780</v>
      </c>
      <c r="D9037" s="49">
        <v>0.0</v>
      </c>
    </row>
    <row r="9038" ht="15.0" hidden="1" customHeight="1">
      <c r="A9038" s="49" t="s">
        <v>375</v>
      </c>
      <c r="B9038" s="50">
        <v>45473.0</v>
      </c>
      <c r="C9038" s="49" t="s">
        <v>780</v>
      </c>
      <c r="D9038" s="49">
        <v>-100000.0</v>
      </c>
    </row>
    <row r="9039" ht="15.0" hidden="1" customHeight="1">
      <c r="A9039" s="49" t="s">
        <v>380</v>
      </c>
      <c r="B9039" s="50">
        <v>45473.0</v>
      </c>
      <c r="C9039" s="49" t="s">
        <v>780</v>
      </c>
      <c r="D9039" s="49">
        <v>0.0</v>
      </c>
    </row>
    <row r="9040" ht="15.0" hidden="1" customHeight="1">
      <c r="A9040" s="49" t="s">
        <v>385</v>
      </c>
      <c r="B9040" s="50">
        <v>45473.0</v>
      </c>
      <c r="C9040" s="49" t="s">
        <v>780</v>
      </c>
      <c r="D9040" s="49">
        <v>0.0</v>
      </c>
    </row>
    <row r="9041" ht="15.0" hidden="1" customHeight="1">
      <c r="A9041" s="49" t="s">
        <v>390</v>
      </c>
      <c r="B9041" s="50">
        <v>45473.0</v>
      </c>
      <c r="C9041" s="49" t="s">
        <v>780</v>
      </c>
      <c r="D9041" s="49">
        <v>-1800000.0</v>
      </c>
    </row>
    <row r="9042" ht="15.0" hidden="1" customHeight="1">
      <c r="A9042" s="49" t="s">
        <v>395</v>
      </c>
      <c r="B9042" s="50">
        <v>45473.0</v>
      </c>
      <c r="C9042" s="49" t="s">
        <v>780</v>
      </c>
      <c r="D9042" s="49">
        <v>0.0</v>
      </c>
    </row>
    <row r="9043" ht="15.0" hidden="1" customHeight="1">
      <c r="A9043" s="49" t="s">
        <v>400</v>
      </c>
      <c r="B9043" s="50">
        <v>45473.0</v>
      </c>
      <c r="C9043" s="49" t="s">
        <v>780</v>
      </c>
      <c r="D9043" s="49">
        <v>-100000.0</v>
      </c>
    </row>
    <row r="9044" ht="15.0" hidden="1" customHeight="1">
      <c r="A9044" s="49" t="s">
        <v>405</v>
      </c>
      <c r="B9044" s="50">
        <v>45473.0</v>
      </c>
      <c r="C9044" s="49" t="s">
        <v>780</v>
      </c>
      <c r="D9044" s="49">
        <v>0.0</v>
      </c>
    </row>
    <row r="9045" ht="15.0" hidden="1" customHeight="1">
      <c r="A9045" s="49" t="s">
        <v>410</v>
      </c>
      <c r="B9045" s="50">
        <v>45473.0</v>
      </c>
      <c r="C9045" s="49" t="s">
        <v>780</v>
      </c>
      <c r="D9045" s="49">
        <v>0.0</v>
      </c>
    </row>
    <row r="9046" ht="15.0" hidden="1" customHeight="1">
      <c r="A9046" s="49" t="s">
        <v>415</v>
      </c>
      <c r="B9046" s="50">
        <v>45473.0</v>
      </c>
      <c r="C9046" s="49" t="s">
        <v>780</v>
      </c>
      <c r="D9046" s="49">
        <v>0.0</v>
      </c>
    </row>
    <row r="9047" ht="15.0" hidden="1" customHeight="1">
      <c r="A9047" s="49" t="s">
        <v>420</v>
      </c>
      <c r="B9047" s="50">
        <v>45473.0</v>
      </c>
      <c r="C9047" s="49" t="s">
        <v>780</v>
      </c>
      <c r="D9047" s="49">
        <v>-669650.0</v>
      </c>
    </row>
    <row r="9048" ht="15.0" hidden="1" customHeight="1">
      <c r="A9048" s="49" t="s">
        <v>425</v>
      </c>
      <c r="B9048" s="50">
        <v>45473.0</v>
      </c>
      <c r="C9048" s="49" t="s">
        <v>780</v>
      </c>
      <c r="D9048" s="49">
        <v>0.0</v>
      </c>
    </row>
    <row r="9049" ht="15.0" hidden="1" customHeight="1">
      <c r="A9049" s="49" t="s">
        <v>430</v>
      </c>
      <c r="B9049" s="50">
        <v>45473.0</v>
      </c>
      <c r="C9049" s="49" t="s">
        <v>780</v>
      </c>
      <c r="D9049" s="49">
        <v>0.0</v>
      </c>
    </row>
    <row r="9050" ht="15.0" hidden="1" customHeight="1">
      <c r="A9050" s="49" t="s">
        <v>434</v>
      </c>
      <c r="B9050" s="50">
        <v>45473.0</v>
      </c>
      <c r="C9050" s="49" t="s">
        <v>780</v>
      </c>
      <c r="D9050" s="49">
        <v>-500000.0</v>
      </c>
    </row>
    <row r="9051" ht="15.0" hidden="1" customHeight="1">
      <c r="A9051" s="49" t="s">
        <v>439</v>
      </c>
      <c r="B9051" s="50">
        <v>45473.0</v>
      </c>
      <c r="C9051" s="49" t="s">
        <v>780</v>
      </c>
      <c r="D9051" s="49">
        <v>-434250.0</v>
      </c>
    </row>
    <row r="9052" ht="15.0" hidden="1" customHeight="1">
      <c r="A9052" s="49" t="s">
        <v>444</v>
      </c>
      <c r="B9052" s="50">
        <v>45473.0</v>
      </c>
      <c r="C9052" s="49" t="s">
        <v>780</v>
      </c>
      <c r="D9052" s="49">
        <v>0.0</v>
      </c>
    </row>
    <row r="9053" ht="15.0" hidden="1" customHeight="1">
      <c r="A9053" s="49" t="s">
        <v>449</v>
      </c>
      <c r="B9053" s="50">
        <v>45473.0</v>
      </c>
      <c r="C9053" s="49" t="s">
        <v>780</v>
      </c>
      <c r="D9053" s="49">
        <v>0.0</v>
      </c>
    </row>
    <row r="9054" ht="15.0" hidden="1" customHeight="1">
      <c r="A9054" s="49" t="s">
        <v>455</v>
      </c>
      <c r="B9054" s="50">
        <v>45473.0</v>
      </c>
      <c r="C9054" s="49" t="s">
        <v>780</v>
      </c>
      <c r="D9054" s="49">
        <v>-400000.0</v>
      </c>
    </row>
    <row r="9055" ht="15.0" hidden="1" customHeight="1">
      <c r="A9055" s="49" t="s">
        <v>470</v>
      </c>
      <c r="B9055" s="50">
        <v>45473.0</v>
      </c>
      <c r="C9055" s="49" t="s">
        <v>780</v>
      </c>
      <c r="D9055" s="49">
        <v>-100000.0</v>
      </c>
    </row>
    <row r="9056" ht="15.0" hidden="1" customHeight="1">
      <c r="A9056" s="49" t="s">
        <v>476</v>
      </c>
      <c r="B9056" s="50">
        <v>45473.0</v>
      </c>
      <c r="C9056" s="49" t="s">
        <v>780</v>
      </c>
      <c r="D9056" s="49">
        <v>-1500000.0</v>
      </c>
    </row>
    <row r="9057" ht="15.0" hidden="1" customHeight="1">
      <c r="A9057" s="49" t="s">
        <v>481</v>
      </c>
      <c r="B9057" s="50">
        <v>45473.0</v>
      </c>
      <c r="C9057" s="49" t="s">
        <v>780</v>
      </c>
      <c r="D9057" s="49">
        <v>-50000.0</v>
      </c>
    </row>
    <row r="9058" ht="15.0" hidden="1" customHeight="1">
      <c r="A9058" s="49" t="s">
        <v>486</v>
      </c>
      <c r="B9058" s="50">
        <v>45473.0</v>
      </c>
      <c r="C9058" s="49" t="s">
        <v>780</v>
      </c>
      <c r="D9058" s="49">
        <v>-102550.37</v>
      </c>
    </row>
    <row r="9059" ht="15.0" hidden="1" customHeight="1">
      <c r="A9059" s="49" t="s">
        <v>491</v>
      </c>
      <c r="B9059" s="50">
        <v>45473.0</v>
      </c>
      <c r="C9059" s="49" t="s">
        <v>780</v>
      </c>
      <c r="D9059" s="49">
        <v>-154004.15</v>
      </c>
    </row>
    <row r="9060" ht="15.0" hidden="1" customHeight="1">
      <c r="A9060" s="49" t="s">
        <v>496</v>
      </c>
      <c r="B9060" s="50">
        <v>45473.0</v>
      </c>
      <c r="C9060" s="49" t="s">
        <v>780</v>
      </c>
      <c r="D9060" s="49">
        <v>0.0</v>
      </c>
    </row>
    <row r="9061" ht="15.0" hidden="1" customHeight="1">
      <c r="A9061" s="49" t="s">
        <v>501</v>
      </c>
      <c r="B9061" s="50">
        <v>45473.0</v>
      </c>
      <c r="C9061" s="49" t="s">
        <v>780</v>
      </c>
      <c r="D9061" s="49">
        <v>-400000.0</v>
      </c>
    </row>
    <row r="9062" ht="15.0" hidden="1" customHeight="1">
      <c r="A9062" s="49" t="s">
        <v>506</v>
      </c>
      <c r="B9062" s="50">
        <v>45473.0</v>
      </c>
      <c r="C9062" s="49" t="s">
        <v>780</v>
      </c>
      <c r="D9062" s="49">
        <v>-775073.28</v>
      </c>
    </row>
    <row r="9063" ht="15.0" hidden="1" customHeight="1">
      <c r="A9063" s="49" t="s">
        <v>512</v>
      </c>
      <c r="B9063" s="50">
        <v>45473.0</v>
      </c>
      <c r="C9063" s="49" t="s">
        <v>780</v>
      </c>
      <c r="D9063" s="49">
        <v>-30000.0</v>
      </c>
    </row>
    <row r="9064" ht="15.0" hidden="1" customHeight="1">
      <c r="A9064" s="49" t="s">
        <v>517</v>
      </c>
      <c r="B9064" s="50">
        <v>45473.0</v>
      </c>
      <c r="C9064" s="49" t="s">
        <v>780</v>
      </c>
      <c r="D9064" s="49">
        <v>0.0</v>
      </c>
    </row>
    <row r="9065" ht="15.0" hidden="1" customHeight="1">
      <c r="A9065" s="49" t="s">
        <v>522</v>
      </c>
      <c r="B9065" s="50">
        <v>45473.0</v>
      </c>
      <c r="C9065" s="49" t="s">
        <v>780</v>
      </c>
      <c r="D9065" s="49">
        <v>500000.0</v>
      </c>
    </row>
    <row r="9066" ht="15.0" hidden="1" customHeight="1">
      <c r="A9066" s="49" t="s">
        <v>528</v>
      </c>
      <c r="B9066" s="50">
        <v>45473.0</v>
      </c>
      <c r="C9066" s="49" t="s">
        <v>780</v>
      </c>
      <c r="D9066" s="49">
        <v>1000000.0</v>
      </c>
    </row>
    <row r="9067" ht="15.0" hidden="1" customHeight="1">
      <c r="A9067" s="49" t="s">
        <v>533</v>
      </c>
      <c r="B9067" s="50">
        <v>45473.0</v>
      </c>
      <c r="C9067" s="49" t="s">
        <v>780</v>
      </c>
      <c r="D9067" s="49">
        <v>500000.0</v>
      </c>
    </row>
    <row r="9068" ht="15.0" hidden="1" customHeight="1">
      <c r="A9068" s="49" t="s">
        <v>538</v>
      </c>
      <c r="B9068" s="50">
        <v>45473.0</v>
      </c>
      <c r="C9068" s="49" t="s">
        <v>780</v>
      </c>
      <c r="D9068" s="49">
        <v>1260076.0</v>
      </c>
    </row>
    <row r="9069" ht="15.0" hidden="1" customHeight="1">
      <c r="A9069" s="49" t="s">
        <v>546</v>
      </c>
      <c r="B9069" s="50">
        <v>45473.0</v>
      </c>
      <c r="C9069" s="49" t="s">
        <v>780</v>
      </c>
      <c r="D9069" s="49">
        <v>2894210.47</v>
      </c>
    </row>
    <row r="9070" ht="15.0" hidden="1" customHeight="1">
      <c r="A9070" s="49" t="s">
        <v>551</v>
      </c>
      <c r="B9070" s="50">
        <v>45473.0</v>
      </c>
      <c r="C9070" s="49" t="s">
        <v>780</v>
      </c>
      <c r="D9070" s="49">
        <v>1620801.75</v>
      </c>
    </row>
    <row r="9071" ht="15.0" hidden="1" customHeight="1">
      <c r="A9071" s="49" t="s">
        <v>556</v>
      </c>
      <c r="B9071" s="50">
        <v>45473.0</v>
      </c>
      <c r="C9071" s="49" t="s">
        <v>780</v>
      </c>
      <c r="D9071" s="49">
        <v>0.0</v>
      </c>
    </row>
    <row r="9072" ht="15.0" hidden="1" customHeight="1">
      <c r="A9072" s="49" t="s">
        <v>561</v>
      </c>
      <c r="B9072" s="50">
        <v>45473.0</v>
      </c>
      <c r="C9072" s="49" t="s">
        <v>780</v>
      </c>
      <c r="D9072" s="49">
        <v>0.0</v>
      </c>
    </row>
    <row r="9073" ht="15.0" hidden="1" customHeight="1">
      <c r="A9073" s="49" t="s">
        <v>566</v>
      </c>
      <c r="B9073" s="50">
        <v>45473.0</v>
      </c>
      <c r="C9073" s="49" t="s">
        <v>780</v>
      </c>
      <c r="D9073" s="49">
        <v>0.0</v>
      </c>
    </row>
    <row r="9074" ht="15.0" hidden="1" customHeight="1">
      <c r="A9074" s="49" t="s">
        <v>571</v>
      </c>
      <c r="B9074" s="50">
        <v>45473.0</v>
      </c>
      <c r="C9074" s="49" t="s">
        <v>780</v>
      </c>
      <c r="D9074" s="49">
        <v>0.0</v>
      </c>
    </row>
    <row r="9075" ht="15.0" hidden="1" customHeight="1">
      <c r="A9075" s="49" t="s">
        <v>576</v>
      </c>
      <c r="B9075" s="50">
        <v>45473.0</v>
      </c>
      <c r="C9075" s="49" t="s">
        <v>780</v>
      </c>
      <c r="D9075" s="49">
        <v>0.0</v>
      </c>
    </row>
    <row r="9076" ht="15.0" hidden="1" customHeight="1">
      <c r="A9076" s="49" t="s">
        <v>581</v>
      </c>
      <c r="B9076" s="50">
        <v>45473.0</v>
      </c>
      <c r="C9076" s="49" t="s">
        <v>780</v>
      </c>
      <c r="D9076" s="49">
        <v>0.0</v>
      </c>
    </row>
    <row r="9077" ht="15.0" hidden="1" customHeight="1">
      <c r="A9077" s="49" t="s">
        <v>586</v>
      </c>
      <c r="B9077" s="50">
        <v>45473.0</v>
      </c>
      <c r="C9077" s="49" t="s">
        <v>780</v>
      </c>
      <c r="D9077" s="49">
        <v>0.0</v>
      </c>
    </row>
    <row r="9078" ht="15.0" hidden="1" customHeight="1">
      <c r="A9078" s="49" t="s">
        <v>754</v>
      </c>
      <c r="B9078" s="50">
        <v>45473.0</v>
      </c>
      <c r="C9078" s="49" t="s">
        <v>780</v>
      </c>
      <c r="D9078" s="49">
        <v>0.0</v>
      </c>
    </row>
    <row r="9079" ht="15.0" hidden="1" customHeight="1">
      <c r="A9079" s="49" t="s">
        <v>591</v>
      </c>
      <c r="B9079" s="50">
        <v>45473.0</v>
      </c>
      <c r="C9079" s="49" t="s">
        <v>780</v>
      </c>
      <c r="D9079" s="49">
        <v>0.0</v>
      </c>
    </row>
    <row r="9080" ht="15.0" hidden="1" customHeight="1">
      <c r="A9080" s="49" t="s">
        <v>759</v>
      </c>
      <c r="B9080" s="50">
        <v>45473.0</v>
      </c>
      <c r="C9080" s="49" t="s">
        <v>780</v>
      </c>
      <c r="D9080" s="49">
        <v>0.0</v>
      </c>
    </row>
    <row r="9081" ht="15.0" hidden="1" customHeight="1">
      <c r="A9081" s="49" t="s">
        <v>596</v>
      </c>
      <c r="B9081" s="50">
        <v>45473.0</v>
      </c>
      <c r="C9081" s="49" t="s">
        <v>780</v>
      </c>
      <c r="D9081" s="49">
        <v>0.0</v>
      </c>
    </row>
    <row r="9082" ht="15.0" hidden="1" customHeight="1">
      <c r="A9082" s="49" t="s">
        <v>602</v>
      </c>
      <c r="B9082" s="50">
        <v>45473.0</v>
      </c>
      <c r="C9082" s="49" t="s">
        <v>780</v>
      </c>
      <c r="D9082" s="49">
        <v>0.0</v>
      </c>
    </row>
    <row r="9083" ht="15.0" hidden="1" customHeight="1">
      <c r="A9083" s="49" t="s">
        <v>607</v>
      </c>
      <c r="B9083" s="50">
        <v>45473.0</v>
      </c>
      <c r="C9083" s="49" t="s">
        <v>780</v>
      </c>
      <c r="D9083" s="49">
        <v>0.0</v>
      </c>
    </row>
    <row r="9084" ht="15.0" hidden="1" customHeight="1">
      <c r="A9084" s="49" t="s">
        <v>612</v>
      </c>
      <c r="B9084" s="50">
        <v>45473.0</v>
      </c>
      <c r="C9084" s="49" t="s">
        <v>780</v>
      </c>
      <c r="D9084" s="49">
        <v>0.0</v>
      </c>
    </row>
    <row r="9085" ht="15.0" hidden="1" customHeight="1">
      <c r="A9085" s="49" t="s">
        <v>617</v>
      </c>
      <c r="B9085" s="50">
        <v>45473.0</v>
      </c>
      <c r="C9085" s="49" t="s">
        <v>780</v>
      </c>
      <c r="D9085" s="49">
        <v>0.0</v>
      </c>
    </row>
    <row r="9086" ht="15.0" hidden="1" customHeight="1">
      <c r="A9086" s="49" t="s">
        <v>622</v>
      </c>
      <c r="B9086" s="50">
        <v>45473.0</v>
      </c>
      <c r="C9086" s="49" t="s">
        <v>780</v>
      </c>
      <c r="D9086" s="49">
        <v>0.0</v>
      </c>
    </row>
    <row r="9087" ht="15.0" hidden="1" customHeight="1">
      <c r="A9087" s="49" t="s">
        <v>627</v>
      </c>
      <c r="B9087" s="50">
        <v>45473.0</v>
      </c>
      <c r="C9087" s="49" t="s">
        <v>780</v>
      </c>
      <c r="D9087" s="49">
        <v>0.0</v>
      </c>
    </row>
    <row r="9088" ht="15.0" hidden="1" customHeight="1">
      <c r="A9088" s="49" t="s">
        <v>631</v>
      </c>
      <c r="B9088" s="50">
        <v>45473.0</v>
      </c>
      <c r="C9088" s="49" t="s">
        <v>780</v>
      </c>
      <c r="D9088" s="49">
        <v>0.0</v>
      </c>
    </row>
    <row r="9089" ht="15.0" hidden="1" customHeight="1">
      <c r="A9089" s="49" t="s">
        <v>636</v>
      </c>
      <c r="B9089" s="50">
        <v>45473.0</v>
      </c>
      <c r="C9089" s="49" t="s">
        <v>780</v>
      </c>
      <c r="D9089" s="49">
        <v>0.0</v>
      </c>
    </row>
    <row r="9090" ht="15.0" hidden="1" customHeight="1">
      <c r="A9090" s="49" t="s">
        <v>640</v>
      </c>
      <c r="B9090" s="50">
        <v>45473.0</v>
      </c>
      <c r="C9090" s="49" t="s">
        <v>780</v>
      </c>
      <c r="D9090" s="49">
        <v>0.0</v>
      </c>
    </row>
    <row r="9091" ht="15.0" hidden="1" customHeight="1">
      <c r="A9091" s="49" t="s">
        <v>644</v>
      </c>
      <c r="B9091" s="50">
        <v>45473.0</v>
      </c>
      <c r="C9091" s="49" t="s">
        <v>780</v>
      </c>
      <c r="D9091" s="49">
        <v>0.0</v>
      </c>
    </row>
    <row r="9092" ht="15.0" hidden="1" customHeight="1">
      <c r="A9092" s="49" t="s">
        <v>649</v>
      </c>
      <c r="B9092" s="50">
        <v>45473.0</v>
      </c>
      <c r="C9092" s="49" t="s">
        <v>780</v>
      </c>
      <c r="D9092" s="49">
        <v>0.0</v>
      </c>
    </row>
    <row r="9093" ht="15.0" hidden="1" customHeight="1">
      <c r="A9093" s="49" t="s">
        <v>654</v>
      </c>
      <c r="B9093" s="50">
        <v>45473.0</v>
      </c>
      <c r="C9093" s="49" t="s">
        <v>780</v>
      </c>
      <c r="D9093" s="49">
        <v>0.0</v>
      </c>
    </row>
    <row r="9094" ht="15.0" hidden="1" customHeight="1">
      <c r="A9094" s="49" t="s">
        <v>659</v>
      </c>
      <c r="B9094" s="50">
        <v>45473.0</v>
      </c>
      <c r="C9094" s="49" t="s">
        <v>780</v>
      </c>
      <c r="D9094" s="49">
        <v>0.0</v>
      </c>
    </row>
    <row r="9095" ht="15.0" hidden="1" customHeight="1">
      <c r="A9095" s="49" t="s">
        <v>664</v>
      </c>
      <c r="B9095" s="50">
        <v>45473.0</v>
      </c>
      <c r="C9095" s="49" t="s">
        <v>780</v>
      </c>
      <c r="D9095" s="49">
        <v>0.0</v>
      </c>
    </row>
    <row r="9096" ht="15.0" hidden="1" customHeight="1">
      <c r="A9096" s="49" t="s">
        <v>669</v>
      </c>
      <c r="B9096" s="50">
        <v>45473.0</v>
      </c>
      <c r="C9096" s="49" t="s">
        <v>780</v>
      </c>
      <c r="D9096" s="49">
        <v>0.0</v>
      </c>
    </row>
    <row r="9097" ht="15.0" hidden="1" customHeight="1">
      <c r="A9097" s="49" t="s">
        <v>674</v>
      </c>
      <c r="B9097" s="50">
        <v>45473.0</v>
      </c>
      <c r="C9097" s="49" t="s">
        <v>780</v>
      </c>
      <c r="D9097" s="49">
        <v>0.0</v>
      </c>
    </row>
    <row r="9098" ht="15.0" hidden="1" customHeight="1">
      <c r="A9098" s="49" t="s">
        <v>679</v>
      </c>
      <c r="B9098" s="50">
        <v>45473.0</v>
      </c>
      <c r="C9098" s="49" t="s">
        <v>780</v>
      </c>
      <c r="D9098" s="49">
        <v>0.0</v>
      </c>
    </row>
    <row r="9099" ht="15.0" hidden="1" customHeight="1">
      <c r="A9099" s="49" t="s">
        <v>684</v>
      </c>
      <c r="B9099" s="50">
        <v>45473.0</v>
      </c>
      <c r="C9099" s="49" t="s">
        <v>780</v>
      </c>
      <c r="D9099" s="49">
        <v>0.0</v>
      </c>
    </row>
    <row r="9100" ht="15.0" hidden="1" customHeight="1">
      <c r="A9100" s="49" t="s">
        <v>689</v>
      </c>
      <c r="B9100" s="50">
        <v>45473.0</v>
      </c>
      <c r="C9100" s="49" t="s">
        <v>780</v>
      </c>
      <c r="D9100" s="49">
        <v>0.0</v>
      </c>
    </row>
    <row r="9101" ht="15.0" hidden="1" customHeight="1">
      <c r="A9101" s="49" t="s">
        <v>694</v>
      </c>
      <c r="B9101" s="50">
        <v>45473.0</v>
      </c>
      <c r="C9101" s="49" t="s">
        <v>780</v>
      </c>
      <c r="D9101" s="49">
        <v>0.0</v>
      </c>
    </row>
    <row r="9102" ht="15.0" hidden="1" customHeight="1">
      <c r="A9102" s="49" t="s">
        <v>699</v>
      </c>
      <c r="B9102" s="50">
        <v>45473.0</v>
      </c>
      <c r="C9102" s="49" t="s">
        <v>780</v>
      </c>
      <c r="D9102" s="49">
        <v>0.0</v>
      </c>
    </row>
    <row r="9103" ht="15.0" hidden="1" customHeight="1">
      <c r="A9103" s="49" t="s">
        <v>705</v>
      </c>
      <c r="B9103" s="50">
        <v>45473.0</v>
      </c>
      <c r="C9103" s="49" t="s">
        <v>780</v>
      </c>
      <c r="D9103" s="49">
        <v>0.0</v>
      </c>
    </row>
    <row r="9104" ht="15.0" hidden="1" customHeight="1">
      <c r="A9104" s="49" t="s">
        <v>710</v>
      </c>
      <c r="B9104" s="50">
        <v>45473.0</v>
      </c>
      <c r="C9104" s="49" t="s">
        <v>780</v>
      </c>
      <c r="D9104" s="49">
        <v>0.0</v>
      </c>
    </row>
    <row r="9105" ht="15.0" hidden="1" customHeight="1">
      <c r="A9105" s="49" t="s">
        <v>715</v>
      </c>
      <c r="B9105" s="50">
        <v>45473.0</v>
      </c>
      <c r="C9105" s="49" t="s">
        <v>780</v>
      </c>
      <c r="D9105" s="49">
        <v>0.0</v>
      </c>
    </row>
    <row r="9106" ht="15.0" hidden="1" customHeight="1">
      <c r="A9106" s="49" t="s">
        <v>765</v>
      </c>
      <c r="B9106" s="50">
        <v>45473.0</v>
      </c>
      <c r="C9106" s="49" t="s">
        <v>780</v>
      </c>
      <c r="D9106" s="49">
        <v>0.0</v>
      </c>
    </row>
    <row r="9107" ht="15.0" hidden="1" customHeight="1">
      <c r="A9107" s="49" t="s">
        <v>720</v>
      </c>
      <c r="B9107" s="50">
        <v>45473.0</v>
      </c>
      <c r="C9107" s="49" t="s">
        <v>780</v>
      </c>
      <c r="D9107" s="49">
        <v>0.0</v>
      </c>
    </row>
    <row r="9108" ht="15.0" hidden="1" customHeight="1">
      <c r="A9108" s="49" t="s">
        <v>725</v>
      </c>
      <c r="B9108" s="50">
        <v>45473.0</v>
      </c>
      <c r="C9108" s="49" t="s">
        <v>780</v>
      </c>
      <c r="D9108" s="49">
        <v>0.0</v>
      </c>
    </row>
    <row r="9109" ht="15.0" hidden="1" customHeight="1">
      <c r="A9109" s="49" t="s">
        <v>730</v>
      </c>
      <c r="B9109" s="50">
        <v>45473.0</v>
      </c>
      <c r="C9109" s="49" t="s">
        <v>780</v>
      </c>
      <c r="D9109" s="49">
        <v>0.0</v>
      </c>
    </row>
    <row r="9110" ht="15.0" hidden="1" customHeight="1">
      <c r="A9110" s="49" t="s">
        <v>734</v>
      </c>
      <c r="B9110" s="50">
        <v>45473.0</v>
      </c>
      <c r="C9110" s="49" t="s">
        <v>780</v>
      </c>
      <c r="D9110" s="49">
        <v>0.0</v>
      </c>
    </row>
    <row r="9111" ht="15.0" hidden="1" customHeight="1">
      <c r="A9111" s="49" t="s">
        <v>739</v>
      </c>
      <c r="B9111" s="50">
        <v>45473.0</v>
      </c>
      <c r="C9111" s="49" t="s">
        <v>780</v>
      </c>
      <c r="D9111" s="49">
        <v>0.0</v>
      </c>
    </row>
    <row r="9112" ht="15.0" hidden="1" customHeight="1">
      <c r="A9112" s="49" t="s">
        <v>744</v>
      </c>
      <c r="B9112" s="50">
        <v>45473.0</v>
      </c>
      <c r="C9112" s="49" t="s">
        <v>780</v>
      </c>
      <c r="D9112" s="49">
        <v>0.0</v>
      </c>
    </row>
    <row r="9113" ht="15.0" hidden="1" customHeight="1">
      <c r="A9113" s="49" t="s">
        <v>749</v>
      </c>
      <c r="B9113" s="50">
        <v>45473.0</v>
      </c>
      <c r="C9113" s="49" t="s">
        <v>780</v>
      </c>
      <c r="D9113" s="49">
        <v>0.0</v>
      </c>
    </row>
    <row r="9114" ht="15.0" customHeight="1">
      <c r="A9114" s="49" t="s">
        <v>776</v>
      </c>
      <c r="B9114" s="50">
        <v>45565.0</v>
      </c>
      <c r="C9114" s="49" t="s">
        <v>777</v>
      </c>
      <c r="D9114" s="49">
        <v>0.0</v>
      </c>
    </row>
    <row r="9115" ht="15.0" hidden="1" customHeight="1">
      <c r="A9115" s="49" t="s">
        <v>778</v>
      </c>
      <c r="B9115" s="50">
        <v>45565.0</v>
      </c>
      <c r="C9115" s="49" t="s">
        <v>777</v>
      </c>
      <c r="D9115" s="49">
        <v>0.0</v>
      </c>
    </row>
    <row r="9116" ht="15.0" hidden="1" customHeight="1">
      <c r="A9116" s="49" t="s">
        <v>92</v>
      </c>
      <c r="B9116" s="50">
        <v>45565.0</v>
      </c>
      <c r="C9116" s="49" t="s">
        <v>777</v>
      </c>
      <c r="D9116" s="49">
        <v>0.0</v>
      </c>
    </row>
    <row r="9117" ht="15.0" hidden="1" customHeight="1">
      <c r="A9117" s="49" t="s">
        <v>97</v>
      </c>
      <c r="B9117" s="50">
        <v>45565.0</v>
      </c>
      <c r="C9117" s="49" t="s">
        <v>777</v>
      </c>
      <c r="D9117" s="49">
        <v>0.0</v>
      </c>
    </row>
    <row r="9118" ht="15.0" hidden="1" customHeight="1">
      <c r="A9118" s="49" t="s">
        <v>102</v>
      </c>
      <c r="B9118" s="50">
        <v>45565.0</v>
      </c>
      <c r="C9118" s="49" t="s">
        <v>777</v>
      </c>
      <c r="D9118" s="49">
        <v>0.0</v>
      </c>
    </row>
    <row r="9119" ht="15.0" hidden="1" customHeight="1">
      <c r="A9119" s="49" t="s">
        <v>106</v>
      </c>
      <c r="B9119" s="50">
        <v>45565.0</v>
      </c>
      <c r="C9119" s="49" t="s">
        <v>777</v>
      </c>
      <c r="D9119" s="49">
        <v>0.0</v>
      </c>
    </row>
    <row r="9120" ht="15.0" hidden="1" customHeight="1">
      <c r="A9120" s="49" t="s">
        <v>111</v>
      </c>
      <c r="B9120" s="50">
        <v>45565.0</v>
      </c>
      <c r="C9120" s="49" t="s">
        <v>777</v>
      </c>
      <c r="D9120" s="49">
        <v>0.0</v>
      </c>
    </row>
    <row r="9121" ht="15.0" hidden="1" customHeight="1">
      <c r="A9121" s="49" t="s">
        <v>116</v>
      </c>
      <c r="B9121" s="50">
        <v>45565.0</v>
      </c>
      <c r="C9121" s="49" t="s">
        <v>777</v>
      </c>
      <c r="D9121" s="49">
        <v>0.0</v>
      </c>
    </row>
    <row r="9122" ht="15.0" hidden="1" customHeight="1">
      <c r="A9122" s="49" t="s">
        <v>120</v>
      </c>
      <c r="B9122" s="50">
        <v>45565.0</v>
      </c>
      <c r="C9122" s="49" t="s">
        <v>777</v>
      </c>
      <c r="D9122" s="49">
        <v>0.0</v>
      </c>
    </row>
    <row r="9123" ht="15.0" hidden="1" customHeight="1">
      <c r="A9123" s="49" t="s">
        <v>125</v>
      </c>
      <c r="B9123" s="50">
        <v>45565.0</v>
      </c>
      <c r="C9123" s="49" t="s">
        <v>777</v>
      </c>
      <c r="D9123" s="49">
        <v>0.0</v>
      </c>
    </row>
    <row r="9124" ht="15.0" hidden="1" customHeight="1">
      <c r="A9124" s="49" t="s">
        <v>130</v>
      </c>
      <c r="B9124" s="50">
        <v>45565.0</v>
      </c>
      <c r="C9124" s="49" t="s">
        <v>777</v>
      </c>
      <c r="D9124" s="49">
        <v>0.0</v>
      </c>
    </row>
    <row r="9125" ht="15.0" hidden="1" customHeight="1">
      <c r="A9125" s="49" t="s">
        <v>137</v>
      </c>
      <c r="B9125" s="50">
        <v>45565.0</v>
      </c>
      <c r="C9125" s="49" t="s">
        <v>777</v>
      </c>
      <c r="D9125" s="49">
        <v>0.0</v>
      </c>
    </row>
    <row r="9126" ht="15.0" hidden="1" customHeight="1">
      <c r="A9126" s="49" t="s">
        <v>142</v>
      </c>
      <c r="B9126" s="50">
        <v>45565.0</v>
      </c>
      <c r="C9126" s="49" t="s">
        <v>777</v>
      </c>
      <c r="D9126" s="49">
        <v>0.0</v>
      </c>
    </row>
    <row r="9127" ht="15.0" hidden="1" customHeight="1">
      <c r="A9127" s="49" t="s">
        <v>147</v>
      </c>
      <c r="B9127" s="50">
        <v>45565.0</v>
      </c>
      <c r="C9127" s="49" t="s">
        <v>777</v>
      </c>
      <c r="D9127" s="49">
        <v>0.0</v>
      </c>
    </row>
    <row r="9128" ht="15.0" hidden="1" customHeight="1">
      <c r="A9128" s="49" t="s">
        <v>152</v>
      </c>
      <c r="B9128" s="50">
        <v>45565.0</v>
      </c>
      <c r="C9128" s="49" t="s">
        <v>777</v>
      </c>
      <c r="D9128" s="49">
        <v>0.0</v>
      </c>
    </row>
    <row r="9129" ht="15.0" hidden="1" customHeight="1">
      <c r="A9129" s="49" t="s">
        <v>157</v>
      </c>
      <c r="B9129" s="50">
        <v>45565.0</v>
      </c>
      <c r="C9129" s="49" t="s">
        <v>777</v>
      </c>
      <c r="D9129" s="49">
        <v>0.0</v>
      </c>
    </row>
    <row r="9130" ht="15.0" hidden="1" customHeight="1">
      <c r="A9130" s="49" t="s">
        <v>162</v>
      </c>
      <c r="B9130" s="50">
        <v>45565.0</v>
      </c>
      <c r="C9130" s="49" t="s">
        <v>777</v>
      </c>
      <c r="D9130" s="49">
        <v>0.0</v>
      </c>
    </row>
    <row r="9131" ht="15.0" hidden="1" customHeight="1">
      <c r="A9131" s="49" t="s">
        <v>167</v>
      </c>
      <c r="B9131" s="50">
        <v>45565.0</v>
      </c>
      <c r="C9131" s="49" t="s">
        <v>777</v>
      </c>
      <c r="D9131" s="49">
        <v>0.0</v>
      </c>
    </row>
    <row r="9132" ht="15.0" hidden="1" customHeight="1">
      <c r="A9132" s="49" t="s">
        <v>172</v>
      </c>
      <c r="B9132" s="50">
        <v>45565.0</v>
      </c>
      <c r="C9132" s="49" t="s">
        <v>777</v>
      </c>
      <c r="D9132" s="49">
        <v>0.0</v>
      </c>
    </row>
    <row r="9133" ht="15.0" hidden="1" customHeight="1">
      <c r="A9133" s="49" t="s">
        <v>177</v>
      </c>
      <c r="B9133" s="50">
        <v>45565.0</v>
      </c>
      <c r="C9133" s="49" t="s">
        <v>777</v>
      </c>
      <c r="D9133" s="49">
        <v>0.0</v>
      </c>
    </row>
    <row r="9134" ht="15.0" hidden="1" customHeight="1">
      <c r="A9134" s="49" t="s">
        <v>182</v>
      </c>
      <c r="B9134" s="50">
        <v>45565.0</v>
      </c>
      <c r="C9134" s="49" t="s">
        <v>777</v>
      </c>
      <c r="D9134" s="49">
        <v>0.0</v>
      </c>
    </row>
    <row r="9135" ht="15.0" hidden="1" customHeight="1">
      <c r="A9135" s="49" t="s">
        <v>187</v>
      </c>
      <c r="B9135" s="50">
        <v>45565.0</v>
      </c>
      <c r="C9135" s="49" t="s">
        <v>777</v>
      </c>
      <c r="D9135" s="49">
        <v>0.0</v>
      </c>
    </row>
    <row r="9136" ht="15.0" hidden="1" customHeight="1">
      <c r="A9136" s="49" t="s">
        <v>192</v>
      </c>
      <c r="B9136" s="50">
        <v>45565.0</v>
      </c>
      <c r="C9136" s="49" t="s">
        <v>777</v>
      </c>
      <c r="D9136" s="49">
        <v>0.0</v>
      </c>
    </row>
    <row r="9137" ht="15.0" hidden="1" customHeight="1">
      <c r="A9137" s="49" t="s">
        <v>197</v>
      </c>
      <c r="B9137" s="50">
        <v>45565.0</v>
      </c>
      <c r="C9137" s="49" t="s">
        <v>777</v>
      </c>
      <c r="D9137" s="49">
        <v>0.0</v>
      </c>
    </row>
    <row r="9138" ht="15.0" hidden="1" customHeight="1">
      <c r="A9138" s="49" t="s">
        <v>202</v>
      </c>
      <c r="B9138" s="50">
        <v>45565.0</v>
      </c>
      <c r="C9138" s="49" t="s">
        <v>777</v>
      </c>
      <c r="D9138" s="49">
        <v>0.0</v>
      </c>
    </row>
    <row r="9139" ht="15.0" hidden="1" customHeight="1">
      <c r="A9139" s="49" t="s">
        <v>206</v>
      </c>
      <c r="B9139" s="50">
        <v>45565.0</v>
      </c>
      <c r="C9139" s="49" t="s">
        <v>777</v>
      </c>
      <c r="D9139" s="49">
        <v>0.0</v>
      </c>
    </row>
    <row r="9140" ht="15.0" hidden="1" customHeight="1">
      <c r="A9140" s="49" t="s">
        <v>211</v>
      </c>
      <c r="B9140" s="50">
        <v>45565.0</v>
      </c>
      <c r="C9140" s="49" t="s">
        <v>777</v>
      </c>
      <c r="D9140" s="49">
        <v>0.0</v>
      </c>
    </row>
    <row r="9141" ht="15.0" hidden="1" customHeight="1">
      <c r="A9141" s="49" t="s">
        <v>779</v>
      </c>
      <c r="B9141" s="50">
        <v>45565.0</v>
      </c>
      <c r="C9141" s="49" t="s">
        <v>777</v>
      </c>
      <c r="D9141" s="49">
        <v>0.0</v>
      </c>
    </row>
    <row r="9142" ht="15.0" hidden="1" customHeight="1">
      <c r="A9142" s="49" t="s">
        <v>221</v>
      </c>
      <c r="B9142" s="50">
        <v>45565.0</v>
      </c>
      <c r="C9142" s="49" t="s">
        <v>777</v>
      </c>
      <c r="D9142" s="49">
        <v>0.0</v>
      </c>
    </row>
    <row r="9143" ht="15.0" hidden="1" customHeight="1">
      <c r="A9143" s="49" t="s">
        <v>226</v>
      </c>
      <c r="B9143" s="50">
        <v>45565.0</v>
      </c>
      <c r="C9143" s="49" t="s">
        <v>777</v>
      </c>
      <c r="D9143" s="49">
        <v>0.0</v>
      </c>
    </row>
    <row r="9144" ht="15.0" hidden="1" customHeight="1">
      <c r="A9144" s="49" t="s">
        <v>231</v>
      </c>
      <c r="B9144" s="50">
        <v>45565.0</v>
      </c>
      <c r="C9144" s="49" t="s">
        <v>777</v>
      </c>
      <c r="D9144" s="49">
        <v>0.0</v>
      </c>
    </row>
    <row r="9145" ht="15.0" hidden="1" customHeight="1">
      <c r="A9145" s="49" t="s">
        <v>236</v>
      </c>
      <c r="B9145" s="50">
        <v>45565.0</v>
      </c>
      <c r="C9145" s="49" t="s">
        <v>777</v>
      </c>
      <c r="D9145" s="49">
        <v>0.0</v>
      </c>
    </row>
    <row r="9146" ht="15.0" hidden="1" customHeight="1">
      <c r="A9146" s="49" t="s">
        <v>242</v>
      </c>
      <c r="B9146" s="50">
        <v>45565.0</v>
      </c>
      <c r="C9146" s="49" t="s">
        <v>777</v>
      </c>
      <c r="D9146" s="49">
        <v>0.0</v>
      </c>
    </row>
    <row r="9147" ht="15.0" hidden="1" customHeight="1">
      <c r="A9147" s="49" t="s">
        <v>248</v>
      </c>
      <c r="B9147" s="50">
        <v>45565.0</v>
      </c>
      <c r="C9147" s="49" t="s">
        <v>777</v>
      </c>
      <c r="D9147" s="49">
        <v>0.0</v>
      </c>
    </row>
    <row r="9148" ht="15.0" hidden="1" customHeight="1">
      <c r="A9148" s="49" t="s">
        <v>253</v>
      </c>
      <c r="B9148" s="50">
        <v>45565.0</v>
      </c>
      <c r="C9148" s="49" t="s">
        <v>777</v>
      </c>
      <c r="D9148" s="49">
        <v>0.0</v>
      </c>
    </row>
    <row r="9149" ht="15.0" hidden="1" customHeight="1">
      <c r="A9149" s="49" t="s">
        <v>258</v>
      </c>
      <c r="B9149" s="50">
        <v>45565.0</v>
      </c>
      <c r="C9149" s="49" t="s">
        <v>777</v>
      </c>
      <c r="D9149" s="49">
        <v>0.0</v>
      </c>
    </row>
    <row r="9150" ht="15.0" hidden="1" customHeight="1">
      <c r="A9150" s="49" t="s">
        <v>263</v>
      </c>
      <c r="B9150" s="50">
        <v>45565.0</v>
      </c>
      <c r="C9150" s="49" t="s">
        <v>777</v>
      </c>
      <c r="D9150" s="49">
        <v>0.0</v>
      </c>
    </row>
    <row r="9151" ht="15.0" hidden="1" customHeight="1">
      <c r="A9151" s="49" t="s">
        <v>268</v>
      </c>
      <c r="B9151" s="50">
        <v>45565.0</v>
      </c>
      <c r="C9151" s="49" t="s">
        <v>777</v>
      </c>
      <c r="D9151" s="49">
        <v>0.0</v>
      </c>
    </row>
    <row r="9152" ht="15.0" hidden="1" customHeight="1">
      <c r="A9152" s="49" t="s">
        <v>273</v>
      </c>
      <c r="B9152" s="50">
        <v>45565.0</v>
      </c>
      <c r="C9152" s="49" t="s">
        <v>777</v>
      </c>
      <c r="D9152" s="49">
        <v>0.0</v>
      </c>
    </row>
    <row r="9153" ht="15.0" hidden="1" customHeight="1">
      <c r="A9153" s="49" t="s">
        <v>278</v>
      </c>
      <c r="B9153" s="50">
        <v>45565.0</v>
      </c>
      <c r="C9153" s="49" t="s">
        <v>777</v>
      </c>
      <c r="D9153" s="49">
        <v>0.0</v>
      </c>
    </row>
    <row r="9154" ht="15.0" hidden="1" customHeight="1">
      <c r="A9154" s="49" t="s">
        <v>283</v>
      </c>
      <c r="B9154" s="50">
        <v>45565.0</v>
      </c>
      <c r="C9154" s="49" t="s">
        <v>777</v>
      </c>
      <c r="D9154" s="49">
        <v>0.0</v>
      </c>
    </row>
    <row r="9155" ht="15.0" hidden="1" customHeight="1">
      <c r="A9155" s="49" t="s">
        <v>288</v>
      </c>
      <c r="B9155" s="50">
        <v>45565.0</v>
      </c>
      <c r="C9155" s="49" t="s">
        <v>777</v>
      </c>
      <c r="D9155" s="49">
        <v>0.0</v>
      </c>
    </row>
    <row r="9156" ht="15.0" hidden="1" customHeight="1">
      <c r="A9156" s="49" t="s">
        <v>293</v>
      </c>
      <c r="B9156" s="50">
        <v>45565.0</v>
      </c>
      <c r="C9156" s="49" t="s">
        <v>777</v>
      </c>
      <c r="D9156" s="49">
        <v>0.0</v>
      </c>
    </row>
    <row r="9157" ht="15.0" hidden="1" customHeight="1">
      <c r="A9157" s="49" t="s">
        <v>298</v>
      </c>
      <c r="B9157" s="50">
        <v>45565.0</v>
      </c>
      <c r="C9157" s="49" t="s">
        <v>777</v>
      </c>
      <c r="D9157" s="49">
        <v>0.0</v>
      </c>
    </row>
    <row r="9158" ht="15.0" hidden="1" customHeight="1">
      <c r="A9158" s="49" t="s">
        <v>303</v>
      </c>
      <c r="B9158" s="50">
        <v>45565.0</v>
      </c>
      <c r="C9158" s="49" t="s">
        <v>777</v>
      </c>
      <c r="D9158" s="49">
        <v>0.0</v>
      </c>
    </row>
    <row r="9159" ht="15.0" hidden="1" customHeight="1">
      <c r="A9159" s="49" t="s">
        <v>307</v>
      </c>
      <c r="B9159" s="50">
        <v>45565.0</v>
      </c>
      <c r="C9159" s="49" t="s">
        <v>777</v>
      </c>
      <c r="D9159" s="49">
        <v>0.0</v>
      </c>
    </row>
    <row r="9160" ht="15.0" hidden="1" customHeight="1">
      <c r="A9160" s="49" t="s">
        <v>313</v>
      </c>
      <c r="B9160" s="50">
        <v>45565.0</v>
      </c>
      <c r="C9160" s="49" t="s">
        <v>777</v>
      </c>
      <c r="D9160" s="49">
        <v>0.0</v>
      </c>
    </row>
    <row r="9161" ht="15.0" hidden="1" customHeight="1">
      <c r="A9161" s="49" t="s">
        <v>318</v>
      </c>
      <c r="B9161" s="50">
        <v>45565.0</v>
      </c>
      <c r="C9161" s="49" t="s">
        <v>777</v>
      </c>
      <c r="D9161" s="49">
        <v>0.0</v>
      </c>
    </row>
    <row r="9162" ht="15.0" hidden="1" customHeight="1">
      <c r="A9162" s="49" t="s">
        <v>323</v>
      </c>
      <c r="B9162" s="50">
        <v>45565.0</v>
      </c>
      <c r="C9162" s="49" t="s">
        <v>777</v>
      </c>
      <c r="D9162" s="49">
        <v>0.0</v>
      </c>
    </row>
    <row r="9163" ht="15.0" hidden="1" customHeight="1">
      <c r="A9163" s="49" t="s">
        <v>328</v>
      </c>
      <c r="B9163" s="50">
        <v>45565.0</v>
      </c>
      <c r="C9163" s="49" t="s">
        <v>777</v>
      </c>
      <c r="D9163" s="49">
        <v>0.0</v>
      </c>
    </row>
    <row r="9164" ht="15.0" hidden="1" customHeight="1">
      <c r="A9164" s="49" t="s">
        <v>335</v>
      </c>
      <c r="B9164" s="50">
        <v>45565.0</v>
      </c>
      <c r="C9164" s="49" t="s">
        <v>777</v>
      </c>
      <c r="D9164" s="49">
        <v>0.0</v>
      </c>
    </row>
    <row r="9165" ht="15.0" hidden="1" customHeight="1">
      <c r="A9165" s="49" t="s">
        <v>340</v>
      </c>
      <c r="B9165" s="50">
        <v>45565.0</v>
      </c>
      <c r="C9165" s="49" t="s">
        <v>777</v>
      </c>
      <c r="D9165" s="49">
        <v>0.0</v>
      </c>
    </row>
    <row r="9166" ht="15.0" hidden="1" customHeight="1">
      <c r="A9166" s="49" t="s">
        <v>345</v>
      </c>
      <c r="B9166" s="50">
        <v>45565.0</v>
      </c>
      <c r="C9166" s="49" t="s">
        <v>777</v>
      </c>
      <c r="D9166" s="49">
        <v>0.0</v>
      </c>
    </row>
    <row r="9167" ht="15.0" hidden="1" customHeight="1">
      <c r="A9167" s="49" t="s">
        <v>350</v>
      </c>
      <c r="B9167" s="50">
        <v>45565.0</v>
      </c>
      <c r="C9167" s="49" t="s">
        <v>777</v>
      </c>
      <c r="D9167" s="49">
        <v>0.0</v>
      </c>
    </row>
    <row r="9168" ht="15.0" hidden="1" customHeight="1">
      <c r="A9168" s="49" t="s">
        <v>355</v>
      </c>
      <c r="B9168" s="50">
        <v>45565.0</v>
      </c>
      <c r="C9168" s="49" t="s">
        <v>777</v>
      </c>
      <c r="D9168" s="49">
        <v>0.0</v>
      </c>
    </row>
    <row r="9169" ht="15.0" hidden="1" customHeight="1">
      <c r="A9169" s="49" t="s">
        <v>360</v>
      </c>
      <c r="B9169" s="50">
        <v>45565.0</v>
      </c>
      <c r="C9169" s="49" t="s">
        <v>777</v>
      </c>
      <c r="D9169" s="49">
        <v>0.0</v>
      </c>
    </row>
    <row r="9170" ht="15.0" hidden="1" customHeight="1">
      <c r="A9170" s="49" t="s">
        <v>365</v>
      </c>
      <c r="B9170" s="50">
        <v>45565.0</v>
      </c>
      <c r="C9170" s="49" t="s">
        <v>777</v>
      </c>
      <c r="D9170" s="49">
        <v>0.0</v>
      </c>
    </row>
    <row r="9171" ht="15.0" hidden="1" customHeight="1">
      <c r="A9171" s="49" t="s">
        <v>370</v>
      </c>
      <c r="B9171" s="50">
        <v>45565.0</v>
      </c>
      <c r="C9171" s="49" t="s">
        <v>777</v>
      </c>
      <c r="D9171" s="49">
        <v>0.0</v>
      </c>
    </row>
    <row r="9172" ht="15.0" hidden="1" customHeight="1">
      <c r="A9172" s="49" t="s">
        <v>375</v>
      </c>
      <c r="B9172" s="50">
        <v>45565.0</v>
      </c>
      <c r="C9172" s="49" t="s">
        <v>777</v>
      </c>
      <c r="D9172" s="49">
        <v>0.0</v>
      </c>
    </row>
    <row r="9173" ht="15.0" hidden="1" customHeight="1">
      <c r="A9173" s="49" t="s">
        <v>380</v>
      </c>
      <c r="B9173" s="50">
        <v>45565.0</v>
      </c>
      <c r="C9173" s="49" t="s">
        <v>777</v>
      </c>
      <c r="D9173" s="49">
        <v>0.0</v>
      </c>
    </row>
    <row r="9174" ht="15.0" hidden="1" customHeight="1">
      <c r="A9174" s="49" t="s">
        <v>385</v>
      </c>
      <c r="B9174" s="50">
        <v>45565.0</v>
      </c>
      <c r="C9174" s="49" t="s">
        <v>777</v>
      </c>
      <c r="D9174" s="49">
        <v>0.0</v>
      </c>
    </row>
    <row r="9175" ht="15.0" hidden="1" customHeight="1">
      <c r="A9175" s="49" t="s">
        <v>390</v>
      </c>
      <c r="B9175" s="50">
        <v>45565.0</v>
      </c>
      <c r="C9175" s="49" t="s">
        <v>777</v>
      </c>
      <c r="D9175" s="49">
        <v>0.0</v>
      </c>
    </row>
    <row r="9176" ht="15.0" hidden="1" customHeight="1">
      <c r="A9176" s="49" t="s">
        <v>395</v>
      </c>
      <c r="B9176" s="50">
        <v>45565.0</v>
      </c>
      <c r="C9176" s="49" t="s">
        <v>777</v>
      </c>
      <c r="D9176" s="49">
        <v>0.0</v>
      </c>
    </row>
    <row r="9177" ht="15.0" hidden="1" customHeight="1">
      <c r="A9177" s="49" t="s">
        <v>400</v>
      </c>
      <c r="B9177" s="50">
        <v>45565.0</v>
      </c>
      <c r="C9177" s="49" t="s">
        <v>777</v>
      </c>
      <c r="D9177" s="49">
        <v>0.0</v>
      </c>
    </row>
    <row r="9178" ht="15.0" hidden="1" customHeight="1">
      <c r="A9178" s="49" t="s">
        <v>405</v>
      </c>
      <c r="B9178" s="50">
        <v>45565.0</v>
      </c>
      <c r="C9178" s="49" t="s">
        <v>777</v>
      </c>
      <c r="D9178" s="49">
        <v>0.0</v>
      </c>
    </row>
    <row r="9179" ht="15.0" hidden="1" customHeight="1">
      <c r="A9179" s="49" t="s">
        <v>410</v>
      </c>
      <c r="B9179" s="50">
        <v>45565.0</v>
      </c>
      <c r="C9179" s="49" t="s">
        <v>777</v>
      </c>
      <c r="D9179" s="49">
        <v>0.0</v>
      </c>
    </row>
    <row r="9180" ht="15.0" hidden="1" customHeight="1">
      <c r="A9180" s="49" t="s">
        <v>415</v>
      </c>
      <c r="B9180" s="50">
        <v>45565.0</v>
      </c>
      <c r="C9180" s="49" t="s">
        <v>777</v>
      </c>
      <c r="D9180" s="49">
        <v>0.0</v>
      </c>
    </row>
    <row r="9181" ht="15.0" hidden="1" customHeight="1">
      <c r="A9181" s="49" t="s">
        <v>420</v>
      </c>
      <c r="B9181" s="50">
        <v>45565.0</v>
      </c>
      <c r="C9181" s="49" t="s">
        <v>777</v>
      </c>
      <c r="D9181" s="49">
        <v>0.0</v>
      </c>
    </row>
    <row r="9182" ht="15.0" hidden="1" customHeight="1">
      <c r="A9182" s="49" t="s">
        <v>425</v>
      </c>
      <c r="B9182" s="50">
        <v>45565.0</v>
      </c>
      <c r="C9182" s="49" t="s">
        <v>777</v>
      </c>
      <c r="D9182" s="49">
        <v>0.0</v>
      </c>
    </row>
    <row r="9183" ht="15.0" hidden="1" customHeight="1">
      <c r="A9183" s="49" t="s">
        <v>430</v>
      </c>
      <c r="B9183" s="50">
        <v>45565.0</v>
      </c>
      <c r="C9183" s="49" t="s">
        <v>777</v>
      </c>
      <c r="D9183" s="49">
        <v>0.0</v>
      </c>
    </row>
    <row r="9184" ht="15.0" hidden="1" customHeight="1">
      <c r="A9184" s="49" t="s">
        <v>434</v>
      </c>
      <c r="B9184" s="50">
        <v>45565.0</v>
      </c>
      <c r="C9184" s="49" t="s">
        <v>777</v>
      </c>
      <c r="D9184" s="49">
        <v>0.0</v>
      </c>
    </row>
    <row r="9185" ht="15.0" hidden="1" customHeight="1">
      <c r="A9185" s="49" t="s">
        <v>439</v>
      </c>
      <c r="B9185" s="50">
        <v>45565.0</v>
      </c>
      <c r="C9185" s="49" t="s">
        <v>777</v>
      </c>
      <c r="D9185" s="49">
        <v>0.0</v>
      </c>
    </row>
    <row r="9186" ht="15.0" hidden="1" customHeight="1">
      <c r="A9186" s="49" t="s">
        <v>444</v>
      </c>
      <c r="B9186" s="50">
        <v>45565.0</v>
      </c>
      <c r="C9186" s="49" t="s">
        <v>777</v>
      </c>
      <c r="D9186" s="49">
        <v>0.0</v>
      </c>
    </row>
    <row r="9187" ht="15.0" hidden="1" customHeight="1">
      <c r="A9187" s="49" t="s">
        <v>449</v>
      </c>
      <c r="B9187" s="50">
        <v>45565.0</v>
      </c>
      <c r="C9187" s="49" t="s">
        <v>777</v>
      </c>
      <c r="D9187" s="49">
        <v>0.0</v>
      </c>
    </row>
    <row r="9188" ht="15.0" hidden="1" customHeight="1">
      <c r="A9188" s="49" t="s">
        <v>455</v>
      </c>
      <c r="B9188" s="50">
        <v>45565.0</v>
      </c>
      <c r="C9188" s="49" t="s">
        <v>777</v>
      </c>
      <c r="D9188" s="49">
        <v>0.0</v>
      </c>
    </row>
    <row r="9189" ht="15.0" hidden="1" customHeight="1">
      <c r="A9189" s="49" t="s">
        <v>470</v>
      </c>
      <c r="B9189" s="50">
        <v>45565.0</v>
      </c>
      <c r="C9189" s="49" t="s">
        <v>777</v>
      </c>
      <c r="D9189" s="49">
        <v>0.0</v>
      </c>
    </row>
    <row r="9190" ht="15.0" hidden="1" customHeight="1">
      <c r="A9190" s="49" t="s">
        <v>476</v>
      </c>
      <c r="B9190" s="50">
        <v>45565.0</v>
      </c>
      <c r="C9190" s="49" t="s">
        <v>777</v>
      </c>
      <c r="D9190" s="49">
        <v>0.0</v>
      </c>
    </row>
    <row r="9191" ht="15.0" hidden="1" customHeight="1">
      <c r="A9191" s="49" t="s">
        <v>481</v>
      </c>
      <c r="B9191" s="50">
        <v>45565.0</v>
      </c>
      <c r="C9191" s="49" t="s">
        <v>777</v>
      </c>
      <c r="D9191" s="49">
        <v>0.0</v>
      </c>
    </row>
    <row r="9192" ht="15.0" hidden="1" customHeight="1">
      <c r="A9192" s="49" t="s">
        <v>486</v>
      </c>
      <c r="B9192" s="50">
        <v>45565.0</v>
      </c>
      <c r="C9192" s="49" t="s">
        <v>777</v>
      </c>
      <c r="D9192" s="49">
        <v>0.0</v>
      </c>
    </row>
    <row r="9193" ht="15.0" hidden="1" customHeight="1">
      <c r="A9193" s="49" t="s">
        <v>491</v>
      </c>
      <c r="B9193" s="50">
        <v>45565.0</v>
      </c>
      <c r="C9193" s="49" t="s">
        <v>777</v>
      </c>
      <c r="D9193" s="49">
        <v>0.0</v>
      </c>
    </row>
    <row r="9194" ht="15.0" hidden="1" customHeight="1">
      <c r="A9194" s="49" t="s">
        <v>496</v>
      </c>
      <c r="B9194" s="50">
        <v>45565.0</v>
      </c>
      <c r="C9194" s="49" t="s">
        <v>777</v>
      </c>
      <c r="D9194" s="49">
        <v>0.0</v>
      </c>
    </row>
    <row r="9195" ht="15.0" hidden="1" customHeight="1">
      <c r="A9195" s="49" t="s">
        <v>501</v>
      </c>
      <c r="B9195" s="50">
        <v>45565.0</v>
      </c>
      <c r="C9195" s="49" t="s">
        <v>777</v>
      </c>
      <c r="D9195" s="49">
        <v>0.0</v>
      </c>
    </row>
    <row r="9196" ht="15.0" hidden="1" customHeight="1">
      <c r="A9196" s="49" t="s">
        <v>506</v>
      </c>
      <c r="B9196" s="50">
        <v>45565.0</v>
      </c>
      <c r="C9196" s="49" t="s">
        <v>777</v>
      </c>
      <c r="D9196" s="49">
        <v>0.0</v>
      </c>
    </row>
    <row r="9197" ht="15.0" hidden="1" customHeight="1">
      <c r="A9197" s="49" t="s">
        <v>512</v>
      </c>
      <c r="B9197" s="50">
        <v>45565.0</v>
      </c>
      <c r="C9197" s="49" t="s">
        <v>777</v>
      </c>
      <c r="D9197" s="49">
        <v>0.0</v>
      </c>
    </row>
    <row r="9198" ht="15.0" hidden="1" customHeight="1">
      <c r="A9198" s="49" t="s">
        <v>517</v>
      </c>
      <c r="B9198" s="50">
        <v>45565.0</v>
      </c>
      <c r="C9198" s="49" t="s">
        <v>777</v>
      </c>
      <c r="D9198" s="49">
        <v>0.0</v>
      </c>
    </row>
    <row r="9199" ht="15.0" hidden="1" customHeight="1">
      <c r="A9199" s="49" t="s">
        <v>522</v>
      </c>
      <c r="B9199" s="50">
        <v>45565.0</v>
      </c>
      <c r="C9199" s="49" t="s">
        <v>777</v>
      </c>
      <c r="D9199" s="49">
        <v>0.0</v>
      </c>
    </row>
    <row r="9200" ht="15.0" hidden="1" customHeight="1">
      <c r="A9200" s="49" t="s">
        <v>528</v>
      </c>
      <c r="B9200" s="50">
        <v>45565.0</v>
      </c>
      <c r="C9200" s="49" t="s">
        <v>777</v>
      </c>
      <c r="D9200" s="49">
        <v>0.0</v>
      </c>
    </row>
    <row r="9201" ht="15.0" hidden="1" customHeight="1">
      <c r="A9201" s="49" t="s">
        <v>533</v>
      </c>
      <c r="B9201" s="50">
        <v>45565.0</v>
      </c>
      <c r="C9201" s="49" t="s">
        <v>777</v>
      </c>
      <c r="D9201" s="49">
        <v>0.0</v>
      </c>
    </row>
    <row r="9202" ht="15.0" hidden="1" customHeight="1">
      <c r="A9202" s="49" t="s">
        <v>538</v>
      </c>
      <c r="B9202" s="50">
        <v>45565.0</v>
      </c>
      <c r="C9202" s="49" t="s">
        <v>777</v>
      </c>
      <c r="D9202" s="49">
        <v>0.0</v>
      </c>
    </row>
    <row r="9203" ht="15.0" hidden="1" customHeight="1">
      <c r="A9203" s="49" t="s">
        <v>546</v>
      </c>
      <c r="B9203" s="50">
        <v>45565.0</v>
      </c>
      <c r="C9203" s="49" t="s">
        <v>777</v>
      </c>
      <c r="D9203" s="49">
        <v>0.0</v>
      </c>
    </row>
    <row r="9204" ht="15.0" hidden="1" customHeight="1">
      <c r="A9204" s="49" t="s">
        <v>551</v>
      </c>
      <c r="B9204" s="50">
        <v>45565.0</v>
      </c>
      <c r="C9204" s="49" t="s">
        <v>777</v>
      </c>
      <c r="D9204" s="49">
        <v>0.0</v>
      </c>
    </row>
    <row r="9205" ht="15.0" hidden="1" customHeight="1">
      <c r="A9205" s="49" t="s">
        <v>556</v>
      </c>
      <c r="B9205" s="50">
        <v>45565.0</v>
      </c>
      <c r="C9205" s="49" t="s">
        <v>777</v>
      </c>
      <c r="D9205" s="49">
        <v>500000.0</v>
      </c>
    </row>
    <row r="9206" ht="15.0" hidden="1" customHeight="1">
      <c r="A9206" s="49" t="s">
        <v>561</v>
      </c>
      <c r="B9206" s="50">
        <v>45565.0</v>
      </c>
      <c r="C9206" s="49" t="s">
        <v>777</v>
      </c>
      <c r="D9206" s="49">
        <v>600000.0</v>
      </c>
    </row>
    <row r="9207" ht="15.0" hidden="1" customHeight="1">
      <c r="A9207" s="49" t="s">
        <v>566</v>
      </c>
      <c r="B9207" s="50">
        <v>45565.0</v>
      </c>
      <c r="C9207" s="49" t="s">
        <v>777</v>
      </c>
      <c r="D9207" s="49">
        <v>0.0</v>
      </c>
    </row>
    <row r="9208" ht="15.0" hidden="1" customHeight="1">
      <c r="A9208" s="49" t="s">
        <v>571</v>
      </c>
      <c r="B9208" s="50">
        <v>45565.0</v>
      </c>
      <c r="C9208" s="49" t="s">
        <v>777</v>
      </c>
      <c r="D9208" s="49">
        <v>3500000.0</v>
      </c>
    </row>
    <row r="9209" ht="15.0" hidden="1" customHeight="1">
      <c r="A9209" s="49" t="s">
        <v>576</v>
      </c>
      <c r="B9209" s="50">
        <v>45565.0</v>
      </c>
      <c r="C9209" s="49" t="s">
        <v>777</v>
      </c>
      <c r="D9209" s="49">
        <v>0.0</v>
      </c>
    </row>
    <row r="9210" ht="15.0" hidden="1" customHeight="1">
      <c r="A9210" s="49" t="s">
        <v>581</v>
      </c>
      <c r="B9210" s="50">
        <v>45565.0</v>
      </c>
      <c r="C9210" s="49" t="s">
        <v>777</v>
      </c>
      <c r="D9210" s="49">
        <v>180000.0</v>
      </c>
    </row>
    <row r="9211" ht="15.0" hidden="1" customHeight="1">
      <c r="A9211" s="49" t="s">
        <v>586</v>
      </c>
      <c r="B9211" s="50">
        <v>45565.0</v>
      </c>
      <c r="C9211" s="49" t="s">
        <v>777</v>
      </c>
      <c r="D9211" s="49">
        <v>9068273.0</v>
      </c>
    </row>
    <row r="9212" ht="15.0" hidden="1" customHeight="1">
      <c r="A9212" s="49" t="s">
        <v>754</v>
      </c>
      <c r="B9212" s="50">
        <v>45565.0</v>
      </c>
      <c r="C9212" s="49" t="s">
        <v>777</v>
      </c>
      <c r="D9212" s="49">
        <v>588627.0</v>
      </c>
    </row>
    <row r="9213" ht="15.0" hidden="1" customHeight="1">
      <c r="A9213" s="49" t="s">
        <v>591</v>
      </c>
      <c r="B9213" s="50">
        <v>45565.0</v>
      </c>
      <c r="C9213" s="49" t="s">
        <v>777</v>
      </c>
      <c r="D9213" s="49">
        <v>0.0</v>
      </c>
    </row>
    <row r="9214" ht="15.0" hidden="1" customHeight="1">
      <c r="A9214" s="49" t="s">
        <v>759</v>
      </c>
      <c r="B9214" s="50">
        <v>45565.0</v>
      </c>
      <c r="C9214" s="49" t="s">
        <v>777</v>
      </c>
      <c r="D9214" s="49">
        <v>0.0</v>
      </c>
    </row>
    <row r="9215" ht="15.0" hidden="1" customHeight="1">
      <c r="A9215" s="49" t="s">
        <v>596</v>
      </c>
      <c r="B9215" s="50">
        <v>45565.0</v>
      </c>
      <c r="C9215" s="49" t="s">
        <v>777</v>
      </c>
      <c r="D9215" s="49">
        <v>0.0</v>
      </c>
    </row>
    <row r="9216" ht="15.0" hidden="1" customHeight="1">
      <c r="A9216" s="49" t="s">
        <v>602</v>
      </c>
      <c r="B9216" s="50">
        <v>45565.0</v>
      </c>
      <c r="C9216" s="49" t="s">
        <v>777</v>
      </c>
      <c r="D9216" s="49">
        <v>0.0</v>
      </c>
    </row>
    <row r="9217" ht="15.0" hidden="1" customHeight="1">
      <c r="A9217" s="49" t="s">
        <v>607</v>
      </c>
      <c r="B9217" s="50">
        <v>45565.0</v>
      </c>
      <c r="C9217" s="49" t="s">
        <v>777</v>
      </c>
      <c r="D9217" s="49">
        <v>0.0</v>
      </c>
    </row>
    <row r="9218" ht="15.0" hidden="1" customHeight="1">
      <c r="A9218" s="49" t="s">
        <v>612</v>
      </c>
      <c r="B9218" s="50">
        <v>45565.0</v>
      </c>
      <c r="C9218" s="49" t="s">
        <v>777</v>
      </c>
      <c r="D9218" s="49">
        <v>0.0</v>
      </c>
    </row>
    <row r="9219" ht="15.0" hidden="1" customHeight="1">
      <c r="A9219" s="49" t="s">
        <v>617</v>
      </c>
      <c r="B9219" s="50">
        <v>45565.0</v>
      </c>
      <c r="C9219" s="49" t="s">
        <v>777</v>
      </c>
      <c r="D9219" s="49">
        <v>0.0</v>
      </c>
    </row>
    <row r="9220" ht="15.0" hidden="1" customHeight="1">
      <c r="A9220" s="49" t="s">
        <v>622</v>
      </c>
      <c r="B9220" s="50">
        <v>45565.0</v>
      </c>
      <c r="C9220" s="49" t="s">
        <v>777</v>
      </c>
      <c r="D9220" s="49">
        <v>0.0</v>
      </c>
    </row>
    <row r="9221" ht="15.0" hidden="1" customHeight="1">
      <c r="A9221" s="49" t="s">
        <v>627</v>
      </c>
      <c r="B9221" s="50">
        <v>45565.0</v>
      </c>
      <c r="C9221" s="49" t="s">
        <v>777</v>
      </c>
      <c r="D9221" s="49">
        <v>0.0</v>
      </c>
    </row>
    <row r="9222" ht="15.0" hidden="1" customHeight="1">
      <c r="A9222" s="49" t="s">
        <v>631</v>
      </c>
      <c r="B9222" s="50">
        <v>45565.0</v>
      </c>
      <c r="C9222" s="49" t="s">
        <v>777</v>
      </c>
      <c r="D9222" s="49">
        <v>0.0</v>
      </c>
    </row>
    <row r="9223" ht="15.0" hidden="1" customHeight="1">
      <c r="A9223" s="49" t="s">
        <v>636</v>
      </c>
      <c r="B9223" s="50">
        <v>45565.0</v>
      </c>
      <c r="C9223" s="49" t="s">
        <v>777</v>
      </c>
      <c r="D9223" s="49">
        <v>0.0</v>
      </c>
    </row>
    <row r="9224" ht="15.0" hidden="1" customHeight="1">
      <c r="A9224" s="49" t="s">
        <v>640</v>
      </c>
      <c r="B9224" s="50">
        <v>45565.0</v>
      </c>
      <c r="C9224" s="49" t="s">
        <v>777</v>
      </c>
      <c r="D9224" s="49">
        <v>0.0</v>
      </c>
    </row>
    <row r="9225" ht="15.0" hidden="1" customHeight="1">
      <c r="A9225" s="49" t="s">
        <v>644</v>
      </c>
      <c r="B9225" s="50">
        <v>45565.0</v>
      </c>
      <c r="C9225" s="49" t="s">
        <v>777</v>
      </c>
      <c r="D9225" s="49">
        <v>0.0</v>
      </c>
    </row>
    <row r="9226" ht="15.0" hidden="1" customHeight="1">
      <c r="A9226" s="49" t="s">
        <v>649</v>
      </c>
      <c r="B9226" s="50">
        <v>45565.0</v>
      </c>
      <c r="C9226" s="49" t="s">
        <v>777</v>
      </c>
      <c r="D9226" s="49">
        <v>0.0</v>
      </c>
    </row>
    <row r="9227" ht="15.0" hidden="1" customHeight="1">
      <c r="A9227" s="49" t="s">
        <v>654</v>
      </c>
      <c r="B9227" s="50">
        <v>45565.0</v>
      </c>
      <c r="C9227" s="49" t="s">
        <v>777</v>
      </c>
      <c r="D9227" s="49">
        <v>0.0</v>
      </c>
    </row>
    <row r="9228" ht="15.0" hidden="1" customHeight="1">
      <c r="A9228" s="49" t="s">
        <v>659</v>
      </c>
      <c r="B9228" s="50">
        <v>45565.0</v>
      </c>
      <c r="C9228" s="49" t="s">
        <v>777</v>
      </c>
      <c r="D9228" s="49">
        <v>0.0</v>
      </c>
    </row>
    <row r="9229" ht="15.0" hidden="1" customHeight="1">
      <c r="A9229" s="49" t="s">
        <v>664</v>
      </c>
      <c r="B9229" s="50">
        <v>45565.0</v>
      </c>
      <c r="C9229" s="49" t="s">
        <v>777</v>
      </c>
      <c r="D9229" s="49">
        <v>0.0</v>
      </c>
    </row>
    <row r="9230" ht="15.0" hidden="1" customHeight="1">
      <c r="A9230" s="49" t="s">
        <v>669</v>
      </c>
      <c r="B9230" s="50">
        <v>45565.0</v>
      </c>
      <c r="C9230" s="49" t="s">
        <v>777</v>
      </c>
      <c r="D9230" s="49">
        <v>0.0</v>
      </c>
    </row>
    <row r="9231" ht="15.0" hidden="1" customHeight="1">
      <c r="A9231" s="49" t="s">
        <v>674</v>
      </c>
      <c r="B9231" s="50">
        <v>45565.0</v>
      </c>
      <c r="C9231" s="49" t="s">
        <v>777</v>
      </c>
      <c r="D9231" s="49">
        <v>0.0</v>
      </c>
    </row>
    <row r="9232" ht="15.0" hidden="1" customHeight="1">
      <c r="A9232" s="49" t="s">
        <v>679</v>
      </c>
      <c r="B9232" s="50">
        <v>45565.0</v>
      </c>
      <c r="C9232" s="49" t="s">
        <v>777</v>
      </c>
      <c r="D9232" s="49">
        <v>0.0</v>
      </c>
    </row>
    <row r="9233" ht="15.0" hidden="1" customHeight="1">
      <c r="A9233" s="49" t="s">
        <v>684</v>
      </c>
      <c r="B9233" s="50">
        <v>45565.0</v>
      </c>
      <c r="C9233" s="49" t="s">
        <v>777</v>
      </c>
      <c r="D9233" s="49">
        <v>0.0</v>
      </c>
    </row>
    <row r="9234" ht="15.0" hidden="1" customHeight="1">
      <c r="A9234" s="49" t="s">
        <v>689</v>
      </c>
      <c r="B9234" s="50">
        <v>45565.0</v>
      </c>
      <c r="C9234" s="49" t="s">
        <v>777</v>
      </c>
      <c r="D9234" s="49">
        <v>0.0</v>
      </c>
    </row>
    <row r="9235" ht="15.0" hidden="1" customHeight="1">
      <c r="A9235" s="49" t="s">
        <v>694</v>
      </c>
      <c r="B9235" s="50">
        <v>45565.0</v>
      </c>
      <c r="C9235" s="49" t="s">
        <v>777</v>
      </c>
      <c r="D9235" s="49">
        <v>0.0</v>
      </c>
    </row>
    <row r="9236" ht="15.0" hidden="1" customHeight="1">
      <c r="A9236" s="49" t="s">
        <v>699</v>
      </c>
      <c r="B9236" s="50">
        <v>45565.0</v>
      </c>
      <c r="C9236" s="49" t="s">
        <v>777</v>
      </c>
      <c r="D9236" s="49">
        <v>0.0</v>
      </c>
    </row>
    <row r="9237" ht="15.0" hidden="1" customHeight="1">
      <c r="A9237" s="49" t="s">
        <v>705</v>
      </c>
      <c r="B9237" s="50">
        <v>45565.0</v>
      </c>
      <c r="C9237" s="49" t="s">
        <v>777</v>
      </c>
      <c r="D9237" s="49">
        <v>0.0</v>
      </c>
    </row>
    <row r="9238" ht="15.0" hidden="1" customHeight="1">
      <c r="A9238" s="49" t="s">
        <v>710</v>
      </c>
      <c r="B9238" s="50">
        <v>45565.0</v>
      </c>
      <c r="C9238" s="49" t="s">
        <v>777</v>
      </c>
      <c r="D9238" s="49">
        <v>0.0</v>
      </c>
    </row>
    <row r="9239" ht="15.0" hidden="1" customHeight="1">
      <c r="A9239" s="49" t="s">
        <v>715</v>
      </c>
      <c r="B9239" s="50">
        <v>45565.0</v>
      </c>
      <c r="C9239" s="49" t="s">
        <v>777</v>
      </c>
      <c r="D9239" s="49">
        <v>0.0</v>
      </c>
    </row>
    <row r="9240" ht="15.0" hidden="1" customHeight="1">
      <c r="A9240" s="49" t="s">
        <v>765</v>
      </c>
      <c r="B9240" s="50">
        <v>45565.0</v>
      </c>
      <c r="C9240" s="49" t="s">
        <v>777</v>
      </c>
      <c r="D9240" s="49">
        <v>0.0</v>
      </c>
    </row>
    <row r="9241" ht="15.0" hidden="1" customHeight="1">
      <c r="A9241" s="49" t="s">
        <v>720</v>
      </c>
      <c r="B9241" s="50">
        <v>45565.0</v>
      </c>
      <c r="C9241" s="49" t="s">
        <v>777</v>
      </c>
      <c r="D9241" s="49">
        <v>0.0</v>
      </c>
    </row>
    <row r="9242" ht="15.0" hidden="1" customHeight="1">
      <c r="A9242" s="49" t="s">
        <v>725</v>
      </c>
      <c r="B9242" s="50">
        <v>45565.0</v>
      </c>
      <c r="C9242" s="49" t="s">
        <v>777</v>
      </c>
      <c r="D9242" s="49">
        <v>0.0</v>
      </c>
    </row>
    <row r="9243" ht="15.0" hidden="1" customHeight="1">
      <c r="A9243" s="49" t="s">
        <v>730</v>
      </c>
      <c r="B9243" s="50">
        <v>45565.0</v>
      </c>
      <c r="C9243" s="49" t="s">
        <v>777</v>
      </c>
      <c r="D9243" s="49">
        <v>0.0</v>
      </c>
    </row>
    <row r="9244" ht="15.0" hidden="1" customHeight="1">
      <c r="A9244" s="49" t="s">
        <v>734</v>
      </c>
      <c r="B9244" s="50">
        <v>45565.0</v>
      </c>
      <c r="C9244" s="49" t="s">
        <v>777</v>
      </c>
      <c r="D9244" s="49">
        <v>0.0</v>
      </c>
    </row>
    <row r="9245" ht="15.0" hidden="1" customHeight="1">
      <c r="A9245" s="49" t="s">
        <v>739</v>
      </c>
      <c r="B9245" s="50">
        <v>45565.0</v>
      </c>
      <c r="C9245" s="49" t="s">
        <v>777</v>
      </c>
      <c r="D9245" s="49">
        <v>0.0</v>
      </c>
    </row>
    <row r="9246" ht="15.0" hidden="1" customHeight="1">
      <c r="A9246" s="49" t="s">
        <v>744</v>
      </c>
      <c r="B9246" s="50">
        <v>45565.0</v>
      </c>
      <c r="C9246" s="49" t="s">
        <v>777</v>
      </c>
      <c r="D9246" s="49">
        <v>0.0</v>
      </c>
    </row>
    <row r="9247" ht="15.0" hidden="1" customHeight="1">
      <c r="A9247" s="49" t="s">
        <v>749</v>
      </c>
      <c r="B9247" s="50">
        <v>45565.0</v>
      </c>
      <c r="C9247" s="49" t="s">
        <v>777</v>
      </c>
      <c r="D9247" s="49">
        <v>0.0</v>
      </c>
    </row>
    <row r="9248" ht="15.0" customHeight="1">
      <c r="A9248" s="49" t="s">
        <v>776</v>
      </c>
      <c r="B9248" s="50">
        <v>45565.0</v>
      </c>
      <c r="C9248" s="49" t="s">
        <v>78</v>
      </c>
      <c r="D9248" s="49">
        <v>0.0</v>
      </c>
    </row>
    <row r="9249" ht="15.0" hidden="1" customHeight="1">
      <c r="A9249" s="49" t="s">
        <v>778</v>
      </c>
      <c r="B9249" s="50">
        <v>45565.0</v>
      </c>
      <c r="C9249" s="49" t="s">
        <v>78</v>
      </c>
      <c r="D9249" s="49">
        <v>0.0</v>
      </c>
    </row>
    <row r="9250" ht="15.0" hidden="1" customHeight="1">
      <c r="A9250" s="49" t="s">
        <v>92</v>
      </c>
      <c r="B9250" s="50">
        <v>45565.0</v>
      </c>
      <c r="C9250" s="49" t="s">
        <v>78</v>
      </c>
      <c r="D9250" s="49">
        <v>0.0</v>
      </c>
    </row>
    <row r="9251" ht="15.0" hidden="1" customHeight="1">
      <c r="A9251" s="49" t="s">
        <v>97</v>
      </c>
      <c r="B9251" s="50">
        <v>45565.0</v>
      </c>
      <c r="C9251" s="49" t="s">
        <v>78</v>
      </c>
      <c r="D9251" s="49">
        <v>0.0</v>
      </c>
    </row>
    <row r="9252" ht="15.0" hidden="1" customHeight="1">
      <c r="A9252" s="49" t="s">
        <v>102</v>
      </c>
      <c r="B9252" s="50">
        <v>45565.0</v>
      </c>
      <c r="C9252" s="49" t="s">
        <v>78</v>
      </c>
      <c r="D9252" s="49">
        <v>0.0</v>
      </c>
    </row>
    <row r="9253" ht="15.0" hidden="1" customHeight="1">
      <c r="A9253" s="49" t="s">
        <v>106</v>
      </c>
      <c r="B9253" s="50">
        <v>45565.0</v>
      </c>
      <c r="C9253" s="49" t="s">
        <v>78</v>
      </c>
      <c r="D9253" s="49">
        <v>0.0</v>
      </c>
    </row>
    <row r="9254" ht="15.0" hidden="1" customHeight="1">
      <c r="A9254" s="49" t="s">
        <v>111</v>
      </c>
      <c r="B9254" s="50">
        <v>45565.0</v>
      </c>
      <c r="C9254" s="49" t="s">
        <v>78</v>
      </c>
      <c r="D9254" s="49">
        <v>0.0</v>
      </c>
    </row>
    <row r="9255" ht="15.0" hidden="1" customHeight="1">
      <c r="A9255" s="49" t="s">
        <v>116</v>
      </c>
      <c r="B9255" s="50">
        <v>45565.0</v>
      </c>
      <c r="C9255" s="49" t="s">
        <v>78</v>
      </c>
      <c r="D9255" s="49">
        <v>0.0</v>
      </c>
    </row>
    <row r="9256" ht="15.0" hidden="1" customHeight="1">
      <c r="A9256" s="49" t="s">
        <v>120</v>
      </c>
      <c r="B9256" s="50">
        <v>45565.0</v>
      </c>
      <c r="C9256" s="49" t="s">
        <v>78</v>
      </c>
      <c r="D9256" s="49">
        <v>0.0</v>
      </c>
    </row>
    <row r="9257" ht="15.0" hidden="1" customHeight="1">
      <c r="A9257" s="49" t="s">
        <v>125</v>
      </c>
      <c r="B9257" s="50">
        <v>45565.0</v>
      </c>
      <c r="C9257" s="49" t="s">
        <v>78</v>
      </c>
      <c r="D9257" s="49">
        <v>0.0</v>
      </c>
    </row>
    <row r="9258" ht="15.0" hidden="1" customHeight="1">
      <c r="A9258" s="49" t="s">
        <v>130</v>
      </c>
      <c r="B9258" s="50">
        <v>45565.0</v>
      </c>
      <c r="C9258" s="49" t="s">
        <v>78</v>
      </c>
      <c r="D9258" s="49">
        <v>0.0</v>
      </c>
    </row>
    <row r="9259" ht="15.0" hidden="1" customHeight="1">
      <c r="A9259" s="49" t="s">
        <v>137</v>
      </c>
      <c r="B9259" s="50">
        <v>45565.0</v>
      </c>
      <c r="C9259" s="49" t="s">
        <v>78</v>
      </c>
      <c r="D9259" s="49">
        <v>0.0</v>
      </c>
    </row>
    <row r="9260" ht="15.0" hidden="1" customHeight="1">
      <c r="A9260" s="49" t="s">
        <v>142</v>
      </c>
      <c r="B9260" s="50">
        <v>45565.0</v>
      </c>
      <c r="C9260" s="49" t="s">
        <v>78</v>
      </c>
      <c r="D9260" s="49">
        <v>0.0</v>
      </c>
    </row>
    <row r="9261" ht="15.0" hidden="1" customHeight="1">
      <c r="A9261" s="49" t="s">
        <v>147</v>
      </c>
      <c r="B9261" s="50">
        <v>45565.0</v>
      </c>
      <c r="C9261" s="49" t="s">
        <v>78</v>
      </c>
      <c r="D9261" s="49">
        <v>0.0</v>
      </c>
    </row>
    <row r="9262" ht="15.0" hidden="1" customHeight="1">
      <c r="A9262" s="49" t="s">
        <v>152</v>
      </c>
      <c r="B9262" s="50">
        <v>45565.0</v>
      </c>
      <c r="C9262" s="49" t="s">
        <v>78</v>
      </c>
      <c r="D9262" s="49">
        <v>0.0</v>
      </c>
    </row>
    <row r="9263" ht="15.0" hidden="1" customHeight="1">
      <c r="A9263" s="49" t="s">
        <v>157</v>
      </c>
      <c r="B9263" s="50">
        <v>45565.0</v>
      </c>
      <c r="C9263" s="49" t="s">
        <v>78</v>
      </c>
      <c r="D9263" s="49">
        <v>0.0</v>
      </c>
    </row>
    <row r="9264" ht="15.0" hidden="1" customHeight="1">
      <c r="A9264" s="49" t="s">
        <v>162</v>
      </c>
      <c r="B9264" s="50">
        <v>45565.0</v>
      </c>
      <c r="C9264" s="49" t="s">
        <v>78</v>
      </c>
      <c r="D9264" s="49">
        <v>0.0</v>
      </c>
    </row>
    <row r="9265" ht="15.0" hidden="1" customHeight="1">
      <c r="A9265" s="49" t="s">
        <v>167</v>
      </c>
      <c r="B9265" s="50">
        <v>45565.0</v>
      </c>
      <c r="C9265" s="49" t="s">
        <v>78</v>
      </c>
      <c r="D9265" s="49">
        <v>0.0</v>
      </c>
    </row>
    <row r="9266" ht="15.0" hidden="1" customHeight="1">
      <c r="A9266" s="49" t="s">
        <v>172</v>
      </c>
      <c r="B9266" s="50">
        <v>45565.0</v>
      </c>
      <c r="C9266" s="49" t="s">
        <v>78</v>
      </c>
      <c r="D9266" s="49">
        <v>0.0</v>
      </c>
    </row>
    <row r="9267" ht="15.0" hidden="1" customHeight="1">
      <c r="A9267" s="49" t="s">
        <v>177</v>
      </c>
      <c r="B9267" s="50">
        <v>45565.0</v>
      </c>
      <c r="C9267" s="49" t="s">
        <v>78</v>
      </c>
      <c r="D9267" s="49">
        <v>0.0</v>
      </c>
    </row>
    <row r="9268" ht="15.0" hidden="1" customHeight="1">
      <c r="A9268" s="49" t="s">
        <v>182</v>
      </c>
      <c r="B9268" s="50">
        <v>45565.0</v>
      </c>
      <c r="C9268" s="49" t="s">
        <v>78</v>
      </c>
      <c r="D9268" s="49">
        <v>0.0</v>
      </c>
    </row>
    <row r="9269" ht="15.0" hidden="1" customHeight="1">
      <c r="A9269" s="49" t="s">
        <v>187</v>
      </c>
      <c r="B9269" s="50">
        <v>45565.0</v>
      </c>
      <c r="C9269" s="49" t="s">
        <v>78</v>
      </c>
      <c r="D9269" s="49">
        <v>0.0</v>
      </c>
    </row>
    <row r="9270" ht="15.0" hidden="1" customHeight="1">
      <c r="A9270" s="49" t="s">
        <v>192</v>
      </c>
      <c r="B9270" s="50">
        <v>45565.0</v>
      </c>
      <c r="C9270" s="49" t="s">
        <v>78</v>
      </c>
      <c r="D9270" s="49">
        <v>0.0</v>
      </c>
    </row>
    <row r="9271" ht="15.0" hidden="1" customHeight="1">
      <c r="A9271" s="49" t="s">
        <v>197</v>
      </c>
      <c r="B9271" s="50">
        <v>45565.0</v>
      </c>
      <c r="C9271" s="49" t="s">
        <v>78</v>
      </c>
      <c r="D9271" s="49">
        <v>0.0</v>
      </c>
    </row>
    <row r="9272" ht="15.0" hidden="1" customHeight="1">
      <c r="A9272" s="49" t="s">
        <v>202</v>
      </c>
      <c r="B9272" s="50">
        <v>45565.0</v>
      </c>
      <c r="C9272" s="49" t="s">
        <v>78</v>
      </c>
      <c r="D9272" s="49">
        <v>0.0</v>
      </c>
    </row>
    <row r="9273" ht="15.0" hidden="1" customHeight="1">
      <c r="A9273" s="49" t="s">
        <v>206</v>
      </c>
      <c r="B9273" s="50">
        <v>45565.0</v>
      </c>
      <c r="C9273" s="49" t="s">
        <v>78</v>
      </c>
      <c r="D9273" s="49">
        <v>0.0</v>
      </c>
    </row>
    <row r="9274" ht="15.0" hidden="1" customHeight="1">
      <c r="A9274" s="49" t="s">
        <v>211</v>
      </c>
      <c r="B9274" s="50">
        <v>45565.0</v>
      </c>
      <c r="C9274" s="49" t="s">
        <v>78</v>
      </c>
      <c r="D9274" s="49">
        <v>0.0</v>
      </c>
    </row>
    <row r="9275" ht="15.0" hidden="1" customHeight="1">
      <c r="A9275" s="49" t="s">
        <v>779</v>
      </c>
      <c r="B9275" s="50">
        <v>45565.0</v>
      </c>
      <c r="C9275" s="49" t="s">
        <v>78</v>
      </c>
      <c r="D9275" s="49">
        <v>0.0</v>
      </c>
    </row>
    <row r="9276" ht="15.0" hidden="1" customHeight="1">
      <c r="A9276" s="49" t="s">
        <v>221</v>
      </c>
      <c r="B9276" s="50">
        <v>45565.0</v>
      </c>
      <c r="C9276" s="49" t="s">
        <v>78</v>
      </c>
      <c r="D9276" s="49">
        <v>0.0</v>
      </c>
    </row>
    <row r="9277" ht="15.0" hidden="1" customHeight="1">
      <c r="A9277" s="49" t="s">
        <v>226</v>
      </c>
      <c r="B9277" s="50">
        <v>45565.0</v>
      </c>
      <c r="C9277" s="49" t="s">
        <v>78</v>
      </c>
      <c r="D9277" s="49">
        <v>0.0</v>
      </c>
    </row>
    <row r="9278" ht="15.0" hidden="1" customHeight="1">
      <c r="A9278" s="49" t="s">
        <v>231</v>
      </c>
      <c r="B9278" s="50">
        <v>45565.0</v>
      </c>
      <c r="C9278" s="49" t="s">
        <v>78</v>
      </c>
      <c r="D9278" s="49">
        <v>0.0</v>
      </c>
    </row>
    <row r="9279" ht="15.0" hidden="1" customHeight="1">
      <c r="A9279" s="49" t="s">
        <v>236</v>
      </c>
      <c r="B9279" s="50">
        <v>45565.0</v>
      </c>
      <c r="C9279" s="49" t="s">
        <v>78</v>
      </c>
      <c r="D9279" s="49">
        <v>0.0</v>
      </c>
    </row>
    <row r="9280" ht="15.0" hidden="1" customHeight="1">
      <c r="A9280" s="49" t="s">
        <v>242</v>
      </c>
      <c r="B9280" s="50">
        <v>45565.0</v>
      </c>
      <c r="C9280" s="49" t="s">
        <v>78</v>
      </c>
      <c r="D9280" s="49">
        <v>0.0</v>
      </c>
    </row>
    <row r="9281" ht="15.0" hidden="1" customHeight="1">
      <c r="A9281" s="49" t="s">
        <v>248</v>
      </c>
      <c r="B9281" s="50">
        <v>45565.0</v>
      </c>
      <c r="C9281" s="49" t="s">
        <v>78</v>
      </c>
      <c r="D9281" s="49">
        <v>0.0</v>
      </c>
    </row>
    <row r="9282" ht="15.0" hidden="1" customHeight="1">
      <c r="A9282" s="49" t="s">
        <v>253</v>
      </c>
      <c r="B9282" s="50">
        <v>45565.0</v>
      </c>
      <c r="C9282" s="49" t="s">
        <v>78</v>
      </c>
      <c r="D9282" s="49">
        <v>0.0</v>
      </c>
    </row>
    <row r="9283" ht="15.0" hidden="1" customHeight="1">
      <c r="A9283" s="49" t="s">
        <v>258</v>
      </c>
      <c r="B9283" s="50">
        <v>45565.0</v>
      </c>
      <c r="C9283" s="49" t="s">
        <v>78</v>
      </c>
      <c r="D9283" s="49">
        <v>0.0</v>
      </c>
    </row>
    <row r="9284" ht="15.0" hidden="1" customHeight="1">
      <c r="A9284" s="49" t="s">
        <v>263</v>
      </c>
      <c r="B9284" s="50">
        <v>45565.0</v>
      </c>
      <c r="C9284" s="49" t="s">
        <v>78</v>
      </c>
      <c r="D9284" s="49">
        <v>0.0</v>
      </c>
    </row>
    <row r="9285" ht="15.0" hidden="1" customHeight="1">
      <c r="A9285" s="49" t="s">
        <v>268</v>
      </c>
      <c r="B9285" s="50">
        <v>45565.0</v>
      </c>
      <c r="C9285" s="49" t="s">
        <v>78</v>
      </c>
      <c r="D9285" s="49">
        <v>0.0</v>
      </c>
    </row>
    <row r="9286" ht="15.0" hidden="1" customHeight="1">
      <c r="A9286" s="49" t="s">
        <v>273</v>
      </c>
      <c r="B9286" s="50">
        <v>45565.0</v>
      </c>
      <c r="C9286" s="49" t="s">
        <v>78</v>
      </c>
      <c r="D9286" s="49">
        <v>0.0</v>
      </c>
    </row>
    <row r="9287" ht="15.0" hidden="1" customHeight="1">
      <c r="A9287" s="49" t="s">
        <v>278</v>
      </c>
      <c r="B9287" s="50">
        <v>45565.0</v>
      </c>
      <c r="C9287" s="49" t="s">
        <v>78</v>
      </c>
      <c r="D9287" s="49">
        <v>0.0</v>
      </c>
    </row>
    <row r="9288" ht="15.0" hidden="1" customHeight="1">
      <c r="A9288" s="49" t="s">
        <v>283</v>
      </c>
      <c r="B9288" s="50">
        <v>45565.0</v>
      </c>
      <c r="C9288" s="49" t="s">
        <v>78</v>
      </c>
      <c r="D9288" s="49">
        <v>0.0</v>
      </c>
    </row>
    <row r="9289" ht="15.0" hidden="1" customHeight="1">
      <c r="A9289" s="49" t="s">
        <v>288</v>
      </c>
      <c r="B9289" s="50">
        <v>45565.0</v>
      </c>
      <c r="C9289" s="49" t="s">
        <v>78</v>
      </c>
      <c r="D9289" s="49">
        <v>0.0</v>
      </c>
    </row>
    <row r="9290" ht="15.0" hidden="1" customHeight="1">
      <c r="A9290" s="49" t="s">
        <v>293</v>
      </c>
      <c r="B9290" s="50">
        <v>45565.0</v>
      </c>
      <c r="C9290" s="49" t="s">
        <v>78</v>
      </c>
      <c r="D9290" s="49">
        <v>0.0</v>
      </c>
    </row>
    <row r="9291" ht="15.0" hidden="1" customHeight="1">
      <c r="A9291" s="49" t="s">
        <v>298</v>
      </c>
      <c r="B9291" s="50">
        <v>45565.0</v>
      </c>
      <c r="C9291" s="49" t="s">
        <v>78</v>
      </c>
      <c r="D9291" s="49">
        <v>0.0</v>
      </c>
    </row>
    <row r="9292" ht="15.0" hidden="1" customHeight="1">
      <c r="A9292" s="49" t="s">
        <v>303</v>
      </c>
      <c r="B9292" s="50">
        <v>45565.0</v>
      </c>
      <c r="C9292" s="49" t="s">
        <v>78</v>
      </c>
      <c r="D9292" s="49">
        <v>0.0</v>
      </c>
    </row>
    <row r="9293" ht="15.0" hidden="1" customHeight="1">
      <c r="A9293" s="49" t="s">
        <v>307</v>
      </c>
      <c r="B9293" s="50">
        <v>45565.0</v>
      </c>
      <c r="C9293" s="49" t="s">
        <v>78</v>
      </c>
      <c r="D9293" s="49">
        <v>0.0</v>
      </c>
    </row>
    <row r="9294" ht="15.0" hidden="1" customHeight="1">
      <c r="A9294" s="49" t="s">
        <v>313</v>
      </c>
      <c r="B9294" s="50">
        <v>45565.0</v>
      </c>
      <c r="C9294" s="49" t="s">
        <v>78</v>
      </c>
      <c r="D9294" s="49">
        <v>0.0</v>
      </c>
    </row>
    <row r="9295" ht="15.0" hidden="1" customHeight="1">
      <c r="A9295" s="49" t="s">
        <v>318</v>
      </c>
      <c r="B9295" s="50">
        <v>45565.0</v>
      </c>
      <c r="C9295" s="49" t="s">
        <v>78</v>
      </c>
      <c r="D9295" s="49">
        <v>0.0</v>
      </c>
    </row>
    <row r="9296" ht="15.0" hidden="1" customHeight="1">
      <c r="A9296" s="49" t="s">
        <v>323</v>
      </c>
      <c r="B9296" s="50">
        <v>45565.0</v>
      </c>
      <c r="C9296" s="49" t="s">
        <v>78</v>
      </c>
      <c r="D9296" s="49">
        <v>0.0</v>
      </c>
    </row>
    <row r="9297" ht="15.0" hidden="1" customHeight="1">
      <c r="A9297" s="49" t="s">
        <v>328</v>
      </c>
      <c r="B9297" s="50">
        <v>45565.0</v>
      </c>
      <c r="C9297" s="49" t="s">
        <v>78</v>
      </c>
      <c r="D9297" s="49">
        <v>0.0</v>
      </c>
    </row>
    <row r="9298" ht="15.0" hidden="1" customHeight="1">
      <c r="A9298" s="49" t="s">
        <v>335</v>
      </c>
      <c r="B9298" s="50">
        <v>45565.0</v>
      </c>
      <c r="C9298" s="49" t="s">
        <v>78</v>
      </c>
      <c r="D9298" s="49">
        <v>0.0</v>
      </c>
    </row>
    <row r="9299" ht="15.0" hidden="1" customHeight="1">
      <c r="A9299" s="49" t="s">
        <v>340</v>
      </c>
      <c r="B9299" s="50">
        <v>45565.0</v>
      </c>
      <c r="C9299" s="49" t="s">
        <v>78</v>
      </c>
      <c r="D9299" s="49">
        <v>0.0</v>
      </c>
    </row>
    <row r="9300" ht="15.0" hidden="1" customHeight="1">
      <c r="A9300" s="49" t="s">
        <v>345</v>
      </c>
      <c r="B9300" s="50">
        <v>45565.0</v>
      </c>
      <c r="C9300" s="49" t="s">
        <v>78</v>
      </c>
      <c r="D9300" s="49">
        <v>0.0</v>
      </c>
    </row>
    <row r="9301" ht="15.0" hidden="1" customHeight="1">
      <c r="A9301" s="49" t="s">
        <v>350</v>
      </c>
      <c r="B9301" s="50">
        <v>45565.0</v>
      </c>
      <c r="C9301" s="49" t="s">
        <v>78</v>
      </c>
      <c r="D9301" s="49">
        <v>0.0</v>
      </c>
    </row>
    <row r="9302" ht="15.0" hidden="1" customHeight="1">
      <c r="A9302" s="49" t="s">
        <v>355</v>
      </c>
      <c r="B9302" s="50">
        <v>45565.0</v>
      </c>
      <c r="C9302" s="49" t="s">
        <v>78</v>
      </c>
      <c r="D9302" s="49">
        <v>0.0</v>
      </c>
    </row>
    <row r="9303" ht="15.0" hidden="1" customHeight="1">
      <c r="A9303" s="49" t="s">
        <v>360</v>
      </c>
      <c r="B9303" s="50">
        <v>45565.0</v>
      </c>
      <c r="C9303" s="49" t="s">
        <v>78</v>
      </c>
      <c r="D9303" s="49">
        <v>0.0</v>
      </c>
    </row>
    <row r="9304" ht="15.0" hidden="1" customHeight="1">
      <c r="A9304" s="49" t="s">
        <v>365</v>
      </c>
      <c r="B9304" s="50">
        <v>45565.0</v>
      </c>
      <c r="C9304" s="49" t="s">
        <v>78</v>
      </c>
      <c r="D9304" s="49">
        <v>0.0</v>
      </c>
    </row>
    <row r="9305" ht="15.0" hidden="1" customHeight="1">
      <c r="A9305" s="49" t="s">
        <v>370</v>
      </c>
      <c r="B9305" s="50">
        <v>45565.0</v>
      </c>
      <c r="C9305" s="49" t="s">
        <v>78</v>
      </c>
      <c r="D9305" s="49">
        <v>0.0</v>
      </c>
    </row>
    <row r="9306" ht="15.0" hidden="1" customHeight="1">
      <c r="A9306" s="49" t="s">
        <v>375</v>
      </c>
      <c r="B9306" s="50">
        <v>45565.0</v>
      </c>
      <c r="C9306" s="49" t="s">
        <v>78</v>
      </c>
      <c r="D9306" s="49">
        <v>0.0</v>
      </c>
    </row>
    <row r="9307" ht="15.0" hidden="1" customHeight="1">
      <c r="A9307" s="49" t="s">
        <v>380</v>
      </c>
      <c r="B9307" s="50">
        <v>45565.0</v>
      </c>
      <c r="C9307" s="49" t="s">
        <v>78</v>
      </c>
      <c r="D9307" s="49">
        <v>0.0</v>
      </c>
    </row>
    <row r="9308" ht="15.0" hidden="1" customHeight="1">
      <c r="A9308" s="49" t="s">
        <v>385</v>
      </c>
      <c r="B9308" s="50">
        <v>45565.0</v>
      </c>
      <c r="C9308" s="49" t="s">
        <v>78</v>
      </c>
      <c r="D9308" s="49">
        <v>0.0</v>
      </c>
    </row>
    <row r="9309" ht="15.0" hidden="1" customHeight="1">
      <c r="A9309" s="49" t="s">
        <v>390</v>
      </c>
      <c r="B9309" s="50">
        <v>45565.0</v>
      </c>
      <c r="C9309" s="49" t="s">
        <v>78</v>
      </c>
      <c r="D9309" s="49">
        <v>0.0</v>
      </c>
    </row>
    <row r="9310" ht="15.0" hidden="1" customHeight="1">
      <c r="A9310" s="49" t="s">
        <v>395</v>
      </c>
      <c r="B9310" s="50">
        <v>45565.0</v>
      </c>
      <c r="C9310" s="49" t="s">
        <v>78</v>
      </c>
      <c r="D9310" s="49">
        <v>0.0</v>
      </c>
    </row>
    <row r="9311" ht="15.0" hidden="1" customHeight="1">
      <c r="A9311" s="49" t="s">
        <v>400</v>
      </c>
      <c r="B9311" s="50">
        <v>45565.0</v>
      </c>
      <c r="C9311" s="49" t="s">
        <v>78</v>
      </c>
      <c r="D9311" s="49">
        <v>0.0</v>
      </c>
    </row>
    <row r="9312" ht="15.0" hidden="1" customHeight="1">
      <c r="A9312" s="49" t="s">
        <v>405</v>
      </c>
      <c r="B9312" s="50">
        <v>45565.0</v>
      </c>
      <c r="C9312" s="49" t="s">
        <v>78</v>
      </c>
      <c r="D9312" s="49">
        <v>0.0</v>
      </c>
    </row>
    <row r="9313" ht="15.0" hidden="1" customHeight="1">
      <c r="A9313" s="49" t="s">
        <v>410</v>
      </c>
      <c r="B9313" s="50">
        <v>45565.0</v>
      </c>
      <c r="C9313" s="49" t="s">
        <v>78</v>
      </c>
      <c r="D9313" s="49">
        <v>0.0</v>
      </c>
    </row>
    <row r="9314" ht="15.0" hidden="1" customHeight="1">
      <c r="A9314" s="49" t="s">
        <v>415</v>
      </c>
      <c r="B9314" s="50">
        <v>45565.0</v>
      </c>
      <c r="C9314" s="49" t="s">
        <v>78</v>
      </c>
      <c r="D9314" s="49">
        <v>0.0</v>
      </c>
    </row>
    <row r="9315" ht="15.0" hidden="1" customHeight="1">
      <c r="A9315" s="49" t="s">
        <v>420</v>
      </c>
      <c r="B9315" s="50">
        <v>45565.0</v>
      </c>
      <c r="C9315" s="49" t="s">
        <v>78</v>
      </c>
      <c r="D9315" s="49">
        <v>0.0</v>
      </c>
    </row>
    <row r="9316" ht="15.0" hidden="1" customHeight="1">
      <c r="A9316" s="49" t="s">
        <v>425</v>
      </c>
      <c r="B9316" s="50">
        <v>45565.0</v>
      </c>
      <c r="C9316" s="49" t="s">
        <v>78</v>
      </c>
      <c r="D9316" s="49">
        <v>0.0</v>
      </c>
    </row>
    <row r="9317" ht="15.0" hidden="1" customHeight="1">
      <c r="A9317" s="49" t="s">
        <v>430</v>
      </c>
      <c r="B9317" s="50">
        <v>45565.0</v>
      </c>
      <c r="C9317" s="49" t="s">
        <v>78</v>
      </c>
      <c r="D9317" s="49">
        <v>0.0</v>
      </c>
    </row>
    <row r="9318" ht="15.0" hidden="1" customHeight="1">
      <c r="A9318" s="49" t="s">
        <v>434</v>
      </c>
      <c r="B9318" s="50">
        <v>45565.0</v>
      </c>
      <c r="C9318" s="49" t="s">
        <v>78</v>
      </c>
      <c r="D9318" s="49">
        <v>0.0</v>
      </c>
    </row>
    <row r="9319" ht="15.0" hidden="1" customHeight="1">
      <c r="A9319" s="49" t="s">
        <v>439</v>
      </c>
      <c r="B9319" s="50">
        <v>45565.0</v>
      </c>
      <c r="C9319" s="49" t="s">
        <v>78</v>
      </c>
      <c r="D9319" s="49">
        <v>0.0</v>
      </c>
    </row>
    <row r="9320" ht="15.0" hidden="1" customHeight="1">
      <c r="A9320" s="49" t="s">
        <v>444</v>
      </c>
      <c r="B9320" s="50">
        <v>45565.0</v>
      </c>
      <c r="C9320" s="49" t="s">
        <v>78</v>
      </c>
      <c r="D9320" s="49">
        <v>0.0</v>
      </c>
    </row>
    <row r="9321" ht="15.0" hidden="1" customHeight="1">
      <c r="A9321" s="49" t="s">
        <v>449</v>
      </c>
      <c r="B9321" s="50">
        <v>45565.0</v>
      </c>
      <c r="C9321" s="49" t="s">
        <v>78</v>
      </c>
      <c r="D9321" s="49">
        <v>0.0</v>
      </c>
    </row>
    <row r="9322" ht="15.0" hidden="1" customHeight="1">
      <c r="A9322" s="49" t="s">
        <v>455</v>
      </c>
      <c r="B9322" s="50">
        <v>45565.0</v>
      </c>
      <c r="C9322" s="49" t="s">
        <v>78</v>
      </c>
      <c r="D9322" s="49">
        <v>0.0</v>
      </c>
    </row>
    <row r="9323" ht="15.0" hidden="1" customHeight="1">
      <c r="A9323" s="49" t="s">
        <v>470</v>
      </c>
      <c r="B9323" s="50">
        <v>45565.0</v>
      </c>
      <c r="C9323" s="49" t="s">
        <v>78</v>
      </c>
      <c r="D9323" s="49">
        <v>0.0</v>
      </c>
    </row>
    <row r="9324" ht="15.0" hidden="1" customHeight="1">
      <c r="A9324" s="49" t="s">
        <v>476</v>
      </c>
      <c r="B9324" s="50">
        <v>45565.0</v>
      </c>
      <c r="C9324" s="49" t="s">
        <v>78</v>
      </c>
      <c r="D9324" s="49">
        <v>0.0</v>
      </c>
    </row>
    <row r="9325" ht="15.0" hidden="1" customHeight="1">
      <c r="A9325" s="49" t="s">
        <v>481</v>
      </c>
      <c r="B9325" s="50">
        <v>45565.0</v>
      </c>
      <c r="C9325" s="49" t="s">
        <v>78</v>
      </c>
      <c r="D9325" s="49">
        <v>0.0</v>
      </c>
    </row>
    <row r="9326" ht="15.0" hidden="1" customHeight="1">
      <c r="A9326" s="49" t="s">
        <v>486</v>
      </c>
      <c r="B9326" s="50">
        <v>45565.0</v>
      </c>
      <c r="C9326" s="49" t="s">
        <v>78</v>
      </c>
      <c r="D9326" s="49">
        <v>0.0</v>
      </c>
    </row>
    <row r="9327" ht="15.0" hidden="1" customHeight="1">
      <c r="A9327" s="49" t="s">
        <v>491</v>
      </c>
      <c r="B9327" s="50">
        <v>45565.0</v>
      </c>
      <c r="C9327" s="49" t="s">
        <v>78</v>
      </c>
      <c r="D9327" s="49">
        <v>0.0</v>
      </c>
    </row>
    <row r="9328" ht="15.0" hidden="1" customHeight="1">
      <c r="A9328" s="49" t="s">
        <v>496</v>
      </c>
      <c r="B9328" s="50">
        <v>45565.0</v>
      </c>
      <c r="C9328" s="49" t="s">
        <v>78</v>
      </c>
      <c r="D9328" s="49">
        <v>0.0</v>
      </c>
    </row>
    <row r="9329" ht="15.0" hidden="1" customHeight="1">
      <c r="A9329" s="49" t="s">
        <v>501</v>
      </c>
      <c r="B9329" s="50">
        <v>45565.0</v>
      </c>
      <c r="C9329" s="49" t="s">
        <v>78</v>
      </c>
      <c r="D9329" s="49">
        <v>0.0</v>
      </c>
    </row>
    <row r="9330" ht="15.0" hidden="1" customHeight="1">
      <c r="A9330" s="49" t="s">
        <v>506</v>
      </c>
      <c r="B9330" s="50">
        <v>45565.0</v>
      </c>
      <c r="C9330" s="49" t="s">
        <v>78</v>
      </c>
      <c r="D9330" s="49">
        <v>0.0</v>
      </c>
    </row>
    <row r="9331" ht="15.0" hidden="1" customHeight="1">
      <c r="A9331" s="49" t="s">
        <v>512</v>
      </c>
      <c r="B9331" s="50">
        <v>45565.0</v>
      </c>
      <c r="C9331" s="49" t="s">
        <v>78</v>
      </c>
      <c r="D9331" s="49">
        <v>0.0</v>
      </c>
    </row>
    <row r="9332" ht="15.0" hidden="1" customHeight="1">
      <c r="A9332" s="49" t="s">
        <v>517</v>
      </c>
      <c r="B9332" s="50">
        <v>45565.0</v>
      </c>
      <c r="C9332" s="49" t="s">
        <v>78</v>
      </c>
      <c r="D9332" s="49">
        <v>0.0</v>
      </c>
    </row>
    <row r="9333" ht="15.0" hidden="1" customHeight="1">
      <c r="A9333" s="49" t="s">
        <v>522</v>
      </c>
      <c r="B9333" s="50">
        <v>45565.0</v>
      </c>
      <c r="C9333" s="49" t="s">
        <v>78</v>
      </c>
      <c r="D9333" s="49">
        <v>0.0</v>
      </c>
    </row>
    <row r="9334" ht="15.0" hidden="1" customHeight="1">
      <c r="A9334" s="49" t="s">
        <v>528</v>
      </c>
      <c r="B9334" s="50">
        <v>45565.0</v>
      </c>
      <c r="C9334" s="49" t="s">
        <v>78</v>
      </c>
      <c r="D9334" s="49">
        <v>0.0</v>
      </c>
    </row>
    <row r="9335" ht="15.0" hidden="1" customHeight="1">
      <c r="A9335" s="49" t="s">
        <v>533</v>
      </c>
      <c r="B9335" s="50">
        <v>45565.0</v>
      </c>
      <c r="C9335" s="49" t="s">
        <v>78</v>
      </c>
      <c r="D9335" s="49">
        <v>0.0</v>
      </c>
    </row>
    <row r="9336" ht="15.0" hidden="1" customHeight="1">
      <c r="A9336" s="49" t="s">
        <v>538</v>
      </c>
      <c r="B9336" s="50">
        <v>45565.0</v>
      </c>
      <c r="C9336" s="49" t="s">
        <v>78</v>
      </c>
      <c r="D9336" s="49">
        <v>0.0</v>
      </c>
    </row>
    <row r="9337" ht="15.0" hidden="1" customHeight="1">
      <c r="A9337" s="49" t="s">
        <v>546</v>
      </c>
      <c r="B9337" s="50">
        <v>45565.0</v>
      </c>
      <c r="C9337" s="49" t="s">
        <v>78</v>
      </c>
      <c r="D9337" s="49">
        <v>0.0</v>
      </c>
    </row>
    <row r="9338" ht="15.0" hidden="1" customHeight="1">
      <c r="A9338" s="49" t="s">
        <v>551</v>
      </c>
      <c r="B9338" s="50">
        <v>45565.0</v>
      </c>
      <c r="C9338" s="49" t="s">
        <v>78</v>
      </c>
      <c r="D9338" s="49">
        <v>0.0</v>
      </c>
    </row>
    <row r="9339" ht="15.0" hidden="1" customHeight="1">
      <c r="A9339" s="49" t="s">
        <v>556</v>
      </c>
      <c r="B9339" s="50">
        <v>45565.0</v>
      </c>
      <c r="C9339" s="49" t="s">
        <v>78</v>
      </c>
      <c r="D9339" s="49">
        <v>500000.0</v>
      </c>
    </row>
    <row r="9340" ht="15.0" hidden="1" customHeight="1">
      <c r="A9340" s="49" t="s">
        <v>561</v>
      </c>
      <c r="B9340" s="50">
        <v>45565.0</v>
      </c>
      <c r="C9340" s="49" t="s">
        <v>78</v>
      </c>
      <c r="D9340" s="49">
        <v>600000.0</v>
      </c>
    </row>
    <row r="9341" ht="15.0" hidden="1" customHeight="1">
      <c r="A9341" s="49" t="s">
        <v>566</v>
      </c>
      <c r="B9341" s="50">
        <v>45565.0</v>
      </c>
      <c r="C9341" s="49" t="s">
        <v>78</v>
      </c>
      <c r="D9341" s="49">
        <v>0.0</v>
      </c>
    </row>
    <row r="9342" ht="15.0" hidden="1" customHeight="1">
      <c r="A9342" s="49" t="s">
        <v>571</v>
      </c>
      <c r="B9342" s="50">
        <v>45565.0</v>
      </c>
      <c r="C9342" s="49" t="s">
        <v>78</v>
      </c>
      <c r="D9342" s="49">
        <v>3500000.0</v>
      </c>
    </row>
    <row r="9343" ht="15.0" hidden="1" customHeight="1">
      <c r="A9343" s="49" t="s">
        <v>576</v>
      </c>
      <c r="B9343" s="50">
        <v>45565.0</v>
      </c>
      <c r="C9343" s="49" t="s">
        <v>78</v>
      </c>
      <c r="D9343" s="49">
        <v>0.0</v>
      </c>
    </row>
    <row r="9344" ht="15.0" hidden="1" customHeight="1">
      <c r="A9344" s="49" t="s">
        <v>581</v>
      </c>
      <c r="B9344" s="50">
        <v>45565.0</v>
      </c>
      <c r="C9344" s="49" t="s">
        <v>78</v>
      </c>
      <c r="D9344" s="49">
        <v>180000.0</v>
      </c>
    </row>
    <row r="9345" ht="15.0" hidden="1" customHeight="1">
      <c r="A9345" s="49" t="s">
        <v>586</v>
      </c>
      <c r="B9345" s="50">
        <v>45565.0</v>
      </c>
      <c r="C9345" s="49" t="s">
        <v>78</v>
      </c>
      <c r="D9345" s="49">
        <v>9068273.0</v>
      </c>
    </row>
    <row r="9346" ht="15.0" hidden="1" customHeight="1">
      <c r="A9346" s="49" t="s">
        <v>754</v>
      </c>
      <c r="B9346" s="50">
        <v>45565.0</v>
      </c>
      <c r="C9346" s="49" t="s">
        <v>78</v>
      </c>
      <c r="D9346" s="49">
        <v>588627.0</v>
      </c>
    </row>
    <row r="9347" ht="15.0" hidden="1" customHeight="1">
      <c r="A9347" s="49" t="s">
        <v>591</v>
      </c>
      <c r="B9347" s="50">
        <v>45565.0</v>
      </c>
      <c r="C9347" s="49" t="s">
        <v>78</v>
      </c>
      <c r="D9347" s="49">
        <v>0.0</v>
      </c>
    </row>
    <row r="9348" ht="15.0" hidden="1" customHeight="1">
      <c r="A9348" s="49" t="s">
        <v>759</v>
      </c>
      <c r="B9348" s="50">
        <v>45565.0</v>
      </c>
      <c r="C9348" s="49" t="s">
        <v>78</v>
      </c>
      <c r="D9348" s="49">
        <v>0.0</v>
      </c>
    </row>
    <row r="9349" ht="15.0" hidden="1" customHeight="1">
      <c r="A9349" s="49" t="s">
        <v>596</v>
      </c>
      <c r="B9349" s="50">
        <v>45565.0</v>
      </c>
      <c r="C9349" s="49" t="s">
        <v>78</v>
      </c>
      <c r="D9349" s="49">
        <v>0.0</v>
      </c>
    </row>
    <row r="9350" ht="15.0" hidden="1" customHeight="1">
      <c r="A9350" s="49" t="s">
        <v>602</v>
      </c>
      <c r="B9350" s="50">
        <v>45565.0</v>
      </c>
      <c r="C9350" s="49" t="s">
        <v>78</v>
      </c>
      <c r="D9350" s="49">
        <v>0.0</v>
      </c>
    </row>
    <row r="9351" ht="15.0" hidden="1" customHeight="1">
      <c r="A9351" s="49" t="s">
        <v>607</v>
      </c>
      <c r="B9351" s="50">
        <v>45565.0</v>
      </c>
      <c r="C9351" s="49" t="s">
        <v>78</v>
      </c>
      <c r="D9351" s="49">
        <v>0.0</v>
      </c>
    </row>
    <row r="9352" ht="15.0" hidden="1" customHeight="1">
      <c r="A9352" s="49" t="s">
        <v>612</v>
      </c>
      <c r="B9352" s="50">
        <v>45565.0</v>
      </c>
      <c r="C9352" s="49" t="s">
        <v>78</v>
      </c>
      <c r="D9352" s="49">
        <v>0.0</v>
      </c>
    </row>
    <row r="9353" ht="15.0" hidden="1" customHeight="1">
      <c r="A9353" s="49" t="s">
        <v>617</v>
      </c>
      <c r="B9353" s="50">
        <v>45565.0</v>
      </c>
      <c r="C9353" s="49" t="s">
        <v>78</v>
      </c>
      <c r="D9353" s="49">
        <v>0.0</v>
      </c>
    </row>
    <row r="9354" ht="15.0" hidden="1" customHeight="1">
      <c r="A9354" s="49" t="s">
        <v>622</v>
      </c>
      <c r="B9354" s="50">
        <v>45565.0</v>
      </c>
      <c r="C9354" s="49" t="s">
        <v>78</v>
      </c>
      <c r="D9354" s="49">
        <v>0.0</v>
      </c>
    </row>
    <row r="9355" ht="15.0" hidden="1" customHeight="1">
      <c r="A9355" s="49" t="s">
        <v>627</v>
      </c>
      <c r="B9355" s="50">
        <v>45565.0</v>
      </c>
      <c r="C9355" s="49" t="s">
        <v>78</v>
      </c>
      <c r="D9355" s="49">
        <v>0.0</v>
      </c>
    </row>
    <row r="9356" ht="15.0" hidden="1" customHeight="1">
      <c r="A9356" s="49" t="s">
        <v>631</v>
      </c>
      <c r="B9356" s="50">
        <v>45565.0</v>
      </c>
      <c r="C9356" s="49" t="s">
        <v>78</v>
      </c>
      <c r="D9356" s="49">
        <v>0.0</v>
      </c>
    </row>
    <row r="9357" ht="15.0" hidden="1" customHeight="1">
      <c r="A9357" s="49" t="s">
        <v>636</v>
      </c>
      <c r="B9357" s="50">
        <v>45565.0</v>
      </c>
      <c r="C9357" s="49" t="s">
        <v>78</v>
      </c>
      <c r="D9357" s="49">
        <v>0.0</v>
      </c>
    </row>
    <row r="9358" ht="15.0" hidden="1" customHeight="1">
      <c r="A9358" s="49" t="s">
        <v>640</v>
      </c>
      <c r="B9358" s="50">
        <v>45565.0</v>
      </c>
      <c r="C9358" s="49" t="s">
        <v>78</v>
      </c>
      <c r="D9358" s="49">
        <v>0.0</v>
      </c>
    </row>
    <row r="9359" ht="15.0" hidden="1" customHeight="1">
      <c r="A9359" s="49" t="s">
        <v>644</v>
      </c>
      <c r="B9359" s="50">
        <v>45565.0</v>
      </c>
      <c r="C9359" s="49" t="s">
        <v>78</v>
      </c>
      <c r="D9359" s="49">
        <v>0.0</v>
      </c>
    </row>
    <row r="9360" ht="15.0" hidden="1" customHeight="1">
      <c r="A9360" s="49" t="s">
        <v>649</v>
      </c>
      <c r="B9360" s="50">
        <v>45565.0</v>
      </c>
      <c r="C9360" s="49" t="s">
        <v>78</v>
      </c>
      <c r="D9360" s="49">
        <v>0.0</v>
      </c>
    </row>
    <row r="9361" ht="15.0" hidden="1" customHeight="1">
      <c r="A9361" s="49" t="s">
        <v>654</v>
      </c>
      <c r="B9361" s="50">
        <v>45565.0</v>
      </c>
      <c r="C9361" s="49" t="s">
        <v>78</v>
      </c>
      <c r="D9361" s="49">
        <v>0.0</v>
      </c>
    </row>
    <row r="9362" ht="15.0" hidden="1" customHeight="1">
      <c r="A9362" s="49" t="s">
        <v>659</v>
      </c>
      <c r="B9362" s="50">
        <v>45565.0</v>
      </c>
      <c r="C9362" s="49" t="s">
        <v>78</v>
      </c>
      <c r="D9362" s="49">
        <v>0.0</v>
      </c>
    </row>
    <row r="9363" ht="15.0" hidden="1" customHeight="1">
      <c r="A9363" s="49" t="s">
        <v>664</v>
      </c>
      <c r="B9363" s="50">
        <v>45565.0</v>
      </c>
      <c r="C9363" s="49" t="s">
        <v>78</v>
      </c>
      <c r="D9363" s="49">
        <v>0.0</v>
      </c>
    </row>
    <row r="9364" ht="15.0" hidden="1" customHeight="1">
      <c r="A9364" s="49" t="s">
        <v>669</v>
      </c>
      <c r="B9364" s="50">
        <v>45565.0</v>
      </c>
      <c r="C9364" s="49" t="s">
        <v>78</v>
      </c>
      <c r="D9364" s="49">
        <v>0.0</v>
      </c>
    </row>
    <row r="9365" ht="15.0" hidden="1" customHeight="1">
      <c r="A9365" s="49" t="s">
        <v>674</v>
      </c>
      <c r="B9365" s="50">
        <v>45565.0</v>
      </c>
      <c r="C9365" s="49" t="s">
        <v>78</v>
      </c>
      <c r="D9365" s="49">
        <v>0.0</v>
      </c>
    </row>
    <row r="9366" ht="15.0" hidden="1" customHeight="1">
      <c r="A9366" s="49" t="s">
        <v>679</v>
      </c>
      <c r="B9366" s="50">
        <v>45565.0</v>
      </c>
      <c r="C9366" s="49" t="s">
        <v>78</v>
      </c>
      <c r="D9366" s="49">
        <v>0.0</v>
      </c>
    </row>
    <row r="9367" ht="15.0" hidden="1" customHeight="1">
      <c r="A9367" s="49" t="s">
        <v>684</v>
      </c>
      <c r="B9367" s="50">
        <v>45565.0</v>
      </c>
      <c r="C9367" s="49" t="s">
        <v>78</v>
      </c>
      <c r="D9367" s="49">
        <v>0.0</v>
      </c>
    </row>
    <row r="9368" ht="15.0" hidden="1" customHeight="1">
      <c r="A9368" s="49" t="s">
        <v>689</v>
      </c>
      <c r="B9368" s="50">
        <v>45565.0</v>
      </c>
      <c r="C9368" s="49" t="s">
        <v>78</v>
      </c>
      <c r="D9368" s="49">
        <v>0.0</v>
      </c>
    </row>
    <row r="9369" ht="15.0" hidden="1" customHeight="1">
      <c r="A9369" s="49" t="s">
        <v>694</v>
      </c>
      <c r="B9369" s="50">
        <v>45565.0</v>
      </c>
      <c r="C9369" s="49" t="s">
        <v>78</v>
      </c>
      <c r="D9369" s="49">
        <v>0.0</v>
      </c>
    </row>
    <row r="9370" ht="15.0" hidden="1" customHeight="1">
      <c r="A9370" s="49" t="s">
        <v>699</v>
      </c>
      <c r="B9370" s="50">
        <v>45565.0</v>
      </c>
      <c r="C9370" s="49" t="s">
        <v>78</v>
      </c>
      <c r="D9370" s="49">
        <v>0.0</v>
      </c>
    </row>
    <row r="9371" ht="15.0" hidden="1" customHeight="1">
      <c r="A9371" s="49" t="s">
        <v>705</v>
      </c>
      <c r="B9371" s="50">
        <v>45565.0</v>
      </c>
      <c r="C9371" s="49" t="s">
        <v>78</v>
      </c>
      <c r="D9371" s="49">
        <v>0.0</v>
      </c>
    </row>
    <row r="9372" ht="15.0" hidden="1" customHeight="1">
      <c r="A9372" s="49" t="s">
        <v>710</v>
      </c>
      <c r="B9372" s="50">
        <v>45565.0</v>
      </c>
      <c r="C9372" s="49" t="s">
        <v>78</v>
      </c>
      <c r="D9372" s="49">
        <v>0.0</v>
      </c>
    </row>
    <row r="9373" ht="15.0" hidden="1" customHeight="1">
      <c r="A9373" s="49" t="s">
        <v>715</v>
      </c>
      <c r="B9373" s="50">
        <v>45565.0</v>
      </c>
      <c r="C9373" s="49" t="s">
        <v>78</v>
      </c>
      <c r="D9373" s="49">
        <v>0.0</v>
      </c>
    </row>
    <row r="9374" ht="15.0" hidden="1" customHeight="1">
      <c r="A9374" s="49" t="s">
        <v>765</v>
      </c>
      <c r="B9374" s="50">
        <v>45565.0</v>
      </c>
      <c r="C9374" s="49" t="s">
        <v>78</v>
      </c>
      <c r="D9374" s="49">
        <v>0.0</v>
      </c>
    </row>
    <row r="9375" ht="15.0" hidden="1" customHeight="1">
      <c r="A9375" s="49" t="s">
        <v>720</v>
      </c>
      <c r="B9375" s="50">
        <v>45565.0</v>
      </c>
      <c r="C9375" s="49" t="s">
        <v>78</v>
      </c>
      <c r="D9375" s="49">
        <v>0.0</v>
      </c>
    </row>
    <row r="9376" ht="15.0" hidden="1" customHeight="1">
      <c r="A9376" s="49" t="s">
        <v>725</v>
      </c>
      <c r="B9376" s="50">
        <v>45565.0</v>
      </c>
      <c r="C9376" s="49" t="s">
        <v>78</v>
      </c>
      <c r="D9376" s="49">
        <v>0.0</v>
      </c>
    </row>
    <row r="9377" ht="15.0" hidden="1" customHeight="1">
      <c r="A9377" s="49" t="s">
        <v>730</v>
      </c>
      <c r="B9377" s="50">
        <v>45565.0</v>
      </c>
      <c r="C9377" s="49" t="s">
        <v>78</v>
      </c>
      <c r="D9377" s="49">
        <v>0.0</v>
      </c>
    </row>
    <row r="9378" ht="15.0" hidden="1" customHeight="1">
      <c r="A9378" s="49" t="s">
        <v>734</v>
      </c>
      <c r="B9378" s="50">
        <v>45565.0</v>
      </c>
      <c r="C9378" s="49" t="s">
        <v>78</v>
      </c>
      <c r="D9378" s="49">
        <v>0.0</v>
      </c>
    </row>
    <row r="9379" ht="15.0" hidden="1" customHeight="1">
      <c r="A9379" s="49" t="s">
        <v>739</v>
      </c>
      <c r="B9379" s="50">
        <v>45565.0</v>
      </c>
      <c r="C9379" s="49" t="s">
        <v>78</v>
      </c>
      <c r="D9379" s="49">
        <v>0.0</v>
      </c>
    </row>
    <row r="9380" ht="15.0" hidden="1" customHeight="1">
      <c r="A9380" s="49" t="s">
        <v>744</v>
      </c>
      <c r="B9380" s="50">
        <v>45565.0</v>
      </c>
      <c r="C9380" s="49" t="s">
        <v>78</v>
      </c>
      <c r="D9380" s="49">
        <v>0.0</v>
      </c>
    </row>
    <row r="9381" ht="15.0" hidden="1" customHeight="1">
      <c r="A9381" s="49" t="s">
        <v>749</v>
      </c>
      <c r="B9381" s="50">
        <v>45565.0</v>
      </c>
      <c r="C9381" s="49" t="s">
        <v>78</v>
      </c>
      <c r="D9381" s="49">
        <v>0.0</v>
      </c>
    </row>
    <row r="9382" ht="15.0" customHeight="1">
      <c r="A9382" s="49" t="s">
        <v>776</v>
      </c>
      <c r="B9382" s="50">
        <v>45565.0</v>
      </c>
      <c r="C9382" s="49" t="s">
        <v>69</v>
      </c>
      <c r="D9382" s="49">
        <v>0.0</v>
      </c>
    </row>
    <row r="9383" ht="15.0" hidden="1" customHeight="1">
      <c r="A9383" s="49" t="s">
        <v>778</v>
      </c>
      <c r="B9383" s="50">
        <v>45565.0</v>
      </c>
      <c r="C9383" s="49" t="s">
        <v>69</v>
      </c>
      <c r="D9383" s="49">
        <v>0.0</v>
      </c>
    </row>
    <row r="9384" ht="15.0" hidden="1" customHeight="1">
      <c r="A9384" s="49" t="s">
        <v>92</v>
      </c>
      <c r="B9384" s="50">
        <v>45565.0</v>
      </c>
      <c r="C9384" s="49" t="s">
        <v>69</v>
      </c>
      <c r="D9384" s="49">
        <v>0.0</v>
      </c>
    </row>
    <row r="9385" ht="15.0" hidden="1" customHeight="1">
      <c r="A9385" s="49" t="s">
        <v>97</v>
      </c>
      <c r="B9385" s="50">
        <v>45565.0</v>
      </c>
      <c r="C9385" s="49" t="s">
        <v>69</v>
      </c>
      <c r="D9385" s="49">
        <v>0.0</v>
      </c>
    </row>
    <row r="9386" ht="15.0" hidden="1" customHeight="1">
      <c r="A9386" s="49" t="s">
        <v>102</v>
      </c>
      <c r="B9386" s="50">
        <v>45565.0</v>
      </c>
      <c r="C9386" s="49" t="s">
        <v>69</v>
      </c>
      <c r="D9386" s="49">
        <v>0.0</v>
      </c>
    </row>
    <row r="9387" ht="15.0" hidden="1" customHeight="1">
      <c r="A9387" s="49" t="s">
        <v>106</v>
      </c>
      <c r="B9387" s="50">
        <v>45565.0</v>
      </c>
      <c r="C9387" s="49" t="s">
        <v>69</v>
      </c>
      <c r="D9387" s="49">
        <v>0.0</v>
      </c>
    </row>
    <row r="9388" ht="15.0" hidden="1" customHeight="1">
      <c r="A9388" s="49" t="s">
        <v>111</v>
      </c>
      <c r="B9388" s="50">
        <v>45565.0</v>
      </c>
      <c r="C9388" s="49" t="s">
        <v>69</v>
      </c>
      <c r="D9388" s="49">
        <v>0.0</v>
      </c>
    </row>
    <row r="9389" ht="15.0" hidden="1" customHeight="1">
      <c r="A9389" s="49" t="s">
        <v>116</v>
      </c>
      <c r="B9389" s="50">
        <v>45565.0</v>
      </c>
      <c r="C9389" s="49" t="s">
        <v>69</v>
      </c>
      <c r="D9389" s="49">
        <v>0.0</v>
      </c>
    </row>
    <row r="9390" ht="15.0" hidden="1" customHeight="1">
      <c r="A9390" s="49" t="s">
        <v>120</v>
      </c>
      <c r="B9390" s="50">
        <v>45565.0</v>
      </c>
      <c r="C9390" s="49" t="s">
        <v>69</v>
      </c>
      <c r="D9390" s="49">
        <v>0.0</v>
      </c>
    </row>
    <row r="9391" ht="15.0" hidden="1" customHeight="1">
      <c r="A9391" s="49" t="s">
        <v>125</v>
      </c>
      <c r="B9391" s="50">
        <v>45565.0</v>
      </c>
      <c r="C9391" s="49" t="s">
        <v>69</v>
      </c>
      <c r="D9391" s="49">
        <v>0.0</v>
      </c>
    </row>
    <row r="9392" ht="15.0" hidden="1" customHeight="1">
      <c r="A9392" s="49" t="s">
        <v>130</v>
      </c>
      <c r="B9392" s="50">
        <v>45565.0</v>
      </c>
      <c r="C9392" s="49" t="s">
        <v>69</v>
      </c>
      <c r="D9392" s="49">
        <v>0.0</v>
      </c>
    </row>
    <row r="9393" ht="15.0" hidden="1" customHeight="1">
      <c r="A9393" s="49" t="s">
        <v>137</v>
      </c>
      <c r="B9393" s="50">
        <v>45565.0</v>
      </c>
      <c r="C9393" s="49" t="s">
        <v>69</v>
      </c>
      <c r="D9393" s="49">
        <v>0.0</v>
      </c>
    </row>
    <row r="9394" ht="15.0" hidden="1" customHeight="1">
      <c r="A9394" s="49" t="s">
        <v>142</v>
      </c>
      <c r="B9394" s="50">
        <v>45565.0</v>
      </c>
      <c r="C9394" s="49" t="s">
        <v>69</v>
      </c>
      <c r="D9394" s="49">
        <v>0.0</v>
      </c>
    </row>
    <row r="9395" ht="15.0" hidden="1" customHeight="1">
      <c r="A9395" s="49" t="s">
        <v>147</v>
      </c>
      <c r="B9395" s="50">
        <v>45565.0</v>
      </c>
      <c r="C9395" s="49" t="s">
        <v>69</v>
      </c>
      <c r="D9395" s="49">
        <v>0.0</v>
      </c>
    </row>
    <row r="9396" ht="15.0" hidden="1" customHeight="1">
      <c r="A9396" s="49" t="s">
        <v>152</v>
      </c>
      <c r="B9396" s="50">
        <v>45565.0</v>
      </c>
      <c r="C9396" s="49" t="s">
        <v>69</v>
      </c>
      <c r="D9396" s="49">
        <v>0.0</v>
      </c>
    </row>
    <row r="9397" ht="15.0" hidden="1" customHeight="1">
      <c r="A9397" s="49" t="s">
        <v>157</v>
      </c>
      <c r="B9397" s="50">
        <v>45565.0</v>
      </c>
      <c r="C9397" s="49" t="s">
        <v>69</v>
      </c>
      <c r="D9397" s="49">
        <v>0.0</v>
      </c>
    </row>
    <row r="9398" ht="15.0" hidden="1" customHeight="1">
      <c r="A9398" s="49" t="s">
        <v>162</v>
      </c>
      <c r="B9398" s="50">
        <v>45565.0</v>
      </c>
      <c r="C9398" s="49" t="s">
        <v>69</v>
      </c>
      <c r="D9398" s="49">
        <v>0.0</v>
      </c>
    </row>
    <row r="9399" ht="15.0" hidden="1" customHeight="1">
      <c r="A9399" s="49" t="s">
        <v>167</v>
      </c>
      <c r="B9399" s="50">
        <v>45565.0</v>
      </c>
      <c r="C9399" s="49" t="s">
        <v>69</v>
      </c>
      <c r="D9399" s="49">
        <v>0.0</v>
      </c>
    </row>
    <row r="9400" ht="15.0" hidden="1" customHeight="1">
      <c r="A9400" s="49" t="s">
        <v>172</v>
      </c>
      <c r="B9400" s="50">
        <v>45565.0</v>
      </c>
      <c r="C9400" s="49" t="s">
        <v>69</v>
      </c>
      <c r="D9400" s="49">
        <v>0.0</v>
      </c>
    </row>
    <row r="9401" ht="15.0" hidden="1" customHeight="1">
      <c r="A9401" s="49" t="s">
        <v>177</v>
      </c>
      <c r="B9401" s="50">
        <v>45565.0</v>
      </c>
      <c r="C9401" s="49" t="s">
        <v>69</v>
      </c>
      <c r="D9401" s="49">
        <v>0.0</v>
      </c>
    </row>
    <row r="9402" ht="15.0" hidden="1" customHeight="1">
      <c r="A9402" s="49" t="s">
        <v>182</v>
      </c>
      <c r="B9402" s="50">
        <v>45565.0</v>
      </c>
      <c r="C9402" s="49" t="s">
        <v>69</v>
      </c>
      <c r="D9402" s="49">
        <v>0.0</v>
      </c>
    </row>
    <row r="9403" ht="15.0" hidden="1" customHeight="1">
      <c r="A9403" s="49" t="s">
        <v>187</v>
      </c>
      <c r="B9403" s="50">
        <v>45565.0</v>
      </c>
      <c r="C9403" s="49" t="s">
        <v>69</v>
      </c>
      <c r="D9403" s="49">
        <v>0.0</v>
      </c>
    </row>
    <row r="9404" ht="15.0" hidden="1" customHeight="1">
      <c r="A9404" s="49" t="s">
        <v>192</v>
      </c>
      <c r="B9404" s="50">
        <v>45565.0</v>
      </c>
      <c r="C9404" s="49" t="s">
        <v>69</v>
      </c>
      <c r="D9404" s="49">
        <v>0.0</v>
      </c>
    </row>
    <row r="9405" ht="15.0" hidden="1" customHeight="1">
      <c r="A9405" s="49" t="s">
        <v>197</v>
      </c>
      <c r="B9405" s="50">
        <v>45565.0</v>
      </c>
      <c r="C9405" s="49" t="s">
        <v>69</v>
      </c>
      <c r="D9405" s="49">
        <v>0.0</v>
      </c>
    </row>
    <row r="9406" ht="15.0" hidden="1" customHeight="1">
      <c r="A9406" s="49" t="s">
        <v>202</v>
      </c>
      <c r="B9406" s="50">
        <v>45565.0</v>
      </c>
      <c r="C9406" s="49" t="s">
        <v>69</v>
      </c>
      <c r="D9406" s="49">
        <v>0.0</v>
      </c>
    </row>
    <row r="9407" ht="15.0" hidden="1" customHeight="1">
      <c r="A9407" s="49" t="s">
        <v>206</v>
      </c>
      <c r="B9407" s="50">
        <v>45565.0</v>
      </c>
      <c r="C9407" s="49" t="s">
        <v>69</v>
      </c>
      <c r="D9407" s="49">
        <v>0.0</v>
      </c>
    </row>
    <row r="9408" ht="15.0" hidden="1" customHeight="1">
      <c r="A9408" s="49" t="s">
        <v>211</v>
      </c>
      <c r="B9408" s="50">
        <v>45565.0</v>
      </c>
      <c r="C9408" s="49" t="s">
        <v>69</v>
      </c>
      <c r="D9408" s="49">
        <v>0.0</v>
      </c>
    </row>
    <row r="9409" ht="15.0" hidden="1" customHeight="1">
      <c r="A9409" s="49" t="s">
        <v>779</v>
      </c>
      <c r="B9409" s="50">
        <v>45565.0</v>
      </c>
      <c r="C9409" s="49" t="s">
        <v>69</v>
      </c>
      <c r="D9409" s="49">
        <v>0.0</v>
      </c>
    </row>
    <row r="9410" ht="15.0" hidden="1" customHeight="1">
      <c r="A9410" s="49" t="s">
        <v>221</v>
      </c>
      <c r="B9410" s="50">
        <v>45565.0</v>
      </c>
      <c r="C9410" s="49" t="s">
        <v>69</v>
      </c>
      <c r="D9410" s="49">
        <v>0.0</v>
      </c>
    </row>
    <row r="9411" ht="15.0" hidden="1" customHeight="1">
      <c r="A9411" s="49" t="s">
        <v>226</v>
      </c>
      <c r="B9411" s="50">
        <v>45565.0</v>
      </c>
      <c r="C9411" s="49" t="s">
        <v>69</v>
      </c>
      <c r="D9411" s="49">
        <v>0.0</v>
      </c>
    </row>
    <row r="9412" ht="15.0" hidden="1" customHeight="1">
      <c r="A9412" s="49" t="s">
        <v>231</v>
      </c>
      <c r="B9412" s="50">
        <v>45565.0</v>
      </c>
      <c r="C9412" s="49" t="s">
        <v>69</v>
      </c>
      <c r="D9412" s="49">
        <v>0.0</v>
      </c>
    </row>
    <row r="9413" ht="15.0" hidden="1" customHeight="1">
      <c r="A9413" s="49" t="s">
        <v>236</v>
      </c>
      <c r="B9413" s="50">
        <v>45565.0</v>
      </c>
      <c r="C9413" s="49" t="s">
        <v>69</v>
      </c>
      <c r="D9413" s="49">
        <v>0.0</v>
      </c>
    </row>
    <row r="9414" ht="15.0" hidden="1" customHeight="1">
      <c r="A9414" s="49" t="s">
        <v>242</v>
      </c>
      <c r="B9414" s="50">
        <v>45565.0</v>
      </c>
      <c r="C9414" s="49" t="s">
        <v>69</v>
      </c>
      <c r="D9414" s="49">
        <v>300000.0</v>
      </c>
    </row>
    <row r="9415" ht="15.0" hidden="1" customHeight="1">
      <c r="A9415" s="49" t="s">
        <v>248</v>
      </c>
      <c r="B9415" s="50">
        <v>45565.0</v>
      </c>
      <c r="C9415" s="49" t="s">
        <v>69</v>
      </c>
      <c r="D9415" s="49">
        <v>0.0</v>
      </c>
    </row>
    <row r="9416" ht="15.0" hidden="1" customHeight="1">
      <c r="A9416" s="49" t="s">
        <v>253</v>
      </c>
      <c r="B9416" s="50">
        <v>45565.0</v>
      </c>
      <c r="C9416" s="49" t="s">
        <v>69</v>
      </c>
      <c r="D9416" s="49">
        <v>0.0</v>
      </c>
    </row>
    <row r="9417" ht="15.0" hidden="1" customHeight="1">
      <c r="A9417" s="49" t="s">
        <v>258</v>
      </c>
      <c r="B9417" s="50">
        <v>45565.0</v>
      </c>
      <c r="C9417" s="49" t="s">
        <v>69</v>
      </c>
      <c r="D9417" s="49">
        <v>0.0</v>
      </c>
    </row>
    <row r="9418" ht="15.0" hidden="1" customHeight="1">
      <c r="A9418" s="49" t="s">
        <v>263</v>
      </c>
      <c r="B9418" s="50">
        <v>45565.0</v>
      </c>
      <c r="C9418" s="49" t="s">
        <v>69</v>
      </c>
      <c r="D9418" s="49">
        <v>0.0</v>
      </c>
    </row>
    <row r="9419" ht="15.0" hidden="1" customHeight="1">
      <c r="A9419" s="49" t="s">
        <v>268</v>
      </c>
      <c r="B9419" s="50">
        <v>45565.0</v>
      </c>
      <c r="C9419" s="49" t="s">
        <v>69</v>
      </c>
      <c r="D9419" s="49">
        <v>0.0</v>
      </c>
    </row>
    <row r="9420" ht="15.0" hidden="1" customHeight="1">
      <c r="A9420" s="49" t="s">
        <v>273</v>
      </c>
      <c r="B9420" s="50">
        <v>45565.0</v>
      </c>
      <c r="C9420" s="49" t="s">
        <v>69</v>
      </c>
      <c r="D9420" s="49">
        <v>0.0</v>
      </c>
    </row>
    <row r="9421" ht="15.0" hidden="1" customHeight="1">
      <c r="A9421" s="49" t="s">
        <v>278</v>
      </c>
      <c r="B9421" s="50">
        <v>45565.0</v>
      </c>
      <c r="C9421" s="49" t="s">
        <v>69</v>
      </c>
      <c r="D9421" s="49">
        <v>0.0</v>
      </c>
    </row>
    <row r="9422" ht="15.0" hidden="1" customHeight="1">
      <c r="A9422" s="49" t="s">
        <v>283</v>
      </c>
      <c r="B9422" s="50">
        <v>45565.0</v>
      </c>
      <c r="C9422" s="49" t="s">
        <v>69</v>
      </c>
      <c r="D9422" s="49">
        <v>0.0</v>
      </c>
    </row>
    <row r="9423" ht="15.0" hidden="1" customHeight="1">
      <c r="A9423" s="49" t="s">
        <v>288</v>
      </c>
      <c r="B9423" s="50">
        <v>45565.0</v>
      </c>
      <c r="C9423" s="49" t="s">
        <v>69</v>
      </c>
      <c r="D9423" s="49">
        <v>0.0</v>
      </c>
    </row>
    <row r="9424" ht="15.0" hidden="1" customHeight="1">
      <c r="A9424" s="49" t="s">
        <v>293</v>
      </c>
      <c r="B9424" s="50">
        <v>45565.0</v>
      </c>
      <c r="C9424" s="49" t="s">
        <v>69</v>
      </c>
      <c r="D9424" s="49">
        <v>0.0</v>
      </c>
    </row>
    <row r="9425" ht="15.0" hidden="1" customHeight="1">
      <c r="A9425" s="49" t="s">
        <v>298</v>
      </c>
      <c r="B9425" s="50">
        <v>45565.0</v>
      </c>
      <c r="C9425" s="49" t="s">
        <v>69</v>
      </c>
      <c r="D9425" s="49">
        <v>0.0</v>
      </c>
    </row>
    <row r="9426" ht="15.0" hidden="1" customHeight="1">
      <c r="A9426" s="49" t="s">
        <v>303</v>
      </c>
      <c r="B9426" s="50">
        <v>45565.0</v>
      </c>
      <c r="C9426" s="49" t="s">
        <v>69</v>
      </c>
      <c r="D9426" s="49">
        <v>0.0</v>
      </c>
    </row>
    <row r="9427" ht="15.0" hidden="1" customHeight="1">
      <c r="A9427" s="49" t="s">
        <v>307</v>
      </c>
      <c r="B9427" s="50">
        <v>45565.0</v>
      </c>
      <c r="C9427" s="49" t="s">
        <v>69</v>
      </c>
      <c r="D9427" s="49">
        <v>0.0</v>
      </c>
    </row>
    <row r="9428" ht="15.0" hidden="1" customHeight="1">
      <c r="A9428" s="49" t="s">
        <v>313</v>
      </c>
      <c r="B9428" s="50">
        <v>45565.0</v>
      </c>
      <c r="C9428" s="49" t="s">
        <v>69</v>
      </c>
      <c r="D9428" s="49">
        <v>0.0</v>
      </c>
    </row>
    <row r="9429" ht="15.0" hidden="1" customHeight="1">
      <c r="A9429" s="49" t="s">
        <v>318</v>
      </c>
      <c r="B9429" s="50">
        <v>45565.0</v>
      </c>
      <c r="C9429" s="49" t="s">
        <v>69</v>
      </c>
      <c r="D9429" s="49">
        <v>0.0</v>
      </c>
    </row>
    <row r="9430" ht="15.0" hidden="1" customHeight="1">
      <c r="A9430" s="49" t="s">
        <v>323</v>
      </c>
      <c r="B9430" s="50">
        <v>45565.0</v>
      </c>
      <c r="C9430" s="49" t="s">
        <v>69</v>
      </c>
      <c r="D9430" s="49">
        <v>0.0</v>
      </c>
    </row>
    <row r="9431" ht="15.0" hidden="1" customHeight="1">
      <c r="A9431" s="49" t="s">
        <v>328</v>
      </c>
      <c r="B9431" s="50">
        <v>45565.0</v>
      </c>
      <c r="C9431" s="49" t="s">
        <v>69</v>
      </c>
      <c r="D9431" s="49">
        <v>0.0</v>
      </c>
    </row>
    <row r="9432" ht="15.0" hidden="1" customHeight="1">
      <c r="A9432" s="49" t="s">
        <v>335</v>
      </c>
      <c r="B9432" s="50">
        <v>45565.0</v>
      </c>
      <c r="C9432" s="49" t="s">
        <v>69</v>
      </c>
      <c r="D9432" s="49">
        <v>0.0</v>
      </c>
    </row>
    <row r="9433" ht="15.0" hidden="1" customHeight="1">
      <c r="A9433" s="49" t="s">
        <v>340</v>
      </c>
      <c r="B9433" s="50">
        <v>45565.0</v>
      </c>
      <c r="C9433" s="49" t="s">
        <v>69</v>
      </c>
      <c r="D9433" s="49">
        <v>0.0</v>
      </c>
    </row>
    <row r="9434" ht="15.0" hidden="1" customHeight="1">
      <c r="A9434" s="49" t="s">
        <v>345</v>
      </c>
      <c r="B9434" s="50">
        <v>45565.0</v>
      </c>
      <c r="C9434" s="49" t="s">
        <v>69</v>
      </c>
      <c r="D9434" s="49">
        <v>0.0</v>
      </c>
    </row>
    <row r="9435" ht="15.0" hidden="1" customHeight="1">
      <c r="A9435" s="49" t="s">
        <v>350</v>
      </c>
      <c r="B9435" s="50">
        <v>45565.0</v>
      </c>
      <c r="C9435" s="49" t="s">
        <v>69</v>
      </c>
      <c r="D9435" s="49">
        <v>0.0</v>
      </c>
    </row>
    <row r="9436" ht="15.0" hidden="1" customHeight="1">
      <c r="A9436" s="49" t="s">
        <v>355</v>
      </c>
      <c r="B9436" s="50">
        <v>45565.0</v>
      </c>
      <c r="C9436" s="49" t="s">
        <v>69</v>
      </c>
      <c r="D9436" s="49">
        <v>0.0</v>
      </c>
    </row>
    <row r="9437" ht="15.0" hidden="1" customHeight="1">
      <c r="A9437" s="49" t="s">
        <v>360</v>
      </c>
      <c r="B9437" s="50">
        <v>45565.0</v>
      </c>
      <c r="C9437" s="49" t="s">
        <v>69</v>
      </c>
      <c r="D9437" s="49">
        <v>0.0</v>
      </c>
    </row>
    <row r="9438" ht="15.0" hidden="1" customHeight="1">
      <c r="A9438" s="49" t="s">
        <v>365</v>
      </c>
      <c r="B9438" s="50">
        <v>45565.0</v>
      </c>
      <c r="C9438" s="49" t="s">
        <v>69</v>
      </c>
      <c r="D9438" s="49">
        <v>250000.0</v>
      </c>
    </row>
    <row r="9439" ht="15.0" hidden="1" customHeight="1">
      <c r="A9439" s="49" t="s">
        <v>370</v>
      </c>
      <c r="B9439" s="50">
        <v>45565.0</v>
      </c>
      <c r="C9439" s="49" t="s">
        <v>69</v>
      </c>
      <c r="D9439" s="49">
        <v>0.0</v>
      </c>
    </row>
    <row r="9440" ht="15.0" hidden="1" customHeight="1">
      <c r="A9440" s="49" t="s">
        <v>375</v>
      </c>
      <c r="B9440" s="50">
        <v>45565.0</v>
      </c>
      <c r="C9440" s="49" t="s">
        <v>69</v>
      </c>
      <c r="D9440" s="49">
        <v>159582.65</v>
      </c>
    </row>
    <row r="9441" ht="15.0" hidden="1" customHeight="1">
      <c r="A9441" s="49" t="s">
        <v>380</v>
      </c>
      <c r="B9441" s="50">
        <v>45565.0</v>
      </c>
      <c r="C9441" s="49" t="s">
        <v>69</v>
      </c>
      <c r="D9441" s="49">
        <v>0.0</v>
      </c>
    </row>
    <row r="9442" ht="15.0" hidden="1" customHeight="1">
      <c r="A9442" s="49" t="s">
        <v>385</v>
      </c>
      <c r="B9442" s="50">
        <v>45565.0</v>
      </c>
      <c r="C9442" s="49" t="s">
        <v>69</v>
      </c>
      <c r="D9442" s="49">
        <v>0.0</v>
      </c>
    </row>
    <row r="9443" ht="15.0" hidden="1" customHeight="1">
      <c r="A9443" s="49" t="s">
        <v>390</v>
      </c>
      <c r="B9443" s="50">
        <v>45565.0</v>
      </c>
      <c r="C9443" s="49" t="s">
        <v>69</v>
      </c>
      <c r="D9443" s="49">
        <v>1300000.0</v>
      </c>
    </row>
    <row r="9444" ht="15.0" hidden="1" customHeight="1">
      <c r="A9444" s="49" t="s">
        <v>395</v>
      </c>
      <c r="B9444" s="50">
        <v>45565.0</v>
      </c>
      <c r="C9444" s="49" t="s">
        <v>69</v>
      </c>
      <c r="D9444" s="49">
        <v>0.0</v>
      </c>
    </row>
    <row r="9445" ht="15.0" hidden="1" customHeight="1">
      <c r="A9445" s="49" t="s">
        <v>400</v>
      </c>
      <c r="B9445" s="50">
        <v>45565.0</v>
      </c>
      <c r="C9445" s="49" t="s">
        <v>69</v>
      </c>
      <c r="D9445" s="49">
        <v>500000.0</v>
      </c>
    </row>
    <row r="9446" ht="15.0" hidden="1" customHeight="1">
      <c r="A9446" s="49" t="s">
        <v>405</v>
      </c>
      <c r="B9446" s="50">
        <v>45565.0</v>
      </c>
      <c r="C9446" s="49" t="s">
        <v>69</v>
      </c>
      <c r="D9446" s="49">
        <v>0.0</v>
      </c>
    </row>
    <row r="9447" ht="15.0" hidden="1" customHeight="1">
      <c r="A9447" s="49" t="s">
        <v>410</v>
      </c>
      <c r="B9447" s="50">
        <v>45565.0</v>
      </c>
      <c r="C9447" s="49" t="s">
        <v>69</v>
      </c>
      <c r="D9447" s="49">
        <v>0.0</v>
      </c>
    </row>
    <row r="9448" ht="15.0" hidden="1" customHeight="1">
      <c r="A9448" s="49" t="s">
        <v>415</v>
      </c>
      <c r="B9448" s="50">
        <v>45565.0</v>
      </c>
      <c r="C9448" s="49" t="s">
        <v>69</v>
      </c>
      <c r="D9448" s="49">
        <v>400000.0</v>
      </c>
    </row>
    <row r="9449" ht="15.0" hidden="1" customHeight="1">
      <c r="A9449" s="49" t="s">
        <v>420</v>
      </c>
      <c r="B9449" s="50">
        <v>45565.0</v>
      </c>
      <c r="C9449" s="49" t="s">
        <v>69</v>
      </c>
      <c r="D9449" s="49">
        <v>0.0</v>
      </c>
    </row>
    <row r="9450" ht="15.0" hidden="1" customHeight="1">
      <c r="A9450" s="49" t="s">
        <v>425</v>
      </c>
      <c r="B9450" s="50">
        <v>45565.0</v>
      </c>
      <c r="C9450" s="49" t="s">
        <v>69</v>
      </c>
      <c r="D9450" s="49">
        <v>0.0</v>
      </c>
    </row>
    <row r="9451" ht="15.0" hidden="1" customHeight="1">
      <c r="A9451" s="49" t="s">
        <v>430</v>
      </c>
      <c r="B9451" s="50">
        <v>45565.0</v>
      </c>
      <c r="C9451" s="49" t="s">
        <v>69</v>
      </c>
      <c r="D9451" s="49">
        <v>1500000.0</v>
      </c>
    </row>
    <row r="9452" ht="15.0" hidden="1" customHeight="1">
      <c r="A9452" s="49" t="s">
        <v>434</v>
      </c>
      <c r="B9452" s="50">
        <v>45565.0</v>
      </c>
      <c r="C9452" s="49" t="s">
        <v>69</v>
      </c>
      <c r="D9452" s="49">
        <v>900000.0</v>
      </c>
    </row>
    <row r="9453" ht="15.0" hidden="1" customHeight="1">
      <c r="A9453" s="49" t="s">
        <v>439</v>
      </c>
      <c r="B9453" s="50">
        <v>45565.0</v>
      </c>
      <c r="C9453" s="49" t="s">
        <v>69</v>
      </c>
      <c r="D9453" s="49">
        <v>350000.0</v>
      </c>
    </row>
    <row r="9454" ht="15.0" hidden="1" customHeight="1">
      <c r="A9454" s="49" t="s">
        <v>444</v>
      </c>
      <c r="B9454" s="50">
        <v>45565.0</v>
      </c>
      <c r="C9454" s="49" t="s">
        <v>69</v>
      </c>
      <c r="D9454" s="49">
        <v>170000.0</v>
      </c>
    </row>
    <row r="9455" ht="15.0" hidden="1" customHeight="1">
      <c r="A9455" s="49" t="s">
        <v>449</v>
      </c>
      <c r="B9455" s="50">
        <v>45565.0</v>
      </c>
      <c r="C9455" s="49" t="s">
        <v>69</v>
      </c>
      <c r="D9455" s="49">
        <v>0.0</v>
      </c>
    </row>
    <row r="9456" ht="15.0" hidden="1" customHeight="1">
      <c r="A9456" s="49" t="s">
        <v>455</v>
      </c>
      <c r="B9456" s="50">
        <v>45565.0</v>
      </c>
      <c r="C9456" s="49" t="s">
        <v>69</v>
      </c>
      <c r="D9456" s="49">
        <v>250000.0</v>
      </c>
    </row>
    <row r="9457" ht="15.0" hidden="1" customHeight="1">
      <c r="A9457" s="49" t="s">
        <v>470</v>
      </c>
      <c r="B9457" s="50">
        <v>45565.0</v>
      </c>
      <c r="C9457" s="49" t="s">
        <v>69</v>
      </c>
      <c r="D9457" s="49">
        <v>0.0</v>
      </c>
    </row>
    <row r="9458" ht="15.0" hidden="1" customHeight="1">
      <c r="A9458" s="49" t="s">
        <v>476</v>
      </c>
      <c r="B9458" s="50">
        <v>45565.0</v>
      </c>
      <c r="C9458" s="49" t="s">
        <v>69</v>
      </c>
      <c r="D9458" s="49">
        <v>500000.0</v>
      </c>
    </row>
    <row r="9459" ht="15.0" hidden="1" customHeight="1">
      <c r="A9459" s="49" t="s">
        <v>481</v>
      </c>
      <c r="B9459" s="50">
        <v>45565.0</v>
      </c>
      <c r="C9459" s="49" t="s">
        <v>69</v>
      </c>
      <c r="D9459" s="49">
        <v>20000.0</v>
      </c>
    </row>
    <row r="9460" ht="15.0" hidden="1" customHeight="1">
      <c r="A9460" s="49" t="s">
        <v>486</v>
      </c>
      <c r="B9460" s="50">
        <v>45565.0</v>
      </c>
      <c r="C9460" s="49" t="s">
        <v>69</v>
      </c>
      <c r="D9460" s="49">
        <v>0.0</v>
      </c>
    </row>
    <row r="9461" ht="15.0" hidden="1" customHeight="1">
      <c r="A9461" s="49" t="s">
        <v>491</v>
      </c>
      <c r="B9461" s="50">
        <v>45565.0</v>
      </c>
      <c r="C9461" s="49" t="s">
        <v>69</v>
      </c>
      <c r="D9461" s="49">
        <v>150000.0</v>
      </c>
    </row>
    <row r="9462" ht="15.0" hidden="1" customHeight="1">
      <c r="A9462" s="49" t="s">
        <v>496</v>
      </c>
      <c r="B9462" s="50">
        <v>45565.0</v>
      </c>
      <c r="C9462" s="49" t="s">
        <v>69</v>
      </c>
      <c r="D9462" s="49">
        <v>840310.0</v>
      </c>
    </row>
    <row r="9463" ht="15.0" hidden="1" customHeight="1">
      <c r="A9463" s="49" t="s">
        <v>501</v>
      </c>
      <c r="B9463" s="50">
        <v>45565.0</v>
      </c>
      <c r="C9463" s="49" t="s">
        <v>69</v>
      </c>
      <c r="D9463" s="49">
        <v>25000.0</v>
      </c>
    </row>
    <row r="9464" ht="15.0" hidden="1" customHeight="1">
      <c r="A9464" s="49" t="s">
        <v>506</v>
      </c>
      <c r="B9464" s="50">
        <v>45565.0</v>
      </c>
      <c r="C9464" s="49" t="s">
        <v>69</v>
      </c>
      <c r="D9464" s="49">
        <v>75000.0</v>
      </c>
    </row>
    <row r="9465" ht="15.0" hidden="1" customHeight="1">
      <c r="A9465" s="49" t="s">
        <v>512</v>
      </c>
      <c r="B9465" s="50">
        <v>45565.0</v>
      </c>
      <c r="C9465" s="49" t="s">
        <v>69</v>
      </c>
      <c r="D9465" s="49">
        <v>100000.0</v>
      </c>
    </row>
    <row r="9466" ht="15.0" hidden="1" customHeight="1">
      <c r="A9466" s="49" t="s">
        <v>517</v>
      </c>
      <c r="B9466" s="50">
        <v>45565.0</v>
      </c>
      <c r="C9466" s="49" t="s">
        <v>69</v>
      </c>
      <c r="D9466" s="49">
        <v>300000.0</v>
      </c>
    </row>
    <row r="9467" ht="15.0" hidden="1" customHeight="1">
      <c r="A9467" s="49" t="s">
        <v>522</v>
      </c>
      <c r="B9467" s="50">
        <v>45565.0</v>
      </c>
      <c r="C9467" s="49" t="s">
        <v>69</v>
      </c>
      <c r="D9467" s="49">
        <v>100000.0</v>
      </c>
    </row>
    <row r="9468" ht="15.0" hidden="1" customHeight="1">
      <c r="A9468" s="49" t="s">
        <v>528</v>
      </c>
      <c r="B9468" s="50">
        <v>45565.0</v>
      </c>
      <c r="C9468" s="49" t="s">
        <v>69</v>
      </c>
      <c r="D9468" s="49">
        <v>200000.0</v>
      </c>
    </row>
    <row r="9469" ht="15.0" hidden="1" customHeight="1">
      <c r="A9469" s="49" t="s">
        <v>533</v>
      </c>
      <c r="B9469" s="50">
        <v>45565.0</v>
      </c>
      <c r="C9469" s="49" t="s">
        <v>69</v>
      </c>
      <c r="D9469" s="49">
        <v>250000.0</v>
      </c>
    </row>
    <row r="9470" ht="15.0" hidden="1" customHeight="1">
      <c r="A9470" s="49" t="s">
        <v>538</v>
      </c>
      <c r="B9470" s="50">
        <v>45565.0</v>
      </c>
      <c r="C9470" s="49" t="s">
        <v>69</v>
      </c>
      <c r="D9470" s="49">
        <v>472232.0</v>
      </c>
    </row>
    <row r="9471" ht="15.0" hidden="1" customHeight="1">
      <c r="A9471" s="49" t="s">
        <v>546</v>
      </c>
      <c r="B9471" s="50">
        <v>45565.0</v>
      </c>
      <c r="C9471" s="49" t="s">
        <v>69</v>
      </c>
      <c r="D9471" s="49">
        <v>0.0</v>
      </c>
    </row>
    <row r="9472" ht="15.0" hidden="1" customHeight="1">
      <c r="A9472" s="49" t="s">
        <v>551</v>
      </c>
      <c r="B9472" s="50">
        <v>45565.0</v>
      </c>
      <c r="C9472" s="49" t="s">
        <v>69</v>
      </c>
      <c r="D9472" s="49">
        <v>0.0</v>
      </c>
    </row>
    <row r="9473" ht="15.0" hidden="1" customHeight="1">
      <c r="A9473" s="49" t="s">
        <v>556</v>
      </c>
      <c r="B9473" s="50">
        <v>45565.0</v>
      </c>
      <c r="C9473" s="49" t="s">
        <v>69</v>
      </c>
      <c r="D9473" s="49">
        <v>0.0</v>
      </c>
    </row>
    <row r="9474" ht="15.0" hidden="1" customHeight="1">
      <c r="A9474" s="49" t="s">
        <v>561</v>
      </c>
      <c r="B9474" s="50">
        <v>45565.0</v>
      </c>
      <c r="C9474" s="49" t="s">
        <v>69</v>
      </c>
      <c r="D9474" s="49">
        <v>0.0</v>
      </c>
    </row>
    <row r="9475" ht="15.0" hidden="1" customHeight="1">
      <c r="A9475" s="49" t="s">
        <v>566</v>
      </c>
      <c r="B9475" s="50">
        <v>45565.0</v>
      </c>
      <c r="C9475" s="49" t="s">
        <v>69</v>
      </c>
      <c r="D9475" s="49">
        <v>0.0</v>
      </c>
    </row>
    <row r="9476" ht="15.0" hidden="1" customHeight="1">
      <c r="A9476" s="49" t="s">
        <v>571</v>
      </c>
      <c r="B9476" s="50">
        <v>45565.0</v>
      </c>
      <c r="C9476" s="49" t="s">
        <v>69</v>
      </c>
      <c r="D9476" s="49">
        <v>0.0</v>
      </c>
    </row>
    <row r="9477" ht="15.0" hidden="1" customHeight="1">
      <c r="A9477" s="49" t="s">
        <v>576</v>
      </c>
      <c r="B9477" s="50">
        <v>45565.0</v>
      </c>
      <c r="C9477" s="49" t="s">
        <v>69</v>
      </c>
      <c r="D9477" s="49">
        <v>0.0</v>
      </c>
    </row>
    <row r="9478" ht="15.0" hidden="1" customHeight="1">
      <c r="A9478" s="49" t="s">
        <v>581</v>
      </c>
      <c r="B9478" s="50">
        <v>45565.0</v>
      </c>
      <c r="C9478" s="49" t="s">
        <v>69</v>
      </c>
      <c r="D9478" s="49">
        <v>0.0</v>
      </c>
    </row>
    <row r="9479" ht="15.0" hidden="1" customHeight="1">
      <c r="A9479" s="49" t="s">
        <v>586</v>
      </c>
      <c r="B9479" s="50">
        <v>45565.0</v>
      </c>
      <c r="C9479" s="49" t="s">
        <v>69</v>
      </c>
      <c r="D9479" s="49">
        <v>0.0</v>
      </c>
    </row>
    <row r="9480" ht="15.0" hidden="1" customHeight="1">
      <c r="A9480" s="49" t="s">
        <v>754</v>
      </c>
      <c r="B9480" s="50">
        <v>45565.0</v>
      </c>
      <c r="C9480" s="49" t="s">
        <v>69</v>
      </c>
      <c r="D9480" s="49">
        <v>0.0</v>
      </c>
    </row>
    <row r="9481" ht="15.0" hidden="1" customHeight="1">
      <c r="A9481" s="49" t="s">
        <v>591</v>
      </c>
      <c r="B9481" s="50">
        <v>45565.0</v>
      </c>
      <c r="C9481" s="49" t="s">
        <v>69</v>
      </c>
      <c r="D9481" s="49">
        <v>0.0</v>
      </c>
    </row>
    <row r="9482" ht="15.0" hidden="1" customHeight="1">
      <c r="A9482" s="49" t="s">
        <v>759</v>
      </c>
      <c r="B9482" s="50">
        <v>45565.0</v>
      </c>
      <c r="C9482" s="49" t="s">
        <v>69</v>
      </c>
      <c r="D9482" s="49">
        <v>0.0</v>
      </c>
    </row>
    <row r="9483" ht="15.0" hidden="1" customHeight="1">
      <c r="A9483" s="49" t="s">
        <v>596</v>
      </c>
      <c r="B9483" s="50">
        <v>45565.0</v>
      </c>
      <c r="C9483" s="49" t="s">
        <v>69</v>
      </c>
      <c r="D9483" s="49">
        <v>0.0</v>
      </c>
    </row>
    <row r="9484" ht="15.0" hidden="1" customHeight="1">
      <c r="A9484" s="49" t="s">
        <v>602</v>
      </c>
      <c r="B9484" s="50">
        <v>45565.0</v>
      </c>
      <c r="C9484" s="49" t="s">
        <v>69</v>
      </c>
      <c r="D9484" s="49">
        <v>0.0</v>
      </c>
    </row>
    <row r="9485" ht="15.0" hidden="1" customHeight="1">
      <c r="A9485" s="49" t="s">
        <v>607</v>
      </c>
      <c r="B9485" s="50">
        <v>45565.0</v>
      </c>
      <c r="C9485" s="49" t="s">
        <v>69</v>
      </c>
      <c r="D9485" s="49">
        <v>0.0</v>
      </c>
    </row>
    <row r="9486" ht="15.0" hidden="1" customHeight="1">
      <c r="A9486" s="49" t="s">
        <v>612</v>
      </c>
      <c r="B9486" s="50">
        <v>45565.0</v>
      </c>
      <c r="C9486" s="49" t="s">
        <v>69</v>
      </c>
      <c r="D9486" s="49">
        <v>0.0</v>
      </c>
    </row>
    <row r="9487" ht="15.0" hidden="1" customHeight="1">
      <c r="A9487" s="49" t="s">
        <v>617</v>
      </c>
      <c r="B9487" s="50">
        <v>45565.0</v>
      </c>
      <c r="C9487" s="49" t="s">
        <v>69</v>
      </c>
      <c r="D9487" s="49">
        <v>0.0</v>
      </c>
    </row>
    <row r="9488" ht="15.0" hidden="1" customHeight="1">
      <c r="A9488" s="49" t="s">
        <v>622</v>
      </c>
      <c r="B9488" s="50">
        <v>45565.0</v>
      </c>
      <c r="C9488" s="49" t="s">
        <v>69</v>
      </c>
      <c r="D9488" s="49">
        <v>0.0</v>
      </c>
    </row>
    <row r="9489" ht="15.0" hidden="1" customHeight="1">
      <c r="A9489" s="49" t="s">
        <v>627</v>
      </c>
      <c r="B9489" s="50">
        <v>45565.0</v>
      </c>
      <c r="C9489" s="49" t="s">
        <v>69</v>
      </c>
      <c r="D9489" s="49">
        <v>0.0</v>
      </c>
    </row>
    <row r="9490" ht="15.0" hidden="1" customHeight="1">
      <c r="A9490" s="49" t="s">
        <v>631</v>
      </c>
      <c r="B9490" s="50">
        <v>45565.0</v>
      </c>
      <c r="C9490" s="49" t="s">
        <v>69</v>
      </c>
      <c r="D9490" s="49">
        <v>0.0</v>
      </c>
    </row>
    <row r="9491" ht="15.0" hidden="1" customHeight="1">
      <c r="A9491" s="49" t="s">
        <v>636</v>
      </c>
      <c r="B9491" s="50">
        <v>45565.0</v>
      </c>
      <c r="C9491" s="49" t="s">
        <v>69</v>
      </c>
      <c r="D9491" s="49">
        <v>0.0</v>
      </c>
    </row>
    <row r="9492" ht="15.0" hidden="1" customHeight="1">
      <c r="A9492" s="49" t="s">
        <v>640</v>
      </c>
      <c r="B9492" s="50">
        <v>45565.0</v>
      </c>
      <c r="C9492" s="49" t="s">
        <v>69</v>
      </c>
      <c r="D9492" s="49">
        <v>0.0</v>
      </c>
    </row>
    <row r="9493" ht="15.0" hidden="1" customHeight="1">
      <c r="A9493" s="49" t="s">
        <v>644</v>
      </c>
      <c r="B9493" s="50">
        <v>45565.0</v>
      </c>
      <c r="C9493" s="49" t="s">
        <v>69</v>
      </c>
      <c r="D9493" s="49">
        <v>0.0</v>
      </c>
    </row>
    <row r="9494" ht="15.0" hidden="1" customHeight="1">
      <c r="A9494" s="49" t="s">
        <v>649</v>
      </c>
      <c r="B9494" s="50">
        <v>45565.0</v>
      </c>
      <c r="C9494" s="49" t="s">
        <v>69</v>
      </c>
      <c r="D9494" s="49">
        <v>0.0</v>
      </c>
    </row>
    <row r="9495" ht="15.0" hidden="1" customHeight="1">
      <c r="A9495" s="49" t="s">
        <v>654</v>
      </c>
      <c r="B9495" s="50">
        <v>45565.0</v>
      </c>
      <c r="C9495" s="49" t="s">
        <v>69</v>
      </c>
      <c r="D9495" s="49">
        <v>0.0</v>
      </c>
    </row>
    <row r="9496" ht="15.0" hidden="1" customHeight="1">
      <c r="A9496" s="49" t="s">
        <v>659</v>
      </c>
      <c r="B9496" s="50">
        <v>45565.0</v>
      </c>
      <c r="C9496" s="49" t="s">
        <v>69</v>
      </c>
      <c r="D9496" s="49">
        <v>0.0</v>
      </c>
    </row>
    <row r="9497" ht="15.0" hidden="1" customHeight="1">
      <c r="A9497" s="49" t="s">
        <v>664</v>
      </c>
      <c r="B9497" s="50">
        <v>45565.0</v>
      </c>
      <c r="C9497" s="49" t="s">
        <v>69</v>
      </c>
      <c r="D9497" s="49">
        <v>0.0</v>
      </c>
    </row>
    <row r="9498" ht="15.0" hidden="1" customHeight="1">
      <c r="A9498" s="49" t="s">
        <v>669</v>
      </c>
      <c r="B9498" s="50">
        <v>45565.0</v>
      </c>
      <c r="C9498" s="49" t="s">
        <v>69</v>
      </c>
      <c r="D9498" s="49">
        <v>0.0</v>
      </c>
    </row>
    <row r="9499" ht="15.0" hidden="1" customHeight="1">
      <c r="A9499" s="49" t="s">
        <v>674</v>
      </c>
      <c r="B9499" s="50">
        <v>45565.0</v>
      </c>
      <c r="C9499" s="49" t="s">
        <v>69</v>
      </c>
      <c r="D9499" s="49">
        <v>0.0</v>
      </c>
    </row>
    <row r="9500" ht="15.0" hidden="1" customHeight="1">
      <c r="A9500" s="49" t="s">
        <v>679</v>
      </c>
      <c r="B9500" s="50">
        <v>45565.0</v>
      </c>
      <c r="C9500" s="49" t="s">
        <v>69</v>
      </c>
      <c r="D9500" s="49">
        <v>0.0</v>
      </c>
    </row>
    <row r="9501" ht="15.0" hidden="1" customHeight="1">
      <c r="A9501" s="49" t="s">
        <v>684</v>
      </c>
      <c r="B9501" s="50">
        <v>45565.0</v>
      </c>
      <c r="C9501" s="49" t="s">
        <v>69</v>
      </c>
      <c r="D9501" s="49">
        <v>0.0</v>
      </c>
    </row>
    <row r="9502" ht="15.0" hidden="1" customHeight="1">
      <c r="A9502" s="49" t="s">
        <v>689</v>
      </c>
      <c r="B9502" s="50">
        <v>45565.0</v>
      </c>
      <c r="C9502" s="49" t="s">
        <v>69</v>
      </c>
      <c r="D9502" s="49">
        <v>0.0</v>
      </c>
    </row>
    <row r="9503" ht="15.0" hidden="1" customHeight="1">
      <c r="A9503" s="49" t="s">
        <v>694</v>
      </c>
      <c r="B9503" s="50">
        <v>45565.0</v>
      </c>
      <c r="C9503" s="49" t="s">
        <v>69</v>
      </c>
      <c r="D9503" s="49">
        <v>0.0</v>
      </c>
    </row>
    <row r="9504" ht="15.0" hidden="1" customHeight="1">
      <c r="A9504" s="49" t="s">
        <v>699</v>
      </c>
      <c r="B9504" s="50">
        <v>45565.0</v>
      </c>
      <c r="C9504" s="49" t="s">
        <v>69</v>
      </c>
      <c r="D9504" s="49">
        <v>0.0</v>
      </c>
    </row>
    <row r="9505" ht="15.0" hidden="1" customHeight="1">
      <c r="A9505" s="49" t="s">
        <v>705</v>
      </c>
      <c r="B9505" s="50">
        <v>45565.0</v>
      </c>
      <c r="C9505" s="49" t="s">
        <v>69</v>
      </c>
      <c r="D9505" s="49">
        <v>0.0</v>
      </c>
    </row>
    <row r="9506" ht="15.0" hidden="1" customHeight="1">
      <c r="A9506" s="49" t="s">
        <v>710</v>
      </c>
      <c r="B9506" s="50">
        <v>45565.0</v>
      </c>
      <c r="C9506" s="49" t="s">
        <v>69</v>
      </c>
      <c r="D9506" s="49">
        <v>0.0</v>
      </c>
    </row>
    <row r="9507" ht="15.0" hidden="1" customHeight="1">
      <c r="A9507" s="49" t="s">
        <v>715</v>
      </c>
      <c r="B9507" s="50">
        <v>45565.0</v>
      </c>
      <c r="C9507" s="49" t="s">
        <v>69</v>
      </c>
      <c r="D9507" s="49">
        <v>0.0</v>
      </c>
    </row>
    <row r="9508" ht="15.0" hidden="1" customHeight="1">
      <c r="A9508" s="49" t="s">
        <v>765</v>
      </c>
      <c r="B9508" s="50">
        <v>45565.0</v>
      </c>
      <c r="C9508" s="49" t="s">
        <v>69</v>
      </c>
      <c r="D9508" s="49">
        <v>0.0</v>
      </c>
    </row>
    <row r="9509" ht="15.0" hidden="1" customHeight="1">
      <c r="A9509" s="49" t="s">
        <v>720</v>
      </c>
      <c r="B9509" s="50">
        <v>45565.0</v>
      </c>
      <c r="C9509" s="49" t="s">
        <v>69</v>
      </c>
      <c r="D9509" s="49">
        <v>0.0</v>
      </c>
    </row>
    <row r="9510" ht="15.0" hidden="1" customHeight="1">
      <c r="A9510" s="49" t="s">
        <v>725</v>
      </c>
      <c r="B9510" s="50">
        <v>45565.0</v>
      </c>
      <c r="C9510" s="49" t="s">
        <v>69</v>
      </c>
      <c r="D9510" s="49">
        <v>0.0</v>
      </c>
    </row>
    <row r="9511" ht="15.0" hidden="1" customHeight="1">
      <c r="A9511" s="49" t="s">
        <v>730</v>
      </c>
      <c r="B9511" s="50">
        <v>45565.0</v>
      </c>
      <c r="C9511" s="49" t="s">
        <v>69</v>
      </c>
      <c r="D9511" s="49">
        <v>0.0</v>
      </c>
    </row>
    <row r="9512" ht="15.0" hidden="1" customHeight="1">
      <c r="A9512" s="49" t="s">
        <v>734</v>
      </c>
      <c r="B9512" s="50">
        <v>45565.0</v>
      </c>
      <c r="C9512" s="49" t="s">
        <v>69</v>
      </c>
      <c r="D9512" s="49">
        <v>0.0</v>
      </c>
    </row>
    <row r="9513" ht="15.0" hidden="1" customHeight="1">
      <c r="A9513" s="49" t="s">
        <v>739</v>
      </c>
      <c r="B9513" s="50">
        <v>45565.0</v>
      </c>
      <c r="C9513" s="49" t="s">
        <v>69</v>
      </c>
      <c r="D9513" s="49">
        <v>0.0</v>
      </c>
    </row>
    <row r="9514" ht="15.0" hidden="1" customHeight="1">
      <c r="A9514" s="49" t="s">
        <v>744</v>
      </c>
      <c r="B9514" s="50">
        <v>45565.0</v>
      </c>
      <c r="C9514" s="49" t="s">
        <v>69</v>
      </c>
      <c r="D9514" s="49">
        <v>0.0</v>
      </c>
    </row>
    <row r="9515" ht="15.0" hidden="1" customHeight="1">
      <c r="A9515" s="49" t="s">
        <v>749</v>
      </c>
      <c r="B9515" s="50">
        <v>45565.0</v>
      </c>
      <c r="C9515" s="49" t="s">
        <v>69</v>
      </c>
      <c r="D9515" s="49">
        <v>0.0</v>
      </c>
    </row>
    <row r="9516" ht="15.0" customHeight="1">
      <c r="A9516" s="49" t="s">
        <v>776</v>
      </c>
      <c r="B9516" s="50">
        <v>45565.0</v>
      </c>
      <c r="C9516" s="49" t="s">
        <v>780</v>
      </c>
      <c r="D9516" s="49">
        <v>0.0</v>
      </c>
    </row>
    <row r="9517" ht="15.0" hidden="1" customHeight="1">
      <c r="A9517" s="49" t="s">
        <v>778</v>
      </c>
      <c r="B9517" s="50">
        <v>45565.0</v>
      </c>
      <c r="C9517" s="49" t="s">
        <v>780</v>
      </c>
      <c r="D9517" s="49">
        <v>0.0</v>
      </c>
    </row>
    <row r="9518" ht="15.0" hidden="1" customHeight="1">
      <c r="A9518" s="49" t="s">
        <v>92</v>
      </c>
      <c r="B9518" s="50">
        <v>45565.0</v>
      </c>
      <c r="C9518" s="49" t="s">
        <v>780</v>
      </c>
      <c r="D9518" s="49">
        <v>0.0</v>
      </c>
    </row>
    <row r="9519" ht="15.0" hidden="1" customHeight="1">
      <c r="A9519" s="49" t="s">
        <v>97</v>
      </c>
      <c r="B9519" s="50">
        <v>45565.0</v>
      </c>
      <c r="C9519" s="49" t="s">
        <v>780</v>
      </c>
      <c r="D9519" s="49">
        <v>0.0</v>
      </c>
    </row>
    <row r="9520" ht="15.0" hidden="1" customHeight="1">
      <c r="A9520" s="49" t="s">
        <v>102</v>
      </c>
      <c r="B9520" s="50">
        <v>45565.0</v>
      </c>
      <c r="C9520" s="49" t="s">
        <v>780</v>
      </c>
      <c r="D9520" s="49">
        <v>0.0</v>
      </c>
    </row>
    <row r="9521" ht="15.0" hidden="1" customHeight="1">
      <c r="A9521" s="49" t="s">
        <v>106</v>
      </c>
      <c r="B9521" s="50">
        <v>45565.0</v>
      </c>
      <c r="C9521" s="49" t="s">
        <v>780</v>
      </c>
      <c r="D9521" s="49">
        <v>0.0</v>
      </c>
    </row>
    <row r="9522" ht="15.0" hidden="1" customHeight="1">
      <c r="A9522" s="49" t="s">
        <v>111</v>
      </c>
      <c r="B9522" s="50">
        <v>45565.0</v>
      </c>
      <c r="C9522" s="49" t="s">
        <v>780</v>
      </c>
      <c r="D9522" s="49">
        <v>0.0</v>
      </c>
    </row>
    <row r="9523" ht="15.0" hidden="1" customHeight="1">
      <c r="A9523" s="49" t="s">
        <v>116</v>
      </c>
      <c r="B9523" s="50">
        <v>45565.0</v>
      </c>
      <c r="C9523" s="49" t="s">
        <v>780</v>
      </c>
      <c r="D9523" s="49">
        <v>0.0</v>
      </c>
    </row>
    <row r="9524" ht="15.0" hidden="1" customHeight="1">
      <c r="A9524" s="49" t="s">
        <v>120</v>
      </c>
      <c r="B9524" s="50">
        <v>45565.0</v>
      </c>
      <c r="C9524" s="49" t="s">
        <v>780</v>
      </c>
      <c r="D9524" s="49">
        <v>0.0</v>
      </c>
    </row>
    <row r="9525" ht="15.0" hidden="1" customHeight="1">
      <c r="A9525" s="49" t="s">
        <v>125</v>
      </c>
      <c r="B9525" s="50">
        <v>45565.0</v>
      </c>
      <c r="C9525" s="49" t="s">
        <v>780</v>
      </c>
      <c r="D9525" s="49">
        <v>0.0</v>
      </c>
    </row>
    <row r="9526" ht="15.0" hidden="1" customHeight="1">
      <c r="A9526" s="49" t="s">
        <v>130</v>
      </c>
      <c r="B9526" s="50">
        <v>45565.0</v>
      </c>
      <c r="C9526" s="49" t="s">
        <v>780</v>
      </c>
      <c r="D9526" s="49">
        <v>0.0</v>
      </c>
    </row>
    <row r="9527" ht="15.0" hidden="1" customHeight="1">
      <c r="A9527" s="49" t="s">
        <v>137</v>
      </c>
      <c r="B9527" s="50">
        <v>45565.0</v>
      </c>
      <c r="C9527" s="49" t="s">
        <v>780</v>
      </c>
      <c r="D9527" s="49">
        <v>0.0</v>
      </c>
    </row>
    <row r="9528" ht="15.0" hidden="1" customHeight="1">
      <c r="A9528" s="49" t="s">
        <v>142</v>
      </c>
      <c r="B9528" s="50">
        <v>45565.0</v>
      </c>
      <c r="C9528" s="49" t="s">
        <v>780</v>
      </c>
      <c r="D9528" s="49">
        <v>0.0</v>
      </c>
    </row>
    <row r="9529" ht="15.0" hidden="1" customHeight="1">
      <c r="A9529" s="49" t="s">
        <v>147</v>
      </c>
      <c r="B9529" s="50">
        <v>45565.0</v>
      </c>
      <c r="C9529" s="49" t="s">
        <v>780</v>
      </c>
      <c r="D9529" s="49">
        <v>0.0</v>
      </c>
    </row>
    <row r="9530" ht="15.0" hidden="1" customHeight="1">
      <c r="A9530" s="49" t="s">
        <v>152</v>
      </c>
      <c r="B9530" s="50">
        <v>45565.0</v>
      </c>
      <c r="C9530" s="49" t="s">
        <v>780</v>
      </c>
      <c r="D9530" s="49">
        <v>0.0</v>
      </c>
    </row>
    <row r="9531" ht="15.0" hidden="1" customHeight="1">
      <c r="A9531" s="49" t="s">
        <v>157</v>
      </c>
      <c r="B9531" s="50">
        <v>45565.0</v>
      </c>
      <c r="C9531" s="49" t="s">
        <v>780</v>
      </c>
      <c r="D9531" s="49">
        <v>0.0</v>
      </c>
    </row>
    <row r="9532" ht="15.0" hidden="1" customHeight="1">
      <c r="A9532" s="49" t="s">
        <v>162</v>
      </c>
      <c r="B9532" s="50">
        <v>45565.0</v>
      </c>
      <c r="C9532" s="49" t="s">
        <v>780</v>
      </c>
      <c r="D9532" s="49">
        <v>0.0</v>
      </c>
    </row>
    <row r="9533" ht="15.0" hidden="1" customHeight="1">
      <c r="A9533" s="49" t="s">
        <v>167</v>
      </c>
      <c r="B9533" s="50">
        <v>45565.0</v>
      </c>
      <c r="C9533" s="49" t="s">
        <v>780</v>
      </c>
      <c r="D9533" s="49">
        <v>0.0</v>
      </c>
    </row>
    <row r="9534" ht="15.0" hidden="1" customHeight="1">
      <c r="A9534" s="49" t="s">
        <v>172</v>
      </c>
      <c r="B9534" s="50">
        <v>45565.0</v>
      </c>
      <c r="C9534" s="49" t="s">
        <v>780</v>
      </c>
      <c r="D9534" s="49">
        <v>0.0</v>
      </c>
    </row>
    <row r="9535" ht="15.0" hidden="1" customHeight="1">
      <c r="A9535" s="49" t="s">
        <v>177</v>
      </c>
      <c r="B9535" s="50">
        <v>45565.0</v>
      </c>
      <c r="C9535" s="49" t="s">
        <v>780</v>
      </c>
      <c r="D9535" s="49">
        <v>0.0</v>
      </c>
    </row>
    <row r="9536" ht="15.0" hidden="1" customHeight="1">
      <c r="A9536" s="49" t="s">
        <v>182</v>
      </c>
      <c r="B9536" s="50">
        <v>45565.0</v>
      </c>
      <c r="C9536" s="49" t="s">
        <v>780</v>
      </c>
      <c r="D9536" s="49">
        <v>0.0</v>
      </c>
    </row>
    <row r="9537" ht="15.0" hidden="1" customHeight="1">
      <c r="A9537" s="49" t="s">
        <v>187</v>
      </c>
      <c r="B9537" s="50">
        <v>45565.0</v>
      </c>
      <c r="C9537" s="49" t="s">
        <v>780</v>
      </c>
      <c r="D9537" s="49">
        <v>0.0</v>
      </c>
    </row>
    <row r="9538" ht="15.0" hidden="1" customHeight="1">
      <c r="A9538" s="49" t="s">
        <v>192</v>
      </c>
      <c r="B9538" s="50">
        <v>45565.0</v>
      </c>
      <c r="C9538" s="49" t="s">
        <v>780</v>
      </c>
      <c r="D9538" s="49">
        <v>0.0</v>
      </c>
    </row>
    <row r="9539" ht="15.0" hidden="1" customHeight="1">
      <c r="A9539" s="49" t="s">
        <v>197</v>
      </c>
      <c r="B9539" s="50">
        <v>45565.0</v>
      </c>
      <c r="C9539" s="49" t="s">
        <v>780</v>
      </c>
      <c r="D9539" s="49">
        <v>0.0</v>
      </c>
    </row>
    <row r="9540" ht="15.0" hidden="1" customHeight="1">
      <c r="A9540" s="49" t="s">
        <v>202</v>
      </c>
      <c r="B9540" s="50">
        <v>45565.0</v>
      </c>
      <c r="C9540" s="49" t="s">
        <v>780</v>
      </c>
      <c r="D9540" s="49">
        <v>0.0</v>
      </c>
    </row>
    <row r="9541" ht="15.0" hidden="1" customHeight="1">
      <c r="A9541" s="49" t="s">
        <v>206</v>
      </c>
      <c r="B9541" s="50">
        <v>45565.0</v>
      </c>
      <c r="C9541" s="49" t="s">
        <v>780</v>
      </c>
      <c r="D9541" s="49">
        <v>0.0</v>
      </c>
    </row>
    <row r="9542" ht="15.0" hidden="1" customHeight="1">
      <c r="A9542" s="49" t="s">
        <v>211</v>
      </c>
      <c r="B9542" s="50">
        <v>45565.0</v>
      </c>
      <c r="C9542" s="49" t="s">
        <v>780</v>
      </c>
      <c r="D9542" s="49">
        <v>0.0</v>
      </c>
    </row>
    <row r="9543" ht="15.0" hidden="1" customHeight="1">
      <c r="A9543" s="49" t="s">
        <v>779</v>
      </c>
      <c r="B9543" s="50">
        <v>45565.0</v>
      </c>
      <c r="C9543" s="49" t="s">
        <v>780</v>
      </c>
      <c r="D9543" s="49">
        <v>0.0</v>
      </c>
    </row>
    <row r="9544" ht="15.0" hidden="1" customHeight="1">
      <c r="A9544" s="49" t="s">
        <v>221</v>
      </c>
      <c r="B9544" s="50">
        <v>45565.0</v>
      </c>
      <c r="C9544" s="49" t="s">
        <v>780</v>
      </c>
      <c r="D9544" s="49">
        <v>0.0</v>
      </c>
    </row>
    <row r="9545" ht="15.0" hidden="1" customHeight="1">
      <c r="A9545" s="49" t="s">
        <v>226</v>
      </c>
      <c r="B9545" s="50">
        <v>45565.0</v>
      </c>
      <c r="C9545" s="49" t="s">
        <v>780</v>
      </c>
      <c r="D9545" s="49">
        <v>0.0</v>
      </c>
    </row>
    <row r="9546" ht="15.0" hidden="1" customHeight="1">
      <c r="A9546" s="49" t="s">
        <v>231</v>
      </c>
      <c r="B9546" s="50">
        <v>45565.0</v>
      </c>
      <c r="C9546" s="49" t="s">
        <v>780</v>
      </c>
      <c r="D9546" s="49">
        <v>0.0</v>
      </c>
    </row>
    <row r="9547" ht="15.0" hidden="1" customHeight="1">
      <c r="A9547" s="49" t="s">
        <v>236</v>
      </c>
      <c r="B9547" s="50">
        <v>45565.0</v>
      </c>
      <c r="C9547" s="49" t="s">
        <v>780</v>
      </c>
      <c r="D9547" s="49">
        <v>0.0</v>
      </c>
    </row>
    <row r="9548" ht="15.0" hidden="1" customHeight="1">
      <c r="A9548" s="49" t="s">
        <v>242</v>
      </c>
      <c r="B9548" s="50">
        <v>45565.0</v>
      </c>
      <c r="C9548" s="49" t="s">
        <v>780</v>
      </c>
      <c r="D9548" s="49">
        <v>-300000.0</v>
      </c>
    </row>
    <row r="9549" ht="15.0" hidden="1" customHeight="1">
      <c r="A9549" s="49" t="s">
        <v>248</v>
      </c>
      <c r="B9549" s="50">
        <v>45565.0</v>
      </c>
      <c r="C9549" s="49" t="s">
        <v>780</v>
      </c>
      <c r="D9549" s="49">
        <v>0.0</v>
      </c>
    </row>
    <row r="9550" ht="15.0" hidden="1" customHeight="1">
      <c r="A9550" s="49" t="s">
        <v>253</v>
      </c>
      <c r="B9550" s="50">
        <v>45565.0</v>
      </c>
      <c r="C9550" s="49" t="s">
        <v>780</v>
      </c>
      <c r="D9550" s="49">
        <v>0.0</v>
      </c>
    </row>
    <row r="9551" ht="15.0" hidden="1" customHeight="1">
      <c r="A9551" s="49" t="s">
        <v>258</v>
      </c>
      <c r="B9551" s="50">
        <v>45565.0</v>
      </c>
      <c r="C9551" s="49" t="s">
        <v>780</v>
      </c>
      <c r="D9551" s="49">
        <v>0.0</v>
      </c>
    </row>
    <row r="9552" ht="15.0" hidden="1" customHeight="1">
      <c r="A9552" s="49" t="s">
        <v>263</v>
      </c>
      <c r="B9552" s="50">
        <v>45565.0</v>
      </c>
      <c r="C9552" s="49" t="s">
        <v>780</v>
      </c>
      <c r="D9552" s="49">
        <v>0.0</v>
      </c>
    </row>
    <row r="9553" ht="15.0" hidden="1" customHeight="1">
      <c r="A9553" s="49" t="s">
        <v>268</v>
      </c>
      <c r="B9553" s="50">
        <v>45565.0</v>
      </c>
      <c r="C9553" s="49" t="s">
        <v>780</v>
      </c>
      <c r="D9553" s="49">
        <v>0.0</v>
      </c>
    </row>
    <row r="9554" ht="15.0" hidden="1" customHeight="1">
      <c r="A9554" s="49" t="s">
        <v>273</v>
      </c>
      <c r="B9554" s="50">
        <v>45565.0</v>
      </c>
      <c r="C9554" s="49" t="s">
        <v>780</v>
      </c>
      <c r="D9554" s="49">
        <v>0.0</v>
      </c>
    </row>
    <row r="9555" ht="15.0" hidden="1" customHeight="1">
      <c r="A9555" s="49" t="s">
        <v>278</v>
      </c>
      <c r="B9555" s="50">
        <v>45565.0</v>
      </c>
      <c r="C9555" s="49" t="s">
        <v>780</v>
      </c>
      <c r="D9555" s="49">
        <v>0.0</v>
      </c>
    </row>
    <row r="9556" ht="15.0" hidden="1" customHeight="1">
      <c r="A9556" s="49" t="s">
        <v>283</v>
      </c>
      <c r="B9556" s="50">
        <v>45565.0</v>
      </c>
      <c r="C9556" s="49" t="s">
        <v>780</v>
      </c>
      <c r="D9556" s="49">
        <v>0.0</v>
      </c>
    </row>
    <row r="9557" ht="15.0" hidden="1" customHeight="1">
      <c r="A9557" s="49" t="s">
        <v>288</v>
      </c>
      <c r="B9557" s="50">
        <v>45565.0</v>
      </c>
      <c r="C9557" s="49" t="s">
        <v>780</v>
      </c>
      <c r="D9557" s="49">
        <v>0.0</v>
      </c>
    </row>
    <row r="9558" ht="15.0" hidden="1" customHeight="1">
      <c r="A9558" s="49" t="s">
        <v>293</v>
      </c>
      <c r="B9558" s="50">
        <v>45565.0</v>
      </c>
      <c r="C9558" s="49" t="s">
        <v>780</v>
      </c>
      <c r="D9558" s="49">
        <v>0.0</v>
      </c>
    </row>
    <row r="9559" ht="15.0" hidden="1" customHeight="1">
      <c r="A9559" s="49" t="s">
        <v>298</v>
      </c>
      <c r="B9559" s="50">
        <v>45565.0</v>
      </c>
      <c r="C9559" s="49" t="s">
        <v>780</v>
      </c>
      <c r="D9559" s="49">
        <v>0.0</v>
      </c>
    </row>
    <row r="9560" ht="15.0" hidden="1" customHeight="1">
      <c r="A9560" s="49" t="s">
        <v>303</v>
      </c>
      <c r="B9560" s="50">
        <v>45565.0</v>
      </c>
      <c r="C9560" s="49" t="s">
        <v>780</v>
      </c>
      <c r="D9560" s="49">
        <v>0.0</v>
      </c>
    </row>
    <row r="9561" ht="15.0" hidden="1" customHeight="1">
      <c r="A9561" s="49" t="s">
        <v>307</v>
      </c>
      <c r="B9561" s="50">
        <v>45565.0</v>
      </c>
      <c r="C9561" s="49" t="s">
        <v>780</v>
      </c>
      <c r="D9561" s="49">
        <v>0.0</v>
      </c>
    </row>
    <row r="9562" ht="15.0" hidden="1" customHeight="1">
      <c r="A9562" s="49" t="s">
        <v>313</v>
      </c>
      <c r="B9562" s="50">
        <v>45565.0</v>
      </c>
      <c r="C9562" s="49" t="s">
        <v>780</v>
      </c>
      <c r="D9562" s="49">
        <v>0.0</v>
      </c>
    </row>
    <row r="9563" ht="15.0" hidden="1" customHeight="1">
      <c r="A9563" s="49" t="s">
        <v>318</v>
      </c>
      <c r="B9563" s="50">
        <v>45565.0</v>
      </c>
      <c r="C9563" s="49" t="s">
        <v>780</v>
      </c>
      <c r="D9563" s="49">
        <v>0.0</v>
      </c>
    </row>
    <row r="9564" ht="15.0" hidden="1" customHeight="1">
      <c r="A9564" s="49" t="s">
        <v>323</v>
      </c>
      <c r="B9564" s="50">
        <v>45565.0</v>
      </c>
      <c r="C9564" s="49" t="s">
        <v>780</v>
      </c>
      <c r="D9564" s="49">
        <v>0.0</v>
      </c>
    </row>
    <row r="9565" ht="15.0" hidden="1" customHeight="1">
      <c r="A9565" s="49" t="s">
        <v>328</v>
      </c>
      <c r="B9565" s="50">
        <v>45565.0</v>
      </c>
      <c r="C9565" s="49" t="s">
        <v>780</v>
      </c>
      <c r="D9565" s="49">
        <v>0.0</v>
      </c>
    </row>
    <row r="9566" ht="15.0" hidden="1" customHeight="1">
      <c r="A9566" s="49" t="s">
        <v>335</v>
      </c>
      <c r="B9566" s="50">
        <v>45565.0</v>
      </c>
      <c r="C9566" s="49" t="s">
        <v>780</v>
      </c>
      <c r="D9566" s="49">
        <v>0.0</v>
      </c>
    </row>
    <row r="9567" ht="15.0" hidden="1" customHeight="1">
      <c r="A9567" s="49" t="s">
        <v>340</v>
      </c>
      <c r="B9567" s="50">
        <v>45565.0</v>
      </c>
      <c r="C9567" s="49" t="s">
        <v>780</v>
      </c>
      <c r="D9567" s="49">
        <v>0.0</v>
      </c>
    </row>
    <row r="9568" ht="15.0" hidden="1" customHeight="1">
      <c r="A9568" s="49" t="s">
        <v>345</v>
      </c>
      <c r="B9568" s="50">
        <v>45565.0</v>
      </c>
      <c r="C9568" s="49" t="s">
        <v>780</v>
      </c>
      <c r="D9568" s="49">
        <v>0.0</v>
      </c>
    </row>
    <row r="9569" ht="15.0" hidden="1" customHeight="1">
      <c r="A9569" s="49" t="s">
        <v>350</v>
      </c>
      <c r="B9569" s="50">
        <v>45565.0</v>
      </c>
      <c r="C9569" s="49" t="s">
        <v>780</v>
      </c>
      <c r="D9569" s="49">
        <v>0.0</v>
      </c>
    </row>
    <row r="9570" ht="15.0" hidden="1" customHeight="1">
      <c r="A9570" s="49" t="s">
        <v>355</v>
      </c>
      <c r="B9570" s="50">
        <v>45565.0</v>
      </c>
      <c r="C9570" s="49" t="s">
        <v>780</v>
      </c>
      <c r="D9570" s="49">
        <v>0.0</v>
      </c>
    </row>
    <row r="9571" ht="15.0" hidden="1" customHeight="1">
      <c r="A9571" s="49" t="s">
        <v>360</v>
      </c>
      <c r="B9571" s="50">
        <v>45565.0</v>
      </c>
      <c r="C9571" s="49" t="s">
        <v>780</v>
      </c>
      <c r="D9571" s="49">
        <v>0.0</v>
      </c>
    </row>
    <row r="9572" ht="15.0" hidden="1" customHeight="1">
      <c r="A9572" s="49" t="s">
        <v>365</v>
      </c>
      <c r="B9572" s="50">
        <v>45565.0</v>
      </c>
      <c r="C9572" s="49" t="s">
        <v>780</v>
      </c>
      <c r="D9572" s="49">
        <v>-250000.0</v>
      </c>
    </row>
    <row r="9573" ht="15.0" hidden="1" customHeight="1">
      <c r="A9573" s="49" t="s">
        <v>370</v>
      </c>
      <c r="B9573" s="50">
        <v>45565.0</v>
      </c>
      <c r="C9573" s="49" t="s">
        <v>780</v>
      </c>
      <c r="D9573" s="49">
        <v>0.0</v>
      </c>
    </row>
    <row r="9574" ht="15.0" hidden="1" customHeight="1">
      <c r="A9574" s="49" t="s">
        <v>375</v>
      </c>
      <c r="B9574" s="50">
        <v>45565.0</v>
      </c>
      <c r="C9574" s="49" t="s">
        <v>780</v>
      </c>
      <c r="D9574" s="49">
        <v>-159582.65</v>
      </c>
    </row>
    <row r="9575" ht="15.0" hidden="1" customHeight="1">
      <c r="A9575" s="49" t="s">
        <v>380</v>
      </c>
      <c r="B9575" s="50">
        <v>45565.0</v>
      </c>
      <c r="C9575" s="49" t="s">
        <v>780</v>
      </c>
      <c r="D9575" s="49">
        <v>0.0</v>
      </c>
    </row>
    <row r="9576" ht="15.0" hidden="1" customHeight="1">
      <c r="A9576" s="49" t="s">
        <v>385</v>
      </c>
      <c r="B9576" s="50">
        <v>45565.0</v>
      </c>
      <c r="C9576" s="49" t="s">
        <v>780</v>
      </c>
      <c r="D9576" s="49">
        <v>0.0</v>
      </c>
    </row>
    <row r="9577" ht="15.0" hidden="1" customHeight="1">
      <c r="A9577" s="49" t="s">
        <v>390</v>
      </c>
      <c r="B9577" s="50">
        <v>45565.0</v>
      </c>
      <c r="C9577" s="49" t="s">
        <v>780</v>
      </c>
      <c r="D9577" s="49">
        <v>-1300000.0</v>
      </c>
    </row>
    <row r="9578" ht="15.0" hidden="1" customHeight="1">
      <c r="A9578" s="49" t="s">
        <v>395</v>
      </c>
      <c r="B9578" s="50">
        <v>45565.0</v>
      </c>
      <c r="C9578" s="49" t="s">
        <v>780</v>
      </c>
      <c r="D9578" s="49">
        <v>0.0</v>
      </c>
    </row>
    <row r="9579" ht="15.0" hidden="1" customHeight="1">
      <c r="A9579" s="49" t="s">
        <v>400</v>
      </c>
      <c r="B9579" s="50">
        <v>45565.0</v>
      </c>
      <c r="C9579" s="49" t="s">
        <v>780</v>
      </c>
      <c r="D9579" s="49">
        <v>-500000.0</v>
      </c>
    </row>
    <row r="9580" ht="15.0" hidden="1" customHeight="1">
      <c r="A9580" s="49" t="s">
        <v>405</v>
      </c>
      <c r="B9580" s="50">
        <v>45565.0</v>
      </c>
      <c r="C9580" s="49" t="s">
        <v>780</v>
      </c>
      <c r="D9580" s="49">
        <v>0.0</v>
      </c>
    </row>
    <row r="9581" ht="15.0" hidden="1" customHeight="1">
      <c r="A9581" s="49" t="s">
        <v>410</v>
      </c>
      <c r="B9581" s="50">
        <v>45565.0</v>
      </c>
      <c r="C9581" s="49" t="s">
        <v>780</v>
      </c>
      <c r="D9581" s="49">
        <v>0.0</v>
      </c>
    </row>
    <row r="9582" ht="15.0" hidden="1" customHeight="1">
      <c r="A9582" s="49" t="s">
        <v>415</v>
      </c>
      <c r="B9582" s="50">
        <v>45565.0</v>
      </c>
      <c r="C9582" s="49" t="s">
        <v>780</v>
      </c>
      <c r="D9582" s="49">
        <v>-400000.0</v>
      </c>
    </row>
    <row r="9583" ht="15.0" hidden="1" customHeight="1">
      <c r="A9583" s="49" t="s">
        <v>420</v>
      </c>
      <c r="B9583" s="50">
        <v>45565.0</v>
      </c>
      <c r="C9583" s="49" t="s">
        <v>780</v>
      </c>
      <c r="D9583" s="49">
        <v>0.0</v>
      </c>
    </row>
    <row r="9584" ht="15.0" hidden="1" customHeight="1">
      <c r="A9584" s="49" t="s">
        <v>425</v>
      </c>
      <c r="B9584" s="50">
        <v>45565.0</v>
      </c>
      <c r="C9584" s="49" t="s">
        <v>780</v>
      </c>
      <c r="D9584" s="49">
        <v>0.0</v>
      </c>
    </row>
    <row r="9585" ht="15.0" hidden="1" customHeight="1">
      <c r="A9585" s="49" t="s">
        <v>430</v>
      </c>
      <c r="B9585" s="50">
        <v>45565.0</v>
      </c>
      <c r="C9585" s="49" t="s">
        <v>780</v>
      </c>
      <c r="D9585" s="49">
        <v>-1500000.0</v>
      </c>
    </row>
    <row r="9586" ht="15.0" hidden="1" customHeight="1">
      <c r="A9586" s="49" t="s">
        <v>434</v>
      </c>
      <c r="B9586" s="50">
        <v>45565.0</v>
      </c>
      <c r="C9586" s="49" t="s">
        <v>780</v>
      </c>
      <c r="D9586" s="49">
        <v>-900000.0</v>
      </c>
    </row>
    <row r="9587" ht="15.0" hidden="1" customHeight="1">
      <c r="A9587" s="49" t="s">
        <v>439</v>
      </c>
      <c r="B9587" s="50">
        <v>45565.0</v>
      </c>
      <c r="C9587" s="49" t="s">
        <v>780</v>
      </c>
      <c r="D9587" s="49">
        <v>-350000.0</v>
      </c>
    </row>
    <row r="9588" ht="15.0" hidden="1" customHeight="1">
      <c r="A9588" s="49" t="s">
        <v>444</v>
      </c>
      <c r="B9588" s="50">
        <v>45565.0</v>
      </c>
      <c r="C9588" s="49" t="s">
        <v>780</v>
      </c>
      <c r="D9588" s="49">
        <v>-170000.0</v>
      </c>
    </row>
    <row r="9589" ht="15.0" hidden="1" customHeight="1">
      <c r="A9589" s="49" t="s">
        <v>449</v>
      </c>
      <c r="B9589" s="50">
        <v>45565.0</v>
      </c>
      <c r="C9589" s="49" t="s">
        <v>780</v>
      </c>
      <c r="D9589" s="49">
        <v>0.0</v>
      </c>
    </row>
    <row r="9590" ht="15.0" hidden="1" customHeight="1">
      <c r="A9590" s="49" t="s">
        <v>455</v>
      </c>
      <c r="B9590" s="50">
        <v>45565.0</v>
      </c>
      <c r="C9590" s="49" t="s">
        <v>780</v>
      </c>
      <c r="D9590" s="49">
        <v>-250000.0</v>
      </c>
    </row>
    <row r="9591" ht="15.0" hidden="1" customHeight="1">
      <c r="A9591" s="49" t="s">
        <v>470</v>
      </c>
      <c r="B9591" s="50">
        <v>45565.0</v>
      </c>
      <c r="C9591" s="49" t="s">
        <v>780</v>
      </c>
      <c r="D9591" s="49">
        <v>0.0</v>
      </c>
    </row>
    <row r="9592" ht="15.0" hidden="1" customHeight="1">
      <c r="A9592" s="49" t="s">
        <v>476</v>
      </c>
      <c r="B9592" s="50">
        <v>45565.0</v>
      </c>
      <c r="C9592" s="49" t="s">
        <v>780</v>
      </c>
      <c r="D9592" s="49">
        <v>-500000.0</v>
      </c>
    </row>
    <row r="9593" ht="15.0" hidden="1" customHeight="1">
      <c r="A9593" s="49" t="s">
        <v>481</v>
      </c>
      <c r="B9593" s="50">
        <v>45565.0</v>
      </c>
      <c r="C9593" s="49" t="s">
        <v>780</v>
      </c>
      <c r="D9593" s="49">
        <v>-20000.0</v>
      </c>
    </row>
    <row r="9594" ht="15.0" hidden="1" customHeight="1">
      <c r="A9594" s="49" t="s">
        <v>486</v>
      </c>
      <c r="B9594" s="50">
        <v>45565.0</v>
      </c>
      <c r="C9594" s="49" t="s">
        <v>780</v>
      </c>
      <c r="D9594" s="49">
        <v>0.0</v>
      </c>
    </row>
    <row r="9595" ht="15.0" hidden="1" customHeight="1">
      <c r="A9595" s="49" t="s">
        <v>491</v>
      </c>
      <c r="B9595" s="50">
        <v>45565.0</v>
      </c>
      <c r="C9595" s="49" t="s">
        <v>780</v>
      </c>
      <c r="D9595" s="49">
        <v>-150000.0</v>
      </c>
    </row>
    <row r="9596" ht="15.0" hidden="1" customHeight="1">
      <c r="A9596" s="49" t="s">
        <v>496</v>
      </c>
      <c r="B9596" s="50">
        <v>45565.0</v>
      </c>
      <c r="C9596" s="49" t="s">
        <v>780</v>
      </c>
      <c r="D9596" s="49">
        <v>-840310.0</v>
      </c>
    </row>
    <row r="9597" ht="15.0" hidden="1" customHeight="1">
      <c r="A9597" s="49" t="s">
        <v>501</v>
      </c>
      <c r="B9597" s="50">
        <v>45565.0</v>
      </c>
      <c r="C9597" s="49" t="s">
        <v>780</v>
      </c>
      <c r="D9597" s="49">
        <v>-25000.0</v>
      </c>
    </row>
    <row r="9598" ht="15.0" hidden="1" customHeight="1">
      <c r="A9598" s="49" t="s">
        <v>506</v>
      </c>
      <c r="B9598" s="50">
        <v>45565.0</v>
      </c>
      <c r="C9598" s="49" t="s">
        <v>780</v>
      </c>
      <c r="D9598" s="49">
        <v>-75000.0</v>
      </c>
    </row>
    <row r="9599" ht="15.0" hidden="1" customHeight="1">
      <c r="A9599" s="49" t="s">
        <v>512</v>
      </c>
      <c r="B9599" s="50">
        <v>45565.0</v>
      </c>
      <c r="C9599" s="49" t="s">
        <v>780</v>
      </c>
      <c r="D9599" s="49">
        <v>-100000.0</v>
      </c>
    </row>
    <row r="9600" ht="15.0" hidden="1" customHeight="1">
      <c r="A9600" s="49" t="s">
        <v>517</v>
      </c>
      <c r="B9600" s="50">
        <v>45565.0</v>
      </c>
      <c r="C9600" s="49" t="s">
        <v>780</v>
      </c>
      <c r="D9600" s="49">
        <v>-300000.0</v>
      </c>
    </row>
    <row r="9601" ht="15.0" hidden="1" customHeight="1">
      <c r="A9601" s="49" t="s">
        <v>522</v>
      </c>
      <c r="B9601" s="50">
        <v>45565.0</v>
      </c>
      <c r="C9601" s="49" t="s">
        <v>780</v>
      </c>
      <c r="D9601" s="49">
        <v>-100000.0</v>
      </c>
    </row>
    <row r="9602" ht="15.0" hidden="1" customHeight="1">
      <c r="A9602" s="49" t="s">
        <v>528</v>
      </c>
      <c r="B9602" s="50">
        <v>45565.0</v>
      </c>
      <c r="C9602" s="49" t="s">
        <v>780</v>
      </c>
      <c r="D9602" s="49">
        <v>-200000.0</v>
      </c>
    </row>
    <row r="9603" ht="15.0" hidden="1" customHeight="1">
      <c r="A9603" s="49" t="s">
        <v>533</v>
      </c>
      <c r="B9603" s="50">
        <v>45565.0</v>
      </c>
      <c r="C9603" s="49" t="s">
        <v>780</v>
      </c>
      <c r="D9603" s="49">
        <v>-250000.0</v>
      </c>
    </row>
    <row r="9604" ht="15.0" hidden="1" customHeight="1">
      <c r="A9604" s="49" t="s">
        <v>538</v>
      </c>
      <c r="B9604" s="50">
        <v>45565.0</v>
      </c>
      <c r="C9604" s="49" t="s">
        <v>780</v>
      </c>
      <c r="D9604" s="49">
        <v>-472232.0</v>
      </c>
    </row>
    <row r="9605" ht="15.0" hidden="1" customHeight="1">
      <c r="A9605" s="49" t="s">
        <v>546</v>
      </c>
      <c r="B9605" s="50">
        <v>45565.0</v>
      </c>
      <c r="C9605" s="49" t="s">
        <v>780</v>
      </c>
      <c r="D9605" s="49">
        <v>0.0</v>
      </c>
    </row>
    <row r="9606" ht="15.0" hidden="1" customHeight="1">
      <c r="A9606" s="49" t="s">
        <v>551</v>
      </c>
      <c r="B9606" s="50">
        <v>45565.0</v>
      </c>
      <c r="C9606" s="49" t="s">
        <v>780</v>
      </c>
      <c r="D9606" s="49">
        <v>0.0</v>
      </c>
    </row>
    <row r="9607" ht="15.0" hidden="1" customHeight="1">
      <c r="A9607" s="49" t="s">
        <v>556</v>
      </c>
      <c r="B9607" s="50">
        <v>45565.0</v>
      </c>
      <c r="C9607" s="49" t="s">
        <v>780</v>
      </c>
      <c r="D9607" s="49">
        <v>500000.0</v>
      </c>
    </row>
    <row r="9608" ht="15.0" hidden="1" customHeight="1">
      <c r="A9608" s="49" t="s">
        <v>561</v>
      </c>
      <c r="B9608" s="50">
        <v>45565.0</v>
      </c>
      <c r="C9608" s="49" t="s">
        <v>780</v>
      </c>
      <c r="D9608" s="49">
        <v>600000.0</v>
      </c>
    </row>
    <row r="9609" ht="15.0" hidden="1" customHeight="1">
      <c r="A9609" s="49" t="s">
        <v>566</v>
      </c>
      <c r="B9609" s="50">
        <v>45565.0</v>
      </c>
      <c r="C9609" s="49" t="s">
        <v>780</v>
      </c>
      <c r="D9609" s="49">
        <v>0.0</v>
      </c>
    </row>
    <row r="9610" ht="15.0" hidden="1" customHeight="1">
      <c r="A9610" s="49" t="s">
        <v>571</v>
      </c>
      <c r="B9610" s="50">
        <v>45565.0</v>
      </c>
      <c r="C9610" s="49" t="s">
        <v>780</v>
      </c>
      <c r="D9610" s="49">
        <v>3500000.0</v>
      </c>
    </row>
    <row r="9611" ht="15.0" hidden="1" customHeight="1">
      <c r="A9611" s="49" t="s">
        <v>576</v>
      </c>
      <c r="B9611" s="50">
        <v>45565.0</v>
      </c>
      <c r="C9611" s="49" t="s">
        <v>780</v>
      </c>
      <c r="D9611" s="49">
        <v>0.0</v>
      </c>
    </row>
    <row r="9612" ht="15.0" hidden="1" customHeight="1">
      <c r="A9612" s="49" t="s">
        <v>581</v>
      </c>
      <c r="B9612" s="50">
        <v>45565.0</v>
      </c>
      <c r="C9612" s="49" t="s">
        <v>780</v>
      </c>
      <c r="D9612" s="49">
        <v>180000.0</v>
      </c>
    </row>
    <row r="9613" ht="15.0" hidden="1" customHeight="1">
      <c r="A9613" s="49" t="s">
        <v>586</v>
      </c>
      <c r="B9613" s="50">
        <v>45565.0</v>
      </c>
      <c r="C9613" s="49" t="s">
        <v>780</v>
      </c>
      <c r="D9613" s="49">
        <v>9068273.0</v>
      </c>
    </row>
    <row r="9614" ht="15.0" hidden="1" customHeight="1">
      <c r="A9614" s="49" t="s">
        <v>754</v>
      </c>
      <c r="B9614" s="50">
        <v>45565.0</v>
      </c>
      <c r="C9614" s="49" t="s">
        <v>780</v>
      </c>
      <c r="D9614" s="49">
        <v>588627.0</v>
      </c>
    </row>
    <row r="9615" ht="15.0" hidden="1" customHeight="1">
      <c r="A9615" s="49" t="s">
        <v>591</v>
      </c>
      <c r="B9615" s="50">
        <v>45565.0</v>
      </c>
      <c r="C9615" s="49" t="s">
        <v>780</v>
      </c>
      <c r="D9615" s="49">
        <v>0.0</v>
      </c>
    </row>
    <row r="9616" ht="15.0" hidden="1" customHeight="1">
      <c r="A9616" s="49" t="s">
        <v>759</v>
      </c>
      <c r="B9616" s="50">
        <v>45565.0</v>
      </c>
      <c r="C9616" s="49" t="s">
        <v>780</v>
      </c>
      <c r="D9616" s="49">
        <v>0.0</v>
      </c>
    </row>
    <row r="9617" ht="15.0" hidden="1" customHeight="1">
      <c r="A9617" s="49" t="s">
        <v>596</v>
      </c>
      <c r="B9617" s="50">
        <v>45565.0</v>
      </c>
      <c r="C9617" s="49" t="s">
        <v>780</v>
      </c>
      <c r="D9617" s="49">
        <v>0.0</v>
      </c>
    </row>
    <row r="9618" ht="15.0" hidden="1" customHeight="1">
      <c r="A9618" s="49" t="s">
        <v>602</v>
      </c>
      <c r="B9618" s="50">
        <v>45565.0</v>
      </c>
      <c r="C9618" s="49" t="s">
        <v>780</v>
      </c>
      <c r="D9618" s="49">
        <v>0.0</v>
      </c>
    </row>
    <row r="9619" ht="15.0" hidden="1" customHeight="1">
      <c r="A9619" s="49" t="s">
        <v>607</v>
      </c>
      <c r="B9619" s="50">
        <v>45565.0</v>
      </c>
      <c r="C9619" s="49" t="s">
        <v>780</v>
      </c>
      <c r="D9619" s="49">
        <v>0.0</v>
      </c>
    </row>
    <row r="9620" ht="15.0" hidden="1" customHeight="1">
      <c r="A9620" s="49" t="s">
        <v>612</v>
      </c>
      <c r="B9620" s="50">
        <v>45565.0</v>
      </c>
      <c r="C9620" s="49" t="s">
        <v>780</v>
      </c>
      <c r="D9620" s="49">
        <v>0.0</v>
      </c>
    </row>
    <row r="9621" ht="15.0" hidden="1" customHeight="1">
      <c r="A9621" s="49" t="s">
        <v>617</v>
      </c>
      <c r="B9621" s="50">
        <v>45565.0</v>
      </c>
      <c r="C9621" s="49" t="s">
        <v>780</v>
      </c>
      <c r="D9621" s="49">
        <v>0.0</v>
      </c>
    </row>
    <row r="9622" ht="15.0" hidden="1" customHeight="1">
      <c r="A9622" s="49" t="s">
        <v>622</v>
      </c>
      <c r="B9622" s="50">
        <v>45565.0</v>
      </c>
      <c r="C9622" s="49" t="s">
        <v>780</v>
      </c>
      <c r="D9622" s="49">
        <v>0.0</v>
      </c>
    </row>
    <row r="9623" ht="15.0" hidden="1" customHeight="1">
      <c r="A9623" s="49" t="s">
        <v>627</v>
      </c>
      <c r="B9623" s="50">
        <v>45565.0</v>
      </c>
      <c r="C9623" s="49" t="s">
        <v>780</v>
      </c>
      <c r="D9623" s="49">
        <v>0.0</v>
      </c>
    </row>
    <row r="9624" ht="15.0" hidden="1" customHeight="1">
      <c r="A9624" s="49" t="s">
        <v>631</v>
      </c>
      <c r="B9624" s="50">
        <v>45565.0</v>
      </c>
      <c r="C9624" s="49" t="s">
        <v>780</v>
      </c>
      <c r="D9624" s="49">
        <v>0.0</v>
      </c>
    </row>
    <row r="9625" ht="15.0" hidden="1" customHeight="1">
      <c r="A9625" s="49" t="s">
        <v>636</v>
      </c>
      <c r="B9625" s="50">
        <v>45565.0</v>
      </c>
      <c r="C9625" s="49" t="s">
        <v>780</v>
      </c>
      <c r="D9625" s="49">
        <v>0.0</v>
      </c>
    </row>
    <row r="9626" ht="15.0" hidden="1" customHeight="1">
      <c r="A9626" s="49" t="s">
        <v>640</v>
      </c>
      <c r="B9626" s="50">
        <v>45565.0</v>
      </c>
      <c r="C9626" s="49" t="s">
        <v>780</v>
      </c>
      <c r="D9626" s="49">
        <v>0.0</v>
      </c>
    </row>
    <row r="9627" ht="15.0" hidden="1" customHeight="1">
      <c r="A9627" s="49" t="s">
        <v>644</v>
      </c>
      <c r="B9627" s="50">
        <v>45565.0</v>
      </c>
      <c r="C9627" s="49" t="s">
        <v>780</v>
      </c>
      <c r="D9627" s="49">
        <v>0.0</v>
      </c>
    </row>
    <row r="9628" ht="15.0" hidden="1" customHeight="1">
      <c r="A9628" s="49" t="s">
        <v>649</v>
      </c>
      <c r="B9628" s="50">
        <v>45565.0</v>
      </c>
      <c r="C9628" s="49" t="s">
        <v>780</v>
      </c>
      <c r="D9628" s="49">
        <v>0.0</v>
      </c>
    </row>
    <row r="9629" ht="15.0" hidden="1" customHeight="1">
      <c r="A9629" s="49" t="s">
        <v>654</v>
      </c>
      <c r="B9629" s="50">
        <v>45565.0</v>
      </c>
      <c r="C9629" s="49" t="s">
        <v>780</v>
      </c>
      <c r="D9629" s="49">
        <v>0.0</v>
      </c>
    </row>
    <row r="9630" ht="15.0" hidden="1" customHeight="1">
      <c r="A9630" s="49" t="s">
        <v>659</v>
      </c>
      <c r="B9630" s="50">
        <v>45565.0</v>
      </c>
      <c r="C9630" s="49" t="s">
        <v>780</v>
      </c>
      <c r="D9630" s="49">
        <v>0.0</v>
      </c>
    </row>
    <row r="9631" ht="15.0" hidden="1" customHeight="1">
      <c r="A9631" s="49" t="s">
        <v>664</v>
      </c>
      <c r="B9631" s="50">
        <v>45565.0</v>
      </c>
      <c r="C9631" s="49" t="s">
        <v>780</v>
      </c>
      <c r="D9631" s="49">
        <v>0.0</v>
      </c>
    </row>
    <row r="9632" ht="15.0" hidden="1" customHeight="1">
      <c r="A9632" s="49" t="s">
        <v>669</v>
      </c>
      <c r="B9632" s="50">
        <v>45565.0</v>
      </c>
      <c r="C9632" s="49" t="s">
        <v>780</v>
      </c>
      <c r="D9632" s="49">
        <v>0.0</v>
      </c>
    </row>
    <row r="9633" ht="15.0" hidden="1" customHeight="1">
      <c r="A9633" s="49" t="s">
        <v>674</v>
      </c>
      <c r="B9633" s="50">
        <v>45565.0</v>
      </c>
      <c r="C9633" s="49" t="s">
        <v>780</v>
      </c>
      <c r="D9633" s="49">
        <v>0.0</v>
      </c>
    </row>
    <row r="9634" ht="15.0" hidden="1" customHeight="1">
      <c r="A9634" s="49" t="s">
        <v>679</v>
      </c>
      <c r="B9634" s="50">
        <v>45565.0</v>
      </c>
      <c r="C9634" s="49" t="s">
        <v>780</v>
      </c>
      <c r="D9634" s="49">
        <v>0.0</v>
      </c>
    </row>
    <row r="9635" ht="15.0" hidden="1" customHeight="1">
      <c r="A9635" s="49" t="s">
        <v>684</v>
      </c>
      <c r="B9635" s="50">
        <v>45565.0</v>
      </c>
      <c r="C9635" s="49" t="s">
        <v>780</v>
      </c>
      <c r="D9635" s="49">
        <v>0.0</v>
      </c>
    </row>
    <row r="9636" ht="15.0" hidden="1" customHeight="1">
      <c r="A9636" s="49" t="s">
        <v>689</v>
      </c>
      <c r="B9636" s="50">
        <v>45565.0</v>
      </c>
      <c r="C9636" s="49" t="s">
        <v>780</v>
      </c>
      <c r="D9636" s="49">
        <v>0.0</v>
      </c>
    </row>
    <row r="9637" ht="15.0" hidden="1" customHeight="1">
      <c r="A9637" s="49" t="s">
        <v>694</v>
      </c>
      <c r="B9637" s="50">
        <v>45565.0</v>
      </c>
      <c r="C9637" s="49" t="s">
        <v>780</v>
      </c>
      <c r="D9637" s="49">
        <v>0.0</v>
      </c>
    </row>
    <row r="9638" ht="15.0" hidden="1" customHeight="1">
      <c r="A9638" s="49" t="s">
        <v>699</v>
      </c>
      <c r="B9638" s="50">
        <v>45565.0</v>
      </c>
      <c r="C9638" s="49" t="s">
        <v>780</v>
      </c>
      <c r="D9638" s="49">
        <v>0.0</v>
      </c>
    </row>
    <row r="9639" ht="15.0" hidden="1" customHeight="1">
      <c r="A9639" s="49" t="s">
        <v>705</v>
      </c>
      <c r="B9639" s="50">
        <v>45565.0</v>
      </c>
      <c r="C9639" s="49" t="s">
        <v>780</v>
      </c>
      <c r="D9639" s="49">
        <v>0.0</v>
      </c>
    </row>
    <row r="9640" ht="15.0" hidden="1" customHeight="1">
      <c r="A9640" s="49" t="s">
        <v>710</v>
      </c>
      <c r="B9640" s="50">
        <v>45565.0</v>
      </c>
      <c r="C9640" s="49" t="s">
        <v>780</v>
      </c>
      <c r="D9640" s="49">
        <v>0.0</v>
      </c>
    </row>
    <row r="9641" ht="15.0" hidden="1" customHeight="1">
      <c r="A9641" s="49" t="s">
        <v>715</v>
      </c>
      <c r="B9641" s="50">
        <v>45565.0</v>
      </c>
      <c r="C9641" s="49" t="s">
        <v>780</v>
      </c>
      <c r="D9641" s="49">
        <v>0.0</v>
      </c>
    </row>
    <row r="9642" ht="15.0" hidden="1" customHeight="1">
      <c r="A9642" s="49" t="s">
        <v>765</v>
      </c>
      <c r="B9642" s="50">
        <v>45565.0</v>
      </c>
      <c r="C9642" s="49" t="s">
        <v>780</v>
      </c>
      <c r="D9642" s="49">
        <v>0.0</v>
      </c>
    </row>
    <row r="9643" ht="15.0" hidden="1" customHeight="1">
      <c r="A9643" s="49" t="s">
        <v>720</v>
      </c>
      <c r="B9643" s="50">
        <v>45565.0</v>
      </c>
      <c r="C9643" s="49" t="s">
        <v>780</v>
      </c>
      <c r="D9643" s="49">
        <v>0.0</v>
      </c>
    </row>
    <row r="9644" ht="15.0" hidden="1" customHeight="1">
      <c r="A9644" s="49" t="s">
        <v>725</v>
      </c>
      <c r="B9644" s="50">
        <v>45565.0</v>
      </c>
      <c r="C9644" s="49" t="s">
        <v>780</v>
      </c>
      <c r="D9644" s="49">
        <v>0.0</v>
      </c>
    </row>
    <row r="9645" ht="15.0" hidden="1" customHeight="1">
      <c r="A9645" s="49" t="s">
        <v>730</v>
      </c>
      <c r="B9645" s="50">
        <v>45565.0</v>
      </c>
      <c r="C9645" s="49" t="s">
        <v>780</v>
      </c>
      <c r="D9645" s="49">
        <v>0.0</v>
      </c>
    </row>
    <row r="9646" ht="15.0" hidden="1" customHeight="1">
      <c r="A9646" s="49" t="s">
        <v>734</v>
      </c>
      <c r="B9646" s="50">
        <v>45565.0</v>
      </c>
      <c r="C9646" s="49" t="s">
        <v>780</v>
      </c>
      <c r="D9646" s="49">
        <v>0.0</v>
      </c>
    </row>
    <row r="9647" ht="15.0" hidden="1" customHeight="1">
      <c r="A9647" s="49" t="s">
        <v>739</v>
      </c>
      <c r="B9647" s="50">
        <v>45565.0</v>
      </c>
      <c r="C9647" s="49" t="s">
        <v>780</v>
      </c>
      <c r="D9647" s="49">
        <v>0.0</v>
      </c>
    </row>
    <row r="9648" ht="15.0" hidden="1" customHeight="1">
      <c r="A9648" s="49" t="s">
        <v>744</v>
      </c>
      <c r="B9648" s="50">
        <v>45565.0</v>
      </c>
      <c r="C9648" s="49" t="s">
        <v>780</v>
      </c>
      <c r="D9648" s="49">
        <v>0.0</v>
      </c>
    </row>
    <row r="9649" ht="15.0" hidden="1" customHeight="1">
      <c r="A9649" s="49" t="s">
        <v>749</v>
      </c>
      <c r="B9649" s="50">
        <v>45565.0</v>
      </c>
      <c r="C9649" s="49" t="s">
        <v>780</v>
      </c>
      <c r="D9649" s="49">
        <v>0.0</v>
      </c>
    </row>
    <row r="9650" ht="15.0" customHeight="1">
      <c r="A9650" s="49" t="s">
        <v>776</v>
      </c>
      <c r="B9650" s="50">
        <v>45657.0</v>
      </c>
      <c r="C9650" s="49" t="s">
        <v>777</v>
      </c>
      <c r="D9650" s="49">
        <v>0.0</v>
      </c>
    </row>
    <row r="9651" ht="15.0" hidden="1" customHeight="1">
      <c r="A9651" s="49" t="s">
        <v>778</v>
      </c>
      <c r="B9651" s="50">
        <v>45657.0</v>
      </c>
      <c r="C9651" s="49" t="s">
        <v>777</v>
      </c>
      <c r="D9651" s="49">
        <v>0.0</v>
      </c>
    </row>
    <row r="9652" ht="15.0" hidden="1" customHeight="1">
      <c r="A9652" s="49" t="s">
        <v>92</v>
      </c>
      <c r="B9652" s="50">
        <v>45657.0</v>
      </c>
      <c r="C9652" s="49" t="s">
        <v>777</v>
      </c>
      <c r="D9652" s="49">
        <v>0.0</v>
      </c>
    </row>
    <row r="9653" ht="15.0" hidden="1" customHeight="1">
      <c r="A9653" s="49" t="s">
        <v>97</v>
      </c>
      <c r="B9653" s="50">
        <v>45657.0</v>
      </c>
      <c r="C9653" s="49" t="s">
        <v>777</v>
      </c>
      <c r="D9653" s="49">
        <v>0.0</v>
      </c>
    </row>
    <row r="9654" ht="15.0" hidden="1" customHeight="1">
      <c r="A9654" s="49" t="s">
        <v>102</v>
      </c>
      <c r="B9654" s="50">
        <v>45657.0</v>
      </c>
      <c r="C9654" s="49" t="s">
        <v>777</v>
      </c>
      <c r="D9654" s="49">
        <v>0.0</v>
      </c>
    </row>
    <row r="9655" ht="15.0" hidden="1" customHeight="1">
      <c r="A9655" s="49" t="s">
        <v>106</v>
      </c>
      <c r="B9655" s="50">
        <v>45657.0</v>
      </c>
      <c r="C9655" s="49" t="s">
        <v>777</v>
      </c>
      <c r="D9655" s="49">
        <v>0.0</v>
      </c>
    </row>
    <row r="9656" ht="15.0" hidden="1" customHeight="1">
      <c r="A9656" s="49" t="s">
        <v>111</v>
      </c>
      <c r="B9656" s="50">
        <v>45657.0</v>
      </c>
      <c r="C9656" s="49" t="s">
        <v>777</v>
      </c>
      <c r="D9656" s="49">
        <v>0.0</v>
      </c>
    </row>
    <row r="9657" ht="15.0" hidden="1" customHeight="1">
      <c r="A9657" s="49" t="s">
        <v>116</v>
      </c>
      <c r="B9657" s="50">
        <v>45657.0</v>
      </c>
      <c r="C9657" s="49" t="s">
        <v>777</v>
      </c>
      <c r="D9657" s="49">
        <v>0.0</v>
      </c>
    </row>
    <row r="9658" ht="15.0" hidden="1" customHeight="1">
      <c r="A9658" s="49" t="s">
        <v>120</v>
      </c>
      <c r="B9658" s="50">
        <v>45657.0</v>
      </c>
      <c r="C9658" s="49" t="s">
        <v>777</v>
      </c>
      <c r="D9658" s="49">
        <v>0.0</v>
      </c>
    </row>
    <row r="9659" ht="15.0" hidden="1" customHeight="1">
      <c r="A9659" s="49" t="s">
        <v>125</v>
      </c>
      <c r="B9659" s="50">
        <v>45657.0</v>
      </c>
      <c r="C9659" s="49" t="s">
        <v>777</v>
      </c>
      <c r="D9659" s="49">
        <v>0.0</v>
      </c>
    </row>
    <row r="9660" ht="15.0" hidden="1" customHeight="1">
      <c r="A9660" s="49" t="s">
        <v>130</v>
      </c>
      <c r="B9660" s="50">
        <v>45657.0</v>
      </c>
      <c r="C9660" s="49" t="s">
        <v>777</v>
      </c>
      <c r="D9660" s="49">
        <v>0.0</v>
      </c>
    </row>
    <row r="9661" ht="15.0" hidden="1" customHeight="1">
      <c r="A9661" s="49" t="s">
        <v>137</v>
      </c>
      <c r="B9661" s="50">
        <v>45657.0</v>
      </c>
      <c r="C9661" s="49" t="s">
        <v>777</v>
      </c>
      <c r="D9661" s="49">
        <v>0.0</v>
      </c>
    </row>
    <row r="9662" ht="15.0" hidden="1" customHeight="1">
      <c r="A9662" s="49" t="s">
        <v>142</v>
      </c>
      <c r="B9662" s="50">
        <v>45657.0</v>
      </c>
      <c r="C9662" s="49" t="s">
        <v>777</v>
      </c>
      <c r="D9662" s="49">
        <v>0.0</v>
      </c>
    </row>
    <row r="9663" ht="15.0" hidden="1" customHeight="1">
      <c r="A9663" s="49" t="s">
        <v>147</v>
      </c>
      <c r="B9663" s="50">
        <v>45657.0</v>
      </c>
      <c r="C9663" s="49" t="s">
        <v>777</v>
      </c>
      <c r="D9663" s="49">
        <v>0.0</v>
      </c>
    </row>
    <row r="9664" ht="15.0" hidden="1" customHeight="1">
      <c r="A9664" s="49" t="s">
        <v>152</v>
      </c>
      <c r="B9664" s="50">
        <v>45657.0</v>
      </c>
      <c r="C9664" s="49" t="s">
        <v>777</v>
      </c>
      <c r="D9664" s="49">
        <v>0.0</v>
      </c>
    </row>
    <row r="9665" ht="15.0" hidden="1" customHeight="1">
      <c r="A9665" s="49" t="s">
        <v>157</v>
      </c>
      <c r="B9665" s="50">
        <v>45657.0</v>
      </c>
      <c r="C9665" s="49" t="s">
        <v>777</v>
      </c>
      <c r="D9665" s="49">
        <v>0.0</v>
      </c>
    </row>
    <row r="9666" ht="15.0" hidden="1" customHeight="1">
      <c r="A9666" s="49" t="s">
        <v>162</v>
      </c>
      <c r="B9666" s="50">
        <v>45657.0</v>
      </c>
      <c r="C9666" s="49" t="s">
        <v>777</v>
      </c>
      <c r="D9666" s="49">
        <v>0.0</v>
      </c>
    </row>
    <row r="9667" ht="15.0" hidden="1" customHeight="1">
      <c r="A9667" s="49" t="s">
        <v>167</v>
      </c>
      <c r="B9667" s="50">
        <v>45657.0</v>
      </c>
      <c r="C9667" s="49" t="s">
        <v>777</v>
      </c>
      <c r="D9667" s="49">
        <v>0.0</v>
      </c>
    </row>
    <row r="9668" ht="15.0" hidden="1" customHeight="1">
      <c r="A9668" s="49" t="s">
        <v>172</v>
      </c>
      <c r="B9668" s="50">
        <v>45657.0</v>
      </c>
      <c r="C9668" s="49" t="s">
        <v>777</v>
      </c>
      <c r="D9668" s="49">
        <v>0.0</v>
      </c>
    </row>
    <row r="9669" ht="15.0" hidden="1" customHeight="1">
      <c r="A9669" s="49" t="s">
        <v>177</v>
      </c>
      <c r="B9669" s="50">
        <v>45657.0</v>
      </c>
      <c r="C9669" s="49" t="s">
        <v>777</v>
      </c>
      <c r="D9669" s="49">
        <v>0.0</v>
      </c>
    </row>
    <row r="9670" ht="15.0" hidden="1" customHeight="1">
      <c r="A9670" s="49" t="s">
        <v>182</v>
      </c>
      <c r="B9670" s="50">
        <v>45657.0</v>
      </c>
      <c r="C9670" s="49" t="s">
        <v>777</v>
      </c>
      <c r="D9670" s="49">
        <v>0.0</v>
      </c>
    </row>
    <row r="9671" ht="15.0" hidden="1" customHeight="1">
      <c r="A9671" s="49" t="s">
        <v>187</v>
      </c>
      <c r="B9671" s="50">
        <v>45657.0</v>
      </c>
      <c r="C9671" s="49" t="s">
        <v>777</v>
      </c>
      <c r="D9671" s="49">
        <v>0.0</v>
      </c>
    </row>
    <row r="9672" ht="15.0" hidden="1" customHeight="1">
      <c r="A9672" s="49" t="s">
        <v>192</v>
      </c>
      <c r="B9672" s="50">
        <v>45657.0</v>
      </c>
      <c r="C9672" s="49" t="s">
        <v>777</v>
      </c>
      <c r="D9672" s="49">
        <v>0.0</v>
      </c>
    </row>
    <row r="9673" ht="15.0" hidden="1" customHeight="1">
      <c r="A9673" s="49" t="s">
        <v>197</v>
      </c>
      <c r="B9673" s="50">
        <v>45657.0</v>
      </c>
      <c r="C9673" s="49" t="s">
        <v>777</v>
      </c>
      <c r="D9673" s="49">
        <v>0.0</v>
      </c>
    </row>
    <row r="9674" ht="15.0" hidden="1" customHeight="1">
      <c r="A9674" s="49" t="s">
        <v>202</v>
      </c>
      <c r="B9674" s="50">
        <v>45657.0</v>
      </c>
      <c r="C9674" s="49" t="s">
        <v>777</v>
      </c>
      <c r="D9674" s="49">
        <v>0.0</v>
      </c>
    </row>
    <row r="9675" ht="15.0" hidden="1" customHeight="1">
      <c r="A9675" s="49" t="s">
        <v>206</v>
      </c>
      <c r="B9675" s="50">
        <v>45657.0</v>
      </c>
      <c r="C9675" s="49" t="s">
        <v>777</v>
      </c>
      <c r="D9675" s="49">
        <v>0.0</v>
      </c>
    </row>
    <row r="9676" ht="15.0" hidden="1" customHeight="1">
      <c r="A9676" s="49" t="s">
        <v>211</v>
      </c>
      <c r="B9676" s="50">
        <v>45657.0</v>
      </c>
      <c r="C9676" s="49" t="s">
        <v>777</v>
      </c>
      <c r="D9676" s="49">
        <v>0.0</v>
      </c>
    </row>
    <row r="9677" ht="15.0" hidden="1" customHeight="1">
      <c r="A9677" s="49" t="s">
        <v>779</v>
      </c>
      <c r="B9677" s="50">
        <v>45657.0</v>
      </c>
      <c r="C9677" s="49" t="s">
        <v>777</v>
      </c>
      <c r="D9677" s="49">
        <v>0.0</v>
      </c>
    </row>
    <row r="9678" ht="15.0" hidden="1" customHeight="1">
      <c r="A9678" s="49" t="s">
        <v>221</v>
      </c>
      <c r="B9678" s="50">
        <v>45657.0</v>
      </c>
      <c r="C9678" s="49" t="s">
        <v>777</v>
      </c>
      <c r="D9678" s="49">
        <v>0.0</v>
      </c>
    </row>
    <row r="9679" ht="15.0" hidden="1" customHeight="1">
      <c r="A9679" s="49" t="s">
        <v>226</v>
      </c>
      <c r="B9679" s="50">
        <v>45657.0</v>
      </c>
      <c r="C9679" s="49" t="s">
        <v>777</v>
      </c>
      <c r="D9679" s="49">
        <v>0.0</v>
      </c>
    </row>
    <row r="9680" ht="15.0" hidden="1" customHeight="1">
      <c r="A9680" s="49" t="s">
        <v>231</v>
      </c>
      <c r="B9680" s="50">
        <v>45657.0</v>
      </c>
      <c r="C9680" s="49" t="s">
        <v>777</v>
      </c>
      <c r="D9680" s="49">
        <v>0.0</v>
      </c>
    </row>
    <row r="9681" ht="15.0" hidden="1" customHeight="1">
      <c r="A9681" s="49" t="s">
        <v>236</v>
      </c>
      <c r="B9681" s="50">
        <v>45657.0</v>
      </c>
      <c r="C9681" s="49" t="s">
        <v>777</v>
      </c>
      <c r="D9681" s="49">
        <v>0.0</v>
      </c>
    </row>
    <row r="9682" ht="15.0" hidden="1" customHeight="1">
      <c r="A9682" s="49" t="s">
        <v>242</v>
      </c>
      <c r="B9682" s="50">
        <v>45657.0</v>
      </c>
      <c r="C9682" s="49" t="s">
        <v>777</v>
      </c>
      <c r="D9682" s="49">
        <v>0.0</v>
      </c>
    </row>
    <row r="9683" ht="15.0" hidden="1" customHeight="1">
      <c r="A9683" s="49" t="s">
        <v>248</v>
      </c>
      <c r="B9683" s="50">
        <v>45657.0</v>
      </c>
      <c r="C9683" s="49" t="s">
        <v>777</v>
      </c>
      <c r="D9683" s="49">
        <v>0.0</v>
      </c>
    </row>
    <row r="9684" ht="15.0" hidden="1" customHeight="1">
      <c r="A9684" s="49" t="s">
        <v>253</v>
      </c>
      <c r="B9684" s="50">
        <v>45657.0</v>
      </c>
      <c r="C9684" s="49" t="s">
        <v>777</v>
      </c>
      <c r="D9684" s="49">
        <v>0.0</v>
      </c>
    </row>
    <row r="9685" ht="15.0" hidden="1" customHeight="1">
      <c r="A9685" s="49" t="s">
        <v>258</v>
      </c>
      <c r="B9685" s="50">
        <v>45657.0</v>
      </c>
      <c r="C9685" s="49" t="s">
        <v>777</v>
      </c>
      <c r="D9685" s="49">
        <v>0.0</v>
      </c>
    </row>
    <row r="9686" ht="15.0" hidden="1" customHeight="1">
      <c r="A9686" s="49" t="s">
        <v>263</v>
      </c>
      <c r="B9686" s="50">
        <v>45657.0</v>
      </c>
      <c r="C9686" s="49" t="s">
        <v>777</v>
      </c>
      <c r="D9686" s="49">
        <v>0.0</v>
      </c>
    </row>
    <row r="9687" ht="15.0" hidden="1" customHeight="1">
      <c r="A9687" s="49" t="s">
        <v>268</v>
      </c>
      <c r="B9687" s="50">
        <v>45657.0</v>
      </c>
      <c r="C9687" s="49" t="s">
        <v>777</v>
      </c>
      <c r="D9687" s="49">
        <v>0.0</v>
      </c>
    </row>
    <row r="9688" ht="15.0" hidden="1" customHeight="1">
      <c r="A9688" s="49" t="s">
        <v>273</v>
      </c>
      <c r="B9688" s="50">
        <v>45657.0</v>
      </c>
      <c r="C9688" s="49" t="s">
        <v>777</v>
      </c>
      <c r="D9688" s="49">
        <v>0.0</v>
      </c>
    </row>
    <row r="9689" ht="15.0" hidden="1" customHeight="1">
      <c r="A9689" s="49" t="s">
        <v>278</v>
      </c>
      <c r="B9689" s="50">
        <v>45657.0</v>
      </c>
      <c r="C9689" s="49" t="s">
        <v>777</v>
      </c>
      <c r="D9689" s="49">
        <v>0.0</v>
      </c>
    </row>
    <row r="9690" ht="15.0" hidden="1" customHeight="1">
      <c r="A9690" s="49" t="s">
        <v>283</v>
      </c>
      <c r="B9690" s="50">
        <v>45657.0</v>
      </c>
      <c r="C9690" s="49" t="s">
        <v>777</v>
      </c>
      <c r="D9690" s="49">
        <v>0.0</v>
      </c>
    </row>
    <row r="9691" ht="15.0" hidden="1" customHeight="1">
      <c r="A9691" s="49" t="s">
        <v>288</v>
      </c>
      <c r="B9691" s="50">
        <v>45657.0</v>
      </c>
      <c r="C9691" s="49" t="s">
        <v>777</v>
      </c>
      <c r="D9691" s="49">
        <v>0.0</v>
      </c>
    </row>
    <row r="9692" ht="15.0" hidden="1" customHeight="1">
      <c r="A9692" s="49" t="s">
        <v>293</v>
      </c>
      <c r="B9692" s="50">
        <v>45657.0</v>
      </c>
      <c r="C9692" s="49" t="s">
        <v>777</v>
      </c>
      <c r="D9692" s="49">
        <v>0.0</v>
      </c>
    </row>
    <row r="9693" ht="15.0" hidden="1" customHeight="1">
      <c r="A9693" s="49" t="s">
        <v>298</v>
      </c>
      <c r="B9693" s="50">
        <v>45657.0</v>
      </c>
      <c r="C9693" s="49" t="s">
        <v>777</v>
      </c>
      <c r="D9693" s="49">
        <v>0.0</v>
      </c>
    </row>
    <row r="9694" ht="15.0" hidden="1" customHeight="1">
      <c r="A9694" s="49" t="s">
        <v>303</v>
      </c>
      <c r="B9694" s="50">
        <v>45657.0</v>
      </c>
      <c r="C9694" s="49" t="s">
        <v>777</v>
      </c>
      <c r="D9694" s="49">
        <v>0.0</v>
      </c>
    </row>
    <row r="9695" ht="15.0" hidden="1" customHeight="1">
      <c r="A9695" s="49" t="s">
        <v>307</v>
      </c>
      <c r="B9695" s="50">
        <v>45657.0</v>
      </c>
      <c r="C9695" s="49" t="s">
        <v>777</v>
      </c>
      <c r="D9695" s="49">
        <v>0.0</v>
      </c>
    </row>
    <row r="9696" ht="15.0" hidden="1" customHeight="1">
      <c r="A9696" s="49" t="s">
        <v>313</v>
      </c>
      <c r="B9696" s="50">
        <v>45657.0</v>
      </c>
      <c r="C9696" s="49" t="s">
        <v>777</v>
      </c>
      <c r="D9696" s="49">
        <v>0.0</v>
      </c>
    </row>
    <row r="9697" ht="15.0" hidden="1" customHeight="1">
      <c r="A9697" s="49" t="s">
        <v>318</v>
      </c>
      <c r="B9697" s="50">
        <v>45657.0</v>
      </c>
      <c r="C9697" s="49" t="s">
        <v>777</v>
      </c>
      <c r="D9697" s="49">
        <v>0.0</v>
      </c>
    </row>
    <row r="9698" ht="15.0" hidden="1" customHeight="1">
      <c r="A9698" s="49" t="s">
        <v>323</v>
      </c>
      <c r="B9698" s="50">
        <v>45657.0</v>
      </c>
      <c r="C9698" s="49" t="s">
        <v>777</v>
      </c>
      <c r="D9698" s="49">
        <v>0.0</v>
      </c>
    </row>
    <row r="9699" ht="15.0" hidden="1" customHeight="1">
      <c r="A9699" s="49" t="s">
        <v>328</v>
      </c>
      <c r="B9699" s="50">
        <v>45657.0</v>
      </c>
      <c r="C9699" s="49" t="s">
        <v>777</v>
      </c>
      <c r="D9699" s="49">
        <v>0.0</v>
      </c>
    </row>
    <row r="9700" ht="15.0" hidden="1" customHeight="1">
      <c r="A9700" s="49" t="s">
        <v>335</v>
      </c>
      <c r="B9700" s="50">
        <v>45657.0</v>
      </c>
      <c r="C9700" s="49" t="s">
        <v>777</v>
      </c>
      <c r="D9700" s="49">
        <v>0.0</v>
      </c>
    </row>
    <row r="9701" ht="15.0" hidden="1" customHeight="1">
      <c r="A9701" s="49" t="s">
        <v>340</v>
      </c>
      <c r="B9701" s="50">
        <v>45657.0</v>
      </c>
      <c r="C9701" s="49" t="s">
        <v>777</v>
      </c>
      <c r="D9701" s="49">
        <v>0.0</v>
      </c>
    </row>
    <row r="9702" ht="15.0" hidden="1" customHeight="1">
      <c r="A9702" s="49" t="s">
        <v>345</v>
      </c>
      <c r="B9702" s="50">
        <v>45657.0</v>
      </c>
      <c r="C9702" s="49" t="s">
        <v>777</v>
      </c>
      <c r="D9702" s="49">
        <v>0.0</v>
      </c>
    </row>
    <row r="9703" ht="15.0" hidden="1" customHeight="1">
      <c r="A9703" s="49" t="s">
        <v>350</v>
      </c>
      <c r="B9703" s="50">
        <v>45657.0</v>
      </c>
      <c r="C9703" s="49" t="s">
        <v>777</v>
      </c>
      <c r="D9703" s="49">
        <v>0.0</v>
      </c>
    </row>
    <row r="9704" ht="15.0" hidden="1" customHeight="1">
      <c r="A9704" s="49" t="s">
        <v>355</v>
      </c>
      <c r="B9704" s="50">
        <v>45657.0</v>
      </c>
      <c r="C9704" s="49" t="s">
        <v>777</v>
      </c>
      <c r="D9704" s="49">
        <v>0.0</v>
      </c>
    </row>
    <row r="9705" ht="15.0" hidden="1" customHeight="1">
      <c r="A9705" s="49" t="s">
        <v>360</v>
      </c>
      <c r="B9705" s="50">
        <v>45657.0</v>
      </c>
      <c r="C9705" s="49" t="s">
        <v>777</v>
      </c>
      <c r="D9705" s="49">
        <v>0.0</v>
      </c>
    </row>
    <row r="9706" ht="15.0" hidden="1" customHeight="1">
      <c r="A9706" s="49" t="s">
        <v>365</v>
      </c>
      <c r="B9706" s="50">
        <v>45657.0</v>
      </c>
      <c r="C9706" s="49" t="s">
        <v>777</v>
      </c>
      <c r="D9706" s="49">
        <v>0.0</v>
      </c>
    </row>
    <row r="9707" ht="15.0" hidden="1" customHeight="1">
      <c r="A9707" s="49" t="s">
        <v>370</v>
      </c>
      <c r="B9707" s="50">
        <v>45657.0</v>
      </c>
      <c r="C9707" s="49" t="s">
        <v>777</v>
      </c>
      <c r="D9707" s="49">
        <v>0.0</v>
      </c>
    </row>
    <row r="9708" ht="15.0" hidden="1" customHeight="1">
      <c r="A9708" s="49" t="s">
        <v>375</v>
      </c>
      <c r="B9708" s="50">
        <v>45657.0</v>
      </c>
      <c r="C9708" s="49" t="s">
        <v>777</v>
      </c>
      <c r="D9708" s="49">
        <v>0.0</v>
      </c>
    </row>
    <row r="9709" ht="15.0" hidden="1" customHeight="1">
      <c r="A9709" s="49" t="s">
        <v>380</v>
      </c>
      <c r="B9709" s="50">
        <v>45657.0</v>
      </c>
      <c r="C9709" s="49" t="s">
        <v>777</v>
      </c>
      <c r="D9709" s="49">
        <v>0.0</v>
      </c>
    </row>
    <row r="9710" ht="15.0" hidden="1" customHeight="1">
      <c r="A9710" s="49" t="s">
        <v>385</v>
      </c>
      <c r="B9710" s="50">
        <v>45657.0</v>
      </c>
      <c r="C9710" s="49" t="s">
        <v>777</v>
      </c>
      <c r="D9710" s="49">
        <v>0.0</v>
      </c>
    </row>
    <row r="9711" ht="15.0" hidden="1" customHeight="1">
      <c r="A9711" s="49" t="s">
        <v>390</v>
      </c>
      <c r="B9711" s="50">
        <v>45657.0</v>
      </c>
      <c r="C9711" s="49" t="s">
        <v>777</v>
      </c>
      <c r="D9711" s="49">
        <v>0.0</v>
      </c>
    </row>
    <row r="9712" ht="15.0" hidden="1" customHeight="1">
      <c r="A9712" s="49" t="s">
        <v>395</v>
      </c>
      <c r="B9712" s="50">
        <v>45657.0</v>
      </c>
      <c r="C9712" s="49" t="s">
        <v>777</v>
      </c>
      <c r="D9712" s="49">
        <v>0.0</v>
      </c>
    </row>
    <row r="9713" ht="15.0" hidden="1" customHeight="1">
      <c r="A9713" s="49" t="s">
        <v>400</v>
      </c>
      <c r="B9713" s="50">
        <v>45657.0</v>
      </c>
      <c r="C9713" s="49" t="s">
        <v>777</v>
      </c>
      <c r="D9713" s="49">
        <v>0.0</v>
      </c>
    </row>
    <row r="9714" ht="15.0" hidden="1" customHeight="1">
      <c r="A9714" s="49" t="s">
        <v>405</v>
      </c>
      <c r="B9714" s="50">
        <v>45657.0</v>
      </c>
      <c r="C9714" s="49" t="s">
        <v>777</v>
      </c>
      <c r="D9714" s="49">
        <v>0.0</v>
      </c>
    </row>
    <row r="9715" ht="15.0" hidden="1" customHeight="1">
      <c r="A9715" s="49" t="s">
        <v>410</v>
      </c>
      <c r="B9715" s="50">
        <v>45657.0</v>
      </c>
      <c r="C9715" s="49" t="s">
        <v>777</v>
      </c>
      <c r="D9715" s="49">
        <v>0.0</v>
      </c>
    </row>
    <row r="9716" ht="15.0" hidden="1" customHeight="1">
      <c r="A9716" s="49" t="s">
        <v>415</v>
      </c>
      <c r="B9716" s="50">
        <v>45657.0</v>
      </c>
      <c r="C9716" s="49" t="s">
        <v>777</v>
      </c>
      <c r="D9716" s="49">
        <v>0.0</v>
      </c>
    </row>
    <row r="9717" ht="15.0" hidden="1" customHeight="1">
      <c r="A9717" s="49" t="s">
        <v>420</v>
      </c>
      <c r="B9717" s="50">
        <v>45657.0</v>
      </c>
      <c r="C9717" s="49" t="s">
        <v>777</v>
      </c>
      <c r="D9717" s="49">
        <v>0.0</v>
      </c>
    </row>
    <row r="9718" ht="15.0" hidden="1" customHeight="1">
      <c r="A9718" s="49" t="s">
        <v>425</v>
      </c>
      <c r="B9718" s="50">
        <v>45657.0</v>
      </c>
      <c r="C9718" s="49" t="s">
        <v>777</v>
      </c>
      <c r="D9718" s="49">
        <v>0.0</v>
      </c>
    </row>
    <row r="9719" ht="15.0" hidden="1" customHeight="1">
      <c r="A9719" s="49" t="s">
        <v>430</v>
      </c>
      <c r="B9719" s="50">
        <v>45657.0</v>
      </c>
      <c r="C9719" s="49" t="s">
        <v>777</v>
      </c>
      <c r="D9719" s="49">
        <v>0.0</v>
      </c>
    </row>
    <row r="9720" ht="15.0" hidden="1" customHeight="1">
      <c r="A9720" s="49" t="s">
        <v>434</v>
      </c>
      <c r="B9720" s="50">
        <v>45657.0</v>
      </c>
      <c r="C9720" s="49" t="s">
        <v>777</v>
      </c>
      <c r="D9720" s="49">
        <v>0.0</v>
      </c>
    </row>
    <row r="9721" ht="15.0" hidden="1" customHeight="1">
      <c r="A9721" s="49" t="s">
        <v>439</v>
      </c>
      <c r="B9721" s="50">
        <v>45657.0</v>
      </c>
      <c r="C9721" s="49" t="s">
        <v>777</v>
      </c>
      <c r="D9721" s="49">
        <v>0.0</v>
      </c>
    </row>
    <row r="9722" ht="15.0" hidden="1" customHeight="1">
      <c r="A9722" s="49" t="s">
        <v>444</v>
      </c>
      <c r="B9722" s="50">
        <v>45657.0</v>
      </c>
      <c r="C9722" s="49" t="s">
        <v>777</v>
      </c>
      <c r="D9722" s="49">
        <v>0.0</v>
      </c>
    </row>
    <row r="9723" ht="15.0" hidden="1" customHeight="1">
      <c r="A9723" s="49" t="s">
        <v>449</v>
      </c>
      <c r="B9723" s="50">
        <v>45657.0</v>
      </c>
      <c r="C9723" s="49" t="s">
        <v>777</v>
      </c>
      <c r="D9723" s="49">
        <v>0.0</v>
      </c>
    </row>
    <row r="9724" ht="15.0" hidden="1" customHeight="1">
      <c r="A9724" s="49" t="s">
        <v>455</v>
      </c>
      <c r="B9724" s="50">
        <v>45657.0</v>
      </c>
      <c r="C9724" s="49" t="s">
        <v>777</v>
      </c>
      <c r="D9724" s="49">
        <v>0.0</v>
      </c>
    </row>
    <row r="9725" ht="15.0" hidden="1" customHeight="1">
      <c r="A9725" s="49" t="s">
        <v>470</v>
      </c>
      <c r="B9725" s="50">
        <v>45657.0</v>
      </c>
      <c r="C9725" s="49" t="s">
        <v>777</v>
      </c>
      <c r="D9725" s="49">
        <v>0.0</v>
      </c>
    </row>
    <row r="9726" ht="15.0" hidden="1" customHeight="1">
      <c r="A9726" s="49" t="s">
        <v>476</v>
      </c>
      <c r="B9726" s="50">
        <v>45657.0</v>
      </c>
      <c r="C9726" s="49" t="s">
        <v>777</v>
      </c>
      <c r="D9726" s="49">
        <v>0.0</v>
      </c>
    </row>
    <row r="9727" ht="15.0" hidden="1" customHeight="1">
      <c r="A9727" s="49" t="s">
        <v>481</v>
      </c>
      <c r="B9727" s="50">
        <v>45657.0</v>
      </c>
      <c r="C9727" s="49" t="s">
        <v>777</v>
      </c>
      <c r="D9727" s="49">
        <v>0.0</v>
      </c>
    </row>
    <row r="9728" ht="15.0" hidden="1" customHeight="1">
      <c r="A9728" s="49" t="s">
        <v>486</v>
      </c>
      <c r="B9728" s="50">
        <v>45657.0</v>
      </c>
      <c r="C9728" s="49" t="s">
        <v>777</v>
      </c>
      <c r="D9728" s="49">
        <v>0.0</v>
      </c>
    </row>
    <row r="9729" ht="15.0" hidden="1" customHeight="1">
      <c r="A9729" s="49" t="s">
        <v>491</v>
      </c>
      <c r="B9729" s="50">
        <v>45657.0</v>
      </c>
      <c r="C9729" s="49" t="s">
        <v>777</v>
      </c>
      <c r="D9729" s="49">
        <v>0.0</v>
      </c>
    </row>
    <row r="9730" ht="15.0" hidden="1" customHeight="1">
      <c r="A9730" s="49" t="s">
        <v>496</v>
      </c>
      <c r="B9730" s="50">
        <v>45657.0</v>
      </c>
      <c r="C9730" s="49" t="s">
        <v>777</v>
      </c>
      <c r="D9730" s="49">
        <v>0.0</v>
      </c>
    </row>
    <row r="9731" ht="15.0" hidden="1" customHeight="1">
      <c r="A9731" s="49" t="s">
        <v>501</v>
      </c>
      <c r="B9731" s="50">
        <v>45657.0</v>
      </c>
      <c r="C9731" s="49" t="s">
        <v>777</v>
      </c>
      <c r="D9731" s="49">
        <v>0.0</v>
      </c>
    </row>
    <row r="9732" ht="15.0" hidden="1" customHeight="1">
      <c r="A9732" s="49" t="s">
        <v>506</v>
      </c>
      <c r="B9732" s="50">
        <v>45657.0</v>
      </c>
      <c r="C9732" s="49" t="s">
        <v>777</v>
      </c>
      <c r="D9732" s="49">
        <v>0.0</v>
      </c>
    </row>
    <row r="9733" ht="15.0" hidden="1" customHeight="1">
      <c r="A9733" s="49" t="s">
        <v>512</v>
      </c>
      <c r="B9733" s="50">
        <v>45657.0</v>
      </c>
      <c r="C9733" s="49" t="s">
        <v>777</v>
      </c>
      <c r="D9733" s="49">
        <v>0.0</v>
      </c>
    </row>
    <row r="9734" ht="15.0" hidden="1" customHeight="1">
      <c r="A9734" s="49" t="s">
        <v>517</v>
      </c>
      <c r="B9734" s="50">
        <v>45657.0</v>
      </c>
      <c r="C9734" s="49" t="s">
        <v>777</v>
      </c>
      <c r="D9734" s="49">
        <v>0.0</v>
      </c>
    </row>
    <row r="9735" ht="15.0" hidden="1" customHeight="1">
      <c r="A9735" s="49" t="s">
        <v>522</v>
      </c>
      <c r="B9735" s="50">
        <v>45657.0</v>
      </c>
      <c r="C9735" s="49" t="s">
        <v>777</v>
      </c>
      <c r="D9735" s="49">
        <v>0.0</v>
      </c>
    </row>
    <row r="9736" ht="15.0" hidden="1" customHeight="1">
      <c r="A9736" s="49" t="s">
        <v>528</v>
      </c>
      <c r="B9736" s="50">
        <v>45657.0</v>
      </c>
      <c r="C9736" s="49" t="s">
        <v>777</v>
      </c>
      <c r="D9736" s="49">
        <v>0.0</v>
      </c>
    </row>
    <row r="9737" ht="15.0" hidden="1" customHeight="1">
      <c r="A9737" s="49" t="s">
        <v>533</v>
      </c>
      <c r="B9737" s="50">
        <v>45657.0</v>
      </c>
      <c r="C9737" s="49" t="s">
        <v>777</v>
      </c>
      <c r="D9737" s="49">
        <v>0.0</v>
      </c>
    </row>
    <row r="9738" ht="15.0" hidden="1" customHeight="1">
      <c r="A9738" s="49" t="s">
        <v>538</v>
      </c>
      <c r="B9738" s="50">
        <v>45657.0</v>
      </c>
      <c r="C9738" s="49" t="s">
        <v>777</v>
      </c>
      <c r="D9738" s="49">
        <v>0.0</v>
      </c>
    </row>
    <row r="9739" ht="15.0" hidden="1" customHeight="1">
      <c r="A9739" s="49" t="s">
        <v>546</v>
      </c>
      <c r="B9739" s="50">
        <v>45657.0</v>
      </c>
      <c r="C9739" s="49" t="s">
        <v>777</v>
      </c>
      <c r="D9739" s="49">
        <v>0.0</v>
      </c>
    </row>
    <row r="9740" ht="15.0" hidden="1" customHeight="1">
      <c r="A9740" s="49" t="s">
        <v>551</v>
      </c>
      <c r="B9740" s="50">
        <v>45657.0</v>
      </c>
      <c r="C9740" s="49" t="s">
        <v>777</v>
      </c>
      <c r="D9740" s="49">
        <v>0.0</v>
      </c>
    </row>
    <row r="9741" ht="15.0" hidden="1" customHeight="1">
      <c r="A9741" s="49" t="s">
        <v>556</v>
      </c>
      <c r="B9741" s="50">
        <v>45657.0</v>
      </c>
      <c r="C9741" s="49" t="s">
        <v>777</v>
      </c>
      <c r="D9741" s="49">
        <v>0.0</v>
      </c>
    </row>
    <row r="9742" ht="15.0" hidden="1" customHeight="1">
      <c r="A9742" s="49" t="s">
        <v>561</v>
      </c>
      <c r="B9742" s="50">
        <v>45657.0</v>
      </c>
      <c r="C9742" s="49" t="s">
        <v>777</v>
      </c>
      <c r="D9742" s="49">
        <v>0.0</v>
      </c>
    </row>
    <row r="9743" ht="15.0" hidden="1" customHeight="1">
      <c r="A9743" s="49" t="s">
        <v>566</v>
      </c>
      <c r="B9743" s="50">
        <v>45657.0</v>
      </c>
      <c r="C9743" s="49" t="s">
        <v>777</v>
      </c>
      <c r="D9743" s="49">
        <v>0.0</v>
      </c>
    </row>
    <row r="9744" ht="15.0" hidden="1" customHeight="1">
      <c r="A9744" s="49" t="s">
        <v>571</v>
      </c>
      <c r="B9744" s="50">
        <v>45657.0</v>
      </c>
      <c r="C9744" s="49" t="s">
        <v>777</v>
      </c>
      <c r="D9744" s="49">
        <v>0.0</v>
      </c>
    </row>
    <row r="9745" ht="15.0" hidden="1" customHeight="1">
      <c r="A9745" s="49" t="s">
        <v>576</v>
      </c>
      <c r="B9745" s="50">
        <v>45657.0</v>
      </c>
      <c r="C9745" s="49" t="s">
        <v>777</v>
      </c>
      <c r="D9745" s="49">
        <v>480000.0</v>
      </c>
    </row>
    <row r="9746" ht="15.0" hidden="1" customHeight="1">
      <c r="A9746" s="49" t="s">
        <v>581</v>
      </c>
      <c r="B9746" s="50">
        <v>45657.0</v>
      </c>
      <c r="C9746" s="49" t="s">
        <v>777</v>
      </c>
      <c r="D9746" s="49">
        <v>0.0</v>
      </c>
    </row>
    <row r="9747" ht="15.0" hidden="1" customHeight="1">
      <c r="A9747" s="49" t="s">
        <v>586</v>
      </c>
      <c r="B9747" s="50">
        <v>45657.0</v>
      </c>
      <c r="C9747" s="49" t="s">
        <v>777</v>
      </c>
      <c r="D9747" s="49">
        <v>0.0</v>
      </c>
    </row>
    <row r="9748" ht="15.0" hidden="1" customHeight="1">
      <c r="A9748" s="49" t="s">
        <v>754</v>
      </c>
      <c r="B9748" s="50">
        <v>45657.0</v>
      </c>
      <c r="C9748" s="49" t="s">
        <v>777</v>
      </c>
      <c r="D9748" s="49">
        <v>0.0</v>
      </c>
    </row>
    <row r="9749" ht="15.0" hidden="1" customHeight="1">
      <c r="A9749" s="49" t="s">
        <v>591</v>
      </c>
      <c r="B9749" s="50">
        <v>45657.0</v>
      </c>
      <c r="C9749" s="49" t="s">
        <v>777</v>
      </c>
      <c r="D9749" s="49">
        <v>188000.0</v>
      </c>
    </row>
    <row r="9750" ht="15.0" hidden="1" customHeight="1">
      <c r="A9750" s="49" t="s">
        <v>759</v>
      </c>
      <c r="B9750" s="50">
        <v>45657.0</v>
      </c>
      <c r="C9750" s="49" t="s">
        <v>777</v>
      </c>
      <c r="D9750" s="49">
        <v>6450000.0</v>
      </c>
    </row>
    <row r="9751" ht="15.0" hidden="1" customHeight="1">
      <c r="A9751" s="49" t="s">
        <v>596</v>
      </c>
      <c r="B9751" s="50">
        <v>45657.0</v>
      </c>
      <c r="C9751" s="49" t="s">
        <v>777</v>
      </c>
      <c r="D9751" s="49">
        <v>0.0</v>
      </c>
    </row>
    <row r="9752" ht="15.0" hidden="1" customHeight="1">
      <c r="A9752" s="49" t="s">
        <v>602</v>
      </c>
      <c r="B9752" s="50">
        <v>45657.0</v>
      </c>
      <c r="C9752" s="49" t="s">
        <v>777</v>
      </c>
      <c r="D9752" s="49">
        <v>1450000.0</v>
      </c>
    </row>
    <row r="9753" ht="15.0" hidden="1" customHeight="1">
      <c r="A9753" s="49" t="s">
        <v>607</v>
      </c>
      <c r="B9753" s="50">
        <v>45657.0</v>
      </c>
      <c r="C9753" s="49" t="s">
        <v>777</v>
      </c>
      <c r="D9753" s="49">
        <v>0.0</v>
      </c>
    </row>
    <row r="9754" ht="15.0" hidden="1" customHeight="1">
      <c r="A9754" s="49" t="s">
        <v>612</v>
      </c>
      <c r="B9754" s="50">
        <v>45657.0</v>
      </c>
      <c r="C9754" s="49" t="s">
        <v>777</v>
      </c>
      <c r="D9754" s="49">
        <v>0.0</v>
      </c>
    </row>
    <row r="9755" ht="15.0" hidden="1" customHeight="1">
      <c r="A9755" s="49" t="s">
        <v>617</v>
      </c>
      <c r="B9755" s="50">
        <v>45657.0</v>
      </c>
      <c r="C9755" s="49" t="s">
        <v>777</v>
      </c>
      <c r="D9755" s="49">
        <v>0.0</v>
      </c>
    </row>
    <row r="9756" ht="15.0" hidden="1" customHeight="1">
      <c r="A9756" s="49" t="s">
        <v>622</v>
      </c>
      <c r="B9756" s="50">
        <v>45657.0</v>
      </c>
      <c r="C9756" s="49" t="s">
        <v>777</v>
      </c>
      <c r="D9756" s="49">
        <v>0.0</v>
      </c>
    </row>
    <row r="9757" ht="15.0" hidden="1" customHeight="1">
      <c r="A9757" s="49" t="s">
        <v>627</v>
      </c>
      <c r="B9757" s="50">
        <v>45657.0</v>
      </c>
      <c r="C9757" s="49" t="s">
        <v>777</v>
      </c>
      <c r="D9757" s="49">
        <v>0.0</v>
      </c>
    </row>
    <row r="9758" ht="15.0" hidden="1" customHeight="1">
      <c r="A9758" s="49" t="s">
        <v>631</v>
      </c>
      <c r="B9758" s="50">
        <v>45657.0</v>
      </c>
      <c r="C9758" s="49" t="s">
        <v>777</v>
      </c>
      <c r="D9758" s="49">
        <v>0.0</v>
      </c>
    </row>
    <row r="9759" ht="15.0" hidden="1" customHeight="1">
      <c r="A9759" s="49" t="s">
        <v>636</v>
      </c>
      <c r="B9759" s="50">
        <v>45657.0</v>
      </c>
      <c r="C9759" s="49" t="s">
        <v>777</v>
      </c>
      <c r="D9759" s="49">
        <v>0.0</v>
      </c>
    </row>
    <row r="9760" ht="15.0" hidden="1" customHeight="1">
      <c r="A9760" s="49" t="s">
        <v>640</v>
      </c>
      <c r="B9760" s="50">
        <v>45657.0</v>
      </c>
      <c r="C9760" s="49" t="s">
        <v>777</v>
      </c>
      <c r="D9760" s="49">
        <v>0.0</v>
      </c>
    </row>
    <row r="9761" ht="15.0" hidden="1" customHeight="1">
      <c r="A9761" s="49" t="s">
        <v>644</v>
      </c>
      <c r="B9761" s="50">
        <v>45657.0</v>
      </c>
      <c r="C9761" s="49" t="s">
        <v>777</v>
      </c>
      <c r="D9761" s="49">
        <v>0.0</v>
      </c>
    </row>
    <row r="9762" ht="15.0" hidden="1" customHeight="1">
      <c r="A9762" s="49" t="s">
        <v>649</v>
      </c>
      <c r="B9762" s="50">
        <v>45657.0</v>
      </c>
      <c r="C9762" s="49" t="s">
        <v>777</v>
      </c>
      <c r="D9762" s="49">
        <v>0.0</v>
      </c>
    </row>
    <row r="9763" ht="15.0" hidden="1" customHeight="1">
      <c r="A9763" s="49" t="s">
        <v>654</v>
      </c>
      <c r="B9763" s="50">
        <v>45657.0</v>
      </c>
      <c r="C9763" s="49" t="s">
        <v>777</v>
      </c>
      <c r="D9763" s="49">
        <v>0.0</v>
      </c>
    </row>
    <row r="9764" ht="15.0" hidden="1" customHeight="1">
      <c r="A9764" s="49" t="s">
        <v>659</v>
      </c>
      <c r="B9764" s="50">
        <v>45657.0</v>
      </c>
      <c r="C9764" s="49" t="s">
        <v>777</v>
      </c>
      <c r="D9764" s="49">
        <v>0.0</v>
      </c>
    </row>
    <row r="9765" ht="15.0" hidden="1" customHeight="1">
      <c r="A9765" s="49" t="s">
        <v>664</v>
      </c>
      <c r="B9765" s="50">
        <v>45657.0</v>
      </c>
      <c r="C9765" s="49" t="s">
        <v>777</v>
      </c>
      <c r="D9765" s="49">
        <v>0.0</v>
      </c>
    </row>
    <row r="9766" ht="15.0" hidden="1" customHeight="1">
      <c r="A9766" s="49" t="s">
        <v>669</v>
      </c>
      <c r="B9766" s="50">
        <v>45657.0</v>
      </c>
      <c r="C9766" s="49" t="s">
        <v>777</v>
      </c>
      <c r="D9766" s="49">
        <v>0.0</v>
      </c>
    </row>
    <row r="9767" ht="15.0" hidden="1" customHeight="1">
      <c r="A9767" s="49" t="s">
        <v>674</v>
      </c>
      <c r="B9767" s="50">
        <v>45657.0</v>
      </c>
      <c r="C9767" s="49" t="s">
        <v>777</v>
      </c>
      <c r="D9767" s="49">
        <v>0.0</v>
      </c>
    </row>
    <row r="9768" ht="15.0" hidden="1" customHeight="1">
      <c r="A9768" s="49" t="s">
        <v>679</v>
      </c>
      <c r="B9768" s="50">
        <v>45657.0</v>
      </c>
      <c r="C9768" s="49" t="s">
        <v>777</v>
      </c>
      <c r="D9768" s="49">
        <v>0.0</v>
      </c>
    </row>
    <row r="9769" ht="15.0" hidden="1" customHeight="1">
      <c r="A9769" s="49" t="s">
        <v>684</v>
      </c>
      <c r="B9769" s="50">
        <v>45657.0</v>
      </c>
      <c r="C9769" s="49" t="s">
        <v>777</v>
      </c>
      <c r="D9769" s="49">
        <v>0.0</v>
      </c>
    </row>
    <row r="9770" ht="15.0" hidden="1" customHeight="1">
      <c r="A9770" s="49" t="s">
        <v>689</v>
      </c>
      <c r="B9770" s="50">
        <v>45657.0</v>
      </c>
      <c r="C9770" s="49" t="s">
        <v>777</v>
      </c>
      <c r="D9770" s="49">
        <v>0.0</v>
      </c>
    </row>
    <row r="9771" ht="15.0" hidden="1" customHeight="1">
      <c r="A9771" s="49" t="s">
        <v>694</v>
      </c>
      <c r="B9771" s="50">
        <v>45657.0</v>
      </c>
      <c r="C9771" s="49" t="s">
        <v>777</v>
      </c>
      <c r="D9771" s="49">
        <v>0.0</v>
      </c>
    </row>
    <row r="9772" ht="15.0" hidden="1" customHeight="1">
      <c r="A9772" s="49" t="s">
        <v>699</v>
      </c>
      <c r="B9772" s="50">
        <v>45657.0</v>
      </c>
      <c r="C9772" s="49" t="s">
        <v>777</v>
      </c>
      <c r="D9772" s="49">
        <v>0.0</v>
      </c>
    </row>
    <row r="9773" ht="15.0" hidden="1" customHeight="1">
      <c r="A9773" s="49" t="s">
        <v>705</v>
      </c>
      <c r="B9773" s="50">
        <v>45657.0</v>
      </c>
      <c r="C9773" s="49" t="s">
        <v>777</v>
      </c>
      <c r="D9773" s="49">
        <v>0.0</v>
      </c>
    </row>
    <row r="9774" ht="15.0" hidden="1" customHeight="1">
      <c r="A9774" s="49" t="s">
        <v>710</v>
      </c>
      <c r="B9774" s="50">
        <v>45657.0</v>
      </c>
      <c r="C9774" s="49" t="s">
        <v>777</v>
      </c>
      <c r="D9774" s="49">
        <v>0.0</v>
      </c>
    </row>
    <row r="9775" ht="15.0" hidden="1" customHeight="1">
      <c r="A9775" s="49" t="s">
        <v>715</v>
      </c>
      <c r="B9775" s="50">
        <v>45657.0</v>
      </c>
      <c r="C9775" s="49" t="s">
        <v>777</v>
      </c>
      <c r="D9775" s="49">
        <v>0.0</v>
      </c>
    </row>
    <row r="9776" ht="15.0" hidden="1" customHeight="1">
      <c r="A9776" s="49" t="s">
        <v>765</v>
      </c>
      <c r="B9776" s="50">
        <v>45657.0</v>
      </c>
      <c r="C9776" s="49" t="s">
        <v>777</v>
      </c>
      <c r="D9776" s="49">
        <v>0.0</v>
      </c>
    </row>
    <row r="9777" ht="15.0" hidden="1" customHeight="1">
      <c r="A9777" s="49" t="s">
        <v>720</v>
      </c>
      <c r="B9777" s="50">
        <v>45657.0</v>
      </c>
      <c r="C9777" s="49" t="s">
        <v>777</v>
      </c>
      <c r="D9777" s="49">
        <v>0.0</v>
      </c>
    </row>
    <row r="9778" ht="15.0" hidden="1" customHeight="1">
      <c r="A9778" s="49" t="s">
        <v>725</v>
      </c>
      <c r="B9778" s="50">
        <v>45657.0</v>
      </c>
      <c r="C9778" s="49" t="s">
        <v>777</v>
      </c>
      <c r="D9778" s="49">
        <v>0.0</v>
      </c>
    </row>
    <row r="9779" ht="15.0" hidden="1" customHeight="1">
      <c r="A9779" s="49" t="s">
        <v>730</v>
      </c>
      <c r="B9779" s="50">
        <v>45657.0</v>
      </c>
      <c r="C9779" s="49" t="s">
        <v>777</v>
      </c>
      <c r="D9779" s="49">
        <v>0.0</v>
      </c>
    </row>
    <row r="9780" ht="15.0" hidden="1" customHeight="1">
      <c r="A9780" s="49" t="s">
        <v>734</v>
      </c>
      <c r="B9780" s="50">
        <v>45657.0</v>
      </c>
      <c r="C9780" s="49" t="s">
        <v>777</v>
      </c>
      <c r="D9780" s="49">
        <v>0.0</v>
      </c>
    </row>
    <row r="9781" ht="15.0" hidden="1" customHeight="1">
      <c r="A9781" s="49" t="s">
        <v>739</v>
      </c>
      <c r="B9781" s="50">
        <v>45657.0</v>
      </c>
      <c r="C9781" s="49" t="s">
        <v>777</v>
      </c>
      <c r="D9781" s="49">
        <v>0.0</v>
      </c>
    </row>
    <row r="9782" ht="15.0" hidden="1" customHeight="1">
      <c r="A9782" s="49" t="s">
        <v>744</v>
      </c>
      <c r="B9782" s="50">
        <v>45657.0</v>
      </c>
      <c r="C9782" s="49" t="s">
        <v>777</v>
      </c>
      <c r="D9782" s="49">
        <v>0.0</v>
      </c>
    </row>
    <row r="9783" ht="15.0" hidden="1" customHeight="1">
      <c r="A9783" s="49" t="s">
        <v>749</v>
      </c>
      <c r="B9783" s="50">
        <v>45657.0</v>
      </c>
      <c r="C9783" s="49" t="s">
        <v>777</v>
      </c>
      <c r="D9783" s="49">
        <v>0.0</v>
      </c>
    </row>
    <row r="9784" ht="15.0" customHeight="1">
      <c r="A9784" s="49" t="s">
        <v>776</v>
      </c>
      <c r="B9784" s="50">
        <v>45657.0</v>
      </c>
      <c r="C9784" s="49" t="s">
        <v>78</v>
      </c>
      <c r="D9784" s="49">
        <v>0.0</v>
      </c>
    </row>
    <row r="9785" ht="15.0" hidden="1" customHeight="1">
      <c r="A9785" s="49" t="s">
        <v>778</v>
      </c>
      <c r="B9785" s="50">
        <v>45657.0</v>
      </c>
      <c r="C9785" s="49" t="s">
        <v>78</v>
      </c>
      <c r="D9785" s="49">
        <v>0.0</v>
      </c>
    </row>
    <row r="9786" ht="15.0" hidden="1" customHeight="1">
      <c r="A9786" s="49" t="s">
        <v>92</v>
      </c>
      <c r="B9786" s="50">
        <v>45657.0</v>
      </c>
      <c r="C9786" s="49" t="s">
        <v>78</v>
      </c>
      <c r="D9786" s="49">
        <v>0.0</v>
      </c>
    </row>
    <row r="9787" ht="15.0" hidden="1" customHeight="1">
      <c r="A9787" s="49" t="s">
        <v>97</v>
      </c>
      <c r="B9787" s="50">
        <v>45657.0</v>
      </c>
      <c r="C9787" s="49" t="s">
        <v>78</v>
      </c>
      <c r="D9787" s="49">
        <v>0.0</v>
      </c>
    </row>
    <row r="9788" ht="15.0" hidden="1" customHeight="1">
      <c r="A9788" s="49" t="s">
        <v>102</v>
      </c>
      <c r="B9788" s="50">
        <v>45657.0</v>
      </c>
      <c r="C9788" s="49" t="s">
        <v>78</v>
      </c>
      <c r="D9788" s="49">
        <v>0.0</v>
      </c>
    </row>
    <row r="9789" ht="15.0" hidden="1" customHeight="1">
      <c r="A9789" s="49" t="s">
        <v>106</v>
      </c>
      <c r="B9789" s="50">
        <v>45657.0</v>
      </c>
      <c r="C9789" s="49" t="s">
        <v>78</v>
      </c>
      <c r="D9789" s="49">
        <v>0.0</v>
      </c>
    </row>
    <row r="9790" ht="15.0" hidden="1" customHeight="1">
      <c r="A9790" s="49" t="s">
        <v>111</v>
      </c>
      <c r="B9790" s="50">
        <v>45657.0</v>
      </c>
      <c r="C9790" s="49" t="s">
        <v>78</v>
      </c>
      <c r="D9790" s="49">
        <v>0.0</v>
      </c>
    </row>
    <row r="9791" ht="15.0" hidden="1" customHeight="1">
      <c r="A9791" s="49" t="s">
        <v>116</v>
      </c>
      <c r="B9791" s="50">
        <v>45657.0</v>
      </c>
      <c r="C9791" s="49" t="s">
        <v>78</v>
      </c>
      <c r="D9791" s="49">
        <v>0.0</v>
      </c>
    </row>
    <row r="9792" ht="15.0" hidden="1" customHeight="1">
      <c r="A9792" s="49" t="s">
        <v>120</v>
      </c>
      <c r="B9792" s="50">
        <v>45657.0</v>
      </c>
      <c r="C9792" s="49" t="s">
        <v>78</v>
      </c>
      <c r="D9792" s="49">
        <v>0.0</v>
      </c>
    </row>
    <row r="9793" ht="15.0" hidden="1" customHeight="1">
      <c r="A9793" s="49" t="s">
        <v>125</v>
      </c>
      <c r="B9793" s="50">
        <v>45657.0</v>
      </c>
      <c r="C9793" s="49" t="s">
        <v>78</v>
      </c>
      <c r="D9793" s="49">
        <v>0.0</v>
      </c>
    </row>
    <row r="9794" ht="15.0" hidden="1" customHeight="1">
      <c r="A9794" s="49" t="s">
        <v>130</v>
      </c>
      <c r="B9794" s="50">
        <v>45657.0</v>
      </c>
      <c r="C9794" s="49" t="s">
        <v>78</v>
      </c>
      <c r="D9794" s="49">
        <v>0.0</v>
      </c>
    </row>
    <row r="9795" ht="15.0" hidden="1" customHeight="1">
      <c r="A9795" s="49" t="s">
        <v>137</v>
      </c>
      <c r="B9795" s="50">
        <v>45657.0</v>
      </c>
      <c r="C9795" s="49" t="s">
        <v>78</v>
      </c>
      <c r="D9795" s="49">
        <v>0.0</v>
      </c>
    </row>
    <row r="9796" ht="15.0" hidden="1" customHeight="1">
      <c r="A9796" s="49" t="s">
        <v>142</v>
      </c>
      <c r="B9796" s="50">
        <v>45657.0</v>
      </c>
      <c r="C9796" s="49" t="s">
        <v>78</v>
      </c>
      <c r="D9796" s="49">
        <v>0.0</v>
      </c>
    </row>
    <row r="9797" ht="15.0" hidden="1" customHeight="1">
      <c r="A9797" s="49" t="s">
        <v>147</v>
      </c>
      <c r="B9797" s="50">
        <v>45657.0</v>
      </c>
      <c r="C9797" s="49" t="s">
        <v>78</v>
      </c>
      <c r="D9797" s="49">
        <v>0.0</v>
      </c>
    </row>
    <row r="9798" ht="15.0" hidden="1" customHeight="1">
      <c r="A9798" s="49" t="s">
        <v>152</v>
      </c>
      <c r="B9798" s="50">
        <v>45657.0</v>
      </c>
      <c r="C9798" s="49" t="s">
        <v>78</v>
      </c>
      <c r="D9798" s="49">
        <v>0.0</v>
      </c>
    </row>
    <row r="9799" ht="15.0" hidden="1" customHeight="1">
      <c r="A9799" s="49" t="s">
        <v>157</v>
      </c>
      <c r="B9799" s="50">
        <v>45657.0</v>
      </c>
      <c r="C9799" s="49" t="s">
        <v>78</v>
      </c>
      <c r="D9799" s="49">
        <v>0.0</v>
      </c>
    </row>
    <row r="9800" ht="15.0" hidden="1" customHeight="1">
      <c r="A9800" s="49" t="s">
        <v>162</v>
      </c>
      <c r="B9800" s="50">
        <v>45657.0</v>
      </c>
      <c r="C9800" s="49" t="s">
        <v>78</v>
      </c>
      <c r="D9800" s="49">
        <v>0.0</v>
      </c>
    </row>
    <row r="9801" ht="15.0" hidden="1" customHeight="1">
      <c r="A9801" s="49" t="s">
        <v>167</v>
      </c>
      <c r="B9801" s="50">
        <v>45657.0</v>
      </c>
      <c r="C9801" s="49" t="s">
        <v>78</v>
      </c>
      <c r="D9801" s="49">
        <v>0.0</v>
      </c>
    </row>
    <row r="9802" ht="15.0" hidden="1" customHeight="1">
      <c r="A9802" s="49" t="s">
        <v>172</v>
      </c>
      <c r="B9802" s="50">
        <v>45657.0</v>
      </c>
      <c r="C9802" s="49" t="s">
        <v>78</v>
      </c>
      <c r="D9802" s="49">
        <v>0.0</v>
      </c>
    </row>
    <row r="9803" ht="15.0" hidden="1" customHeight="1">
      <c r="A9803" s="49" t="s">
        <v>177</v>
      </c>
      <c r="B9803" s="50">
        <v>45657.0</v>
      </c>
      <c r="C9803" s="49" t="s">
        <v>78</v>
      </c>
      <c r="D9803" s="49">
        <v>0.0</v>
      </c>
    </row>
    <row r="9804" ht="15.0" hidden="1" customHeight="1">
      <c r="A9804" s="49" t="s">
        <v>182</v>
      </c>
      <c r="B9804" s="50">
        <v>45657.0</v>
      </c>
      <c r="C9804" s="49" t="s">
        <v>78</v>
      </c>
      <c r="D9804" s="49">
        <v>0.0</v>
      </c>
    </row>
    <row r="9805" ht="15.0" hidden="1" customHeight="1">
      <c r="A9805" s="49" t="s">
        <v>187</v>
      </c>
      <c r="B9805" s="50">
        <v>45657.0</v>
      </c>
      <c r="C9805" s="49" t="s">
        <v>78</v>
      </c>
      <c r="D9805" s="49">
        <v>0.0</v>
      </c>
    </row>
    <row r="9806" ht="15.0" hidden="1" customHeight="1">
      <c r="A9806" s="49" t="s">
        <v>192</v>
      </c>
      <c r="B9806" s="50">
        <v>45657.0</v>
      </c>
      <c r="C9806" s="49" t="s">
        <v>78</v>
      </c>
      <c r="D9806" s="49">
        <v>0.0</v>
      </c>
    </row>
    <row r="9807" ht="15.0" hidden="1" customHeight="1">
      <c r="A9807" s="49" t="s">
        <v>197</v>
      </c>
      <c r="B9807" s="50">
        <v>45657.0</v>
      </c>
      <c r="C9807" s="49" t="s">
        <v>78</v>
      </c>
      <c r="D9807" s="49">
        <v>0.0</v>
      </c>
    </row>
    <row r="9808" ht="15.0" hidden="1" customHeight="1">
      <c r="A9808" s="49" t="s">
        <v>202</v>
      </c>
      <c r="B9808" s="50">
        <v>45657.0</v>
      </c>
      <c r="C9808" s="49" t="s">
        <v>78</v>
      </c>
      <c r="D9808" s="49">
        <v>0.0</v>
      </c>
    </row>
    <row r="9809" ht="15.0" hidden="1" customHeight="1">
      <c r="A9809" s="49" t="s">
        <v>206</v>
      </c>
      <c r="B9809" s="50">
        <v>45657.0</v>
      </c>
      <c r="C9809" s="49" t="s">
        <v>78</v>
      </c>
      <c r="D9809" s="49">
        <v>0.0</v>
      </c>
    </row>
    <row r="9810" ht="15.0" hidden="1" customHeight="1">
      <c r="A9810" s="49" t="s">
        <v>211</v>
      </c>
      <c r="B9810" s="50">
        <v>45657.0</v>
      </c>
      <c r="C9810" s="49" t="s">
        <v>78</v>
      </c>
      <c r="D9810" s="49">
        <v>0.0</v>
      </c>
    </row>
    <row r="9811" ht="15.0" hidden="1" customHeight="1">
      <c r="A9811" s="49" t="s">
        <v>779</v>
      </c>
      <c r="B9811" s="50">
        <v>45657.0</v>
      </c>
      <c r="C9811" s="49" t="s">
        <v>78</v>
      </c>
      <c r="D9811" s="49">
        <v>0.0</v>
      </c>
    </row>
    <row r="9812" ht="15.0" hidden="1" customHeight="1">
      <c r="A9812" s="49" t="s">
        <v>221</v>
      </c>
      <c r="B9812" s="50">
        <v>45657.0</v>
      </c>
      <c r="C9812" s="49" t="s">
        <v>78</v>
      </c>
      <c r="D9812" s="49">
        <v>0.0</v>
      </c>
    </row>
    <row r="9813" ht="15.0" hidden="1" customHeight="1">
      <c r="A9813" s="49" t="s">
        <v>226</v>
      </c>
      <c r="B9813" s="50">
        <v>45657.0</v>
      </c>
      <c r="C9813" s="49" t="s">
        <v>78</v>
      </c>
      <c r="D9813" s="49">
        <v>0.0</v>
      </c>
    </row>
    <row r="9814" ht="15.0" hidden="1" customHeight="1">
      <c r="A9814" s="49" t="s">
        <v>231</v>
      </c>
      <c r="B9814" s="50">
        <v>45657.0</v>
      </c>
      <c r="C9814" s="49" t="s">
        <v>78</v>
      </c>
      <c r="D9814" s="49">
        <v>0.0</v>
      </c>
    </row>
    <row r="9815" ht="15.0" hidden="1" customHeight="1">
      <c r="A9815" s="49" t="s">
        <v>236</v>
      </c>
      <c r="B9815" s="50">
        <v>45657.0</v>
      </c>
      <c r="C9815" s="49" t="s">
        <v>78</v>
      </c>
      <c r="D9815" s="49">
        <v>0.0</v>
      </c>
    </row>
    <row r="9816" ht="15.0" hidden="1" customHeight="1">
      <c r="A9816" s="49" t="s">
        <v>242</v>
      </c>
      <c r="B9816" s="50">
        <v>45657.0</v>
      </c>
      <c r="C9816" s="49" t="s">
        <v>78</v>
      </c>
      <c r="D9816" s="49">
        <v>0.0</v>
      </c>
    </row>
    <row r="9817" ht="15.0" hidden="1" customHeight="1">
      <c r="A9817" s="49" t="s">
        <v>248</v>
      </c>
      <c r="B9817" s="50">
        <v>45657.0</v>
      </c>
      <c r="C9817" s="49" t="s">
        <v>78</v>
      </c>
      <c r="D9817" s="49">
        <v>0.0</v>
      </c>
    </row>
    <row r="9818" ht="15.0" hidden="1" customHeight="1">
      <c r="A9818" s="49" t="s">
        <v>253</v>
      </c>
      <c r="B9818" s="50">
        <v>45657.0</v>
      </c>
      <c r="C9818" s="49" t="s">
        <v>78</v>
      </c>
      <c r="D9818" s="49">
        <v>0.0</v>
      </c>
    </row>
    <row r="9819" ht="15.0" hidden="1" customHeight="1">
      <c r="A9819" s="49" t="s">
        <v>258</v>
      </c>
      <c r="B9819" s="50">
        <v>45657.0</v>
      </c>
      <c r="C9819" s="49" t="s">
        <v>78</v>
      </c>
      <c r="D9819" s="49">
        <v>0.0</v>
      </c>
    </row>
    <row r="9820" ht="15.0" hidden="1" customHeight="1">
      <c r="A9820" s="49" t="s">
        <v>263</v>
      </c>
      <c r="B9820" s="50">
        <v>45657.0</v>
      </c>
      <c r="C9820" s="49" t="s">
        <v>78</v>
      </c>
      <c r="D9820" s="49">
        <v>0.0</v>
      </c>
    </row>
    <row r="9821" ht="15.0" hidden="1" customHeight="1">
      <c r="A9821" s="49" t="s">
        <v>268</v>
      </c>
      <c r="B9821" s="50">
        <v>45657.0</v>
      </c>
      <c r="C9821" s="49" t="s">
        <v>78</v>
      </c>
      <c r="D9821" s="49">
        <v>0.0</v>
      </c>
    </row>
    <row r="9822" ht="15.0" hidden="1" customHeight="1">
      <c r="A9822" s="49" t="s">
        <v>273</v>
      </c>
      <c r="B9822" s="50">
        <v>45657.0</v>
      </c>
      <c r="C9822" s="49" t="s">
        <v>78</v>
      </c>
      <c r="D9822" s="49">
        <v>0.0</v>
      </c>
    </row>
    <row r="9823" ht="15.0" hidden="1" customHeight="1">
      <c r="A9823" s="49" t="s">
        <v>278</v>
      </c>
      <c r="B9823" s="50">
        <v>45657.0</v>
      </c>
      <c r="C9823" s="49" t="s">
        <v>78</v>
      </c>
      <c r="D9823" s="49">
        <v>0.0</v>
      </c>
    </row>
    <row r="9824" ht="15.0" hidden="1" customHeight="1">
      <c r="A9824" s="49" t="s">
        <v>283</v>
      </c>
      <c r="B9824" s="50">
        <v>45657.0</v>
      </c>
      <c r="C9824" s="49" t="s">
        <v>78</v>
      </c>
      <c r="D9824" s="49">
        <v>0.0</v>
      </c>
    </row>
    <row r="9825" ht="15.0" hidden="1" customHeight="1">
      <c r="A9825" s="49" t="s">
        <v>288</v>
      </c>
      <c r="B9825" s="50">
        <v>45657.0</v>
      </c>
      <c r="C9825" s="49" t="s">
        <v>78</v>
      </c>
      <c r="D9825" s="49">
        <v>0.0</v>
      </c>
    </row>
    <row r="9826" ht="15.0" hidden="1" customHeight="1">
      <c r="A9826" s="49" t="s">
        <v>293</v>
      </c>
      <c r="B9826" s="50">
        <v>45657.0</v>
      </c>
      <c r="C9826" s="49" t="s">
        <v>78</v>
      </c>
      <c r="D9826" s="49">
        <v>0.0</v>
      </c>
    </row>
    <row r="9827" ht="15.0" hidden="1" customHeight="1">
      <c r="A9827" s="49" t="s">
        <v>298</v>
      </c>
      <c r="B9827" s="50">
        <v>45657.0</v>
      </c>
      <c r="C9827" s="49" t="s">
        <v>78</v>
      </c>
      <c r="D9827" s="49">
        <v>0.0</v>
      </c>
    </row>
    <row r="9828" ht="15.0" hidden="1" customHeight="1">
      <c r="A9828" s="49" t="s">
        <v>303</v>
      </c>
      <c r="B9828" s="50">
        <v>45657.0</v>
      </c>
      <c r="C9828" s="49" t="s">
        <v>78</v>
      </c>
      <c r="D9828" s="49">
        <v>0.0</v>
      </c>
    </row>
    <row r="9829" ht="15.0" hidden="1" customHeight="1">
      <c r="A9829" s="49" t="s">
        <v>307</v>
      </c>
      <c r="B9829" s="50">
        <v>45657.0</v>
      </c>
      <c r="C9829" s="49" t="s">
        <v>78</v>
      </c>
      <c r="D9829" s="49">
        <v>0.0</v>
      </c>
    </row>
    <row r="9830" ht="15.0" hidden="1" customHeight="1">
      <c r="A9830" s="49" t="s">
        <v>313</v>
      </c>
      <c r="B9830" s="50">
        <v>45657.0</v>
      </c>
      <c r="C9830" s="49" t="s">
        <v>78</v>
      </c>
      <c r="D9830" s="49">
        <v>0.0</v>
      </c>
    </row>
    <row r="9831" ht="15.0" hidden="1" customHeight="1">
      <c r="A9831" s="49" t="s">
        <v>318</v>
      </c>
      <c r="B9831" s="50">
        <v>45657.0</v>
      </c>
      <c r="C9831" s="49" t="s">
        <v>78</v>
      </c>
      <c r="D9831" s="49">
        <v>0.0</v>
      </c>
    </row>
    <row r="9832" ht="15.0" hidden="1" customHeight="1">
      <c r="A9832" s="49" t="s">
        <v>323</v>
      </c>
      <c r="B9832" s="50">
        <v>45657.0</v>
      </c>
      <c r="C9832" s="49" t="s">
        <v>78</v>
      </c>
      <c r="D9832" s="49">
        <v>0.0</v>
      </c>
    </row>
    <row r="9833" ht="15.0" hidden="1" customHeight="1">
      <c r="A9833" s="49" t="s">
        <v>328</v>
      </c>
      <c r="B9833" s="50">
        <v>45657.0</v>
      </c>
      <c r="C9833" s="49" t="s">
        <v>78</v>
      </c>
      <c r="D9833" s="49">
        <v>0.0</v>
      </c>
    </row>
    <row r="9834" ht="15.0" hidden="1" customHeight="1">
      <c r="A9834" s="49" t="s">
        <v>335</v>
      </c>
      <c r="B9834" s="50">
        <v>45657.0</v>
      </c>
      <c r="C9834" s="49" t="s">
        <v>78</v>
      </c>
      <c r="D9834" s="49">
        <v>0.0</v>
      </c>
    </row>
    <row r="9835" ht="15.0" hidden="1" customHeight="1">
      <c r="A9835" s="49" t="s">
        <v>340</v>
      </c>
      <c r="B9835" s="50">
        <v>45657.0</v>
      </c>
      <c r="C9835" s="49" t="s">
        <v>78</v>
      </c>
      <c r="D9835" s="49">
        <v>0.0</v>
      </c>
    </row>
    <row r="9836" ht="15.0" hidden="1" customHeight="1">
      <c r="A9836" s="49" t="s">
        <v>345</v>
      </c>
      <c r="B9836" s="50">
        <v>45657.0</v>
      </c>
      <c r="C9836" s="49" t="s">
        <v>78</v>
      </c>
      <c r="D9836" s="49">
        <v>0.0</v>
      </c>
    </row>
    <row r="9837" ht="15.0" hidden="1" customHeight="1">
      <c r="A9837" s="49" t="s">
        <v>350</v>
      </c>
      <c r="B9837" s="50">
        <v>45657.0</v>
      </c>
      <c r="C9837" s="49" t="s">
        <v>78</v>
      </c>
      <c r="D9837" s="49">
        <v>0.0</v>
      </c>
    </row>
    <row r="9838" ht="15.0" hidden="1" customHeight="1">
      <c r="A9838" s="49" t="s">
        <v>355</v>
      </c>
      <c r="B9838" s="50">
        <v>45657.0</v>
      </c>
      <c r="C9838" s="49" t="s">
        <v>78</v>
      </c>
      <c r="D9838" s="49">
        <v>0.0</v>
      </c>
    </row>
    <row r="9839" ht="15.0" hidden="1" customHeight="1">
      <c r="A9839" s="49" t="s">
        <v>360</v>
      </c>
      <c r="B9839" s="50">
        <v>45657.0</v>
      </c>
      <c r="C9839" s="49" t="s">
        <v>78</v>
      </c>
      <c r="D9839" s="49">
        <v>0.0</v>
      </c>
    </row>
    <row r="9840" ht="15.0" hidden="1" customHeight="1">
      <c r="A9840" s="49" t="s">
        <v>365</v>
      </c>
      <c r="B9840" s="50">
        <v>45657.0</v>
      </c>
      <c r="C9840" s="49" t="s">
        <v>78</v>
      </c>
      <c r="D9840" s="49">
        <v>0.0</v>
      </c>
    </row>
    <row r="9841" ht="15.0" hidden="1" customHeight="1">
      <c r="A9841" s="49" t="s">
        <v>370</v>
      </c>
      <c r="B9841" s="50">
        <v>45657.0</v>
      </c>
      <c r="C9841" s="49" t="s">
        <v>78</v>
      </c>
      <c r="D9841" s="49">
        <v>0.0</v>
      </c>
    </row>
    <row r="9842" ht="15.0" hidden="1" customHeight="1">
      <c r="A9842" s="49" t="s">
        <v>375</v>
      </c>
      <c r="B9842" s="50">
        <v>45657.0</v>
      </c>
      <c r="C9842" s="49" t="s">
        <v>78</v>
      </c>
      <c r="D9842" s="49">
        <v>0.0</v>
      </c>
    </row>
    <row r="9843" ht="15.0" hidden="1" customHeight="1">
      <c r="A9843" s="49" t="s">
        <v>380</v>
      </c>
      <c r="B9843" s="50">
        <v>45657.0</v>
      </c>
      <c r="C9843" s="49" t="s">
        <v>78</v>
      </c>
      <c r="D9843" s="49">
        <v>0.0</v>
      </c>
    </row>
    <row r="9844" ht="15.0" hidden="1" customHeight="1">
      <c r="A9844" s="49" t="s">
        <v>385</v>
      </c>
      <c r="B9844" s="50">
        <v>45657.0</v>
      </c>
      <c r="C9844" s="49" t="s">
        <v>78</v>
      </c>
      <c r="D9844" s="49">
        <v>0.0</v>
      </c>
    </row>
    <row r="9845" ht="15.0" hidden="1" customHeight="1">
      <c r="A9845" s="49" t="s">
        <v>390</v>
      </c>
      <c r="B9845" s="50">
        <v>45657.0</v>
      </c>
      <c r="C9845" s="49" t="s">
        <v>78</v>
      </c>
      <c r="D9845" s="49">
        <v>0.0</v>
      </c>
    </row>
    <row r="9846" ht="15.0" hidden="1" customHeight="1">
      <c r="A9846" s="49" t="s">
        <v>395</v>
      </c>
      <c r="B9846" s="50">
        <v>45657.0</v>
      </c>
      <c r="C9846" s="49" t="s">
        <v>78</v>
      </c>
      <c r="D9846" s="49">
        <v>0.0</v>
      </c>
    </row>
    <row r="9847" ht="15.0" hidden="1" customHeight="1">
      <c r="A9847" s="49" t="s">
        <v>400</v>
      </c>
      <c r="B9847" s="50">
        <v>45657.0</v>
      </c>
      <c r="C9847" s="49" t="s">
        <v>78</v>
      </c>
      <c r="D9847" s="49">
        <v>0.0</v>
      </c>
    </row>
    <row r="9848" ht="15.0" hidden="1" customHeight="1">
      <c r="A9848" s="49" t="s">
        <v>405</v>
      </c>
      <c r="B9848" s="50">
        <v>45657.0</v>
      </c>
      <c r="C9848" s="49" t="s">
        <v>78</v>
      </c>
      <c r="D9848" s="49">
        <v>0.0</v>
      </c>
    </row>
    <row r="9849" ht="15.0" hidden="1" customHeight="1">
      <c r="A9849" s="49" t="s">
        <v>410</v>
      </c>
      <c r="B9849" s="50">
        <v>45657.0</v>
      </c>
      <c r="C9849" s="49" t="s">
        <v>78</v>
      </c>
      <c r="D9849" s="49">
        <v>0.0</v>
      </c>
    </row>
    <row r="9850" ht="15.0" hidden="1" customHeight="1">
      <c r="A9850" s="49" t="s">
        <v>415</v>
      </c>
      <c r="B9850" s="50">
        <v>45657.0</v>
      </c>
      <c r="C9850" s="49" t="s">
        <v>78</v>
      </c>
      <c r="D9850" s="49">
        <v>0.0</v>
      </c>
    </row>
    <row r="9851" ht="15.0" hidden="1" customHeight="1">
      <c r="A9851" s="49" t="s">
        <v>420</v>
      </c>
      <c r="B9851" s="50">
        <v>45657.0</v>
      </c>
      <c r="C9851" s="49" t="s">
        <v>78</v>
      </c>
      <c r="D9851" s="49">
        <v>0.0</v>
      </c>
    </row>
    <row r="9852" ht="15.0" hidden="1" customHeight="1">
      <c r="A9852" s="49" t="s">
        <v>425</v>
      </c>
      <c r="B9852" s="50">
        <v>45657.0</v>
      </c>
      <c r="C9852" s="49" t="s">
        <v>78</v>
      </c>
      <c r="D9852" s="49">
        <v>0.0</v>
      </c>
    </row>
    <row r="9853" ht="15.0" hidden="1" customHeight="1">
      <c r="A9853" s="49" t="s">
        <v>430</v>
      </c>
      <c r="B9853" s="50">
        <v>45657.0</v>
      </c>
      <c r="C9853" s="49" t="s">
        <v>78</v>
      </c>
      <c r="D9853" s="49">
        <v>0.0</v>
      </c>
    </row>
    <row r="9854" ht="15.0" hidden="1" customHeight="1">
      <c r="A9854" s="49" t="s">
        <v>434</v>
      </c>
      <c r="B9854" s="50">
        <v>45657.0</v>
      </c>
      <c r="C9854" s="49" t="s">
        <v>78</v>
      </c>
      <c r="D9854" s="49">
        <v>0.0</v>
      </c>
    </row>
    <row r="9855" ht="15.0" hidden="1" customHeight="1">
      <c r="A9855" s="49" t="s">
        <v>439</v>
      </c>
      <c r="B9855" s="50">
        <v>45657.0</v>
      </c>
      <c r="C9855" s="49" t="s">
        <v>78</v>
      </c>
      <c r="D9855" s="49">
        <v>0.0</v>
      </c>
    </row>
    <row r="9856" ht="15.0" hidden="1" customHeight="1">
      <c r="A9856" s="49" t="s">
        <v>444</v>
      </c>
      <c r="B9856" s="50">
        <v>45657.0</v>
      </c>
      <c r="C9856" s="49" t="s">
        <v>78</v>
      </c>
      <c r="D9856" s="49">
        <v>0.0</v>
      </c>
    </row>
    <row r="9857" ht="15.0" hidden="1" customHeight="1">
      <c r="A9857" s="49" t="s">
        <v>449</v>
      </c>
      <c r="B9857" s="50">
        <v>45657.0</v>
      </c>
      <c r="C9857" s="49" t="s">
        <v>78</v>
      </c>
      <c r="D9857" s="49">
        <v>0.0</v>
      </c>
    </row>
    <row r="9858" ht="15.0" hidden="1" customHeight="1">
      <c r="A9858" s="49" t="s">
        <v>455</v>
      </c>
      <c r="B9858" s="50">
        <v>45657.0</v>
      </c>
      <c r="C9858" s="49" t="s">
        <v>78</v>
      </c>
      <c r="D9858" s="49">
        <v>0.0</v>
      </c>
    </row>
    <row r="9859" ht="15.0" hidden="1" customHeight="1">
      <c r="A9859" s="49" t="s">
        <v>470</v>
      </c>
      <c r="B9859" s="50">
        <v>45657.0</v>
      </c>
      <c r="C9859" s="49" t="s">
        <v>78</v>
      </c>
      <c r="D9859" s="49">
        <v>0.0</v>
      </c>
    </row>
    <row r="9860" ht="15.0" hidden="1" customHeight="1">
      <c r="A9860" s="49" t="s">
        <v>476</v>
      </c>
      <c r="B9860" s="50">
        <v>45657.0</v>
      </c>
      <c r="C9860" s="49" t="s">
        <v>78</v>
      </c>
      <c r="D9860" s="49">
        <v>0.0</v>
      </c>
    </row>
    <row r="9861" ht="15.0" hidden="1" customHeight="1">
      <c r="A9861" s="49" t="s">
        <v>481</v>
      </c>
      <c r="B9861" s="50">
        <v>45657.0</v>
      </c>
      <c r="C9861" s="49" t="s">
        <v>78</v>
      </c>
      <c r="D9861" s="49">
        <v>0.0</v>
      </c>
    </row>
    <row r="9862" ht="15.0" hidden="1" customHeight="1">
      <c r="A9862" s="49" t="s">
        <v>486</v>
      </c>
      <c r="B9862" s="50">
        <v>45657.0</v>
      </c>
      <c r="C9862" s="49" t="s">
        <v>78</v>
      </c>
      <c r="D9862" s="49">
        <v>0.0</v>
      </c>
    </row>
    <row r="9863" ht="15.0" hidden="1" customHeight="1">
      <c r="A9863" s="49" t="s">
        <v>491</v>
      </c>
      <c r="B9863" s="50">
        <v>45657.0</v>
      </c>
      <c r="C9863" s="49" t="s">
        <v>78</v>
      </c>
      <c r="D9863" s="49">
        <v>0.0</v>
      </c>
    </row>
    <row r="9864" ht="15.0" hidden="1" customHeight="1">
      <c r="A9864" s="49" t="s">
        <v>496</v>
      </c>
      <c r="B9864" s="50">
        <v>45657.0</v>
      </c>
      <c r="C9864" s="49" t="s">
        <v>78</v>
      </c>
      <c r="D9864" s="49">
        <v>0.0</v>
      </c>
    </row>
    <row r="9865" ht="15.0" hidden="1" customHeight="1">
      <c r="A9865" s="49" t="s">
        <v>501</v>
      </c>
      <c r="B9865" s="50">
        <v>45657.0</v>
      </c>
      <c r="C9865" s="49" t="s">
        <v>78</v>
      </c>
      <c r="D9865" s="49">
        <v>0.0</v>
      </c>
    </row>
    <row r="9866" ht="15.0" hidden="1" customHeight="1">
      <c r="A9866" s="49" t="s">
        <v>506</v>
      </c>
      <c r="B9866" s="50">
        <v>45657.0</v>
      </c>
      <c r="C9866" s="49" t="s">
        <v>78</v>
      </c>
      <c r="D9866" s="49">
        <v>0.0</v>
      </c>
    </row>
    <row r="9867" ht="15.0" hidden="1" customHeight="1">
      <c r="A9867" s="49" t="s">
        <v>512</v>
      </c>
      <c r="B9867" s="50">
        <v>45657.0</v>
      </c>
      <c r="C9867" s="49" t="s">
        <v>78</v>
      </c>
      <c r="D9867" s="49">
        <v>0.0</v>
      </c>
    </row>
    <row r="9868" ht="15.0" hidden="1" customHeight="1">
      <c r="A9868" s="49" t="s">
        <v>517</v>
      </c>
      <c r="B9868" s="50">
        <v>45657.0</v>
      </c>
      <c r="C9868" s="49" t="s">
        <v>78</v>
      </c>
      <c r="D9868" s="49">
        <v>0.0</v>
      </c>
    </row>
    <row r="9869" ht="15.0" hidden="1" customHeight="1">
      <c r="A9869" s="49" t="s">
        <v>522</v>
      </c>
      <c r="B9869" s="50">
        <v>45657.0</v>
      </c>
      <c r="C9869" s="49" t="s">
        <v>78</v>
      </c>
      <c r="D9869" s="49">
        <v>0.0</v>
      </c>
    </row>
    <row r="9870" ht="15.0" hidden="1" customHeight="1">
      <c r="A9870" s="49" t="s">
        <v>528</v>
      </c>
      <c r="B9870" s="50">
        <v>45657.0</v>
      </c>
      <c r="C9870" s="49" t="s">
        <v>78</v>
      </c>
      <c r="D9870" s="49">
        <v>0.0</v>
      </c>
    </row>
    <row r="9871" ht="15.0" hidden="1" customHeight="1">
      <c r="A9871" s="49" t="s">
        <v>533</v>
      </c>
      <c r="B9871" s="50">
        <v>45657.0</v>
      </c>
      <c r="C9871" s="49" t="s">
        <v>78</v>
      </c>
      <c r="D9871" s="49">
        <v>0.0</v>
      </c>
    </row>
    <row r="9872" ht="15.0" hidden="1" customHeight="1">
      <c r="A9872" s="49" t="s">
        <v>538</v>
      </c>
      <c r="B9872" s="50">
        <v>45657.0</v>
      </c>
      <c r="C9872" s="49" t="s">
        <v>78</v>
      </c>
      <c r="D9872" s="49">
        <v>0.0</v>
      </c>
    </row>
    <row r="9873" ht="15.0" hidden="1" customHeight="1">
      <c r="A9873" s="49" t="s">
        <v>546</v>
      </c>
      <c r="B9873" s="50">
        <v>45657.0</v>
      </c>
      <c r="C9873" s="49" t="s">
        <v>78</v>
      </c>
      <c r="D9873" s="49">
        <v>0.0</v>
      </c>
    </row>
    <row r="9874" ht="15.0" hidden="1" customHeight="1">
      <c r="A9874" s="49" t="s">
        <v>551</v>
      </c>
      <c r="B9874" s="50">
        <v>45657.0</v>
      </c>
      <c r="C9874" s="49" t="s">
        <v>78</v>
      </c>
      <c r="D9874" s="49">
        <v>0.0</v>
      </c>
    </row>
    <row r="9875" ht="15.0" hidden="1" customHeight="1">
      <c r="A9875" s="49" t="s">
        <v>556</v>
      </c>
      <c r="B9875" s="50">
        <v>45657.0</v>
      </c>
      <c r="C9875" s="49" t="s">
        <v>78</v>
      </c>
      <c r="D9875" s="49">
        <v>0.0</v>
      </c>
    </row>
    <row r="9876" ht="15.0" hidden="1" customHeight="1">
      <c r="A9876" s="49" t="s">
        <v>561</v>
      </c>
      <c r="B9876" s="50">
        <v>45657.0</v>
      </c>
      <c r="C9876" s="49" t="s">
        <v>78</v>
      </c>
      <c r="D9876" s="49">
        <v>0.0</v>
      </c>
    </row>
    <row r="9877" ht="15.0" hidden="1" customHeight="1">
      <c r="A9877" s="49" t="s">
        <v>566</v>
      </c>
      <c r="B9877" s="50">
        <v>45657.0</v>
      </c>
      <c r="C9877" s="49" t="s">
        <v>78</v>
      </c>
      <c r="D9877" s="49">
        <v>0.0</v>
      </c>
    </row>
    <row r="9878" ht="15.0" hidden="1" customHeight="1">
      <c r="A9878" s="49" t="s">
        <v>571</v>
      </c>
      <c r="B9878" s="50">
        <v>45657.0</v>
      </c>
      <c r="C9878" s="49" t="s">
        <v>78</v>
      </c>
      <c r="D9878" s="49">
        <v>0.0</v>
      </c>
    </row>
    <row r="9879" ht="15.0" hidden="1" customHeight="1">
      <c r="A9879" s="49" t="s">
        <v>576</v>
      </c>
      <c r="B9879" s="50">
        <v>45657.0</v>
      </c>
      <c r="C9879" s="49" t="s">
        <v>78</v>
      </c>
      <c r="D9879" s="49">
        <v>480000.0</v>
      </c>
    </row>
    <row r="9880" ht="15.0" hidden="1" customHeight="1">
      <c r="A9880" s="49" t="s">
        <v>581</v>
      </c>
      <c r="B9880" s="50">
        <v>45657.0</v>
      </c>
      <c r="C9880" s="49" t="s">
        <v>78</v>
      </c>
      <c r="D9880" s="49">
        <v>0.0</v>
      </c>
    </row>
    <row r="9881" ht="15.0" hidden="1" customHeight="1">
      <c r="A9881" s="49" t="s">
        <v>586</v>
      </c>
      <c r="B9881" s="50">
        <v>45657.0</v>
      </c>
      <c r="C9881" s="49" t="s">
        <v>78</v>
      </c>
      <c r="D9881" s="49">
        <v>0.0</v>
      </c>
    </row>
    <row r="9882" ht="15.0" hidden="1" customHeight="1">
      <c r="A9882" s="49" t="s">
        <v>754</v>
      </c>
      <c r="B9882" s="50">
        <v>45657.0</v>
      </c>
      <c r="C9882" s="49" t="s">
        <v>78</v>
      </c>
      <c r="D9882" s="49">
        <v>0.0</v>
      </c>
    </row>
    <row r="9883" ht="15.0" hidden="1" customHeight="1">
      <c r="A9883" s="49" t="s">
        <v>591</v>
      </c>
      <c r="B9883" s="50">
        <v>45657.0</v>
      </c>
      <c r="C9883" s="49" t="s">
        <v>78</v>
      </c>
      <c r="D9883" s="49">
        <v>188000.0</v>
      </c>
    </row>
    <row r="9884" ht="15.0" hidden="1" customHeight="1">
      <c r="A9884" s="49" t="s">
        <v>759</v>
      </c>
      <c r="B9884" s="50">
        <v>45657.0</v>
      </c>
      <c r="C9884" s="49" t="s">
        <v>78</v>
      </c>
      <c r="D9884" s="49">
        <v>6449999.99</v>
      </c>
    </row>
    <row r="9885" ht="15.0" hidden="1" customHeight="1">
      <c r="A9885" s="49" t="s">
        <v>596</v>
      </c>
      <c r="B9885" s="50">
        <v>45657.0</v>
      </c>
      <c r="C9885" s="49" t="s">
        <v>78</v>
      </c>
      <c r="D9885" s="49">
        <v>0.0</v>
      </c>
    </row>
    <row r="9886" ht="15.0" hidden="1" customHeight="1">
      <c r="A9886" s="49" t="s">
        <v>602</v>
      </c>
      <c r="B9886" s="50">
        <v>45657.0</v>
      </c>
      <c r="C9886" s="49" t="s">
        <v>78</v>
      </c>
      <c r="D9886" s="49">
        <v>1450000.0</v>
      </c>
    </row>
    <row r="9887" ht="15.0" hidden="1" customHeight="1">
      <c r="A9887" s="49" t="s">
        <v>607</v>
      </c>
      <c r="B9887" s="50">
        <v>45657.0</v>
      </c>
      <c r="C9887" s="49" t="s">
        <v>78</v>
      </c>
      <c r="D9887" s="49">
        <v>0.0</v>
      </c>
    </row>
    <row r="9888" ht="15.0" hidden="1" customHeight="1">
      <c r="A9888" s="49" t="s">
        <v>612</v>
      </c>
      <c r="B9888" s="50">
        <v>45657.0</v>
      </c>
      <c r="C9888" s="49" t="s">
        <v>78</v>
      </c>
      <c r="D9888" s="49">
        <v>0.0</v>
      </c>
    </row>
    <row r="9889" ht="15.0" hidden="1" customHeight="1">
      <c r="A9889" s="49" t="s">
        <v>617</v>
      </c>
      <c r="B9889" s="50">
        <v>45657.0</v>
      </c>
      <c r="C9889" s="49" t="s">
        <v>78</v>
      </c>
      <c r="D9889" s="49">
        <v>0.0</v>
      </c>
    </row>
    <row r="9890" ht="15.0" hidden="1" customHeight="1">
      <c r="A9890" s="49" t="s">
        <v>622</v>
      </c>
      <c r="B9890" s="50">
        <v>45657.0</v>
      </c>
      <c r="C9890" s="49" t="s">
        <v>78</v>
      </c>
      <c r="D9890" s="49">
        <v>0.0</v>
      </c>
    </row>
    <row r="9891" ht="15.0" hidden="1" customHeight="1">
      <c r="A9891" s="49" t="s">
        <v>627</v>
      </c>
      <c r="B9891" s="50">
        <v>45657.0</v>
      </c>
      <c r="C9891" s="49" t="s">
        <v>78</v>
      </c>
      <c r="D9891" s="49">
        <v>0.0</v>
      </c>
    </row>
    <row r="9892" ht="15.0" hidden="1" customHeight="1">
      <c r="A9892" s="49" t="s">
        <v>631</v>
      </c>
      <c r="B9892" s="50">
        <v>45657.0</v>
      </c>
      <c r="C9892" s="49" t="s">
        <v>78</v>
      </c>
      <c r="D9892" s="49">
        <v>0.0</v>
      </c>
    </row>
    <row r="9893" ht="15.0" hidden="1" customHeight="1">
      <c r="A9893" s="49" t="s">
        <v>636</v>
      </c>
      <c r="B9893" s="50">
        <v>45657.0</v>
      </c>
      <c r="C9893" s="49" t="s">
        <v>78</v>
      </c>
      <c r="D9893" s="49">
        <v>0.0</v>
      </c>
    </row>
    <row r="9894" ht="15.0" hidden="1" customHeight="1">
      <c r="A9894" s="49" t="s">
        <v>640</v>
      </c>
      <c r="B9894" s="50">
        <v>45657.0</v>
      </c>
      <c r="C9894" s="49" t="s">
        <v>78</v>
      </c>
      <c r="D9894" s="49">
        <v>0.0</v>
      </c>
    </row>
    <row r="9895" ht="15.0" hidden="1" customHeight="1">
      <c r="A9895" s="49" t="s">
        <v>644</v>
      </c>
      <c r="B9895" s="50">
        <v>45657.0</v>
      </c>
      <c r="C9895" s="49" t="s">
        <v>78</v>
      </c>
      <c r="D9895" s="49">
        <v>0.0</v>
      </c>
    </row>
    <row r="9896" ht="15.0" hidden="1" customHeight="1">
      <c r="A9896" s="49" t="s">
        <v>649</v>
      </c>
      <c r="B9896" s="50">
        <v>45657.0</v>
      </c>
      <c r="C9896" s="49" t="s">
        <v>78</v>
      </c>
      <c r="D9896" s="49">
        <v>0.0</v>
      </c>
    </row>
    <row r="9897" ht="15.0" hidden="1" customHeight="1">
      <c r="A9897" s="49" t="s">
        <v>654</v>
      </c>
      <c r="B9897" s="50">
        <v>45657.0</v>
      </c>
      <c r="C9897" s="49" t="s">
        <v>78</v>
      </c>
      <c r="D9897" s="49">
        <v>0.0</v>
      </c>
    </row>
    <row r="9898" ht="15.0" hidden="1" customHeight="1">
      <c r="A9898" s="49" t="s">
        <v>659</v>
      </c>
      <c r="B9898" s="50">
        <v>45657.0</v>
      </c>
      <c r="C9898" s="49" t="s">
        <v>78</v>
      </c>
      <c r="D9898" s="49">
        <v>0.0</v>
      </c>
    </row>
    <row r="9899" ht="15.0" hidden="1" customHeight="1">
      <c r="A9899" s="49" t="s">
        <v>664</v>
      </c>
      <c r="B9899" s="50">
        <v>45657.0</v>
      </c>
      <c r="C9899" s="49" t="s">
        <v>78</v>
      </c>
      <c r="D9899" s="49">
        <v>0.0</v>
      </c>
    </row>
    <row r="9900" ht="15.0" hidden="1" customHeight="1">
      <c r="A9900" s="49" t="s">
        <v>669</v>
      </c>
      <c r="B9900" s="50">
        <v>45657.0</v>
      </c>
      <c r="C9900" s="49" t="s">
        <v>78</v>
      </c>
      <c r="D9900" s="49">
        <v>0.0</v>
      </c>
    </row>
    <row r="9901" ht="15.0" hidden="1" customHeight="1">
      <c r="A9901" s="49" t="s">
        <v>674</v>
      </c>
      <c r="B9901" s="50">
        <v>45657.0</v>
      </c>
      <c r="C9901" s="49" t="s">
        <v>78</v>
      </c>
      <c r="D9901" s="49">
        <v>0.0</v>
      </c>
    </row>
    <row r="9902" ht="15.0" hidden="1" customHeight="1">
      <c r="A9902" s="49" t="s">
        <v>679</v>
      </c>
      <c r="B9902" s="50">
        <v>45657.0</v>
      </c>
      <c r="C9902" s="49" t="s">
        <v>78</v>
      </c>
      <c r="D9902" s="49">
        <v>0.0</v>
      </c>
    </row>
    <row r="9903" ht="15.0" hidden="1" customHeight="1">
      <c r="A9903" s="49" t="s">
        <v>684</v>
      </c>
      <c r="B9903" s="50">
        <v>45657.0</v>
      </c>
      <c r="C9903" s="49" t="s">
        <v>78</v>
      </c>
      <c r="D9903" s="49">
        <v>0.0</v>
      </c>
    </row>
    <row r="9904" ht="15.0" hidden="1" customHeight="1">
      <c r="A9904" s="49" t="s">
        <v>689</v>
      </c>
      <c r="B9904" s="50">
        <v>45657.0</v>
      </c>
      <c r="C9904" s="49" t="s">
        <v>78</v>
      </c>
      <c r="D9904" s="49">
        <v>0.0</v>
      </c>
    </row>
    <row r="9905" ht="15.0" hidden="1" customHeight="1">
      <c r="A9905" s="49" t="s">
        <v>694</v>
      </c>
      <c r="B9905" s="50">
        <v>45657.0</v>
      </c>
      <c r="C9905" s="49" t="s">
        <v>78</v>
      </c>
      <c r="D9905" s="49">
        <v>0.0</v>
      </c>
    </row>
    <row r="9906" ht="15.0" hidden="1" customHeight="1">
      <c r="A9906" s="49" t="s">
        <v>699</v>
      </c>
      <c r="B9906" s="50">
        <v>45657.0</v>
      </c>
      <c r="C9906" s="49" t="s">
        <v>78</v>
      </c>
      <c r="D9906" s="49">
        <v>0.0</v>
      </c>
    </row>
    <row r="9907" ht="15.0" hidden="1" customHeight="1">
      <c r="A9907" s="49" t="s">
        <v>705</v>
      </c>
      <c r="B9907" s="50">
        <v>45657.0</v>
      </c>
      <c r="C9907" s="49" t="s">
        <v>78</v>
      </c>
      <c r="D9907" s="49">
        <v>0.0</v>
      </c>
    </row>
    <row r="9908" ht="15.0" hidden="1" customHeight="1">
      <c r="A9908" s="49" t="s">
        <v>710</v>
      </c>
      <c r="B9908" s="50">
        <v>45657.0</v>
      </c>
      <c r="C9908" s="49" t="s">
        <v>78</v>
      </c>
      <c r="D9908" s="49">
        <v>0.0</v>
      </c>
    </row>
    <row r="9909" ht="15.0" hidden="1" customHeight="1">
      <c r="A9909" s="49" t="s">
        <v>715</v>
      </c>
      <c r="B9909" s="50">
        <v>45657.0</v>
      </c>
      <c r="C9909" s="49" t="s">
        <v>78</v>
      </c>
      <c r="D9909" s="49">
        <v>0.0</v>
      </c>
    </row>
    <row r="9910" ht="15.0" hidden="1" customHeight="1">
      <c r="A9910" s="49" t="s">
        <v>765</v>
      </c>
      <c r="B9910" s="50">
        <v>45657.0</v>
      </c>
      <c r="C9910" s="49" t="s">
        <v>78</v>
      </c>
      <c r="D9910" s="49">
        <v>0.0</v>
      </c>
    </row>
    <row r="9911" ht="15.0" hidden="1" customHeight="1">
      <c r="A9911" s="49" t="s">
        <v>720</v>
      </c>
      <c r="B9911" s="50">
        <v>45657.0</v>
      </c>
      <c r="C9911" s="49" t="s">
        <v>78</v>
      </c>
      <c r="D9911" s="49">
        <v>0.0</v>
      </c>
    </row>
    <row r="9912" ht="15.0" hidden="1" customHeight="1">
      <c r="A9912" s="49" t="s">
        <v>725</v>
      </c>
      <c r="B9912" s="50">
        <v>45657.0</v>
      </c>
      <c r="C9912" s="49" t="s">
        <v>78</v>
      </c>
      <c r="D9912" s="49">
        <v>0.0</v>
      </c>
    </row>
    <row r="9913" ht="15.0" hidden="1" customHeight="1">
      <c r="A9913" s="49" t="s">
        <v>730</v>
      </c>
      <c r="B9913" s="50">
        <v>45657.0</v>
      </c>
      <c r="C9913" s="49" t="s">
        <v>78</v>
      </c>
      <c r="D9913" s="49">
        <v>0.0</v>
      </c>
    </row>
    <row r="9914" ht="15.0" hidden="1" customHeight="1">
      <c r="A9914" s="49" t="s">
        <v>734</v>
      </c>
      <c r="B9914" s="50">
        <v>45657.0</v>
      </c>
      <c r="C9914" s="49" t="s">
        <v>78</v>
      </c>
      <c r="D9914" s="49">
        <v>0.0</v>
      </c>
    </row>
    <row r="9915" ht="15.0" hidden="1" customHeight="1">
      <c r="A9915" s="49" t="s">
        <v>739</v>
      </c>
      <c r="B9915" s="50">
        <v>45657.0</v>
      </c>
      <c r="C9915" s="49" t="s">
        <v>78</v>
      </c>
      <c r="D9915" s="49">
        <v>0.0</v>
      </c>
    </row>
    <row r="9916" ht="15.0" hidden="1" customHeight="1">
      <c r="A9916" s="49" t="s">
        <v>744</v>
      </c>
      <c r="B9916" s="50">
        <v>45657.0</v>
      </c>
      <c r="C9916" s="49" t="s">
        <v>78</v>
      </c>
      <c r="D9916" s="49">
        <v>0.0</v>
      </c>
    </row>
    <row r="9917" ht="15.0" hidden="1" customHeight="1">
      <c r="A9917" s="49" t="s">
        <v>749</v>
      </c>
      <c r="B9917" s="50">
        <v>45657.0</v>
      </c>
      <c r="C9917" s="49" t="s">
        <v>78</v>
      </c>
      <c r="D9917" s="49">
        <v>0.0</v>
      </c>
    </row>
    <row r="9918" ht="15.0" customHeight="1">
      <c r="A9918" s="49" t="s">
        <v>776</v>
      </c>
      <c r="B9918" s="50">
        <v>45657.0</v>
      </c>
      <c r="C9918" s="49" t="s">
        <v>69</v>
      </c>
      <c r="D9918" s="49">
        <v>0.0</v>
      </c>
    </row>
    <row r="9919" ht="15.0" hidden="1" customHeight="1">
      <c r="A9919" s="49" t="s">
        <v>778</v>
      </c>
      <c r="B9919" s="50">
        <v>45657.0</v>
      </c>
      <c r="C9919" s="49" t="s">
        <v>69</v>
      </c>
      <c r="D9919" s="49">
        <v>0.0</v>
      </c>
    </row>
    <row r="9920" ht="15.0" hidden="1" customHeight="1">
      <c r="A9920" s="49" t="s">
        <v>92</v>
      </c>
      <c r="B9920" s="50">
        <v>45657.0</v>
      </c>
      <c r="C9920" s="49" t="s">
        <v>69</v>
      </c>
      <c r="D9920" s="49">
        <v>0.0</v>
      </c>
    </row>
    <row r="9921" ht="15.0" hidden="1" customHeight="1">
      <c r="A9921" s="49" t="s">
        <v>97</v>
      </c>
      <c r="B9921" s="50">
        <v>45657.0</v>
      </c>
      <c r="C9921" s="49" t="s">
        <v>69</v>
      </c>
      <c r="D9921" s="49">
        <v>0.0</v>
      </c>
    </row>
    <row r="9922" ht="15.0" hidden="1" customHeight="1">
      <c r="A9922" s="49" t="s">
        <v>102</v>
      </c>
      <c r="B9922" s="50">
        <v>45657.0</v>
      </c>
      <c r="C9922" s="49" t="s">
        <v>69</v>
      </c>
      <c r="D9922" s="49">
        <v>0.0</v>
      </c>
    </row>
    <row r="9923" ht="15.0" hidden="1" customHeight="1">
      <c r="A9923" s="49" t="s">
        <v>106</v>
      </c>
      <c r="B9923" s="50">
        <v>45657.0</v>
      </c>
      <c r="C9923" s="49" t="s">
        <v>69</v>
      </c>
      <c r="D9923" s="49">
        <v>0.0</v>
      </c>
    </row>
    <row r="9924" ht="15.0" hidden="1" customHeight="1">
      <c r="A9924" s="49" t="s">
        <v>111</v>
      </c>
      <c r="B9924" s="50">
        <v>45657.0</v>
      </c>
      <c r="C9924" s="49" t="s">
        <v>69</v>
      </c>
      <c r="D9924" s="49">
        <v>0.0</v>
      </c>
    </row>
    <row r="9925" ht="15.0" hidden="1" customHeight="1">
      <c r="A9925" s="49" t="s">
        <v>116</v>
      </c>
      <c r="B9925" s="50">
        <v>45657.0</v>
      </c>
      <c r="C9925" s="49" t="s">
        <v>69</v>
      </c>
      <c r="D9925" s="49">
        <v>0.0</v>
      </c>
    </row>
    <row r="9926" ht="15.0" hidden="1" customHeight="1">
      <c r="A9926" s="49" t="s">
        <v>120</v>
      </c>
      <c r="B9926" s="50">
        <v>45657.0</v>
      </c>
      <c r="C9926" s="49" t="s">
        <v>69</v>
      </c>
      <c r="D9926" s="49">
        <v>0.0</v>
      </c>
    </row>
    <row r="9927" ht="15.0" hidden="1" customHeight="1">
      <c r="A9927" s="49" t="s">
        <v>125</v>
      </c>
      <c r="B9927" s="50">
        <v>45657.0</v>
      </c>
      <c r="C9927" s="49" t="s">
        <v>69</v>
      </c>
      <c r="D9927" s="49">
        <v>0.0</v>
      </c>
    </row>
    <row r="9928" ht="15.0" hidden="1" customHeight="1">
      <c r="A9928" s="49" t="s">
        <v>130</v>
      </c>
      <c r="B9928" s="50">
        <v>45657.0</v>
      </c>
      <c r="C9928" s="49" t="s">
        <v>69</v>
      </c>
      <c r="D9928" s="49">
        <v>0.0</v>
      </c>
    </row>
    <row r="9929" ht="15.0" hidden="1" customHeight="1">
      <c r="A9929" s="49" t="s">
        <v>137</v>
      </c>
      <c r="B9929" s="50">
        <v>45657.0</v>
      </c>
      <c r="C9929" s="49" t="s">
        <v>69</v>
      </c>
      <c r="D9929" s="49">
        <v>0.0</v>
      </c>
    </row>
    <row r="9930" ht="15.0" hidden="1" customHeight="1">
      <c r="A9930" s="49" t="s">
        <v>142</v>
      </c>
      <c r="B9930" s="50">
        <v>45657.0</v>
      </c>
      <c r="C9930" s="49" t="s">
        <v>69</v>
      </c>
      <c r="D9930" s="49">
        <v>0.0</v>
      </c>
    </row>
    <row r="9931" ht="15.0" hidden="1" customHeight="1">
      <c r="A9931" s="49" t="s">
        <v>147</v>
      </c>
      <c r="B9931" s="50">
        <v>45657.0</v>
      </c>
      <c r="C9931" s="49" t="s">
        <v>69</v>
      </c>
      <c r="D9931" s="49">
        <v>0.0</v>
      </c>
    </row>
    <row r="9932" ht="15.0" hidden="1" customHeight="1">
      <c r="A9932" s="49" t="s">
        <v>152</v>
      </c>
      <c r="B9932" s="50">
        <v>45657.0</v>
      </c>
      <c r="C9932" s="49" t="s">
        <v>69</v>
      </c>
      <c r="D9932" s="49">
        <v>0.0</v>
      </c>
    </row>
    <row r="9933" ht="15.0" hidden="1" customHeight="1">
      <c r="A9933" s="49" t="s">
        <v>157</v>
      </c>
      <c r="B9933" s="50">
        <v>45657.0</v>
      </c>
      <c r="C9933" s="49" t="s">
        <v>69</v>
      </c>
      <c r="D9933" s="49">
        <v>0.0</v>
      </c>
    </row>
    <row r="9934" ht="15.0" hidden="1" customHeight="1">
      <c r="A9934" s="49" t="s">
        <v>162</v>
      </c>
      <c r="B9934" s="50">
        <v>45657.0</v>
      </c>
      <c r="C9934" s="49" t="s">
        <v>69</v>
      </c>
      <c r="D9934" s="49">
        <v>0.0</v>
      </c>
    </row>
    <row r="9935" ht="15.0" hidden="1" customHeight="1">
      <c r="A9935" s="49" t="s">
        <v>167</v>
      </c>
      <c r="B9935" s="50">
        <v>45657.0</v>
      </c>
      <c r="C9935" s="49" t="s">
        <v>69</v>
      </c>
      <c r="D9935" s="49">
        <v>0.0</v>
      </c>
    </row>
    <row r="9936" ht="15.0" hidden="1" customHeight="1">
      <c r="A9936" s="49" t="s">
        <v>172</v>
      </c>
      <c r="B9936" s="50">
        <v>45657.0</v>
      </c>
      <c r="C9936" s="49" t="s">
        <v>69</v>
      </c>
      <c r="D9936" s="49">
        <v>0.0</v>
      </c>
    </row>
    <row r="9937" ht="15.0" hidden="1" customHeight="1">
      <c r="A9937" s="49" t="s">
        <v>177</v>
      </c>
      <c r="B9937" s="50">
        <v>45657.0</v>
      </c>
      <c r="C9937" s="49" t="s">
        <v>69</v>
      </c>
      <c r="D9937" s="49">
        <v>0.0</v>
      </c>
    </row>
    <row r="9938" ht="15.0" hidden="1" customHeight="1">
      <c r="A9938" s="49" t="s">
        <v>182</v>
      </c>
      <c r="B9938" s="50">
        <v>45657.0</v>
      </c>
      <c r="C9938" s="49" t="s">
        <v>69</v>
      </c>
      <c r="D9938" s="49">
        <v>0.0</v>
      </c>
    </row>
    <row r="9939" ht="15.0" hidden="1" customHeight="1">
      <c r="A9939" s="49" t="s">
        <v>187</v>
      </c>
      <c r="B9939" s="50">
        <v>45657.0</v>
      </c>
      <c r="C9939" s="49" t="s">
        <v>69</v>
      </c>
      <c r="D9939" s="49">
        <v>0.0</v>
      </c>
    </row>
    <row r="9940" ht="15.0" hidden="1" customHeight="1">
      <c r="A9940" s="49" t="s">
        <v>192</v>
      </c>
      <c r="B9940" s="50">
        <v>45657.0</v>
      </c>
      <c r="C9940" s="49" t="s">
        <v>69</v>
      </c>
      <c r="D9940" s="49">
        <v>0.0</v>
      </c>
    </row>
    <row r="9941" ht="15.0" hidden="1" customHeight="1">
      <c r="A9941" s="49" t="s">
        <v>197</v>
      </c>
      <c r="B9941" s="50">
        <v>45657.0</v>
      </c>
      <c r="C9941" s="49" t="s">
        <v>69</v>
      </c>
      <c r="D9941" s="49">
        <v>0.0</v>
      </c>
    </row>
    <row r="9942" ht="15.0" hidden="1" customHeight="1">
      <c r="A9942" s="49" t="s">
        <v>202</v>
      </c>
      <c r="B9942" s="50">
        <v>45657.0</v>
      </c>
      <c r="C9942" s="49" t="s">
        <v>69</v>
      </c>
      <c r="D9942" s="49">
        <v>0.0</v>
      </c>
    </row>
    <row r="9943" ht="15.0" hidden="1" customHeight="1">
      <c r="A9943" s="49" t="s">
        <v>206</v>
      </c>
      <c r="B9943" s="50">
        <v>45657.0</v>
      </c>
      <c r="C9943" s="49" t="s">
        <v>69</v>
      </c>
      <c r="D9943" s="49">
        <v>0.0</v>
      </c>
    </row>
    <row r="9944" ht="15.0" hidden="1" customHeight="1">
      <c r="A9944" s="49" t="s">
        <v>211</v>
      </c>
      <c r="B9944" s="50">
        <v>45657.0</v>
      </c>
      <c r="C9944" s="49" t="s">
        <v>69</v>
      </c>
      <c r="D9944" s="49">
        <v>0.0</v>
      </c>
    </row>
    <row r="9945" ht="15.0" hidden="1" customHeight="1">
      <c r="A9945" s="49" t="s">
        <v>779</v>
      </c>
      <c r="B9945" s="50">
        <v>45657.0</v>
      </c>
      <c r="C9945" s="49" t="s">
        <v>69</v>
      </c>
      <c r="D9945" s="49">
        <v>0.0</v>
      </c>
    </row>
    <row r="9946" ht="15.0" hidden="1" customHeight="1">
      <c r="A9946" s="49" t="s">
        <v>221</v>
      </c>
      <c r="B9946" s="50">
        <v>45657.0</v>
      </c>
      <c r="C9946" s="49" t="s">
        <v>69</v>
      </c>
      <c r="D9946" s="49">
        <v>0.0</v>
      </c>
    </row>
    <row r="9947" ht="15.0" hidden="1" customHeight="1">
      <c r="A9947" s="49" t="s">
        <v>226</v>
      </c>
      <c r="B9947" s="50">
        <v>45657.0</v>
      </c>
      <c r="C9947" s="49" t="s">
        <v>69</v>
      </c>
      <c r="D9947" s="49">
        <v>0.0</v>
      </c>
    </row>
    <row r="9948" ht="15.0" hidden="1" customHeight="1">
      <c r="A9948" s="49" t="s">
        <v>231</v>
      </c>
      <c r="B9948" s="50">
        <v>45657.0</v>
      </c>
      <c r="C9948" s="49" t="s">
        <v>69</v>
      </c>
      <c r="D9948" s="49">
        <v>0.0</v>
      </c>
    </row>
    <row r="9949" ht="15.0" hidden="1" customHeight="1">
      <c r="A9949" s="49" t="s">
        <v>236</v>
      </c>
      <c r="B9949" s="50">
        <v>45657.0</v>
      </c>
      <c r="C9949" s="49" t="s">
        <v>69</v>
      </c>
      <c r="D9949" s="49">
        <v>0.0</v>
      </c>
    </row>
    <row r="9950" ht="15.0" hidden="1" customHeight="1">
      <c r="A9950" s="49" t="s">
        <v>242</v>
      </c>
      <c r="B9950" s="50">
        <v>45657.0</v>
      </c>
      <c r="C9950" s="49" t="s">
        <v>69</v>
      </c>
      <c r="D9950" s="49">
        <v>466874.5</v>
      </c>
    </row>
    <row r="9951" ht="15.0" hidden="1" customHeight="1">
      <c r="A9951" s="49" t="s">
        <v>248</v>
      </c>
      <c r="B9951" s="50">
        <v>45657.0</v>
      </c>
      <c r="C9951" s="49" t="s">
        <v>69</v>
      </c>
      <c r="D9951" s="49">
        <v>0.0</v>
      </c>
    </row>
    <row r="9952" ht="15.0" hidden="1" customHeight="1">
      <c r="A9952" s="49" t="s">
        <v>253</v>
      </c>
      <c r="B9952" s="50">
        <v>45657.0</v>
      </c>
      <c r="C9952" s="49" t="s">
        <v>69</v>
      </c>
      <c r="D9952" s="49">
        <v>0.0</v>
      </c>
    </row>
    <row r="9953" ht="15.0" hidden="1" customHeight="1">
      <c r="A9953" s="49" t="s">
        <v>258</v>
      </c>
      <c r="B9953" s="50">
        <v>45657.0</v>
      </c>
      <c r="C9953" s="49" t="s">
        <v>69</v>
      </c>
      <c r="D9953" s="49">
        <v>0.0</v>
      </c>
    </row>
    <row r="9954" ht="15.0" hidden="1" customHeight="1">
      <c r="A9954" s="49" t="s">
        <v>263</v>
      </c>
      <c r="B9954" s="50">
        <v>45657.0</v>
      </c>
      <c r="C9954" s="49" t="s">
        <v>69</v>
      </c>
      <c r="D9954" s="49">
        <v>0.0</v>
      </c>
    </row>
    <row r="9955" ht="15.0" hidden="1" customHeight="1">
      <c r="A9955" s="49" t="s">
        <v>268</v>
      </c>
      <c r="B9955" s="50">
        <v>45657.0</v>
      </c>
      <c r="C9955" s="49" t="s">
        <v>69</v>
      </c>
      <c r="D9955" s="49">
        <v>0.0</v>
      </c>
    </row>
    <row r="9956" ht="15.0" hidden="1" customHeight="1">
      <c r="A9956" s="49" t="s">
        <v>273</v>
      </c>
      <c r="B9956" s="50">
        <v>45657.0</v>
      </c>
      <c r="C9956" s="49" t="s">
        <v>69</v>
      </c>
      <c r="D9956" s="49">
        <v>0.0</v>
      </c>
    </row>
    <row r="9957" ht="15.0" hidden="1" customHeight="1">
      <c r="A9957" s="49" t="s">
        <v>278</v>
      </c>
      <c r="B9957" s="50">
        <v>45657.0</v>
      </c>
      <c r="C9957" s="49" t="s">
        <v>69</v>
      </c>
      <c r="D9957" s="49">
        <v>0.0</v>
      </c>
    </row>
    <row r="9958" ht="15.0" hidden="1" customHeight="1">
      <c r="A9958" s="49" t="s">
        <v>283</v>
      </c>
      <c r="B9958" s="50">
        <v>45657.0</v>
      </c>
      <c r="C9958" s="49" t="s">
        <v>69</v>
      </c>
      <c r="D9958" s="49">
        <v>0.0</v>
      </c>
    </row>
    <row r="9959" ht="15.0" hidden="1" customHeight="1">
      <c r="A9959" s="49" t="s">
        <v>288</v>
      </c>
      <c r="B9959" s="50">
        <v>45657.0</v>
      </c>
      <c r="C9959" s="49" t="s">
        <v>69</v>
      </c>
      <c r="D9959" s="49">
        <v>0.0</v>
      </c>
    </row>
    <row r="9960" ht="15.0" hidden="1" customHeight="1">
      <c r="A9960" s="49" t="s">
        <v>293</v>
      </c>
      <c r="B9960" s="50">
        <v>45657.0</v>
      </c>
      <c r="C9960" s="49" t="s">
        <v>69</v>
      </c>
      <c r="D9960" s="49">
        <v>0.0</v>
      </c>
    </row>
    <row r="9961" ht="15.0" hidden="1" customHeight="1">
      <c r="A9961" s="49" t="s">
        <v>298</v>
      </c>
      <c r="B9961" s="50">
        <v>45657.0</v>
      </c>
      <c r="C9961" s="49" t="s">
        <v>69</v>
      </c>
      <c r="D9961" s="49">
        <v>0.0</v>
      </c>
    </row>
    <row r="9962" ht="15.0" hidden="1" customHeight="1">
      <c r="A9962" s="49" t="s">
        <v>303</v>
      </c>
      <c r="B9962" s="50">
        <v>45657.0</v>
      </c>
      <c r="C9962" s="49" t="s">
        <v>69</v>
      </c>
      <c r="D9962" s="49">
        <v>0.0</v>
      </c>
    </row>
    <row r="9963" ht="15.0" hidden="1" customHeight="1">
      <c r="A9963" s="49" t="s">
        <v>307</v>
      </c>
      <c r="B9963" s="50">
        <v>45657.0</v>
      </c>
      <c r="C9963" s="49" t="s">
        <v>69</v>
      </c>
      <c r="D9963" s="49">
        <v>0.0</v>
      </c>
    </row>
    <row r="9964" ht="15.0" hidden="1" customHeight="1">
      <c r="A9964" s="49" t="s">
        <v>313</v>
      </c>
      <c r="B9964" s="50">
        <v>45657.0</v>
      </c>
      <c r="C9964" s="49" t="s">
        <v>69</v>
      </c>
      <c r="D9964" s="49">
        <v>0.0</v>
      </c>
    </row>
    <row r="9965" ht="15.0" hidden="1" customHeight="1">
      <c r="A9965" s="49" t="s">
        <v>318</v>
      </c>
      <c r="B9965" s="50">
        <v>45657.0</v>
      </c>
      <c r="C9965" s="49" t="s">
        <v>69</v>
      </c>
      <c r="D9965" s="49">
        <v>0.0</v>
      </c>
    </row>
    <row r="9966" ht="15.0" hidden="1" customHeight="1">
      <c r="A9966" s="49" t="s">
        <v>323</v>
      </c>
      <c r="B9966" s="50">
        <v>45657.0</v>
      </c>
      <c r="C9966" s="49" t="s">
        <v>69</v>
      </c>
      <c r="D9966" s="49">
        <v>0.0</v>
      </c>
    </row>
    <row r="9967" ht="15.0" hidden="1" customHeight="1">
      <c r="A9967" s="49" t="s">
        <v>328</v>
      </c>
      <c r="B9967" s="50">
        <v>45657.0</v>
      </c>
      <c r="C9967" s="49" t="s">
        <v>69</v>
      </c>
      <c r="D9967" s="49">
        <v>0.0</v>
      </c>
    </row>
    <row r="9968" ht="15.0" hidden="1" customHeight="1">
      <c r="A9968" s="49" t="s">
        <v>335</v>
      </c>
      <c r="B9968" s="50">
        <v>45657.0</v>
      </c>
      <c r="C9968" s="49" t="s">
        <v>69</v>
      </c>
      <c r="D9968" s="49">
        <v>0.0</v>
      </c>
    </row>
    <row r="9969" ht="15.0" hidden="1" customHeight="1">
      <c r="A9969" s="49" t="s">
        <v>340</v>
      </c>
      <c r="B9969" s="50">
        <v>45657.0</v>
      </c>
      <c r="C9969" s="49" t="s">
        <v>69</v>
      </c>
      <c r="D9969" s="49">
        <v>0.0</v>
      </c>
    </row>
    <row r="9970" ht="15.0" hidden="1" customHeight="1">
      <c r="A9970" s="49" t="s">
        <v>345</v>
      </c>
      <c r="B9970" s="50">
        <v>45657.0</v>
      </c>
      <c r="C9970" s="49" t="s">
        <v>69</v>
      </c>
      <c r="D9970" s="49">
        <v>0.0</v>
      </c>
    </row>
    <row r="9971" ht="15.0" hidden="1" customHeight="1">
      <c r="A9971" s="49" t="s">
        <v>350</v>
      </c>
      <c r="B9971" s="50">
        <v>45657.0</v>
      </c>
      <c r="C9971" s="49" t="s">
        <v>69</v>
      </c>
      <c r="D9971" s="49">
        <v>0.0</v>
      </c>
    </row>
    <row r="9972" ht="15.0" hidden="1" customHeight="1">
      <c r="A9972" s="49" t="s">
        <v>355</v>
      </c>
      <c r="B9972" s="50">
        <v>45657.0</v>
      </c>
      <c r="C9972" s="49" t="s">
        <v>69</v>
      </c>
      <c r="D9972" s="49">
        <v>0.0</v>
      </c>
    </row>
    <row r="9973" ht="15.0" hidden="1" customHeight="1">
      <c r="A9973" s="49" t="s">
        <v>360</v>
      </c>
      <c r="B9973" s="50">
        <v>45657.0</v>
      </c>
      <c r="C9973" s="49" t="s">
        <v>69</v>
      </c>
      <c r="D9973" s="49">
        <v>0.0</v>
      </c>
    </row>
    <row r="9974" ht="15.0" hidden="1" customHeight="1">
      <c r="A9974" s="49" t="s">
        <v>365</v>
      </c>
      <c r="B9974" s="50">
        <v>45657.0</v>
      </c>
      <c r="C9974" s="49" t="s">
        <v>69</v>
      </c>
      <c r="D9974" s="49">
        <v>274300.0</v>
      </c>
    </row>
    <row r="9975" ht="15.0" hidden="1" customHeight="1">
      <c r="A9975" s="49" t="s">
        <v>370</v>
      </c>
      <c r="B9975" s="50">
        <v>45657.0</v>
      </c>
      <c r="C9975" s="49" t="s">
        <v>69</v>
      </c>
      <c r="D9975" s="49">
        <v>0.0</v>
      </c>
    </row>
    <row r="9976" ht="15.0" hidden="1" customHeight="1">
      <c r="A9976" s="49" t="s">
        <v>375</v>
      </c>
      <c r="B9976" s="50">
        <v>45657.0</v>
      </c>
      <c r="C9976" s="49" t="s">
        <v>69</v>
      </c>
      <c r="D9976" s="49">
        <v>0.0</v>
      </c>
    </row>
    <row r="9977" ht="15.0" hidden="1" customHeight="1">
      <c r="A9977" s="49" t="s">
        <v>380</v>
      </c>
      <c r="B9977" s="50">
        <v>45657.0</v>
      </c>
      <c r="C9977" s="49" t="s">
        <v>69</v>
      </c>
      <c r="D9977" s="49">
        <v>0.0</v>
      </c>
    </row>
    <row r="9978" ht="15.0" hidden="1" customHeight="1">
      <c r="A9978" s="49" t="s">
        <v>385</v>
      </c>
      <c r="B9978" s="50">
        <v>45657.0</v>
      </c>
      <c r="C9978" s="49" t="s">
        <v>69</v>
      </c>
      <c r="D9978" s="49">
        <v>1000000.0</v>
      </c>
    </row>
    <row r="9979" ht="15.0" hidden="1" customHeight="1">
      <c r="A9979" s="49" t="s">
        <v>390</v>
      </c>
      <c r="B9979" s="50">
        <v>45657.0</v>
      </c>
      <c r="C9979" s="49" t="s">
        <v>69</v>
      </c>
      <c r="D9979" s="49">
        <v>2000000.0</v>
      </c>
    </row>
    <row r="9980" ht="15.0" hidden="1" customHeight="1">
      <c r="A9980" s="49" t="s">
        <v>395</v>
      </c>
      <c r="B9980" s="50">
        <v>45657.0</v>
      </c>
      <c r="C9980" s="49" t="s">
        <v>69</v>
      </c>
      <c r="D9980" s="49">
        <v>0.0</v>
      </c>
    </row>
    <row r="9981" ht="15.0" hidden="1" customHeight="1">
      <c r="A9981" s="49" t="s">
        <v>400</v>
      </c>
      <c r="B9981" s="50">
        <v>45657.0</v>
      </c>
      <c r="C9981" s="49" t="s">
        <v>69</v>
      </c>
      <c r="D9981" s="49">
        <v>1600000.0</v>
      </c>
    </row>
    <row r="9982" ht="15.0" hidden="1" customHeight="1">
      <c r="A9982" s="49" t="s">
        <v>405</v>
      </c>
      <c r="B9982" s="50">
        <v>45657.0</v>
      </c>
      <c r="C9982" s="49" t="s">
        <v>69</v>
      </c>
      <c r="D9982" s="49">
        <v>0.0</v>
      </c>
    </row>
    <row r="9983" ht="15.0" hidden="1" customHeight="1">
      <c r="A9983" s="49" t="s">
        <v>410</v>
      </c>
      <c r="B9983" s="50">
        <v>45657.0</v>
      </c>
      <c r="C9983" s="49" t="s">
        <v>69</v>
      </c>
      <c r="D9983" s="49">
        <v>0.0</v>
      </c>
    </row>
    <row r="9984" ht="15.0" hidden="1" customHeight="1">
      <c r="A9984" s="49" t="s">
        <v>415</v>
      </c>
      <c r="B9984" s="50">
        <v>45657.0</v>
      </c>
      <c r="C9984" s="49" t="s">
        <v>69</v>
      </c>
      <c r="D9984" s="49">
        <v>0.0</v>
      </c>
    </row>
    <row r="9985" ht="15.0" hidden="1" customHeight="1">
      <c r="A9985" s="49" t="s">
        <v>420</v>
      </c>
      <c r="B9985" s="50">
        <v>45657.0</v>
      </c>
      <c r="C9985" s="49" t="s">
        <v>69</v>
      </c>
      <c r="D9985" s="49">
        <v>0.0</v>
      </c>
    </row>
    <row r="9986" ht="15.0" hidden="1" customHeight="1">
      <c r="A9986" s="49" t="s">
        <v>425</v>
      </c>
      <c r="B9986" s="50">
        <v>45657.0</v>
      </c>
      <c r="C9986" s="49" t="s">
        <v>69</v>
      </c>
      <c r="D9986" s="49">
        <v>0.0</v>
      </c>
    </row>
    <row r="9987" ht="15.0" hidden="1" customHeight="1">
      <c r="A9987" s="49" t="s">
        <v>430</v>
      </c>
      <c r="B9987" s="50">
        <v>45657.0</v>
      </c>
      <c r="C9987" s="49" t="s">
        <v>69</v>
      </c>
      <c r="D9987" s="49">
        <v>1000000.0</v>
      </c>
    </row>
    <row r="9988" ht="15.0" hidden="1" customHeight="1">
      <c r="A9988" s="49" t="s">
        <v>434</v>
      </c>
      <c r="B9988" s="50">
        <v>45657.0</v>
      </c>
      <c r="C9988" s="49" t="s">
        <v>69</v>
      </c>
      <c r="D9988" s="49">
        <v>600000.0</v>
      </c>
    </row>
    <row r="9989" ht="15.0" hidden="1" customHeight="1">
      <c r="A9989" s="49" t="s">
        <v>439</v>
      </c>
      <c r="B9989" s="50">
        <v>45657.0</v>
      </c>
      <c r="C9989" s="49" t="s">
        <v>69</v>
      </c>
      <c r="D9989" s="49">
        <v>0.0</v>
      </c>
    </row>
    <row r="9990" ht="15.0" hidden="1" customHeight="1">
      <c r="A9990" s="49" t="s">
        <v>444</v>
      </c>
      <c r="B9990" s="50">
        <v>45657.0</v>
      </c>
      <c r="C9990" s="49" t="s">
        <v>69</v>
      </c>
      <c r="D9990" s="49">
        <v>0.0</v>
      </c>
    </row>
    <row r="9991" ht="15.0" hidden="1" customHeight="1">
      <c r="A9991" s="49" t="s">
        <v>449</v>
      </c>
      <c r="B9991" s="50">
        <v>45657.0</v>
      </c>
      <c r="C9991" s="49" t="s">
        <v>69</v>
      </c>
      <c r="D9991" s="49">
        <v>500000.0</v>
      </c>
    </row>
    <row r="9992" ht="15.0" hidden="1" customHeight="1">
      <c r="A9992" s="49" t="s">
        <v>455</v>
      </c>
      <c r="B9992" s="50">
        <v>45657.0</v>
      </c>
      <c r="C9992" s="49" t="s">
        <v>69</v>
      </c>
      <c r="D9992" s="49">
        <v>678549.0</v>
      </c>
    </row>
    <row r="9993" ht="15.0" hidden="1" customHeight="1">
      <c r="A9993" s="49" t="s">
        <v>470</v>
      </c>
      <c r="B9993" s="50">
        <v>45657.0</v>
      </c>
      <c r="C9993" s="49" t="s">
        <v>69</v>
      </c>
      <c r="D9993" s="49">
        <v>0.0</v>
      </c>
    </row>
    <row r="9994" ht="15.0" hidden="1" customHeight="1">
      <c r="A9994" s="49" t="s">
        <v>476</v>
      </c>
      <c r="B9994" s="50">
        <v>45657.0</v>
      </c>
      <c r="C9994" s="49" t="s">
        <v>69</v>
      </c>
      <c r="D9994" s="49">
        <v>0.0</v>
      </c>
    </row>
    <row r="9995" ht="15.0" hidden="1" customHeight="1">
      <c r="A9995" s="49" t="s">
        <v>481</v>
      </c>
      <c r="B9995" s="50">
        <v>45657.0</v>
      </c>
      <c r="C9995" s="49" t="s">
        <v>69</v>
      </c>
      <c r="D9995" s="49">
        <v>100000.0</v>
      </c>
    </row>
    <row r="9996" ht="15.0" hidden="1" customHeight="1">
      <c r="A9996" s="49" t="s">
        <v>486</v>
      </c>
      <c r="B9996" s="50">
        <v>45657.0</v>
      </c>
      <c r="C9996" s="49" t="s">
        <v>69</v>
      </c>
      <c r="D9996" s="49">
        <v>172449.63</v>
      </c>
    </row>
    <row r="9997" ht="15.0" hidden="1" customHeight="1">
      <c r="A9997" s="49" t="s">
        <v>491</v>
      </c>
      <c r="B9997" s="50">
        <v>45657.0</v>
      </c>
      <c r="C9997" s="49" t="s">
        <v>69</v>
      </c>
      <c r="D9997" s="49">
        <v>331338.85</v>
      </c>
    </row>
    <row r="9998" ht="15.0" hidden="1" customHeight="1">
      <c r="A9998" s="49" t="s">
        <v>496</v>
      </c>
      <c r="B9998" s="50">
        <v>45657.0</v>
      </c>
      <c r="C9998" s="49" t="s">
        <v>69</v>
      </c>
      <c r="D9998" s="49">
        <v>0.0</v>
      </c>
    </row>
    <row r="9999" ht="15.0" hidden="1" customHeight="1">
      <c r="A9999" s="49" t="s">
        <v>501</v>
      </c>
      <c r="B9999" s="50">
        <v>45657.0</v>
      </c>
      <c r="C9999" s="49" t="s">
        <v>69</v>
      </c>
      <c r="D9999" s="49">
        <v>0.0</v>
      </c>
    </row>
    <row r="10000" ht="15.0" hidden="1" customHeight="1">
      <c r="A10000" s="49" t="s">
        <v>506</v>
      </c>
      <c r="B10000" s="50">
        <v>45657.0</v>
      </c>
      <c r="C10000" s="49" t="s">
        <v>69</v>
      </c>
      <c r="D10000" s="49">
        <v>440300.0</v>
      </c>
    </row>
    <row r="10001" ht="15.0" hidden="1" customHeight="1">
      <c r="A10001" s="49" t="s">
        <v>512</v>
      </c>
      <c r="B10001" s="50">
        <v>45657.0</v>
      </c>
      <c r="C10001" s="49" t="s">
        <v>69</v>
      </c>
      <c r="D10001" s="49">
        <v>1214226.72</v>
      </c>
    </row>
    <row r="10002" ht="15.0" hidden="1" customHeight="1">
      <c r="A10002" s="49" t="s">
        <v>517</v>
      </c>
      <c r="B10002" s="50">
        <v>45657.0</v>
      </c>
      <c r="C10002" s="49" t="s">
        <v>69</v>
      </c>
      <c r="D10002" s="49">
        <v>700000.0</v>
      </c>
    </row>
    <row r="10003" ht="15.0" hidden="1" customHeight="1">
      <c r="A10003" s="49" t="s">
        <v>522</v>
      </c>
      <c r="B10003" s="50">
        <v>45657.0</v>
      </c>
      <c r="C10003" s="49" t="s">
        <v>69</v>
      </c>
      <c r="D10003" s="49">
        <v>300000.0</v>
      </c>
    </row>
    <row r="10004" ht="15.0" hidden="1" customHeight="1">
      <c r="A10004" s="49" t="s">
        <v>528</v>
      </c>
      <c r="B10004" s="50">
        <v>45657.0</v>
      </c>
      <c r="C10004" s="49" t="s">
        <v>69</v>
      </c>
      <c r="D10004" s="49">
        <v>800000.0</v>
      </c>
    </row>
    <row r="10005" ht="15.0" hidden="1" customHeight="1">
      <c r="A10005" s="49" t="s">
        <v>533</v>
      </c>
      <c r="B10005" s="50">
        <v>45657.0</v>
      </c>
      <c r="C10005" s="49" t="s">
        <v>69</v>
      </c>
      <c r="D10005" s="49">
        <v>250000.0</v>
      </c>
    </row>
    <row r="10006" ht="15.0" hidden="1" customHeight="1">
      <c r="A10006" s="49" t="s">
        <v>538</v>
      </c>
      <c r="B10006" s="50">
        <v>45657.0</v>
      </c>
      <c r="C10006" s="49" t="s">
        <v>69</v>
      </c>
      <c r="D10006" s="49">
        <v>700000.0</v>
      </c>
    </row>
    <row r="10007" ht="15.0" hidden="1" customHeight="1">
      <c r="A10007" s="49" t="s">
        <v>546</v>
      </c>
      <c r="B10007" s="50">
        <v>45657.0</v>
      </c>
      <c r="C10007" s="49" t="s">
        <v>69</v>
      </c>
      <c r="D10007" s="49">
        <v>1868953.6</v>
      </c>
    </row>
    <row r="10008" ht="15.0" hidden="1" customHeight="1">
      <c r="A10008" s="49" t="s">
        <v>551</v>
      </c>
      <c r="B10008" s="50">
        <v>45657.0</v>
      </c>
      <c r="C10008" s="49" t="s">
        <v>69</v>
      </c>
      <c r="D10008" s="49">
        <v>1620801.75</v>
      </c>
    </row>
    <row r="10009" ht="15.0" hidden="1" customHeight="1">
      <c r="A10009" s="49" t="s">
        <v>556</v>
      </c>
      <c r="B10009" s="50">
        <v>45657.0</v>
      </c>
      <c r="C10009" s="49" t="s">
        <v>69</v>
      </c>
      <c r="D10009" s="49">
        <v>500000.0</v>
      </c>
    </row>
    <row r="10010" ht="15.0" hidden="1" customHeight="1">
      <c r="A10010" s="49" t="s">
        <v>561</v>
      </c>
      <c r="B10010" s="50">
        <v>45657.0</v>
      </c>
      <c r="C10010" s="49" t="s">
        <v>69</v>
      </c>
      <c r="D10010" s="49">
        <v>250000.0</v>
      </c>
    </row>
    <row r="10011" ht="15.0" hidden="1" customHeight="1">
      <c r="A10011" s="49" t="s">
        <v>566</v>
      </c>
      <c r="B10011" s="50">
        <v>45657.0</v>
      </c>
      <c r="C10011" s="49" t="s">
        <v>69</v>
      </c>
      <c r="D10011" s="49">
        <v>0.0</v>
      </c>
    </row>
    <row r="10012" ht="15.0" hidden="1" customHeight="1">
      <c r="A10012" s="49" t="s">
        <v>571</v>
      </c>
      <c r="B10012" s="50">
        <v>45657.0</v>
      </c>
      <c r="C10012" s="49" t="s">
        <v>69</v>
      </c>
      <c r="D10012" s="49">
        <v>2500000.0</v>
      </c>
    </row>
    <row r="10013" ht="15.0" hidden="1" customHeight="1">
      <c r="A10013" s="49" t="s">
        <v>576</v>
      </c>
      <c r="B10013" s="50">
        <v>45657.0</v>
      </c>
      <c r="C10013" s="49" t="s">
        <v>69</v>
      </c>
      <c r="D10013" s="49">
        <v>300000.0</v>
      </c>
    </row>
    <row r="10014" ht="15.0" hidden="1" customHeight="1">
      <c r="A10014" s="49" t="s">
        <v>581</v>
      </c>
      <c r="B10014" s="50">
        <v>45657.0</v>
      </c>
      <c r="C10014" s="49" t="s">
        <v>69</v>
      </c>
      <c r="D10014" s="49">
        <v>180000.0</v>
      </c>
    </row>
    <row r="10015" ht="15.0" hidden="1" customHeight="1">
      <c r="A10015" s="49" t="s">
        <v>586</v>
      </c>
      <c r="B10015" s="50">
        <v>45657.0</v>
      </c>
      <c r="C10015" s="49" t="s">
        <v>69</v>
      </c>
      <c r="D10015" s="49">
        <v>2200000.0</v>
      </c>
    </row>
    <row r="10016" ht="15.0" hidden="1" customHeight="1">
      <c r="A10016" s="49" t="s">
        <v>754</v>
      </c>
      <c r="B10016" s="50">
        <v>45657.0</v>
      </c>
      <c r="C10016" s="49" t="s">
        <v>69</v>
      </c>
      <c r="D10016" s="49">
        <v>588627.0</v>
      </c>
    </row>
    <row r="10017" ht="15.0" hidden="1" customHeight="1">
      <c r="A10017" s="49" t="s">
        <v>591</v>
      </c>
      <c r="B10017" s="50">
        <v>45657.0</v>
      </c>
      <c r="C10017" s="49" t="s">
        <v>69</v>
      </c>
      <c r="D10017" s="49">
        <v>188000.0</v>
      </c>
    </row>
    <row r="10018" ht="15.0" hidden="1" customHeight="1">
      <c r="A10018" s="49" t="s">
        <v>759</v>
      </c>
      <c r="B10018" s="50">
        <v>45657.0</v>
      </c>
      <c r="C10018" s="49" t="s">
        <v>69</v>
      </c>
      <c r="D10018" s="49">
        <v>0.0</v>
      </c>
    </row>
    <row r="10019" ht="15.0" hidden="1" customHeight="1">
      <c r="A10019" s="49" t="s">
        <v>596</v>
      </c>
      <c r="B10019" s="50">
        <v>45657.0</v>
      </c>
      <c r="C10019" s="49" t="s">
        <v>69</v>
      </c>
      <c r="D10019" s="49">
        <v>0.0</v>
      </c>
    </row>
    <row r="10020" ht="15.0" hidden="1" customHeight="1">
      <c r="A10020" s="49" t="s">
        <v>602</v>
      </c>
      <c r="B10020" s="50">
        <v>45657.0</v>
      </c>
      <c r="C10020" s="49" t="s">
        <v>69</v>
      </c>
      <c r="D10020" s="49">
        <v>0.0</v>
      </c>
    </row>
    <row r="10021" ht="15.0" hidden="1" customHeight="1">
      <c r="A10021" s="49" t="s">
        <v>607</v>
      </c>
      <c r="B10021" s="50">
        <v>45657.0</v>
      </c>
      <c r="C10021" s="49" t="s">
        <v>69</v>
      </c>
      <c r="D10021" s="49">
        <v>0.0</v>
      </c>
    </row>
    <row r="10022" ht="15.0" hidden="1" customHeight="1">
      <c r="A10022" s="49" t="s">
        <v>612</v>
      </c>
      <c r="B10022" s="50">
        <v>45657.0</v>
      </c>
      <c r="C10022" s="49" t="s">
        <v>69</v>
      </c>
      <c r="D10022" s="49">
        <v>0.0</v>
      </c>
    </row>
    <row r="10023" ht="15.0" hidden="1" customHeight="1">
      <c r="A10023" s="49" t="s">
        <v>617</v>
      </c>
      <c r="B10023" s="50">
        <v>45657.0</v>
      </c>
      <c r="C10023" s="49" t="s">
        <v>69</v>
      </c>
      <c r="D10023" s="49">
        <v>0.0</v>
      </c>
    </row>
    <row r="10024" ht="15.0" hidden="1" customHeight="1">
      <c r="A10024" s="49" t="s">
        <v>622</v>
      </c>
      <c r="B10024" s="50">
        <v>45657.0</v>
      </c>
      <c r="C10024" s="49" t="s">
        <v>69</v>
      </c>
      <c r="D10024" s="49">
        <v>0.0</v>
      </c>
    </row>
    <row r="10025" ht="15.0" hidden="1" customHeight="1">
      <c r="A10025" s="49" t="s">
        <v>627</v>
      </c>
      <c r="B10025" s="50">
        <v>45657.0</v>
      </c>
      <c r="C10025" s="49" t="s">
        <v>69</v>
      </c>
      <c r="D10025" s="49">
        <v>0.0</v>
      </c>
    </row>
    <row r="10026" ht="15.0" hidden="1" customHeight="1">
      <c r="A10026" s="49" t="s">
        <v>631</v>
      </c>
      <c r="B10026" s="50">
        <v>45657.0</v>
      </c>
      <c r="C10026" s="49" t="s">
        <v>69</v>
      </c>
      <c r="D10026" s="49">
        <v>0.0</v>
      </c>
    </row>
    <row r="10027" ht="15.0" hidden="1" customHeight="1">
      <c r="A10027" s="49" t="s">
        <v>636</v>
      </c>
      <c r="B10027" s="50">
        <v>45657.0</v>
      </c>
      <c r="C10027" s="49" t="s">
        <v>69</v>
      </c>
      <c r="D10027" s="49">
        <v>0.0</v>
      </c>
    </row>
    <row r="10028" ht="15.0" hidden="1" customHeight="1">
      <c r="A10028" s="49" t="s">
        <v>640</v>
      </c>
      <c r="B10028" s="50">
        <v>45657.0</v>
      </c>
      <c r="C10028" s="49" t="s">
        <v>69</v>
      </c>
      <c r="D10028" s="49">
        <v>0.0</v>
      </c>
    </row>
    <row r="10029" ht="15.0" hidden="1" customHeight="1">
      <c r="A10029" s="49" t="s">
        <v>644</v>
      </c>
      <c r="B10029" s="50">
        <v>45657.0</v>
      </c>
      <c r="C10029" s="49" t="s">
        <v>69</v>
      </c>
      <c r="D10029" s="49">
        <v>0.0</v>
      </c>
    </row>
    <row r="10030" ht="15.0" hidden="1" customHeight="1">
      <c r="A10030" s="49" t="s">
        <v>649</v>
      </c>
      <c r="B10030" s="50">
        <v>45657.0</v>
      </c>
      <c r="C10030" s="49" t="s">
        <v>69</v>
      </c>
      <c r="D10030" s="49">
        <v>0.0</v>
      </c>
    </row>
    <row r="10031" ht="15.0" hidden="1" customHeight="1">
      <c r="A10031" s="49" t="s">
        <v>654</v>
      </c>
      <c r="B10031" s="50">
        <v>45657.0</v>
      </c>
      <c r="C10031" s="49" t="s">
        <v>69</v>
      </c>
      <c r="D10031" s="49">
        <v>0.0</v>
      </c>
    </row>
    <row r="10032" ht="15.0" hidden="1" customHeight="1">
      <c r="A10032" s="49" t="s">
        <v>659</v>
      </c>
      <c r="B10032" s="50">
        <v>45657.0</v>
      </c>
      <c r="C10032" s="49" t="s">
        <v>69</v>
      </c>
      <c r="D10032" s="49">
        <v>0.0</v>
      </c>
    </row>
    <row r="10033" ht="15.0" hidden="1" customHeight="1">
      <c r="A10033" s="49" t="s">
        <v>664</v>
      </c>
      <c r="B10033" s="50">
        <v>45657.0</v>
      </c>
      <c r="C10033" s="49" t="s">
        <v>69</v>
      </c>
      <c r="D10033" s="49">
        <v>0.0</v>
      </c>
    </row>
    <row r="10034" ht="15.0" hidden="1" customHeight="1">
      <c r="A10034" s="49" t="s">
        <v>669</v>
      </c>
      <c r="B10034" s="50">
        <v>45657.0</v>
      </c>
      <c r="C10034" s="49" t="s">
        <v>69</v>
      </c>
      <c r="D10034" s="49">
        <v>0.0</v>
      </c>
    </row>
    <row r="10035" ht="15.0" hidden="1" customHeight="1">
      <c r="A10035" s="49" t="s">
        <v>674</v>
      </c>
      <c r="B10035" s="50">
        <v>45657.0</v>
      </c>
      <c r="C10035" s="49" t="s">
        <v>69</v>
      </c>
      <c r="D10035" s="49">
        <v>0.0</v>
      </c>
    </row>
    <row r="10036" ht="15.0" hidden="1" customHeight="1">
      <c r="A10036" s="49" t="s">
        <v>679</v>
      </c>
      <c r="B10036" s="50">
        <v>45657.0</v>
      </c>
      <c r="C10036" s="49" t="s">
        <v>69</v>
      </c>
      <c r="D10036" s="49">
        <v>0.0</v>
      </c>
    </row>
    <row r="10037" ht="15.0" hidden="1" customHeight="1">
      <c r="A10037" s="49" t="s">
        <v>684</v>
      </c>
      <c r="B10037" s="50">
        <v>45657.0</v>
      </c>
      <c r="C10037" s="49" t="s">
        <v>69</v>
      </c>
      <c r="D10037" s="49">
        <v>0.0</v>
      </c>
    </row>
    <row r="10038" ht="15.0" hidden="1" customHeight="1">
      <c r="A10038" s="49" t="s">
        <v>689</v>
      </c>
      <c r="B10038" s="50">
        <v>45657.0</v>
      </c>
      <c r="C10038" s="49" t="s">
        <v>69</v>
      </c>
      <c r="D10038" s="49">
        <v>0.0</v>
      </c>
    </row>
    <row r="10039" ht="15.0" hidden="1" customHeight="1">
      <c r="A10039" s="49" t="s">
        <v>694</v>
      </c>
      <c r="B10039" s="50">
        <v>45657.0</v>
      </c>
      <c r="C10039" s="49" t="s">
        <v>69</v>
      </c>
      <c r="D10039" s="49">
        <v>0.0</v>
      </c>
    </row>
    <row r="10040" ht="15.0" hidden="1" customHeight="1">
      <c r="A10040" s="49" t="s">
        <v>699</v>
      </c>
      <c r="B10040" s="50">
        <v>45657.0</v>
      </c>
      <c r="C10040" s="49" t="s">
        <v>69</v>
      </c>
      <c r="D10040" s="49">
        <v>0.0</v>
      </c>
    </row>
    <row r="10041" ht="15.0" hidden="1" customHeight="1">
      <c r="A10041" s="49" t="s">
        <v>705</v>
      </c>
      <c r="B10041" s="50">
        <v>45657.0</v>
      </c>
      <c r="C10041" s="49" t="s">
        <v>69</v>
      </c>
      <c r="D10041" s="49">
        <v>0.0</v>
      </c>
    </row>
    <row r="10042" ht="15.0" hidden="1" customHeight="1">
      <c r="A10042" s="49" t="s">
        <v>710</v>
      </c>
      <c r="B10042" s="50">
        <v>45657.0</v>
      </c>
      <c r="C10042" s="49" t="s">
        <v>69</v>
      </c>
      <c r="D10042" s="49">
        <v>0.0</v>
      </c>
    </row>
    <row r="10043" ht="15.0" hidden="1" customHeight="1">
      <c r="A10043" s="49" t="s">
        <v>715</v>
      </c>
      <c r="B10043" s="50">
        <v>45657.0</v>
      </c>
      <c r="C10043" s="49" t="s">
        <v>69</v>
      </c>
      <c r="D10043" s="49">
        <v>0.0</v>
      </c>
    </row>
    <row r="10044" ht="15.0" hidden="1" customHeight="1">
      <c r="A10044" s="49" t="s">
        <v>765</v>
      </c>
      <c r="B10044" s="50">
        <v>45657.0</v>
      </c>
      <c r="C10044" s="49" t="s">
        <v>69</v>
      </c>
      <c r="D10044" s="49">
        <v>0.0</v>
      </c>
    </row>
    <row r="10045" ht="15.0" hidden="1" customHeight="1">
      <c r="A10045" s="49" t="s">
        <v>720</v>
      </c>
      <c r="B10045" s="50">
        <v>45657.0</v>
      </c>
      <c r="C10045" s="49" t="s">
        <v>69</v>
      </c>
      <c r="D10045" s="49">
        <v>0.0</v>
      </c>
    </row>
    <row r="10046" ht="15.0" hidden="1" customHeight="1">
      <c r="A10046" s="49" t="s">
        <v>725</v>
      </c>
      <c r="B10046" s="50">
        <v>45657.0</v>
      </c>
      <c r="C10046" s="49" t="s">
        <v>69</v>
      </c>
      <c r="D10046" s="49">
        <v>0.0</v>
      </c>
    </row>
    <row r="10047" ht="15.0" hidden="1" customHeight="1">
      <c r="A10047" s="49" t="s">
        <v>730</v>
      </c>
      <c r="B10047" s="50">
        <v>45657.0</v>
      </c>
      <c r="C10047" s="49" t="s">
        <v>69</v>
      </c>
      <c r="D10047" s="49">
        <v>0.0</v>
      </c>
    </row>
    <row r="10048" ht="15.0" hidden="1" customHeight="1">
      <c r="A10048" s="49" t="s">
        <v>734</v>
      </c>
      <c r="B10048" s="50">
        <v>45657.0</v>
      </c>
      <c r="C10048" s="49" t="s">
        <v>69</v>
      </c>
      <c r="D10048" s="49">
        <v>0.0</v>
      </c>
    </row>
    <row r="10049" ht="15.0" hidden="1" customHeight="1">
      <c r="A10049" s="49" t="s">
        <v>739</v>
      </c>
      <c r="B10049" s="50">
        <v>45657.0</v>
      </c>
      <c r="C10049" s="49" t="s">
        <v>69</v>
      </c>
      <c r="D10049" s="49">
        <v>0.0</v>
      </c>
    </row>
    <row r="10050" ht="15.0" hidden="1" customHeight="1">
      <c r="A10050" s="49" t="s">
        <v>744</v>
      </c>
      <c r="B10050" s="50">
        <v>45657.0</v>
      </c>
      <c r="C10050" s="49" t="s">
        <v>69</v>
      </c>
      <c r="D10050" s="49">
        <v>0.0</v>
      </c>
    </row>
    <row r="10051" ht="15.0" hidden="1" customHeight="1">
      <c r="A10051" s="49" t="s">
        <v>749</v>
      </c>
      <c r="B10051" s="50">
        <v>45657.0</v>
      </c>
      <c r="C10051" s="49" t="s">
        <v>69</v>
      </c>
      <c r="D10051" s="49">
        <v>0.0</v>
      </c>
    </row>
    <row r="10052" ht="15.0" customHeight="1">
      <c r="A10052" s="49" t="s">
        <v>776</v>
      </c>
      <c r="B10052" s="50">
        <v>45657.0</v>
      </c>
      <c r="C10052" s="49" t="s">
        <v>780</v>
      </c>
      <c r="D10052" s="49">
        <v>0.0</v>
      </c>
    </row>
    <row r="10053" ht="15.0" hidden="1" customHeight="1">
      <c r="A10053" s="49" t="s">
        <v>778</v>
      </c>
      <c r="B10053" s="50">
        <v>45657.0</v>
      </c>
      <c r="C10053" s="49" t="s">
        <v>780</v>
      </c>
      <c r="D10053" s="49">
        <v>0.0</v>
      </c>
    </row>
    <row r="10054" ht="15.0" hidden="1" customHeight="1">
      <c r="A10054" s="49" t="s">
        <v>92</v>
      </c>
      <c r="B10054" s="50">
        <v>45657.0</v>
      </c>
      <c r="C10054" s="49" t="s">
        <v>780</v>
      </c>
      <c r="D10054" s="49">
        <v>0.0</v>
      </c>
    </row>
    <row r="10055" ht="15.0" hidden="1" customHeight="1">
      <c r="A10055" s="49" t="s">
        <v>97</v>
      </c>
      <c r="B10055" s="50">
        <v>45657.0</v>
      </c>
      <c r="C10055" s="49" t="s">
        <v>780</v>
      </c>
      <c r="D10055" s="49">
        <v>0.0</v>
      </c>
    </row>
    <row r="10056" ht="15.0" hidden="1" customHeight="1">
      <c r="A10056" s="49" t="s">
        <v>102</v>
      </c>
      <c r="B10056" s="50">
        <v>45657.0</v>
      </c>
      <c r="C10056" s="49" t="s">
        <v>780</v>
      </c>
      <c r="D10056" s="49">
        <v>0.0</v>
      </c>
    </row>
    <row r="10057" ht="15.0" hidden="1" customHeight="1">
      <c r="A10057" s="49" t="s">
        <v>106</v>
      </c>
      <c r="B10057" s="50">
        <v>45657.0</v>
      </c>
      <c r="C10057" s="49" t="s">
        <v>780</v>
      </c>
      <c r="D10057" s="49">
        <v>0.0</v>
      </c>
    </row>
    <row r="10058" ht="15.0" hidden="1" customHeight="1">
      <c r="A10058" s="49" t="s">
        <v>111</v>
      </c>
      <c r="B10058" s="50">
        <v>45657.0</v>
      </c>
      <c r="C10058" s="49" t="s">
        <v>780</v>
      </c>
      <c r="D10058" s="49">
        <v>0.0</v>
      </c>
    </row>
    <row r="10059" ht="15.0" hidden="1" customHeight="1">
      <c r="A10059" s="49" t="s">
        <v>116</v>
      </c>
      <c r="B10059" s="50">
        <v>45657.0</v>
      </c>
      <c r="C10059" s="49" t="s">
        <v>780</v>
      </c>
      <c r="D10059" s="49">
        <v>0.0</v>
      </c>
    </row>
    <row r="10060" ht="15.0" hidden="1" customHeight="1">
      <c r="A10060" s="49" t="s">
        <v>120</v>
      </c>
      <c r="B10060" s="50">
        <v>45657.0</v>
      </c>
      <c r="C10060" s="49" t="s">
        <v>780</v>
      </c>
      <c r="D10060" s="49">
        <v>0.0</v>
      </c>
    </row>
    <row r="10061" ht="15.0" hidden="1" customHeight="1">
      <c r="A10061" s="49" t="s">
        <v>125</v>
      </c>
      <c r="B10061" s="50">
        <v>45657.0</v>
      </c>
      <c r="C10061" s="49" t="s">
        <v>780</v>
      </c>
      <c r="D10061" s="49">
        <v>0.0</v>
      </c>
    </row>
    <row r="10062" ht="15.0" hidden="1" customHeight="1">
      <c r="A10062" s="49" t="s">
        <v>130</v>
      </c>
      <c r="B10062" s="50">
        <v>45657.0</v>
      </c>
      <c r="C10062" s="49" t="s">
        <v>780</v>
      </c>
      <c r="D10062" s="49">
        <v>0.0</v>
      </c>
    </row>
    <row r="10063" ht="15.0" hidden="1" customHeight="1">
      <c r="A10063" s="49" t="s">
        <v>137</v>
      </c>
      <c r="B10063" s="50">
        <v>45657.0</v>
      </c>
      <c r="C10063" s="49" t="s">
        <v>780</v>
      </c>
      <c r="D10063" s="49">
        <v>0.0</v>
      </c>
    </row>
    <row r="10064" ht="15.0" hidden="1" customHeight="1">
      <c r="A10064" s="49" t="s">
        <v>142</v>
      </c>
      <c r="B10064" s="50">
        <v>45657.0</v>
      </c>
      <c r="C10064" s="49" t="s">
        <v>780</v>
      </c>
      <c r="D10064" s="49">
        <v>0.0</v>
      </c>
    </row>
    <row r="10065" ht="15.0" hidden="1" customHeight="1">
      <c r="A10065" s="49" t="s">
        <v>147</v>
      </c>
      <c r="B10065" s="50">
        <v>45657.0</v>
      </c>
      <c r="C10065" s="49" t="s">
        <v>780</v>
      </c>
      <c r="D10065" s="49">
        <v>0.0</v>
      </c>
    </row>
    <row r="10066" ht="15.0" hidden="1" customHeight="1">
      <c r="A10066" s="49" t="s">
        <v>152</v>
      </c>
      <c r="B10066" s="50">
        <v>45657.0</v>
      </c>
      <c r="C10066" s="49" t="s">
        <v>780</v>
      </c>
      <c r="D10066" s="49">
        <v>0.0</v>
      </c>
    </row>
    <row r="10067" ht="15.0" hidden="1" customHeight="1">
      <c r="A10067" s="49" t="s">
        <v>157</v>
      </c>
      <c r="B10067" s="50">
        <v>45657.0</v>
      </c>
      <c r="C10067" s="49" t="s">
        <v>780</v>
      </c>
      <c r="D10067" s="49">
        <v>0.0</v>
      </c>
    </row>
    <row r="10068" ht="15.0" hidden="1" customHeight="1">
      <c r="A10068" s="49" t="s">
        <v>162</v>
      </c>
      <c r="B10068" s="50">
        <v>45657.0</v>
      </c>
      <c r="C10068" s="49" t="s">
        <v>780</v>
      </c>
      <c r="D10068" s="49">
        <v>0.0</v>
      </c>
    </row>
    <row r="10069" ht="15.0" hidden="1" customHeight="1">
      <c r="A10069" s="49" t="s">
        <v>167</v>
      </c>
      <c r="B10069" s="50">
        <v>45657.0</v>
      </c>
      <c r="C10069" s="49" t="s">
        <v>780</v>
      </c>
      <c r="D10069" s="49">
        <v>0.0</v>
      </c>
    </row>
    <row r="10070" ht="15.0" hidden="1" customHeight="1">
      <c r="A10070" s="49" t="s">
        <v>172</v>
      </c>
      <c r="B10070" s="50">
        <v>45657.0</v>
      </c>
      <c r="C10070" s="49" t="s">
        <v>780</v>
      </c>
      <c r="D10070" s="49">
        <v>0.0</v>
      </c>
    </row>
    <row r="10071" ht="15.0" hidden="1" customHeight="1">
      <c r="A10071" s="49" t="s">
        <v>177</v>
      </c>
      <c r="B10071" s="50">
        <v>45657.0</v>
      </c>
      <c r="C10071" s="49" t="s">
        <v>780</v>
      </c>
      <c r="D10071" s="49">
        <v>0.0</v>
      </c>
    </row>
    <row r="10072" ht="15.0" hidden="1" customHeight="1">
      <c r="A10072" s="49" t="s">
        <v>182</v>
      </c>
      <c r="B10072" s="50">
        <v>45657.0</v>
      </c>
      <c r="C10072" s="49" t="s">
        <v>780</v>
      </c>
      <c r="D10072" s="49">
        <v>0.0</v>
      </c>
    </row>
    <row r="10073" ht="15.0" hidden="1" customHeight="1">
      <c r="A10073" s="49" t="s">
        <v>187</v>
      </c>
      <c r="B10073" s="50">
        <v>45657.0</v>
      </c>
      <c r="C10073" s="49" t="s">
        <v>780</v>
      </c>
      <c r="D10073" s="49">
        <v>0.0</v>
      </c>
    </row>
    <row r="10074" ht="15.0" hidden="1" customHeight="1">
      <c r="A10074" s="49" t="s">
        <v>192</v>
      </c>
      <c r="B10074" s="50">
        <v>45657.0</v>
      </c>
      <c r="C10074" s="49" t="s">
        <v>780</v>
      </c>
      <c r="D10074" s="49">
        <v>0.0</v>
      </c>
    </row>
    <row r="10075" ht="15.0" hidden="1" customHeight="1">
      <c r="A10075" s="49" t="s">
        <v>197</v>
      </c>
      <c r="B10075" s="50">
        <v>45657.0</v>
      </c>
      <c r="C10075" s="49" t="s">
        <v>780</v>
      </c>
      <c r="D10075" s="49">
        <v>0.0</v>
      </c>
    </row>
    <row r="10076" ht="15.0" hidden="1" customHeight="1">
      <c r="A10076" s="49" t="s">
        <v>202</v>
      </c>
      <c r="B10076" s="50">
        <v>45657.0</v>
      </c>
      <c r="C10076" s="49" t="s">
        <v>780</v>
      </c>
      <c r="D10076" s="49">
        <v>0.0</v>
      </c>
    </row>
    <row r="10077" ht="15.0" hidden="1" customHeight="1">
      <c r="A10077" s="49" t="s">
        <v>206</v>
      </c>
      <c r="B10077" s="50">
        <v>45657.0</v>
      </c>
      <c r="C10077" s="49" t="s">
        <v>780</v>
      </c>
      <c r="D10077" s="49">
        <v>0.0</v>
      </c>
    </row>
    <row r="10078" ht="15.0" hidden="1" customHeight="1">
      <c r="A10078" s="49" t="s">
        <v>211</v>
      </c>
      <c r="B10078" s="50">
        <v>45657.0</v>
      </c>
      <c r="C10078" s="49" t="s">
        <v>780</v>
      </c>
      <c r="D10078" s="49">
        <v>0.0</v>
      </c>
    </row>
    <row r="10079" ht="15.0" hidden="1" customHeight="1">
      <c r="A10079" s="49" t="s">
        <v>779</v>
      </c>
      <c r="B10079" s="50">
        <v>45657.0</v>
      </c>
      <c r="C10079" s="49" t="s">
        <v>780</v>
      </c>
      <c r="D10079" s="49">
        <v>0.0</v>
      </c>
    </row>
    <row r="10080" ht="15.0" hidden="1" customHeight="1">
      <c r="A10080" s="49" t="s">
        <v>221</v>
      </c>
      <c r="B10080" s="50">
        <v>45657.0</v>
      </c>
      <c r="C10080" s="49" t="s">
        <v>780</v>
      </c>
      <c r="D10080" s="49">
        <v>0.0</v>
      </c>
    </row>
    <row r="10081" ht="15.0" hidden="1" customHeight="1">
      <c r="A10081" s="49" t="s">
        <v>226</v>
      </c>
      <c r="B10081" s="50">
        <v>45657.0</v>
      </c>
      <c r="C10081" s="49" t="s">
        <v>780</v>
      </c>
      <c r="D10081" s="49">
        <v>0.0</v>
      </c>
    </row>
    <row r="10082" ht="15.0" hidden="1" customHeight="1">
      <c r="A10082" s="49" t="s">
        <v>231</v>
      </c>
      <c r="B10082" s="50">
        <v>45657.0</v>
      </c>
      <c r="C10082" s="49" t="s">
        <v>780</v>
      </c>
      <c r="D10082" s="49">
        <v>0.0</v>
      </c>
    </row>
    <row r="10083" ht="15.0" hidden="1" customHeight="1">
      <c r="A10083" s="49" t="s">
        <v>236</v>
      </c>
      <c r="B10083" s="50">
        <v>45657.0</v>
      </c>
      <c r="C10083" s="49" t="s">
        <v>780</v>
      </c>
      <c r="D10083" s="49">
        <v>0.0</v>
      </c>
    </row>
    <row r="10084" ht="15.0" hidden="1" customHeight="1">
      <c r="A10084" s="49" t="s">
        <v>242</v>
      </c>
      <c r="B10084" s="50">
        <v>45657.0</v>
      </c>
      <c r="C10084" s="49" t="s">
        <v>780</v>
      </c>
      <c r="D10084" s="49">
        <v>-466874.5</v>
      </c>
    </row>
    <row r="10085" ht="15.0" hidden="1" customHeight="1">
      <c r="A10085" s="49" t="s">
        <v>248</v>
      </c>
      <c r="B10085" s="50">
        <v>45657.0</v>
      </c>
      <c r="C10085" s="49" t="s">
        <v>780</v>
      </c>
      <c r="D10085" s="49">
        <v>0.0</v>
      </c>
    </row>
    <row r="10086" ht="15.0" hidden="1" customHeight="1">
      <c r="A10086" s="49" t="s">
        <v>253</v>
      </c>
      <c r="B10086" s="50">
        <v>45657.0</v>
      </c>
      <c r="C10086" s="49" t="s">
        <v>780</v>
      </c>
      <c r="D10086" s="49">
        <v>0.0</v>
      </c>
    </row>
    <row r="10087" ht="15.0" hidden="1" customHeight="1">
      <c r="A10087" s="49" t="s">
        <v>258</v>
      </c>
      <c r="B10087" s="50">
        <v>45657.0</v>
      </c>
      <c r="C10087" s="49" t="s">
        <v>780</v>
      </c>
      <c r="D10087" s="49">
        <v>0.0</v>
      </c>
    </row>
    <row r="10088" ht="15.0" hidden="1" customHeight="1">
      <c r="A10088" s="49" t="s">
        <v>263</v>
      </c>
      <c r="B10088" s="50">
        <v>45657.0</v>
      </c>
      <c r="C10088" s="49" t="s">
        <v>780</v>
      </c>
      <c r="D10088" s="49">
        <v>0.0</v>
      </c>
    </row>
    <row r="10089" ht="15.0" hidden="1" customHeight="1">
      <c r="A10089" s="49" t="s">
        <v>268</v>
      </c>
      <c r="B10089" s="50">
        <v>45657.0</v>
      </c>
      <c r="C10089" s="49" t="s">
        <v>780</v>
      </c>
      <c r="D10089" s="49">
        <v>0.0</v>
      </c>
    </row>
    <row r="10090" ht="15.0" hidden="1" customHeight="1">
      <c r="A10090" s="49" t="s">
        <v>273</v>
      </c>
      <c r="B10090" s="50">
        <v>45657.0</v>
      </c>
      <c r="C10090" s="49" t="s">
        <v>780</v>
      </c>
      <c r="D10090" s="49">
        <v>0.0</v>
      </c>
    </row>
    <row r="10091" ht="15.0" hidden="1" customHeight="1">
      <c r="A10091" s="49" t="s">
        <v>278</v>
      </c>
      <c r="B10091" s="50">
        <v>45657.0</v>
      </c>
      <c r="C10091" s="49" t="s">
        <v>780</v>
      </c>
      <c r="D10091" s="49">
        <v>0.0</v>
      </c>
    </row>
    <row r="10092" ht="15.0" hidden="1" customHeight="1">
      <c r="A10092" s="49" t="s">
        <v>283</v>
      </c>
      <c r="B10092" s="50">
        <v>45657.0</v>
      </c>
      <c r="C10092" s="49" t="s">
        <v>780</v>
      </c>
      <c r="D10092" s="49">
        <v>0.0</v>
      </c>
    </row>
    <row r="10093" ht="15.0" hidden="1" customHeight="1">
      <c r="A10093" s="49" t="s">
        <v>288</v>
      </c>
      <c r="B10093" s="50">
        <v>45657.0</v>
      </c>
      <c r="C10093" s="49" t="s">
        <v>780</v>
      </c>
      <c r="D10093" s="49">
        <v>0.0</v>
      </c>
    </row>
    <row r="10094" ht="15.0" hidden="1" customHeight="1">
      <c r="A10094" s="49" t="s">
        <v>293</v>
      </c>
      <c r="B10094" s="50">
        <v>45657.0</v>
      </c>
      <c r="C10094" s="49" t="s">
        <v>780</v>
      </c>
      <c r="D10094" s="49">
        <v>0.0</v>
      </c>
    </row>
    <row r="10095" ht="15.0" hidden="1" customHeight="1">
      <c r="A10095" s="49" t="s">
        <v>298</v>
      </c>
      <c r="B10095" s="50">
        <v>45657.0</v>
      </c>
      <c r="C10095" s="49" t="s">
        <v>780</v>
      </c>
      <c r="D10095" s="49">
        <v>0.0</v>
      </c>
    </row>
    <row r="10096" ht="15.0" hidden="1" customHeight="1">
      <c r="A10096" s="49" t="s">
        <v>303</v>
      </c>
      <c r="B10096" s="50">
        <v>45657.0</v>
      </c>
      <c r="C10096" s="49" t="s">
        <v>780</v>
      </c>
      <c r="D10096" s="49">
        <v>0.0</v>
      </c>
    </row>
    <row r="10097" ht="15.0" hidden="1" customHeight="1">
      <c r="A10097" s="49" t="s">
        <v>307</v>
      </c>
      <c r="B10097" s="50">
        <v>45657.0</v>
      </c>
      <c r="C10097" s="49" t="s">
        <v>780</v>
      </c>
      <c r="D10097" s="49">
        <v>0.0</v>
      </c>
    </row>
    <row r="10098" ht="15.0" hidden="1" customHeight="1">
      <c r="A10098" s="49" t="s">
        <v>313</v>
      </c>
      <c r="B10098" s="50">
        <v>45657.0</v>
      </c>
      <c r="C10098" s="49" t="s">
        <v>780</v>
      </c>
      <c r="D10098" s="49">
        <v>0.0</v>
      </c>
    </row>
    <row r="10099" ht="15.0" hidden="1" customHeight="1">
      <c r="A10099" s="49" t="s">
        <v>318</v>
      </c>
      <c r="B10099" s="50">
        <v>45657.0</v>
      </c>
      <c r="C10099" s="49" t="s">
        <v>780</v>
      </c>
      <c r="D10099" s="49">
        <v>0.0</v>
      </c>
    </row>
    <row r="10100" ht="15.0" hidden="1" customHeight="1">
      <c r="A10100" s="49" t="s">
        <v>323</v>
      </c>
      <c r="B10100" s="50">
        <v>45657.0</v>
      </c>
      <c r="C10100" s="49" t="s">
        <v>780</v>
      </c>
      <c r="D10100" s="49">
        <v>0.0</v>
      </c>
    </row>
    <row r="10101" ht="15.0" hidden="1" customHeight="1">
      <c r="A10101" s="49" t="s">
        <v>328</v>
      </c>
      <c r="B10101" s="50">
        <v>45657.0</v>
      </c>
      <c r="C10101" s="49" t="s">
        <v>780</v>
      </c>
      <c r="D10101" s="49">
        <v>0.0</v>
      </c>
    </row>
    <row r="10102" ht="15.0" hidden="1" customHeight="1">
      <c r="A10102" s="49" t="s">
        <v>335</v>
      </c>
      <c r="B10102" s="50">
        <v>45657.0</v>
      </c>
      <c r="C10102" s="49" t="s">
        <v>780</v>
      </c>
      <c r="D10102" s="49">
        <v>0.0</v>
      </c>
    </row>
    <row r="10103" ht="15.0" hidden="1" customHeight="1">
      <c r="A10103" s="49" t="s">
        <v>340</v>
      </c>
      <c r="B10103" s="50">
        <v>45657.0</v>
      </c>
      <c r="C10103" s="49" t="s">
        <v>780</v>
      </c>
      <c r="D10103" s="49">
        <v>0.0</v>
      </c>
    </row>
    <row r="10104" ht="15.0" hidden="1" customHeight="1">
      <c r="A10104" s="49" t="s">
        <v>345</v>
      </c>
      <c r="B10104" s="50">
        <v>45657.0</v>
      </c>
      <c r="C10104" s="49" t="s">
        <v>780</v>
      </c>
      <c r="D10104" s="49">
        <v>0.0</v>
      </c>
    </row>
    <row r="10105" ht="15.0" hidden="1" customHeight="1">
      <c r="A10105" s="49" t="s">
        <v>350</v>
      </c>
      <c r="B10105" s="50">
        <v>45657.0</v>
      </c>
      <c r="C10105" s="49" t="s">
        <v>780</v>
      </c>
      <c r="D10105" s="49">
        <v>0.0</v>
      </c>
    </row>
    <row r="10106" ht="15.0" hidden="1" customHeight="1">
      <c r="A10106" s="49" t="s">
        <v>355</v>
      </c>
      <c r="B10106" s="50">
        <v>45657.0</v>
      </c>
      <c r="C10106" s="49" t="s">
        <v>780</v>
      </c>
      <c r="D10106" s="49">
        <v>0.0</v>
      </c>
    </row>
    <row r="10107" ht="15.0" hidden="1" customHeight="1">
      <c r="A10107" s="49" t="s">
        <v>360</v>
      </c>
      <c r="B10107" s="50">
        <v>45657.0</v>
      </c>
      <c r="C10107" s="49" t="s">
        <v>780</v>
      </c>
      <c r="D10107" s="49">
        <v>0.0</v>
      </c>
    </row>
    <row r="10108" ht="15.0" hidden="1" customHeight="1">
      <c r="A10108" s="49" t="s">
        <v>365</v>
      </c>
      <c r="B10108" s="50">
        <v>45657.0</v>
      </c>
      <c r="C10108" s="49" t="s">
        <v>780</v>
      </c>
      <c r="D10108" s="49">
        <v>-274300.0</v>
      </c>
    </row>
    <row r="10109" ht="15.0" hidden="1" customHeight="1">
      <c r="A10109" s="49" t="s">
        <v>370</v>
      </c>
      <c r="B10109" s="50">
        <v>45657.0</v>
      </c>
      <c r="C10109" s="49" t="s">
        <v>780</v>
      </c>
      <c r="D10109" s="49">
        <v>0.0</v>
      </c>
    </row>
    <row r="10110" ht="15.0" hidden="1" customHeight="1">
      <c r="A10110" s="49" t="s">
        <v>375</v>
      </c>
      <c r="B10110" s="50">
        <v>45657.0</v>
      </c>
      <c r="C10110" s="49" t="s">
        <v>780</v>
      </c>
      <c r="D10110" s="49">
        <v>0.0</v>
      </c>
    </row>
    <row r="10111" ht="15.0" hidden="1" customHeight="1">
      <c r="A10111" s="49" t="s">
        <v>380</v>
      </c>
      <c r="B10111" s="50">
        <v>45657.0</v>
      </c>
      <c r="C10111" s="49" t="s">
        <v>780</v>
      </c>
      <c r="D10111" s="49">
        <v>0.0</v>
      </c>
    </row>
    <row r="10112" ht="15.0" hidden="1" customHeight="1">
      <c r="A10112" s="49" t="s">
        <v>385</v>
      </c>
      <c r="B10112" s="50">
        <v>45657.0</v>
      </c>
      <c r="C10112" s="49" t="s">
        <v>780</v>
      </c>
      <c r="D10112" s="49">
        <v>-1000000.0</v>
      </c>
    </row>
    <row r="10113" ht="15.0" hidden="1" customHeight="1">
      <c r="A10113" s="49" t="s">
        <v>390</v>
      </c>
      <c r="B10113" s="50">
        <v>45657.0</v>
      </c>
      <c r="C10113" s="49" t="s">
        <v>780</v>
      </c>
      <c r="D10113" s="49">
        <v>-2000000.0</v>
      </c>
    </row>
    <row r="10114" ht="15.0" hidden="1" customHeight="1">
      <c r="A10114" s="49" t="s">
        <v>395</v>
      </c>
      <c r="B10114" s="50">
        <v>45657.0</v>
      </c>
      <c r="C10114" s="49" t="s">
        <v>780</v>
      </c>
      <c r="D10114" s="49">
        <v>0.0</v>
      </c>
    </row>
    <row r="10115" ht="15.0" hidden="1" customHeight="1">
      <c r="A10115" s="49" t="s">
        <v>400</v>
      </c>
      <c r="B10115" s="50">
        <v>45657.0</v>
      </c>
      <c r="C10115" s="49" t="s">
        <v>780</v>
      </c>
      <c r="D10115" s="49">
        <v>-1600000.0</v>
      </c>
    </row>
    <row r="10116" ht="15.0" hidden="1" customHeight="1">
      <c r="A10116" s="49" t="s">
        <v>405</v>
      </c>
      <c r="B10116" s="50">
        <v>45657.0</v>
      </c>
      <c r="C10116" s="49" t="s">
        <v>780</v>
      </c>
      <c r="D10116" s="49">
        <v>0.0</v>
      </c>
    </row>
    <row r="10117" ht="15.0" hidden="1" customHeight="1">
      <c r="A10117" s="49" t="s">
        <v>410</v>
      </c>
      <c r="B10117" s="50">
        <v>45657.0</v>
      </c>
      <c r="C10117" s="49" t="s">
        <v>780</v>
      </c>
      <c r="D10117" s="49">
        <v>0.0</v>
      </c>
    </row>
    <row r="10118" ht="15.0" hidden="1" customHeight="1">
      <c r="A10118" s="49" t="s">
        <v>415</v>
      </c>
      <c r="B10118" s="50">
        <v>45657.0</v>
      </c>
      <c r="C10118" s="49" t="s">
        <v>780</v>
      </c>
      <c r="D10118" s="49">
        <v>0.0</v>
      </c>
    </row>
    <row r="10119" ht="15.0" hidden="1" customHeight="1">
      <c r="A10119" s="49" t="s">
        <v>420</v>
      </c>
      <c r="B10119" s="50">
        <v>45657.0</v>
      </c>
      <c r="C10119" s="49" t="s">
        <v>780</v>
      </c>
      <c r="D10119" s="49">
        <v>0.0</v>
      </c>
    </row>
    <row r="10120" ht="15.0" hidden="1" customHeight="1">
      <c r="A10120" s="49" t="s">
        <v>425</v>
      </c>
      <c r="B10120" s="50">
        <v>45657.0</v>
      </c>
      <c r="C10120" s="49" t="s">
        <v>780</v>
      </c>
      <c r="D10120" s="49">
        <v>0.0</v>
      </c>
    </row>
    <row r="10121" ht="15.0" hidden="1" customHeight="1">
      <c r="A10121" s="49" t="s">
        <v>430</v>
      </c>
      <c r="B10121" s="50">
        <v>45657.0</v>
      </c>
      <c r="C10121" s="49" t="s">
        <v>780</v>
      </c>
      <c r="D10121" s="49">
        <v>-1000000.0</v>
      </c>
    </row>
    <row r="10122" ht="15.0" hidden="1" customHeight="1">
      <c r="A10122" s="49" t="s">
        <v>434</v>
      </c>
      <c r="B10122" s="50">
        <v>45657.0</v>
      </c>
      <c r="C10122" s="49" t="s">
        <v>780</v>
      </c>
      <c r="D10122" s="49">
        <v>-600000.0</v>
      </c>
    </row>
    <row r="10123" ht="15.0" hidden="1" customHeight="1">
      <c r="A10123" s="49" t="s">
        <v>439</v>
      </c>
      <c r="B10123" s="50">
        <v>45657.0</v>
      </c>
      <c r="C10123" s="49" t="s">
        <v>780</v>
      </c>
      <c r="D10123" s="49">
        <v>0.0</v>
      </c>
    </row>
    <row r="10124" ht="15.0" hidden="1" customHeight="1">
      <c r="A10124" s="49" t="s">
        <v>444</v>
      </c>
      <c r="B10124" s="50">
        <v>45657.0</v>
      </c>
      <c r="C10124" s="49" t="s">
        <v>780</v>
      </c>
      <c r="D10124" s="49">
        <v>0.0</v>
      </c>
    </row>
    <row r="10125" ht="15.0" hidden="1" customHeight="1">
      <c r="A10125" s="49" t="s">
        <v>449</v>
      </c>
      <c r="B10125" s="50">
        <v>45657.0</v>
      </c>
      <c r="C10125" s="49" t="s">
        <v>780</v>
      </c>
      <c r="D10125" s="49">
        <v>-500000.0</v>
      </c>
    </row>
    <row r="10126" ht="15.0" hidden="1" customHeight="1">
      <c r="A10126" s="49" t="s">
        <v>455</v>
      </c>
      <c r="B10126" s="50">
        <v>45657.0</v>
      </c>
      <c r="C10126" s="49" t="s">
        <v>780</v>
      </c>
      <c r="D10126" s="49">
        <v>-678549.0</v>
      </c>
    </row>
    <row r="10127" ht="15.0" hidden="1" customHeight="1">
      <c r="A10127" s="49" t="s">
        <v>470</v>
      </c>
      <c r="B10127" s="50">
        <v>45657.0</v>
      </c>
      <c r="C10127" s="49" t="s">
        <v>780</v>
      </c>
      <c r="D10127" s="49">
        <v>0.0</v>
      </c>
    </row>
    <row r="10128" ht="15.0" hidden="1" customHeight="1">
      <c r="A10128" s="49" t="s">
        <v>476</v>
      </c>
      <c r="B10128" s="50">
        <v>45657.0</v>
      </c>
      <c r="C10128" s="49" t="s">
        <v>780</v>
      </c>
      <c r="D10128" s="49">
        <v>0.0</v>
      </c>
    </row>
    <row r="10129" ht="15.0" hidden="1" customHeight="1">
      <c r="A10129" s="49" t="s">
        <v>481</v>
      </c>
      <c r="B10129" s="50">
        <v>45657.0</v>
      </c>
      <c r="C10129" s="49" t="s">
        <v>780</v>
      </c>
      <c r="D10129" s="49">
        <v>-100000.0</v>
      </c>
    </row>
    <row r="10130" ht="15.0" hidden="1" customHeight="1">
      <c r="A10130" s="49" t="s">
        <v>486</v>
      </c>
      <c r="B10130" s="50">
        <v>45657.0</v>
      </c>
      <c r="C10130" s="49" t="s">
        <v>780</v>
      </c>
      <c r="D10130" s="49">
        <v>-172449.63</v>
      </c>
    </row>
    <row r="10131" ht="15.0" hidden="1" customHeight="1">
      <c r="A10131" s="49" t="s">
        <v>491</v>
      </c>
      <c r="B10131" s="50">
        <v>45657.0</v>
      </c>
      <c r="C10131" s="49" t="s">
        <v>780</v>
      </c>
      <c r="D10131" s="49">
        <v>-331338.85</v>
      </c>
    </row>
    <row r="10132" ht="15.0" hidden="1" customHeight="1">
      <c r="A10132" s="49" t="s">
        <v>496</v>
      </c>
      <c r="B10132" s="50">
        <v>45657.0</v>
      </c>
      <c r="C10132" s="49" t="s">
        <v>780</v>
      </c>
      <c r="D10132" s="49">
        <v>0.0</v>
      </c>
    </row>
    <row r="10133" ht="15.0" hidden="1" customHeight="1">
      <c r="A10133" s="49" t="s">
        <v>501</v>
      </c>
      <c r="B10133" s="50">
        <v>45657.0</v>
      </c>
      <c r="C10133" s="49" t="s">
        <v>780</v>
      </c>
      <c r="D10133" s="49">
        <v>0.0</v>
      </c>
    </row>
    <row r="10134" ht="15.0" hidden="1" customHeight="1">
      <c r="A10134" s="49" t="s">
        <v>506</v>
      </c>
      <c r="B10134" s="50">
        <v>45657.0</v>
      </c>
      <c r="C10134" s="49" t="s">
        <v>780</v>
      </c>
      <c r="D10134" s="49">
        <v>-440300.0</v>
      </c>
    </row>
    <row r="10135" ht="15.0" hidden="1" customHeight="1">
      <c r="A10135" s="49" t="s">
        <v>512</v>
      </c>
      <c r="B10135" s="50">
        <v>45657.0</v>
      </c>
      <c r="C10135" s="49" t="s">
        <v>780</v>
      </c>
      <c r="D10135" s="49">
        <v>-1214226.72</v>
      </c>
    </row>
    <row r="10136" ht="15.0" hidden="1" customHeight="1">
      <c r="A10136" s="49" t="s">
        <v>517</v>
      </c>
      <c r="B10136" s="50">
        <v>45657.0</v>
      </c>
      <c r="C10136" s="49" t="s">
        <v>780</v>
      </c>
      <c r="D10136" s="49">
        <v>-700000.0</v>
      </c>
    </row>
    <row r="10137" ht="15.0" hidden="1" customHeight="1">
      <c r="A10137" s="49" t="s">
        <v>522</v>
      </c>
      <c r="B10137" s="50">
        <v>45657.0</v>
      </c>
      <c r="C10137" s="49" t="s">
        <v>780</v>
      </c>
      <c r="D10137" s="49">
        <v>-300000.0</v>
      </c>
    </row>
    <row r="10138" ht="15.0" hidden="1" customHeight="1">
      <c r="A10138" s="49" t="s">
        <v>528</v>
      </c>
      <c r="B10138" s="50">
        <v>45657.0</v>
      </c>
      <c r="C10138" s="49" t="s">
        <v>780</v>
      </c>
      <c r="D10138" s="49">
        <v>-800000.0</v>
      </c>
    </row>
    <row r="10139" ht="15.0" hidden="1" customHeight="1">
      <c r="A10139" s="49" t="s">
        <v>533</v>
      </c>
      <c r="B10139" s="50">
        <v>45657.0</v>
      </c>
      <c r="C10139" s="49" t="s">
        <v>780</v>
      </c>
      <c r="D10139" s="49">
        <v>-250000.0</v>
      </c>
    </row>
    <row r="10140" ht="15.0" hidden="1" customHeight="1">
      <c r="A10140" s="49" t="s">
        <v>538</v>
      </c>
      <c r="B10140" s="50">
        <v>45657.0</v>
      </c>
      <c r="C10140" s="49" t="s">
        <v>780</v>
      </c>
      <c r="D10140" s="49">
        <v>-700000.0</v>
      </c>
    </row>
    <row r="10141" ht="15.0" hidden="1" customHeight="1">
      <c r="A10141" s="49" t="s">
        <v>546</v>
      </c>
      <c r="B10141" s="50">
        <v>45657.0</v>
      </c>
      <c r="C10141" s="49" t="s">
        <v>780</v>
      </c>
      <c r="D10141" s="49">
        <v>-1868953.6</v>
      </c>
    </row>
    <row r="10142" ht="15.0" hidden="1" customHeight="1">
      <c r="A10142" s="49" t="s">
        <v>551</v>
      </c>
      <c r="B10142" s="50">
        <v>45657.0</v>
      </c>
      <c r="C10142" s="49" t="s">
        <v>780</v>
      </c>
      <c r="D10142" s="49">
        <v>-1620801.75</v>
      </c>
    </row>
    <row r="10143" ht="15.0" hidden="1" customHeight="1">
      <c r="A10143" s="49" t="s">
        <v>556</v>
      </c>
      <c r="B10143" s="50">
        <v>45657.0</v>
      </c>
      <c r="C10143" s="49" t="s">
        <v>780</v>
      </c>
      <c r="D10143" s="49">
        <v>-500000.0</v>
      </c>
    </row>
    <row r="10144" ht="15.0" hidden="1" customHeight="1">
      <c r="A10144" s="49" t="s">
        <v>561</v>
      </c>
      <c r="B10144" s="50">
        <v>45657.0</v>
      </c>
      <c r="C10144" s="49" t="s">
        <v>780</v>
      </c>
      <c r="D10144" s="49">
        <v>-250000.0</v>
      </c>
    </row>
    <row r="10145" ht="15.0" hidden="1" customHeight="1">
      <c r="A10145" s="49" t="s">
        <v>566</v>
      </c>
      <c r="B10145" s="50">
        <v>45657.0</v>
      </c>
      <c r="C10145" s="49" t="s">
        <v>780</v>
      </c>
      <c r="D10145" s="49">
        <v>0.0</v>
      </c>
    </row>
    <row r="10146" ht="15.0" hidden="1" customHeight="1">
      <c r="A10146" s="49" t="s">
        <v>571</v>
      </c>
      <c r="B10146" s="50">
        <v>45657.0</v>
      </c>
      <c r="C10146" s="49" t="s">
        <v>780</v>
      </c>
      <c r="D10146" s="49">
        <v>-2500000.0</v>
      </c>
    </row>
    <row r="10147" ht="15.0" hidden="1" customHeight="1">
      <c r="A10147" s="49" t="s">
        <v>576</v>
      </c>
      <c r="B10147" s="50">
        <v>45657.0</v>
      </c>
      <c r="C10147" s="49" t="s">
        <v>780</v>
      </c>
      <c r="D10147" s="49">
        <v>180000.0</v>
      </c>
    </row>
    <row r="10148" ht="15.0" hidden="1" customHeight="1">
      <c r="A10148" s="49" t="s">
        <v>581</v>
      </c>
      <c r="B10148" s="50">
        <v>45657.0</v>
      </c>
      <c r="C10148" s="49" t="s">
        <v>780</v>
      </c>
      <c r="D10148" s="49">
        <v>-180000.0</v>
      </c>
    </row>
    <row r="10149" ht="15.0" hidden="1" customHeight="1">
      <c r="A10149" s="49" t="s">
        <v>586</v>
      </c>
      <c r="B10149" s="50">
        <v>45657.0</v>
      </c>
      <c r="C10149" s="49" t="s">
        <v>780</v>
      </c>
      <c r="D10149" s="49">
        <v>-2200000.0</v>
      </c>
    </row>
    <row r="10150" ht="15.0" hidden="1" customHeight="1">
      <c r="A10150" s="49" t="s">
        <v>754</v>
      </c>
      <c r="B10150" s="50">
        <v>45657.0</v>
      </c>
      <c r="C10150" s="49" t="s">
        <v>780</v>
      </c>
      <c r="D10150" s="49">
        <v>-588627.0</v>
      </c>
    </row>
    <row r="10151" ht="15.0" hidden="1" customHeight="1">
      <c r="A10151" s="49" t="s">
        <v>591</v>
      </c>
      <c r="B10151" s="50">
        <v>45657.0</v>
      </c>
      <c r="C10151" s="49" t="s">
        <v>780</v>
      </c>
      <c r="D10151" s="49">
        <v>0.0</v>
      </c>
    </row>
    <row r="10152" ht="15.0" hidden="1" customHeight="1">
      <c r="A10152" s="49" t="s">
        <v>759</v>
      </c>
      <c r="B10152" s="50">
        <v>45657.0</v>
      </c>
      <c r="C10152" s="49" t="s">
        <v>780</v>
      </c>
      <c r="D10152" s="49">
        <v>6449999.99</v>
      </c>
    </row>
    <row r="10153" ht="15.0" hidden="1" customHeight="1">
      <c r="A10153" s="49" t="s">
        <v>596</v>
      </c>
      <c r="B10153" s="50">
        <v>45657.0</v>
      </c>
      <c r="C10153" s="49" t="s">
        <v>780</v>
      </c>
      <c r="D10153" s="49">
        <v>0.0</v>
      </c>
    </row>
    <row r="10154" ht="15.0" hidden="1" customHeight="1">
      <c r="A10154" s="49" t="s">
        <v>602</v>
      </c>
      <c r="B10154" s="50">
        <v>45657.0</v>
      </c>
      <c r="C10154" s="49" t="s">
        <v>780</v>
      </c>
      <c r="D10154" s="49">
        <v>1450000.0</v>
      </c>
    </row>
    <row r="10155" ht="15.0" hidden="1" customHeight="1">
      <c r="A10155" s="49" t="s">
        <v>607</v>
      </c>
      <c r="B10155" s="50">
        <v>45657.0</v>
      </c>
      <c r="C10155" s="49" t="s">
        <v>780</v>
      </c>
      <c r="D10155" s="49">
        <v>0.0</v>
      </c>
    </row>
    <row r="10156" ht="15.0" hidden="1" customHeight="1">
      <c r="A10156" s="49" t="s">
        <v>612</v>
      </c>
      <c r="B10156" s="50">
        <v>45657.0</v>
      </c>
      <c r="C10156" s="49" t="s">
        <v>780</v>
      </c>
      <c r="D10156" s="49">
        <v>0.0</v>
      </c>
    </row>
    <row r="10157" ht="15.0" hidden="1" customHeight="1">
      <c r="A10157" s="49" t="s">
        <v>617</v>
      </c>
      <c r="B10157" s="50">
        <v>45657.0</v>
      </c>
      <c r="C10157" s="49" t="s">
        <v>780</v>
      </c>
      <c r="D10157" s="49">
        <v>0.0</v>
      </c>
    </row>
    <row r="10158" ht="15.0" hidden="1" customHeight="1">
      <c r="A10158" s="49" t="s">
        <v>622</v>
      </c>
      <c r="B10158" s="50">
        <v>45657.0</v>
      </c>
      <c r="C10158" s="49" t="s">
        <v>780</v>
      </c>
      <c r="D10158" s="49">
        <v>0.0</v>
      </c>
    </row>
    <row r="10159" ht="15.0" hidden="1" customHeight="1">
      <c r="A10159" s="49" t="s">
        <v>627</v>
      </c>
      <c r="B10159" s="50">
        <v>45657.0</v>
      </c>
      <c r="C10159" s="49" t="s">
        <v>780</v>
      </c>
      <c r="D10159" s="49">
        <v>0.0</v>
      </c>
    </row>
    <row r="10160" ht="15.0" hidden="1" customHeight="1">
      <c r="A10160" s="49" t="s">
        <v>631</v>
      </c>
      <c r="B10160" s="50">
        <v>45657.0</v>
      </c>
      <c r="C10160" s="49" t="s">
        <v>780</v>
      </c>
      <c r="D10160" s="49">
        <v>0.0</v>
      </c>
    </row>
    <row r="10161" ht="15.0" hidden="1" customHeight="1">
      <c r="A10161" s="49" t="s">
        <v>636</v>
      </c>
      <c r="B10161" s="50">
        <v>45657.0</v>
      </c>
      <c r="C10161" s="49" t="s">
        <v>780</v>
      </c>
      <c r="D10161" s="49">
        <v>0.0</v>
      </c>
    </row>
    <row r="10162" ht="15.0" hidden="1" customHeight="1">
      <c r="A10162" s="49" t="s">
        <v>640</v>
      </c>
      <c r="B10162" s="50">
        <v>45657.0</v>
      </c>
      <c r="C10162" s="49" t="s">
        <v>780</v>
      </c>
      <c r="D10162" s="49">
        <v>0.0</v>
      </c>
    </row>
    <row r="10163" ht="15.0" hidden="1" customHeight="1">
      <c r="A10163" s="49" t="s">
        <v>644</v>
      </c>
      <c r="B10163" s="50">
        <v>45657.0</v>
      </c>
      <c r="C10163" s="49" t="s">
        <v>780</v>
      </c>
      <c r="D10163" s="49">
        <v>0.0</v>
      </c>
    </row>
    <row r="10164" ht="15.0" hidden="1" customHeight="1">
      <c r="A10164" s="49" t="s">
        <v>649</v>
      </c>
      <c r="B10164" s="50">
        <v>45657.0</v>
      </c>
      <c r="C10164" s="49" t="s">
        <v>780</v>
      </c>
      <c r="D10164" s="49">
        <v>0.0</v>
      </c>
    </row>
    <row r="10165" ht="15.0" hidden="1" customHeight="1">
      <c r="A10165" s="49" t="s">
        <v>654</v>
      </c>
      <c r="B10165" s="50">
        <v>45657.0</v>
      </c>
      <c r="C10165" s="49" t="s">
        <v>780</v>
      </c>
      <c r="D10165" s="49">
        <v>0.0</v>
      </c>
    </row>
    <row r="10166" ht="15.0" hidden="1" customHeight="1">
      <c r="A10166" s="49" t="s">
        <v>659</v>
      </c>
      <c r="B10166" s="50">
        <v>45657.0</v>
      </c>
      <c r="C10166" s="49" t="s">
        <v>780</v>
      </c>
      <c r="D10166" s="49">
        <v>0.0</v>
      </c>
    </row>
    <row r="10167" ht="15.0" hidden="1" customHeight="1">
      <c r="A10167" s="49" t="s">
        <v>664</v>
      </c>
      <c r="B10167" s="50">
        <v>45657.0</v>
      </c>
      <c r="C10167" s="49" t="s">
        <v>780</v>
      </c>
      <c r="D10167" s="49">
        <v>0.0</v>
      </c>
    </row>
    <row r="10168" ht="15.0" hidden="1" customHeight="1">
      <c r="A10168" s="49" t="s">
        <v>669</v>
      </c>
      <c r="B10168" s="50">
        <v>45657.0</v>
      </c>
      <c r="C10168" s="49" t="s">
        <v>780</v>
      </c>
      <c r="D10168" s="49">
        <v>0.0</v>
      </c>
    </row>
    <row r="10169" ht="15.0" hidden="1" customHeight="1">
      <c r="A10169" s="49" t="s">
        <v>674</v>
      </c>
      <c r="B10169" s="50">
        <v>45657.0</v>
      </c>
      <c r="C10169" s="49" t="s">
        <v>780</v>
      </c>
      <c r="D10169" s="49">
        <v>0.0</v>
      </c>
    </row>
    <row r="10170" ht="15.0" hidden="1" customHeight="1">
      <c r="A10170" s="49" t="s">
        <v>679</v>
      </c>
      <c r="B10170" s="50">
        <v>45657.0</v>
      </c>
      <c r="C10170" s="49" t="s">
        <v>780</v>
      </c>
      <c r="D10170" s="49">
        <v>0.0</v>
      </c>
    </row>
    <row r="10171" ht="15.0" hidden="1" customHeight="1">
      <c r="A10171" s="49" t="s">
        <v>684</v>
      </c>
      <c r="B10171" s="50">
        <v>45657.0</v>
      </c>
      <c r="C10171" s="49" t="s">
        <v>780</v>
      </c>
      <c r="D10171" s="49">
        <v>0.0</v>
      </c>
    </row>
    <row r="10172" ht="15.0" hidden="1" customHeight="1">
      <c r="A10172" s="49" t="s">
        <v>689</v>
      </c>
      <c r="B10172" s="50">
        <v>45657.0</v>
      </c>
      <c r="C10172" s="49" t="s">
        <v>780</v>
      </c>
      <c r="D10172" s="49">
        <v>0.0</v>
      </c>
    </row>
    <row r="10173" ht="15.0" hidden="1" customHeight="1">
      <c r="A10173" s="49" t="s">
        <v>694</v>
      </c>
      <c r="B10173" s="50">
        <v>45657.0</v>
      </c>
      <c r="C10173" s="49" t="s">
        <v>780</v>
      </c>
      <c r="D10173" s="49">
        <v>0.0</v>
      </c>
    </row>
    <row r="10174" ht="15.0" hidden="1" customHeight="1">
      <c r="A10174" s="49" t="s">
        <v>699</v>
      </c>
      <c r="B10174" s="50">
        <v>45657.0</v>
      </c>
      <c r="C10174" s="49" t="s">
        <v>780</v>
      </c>
      <c r="D10174" s="49">
        <v>0.0</v>
      </c>
    </row>
    <row r="10175" ht="15.0" hidden="1" customHeight="1">
      <c r="A10175" s="49" t="s">
        <v>705</v>
      </c>
      <c r="B10175" s="50">
        <v>45657.0</v>
      </c>
      <c r="C10175" s="49" t="s">
        <v>780</v>
      </c>
      <c r="D10175" s="49">
        <v>0.0</v>
      </c>
    </row>
    <row r="10176" ht="15.0" hidden="1" customHeight="1">
      <c r="A10176" s="49" t="s">
        <v>710</v>
      </c>
      <c r="B10176" s="50">
        <v>45657.0</v>
      </c>
      <c r="C10176" s="49" t="s">
        <v>780</v>
      </c>
      <c r="D10176" s="49">
        <v>0.0</v>
      </c>
    </row>
    <row r="10177" ht="15.0" hidden="1" customHeight="1">
      <c r="A10177" s="49" t="s">
        <v>715</v>
      </c>
      <c r="B10177" s="50">
        <v>45657.0</v>
      </c>
      <c r="C10177" s="49" t="s">
        <v>780</v>
      </c>
      <c r="D10177" s="49">
        <v>0.0</v>
      </c>
    </row>
    <row r="10178" ht="15.0" hidden="1" customHeight="1">
      <c r="A10178" s="49" t="s">
        <v>765</v>
      </c>
      <c r="B10178" s="50">
        <v>45657.0</v>
      </c>
      <c r="C10178" s="49" t="s">
        <v>780</v>
      </c>
      <c r="D10178" s="49">
        <v>0.0</v>
      </c>
    </row>
    <row r="10179" ht="15.0" hidden="1" customHeight="1">
      <c r="A10179" s="49" t="s">
        <v>720</v>
      </c>
      <c r="B10179" s="50">
        <v>45657.0</v>
      </c>
      <c r="C10179" s="49" t="s">
        <v>780</v>
      </c>
      <c r="D10179" s="49">
        <v>0.0</v>
      </c>
    </row>
    <row r="10180" ht="15.0" hidden="1" customHeight="1">
      <c r="A10180" s="49" t="s">
        <v>725</v>
      </c>
      <c r="B10180" s="50">
        <v>45657.0</v>
      </c>
      <c r="C10180" s="49" t="s">
        <v>780</v>
      </c>
      <c r="D10180" s="49">
        <v>0.0</v>
      </c>
    </row>
    <row r="10181" ht="15.0" hidden="1" customHeight="1">
      <c r="A10181" s="49" t="s">
        <v>730</v>
      </c>
      <c r="B10181" s="50">
        <v>45657.0</v>
      </c>
      <c r="C10181" s="49" t="s">
        <v>780</v>
      </c>
      <c r="D10181" s="49">
        <v>0.0</v>
      </c>
    </row>
    <row r="10182" ht="15.0" hidden="1" customHeight="1">
      <c r="A10182" s="49" t="s">
        <v>734</v>
      </c>
      <c r="B10182" s="50">
        <v>45657.0</v>
      </c>
      <c r="C10182" s="49" t="s">
        <v>780</v>
      </c>
      <c r="D10182" s="49">
        <v>0.0</v>
      </c>
    </row>
    <row r="10183" ht="15.0" hidden="1" customHeight="1">
      <c r="A10183" s="49" t="s">
        <v>739</v>
      </c>
      <c r="B10183" s="50">
        <v>45657.0</v>
      </c>
      <c r="C10183" s="49" t="s">
        <v>780</v>
      </c>
      <c r="D10183" s="49">
        <v>0.0</v>
      </c>
    </row>
    <row r="10184" ht="15.0" hidden="1" customHeight="1">
      <c r="A10184" s="49" t="s">
        <v>744</v>
      </c>
      <c r="B10184" s="50">
        <v>45657.0</v>
      </c>
      <c r="C10184" s="49" t="s">
        <v>780</v>
      </c>
      <c r="D10184" s="49">
        <v>0.0</v>
      </c>
    </row>
    <row r="10185" ht="15.0" hidden="1" customHeight="1">
      <c r="A10185" s="49" t="s">
        <v>749</v>
      </c>
      <c r="B10185" s="50">
        <v>45657.0</v>
      </c>
      <c r="C10185" s="49" t="s">
        <v>780</v>
      </c>
      <c r="D10185" s="49">
        <v>0.0</v>
      </c>
    </row>
    <row r="10186" ht="15.0" customHeight="1">
      <c r="A10186" s="49" t="s">
        <v>776</v>
      </c>
      <c r="B10186" s="50">
        <v>45746.0</v>
      </c>
      <c r="C10186" s="49" t="s">
        <v>777</v>
      </c>
      <c r="D10186" s="49">
        <v>0.0</v>
      </c>
    </row>
    <row r="10187" ht="15.0" hidden="1" customHeight="1">
      <c r="A10187" s="49" t="s">
        <v>778</v>
      </c>
      <c r="B10187" s="50">
        <v>45746.0</v>
      </c>
      <c r="C10187" s="49" t="s">
        <v>777</v>
      </c>
      <c r="D10187" s="49">
        <v>0.0</v>
      </c>
    </row>
    <row r="10188" ht="15.0" hidden="1" customHeight="1">
      <c r="A10188" s="49" t="s">
        <v>92</v>
      </c>
      <c r="B10188" s="50">
        <v>45746.0</v>
      </c>
      <c r="C10188" s="49" t="s">
        <v>777</v>
      </c>
      <c r="D10188" s="49">
        <v>0.0</v>
      </c>
    </row>
    <row r="10189" ht="15.0" hidden="1" customHeight="1">
      <c r="A10189" s="49" t="s">
        <v>97</v>
      </c>
      <c r="B10189" s="50">
        <v>45746.0</v>
      </c>
      <c r="C10189" s="49" t="s">
        <v>777</v>
      </c>
      <c r="D10189" s="49">
        <v>0.0</v>
      </c>
    </row>
    <row r="10190" ht="15.0" hidden="1" customHeight="1">
      <c r="A10190" s="49" t="s">
        <v>102</v>
      </c>
      <c r="B10190" s="50">
        <v>45746.0</v>
      </c>
      <c r="C10190" s="49" t="s">
        <v>777</v>
      </c>
      <c r="D10190" s="49">
        <v>0.0</v>
      </c>
    </row>
    <row r="10191" ht="15.0" hidden="1" customHeight="1">
      <c r="A10191" s="49" t="s">
        <v>106</v>
      </c>
      <c r="B10191" s="50">
        <v>45746.0</v>
      </c>
      <c r="C10191" s="49" t="s">
        <v>777</v>
      </c>
      <c r="D10191" s="49">
        <v>0.0</v>
      </c>
    </row>
    <row r="10192" ht="15.0" hidden="1" customHeight="1">
      <c r="A10192" s="49" t="s">
        <v>111</v>
      </c>
      <c r="B10192" s="50">
        <v>45746.0</v>
      </c>
      <c r="C10192" s="49" t="s">
        <v>777</v>
      </c>
      <c r="D10192" s="49">
        <v>0.0</v>
      </c>
    </row>
    <row r="10193" ht="15.0" hidden="1" customHeight="1">
      <c r="A10193" s="49" t="s">
        <v>116</v>
      </c>
      <c r="B10193" s="50">
        <v>45746.0</v>
      </c>
      <c r="C10193" s="49" t="s">
        <v>777</v>
      </c>
      <c r="D10193" s="49">
        <v>0.0</v>
      </c>
    </row>
    <row r="10194" ht="15.0" hidden="1" customHeight="1">
      <c r="A10194" s="49" t="s">
        <v>120</v>
      </c>
      <c r="B10194" s="50">
        <v>45746.0</v>
      </c>
      <c r="C10194" s="49" t="s">
        <v>777</v>
      </c>
      <c r="D10194" s="49">
        <v>0.0</v>
      </c>
    </row>
    <row r="10195" ht="15.0" hidden="1" customHeight="1">
      <c r="A10195" s="49" t="s">
        <v>125</v>
      </c>
      <c r="B10195" s="50">
        <v>45746.0</v>
      </c>
      <c r="C10195" s="49" t="s">
        <v>777</v>
      </c>
      <c r="D10195" s="49">
        <v>0.0</v>
      </c>
    </row>
    <row r="10196" ht="15.0" hidden="1" customHeight="1">
      <c r="A10196" s="49" t="s">
        <v>130</v>
      </c>
      <c r="B10196" s="50">
        <v>45746.0</v>
      </c>
      <c r="C10196" s="49" t="s">
        <v>777</v>
      </c>
      <c r="D10196" s="49">
        <v>0.0</v>
      </c>
    </row>
    <row r="10197" ht="15.0" hidden="1" customHeight="1">
      <c r="A10197" s="49" t="s">
        <v>137</v>
      </c>
      <c r="B10197" s="50">
        <v>45746.0</v>
      </c>
      <c r="C10197" s="49" t="s">
        <v>777</v>
      </c>
      <c r="D10197" s="49">
        <v>0.0</v>
      </c>
    </row>
    <row r="10198" ht="15.0" hidden="1" customHeight="1">
      <c r="A10198" s="49" t="s">
        <v>142</v>
      </c>
      <c r="B10198" s="50">
        <v>45746.0</v>
      </c>
      <c r="C10198" s="49" t="s">
        <v>777</v>
      </c>
      <c r="D10198" s="49">
        <v>0.0</v>
      </c>
    </row>
    <row r="10199" ht="15.0" hidden="1" customHeight="1">
      <c r="A10199" s="49" t="s">
        <v>147</v>
      </c>
      <c r="B10199" s="50">
        <v>45746.0</v>
      </c>
      <c r="C10199" s="49" t="s">
        <v>777</v>
      </c>
      <c r="D10199" s="49">
        <v>0.0</v>
      </c>
    </row>
    <row r="10200" ht="15.0" hidden="1" customHeight="1">
      <c r="A10200" s="49" t="s">
        <v>152</v>
      </c>
      <c r="B10200" s="50">
        <v>45746.0</v>
      </c>
      <c r="C10200" s="49" t="s">
        <v>777</v>
      </c>
      <c r="D10200" s="49">
        <v>0.0</v>
      </c>
    </row>
    <row r="10201" ht="15.0" hidden="1" customHeight="1">
      <c r="A10201" s="49" t="s">
        <v>157</v>
      </c>
      <c r="B10201" s="50">
        <v>45746.0</v>
      </c>
      <c r="C10201" s="49" t="s">
        <v>777</v>
      </c>
      <c r="D10201" s="49">
        <v>0.0</v>
      </c>
    </row>
    <row r="10202" ht="15.0" hidden="1" customHeight="1">
      <c r="A10202" s="49" t="s">
        <v>162</v>
      </c>
      <c r="B10202" s="50">
        <v>45746.0</v>
      </c>
      <c r="C10202" s="49" t="s">
        <v>777</v>
      </c>
      <c r="D10202" s="49">
        <v>0.0</v>
      </c>
    </row>
    <row r="10203" ht="15.0" hidden="1" customHeight="1">
      <c r="A10203" s="49" t="s">
        <v>167</v>
      </c>
      <c r="B10203" s="50">
        <v>45746.0</v>
      </c>
      <c r="C10203" s="49" t="s">
        <v>777</v>
      </c>
      <c r="D10203" s="49">
        <v>0.0</v>
      </c>
    </row>
    <row r="10204" ht="15.0" hidden="1" customHeight="1">
      <c r="A10204" s="49" t="s">
        <v>172</v>
      </c>
      <c r="B10204" s="50">
        <v>45746.0</v>
      </c>
      <c r="C10204" s="49" t="s">
        <v>777</v>
      </c>
      <c r="D10204" s="49">
        <v>0.0</v>
      </c>
    </row>
    <row r="10205" ht="15.0" hidden="1" customHeight="1">
      <c r="A10205" s="49" t="s">
        <v>177</v>
      </c>
      <c r="B10205" s="50">
        <v>45746.0</v>
      </c>
      <c r="C10205" s="49" t="s">
        <v>777</v>
      </c>
      <c r="D10205" s="49">
        <v>0.0</v>
      </c>
    </row>
    <row r="10206" ht="15.0" hidden="1" customHeight="1">
      <c r="A10206" s="49" t="s">
        <v>182</v>
      </c>
      <c r="B10206" s="50">
        <v>45746.0</v>
      </c>
      <c r="C10206" s="49" t="s">
        <v>777</v>
      </c>
      <c r="D10206" s="49">
        <v>0.0</v>
      </c>
    </row>
    <row r="10207" ht="15.0" hidden="1" customHeight="1">
      <c r="A10207" s="49" t="s">
        <v>187</v>
      </c>
      <c r="B10207" s="50">
        <v>45746.0</v>
      </c>
      <c r="C10207" s="49" t="s">
        <v>777</v>
      </c>
      <c r="D10207" s="49">
        <v>0.0</v>
      </c>
    </row>
    <row r="10208" ht="15.0" hidden="1" customHeight="1">
      <c r="A10208" s="49" t="s">
        <v>192</v>
      </c>
      <c r="B10208" s="50">
        <v>45746.0</v>
      </c>
      <c r="C10208" s="49" t="s">
        <v>777</v>
      </c>
      <c r="D10208" s="49">
        <v>0.0</v>
      </c>
    </row>
    <row r="10209" ht="15.0" hidden="1" customHeight="1">
      <c r="A10209" s="49" t="s">
        <v>197</v>
      </c>
      <c r="B10209" s="50">
        <v>45746.0</v>
      </c>
      <c r="C10209" s="49" t="s">
        <v>777</v>
      </c>
      <c r="D10209" s="49">
        <v>0.0</v>
      </c>
    </row>
    <row r="10210" ht="15.0" hidden="1" customHeight="1">
      <c r="A10210" s="49" t="s">
        <v>202</v>
      </c>
      <c r="B10210" s="50">
        <v>45746.0</v>
      </c>
      <c r="C10210" s="49" t="s">
        <v>777</v>
      </c>
      <c r="D10210" s="49">
        <v>0.0</v>
      </c>
    </row>
    <row r="10211" ht="15.0" hidden="1" customHeight="1">
      <c r="A10211" s="49" t="s">
        <v>206</v>
      </c>
      <c r="B10211" s="50">
        <v>45746.0</v>
      </c>
      <c r="C10211" s="49" t="s">
        <v>777</v>
      </c>
      <c r="D10211" s="49">
        <v>0.0</v>
      </c>
    </row>
    <row r="10212" ht="15.0" hidden="1" customHeight="1">
      <c r="A10212" s="49" t="s">
        <v>211</v>
      </c>
      <c r="B10212" s="50">
        <v>45746.0</v>
      </c>
      <c r="C10212" s="49" t="s">
        <v>777</v>
      </c>
      <c r="D10212" s="49">
        <v>0.0</v>
      </c>
    </row>
    <row r="10213" ht="15.0" hidden="1" customHeight="1">
      <c r="A10213" s="49" t="s">
        <v>779</v>
      </c>
      <c r="B10213" s="50">
        <v>45746.0</v>
      </c>
      <c r="C10213" s="49" t="s">
        <v>777</v>
      </c>
      <c r="D10213" s="49">
        <v>0.0</v>
      </c>
    </row>
    <row r="10214" ht="15.0" hidden="1" customHeight="1">
      <c r="A10214" s="49" t="s">
        <v>221</v>
      </c>
      <c r="B10214" s="50">
        <v>45746.0</v>
      </c>
      <c r="C10214" s="49" t="s">
        <v>777</v>
      </c>
      <c r="D10214" s="49">
        <v>0.0</v>
      </c>
    </row>
    <row r="10215" ht="15.0" hidden="1" customHeight="1">
      <c r="A10215" s="49" t="s">
        <v>226</v>
      </c>
      <c r="B10215" s="50">
        <v>45746.0</v>
      </c>
      <c r="C10215" s="49" t="s">
        <v>777</v>
      </c>
      <c r="D10215" s="49">
        <v>0.0</v>
      </c>
    </row>
    <row r="10216" ht="15.0" hidden="1" customHeight="1">
      <c r="A10216" s="49" t="s">
        <v>231</v>
      </c>
      <c r="B10216" s="50">
        <v>45746.0</v>
      </c>
      <c r="C10216" s="49" t="s">
        <v>777</v>
      </c>
      <c r="D10216" s="49">
        <v>0.0</v>
      </c>
    </row>
    <row r="10217" ht="15.0" hidden="1" customHeight="1">
      <c r="A10217" s="49" t="s">
        <v>236</v>
      </c>
      <c r="B10217" s="50">
        <v>45746.0</v>
      </c>
      <c r="C10217" s="49" t="s">
        <v>777</v>
      </c>
      <c r="D10217" s="49">
        <v>0.0</v>
      </c>
    </row>
    <row r="10218" ht="15.0" hidden="1" customHeight="1">
      <c r="A10218" s="49" t="s">
        <v>242</v>
      </c>
      <c r="B10218" s="50">
        <v>45746.0</v>
      </c>
      <c r="C10218" s="49" t="s">
        <v>777</v>
      </c>
      <c r="D10218" s="49">
        <v>0.0</v>
      </c>
    </row>
    <row r="10219" ht="15.0" hidden="1" customHeight="1">
      <c r="A10219" s="49" t="s">
        <v>248</v>
      </c>
      <c r="B10219" s="50">
        <v>45746.0</v>
      </c>
      <c r="C10219" s="49" t="s">
        <v>777</v>
      </c>
      <c r="D10219" s="49">
        <v>0.0</v>
      </c>
    </row>
    <row r="10220" ht="15.0" hidden="1" customHeight="1">
      <c r="A10220" s="49" t="s">
        <v>253</v>
      </c>
      <c r="B10220" s="50">
        <v>45746.0</v>
      </c>
      <c r="C10220" s="49" t="s">
        <v>777</v>
      </c>
      <c r="D10220" s="49">
        <v>0.0</v>
      </c>
    </row>
    <row r="10221" ht="15.0" hidden="1" customHeight="1">
      <c r="A10221" s="49" t="s">
        <v>258</v>
      </c>
      <c r="B10221" s="50">
        <v>45746.0</v>
      </c>
      <c r="C10221" s="49" t="s">
        <v>777</v>
      </c>
      <c r="D10221" s="49">
        <v>0.0</v>
      </c>
    </row>
    <row r="10222" ht="15.0" hidden="1" customHeight="1">
      <c r="A10222" s="49" t="s">
        <v>263</v>
      </c>
      <c r="B10222" s="50">
        <v>45746.0</v>
      </c>
      <c r="C10222" s="49" t="s">
        <v>777</v>
      </c>
      <c r="D10222" s="49">
        <v>0.0</v>
      </c>
    </row>
    <row r="10223" ht="15.0" hidden="1" customHeight="1">
      <c r="A10223" s="49" t="s">
        <v>268</v>
      </c>
      <c r="B10223" s="50">
        <v>45746.0</v>
      </c>
      <c r="C10223" s="49" t="s">
        <v>777</v>
      </c>
      <c r="D10223" s="49">
        <v>0.0</v>
      </c>
    </row>
    <row r="10224" ht="15.0" hidden="1" customHeight="1">
      <c r="A10224" s="49" t="s">
        <v>273</v>
      </c>
      <c r="B10224" s="50">
        <v>45746.0</v>
      </c>
      <c r="C10224" s="49" t="s">
        <v>777</v>
      </c>
      <c r="D10224" s="49">
        <v>0.0</v>
      </c>
    </row>
    <row r="10225" ht="15.0" hidden="1" customHeight="1">
      <c r="A10225" s="49" t="s">
        <v>278</v>
      </c>
      <c r="B10225" s="50">
        <v>45746.0</v>
      </c>
      <c r="C10225" s="49" t="s">
        <v>777</v>
      </c>
      <c r="D10225" s="49">
        <v>0.0</v>
      </c>
    </row>
    <row r="10226" ht="15.0" hidden="1" customHeight="1">
      <c r="A10226" s="49" t="s">
        <v>283</v>
      </c>
      <c r="B10226" s="50">
        <v>45746.0</v>
      </c>
      <c r="C10226" s="49" t="s">
        <v>777</v>
      </c>
      <c r="D10226" s="49">
        <v>0.0</v>
      </c>
    </row>
    <row r="10227" ht="15.0" hidden="1" customHeight="1">
      <c r="A10227" s="49" t="s">
        <v>288</v>
      </c>
      <c r="B10227" s="50">
        <v>45746.0</v>
      </c>
      <c r="C10227" s="49" t="s">
        <v>777</v>
      </c>
      <c r="D10227" s="49">
        <v>0.0</v>
      </c>
    </row>
    <row r="10228" ht="15.0" hidden="1" customHeight="1">
      <c r="A10228" s="49" t="s">
        <v>293</v>
      </c>
      <c r="B10228" s="50">
        <v>45746.0</v>
      </c>
      <c r="C10228" s="49" t="s">
        <v>777</v>
      </c>
      <c r="D10228" s="49">
        <v>0.0</v>
      </c>
    </row>
    <row r="10229" ht="15.0" hidden="1" customHeight="1">
      <c r="A10229" s="49" t="s">
        <v>298</v>
      </c>
      <c r="B10229" s="50">
        <v>45746.0</v>
      </c>
      <c r="C10229" s="49" t="s">
        <v>777</v>
      </c>
      <c r="D10229" s="49">
        <v>0.0</v>
      </c>
    </row>
    <row r="10230" ht="15.0" hidden="1" customHeight="1">
      <c r="A10230" s="49" t="s">
        <v>303</v>
      </c>
      <c r="B10230" s="50">
        <v>45746.0</v>
      </c>
      <c r="C10230" s="49" t="s">
        <v>777</v>
      </c>
      <c r="D10230" s="49">
        <v>0.0</v>
      </c>
    </row>
    <row r="10231" ht="15.0" hidden="1" customHeight="1">
      <c r="A10231" s="49" t="s">
        <v>307</v>
      </c>
      <c r="B10231" s="50">
        <v>45746.0</v>
      </c>
      <c r="C10231" s="49" t="s">
        <v>777</v>
      </c>
      <c r="D10231" s="49">
        <v>0.0</v>
      </c>
    </row>
    <row r="10232" ht="15.0" hidden="1" customHeight="1">
      <c r="A10232" s="49" t="s">
        <v>313</v>
      </c>
      <c r="B10232" s="50">
        <v>45746.0</v>
      </c>
      <c r="C10232" s="49" t="s">
        <v>777</v>
      </c>
      <c r="D10232" s="49">
        <v>0.0</v>
      </c>
    </row>
    <row r="10233" ht="15.0" hidden="1" customHeight="1">
      <c r="A10233" s="49" t="s">
        <v>318</v>
      </c>
      <c r="B10233" s="50">
        <v>45746.0</v>
      </c>
      <c r="C10233" s="49" t="s">
        <v>777</v>
      </c>
      <c r="D10233" s="49">
        <v>0.0</v>
      </c>
    </row>
    <row r="10234" ht="15.0" hidden="1" customHeight="1">
      <c r="A10234" s="49" t="s">
        <v>323</v>
      </c>
      <c r="B10234" s="50">
        <v>45746.0</v>
      </c>
      <c r="C10234" s="49" t="s">
        <v>777</v>
      </c>
      <c r="D10234" s="49">
        <v>0.0</v>
      </c>
    </row>
    <row r="10235" ht="15.0" hidden="1" customHeight="1">
      <c r="A10235" s="49" t="s">
        <v>328</v>
      </c>
      <c r="B10235" s="50">
        <v>45746.0</v>
      </c>
      <c r="C10235" s="49" t="s">
        <v>777</v>
      </c>
      <c r="D10235" s="49">
        <v>0.0</v>
      </c>
    </row>
    <row r="10236" ht="15.0" hidden="1" customHeight="1">
      <c r="A10236" s="49" t="s">
        <v>335</v>
      </c>
      <c r="B10236" s="50">
        <v>45746.0</v>
      </c>
      <c r="C10236" s="49" t="s">
        <v>777</v>
      </c>
      <c r="D10236" s="49">
        <v>0.0</v>
      </c>
    </row>
    <row r="10237" ht="15.0" hidden="1" customHeight="1">
      <c r="A10237" s="49" t="s">
        <v>340</v>
      </c>
      <c r="B10237" s="50">
        <v>45746.0</v>
      </c>
      <c r="C10237" s="49" t="s">
        <v>777</v>
      </c>
      <c r="D10237" s="49">
        <v>0.0</v>
      </c>
    </row>
    <row r="10238" ht="15.0" hidden="1" customHeight="1">
      <c r="A10238" s="49" t="s">
        <v>345</v>
      </c>
      <c r="B10238" s="50">
        <v>45746.0</v>
      </c>
      <c r="C10238" s="49" t="s">
        <v>777</v>
      </c>
      <c r="D10238" s="49">
        <v>0.0</v>
      </c>
    </row>
    <row r="10239" ht="15.0" hidden="1" customHeight="1">
      <c r="A10239" s="49" t="s">
        <v>350</v>
      </c>
      <c r="B10239" s="50">
        <v>45746.0</v>
      </c>
      <c r="C10239" s="49" t="s">
        <v>777</v>
      </c>
      <c r="D10239" s="49">
        <v>0.0</v>
      </c>
    </row>
    <row r="10240" ht="15.0" hidden="1" customHeight="1">
      <c r="A10240" s="49" t="s">
        <v>355</v>
      </c>
      <c r="B10240" s="50">
        <v>45746.0</v>
      </c>
      <c r="C10240" s="49" t="s">
        <v>777</v>
      </c>
      <c r="D10240" s="49">
        <v>0.0</v>
      </c>
    </row>
    <row r="10241" ht="15.0" hidden="1" customHeight="1">
      <c r="A10241" s="49" t="s">
        <v>360</v>
      </c>
      <c r="B10241" s="50">
        <v>45746.0</v>
      </c>
      <c r="C10241" s="49" t="s">
        <v>777</v>
      </c>
      <c r="D10241" s="49">
        <v>0.0</v>
      </c>
    </row>
    <row r="10242" ht="15.0" hidden="1" customHeight="1">
      <c r="A10242" s="49" t="s">
        <v>365</v>
      </c>
      <c r="B10242" s="50">
        <v>45746.0</v>
      </c>
      <c r="C10242" s="49" t="s">
        <v>777</v>
      </c>
      <c r="D10242" s="49">
        <v>0.0</v>
      </c>
    </row>
    <row r="10243" ht="15.0" hidden="1" customHeight="1">
      <c r="A10243" s="49" t="s">
        <v>370</v>
      </c>
      <c r="B10243" s="50">
        <v>45746.0</v>
      </c>
      <c r="C10243" s="49" t="s">
        <v>777</v>
      </c>
      <c r="D10243" s="49">
        <v>0.0</v>
      </c>
    </row>
    <row r="10244" ht="15.0" hidden="1" customHeight="1">
      <c r="A10244" s="49" t="s">
        <v>375</v>
      </c>
      <c r="B10244" s="50">
        <v>45746.0</v>
      </c>
      <c r="C10244" s="49" t="s">
        <v>777</v>
      </c>
      <c r="D10244" s="49">
        <v>0.0</v>
      </c>
    </row>
    <row r="10245" ht="15.0" hidden="1" customHeight="1">
      <c r="A10245" s="49" t="s">
        <v>380</v>
      </c>
      <c r="B10245" s="50">
        <v>45746.0</v>
      </c>
      <c r="C10245" s="49" t="s">
        <v>777</v>
      </c>
      <c r="D10245" s="49">
        <v>0.0</v>
      </c>
    </row>
    <row r="10246" ht="15.0" hidden="1" customHeight="1">
      <c r="A10246" s="49" t="s">
        <v>385</v>
      </c>
      <c r="B10246" s="50">
        <v>45746.0</v>
      </c>
      <c r="C10246" s="49" t="s">
        <v>777</v>
      </c>
      <c r="D10246" s="49">
        <v>0.0</v>
      </c>
    </row>
    <row r="10247" ht="15.0" hidden="1" customHeight="1">
      <c r="A10247" s="49" t="s">
        <v>390</v>
      </c>
      <c r="B10247" s="50">
        <v>45746.0</v>
      </c>
      <c r="C10247" s="49" t="s">
        <v>777</v>
      </c>
      <c r="D10247" s="49">
        <v>0.0</v>
      </c>
    </row>
    <row r="10248" ht="15.0" hidden="1" customHeight="1">
      <c r="A10248" s="49" t="s">
        <v>395</v>
      </c>
      <c r="B10248" s="50">
        <v>45746.0</v>
      </c>
      <c r="C10248" s="49" t="s">
        <v>777</v>
      </c>
      <c r="D10248" s="49">
        <v>0.0</v>
      </c>
    </row>
    <row r="10249" ht="15.0" hidden="1" customHeight="1">
      <c r="A10249" s="49" t="s">
        <v>400</v>
      </c>
      <c r="B10249" s="50">
        <v>45746.0</v>
      </c>
      <c r="C10249" s="49" t="s">
        <v>777</v>
      </c>
      <c r="D10249" s="49">
        <v>0.0</v>
      </c>
    </row>
    <row r="10250" ht="15.0" hidden="1" customHeight="1">
      <c r="A10250" s="49" t="s">
        <v>405</v>
      </c>
      <c r="B10250" s="50">
        <v>45746.0</v>
      </c>
      <c r="C10250" s="49" t="s">
        <v>777</v>
      </c>
      <c r="D10250" s="49">
        <v>0.0</v>
      </c>
    </row>
    <row r="10251" ht="15.0" hidden="1" customHeight="1">
      <c r="A10251" s="49" t="s">
        <v>410</v>
      </c>
      <c r="B10251" s="50">
        <v>45746.0</v>
      </c>
      <c r="C10251" s="49" t="s">
        <v>777</v>
      </c>
      <c r="D10251" s="49">
        <v>0.0</v>
      </c>
    </row>
    <row r="10252" ht="15.0" hidden="1" customHeight="1">
      <c r="A10252" s="49" t="s">
        <v>415</v>
      </c>
      <c r="B10252" s="50">
        <v>45746.0</v>
      </c>
      <c r="C10252" s="49" t="s">
        <v>777</v>
      </c>
      <c r="D10252" s="49">
        <v>0.0</v>
      </c>
    </row>
    <row r="10253" ht="15.0" hidden="1" customHeight="1">
      <c r="A10253" s="49" t="s">
        <v>420</v>
      </c>
      <c r="B10253" s="50">
        <v>45746.0</v>
      </c>
      <c r="C10253" s="49" t="s">
        <v>777</v>
      </c>
      <c r="D10253" s="49">
        <v>0.0</v>
      </c>
    </row>
    <row r="10254" ht="15.0" hidden="1" customHeight="1">
      <c r="A10254" s="49" t="s">
        <v>425</v>
      </c>
      <c r="B10254" s="50">
        <v>45746.0</v>
      </c>
      <c r="C10254" s="49" t="s">
        <v>777</v>
      </c>
      <c r="D10254" s="49">
        <v>0.0</v>
      </c>
    </row>
    <row r="10255" ht="15.0" hidden="1" customHeight="1">
      <c r="A10255" s="49" t="s">
        <v>430</v>
      </c>
      <c r="B10255" s="50">
        <v>45746.0</v>
      </c>
      <c r="C10255" s="49" t="s">
        <v>777</v>
      </c>
      <c r="D10255" s="49">
        <v>0.0</v>
      </c>
    </row>
    <row r="10256" ht="15.0" hidden="1" customHeight="1">
      <c r="A10256" s="49" t="s">
        <v>434</v>
      </c>
      <c r="B10256" s="50">
        <v>45746.0</v>
      </c>
      <c r="C10256" s="49" t="s">
        <v>777</v>
      </c>
      <c r="D10256" s="49">
        <v>0.0</v>
      </c>
    </row>
    <row r="10257" ht="15.0" hidden="1" customHeight="1">
      <c r="A10257" s="49" t="s">
        <v>439</v>
      </c>
      <c r="B10257" s="50">
        <v>45746.0</v>
      </c>
      <c r="C10257" s="49" t="s">
        <v>777</v>
      </c>
      <c r="D10257" s="49">
        <v>0.0</v>
      </c>
    </row>
    <row r="10258" ht="15.0" hidden="1" customHeight="1">
      <c r="A10258" s="49" t="s">
        <v>444</v>
      </c>
      <c r="B10258" s="50">
        <v>45746.0</v>
      </c>
      <c r="C10258" s="49" t="s">
        <v>777</v>
      </c>
      <c r="D10258" s="49">
        <v>0.0</v>
      </c>
    </row>
    <row r="10259" ht="15.0" hidden="1" customHeight="1">
      <c r="A10259" s="49" t="s">
        <v>449</v>
      </c>
      <c r="B10259" s="50">
        <v>45746.0</v>
      </c>
      <c r="C10259" s="49" t="s">
        <v>777</v>
      </c>
      <c r="D10259" s="49">
        <v>0.0</v>
      </c>
    </row>
    <row r="10260" ht="15.0" hidden="1" customHeight="1">
      <c r="A10260" s="49" t="s">
        <v>455</v>
      </c>
      <c r="B10260" s="50">
        <v>45746.0</v>
      </c>
      <c r="C10260" s="49" t="s">
        <v>777</v>
      </c>
      <c r="D10260" s="49">
        <v>0.0</v>
      </c>
    </row>
    <row r="10261" ht="15.0" hidden="1" customHeight="1">
      <c r="A10261" s="49" t="s">
        <v>470</v>
      </c>
      <c r="B10261" s="50">
        <v>45746.0</v>
      </c>
      <c r="C10261" s="49" t="s">
        <v>777</v>
      </c>
      <c r="D10261" s="49">
        <v>0.0</v>
      </c>
    </row>
    <row r="10262" ht="15.0" hidden="1" customHeight="1">
      <c r="A10262" s="49" t="s">
        <v>476</v>
      </c>
      <c r="B10262" s="50">
        <v>45746.0</v>
      </c>
      <c r="C10262" s="49" t="s">
        <v>777</v>
      </c>
      <c r="D10262" s="49">
        <v>0.0</v>
      </c>
    </row>
    <row r="10263" ht="15.0" hidden="1" customHeight="1">
      <c r="A10263" s="49" t="s">
        <v>481</v>
      </c>
      <c r="B10263" s="50">
        <v>45746.0</v>
      </c>
      <c r="C10263" s="49" t="s">
        <v>777</v>
      </c>
      <c r="D10263" s="49">
        <v>0.0</v>
      </c>
    </row>
    <row r="10264" ht="15.0" hidden="1" customHeight="1">
      <c r="A10264" s="49" t="s">
        <v>486</v>
      </c>
      <c r="B10264" s="50">
        <v>45746.0</v>
      </c>
      <c r="C10264" s="49" t="s">
        <v>777</v>
      </c>
      <c r="D10264" s="49">
        <v>0.0</v>
      </c>
    </row>
    <row r="10265" ht="15.0" hidden="1" customHeight="1">
      <c r="A10265" s="49" t="s">
        <v>491</v>
      </c>
      <c r="B10265" s="50">
        <v>45746.0</v>
      </c>
      <c r="C10265" s="49" t="s">
        <v>777</v>
      </c>
      <c r="D10265" s="49">
        <v>0.0</v>
      </c>
    </row>
    <row r="10266" ht="15.0" hidden="1" customHeight="1">
      <c r="A10266" s="49" t="s">
        <v>496</v>
      </c>
      <c r="B10266" s="50">
        <v>45746.0</v>
      </c>
      <c r="C10266" s="49" t="s">
        <v>777</v>
      </c>
      <c r="D10266" s="49">
        <v>0.0</v>
      </c>
    </row>
    <row r="10267" ht="15.0" hidden="1" customHeight="1">
      <c r="A10267" s="49" t="s">
        <v>501</v>
      </c>
      <c r="B10267" s="50">
        <v>45746.0</v>
      </c>
      <c r="C10267" s="49" t="s">
        <v>777</v>
      </c>
      <c r="D10267" s="49">
        <v>0.0</v>
      </c>
    </row>
    <row r="10268" ht="15.0" hidden="1" customHeight="1">
      <c r="A10268" s="49" t="s">
        <v>506</v>
      </c>
      <c r="B10268" s="50">
        <v>45746.0</v>
      </c>
      <c r="C10268" s="49" t="s">
        <v>777</v>
      </c>
      <c r="D10268" s="49">
        <v>0.0</v>
      </c>
    </row>
    <row r="10269" ht="15.0" hidden="1" customHeight="1">
      <c r="A10269" s="49" t="s">
        <v>512</v>
      </c>
      <c r="B10269" s="50">
        <v>45746.0</v>
      </c>
      <c r="C10269" s="49" t="s">
        <v>777</v>
      </c>
      <c r="D10269" s="49">
        <v>0.0</v>
      </c>
    </row>
    <row r="10270" ht="15.0" hidden="1" customHeight="1">
      <c r="A10270" s="49" t="s">
        <v>517</v>
      </c>
      <c r="B10270" s="50">
        <v>45746.0</v>
      </c>
      <c r="C10270" s="49" t="s">
        <v>777</v>
      </c>
      <c r="D10270" s="49">
        <v>0.0</v>
      </c>
    </row>
    <row r="10271" ht="15.0" hidden="1" customHeight="1">
      <c r="A10271" s="49" t="s">
        <v>522</v>
      </c>
      <c r="B10271" s="50">
        <v>45746.0</v>
      </c>
      <c r="C10271" s="49" t="s">
        <v>777</v>
      </c>
      <c r="D10271" s="49">
        <v>0.0</v>
      </c>
    </row>
    <row r="10272" ht="15.0" hidden="1" customHeight="1">
      <c r="A10272" s="49" t="s">
        <v>528</v>
      </c>
      <c r="B10272" s="50">
        <v>45746.0</v>
      </c>
      <c r="C10272" s="49" t="s">
        <v>777</v>
      </c>
      <c r="D10272" s="49">
        <v>0.0</v>
      </c>
    </row>
    <row r="10273" ht="15.0" hidden="1" customHeight="1">
      <c r="A10273" s="49" t="s">
        <v>533</v>
      </c>
      <c r="B10273" s="50">
        <v>45746.0</v>
      </c>
      <c r="C10273" s="49" t="s">
        <v>777</v>
      </c>
      <c r="D10273" s="49">
        <v>0.0</v>
      </c>
    </row>
    <row r="10274" ht="15.0" hidden="1" customHeight="1">
      <c r="A10274" s="49" t="s">
        <v>538</v>
      </c>
      <c r="B10274" s="50">
        <v>45746.0</v>
      </c>
      <c r="C10274" s="49" t="s">
        <v>777</v>
      </c>
      <c r="D10274" s="49">
        <v>0.0</v>
      </c>
    </row>
    <row r="10275" ht="15.0" hidden="1" customHeight="1">
      <c r="A10275" s="49" t="s">
        <v>546</v>
      </c>
      <c r="B10275" s="50">
        <v>45746.0</v>
      </c>
      <c r="C10275" s="49" t="s">
        <v>777</v>
      </c>
      <c r="D10275" s="49">
        <v>0.0</v>
      </c>
    </row>
    <row r="10276" ht="15.0" hidden="1" customHeight="1">
      <c r="A10276" s="49" t="s">
        <v>551</v>
      </c>
      <c r="B10276" s="50">
        <v>45746.0</v>
      </c>
      <c r="C10276" s="49" t="s">
        <v>777</v>
      </c>
      <c r="D10276" s="49">
        <v>0.0</v>
      </c>
    </row>
    <row r="10277" ht="15.0" hidden="1" customHeight="1">
      <c r="A10277" s="49" t="s">
        <v>556</v>
      </c>
      <c r="B10277" s="50">
        <v>45746.0</v>
      </c>
      <c r="C10277" s="49" t="s">
        <v>777</v>
      </c>
      <c r="D10277" s="49">
        <v>0.0</v>
      </c>
    </row>
    <row r="10278" ht="15.0" hidden="1" customHeight="1">
      <c r="A10278" s="49" t="s">
        <v>561</v>
      </c>
      <c r="B10278" s="50">
        <v>45746.0</v>
      </c>
      <c r="C10278" s="49" t="s">
        <v>777</v>
      </c>
      <c r="D10278" s="49">
        <v>0.0</v>
      </c>
    </row>
    <row r="10279" ht="15.0" hidden="1" customHeight="1">
      <c r="A10279" s="49" t="s">
        <v>566</v>
      </c>
      <c r="B10279" s="50">
        <v>45746.0</v>
      </c>
      <c r="C10279" s="49" t="s">
        <v>777</v>
      </c>
      <c r="D10279" s="49">
        <v>0.0</v>
      </c>
    </row>
    <row r="10280" ht="15.0" hidden="1" customHeight="1">
      <c r="A10280" s="49" t="s">
        <v>571</v>
      </c>
      <c r="B10280" s="50">
        <v>45746.0</v>
      </c>
      <c r="C10280" s="49" t="s">
        <v>777</v>
      </c>
      <c r="D10280" s="49">
        <v>0.0</v>
      </c>
    </row>
    <row r="10281" ht="15.0" hidden="1" customHeight="1">
      <c r="A10281" s="49" t="s">
        <v>576</v>
      </c>
      <c r="B10281" s="50">
        <v>45746.0</v>
      </c>
      <c r="C10281" s="49" t="s">
        <v>777</v>
      </c>
      <c r="D10281" s="49">
        <v>0.0</v>
      </c>
    </row>
    <row r="10282" ht="15.0" hidden="1" customHeight="1">
      <c r="A10282" s="49" t="s">
        <v>581</v>
      </c>
      <c r="B10282" s="50">
        <v>45746.0</v>
      </c>
      <c r="C10282" s="49" t="s">
        <v>777</v>
      </c>
      <c r="D10282" s="49">
        <v>0.0</v>
      </c>
    </row>
    <row r="10283" ht="15.0" hidden="1" customHeight="1">
      <c r="A10283" s="49" t="s">
        <v>586</v>
      </c>
      <c r="B10283" s="50">
        <v>45746.0</v>
      </c>
      <c r="C10283" s="49" t="s">
        <v>777</v>
      </c>
      <c r="D10283" s="49">
        <v>0.0</v>
      </c>
    </row>
    <row r="10284" ht="15.0" hidden="1" customHeight="1">
      <c r="A10284" s="49" t="s">
        <v>754</v>
      </c>
      <c r="B10284" s="50">
        <v>45746.0</v>
      </c>
      <c r="C10284" s="49" t="s">
        <v>777</v>
      </c>
      <c r="D10284" s="49">
        <v>0.0</v>
      </c>
    </row>
    <row r="10285" ht="15.0" hidden="1" customHeight="1">
      <c r="A10285" s="49" t="s">
        <v>591</v>
      </c>
      <c r="B10285" s="50">
        <v>45746.0</v>
      </c>
      <c r="C10285" s="49" t="s">
        <v>777</v>
      </c>
      <c r="D10285" s="49">
        <v>0.0</v>
      </c>
    </row>
    <row r="10286" ht="15.0" hidden="1" customHeight="1">
      <c r="A10286" s="49" t="s">
        <v>759</v>
      </c>
      <c r="B10286" s="50">
        <v>45746.0</v>
      </c>
      <c r="C10286" s="49" t="s">
        <v>777</v>
      </c>
      <c r="D10286" s="49">
        <v>0.0</v>
      </c>
    </row>
    <row r="10287" ht="15.0" hidden="1" customHeight="1">
      <c r="A10287" s="49" t="s">
        <v>596</v>
      </c>
      <c r="B10287" s="50">
        <v>45746.0</v>
      </c>
      <c r="C10287" s="49" t="s">
        <v>777</v>
      </c>
      <c r="D10287" s="49">
        <v>2250000.0</v>
      </c>
    </row>
    <row r="10288" ht="15.0" hidden="1" customHeight="1">
      <c r="A10288" s="49" t="s">
        <v>602</v>
      </c>
      <c r="B10288" s="50">
        <v>45746.0</v>
      </c>
      <c r="C10288" s="49" t="s">
        <v>777</v>
      </c>
      <c r="D10288" s="49">
        <v>0.0</v>
      </c>
    </row>
    <row r="10289" ht="15.0" hidden="1" customHeight="1">
      <c r="A10289" s="49" t="s">
        <v>607</v>
      </c>
      <c r="B10289" s="50">
        <v>45746.0</v>
      </c>
      <c r="C10289" s="49" t="s">
        <v>777</v>
      </c>
      <c r="D10289" s="49">
        <v>150000.0</v>
      </c>
    </row>
    <row r="10290" ht="15.0" hidden="1" customHeight="1">
      <c r="A10290" s="49" t="s">
        <v>612</v>
      </c>
      <c r="B10290" s="50">
        <v>45746.0</v>
      </c>
      <c r="C10290" s="49" t="s">
        <v>777</v>
      </c>
      <c r="D10290" s="49">
        <v>4800000.0</v>
      </c>
    </row>
    <row r="10291" ht="15.0" hidden="1" customHeight="1">
      <c r="A10291" s="49" t="s">
        <v>617</v>
      </c>
      <c r="B10291" s="50">
        <v>45746.0</v>
      </c>
      <c r="C10291" s="49" t="s">
        <v>777</v>
      </c>
      <c r="D10291" s="49">
        <v>162000.0</v>
      </c>
    </row>
    <row r="10292" ht="15.0" hidden="1" customHeight="1">
      <c r="A10292" s="49" t="s">
        <v>622</v>
      </c>
      <c r="B10292" s="50">
        <v>45746.0</v>
      </c>
      <c r="C10292" s="49" t="s">
        <v>777</v>
      </c>
      <c r="D10292" s="49">
        <v>350000.0</v>
      </c>
    </row>
    <row r="10293" ht="15.0" hidden="1" customHeight="1">
      <c r="A10293" s="49" t="s">
        <v>627</v>
      </c>
      <c r="B10293" s="50">
        <v>45746.0</v>
      </c>
      <c r="C10293" s="49" t="s">
        <v>777</v>
      </c>
      <c r="D10293" s="49">
        <v>250000.0</v>
      </c>
    </row>
    <row r="10294" ht="15.0" hidden="1" customHeight="1">
      <c r="A10294" s="49" t="s">
        <v>631</v>
      </c>
      <c r="B10294" s="50">
        <v>45746.0</v>
      </c>
      <c r="C10294" s="49" t="s">
        <v>777</v>
      </c>
      <c r="D10294" s="49">
        <v>0.0</v>
      </c>
    </row>
    <row r="10295" ht="15.0" hidden="1" customHeight="1">
      <c r="A10295" s="49" t="s">
        <v>636</v>
      </c>
      <c r="B10295" s="50">
        <v>45746.0</v>
      </c>
      <c r="C10295" s="49" t="s">
        <v>777</v>
      </c>
      <c r="D10295" s="49">
        <v>0.0</v>
      </c>
    </row>
    <row r="10296" ht="15.0" hidden="1" customHeight="1">
      <c r="A10296" s="49" t="s">
        <v>640</v>
      </c>
      <c r="B10296" s="50">
        <v>45746.0</v>
      </c>
      <c r="C10296" s="49" t="s">
        <v>777</v>
      </c>
      <c r="D10296" s="49">
        <v>0.0</v>
      </c>
    </row>
    <row r="10297" ht="15.0" hidden="1" customHeight="1">
      <c r="A10297" s="49" t="s">
        <v>644</v>
      </c>
      <c r="B10297" s="50">
        <v>45746.0</v>
      </c>
      <c r="C10297" s="49" t="s">
        <v>777</v>
      </c>
      <c r="D10297" s="49">
        <v>175000.0</v>
      </c>
    </row>
    <row r="10298" ht="15.0" hidden="1" customHeight="1">
      <c r="A10298" s="49" t="s">
        <v>649</v>
      </c>
      <c r="B10298" s="50">
        <v>45746.0</v>
      </c>
      <c r="C10298" s="49" t="s">
        <v>777</v>
      </c>
      <c r="D10298" s="49">
        <v>0.0</v>
      </c>
    </row>
    <row r="10299" ht="15.0" hidden="1" customHeight="1">
      <c r="A10299" s="49" t="s">
        <v>654</v>
      </c>
      <c r="B10299" s="50">
        <v>45746.0</v>
      </c>
      <c r="C10299" s="49" t="s">
        <v>777</v>
      </c>
      <c r="D10299" s="49">
        <v>0.0</v>
      </c>
    </row>
    <row r="10300" ht="15.0" hidden="1" customHeight="1">
      <c r="A10300" s="49" t="s">
        <v>659</v>
      </c>
      <c r="B10300" s="50">
        <v>45746.0</v>
      </c>
      <c r="C10300" s="49" t="s">
        <v>777</v>
      </c>
      <c r="D10300" s="49">
        <v>0.0</v>
      </c>
    </row>
    <row r="10301" ht="15.0" hidden="1" customHeight="1">
      <c r="A10301" s="49" t="s">
        <v>664</v>
      </c>
      <c r="B10301" s="50">
        <v>45746.0</v>
      </c>
      <c r="C10301" s="49" t="s">
        <v>777</v>
      </c>
      <c r="D10301" s="49">
        <v>0.0</v>
      </c>
    </row>
    <row r="10302" ht="15.0" hidden="1" customHeight="1">
      <c r="A10302" s="49" t="s">
        <v>669</v>
      </c>
      <c r="B10302" s="50">
        <v>45746.0</v>
      </c>
      <c r="C10302" s="49" t="s">
        <v>777</v>
      </c>
      <c r="D10302" s="49">
        <v>0.0</v>
      </c>
    </row>
    <row r="10303" ht="15.0" hidden="1" customHeight="1">
      <c r="A10303" s="49" t="s">
        <v>674</v>
      </c>
      <c r="B10303" s="50">
        <v>45746.0</v>
      </c>
      <c r="C10303" s="49" t="s">
        <v>777</v>
      </c>
      <c r="D10303" s="49">
        <v>0.0</v>
      </c>
    </row>
    <row r="10304" ht="15.0" hidden="1" customHeight="1">
      <c r="A10304" s="49" t="s">
        <v>679</v>
      </c>
      <c r="B10304" s="50">
        <v>45746.0</v>
      </c>
      <c r="C10304" s="49" t="s">
        <v>777</v>
      </c>
      <c r="D10304" s="49">
        <v>0.0</v>
      </c>
    </row>
    <row r="10305" ht="15.0" hidden="1" customHeight="1">
      <c r="A10305" s="49" t="s">
        <v>684</v>
      </c>
      <c r="B10305" s="50">
        <v>45746.0</v>
      </c>
      <c r="C10305" s="49" t="s">
        <v>777</v>
      </c>
      <c r="D10305" s="49">
        <v>0.0</v>
      </c>
    </row>
    <row r="10306" ht="15.0" hidden="1" customHeight="1">
      <c r="A10306" s="49" t="s">
        <v>689</v>
      </c>
      <c r="B10306" s="50">
        <v>45746.0</v>
      </c>
      <c r="C10306" s="49" t="s">
        <v>777</v>
      </c>
      <c r="D10306" s="49">
        <v>0.0</v>
      </c>
    </row>
    <row r="10307" ht="15.0" hidden="1" customHeight="1">
      <c r="A10307" s="49" t="s">
        <v>694</v>
      </c>
      <c r="B10307" s="50">
        <v>45746.0</v>
      </c>
      <c r="C10307" s="49" t="s">
        <v>777</v>
      </c>
      <c r="D10307" s="49">
        <v>0.0</v>
      </c>
    </row>
    <row r="10308" ht="15.0" hidden="1" customHeight="1">
      <c r="A10308" s="49" t="s">
        <v>699</v>
      </c>
      <c r="B10308" s="50">
        <v>45746.0</v>
      </c>
      <c r="C10308" s="49" t="s">
        <v>777</v>
      </c>
      <c r="D10308" s="49">
        <v>0.0</v>
      </c>
    </row>
    <row r="10309" ht="15.0" hidden="1" customHeight="1">
      <c r="A10309" s="49" t="s">
        <v>705</v>
      </c>
      <c r="B10309" s="50">
        <v>45746.0</v>
      </c>
      <c r="C10309" s="49" t="s">
        <v>777</v>
      </c>
      <c r="D10309" s="49">
        <v>0.0</v>
      </c>
    </row>
    <row r="10310" ht="15.0" hidden="1" customHeight="1">
      <c r="A10310" s="49" t="s">
        <v>710</v>
      </c>
      <c r="B10310" s="50">
        <v>45746.0</v>
      </c>
      <c r="C10310" s="49" t="s">
        <v>777</v>
      </c>
      <c r="D10310" s="49">
        <v>0.0</v>
      </c>
    </row>
    <row r="10311" ht="15.0" hidden="1" customHeight="1">
      <c r="A10311" s="49" t="s">
        <v>715</v>
      </c>
      <c r="B10311" s="50">
        <v>45746.0</v>
      </c>
      <c r="C10311" s="49" t="s">
        <v>777</v>
      </c>
      <c r="D10311" s="49">
        <v>0.0</v>
      </c>
    </row>
    <row r="10312" ht="15.0" hidden="1" customHeight="1">
      <c r="A10312" s="49" t="s">
        <v>765</v>
      </c>
      <c r="B10312" s="50">
        <v>45746.0</v>
      </c>
      <c r="C10312" s="49" t="s">
        <v>777</v>
      </c>
      <c r="D10312" s="49">
        <v>0.0</v>
      </c>
    </row>
    <row r="10313" ht="15.0" hidden="1" customHeight="1">
      <c r="A10313" s="49" t="s">
        <v>720</v>
      </c>
      <c r="B10313" s="50">
        <v>45746.0</v>
      </c>
      <c r="C10313" s="49" t="s">
        <v>777</v>
      </c>
      <c r="D10313" s="49">
        <v>0.0</v>
      </c>
    </row>
    <row r="10314" ht="15.0" hidden="1" customHeight="1">
      <c r="A10314" s="49" t="s">
        <v>725</v>
      </c>
      <c r="B10314" s="50">
        <v>45746.0</v>
      </c>
      <c r="C10314" s="49" t="s">
        <v>777</v>
      </c>
      <c r="D10314" s="49">
        <v>0.0</v>
      </c>
    </row>
    <row r="10315" ht="15.0" hidden="1" customHeight="1">
      <c r="A10315" s="49" t="s">
        <v>730</v>
      </c>
      <c r="B10315" s="50">
        <v>45746.0</v>
      </c>
      <c r="C10315" s="49" t="s">
        <v>777</v>
      </c>
      <c r="D10315" s="49">
        <v>0.0</v>
      </c>
    </row>
    <row r="10316" ht="15.0" hidden="1" customHeight="1">
      <c r="A10316" s="49" t="s">
        <v>734</v>
      </c>
      <c r="B10316" s="50">
        <v>45746.0</v>
      </c>
      <c r="C10316" s="49" t="s">
        <v>777</v>
      </c>
      <c r="D10316" s="49">
        <v>0.0</v>
      </c>
    </row>
    <row r="10317" ht="15.0" hidden="1" customHeight="1">
      <c r="A10317" s="49" t="s">
        <v>739</v>
      </c>
      <c r="B10317" s="50">
        <v>45746.0</v>
      </c>
      <c r="C10317" s="49" t="s">
        <v>777</v>
      </c>
      <c r="D10317" s="49">
        <v>0.0</v>
      </c>
    </row>
    <row r="10318" ht="15.0" hidden="1" customHeight="1">
      <c r="A10318" s="49" t="s">
        <v>744</v>
      </c>
      <c r="B10318" s="50">
        <v>45746.0</v>
      </c>
      <c r="C10318" s="49" t="s">
        <v>777</v>
      </c>
      <c r="D10318" s="49">
        <v>0.0</v>
      </c>
    </row>
    <row r="10319" ht="15.0" hidden="1" customHeight="1">
      <c r="A10319" s="49" t="s">
        <v>749</v>
      </c>
      <c r="B10319" s="50">
        <v>45746.0</v>
      </c>
      <c r="C10319" s="49" t="s">
        <v>777</v>
      </c>
      <c r="D10319" s="49">
        <v>0.0</v>
      </c>
    </row>
    <row r="10320" ht="15.0" customHeight="1">
      <c r="A10320" s="49" t="s">
        <v>776</v>
      </c>
      <c r="B10320" s="50">
        <v>45746.0</v>
      </c>
      <c r="C10320" s="49" t="s">
        <v>78</v>
      </c>
      <c r="D10320" s="49">
        <v>0.0</v>
      </c>
    </row>
    <row r="10321" ht="15.0" hidden="1" customHeight="1">
      <c r="A10321" s="49" t="s">
        <v>778</v>
      </c>
      <c r="B10321" s="50">
        <v>45746.0</v>
      </c>
      <c r="C10321" s="49" t="s">
        <v>78</v>
      </c>
      <c r="D10321" s="49">
        <v>0.0</v>
      </c>
    </row>
    <row r="10322" ht="15.0" hidden="1" customHeight="1">
      <c r="A10322" s="49" t="s">
        <v>92</v>
      </c>
      <c r="B10322" s="50">
        <v>45746.0</v>
      </c>
      <c r="C10322" s="49" t="s">
        <v>78</v>
      </c>
      <c r="D10322" s="49">
        <v>0.0</v>
      </c>
    </row>
    <row r="10323" ht="15.0" hidden="1" customHeight="1">
      <c r="A10323" s="49" t="s">
        <v>97</v>
      </c>
      <c r="B10323" s="50">
        <v>45746.0</v>
      </c>
      <c r="C10323" s="49" t="s">
        <v>78</v>
      </c>
      <c r="D10323" s="49">
        <v>0.0</v>
      </c>
    </row>
    <row r="10324" ht="15.0" hidden="1" customHeight="1">
      <c r="A10324" s="49" t="s">
        <v>102</v>
      </c>
      <c r="B10324" s="50">
        <v>45746.0</v>
      </c>
      <c r="C10324" s="49" t="s">
        <v>78</v>
      </c>
      <c r="D10324" s="49">
        <v>0.0</v>
      </c>
    </row>
    <row r="10325" ht="15.0" hidden="1" customHeight="1">
      <c r="A10325" s="49" t="s">
        <v>106</v>
      </c>
      <c r="B10325" s="50">
        <v>45746.0</v>
      </c>
      <c r="C10325" s="49" t="s">
        <v>78</v>
      </c>
      <c r="D10325" s="49">
        <v>0.0</v>
      </c>
    </row>
    <row r="10326" ht="15.0" hidden="1" customHeight="1">
      <c r="A10326" s="49" t="s">
        <v>111</v>
      </c>
      <c r="B10326" s="50">
        <v>45746.0</v>
      </c>
      <c r="C10326" s="49" t="s">
        <v>78</v>
      </c>
      <c r="D10326" s="49">
        <v>0.0</v>
      </c>
    </row>
    <row r="10327" ht="15.0" hidden="1" customHeight="1">
      <c r="A10327" s="49" t="s">
        <v>116</v>
      </c>
      <c r="B10327" s="50">
        <v>45746.0</v>
      </c>
      <c r="C10327" s="49" t="s">
        <v>78</v>
      </c>
      <c r="D10327" s="49">
        <v>0.0</v>
      </c>
    </row>
    <row r="10328" ht="15.0" hidden="1" customHeight="1">
      <c r="A10328" s="49" t="s">
        <v>120</v>
      </c>
      <c r="B10328" s="50">
        <v>45746.0</v>
      </c>
      <c r="C10328" s="49" t="s">
        <v>78</v>
      </c>
      <c r="D10328" s="49">
        <v>0.0</v>
      </c>
    </row>
    <row r="10329" ht="15.0" hidden="1" customHeight="1">
      <c r="A10329" s="49" t="s">
        <v>125</v>
      </c>
      <c r="B10329" s="50">
        <v>45746.0</v>
      </c>
      <c r="C10329" s="49" t="s">
        <v>78</v>
      </c>
      <c r="D10329" s="49">
        <v>0.0</v>
      </c>
    </row>
    <row r="10330" ht="15.0" hidden="1" customHeight="1">
      <c r="A10330" s="49" t="s">
        <v>130</v>
      </c>
      <c r="B10330" s="50">
        <v>45746.0</v>
      </c>
      <c r="C10330" s="49" t="s">
        <v>78</v>
      </c>
      <c r="D10330" s="49">
        <v>0.0</v>
      </c>
    </row>
    <row r="10331" ht="15.0" hidden="1" customHeight="1">
      <c r="A10331" s="49" t="s">
        <v>137</v>
      </c>
      <c r="B10331" s="50">
        <v>45746.0</v>
      </c>
      <c r="C10331" s="49" t="s">
        <v>78</v>
      </c>
      <c r="D10331" s="49">
        <v>0.0</v>
      </c>
    </row>
    <row r="10332" ht="15.0" hidden="1" customHeight="1">
      <c r="A10332" s="49" t="s">
        <v>142</v>
      </c>
      <c r="B10332" s="50">
        <v>45746.0</v>
      </c>
      <c r="C10332" s="49" t="s">
        <v>78</v>
      </c>
      <c r="D10332" s="49">
        <v>0.0</v>
      </c>
    </row>
    <row r="10333" ht="15.0" hidden="1" customHeight="1">
      <c r="A10333" s="49" t="s">
        <v>147</v>
      </c>
      <c r="B10333" s="50">
        <v>45746.0</v>
      </c>
      <c r="C10333" s="49" t="s">
        <v>78</v>
      </c>
      <c r="D10333" s="49">
        <v>0.0</v>
      </c>
    </row>
    <row r="10334" ht="15.0" hidden="1" customHeight="1">
      <c r="A10334" s="49" t="s">
        <v>152</v>
      </c>
      <c r="B10334" s="50">
        <v>45746.0</v>
      </c>
      <c r="C10334" s="49" t="s">
        <v>78</v>
      </c>
      <c r="D10334" s="49">
        <v>0.0</v>
      </c>
    </row>
    <row r="10335" ht="15.0" hidden="1" customHeight="1">
      <c r="A10335" s="49" t="s">
        <v>157</v>
      </c>
      <c r="B10335" s="50">
        <v>45746.0</v>
      </c>
      <c r="C10335" s="49" t="s">
        <v>78</v>
      </c>
      <c r="D10335" s="49">
        <v>0.0</v>
      </c>
    </row>
    <row r="10336" ht="15.0" hidden="1" customHeight="1">
      <c r="A10336" s="49" t="s">
        <v>162</v>
      </c>
      <c r="B10336" s="50">
        <v>45746.0</v>
      </c>
      <c r="C10336" s="49" t="s">
        <v>78</v>
      </c>
      <c r="D10336" s="49">
        <v>0.0</v>
      </c>
    </row>
    <row r="10337" ht="15.0" hidden="1" customHeight="1">
      <c r="A10337" s="49" t="s">
        <v>167</v>
      </c>
      <c r="B10337" s="50">
        <v>45746.0</v>
      </c>
      <c r="C10337" s="49" t="s">
        <v>78</v>
      </c>
      <c r="D10337" s="49">
        <v>0.0</v>
      </c>
    </row>
    <row r="10338" ht="15.0" hidden="1" customHeight="1">
      <c r="A10338" s="49" t="s">
        <v>172</v>
      </c>
      <c r="B10338" s="50">
        <v>45746.0</v>
      </c>
      <c r="C10338" s="49" t="s">
        <v>78</v>
      </c>
      <c r="D10338" s="49">
        <v>0.0</v>
      </c>
    </row>
    <row r="10339" ht="15.0" hidden="1" customHeight="1">
      <c r="A10339" s="49" t="s">
        <v>177</v>
      </c>
      <c r="B10339" s="50">
        <v>45746.0</v>
      </c>
      <c r="C10339" s="49" t="s">
        <v>78</v>
      </c>
      <c r="D10339" s="49">
        <v>0.0</v>
      </c>
    </row>
    <row r="10340" ht="15.0" hidden="1" customHeight="1">
      <c r="A10340" s="49" t="s">
        <v>182</v>
      </c>
      <c r="B10340" s="50">
        <v>45746.0</v>
      </c>
      <c r="C10340" s="49" t="s">
        <v>78</v>
      </c>
      <c r="D10340" s="49">
        <v>0.0</v>
      </c>
    </row>
    <row r="10341" ht="15.0" hidden="1" customHeight="1">
      <c r="A10341" s="49" t="s">
        <v>187</v>
      </c>
      <c r="B10341" s="50">
        <v>45746.0</v>
      </c>
      <c r="C10341" s="49" t="s">
        <v>78</v>
      </c>
      <c r="D10341" s="49">
        <v>0.0</v>
      </c>
    </row>
    <row r="10342" ht="15.0" hidden="1" customHeight="1">
      <c r="A10342" s="49" t="s">
        <v>192</v>
      </c>
      <c r="B10342" s="50">
        <v>45746.0</v>
      </c>
      <c r="C10342" s="49" t="s">
        <v>78</v>
      </c>
      <c r="D10342" s="49">
        <v>0.0</v>
      </c>
    </row>
    <row r="10343" ht="15.0" hidden="1" customHeight="1">
      <c r="A10343" s="49" t="s">
        <v>197</v>
      </c>
      <c r="B10343" s="50">
        <v>45746.0</v>
      </c>
      <c r="C10343" s="49" t="s">
        <v>78</v>
      </c>
      <c r="D10343" s="49">
        <v>0.0</v>
      </c>
    </row>
    <row r="10344" ht="15.0" hidden="1" customHeight="1">
      <c r="A10344" s="49" t="s">
        <v>202</v>
      </c>
      <c r="B10344" s="50">
        <v>45746.0</v>
      </c>
      <c r="C10344" s="49" t="s">
        <v>78</v>
      </c>
      <c r="D10344" s="49">
        <v>0.0</v>
      </c>
    </row>
    <row r="10345" ht="15.0" hidden="1" customHeight="1">
      <c r="A10345" s="49" t="s">
        <v>206</v>
      </c>
      <c r="B10345" s="50">
        <v>45746.0</v>
      </c>
      <c r="C10345" s="49" t="s">
        <v>78</v>
      </c>
      <c r="D10345" s="49">
        <v>0.0</v>
      </c>
    </row>
    <row r="10346" ht="15.0" hidden="1" customHeight="1">
      <c r="A10346" s="49" t="s">
        <v>211</v>
      </c>
      <c r="B10346" s="50">
        <v>45746.0</v>
      </c>
      <c r="C10346" s="49" t="s">
        <v>78</v>
      </c>
      <c r="D10346" s="49">
        <v>0.0</v>
      </c>
    </row>
    <row r="10347" ht="15.0" hidden="1" customHeight="1">
      <c r="A10347" s="49" t="s">
        <v>779</v>
      </c>
      <c r="B10347" s="50">
        <v>45746.0</v>
      </c>
      <c r="C10347" s="49" t="s">
        <v>78</v>
      </c>
      <c r="D10347" s="49">
        <v>0.0</v>
      </c>
    </row>
    <row r="10348" ht="15.0" hidden="1" customHeight="1">
      <c r="A10348" s="49" t="s">
        <v>221</v>
      </c>
      <c r="B10348" s="50">
        <v>45746.0</v>
      </c>
      <c r="C10348" s="49" t="s">
        <v>78</v>
      </c>
      <c r="D10348" s="49">
        <v>0.0</v>
      </c>
    </row>
    <row r="10349" ht="15.0" hidden="1" customHeight="1">
      <c r="A10349" s="49" t="s">
        <v>226</v>
      </c>
      <c r="B10349" s="50">
        <v>45746.0</v>
      </c>
      <c r="C10349" s="49" t="s">
        <v>78</v>
      </c>
      <c r="D10349" s="49">
        <v>0.0</v>
      </c>
    </row>
    <row r="10350" ht="15.0" hidden="1" customHeight="1">
      <c r="A10350" s="49" t="s">
        <v>231</v>
      </c>
      <c r="B10350" s="50">
        <v>45746.0</v>
      </c>
      <c r="C10350" s="49" t="s">
        <v>78</v>
      </c>
      <c r="D10350" s="49">
        <v>0.0</v>
      </c>
    </row>
    <row r="10351" ht="15.0" hidden="1" customHeight="1">
      <c r="A10351" s="49" t="s">
        <v>236</v>
      </c>
      <c r="B10351" s="50">
        <v>45746.0</v>
      </c>
      <c r="C10351" s="49" t="s">
        <v>78</v>
      </c>
      <c r="D10351" s="49">
        <v>0.0</v>
      </c>
    </row>
    <row r="10352" ht="15.0" hidden="1" customHeight="1">
      <c r="A10352" s="49" t="s">
        <v>242</v>
      </c>
      <c r="B10352" s="50">
        <v>45746.0</v>
      </c>
      <c r="C10352" s="49" t="s">
        <v>78</v>
      </c>
      <c r="D10352" s="49">
        <v>0.0</v>
      </c>
    </row>
    <row r="10353" ht="15.0" hidden="1" customHeight="1">
      <c r="A10353" s="49" t="s">
        <v>248</v>
      </c>
      <c r="B10353" s="50">
        <v>45746.0</v>
      </c>
      <c r="C10353" s="49" t="s">
        <v>78</v>
      </c>
      <c r="D10353" s="49">
        <v>0.0</v>
      </c>
    </row>
    <row r="10354" ht="15.0" hidden="1" customHeight="1">
      <c r="A10354" s="49" t="s">
        <v>253</v>
      </c>
      <c r="B10354" s="50">
        <v>45746.0</v>
      </c>
      <c r="C10354" s="49" t="s">
        <v>78</v>
      </c>
      <c r="D10354" s="49">
        <v>0.0</v>
      </c>
    </row>
    <row r="10355" ht="15.0" hidden="1" customHeight="1">
      <c r="A10355" s="49" t="s">
        <v>258</v>
      </c>
      <c r="B10355" s="50">
        <v>45746.0</v>
      </c>
      <c r="C10355" s="49" t="s">
        <v>78</v>
      </c>
      <c r="D10355" s="49">
        <v>0.0</v>
      </c>
    </row>
    <row r="10356" ht="15.0" hidden="1" customHeight="1">
      <c r="A10356" s="49" t="s">
        <v>263</v>
      </c>
      <c r="B10356" s="50">
        <v>45746.0</v>
      </c>
      <c r="C10356" s="49" t="s">
        <v>78</v>
      </c>
      <c r="D10356" s="49">
        <v>0.0</v>
      </c>
    </row>
    <row r="10357" ht="15.0" hidden="1" customHeight="1">
      <c r="A10357" s="49" t="s">
        <v>268</v>
      </c>
      <c r="B10357" s="50">
        <v>45746.0</v>
      </c>
      <c r="C10357" s="49" t="s">
        <v>78</v>
      </c>
      <c r="D10357" s="49">
        <v>0.0</v>
      </c>
    </row>
    <row r="10358" ht="15.0" hidden="1" customHeight="1">
      <c r="A10358" s="49" t="s">
        <v>273</v>
      </c>
      <c r="B10358" s="50">
        <v>45746.0</v>
      </c>
      <c r="C10358" s="49" t="s">
        <v>78</v>
      </c>
      <c r="D10358" s="49">
        <v>0.0</v>
      </c>
    </row>
    <row r="10359" ht="15.0" hidden="1" customHeight="1">
      <c r="A10359" s="49" t="s">
        <v>278</v>
      </c>
      <c r="B10359" s="50">
        <v>45746.0</v>
      </c>
      <c r="C10359" s="49" t="s">
        <v>78</v>
      </c>
      <c r="D10359" s="49">
        <v>0.0</v>
      </c>
    </row>
    <row r="10360" ht="15.0" hidden="1" customHeight="1">
      <c r="A10360" s="49" t="s">
        <v>283</v>
      </c>
      <c r="B10360" s="50">
        <v>45746.0</v>
      </c>
      <c r="C10360" s="49" t="s">
        <v>78</v>
      </c>
      <c r="D10360" s="49">
        <v>0.0</v>
      </c>
    </row>
    <row r="10361" ht="15.0" hidden="1" customHeight="1">
      <c r="A10361" s="49" t="s">
        <v>288</v>
      </c>
      <c r="B10361" s="50">
        <v>45746.0</v>
      </c>
      <c r="C10361" s="49" t="s">
        <v>78</v>
      </c>
      <c r="D10361" s="49">
        <v>0.0</v>
      </c>
    </row>
    <row r="10362" ht="15.0" hidden="1" customHeight="1">
      <c r="A10362" s="49" t="s">
        <v>293</v>
      </c>
      <c r="B10362" s="50">
        <v>45746.0</v>
      </c>
      <c r="C10362" s="49" t="s">
        <v>78</v>
      </c>
      <c r="D10362" s="49">
        <v>0.0</v>
      </c>
    </row>
    <row r="10363" ht="15.0" hidden="1" customHeight="1">
      <c r="A10363" s="49" t="s">
        <v>298</v>
      </c>
      <c r="B10363" s="50">
        <v>45746.0</v>
      </c>
      <c r="C10363" s="49" t="s">
        <v>78</v>
      </c>
      <c r="D10363" s="49">
        <v>0.0</v>
      </c>
    </row>
    <row r="10364" ht="15.0" hidden="1" customHeight="1">
      <c r="A10364" s="49" t="s">
        <v>303</v>
      </c>
      <c r="B10364" s="50">
        <v>45746.0</v>
      </c>
      <c r="C10364" s="49" t="s">
        <v>78</v>
      </c>
      <c r="D10364" s="49">
        <v>0.0</v>
      </c>
    </row>
    <row r="10365" ht="15.0" hidden="1" customHeight="1">
      <c r="A10365" s="49" t="s">
        <v>307</v>
      </c>
      <c r="B10365" s="50">
        <v>45746.0</v>
      </c>
      <c r="C10365" s="49" t="s">
        <v>78</v>
      </c>
      <c r="D10365" s="49">
        <v>0.0</v>
      </c>
    </row>
    <row r="10366" ht="15.0" hidden="1" customHeight="1">
      <c r="A10366" s="49" t="s">
        <v>313</v>
      </c>
      <c r="B10366" s="50">
        <v>45746.0</v>
      </c>
      <c r="C10366" s="49" t="s">
        <v>78</v>
      </c>
      <c r="D10366" s="49">
        <v>0.0</v>
      </c>
    </row>
    <row r="10367" ht="15.0" hidden="1" customHeight="1">
      <c r="A10367" s="49" t="s">
        <v>318</v>
      </c>
      <c r="B10367" s="50">
        <v>45746.0</v>
      </c>
      <c r="C10367" s="49" t="s">
        <v>78</v>
      </c>
      <c r="D10367" s="49">
        <v>0.0</v>
      </c>
    </row>
    <row r="10368" ht="15.0" hidden="1" customHeight="1">
      <c r="A10368" s="49" t="s">
        <v>323</v>
      </c>
      <c r="B10368" s="50">
        <v>45746.0</v>
      </c>
      <c r="C10368" s="49" t="s">
        <v>78</v>
      </c>
      <c r="D10368" s="49">
        <v>0.0</v>
      </c>
    </row>
    <row r="10369" ht="15.0" hidden="1" customHeight="1">
      <c r="A10369" s="49" t="s">
        <v>328</v>
      </c>
      <c r="B10369" s="50">
        <v>45746.0</v>
      </c>
      <c r="C10369" s="49" t="s">
        <v>78</v>
      </c>
      <c r="D10369" s="49">
        <v>0.0</v>
      </c>
    </row>
    <row r="10370" ht="15.0" hidden="1" customHeight="1">
      <c r="A10370" s="49" t="s">
        <v>335</v>
      </c>
      <c r="B10370" s="50">
        <v>45746.0</v>
      </c>
      <c r="C10370" s="49" t="s">
        <v>78</v>
      </c>
      <c r="D10370" s="49">
        <v>0.0</v>
      </c>
    </row>
    <row r="10371" ht="15.0" hidden="1" customHeight="1">
      <c r="A10371" s="49" t="s">
        <v>340</v>
      </c>
      <c r="B10371" s="50">
        <v>45746.0</v>
      </c>
      <c r="C10371" s="49" t="s">
        <v>78</v>
      </c>
      <c r="D10371" s="49">
        <v>0.0</v>
      </c>
    </row>
    <row r="10372" ht="15.0" hidden="1" customHeight="1">
      <c r="A10372" s="49" t="s">
        <v>345</v>
      </c>
      <c r="B10372" s="50">
        <v>45746.0</v>
      </c>
      <c r="C10372" s="49" t="s">
        <v>78</v>
      </c>
      <c r="D10372" s="49">
        <v>0.0</v>
      </c>
    </row>
    <row r="10373" ht="15.0" hidden="1" customHeight="1">
      <c r="A10373" s="49" t="s">
        <v>350</v>
      </c>
      <c r="B10373" s="50">
        <v>45746.0</v>
      </c>
      <c r="C10373" s="49" t="s">
        <v>78</v>
      </c>
      <c r="D10373" s="49">
        <v>0.0</v>
      </c>
    </row>
    <row r="10374" ht="15.0" hidden="1" customHeight="1">
      <c r="A10374" s="49" t="s">
        <v>355</v>
      </c>
      <c r="B10374" s="50">
        <v>45746.0</v>
      </c>
      <c r="C10374" s="49" t="s">
        <v>78</v>
      </c>
      <c r="D10374" s="49">
        <v>0.0</v>
      </c>
    </row>
    <row r="10375" ht="15.0" hidden="1" customHeight="1">
      <c r="A10375" s="49" t="s">
        <v>360</v>
      </c>
      <c r="B10375" s="50">
        <v>45746.0</v>
      </c>
      <c r="C10375" s="49" t="s">
        <v>78</v>
      </c>
      <c r="D10375" s="49">
        <v>0.0</v>
      </c>
    </row>
    <row r="10376" ht="15.0" hidden="1" customHeight="1">
      <c r="A10376" s="49" t="s">
        <v>365</v>
      </c>
      <c r="B10376" s="50">
        <v>45746.0</v>
      </c>
      <c r="C10376" s="49" t="s">
        <v>78</v>
      </c>
      <c r="D10376" s="49">
        <v>0.0</v>
      </c>
    </row>
    <row r="10377" ht="15.0" hidden="1" customHeight="1">
      <c r="A10377" s="49" t="s">
        <v>370</v>
      </c>
      <c r="B10377" s="50">
        <v>45746.0</v>
      </c>
      <c r="C10377" s="49" t="s">
        <v>78</v>
      </c>
      <c r="D10377" s="49">
        <v>0.0</v>
      </c>
    </row>
    <row r="10378" ht="15.0" hidden="1" customHeight="1">
      <c r="A10378" s="49" t="s">
        <v>375</v>
      </c>
      <c r="B10378" s="50">
        <v>45746.0</v>
      </c>
      <c r="C10378" s="49" t="s">
        <v>78</v>
      </c>
      <c r="D10378" s="49">
        <v>0.0</v>
      </c>
    </row>
    <row r="10379" ht="15.0" hidden="1" customHeight="1">
      <c r="A10379" s="49" t="s">
        <v>380</v>
      </c>
      <c r="B10379" s="50">
        <v>45746.0</v>
      </c>
      <c r="C10379" s="49" t="s">
        <v>78</v>
      </c>
      <c r="D10379" s="49">
        <v>0.0</v>
      </c>
    </row>
    <row r="10380" ht="15.0" hidden="1" customHeight="1">
      <c r="A10380" s="49" t="s">
        <v>385</v>
      </c>
      <c r="B10380" s="50">
        <v>45746.0</v>
      </c>
      <c r="C10380" s="49" t="s">
        <v>78</v>
      </c>
      <c r="D10380" s="49">
        <v>0.0</v>
      </c>
    </row>
    <row r="10381" ht="15.0" hidden="1" customHeight="1">
      <c r="A10381" s="49" t="s">
        <v>390</v>
      </c>
      <c r="B10381" s="50">
        <v>45746.0</v>
      </c>
      <c r="C10381" s="49" t="s">
        <v>78</v>
      </c>
      <c r="D10381" s="49">
        <v>0.0</v>
      </c>
    </row>
    <row r="10382" ht="15.0" hidden="1" customHeight="1">
      <c r="A10382" s="49" t="s">
        <v>395</v>
      </c>
      <c r="B10382" s="50">
        <v>45746.0</v>
      </c>
      <c r="C10382" s="49" t="s">
        <v>78</v>
      </c>
      <c r="D10382" s="49">
        <v>0.0</v>
      </c>
    </row>
    <row r="10383" ht="15.0" hidden="1" customHeight="1">
      <c r="A10383" s="49" t="s">
        <v>400</v>
      </c>
      <c r="B10383" s="50">
        <v>45746.0</v>
      </c>
      <c r="C10383" s="49" t="s">
        <v>78</v>
      </c>
      <c r="D10383" s="49">
        <v>0.0</v>
      </c>
    </row>
    <row r="10384" ht="15.0" hidden="1" customHeight="1">
      <c r="A10384" s="49" t="s">
        <v>405</v>
      </c>
      <c r="B10384" s="50">
        <v>45746.0</v>
      </c>
      <c r="C10384" s="49" t="s">
        <v>78</v>
      </c>
      <c r="D10384" s="49">
        <v>0.0</v>
      </c>
    </row>
    <row r="10385" ht="15.0" hidden="1" customHeight="1">
      <c r="A10385" s="49" t="s">
        <v>410</v>
      </c>
      <c r="B10385" s="50">
        <v>45746.0</v>
      </c>
      <c r="C10385" s="49" t="s">
        <v>78</v>
      </c>
      <c r="D10385" s="49">
        <v>0.0</v>
      </c>
    </row>
    <row r="10386" ht="15.0" hidden="1" customHeight="1">
      <c r="A10386" s="49" t="s">
        <v>415</v>
      </c>
      <c r="B10386" s="50">
        <v>45746.0</v>
      </c>
      <c r="C10386" s="49" t="s">
        <v>78</v>
      </c>
      <c r="D10386" s="49">
        <v>0.0</v>
      </c>
    </row>
    <row r="10387" ht="15.0" hidden="1" customHeight="1">
      <c r="A10387" s="49" t="s">
        <v>420</v>
      </c>
      <c r="B10387" s="50">
        <v>45746.0</v>
      </c>
      <c r="C10387" s="49" t="s">
        <v>78</v>
      </c>
      <c r="D10387" s="49">
        <v>0.0</v>
      </c>
    </row>
    <row r="10388" ht="15.0" hidden="1" customHeight="1">
      <c r="A10388" s="49" t="s">
        <v>425</v>
      </c>
      <c r="B10388" s="50">
        <v>45746.0</v>
      </c>
      <c r="C10388" s="49" t="s">
        <v>78</v>
      </c>
      <c r="D10388" s="49">
        <v>0.0</v>
      </c>
    </row>
    <row r="10389" ht="15.0" hidden="1" customHeight="1">
      <c r="A10389" s="49" t="s">
        <v>430</v>
      </c>
      <c r="B10389" s="50">
        <v>45746.0</v>
      </c>
      <c r="C10389" s="49" t="s">
        <v>78</v>
      </c>
      <c r="D10389" s="49">
        <v>0.0</v>
      </c>
    </row>
    <row r="10390" ht="15.0" hidden="1" customHeight="1">
      <c r="A10390" s="49" t="s">
        <v>434</v>
      </c>
      <c r="B10390" s="50">
        <v>45746.0</v>
      </c>
      <c r="C10390" s="49" t="s">
        <v>78</v>
      </c>
      <c r="D10390" s="49">
        <v>0.0</v>
      </c>
    </row>
    <row r="10391" ht="15.0" hidden="1" customHeight="1">
      <c r="A10391" s="49" t="s">
        <v>439</v>
      </c>
      <c r="B10391" s="50">
        <v>45746.0</v>
      </c>
      <c r="C10391" s="49" t="s">
        <v>78</v>
      </c>
      <c r="D10391" s="49">
        <v>0.0</v>
      </c>
    </row>
    <row r="10392" ht="15.0" hidden="1" customHeight="1">
      <c r="A10392" s="49" t="s">
        <v>444</v>
      </c>
      <c r="B10392" s="50">
        <v>45746.0</v>
      </c>
      <c r="C10392" s="49" t="s">
        <v>78</v>
      </c>
      <c r="D10392" s="49">
        <v>0.0</v>
      </c>
    </row>
    <row r="10393" ht="15.0" hidden="1" customHeight="1">
      <c r="A10393" s="49" t="s">
        <v>449</v>
      </c>
      <c r="B10393" s="50">
        <v>45746.0</v>
      </c>
      <c r="C10393" s="49" t="s">
        <v>78</v>
      </c>
      <c r="D10393" s="49">
        <v>0.0</v>
      </c>
    </row>
    <row r="10394" ht="15.0" hidden="1" customHeight="1">
      <c r="A10394" s="49" t="s">
        <v>455</v>
      </c>
      <c r="B10394" s="50">
        <v>45746.0</v>
      </c>
      <c r="C10394" s="49" t="s">
        <v>78</v>
      </c>
      <c r="D10394" s="49">
        <v>0.0</v>
      </c>
    </row>
    <row r="10395" ht="15.0" hidden="1" customHeight="1">
      <c r="A10395" s="49" t="s">
        <v>470</v>
      </c>
      <c r="B10395" s="50">
        <v>45746.0</v>
      </c>
      <c r="C10395" s="49" t="s">
        <v>78</v>
      </c>
      <c r="D10395" s="49">
        <v>0.0</v>
      </c>
    </row>
    <row r="10396" ht="15.0" hidden="1" customHeight="1">
      <c r="A10396" s="49" t="s">
        <v>476</v>
      </c>
      <c r="B10396" s="50">
        <v>45746.0</v>
      </c>
      <c r="C10396" s="49" t="s">
        <v>78</v>
      </c>
      <c r="D10396" s="49">
        <v>0.0</v>
      </c>
    </row>
    <row r="10397" ht="15.0" hidden="1" customHeight="1">
      <c r="A10397" s="49" t="s">
        <v>481</v>
      </c>
      <c r="B10397" s="50">
        <v>45746.0</v>
      </c>
      <c r="C10397" s="49" t="s">
        <v>78</v>
      </c>
      <c r="D10397" s="49">
        <v>0.0</v>
      </c>
    </row>
    <row r="10398" ht="15.0" hidden="1" customHeight="1">
      <c r="A10398" s="49" t="s">
        <v>486</v>
      </c>
      <c r="B10398" s="50">
        <v>45746.0</v>
      </c>
      <c r="C10398" s="49" t="s">
        <v>78</v>
      </c>
      <c r="D10398" s="49">
        <v>0.0</v>
      </c>
    </row>
    <row r="10399" ht="15.0" hidden="1" customHeight="1">
      <c r="A10399" s="49" t="s">
        <v>491</v>
      </c>
      <c r="B10399" s="50">
        <v>45746.0</v>
      </c>
      <c r="C10399" s="49" t="s">
        <v>78</v>
      </c>
      <c r="D10399" s="49">
        <v>0.0</v>
      </c>
    </row>
    <row r="10400" ht="15.0" hidden="1" customHeight="1">
      <c r="A10400" s="49" t="s">
        <v>496</v>
      </c>
      <c r="B10400" s="50">
        <v>45746.0</v>
      </c>
      <c r="C10400" s="49" t="s">
        <v>78</v>
      </c>
      <c r="D10400" s="49">
        <v>0.0</v>
      </c>
    </row>
    <row r="10401" ht="15.0" hidden="1" customHeight="1">
      <c r="A10401" s="49" t="s">
        <v>501</v>
      </c>
      <c r="B10401" s="50">
        <v>45746.0</v>
      </c>
      <c r="C10401" s="49" t="s">
        <v>78</v>
      </c>
      <c r="D10401" s="49">
        <v>0.0</v>
      </c>
    </row>
    <row r="10402" ht="15.0" hidden="1" customHeight="1">
      <c r="A10402" s="49" t="s">
        <v>506</v>
      </c>
      <c r="B10402" s="50">
        <v>45746.0</v>
      </c>
      <c r="C10402" s="49" t="s">
        <v>78</v>
      </c>
      <c r="D10402" s="49">
        <v>0.0</v>
      </c>
    </row>
    <row r="10403" ht="15.0" hidden="1" customHeight="1">
      <c r="A10403" s="49" t="s">
        <v>512</v>
      </c>
      <c r="B10403" s="50">
        <v>45746.0</v>
      </c>
      <c r="C10403" s="49" t="s">
        <v>78</v>
      </c>
      <c r="D10403" s="49">
        <v>0.0</v>
      </c>
    </row>
    <row r="10404" ht="15.0" hidden="1" customHeight="1">
      <c r="A10404" s="49" t="s">
        <v>517</v>
      </c>
      <c r="B10404" s="50">
        <v>45746.0</v>
      </c>
      <c r="C10404" s="49" t="s">
        <v>78</v>
      </c>
      <c r="D10404" s="49">
        <v>0.0</v>
      </c>
    </row>
    <row r="10405" ht="15.0" hidden="1" customHeight="1">
      <c r="A10405" s="49" t="s">
        <v>522</v>
      </c>
      <c r="B10405" s="50">
        <v>45746.0</v>
      </c>
      <c r="C10405" s="49" t="s">
        <v>78</v>
      </c>
      <c r="D10405" s="49">
        <v>0.0</v>
      </c>
    </row>
    <row r="10406" ht="15.0" hidden="1" customHeight="1">
      <c r="A10406" s="49" t="s">
        <v>528</v>
      </c>
      <c r="B10406" s="50">
        <v>45746.0</v>
      </c>
      <c r="C10406" s="49" t="s">
        <v>78</v>
      </c>
      <c r="D10406" s="49">
        <v>0.0</v>
      </c>
    </row>
    <row r="10407" ht="15.0" hidden="1" customHeight="1">
      <c r="A10407" s="49" t="s">
        <v>533</v>
      </c>
      <c r="B10407" s="50">
        <v>45746.0</v>
      </c>
      <c r="C10407" s="49" t="s">
        <v>78</v>
      </c>
      <c r="D10407" s="49">
        <v>0.0</v>
      </c>
    </row>
    <row r="10408" ht="15.0" hidden="1" customHeight="1">
      <c r="A10408" s="49" t="s">
        <v>538</v>
      </c>
      <c r="B10408" s="50">
        <v>45746.0</v>
      </c>
      <c r="C10408" s="49" t="s">
        <v>78</v>
      </c>
      <c r="D10408" s="49">
        <v>0.0</v>
      </c>
    </row>
    <row r="10409" ht="15.0" hidden="1" customHeight="1">
      <c r="A10409" s="49" t="s">
        <v>546</v>
      </c>
      <c r="B10409" s="50">
        <v>45746.0</v>
      </c>
      <c r="C10409" s="49" t="s">
        <v>78</v>
      </c>
      <c r="D10409" s="49">
        <v>0.0</v>
      </c>
    </row>
    <row r="10410" ht="15.0" hidden="1" customHeight="1">
      <c r="A10410" s="49" t="s">
        <v>551</v>
      </c>
      <c r="B10410" s="50">
        <v>45746.0</v>
      </c>
      <c r="C10410" s="49" t="s">
        <v>78</v>
      </c>
      <c r="D10410" s="49">
        <v>0.0</v>
      </c>
    </row>
    <row r="10411" ht="15.0" hidden="1" customHeight="1">
      <c r="A10411" s="49" t="s">
        <v>556</v>
      </c>
      <c r="B10411" s="50">
        <v>45746.0</v>
      </c>
      <c r="C10411" s="49" t="s">
        <v>78</v>
      </c>
      <c r="D10411" s="49">
        <v>0.0</v>
      </c>
    </row>
    <row r="10412" ht="15.0" hidden="1" customHeight="1">
      <c r="A10412" s="49" t="s">
        <v>561</v>
      </c>
      <c r="B10412" s="50">
        <v>45746.0</v>
      </c>
      <c r="C10412" s="49" t="s">
        <v>78</v>
      </c>
      <c r="D10412" s="49">
        <v>0.0</v>
      </c>
    </row>
    <row r="10413" ht="15.0" hidden="1" customHeight="1">
      <c r="A10413" s="49" t="s">
        <v>566</v>
      </c>
      <c r="B10413" s="50">
        <v>45746.0</v>
      </c>
      <c r="C10413" s="49" t="s">
        <v>78</v>
      </c>
      <c r="D10413" s="49">
        <v>0.0</v>
      </c>
    </row>
    <row r="10414" ht="15.0" hidden="1" customHeight="1">
      <c r="A10414" s="49" t="s">
        <v>571</v>
      </c>
      <c r="B10414" s="50">
        <v>45746.0</v>
      </c>
      <c r="C10414" s="49" t="s">
        <v>78</v>
      </c>
      <c r="D10414" s="49">
        <v>0.0</v>
      </c>
    </row>
    <row r="10415" ht="15.0" hidden="1" customHeight="1">
      <c r="A10415" s="49" t="s">
        <v>576</v>
      </c>
      <c r="B10415" s="50">
        <v>45746.0</v>
      </c>
      <c r="C10415" s="49" t="s">
        <v>78</v>
      </c>
      <c r="D10415" s="49">
        <v>0.0</v>
      </c>
    </row>
    <row r="10416" ht="15.0" hidden="1" customHeight="1">
      <c r="A10416" s="49" t="s">
        <v>581</v>
      </c>
      <c r="B10416" s="50">
        <v>45746.0</v>
      </c>
      <c r="C10416" s="49" t="s">
        <v>78</v>
      </c>
      <c r="D10416" s="49">
        <v>0.0</v>
      </c>
    </row>
    <row r="10417" ht="15.0" hidden="1" customHeight="1">
      <c r="A10417" s="49" t="s">
        <v>586</v>
      </c>
      <c r="B10417" s="50">
        <v>45746.0</v>
      </c>
      <c r="C10417" s="49" t="s">
        <v>78</v>
      </c>
      <c r="D10417" s="49">
        <v>0.0</v>
      </c>
    </row>
    <row r="10418" ht="15.0" hidden="1" customHeight="1">
      <c r="A10418" s="49" t="s">
        <v>754</v>
      </c>
      <c r="B10418" s="50">
        <v>45746.0</v>
      </c>
      <c r="C10418" s="49" t="s">
        <v>78</v>
      </c>
      <c r="D10418" s="49">
        <v>0.0</v>
      </c>
    </row>
    <row r="10419" ht="15.0" hidden="1" customHeight="1">
      <c r="A10419" s="49" t="s">
        <v>591</v>
      </c>
      <c r="B10419" s="50">
        <v>45746.0</v>
      </c>
      <c r="C10419" s="49" t="s">
        <v>78</v>
      </c>
      <c r="D10419" s="49">
        <v>0.0</v>
      </c>
    </row>
    <row r="10420" ht="15.0" hidden="1" customHeight="1">
      <c r="A10420" s="49" t="s">
        <v>759</v>
      </c>
      <c r="B10420" s="50">
        <v>45746.0</v>
      </c>
      <c r="C10420" s="49" t="s">
        <v>78</v>
      </c>
      <c r="D10420" s="49">
        <v>0.0</v>
      </c>
    </row>
    <row r="10421" ht="15.0" hidden="1" customHeight="1">
      <c r="A10421" s="49" t="s">
        <v>596</v>
      </c>
      <c r="B10421" s="50">
        <v>45746.0</v>
      </c>
      <c r="C10421" s="49" t="s">
        <v>78</v>
      </c>
      <c r="D10421" s="49">
        <v>2250000.0</v>
      </c>
    </row>
    <row r="10422" ht="15.0" hidden="1" customHeight="1">
      <c r="A10422" s="49" t="s">
        <v>602</v>
      </c>
      <c r="B10422" s="50">
        <v>45746.0</v>
      </c>
      <c r="C10422" s="49" t="s">
        <v>78</v>
      </c>
      <c r="D10422" s="49">
        <v>0.0</v>
      </c>
    </row>
    <row r="10423" ht="15.0" hidden="1" customHeight="1">
      <c r="A10423" s="49" t="s">
        <v>607</v>
      </c>
      <c r="B10423" s="50">
        <v>45746.0</v>
      </c>
      <c r="C10423" s="49" t="s">
        <v>78</v>
      </c>
      <c r="D10423" s="49">
        <v>150000.0</v>
      </c>
    </row>
    <row r="10424" ht="15.0" hidden="1" customHeight="1">
      <c r="A10424" s="49" t="s">
        <v>612</v>
      </c>
      <c r="B10424" s="50">
        <v>45746.0</v>
      </c>
      <c r="C10424" s="49" t="s">
        <v>78</v>
      </c>
      <c r="D10424" s="49">
        <v>4800000.0</v>
      </c>
    </row>
    <row r="10425" ht="15.0" hidden="1" customHeight="1">
      <c r="A10425" s="49" t="s">
        <v>617</v>
      </c>
      <c r="B10425" s="50">
        <v>45746.0</v>
      </c>
      <c r="C10425" s="49" t="s">
        <v>78</v>
      </c>
      <c r="D10425" s="49">
        <v>162000.0</v>
      </c>
    </row>
    <row r="10426" ht="15.0" hidden="1" customHeight="1">
      <c r="A10426" s="49" t="s">
        <v>622</v>
      </c>
      <c r="B10426" s="50">
        <v>45746.0</v>
      </c>
      <c r="C10426" s="49" t="s">
        <v>78</v>
      </c>
      <c r="D10426" s="49">
        <v>350000.0</v>
      </c>
    </row>
    <row r="10427" ht="15.0" hidden="1" customHeight="1">
      <c r="A10427" s="49" t="s">
        <v>627</v>
      </c>
      <c r="B10427" s="50">
        <v>45746.0</v>
      </c>
      <c r="C10427" s="49" t="s">
        <v>78</v>
      </c>
      <c r="D10427" s="49">
        <v>250000.0</v>
      </c>
    </row>
    <row r="10428" ht="15.0" hidden="1" customHeight="1">
      <c r="A10428" s="49" t="s">
        <v>631</v>
      </c>
      <c r="B10428" s="50">
        <v>45746.0</v>
      </c>
      <c r="C10428" s="49" t="s">
        <v>78</v>
      </c>
      <c r="D10428" s="49">
        <v>0.0</v>
      </c>
    </row>
    <row r="10429" ht="15.0" hidden="1" customHeight="1">
      <c r="A10429" s="49" t="s">
        <v>636</v>
      </c>
      <c r="B10429" s="50">
        <v>45746.0</v>
      </c>
      <c r="C10429" s="49" t="s">
        <v>78</v>
      </c>
      <c r="D10429" s="49">
        <v>0.0</v>
      </c>
    </row>
    <row r="10430" ht="15.0" hidden="1" customHeight="1">
      <c r="A10430" s="49" t="s">
        <v>640</v>
      </c>
      <c r="B10430" s="50">
        <v>45746.0</v>
      </c>
      <c r="C10430" s="49" t="s">
        <v>78</v>
      </c>
      <c r="D10430" s="49">
        <v>0.0</v>
      </c>
    </row>
    <row r="10431" ht="15.0" hidden="1" customHeight="1">
      <c r="A10431" s="49" t="s">
        <v>644</v>
      </c>
      <c r="B10431" s="50">
        <v>45746.0</v>
      </c>
      <c r="C10431" s="49" t="s">
        <v>78</v>
      </c>
      <c r="D10431" s="49">
        <v>175000.0</v>
      </c>
    </row>
    <row r="10432" ht="15.0" hidden="1" customHeight="1">
      <c r="A10432" s="49" t="s">
        <v>649</v>
      </c>
      <c r="B10432" s="50">
        <v>45746.0</v>
      </c>
      <c r="C10432" s="49" t="s">
        <v>78</v>
      </c>
      <c r="D10432" s="49">
        <v>0.0</v>
      </c>
    </row>
    <row r="10433" ht="15.0" hidden="1" customHeight="1">
      <c r="A10433" s="49" t="s">
        <v>654</v>
      </c>
      <c r="B10433" s="50">
        <v>45746.0</v>
      </c>
      <c r="C10433" s="49" t="s">
        <v>78</v>
      </c>
      <c r="D10433" s="49">
        <v>0.0</v>
      </c>
    </row>
    <row r="10434" ht="15.0" hidden="1" customHeight="1">
      <c r="A10434" s="49" t="s">
        <v>659</v>
      </c>
      <c r="B10434" s="50">
        <v>45746.0</v>
      </c>
      <c r="C10434" s="49" t="s">
        <v>78</v>
      </c>
      <c r="D10434" s="49">
        <v>0.0</v>
      </c>
    </row>
    <row r="10435" ht="15.0" hidden="1" customHeight="1">
      <c r="A10435" s="49" t="s">
        <v>664</v>
      </c>
      <c r="B10435" s="50">
        <v>45746.0</v>
      </c>
      <c r="C10435" s="49" t="s">
        <v>78</v>
      </c>
      <c r="D10435" s="49">
        <v>0.0</v>
      </c>
    </row>
    <row r="10436" ht="15.0" hidden="1" customHeight="1">
      <c r="A10436" s="49" t="s">
        <v>669</v>
      </c>
      <c r="B10436" s="50">
        <v>45746.0</v>
      </c>
      <c r="C10436" s="49" t="s">
        <v>78</v>
      </c>
      <c r="D10436" s="49">
        <v>0.0</v>
      </c>
    </row>
    <row r="10437" ht="15.0" hidden="1" customHeight="1">
      <c r="A10437" s="49" t="s">
        <v>674</v>
      </c>
      <c r="B10437" s="50">
        <v>45746.0</v>
      </c>
      <c r="C10437" s="49" t="s">
        <v>78</v>
      </c>
      <c r="D10437" s="49">
        <v>0.0</v>
      </c>
    </row>
    <row r="10438" ht="15.0" hidden="1" customHeight="1">
      <c r="A10438" s="49" t="s">
        <v>679</v>
      </c>
      <c r="B10438" s="50">
        <v>45746.0</v>
      </c>
      <c r="C10438" s="49" t="s">
        <v>78</v>
      </c>
      <c r="D10438" s="49">
        <v>0.0</v>
      </c>
    </row>
    <row r="10439" ht="15.0" hidden="1" customHeight="1">
      <c r="A10439" s="49" t="s">
        <v>684</v>
      </c>
      <c r="B10439" s="50">
        <v>45746.0</v>
      </c>
      <c r="C10439" s="49" t="s">
        <v>78</v>
      </c>
      <c r="D10439" s="49">
        <v>0.0</v>
      </c>
    </row>
    <row r="10440" ht="15.0" hidden="1" customHeight="1">
      <c r="A10440" s="49" t="s">
        <v>689</v>
      </c>
      <c r="B10440" s="50">
        <v>45746.0</v>
      </c>
      <c r="C10440" s="49" t="s">
        <v>78</v>
      </c>
      <c r="D10440" s="49">
        <v>0.0</v>
      </c>
    </row>
    <row r="10441" ht="15.0" hidden="1" customHeight="1">
      <c r="A10441" s="49" t="s">
        <v>694</v>
      </c>
      <c r="B10441" s="50">
        <v>45746.0</v>
      </c>
      <c r="C10441" s="49" t="s">
        <v>78</v>
      </c>
      <c r="D10441" s="49">
        <v>0.0</v>
      </c>
    </row>
    <row r="10442" ht="15.0" hidden="1" customHeight="1">
      <c r="A10442" s="49" t="s">
        <v>699</v>
      </c>
      <c r="B10442" s="50">
        <v>45746.0</v>
      </c>
      <c r="C10442" s="49" t="s">
        <v>78</v>
      </c>
      <c r="D10442" s="49">
        <v>0.0</v>
      </c>
    </row>
    <row r="10443" ht="15.0" hidden="1" customHeight="1">
      <c r="A10443" s="49" t="s">
        <v>705</v>
      </c>
      <c r="B10443" s="50">
        <v>45746.0</v>
      </c>
      <c r="C10443" s="49" t="s">
        <v>78</v>
      </c>
      <c r="D10443" s="49">
        <v>0.0</v>
      </c>
    </row>
    <row r="10444" ht="15.0" hidden="1" customHeight="1">
      <c r="A10444" s="49" t="s">
        <v>710</v>
      </c>
      <c r="B10444" s="50">
        <v>45746.0</v>
      </c>
      <c r="C10444" s="49" t="s">
        <v>78</v>
      </c>
      <c r="D10444" s="49">
        <v>0.0</v>
      </c>
    </row>
    <row r="10445" ht="15.0" hidden="1" customHeight="1">
      <c r="A10445" s="49" t="s">
        <v>715</v>
      </c>
      <c r="B10445" s="50">
        <v>45746.0</v>
      </c>
      <c r="C10445" s="49" t="s">
        <v>78</v>
      </c>
      <c r="D10445" s="49">
        <v>0.0</v>
      </c>
    </row>
    <row r="10446" ht="15.0" hidden="1" customHeight="1">
      <c r="A10446" s="49" t="s">
        <v>765</v>
      </c>
      <c r="B10446" s="50">
        <v>45746.0</v>
      </c>
      <c r="C10446" s="49" t="s">
        <v>78</v>
      </c>
      <c r="D10446" s="49">
        <v>0.0</v>
      </c>
    </row>
    <row r="10447" ht="15.0" hidden="1" customHeight="1">
      <c r="A10447" s="49" t="s">
        <v>720</v>
      </c>
      <c r="B10447" s="50">
        <v>45746.0</v>
      </c>
      <c r="C10447" s="49" t="s">
        <v>78</v>
      </c>
      <c r="D10447" s="49">
        <v>0.0</v>
      </c>
    </row>
    <row r="10448" ht="15.0" hidden="1" customHeight="1">
      <c r="A10448" s="49" t="s">
        <v>725</v>
      </c>
      <c r="B10448" s="50">
        <v>45746.0</v>
      </c>
      <c r="C10448" s="49" t="s">
        <v>78</v>
      </c>
      <c r="D10448" s="49">
        <v>0.0</v>
      </c>
    </row>
    <row r="10449" ht="15.0" hidden="1" customHeight="1">
      <c r="A10449" s="49" t="s">
        <v>730</v>
      </c>
      <c r="B10449" s="50">
        <v>45746.0</v>
      </c>
      <c r="C10449" s="49" t="s">
        <v>78</v>
      </c>
      <c r="D10449" s="49">
        <v>0.0</v>
      </c>
    </row>
    <row r="10450" ht="15.0" hidden="1" customHeight="1">
      <c r="A10450" s="49" t="s">
        <v>734</v>
      </c>
      <c r="B10450" s="50">
        <v>45746.0</v>
      </c>
      <c r="C10450" s="49" t="s">
        <v>78</v>
      </c>
      <c r="D10450" s="49">
        <v>0.0</v>
      </c>
    </row>
    <row r="10451" ht="15.0" hidden="1" customHeight="1">
      <c r="A10451" s="49" t="s">
        <v>739</v>
      </c>
      <c r="B10451" s="50">
        <v>45746.0</v>
      </c>
      <c r="C10451" s="49" t="s">
        <v>78</v>
      </c>
      <c r="D10451" s="49">
        <v>0.0</v>
      </c>
    </row>
    <row r="10452" ht="15.0" hidden="1" customHeight="1">
      <c r="A10452" s="49" t="s">
        <v>744</v>
      </c>
      <c r="B10452" s="50">
        <v>45746.0</v>
      </c>
      <c r="C10452" s="49" t="s">
        <v>78</v>
      </c>
      <c r="D10452" s="49">
        <v>0.0</v>
      </c>
    </row>
    <row r="10453" ht="15.0" hidden="1" customHeight="1">
      <c r="A10453" s="49" t="s">
        <v>749</v>
      </c>
      <c r="B10453" s="50">
        <v>45746.0</v>
      </c>
      <c r="C10453" s="49" t="s">
        <v>78</v>
      </c>
      <c r="D10453" s="49">
        <v>0.0</v>
      </c>
    </row>
    <row r="10454" ht="15.0" customHeight="1">
      <c r="A10454" s="49" t="s">
        <v>776</v>
      </c>
      <c r="B10454" s="50">
        <v>45746.0</v>
      </c>
      <c r="C10454" s="49" t="s">
        <v>69</v>
      </c>
      <c r="D10454" s="49">
        <v>0.0</v>
      </c>
    </row>
    <row r="10455" ht="15.0" hidden="1" customHeight="1">
      <c r="A10455" s="49" t="s">
        <v>778</v>
      </c>
      <c r="B10455" s="50">
        <v>45746.0</v>
      </c>
      <c r="C10455" s="49" t="s">
        <v>69</v>
      </c>
      <c r="D10455" s="49">
        <v>0.0</v>
      </c>
    </row>
    <row r="10456" ht="15.0" hidden="1" customHeight="1">
      <c r="A10456" s="49" t="s">
        <v>92</v>
      </c>
      <c r="B10456" s="50">
        <v>45746.0</v>
      </c>
      <c r="C10456" s="49" t="s">
        <v>69</v>
      </c>
      <c r="D10456" s="49">
        <v>0.0</v>
      </c>
    </row>
    <row r="10457" ht="15.0" hidden="1" customHeight="1">
      <c r="A10457" s="49" t="s">
        <v>97</v>
      </c>
      <c r="B10457" s="50">
        <v>45746.0</v>
      </c>
      <c r="C10457" s="49" t="s">
        <v>69</v>
      </c>
      <c r="D10457" s="49">
        <v>0.0</v>
      </c>
    </row>
    <row r="10458" ht="15.0" hidden="1" customHeight="1">
      <c r="A10458" s="49" t="s">
        <v>102</v>
      </c>
      <c r="B10458" s="50">
        <v>45746.0</v>
      </c>
      <c r="C10458" s="49" t="s">
        <v>69</v>
      </c>
      <c r="D10458" s="49">
        <v>0.0</v>
      </c>
    </row>
    <row r="10459" ht="15.0" hidden="1" customHeight="1">
      <c r="A10459" s="49" t="s">
        <v>106</v>
      </c>
      <c r="B10459" s="50">
        <v>45746.0</v>
      </c>
      <c r="C10459" s="49" t="s">
        <v>69</v>
      </c>
      <c r="D10459" s="49">
        <v>0.0</v>
      </c>
    </row>
    <row r="10460" ht="15.0" hidden="1" customHeight="1">
      <c r="A10460" s="49" t="s">
        <v>111</v>
      </c>
      <c r="B10460" s="50">
        <v>45746.0</v>
      </c>
      <c r="C10460" s="49" t="s">
        <v>69</v>
      </c>
      <c r="D10460" s="49">
        <v>0.0</v>
      </c>
    </row>
    <row r="10461" ht="15.0" hidden="1" customHeight="1">
      <c r="A10461" s="49" t="s">
        <v>116</v>
      </c>
      <c r="B10461" s="50">
        <v>45746.0</v>
      </c>
      <c r="C10461" s="49" t="s">
        <v>69</v>
      </c>
      <c r="D10461" s="49">
        <v>0.0</v>
      </c>
    </row>
    <row r="10462" ht="15.0" hidden="1" customHeight="1">
      <c r="A10462" s="49" t="s">
        <v>120</v>
      </c>
      <c r="B10462" s="50">
        <v>45746.0</v>
      </c>
      <c r="C10462" s="49" t="s">
        <v>69</v>
      </c>
      <c r="D10462" s="49">
        <v>0.0</v>
      </c>
    </row>
    <row r="10463" ht="15.0" hidden="1" customHeight="1">
      <c r="A10463" s="49" t="s">
        <v>125</v>
      </c>
      <c r="B10463" s="50">
        <v>45746.0</v>
      </c>
      <c r="C10463" s="49" t="s">
        <v>69</v>
      </c>
      <c r="D10463" s="49">
        <v>0.0</v>
      </c>
    </row>
    <row r="10464" ht="15.0" hidden="1" customHeight="1">
      <c r="A10464" s="49" t="s">
        <v>130</v>
      </c>
      <c r="B10464" s="50">
        <v>45746.0</v>
      </c>
      <c r="C10464" s="49" t="s">
        <v>69</v>
      </c>
      <c r="D10464" s="49">
        <v>0.0</v>
      </c>
    </row>
    <row r="10465" ht="15.0" hidden="1" customHeight="1">
      <c r="A10465" s="49" t="s">
        <v>137</v>
      </c>
      <c r="B10465" s="50">
        <v>45746.0</v>
      </c>
      <c r="C10465" s="49" t="s">
        <v>69</v>
      </c>
      <c r="D10465" s="49">
        <v>0.0</v>
      </c>
    </row>
    <row r="10466" ht="15.0" hidden="1" customHeight="1">
      <c r="A10466" s="49" t="s">
        <v>142</v>
      </c>
      <c r="B10466" s="50">
        <v>45746.0</v>
      </c>
      <c r="C10466" s="49" t="s">
        <v>69</v>
      </c>
      <c r="D10466" s="49">
        <v>0.0</v>
      </c>
    </row>
    <row r="10467" ht="15.0" hidden="1" customHeight="1">
      <c r="A10467" s="49" t="s">
        <v>147</v>
      </c>
      <c r="B10467" s="50">
        <v>45746.0</v>
      </c>
      <c r="C10467" s="49" t="s">
        <v>69</v>
      </c>
      <c r="D10467" s="49">
        <v>0.0</v>
      </c>
    </row>
    <row r="10468" ht="15.0" hidden="1" customHeight="1">
      <c r="A10468" s="49" t="s">
        <v>152</v>
      </c>
      <c r="B10468" s="50">
        <v>45746.0</v>
      </c>
      <c r="C10468" s="49" t="s">
        <v>69</v>
      </c>
      <c r="D10468" s="49">
        <v>0.0</v>
      </c>
    </row>
    <row r="10469" ht="15.0" hidden="1" customHeight="1">
      <c r="A10469" s="49" t="s">
        <v>157</v>
      </c>
      <c r="B10469" s="50">
        <v>45746.0</v>
      </c>
      <c r="C10469" s="49" t="s">
        <v>69</v>
      </c>
      <c r="D10469" s="49">
        <v>0.0</v>
      </c>
    </row>
    <row r="10470" ht="15.0" hidden="1" customHeight="1">
      <c r="A10470" s="49" t="s">
        <v>162</v>
      </c>
      <c r="B10470" s="50">
        <v>45746.0</v>
      </c>
      <c r="C10470" s="49" t="s">
        <v>69</v>
      </c>
      <c r="D10470" s="49">
        <v>0.0</v>
      </c>
    </row>
    <row r="10471" ht="15.0" hidden="1" customHeight="1">
      <c r="A10471" s="49" t="s">
        <v>167</v>
      </c>
      <c r="B10471" s="50">
        <v>45746.0</v>
      </c>
      <c r="C10471" s="49" t="s">
        <v>69</v>
      </c>
      <c r="D10471" s="49">
        <v>0.0</v>
      </c>
    </row>
    <row r="10472" ht="15.0" hidden="1" customHeight="1">
      <c r="A10472" s="49" t="s">
        <v>172</v>
      </c>
      <c r="B10472" s="50">
        <v>45746.0</v>
      </c>
      <c r="C10472" s="49" t="s">
        <v>69</v>
      </c>
      <c r="D10472" s="49">
        <v>0.0</v>
      </c>
    </row>
    <row r="10473" ht="15.0" hidden="1" customHeight="1">
      <c r="A10473" s="49" t="s">
        <v>177</v>
      </c>
      <c r="B10473" s="50">
        <v>45746.0</v>
      </c>
      <c r="C10473" s="49" t="s">
        <v>69</v>
      </c>
      <c r="D10473" s="49">
        <v>0.0</v>
      </c>
    </row>
    <row r="10474" ht="15.0" hidden="1" customHeight="1">
      <c r="A10474" s="49" t="s">
        <v>182</v>
      </c>
      <c r="B10474" s="50">
        <v>45746.0</v>
      </c>
      <c r="C10474" s="49" t="s">
        <v>69</v>
      </c>
      <c r="D10474" s="49">
        <v>0.0</v>
      </c>
    </row>
    <row r="10475" ht="15.0" hidden="1" customHeight="1">
      <c r="A10475" s="49" t="s">
        <v>187</v>
      </c>
      <c r="B10475" s="50">
        <v>45746.0</v>
      </c>
      <c r="C10475" s="49" t="s">
        <v>69</v>
      </c>
      <c r="D10475" s="49">
        <v>0.0</v>
      </c>
    </row>
    <row r="10476" ht="15.0" hidden="1" customHeight="1">
      <c r="A10476" s="49" t="s">
        <v>192</v>
      </c>
      <c r="B10476" s="50">
        <v>45746.0</v>
      </c>
      <c r="C10476" s="49" t="s">
        <v>69</v>
      </c>
      <c r="D10476" s="49">
        <v>0.0</v>
      </c>
    </row>
    <row r="10477" ht="15.0" hidden="1" customHeight="1">
      <c r="A10477" s="49" t="s">
        <v>197</v>
      </c>
      <c r="B10477" s="50">
        <v>45746.0</v>
      </c>
      <c r="C10477" s="49" t="s">
        <v>69</v>
      </c>
      <c r="D10477" s="49">
        <v>0.0</v>
      </c>
    </row>
    <row r="10478" ht="15.0" hidden="1" customHeight="1">
      <c r="A10478" s="49" t="s">
        <v>202</v>
      </c>
      <c r="B10478" s="50">
        <v>45746.0</v>
      </c>
      <c r="C10478" s="49" t="s">
        <v>69</v>
      </c>
      <c r="D10478" s="49">
        <v>0.0</v>
      </c>
    </row>
    <row r="10479" ht="15.0" hidden="1" customHeight="1">
      <c r="A10479" s="49" t="s">
        <v>206</v>
      </c>
      <c r="B10479" s="50">
        <v>45746.0</v>
      </c>
      <c r="C10479" s="49" t="s">
        <v>69</v>
      </c>
      <c r="D10479" s="49">
        <v>0.0</v>
      </c>
    </row>
    <row r="10480" ht="15.0" hidden="1" customHeight="1">
      <c r="A10480" s="49" t="s">
        <v>211</v>
      </c>
      <c r="B10480" s="50">
        <v>45746.0</v>
      </c>
      <c r="C10480" s="49" t="s">
        <v>69</v>
      </c>
      <c r="D10480" s="49">
        <v>0.0</v>
      </c>
    </row>
    <row r="10481" ht="15.0" hidden="1" customHeight="1">
      <c r="A10481" s="49" t="s">
        <v>779</v>
      </c>
      <c r="B10481" s="50">
        <v>45746.0</v>
      </c>
      <c r="C10481" s="49" t="s">
        <v>69</v>
      </c>
      <c r="D10481" s="49">
        <v>0.0</v>
      </c>
    </row>
    <row r="10482" ht="15.0" hidden="1" customHeight="1">
      <c r="A10482" s="49" t="s">
        <v>221</v>
      </c>
      <c r="B10482" s="50">
        <v>45746.0</v>
      </c>
      <c r="C10482" s="49" t="s">
        <v>69</v>
      </c>
      <c r="D10482" s="49">
        <v>0.0</v>
      </c>
    </row>
    <row r="10483" ht="15.0" hidden="1" customHeight="1">
      <c r="A10483" s="49" t="s">
        <v>226</v>
      </c>
      <c r="B10483" s="50">
        <v>45746.0</v>
      </c>
      <c r="C10483" s="49" t="s">
        <v>69</v>
      </c>
      <c r="D10483" s="49">
        <v>0.0</v>
      </c>
    </row>
    <row r="10484" ht="15.0" hidden="1" customHeight="1">
      <c r="A10484" s="49" t="s">
        <v>231</v>
      </c>
      <c r="B10484" s="50">
        <v>45746.0</v>
      </c>
      <c r="C10484" s="49" t="s">
        <v>69</v>
      </c>
      <c r="D10484" s="49">
        <v>0.0</v>
      </c>
    </row>
    <row r="10485" ht="15.0" hidden="1" customHeight="1">
      <c r="A10485" s="49" t="s">
        <v>236</v>
      </c>
      <c r="B10485" s="50">
        <v>45746.0</v>
      </c>
      <c r="C10485" s="49" t="s">
        <v>69</v>
      </c>
      <c r="D10485" s="49">
        <v>0.0</v>
      </c>
    </row>
    <row r="10486" ht="15.0" hidden="1" customHeight="1">
      <c r="A10486" s="49" t="s">
        <v>242</v>
      </c>
      <c r="B10486" s="50">
        <v>45746.0</v>
      </c>
      <c r="C10486" s="49" t="s">
        <v>69</v>
      </c>
      <c r="D10486" s="49">
        <v>0.0</v>
      </c>
    </row>
    <row r="10487" ht="15.0" hidden="1" customHeight="1">
      <c r="A10487" s="49" t="s">
        <v>248</v>
      </c>
      <c r="B10487" s="50">
        <v>45746.0</v>
      </c>
      <c r="C10487" s="49" t="s">
        <v>69</v>
      </c>
      <c r="D10487" s="49">
        <v>0.0</v>
      </c>
    </row>
    <row r="10488" ht="15.0" hidden="1" customHeight="1">
      <c r="A10488" s="49" t="s">
        <v>253</v>
      </c>
      <c r="B10488" s="50">
        <v>45746.0</v>
      </c>
      <c r="C10488" s="49" t="s">
        <v>69</v>
      </c>
      <c r="D10488" s="49">
        <v>0.0</v>
      </c>
    </row>
    <row r="10489" ht="15.0" hidden="1" customHeight="1">
      <c r="A10489" s="49" t="s">
        <v>258</v>
      </c>
      <c r="B10489" s="50">
        <v>45746.0</v>
      </c>
      <c r="C10489" s="49" t="s">
        <v>69</v>
      </c>
      <c r="D10489" s="49">
        <v>0.0</v>
      </c>
    </row>
    <row r="10490" ht="15.0" hidden="1" customHeight="1">
      <c r="A10490" s="49" t="s">
        <v>263</v>
      </c>
      <c r="B10490" s="50">
        <v>45746.0</v>
      </c>
      <c r="C10490" s="49" t="s">
        <v>69</v>
      </c>
      <c r="D10490" s="49">
        <v>0.0</v>
      </c>
    </row>
    <row r="10491" ht="15.0" hidden="1" customHeight="1">
      <c r="A10491" s="49" t="s">
        <v>268</v>
      </c>
      <c r="B10491" s="50">
        <v>45746.0</v>
      </c>
      <c r="C10491" s="49" t="s">
        <v>69</v>
      </c>
      <c r="D10491" s="49">
        <v>0.0</v>
      </c>
    </row>
    <row r="10492" ht="15.0" hidden="1" customHeight="1">
      <c r="A10492" s="49" t="s">
        <v>273</v>
      </c>
      <c r="B10492" s="50">
        <v>45746.0</v>
      </c>
      <c r="C10492" s="49" t="s">
        <v>69</v>
      </c>
      <c r="D10492" s="49">
        <v>0.0</v>
      </c>
    </row>
    <row r="10493" ht="15.0" hidden="1" customHeight="1">
      <c r="A10493" s="49" t="s">
        <v>278</v>
      </c>
      <c r="B10493" s="50">
        <v>45746.0</v>
      </c>
      <c r="C10493" s="49" t="s">
        <v>69</v>
      </c>
      <c r="D10493" s="49">
        <v>0.0</v>
      </c>
    </row>
    <row r="10494" ht="15.0" hidden="1" customHeight="1">
      <c r="A10494" s="49" t="s">
        <v>283</v>
      </c>
      <c r="B10494" s="50">
        <v>45746.0</v>
      </c>
      <c r="C10494" s="49" t="s">
        <v>69</v>
      </c>
      <c r="D10494" s="49">
        <v>0.0</v>
      </c>
    </row>
    <row r="10495" ht="15.0" hidden="1" customHeight="1">
      <c r="A10495" s="49" t="s">
        <v>288</v>
      </c>
      <c r="B10495" s="50">
        <v>45746.0</v>
      </c>
      <c r="C10495" s="49" t="s">
        <v>69</v>
      </c>
      <c r="D10495" s="49">
        <v>0.0</v>
      </c>
    </row>
    <row r="10496" ht="15.0" hidden="1" customHeight="1">
      <c r="A10496" s="49" t="s">
        <v>293</v>
      </c>
      <c r="B10496" s="50">
        <v>45746.0</v>
      </c>
      <c r="C10496" s="49" t="s">
        <v>69</v>
      </c>
      <c r="D10496" s="49">
        <v>0.0</v>
      </c>
    </row>
    <row r="10497" ht="15.0" hidden="1" customHeight="1">
      <c r="A10497" s="49" t="s">
        <v>298</v>
      </c>
      <c r="B10497" s="50">
        <v>45746.0</v>
      </c>
      <c r="C10497" s="49" t="s">
        <v>69</v>
      </c>
      <c r="D10497" s="49">
        <v>0.0</v>
      </c>
    </row>
    <row r="10498" ht="15.0" hidden="1" customHeight="1">
      <c r="A10498" s="49" t="s">
        <v>303</v>
      </c>
      <c r="B10498" s="50">
        <v>45746.0</v>
      </c>
      <c r="C10498" s="49" t="s">
        <v>69</v>
      </c>
      <c r="D10498" s="49">
        <v>0.0</v>
      </c>
    </row>
    <row r="10499" ht="15.0" hidden="1" customHeight="1">
      <c r="A10499" s="49" t="s">
        <v>307</v>
      </c>
      <c r="B10499" s="50">
        <v>45746.0</v>
      </c>
      <c r="C10499" s="49" t="s">
        <v>69</v>
      </c>
      <c r="D10499" s="49">
        <v>0.0</v>
      </c>
    </row>
    <row r="10500" ht="15.0" hidden="1" customHeight="1">
      <c r="A10500" s="49" t="s">
        <v>313</v>
      </c>
      <c r="B10500" s="50">
        <v>45746.0</v>
      </c>
      <c r="C10500" s="49" t="s">
        <v>69</v>
      </c>
      <c r="D10500" s="49">
        <v>0.0</v>
      </c>
    </row>
    <row r="10501" ht="15.0" hidden="1" customHeight="1">
      <c r="A10501" s="49" t="s">
        <v>318</v>
      </c>
      <c r="B10501" s="50">
        <v>45746.0</v>
      </c>
      <c r="C10501" s="49" t="s">
        <v>69</v>
      </c>
      <c r="D10501" s="49">
        <v>0.0</v>
      </c>
    </row>
    <row r="10502" ht="15.0" hidden="1" customHeight="1">
      <c r="A10502" s="49" t="s">
        <v>323</v>
      </c>
      <c r="B10502" s="50">
        <v>45746.0</v>
      </c>
      <c r="C10502" s="49" t="s">
        <v>69</v>
      </c>
      <c r="D10502" s="49">
        <v>0.0</v>
      </c>
    </row>
    <row r="10503" ht="15.0" hidden="1" customHeight="1">
      <c r="A10503" s="49" t="s">
        <v>328</v>
      </c>
      <c r="B10503" s="50">
        <v>45746.0</v>
      </c>
      <c r="C10503" s="49" t="s">
        <v>69</v>
      </c>
      <c r="D10503" s="49">
        <v>0.0</v>
      </c>
    </row>
    <row r="10504" ht="15.0" hidden="1" customHeight="1">
      <c r="A10504" s="49" t="s">
        <v>335</v>
      </c>
      <c r="B10504" s="50">
        <v>45746.0</v>
      </c>
      <c r="C10504" s="49" t="s">
        <v>69</v>
      </c>
      <c r="D10504" s="49">
        <v>0.0</v>
      </c>
    </row>
    <row r="10505" ht="15.0" hidden="1" customHeight="1">
      <c r="A10505" s="49" t="s">
        <v>340</v>
      </c>
      <c r="B10505" s="50">
        <v>45746.0</v>
      </c>
      <c r="C10505" s="49" t="s">
        <v>69</v>
      </c>
      <c r="D10505" s="49">
        <v>0.0</v>
      </c>
    </row>
    <row r="10506" ht="15.0" hidden="1" customHeight="1">
      <c r="A10506" s="49" t="s">
        <v>345</v>
      </c>
      <c r="B10506" s="50">
        <v>45746.0</v>
      </c>
      <c r="C10506" s="49" t="s">
        <v>69</v>
      </c>
      <c r="D10506" s="49">
        <v>0.0</v>
      </c>
    </row>
    <row r="10507" ht="15.0" hidden="1" customHeight="1">
      <c r="A10507" s="49" t="s">
        <v>350</v>
      </c>
      <c r="B10507" s="50">
        <v>45746.0</v>
      </c>
      <c r="C10507" s="49" t="s">
        <v>69</v>
      </c>
      <c r="D10507" s="49">
        <v>0.0</v>
      </c>
    </row>
    <row r="10508" ht="15.0" hidden="1" customHeight="1">
      <c r="A10508" s="49" t="s">
        <v>355</v>
      </c>
      <c r="B10508" s="50">
        <v>45746.0</v>
      </c>
      <c r="C10508" s="49" t="s">
        <v>69</v>
      </c>
      <c r="D10508" s="49">
        <v>0.0</v>
      </c>
    </row>
    <row r="10509" ht="15.0" hidden="1" customHeight="1">
      <c r="A10509" s="49" t="s">
        <v>360</v>
      </c>
      <c r="B10509" s="50">
        <v>45746.0</v>
      </c>
      <c r="C10509" s="49" t="s">
        <v>69</v>
      </c>
      <c r="D10509" s="49">
        <v>0.0</v>
      </c>
    </row>
    <row r="10510" ht="15.0" hidden="1" customHeight="1">
      <c r="A10510" s="49" t="s">
        <v>365</v>
      </c>
      <c r="B10510" s="50">
        <v>45746.0</v>
      </c>
      <c r="C10510" s="49" t="s">
        <v>69</v>
      </c>
      <c r="D10510" s="49">
        <v>0.0</v>
      </c>
    </row>
    <row r="10511" ht="15.0" hidden="1" customHeight="1">
      <c r="A10511" s="49" t="s">
        <v>370</v>
      </c>
      <c r="B10511" s="50">
        <v>45746.0</v>
      </c>
      <c r="C10511" s="49" t="s">
        <v>69</v>
      </c>
      <c r="D10511" s="49">
        <v>0.0</v>
      </c>
    </row>
    <row r="10512" ht="15.0" hidden="1" customHeight="1">
      <c r="A10512" s="49" t="s">
        <v>375</v>
      </c>
      <c r="B10512" s="50">
        <v>45746.0</v>
      </c>
      <c r="C10512" s="49" t="s">
        <v>69</v>
      </c>
      <c r="D10512" s="49">
        <v>0.0</v>
      </c>
    </row>
    <row r="10513" ht="15.0" hidden="1" customHeight="1">
      <c r="A10513" s="49" t="s">
        <v>380</v>
      </c>
      <c r="B10513" s="50">
        <v>45746.0</v>
      </c>
      <c r="C10513" s="49" t="s">
        <v>69</v>
      </c>
      <c r="D10513" s="49">
        <v>0.0</v>
      </c>
    </row>
    <row r="10514" ht="15.0" hidden="1" customHeight="1">
      <c r="A10514" s="49" t="s">
        <v>385</v>
      </c>
      <c r="B10514" s="50">
        <v>45746.0</v>
      </c>
      <c r="C10514" s="49" t="s">
        <v>69</v>
      </c>
      <c r="D10514" s="49">
        <v>750000.0</v>
      </c>
    </row>
    <row r="10515" ht="15.0" hidden="1" customHeight="1">
      <c r="A10515" s="49" t="s">
        <v>390</v>
      </c>
      <c r="B10515" s="50">
        <v>45746.0</v>
      </c>
      <c r="C10515" s="49" t="s">
        <v>69</v>
      </c>
      <c r="D10515" s="49">
        <v>0.0</v>
      </c>
    </row>
    <row r="10516" ht="15.0" hidden="1" customHeight="1">
      <c r="A10516" s="49" t="s">
        <v>395</v>
      </c>
      <c r="B10516" s="50">
        <v>45746.0</v>
      </c>
      <c r="C10516" s="49" t="s">
        <v>69</v>
      </c>
      <c r="D10516" s="49">
        <v>0.0</v>
      </c>
    </row>
    <row r="10517" ht="15.0" hidden="1" customHeight="1">
      <c r="A10517" s="49" t="s">
        <v>400</v>
      </c>
      <c r="B10517" s="50">
        <v>45746.0</v>
      </c>
      <c r="C10517" s="49" t="s">
        <v>69</v>
      </c>
      <c r="D10517" s="49">
        <v>700000.0</v>
      </c>
    </row>
    <row r="10518" ht="15.0" hidden="1" customHeight="1">
      <c r="A10518" s="49" t="s">
        <v>405</v>
      </c>
      <c r="B10518" s="50">
        <v>45746.0</v>
      </c>
      <c r="C10518" s="49" t="s">
        <v>69</v>
      </c>
      <c r="D10518" s="49">
        <v>0.0</v>
      </c>
    </row>
    <row r="10519" ht="15.0" hidden="1" customHeight="1">
      <c r="A10519" s="49" t="s">
        <v>410</v>
      </c>
      <c r="B10519" s="50">
        <v>45746.0</v>
      </c>
      <c r="C10519" s="49" t="s">
        <v>69</v>
      </c>
      <c r="D10519" s="49">
        <v>0.0</v>
      </c>
    </row>
    <row r="10520" ht="15.0" hidden="1" customHeight="1">
      <c r="A10520" s="49" t="s">
        <v>415</v>
      </c>
      <c r="B10520" s="50">
        <v>45746.0</v>
      </c>
      <c r="C10520" s="49" t="s">
        <v>69</v>
      </c>
      <c r="D10520" s="49">
        <v>0.0</v>
      </c>
    </row>
    <row r="10521" ht="15.0" hidden="1" customHeight="1">
      <c r="A10521" s="49" t="s">
        <v>420</v>
      </c>
      <c r="B10521" s="50">
        <v>45746.0</v>
      </c>
      <c r="C10521" s="49" t="s">
        <v>69</v>
      </c>
      <c r="D10521" s="49">
        <v>0.0</v>
      </c>
    </row>
    <row r="10522" ht="15.0" hidden="1" customHeight="1">
      <c r="A10522" s="49" t="s">
        <v>425</v>
      </c>
      <c r="B10522" s="50">
        <v>45746.0</v>
      </c>
      <c r="C10522" s="49" t="s">
        <v>69</v>
      </c>
      <c r="D10522" s="49">
        <v>0.0</v>
      </c>
    </row>
    <row r="10523" ht="15.0" hidden="1" customHeight="1">
      <c r="A10523" s="49" t="s">
        <v>430</v>
      </c>
      <c r="B10523" s="50">
        <v>45746.0</v>
      </c>
      <c r="C10523" s="49" t="s">
        <v>69</v>
      </c>
      <c r="D10523" s="49">
        <v>575000.0</v>
      </c>
    </row>
    <row r="10524" ht="15.0" hidden="1" customHeight="1">
      <c r="A10524" s="49" t="s">
        <v>434</v>
      </c>
      <c r="B10524" s="50">
        <v>45746.0</v>
      </c>
      <c r="C10524" s="49" t="s">
        <v>69</v>
      </c>
      <c r="D10524" s="49">
        <v>0.0</v>
      </c>
    </row>
    <row r="10525" ht="15.0" hidden="1" customHeight="1">
      <c r="A10525" s="49" t="s">
        <v>439</v>
      </c>
      <c r="B10525" s="50">
        <v>45746.0</v>
      </c>
      <c r="C10525" s="49" t="s">
        <v>69</v>
      </c>
      <c r="D10525" s="49">
        <v>0.0</v>
      </c>
    </row>
    <row r="10526" ht="15.0" hidden="1" customHeight="1">
      <c r="A10526" s="49" t="s">
        <v>444</v>
      </c>
      <c r="B10526" s="50">
        <v>45746.0</v>
      </c>
      <c r="C10526" s="49" t="s">
        <v>69</v>
      </c>
      <c r="D10526" s="49">
        <v>0.0</v>
      </c>
    </row>
    <row r="10527" ht="15.0" hidden="1" customHeight="1">
      <c r="A10527" s="49" t="s">
        <v>449</v>
      </c>
      <c r="B10527" s="50">
        <v>45746.0</v>
      </c>
      <c r="C10527" s="49" t="s">
        <v>69</v>
      </c>
      <c r="D10527" s="49">
        <v>1000000.0</v>
      </c>
    </row>
    <row r="10528" ht="15.0" hidden="1" customHeight="1">
      <c r="A10528" s="49" t="s">
        <v>455</v>
      </c>
      <c r="B10528" s="50">
        <v>45746.0</v>
      </c>
      <c r="C10528" s="49" t="s">
        <v>69</v>
      </c>
      <c r="D10528" s="49">
        <v>649093.0</v>
      </c>
    </row>
    <row r="10529" ht="15.0" hidden="1" customHeight="1">
      <c r="A10529" s="49" t="s">
        <v>470</v>
      </c>
      <c r="B10529" s="50">
        <v>45746.0</v>
      </c>
      <c r="C10529" s="49" t="s">
        <v>69</v>
      </c>
      <c r="D10529" s="49">
        <v>0.0</v>
      </c>
    </row>
    <row r="10530" ht="15.0" hidden="1" customHeight="1">
      <c r="A10530" s="49" t="s">
        <v>476</v>
      </c>
      <c r="B10530" s="50">
        <v>45746.0</v>
      </c>
      <c r="C10530" s="49" t="s">
        <v>69</v>
      </c>
      <c r="D10530" s="49">
        <v>0.0</v>
      </c>
    </row>
    <row r="10531" ht="15.0" hidden="1" customHeight="1">
      <c r="A10531" s="49" t="s">
        <v>481</v>
      </c>
      <c r="B10531" s="50">
        <v>45746.0</v>
      </c>
      <c r="C10531" s="49" t="s">
        <v>69</v>
      </c>
      <c r="D10531" s="49">
        <v>0.0</v>
      </c>
    </row>
    <row r="10532" ht="15.0" hidden="1" customHeight="1">
      <c r="A10532" s="49" t="s">
        <v>486</v>
      </c>
      <c r="B10532" s="50">
        <v>45746.0</v>
      </c>
      <c r="C10532" s="49" t="s">
        <v>69</v>
      </c>
      <c r="D10532" s="49">
        <v>0.0</v>
      </c>
    </row>
    <row r="10533" ht="15.0" hidden="1" customHeight="1">
      <c r="A10533" s="49" t="s">
        <v>491</v>
      </c>
      <c r="B10533" s="50">
        <v>45746.0</v>
      </c>
      <c r="C10533" s="49" t="s">
        <v>69</v>
      </c>
      <c r="D10533" s="49">
        <v>0.0</v>
      </c>
    </row>
    <row r="10534" ht="15.0" hidden="1" customHeight="1">
      <c r="A10534" s="49" t="s">
        <v>496</v>
      </c>
      <c r="B10534" s="50">
        <v>45746.0</v>
      </c>
      <c r="C10534" s="49" t="s">
        <v>69</v>
      </c>
      <c r="D10534" s="49">
        <v>0.0</v>
      </c>
    </row>
    <row r="10535" ht="15.0" hidden="1" customHeight="1">
      <c r="A10535" s="49" t="s">
        <v>501</v>
      </c>
      <c r="B10535" s="50">
        <v>45746.0</v>
      </c>
      <c r="C10535" s="49" t="s">
        <v>69</v>
      </c>
      <c r="D10535" s="49">
        <v>0.0</v>
      </c>
    </row>
    <row r="10536" ht="15.0" hidden="1" customHeight="1">
      <c r="A10536" s="49" t="s">
        <v>506</v>
      </c>
      <c r="B10536" s="50">
        <v>45746.0</v>
      </c>
      <c r="C10536" s="49" t="s">
        <v>69</v>
      </c>
      <c r="D10536" s="49">
        <v>0.0</v>
      </c>
    </row>
    <row r="10537" ht="15.0" hidden="1" customHeight="1">
      <c r="A10537" s="49" t="s">
        <v>512</v>
      </c>
      <c r="B10537" s="50">
        <v>45746.0</v>
      </c>
      <c r="C10537" s="49" t="s">
        <v>69</v>
      </c>
      <c r="D10537" s="49">
        <v>300073.28</v>
      </c>
    </row>
    <row r="10538" ht="15.0" hidden="1" customHeight="1">
      <c r="A10538" s="49" t="s">
        <v>517</v>
      </c>
      <c r="B10538" s="50">
        <v>45746.0</v>
      </c>
      <c r="C10538" s="49" t="s">
        <v>69</v>
      </c>
      <c r="D10538" s="49">
        <v>0.0</v>
      </c>
    </row>
    <row r="10539" ht="15.0" hidden="1" customHeight="1">
      <c r="A10539" s="49" t="s">
        <v>522</v>
      </c>
      <c r="B10539" s="50">
        <v>45746.0</v>
      </c>
      <c r="C10539" s="49" t="s">
        <v>69</v>
      </c>
      <c r="D10539" s="49">
        <v>100000.0</v>
      </c>
    </row>
    <row r="10540" ht="15.0" hidden="1" customHeight="1">
      <c r="A10540" s="49" t="s">
        <v>528</v>
      </c>
      <c r="B10540" s="50">
        <v>45746.0</v>
      </c>
      <c r="C10540" s="49" t="s">
        <v>69</v>
      </c>
      <c r="D10540" s="49">
        <v>0.0</v>
      </c>
    </row>
    <row r="10541" ht="15.0" hidden="1" customHeight="1">
      <c r="A10541" s="49" t="s">
        <v>533</v>
      </c>
      <c r="B10541" s="50">
        <v>45746.0</v>
      </c>
      <c r="C10541" s="49" t="s">
        <v>69</v>
      </c>
      <c r="D10541" s="49">
        <v>0.0</v>
      </c>
    </row>
    <row r="10542" ht="15.0" hidden="1" customHeight="1">
      <c r="A10542" s="49" t="s">
        <v>538</v>
      </c>
      <c r="B10542" s="50">
        <v>45746.0</v>
      </c>
      <c r="C10542" s="49" t="s">
        <v>69</v>
      </c>
      <c r="D10542" s="49">
        <v>0.0</v>
      </c>
    </row>
    <row r="10543" ht="15.0" hidden="1" customHeight="1">
      <c r="A10543" s="49" t="s">
        <v>546</v>
      </c>
      <c r="B10543" s="50">
        <v>45746.0</v>
      </c>
      <c r="C10543" s="49" t="s">
        <v>69</v>
      </c>
      <c r="D10543" s="49">
        <v>1025256.87</v>
      </c>
    </row>
    <row r="10544" ht="15.0" hidden="1" customHeight="1">
      <c r="A10544" s="49" t="s">
        <v>551</v>
      </c>
      <c r="B10544" s="50">
        <v>45746.0</v>
      </c>
      <c r="C10544" s="49" t="s">
        <v>69</v>
      </c>
      <c r="D10544" s="49">
        <v>0.0</v>
      </c>
    </row>
    <row r="10545" ht="15.0" hidden="1" customHeight="1">
      <c r="A10545" s="49" t="s">
        <v>556</v>
      </c>
      <c r="B10545" s="50">
        <v>45746.0</v>
      </c>
      <c r="C10545" s="49" t="s">
        <v>69</v>
      </c>
      <c r="D10545" s="49">
        <v>0.0</v>
      </c>
    </row>
    <row r="10546" ht="15.0" hidden="1" customHeight="1">
      <c r="A10546" s="49" t="s">
        <v>561</v>
      </c>
      <c r="B10546" s="50">
        <v>45746.0</v>
      </c>
      <c r="C10546" s="49" t="s">
        <v>69</v>
      </c>
      <c r="D10546" s="49">
        <v>100000.0</v>
      </c>
    </row>
    <row r="10547" ht="15.0" hidden="1" customHeight="1">
      <c r="A10547" s="49" t="s">
        <v>566</v>
      </c>
      <c r="B10547" s="50">
        <v>45746.0</v>
      </c>
      <c r="C10547" s="49" t="s">
        <v>69</v>
      </c>
      <c r="D10547" s="49">
        <v>0.0</v>
      </c>
    </row>
    <row r="10548" ht="15.0" hidden="1" customHeight="1">
      <c r="A10548" s="49" t="s">
        <v>571</v>
      </c>
      <c r="B10548" s="50">
        <v>45746.0</v>
      </c>
      <c r="C10548" s="49" t="s">
        <v>69</v>
      </c>
      <c r="D10548" s="49">
        <v>1000000.0</v>
      </c>
    </row>
    <row r="10549" ht="15.0" hidden="1" customHeight="1">
      <c r="A10549" s="49" t="s">
        <v>576</v>
      </c>
      <c r="B10549" s="50">
        <v>45746.0</v>
      </c>
      <c r="C10549" s="49" t="s">
        <v>69</v>
      </c>
      <c r="D10549" s="49">
        <v>180000.0</v>
      </c>
    </row>
    <row r="10550" ht="15.0" hidden="1" customHeight="1">
      <c r="A10550" s="49" t="s">
        <v>581</v>
      </c>
      <c r="B10550" s="50">
        <v>45746.0</v>
      </c>
      <c r="C10550" s="49" t="s">
        <v>69</v>
      </c>
      <c r="D10550" s="49">
        <v>0.0</v>
      </c>
    </row>
    <row r="10551" ht="15.0" hidden="1" customHeight="1">
      <c r="A10551" s="49" t="s">
        <v>586</v>
      </c>
      <c r="B10551" s="50">
        <v>45746.0</v>
      </c>
      <c r="C10551" s="49" t="s">
        <v>69</v>
      </c>
      <c r="D10551" s="49">
        <v>500000.0</v>
      </c>
    </row>
    <row r="10552" ht="15.0" hidden="1" customHeight="1">
      <c r="A10552" s="49" t="s">
        <v>754</v>
      </c>
      <c r="B10552" s="50">
        <v>45746.0</v>
      </c>
      <c r="C10552" s="49" t="s">
        <v>69</v>
      </c>
      <c r="D10552" s="49">
        <v>0.0</v>
      </c>
    </row>
    <row r="10553" ht="15.0" hidden="1" customHeight="1">
      <c r="A10553" s="49" t="s">
        <v>591</v>
      </c>
      <c r="B10553" s="50">
        <v>45746.0</v>
      </c>
      <c r="C10553" s="49" t="s">
        <v>69</v>
      </c>
      <c r="D10553" s="49">
        <v>0.0</v>
      </c>
    </row>
    <row r="10554" ht="15.0" hidden="1" customHeight="1">
      <c r="A10554" s="49" t="s">
        <v>759</v>
      </c>
      <c r="B10554" s="50">
        <v>45746.0</v>
      </c>
      <c r="C10554" s="49" t="s">
        <v>69</v>
      </c>
      <c r="D10554" s="49">
        <v>4749428.78</v>
      </c>
    </row>
    <row r="10555" ht="15.0" hidden="1" customHeight="1">
      <c r="A10555" s="49" t="s">
        <v>596</v>
      </c>
      <c r="B10555" s="50">
        <v>45746.0</v>
      </c>
      <c r="C10555" s="49" t="s">
        <v>69</v>
      </c>
      <c r="D10555" s="49">
        <v>0.0</v>
      </c>
    </row>
    <row r="10556" ht="15.0" hidden="1" customHeight="1">
      <c r="A10556" s="49" t="s">
        <v>602</v>
      </c>
      <c r="B10556" s="50">
        <v>45746.0</v>
      </c>
      <c r="C10556" s="49" t="s">
        <v>69</v>
      </c>
      <c r="D10556" s="49">
        <v>20000.0</v>
      </c>
    </row>
    <row r="10557" ht="15.0" hidden="1" customHeight="1">
      <c r="A10557" s="49" t="s">
        <v>607</v>
      </c>
      <c r="B10557" s="50">
        <v>45746.0</v>
      </c>
      <c r="C10557" s="49" t="s">
        <v>69</v>
      </c>
      <c r="D10557" s="49">
        <v>150000.0</v>
      </c>
    </row>
    <row r="10558" ht="15.0" hidden="1" customHeight="1">
      <c r="A10558" s="49" t="s">
        <v>612</v>
      </c>
      <c r="B10558" s="50">
        <v>45746.0</v>
      </c>
      <c r="C10558" s="49" t="s">
        <v>69</v>
      </c>
      <c r="D10558" s="49">
        <v>3800000.0</v>
      </c>
    </row>
    <row r="10559" ht="15.0" hidden="1" customHeight="1">
      <c r="A10559" s="49" t="s">
        <v>617</v>
      </c>
      <c r="B10559" s="50">
        <v>45746.0</v>
      </c>
      <c r="C10559" s="49" t="s">
        <v>69</v>
      </c>
      <c r="D10559" s="49">
        <v>162000.0</v>
      </c>
    </row>
    <row r="10560" ht="15.0" hidden="1" customHeight="1">
      <c r="A10560" s="49" t="s">
        <v>622</v>
      </c>
      <c r="B10560" s="50">
        <v>45746.0</v>
      </c>
      <c r="C10560" s="49" t="s">
        <v>69</v>
      </c>
      <c r="D10560" s="49">
        <v>175000.0</v>
      </c>
    </row>
    <row r="10561" ht="15.0" hidden="1" customHeight="1">
      <c r="A10561" s="49" t="s">
        <v>627</v>
      </c>
      <c r="B10561" s="50">
        <v>45746.0</v>
      </c>
      <c r="C10561" s="49" t="s">
        <v>69</v>
      </c>
      <c r="D10561" s="49">
        <v>156250.0</v>
      </c>
    </row>
    <row r="10562" ht="15.0" hidden="1" customHeight="1">
      <c r="A10562" s="49" t="s">
        <v>631</v>
      </c>
      <c r="B10562" s="50">
        <v>45746.0</v>
      </c>
      <c r="C10562" s="49" t="s">
        <v>69</v>
      </c>
      <c r="D10562" s="49">
        <v>0.0</v>
      </c>
    </row>
    <row r="10563" ht="15.0" hidden="1" customHeight="1">
      <c r="A10563" s="49" t="s">
        <v>636</v>
      </c>
      <c r="B10563" s="50">
        <v>45746.0</v>
      </c>
      <c r="C10563" s="49" t="s">
        <v>69</v>
      </c>
      <c r="D10563" s="49">
        <v>0.0</v>
      </c>
    </row>
    <row r="10564" ht="15.0" hidden="1" customHeight="1">
      <c r="A10564" s="49" t="s">
        <v>640</v>
      </c>
      <c r="B10564" s="50">
        <v>45746.0</v>
      </c>
      <c r="C10564" s="49" t="s">
        <v>69</v>
      </c>
      <c r="D10564" s="49">
        <v>0.0</v>
      </c>
    </row>
    <row r="10565" ht="15.0" hidden="1" customHeight="1">
      <c r="A10565" s="49" t="s">
        <v>644</v>
      </c>
      <c r="B10565" s="50">
        <v>45746.0</v>
      </c>
      <c r="C10565" s="49" t="s">
        <v>69</v>
      </c>
      <c r="D10565" s="49">
        <v>0.0</v>
      </c>
    </row>
    <row r="10566" ht="15.0" hidden="1" customHeight="1">
      <c r="A10566" s="49" t="s">
        <v>649</v>
      </c>
      <c r="B10566" s="50">
        <v>45746.0</v>
      </c>
      <c r="C10566" s="49" t="s">
        <v>69</v>
      </c>
      <c r="D10566" s="49">
        <v>0.0</v>
      </c>
    </row>
    <row r="10567" ht="15.0" hidden="1" customHeight="1">
      <c r="A10567" s="49" t="s">
        <v>654</v>
      </c>
      <c r="B10567" s="50">
        <v>45746.0</v>
      </c>
      <c r="C10567" s="49" t="s">
        <v>69</v>
      </c>
      <c r="D10567" s="49">
        <v>0.0</v>
      </c>
    </row>
    <row r="10568" ht="15.0" hidden="1" customHeight="1">
      <c r="A10568" s="49" t="s">
        <v>659</v>
      </c>
      <c r="B10568" s="50">
        <v>45746.0</v>
      </c>
      <c r="C10568" s="49" t="s">
        <v>69</v>
      </c>
      <c r="D10568" s="49">
        <v>0.0</v>
      </c>
    </row>
    <row r="10569" ht="15.0" hidden="1" customHeight="1">
      <c r="A10569" s="49" t="s">
        <v>664</v>
      </c>
      <c r="B10569" s="50">
        <v>45746.0</v>
      </c>
      <c r="C10569" s="49" t="s">
        <v>69</v>
      </c>
      <c r="D10569" s="49">
        <v>0.0</v>
      </c>
    </row>
    <row r="10570" ht="15.0" hidden="1" customHeight="1">
      <c r="A10570" s="49" t="s">
        <v>669</v>
      </c>
      <c r="B10570" s="50">
        <v>45746.0</v>
      </c>
      <c r="C10570" s="49" t="s">
        <v>69</v>
      </c>
      <c r="D10570" s="49">
        <v>0.0</v>
      </c>
    </row>
    <row r="10571" ht="15.0" hidden="1" customHeight="1">
      <c r="A10571" s="49" t="s">
        <v>674</v>
      </c>
      <c r="B10571" s="50">
        <v>45746.0</v>
      </c>
      <c r="C10571" s="49" t="s">
        <v>69</v>
      </c>
      <c r="D10571" s="49">
        <v>0.0</v>
      </c>
    </row>
    <row r="10572" ht="15.0" hidden="1" customHeight="1">
      <c r="A10572" s="49" t="s">
        <v>679</v>
      </c>
      <c r="B10572" s="50">
        <v>45746.0</v>
      </c>
      <c r="C10572" s="49" t="s">
        <v>69</v>
      </c>
      <c r="D10572" s="49">
        <v>0.0</v>
      </c>
    </row>
    <row r="10573" ht="15.0" hidden="1" customHeight="1">
      <c r="A10573" s="49" t="s">
        <v>684</v>
      </c>
      <c r="B10573" s="50">
        <v>45746.0</v>
      </c>
      <c r="C10573" s="49" t="s">
        <v>69</v>
      </c>
      <c r="D10573" s="49">
        <v>0.0</v>
      </c>
    </row>
    <row r="10574" ht="15.0" hidden="1" customHeight="1">
      <c r="A10574" s="49" t="s">
        <v>689</v>
      </c>
      <c r="B10574" s="50">
        <v>45746.0</v>
      </c>
      <c r="C10574" s="49" t="s">
        <v>69</v>
      </c>
      <c r="D10574" s="49">
        <v>0.0</v>
      </c>
    </row>
    <row r="10575" ht="15.0" hidden="1" customHeight="1">
      <c r="A10575" s="49" t="s">
        <v>694</v>
      </c>
      <c r="B10575" s="50">
        <v>45746.0</v>
      </c>
      <c r="C10575" s="49" t="s">
        <v>69</v>
      </c>
      <c r="D10575" s="49">
        <v>0.0</v>
      </c>
    </row>
    <row r="10576" ht="15.0" hidden="1" customHeight="1">
      <c r="A10576" s="49" t="s">
        <v>699</v>
      </c>
      <c r="B10576" s="50">
        <v>45746.0</v>
      </c>
      <c r="C10576" s="49" t="s">
        <v>69</v>
      </c>
      <c r="D10576" s="49">
        <v>0.0</v>
      </c>
    </row>
    <row r="10577" ht="15.0" hidden="1" customHeight="1">
      <c r="A10577" s="49" t="s">
        <v>705</v>
      </c>
      <c r="B10577" s="50">
        <v>45746.0</v>
      </c>
      <c r="C10577" s="49" t="s">
        <v>69</v>
      </c>
      <c r="D10577" s="49">
        <v>0.0</v>
      </c>
    </row>
    <row r="10578" ht="15.0" hidden="1" customHeight="1">
      <c r="A10578" s="49" t="s">
        <v>710</v>
      </c>
      <c r="B10578" s="50">
        <v>45746.0</v>
      </c>
      <c r="C10578" s="49" t="s">
        <v>69</v>
      </c>
      <c r="D10578" s="49">
        <v>0.0</v>
      </c>
    </row>
    <row r="10579" ht="15.0" hidden="1" customHeight="1">
      <c r="A10579" s="49" t="s">
        <v>715</v>
      </c>
      <c r="B10579" s="50">
        <v>45746.0</v>
      </c>
      <c r="C10579" s="49" t="s">
        <v>69</v>
      </c>
      <c r="D10579" s="49">
        <v>0.0</v>
      </c>
    </row>
    <row r="10580" ht="15.0" hidden="1" customHeight="1">
      <c r="A10580" s="49" t="s">
        <v>765</v>
      </c>
      <c r="B10580" s="50">
        <v>45746.0</v>
      </c>
      <c r="C10580" s="49" t="s">
        <v>69</v>
      </c>
      <c r="D10580" s="49">
        <v>0.0</v>
      </c>
    </row>
    <row r="10581" ht="15.0" hidden="1" customHeight="1">
      <c r="A10581" s="49" t="s">
        <v>720</v>
      </c>
      <c r="B10581" s="50">
        <v>45746.0</v>
      </c>
      <c r="C10581" s="49" t="s">
        <v>69</v>
      </c>
      <c r="D10581" s="49">
        <v>0.0</v>
      </c>
    </row>
    <row r="10582" ht="15.0" hidden="1" customHeight="1">
      <c r="A10582" s="49" t="s">
        <v>725</v>
      </c>
      <c r="B10582" s="50">
        <v>45746.0</v>
      </c>
      <c r="C10582" s="49" t="s">
        <v>69</v>
      </c>
      <c r="D10582" s="49">
        <v>0.0</v>
      </c>
    </row>
    <row r="10583" ht="15.0" hidden="1" customHeight="1">
      <c r="A10583" s="49" t="s">
        <v>730</v>
      </c>
      <c r="B10583" s="50">
        <v>45746.0</v>
      </c>
      <c r="C10583" s="49" t="s">
        <v>69</v>
      </c>
      <c r="D10583" s="49">
        <v>0.0</v>
      </c>
    </row>
    <row r="10584" ht="15.0" hidden="1" customHeight="1">
      <c r="A10584" s="49" t="s">
        <v>734</v>
      </c>
      <c r="B10584" s="50">
        <v>45746.0</v>
      </c>
      <c r="C10584" s="49" t="s">
        <v>69</v>
      </c>
      <c r="D10584" s="49">
        <v>0.0</v>
      </c>
    </row>
    <row r="10585" ht="15.0" hidden="1" customHeight="1">
      <c r="A10585" s="49" t="s">
        <v>739</v>
      </c>
      <c r="B10585" s="50">
        <v>45746.0</v>
      </c>
      <c r="C10585" s="49" t="s">
        <v>69</v>
      </c>
      <c r="D10585" s="49">
        <v>0.0</v>
      </c>
    </row>
    <row r="10586" ht="15.0" hidden="1" customHeight="1">
      <c r="A10586" s="49" t="s">
        <v>744</v>
      </c>
      <c r="B10586" s="50">
        <v>45746.0</v>
      </c>
      <c r="C10586" s="49" t="s">
        <v>69</v>
      </c>
      <c r="D10586" s="49">
        <v>0.0</v>
      </c>
    </row>
    <row r="10587" ht="15.0" hidden="1" customHeight="1">
      <c r="A10587" s="49" t="s">
        <v>749</v>
      </c>
      <c r="B10587" s="50">
        <v>45746.0</v>
      </c>
      <c r="C10587" s="49" t="s">
        <v>69</v>
      </c>
      <c r="D10587" s="49">
        <v>0.0</v>
      </c>
    </row>
    <row r="10588" ht="15.0" customHeight="1">
      <c r="A10588" s="49" t="s">
        <v>776</v>
      </c>
      <c r="B10588" s="50">
        <v>45746.0</v>
      </c>
      <c r="C10588" s="49" t="s">
        <v>780</v>
      </c>
      <c r="D10588" s="49">
        <v>0.0</v>
      </c>
    </row>
    <row r="10589" ht="15.0" hidden="1" customHeight="1">
      <c r="A10589" s="49" t="s">
        <v>778</v>
      </c>
      <c r="B10589" s="50">
        <v>45746.0</v>
      </c>
      <c r="C10589" s="49" t="s">
        <v>780</v>
      </c>
      <c r="D10589" s="49">
        <v>0.0</v>
      </c>
    </row>
    <row r="10590" ht="15.0" hidden="1" customHeight="1">
      <c r="A10590" s="49" t="s">
        <v>92</v>
      </c>
      <c r="B10590" s="50">
        <v>45746.0</v>
      </c>
      <c r="C10590" s="49" t="s">
        <v>780</v>
      </c>
      <c r="D10590" s="49">
        <v>0.0</v>
      </c>
    </row>
    <row r="10591" ht="15.0" hidden="1" customHeight="1">
      <c r="A10591" s="49" t="s">
        <v>97</v>
      </c>
      <c r="B10591" s="50">
        <v>45746.0</v>
      </c>
      <c r="C10591" s="49" t="s">
        <v>780</v>
      </c>
      <c r="D10591" s="49">
        <v>0.0</v>
      </c>
    </row>
    <row r="10592" ht="15.0" hidden="1" customHeight="1">
      <c r="A10592" s="49" t="s">
        <v>102</v>
      </c>
      <c r="B10592" s="50">
        <v>45746.0</v>
      </c>
      <c r="C10592" s="49" t="s">
        <v>780</v>
      </c>
      <c r="D10592" s="49">
        <v>0.0</v>
      </c>
    </row>
    <row r="10593" ht="15.0" hidden="1" customHeight="1">
      <c r="A10593" s="49" t="s">
        <v>106</v>
      </c>
      <c r="B10593" s="50">
        <v>45746.0</v>
      </c>
      <c r="C10593" s="49" t="s">
        <v>780</v>
      </c>
      <c r="D10593" s="49">
        <v>0.0</v>
      </c>
    </row>
    <row r="10594" ht="15.0" hidden="1" customHeight="1">
      <c r="A10594" s="49" t="s">
        <v>111</v>
      </c>
      <c r="B10594" s="50">
        <v>45746.0</v>
      </c>
      <c r="C10594" s="49" t="s">
        <v>780</v>
      </c>
      <c r="D10594" s="49">
        <v>0.0</v>
      </c>
    </row>
    <row r="10595" ht="15.0" hidden="1" customHeight="1">
      <c r="A10595" s="49" t="s">
        <v>116</v>
      </c>
      <c r="B10595" s="50">
        <v>45746.0</v>
      </c>
      <c r="C10595" s="49" t="s">
        <v>780</v>
      </c>
      <c r="D10595" s="49">
        <v>0.0</v>
      </c>
    </row>
    <row r="10596" ht="15.0" hidden="1" customHeight="1">
      <c r="A10596" s="49" t="s">
        <v>120</v>
      </c>
      <c r="B10596" s="50">
        <v>45746.0</v>
      </c>
      <c r="C10596" s="49" t="s">
        <v>780</v>
      </c>
      <c r="D10596" s="49">
        <v>0.0</v>
      </c>
    </row>
    <row r="10597" ht="15.0" hidden="1" customHeight="1">
      <c r="A10597" s="49" t="s">
        <v>125</v>
      </c>
      <c r="B10597" s="50">
        <v>45746.0</v>
      </c>
      <c r="C10597" s="49" t="s">
        <v>780</v>
      </c>
      <c r="D10597" s="49">
        <v>0.0</v>
      </c>
    </row>
    <row r="10598" ht="15.0" hidden="1" customHeight="1">
      <c r="A10598" s="49" t="s">
        <v>130</v>
      </c>
      <c r="B10598" s="50">
        <v>45746.0</v>
      </c>
      <c r="C10598" s="49" t="s">
        <v>780</v>
      </c>
      <c r="D10598" s="49">
        <v>0.0</v>
      </c>
    </row>
    <row r="10599" ht="15.0" hidden="1" customHeight="1">
      <c r="A10599" s="49" t="s">
        <v>137</v>
      </c>
      <c r="B10599" s="50">
        <v>45746.0</v>
      </c>
      <c r="C10599" s="49" t="s">
        <v>780</v>
      </c>
      <c r="D10599" s="49">
        <v>0.0</v>
      </c>
    </row>
    <row r="10600" ht="15.0" hidden="1" customHeight="1">
      <c r="A10600" s="49" t="s">
        <v>142</v>
      </c>
      <c r="B10600" s="50">
        <v>45746.0</v>
      </c>
      <c r="C10600" s="49" t="s">
        <v>780</v>
      </c>
      <c r="D10600" s="49">
        <v>0.0</v>
      </c>
    </row>
    <row r="10601" ht="15.0" hidden="1" customHeight="1">
      <c r="A10601" s="49" t="s">
        <v>147</v>
      </c>
      <c r="B10601" s="50">
        <v>45746.0</v>
      </c>
      <c r="C10601" s="49" t="s">
        <v>780</v>
      </c>
      <c r="D10601" s="49">
        <v>0.0</v>
      </c>
    </row>
    <row r="10602" ht="15.0" hidden="1" customHeight="1">
      <c r="A10602" s="49" t="s">
        <v>152</v>
      </c>
      <c r="B10602" s="50">
        <v>45746.0</v>
      </c>
      <c r="C10602" s="49" t="s">
        <v>780</v>
      </c>
      <c r="D10602" s="49">
        <v>0.0</v>
      </c>
    </row>
    <row r="10603" ht="15.0" hidden="1" customHeight="1">
      <c r="A10603" s="49" t="s">
        <v>157</v>
      </c>
      <c r="B10603" s="50">
        <v>45746.0</v>
      </c>
      <c r="C10603" s="49" t="s">
        <v>780</v>
      </c>
      <c r="D10603" s="49">
        <v>0.0</v>
      </c>
    </row>
    <row r="10604" ht="15.0" hidden="1" customHeight="1">
      <c r="A10604" s="49" t="s">
        <v>162</v>
      </c>
      <c r="B10604" s="50">
        <v>45746.0</v>
      </c>
      <c r="C10604" s="49" t="s">
        <v>780</v>
      </c>
      <c r="D10604" s="49">
        <v>0.0</v>
      </c>
    </row>
    <row r="10605" ht="15.0" hidden="1" customHeight="1">
      <c r="A10605" s="49" t="s">
        <v>167</v>
      </c>
      <c r="B10605" s="50">
        <v>45746.0</v>
      </c>
      <c r="C10605" s="49" t="s">
        <v>780</v>
      </c>
      <c r="D10605" s="49">
        <v>0.0</v>
      </c>
    </row>
    <row r="10606" ht="15.0" hidden="1" customHeight="1">
      <c r="A10606" s="49" t="s">
        <v>172</v>
      </c>
      <c r="B10606" s="50">
        <v>45746.0</v>
      </c>
      <c r="C10606" s="49" t="s">
        <v>780</v>
      </c>
      <c r="D10606" s="49">
        <v>0.0</v>
      </c>
    </row>
    <row r="10607" ht="15.0" hidden="1" customHeight="1">
      <c r="A10607" s="49" t="s">
        <v>177</v>
      </c>
      <c r="B10607" s="50">
        <v>45746.0</v>
      </c>
      <c r="C10607" s="49" t="s">
        <v>780</v>
      </c>
      <c r="D10607" s="49">
        <v>0.0</v>
      </c>
    </row>
    <row r="10608" ht="15.0" hidden="1" customHeight="1">
      <c r="A10608" s="49" t="s">
        <v>182</v>
      </c>
      <c r="B10608" s="50">
        <v>45746.0</v>
      </c>
      <c r="C10608" s="49" t="s">
        <v>780</v>
      </c>
      <c r="D10608" s="49">
        <v>0.0</v>
      </c>
    </row>
    <row r="10609" ht="15.0" hidden="1" customHeight="1">
      <c r="A10609" s="49" t="s">
        <v>187</v>
      </c>
      <c r="B10609" s="50">
        <v>45746.0</v>
      </c>
      <c r="C10609" s="49" t="s">
        <v>780</v>
      </c>
      <c r="D10609" s="49">
        <v>0.0</v>
      </c>
    </row>
    <row r="10610" ht="15.0" hidden="1" customHeight="1">
      <c r="A10610" s="49" t="s">
        <v>192</v>
      </c>
      <c r="B10610" s="50">
        <v>45746.0</v>
      </c>
      <c r="C10610" s="49" t="s">
        <v>780</v>
      </c>
      <c r="D10610" s="49">
        <v>0.0</v>
      </c>
    </row>
    <row r="10611" ht="15.0" hidden="1" customHeight="1">
      <c r="A10611" s="49" t="s">
        <v>197</v>
      </c>
      <c r="B10611" s="50">
        <v>45746.0</v>
      </c>
      <c r="C10611" s="49" t="s">
        <v>780</v>
      </c>
      <c r="D10611" s="49">
        <v>0.0</v>
      </c>
    </row>
    <row r="10612" ht="15.0" hidden="1" customHeight="1">
      <c r="A10612" s="49" t="s">
        <v>202</v>
      </c>
      <c r="B10612" s="50">
        <v>45746.0</v>
      </c>
      <c r="C10612" s="49" t="s">
        <v>780</v>
      </c>
      <c r="D10612" s="49">
        <v>0.0</v>
      </c>
    </row>
    <row r="10613" ht="15.0" hidden="1" customHeight="1">
      <c r="A10613" s="49" t="s">
        <v>206</v>
      </c>
      <c r="B10613" s="50">
        <v>45746.0</v>
      </c>
      <c r="C10613" s="49" t="s">
        <v>780</v>
      </c>
      <c r="D10613" s="49">
        <v>0.0</v>
      </c>
    </row>
    <row r="10614" ht="15.0" hidden="1" customHeight="1">
      <c r="A10614" s="49" t="s">
        <v>211</v>
      </c>
      <c r="B10614" s="50">
        <v>45746.0</v>
      </c>
      <c r="C10614" s="49" t="s">
        <v>780</v>
      </c>
      <c r="D10614" s="49">
        <v>0.0</v>
      </c>
    </row>
    <row r="10615" ht="15.0" hidden="1" customHeight="1">
      <c r="A10615" s="49" t="s">
        <v>779</v>
      </c>
      <c r="B10615" s="50">
        <v>45746.0</v>
      </c>
      <c r="C10615" s="49" t="s">
        <v>780</v>
      </c>
      <c r="D10615" s="49">
        <v>0.0</v>
      </c>
    </row>
    <row r="10616" ht="15.0" hidden="1" customHeight="1">
      <c r="A10616" s="49" t="s">
        <v>221</v>
      </c>
      <c r="B10616" s="50">
        <v>45746.0</v>
      </c>
      <c r="C10616" s="49" t="s">
        <v>780</v>
      </c>
      <c r="D10616" s="49">
        <v>0.0</v>
      </c>
    </row>
    <row r="10617" ht="15.0" hidden="1" customHeight="1">
      <c r="A10617" s="49" t="s">
        <v>226</v>
      </c>
      <c r="B10617" s="50">
        <v>45746.0</v>
      </c>
      <c r="C10617" s="49" t="s">
        <v>780</v>
      </c>
      <c r="D10617" s="49">
        <v>0.0</v>
      </c>
    </row>
    <row r="10618" ht="15.0" hidden="1" customHeight="1">
      <c r="A10618" s="49" t="s">
        <v>231</v>
      </c>
      <c r="B10618" s="50">
        <v>45746.0</v>
      </c>
      <c r="C10618" s="49" t="s">
        <v>780</v>
      </c>
      <c r="D10618" s="49">
        <v>0.0</v>
      </c>
    </row>
    <row r="10619" ht="15.0" hidden="1" customHeight="1">
      <c r="A10619" s="49" t="s">
        <v>236</v>
      </c>
      <c r="B10619" s="50">
        <v>45746.0</v>
      </c>
      <c r="C10619" s="49" t="s">
        <v>780</v>
      </c>
      <c r="D10619" s="49">
        <v>0.0</v>
      </c>
    </row>
    <row r="10620" ht="15.0" hidden="1" customHeight="1">
      <c r="A10620" s="49" t="s">
        <v>242</v>
      </c>
      <c r="B10620" s="50">
        <v>45746.0</v>
      </c>
      <c r="C10620" s="49" t="s">
        <v>780</v>
      </c>
      <c r="D10620" s="49">
        <v>0.0</v>
      </c>
    </row>
    <row r="10621" ht="15.0" hidden="1" customHeight="1">
      <c r="A10621" s="49" t="s">
        <v>248</v>
      </c>
      <c r="B10621" s="50">
        <v>45746.0</v>
      </c>
      <c r="C10621" s="49" t="s">
        <v>780</v>
      </c>
      <c r="D10621" s="49">
        <v>0.0</v>
      </c>
    </row>
    <row r="10622" ht="15.0" hidden="1" customHeight="1">
      <c r="A10622" s="49" t="s">
        <v>253</v>
      </c>
      <c r="B10622" s="50">
        <v>45746.0</v>
      </c>
      <c r="C10622" s="49" t="s">
        <v>780</v>
      </c>
      <c r="D10622" s="49">
        <v>0.0</v>
      </c>
    </row>
    <row r="10623" ht="15.0" hidden="1" customHeight="1">
      <c r="A10623" s="49" t="s">
        <v>258</v>
      </c>
      <c r="B10623" s="50">
        <v>45746.0</v>
      </c>
      <c r="C10623" s="49" t="s">
        <v>780</v>
      </c>
      <c r="D10623" s="49">
        <v>0.0</v>
      </c>
    </row>
    <row r="10624" ht="15.0" hidden="1" customHeight="1">
      <c r="A10624" s="49" t="s">
        <v>263</v>
      </c>
      <c r="B10624" s="50">
        <v>45746.0</v>
      </c>
      <c r="C10624" s="49" t="s">
        <v>780</v>
      </c>
      <c r="D10624" s="49">
        <v>0.0</v>
      </c>
    </row>
    <row r="10625" ht="15.0" hidden="1" customHeight="1">
      <c r="A10625" s="49" t="s">
        <v>268</v>
      </c>
      <c r="B10625" s="50">
        <v>45746.0</v>
      </c>
      <c r="C10625" s="49" t="s">
        <v>780</v>
      </c>
      <c r="D10625" s="49">
        <v>0.0</v>
      </c>
    </row>
    <row r="10626" ht="15.0" hidden="1" customHeight="1">
      <c r="A10626" s="49" t="s">
        <v>273</v>
      </c>
      <c r="B10626" s="50">
        <v>45746.0</v>
      </c>
      <c r="C10626" s="49" t="s">
        <v>780</v>
      </c>
      <c r="D10626" s="49">
        <v>0.0</v>
      </c>
    </row>
    <row r="10627" ht="15.0" hidden="1" customHeight="1">
      <c r="A10627" s="49" t="s">
        <v>278</v>
      </c>
      <c r="B10627" s="50">
        <v>45746.0</v>
      </c>
      <c r="C10627" s="49" t="s">
        <v>780</v>
      </c>
      <c r="D10627" s="49">
        <v>0.0</v>
      </c>
    </row>
    <row r="10628" ht="15.0" hidden="1" customHeight="1">
      <c r="A10628" s="49" t="s">
        <v>283</v>
      </c>
      <c r="B10628" s="50">
        <v>45746.0</v>
      </c>
      <c r="C10628" s="49" t="s">
        <v>780</v>
      </c>
      <c r="D10628" s="49">
        <v>0.0</v>
      </c>
    </row>
    <row r="10629" ht="15.0" hidden="1" customHeight="1">
      <c r="A10629" s="49" t="s">
        <v>288</v>
      </c>
      <c r="B10629" s="50">
        <v>45746.0</v>
      </c>
      <c r="C10629" s="49" t="s">
        <v>780</v>
      </c>
      <c r="D10629" s="49">
        <v>0.0</v>
      </c>
    </row>
    <row r="10630" ht="15.0" hidden="1" customHeight="1">
      <c r="A10630" s="49" t="s">
        <v>293</v>
      </c>
      <c r="B10630" s="50">
        <v>45746.0</v>
      </c>
      <c r="C10630" s="49" t="s">
        <v>780</v>
      </c>
      <c r="D10630" s="49">
        <v>0.0</v>
      </c>
    </row>
    <row r="10631" ht="15.0" hidden="1" customHeight="1">
      <c r="A10631" s="49" t="s">
        <v>298</v>
      </c>
      <c r="B10631" s="50">
        <v>45746.0</v>
      </c>
      <c r="C10631" s="49" t="s">
        <v>780</v>
      </c>
      <c r="D10631" s="49">
        <v>0.0</v>
      </c>
    </row>
    <row r="10632" ht="15.0" hidden="1" customHeight="1">
      <c r="A10632" s="49" t="s">
        <v>303</v>
      </c>
      <c r="B10632" s="50">
        <v>45746.0</v>
      </c>
      <c r="C10632" s="49" t="s">
        <v>780</v>
      </c>
      <c r="D10632" s="49">
        <v>0.0</v>
      </c>
    </row>
    <row r="10633" ht="15.0" hidden="1" customHeight="1">
      <c r="A10633" s="49" t="s">
        <v>307</v>
      </c>
      <c r="B10633" s="50">
        <v>45746.0</v>
      </c>
      <c r="C10633" s="49" t="s">
        <v>780</v>
      </c>
      <c r="D10633" s="49">
        <v>0.0</v>
      </c>
    </row>
    <row r="10634" ht="15.0" hidden="1" customHeight="1">
      <c r="A10634" s="49" t="s">
        <v>313</v>
      </c>
      <c r="B10634" s="50">
        <v>45746.0</v>
      </c>
      <c r="C10634" s="49" t="s">
        <v>780</v>
      </c>
      <c r="D10634" s="49">
        <v>0.0</v>
      </c>
    </row>
    <row r="10635" ht="15.0" hidden="1" customHeight="1">
      <c r="A10635" s="49" t="s">
        <v>318</v>
      </c>
      <c r="B10635" s="50">
        <v>45746.0</v>
      </c>
      <c r="C10635" s="49" t="s">
        <v>780</v>
      </c>
      <c r="D10635" s="49">
        <v>0.0</v>
      </c>
    </row>
    <row r="10636" ht="15.0" hidden="1" customHeight="1">
      <c r="A10636" s="49" t="s">
        <v>323</v>
      </c>
      <c r="B10636" s="50">
        <v>45746.0</v>
      </c>
      <c r="C10636" s="49" t="s">
        <v>780</v>
      </c>
      <c r="D10636" s="49">
        <v>0.0</v>
      </c>
    </row>
    <row r="10637" ht="15.0" hidden="1" customHeight="1">
      <c r="A10637" s="49" t="s">
        <v>328</v>
      </c>
      <c r="B10637" s="50">
        <v>45746.0</v>
      </c>
      <c r="C10637" s="49" t="s">
        <v>780</v>
      </c>
      <c r="D10637" s="49">
        <v>0.0</v>
      </c>
    </row>
    <row r="10638" ht="15.0" hidden="1" customHeight="1">
      <c r="A10638" s="49" t="s">
        <v>335</v>
      </c>
      <c r="B10638" s="50">
        <v>45746.0</v>
      </c>
      <c r="C10638" s="49" t="s">
        <v>780</v>
      </c>
      <c r="D10638" s="49">
        <v>0.0</v>
      </c>
    </row>
    <row r="10639" ht="15.0" hidden="1" customHeight="1">
      <c r="A10639" s="49" t="s">
        <v>340</v>
      </c>
      <c r="B10639" s="50">
        <v>45746.0</v>
      </c>
      <c r="C10639" s="49" t="s">
        <v>780</v>
      </c>
      <c r="D10639" s="49">
        <v>0.0</v>
      </c>
    </row>
    <row r="10640" ht="15.0" hidden="1" customHeight="1">
      <c r="A10640" s="49" t="s">
        <v>345</v>
      </c>
      <c r="B10640" s="50">
        <v>45746.0</v>
      </c>
      <c r="C10640" s="49" t="s">
        <v>780</v>
      </c>
      <c r="D10640" s="49">
        <v>0.0</v>
      </c>
    </row>
    <row r="10641" ht="15.0" hidden="1" customHeight="1">
      <c r="A10641" s="49" t="s">
        <v>350</v>
      </c>
      <c r="B10641" s="50">
        <v>45746.0</v>
      </c>
      <c r="C10641" s="49" t="s">
        <v>780</v>
      </c>
      <c r="D10641" s="49">
        <v>0.0</v>
      </c>
    </row>
    <row r="10642" ht="15.0" hidden="1" customHeight="1">
      <c r="A10642" s="49" t="s">
        <v>355</v>
      </c>
      <c r="B10642" s="50">
        <v>45746.0</v>
      </c>
      <c r="C10642" s="49" t="s">
        <v>780</v>
      </c>
      <c r="D10642" s="49">
        <v>0.0</v>
      </c>
    </row>
    <row r="10643" ht="15.0" hidden="1" customHeight="1">
      <c r="A10643" s="49" t="s">
        <v>360</v>
      </c>
      <c r="B10643" s="50">
        <v>45746.0</v>
      </c>
      <c r="C10643" s="49" t="s">
        <v>780</v>
      </c>
      <c r="D10643" s="49">
        <v>0.0</v>
      </c>
    </row>
    <row r="10644" ht="15.0" hidden="1" customHeight="1">
      <c r="A10644" s="49" t="s">
        <v>365</v>
      </c>
      <c r="B10644" s="50">
        <v>45746.0</v>
      </c>
      <c r="C10644" s="49" t="s">
        <v>780</v>
      </c>
      <c r="D10644" s="49">
        <v>0.0</v>
      </c>
    </row>
    <row r="10645" ht="15.0" hidden="1" customHeight="1">
      <c r="A10645" s="49" t="s">
        <v>370</v>
      </c>
      <c r="B10645" s="50">
        <v>45746.0</v>
      </c>
      <c r="C10645" s="49" t="s">
        <v>780</v>
      </c>
      <c r="D10645" s="49">
        <v>0.0</v>
      </c>
    </row>
    <row r="10646" ht="15.0" hidden="1" customHeight="1">
      <c r="A10646" s="49" t="s">
        <v>375</v>
      </c>
      <c r="B10646" s="50">
        <v>45746.0</v>
      </c>
      <c r="C10646" s="49" t="s">
        <v>780</v>
      </c>
      <c r="D10646" s="49">
        <v>0.0</v>
      </c>
    </row>
    <row r="10647" ht="15.0" hidden="1" customHeight="1">
      <c r="A10647" s="49" t="s">
        <v>380</v>
      </c>
      <c r="B10647" s="50">
        <v>45746.0</v>
      </c>
      <c r="C10647" s="49" t="s">
        <v>780</v>
      </c>
      <c r="D10647" s="49">
        <v>0.0</v>
      </c>
    </row>
    <row r="10648" ht="15.0" hidden="1" customHeight="1">
      <c r="A10648" s="49" t="s">
        <v>385</v>
      </c>
      <c r="B10648" s="50">
        <v>45746.0</v>
      </c>
      <c r="C10648" s="49" t="s">
        <v>780</v>
      </c>
      <c r="D10648" s="49">
        <v>-750000.0</v>
      </c>
    </row>
    <row r="10649" ht="15.0" hidden="1" customHeight="1">
      <c r="A10649" s="49" t="s">
        <v>390</v>
      </c>
      <c r="B10649" s="50">
        <v>45746.0</v>
      </c>
      <c r="C10649" s="49" t="s">
        <v>780</v>
      </c>
      <c r="D10649" s="49">
        <v>0.0</v>
      </c>
    </row>
    <row r="10650" ht="15.0" hidden="1" customHeight="1">
      <c r="A10650" s="49" t="s">
        <v>395</v>
      </c>
      <c r="B10650" s="50">
        <v>45746.0</v>
      </c>
      <c r="C10650" s="49" t="s">
        <v>780</v>
      </c>
      <c r="D10650" s="49">
        <v>0.0</v>
      </c>
    </row>
    <row r="10651" ht="15.0" hidden="1" customHeight="1">
      <c r="A10651" s="49" t="s">
        <v>400</v>
      </c>
      <c r="B10651" s="50">
        <v>45746.0</v>
      </c>
      <c r="C10651" s="49" t="s">
        <v>780</v>
      </c>
      <c r="D10651" s="49">
        <v>-700000.0</v>
      </c>
    </row>
    <row r="10652" ht="15.0" hidden="1" customHeight="1">
      <c r="A10652" s="49" t="s">
        <v>405</v>
      </c>
      <c r="B10652" s="50">
        <v>45746.0</v>
      </c>
      <c r="C10652" s="49" t="s">
        <v>780</v>
      </c>
      <c r="D10652" s="49">
        <v>0.0</v>
      </c>
    </row>
    <row r="10653" ht="15.0" hidden="1" customHeight="1">
      <c r="A10653" s="49" t="s">
        <v>410</v>
      </c>
      <c r="B10653" s="50">
        <v>45746.0</v>
      </c>
      <c r="C10653" s="49" t="s">
        <v>780</v>
      </c>
      <c r="D10653" s="49">
        <v>0.0</v>
      </c>
    </row>
    <row r="10654" ht="15.0" hidden="1" customHeight="1">
      <c r="A10654" s="49" t="s">
        <v>415</v>
      </c>
      <c r="B10654" s="50">
        <v>45746.0</v>
      </c>
      <c r="C10654" s="49" t="s">
        <v>780</v>
      </c>
      <c r="D10654" s="49">
        <v>0.0</v>
      </c>
    </row>
    <row r="10655" ht="15.0" hidden="1" customHeight="1">
      <c r="A10655" s="49" t="s">
        <v>420</v>
      </c>
      <c r="B10655" s="50">
        <v>45746.0</v>
      </c>
      <c r="C10655" s="49" t="s">
        <v>780</v>
      </c>
      <c r="D10655" s="49">
        <v>0.0</v>
      </c>
    </row>
    <row r="10656" ht="15.0" hidden="1" customHeight="1">
      <c r="A10656" s="49" t="s">
        <v>425</v>
      </c>
      <c r="B10656" s="50">
        <v>45746.0</v>
      </c>
      <c r="C10656" s="49" t="s">
        <v>780</v>
      </c>
      <c r="D10656" s="49">
        <v>0.0</v>
      </c>
    </row>
    <row r="10657" ht="15.0" hidden="1" customHeight="1">
      <c r="A10657" s="49" t="s">
        <v>430</v>
      </c>
      <c r="B10657" s="50">
        <v>45746.0</v>
      </c>
      <c r="C10657" s="49" t="s">
        <v>780</v>
      </c>
      <c r="D10657" s="49">
        <v>-575000.0</v>
      </c>
    </row>
    <row r="10658" ht="15.0" hidden="1" customHeight="1">
      <c r="A10658" s="49" t="s">
        <v>434</v>
      </c>
      <c r="B10658" s="50">
        <v>45746.0</v>
      </c>
      <c r="C10658" s="49" t="s">
        <v>780</v>
      </c>
      <c r="D10658" s="49">
        <v>0.0</v>
      </c>
    </row>
    <row r="10659" ht="15.0" hidden="1" customHeight="1">
      <c r="A10659" s="49" t="s">
        <v>439</v>
      </c>
      <c r="B10659" s="50">
        <v>45746.0</v>
      </c>
      <c r="C10659" s="49" t="s">
        <v>780</v>
      </c>
      <c r="D10659" s="49">
        <v>0.0</v>
      </c>
    </row>
    <row r="10660" ht="15.0" hidden="1" customHeight="1">
      <c r="A10660" s="49" t="s">
        <v>444</v>
      </c>
      <c r="B10660" s="50">
        <v>45746.0</v>
      </c>
      <c r="C10660" s="49" t="s">
        <v>780</v>
      </c>
      <c r="D10660" s="49">
        <v>0.0</v>
      </c>
    </row>
    <row r="10661" ht="15.0" hidden="1" customHeight="1">
      <c r="A10661" s="49" t="s">
        <v>449</v>
      </c>
      <c r="B10661" s="50">
        <v>45746.0</v>
      </c>
      <c r="C10661" s="49" t="s">
        <v>780</v>
      </c>
      <c r="D10661" s="49">
        <v>-1000000.0</v>
      </c>
    </row>
    <row r="10662" ht="15.0" hidden="1" customHeight="1">
      <c r="A10662" s="49" t="s">
        <v>455</v>
      </c>
      <c r="B10662" s="50">
        <v>45746.0</v>
      </c>
      <c r="C10662" s="49" t="s">
        <v>780</v>
      </c>
      <c r="D10662" s="49">
        <v>-649093.0</v>
      </c>
    </row>
    <row r="10663" ht="15.0" hidden="1" customHeight="1">
      <c r="A10663" s="49" t="s">
        <v>470</v>
      </c>
      <c r="B10663" s="50">
        <v>45746.0</v>
      </c>
      <c r="C10663" s="49" t="s">
        <v>780</v>
      </c>
      <c r="D10663" s="49">
        <v>0.0</v>
      </c>
    </row>
    <row r="10664" ht="15.0" hidden="1" customHeight="1">
      <c r="A10664" s="49" t="s">
        <v>476</v>
      </c>
      <c r="B10664" s="50">
        <v>45746.0</v>
      </c>
      <c r="C10664" s="49" t="s">
        <v>780</v>
      </c>
      <c r="D10664" s="49">
        <v>0.0</v>
      </c>
    </row>
    <row r="10665" ht="15.0" hidden="1" customHeight="1">
      <c r="A10665" s="49" t="s">
        <v>481</v>
      </c>
      <c r="B10665" s="50">
        <v>45746.0</v>
      </c>
      <c r="C10665" s="49" t="s">
        <v>780</v>
      </c>
      <c r="D10665" s="49">
        <v>0.0</v>
      </c>
    </row>
    <row r="10666" ht="15.0" hidden="1" customHeight="1">
      <c r="A10666" s="49" t="s">
        <v>486</v>
      </c>
      <c r="B10666" s="50">
        <v>45746.0</v>
      </c>
      <c r="C10666" s="49" t="s">
        <v>780</v>
      </c>
      <c r="D10666" s="49">
        <v>0.0</v>
      </c>
    </row>
    <row r="10667" ht="15.0" hidden="1" customHeight="1">
      <c r="A10667" s="49" t="s">
        <v>491</v>
      </c>
      <c r="B10667" s="50">
        <v>45746.0</v>
      </c>
      <c r="C10667" s="49" t="s">
        <v>780</v>
      </c>
      <c r="D10667" s="49">
        <v>0.0</v>
      </c>
    </row>
    <row r="10668" ht="15.0" hidden="1" customHeight="1">
      <c r="A10668" s="49" t="s">
        <v>496</v>
      </c>
      <c r="B10668" s="50">
        <v>45746.0</v>
      </c>
      <c r="C10668" s="49" t="s">
        <v>780</v>
      </c>
      <c r="D10668" s="49">
        <v>0.0</v>
      </c>
    </row>
    <row r="10669" ht="15.0" hidden="1" customHeight="1">
      <c r="A10669" s="49" t="s">
        <v>501</v>
      </c>
      <c r="B10669" s="50">
        <v>45746.0</v>
      </c>
      <c r="C10669" s="49" t="s">
        <v>780</v>
      </c>
      <c r="D10669" s="49">
        <v>0.0</v>
      </c>
    </row>
    <row r="10670" ht="15.0" hidden="1" customHeight="1">
      <c r="A10670" s="49" t="s">
        <v>506</v>
      </c>
      <c r="B10670" s="50">
        <v>45746.0</v>
      </c>
      <c r="C10670" s="49" t="s">
        <v>780</v>
      </c>
      <c r="D10670" s="49">
        <v>0.0</v>
      </c>
    </row>
    <row r="10671" ht="15.0" hidden="1" customHeight="1">
      <c r="A10671" s="49" t="s">
        <v>512</v>
      </c>
      <c r="B10671" s="50">
        <v>45746.0</v>
      </c>
      <c r="C10671" s="49" t="s">
        <v>780</v>
      </c>
      <c r="D10671" s="49">
        <v>-300073.28</v>
      </c>
    </row>
    <row r="10672" ht="15.0" hidden="1" customHeight="1">
      <c r="A10672" s="49" t="s">
        <v>517</v>
      </c>
      <c r="B10672" s="50">
        <v>45746.0</v>
      </c>
      <c r="C10672" s="49" t="s">
        <v>780</v>
      </c>
      <c r="D10672" s="49">
        <v>0.0</v>
      </c>
    </row>
    <row r="10673" ht="15.0" hidden="1" customHeight="1">
      <c r="A10673" s="49" t="s">
        <v>522</v>
      </c>
      <c r="B10673" s="50">
        <v>45746.0</v>
      </c>
      <c r="C10673" s="49" t="s">
        <v>780</v>
      </c>
      <c r="D10673" s="49">
        <v>-100000.0</v>
      </c>
    </row>
    <row r="10674" ht="15.0" hidden="1" customHeight="1">
      <c r="A10674" s="49" t="s">
        <v>528</v>
      </c>
      <c r="B10674" s="50">
        <v>45746.0</v>
      </c>
      <c r="C10674" s="49" t="s">
        <v>780</v>
      </c>
      <c r="D10674" s="49">
        <v>0.0</v>
      </c>
    </row>
    <row r="10675" ht="15.0" hidden="1" customHeight="1">
      <c r="A10675" s="49" t="s">
        <v>533</v>
      </c>
      <c r="B10675" s="50">
        <v>45746.0</v>
      </c>
      <c r="C10675" s="49" t="s">
        <v>780</v>
      </c>
      <c r="D10675" s="49">
        <v>0.0</v>
      </c>
    </row>
    <row r="10676" ht="15.0" hidden="1" customHeight="1">
      <c r="A10676" s="49" t="s">
        <v>538</v>
      </c>
      <c r="B10676" s="50">
        <v>45746.0</v>
      </c>
      <c r="C10676" s="49" t="s">
        <v>780</v>
      </c>
      <c r="D10676" s="49">
        <v>0.0</v>
      </c>
    </row>
    <row r="10677" ht="15.0" hidden="1" customHeight="1">
      <c r="A10677" s="49" t="s">
        <v>546</v>
      </c>
      <c r="B10677" s="50">
        <v>45746.0</v>
      </c>
      <c r="C10677" s="49" t="s">
        <v>780</v>
      </c>
      <c r="D10677" s="49">
        <v>-1025256.87</v>
      </c>
    </row>
    <row r="10678" ht="15.0" hidden="1" customHeight="1">
      <c r="A10678" s="49" t="s">
        <v>551</v>
      </c>
      <c r="B10678" s="50">
        <v>45746.0</v>
      </c>
      <c r="C10678" s="49" t="s">
        <v>780</v>
      </c>
      <c r="D10678" s="49">
        <v>0.0</v>
      </c>
    </row>
    <row r="10679" ht="15.0" hidden="1" customHeight="1">
      <c r="A10679" s="49" t="s">
        <v>556</v>
      </c>
      <c r="B10679" s="50">
        <v>45746.0</v>
      </c>
      <c r="C10679" s="49" t="s">
        <v>780</v>
      </c>
      <c r="D10679" s="49">
        <v>0.0</v>
      </c>
    </row>
    <row r="10680" ht="15.0" hidden="1" customHeight="1">
      <c r="A10680" s="49" t="s">
        <v>561</v>
      </c>
      <c r="B10680" s="50">
        <v>45746.0</v>
      </c>
      <c r="C10680" s="49" t="s">
        <v>780</v>
      </c>
      <c r="D10680" s="49">
        <v>-100000.0</v>
      </c>
    </row>
    <row r="10681" ht="15.0" hidden="1" customHeight="1">
      <c r="A10681" s="49" t="s">
        <v>566</v>
      </c>
      <c r="B10681" s="50">
        <v>45746.0</v>
      </c>
      <c r="C10681" s="49" t="s">
        <v>780</v>
      </c>
      <c r="D10681" s="49">
        <v>0.0</v>
      </c>
    </row>
    <row r="10682" ht="15.0" hidden="1" customHeight="1">
      <c r="A10682" s="49" t="s">
        <v>571</v>
      </c>
      <c r="B10682" s="50">
        <v>45746.0</v>
      </c>
      <c r="C10682" s="49" t="s">
        <v>780</v>
      </c>
      <c r="D10682" s="49">
        <v>-1000000.0</v>
      </c>
    </row>
    <row r="10683" ht="15.0" hidden="1" customHeight="1">
      <c r="A10683" s="49" t="s">
        <v>576</v>
      </c>
      <c r="B10683" s="50">
        <v>45746.0</v>
      </c>
      <c r="C10683" s="49" t="s">
        <v>780</v>
      </c>
      <c r="D10683" s="49">
        <v>-180000.0</v>
      </c>
    </row>
    <row r="10684" ht="15.0" hidden="1" customHeight="1">
      <c r="A10684" s="49" t="s">
        <v>581</v>
      </c>
      <c r="B10684" s="50">
        <v>45746.0</v>
      </c>
      <c r="C10684" s="49" t="s">
        <v>780</v>
      </c>
      <c r="D10684" s="49">
        <v>0.0</v>
      </c>
    </row>
    <row r="10685" ht="15.0" hidden="1" customHeight="1">
      <c r="A10685" s="49" t="s">
        <v>586</v>
      </c>
      <c r="B10685" s="50">
        <v>45746.0</v>
      </c>
      <c r="C10685" s="49" t="s">
        <v>780</v>
      </c>
      <c r="D10685" s="49">
        <v>-500000.0</v>
      </c>
    </row>
    <row r="10686" ht="15.0" hidden="1" customHeight="1">
      <c r="A10686" s="49" t="s">
        <v>754</v>
      </c>
      <c r="B10686" s="50">
        <v>45746.0</v>
      </c>
      <c r="C10686" s="49" t="s">
        <v>780</v>
      </c>
      <c r="D10686" s="49">
        <v>0.0</v>
      </c>
    </row>
    <row r="10687" ht="15.0" hidden="1" customHeight="1">
      <c r="A10687" s="49" t="s">
        <v>591</v>
      </c>
      <c r="B10687" s="50">
        <v>45746.0</v>
      </c>
      <c r="C10687" s="49" t="s">
        <v>780</v>
      </c>
      <c r="D10687" s="49">
        <v>0.0</v>
      </c>
    </row>
    <row r="10688" ht="15.0" hidden="1" customHeight="1">
      <c r="A10688" s="49" t="s">
        <v>759</v>
      </c>
      <c r="B10688" s="50">
        <v>45746.0</v>
      </c>
      <c r="C10688" s="49" t="s">
        <v>780</v>
      </c>
      <c r="D10688" s="49">
        <v>-4749428.78</v>
      </c>
    </row>
    <row r="10689" ht="15.0" hidden="1" customHeight="1">
      <c r="A10689" s="49" t="s">
        <v>596</v>
      </c>
      <c r="B10689" s="50">
        <v>45746.0</v>
      </c>
      <c r="C10689" s="49" t="s">
        <v>780</v>
      </c>
      <c r="D10689" s="49">
        <v>2250000.0</v>
      </c>
    </row>
    <row r="10690" ht="15.0" hidden="1" customHeight="1">
      <c r="A10690" s="49" t="s">
        <v>602</v>
      </c>
      <c r="B10690" s="50">
        <v>45746.0</v>
      </c>
      <c r="C10690" s="49" t="s">
        <v>780</v>
      </c>
      <c r="D10690" s="49">
        <v>-20000.0</v>
      </c>
    </row>
    <row r="10691" ht="15.0" hidden="1" customHeight="1">
      <c r="A10691" s="49" t="s">
        <v>607</v>
      </c>
      <c r="B10691" s="50">
        <v>45746.0</v>
      </c>
      <c r="C10691" s="49" t="s">
        <v>780</v>
      </c>
      <c r="D10691" s="49">
        <v>0.0</v>
      </c>
    </row>
    <row r="10692" ht="15.0" hidden="1" customHeight="1">
      <c r="A10692" s="49" t="s">
        <v>612</v>
      </c>
      <c r="B10692" s="50">
        <v>45746.0</v>
      </c>
      <c r="C10692" s="49" t="s">
        <v>780</v>
      </c>
      <c r="D10692" s="49">
        <v>1000000.0</v>
      </c>
    </row>
    <row r="10693" ht="15.0" hidden="1" customHeight="1">
      <c r="A10693" s="49" t="s">
        <v>617</v>
      </c>
      <c r="B10693" s="50">
        <v>45746.0</v>
      </c>
      <c r="C10693" s="49" t="s">
        <v>780</v>
      </c>
      <c r="D10693" s="49">
        <v>0.0</v>
      </c>
    </row>
    <row r="10694" ht="15.0" hidden="1" customHeight="1">
      <c r="A10694" s="49" t="s">
        <v>622</v>
      </c>
      <c r="B10694" s="50">
        <v>45746.0</v>
      </c>
      <c r="C10694" s="49" t="s">
        <v>780</v>
      </c>
      <c r="D10694" s="49">
        <v>175000.0</v>
      </c>
    </row>
    <row r="10695" ht="15.0" hidden="1" customHeight="1">
      <c r="A10695" s="49" t="s">
        <v>627</v>
      </c>
      <c r="B10695" s="50">
        <v>45746.0</v>
      </c>
      <c r="C10695" s="49" t="s">
        <v>780</v>
      </c>
      <c r="D10695" s="49">
        <v>93750.0</v>
      </c>
    </row>
    <row r="10696" ht="15.0" hidden="1" customHeight="1">
      <c r="A10696" s="49" t="s">
        <v>631</v>
      </c>
      <c r="B10696" s="50">
        <v>45746.0</v>
      </c>
      <c r="C10696" s="49" t="s">
        <v>780</v>
      </c>
      <c r="D10696" s="49">
        <v>0.0</v>
      </c>
    </row>
    <row r="10697" ht="15.0" hidden="1" customHeight="1">
      <c r="A10697" s="49" t="s">
        <v>636</v>
      </c>
      <c r="B10697" s="50">
        <v>45746.0</v>
      </c>
      <c r="C10697" s="49" t="s">
        <v>780</v>
      </c>
      <c r="D10697" s="49">
        <v>0.0</v>
      </c>
    </row>
    <row r="10698" ht="15.0" hidden="1" customHeight="1">
      <c r="A10698" s="49" t="s">
        <v>640</v>
      </c>
      <c r="B10698" s="50">
        <v>45746.0</v>
      </c>
      <c r="C10698" s="49" t="s">
        <v>780</v>
      </c>
      <c r="D10698" s="49">
        <v>0.0</v>
      </c>
    </row>
    <row r="10699" ht="15.0" hidden="1" customHeight="1">
      <c r="A10699" s="49" t="s">
        <v>644</v>
      </c>
      <c r="B10699" s="50">
        <v>45746.0</v>
      </c>
      <c r="C10699" s="49" t="s">
        <v>780</v>
      </c>
      <c r="D10699" s="49">
        <v>175000.0</v>
      </c>
    </row>
    <row r="10700" ht="15.0" hidden="1" customHeight="1">
      <c r="A10700" s="49" t="s">
        <v>649</v>
      </c>
      <c r="B10700" s="50">
        <v>45746.0</v>
      </c>
      <c r="C10700" s="49" t="s">
        <v>780</v>
      </c>
      <c r="D10700" s="49">
        <v>0.0</v>
      </c>
    </row>
    <row r="10701" ht="15.0" hidden="1" customHeight="1">
      <c r="A10701" s="49" t="s">
        <v>654</v>
      </c>
      <c r="B10701" s="50">
        <v>45746.0</v>
      </c>
      <c r="C10701" s="49" t="s">
        <v>780</v>
      </c>
      <c r="D10701" s="49">
        <v>0.0</v>
      </c>
    </row>
    <row r="10702" ht="15.0" hidden="1" customHeight="1">
      <c r="A10702" s="49" t="s">
        <v>659</v>
      </c>
      <c r="B10702" s="50">
        <v>45746.0</v>
      </c>
      <c r="C10702" s="49" t="s">
        <v>780</v>
      </c>
      <c r="D10702" s="49">
        <v>0.0</v>
      </c>
    </row>
    <row r="10703" ht="15.0" hidden="1" customHeight="1">
      <c r="A10703" s="49" t="s">
        <v>664</v>
      </c>
      <c r="B10703" s="50">
        <v>45746.0</v>
      </c>
      <c r="C10703" s="49" t="s">
        <v>780</v>
      </c>
      <c r="D10703" s="49">
        <v>0.0</v>
      </c>
    </row>
    <row r="10704" ht="15.0" hidden="1" customHeight="1">
      <c r="A10704" s="49" t="s">
        <v>669</v>
      </c>
      <c r="B10704" s="50">
        <v>45746.0</v>
      </c>
      <c r="C10704" s="49" t="s">
        <v>780</v>
      </c>
      <c r="D10704" s="49">
        <v>0.0</v>
      </c>
    </row>
    <row r="10705" ht="15.0" hidden="1" customHeight="1">
      <c r="A10705" s="49" t="s">
        <v>674</v>
      </c>
      <c r="B10705" s="50">
        <v>45746.0</v>
      </c>
      <c r="C10705" s="49" t="s">
        <v>780</v>
      </c>
      <c r="D10705" s="49">
        <v>0.0</v>
      </c>
    </row>
    <row r="10706" ht="15.0" hidden="1" customHeight="1">
      <c r="A10706" s="49" t="s">
        <v>679</v>
      </c>
      <c r="B10706" s="50">
        <v>45746.0</v>
      </c>
      <c r="C10706" s="49" t="s">
        <v>780</v>
      </c>
      <c r="D10706" s="49">
        <v>0.0</v>
      </c>
    </row>
    <row r="10707" ht="15.0" hidden="1" customHeight="1">
      <c r="A10707" s="49" t="s">
        <v>684</v>
      </c>
      <c r="B10707" s="50">
        <v>45746.0</v>
      </c>
      <c r="C10707" s="49" t="s">
        <v>780</v>
      </c>
      <c r="D10707" s="49">
        <v>0.0</v>
      </c>
    </row>
    <row r="10708" ht="15.0" hidden="1" customHeight="1">
      <c r="A10708" s="49" t="s">
        <v>689</v>
      </c>
      <c r="B10708" s="50">
        <v>45746.0</v>
      </c>
      <c r="C10708" s="49" t="s">
        <v>780</v>
      </c>
      <c r="D10708" s="49">
        <v>0.0</v>
      </c>
    </row>
    <row r="10709" ht="15.0" hidden="1" customHeight="1">
      <c r="A10709" s="49" t="s">
        <v>694</v>
      </c>
      <c r="B10709" s="50">
        <v>45746.0</v>
      </c>
      <c r="C10709" s="49" t="s">
        <v>780</v>
      </c>
      <c r="D10709" s="49">
        <v>0.0</v>
      </c>
    </row>
    <row r="10710" ht="15.0" hidden="1" customHeight="1">
      <c r="A10710" s="49" t="s">
        <v>699</v>
      </c>
      <c r="B10710" s="50">
        <v>45746.0</v>
      </c>
      <c r="C10710" s="49" t="s">
        <v>780</v>
      </c>
      <c r="D10710" s="49">
        <v>0.0</v>
      </c>
    </row>
    <row r="10711" ht="15.0" hidden="1" customHeight="1">
      <c r="A10711" s="49" t="s">
        <v>705</v>
      </c>
      <c r="B10711" s="50">
        <v>45746.0</v>
      </c>
      <c r="C10711" s="49" t="s">
        <v>780</v>
      </c>
      <c r="D10711" s="49">
        <v>0.0</v>
      </c>
    </row>
    <row r="10712" ht="15.0" hidden="1" customHeight="1">
      <c r="A10712" s="49" t="s">
        <v>710</v>
      </c>
      <c r="B10712" s="50">
        <v>45746.0</v>
      </c>
      <c r="C10712" s="49" t="s">
        <v>780</v>
      </c>
      <c r="D10712" s="49">
        <v>0.0</v>
      </c>
    </row>
    <row r="10713" ht="15.0" hidden="1" customHeight="1">
      <c r="A10713" s="49" t="s">
        <v>715</v>
      </c>
      <c r="B10713" s="50">
        <v>45746.0</v>
      </c>
      <c r="C10713" s="49" t="s">
        <v>780</v>
      </c>
      <c r="D10713" s="49">
        <v>0.0</v>
      </c>
    </row>
    <row r="10714" ht="15.0" hidden="1" customHeight="1">
      <c r="A10714" s="49" t="s">
        <v>765</v>
      </c>
      <c r="B10714" s="50">
        <v>45746.0</v>
      </c>
      <c r="C10714" s="49" t="s">
        <v>780</v>
      </c>
      <c r="D10714" s="49">
        <v>0.0</v>
      </c>
    </row>
    <row r="10715" ht="15.0" hidden="1" customHeight="1">
      <c r="A10715" s="49" t="s">
        <v>720</v>
      </c>
      <c r="B10715" s="50">
        <v>45746.0</v>
      </c>
      <c r="C10715" s="49" t="s">
        <v>780</v>
      </c>
      <c r="D10715" s="49">
        <v>0.0</v>
      </c>
    </row>
    <row r="10716" ht="15.0" hidden="1" customHeight="1">
      <c r="A10716" s="49" t="s">
        <v>725</v>
      </c>
      <c r="B10716" s="50">
        <v>45746.0</v>
      </c>
      <c r="C10716" s="49" t="s">
        <v>780</v>
      </c>
      <c r="D10716" s="49">
        <v>0.0</v>
      </c>
    </row>
    <row r="10717" ht="15.0" hidden="1" customHeight="1">
      <c r="A10717" s="49" t="s">
        <v>730</v>
      </c>
      <c r="B10717" s="50">
        <v>45746.0</v>
      </c>
      <c r="C10717" s="49" t="s">
        <v>780</v>
      </c>
      <c r="D10717" s="49">
        <v>0.0</v>
      </c>
    </row>
    <row r="10718" ht="15.0" hidden="1" customHeight="1">
      <c r="A10718" s="49" t="s">
        <v>734</v>
      </c>
      <c r="B10718" s="50">
        <v>45746.0</v>
      </c>
      <c r="C10718" s="49" t="s">
        <v>780</v>
      </c>
      <c r="D10718" s="49">
        <v>0.0</v>
      </c>
    </row>
    <row r="10719" ht="15.0" hidden="1" customHeight="1">
      <c r="A10719" s="49" t="s">
        <v>739</v>
      </c>
      <c r="B10719" s="50">
        <v>45746.0</v>
      </c>
      <c r="C10719" s="49" t="s">
        <v>780</v>
      </c>
      <c r="D10719" s="49">
        <v>0.0</v>
      </c>
    </row>
    <row r="10720" ht="15.0" hidden="1" customHeight="1">
      <c r="A10720" s="49" t="s">
        <v>744</v>
      </c>
      <c r="B10720" s="50">
        <v>45746.0</v>
      </c>
      <c r="C10720" s="49" t="s">
        <v>780</v>
      </c>
      <c r="D10720" s="49">
        <v>0.0</v>
      </c>
    </row>
    <row r="10721" ht="15.0" hidden="1" customHeight="1">
      <c r="A10721" s="49" t="s">
        <v>749</v>
      </c>
      <c r="B10721" s="50">
        <v>45746.0</v>
      </c>
      <c r="C10721" s="49" t="s">
        <v>780</v>
      </c>
      <c r="D10721" s="49">
        <v>0.0</v>
      </c>
    </row>
    <row r="10722" ht="15.0" customHeight="1">
      <c r="A10722" s="49" t="s">
        <v>776</v>
      </c>
      <c r="B10722" s="50">
        <v>45838.0</v>
      </c>
      <c r="C10722" s="49" t="s">
        <v>777</v>
      </c>
      <c r="D10722" s="49">
        <v>0.0</v>
      </c>
    </row>
    <row r="10723" ht="15.0" hidden="1" customHeight="1">
      <c r="A10723" s="49" t="s">
        <v>778</v>
      </c>
      <c r="B10723" s="50">
        <v>45838.0</v>
      </c>
      <c r="C10723" s="49" t="s">
        <v>777</v>
      </c>
      <c r="D10723" s="49">
        <v>0.0</v>
      </c>
    </row>
    <row r="10724" ht="15.0" hidden="1" customHeight="1">
      <c r="A10724" s="49" t="s">
        <v>92</v>
      </c>
      <c r="B10724" s="50">
        <v>45838.0</v>
      </c>
      <c r="C10724" s="49" t="s">
        <v>777</v>
      </c>
      <c r="D10724" s="49">
        <v>0.0</v>
      </c>
    </row>
    <row r="10725" ht="15.0" hidden="1" customHeight="1">
      <c r="A10725" s="49" t="s">
        <v>97</v>
      </c>
      <c r="B10725" s="50">
        <v>45838.0</v>
      </c>
      <c r="C10725" s="49" t="s">
        <v>777</v>
      </c>
      <c r="D10725" s="49">
        <v>0.0</v>
      </c>
    </row>
    <row r="10726" ht="15.0" hidden="1" customHeight="1">
      <c r="A10726" s="49" t="s">
        <v>102</v>
      </c>
      <c r="B10726" s="50">
        <v>45838.0</v>
      </c>
      <c r="C10726" s="49" t="s">
        <v>777</v>
      </c>
      <c r="D10726" s="49">
        <v>0.0</v>
      </c>
    </row>
    <row r="10727" ht="15.0" hidden="1" customHeight="1">
      <c r="A10727" s="49" t="s">
        <v>106</v>
      </c>
      <c r="B10727" s="50">
        <v>45838.0</v>
      </c>
      <c r="C10727" s="49" t="s">
        <v>777</v>
      </c>
      <c r="D10727" s="49">
        <v>0.0</v>
      </c>
    </row>
    <row r="10728" ht="15.0" hidden="1" customHeight="1">
      <c r="A10728" s="49" t="s">
        <v>111</v>
      </c>
      <c r="B10728" s="50">
        <v>45838.0</v>
      </c>
      <c r="C10728" s="49" t="s">
        <v>777</v>
      </c>
      <c r="D10728" s="49">
        <v>0.0</v>
      </c>
    </row>
    <row r="10729" ht="15.0" hidden="1" customHeight="1">
      <c r="A10729" s="49" t="s">
        <v>116</v>
      </c>
      <c r="B10729" s="50">
        <v>45838.0</v>
      </c>
      <c r="C10729" s="49" t="s">
        <v>777</v>
      </c>
      <c r="D10729" s="49">
        <v>0.0</v>
      </c>
    </row>
    <row r="10730" ht="15.0" hidden="1" customHeight="1">
      <c r="A10730" s="49" t="s">
        <v>120</v>
      </c>
      <c r="B10730" s="50">
        <v>45838.0</v>
      </c>
      <c r="C10730" s="49" t="s">
        <v>777</v>
      </c>
      <c r="D10730" s="49">
        <v>0.0</v>
      </c>
    </row>
    <row r="10731" ht="15.0" hidden="1" customHeight="1">
      <c r="A10731" s="49" t="s">
        <v>125</v>
      </c>
      <c r="B10731" s="50">
        <v>45838.0</v>
      </c>
      <c r="C10731" s="49" t="s">
        <v>777</v>
      </c>
      <c r="D10731" s="49">
        <v>0.0</v>
      </c>
    </row>
    <row r="10732" ht="15.0" hidden="1" customHeight="1">
      <c r="A10732" s="49" t="s">
        <v>130</v>
      </c>
      <c r="B10732" s="50">
        <v>45838.0</v>
      </c>
      <c r="C10732" s="49" t="s">
        <v>777</v>
      </c>
      <c r="D10732" s="49">
        <v>0.0</v>
      </c>
    </row>
    <row r="10733" ht="15.0" hidden="1" customHeight="1">
      <c r="A10733" s="49" t="s">
        <v>137</v>
      </c>
      <c r="B10733" s="50">
        <v>45838.0</v>
      </c>
      <c r="C10733" s="49" t="s">
        <v>777</v>
      </c>
      <c r="D10733" s="49">
        <v>0.0</v>
      </c>
    </row>
    <row r="10734" ht="15.0" hidden="1" customHeight="1">
      <c r="A10734" s="49" t="s">
        <v>142</v>
      </c>
      <c r="B10734" s="50">
        <v>45838.0</v>
      </c>
      <c r="C10734" s="49" t="s">
        <v>777</v>
      </c>
      <c r="D10734" s="49">
        <v>0.0</v>
      </c>
    </row>
    <row r="10735" ht="15.0" hidden="1" customHeight="1">
      <c r="A10735" s="49" t="s">
        <v>147</v>
      </c>
      <c r="B10735" s="50">
        <v>45838.0</v>
      </c>
      <c r="C10735" s="49" t="s">
        <v>777</v>
      </c>
      <c r="D10735" s="49">
        <v>0.0</v>
      </c>
    </row>
    <row r="10736" ht="15.0" hidden="1" customHeight="1">
      <c r="A10736" s="49" t="s">
        <v>152</v>
      </c>
      <c r="B10736" s="50">
        <v>45838.0</v>
      </c>
      <c r="C10736" s="49" t="s">
        <v>777</v>
      </c>
      <c r="D10736" s="49">
        <v>0.0</v>
      </c>
    </row>
    <row r="10737" ht="15.0" hidden="1" customHeight="1">
      <c r="A10737" s="49" t="s">
        <v>157</v>
      </c>
      <c r="B10737" s="50">
        <v>45838.0</v>
      </c>
      <c r="C10737" s="49" t="s">
        <v>777</v>
      </c>
      <c r="D10737" s="49">
        <v>0.0</v>
      </c>
    </row>
    <row r="10738" ht="15.0" hidden="1" customHeight="1">
      <c r="A10738" s="49" t="s">
        <v>162</v>
      </c>
      <c r="B10738" s="50">
        <v>45838.0</v>
      </c>
      <c r="C10738" s="49" t="s">
        <v>777</v>
      </c>
      <c r="D10738" s="49">
        <v>0.0</v>
      </c>
    </row>
    <row r="10739" ht="15.0" hidden="1" customHeight="1">
      <c r="A10739" s="49" t="s">
        <v>167</v>
      </c>
      <c r="B10739" s="50">
        <v>45838.0</v>
      </c>
      <c r="C10739" s="49" t="s">
        <v>777</v>
      </c>
      <c r="D10739" s="49">
        <v>0.0</v>
      </c>
    </row>
    <row r="10740" ht="15.0" hidden="1" customHeight="1">
      <c r="A10740" s="49" t="s">
        <v>172</v>
      </c>
      <c r="B10740" s="50">
        <v>45838.0</v>
      </c>
      <c r="C10740" s="49" t="s">
        <v>777</v>
      </c>
      <c r="D10740" s="49">
        <v>0.0</v>
      </c>
    </row>
    <row r="10741" ht="15.0" hidden="1" customHeight="1">
      <c r="A10741" s="49" t="s">
        <v>177</v>
      </c>
      <c r="B10741" s="50">
        <v>45838.0</v>
      </c>
      <c r="C10741" s="49" t="s">
        <v>777</v>
      </c>
      <c r="D10741" s="49">
        <v>0.0</v>
      </c>
    </row>
    <row r="10742" ht="15.0" hidden="1" customHeight="1">
      <c r="A10742" s="49" t="s">
        <v>182</v>
      </c>
      <c r="B10742" s="50">
        <v>45838.0</v>
      </c>
      <c r="C10742" s="49" t="s">
        <v>777</v>
      </c>
      <c r="D10742" s="49">
        <v>0.0</v>
      </c>
    </row>
    <row r="10743" ht="15.0" hidden="1" customHeight="1">
      <c r="A10743" s="49" t="s">
        <v>187</v>
      </c>
      <c r="B10743" s="50">
        <v>45838.0</v>
      </c>
      <c r="C10743" s="49" t="s">
        <v>777</v>
      </c>
      <c r="D10743" s="49">
        <v>0.0</v>
      </c>
    </row>
    <row r="10744" ht="15.0" hidden="1" customHeight="1">
      <c r="A10744" s="49" t="s">
        <v>192</v>
      </c>
      <c r="B10744" s="50">
        <v>45838.0</v>
      </c>
      <c r="C10744" s="49" t="s">
        <v>777</v>
      </c>
      <c r="D10744" s="49">
        <v>0.0</v>
      </c>
    </row>
    <row r="10745" ht="15.0" hidden="1" customHeight="1">
      <c r="A10745" s="49" t="s">
        <v>197</v>
      </c>
      <c r="B10745" s="50">
        <v>45838.0</v>
      </c>
      <c r="C10745" s="49" t="s">
        <v>777</v>
      </c>
      <c r="D10745" s="49">
        <v>0.0</v>
      </c>
    </row>
    <row r="10746" ht="15.0" hidden="1" customHeight="1">
      <c r="A10746" s="49" t="s">
        <v>202</v>
      </c>
      <c r="B10746" s="50">
        <v>45838.0</v>
      </c>
      <c r="C10746" s="49" t="s">
        <v>777</v>
      </c>
      <c r="D10746" s="49">
        <v>0.0</v>
      </c>
    </row>
    <row r="10747" ht="15.0" hidden="1" customHeight="1">
      <c r="A10747" s="49" t="s">
        <v>206</v>
      </c>
      <c r="B10747" s="50">
        <v>45838.0</v>
      </c>
      <c r="C10747" s="49" t="s">
        <v>777</v>
      </c>
      <c r="D10747" s="49">
        <v>0.0</v>
      </c>
    </row>
    <row r="10748" ht="15.0" hidden="1" customHeight="1">
      <c r="A10748" s="49" t="s">
        <v>211</v>
      </c>
      <c r="B10748" s="50">
        <v>45838.0</v>
      </c>
      <c r="C10748" s="49" t="s">
        <v>777</v>
      </c>
      <c r="D10748" s="49">
        <v>0.0</v>
      </c>
    </row>
    <row r="10749" ht="15.0" hidden="1" customHeight="1">
      <c r="A10749" s="49" t="s">
        <v>779</v>
      </c>
      <c r="B10749" s="50">
        <v>45838.0</v>
      </c>
      <c r="C10749" s="49" t="s">
        <v>777</v>
      </c>
      <c r="D10749" s="49">
        <v>0.0</v>
      </c>
    </row>
    <row r="10750" ht="15.0" hidden="1" customHeight="1">
      <c r="A10750" s="49" t="s">
        <v>221</v>
      </c>
      <c r="B10750" s="50">
        <v>45838.0</v>
      </c>
      <c r="C10750" s="49" t="s">
        <v>777</v>
      </c>
      <c r="D10750" s="49">
        <v>0.0</v>
      </c>
    </row>
    <row r="10751" ht="15.0" hidden="1" customHeight="1">
      <c r="A10751" s="49" t="s">
        <v>226</v>
      </c>
      <c r="B10751" s="50">
        <v>45838.0</v>
      </c>
      <c r="C10751" s="49" t="s">
        <v>777</v>
      </c>
      <c r="D10751" s="49">
        <v>0.0</v>
      </c>
    </row>
    <row r="10752" ht="15.0" hidden="1" customHeight="1">
      <c r="A10752" s="49" t="s">
        <v>231</v>
      </c>
      <c r="B10752" s="50">
        <v>45838.0</v>
      </c>
      <c r="C10752" s="49" t="s">
        <v>777</v>
      </c>
      <c r="D10752" s="49">
        <v>0.0</v>
      </c>
    </row>
    <row r="10753" ht="15.0" hidden="1" customHeight="1">
      <c r="A10753" s="49" t="s">
        <v>236</v>
      </c>
      <c r="B10753" s="50">
        <v>45838.0</v>
      </c>
      <c r="C10753" s="49" t="s">
        <v>777</v>
      </c>
      <c r="D10753" s="49">
        <v>0.0</v>
      </c>
    </row>
    <row r="10754" ht="15.0" hidden="1" customHeight="1">
      <c r="A10754" s="49" t="s">
        <v>242</v>
      </c>
      <c r="B10754" s="50">
        <v>45838.0</v>
      </c>
      <c r="C10754" s="49" t="s">
        <v>777</v>
      </c>
      <c r="D10754" s="49">
        <v>0.0</v>
      </c>
    </row>
    <row r="10755" ht="15.0" hidden="1" customHeight="1">
      <c r="A10755" s="49" t="s">
        <v>248</v>
      </c>
      <c r="B10755" s="50">
        <v>45838.0</v>
      </c>
      <c r="C10755" s="49" t="s">
        <v>777</v>
      </c>
      <c r="D10755" s="49">
        <v>0.0</v>
      </c>
    </row>
    <row r="10756" ht="15.0" hidden="1" customHeight="1">
      <c r="A10756" s="49" t="s">
        <v>253</v>
      </c>
      <c r="B10756" s="50">
        <v>45838.0</v>
      </c>
      <c r="C10756" s="49" t="s">
        <v>777</v>
      </c>
      <c r="D10756" s="49">
        <v>0.0</v>
      </c>
    </row>
    <row r="10757" ht="15.0" hidden="1" customHeight="1">
      <c r="A10757" s="49" t="s">
        <v>258</v>
      </c>
      <c r="B10757" s="50">
        <v>45838.0</v>
      </c>
      <c r="C10757" s="49" t="s">
        <v>777</v>
      </c>
      <c r="D10757" s="49">
        <v>0.0</v>
      </c>
    </row>
    <row r="10758" ht="15.0" hidden="1" customHeight="1">
      <c r="A10758" s="49" t="s">
        <v>263</v>
      </c>
      <c r="B10758" s="50">
        <v>45838.0</v>
      </c>
      <c r="C10758" s="49" t="s">
        <v>777</v>
      </c>
      <c r="D10758" s="49">
        <v>0.0</v>
      </c>
    </row>
    <row r="10759" ht="15.0" hidden="1" customHeight="1">
      <c r="A10759" s="49" t="s">
        <v>268</v>
      </c>
      <c r="B10759" s="50">
        <v>45838.0</v>
      </c>
      <c r="C10759" s="49" t="s">
        <v>777</v>
      </c>
      <c r="D10759" s="49">
        <v>0.0</v>
      </c>
    </row>
    <row r="10760" ht="15.0" hidden="1" customHeight="1">
      <c r="A10760" s="49" t="s">
        <v>273</v>
      </c>
      <c r="B10760" s="50">
        <v>45838.0</v>
      </c>
      <c r="C10760" s="49" t="s">
        <v>777</v>
      </c>
      <c r="D10760" s="49">
        <v>0.0</v>
      </c>
    </row>
    <row r="10761" ht="15.0" hidden="1" customHeight="1">
      <c r="A10761" s="49" t="s">
        <v>278</v>
      </c>
      <c r="B10761" s="50">
        <v>45838.0</v>
      </c>
      <c r="C10761" s="49" t="s">
        <v>777</v>
      </c>
      <c r="D10761" s="49">
        <v>0.0</v>
      </c>
    </row>
    <row r="10762" ht="15.0" hidden="1" customHeight="1">
      <c r="A10762" s="49" t="s">
        <v>283</v>
      </c>
      <c r="B10762" s="50">
        <v>45838.0</v>
      </c>
      <c r="C10762" s="49" t="s">
        <v>777</v>
      </c>
      <c r="D10762" s="49">
        <v>0.0</v>
      </c>
    </row>
    <row r="10763" ht="15.0" hidden="1" customHeight="1">
      <c r="A10763" s="49" t="s">
        <v>288</v>
      </c>
      <c r="B10763" s="50">
        <v>45838.0</v>
      </c>
      <c r="C10763" s="49" t="s">
        <v>777</v>
      </c>
      <c r="D10763" s="49">
        <v>0.0</v>
      </c>
    </row>
    <row r="10764" ht="15.0" hidden="1" customHeight="1">
      <c r="A10764" s="49" t="s">
        <v>293</v>
      </c>
      <c r="B10764" s="50">
        <v>45838.0</v>
      </c>
      <c r="C10764" s="49" t="s">
        <v>777</v>
      </c>
      <c r="D10764" s="49">
        <v>0.0</v>
      </c>
    </row>
    <row r="10765" ht="15.0" hidden="1" customHeight="1">
      <c r="A10765" s="49" t="s">
        <v>298</v>
      </c>
      <c r="B10765" s="50">
        <v>45838.0</v>
      </c>
      <c r="C10765" s="49" t="s">
        <v>777</v>
      </c>
      <c r="D10765" s="49">
        <v>0.0</v>
      </c>
    </row>
    <row r="10766" ht="15.0" hidden="1" customHeight="1">
      <c r="A10766" s="49" t="s">
        <v>303</v>
      </c>
      <c r="B10766" s="50">
        <v>45838.0</v>
      </c>
      <c r="C10766" s="49" t="s">
        <v>777</v>
      </c>
      <c r="D10766" s="49">
        <v>0.0</v>
      </c>
    </row>
    <row r="10767" ht="15.0" hidden="1" customHeight="1">
      <c r="A10767" s="49" t="s">
        <v>307</v>
      </c>
      <c r="B10767" s="50">
        <v>45838.0</v>
      </c>
      <c r="C10767" s="49" t="s">
        <v>777</v>
      </c>
      <c r="D10767" s="49">
        <v>0.0</v>
      </c>
    </row>
    <row r="10768" ht="15.0" hidden="1" customHeight="1">
      <c r="A10768" s="49" t="s">
        <v>313</v>
      </c>
      <c r="B10768" s="50">
        <v>45838.0</v>
      </c>
      <c r="C10768" s="49" t="s">
        <v>777</v>
      </c>
      <c r="D10768" s="49">
        <v>0.0</v>
      </c>
    </row>
    <row r="10769" ht="15.0" hidden="1" customHeight="1">
      <c r="A10769" s="49" t="s">
        <v>318</v>
      </c>
      <c r="B10769" s="50">
        <v>45838.0</v>
      </c>
      <c r="C10769" s="49" t="s">
        <v>777</v>
      </c>
      <c r="D10769" s="49">
        <v>0.0</v>
      </c>
    </row>
    <row r="10770" ht="15.0" hidden="1" customHeight="1">
      <c r="A10770" s="49" t="s">
        <v>323</v>
      </c>
      <c r="B10770" s="50">
        <v>45838.0</v>
      </c>
      <c r="C10770" s="49" t="s">
        <v>777</v>
      </c>
      <c r="D10770" s="49">
        <v>0.0</v>
      </c>
    </row>
    <row r="10771" ht="15.0" hidden="1" customHeight="1">
      <c r="A10771" s="49" t="s">
        <v>328</v>
      </c>
      <c r="B10771" s="50">
        <v>45838.0</v>
      </c>
      <c r="C10771" s="49" t="s">
        <v>777</v>
      </c>
      <c r="D10771" s="49">
        <v>0.0</v>
      </c>
    </row>
    <row r="10772" ht="15.0" hidden="1" customHeight="1">
      <c r="A10772" s="49" t="s">
        <v>335</v>
      </c>
      <c r="B10772" s="50">
        <v>45838.0</v>
      </c>
      <c r="C10772" s="49" t="s">
        <v>777</v>
      </c>
      <c r="D10772" s="49">
        <v>0.0</v>
      </c>
    </row>
    <row r="10773" ht="15.0" hidden="1" customHeight="1">
      <c r="A10773" s="49" t="s">
        <v>340</v>
      </c>
      <c r="B10773" s="50">
        <v>45838.0</v>
      </c>
      <c r="C10773" s="49" t="s">
        <v>777</v>
      </c>
      <c r="D10773" s="49">
        <v>0.0</v>
      </c>
    </row>
    <row r="10774" ht="15.0" hidden="1" customHeight="1">
      <c r="A10774" s="49" t="s">
        <v>345</v>
      </c>
      <c r="B10774" s="50">
        <v>45838.0</v>
      </c>
      <c r="C10774" s="49" t="s">
        <v>777</v>
      </c>
      <c r="D10774" s="49">
        <v>0.0</v>
      </c>
    </row>
    <row r="10775" ht="15.0" hidden="1" customHeight="1">
      <c r="A10775" s="49" t="s">
        <v>350</v>
      </c>
      <c r="B10775" s="50">
        <v>45838.0</v>
      </c>
      <c r="C10775" s="49" t="s">
        <v>777</v>
      </c>
      <c r="D10775" s="49">
        <v>0.0</v>
      </c>
    </row>
    <row r="10776" ht="15.0" hidden="1" customHeight="1">
      <c r="A10776" s="49" t="s">
        <v>355</v>
      </c>
      <c r="B10776" s="50">
        <v>45838.0</v>
      </c>
      <c r="C10776" s="49" t="s">
        <v>777</v>
      </c>
      <c r="D10776" s="49">
        <v>0.0</v>
      </c>
    </row>
    <row r="10777" ht="15.0" hidden="1" customHeight="1">
      <c r="A10777" s="49" t="s">
        <v>360</v>
      </c>
      <c r="B10777" s="50">
        <v>45838.0</v>
      </c>
      <c r="C10777" s="49" t="s">
        <v>777</v>
      </c>
      <c r="D10777" s="49">
        <v>0.0</v>
      </c>
    </row>
    <row r="10778" ht="15.0" hidden="1" customHeight="1">
      <c r="A10778" s="49" t="s">
        <v>365</v>
      </c>
      <c r="B10778" s="50">
        <v>45838.0</v>
      </c>
      <c r="C10778" s="49" t="s">
        <v>777</v>
      </c>
      <c r="D10778" s="49">
        <v>0.0</v>
      </c>
    </row>
    <row r="10779" ht="15.0" hidden="1" customHeight="1">
      <c r="A10779" s="49" t="s">
        <v>370</v>
      </c>
      <c r="B10779" s="50">
        <v>45838.0</v>
      </c>
      <c r="C10779" s="49" t="s">
        <v>777</v>
      </c>
      <c r="D10779" s="49">
        <v>0.0</v>
      </c>
    </row>
    <row r="10780" ht="15.0" hidden="1" customHeight="1">
      <c r="A10780" s="49" t="s">
        <v>375</v>
      </c>
      <c r="B10780" s="50">
        <v>45838.0</v>
      </c>
      <c r="C10780" s="49" t="s">
        <v>777</v>
      </c>
      <c r="D10780" s="49">
        <v>0.0</v>
      </c>
    </row>
    <row r="10781" ht="15.0" hidden="1" customHeight="1">
      <c r="A10781" s="49" t="s">
        <v>380</v>
      </c>
      <c r="B10781" s="50">
        <v>45838.0</v>
      </c>
      <c r="C10781" s="49" t="s">
        <v>777</v>
      </c>
      <c r="D10781" s="49">
        <v>0.0</v>
      </c>
    </row>
    <row r="10782" ht="15.0" hidden="1" customHeight="1">
      <c r="A10782" s="49" t="s">
        <v>385</v>
      </c>
      <c r="B10782" s="50">
        <v>45838.0</v>
      </c>
      <c r="C10782" s="49" t="s">
        <v>777</v>
      </c>
      <c r="D10782" s="49">
        <v>0.0</v>
      </c>
    </row>
    <row r="10783" ht="15.0" hidden="1" customHeight="1">
      <c r="A10783" s="49" t="s">
        <v>390</v>
      </c>
      <c r="B10783" s="50">
        <v>45838.0</v>
      </c>
      <c r="C10783" s="49" t="s">
        <v>777</v>
      </c>
      <c r="D10783" s="49">
        <v>0.0</v>
      </c>
    </row>
    <row r="10784" ht="15.0" hidden="1" customHeight="1">
      <c r="A10784" s="49" t="s">
        <v>395</v>
      </c>
      <c r="B10784" s="50">
        <v>45838.0</v>
      </c>
      <c r="C10784" s="49" t="s">
        <v>777</v>
      </c>
      <c r="D10784" s="49">
        <v>0.0</v>
      </c>
    </row>
    <row r="10785" ht="15.0" hidden="1" customHeight="1">
      <c r="A10785" s="49" t="s">
        <v>400</v>
      </c>
      <c r="B10785" s="50">
        <v>45838.0</v>
      </c>
      <c r="C10785" s="49" t="s">
        <v>777</v>
      </c>
      <c r="D10785" s="49">
        <v>0.0</v>
      </c>
    </row>
    <row r="10786" ht="15.0" hidden="1" customHeight="1">
      <c r="A10786" s="49" t="s">
        <v>405</v>
      </c>
      <c r="B10786" s="50">
        <v>45838.0</v>
      </c>
      <c r="C10786" s="49" t="s">
        <v>777</v>
      </c>
      <c r="D10786" s="49">
        <v>0.0</v>
      </c>
    </row>
    <row r="10787" ht="15.0" hidden="1" customHeight="1">
      <c r="A10787" s="49" t="s">
        <v>410</v>
      </c>
      <c r="B10787" s="50">
        <v>45838.0</v>
      </c>
      <c r="C10787" s="49" t="s">
        <v>777</v>
      </c>
      <c r="D10787" s="49">
        <v>0.0</v>
      </c>
    </row>
    <row r="10788" ht="15.0" hidden="1" customHeight="1">
      <c r="A10788" s="49" t="s">
        <v>415</v>
      </c>
      <c r="B10788" s="50">
        <v>45838.0</v>
      </c>
      <c r="C10788" s="49" t="s">
        <v>777</v>
      </c>
      <c r="D10788" s="49">
        <v>0.0</v>
      </c>
    </row>
    <row r="10789" ht="15.0" hidden="1" customHeight="1">
      <c r="A10789" s="49" t="s">
        <v>420</v>
      </c>
      <c r="B10789" s="50">
        <v>45838.0</v>
      </c>
      <c r="C10789" s="49" t="s">
        <v>777</v>
      </c>
      <c r="D10789" s="49">
        <v>0.0</v>
      </c>
    </row>
    <row r="10790" ht="15.0" hidden="1" customHeight="1">
      <c r="A10790" s="49" t="s">
        <v>425</v>
      </c>
      <c r="B10790" s="50">
        <v>45838.0</v>
      </c>
      <c r="C10790" s="49" t="s">
        <v>777</v>
      </c>
      <c r="D10790" s="49">
        <v>0.0</v>
      </c>
    </row>
    <row r="10791" ht="15.0" hidden="1" customHeight="1">
      <c r="A10791" s="49" t="s">
        <v>430</v>
      </c>
      <c r="B10791" s="50">
        <v>45838.0</v>
      </c>
      <c r="C10791" s="49" t="s">
        <v>777</v>
      </c>
      <c r="D10791" s="49">
        <v>0.0</v>
      </c>
    </row>
    <row r="10792" ht="15.0" hidden="1" customHeight="1">
      <c r="A10792" s="49" t="s">
        <v>434</v>
      </c>
      <c r="B10792" s="50">
        <v>45838.0</v>
      </c>
      <c r="C10792" s="49" t="s">
        <v>777</v>
      </c>
      <c r="D10792" s="49">
        <v>0.0</v>
      </c>
    </row>
    <row r="10793" ht="15.0" hidden="1" customHeight="1">
      <c r="A10793" s="49" t="s">
        <v>439</v>
      </c>
      <c r="B10793" s="50">
        <v>45838.0</v>
      </c>
      <c r="C10793" s="49" t="s">
        <v>777</v>
      </c>
      <c r="D10793" s="49">
        <v>0.0</v>
      </c>
    </row>
    <row r="10794" ht="15.0" hidden="1" customHeight="1">
      <c r="A10794" s="49" t="s">
        <v>444</v>
      </c>
      <c r="B10794" s="50">
        <v>45838.0</v>
      </c>
      <c r="C10794" s="49" t="s">
        <v>777</v>
      </c>
      <c r="D10794" s="49">
        <v>0.0</v>
      </c>
    </row>
    <row r="10795" ht="15.0" hidden="1" customHeight="1">
      <c r="A10795" s="49" t="s">
        <v>449</v>
      </c>
      <c r="B10795" s="50">
        <v>45838.0</v>
      </c>
      <c r="C10795" s="49" t="s">
        <v>777</v>
      </c>
      <c r="D10795" s="49">
        <v>0.0</v>
      </c>
    </row>
    <row r="10796" ht="15.0" hidden="1" customHeight="1">
      <c r="A10796" s="49" t="s">
        <v>455</v>
      </c>
      <c r="B10796" s="50">
        <v>45838.0</v>
      </c>
      <c r="C10796" s="49" t="s">
        <v>777</v>
      </c>
      <c r="D10796" s="49">
        <v>0.0</v>
      </c>
    </row>
    <row r="10797" ht="15.0" hidden="1" customHeight="1">
      <c r="A10797" s="49" t="s">
        <v>470</v>
      </c>
      <c r="B10797" s="50">
        <v>45838.0</v>
      </c>
      <c r="C10797" s="49" t="s">
        <v>777</v>
      </c>
      <c r="D10797" s="49">
        <v>0.0</v>
      </c>
    </row>
    <row r="10798" ht="15.0" hidden="1" customHeight="1">
      <c r="A10798" s="49" t="s">
        <v>476</v>
      </c>
      <c r="B10798" s="50">
        <v>45838.0</v>
      </c>
      <c r="C10798" s="49" t="s">
        <v>777</v>
      </c>
      <c r="D10798" s="49">
        <v>0.0</v>
      </c>
    </row>
    <row r="10799" ht="15.0" hidden="1" customHeight="1">
      <c r="A10799" s="49" t="s">
        <v>481</v>
      </c>
      <c r="B10799" s="50">
        <v>45838.0</v>
      </c>
      <c r="C10799" s="49" t="s">
        <v>777</v>
      </c>
      <c r="D10799" s="49">
        <v>0.0</v>
      </c>
    </row>
    <row r="10800" ht="15.0" hidden="1" customHeight="1">
      <c r="A10800" s="49" t="s">
        <v>486</v>
      </c>
      <c r="B10800" s="50">
        <v>45838.0</v>
      </c>
      <c r="C10800" s="49" t="s">
        <v>777</v>
      </c>
      <c r="D10800" s="49">
        <v>0.0</v>
      </c>
    </row>
    <row r="10801" ht="15.0" hidden="1" customHeight="1">
      <c r="A10801" s="49" t="s">
        <v>491</v>
      </c>
      <c r="B10801" s="50">
        <v>45838.0</v>
      </c>
      <c r="C10801" s="49" t="s">
        <v>777</v>
      </c>
      <c r="D10801" s="49">
        <v>0.0</v>
      </c>
    </row>
    <row r="10802" ht="15.0" hidden="1" customHeight="1">
      <c r="A10802" s="49" t="s">
        <v>496</v>
      </c>
      <c r="B10802" s="50">
        <v>45838.0</v>
      </c>
      <c r="C10802" s="49" t="s">
        <v>777</v>
      </c>
      <c r="D10802" s="49">
        <v>0.0</v>
      </c>
    </row>
    <row r="10803" ht="15.0" hidden="1" customHeight="1">
      <c r="A10803" s="49" t="s">
        <v>501</v>
      </c>
      <c r="B10803" s="50">
        <v>45838.0</v>
      </c>
      <c r="C10803" s="49" t="s">
        <v>777</v>
      </c>
      <c r="D10803" s="49">
        <v>0.0</v>
      </c>
    </row>
    <row r="10804" ht="15.0" hidden="1" customHeight="1">
      <c r="A10804" s="49" t="s">
        <v>506</v>
      </c>
      <c r="B10804" s="50">
        <v>45838.0</v>
      </c>
      <c r="C10804" s="49" t="s">
        <v>777</v>
      </c>
      <c r="D10804" s="49">
        <v>0.0</v>
      </c>
    </row>
    <row r="10805" ht="15.0" hidden="1" customHeight="1">
      <c r="A10805" s="49" t="s">
        <v>512</v>
      </c>
      <c r="B10805" s="50">
        <v>45838.0</v>
      </c>
      <c r="C10805" s="49" t="s">
        <v>777</v>
      </c>
      <c r="D10805" s="49">
        <v>0.0</v>
      </c>
    </row>
    <row r="10806" ht="15.0" hidden="1" customHeight="1">
      <c r="A10806" s="49" t="s">
        <v>517</v>
      </c>
      <c r="B10806" s="50">
        <v>45838.0</v>
      </c>
      <c r="C10806" s="49" t="s">
        <v>777</v>
      </c>
      <c r="D10806" s="49">
        <v>0.0</v>
      </c>
    </row>
    <row r="10807" ht="15.0" hidden="1" customHeight="1">
      <c r="A10807" s="49" t="s">
        <v>522</v>
      </c>
      <c r="B10807" s="50">
        <v>45838.0</v>
      </c>
      <c r="C10807" s="49" t="s">
        <v>777</v>
      </c>
      <c r="D10807" s="49">
        <v>0.0</v>
      </c>
    </row>
    <row r="10808" ht="15.0" hidden="1" customHeight="1">
      <c r="A10808" s="49" t="s">
        <v>528</v>
      </c>
      <c r="B10808" s="50">
        <v>45838.0</v>
      </c>
      <c r="C10808" s="49" t="s">
        <v>777</v>
      </c>
      <c r="D10808" s="49">
        <v>0.0</v>
      </c>
    </row>
    <row r="10809" ht="15.0" hidden="1" customHeight="1">
      <c r="A10809" s="49" t="s">
        <v>533</v>
      </c>
      <c r="B10809" s="50">
        <v>45838.0</v>
      </c>
      <c r="C10809" s="49" t="s">
        <v>777</v>
      </c>
      <c r="D10809" s="49">
        <v>0.0</v>
      </c>
    </row>
    <row r="10810" ht="15.0" hidden="1" customHeight="1">
      <c r="A10810" s="49" t="s">
        <v>538</v>
      </c>
      <c r="B10810" s="50">
        <v>45838.0</v>
      </c>
      <c r="C10810" s="49" t="s">
        <v>777</v>
      </c>
      <c r="D10810" s="49">
        <v>0.0</v>
      </c>
    </row>
    <row r="10811" ht="15.0" hidden="1" customHeight="1">
      <c r="A10811" s="49" t="s">
        <v>546</v>
      </c>
      <c r="B10811" s="50">
        <v>45838.0</v>
      </c>
      <c r="C10811" s="49" t="s">
        <v>777</v>
      </c>
      <c r="D10811" s="49">
        <v>0.0</v>
      </c>
    </row>
    <row r="10812" ht="15.0" hidden="1" customHeight="1">
      <c r="A10812" s="49" t="s">
        <v>551</v>
      </c>
      <c r="B10812" s="50">
        <v>45838.0</v>
      </c>
      <c r="C10812" s="49" t="s">
        <v>777</v>
      </c>
      <c r="D10812" s="49">
        <v>0.0</v>
      </c>
    </row>
    <row r="10813" ht="15.0" hidden="1" customHeight="1">
      <c r="A10813" s="49" t="s">
        <v>556</v>
      </c>
      <c r="B10813" s="50">
        <v>45838.0</v>
      </c>
      <c r="C10813" s="49" t="s">
        <v>777</v>
      </c>
      <c r="D10813" s="49">
        <v>0.0</v>
      </c>
    </row>
    <row r="10814" ht="15.0" hidden="1" customHeight="1">
      <c r="A10814" s="49" t="s">
        <v>561</v>
      </c>
      <c r="B10814" s="50">
        <v>45838.0</v>
      </c>
      <c r="C10814" s="49" t="s">
        <v>777</v>
      </c>
      <c r="D10814" s="49">
        <v>0.0</v>
      </c>
    </row>
    <row r="10815" ht="15.0" hidden="1" customHeight="1">
      <c r="A10815" s="49" t="s">
        <v>566</v>
      </c>
      <c r="B10815" s="50">
        <v>45838.0</v>
      </c>
      <c r="C10815" s="49" t="s">
        <v>777</v>
      </c>
      <c r="D10815" s="49">
        <v>250000.0</v>
      </c>
    </row>
    <row r="10816" ht="15.0" hidden="1" customHeight="1">
      <c r="A10816" s="49" t="s">
        <v>571</v>
      </c>
      <c r="B10816" s="50">
        <v>45838.0</v>
      </c>
      <c r="C10816" s="49" t="s">
        <v>777</v>
      </c>
      <c r="D10816" s="49">
        <v>0.0</v>
      </c>
    </row>
    <row r="10817" ht="15.0" hidden="1" customHeight="1">
      <c r="A10817" s="49" t="s">
        <v>576</v>
      </c>
      <c r="B10817" s="50">
        <v>45838.0</v>
      </c>
      <c r="C10817" s="49" t="s">
        <v>777</v>
      </c>
      <c r="D10817" s="49">
        <v>0.0</v>
      </c>
    </row>
    <row r="10818" ht="15.0" hidden="1" customHeight="1">
      <c r="A10818" s="49" t="s">
        <v>581</v>
      </c>
      <c r="B10818" s="50">
        <v>45838.0</v>
      </c>
      <c r="C10818" s="49" t="s">
        <v>777</v>
      </c>
      <c r="D10818" s="49">
        <v>0.0</v>
      </c>
    </row>
    <row r="10819" ht="15.0" hidden="1" customHeight="1">
      <c r="A10819" s="49" t="s">
        <v>586</v>
      </c>
      <c r="B10819" s="50">
        <v>45838.0</v>
      </c>
      <c r="C10819" s="49" t="s">
        <v>777</v>
      </c>
      <c r="D10819" s="49">
        <v>0.0</v>
      </c>
    </row>
    <row r="10820" ht="15.0" hidden="1" customHeight="1">
      <c r="A10820" s="49" t="s">
        <v>754</v>
      </c>
      <c r="B10820" s="50">
        <v>45838.0</v>
      </c>
      <c r="C10820" s="49" t="s">
        <v>777</v>
      </c>
      <c r="D10820" s="49">
        <v>0.0</v>
      </c>
    </row>
    <row r="10821" ht="15.0" hidden="1" customHeight="1">
      <c r="A10821" s="49" t="s">
        <v>591</v>
      </c>
      <c r="B10821" s="50">
        <v>45838.0</v>
      </c>
      <c r="C10821" s="49" t="s">
        <v>777</v>
      </c>
      <c r="D10821" s="49">
        <v>0.0</v>
      </c>
    </row>
    <row r="10822" ht="15.0" hidden="1" customHeight="1">
      <c r="A10822" s="49" t="s">
        <v>759</v>
      </c>
      <c r="B10822" s="50">
        <v>45838.0</v>
      </c>
      <c r="C10822" s="49" t="s">
        <v>777</v>
      </c>
      <c r="D10822" s="49">
        <v>0.0</v>
      </c>
    </row>
    <row r="10823" ht="15.0" hidden="1" customHeight="1">
      <c r="A10823" s="49" t="s">
        <v>596</v>
      </c>
      <c r="B10823" s="50">
        <v>45838.0</v>
      </c>
      <c r="C10823" s="49" t="s">
        <v>777</v>
      </c>
      <c r="D10823" s="49">
        <v>0.0</v>
      </c>
    </row>
    <row r="10824" ht="15.0" hidden="1" customHeight="1">
      <c r="A10824" s="49" t="s">
        <v>602</v>
      </c>
      <c r="B10824" s="50">
        <v>45838.0</v>
      </c>
      <c r="C10824" s="49" t="s">
        <v>777</v>
      </c>
      <c r="D10824" s="49">
        <v>0.0</v>
      </c>
    </row>
    <row r="10825" ht="15.0" hidden="1" customHeight="1">
      <c r="A10825" s="49" t="s">
        <v>607</v>
      </c>
      <c r="B10825" s="50">
        <v>45838.0</v>
      </c>
      <c r="C10825" s="49" t="s">
        <v>777</v>
      </c>
      <c r="D10825" s="49">
        <v>0.0</v>
      </c>
    </row>
    <row r="10826" ht="15.0" hidden="1" customHeight="1">
      <c r="A10826" s="49" t="s">
        <v>612</v>
      </c>
      <c r="B10826" s="50">
        <v>45838.0</v>
      </c>
      <c r="C10826" s="49" t="s">
        <v>777</v>
      </c>
      <c r="D10826" s="49">
        <v>0.0</v>
      </c>
    </row>
    <row r="10827" ht="15.0" hidden="1" customHeight="1">
      <c r="A10827" s="49" t="s">
        <v>617</v>
      </c>
      <c r="B10827" s="50">
        <v>45838.0</v>
      </c>
      <c r="C10827" s="49" t="s">
        <v>777</v>
      </c>
      <c r="D10827" s="49">
        <v>0.0</v>
      </c>
    </row>
    <row r="10828" ht="15.0" hidden="1" customHeight="1">
      <c r="A10828" s="49" t="s">
        <v>622</v>
      </c>
      <c r="B10828" s="50">
        <v>45838.0</v>
      </c>
      <c r="C10828" s="49" t="s">
        <v>777</v>
      </c>
      <c r="D10828" s="49">
        <v>0.0</v>
      </c>
    </row>
    <row r="10829" ht="15.0" hidden="1" customHeight="1">
      <c r="A10829" s="49" t="s">
        <v>627</v>
      </c>
      <c r="B10829" s="50">
        <v>45838.0</v>
      </c>
      <c r="C10829" s="49" t="s">
        <v>777</v>
      </c>
      <c r="D10829" s="49">
        <v>0.0</v>
      </c>
    </row>
    <row r="10830" ht="15.0" hidden="1" customHeight="1">
      <c r="A10830" s="49" t="s">
        <v>631</v>
      </c>
      <c r="B10830" s="50">
        <v>45838.0</v>
      </c>
      <c r="C10830" s="49" t="s">
        <v>777</v>
      </c>
      <c r="D10830" s="49">
        <v>1270000.0</v>
      </c>
    </row>
    <row r="10831" ht="15.0" hidden="1" customHeight="1">
      <c r="A10831" s="49" t="s">
        <v>636</v>
      </c>
      <c r="B10831" s="50">
        <v>45838.0</v>
      </c>
      <c r="C10831" s="49" t="s">
        <v>777</v>
      </c>
      <c r="D10831" s="49">
        <v>500000.0</v>
      </c>
    </row>
    <row r="10832" ht="15.0" hidden="1" customHeight="1">
      <c r="A10832" s="49" t="s">
        <v>640</v>
      </c>
      <c r="B10832" s="50">
        <v>45838.0</v>
      </c>
      <c r="C10832" s="49" t="s">
        <v>777</v>
      </c>
      <c r="D10832" s="49">
        <v>2255000.0</v>
      </c>
    </row>
    <row r="10833" ht="15.0" hidden="1" customHeight="1">
      <c r="A10833" s="49" t="s">
        <v>644</v>
      </c>
      <c r="B10833" s="50">
        <v>45838.0</v>
      </c>
      <c r="C10833" s="49" t="s">
        <v>777</v>
      </c>
      <c r="D10833" s="49">
        <v>0.0</v>
      </c>
    </row>
    <row r="10834" ht="15.0" hidden="1" customHeight="1">
      <c r="A10834" s="49" t="s">
        <v>649</v>
      </c>
      <c r="B10834" s="50">
        <v>45838.0</v>
      </c>
      <c r="C10834" s="49" t="s">
        <v>777</v>
      </c>
      <c r="D10834" s="49">
        <v>250000.0</v>
      </c>
    </row>
    <row r="10835" ht="15.0" hidden="1" customHeight="1">
      <c r="A10835" s="49" t="s">
        <v>654</v>
      </c>
      <c r="B10835" s="50">
        <v>45838.0</v>
      </c>
      <c r="C10835" s="49" t="s">
        <v>777</v>
      </c>
      <c r="D10835" s="49">
        <v>263736.0</v>
      </c>
    </row>
    <row r="10836" ht="15.0" hidden="1" customHeight="1">
      <c r="A10836" s="49" t="s">
        <v>659</v>
      </c>
      <c r="B10836" s="50">
        <v>45838.0</v>
      </c>
      <c r="C10836" s="49" t="s">
        <v>777</v>
      </c>
      <c r="D10836" s="49">
        <v>1799829.24</v>
      </c>
    </row>
    <row r="10837" ht="15.0" hidden="1" customHeight="1">
      <c r="A10837" s="49" t="s">
        <v>664</v>
      </c>
      <c r="B10837" s="50">
        <v>45838.0</v>
      </c>
      <c r="C10837" s="49" t="s">
        <v>777</v>
      </c>
      <c r="D10837" s="49">
        <v>0.0</v>
      </c>
    </row>
    <row r="10838" ht="15.0" hidden="1" customHeight="1">
      <c r="A10838" s="49" t="s">
        <v>669</v>
      </c>
      <c r="B10838" s="50">
        <v>45838.0</v>
      </c>
      <c r="C10838" s="49" t="s">
        <v>777</v>
      </c>
      <c r="D10838" s="49">
        <v>1540000.0</v>
      </c>
    </row>
    <row r="10839" ht="15.0" hidden="1" customHeight="1">
      <c r="A10839" s="49" t="s">
        <v>674</v>
      </c>
      <c r="B10839" s="50">
        <v>45838.0</v>
      </c>
      <c r="C10839" s="49" t="s">
        <v>777</v>
      </c>
      <c r="D10839" s="49">
        <v>1000000.0</v>
      </c>
    </row>
    <row r="10840" ht="15.0" hidden="1" customHeight="1">
      <c r="A10840" s="49" t="s">
        <v>679</v>
      </c>
      <c r="B10840" s="50">
        <v>45838.0</v>
      </c>
      <c r="C10840" s="49" t="s">
        <v>777</v>
      </c>
      <c r="D10840" s="49">
        <v>1000000.0</v>
      </c>
    </row>
    <row r="10841" ht="15.0" hidden="1" customHeight="1">
      <c r="A10841" s="49" t="s">
        <v>684</v>
      </c>
      <c r="B10841" s="50">
        <v>45838.0</v>
      </c>
      <c r="C10841" s="49" t="s">
        <v>777</v>
      </c>
      <c r="D10841" s="49">
        <v>0.0</v>
      </c>
    </row>
    <row r="10842" ht="15.0" hidden="1" customHeight="1">
      <c r="A10842" s="49" t="s">
        <v>689</v>
      </c>
      <c r="B10842" s="50">
        <v>45838.0</v>
      </c>
      <c r="C10842" s="49" t="s">
        <v>777</v>
      </c>
      <c r="D10842" s="49">
        <v>0.0</v>
      </c>
    </row>
    <row r="10843" ht="15.0" hidden="1" customHeight="1">
      <c r="A10843" s="49" t="s">
        <v>694</v>
      </c>
      <c r="B10843" s="50">
        <v>45838.0</v>
      </c>
      <c r="C10843" s="49" t="s">
        <v>777</v>
      </c>
      <c r="D10843" s="49">
        <v>0.0</v>
      </c>
    </row>
    <row r="10844" ht="15.0" hidden="1" customHeight="1">
      <c r="A10844" s="49" t="s">
        <v>699</v>
      </c>
      <c r="B10844" s="50">
        <v>45838.0</v>
      </c>
      <c r="C10844" s="49" t="s">
        <v>777</v>
      </c>
      <c r="D10844" s="49">
        <v>0.0</v>
      </c>
    </row>
    <row r="10845" ht="15.0" hidden="1" customHeight="1">
      <c r="A10845" s="49" t="s">
        <v>705</v>
      </c>
      <c r="B10845" s="50">
        <v>45838.0</v>
      </c>
      <c r="C10845" s="49" t="s">
        <v>777</v>
      </c>
      <c r="D10845" s="49">
        <v>0.0</v>
      </c>
    </row>
    <row r="10846" ht="15.0" hidden="1" customHeight="1">
      <c r="A10846" s="49" t="s">
        <v>710</v>
      </c>
      <c r="B10846" s="50">
        <v>45838.0</v>
      </c>
      <c r="C10846" s="49" t="s">
        <v>777</v>
      </c>
      <c r="D10846" s="49">
        <v>0.0</v>
      </c>
    </row>
    <row r="10847" ht="15.0" hidden="1" customHeight="1">
      <c r="A10847" s="49" t="s">
        <v>715</v>
      </c>
      <c r="B10847" s="50">
        <v>45838.0</v>
      </c>
      <c r="C10847" s="49" t="s">
        <v>777</v>
      </c>
      <c r="D10847" s="49">
        <v>0.0</v>
      </c>
    </row>
    <row r="10848" ht="15.0" hidden="1" customHeight="1">
      <c r="A10848" s="49" t="s">
        <v>765</v>
      </c>
      <c r="B10848" s="50">
        <v>45838.0</v>
      </c>
      <c r="C10848" s="49" t="s">
        <v>777</v>
      </c>
      <c r="D10848" s="49">
        <v>0.0</v>
      </c>
    </row>
    <row r="10849" ht="15.0" hidden="1" customHeight="1">
      <c r="A10849" s="49" t="s">
        <v>720</v>
      </c>
      <c r="B10849" s="50">
        <v>45838.0</v>
      </c>
      <c r="C10849" s="49" t="s">
        <v>777</v>
      </c>
      <c r="D10849" s="49">
        <v>0.0</v>
      </c>
    </row>
    <row r="10850" ht="15.0" hidden="1" customHeight="1">
      <c r="A10850" s="49" t="s">
        <v>725</v>
      </c>
      <c r="B10850" s="50">
        <v>45838.0</v>
      </c>
      <c r="C10850" s="49" t="s">
        <v>777</v>
      </c>
      <c r="D10850" s="49">
        <v>0.0</v>
      </c>
    </row>
    <row r="10851" ht="15.0" hidden="1" customHeight="1">
      <c r="A10851" s="49" t="s">
        <v>730</v>
      </c>
      <c r="B10851" s="50">
        <v>45838.0</v>
      </c>
      <c r="C10851" s="49" t="s">
        <v>777</v>
      </c>
      <c r="D10851" s="49">
        <v>0.0</v>
      </c>
    </row>
    <row r="10852" ht="15.0" hidden="1" customHeight="1">
      <c r="A10852" s="49" t="s">
        <v>734</v>
      </c>
      <c r="B10852" s="50">
        <v>45838.0</v>
      </c>
      <c r="C10852" s="49" t="s">
        <v>777</v>
      </c>
      <c r="D10852" s="49">
        <v>0.0</v>
      </c>
    </row>
    <row r="10853" ht="15.0" hidden="1" customHeight="1">
      <c r="A10853" s="49" t="s">
        <v>739</v>
      </c>
      <c r="B10853" s="50">
        <v>45838.0</v>
      </c>
      <c r="C10853" s="49" t="s">
        <v>777</v>
      </c>
      <c r="D10853" s="49">
        <v>0.0</v>
      </c>
    </row>
    <row r="10854" ht="15.0" hidden="1" customHeight="1">
      <c r="A10854" s="49" t="s">
        <v>744</v>
      </c>
      <c r="B10854" s="50">
        <v>45838.0</v>
      </c>
      <c r="C10854" s="49" t="s">
        <v>777</v>
      </c>
      <c r="D10854" s="49">
        <v>0.0</v>
      </c>
    </row>
    <row r="10855" ht="15.0" hidden="1" customHeight="1">
      <c r="A10855" s="49" t="s">
        <v>749</v>
      </c>
      <c r="B10855" s="50">
        <v>45838.0</v>
      </c>
      <c r="C10855" s="49" t="s">
        <v>777</v>
      </c>
      <c r="D10855" s="49">
        <v>0.0</v>
      </c>
    </row>
    <row r="10856" ht="15.0" customHeight="1">
      <c r="A10856" s="49" t="s">
        <v>776</v>
      </c>
      <c r="B10856" s="50">
        <v>45838.0</v>
      </c>
      <c r="C10856" s="49" t="s">
        <v>78</v>
      </c>
      <c r="D10856" s="49">
        <v>0.0</v>
      </c>
    </row>
    <row r="10857" ht="15.0" hidden="1" customHeight="1">
      <c r="A10857" s="49" t="s">
        <v>778</v>
      </c>
      <c r="B10857" s="50">
        <v>45838.0</v>
      </c>
      <c r="C10857" s="49" t="s">
        <v>78</v>
      </c>
      <c r="D10857" s="49">
        <v>0.0</v>
      </c>
    </row>
    <row r="10858" ht="15.0" hidden="1" customHeight="1">
      <c r="A10858" s="49" t="s">
        <v>92</v>
      </c>
      <c r="B10858" s="50">
        <v>45838.0</v>
      </c>
      <c r="C10858" s="49" t="s">
        <v>78</v>
      </c>
      <c r="D10858" s="49">
        <v>0.0</v>
      </c>
    </row>
    <row r="10859" ht="15.0" hidden="1" customHeight="1">
      <c r="A10859" s="49" t="s">
        <v>97</v>
      </c>
      <c r="B10859" s="50">
        <v>45838.0</v>
      </c>
      <c r="C10859" s="49" t="s">
        <v>78</v>
      </c>
      <c r="D10859" s="49">
        <v>0.0</v>
      </c>
    </row>
    <row r="10860" ht="15.0" hidden="1" customHeight="1">
      <c r="A10860" s="49" t="s">
        <v>102</v>
      </c>
      <c r="B10860" s="50">
        <v>45838.0</v>
      </c>
      <c r="C10860" s="49" t="s">
        <v>78</v>
      </c>
      <c r="D10860" s="49">
        <v>0.0</v>
      </c>
    </row>
    <row r="10861" ht="15.0" hidden="1" customHeight="1">
      <c r="A10861" s="49" t="s">
        <v>106</v>
      </c>
      <c r="B10861" s="50">
        <v>45838.0</v>
      </c>
      <c r="C10861" s="49" t="s">
        <v>78</v>
      </c>
      <c r="D10861" s="49">
        <v>0.0</v>
      </c>
    </row>
    <row r="10862" ht="15.0" hidden="1" customHeight="1">
      <c r="A10862" s="49" t="s">
        <v>111</v>
      </c>
      <c r="B10862" s="50">
        <v>45838.0</v>
      </c>
      <c r="C10862" s="49" t="s">
        <v>78</v>
      </c>
      <c r="D10862" s="49">
        <v>0.0</v>
      </c>
    </row>
    <row r="10863" ht="15.0" hidden="1" customHeight="1">
      <c r="A10863" s="49" t="s">
        <v>116</v>
      </c>
      <c r="B10863" s="50">
        <v>45838.0</v>
      </c>
      <c r="C10863" s="49" t="s">
        <v>78</v>
      </c>
      <c r="D10863" s="49">
        <v>0.0</v>
      </c>
    </row>
    <row r="10864" ht="15.0" hidden="1" customHeight="1">
      <c r="A10864" s="49" t="s">
        <v>120</v>
      </c>
      <c r="B10864" s="50">
        <v>45838.0</v>
      </c>
      <c r="C10864" s="49" t="s">
        <v>78</v>
      </c>
      <c r="D10864" s="49">
        <v>0.0</v>
      </c>
    </row>
    <row r="10865" ht="15.0" hidden="1" customHeight="1">
      <c r="A10865" s="49" t="s">
        <v>125</v>
      </c>
      <c r="B10865" s="50">
        <v>45838.0</v>
      </c>
      <c r="C10865" s="49" t="s">
        <v>78</v>
      </c>
      <c r="D10865" s="49">
        <v>0.0</v>
      </c>
    </row>
    <row r="10866" ht="15.0" hidden="1" customHeight="1">
      <c r="A10866" s="49" t="s">
        <v>130</v>
      </c>
      <c r="B10866" s="50">
        <v>45838.0</v>
      </c>
      <c r="C10866" s="49" t="s">
        <v>78</v>
      </c>
      <c r="D10866" s="49">
        <v>0.0</v>
      </c>
    </row>
    <row r="10867" ht="15.0" hidden="1" customHeight="1">
      <c r="A10867" s="49" t="s">
        <v>137</v>
      </c>
      <c r="B10867" s="50">
        <v>45838.0</v>
      </c>
      <c r="C10867" s="49" t="s">
        <v>78</v>
      </c>
      <c r="D10867" s="49">
        <v>0.0</v>
      </c>
    </row>
    <row r="10868" ht="15.0" hidden="1" customHeight="1">
      <c r="A10868" s="49" t="s">
        <v>142</v>
      </c>
      <c r="B10868" s="50">
        <v>45838.0</v>
      </c>
      <c r="C10868" s="49" t="s">
        <v>78</v>
      </c>
      <c r="D10868" s="49">
        <v>0.0</v>
      </c>
    </row>
    <row r="10869" ht="15.0" hidden="1" customHeight="1">
      <c r="A10869" s="49" t="s">
        <v>147</v>
      </c>
      <c r="B10869" s="50">
        <v>45838.0</v>
      </c>
      <c r="C10869" s="49" t="s">
        <v>78</v>
      </c>
      <c r="D10869" s="49">
        <v>0.0</v>
      </c>
    </row>
    <row r="10870" ht="15.0" hidden="1" customHeight="1">
      <c r="A10870" s="49" t="s">
        <v>152</v>
      </c>
      <c r="B10870" s="50">
        <v>45838.0</v>
      </c>
      <c r="C10870" s="49" t="s">
        <v>78</v>
      </c>
      <c r="D10870" s="49">
        <v>0.0</v>
      </c>
    </row>
    <row r="10871" ht="15.0" hidden="1" customHeight="1">
      <c r="A10871" s="49" t="s">
        <v>157</v>
      </c>
      <c r="B10871" s="50">
        <v>45838.0</v>
      </c>
      <c r="C10871" s="49" t="s">
        <v>78</v>
      </c>
      <c r="D10871" s="49">
        <v>0.0</v>
      </c>
    </row>
    <row r="10872" ht="15.0" hidden="1" customHeight="1">
      <c r="A10872" s="49" t="s">
        <v>162</v>
      </c>
      <c r="B10872" s="50">
        <v>45838.0</v>
      </c>
      <c r="C10872" s="49" t="s">
        <v>78</v>
      </c>
      <c r="D10872" s="49">
        <v>0.0</v>
      </c>
    </row>
    <row r="10873" ht="15.0" hidden="1" customHeight="1">
      <c r="A10873" s="49" t="s">
        <v>167</v>
      </c>
      <c r="B10873" s="50">
        <v>45838.0</v>
      </c>
      <c r="C10873" s="49" t="s">
        <v>78</v>
      </c>
      <c r="D10873" s="49">
        <v>0.0</v>
      </c>
    </row>
    <row r="10874" ht="15.0" hidden="1" customHeight="1">
      <c r="A10874" s="49" t="s">
        <v>172</v>
      </c>
      <c r="B10874" s="50">
        <v>45838.0</v>
      </c>
      <c r="C10874" s="49" t="s">
        <v>78</v>
      </c>
      <c r="D10874" s="49">
        <v>0.0</v>
      </c>
    </row>
    <row r="10875" ht="15.0" hidden="1" customHeight="1">
      <c r="A10875" s="49" t="s">
        <v>177</v>
      </c>
      <c r="B10875" s="50">
        <v>45838.0</v>
      </c>
      <c r="C10875" s="49" t="s">
        <v>78</v>
      </c>
      <c r="D10875" s="49">
        <v>0.0</v>
      </c>
    </row>
    <row r="10876" ht="15.0" hidden="1" customHeight="1">
      <c r="A10876" s="49" t="s">
        <v>182</v>
      </c>
      <c r="B10876" s="50">
        <v>45838.0</v>
      </c>
      <c r="C10876" s="49" t="s">
        <v>78</v>
      </c>
      <c r="D10876" s="49">
        <v>0.0</v>
      </c>
    </row>
    <row r="10877" ht="15.0" hidden="1" customHeight="1">
      <c r="A10877" s="49" t="s">
        <v>187</v>
      </c>
      <c r="B10877" s="50">
        <v>45838.0</v>
      </c>
      <c r="C10877" s="49" t="s">
        <v>78</v>
      </c>
      <c r="D10877" s="49">
        <v>0.0</v>
      </c>
    </row>
    <row r="10878" ht="15.0" hidden="1" customHeight="1">
      <c r="A10878" s="49" t="s">
        <v>192</v>
      </c>
      <c r="B10878" s="50">
        <v>45838.0</v>
      </c>
      <c r="C10878" s="49" t="s">
        <v>78</v>
      </c>
      <c r="D10878" s="49">
        <v>0.0</v>
      </c>
    </row>
    <row r="10879" ht="15.0" hidden="1" customHeight="1">
      <c r="A10879" s="49" t="s">
        <v>197</v>
      </c>
      <c r="B10879" s="50">
        <v>45838.0</v>
      </c>
      <c r="C10879" s="49" t="s">
        <v>78</v>
      </c>
      <c r="D10879" s="49">
        <v>0.0</v>
      </c>
    </row>
    <row r="10880" ht="15.0" hidden="1" customHeight="1">
      <c r="A10880" s="49" t="s">
        <v>202</v>
      </c>
      <c r="B10880" s="50">
        <v>45838.0</v>
      </c>
      <c r="C10880" s="49" t="s">
        <v>78</v>
      </c>
      <c r="D10880" s="49">
        <v>0.0</v>
      </c>
    </row>
    <row r="10881" ht="15.0" hidden="1" customHeight="1">
      <c r="A10881" s="49" t="s">
        <v>206</v>
      </c>
      <c r="B10881" s="50">
        <v>45838.0</v>
      </c>
      <c r="C10881" s="49" t="s">
        <v>78</v>
      </c>
      <c r="D10881" s="49">
        <v>0.0</v>
      </c>
    </row>
    <row r="10882" ht="15.0" hidden="1" customHeight="1">
      <c r="A10882" s="49" t="s">
        <v>211</v>
      </c>
      <c r="B10882" s="50">
        <v>45838.0</v>
      </c>
      <c r="C10882" s="49" t="s">
        <v>78</v>
      </c>
      <c r="D10882" s="49">
        <v>0.0</v>
      </c>
    </row>
    <row r="10883" ht="15.0" hidden="1" customHeight="1">
      <c r="A10883" s="49" t="s">
        <v>779</v>
      </c>
      <c r="B10883" s="50">
        <v>45838.0</v>
      </c>
      <c r="C10883" s="49" t="s">
        <v>78</v>
      </c>
      <c r="D10883" s="49">
        <v>0.0</v>
      </c>
    </row>
    <row r="10884" ht="15.0" hidden="1" customHeight="1">
      <c r="A10884" s="49" t="s">
        <v>221</v>
      </c>
      <c r="B10884" s="50">
        <v>45838.0</v>
      </c>
      <c r="C10884" s="49" t="s">
        <v>78</v>
      </c>
      <c r="D10884" s="49">
        <v>0.0</v>
      </c>
    </row>
    <row r="10885" ht="15.0" hidden="1" customHeight="1">
      <c r="A10885" s="49" t="s">
        <v>226</v>
      </c>
      <c r="B10885" s="50">
        <v>45838.0</v>
      </c>
      <c r="C10885" s="49" t="s">
        <v>78</v>
      </c>
      <c r="D10885" s="49">
        <v>0.0</v>
      </c>
    </row>
    <row r="10886" ht="15.0" hidden="1" customHeight="1">
      <c r="A10886" s="49" t="s">
        <v>231</v>
      </c>
      <c r="B10886" s="50">
        <v>45838.0</v>
      </c>
      <c r="C10886" s="49" t="s">
        <v>78</v>
      </c>
      <c r="D10886" s="49">
        <v>0.0</v>
      </c>
    </row>
    <row r="10887" ht="15.0" hidden="1" customHeight="1">
      <c r="A10887" s="49" t="s">
        <v>236</v>
      </c>
      <c r="B10887" s="50">
        <v>45838.0</v>
      </c>
      <c r="C10887" s="49" t="s">
        <v>78</v>
      </c>
      <c r="D10887" s="49">
        <v>0.0</v>
      </c>
    </row>
    <row r="10888" ht="15.0" hidden="1" customHeight="1">
      <c r="A10888" s="49" t="s">
        <v>242</v>
      </c>
      <c r="B10888" s="50">
        <v>45838.0</v>
      </c>
      <c r="C10888" s="49" t="s">
        <v>78</v>
      </c>
      <c r="D10888" s="49">
        <v>0.0</v>
      </c>
    </row>
    <row r="10889" ht="15.0" hidden="1" customHeight="1">
      <c r="A10889" s="49" t="s">
        <v>248</v>
      </c>
      <c r="B10889" s="50">
        <v>45838.0</v>
      </c>
      <c r="C10889" s="49" t="s">
        <v>78</v>
      </c>
      <c r="D10889" s="49">
        <v>0.0</v>
      </c>
    </row>
    <row r="10890" ht="15.0" hidden="1" customHeight="1">
      <c r="A10890" s="49" t="s">
        <v>253</v>
      </c>
      <c r="B10890" s="50">
        <v>45838.0</v>
      </c>
      <c r="C10890" s="49" t="s">
        <v>78</v>
      </c>
      <c r="D10890" s="49">
        <v>0.0</v>
      </c>
    </row>
    <row r="10891" ht="15.0" hidden="1" customHeight="1">
      <c r="A10891" s="49" t="s">
        <v>258</v>
      </c>
      <c r="B10891" s="50">
        <v>45838.0</v>
      </c>
      <c r="C10891" s="49" t="s">
        <v>78</v>
      </c>
      <c r="D10891" s="49">
        <v>0.0</v>
      </c>
    </row>
    <row r="10892" ht="15.0" hidden="1" customHeight="1">
      <c r="A10892" s="49" t="s">
        <v>263</v>
      </c>
      <c r="B10892" s="50">
        <v>45838.0</v>
      </c>
      <c r="C10892" s="49" t="s">
        <v>78</v>
      </c>
      <c r="D10892" s="49">
        <v>0.0</v>
      </c>
    </row>
    <row r="10893" ht="15.0" hidden="1" customHeight="1">
      <c r="A10893" s="49" t="s">
        <v>268</v>
      </c>
      <c r="B10893" s="50">
        <v>45838.0</v>
      </c>
      <c r="C10893" s="49" t="s">
        <v>78</v>
      </c>
      <c r="D10893" s="49">
        <v>0.0</v>
      </c>
    </row>
    <row r="10894" ht="15.0" hidden="1" customHeight="1">
      <c r="A10894" s="49" t="s">
        <v>273</v>
      </c>
      <c r="B10894" s="50">
        <v>45838.0</v>
      </c>
      <c r="C10894" s="49" t="s">
        <v>78</v>
      </c>
      <c r="D10894" s="49">
        <v>0.0</v>
      </c>
    </row>
    <row r="10895" ht="15.0" hidden="1" customHeight="1">
      <c r="A10895" s="49" t="s">
        <v>278</v>
      </c>
      <c r="B10895" s="50">
        <v>45838.0</v>
      </c>
      <c r="C10895" s="49" t="s">
        <v>78</v>
      </c>
      <c r="D10895" s="49">
        <v>0.0</v>
      </c>
    </row>
    <row r="10896" ht="15.0" hidden="1" customHeight="1">
      <c r="A10896" s="49" t="s">
        <v>283</v>
      </c>
      <c r="B10896" s="50">
        <v>45838.0</v>
      </c>
      <c r="C10896" s="49" t="s">
        <v>78</v>
      </c>
      <c r="D10896" s="49">
        <v>0.0</v>
      </c>
    </row>
    <row r="10897" ht="15.0" hidden="1" customHeight="1">
      <c r="A10897" s="49" t="s">
        <v>288</v>
      </c>
      <c r="B10897" s="50">
        <v>45838.0</v>
      </c>
      <c r="C10897" s="49" t="s">
        <v>78</v>
      </c>
      <c r="D10897" s="49">
        <v>0.0</v>
      </c>
    </row>
    <row r="10898" ht="15.0" hidden="1" customHeight="1">
      <c r="A10898" s="49" t="s">
        <v>293</v>
      </c>
      <c r="B10898" s="50">
        <v>45838.0</v>
      </c>
      <c r="C10898" s="49" t="s">
        <v>78</v>
      </c>
      <c r="D10898" s="49">
        <v>0.0</v>
      </c>
    </row>
    <row r="10899" ht="15.0" hidden="1" customHeight="1">
      <c r="A10899" s="49" t="s">
        <v>298</v>
      </c>
      <c r="B10899" s="50">
        <v>45838.0</v>
      </c>
      <c r="C10899" s="49" t="s">
        <v>78</v>
      </c>
      <c r="D10899" s="49">
        <v>0.0</v>
      </c>
    </row>
    <row r="10900" ht="15.0" hidden="1" customHeight="1">
      <c r="A10900" s="49" t="s">
        <v>303</v>
      </c>
      <c r="B10900" s="50">
        <v>45838.0</v>
      </c>
      <c r="C10900" s="49" t="s">
        <v>78</v>
      </c>
      <c r="D10900" s="49">
        <v>0.0</v>
      </c>
    </row>
    <row r="10901" ht="15.0" hidden="1" customHeight="1">
      <c r="A10901" s="49" t="s">
        <v>307</v>
      </c>
      <c r="B10901" s="50">
        <v>45838.0</v>
      </c>
      <c r="C10901" s="49" t="s">
        <v>78</v>
      </c>
      <c r="D10901" s="49">
        <v>0.0</v>
      </c>
    </row>
    <row r="10902" ht="15.0" hidden="1" customHeight="1">
      <c r="A10902" s="49" t="s">
        <v>313</v>
      </c>
      <c r="B10902" s="50">
        <v>45838.0</v>
      </c>
      <c r="C10902" s="49" t="s">
        <v>78</v>
      </c>
      <c r="D10902" s="49">
        <v>0.0</v>
      </c>
    </row>
    <row r="10903" ht="15.0" hidden="1" customHeight="1">
      <c r="A10903" s="49" t="s">
        <v>318</v>
      </c>
      <c r="B10903" s="50">
        <v>45838.0</v>
      </c>
      <c r="C10903" s="49" t="s">
        <v>78</v>
      </c>
      <c r="D10903" s="49">
        <v>0.0</v>
      </c>
    </row>
    <row r="10904" ht="15.0" hidden="1" customHeight="1">
      <c r="A10904" s="49" t="s">
        <v>323</v>
      </c>
      <c r="B10904" s="50">
        <v>45838.0</v>
      </c>
      <c r="C10904" s="49" t="s">
        <v>78</v>
      </c>
      <c r="D10904" s="49">
        <v>0.0</v>
      </c>
    </row>
    <row r="10905" ht="15.0" hidden="1" customHeight="1">
      <c r="A10905" s="49" t="s">
        <v>328</v>
      </c>
      <c r="B10905" s="50">
        <v>45838.0</v>
      </c>
      <c r="C10905" s="49" t="s">
        <v>78</v>
      </c>
      <c r="D10905" s="49">
        <v>0.0</v>
      </c>
    </row>
    <row r="10906" ht="15.0" hidden="1" customHeight="1">
      <c r="A10906" s="49" t="s">
        <v>335</v>
      </c>
      <c r="B10906" s="50">
        <v>45838.0</v>
      </c>
      <c r="C10906" s="49" t="s">
        <v>78</v>
      </c>
      <c r="D10906" s="49">
        <v>0.0</v>
      </c>
    </row>
    <row r="10907" ht="15.0" hidden="1" customHeight="1">
      <c r="A10907" s="49" t="s">
        <v>340</v>
      </c>
      <c r="B10907" s="50">
        <v>45838.0</v>
      </c>
      <c r="C10907" s="49" t="s">
        <v>78</v>
      </c>
      <c r="D10907" s="49">
        <v>0.0</v>
      </c>
    </row>
    <row r="10908" ht="15.0" hidden="1" customHeight="1">
      <c r="A10908" s="49" t="s">
        <v>345</v>
      </c>
      <c r="B10908" s="50">
        <v>45838.0</v>
      </c>
      <c r="C10908" s="49" t="s">
        <v>78</v>
      </c>
      <c r="D10908" s="49">
        <v>0.0</v>
      </c>
    </row>
    <row r="10909" ht="15.0" hidden="1" customHeight="1">
      <c r="A10909" s="49" t="s">
        <v>350</v>
      </c>
      <c r="B10909" s="50">
        <v>45838.0</v>
      </c>
      <c r="C10909" s="49" t="s">
        <v>78</v>
      </c>
      <c r="D10909" s="49">
        <v>0.0</v>
      </c>
    </row>
    <row r="10910" ht="15.0" hidden="1" customHeight="1">
      <c r="A10910" s="49" t="s">
        <v>355</v>
      </c>
      <c r="B10910" s="50">
        <v>45838.0</v>
      </c>
      <c r="C10910" s="49" t="s">
        <v>78</v>
      </c>
      <c r="D10910" s="49">
        <v>0.0</v>
      </c>
    </row>
    <row r="10911" ht="15.0" hidden="1" customHeight="1">
      <c r="A10911" s="49" t="s">
        <v>360</v>
      </c>
      <c r="B10911" s="50">
        <v>45838.0</v>
      </c>
      <c r="C10911" s="49" t="s">
        <v>78</v>
      </c>
      <c r="D10911" s="49">
        <v>0.0</v>
      </c>
    </row>
    <row r="10912" ht="15.0" hidden="1" customHeight="1">
      <c r="A10912" s="49" t="s">
        <v>365</v>
      </c>
      <c r="B10912" s="50">
        <v>45838.0</v>
      </c>
      <c r="C10912" s="49" t="s">
        <v>78</v>
      </c>
      <c r="D10912" s="49">
        <v>0.0</v>
      </c>
    </row>
    <row r="10913" ht="15.0" hidden="1" customHeight="1">
      <c r="A10913" s="49" t="s">
        <v>370</v>
      </c>
      <c r="B10913" s="50">
        <v>45838.0</v>
      </c>
      <c r="C10913" s="49" t="s">
        <v>78</v>
      </c>
      <c r="D10913" s="49">
        <v>0.0</v>
      </c>
    </row>
    <row r="10914" ht="15.0" hidden="1" customHeight="1">
      <c r="A10914" s="49" t="s">
        <v>375</v>
      </c>
      <c r="B10914" s="50">
        <v>45838.0</v>
      </c>
      <c r="C10914" s="49" t="s">
        <v>78</v>
      </c>
      <c r="D10914" s="49">
        <v>0.0</v>
      </c>
    </row>
    <row r="10915" ht="15.0" hidden="1" customHeight="1">
      <c r="A10915" s="49" t="s">
        <v>380</v>
      </c>
      <c r="B10915" s="50">
        <v>45838.0</v>
      </c>
      <c r="C10915" s="49" t="s">
        <v>78</v>
      </c>
      <c r="D10915" s="49">
        <v>0.0</v>
      </c>
    </row>
    <row r="10916" ht="15.0" hidden="1" customHeight="1">
      <c r="A10916" s="49" t="s">
        <v>385</v>
      </c>
      <c r="B10916" s="50">
        <v>45838.0</v>
      </c>
      <c r="C10916" s="49" t="s">
        <v>78</v>
      </c>
      <c r="D10916" s="49">
        <v>0.0</v>
      </c>
    </row>
    <row r="10917" ht="15.0" hidden="1" customHeight="1">
      <c r="A10917" s="49" t="s">
        <v>390</v>
      </c>
      <c r="B10917" s="50">
        <v>45838.0</v>
      </c>
      <c r="C10917" s="49" t="s">
        <v>78</v>
      </c>
      <c r="D10917" s="49">
        <v>0.0</v>
      </c>
    </row>
    <row r="10918" ht="15.0" hidden="1" customHeight="1">
      <c r="A10918" s="49" t="s">
        <v>395</v>
      </c>
      <c r="B10918" s="50">
        <v>45838.0</v>
      </c>
      <c r="C10918" s="49" t="s">
        <v>78</v>
      </c>
      <c r="D10918" s="49">
        <v>0.0</v>
      </c>
    </row>
    <row r="10919" ht="15.0" hidden="1" customHeight="1">
      <c r="A10919" s="49" t="s">
        <v>400</v>
      </c>
      <c r="B10919" s="50">
        <v>45838.0</v>
      </c>
      <c r="C10919" s="49" t="s">
        <v>78</v>
      </c>
      <c r="D10919" s="49">
        <v>0.0</v>
      </c>
    </row>
    <row r="10920" ht="15.0" hidden="1" customHeight="1">
      <c r="A10920" s="49" t="s">
        <v>405</v>
      </c>
      <c r="B10920" s="50">
        <v>45838.0</v>
      </c>
      <c r="C10920" s="49" t="s">
        <v>78</v>
      </c>
      <c r="D10920" s="49">
        <v>0.0</v>
      </c>
    </row>
    <row r="10921" ht="15.0" hidden="1" customHeight="1">
      <c r="A10921" s="49" t="s">
        <v>410</v>
      </c>
      <c r="B10921" s="50">
        <v>45838.0</v>
      </c>
      <c r="C10921" s="49" t="s">
        <v>78</v>
      </c>
      <c r="D10921" s="49">
        <v>0.0</v>
      </c>
    </row>
    <row r="10922" ht="15.0" hidden="1" customHeight="1">
      <c r="A10922" s="49" t="s">
        <v>415</v>
      </c>
      <c r="B10922" s="50">
        <v>45838.0</v>
      </c>
      <c r="C10922" s="49" t="s">
        <v>78</v>
      </c>
      <c r="D10922" s="49">
        <v>0.0</v>
      </c>
    </row>
    <row r="10923" ht="15.0" hidden="1" customHeight="1">
      <c r="A10923" s="49" t="s">
        <v>420</v>
      </c>
      <c r="B10923" s="50">
        <v>45838.0</v>
      </c>
      <c r="C10923" s="49" t="s">
        <v>78</v>
      </c>
      <c r="D10923" s="49">
        <v>0.0</v>
      </c>
    </row>
    <row r="10924" ht="15.0" hidden="1" customHeight="1">
      <c r="A10924" s="49" t="s">
        <v>425</v>
      </c>
      <c r="B10924" s="50">
        <v>45838.0</v>
      </c>
      <c r="C10924" s="49" t="s">
        <v>78</v>
      </c>
      <c r="D10924" s="49">
        <v>0.0</v>
      </c>
    </row>
    <row r="10925" ht="15.0" hidden="1" customHeight="1">
      <c r="A10925" s="49" t="s">
        <v>430</v>
      </c>
      <c r="B10925" s="50">
        <v>45838.0</v>
      </c>
      <c r="C10925" s="49" t="s">
        <v>78</v>
      </c>
      <c r="D10925" s="49">
        <v>0.0</v>
      </c>
    </row>
    <row r="10926" ht="15.0" hidden="1" customHeight="1">
      <c r="A10926" s="49" t="s">
        <v>434</v>
      </c>
      <c r="B10926" s="50">
        <v>45838.0</v>
      </c>
      <c r="C10926" s="49" t="s">
        <v>78</v>
      </c>
      <c r="D10926" s="49">
        <v>0.0</v>
      </c>
    </row>
    <row r="10927" ht="15.0" hidden="1" customHeight="1">
      <c r="A10927" s="49" t="s">
        <v>439</v>
      </c>
      <c r="B10927" s="50">
        <v>45838.0</v>
      </c>
      <c r="C10927" s="49" t="s">
        <v>78</v>
      </c>
      <c r="D10927" s="49">
        <v>0.0</v>
      </c>
    </row>
    <row r="10928" ht="15.0" hidden="1" customHeight="1">
      <c r="A10928" s="49" t="s">
        <v>444</v>
      </c>
      <c r="B10928" s="50">
        <v>45838.0</v>
      </c>
      <c r="C10928" s="49" t="s">
        <v>78</v>
      </c>
      <c r="D10928" s="49">
        <v>0.0</v>
      </c>
    </row>
    <row r="10929" ht="15.0" hidden="1" customHeight="1">
      <c r="A10929" s="49" t="s">
        <v>449</v>
      </c>
      <c r="B10929" s="50">
        <v>45838.0</v>
      </c>
      <c r="C10929" s="49" t="s">
        <v>78</v>
      </c>
      <c r="D10929" s="49">
        <v>0.0</v>
      </c>
    </row>
    <row r="10930" ht="15.0" hidden="1" customHeight="1">
      <c r="A10930" s="49" t="s">
        <v>455</v>
      </c>
      <c r="B10930" s="50">
        <v>45838.0</v>
      </c>
      <c r="C10930" s="49" t="s">
        <v>78</v>
      </c>
      <c r="D10930" s="49">
        <v>0.0</v>
      </c>
    </row>
    <row r="10931" ht="15.0" hidden="1" customHeight="1">
      <c r="A10931" s="49" t="s">
        <v>470</v>
      </c>
      <c r="B10931" s="50">
        <v>45838.0</v>
      </c>
      <c r="C10931" s="49" t="s">
        <v>78</v>
      </c>
      <c r="D10931" s="49">
        <v>0.0</v>
      </c>
    </row>
    <row r="10932" ht="15.0" hidden="1" customHeight="1">
      <c r="A10932" s="49" t="s">
        <v>476</v>
      </c>
      <c r="B10932" s="50">
        <v>45838.0</v>
      </c>
      <c r="C10932" s="49" t="s">
        <v>78</v>
      </c>
      <c r="D10932" s="49">
        <v>0.0</v>
      </c>
    </row>
    <row r="10933" ht="15.0" hidden="1" customHeight="1">
      <c r="A10933" s="49" t="s">
        <v>481</v>
      </c>
      <c r="B10933" s="50">
        <v>45838.0</v>
      </c>
      <c r="C10933" s="49" t="s">
        <v>78</v>
      </c>
      <c r="D10933" s="49">
        <v>0.0</v>
      </c>
    </row>
    <row r="10934" ht="15.0" hidden="1" customHeight="1">
      <c r="A10934" s="49" t="s">
        <v>486</v>
      </c>
      <c r="B10934" s="50">
        <v>45838.0</v>
      </c>
      <c r="C10934" s="49" t="s">
        <v>78</v>
      </c>
      <c r="D10934" s="49">
        <v>0.0</v>
      </c>
    </row>
    <row r="10935" ht="15.0" hidden="1" customHeight="1">
      <c r="A10935" s="49" t="s">
        <v>491</v>
      </c>
      <c r="B10935" s="50">
        <v>45838.0</v>
      </c>
      <c r="C10935" s="49" t="s">
        <v>78</v>
      </c>
      <c r="D10935" s="49">
        <v>0.0</v>
      </c>
    </row>
    <row r="10936" ht="15.0" hidden="1" customHeight="1">
      <c r="A10936" s="49" t="s">
        <v>496</v>
      </c>
      <c r="B10936" s="50">
        <v>45838.0</v>
      </c>
      <c r="C10936" s="49" t="s">
        <v>78</v>
      </c>
      <c r="D10936" s="49">
        <v>0.0</v>
      </c>
    </row>
    <row r="10937" ht="15.0" hidden="1" customHeight="1">
      <c r="A10937" s="49" t="s">
        <v>501</v>
      </c>
      <c r="B10937" s="50">
        <v>45838.0</v>
      </c>
      <c r="C10937" s="49" t="s">
        <v>78</v>
      </c>
      <c r="D10937" s="49">
        <v>0.0</v>
      </c>
    </row>
    <row r="10938" ht="15.0" hidden="1" customHeight="1">
      <c r="A10938" s="49" t="s">
        <v>506</v>
      </c>
      <c r="B10938" s="50">
        <v>45838.0</v>
      </c>
      <c r="C10938" s="49" t="s">
        <v>78</v>
      </c>
      <c r="D10938" s="49">
        <v>0.0</v>
      </c>
    </row>
    <row r="10939" ht="15.0" hidden="1" customHeight="1">
      <c r="A10939" s="49" t="s">
        <v>512</v>
      </c>
      <c r="B10939" s="50">
        <v>45838.0</v>
      </c>
      <c r="C10939" s="49" t="s">
        <v>78</v>
      </c>
      <c r="D10939" s="49">
        <v>0.0</v>
      </c>
    </row>
    <row r="10940" ht="15.0" hidden="1" customHeight="1">
      <c r="A10940" s="49" t="s">
        <v>517</v>
      </c>
      <c r="B10940" s="50">
        <v>45838.0</v>
      </c>
      <c r="C10940" s="49" t="s">
        <v>78</v>
      </c>
      <c r="D10940" s="49">
        <v>0.0</v>
      </c>
    </row>
    <row r="10941" ht="15.0" hidden="1" customHeight="1">
      <c r="A10941" s="49" t="s">
        <v>522</v>
      </c>
      <c r="B10941" s="50">
        <v>45838.0</v>
      </c>
      <c r="C10941" s="49" t="s">
        <v>78</v>
      </c>
      <c r="D10941" s="49">
        <v>0.0</v>
      </c>
    </row>
    <row r="10942" ht="15.0" hidden="1" customHeight="1">
      <c r="A10942" s="49" t="s">
        <v>528</v>
      </c>
      <c r="B10942" s="50">
        <v>45838.0</v>
      </c>
      <c r="C10942" s="49" t="s">
        <v>78</v>
      </c>
      <c r="D10942" s="49">
        <v>0.0</v>
      </c>
    </row>
    <row r="10943" ht="15.0" hidden="1" customHeight="1">
      <c r="A10943" s="49" t="s">
        <v>533</v>
      </c>
      <c r="B10943" s="50">
        <v>45838.0</v>
      </c>
      <c r="C10943" s="49" t="s">
        <v>78</v>
      </c>
      <c r="D10943" s="49">
        <v>0.0</v>
      </c>
    </row>
    <row r="10944" ht="15.0" hidden="1" customHeight="1">
      <c r="A10944" s="49" t="s">
        <v>538</v>
      </c>
      <c r="B10944" s="50">
        <v>45838.0</v>
      </c>
      <c r="C10944" s="49" t="s">
        <v>78</v>
      </c>
      <c r="D10944" s="49">
        <v>0.0</v>
      </c>
    </row>
    <row r="10945" ht="15.0" hidden="1" customHeight="1">
      <c r="A10945" s="49" t="s">
        <v>546</v>
      </c>
      <c r="B10945" s="50">
        <v>45838.0</v>
      </c>
      <c r="C10945" s="49" t="s">
        <v>78</v>
      </c>
      <c r="D10945" s="49">
        <v>0.0</v>
      </c>
    </row>
    <row r="10946" ht="15.0" hidden="1" customHeight="1">
      <c r="A10946" s="49" t="s">
        <v>551</v>
      </c>
      <c r="B10946" s="50">
        <v>45838.0</v>
      </c>
      <c r="C10946" s="49" t="s">
        <v>78</v>
      </c>
      <c r="D10946" s="49">
        <v>0.0</v>
      </c>
    </row>
    <row r="10947" ht="15.0" hidden="1" customHeight="1">
      <c r="A10947" s="49" t="s">
        <v>556</v>
      </c>
      <c r="B10947" s="50">
        <v>45838.0</v>
      </c>
      <c r="C10947" s="49" t="s">
        <v>78</v>
      </c>
      <c r="D10947" s="49">
        <v>0.0</v>
      </c>
    </row>
    <row r="10948" ht="15.0" hidden="1" customHeight="1">
      <c r="A10948" s="49" t="s">
        <v>561</v>
      </c>
      <c r="B10948" s="50">
        <v>45838.0</v>
      </c>
      <c r="C10948" s="49" t="s">
        <v>78</v>
      </c>
      <c r="D10948" s="49">
        <v>0.0</v>
      </c>
    </row>
    <row r="10949" ht="15.0" hidden="1" customHeight="1">
      <c r="A10949" s="49" t="s">
        <v>566</v>
      </c>
      <c r="B10949" s="50">
        <v>45838.0</v>
      </c>
      <c r="C10949" s="49" t="s">
        <v>78</v>
      </c>
      <c r="D10949" s="49">
        <v>250000.0</v>
      </c>
    </row>
    <row r="10950" ht="15.0" hidden="1" customHeight="1">
      <c r="A10950" s="49" t="s">
        <v>571</v>
      </c>
      <c r="B10950" s="50">
        <v>45838.0</v>
      </c>
      <c r="C10950" s="49" t="s">
        <v>78</v>
      </c>
      <c r="D10950" s="49">
        <v>0.0</v>
      </c>
    </row>
    <row r="10951" ht="15.0" hidden="1" customHeight="1">
      <c r="A10951" s="49" t="s">
        <v>576</v>
      </c>
      <c r="B10951" s="50">
        <v>45838.0</v>
      </c>
      <c r="C10951" s="49" t="s">
        <v>78</v>
      </c>
      <c r="D10951" s="49">
        <v>0.0</v>
      </c>
    </row>
    <row r="10952" ht="15.0" hidden="1" customHeight="1">
      <c r="A10952" s="49" t="s">
        <v>581</v>
      </c>
      <c r="B10952" s="50">
        <v>45838.0</v>
      </c>
      <c r="C10952" s="49" t="s">
        <v>78</v>
      </c>
      <c r="D10952" s="49">
        <v>0.0</v>
      </c>
    </row>
    <row r="10953" ht="15.0" hidden="1" customHeight="1">
      <c r="A10953" s="49" t="s">
        <v>586</v>
      </c>
      <c r="B10953" s="50">
        <v>45838.0</v>
      </c>
      <c r="C10953" s="49" t="s">
        <v>78</v>
      </c>
      <c r="D10953" s="49">
        <v>0.0</v>
      </c>
    </row>
    <row r="10954" ht="15.0" hidden="1" customHeight="1">
      <c r="A10954" s="49" t="s">
        <v>754</v>
      </c>
      <c r="B10954" s="50">
        <v>45838.0</v>
      </c>
      <c r="C10954" s="49" t="s">
        <v>78</v>
      </c>
      <c r="D10954" s="49">
        <v>0.0</v>
      </c>
    </row>
    <row r="10955" ht="15.0" hidden="1" customHeight="1">
      <c r="A10955" s="49" t="s">
        <v>591</v>
      </c>
      <c r="B10955" s="50">
        <v>45838.0</v>
      </c>
      <c r="C10955" s="49" t="s">
        <v>78</v>
      </c>
      <c r="D10955" s="49">
        <v>0.0</v>
      </c>
    </row>
    <row r="10956" ht="15.0" hidden="1" customHeight="1">
      <c r="A10956" s="49" t="s">
        <v>759</v>
      </c>
      <c r="B10956" s="50">
        <v>45838.0</v>
      </c>
      <c r="C10956" s="49" t="s">
        <v>78</v>
      </c>
      <c r="D10956" s="49">
        <v>0.0</v>
      </c>
    </row>
    <row r="10957" ht="15.0" hidden="1" customHeight="1">
      <c r="A10957" s="49" t="s">
        <v>596</v>
      </c>
      <c r="B10957" s="50">
        <v>45838.0</v>
      </c>
      <c r="C10957" s="49" t="s">
        <v>78</v>
      </c>
      <c r="D10957" s="49">
        <v>0.0</v>
      </c>
    </row>
    <row r="10958" ht="15.0" hidden="1" customHeight="1">
      <c r="A10958" s="49" t="s">
        <v>602</v>
      </c>
      <c r="B10958" s="50">
        <v>45838.0</v>
      </c>
      <c r="C10958" s="49" t="s">
        <v>78</v>
      </c>
      <c r="D10958" s="49">
        <v>0.0</v>
      </c>
    </row>
    <row r="10959" ht="15.0" hidden="1" customHeight="1">
      <c r="A10959" s="49" t="s">
        <v>607</v>
      </c>
      <c r="B10959" s="50">
        <v>45838.0</v>
      </c>
      <c r="C10959" s="49" t="s">
        <v>78</v>
      </c>
      <c r="D10959" s="49">
        <v>0.0</v>
      </c>
    </row>
    <row r="10960" ht="15.0" hidden="1" customHeight="1">
      <c r="A10960" s="49" t="s">
        <v>612</v>
      </c>
      <c r="B10960" s="50">
        <v>45838.0</v>
      </c>
      <c r="C10960" s="49" t="s">
        <v>78</v>
      </c>
      <c r="D10960" s="49">
        <v>0.0</v>
      </c>
    </row>
    <row r="10961" ht="15.0" hidden="1" customHeight="1">
      <c r="A10961" s="49" t="s">
        <v>617</v>
      </c>
      <c r="B10961" s="50">
        <v>45838.0</v>
      </c>
      <c r="C10961" s="49" t="s">
        <v>78</v>
      </c>
      <c r="D10961" s="49">
        <v>0.0</v>
      </c>
    </row>
    <row r="10962" ht="15.0" hidden="1" customHeight="1">
      <c r="A10962" s="49" t="s">
        <v>622</v>
      </c>
      <c r="B10962" s="50">
        <v>45838.0</v>
      </c>
      <c r="C10962" s="49" t="s">
        <v>78</v>
      </c>
      <c r="D10962" s="49">
        <v>0.0</v>
      </c>
    </row>
    <row r="10963" ht="15.0" hidden="1" customHeight="1">
      <c r="A10963" s="49" t="s">
        <v>627</v>
      </c>
      <c r="B10963" s="50">
        <v>45838.0</v>
      </c>
      <c r="C10963" s="49" t="s">
        <v>78</v>
      </c>
      <c r="D10963" s="49">
        <v>0.0</v>
      </c>
    </row>
    <row r="10964" ht="15.0" hidden="1" customHeight="1">
      <c r="A10964" s="49" t="s">
        <v>631</v>
      </c>
      <c r="B10964" s="50">
        <v>45838.0</v>
      </c>
      <c r="C10964" s="49" t="s">
        <v>78</v>
      </c>
      <c r="D10964" s="49">
        <v>1270000.0</v>
      </c>
    </row>
    <row r="10965" ht="15.0" hidden="1" customHeight="1">
      <c r="A10965" s="49" t="s">
        <v>636</v>
      </c>
      <c r="B10965" s="50">
        <v>45838.0</v>
      </c>
      <c r="C10965" s="49" t="s">
        <v>78</v>
      </c>
      <c r="D10965" s="49">
        <v>500000.0</v>
      </c>
    </row>
    <row r="10966" ht="15.0" hidden="1" customHeight="1">
      <c r="A10966" s="49" t="s">
        <v>640</v>
      </c>
      <c r="B10966" s="50">
        <v>45838.0</v>
      </c>
      <c r="C10966" s="49" t="s">
        <v>78</v>
      </c>
      <c r="D10966" s="49">
        <v>2255000.0</v>
      </c>
    </row>
    <row r="10967" ht="15.0" hidden="1" customHeight="1">
      <c r="A10967" s="49" t="s">
        <v>644</v>
      </c>
      <c r="B10967" s="50">
        <v>45838.0</v>
      </c>
      <c r="C10967" s="49" t="s">
        <v>78</v>
      </c>
      <c r="D10967" s="49">
        <v>0.0</v>
      </c>
    </row>
    <row r="10968" ht="15.0" hidden="1" customHeight="1">
      <c r="A10968" s="49" t="s">
        <v>649</v>
      </c>
      <c r="B10968" s="50">
        <v>45838.0</v>
      </c>
      <c r="C10968" s="49" t="s">
        <v>78</v>
      </c>
      <c r="D10968" s="49">
        <v>250000.0</v>
      </c>
    </row>
    <row r="10969" ht="15.0" hidden="1" customHeight="1">
      <c r="A10969" s="49" t="s">
        <v>654</v>
      </c>
      <c r="B10969" s="50">
        <v>45838.0</v>
      </c>
      <c r="C10969" s="49" t="s">
        <v>78</v>
      </c>
      <c r="D10969" s="49">
        <v>263736.0</v>
      </c>
    </row>
    <row r="10970" ht="15.0" hidden="1" customHeight="1">
      <c r="A10970" s="49" t="s">
        <v>659</v>
      </c>
      <c r="B10970" s="50">
        <v>45838.0</v>
      </c>
      <c r="C10970" s="49" t="s">
        <v>78</v>
      </c>
      <c r="D10970" s="49">
        <v>1799829.24</v>
      </c>
    </row>
    <row r="10971" ht="15.0" hidden="1" customHeight="1">
      <c r="A10971" s="49" t="s">
        <v>664</v>
      </c>
      <c r="B10971" s="50">
        <v>45838.0</v>
      </c>
      <c r="C10971" s="49" t="s">
        <v>78</v>
      </c>
      <c r="D10971" s="49">
        <v>0.0</v>
      </c>
    </row>
    <row r="10972" ht="15.0" hidden="1" customHeight="1">
      <c r="A10972" s="49" t="s">
        <v>669</v>
      </c>
      <c r="B10972" s="50">
        <v>45838.0</v>
      </c>
      <c r="C10972" s="49" t="s">
        <v>78</v>
      </c>
      <c r="D10972" s="49">
        <v>1540000.0</v>
      </c>
    </row>
    <row r="10973" ht="15.0" hidden="1" customHeight="1">
      <c r="A10973" s="49" t="s">
        <v>674</v>
      </c>
      <c r="B10973" s="50">
        <v>45838.0</v>
      </c>
      <c r="C10973" s="49" t="s">
        <v>78</v>
      </c>
      <c r="D10973" s="49">
        <v>1000000.0</v>
      </c>
    </row>
    <row r="10974" ht="15.0" hidden="1" customHeight="1">
      <c r="A10974" s="49" t="s">
        <v>679</v>
      </c>
      <c r="B10974" s="50">
        <v>45838.0</v>
      </c>
      <c r="C10974" s="49" t="s">
        <v>78</v>
      </c>
      <c r="D10974" s="49">
        <v>1000000.0</v>
      </c>
    </row>
    <row r="10975" ht="15.0" hidden="1" customHeight="1">
      <c r="A10975" s="49" t="s">
        <v>684</v>
      </c>
      <c r="B10975" s="50">
        <v>45838.0</v>
      </c>
      <c r="C10975" s="49" t="s">
        <v>78</v>
      </c>
      <c r="D10975" s="49">
        <v>0.0</v>
      </c>
    </row>
    <row r="10976" ht="15.0" hidden="1" customHeight="1">
      <c r="A10976" s="49" t="s">
        <v>689</v>
      </c>
      <c r="B10976" s="50">
        <v>45838.0</v>
      </c>
      <c r="C10976" s="49" t="s">
        <v>78</v>
      </c>
      <c r="D10976" s="49">
        <v>0.0</v>
      </c>
    </row>
    <row r="10977" ht="15.0" hidden="1" customHeight="1">
      <c r="A10977" s="49" t="s">
        <v>694</v>
      </c>
      <c r="B10977" s="50">
        <v>45838.0</v>
      </c>
      <c r="C10977" s="49" t="s">
        <v>78</v>
      </c>
      <c r="D10977" s="49">
        <v>0.0</v>
      </c>
    </row>
    <row r="10978" ht="15.0" hidden="1" customHeight="1">
      <c r="A10978" s="49" t="s">
        <v>699</v>
      </c>
      <c r="B10978" s="50">
        <v>45838.0</v>
      </c>
      <c r="C10978" s="49" t="s">
        <v>78</v>
      </c>
      <c r="D10978" s="49">
        <v>0.0</v>
      </c>
    </row>
    <row r="10979" ht="15.0" hidden="1" customHeight="1">
      <c r="A10979" s="49" t="s">
        <v>705</v>
      </c>
      <c r="B10979" s="50">
        <v>45838.0</v>
      </c>
      <c r="C10979" s="49" t="s">
        <v>78</v>
      </c>
      <c r="D10979" s="49">
        <v>0.0</v>
      </c>
    </row>
    <row r="10980" ht="15.0" hidden="1" customHeight="1">
      <c r="A10980" s="49" t="s">
        <v>710</v>
      </c>
      <c r="B10980" s="50">
        <v>45838.0</v>
      </c>
      <c r="C10980" s="49" t="s">
        <v>78</v>
      </c>
      <c r="D10980" s="49">
        <v>0.0</v>
      </c>
    </row>
    <row r="10981" ht="15.0" hidden="1" customHeight="1">
      <c r="A10981" s="49" t="s">
        <v>715</v>
      </c>
      <c r="B10981" s="50">
        <v>45838.0</v>
      </c>
      <c r="C10981" s="49" t="s">
        <v>78</v>
      </c>
      <c r="D10981" s="49">
        <v>0.0</v>
      </c>
    </row>
    <row r="10982" ht="15.0" hidden="1" customHeight="1">
      <c r="A10982" s="49" t="s">
        <v>765</v>
      </c>
      <c r="B10982" s="50">
        <v>45838.0</v>
      </c>
      <c r="C10982" s="49" t="s">
        <v>78</v>
      </c>
      <c r="D10982" s="49">
        <v>0.0</v>
      </c>
    </row>
    <row r="10983" ht="15.0" hidden="1" customHeight="1">
      <c r="A10983" s="49" t="s">
        <v>720</v>
      </c>
      <c r="B10983" s="50">
        <v>45838.0</v>
      </c>
      <c r="C10983" s="49" t="s">
        <v>78</v>
      </c>
      <c r="D10983" s="49">
        <v>0.0</v>
      </c>
    </row>
    <row r="10984" ht="15.0" hidden="1" customHeight="1">
      <c r="A10984" s="49" t="s">
        <v>725</v>
      </c>
      <c r="B10984" s="50">
        <v>45838.0</v>
      </c>
      <c r="C10984" s="49" t="s">
        <v>78</v>
      </c>
      <c r="D10984" s="49">
        <v>0.0</v>
      </c>
    </row>
    <row r="10985" ht="15.0" hidden="1" customHeight="1">
      <c r="A10985" s="49" t="s">
        <v>730</v>
      </c>
      <c r="B10985" s="50">
        <v>45838.0</v>
      </c>
      <c r="C10985" s="49" t="s">
        <v>78</v>
      </c>
      <c r="D10985" s="49">
        <v>0.0</v>
      </c>
    </row>
    <row r="10986" ht="15.0" hidden="1" customHeight="1">
      <c r="A10986" s="49" t="s">
        <v>734</v>
      </c>
      <c r="B10986" s="50">
        <v>45838.0</v>
      </c>
      <c r="C10986" s="49" t="s">
        <v>78</v>
      </c>
      <c r="D10986" s="49">
        <v>0.0</v>
      </c>
    </row>
    <row r="10987" ht="15.0" hidden="1" customHeight="1">
      <c r="A10987" s="49" t="s">
        <v>739</v>
      </c>
      <c r="B10987" s="50">
        <v>45838.0</v>
      </c>
      <c r="C10987" s="49" t="s">
        <v>78</v>
      </c>
      <c r="D10987" s="49">
        <v>0.0</v>
      </c>
    </row>
    <row r="10988" ht="15.0" hidden="1" customHeight="1">
      <c r="A10988" s="49" t="s">
        <v>744</v>
      </c>
      <c r="B10988" s="50">
        <v>45838.0</v>
      </c>
      <c r="C10988" s="49" t="s">
        <v>78</v>
      </c>
      <c r="D10988" s="49">
        <v>0.0</v>
      </c>
    </row>
    <row r="10989" ht="15.0" hidden="1" customHeight="1">
      <c r="A10989" s="49" t="s">
        <v>749</v>
      </c>
      <c r="B10989" s="50">
        <v>45838.0</v>
      </c>
      <c r="C10989" s="49" t="s">
        <v>78</v>
      </c>
      <c r="D10989" s="49">
        <v>0.0</v>
      </c>
    </row>
    <row r="10990" ht="15.0" customHeight="1">
      <c r="A10990" s="49" t="s">
        <v>776</v>
      </c>
      <c r="B10990" s="50">
        <v>45838.0</v>
      </c>
      <c r="C10990" s="49" t="s">
        <v>69</v>
      </c>
      <c r="D10990" s="49">
        <v>0.0</v>
      </c>
    </row>
    <row r="10991" ht="15.0" hidden="1" customHeight="1">
      <c r="A10991" s="49" t="s">
        <v>778</v>
      </c>
      <c r="B10991" s="50">
        <v>45838.0</v>
      </c>
      <c r="C10991" s="49" t="s">
        <v>69</v>
      </c>
      <c r="D10991" s="49">
        <v>0.0</v>
      </c>
    </row>
    <row r="10992" ht="15.0" hidden="1" customHeight="1">
      <c r="A10992" s="49" t="s">
        <v>92</v>
      </c>
      <c r="B10992" s="50">
        <v>45838.0</v>
      </c>
      <c r="C10992" s="49" t="s">
        <v>69</v>
      </c>
      <c r="D10992" s="49">
        <v>0.0</v>
      </c>
    </row>
    <row r="10993" ht="15.0" hidden="1" customHeight="1">
      <c r="A10993" s="49" t="s">
        <v>97</v>
      </c>
      <c r="B10993" s="50">
        <v>45838.0</v>
      </c>
      <c r="C10993" s="49" t="s">
        <v>69</v>
      </c>
      <c r="D10993" s="49">
        <v>0.0</v>
      </c>
    </row>
    <row r="10994" ht="15.0" hidden="1" customHeight="1">
      <c r="A10994" s="49" t="s">
        <v>102</v>
      </c>
      <c r="B10994" s="50">
        <v>45838.0</v>
      </c>
      <c r="C10994" s="49" t="s">
        <v>69</v>
      </c>
      <c r="D10994" s="49">
        <v>0.0</v>
      </c>
    </row>
    <row r="10995" ht="15.0" hidden="1" customHeight="1">
      <c r="A10995" s="49" t="s">
        <v>106</v>
      </c>
      <c r="B10995" s="50">
        <v>45838.0</v>
      </c>
      <c r="C10995" s="49" t="s">
        <v>69</v>
      </c>
      <c r="D10995" s="49">
        <v>0.0</v>
      </c>
    </row>
    <row r="10996" ht="15.0" hidden="1" customHeight="1">
      <c r="A10996" s="49" t="s">
        <v>111</v>
      </c>
      <c r="B10996" s="50">
        <v>45838.0</v>
      </c>
      <c r="C10996" s="49" t="s">
        <v>69</v>
      </c>
      <c r="D10996" s="49">
        <v>0.0</v>
      </c>
    </row>
    <row r="10997" ht="15.0" hidden="1" customHeight="1">
      <c r="A10997" s="49" t="s">
        <v>116</v>
      </c>
      <c r="B10997" s="50">
        <v>45838.0</v>
      </c>
      <c r="C10997" s="49" t="s">
        <v>69</v>
      </c>
      <c r="D10997" s="49">
        <v>0.0</v>
      </c>
    </row>
    <row r="10998" ht="15.0" hidden="1" customHeight="1">
      <c r="A10998" s="49" t="s">
        <v>120</v>
      </c>
      <c r="B10998" s="50">
        <v>45838.0</v>
      </c>
      <c r="C10998" s="49" t="s">
        <v>69</v>
      </c>
      <c r="D10998" s="49">
        <v>0.0</v>
      </c>
    </row>
    <row r="10999" ht="15.0" hidden="1" customHeight="1">
      <c r="A10999" s="49" t="s">
        <v>125</v>
      </c>
      <c r="B10999" s="50">
        <v>45838.0</v>
      </c>
      <c r="C10999" s="49" t="s">
        <v>69</v>
      </c>
      <c r="D10999" s="49">
        <v>0.0</v>
      </c>
    </row>
    <row r="11000" ht="15.0" hidden="1" customHeight="1">
      <c r="A11000" s="49" t="s">
        <v>130</v>
      </c>
      <c r="B11000" s="50">
        <v>45838.0</v>
      </c>
      <c r="C11000" s="49" t="s">
        <v>69</v>
      </c>
      <c r="D11000" s="49">
        <v>0.0</v>
      </c>
    </row>
    <row r="11001" ht="15.0" hidden="1" customHeight="1">
      <c r="A11001" s="49" t="s">
        <v>137</v>
      </c>
      <c r="B11001" s="50">
        <v>45838.0</v>
      </c>
      <c r="C11001" s="49" t="s">
        <v>69</v>
      </c>
      <c r="D11001" s="49">
        <v>0.0</v>
      </c>
    </row>
    <row r="11002" ht="15.0" hidden="1" customHeight="1">
      <c r="A11002" s="49" t="s">
        <v>142</v>
      </c>
      <c r="B11002" s="50">
        <v>45838.0</v>
      </c>
      <c r="C11002" s="49" t="s">
        <v>69</v>
      </c>
      <c r="D11002" s="49">
        <v>0.0</v>
      </c>
    </row>
    <row r="11003" ht="15.0" hidden="1" customHeight="1">
      <c r="A11003" s="49" t="s">
        <v>147</v>
      </c>
      <c r="B11003" s="50">
        <v>45838.0</v>
      </c>
      <c r="C11003" s="49" t="s">
        <v>69</v>
      </c>
      <c r="D11003" s="49">
        <v>0.0</v>
      </c>
    </row>
    <row r="11004" ht="15.0" hidden="1" customHeight="1">
      <c r="A11004" s="49" t="s">
        <v>152</v>
      </c>
      <c r="B11004" s="50">
        <v>45838.0</v>
      </c>
      <c r="C11004" s="49" t="s">
        <v>69</v>
      </c>
      <c r="D11004" s="49">
        <v>0.0</v>
      </c>
    </row>
    <row r="11005" ht="15.0" hidden="1" customHeight="1">
      <c r="A11005" s="49" t="s">
        <v>157</v>
      </c>
      <c r="B11005" s="50">
        <v>45838.0</v>
      </c>
      <c r="C11005" s="49" t="s">
        <v>69</v>
      </c>
      <c r="D11005" s="49">
        <v>0.0</v>
      </c>
    </row>
    <row r="11006" ht="15.0" hidden="1" customHeight="1">
      <c r="A11006" s="49" t="s">
        <v>162</v>
      </c>
      <c r="B11006" s="50">
        <v>45838.0</v>
      </c>
      <c r="C11006" s="49" t="s">
        <v>69</v>
      </c>
      <c r="D11006" s="49">
        <v>0.0</v>
      </c>
    </row>
    <row r="11007" ht="15.0" hidden="1" customHeight="1">
      <c r="A11007" s="49" t="s">
        <v>167</v>
      </c>
      <c r="B11007" s="50">
        <v>45838.0</v>
      </c>
      <c r="C11007" s="49" t="s">
        <v>69</v>
      </c>
      <c r="D11007" s="49">
        <v>0.0</v>
      </c>
    </row>
    <row r="11008" ht="15.0" hidden="1" customHeight="1">
      <c r="A11008" s="49" t="s">
        <v>172</v>
      </c>
      <c r="B11008" s="50">
        <v>45838.0</v>
      </c>
      <c r="C11008" s="49" t="s">
        <v>69</v>
      </c>
      <c r="D11008" s="49">
        <v>0.0</v>
      </c>
    </row>
    <row r="11009" ht="15.0" hidden="1" customHeight="1">
      <c r="A11009" s="49" t="s">
        <v>177</v>
      </c>
      <c r="B11009" s="50">
        <v>45838.0</v>
      </c>
      <c r="C11009" s="49" t="s">
        <v>69</v>
      </c>
      <c r="D11009" s="49">
        <v>0.0</v>
      </c>
    </row>
    <row r="11010" ht="15.0" hidden="1" customHeight="1">
      <c r="A11010" s="49" t="s">
        <v>182</v>
      </c>
      <c r="B11010" s="50">
        <v>45838.0</v>
      </c>
      <c r="C11010" s="49" t="s">
        <v>69</v>
      </c>
      <c r="D11010" s="49">
        <v>0.0</v>
      </c>
    </row>
    <row r="11011" ht="15.0" hidden="1" customHeight="1">
      <c r="A11011" s="49" t="s">
        <v>187</v>
      </c>
      <c r="B11011" s="50">
        <v>45838.0</v>
      </c>
      <c r="C11011" s="49" t="s">
        <v>69</v>
      </c>
      <c r="D11011" s="49">
        <v>0.0</v>
      </c>
    </row>
    <row r="11012" ht="15.0" hidden="1" customHeight="1">
      <c r="A11012" s="49" t="s">
        <v>192</v>
      </c>
      <c r="B11012" s="50">
        <v>45838.0</v>
      </c>
      <c r="C11012" s="49" t="s">
        <v>69</v>
      </c>
      <c r="D11012" s="49">
        <v>0.0</v>
      </c>
    </row>
    <row r="11013" ht="15.0" hidden="1" customHeight="1">
      <c r="A11013" s="49" t="s">
        <v>197</v>
      </c>
      <c r="B11013" s="50">
        <v>45838.0</v>
      </c>
      <c r="C11013" s="49" t="s">
        <v>69</v>
      </c>
      <c r="D11013" s="49">
        <v>0.0</v>
      </c>
    </row>
    <row r="11014" ht="15.0" hidden="1" customHeight="1">
      <c r="A11014" s="49" t="s">
        <v>202</v>
      </c>
      <c r="B11014" s="50">
        <v>45838.0</v>
      </c>
      <c r="C11014" s="49" t="s">
        <v>69</v>
      </c>
      <c r="D11014" s="49">
        <v>0.0</v>
      </c>
    </row>
    <row r="11015" ht="15.0" hidden="1" customHeight="1">
      <c r="A11015" s="49" t="s">
        <v>206</v>
      </c>
      <c r="B11015" s="50">
        <v>45838.0</v>
      </c>
      <c r="C11015" s="49" t="s">
        <v>69</v>
      </c>
      <c r="D11015" s="49">
        <v>0.0</v>
      </c>
    </row>
    <row r="11016" ht="15.0" hidden="1" customHeight="1">
      <c r="A11016" s="49" t="s">
        <v>211</v>
      </c>
      <c r="B11016" s="50">
        <v>45838.0</v>
      </c>
      <c r="C11016" s="49" t="s">
        <v>69</v>
      </c>
      <c r="D11016" s="49">
        <v>0.0</v>
      </c>
    </row>
    <row r="11017" ht="15.0" hidden="1" customHeight="1">
      <c r="A11017" s="49" t="s">
        <v>779</v>
      </c>
      <c r="B11017" s="50">
        <v>45838.0</v>
      </c>
      <c r="C11017" s="49" t="s">
        <v>69</v>
      </c>
      <c r="D11017" s="49">
        <v>0.0</v>
      </c>
    </row>
    <row r="11018" ht="15.0" hidden="1" customHeight="1">
      <c r="A11018" s="49" t="s">
        <v>221</v>
      </c>
      <c r="B11018" s="50">
        <v>45838.0</v>
      </c>
      <c r="C11018" s="49" t="s">
        <v>69</v>
      </c>
      <c r="D11018" s="49">
        <v>0.0</v>
      </c>
    </row>
    <row r="11019" ht="15.0" hidden="1" customHeight="1">
      <c r="A11019" s="49" t="s">
        <v>226</v>
      </c>
      <c r="B11019" s="50">
        <v>45838.0</v>
      </c>
      <c r="C11019" s="49" t="s">
        <v>69</v>
      </c>
      <c r="D11019" s="49">
        <v>0.0</v>
      </c>
    </row>
    <row r="11020" ht="15.0" hidden="1" customHeight="1">
      <c r="A11020" s="49" t="s">
        <v>231</v>
      </c>
      <c r="B11020" s="50">
        <v>45838.0</v>
      </c>
      <c r="C11020" s="49" t="s">
        <v>69</v>
      </c>
      <c r="D11020" s="49">
        <v>0.0</v>
      </c>
    </row>
    <row r="11021" ht="15.0" hidden="1" customHeight="1">
      <c r="A11021" s="49" t="s">
        <v>236</v>
      </c>
      <c r="B11021" s="50">
        <v>45838.0</v>
      </c>
      <c r="C11021" s="49" t="s">
        <v>69</v>
      </c>
      <c r="D11021" s="49">
        <v>0.0</v>
      </c>
    </row>
    <row r="11022" ht="15.0" hidden="1" customHeight="1">
      <c r="A11022" s="49" t="s">
        <v>242</v>
      </c>
      <c r="B11022" s="50">
        <v>45838.0</v>
      </c>
      <c r="C11022" s="49" t="s">
        <v>69</v>
      </c>
      <c r="D11022" s="49">
        <v>0.0</v>
      </c>
    </row>
    <row r="11023" ht="15.0" hidden="1" customHeight="1">
      <c r="A11023" s="49" t="s">
        <v>248</v>
      </c>
      <c r="B11023" s="50">
        <v>45838.0</v>
      </c>
      <c r="C11023" s="49" t="s">
        <v>69</v>
      </c>
      <c r="D11023" s="49">
        <v>0.0</v>
      </c>
    </row>
    <row r="11024" ht="15.0" hidden="1" customHeight="1">
      <c r="A11024" s="49" t="s">
        <v>253</v>
      </c>
      <c r="B11024" s="50">
        <v>45838.0</v>
      </c>
      <c r="C11024" s="49" t="s">
        <v>69</v>
      </c>
      <c r="D11024" s="49">
        <v>0.0</v>
      </c>
    </row>
    <row r="11025" ht="15.0" hidden="1" customHeight="1">
      <c r="A11025" s="49" t="s">
        <v>258</v>
      </c>
      <c r="B11025" s="50">
        <v>45838.0</v>
      </c>
      <c r="C11025" s="49" t="s">
        <v>69</v>
      </c>
      <c r="D11025" s="49">
        <v>0.0</v>
      </c>
    </row>
    <row r="11026" ht="15.0" hidden="1" customHeight="1">
      <c r="A11026" s="49" t="s">
        <v>263</v>
      </c>
      <c r="B11026" s="50">
        <v>45838.0</v>
      </c>
      <c r="C11026" s="49" t="s">
        <v>69</v>
      </c>
      <c r="D11026" s="49">
        <v>0.0</v>
      </c>
    </row>
    <row r="11027" ht="15.0" hidden="1" customHeight="1">
      <c r="A11027" s="49" t="s">
        <v>268</v>
      </c>
      <c r="B11027" s="50">
        <v>45838.0</v>
      </c>
      <c r="C11027" s="49" t="s">
        <v>69</v>
      </c>
      <c r="D11027" s="49">
        <v>0.0</v>
      </c>
    </row>
    <row r="11028" ht="15.0" hidden="1" customHeight="1">
      <c r="A11028" s="49" t="s">
        <v>273</v>
      </c>
      <c r="B11028" s="50">
        <v>45838.0</v>
      </c>
      <c r="C11028" s="49" t="s">
        <v>69</v>
      </c>
      <c r="D11028" s="49">
        <v>0.0</v>
      </c>
    </row>
    <row r="11029" ht="15.0" hidden="1" customHeight="1">
      <c r="A11029" s="49" t="s">
        <v>278</v>
      </c>
      <c r="B11029" s="50">
        <v>45838.0</v>
      </c>
      <c r="C11029" s="49" t="s">
        <v>69</v>
      </c>
      <c r="D11029" s="49">
        <v>0.0</v>
      </c>
    </row>
    <row r="11030" ht="15.0" hidden="1" customHeight="1">
      <c r="A11030" s="49" t="s">
        <v>283</v>
      </c>
      <c r="B11030" s="50">
        <v>45838.0</v>
      </c>
      <c r="C11030" s="49" t="s">
        <v>69</v>
      </c>
      <c r="D11030" s="49">
        <v>0.0</v>
      </c>
    </row>
    <row r="11031" ht="15.0" hidden="1" customHeight="1">
      <c r="A11031" s="49" t="s">
        <v>288</v>
      </c>
      <c r="B11031" s="50">
        <v>45838.0</v>
      </c>
      <c r="C11031" s="49" t="s">
        <v>69</v>
      </c>
      <c r="D11031" s="49">
        <v>0.0</v>
      </c>
    </row>
    <row r="11032" ht="15.0" hidden="1" customHeight="1">
      <c r="A11032" s="49" t="s">
        <v>293</v>
      </c>
      <c r="B11032" s="50">
        <v>45838.0</v>
      </c>
      <c r="C11032" s="49" t="s">
        <v>69</v>
      </c>
      <c r="D11032" s="49">
        <v>0.0</v>
      </c>
    </row>
    <row r="11033" ht="15.0" hidden="1" customHeight="1">
      <c r="A11033" s="49" t="s">
        <v>298</v>
      </c>
      <c r="B11033" s="50">
        <v>45838.0</v>
      </c>
      <c r="C11033" s="49" t="s">
        <v>69</v>
      </c>
      <c r="D11033" s="49">
        <v>0.0</v>
      </c>
    </row>
    <row r="11034" ht="15.0" hidden="1" customHeight="1">
      <c r="A11034" s="49" t="s">
        <v>303</v>
      </c>
      <c r="B11034" s="50">
        <v>45838.0</v>
      </c>
      <c r="C11034" s="49" t="s">
        <v>69</v>
      </c>
      <c r="D11034" s="49">
        <v>0.0</v>
      </c>
    </row>
    <row r="11035" ht="15.0" hidden="1" customHeight="1">
      <c r="A11035" s="49" t="s">
        <v>307</v>
      </c>
      <c r="B11035" s="50">
        <v>45838.0</v>
      </c>
      <c r="C11035" s="49" t="s">
        <v>69</v>
      </c>
      <c r="D11035" s="49">
        <v>0.0</v>
      </c>
    </row>
    <row r="11036" ht="15.0" hidden="1" customHeight="1">
      <c r="A11036" s="49" t="s">
        <v>313</v>
      </c>
      <c r="B11036" s="50">
        <v>45838.0</v>
      </c>
      <c r="C11036" s="49" t="s">
        <v>69</v>
      </c>
      <c r="D11036" s="49">
        <v>0.0</v>
      </c>
    </row>
    <row r="11037" ht="15.0" hidden="1" customHeight="1">
      <c r="A11037" s="49" t="s">
        <v>318</v>
      </c>
      <c r="B11037" s="50">
        <v>45838.0</v>
      </c>
      <c r="C11037" s="49" t="s">
        <v>69</v>
      </c>
      <c r="D11037" s="49">
        <v>0.0</v>
      </c>
    </row>
    <row r="11038" ht="15.0" hidden="1" customHeight="1">
      <c r="A11038" s="49" t="s">
        <v>323</v>
      </c>
      <c r="B11038" s="50">
        <v>45838.0</v>
      </c>
      <c r="C11038" s="49" t="s">
        <v>69</v>
      </c>
      <c r="D11038" s="49">
        <v>0.0</v>
      </c>
    </row>
    <row r="11039" ht="15.0" hidden="1" customHeight="1">
      <c r="A11039" s="49" t="s">
        <v>328</v>
      </c>
      <c r="B11039" s="50">
        <v>45838.0</v>
      </c>
      <c r="C11039" s="49" t="s">
        <v>69</v>
      </c>
      <c r="D11039" s="49">
        <v>0.0</v>
      </c>
    </row>
    <row r="11040" ht="15.0" hidden="1" customHeight="1">
      <c r="A11040" s="49" t="s">
        <v>335</v>
      </c>
      <c r="B11040" s="50">
        <v>45838.0</v>
      </c>
      <c r="C11040" s="49" t="s">
        <v>69</v>
      </c>
      <c r="D11040" s="49">
        <v>0.0</v>
      </c>
    </row>
    <row r="11041" ht="15.0" hidden="1" customHeight="1">
      <c r="A11041" s="49" t="s">
        <v>340</v>
      </c>
      <c r="B11041" s="50">
        <v>45838.0</v>
      </c>
      <c r="C11041" s="49" t="s">
        <v>69</v>
      </c>
      <c r="D11041" s="49">
        <v>0.0</v>
      </c>
    </row>
    <row r="11042" ht="15.0" hidden="1" customHeight="1">
      <c r="A11042" s="49" t="s">
        <v>345</v>
      </c>
      <c r="B11042" s="50">
        <v>45838.0</v>
      </c>
      <c r="C11042" s="49" t="s">
        <v>69</v>
      </c>
      <c r="D11042" s="49">
        <v>0.0</v>
      </c>
    </row>
    <row r="11043" ht="15.0" hidden="1" customHeight="1">
      <c r="A11043" s="49" t="s">
        <v>350</v>
      </c>
      <c r="B11043" s="50">
        <v>45838.0</v>
      </c>
      <c r="C11043" s="49" t="s">
        <v>69</v>
      </c>
      <c r="D11043" s="49">
        <v>0.0</v>
      </c>
    </row>
    <row r="11044" ht="15.0" hidden="1" customHeight="1">
      <c r="A11044" s="49" t="s">
        <v>355</v>
      </c>
      <c r="B11044" s="50">
        <v>45838.0</v>
      </c>
      <c r="C11044" s="49" t="s">
        <v>69</v>
      </c>
      <c r="D11044" s="49">
        <v>0.0</v>
      </c>
    </row>
    <row r="11045" ht="15.0" hidden="1" customHeight="1">
      <c r="A11045" s="49" t="s">
        <v>360</v>
      </c>
      <c r="B11045" s="50">
        <v>45838.0</v>
      </c>
      <c r="C11045" s="49" t="s">
        <v>69</v>
      </c>
      <c r="D11045" s="49">
        <v>0.0</v>
      </c>
    </row>
    <row r="11046" ht="15.0" hidden="1" customHeight="1">
      <c r="A11046" s="49" t="s">
        <v>365</v>
      </c>
      <c r="B11046" s="50">
        <v>45838.0</v>
      </c>
      <c r="C11046" s="49" t="s">
        <v>69</v>
      </c>
      <c r="D11046" s="49">
        <v>0.0</v>
      </c>
    </row>
    <row r="11047" ht="15.0" hidden="1" customHeight="1">
      <c r="A11047" s="49" t="s">
        <v>370</v>
      </c>
      <c r="B11047" s="50">
        <v>45838.0</v>
      </c>
      <c r="C11047" s="49" t="s">
        <v>69</v>
      </c>
      <c r="D11047" s="49">
        <v>0.0</v>
      </c>
    </row>
    <row r="11048" ht="15.0" hidden="1" customHeight="1">
      <c r="A11048" s="49" t="s">
        <v>375</v>
      </c>
      <c r="B11048" s="50">
        <v>45838.0</v>
      </c>
      <c r="C11048" s="49" t="s">
        <v>69</v>
      </c>
      <c r="D11048" s="49">
        <v>0.0</v>
      </c>
    </row>
    <row r="11049" ht="15.0" hidden="1" customHeight="1">
      <c r="A11049" s="49" t="s">
        <v>380</v>
      </c>
      <c r="B11049" s="50">
        <v>45838.0</v>
      </c>
      <c r="C11049" s="49" t="s">
        <v>69</v>
      </c>
      <c r="D11049" s="49">
        <v>0.0</v>
      </c>
    </row>
    <row r="11050" ht="15.0" hidden="1" customHeight="1">
      <c r="A11050" s="49" t="s">
        <v>385</v>
      </c>
      <c r="B11050" s="50">
        <v>45838.0</v>
      </c>
      <c r="C11050" s="49" t="s">
        <v>69</v>
      </c>
      <c r="D11050" s="49">
        <v>1000000.0</v>
      </c>
    </row>
    <row r="11051" ht="15.0" hidden="1" customHeight="1">
      <c r="A11051" s="49" t="s">
        <v>390</v>
      </c>
      <c r="B11051" s="50">
        <v>45838.0</v>
      </c>
      <c r="C11051" s="49" t="s">
        <v>69</v>
      </c>
      <c r="D11051" s="49">
        <v>0.0</v>
      </c>
    </row>
    <row r="11052" ht="15.0" hidden="1" customHeight="1">
      <c r="A11052" s="49" t="s">
        <v>395</v>
      </c>
      <c r="B11052" s="50">
        <v>45838.0</v>
      </c>
      <c r="C11052" s="49" t="s">
        <v>69</v>
      </c>
      <c r="D11052" s="49">
        <v>0.0</v>
      </c>
    </row>
    <row r="11053" ht="15.0" hidden="1" customHeight="1">
      <c r="A11053" s="49" t="s">
        <v>400</v>
      </c>
      <c r="B11053" s="50">
        <v>45838.0</v>
      </c>
      <c r="C11053" s="49" t="s">
        <v>69</v>
      </c>
      <c r="D11053" s="49">
        <v>0.0</v>
      </c>
    </row>
    <row r="11054" ht="15.0" hidden="1" customHeight="1">
      <c r="A11054" s="49" t="s">
        <v>405</v>
      </c>
      <c r="B11054" s="50">
        <v>45838.0</v>
      </c>
      <c r="C11054" s="49" t="s">
        <v>69</v>
      </c>
      <c r="D11054" s="49">
        <v>0.0</v>
      </c>
    </row>
    <row r="11055" ht="15.0" hidden="1" customHeight="1">
      <c r="A11055" s="49" t="s">
        <v>410</v>
      </c>
      <c r="B11055" s="50">
        <v>45838.0</v>
      </c>
      <c r="C11055" s="49" t="s">
        <v>69</v>
      </c>
      <c r="D11055" s="49">
        <v>0.0</v>
      </c>
    </row>
    <row r="11056" ht="15.0" hidden="1" customHeight="1">
      <c r="A11056" s="49" t="s">
        <v>415</v>
      </c>
      <c r="B11056" s="50">
        <v>45838.0</v>
      </c>
      <c r="C11056" s="49" t="s">
        <v>69</v>
      </c>
      <c r="D11056" s="49">
        <v>0.0</v>
      </c>
    </row>
    <row r="11057" ht="15.0" hidden="1" customHeight="1">
      <c r="A11057" s="49" t="s">
        <v>420</v>
      </c>
      <c r="B11057" s="50">
        <v>45838.0</v>
      </c>
      <c r="C11057" s="49" t="s">
        <v>69</v>
      </c>
      <c r="D11057" s="49">
        <v>0.0</v>
      </c>
    </row>
    <row r="11058" ht="15.0" hidden="1" customHeight="1">
      <c r="A11058" s="49" t="s">
        <v>425</v>
      </c>
      <c r="B11058" s="50">
        <v>45838.0</v>
      </c>
      <c r="C11058" s="49" t="s">
        <v>69</v>
      </c>
      <c r="D11058" s="49">
        <v>0.0</v>
      </c>
    </row>
    <row r="11059" ht="15.0" hidden="1" customHeight="1">
      <c r="A11059" s="49" t="s">
        <v>430</v>
      </c>
      <c r="B11059" s="50">
        <v>45838.0</v>
      </c>
      <c r="C11059" s="49" t="s">
        <v>69</v>
      </c>
      <c r="D11059" s="49">
        <v>0.0</v>
      </c>
    </row>
    <row r="11060" ht="15.0" hidden="1" customHeight="1">
      <c r="A11060" s="49" t="s">
        <v>434</v>
      </c>
      <c r="B11060" s="50">
        <v>45838.0</v>
      </c>
      <c r="C11060" s="49" t="s">
        <v>69</v>
      </c>
      <c r="D11060" s="49">
        <v>0.0</v>
      </c>
    </row>
    <row r="11061" ht="15.0" hidden="1" customHeight="1">
      <c r="A11061" s="49" t="s">
        <v>439</v>
      </c>
      <c r="B11061" s="50">
        <v>45838.0</v>
      </c>
      <c r="C11061" s="49" t="s">
        <v>69</v>
      </c>
      <c r="D11061" s="49">
        <v>0.0</v>
      </c>
    </row>
    <row r="11062" ht="15.0" hidden="1" customHeight="1">
      <c r="A11062" s="49" t="s">
        <v>444</v>
      </c>
      <c r="B11062" s="50">
        <v>45838.0</v>
      </c>
      <c r="C11062" s="49" t="s">
        <v>69</v>
      </c>
      <c r="D11062" s="49">
        <v>0.0</v>
      </c>
    </row>
    <row r="11063" ht="15.0" hidden="1" customHeight="1">
      <c r="A11063" s="49" t="s">
        <v>449</v>
      </c>
      <c r="B11063" s="50">
        <v>45838.0</v>
      </c>
      <c r="C11063" s="49" t="s">
        <v>69</v>
      </c>
      <c r="D11063" s="49">
        <v>1000000.0</v>
      </c>
    </row>
    <row r="11064" ht="15.0" hidden="1" customHeight="1">
      <c r="A11064" s="49" t="s">
        <v>455</v>
      </c>
      <c r="B11064" s="50">
        <v>45838.0</v>
      </c>
      <c r="C11064" s="49" t="s">
        <v>69</v>
      </c>
      <c r="D11064" s="49">
        <v>0.0</v>
      </c>
    </row>
    <row r="11065" ht="15.0" hidden="1" customHeight="1">
      <c r="A11065" s="49" t="s">
        <v>470</v>
      </c>
      <c r="B11065" s="50">
        <v>45838.0</v>
      </c>
      <c r="C11065" s="49" t="s">
        <v>69</v>
      </c>
      <c r="D11065" s="49">
        <v>0.0</v>
      </c>
    </row>
    <row r="11066" ht="15.0" hidden="1" customHeight="1">
      <c r="A11066" s="49" t="s">
        <v>476</v>
      </c>
      <c r="B11066" s="50">
        <v>45838.0</v>
      </c>
      <c r="C11066" s="49" t="s">
        <v>69</v>
      </c>
      <c r="D11066" s="49">
        <v>0.0</v>
      </c>
    </row>
    <row r="11067" ht="15.0" hidden="1" customHeight="1">
      <c r="A11067" s="49" t="s">
        <v>481</v>
      </c>
      <c r="B11067" s="50">
        <v>45838.0</v>
      </c>
      <c r="C11067" s="49" t="s">
        <v>69</v>
      </c>
      <c r="D11067" s="49">
        <v>0.0</v>
      </c>
    </row>
    <row r="11068" ht="15.0" hidden="1" customHeight="1">
      <c r="A11068" s="49" t="s">
        <v>486</v>
      </c>
      <c r="B11068" s="50">
        <v>45838.0</v>
      </c>
      <c r="C11068" s="49" t="s">
        <v>69</v>
      </c>
      <c r="D11068" s="49">
        <v>0.0</v>
      </c>
    </row>
    <row r="11069" ht="15.0" hidden="1" customHeight="1">
      <c r="A11069" s="49" t="s">
        <v>491</v>
      </c>
      <c r="B11069" s="50">
        <v>45838.0</v>
      </c>
      <c r="C11069" s="49" t="s">
        <v>69</v>
      </c>
      <c r="D11069" s="49">
        <v>0.0</v>
      </c>
    </row>
    <row r="11070" ht="15.0" hidden="1" customHeight="1">
      <c r="A11070" s="49" t="s">
        <v>496</v>
      </c>
      <c r="B11070" s="50">
        <v>45838.0</v>
      </c>
      <c r="C11070" s="49" t="s">
        <v>69</v>
      </c>
      <c r="D11070" s="49">
        <v>0.0</v>
      </c>
    </row>
    <row r="11071" ht="15.0" hidden="1" customHeight="1">
      <c r="A11071" s="49" t="s">
        <v>501</v>
      </c>
      <c r="B11071" s="50">
        <v>45838.0</v>
      </c>
      <c r="C11071" s="49" t="s">
        <v>69</v>
      </c>
      <c r="D11071" s="49">
        <v>0.0</v>
      </c>
    </row>
    <row r="11072" ht="15.0" hidden="1" customHeight="1">
      <c r="A11072" s="49" t="s">
        <v>506</v>
      </c>
      <c r="B11072" s="50">
        <v>45838.0</v>
      </c>
      <c r="C11072" s="49" t="s">
        <v>69</v>
      </c>
      <c r="D11072" s="49">
        <v>0.0</v>
      </c>
    </row>
    <row r="11073" ht="15.0" hidden="1" customHeight="1">
      <c r="A11073" s="49" t="s">
        <v>512</v>
      </c>
      <c r="B11073" s="50">
        <v>45838.0</v>
      </c>
      <c r="C11073" s="49" t="s">
        <v>69</v>
      </c>
      <c r="D11073" s="49">
        <v>0.0</v>
      </c>
    </row>
    <row r="11074" ht="15.0" hidden="1" customHeight="1">
      <c r="A11074" s="49" t="s">
        <v>517</v>
      </c>
      <c r="B11074" s="50">
        <v>45838.0</v>
      </c>
      <c r="C11074" s="49" t="s">
        <v>69</v>
      </c>
      <c r="D11074" s="49">
        <v>0.0</v>
      </c>
    </row>
    <row r="11075" ht="15.0" hidden="1" customHeight="1">
      <c r="A11075" s="49" t="s">
        <v>522</v>
      </c>
      <c r="B11075" s="50">
        <v>45838.0</v>
      </c>
      <c r="C11075" s="49" t="s">
        <v>69</v>
      </c>
      <c r="D11075" s="49">
        <v>0.0</v>
      </c>
    </row>
    <row r="11076" ht="15.0" hidden="1" customHeight="1">
      <c r="A11076" s="49" t="s">
        <v>528</v>
      </c>
      <c r="B11076" s="50">
        <v>45838.0</v>
      </c>
      <c r="C11076" s="49" t="s">
        <v>69</v>
      </c>
      <c r="D11076" s="49">
        <v>0.0</v>
      </c>
    </row>
    <row r="11077" ht="15.0" hidden="1" customHeight="1">
      <c r="A11077" s="49" t="s">
        <v>533</v>
      </c>
      <c r="B11077" s="50">
        <v>45838.0</v>
      </c>
      <c r="C11077" s="49" t="s">
        <v>69</v>
      </c>
      <c r="D11077" s="49">
        <v>0.0</v>
      </c>
    </row>
    <row r="11078" ht="15.0" hidden="1" customHeight="1">
      <c r="A11078" s="49" t="s">
        <v>538</v>
      </c>
      <c r="B11078" s="50">
        <v>45838.0</v>
      </c>
      <c r="C11078" s="49" t="s">
        <v>69</v>
      </c>
      <c r="D11078" s="49">
        <v>0.0</v>
      </c>
    </row>
    <row r="11079" ht="15.0" hidden="1" customHeight="1">
      <c r="A11079" s="49" t="s">
        <v>546</v>
      </c>
      <c r="B11079" s="50">
        <v>45838.0</v>
      </c>
      <c r="C11079" s="49" t="s">
        <v>69</v>
      </c>
      <c r="D11079" s="49">
        <v>0.0</v>
      </c>
    </row>
    <row r="11080" ht="15.0" hidden="1" customHeight="1">
      <c r="A11080" s="49" t="s">
        <v>551</v>
      </c>
      <c r="B11080" s="50">
        <v>45838.0</v>
      </c>
      <c r="C11080" s="49" t="s">
        <v>69</v>
      </c>
      <c r="D11080" s="49">
        <v>0.0</v>
      </c>
    </row>
    <row r="11081" ht="15.0" hidden="1" customHeight="1">
      <c r="A11081" s="49" t="s">
        <v>556</v>
      </c>
      <c r="B11081" s="50">
        <v>45838.0</v>
      </c>
      <c r="C11081" s="49" t="s">
        <v>69</v>
      </c>
      <c r="D11081" s="49">
        <v>0.0</v>
      </c>
    </row>
    <row r="11082" ht="15.0" hidden="1" customHeight="1">
      <c r="A11082" s="49" t="s">
        <v>561</v>
      </c>
      <c r="B11082" s="50">
        <v>45838.0</v>
      </c>
      <c r="C11082" s="49" t="s">
        <v>69</v>
      </c>
      <c r="D11082" s="49">
        <v>100000.0</v>
      </c>
    </row>
    <row r="11083" ht="15.0" hidden="1" customHeight="1">
      <c r="A11083" s="49" t="s">
        <v>566</v>
      </c>
      <c r="B11083" s="50">
        <v>45838.0</v>
      </c>
      <c r="C11083" s="49" t="s">
        <v>69</v>
      </c>
      <c r="D11083" s="49">
        <v>0.0</v>
      </c>
    </row>
    <row r="11084" ht="15.0" hidden="1" customHeight="1">
      <c r="A11084" s="49" t="s">
        <v>571</v>
      </c>
      <c r="B11084" s="50">
        <v>45838.0</v>
      </c>
      <c r="C11084" s="49" t="s">
        <v>69</v>
      </c>
      <c r="D11084" s="49">
        <v>0.0</v>
      </c>
    </row>
    <row r="11085" ht="15.0" hidden="1" customHeight="1">
      <c r="A11085" s="49" t="s">
        <v>576</v>
      </c>
      <c r="B11085" s="50">
        <v>45838.0</v>
      </c>
      <c r="C11085" s="49" t="s">
        <v>69</v>
      </c>
      <c r="D11085" s="49">
        <v>0.0</v>
      </c>
    </row>
    <row r="11086" ht="15.0" hidden="1" customHeight="1">
      <c r="A11086" s="49" t="s">
        <v>581</v>
      </c>
      <c r="B11086" s="50">
        <v>45838.0</v>
      </c>
      <c r="C11086" s="49" t="s">
        <v>69</v>
      </c>
      <c r="D11086" s="49">
        <v>0.0</v>
      </c>
    </row>
    <row r="11087" ht="15.0" hidden="1" customHeight="1">
      <c r="A11087" s="49" t="s">
        <v>586</v>
      </c>
      <c r="B11087" s="50">
        <v>45838.0</v>
      </c>
      <c r="C11087" s="49" t="s">
        <v>69</v>
      </c>
      <c r="D11087" s="49">
        <v>700000.0</v>
      </c>
    </row>
    <row r="11088" ht="15.0" hidden="1" customHeight="1">
      <c r="A11088" s="49" t="s">
        <v>754</v>
      </c>
      <c r="B11088" s="50">
        <v>45838.0</v>
      </c>
      <c r="C11088" s="49" t="s">
        <v>69</v>
      </c>
      <c r="D11088" s="49">
        <v>0.0</v>
      </c>
    </row>
    <row r="11089" ht="15.0" hidden="1" customHeight="1">
      <c r="A11089" s="49" t="s">
        <v>591</v>
      </c>
      <c r="B11089" s="50">
        <v>45838.0</v>
      </c>
      <c r="C11089" s="49" t="s">
        <v>69</v>
      </c>
      <c r="D11089" s="49">
        <v>0.0</v>
      </c>
    </row>
    <row r="11090" ht="15.0" hidden="1" customHeight="1">
      <c r="A11090" s="49" t="s">
        <v>759</v>
      </c>
      <c r="B11090" s="50">
        <v>45838.0</v>
      </c>
      <c r="C11090" s="49" t="s">
        <v>69</v>
      </c>
      <c r="D11090" s="49">
        <v>0.0</v>
      </c>
    </row>
    <row r="11091" ht="15.0" hidden="1" customHeight="1">
      <c r="A11091" s="49" t="s">
        <v>596</v>
      </c>
      <c r="B11091" s="50">
        <v>45838.0</v>
      </c>
      <c r="C11091" s="49" t="s">
        <v>69</v>
      </c>
      <c r="D11091" s="49">
        <v>600000.0</v>
      </c>
    </row>
    <row r="11092" ht="15.0" hidden="1" customHeight="1">
      <c r="A11092" s="49" t="s">
        <v>602</v>
      </c>
      <c r="B11092" s="50">
        <v>45838.0</v>
      </c>
      <c r="C11092" s="49" t="s">
        <v>69</v>
      </c>
      <c r="D11092" s="49">
        <v>500000.0</v>
      </c>
    </row>
    <row r="11093" ht="15.0" hidden="1" customHeight="1">
      <c r="A11093" s="49" t="s">
        <v>607</v>
      </c>
      <c r="B11093" s="50">
        <v>45838.0</v>
      </c>
      <c r="C11093" s="49" t="s">
        <v>69</v>
      </c>
      <c r="D11093" s="49">
        <v>0.0</v>
      </c>
    </row>
    <row r="11094" ht="15.0" hidden="1" customHeight="1">
      <c r="A11094" s="49" t="s">
        <v>612</v>
      </c>
      <c r="B11094" s="50">
        <v>45838.0</v>
      </c>
      <c r="C11094" s="49" t="s">
        <v>69</v>
      </c>
      <c r="D11094" s="49">
        <v>0.0</v>
      </c>
    </row>
    <row r="11095" ht="15.0" hidden="1" customHeight="1">
      <c r="A11095" s="49" t="s">
        <v>617</v>
      </c>
      <c r="B11095" s="50">
        <v>45838.0</v>
      </c>
      <c r="C11095" s="49" t="s">
        <v>69</v>
      </c>
      <c r="D11095" s="49">
        <v>0.0</v>
      </c>
    </row>
    <row r="11096" ht="15.0" hidden="1" customHeight="1">
      <c r="A11096" s="49" t="s">
        <v>622</v>
      </c>
      <c r="B11096" s="50">
        <v>45838.0</v>
      </c>
      <c r="C11096" s="49" t="s">
        <v>69</v>
      </c>
      <c r="D11096" s="49">
        <v>0.0</v>
      </c>
    </row>
    <row r="11097" ht="15.0" hidden="1" customHeight="1">
      <c r="A11097" s="49" t="s">
        <v>627</v>
      </c>
      <c r="B11097" s="50">
        <v>45838.0</v>
      </c>
      <c r="C11097" s="49" t="s">
        <v>69</v>
      </c>
      <c r="D11097" s="49">
        <v>0.0</v>
      </c>
    </row>
    <row r="11098" ht="15.0" hidden="1" customHeight="1">
      <c r="A11098" s="49" t="s">
        <v>631</v>
      </c>
      <c r="B11098" s="50">
        <v>45838.0</v>
      </c>
      <c r="C11098" s="49" t="s">
        <v>69</v>
      </c>
      <c r="D11098" s="49">
        <v>470000.0</v>
      </c>
    </row>
    <row r="11099" ht="15.0" hidden="1" customHeight="1">
      <c r="A11099" s="49" t="s">
        <v>636</v>
      </c>
      <c r="B11099" s="50">
        <v>45838.0</v>
      </c>
      <c r="C11099" s="49" t="s">
        <v>69</v>
      </c>
      <c r="D11099" s="49">
        <v>0.0</v>
      </c>
    </row>
    <row r="11100" ht="15.0" hidden="1" customHeight="1">
      <c r="A11100" s="49" t="s">
        <v>640</v>
      </c>
      <c r="B11100" s="50">
        <v>45838.0</v>
      </c>
      <c r="C11100" s="49" t="s">
        <v>69</v>
      </c>
      <c r="D11100" s="49">
        <v>0.0</v>
      </c>
    </row>
    <row r="11101" ht="15.0" hidden="1" customHeight="1">
      <c r="A11101" s="49" t="s">
        <v>644</v>
      </c>
      <c r="B11101" s="50">
        <v>45838.0</v>
      </c>
      <c r="C11101" s="49" t="s">
        <v>69</v>
      </c>
      <c r="D11101" s="49">
        <v>100000.0</v>
      </c>
    </row>
    <row r="11102" ht="15.0" hidden="1" customHeight="1">
      <c r="A11102" s="49" t="s">
        <v>649</v>
      </c>
      <c r="B11102" s="50">
        <v>45838.0</v>
      </c>
      <c r="C11102" s="49" t="s">
        <v>69</v>
      </c>
      <c r="D11102" s="49">
        <v>0.0</v>
      </c>
    </row>
    <row r="11103" ht="15.0" hidden="1" customHeight="1">
      <c r="A11103" s="49" t="s">
        <v>654</v>
      </c>
      <c r="B11103" s="50">
        <v>45838.0</v>
      </c>
      <c r="C11103" s="49" t="s">
        <v>69</v>
      </c>
      <c r="D11103" s="49">
        <v>0.0</v>
      </c>
    </row>
    <row r="11104" ht="15.0" hidden="1" customHeight="1">
      <c r="A11104" s="49" t="s">
        <v>659</v>
      </c>
      <c r="B11104" s="50">
        <v>45838.0</v>
      </c>
      <c r="C11104" s="49" t="s">
        <v>69</v>
      </c>
      <c r="D11104" s="49">
        <v>0.0</v>
      </c>
    </row>
    <row r="11105" ht="15.0" hidden="1" customHeight="1">
      <c r="A11105" s="49" t="s">
        <v>664</v>
      </c>
      <c r="B11105" s="50">
        <v>45838.0</v>
      </c>
      <c r="C11105" s="49" t="s">
        <v>69</v>
      </c>
      <c r="D11105" s="49">
        <v>0.0</v>
      </c>
    </row>
    <row r="11106" ht="15.0" hidden="1" customHeight="1">
      <c r="A11106" s="49" t="s">
        <v>669</v>
      </c>
      <c r="B11106" s="50">
        <v>45838.0</v>
      </c>
      <c r="C11106" s="49" t="s">
        <v>69</v>
      </c>
      <c r="D11106" s="49">
        <v>0.0</v>
      </c>
    </row>
    <row r="11107" ht="15.0" hidden="1" customHeight="1">
      <c r="A11107" s="49" t="s">
        <v>674</v>
      </c>
      <c r="B11107" s="50">
        <v>45838.0</v>
      </c>
      <c r="C11107" s="49" t="s">
        <v>69</v>
      </c>
      <c r="D11107" s="49">
        <v>0.0</v>
      </c>
    </row>
    <row r="11108" ht="15.0" hidden="1" customHeight="1">
      <c r="A11108" s="49" t="s">
        <v>679</v>
      </c>
      <c r="B11108" s="50">
        <v>45838.0</v>
      </c>
      <c r="C11108" s="49" t="s">
        <v>69</v>
      </c>
      <c r="D11108" s="49">
        <v>0.0</v>
      </c>
    </row>
    <row r="11109" ht="15.0" hidden="1" customHeight="1">
      <c r="A11109" s="49" t="s">
        <v>684</v>
      </c>
      <c r="B11109" s="50">
        <v>45838.0</v>
      </c>
      <c r="C11109" s="49" t="s">
        <v>69</v>
      </c>
      <c r="D11109" s="49">
        <v>0.0</v>
      </c>
    </row>
    <row r="11110" ht="15.0" hidden="1" customHeight="1">
      <c r="A11110" s="49" t="s">
        <v>689</v>
      </c>
      <c r="B11110" s="50">
        <v>45838.0</v>
      </c>
      <c r="C11110" s="49" t="s">
        <v>69</v>
      </c>
      <c r="D11110" s="49">
        <v>0.0</v>
      </c>
    </row>
    <row r="11111" ht="15.0" hidden="1" customHeight="1">
      <c r="A11111" s="49" t="s">
        <v>694</v>
      </c>
      <c r="B11111" s="50">
        <v>45838.0</v>
      </c>
      <c r="C11111" s="49" t="s">
        <v>69</v>
      </c>
      <c r="D11111" s="49">
        <v>0.0</v>
      </c>
    </row>
    <row r="11112" ht="15.0" hidden="1" customHeight="1">
      <c r="A11112" s="49" t="s">
        <v>699</v>
      </c>
      <c r="B11112" s="50">
        <v>45838.0</v>
      </c>
      <c r="C11112" s="49" t="s">
        <v>69</v>
      </c>
      <c r="D11112" s="49">
        <v>0.0</v>
      </c>
    </row>
    <row r="11113" ht="15.0" hidden="1" customHeight="1">
      <c r="A11113" s="49" t="s">
        <v>705</v>
      </c>
      <c r="B11113" s="50">
        <v>45838.0</v>
      </c>
      <c r="C11113" s="49" t="s">
        <v>69</v>
      </c>
      <c r="D11113" s="49">
        <v>0.0</v>
      </c>
    </row>
    <row r="11114" ht="15.0" hidden="1" customHeight="1">
      <c r="A11114" s="49" t="s">
        <v>710</v>
      </c>
      <c r="B11114" s="50">
        <v>45838.0</v>
      </c>
      <c r="C11114" s="49" t="s">
        <v>69</v>
      </c>
      <c r="D11114" s="49">
        <v>0.0</v>
      </c>
    </row>
    <row r="11115" ht="15.0" hidden="1" customHeight="1">
      <c r="A11115" s="49" t="s">
        <v>715</v>
      </c>
      <c r="B11115" s="50">
        <v>45838.0</v>
      </c>
      <c r="C11115" s="49" t="s">
        <v>69</v>
      </c>
      <c r="D11115" s="49">
        <v>0.0</v>
      </c>
    </row>
    <row r="11116" ht="15.0" hidden="1" customHeight="1">
      <c r="A11116" s="49" t="s">
        <v>765</v>
      </c>
      <c r="B11116" s="50">
        <v>45838.0</v>
      </c>
      <c r="C11116" s="49" t="s">
        <v>69</v>
      </c>
      <c r="D11116" s="49">
        <v>0.0</v>
      </c>
    </row>
    <row r="11117" ht="15.0" hidden="1" customHeight="1">
      <c r="A11117" s="49" t="s">
        <v>720</v>
      </c>
      <c r="B11117" s="50">
        <v>45838.0</v>
      </c>
      <c r="C11117" s="49" t="s">
        <v>69</v>
      </c>
      <c r="D11117" s="49">
        <v>0.0</v>
      </c>
    </row>
    <row r="11118" ht="15.0" hidden="1" customHeight="1">
      <c r="A11118" s="49" t="s">
        <v>725</v>
      </c>
      <c r="B11118" s="50">
        <v>45838.0</v>
      </c>
      <c r="C11118" s="49" t="s">
        <v>69</v>
      </c>
      <c r="D11118" s="49">
        <v>0.0</v>
      </c>
    </row>
    <row r="11119" ht="15.0" hidden="1" customHeight="1">
      <c r="A11119" s="49" t="s">
        <v>730</v>
      </c>
      <c r="B11119" s="50">
        <v>45838.0</v>
      </c>
      <c r="C11119" s="49" t="s">
        <v>69</v>
      </c>
      <c r="D11119" s="49">
        <v>0.0</v>
      </c>
    </row>
    <row r="11120" ht="15.0" hidden="1" customHeight="1">
      <c r="A11120" s="49" t="s">
        <v>734</v>
      </c>
      <c r="B11120" s="50">
        <v>45838.0</v>
      </c>
      <c r="C11120" s="49" t="s">
        <v>69</v>
      </c>
      <c r="D11120" s="49">
        <v>0.0</v>
      </c>
    </row>
    <row r="11121" ht="15.0" hidden="1" customHeight="1">
      <c r="A11121" s="49" t="s">
        <v>739</v>
      </c>
      <c r="B11121" s="50">
        <v>45838.0</v>
      </c>
      <c r="C11121" s="49" t="s">
        <v>69</v>
      </c>
      <c r="D11121" s="49">
        <v>0.0</v>
      </c>
    </row>
    <row r="11122" ht="15.0" hidden="1" customHeight="1">
      <c r="A11122" s="49" t="s">
        <v>744</v>
      </c>
      <c r="B11122" s="50">
        <v>45838.0</v>
      </c>
      <c r="C11122" s="49" t="s">
        <v>69</v>
      </c>
      <c r="D11122" s="49">
        <v>0.0</v>
      </c>
    </row>
    <row r="11123" ht="15.0" hidden="1" customHeight="1">
      <c r="A11123" s="49" t="s">
        <v>749</v>
      </c>
      <c r="B11123" s="50">
        <v>45838.0</v>
      </c>
      <c r="C11123" s="49" t="s">
        <v>69</v>
      </c>
      <c r="D11123" s="49">
        <v>0.0</v>
      </c>
    </row>
    <row r="11124" ht="15.0" customHeight="1">
      <c r="A11124" s="49" t="s">
        <v>776</v>
      </c>
      <c r="B11124" s="50">
        <v>45838.0</v>
      </c>
      <c r="C11124" s="49" t="s">
        <v>780</v>
      </c>
      <c r="D11124" s="49">
        <v>0.0</v>
      </c>
    </row>
    <row r="11125" ht="15.0" hidden="1" customHeight="1">
      <c r="A11125" s="49" t="s">
        <v>778</v>
      </c>
      <c r="B11125" s="50">
        <v>45838.0</v>
      </c>
      <c r="C11125" s="49" t="s">
        <v>780</v>
      </c>
      <c r="D11125" s="49">
        <v>0.0</v>
      </c>
    </row>
    <row r="11126" ht="15.0" hidden="1" customHeight="1">
      <c r="A11126" s="49" t="s">
        <v>92</v>
      </c>
      <c r="B11126" s="50">
        <v>45838.0</v>
      </c>
      <c r="C11126" s="49" t="s">
        <v>780</v>
      </c>
      <c r="D11126" s="49">
        <v>0.0</v>
      </c>
    </row>
    <row r="11127" ht="15.0" hidden="1" customHeight="1">
      <c r="A11127" s="49" t="s">
        <v>97</v>
      </c>
      <c r="B11127" s="50">
        <v>45838.0</v>
      </c>
      <c r="C11127" s="49" t="s">
        <v>780</v>
      </c>
      <c r="D11127" s="49">
        <v>0.0</v>
      </c>
    </row>
    <row r="11128" ht="15.0" hidden="1" customHeight="1">
      <c r="A11128" s="49" t="s">
        <v>102</v>
      </c>
      <c r="B11128" s="50">
        <v>45838.0</v>
      </c>
      <c r="C11128" s="49" t="s">
        <v>780</v>
      </c>
      <c r="D11128" s="49">
        <v>0.0</v>
      </c>
    </row>
    <row r="11129" ht="15.0" hidden="1" customHeight="1">
      <c r="A11129" s="49" t="s">
        <v>106</v>
      </c>
      <c r="B11129" s="50">
        <v>45838.0</v>
      </c>
      <c r="C11129" s="49" t="s">
        <v>780</v>
      </c>
      <c r="D11129" s="49">
        <v>0.0</v>
      </c>
    </row>
    <row r="11130" ht="15.0" hidden="1" customHeight="1">
      <c r="A11130" s="49" t="s">
        <v>111</v>
      </c>
      <c r="B11130" s="50">
        <v>45838.0</v>
      </c>
      <c r="C11130" s="49" t="s">
        <v>780</v>
      </c>
      <c r="D11130" s="49">
        <v>0.0</v>
      </c>
    </row>
    <row r="11131" ht="15.0" hidden="1" customHeight="1">
      <c r="A11131" s="49" t="s">
        <v>116</v>
      </c>
      <c r="B11131" s="50">
        <v>45838.0</v>
      </c>
      <c r="C11131" s="49" t="s">
        <v>780</v>
      </c>
      <c r="D11131" s="49">
        <v>0.0</v>
      </c>
    </row>
    <row r="11132" ht="15.0" hidden="1" customHeight="1">
      <c r="A11132" s="49" t="s">
        <v>120</v>
      </c>
      <c r="B11132" s="50">
        <v>45838.0</v>
      </c>
      <c r="C11132" s="49" t="s">
        <v>780</v>
      </c>
      <c r="D11132" s="49">
        <v>0.0</v>
      </c>
    </row>
    <row r="11133" ht="15.0" hidden="1" customHeight="1">
      <c r="A11133" s="49" t="s">
        <v>125</v>
      </c>
      <c r="B11133" s="50">
        <v>45838.0</v>
      </c>
      <c r="C11133" s="49" t="s">
        <v>780</v>
      </c>
      <c r="D11133" s="49">
        <v>0.0</v>
      </c>
    </row>
    <row r="11134" ht="15.0" hidden="1" customHeight="1">
      <c r="A11134" s="49" t="s">
        <v>130</v>
      </c>
      <c r="B11134" s="50">
        <v>45838.0</v>
      </c>
      <c r="C11134" s="49" t="s">
        <v>780</v>
      </c>
      <c r="D11134" s="49">
        <v>0.0</v>
      </c>
    </row>
    <row r="11135" ht="15.0" hidden="1" customHeight="1">
      <c r="A11135" s="49" t="s">
        <v>137</v>
      </c>
      <c r="B11135" s="50">
        <v>45838.0</v>
      </c>
      <c r="C11135" s="49" t="s">
        <v>780</v>
      </c>
      <c r="D11135" s="49">
        <v>0.0</v>
      </c>
    </row>
    <row r="11136" ht="15.0" hidden="1" customHeight="1">
      <c r="A11136" s="49" t="s">
        <v>142</v>
      </c>
      <c r="B11136" s="50">
        <v>45838.0</v>
      </c>
      <c r="C11136" s="49" t="s">
        <v>780</v>
      </c>
      <c r="D11136" s="49">
        <v>0.0</v>
      </c>
    </row>
    <row r="11137" ht="15.0" hidden="1" customHeight="1">
      <c r="A11137" s="49" t="s">
        <v>147</v>
      </c>
      <c r="B11137" s="50">
        <v>45838.0</v>
      </c>
      <c r="C11137" s="49" t="s">
        <v>780</v>
      </c>
      <c r="D11137" s="49">
        <v>0.0</v>
      </c>
    </row>
    <row r="11138" ht="15.0" hidden="1" customHeight="1">
      <c r="A11138" s="49" t="s">
        <v>152</v>
      </c>
      <c r="B11138" s="50">
        <v>45838.0</v>
      </c>
      <c r="C11138" s="49" t="s">
        <v>780</v>
      </c>
      <c r="D11138" s="49">
        <v>0.0</v>
      </c>
    </row>
    <row r="11139" ht="15.0" hidden="1" customHeight="1">
      <c r="A11139" s="49" t="s">
        <v>157</v>
      </c>
      <c r="B11139" s="50">
        <v>45838.0</v>
      </c>
      <c r="C11139" s="49" t="s">
        <v>780</v>
      </c>
      <c r="D11139" s="49">
        <v>0.0</v>
      </c>
    </row>
    <row r="11140" ht="15.0" hidden="1" customHeight="1">
      <c r="A11140" s="49" t="s">
        <v>162</v>
      </c>
      <c r="B11140" s="50">
        <v>45838.0</v>
      </c>
      <c r="C11140" s="49" t="s">
        <v>780</v>
      </c>
      <c r="D11140" s="49">
        <v>0.0</v>
      </c>
    </row>
    <row r="11141" ht="15.0" hidden="1" customHeight="1">
      <c r="A11141" s="49" t="s">
        <v>167</v>
      </c>
      <c r="B11141" s="50">
        <v>45838.0</v>
      </c>
      <c r="C11141" s="49" t="s">
        <v>780</v>
      </c>
      <c r="D11141" s="49">
        <v>0.0</v>
      </c>
    </row>
    <row r="11142" ht="15.0" hidden="1" customHeight="1">
      <c r="A11142" s="49" t="s">
        <v>172</v>
      </c>
      <c r="B11142" s="50">
        <v>45838.0</v>
      </c>
      <c r="C11142" s="49" t="s">
        <v>780</v>
      </c>
      <c r="D11142" s="49">
        <v>0.0</v>
      </c>
    </row>
    <row r="11143" ht="15.0" hidden="1" customHeight="1">
      <c r="A11143" s="49" t="s">
        <v>177</v>
      </c>
      <c r="B11143" s="50">
        <v>45838.0</v>
      </c>
      <c r="C11143" s="49" t="s">
        <v>780</v>
      </c>
      <c r="D11143" s="49">
        <v>0.0</v>
      </c>
    </row>
    <row r="11144" ht="15.0" hidden="1" customHeight="1">
      <c r="A11144" s="49" t="s">
        <v>182</v>
      </c>
      <c r="B11144" s="50">
        <v>45838.0</v>
      </c>
      <c r="C11144" s="49" t="s">
        <v>780</v>
      </c>
      <c r="D11144" s="49">
        <v>0.0</v>
      </c>
    </row>
    <row r="11145" ht="15.0" hidden="1" customHeight="1">
      <c r="A11145" s="49" t="s">
        <v>187</v>
      </c>
      <c r="B11145" s="50">
        <v>45838.0</v>
      </c>
      <c r="C11145" s="49" t="s">
        <v>780</v>
      </c>
      <c r="D11145" s="49">
        <v>0.0</v>
      </c>
    </row>
    <row r="11146" ht="15.0" hidden="1" customHeight="1">
      <c r="A11146" s="49" t="s">
        <v>192</v>
      </c>
      <c r="B11146" s="50">
        <v>45838.0</v>
      </c>
      <c r="C11146" s="49" t="s">
        <v>780</v>
      </c>
      <c r="D11146" s="49">
        <v>0.0</v>
      </c>
    </row>
    <row r="11147" ht="15.0" hidden="1" customHeight="1">
      <c r="A11147" s="49" t="s">
        <v>197</v>
      </c>
      <c r="B11147" s="50">
        <v>45838.0</v>
      </c>
      <c r="C11147" s="49" t="s">
        <v>780</v>
      </c>
      <c r="D11147" s="49">
        <v>0.0</v>
      </c>
    </row>
    <row r="11148" ht="15.0" hidden="1" customHeight="1">
      <c r="A11148" s="49" t="s">
        <v>202</v>
      </c>
      <c r="B11148" s="50">
        <v>45838.0</v>
      </c>
      <c r="C11148" s="49" t="s">
        <v>780</v>
      </c>
      <c r="D11148" s="49">
        <v>0.0</v>
      </c>
    </row>
    <row r="11149" ht="15.0" hidden="1" customHeight="1">
      <c r="A11149" s="49" t="s">
        <v>206</v>
      </c>
      <c r="B11149" s="50">
        <v>45838.0</v>
      </c>
      <c r="C11149" s="49" t="s">
        <v>780</v>
      </c>
      <c r="D11149" s="49">
        <v>0.0</v>
      </c>
    </row>
    <row r="11150" ht="15.0" hidden="1" customHeight="1">
      <c r="A11150" s="49" t="s">
        <v>211</v>
      </c>
      <c r="B11150" s="50">
        <v>45838.0</v>
      </c>
      <c r="C11150" s="49" t="s">
        <v>780</v>
      </c>
      <c r="D11150" s="49">
        <v>0.0</v>
      </c>
    </row>
    <row r="11151" ht="15.0" hidden="1" customHeight="1">
      <c r="A11151" s="49" t="s">
        <v>779</v>
      </c>
      <c r="B11151" s="50">
        <v>45838.0</v>
      </c>
      <c r="C11151" s="49" t="s">
        <v>780</v>
      </c>
      <c r="D11151" s="49">
        <v>0.0</v>
      </c>
    </row>
    <row r="11152" ht="15.0" hidden="1" customHeight="1">
      <c r="A11152" s="49" t="s">
        <v>221</v>
      </c>
      <c r="B11152" s="50">
        <v>45838.0</v>
      </c>
      <c r="C11152" s="49" t="s">
        <v>780</v>
      </c>
      <c r="D11152" s="49">
        <v>0.0</v>
      </c>
    </row>
    <row r="11153" ht="15.0" hidden="1" customHeight="1">
      <c r="A11153" s="49" t="s">
        <v>226</v>
      </c>
      <c r="B11153" s="50">
        <v>45838.0</v>
      </c>
      <c r="C11153" s="49" t="s">
        <v>780</v>
      </c>
      <c r="D11153" s="49">
        <v>0.0</v>
      </c>
    </row>
    <row r="11154" ht="15.0" hidden="1" customHeight="1">
      <c r="A11154" s="49" t="s">
        <v>231</v>
      </c>
      <c r="B11154" s="50">
        <v>45838.0</v>
      </c>
      <c r="C11154" s="49" t="s">
        <v>780</v>
      </c>
      <c r="D11154" s="49">
        <v>0.0</v>
      </c>
    </row>
    <row r="11155" ht="15.0" hidden="1" customHeight="1">
      <c r="A11155" s="49" t="s">
        <v>236</v>
      </c>
      <c r="B11155" s="50">
        <v>45838.0</v>
      </c>
      <c r="C11155" s="49" t="s">
        <v>780</v>
      </c>
      <c r="D11155" s="49">
        <v>0.0</v>
      </c>
    </row>
    <row r="11156" ht="15.0" hidden="1" customHeight="1">
      <c r="A11156" s="49" t="s">
        <v>242</v>
      </c>
      <c r="B11156" s="50">
        <v>45838.0</v>
      </c>
      <c r="C11156" s="49" t="s">
        <v>780</v>
      </c>
      <c r="D11156" s="49">
        <v>0.0</v>
      </c>
    </row>
    <row r="11157" ht="15.0" hidden="1" customHeight="1">
      <c r="A11157" s="49" t="s">
        <v>248</v>
      </c>
      <c r="B11157" s="50">
        <v>45838.0</v>
      </c>
      <c r="C11157" s="49" t="s">
        <v>780</v>
      </c>
      <c r="D11157" s="49">
        <v>0.0</v>
      </c>
    </row>
    <row r="11158" ht="15.0" hidden="1" customHeight="1">
      <c r="A11158" s="49" t="s">
        <v>253</v>
      </c>
      <c r="B11158" s="50">
        <v>45838.0</v>
      </c>
      <c r="C11158" s="49" t="s">
        <v>780</v>
      </c>
      <c r="D11158" s="49">
        <v>0.0</v>
      </c>
    </row>
    <row r="11159" ht="15.0" hidden="1" customHeight="1">
      <c r="A11159" s="49" t="s">
        <v>258</v>
      </c>
      <c r="B11159" s="50">
        <v>45838.0</v>
      </c>
      <c r="C11159" s="49" t="s">
        <v>780</v>
      </c>
      <c r="D11159" s="49">
        <v>0.0</v>
      </c>
    </row>
    <row r="11160" ht="15.0" hidden="1" customHeight="1">
      <c r="A11160" s="49" t="s">
        <v>263</v>
      </c>
      <c r="B11160" s="50">
        <v>45838.0</v>
      </c>
      <c r="C11160" s="49" t="s">
        <v>780</v>
      </c>
      <c r="D11160" s="49">
        <v>0.0</v>
      </c>
    </row>
    <row r="11161" ht="15.0" hidden="1" customHeight="1">
      <c r="A11161" s="49" t="s">
        <v>268</v>
      </c>
      <c r="B11161" s="50">
        <v>45838.0</v>
      </c>
      <c r="C11161" s="49" t="s">
        <v>780</v>
      </c>
      <c r="D11161" s="49">
        <v>0.0</v>
      </c>
    </row>
    <row r="11162" ht="15.0" hidden="1" customHeight="1">
      <c r="A11162" s="49" t="s">
        <v>273</v>
      </c>
      <c r="B11162" s="50">
        <v>45838.0</v>
      </c>
      <c r="C11162" s="49" t="s">
        <v>780</v>
      </c>
      <c r="D11162" s="49">
        <v>0.0</v>
      </c>
    </row>
    <row r="11163" ht="15.0" hidden="1" customHeight="1">
      <c r="A11163" s="49" t="s">
        <v>278</v>
      </c>
      <c r="B11163" s="50">
        <v>45838.0</v>
      </c>
      <c r="C11163" s="49" t="s">
        <v>780</v>
      </c>
      <c r="D11163" s="49">
        <v>0.0</v>
      </c>
    </row>
    <row r="11164" ht="15.0" hidden="1" customHeight="1">
      <c r="A11164" s="49" t="s">
        <v>283</v>
      </c>
      <c r="B11164" s="50">
        <v>45838.0</v>
      </c>
      <c r="C11164" s="49" t="s">
        <v>780</v>
      </c>
      <c r="D11164" s="49">
        <v>0.0</v>
      </c>
    </row>
    <row r="11165" ht="15.0" hidden="1" customHeight="1">
      <c r="A11165" s="49" t="s">
        <v>288</v>
      </c>
      <c r="B11165" s="50">
        <v>45838.0</v>
      </c>
      <c r="C11165" s="49" t="s">
        <v>780</v>
      </c>
      <c r="D11165" s="49">
        <v>0.0</v>
      </c>
    </row>
    <row r="11166" ht="15.0" hidden="1" customHeight="1">
      <c r="A11166" s="49" t="s">
        <v>293</v>
      </c>
      <c r="B11166" s="50">
        <v>45838.0</v>
      </c>
      <c r="C11166" s="49" t="s">
        <v>780</v>
      </c>
      <c r="D11166" s="49">
        <v>0.0</v>
      </c>
    </row>
    <row r="11167" ht="15.0" hidden="1" customHeight="1">
      <c r="A11167" s="49" t="s">
        <v>298</v>
      </c>
      <c r="B11167" s="50">
        <v>45838.0</v>
      </c>
      <c r="C11167" s="49" t="s">
        <v>780</v>
      </c>
      <c r="D11167" s="49">
        <v>0.0</v>
      </c>
    </row>
    <row r="11168" ht="15.0" hidden="1" customHeight="1">
      <c r="A11168" s="49" t="s">
        <v>303</v>
      </c>
      <c r="B11168" s="50">
        <v>45838.0</v>
      </c>
      <c r="C11168" s="49" t="s">
        <v>780</v>
      </c>
      <c r="D11168" s="49">
        <v>0.0</v>
      </c>
    </row>
    <row r="11169" ht="15.0" hidden="1" customHeight="1">
      <c r="A11169" s="49" t="s">
        <v>307</v>
      </c>
      <c r="B11169" s="50">
        <v>45838.0</v>
      </c>
      <c r="C11169" s="49" t="s">
        <v>780</v>
      </c>
      <c r="D11169" s="49">
        <v>0.0</v>
      </c>
    </row>
    <row r="11170" ht="15.0" hidden="1" customHeight="1">
      <c r="A11170" s="49" t="s">
        <v>313</v>
      </c>
      <c r="B11170" s="50">
        <v>45838.0</v>
      </c>
      <c r="C11170" s="49" t="s">
        <v>780</v>
      </c>
      <c r="D11170" s="49">
        <v>0.0</v>
      </c>
    </row>
    <row r="11171" ht="15.0" hidden="1" customHeight="1">
      <c r="A11171" s="49" t="s">
        <v>318</v>
      </c>
      <c r="B11171" s="50">
        <v>45838.0</v>
      </c>
      <c r="C11171" s="49" t="s">
        <v>780</v>
      </c>
      <c r="D11171" s="49">
        <v>0.0</v>
      </c>
    </row>
    <row r="11172" ht="15.0" hidden="1" customHeight="1">
      <c r="A11172" s="49" t="s">
        <v>323</v>
      </c>
      <c r="B11172" s="50">
        <v>45838.0</v>
      </c>
      <c r="C11172" s="49" t="s">
        <v>780</v>
      </c>
      <c r="D11172" s="49">
        <v>0.0</v>
      </c>
    </row>
    <row r="11173" ht="15.0" hidden="1" customHeight="1">
      <c r="A11173" s="49" t="s">
        <v>328</v>
      </c>
      <c r="B11173" s="50">
        <v>45838.0</v>
      </c>
      <c r="C11173" s="49" t="s">
        <v>780</v>
      </c>
      <c r="D11173" s="49">
        <v>0.0</v>
      </c>
    </row>
    <row r="11174" ht="15.0" hidden="1" customHeight="1">
      <c r="A11174" s="49" t="s">
        <v>335</v>
      </c>
      <c r="B11174" s="50">
        <v>45838.0</v>
      </c>
      <c r="C11174" s="49" t="s">
        <v>780</v>
      </c>
      <c r="D11174" s="49">
        <v>0.0</v>
      </c>
    </row>
    <row r="11175" ht="15.0" hidden="1" customHeight="1">
      <c r="A11175" s="49" t="s">
        <v>340</v>
      </c>
      <c r="B11175" s="50">
        <v>45838.0</v>
      </c>
      <c r="C11175" s="49" t="s">
        <v>780</v>
      </c>
      <c r="D11175" s="49">
        <v>0.0</v>
      </c>
    </row>
    <row r="11176" ht="15.0" hidden="1" customHeight="1">
      <c r="A11176" s="49" t="s">
        <v>345</v>
      </c>
      <c r="B11176" s="50">
        <v>45838.0</v>
      </c>
      <c r="C11176" s="49" t="s">
        <v>780</v>
      </c>
      <c r="D11176" s="49">
        <v>0.0</v>
      </c>
    </row>
    <row r="11177" ht="15.0" hidden="1" customHeight="1">
      <c r="A11177" s="49" t="s">
        <v>350</v>
      </c>
      <c r="B11177" s="50">
        <v>45838.0</v>
      </c>
      <c r="C11177" s="49" t="s">
        <v>780</v>
      </c>
      <c r="D11177" s="49">
        <v>0.0</v>
      </c>
    </row>
    <row r="11178" ht="15.0" hidden="1" customHeight="1">
      <c r="A11178" s="49" t="s">
        <v>355</v>
      </c>
      <c r="B11178" s="50">
        <v>45838.0</v>
      </c>
      <c r="C11178" s="49" t="s">
        <v>780</v>
      </c>
      <c r="D11178" s="49">
        <v>0.0</v>
      </c>
    </row>
    <row r="11179" ht="15.0" hidden="1" customHeight="1">
      <c r="A11179" s="49" t="s">
        <v>360</v>
      </c>
      <c r="B11179" s="50">
        <v>45838.0</v>
      </c>
      <c r="C11179" s="49" t="s">
        <v>780</v>
      </c>
      <c r="D11179" s="49">
        <v>0.0</v>
      </c>
    </row>
    <row r="11180" ht="15.0" hidden="1" customHeight="1">
      <c r="A11180" s="49" t="s">
        <v>365</v>
      </c>
      <c r="B11180" s="50">
        <v>45838.0</v>
      </c>
      <c r="C11180" s="49" t="s">
        <v>780</v>
      </c>
      <c r="D11180" s="49">
        <v>0.0</v>
      </c>
    </row>
    <row r="11181" ht="15.0" hidden="1" customHeight="1">
      <c r="A11181" s="49" t="s">
        <v>370</v>
      </c>
      <c r="B11181" s="50">
        <v>45838.0</v>
      </c>
      <c r="C11181" s="49" t="s">
        <v>780</v>
      </c>
      <c r="D11181" s="49">
        <v>0.0</v>
      </c>
    </row>
    <row r="11182" ht="15.0" hidden="1" customHeight="1">
      <c r="A11182" s="49" t="s">
        <v>375</v>
      </c>
      <c r="B11182" s="50">
        <v>45838.0</v>
      </c>
      <c r="C11182" s="49" t="s">
        <v>780</v>
      </c>
      <c r="D11182" s="49">
        <v>0.0</v>
      </c>
    </row>
    <row r="11183" ht="15.0" hidden="1" customHeight="1">
      <c r="A11183" s="49" t="s">
        <v>380</v>
      </c>
      <c r="B11183" s="50">
        <v>45838.0</v>
      </c>
      <c r="C11183" s="49" t="s">
        <v>780</v>
      </c>
      <c r="D11183" s="49">
        <v>0.0</v>
      </c>
    </row>
    <row r="11184" ht="15.0" hidden="1" customHeight="1">
      <c r="A11184" s="49" t="s">
        <v>385</v>
      </c>
      <c r="B11184" s="50">
        <v>45838.0</v>
      </c>
      <c r="C11184" s="49" t="s">
        <v>780</v>
      </c>
      <c r="D11184" s="49">
        <v>-1000000.0</v>
      </c>
    </row>
    <row r="11185" ht="15.0" hidden="1" customHeight="1">
      <c r="A11185" s="49" t="s">
        <v>390</v>
      </c>
      <c r="B11185" s="50">
        <v>45838.0</v>
      </c>
      <c r="C11185" s="49" t="s">
        <v>780</v>
      </c>
      <c r="D11185" s="49">
        <v>0.0</v>
      </c>
    </row>
    <row r="11186" ht="15.0" hidden="1" customHeight="1">
      <c r="A11186" s="49" t="s">
        <v>395</v>
      </c>
      <c r="B11186" s="50">
        <v>45838.0</v>
      </c>
      <c r="C11186" s="49" t="s">
        <v>780</v>
      </c>
      <c r="D11186" s="49">
        <v>0.0</v>
      </c>
    </row>
    <row r="11187" ht="15.0" hidden="1" customHeight="1">
      <c r="A11187" s="49" t="s">
        <v>400</v>
      </c>
      <c r="B11187" s="50">
        <v>45838.0</v>
      </c>
      <c r="C11187" s="49" t="s">
        <v>780</v>
      </c>
      <c r="D11187" s="49">
        <v>0.0</v>
      </c>
    </row>
    <row r="11188" ht="15.0" hidden="1" customHeight="1">
      <c r="A11188" s="49" t="s">
        <v>405</v>
      </c>
      <c r="B11188" s="50">
        <v>45838.0</v>
      </c>
      <c r="C11188" s="49" t="s">
        <v>780</v>
      </c>
      <c r="D11188" s="49">
        <v>0.0</v>
      </c>
    </row>
    <row r="11189" ht="15.0" hidden="1" customHeight="1">
      <c r="A11189" s="49" t="s">
        <v>410</v>
      </c>
      <c r="B11189" s="50">
        <v>45838.0</v>
      </c>
      <c r="C11189" s="49" t="s">
        <v>780</v>
      </c>
      <c r="D11189" s="49">
        <v>0.0</v>
      </c>
    </row>
    <row r="11190" ht="15.0" hidden="1" customHeight="1">
      <c r="A11190" s="49" t="s">
        <v>415</v>
      </c>
      <c r="B11190" s="50">
        <v>45838.0</v>
      </c>
      <c r="C11190" s="49" t="s">
        <v>780</v>
      </c>
      <c r="D11190" s="49">
        <v>0.0</v>
      </c>
    </row>
    <row r="11191" ht="15.0" hidden="1" customHeight="1">
      <c r="A11191" s="49" t="s">
        <v>420</v>
      </c>
      <c r="B11191" s="50">
        <v>45838.0</v>
      </c>
      <c r="C11191" s="49" t="s">
        <v>780</v>
      </c>
      <c r="D11191" s="49">
        <v>0.0</v>
      </c>
    </row>
    <row r="11192" ht="15.0" hidden="1" customHeight="1">
      <c r="A11192" s="49" t="s">
        <v>425</v>
      </c>
      <c r="B11192" s="50">
        <v>45838.0</v>
      </c>
      <c r="C11192" s="49" t="s">
        <v>780</v>
      </c>
      <c r="D11192" s="49">
        <v>0.0</v>
      </c>
    </row>
    <row r="11193" ht="15.0" hidden="1" customHeight="1">
      <c r="A11193" s="49" t="s">
        <v>430</v>
      </c>
      <c r="B11193" s="50">
        <v>45838.0</v>
      </c>
      <c r="C11193" s="49" t="s">
        <v>780</v>
      </c>
      <c r="D11193" s="49">
        <v>0.0</v>
      </c>
    </row>
    <row r="11194" ht="15.0" hidden="1" customHeight="1">
      <c r="A11194" s="49" t="s">
        <v>434</v>
      </c>
      <c r="B11194" s="50">
        <v>45838.0</v>
      </c>
      <c r="C11194" s="49" t="s">
        <v>780</v>
      </c>
      <c r="D11194" s="49">
        <v>0.0</v>
      </c>
    </row>
    <row r="11195" ht="15.0" hidden="1" customHeight="1">
      <c r="A11195" s="49" t="s">
        <v>439</v>
      </c>
      <c r="B11195" s="50">
        <v>45838.0</v>
      </c>
      <c r="C11195" s="49" t="s">
        <v>780</v>
      </c>
      <c r="D11195" s="49">
        <v>0.0</v>
      </c>
    </row>
    <row r="11196" ht="15.0" hidden="1" customHeight="1">
      <c r="A11196" s="49" t="s">
        <v>444</v>
      </c>
      <c r="B11196" s="50">
        <v>45838.0</v>
      </c>
      <c r="C11196" s="49" t="s">
        <v>780</v>
      </c>
      <c r="D11196" s="49">
        <v>0.0</v>
      </c>
    </row>
    <row r="11197" ht="15.0" hidden="1" customHeight="1">
      <c r="A11197" s="49" t="s">
        <v>449</v>
      </c>
      <c r="B11197" s="50">
        <v>45838.0</v>
      </c>
      <c r="C11197" s="49" t="s">
        <v>780</v>
      </c>
      <c r="D11197" s="49">
        <v>-1000000.0</v>
      </c>
    </row>
    <row r="11198" ht="15.0" hidden="1" customHeight="1">
      <c r="A11198" s="49" t="s">
        <v>455</v>
      </c>
      <c r="B11198" s="50">
        <v>45838.0</v>
      </c>
      <c r="C11198" s="49" t="s">
        <v>780</v>
      </c>
      <c r="D11198" s="49">
        <v>0.0</v>
      </c>
    </row>
    <row r="11199" ht="15.0" hidden="1" customHeight="1">
      <c r="A11199" s="49" t="s">
        <v>470</v>
      </c>
      <c r="B11199" s="50">
        <v>45838.0</v>
      </c>
      <c r="C11199" s="49" t="s">
        <v>780</v>
      </c>
      <c r="D11199" s="49">
        <v>0.0</v>
      </c>
    </row>
    <row r="11200" ht="15.0" hidden="1" customHeight="1">
      <c r="A11200" s="49" t="s">
        <v>476</v>
      </c>
      <c r="B11200" s="50">
        <v>45838.0</v>
      </c>
      <c r="C11200" s="49" t="s">
        <v>780</v>
      </c>
      <c r="D11200" s="49">
        <v>0.0</v>
      </c>
    </row>
    <row r="11201" ht="15.0" hidden="1" customHeight="1">
      <c r="A11201" s="49" t="s">
        <v>481</v>
      </c>
      <c r="B11201" s="50">
        <v>45838.0</v>
      </c>
      <c r="C11201" s="49" t="s">
        <v>780</v>
      </c>
      <c r="D11201" s="49">
        <v>0.0</v>
      </c>
    </row>
    <row r="11202" ht="15.0" hidden="1" customHeight="1">
      <c r="A11202" s="49" t="s">
        <v>486</v>
      </c>
      <c r="B11202" s="50">
        <v>45838.0</v>
      </c>
      <c r="C11202" s="49" t="s">
        <v>780</v>
      </c>
      <c r="D11202" s="49">
        <v>0.0</v>
      </c>
    </row>
    <row r="11203" ht="15.0" hidden="1" customHeight="1">
      <c r="A11203" s="49" t="s">
        <v>491</v>
      </c>
      <c r="B11203" s="50">
        <v>45838.0</v>
      </c>
      <c r="C11203" s="49" t="s">
        <v>780</v>
      </c>
      <c r="D11203" s="49">
        <v>0.0</v>
      </c>
    </row>
    <row r="11204" ht="15.0" hidden="1" customHeight="1">
      <c r="A11204" s="49" t="s">
        <v>496</v>
      </c>
      <c r="B11204" s="50">
        <v>45838.0</v>
      </c>
      <c r="C11204" s="49" t="s">
        <v>780</v>
      </c>
      <c r="D11204" s="49">
        <v>0.0</v>
      </c>
    </row>
    <row r="11205" ht="15.0" hidden="1" customHeight="1">
      <c r="A11205" s="49" t="s">
        <v>501</v>
      </c>
      <c r="B11205" s="50">
        <v>45838.0</v>
      </c>
      <c r="C11205" s="49" t="s">
        <v>780</v>
      </c>
      <c r="D11205" s="49">
        <v>0.0</v>
      </c>
    </row>
    <row r="11206" ht="15.0" hidden="1" customHeight="1">
      <c r="A11206" s="49" t="s">
        <v>506</v>
      </c>
      <c r="B11206" s="50">
        <v>45838.0</v>
      </c>
      <c r="C11206" s="49" t="s">
        <v>780</v>
      </c>
      <c r="D11206" s="49">
        <v>0.0</v>
      </c>
    </row>
    <row r="11207" ht="15.0" hidden="1" customHeight="1">
      <c r="A11207" s="49" t="s">
        <v>512</v>
      </c>
      <c r="B11207" s="50">
        <v>45838.0</v>
      </c>
      <c r="C11207" s="49" t="s">
        <v>780</v>
      </c>
      <c r="D11207" s="49">
        <v>0.0</v>
      </c>
    </row>
    <row r="11208" ht="15.0" hidden="1" customHeight="1">
      <c r="A11208" s="49" t="s">
        <v>517</v>
      </c>
      <c r="B11208" s="50">
        <v>45838.0</v>
      </c>
      <c r="C11208" s="49" t="s">
        <v>780</v>
      </c>
      <c r="D11208" s="49">
        <v>0.0</v>
      </c>
    </row>
    <row r="11209" ht="15.0" hidden="1" customHeight="1">
      <c r="A11209" s="49" t="s">
        <v>522</v>
      </c>
      <c r="B11209" s="50">
        <v>45838.0</v>
      </c>
      <c r="C11209" s="49" t="s">
        <v>780</v>
      </c>
      <c r="D11209" s="49">
        <v>0.0</v>
      </c>
    </row>
    <row r="11210" ht="15.0" hidden="1" customHeight="1">
      <c r="A11210" s="49" t="s">
        <v>528</v>
      </c>
      <c r="B11210" s="50">
        <v>45838.0</v>
      </c>
      <c r="C11210" s="49" t="s">
        <v>780</v>
      </c>
      <c r="D11210" s="49">
        <v>0.0</v>
      </c>
    </row>
    <row r="11211" ht="15.0" hidden="1" customHeight="1">
      <c r="A11211" s="49" t="s">
        <v>533</v>
      </c>
      <c r="B11211" s="50">
        <v>45838.0</v>
      </c>
      <c r="C11211" s="49" t="s">
        <v>780</v>
      </c>
      <c r="D11211" s="49">
        <v>0.0</v>
      </c>
    </row>
    <row r="11212" ht="15.0" hidden="1" customHeight="1">
      <c r="A11212" s="49" t="s">
        <v>538</v>
      </c>
      <c r="B11212" s="50">
        <v>45838.0</v>
      </c>
      <c r="C11212" s="49" t="s">
        <v>780</v>
      </c>
      <c r="D11212" s="49">
        <v>0.0</v>
      </c>
    </row>
    <row r="11213" ht="15.0" hidden="1" customHeight="1">
      <c r="A11213" s="49" t="s">
        <v>546</v>
      </c>
      <c r="B11213" s="50">
        <v>45838.0</v>
      </c>
      <c r="C11213" s="49" t="s">
        <v>780</v>
      </c>
      <c r="D11213" s="49">
        <v>0.0</v>
      </c>
    </row>
    <row r="11214" ht="15.0" hidden="1" customHeight="1">
      <c r="A11214" s="49" t="s">
        <v>551</v>
      </c>
      <c r="B11214" s="50">
        <v>45838.0</v>
      </c>
      <c r="C11214" s="49" t="s">
        <v>780</v>
      </c>
      <c r="D11214" s="49">
        <v>0.0</v>
      </c>
    </row>
    <row r="11215" ht="15.0" hidden="1" customHeight="1">
      <c r="A11215" s="49" t="s">
        <v>556</v>
      </c>
      <c r="B11215" s="50">
        <v>45838.0</v>
      </c>
      <c r="C11215" s="49" t="s">
        <v>780</v>
      </c>
      <c r="D11215" s="49">
        <v>0.0</v>
      </c>
    </row>
    <row r="11216" ht="15.0" hidden="1" customHeight="1">
      <c r="A11216" s="49" t="s">
        <v>561</v>
      </c>
      <c r="B11216" s="50">
        <v>45838.0</v>
      </c>
      <c r="C11216" s="49" t="s">
        <v>780</v>
      </c>
      <c r="D11216" s="49">
        <v>-100000.0</v>
      </c>
    </row>
    <row r="11217" ht="15.0" hidden="1" customHeight="1">
      <c r="A11217" s="49" t="s">
        <v>566</v>
      </c>
      <c r="B11217" s="50">
        <v>45838.0</v>
      </c>
      <c r="C11217" s="49" t="s">
        <v>780</v>
      </c>
      <c r="D11217" s="49">
        <v>250000.0</v>
      </c>
    </row>
    <row r="11218" ht="15.0" hidden="1" customHeight="1">
      <c r="A11218" s="49" t="s">
        <v>571</v>
      </c>
      <c r="B11218" s="50">
        <v>45838.0</v>
      </c>
      <c r="C11218" s="49" t="s">
        <v>780</v>
      </c>
      <c r="D11218" s="49">
        <v>0.0</v>
      </c>
    </row>
    <row r="11219" ht="15.0" hidden="1" customHeight="1">
      <c r="A11219" s="49" t="s">
        <v>576</v>
      </c>
      <c r="B11219" s="50">
        <v>45838.0</v>
      </c>
      <c r="C11219" s="49" t="s">
        <v>780</v>
      </c>
      <c r="D11219" s="49">
        <v>0.0</v>
      </c>
    </row>
    <row r="11220" ht="15.0" hidden="1" customHeight="1">
      <c r="A11220" s="49" t="s">
        <v>581</v>
      </c>
      <c r="B11220" s="50">
        <v>45838.0</v>
      </c>
      <c r="C11220" s="49" t="s">
        <v>780</v>
      </c>
      <c r="D11220" s="49">
        <v>0.0</v>
      </c>
    </row>
    <row r="11221" ht="15.0" hidden="1" customHeight="1">
      <c r="A11221" s="49" t="s">
        <v>586</v>
      </c>
      <c r="B11221" s="50">
        <v>45838.0</v>
      </c>
      <c r="C11221" s="49" t="s">
        <v>780</v>
      </c>
      <c r="D11221" s="49">
        <v>-700000.0</v>
      </c>
    </row>
    <row r="11222" ht="15.0" hidden="1" customHeight="1">
      <c r="A11222" s="49" t="s">
        <v>754</v>
      </c>
      <c r="B11222" s="50">
        <v>45838.0</v>
      </c>
      <c r="C11222" s="49" t="s">
        <v>780</v>
      </c>
      <c r="D11222" s="49">
        <v>0.0</v>
      </c>
    </row>
    <row r="11223" ht="15.0" hidden="1" customHeight="1">
      <c r="A11223" s="49" t="s">
        <v>591</v>
      </c>
      <c r="B11223" s="50">
        <v>45838.0</v>
      </c>
      <c r="C11223" s="49" t="s">
        <v>780</v>
      </c>
      <c r="D11223" s="49">
        <v>0.0</v>
      </c>
    </row>
    <row r="11224" ht="15.0" hidden="1" customHeight="1">
      <c r="A11224" s="49" t="s">
        <v>759</v>
      </c>
      <c r="B11224" s="50">
        <v>45838.0</v>
      </c>
      <c r="C11224" s="49" t="s">
        <v>780</v>
      </c>
      <c r="D11224" s="49">
        <v>0.0</v>
      </c>
    </row>
    <row r="11225" ht="15.0" hidden="1" customHeight="1">
      <c r="A11225" s="49" t="s">
        <v>596</v>
      </c>
      <c r="B11225" s="50">
        <v>45838.0</v>
      </c>
      <c r="C11225" s="49" t="s">
        <v>780</v>
      </c>
      <c r="D11225" s="49">
        <v>-600000.0</v>
      </c>
    </row>
    <row r="11226" ht="15.0" hidden="1" customHeight="1">
      <c r="A11226" s="49" t="s">
        <v>602</v>
      </c>
      <c r="B11226" s="50">
        <v>45838.0</v>
      </c>
      <c r="C11226" s="49" t="s">
        <v>780</v>
      </c>
      <c r="D11226" s="49">
        <v>-500000.0</v>
      </c>
    </row>
    <row r="11227" ht="15.0" hidden="1" customHeight="1">
      <c r="A11227" s="49" t="s">
        <v>607</v>
      </c>
      <c r="B11227" s="50">
        <v>45838.0</v>
      </c>
      <c r="C11227" s="49" t="s">
        <v>780</v>
      </c>
      <c r="D11227" s="49">
        <v>0.0</v>
      </c>
    </row>
    <row r="11228" ht="15.0" hidden="1" customHeight="1">
      <c r="A11228" s="49" t="s">
        <v>612</v>
      </c>
      <c r="B11228" s="50">
        <v>45838.0</v>
      </c>
      <c r="C11228" s="49" t="s">
        <v>780</v>
      </c>
      <c r="D11228" s="49">
        <v>0.0</v>
      </c>
    </row>
    <row r="11229" ht="15.0" hidden="1" customHeight="1">
      <c r="A11229" s="49" t="s">
        <v>617</v>
      </c>
      <c r="B11229" s="50">
        <v>45838.0</v>
      </c>
      <c r="C11229" s="49" t="s">
        <v>780</v>
      </c>
      <c r="D11229" s="49">
        <v>0.0</v>
      </c>
    </row>
    <row r="11230" ht="15.0" hidden="1" customHeight="1">
      <c r="A11230" s="49" t="s">
        <v>622</v>
      </c>
      <c r="B11230" s="50">
        <v>45838.0</v>
      </c>
      <c r="C11230" s="49" t="s">
        <v>780</v>
      </c>
      <c r="D11230" s="49">
        <v>0.0</v>
      </c>
    </row>
    <row r="11231" ht="15.0" hidden="1" customHeight="1">
      <c r="A11231" s="49" t="s">
        <v>627</v>
      </c>
      <c r="B11231" s="50">
        <v>45838.0</v>
      </c>
      <c r="C11231" s="49" t="s">
        <v>780</v>
      </c>
      <c r="D11231" s="49">
        <v>0.0</v>
      </c>
    </row>
    <row r="11232" ht="15.0" hidden="1" customHeight="1">
      <c r="A11232" s="49" t="s">
        <v>631</v>
      </c>
      <c r="B11232" s="50">
        <v>45838.0</v>
      </c>
      <c r="C11232" s="49" t="s">
        <v>780</v>
      </c>
      <c r="D11232" s="49">
        <v>800000.0</v>
      </c>
    </row>
    <row r="11233" ht="15.0" hidden="1" customHeight="1">
      <c r="A11233" s="49" t="s">
        <v>636</v>
      </c>
      <c r="B11233" s="50">
        <v>45838.0</v>
      </c>
      <c r="C11233" s="49" t="s">
        <v>780</v>
      </c>
      <c r="D11233" s="49">
        <v>500000.0</v>
      </c>
    </row>
    <row r="11234" ht="15.0" hidden="1" customHeight="1">
      <c r="A11234" s="49" t="s">
        <v>640</v>
      </c>
      <c r="B11234" s="50">
        <v>45838.0</v>
      </c>
      <c r="C11234" s="49" t="s">
        <v>780</v>
      </c>
      <c r="D11234" s="49">
        <v>2255000.0</v>
      </c>
    </row>
    <row r="11235" ht="15.0" hidden="1" customHeight="1">
      <c r="A11235" s="49" t="s">
        <v>644</v>
      </c>
      <c r="B11235" s="50">
        <v>45838.0</v>
      </c>
      <c r="C11235" s="49" t="s">
        <v>780</v>
      </c>
      <c r="D11235" s="49">
        <v>-100000.0</v>
      </c>
    </row>
    <row r="11236" ht="15.0" hidden="1" customHeight="1">
      <c r="A11236" s="49" t="s">
        <v>649</v>
      </c>
      <c r="B11236" s="50">
        <v>45838.0</v>
      </c>
      <c r="C11236" s="49" t="s">
        <v>780</v>
      </c>
      <c r="D11236" s="49">
        <v>250000.0</v>
      </c>
    </row>
    <row r="11237" ht="15.0" hidden="1" customHeight="1">
      <c r="A11237" s="49" t="s">
        <v>654</v>
      </c>
      <c r="B11237" s="50">
        <v>45838.0</v>
      </c>
      <c r="C11237" s="49" t="s">
        <v>780</v>
      </c>
      <c r="D11237" s="49">
        <v>263736.0</v>
      </c>
    </row>
    <row r="11238" ht="15.0" hidden="1" customHeight="1">
      <c r="A11238" s="49" t="s">
        <v>659</v>
      </c>
      <c r="B11238" s="50">
        <v>45838.0</v>
      </c>
      <c r="C11238" s="49" t="s">
        <v>780</v>
      </c>
      <c r="D11238" s="49">
        <v>1799829.24</v>
      </c>
    </row>
    <row r="11239" ht="15.0" hidden="1" customHeight="1">
      <c r="A11239" s="49" t="s">
        <v>664</v>
      </c>
      <c r="B11239" s="50">
        <v>45838.0</v>
      </c>
      <c r="C11239" s="49" t="s">
        <v>780</v>
      </c>
      <c r="D11239" s="49">
        <v>0.0</v>
      </c>
    </row>
    <row r="11240" ht="15.0" hidden="1" customHeight="1">
      <c r="A11240" s="49" t="s">
        <v>669</v>
      </c>
      <c r="B11240" s="50">
        <v>45838.0</v>
      </c>
      <c r="C11240" s="49" t="s">
        <v>780</v>
      </c>
      <c r="D11240" s="49">
        <v>1540000.0</v>
      </c>
    </row>
    <row r="11241" ht="15.0" hidden="1" customHeight="1">
      <c r="A11241" s="49" t="s">
        <v>674</v>
      </c>
      <c r="B11241" s="50">
        <v>45838.0</v>
      </c>
      <c r="C11241" s="49" t="s">
        <v>780</v>
      </c>
      <c r="D11241" s="49">
        <v>1000000.0</v>
      </c>
    </row>
    <row r="11242" ht="15.0" hidden="1" customHeight="1">
      <c r="A11242" s="49" t="s">
        <v>679</v>
      </c>
      <c r="B11242" s="50">
        <v>45838.0</v>
      </c>
      <c r="C11242" s="49" t="s">
        <v>780</v>
      </c>
      <c r="D11242" s="49">
        <v>1000000.0</v>
      </c>
    </row>
    <row r="11243" ht="15.0" hidden="1" customHeight="1">
      <c r="A11243" s="49" t="s">
        <v>684</v>
      </c>
      <c r="B11243" s="50">
        <v>45838.0</v>
      </c>
      <c r="C11243" s="49" t="s">
        <v>780</v>
      </c>
      <c r="D11243" s="49">
        <v>0.0</v>
      </c>
    </row>
    <row r="11244" ht="15.0" hidden="1" customHeight="1">
      <c r="A11244" s="49" t="s">
        <v>689</v>
      </c>
      <c r="B11244" s="50">
        <v>45838.0</v>
      </c>
      <c r="C11244" s="49" t="s">
        <v>780</v>
      </c>
      <c r="D11244" s="49">
        <v>0.0</v>
      </c>
    </row>
    <row r="11245" ht="15.0" hidden="1" customHeight="1">
      <c r="A11245" s="49" t="s">
        <v>694</v>
      </c>
      <c r="B11245" s="50">
        <v>45838.0</v>
      </c>
      <c r="C11245" s="49" t="s">
        <v>780</v>
      </c>
      <c r="D11245" s="49">
        <v>0.0</v>
      </c>
    </row>
    <row r="11246" ht="15.0" hidden="1" customHeight="1">
      <c r="A11246" s="49" t="s">
        <v>699</v>
      </c>
      <c r="B11246" s="50">
        <v>45838.0</v>
      </c>
      <c r="C11246" s="49" t="s">
        <v>780</v>
      </c>
      <c r="D11246" s="49">
        <v>0.0</v>
      </c>
    </row>
    <row r="11247" ht="15.0" hidden="1" customHeight="1">
      <c r="A11247" s="49" t="s">
        <v>705</v>
      </c>
      <c r="B11247" s="50">
        <v>45838.0</v>
      </c>
      <c r="C11247" s="49" t="s">
        <v>780</v>
      </c>
      <c r="D11247" s="49">
        <v>0.0</v>
      </c>
    </row>
    <row r="11248" ht="15.0" hidden="1" customHeight="1">
      <c r="A11248" s="49" t="s">
        <v>710</v>
      </c>
      <c r="B11248" s="50">
        <v>45838.0</v>
      </c>
      <c r="C11248" s="49" t="s">
        <v>780</v>
      </c>
      <c r="D11248" s="49">
        <v>0.0</v>
      </c>
    </row>
    <row r="11249" ht="15.0" hidden="1" customHeight="1">
      <c r="A11249" s="49" t="s">
        <v>715</v>
      </c>
      <c r="B11249" s="50">
        <v>45838.0</v>
      </c>
      <c r="C11249" s="49" t="s">
        <v>780</v>
      </c>
      <c r="D11249" s="49">
        <v>0.0</v>
      </c>
    </row>
    <row r="11250" ht="15.0" hidden="1" customHeight="1">
      <c r="A11250" s="49" t="s">
        <v>765</v>
      </c>
      <c r="B11250" s="50">
        <v>45838.0</v>
      </c>
      <c r="C11250" s="49" t="s">
        <v>780</v>
      </c>
      <c r="D11250" s="49">
        <v>0.0</v>
      </c>
    </row>
    <row r="11251" ht="15.0" hidden="1" customHeight="1">
      <c r="A11251" s="49" t="s">
        <v>720</v>
      </c>
      <c r="B11251" s="50">
        <v>45838.0</v>
      </c>
      <c r="C11251" s="49" t="s">
        <v>780</v>
      </c>
      <c r="D11251" s="49">
        <v>0.0</v>
      </c>
    </row>
    <row r="11252" ht="15.0" hidden="1" customHeight="1">
      <c r="A11252" s="49" t="s">
        <v>725</v>
      </c>
      <c r="B11252" s="50">
        <v>45838.0</v>
      </c>
      <c r="C11252" s="49" t="s">
        <v>780</v>
      </c>
      <c r="D11252" s="49">
        <v>0.0</v>
      </c>
    </row>
    <row r="11253" ht="15.0" hidden="1" customHeight="1">
      <c r="A11253" s="49" t="s">
        <v>730</v>
      </c>
      <c r="B11253" s="50">
        <v>45838.0</v>
      </c>
      <c r="C11253" s="49" t="s">
        <v>780</v>
      </c>
      <c r="D11253" s="49">
        <v>0.0</v>
      </c>
    </row>
    <row r="11254" ht="15.0" hidden="1" customHeight="1">
      <c r="A11254" s="49" t="s">
        <v>734</v>
      </c>
      <c r="B11254" s="50">
        <v>45838.0</v>
      </c>
      <c r="C11254" s="49" t="s">
        <v>780</v>
      </c>
      <c r="D11254" s="49">
        <v>0.0</v>
      </c>
    </row>
    <row r="11255" ht="15.0" hidden="1" customHeight="1">
      <c r="A11255" s="49" t="s">
        <v>739</v>
      </c>
      <c r="B11255" s="50">
        <v>45838.0</v>
      </c>
      <c r="C11255" s="49" t="s">
        <v>780</v>
      </c>
      <c r="D11255" s="49">
        <v>0.0</v>
      </c>
    </row>
    <row r="11256" ht="15.0" hidden="1" customHeight="1">
      <c r="A11256" s="49" t="s">
        <v>744</v>
      </c>
      <c r="B11256" s="50">
        <v>45838.0</v>
      </c>
      <c r="C11256" s="49" t="s">
        <v>780</v>
      </c>
      <c r="D11256" s="49">
        <v>0.0</v>
      </c>
    </row>
    <row r="11257" ht="15.0" hidden="1" customHeight="1">
      <c r="A11257" s="49" t="s">
        <v>749</v>
      </c>
      <c r="B11257" s="50">
        <v>45838.0</v>
      </c>
      <c r="C11257" s="49" t="s">
        <v>780</v>
      </c>
      <c r="D11257" s="49">
        <v>0.0</v>
      </c>
    </row>
    <row r="11258" ht="15.0" customHeight="1">
      <c r="A11258" s="49" t="s">
        <v>776</v>
      </c>
      <c r="B11258" s="50">
        <v>45930.0</v>
      </c>
      <c r="C11258" s="49" t="s">
        <v>777</v>
      </c>
      <c r="D11258" s="49">
        <v>0.0</v>
      </c>
    </row>
    <row r="11259" ht="15.0" hidden="1" customHeight="1">
      <c r="A11259" s="49" t="s">
        <v>778</v>
      </c>
      <c r="B11259" s="50">
        <v>45930.0</v>
      </c>
      <c r="C11259" s="49" t="s">
        <v>777</v>
      </c>
      <c r="D11259" s="49">
        <v>0.0</v>
      </c>
    </row>
    <row r="11260" ht="15.0" hidden="1" customHeight="1">
      <c r="A11260" s="49" t="s">
        <v>92</v>
      </c>
      <c r="B11260" s="50">
        <v>45930.0</v>
      </c>
      <c r="C11260" s="49" t="s">
        <v>777</v>
      </c>
      <c r="D11260" s="49">
        <v>0.0</v>
      </c>
    </row>
    <row r="11261" ht="15.0" hidden="1" customHeight="1">
      <c r="A11261" s="49" t="s">
        <v>97</v>
      </c>
      <c r="B11261" s="50">
        <v>45930.0</v>
      </c>
      <c r="C11261" s="49" t="s">
        <v>777</v>
      </c>
      <c r="D11261" s="49">
        <v>0.0</v>
      </c>
    </row>
    <row r="11262" ht="15.0" hidden="1" customHeight="1">
      <c r="A11262" s="49" t="s">
        <v>102</v>
      </c>
      <c r="B11262" s="50">
        <v>45930.0</v>
      </c>
      <c r="C11262" s="49" t="s">
        <v>777</v>
      </c>
      <c r="D11262" s="49">
        <v>0.0</v>
      </c>
    </row>
    <row r="11263" ht="15.0" hidden="1" customHeight="1">
      <c r="A11263" s="49" t="s">
        <v>106</v>
      </c>
      <c r="B11263" s="50">
        <v>45930.0</v>
      </c>
      <c r="C11263" s="49" t="s">
        <v>777</v>
      </c>
      <c r="D11263" s="49">
        <v>0.0</v>
      </c>
    </row>
    <row r="11264" ht="15.0" hidden="1" customHeight="1">
      <c r="A11264" s="49" t="s">
        <v>111</v>
      </c>
      <c r="B11264" s="50">
        <v>45930.0</v>
      </c>
      <c r="C11264" s="49" t="s">
        <v>777</v>
      </c>
      <c r="D11264" s="49">
        <v>0.0</v>
      </c>
    </row>
    <row r="11265" ht="15.0" hidden="1" customHeight="1">
      <c r="A11265" s="49" t="s">
        <v>116</v>
      </c>
      <c r="B11265" s="50">
        <v>45930.0</v>
      </c>
      <c r="C11265" s="49" t="s">
        <v>777</v>
      </c>
      <c r="D11265" s="49">
        <v>0.0</v>
      </c>
    </row>
    <row r="11266" ht="15.0" hidden="1" customHeight="1">
      <c r="A11266" s="49" t="s">
        <v>120</v>
      </c>
      <c r="B11266" s="50">
        <v>45930.0</v>
      </c>
      <c r="C11266" s="49" t="s">
        <v>777</v>
      </c>
      <c r="D11266" s="49">
        <v>0.0</v>
      </c>
    </row>
    <row r="11267" ht="15.0" hidden="1" customHeight="1">
      <c r="A11267" s="49" t="s">
        <v>125</v>
      </c>
      <c r="B11267" s="50">
        <v>45930.0</v>
      </c>
      <c r="C11267" s="49" t="s">
        <v>777</v>
      </c>
      <c r="D11267" s="49">
        <v>0.0</v>
      </c>
    </row>
    <row r="11268" ht="15.0" hidden="1" customHeight="1">
      <c r="A11268" s="49" t="s">
        <v>130</v>
      </c>
      <c r="B11268" s="50">
        <v>45930.0</v>
      </c>
      <c r="C11268" s="49" t="s">
        <v>777</v>
      </c>
      <c r="D11268" s="49">
        <v>0.0</v>
      </c>
    </row>
    <row r="11269" ht="15.0" hidden="1" customHeight="1">
      <c r="A11269" s="49" t="s">
        <v>137</v>
      </c>
      <c r="B11269" s="50">
        <v>45930.0</v>
      </c>
      <c r="C11269" s="49" t="s">
        <v>777</v>
      </c>
      <c r="D11269" s="49">
        <v>0.0</v>
      </c>
    </row>
    <row r="11270" ht="15.0" hidden="1" customHeight="1">
      <c r="A11270" s="49" t="s">
        <v>142</v>
      </c>
      <c r="B11270" s="50">
        <v>45930.0</v>
      </c>
      <c r="C11270" s="49" t="s">
        <v>777</v>
      </c>
      <c r="D11270" s="49">
        <v>0.0</v>
      </c>
    </row>
    <row r="11271" ht="15.0" hidden="1" customHeight="1">
      <c r="A11271" s="49" t="s">
        <v>147</v>
      </c>
      <c r="B11271" s="50">
        <v>45930.0</v>
      </c>
      <c r="C11271" s="49" t="s">
        <v>777</v>
      </c>
      <c r="D11271" s="49">
        <v>0.0</v>
      </c>
    </row>
    <row r="11272" ht="15.0" hidden="1" customHeight="1">
      <c r="A11272" s="49" t="s">
        <v>152</v>
      </c>
      <c r="B11272" s="50">
        <v>45930.0</v>
      </c>
      <c r="C11272" s="49" t="s">
        <v>777</v>
      </c>
      <c r="D11272" s="49">
        <v>0.0</v>
      </c>
    </row>
    <row r="11273" ht="15.0" hidden="1" customHeight="1">
      <c r="A11273" s="49" t="s">
        <v>157</v>
      </c>
      <c r="B11273" s="50">
        <v>45930.0</v>
      </c>
      <c r="C11273" s="49" t="s">
        <v>777</v>
      </c>
      <c r="D11273" s="49">
        <v>0.0</v>
      </c>
    </row>
    <row r="11274" ht="15.0" hidden="1" customHeight="1">
      <c r="A11274" s="49" t="s">
        <v>162</v>
      </c>
      <c r="B11274" s="50">
        <v>45930.0</v>
      </c>
      <c r="C11274" s="49" t="s">
        <v>777</v>
      </c>
      <c r="D11274" s="49">
        <v>0.0</v>
      </c>
    </row>
    <row r="11275" ht="15.0" hidden="1" customHeight="1">
      <c r="A11275" s="49" t="s">
        <v>167</v>
      </c>
      <c r="B11275" s="50">
        <v>45930.0</v>
      </c>
      <c r="C11275" s="49" t="s">
        <v>777</v>
      </c>
      <c r="D11275" s="49">
        <v>0.0</v>
      </c>
    </row>
    <row r="11276" ht="15.0" hidden="1" customHeight="1">
      <c r="A11276" s="49" t="s">
        <v>172</v>
      </c>
      <c r="B11276" s="50">
        <v>45930.0</v>
      </c>
      <c r="C11276" s="49" t="s">
        <v>777</v>
      </c>
      <c r="D11276" s="49">
        <v>0.0</v>
      </c>
    </row>
    <row r="11277" ht="15.0" hidden="1" customHeight="1">
      <c r="A11277" s="49" t="s">
        <v>177</v>
      </c>
      <c r="B11277" s="50">
        <v>45930.0</v>
      </c>
      <c r="C11277" s="49" t="s">
        <v>777</v>
      </c>
      <c r="D11277" s="49">
        <v>0.0</v>
      </c>
    </row>
    <row r="11278" ht="15.0" hidden="1" customHeight="1">
      <c r="A11278" s="49" t="s">
        <v>182</v>
      </c>
      <c r="B11278" s="50">
        <v>45930.0</v>
      </c>
      <c r="C11278" s="49" t="s">
        <v>777</v>
      </c>
      <c r="D11278" s="49">
        <v>0.0</v>
      </c>
    </row>
    <row r="11279" ht="15.0" hidden="1" customHeight="1">
      <c r="A11279" s="49" t="s">
        <v>187</v>
      </c>
      <c r="B11279" s="50">
        <v>45930.0</v>
      </c>
      <c r="C11279" s="49" t="s">
        <v>777</v>
      </c>
      <c r="D11279" s="49">
        <v>0.0</v>
      </c>
    </row>
    <row r="11280" ht="15.0" hidden="1" customHeight="1">
      <c r="A11280" s="49" t="s">
        <v>192</v>
      </c>
      <c r="B11280" s="50">
        <v>45930.0</v>
      </c>
      <c r="C11280" s="49" t="s">
        <v>777</v>
      </c>
      <c r="D11280" s="49">
        <v>0.0</v>
      </c>
    </row>
    <row r="11281" ht="15.0" hidden="1" customHeight="1">
      <c r="A11281" s="49" t="s">
        <v>197</v>
      </c>
      <c r="B11281" s="50">
        <v>45930.0</v>
      </c>
      <c r="C11281" s="49" t="s">
        <v>777</v>
      </c>
      <c r="D11281" s="49">
        <v>0.0</v>
      </c>
    </row>
    <row r="11282" ht="15.0" hidden="1" customHeight="1">
      <c r="A11282" s="49" t="s">
        <v>202</v>
      </c>
      <c r="B11282" s="50">
        <v>45930.0</v>
      </c>
      <c r="C11282" s="49" t="s">
        <v>777</v>
      </c>
      <c r="D11282" s="49">
        <v>0.0</v>
      </c>
    </row>
    <row r="11283" ht="15.0" hidden="1" customHeight="1">
      <c r="A11283" s="49" t="s">
        <v>206</v>
      </c>
      <c r="B11283" s="50">
        <v>45930.0</v>
      </c>
      <c r="C11283" s="49" t="s">
        <v>777</v>
      </c>
      <c r="D11283" s="49">
        <v>0.0</v>
      </c>
    </row>
    <row r="11284" ht="15.0" hidden="1" customHeight="1">
      <c r="A11284" s="49" t="s">
        <v>211</v>
      </c>
      <c r="B11284" s="50">
        <v>45930.0</v>
      </c>
      <c r="C11284" s="49" t="s">
        <v>777</v>
      </c>
      <c r="D11284" s="49">
        <v>0.0</v>
      </c>
    </row>
    <row r="11285" ht="15.0" hidden="1" customHeight="1">
      <c r="A11285" s="49" t="s">
        <v>779</v>
      </c>
      <c r="B11285" s="50">
        <v>45930.0</v>
      </c>
      <c r="C11285" s="49" t="s">
        <v>777</v>
      </c>
      <c r="D11285" s="49">
        <v>0.0</v>
      </c>
    </row>
    <row r="11286" ht="15.0" hidden="1" customHeight="1">
      <c r="A11286" s="49" t="s">
        <v>221</v>
      </c>
      <c r="B11286" s="50">
        <v>45930.0</v>
      </c>
      <c r="C11286" s="49" t="s">
        <v>777</v>
      </c>
      <c r="D11286" s="49">
        <v>0.0</v>
      </c>
    </row>
    <row r="11287" ht="15.0" hidden="1" customHeight="1">
      <c r="A11287" s="49" t="s">
        <v>226</v>
      </c>
      <c r="B11287" s="50">
        <v>45930.0</v>
      </c>
      <c r="C11287" s="49" t="s">
        <v>777</v>
      </c>
      <c r="D11287" s="49">
        <v>0.0</v>
      </c>
    </row>
    <row r="11288" ht="15.0" hidden="1" customHeight="1">
      <c r="A11288" s="49" t="s">
        <v>231</v>
      </c>
      <c r="B11288" s="50">
        <v>45930.0</v>
      </c>
      <c r="C11288" s="49" t="s">
        <v>777</v>
      </c>
      <c r="D11288" s="49">
        <v>0.0</v>
      </c>
    </row>
    <row r="11289" ht="15.0" hidden="1" customHeight="1">
      <c r="A11289" s="49" t="s">
        <v>236</v>
      </c>
      <c r="B11289" s="50">
        <v>45930.0</v>
      </c>
      <c r="C11289" s="49" t="s">
        <v>777</v>
      </c>
      <c r="D11289" s="49">
        <v>0.0</v>
      </c>
    </row>
    <row r="11290" ht="15.0" hidden="1" customHeight="1">
      <c r="A11290" s="49" t="s">
        <v>242</v>
      </c>
      <c r="B11290" s="50">
        <v>45930.0</v>
      </c>
      <c r="C11290" s="49" t="s">
        <v>777</v>
      </c>
      <c r="D11290" s="49">
        <v>0.0</v>
      </c>
    </row>
    <row r="11291" ht="15.0" hidden="1" customHeight="1">
      <c r="A11291" s="49" t="s">
        <v>248</v>
      </c>
      <c r="B11291" s="50">
        <v>45930.0</v>
      </c>
      <c r="C11291" s="49" t="s">
        <v>777</v>
      </c>
      <c r="D11291" s="49">
        <v>0.0</v>
      </c>
    </row>
    <row r="11292" ht="15.0" hidden="1" customHeight="1">
      <c r="A11292" s="49" t="s">
        <v>253</v>
      </c>
      <c r="B11292" s="50">
        <v>45930.0</v>
      </c>
      <c r="C11292" s="49" t="s">
        <v>777</v>
      </c>
      <c r="D11292" s="49">
        <v>0.0</v>
      </c>
    </row>
    <row r="11293" ht="15.0" hidden="1" customHeight="1">
      <c r="A11293" s="49" t="s">
        <v>258</v>
      </c>
      <c r="B11293" s="50">
        <v>45930.0</v>
      </c>
      <c r="C11293" s="49" t="s">
        <v>777</v>
      </c>
      <c r="D11293" s="49">
        <v>0.0</v>
      </c>
    </row>
    <row r="11294" ht="15.0" hidden="1" customHeight="1">
      <c r="A11294" s="49" t="s">
        <v>263</v>
      </c>
      <c r="B11294" s="50">
        <v>45930.0</v>
      </c>
      <c r="C11294" s="49" t="s">
        <v>777</v>
      </c>
      <c r="D11294" s="49">
        <v>0.0</v>
      </c>
    </row>
    <row r="11295" ht="15.0" hidden="1" customHeight="1">
      <c r="A11295" s="49" t="s">
        <v>268</v>
      </c>
      <c r="B11295" s="50">
        <v>45930.0</v>
      </c>
      <c r="C11295" s="49" t="s">
        <v>777</v>
      </c>
      <c r="D11295" s="49">
        <v>0.0</v>
      </c>
    </row>
    <row r="11296" ht="15.0" hidden="1" customHeight="1">
      <c r="A11296" s="49" t="s">
        <v>273</v>
      </c>
      <c r="B11296" s="50">
        <v>45930.0</v>
      </c>
      <c r="C11296" s="49" t="s">
        <v>777</v>
      </c>
      <c r="D11296" s="49">
        <v>0.0</v>
      </c>
    </row>
    <row r="11297" ht="15.0" hidden="1" customHeight="1">
      <c r="A11297" s="49" t="s">
        <v>278</v>
      </c>
      <c r="B11297" s="50">
        <v>45930.0</v>
      </c>
      <c r="C11297" s="49" t="s">
        <v>777</v>
      </c>
      <c r="D11297" s="49">
        <v>0.0</v>
      </c>
    </row>
    <row r="11298" ht="15.0" hidden="1" customHeight="1">
      <c r="A11298" s="49" t="s">
        <v>283</v>
      </c>
      <c r="B11298" s="50">
        <v>45930.0</v>
      </c>
      <c r="C11298" s="49" t="s">
        <v>777</v>
      </c>
      <c r="D11298" s="49">
        <v>0.0</v>
      </c>
    </row>
    <row r="11299" ht="15.0" hidden="1" customHeight="1">
      <c r="A11299" s="49" t="s">
        <v>288</v>
      </c>
      <c r="B11299" s="50">
        <v>45930.0</v>
      </c>
      <c r="C11299" s="49" t="s">
        <v>777</v>
      </c>
      <c r="D11299" s="49">
        <v>0.0</v>
      </c>
    </row>
    <row r="11300" ht="15.0" hidden="1" customHeight="1">
      <c r="A11300" s="49" t="s">
        <v>293</v>
      </c>
      <c r="B11300" s="50">
        <v>45930.0</v>
      </c>
      <c r="C11300" s="49" t="s">
        <v>777</v>
      </c>
      <c r="D11300" s="49">
        <v>0.0</v>
      </c>
    </row>
    <row r="11301" ht="15.0" hidden="1" customHeight="1">
      <c r="A11301" s="49" t="s">
        <v>298</v>
      </c>
      <c r="B11301" s="50">
        <v>45930.0</v>
      </c>
      <c r="C11301" s="49" t="s">
        <v>777</v>
      </c>
      <c r="D11301" s="49">
        <v>0.0</v>
      </c>
    </row>
    <row r="11302" ht="15.0" hidden="1" customHeight="1">
      <c r="A11302" s="49" t="s">
        <v>303</v>
      </c>
      <c r="B11302" s="50">
        <v>45930.0</v>
      </c>
      <c r="C11302" s="49" t="s">
        <v>777</v>
      </c>
      <c r="D11302" s="49">
        <v>0.0</v>
      </c>
    </row>
    <row r="11303" ht="15.0" hidden="1" customHeight="1">
      <c r="A11303" s="49" t="s">
        <v>307</v>
      </c>
      <c r="B11303" s="50">
        <v>45930.0</v>
      </c>
      <c r="C11303" s="49" t="s">
        <v>777</v>
      </c>
      <c r="D11303" s="49">
        <v>0.0</v>
      </c>
    </row>
    <row r="11304" ht="15.0" hidden="1" customHeight="1">
      <c r="A11304" s="49" t="s">
        <v>313</v>
      </c>
      <c r="B11304" s="50">
        <v>45930.0</v>
      </c>
      <c r="C11304" s="49" t="s">
        <v>777</v>
      </c>
      <c r="D11304" s="49">
        <v>0.0</v>
      </c>
    </row>
    <row r="11305" ht="15.0" hidden="1" customHeight="1">
      <c r="A11305" s="49" t="s">
        <v>318</v>
      </c>
      <c r="B11305" s="50">
        <v>45930.0</v>
      </c>
      <c r="C11305" s="49" t="s">
        <v>777</v>
      </c>
      <c r="D11305" s="49">
        <v>0.0</v>
      </c>
    </row>
    <row r="11306" ht="15.0" hidden="1" customHeight="1">
      <c r="A11306" s="49" t="s">
        <v>323</v>
      </c>
      <c r="B11306" s="50">
        <v>45930.0</v>
      </c>
      <c r="C11306" s="49" t="s">
        <v>777</v>
      </c>
      <c r="D11306" s="49">
        <v>0.0</v>
      </c>
    </row>
    <row r="11307" ht="15.0" hidden="1" customHeight="1">
      <c r="A11307" s="49" t="s">
        <v>328</v>
      </c>
      <c r="B11307" s="50">
        <v>45930.0</v>
      </c>
      <c r="C11307" s="49" t="s">
        <v>777</v>
      </c>
      <c r="D11307" s="49">
        <v>0.0</v>
      </c>
    </row>
    <row r="11308" ht="15.0" hidden="1" customHeight="1">
      <c r="A11308" s="49" t="s">
        <v>335</v>
      </c>
      <c r="B11308" s="50">
        <v>45930.0</v>
      </c>
      <c r="C11308" s="49" t="s">
        <v>777</v>
      </c>
      <c r="D11308" s="49">
        <v>0.0</v>
      </c>
    </row>
    <row r="11309" ht="15.0" hidden="1" customHeight="1">
      <c r="A11309" s="49" t="s">
        <v>340</v>
      </c>
      <c r="B11309" s="50">
        <v>45930.0</v>
      </c>
      <c r="C11309" s="49" t="s">
        <v>777</v>
      </c>
      <c r="D11309" s="49">
        <v>0.0</v>
      </c>
    </row>
    <row r="11310" ht="15.0" hidden="1" customHeight="1">
      <c r="A11310" s="49" t="s">
        <v>345</v>
      </c>
      <c r="B11310" s="50">
        <v>45930.0</v>
      </c>
      <c r="C11310" s="49" t="s">
        <v>777</v>
      </c>
      <c r="D11310" s="49">
        <v>0.0</v>
      </c>
    </row>
    <row r="11311" ht="15.0" hidden="1" customHeight="1">
      <c r="A11311" s="49" t="s">
        <v>350</v>
      </c>
      <c r="B11311" s="50">
        <v>45930.0</v>
      </c>
      <c r="C11311" s="49" t="s">
        <v>777</v>
      </c>
      <c r="D11311" s="49">
        <v>0.0</v>
      </c>
    </row>
    <row r="11312" ht="15.0" hidden="1" customHeight="1">
      <c r="A11312" s="49" t="s">
        <v>355</v>
      </c>
      <c r="B11312" s="50">
        <v>45930.0</v>
      </c>
      <c r="C11312" s="49" t="s">
        <v>777</v>
      </c>
      <c r="D11312" s="49">
        <v>0.0</v>
      </c>
    </row>
    <row r="11313" ht="15.0" hidden="1" customHeight="1">
      <c r="A11313" s="49" t="s">
        <v>360</v>
      </c>
      <c r="B11313" s="50">
        <v>45930.0</v>
      </c>
      <c r="C11313" s="49" t="s">
        <v>777</v>
      </c>
      <c r="D11313" s="49">
        <v>0.0</v>
      </c>
    </row>
    <row r="11314" ht="15.0" hidden="1" customHeight="1">
      <c r="A11314" s="49" t="s">
        <v>365</v>
      </c>
      <c r="B11314" s="50">
        <v>45930.0</v>
      </c>
      <c r="C11314" s="49" t="s">
        <v>777</v>
      </c>
      <c r="D11314" s="49">
        <v>0.0</v>
      </c>
    </row>
    <row r="11315" ht="15.0" hidden="1" customHeight="1">
      <c r="A11315" s="49" t="s">
        <v>370</v>
      </c>
      <c r="B11315" s="50">
        <v>45930.0</v>
      </c>
      <c r="C11315" s="49" t="s">
        <v>777</v>
      </c>
      <c r="D11315" s="49">
        <v>0.0</v>
      </c>
    </row>
    <row r="11316" ht="15.0" hidden="1" customHeight="1">
      <c r="A11316" s="49" t="s">
        <v>375</v>
      </c>
      <c r="B11316" s="50">
        <v>45930.0</v>
      </c>
      <c r="C11316" s="49" t="s">
        <v>777</v>
      </c>
      <c r="D11316" s="49">
        <v>0.0</v>
      </c>
    </row>
    <row r="11317" ht="15.0" hidden="1" customHeight="1">
      <c r="A11317" s="49" t="s">
        <v>380</v>
      </c>
      <c r="B11317" s="50">
        <v>45930.0</v>
      </c>
      <c r="C11317" s="49" t="s">
        <v>777</v>
      </c>
      <c r="D11317" s="49">
        <v>0.0</v>
      </c>
    </row>
    <row r="11318" ht="15.0" hidden="1" customHeight="1">
      <c r="A11318" s="49" t="s">
        <v>385</v>
      </c>
      <c r="B11318" s="50">
        <v>45930.0</v>
      </c>
      <c r="C11318" s="49" t="s">
        <v>777</v>
      </c>
      <c r="D11318" s="49">
        <v>0.0</v>
      </c>
    </row>
    <row r="11319" ht="15.0" hidden="1" customHeight="1">
      <c r="A11319" s="49" t="s">
        <v>390</v>
      </c>
      <c r="B11319" s="50">
        <v>45930.0</v>
      </c>
      <c r="C11319" s="49" t="s">
        <v>777</v>
      </c>
      <c r="D11319" s="49">
        <v>0.0</v>
      </c>
    </row>
    <row r="11320" ht="15.0" hidden="1" customHeight="1">
      <c r="A11320" s="49" t="s">
        <v>395</v>
      </c>
      <c r="B11320" s="50">
        <v>45930.0</v>
      </c>
      <c r="C11320" s="49" t="s">
        <v>777</v>
      </c>
      <c r="D11320" s="49">
        <v>0.0</v>
      </c>
    </row>
    <row r="11321" ht="15.0" hidden="1" customHeight="1">
      <c r="A11321" s="49" t="s">
        <v>400</v>
      </c>
      <c r="B11321" s="50">
        <v>45930.0</v>
      </c>
      <c r="C11321" s="49" t="s">
        <v>777</v>
      </c>
      <c r="D11321" s="49">
        <v>0.0</v>
      </c>
    </row>
    <row r="11322" ht="15.0" hidden="1" customHeight="1">
      <c r="A11322" s="49" t="s">
        <v>405</v>
      </c>
      <c r="B11322" s="50">
        <v>45930.0</v>
      </c>
      <c r="C11322" s="49" t="s">
        <v>777</v>
      </c>
      <c r="D11322" s="49">
        <v>0.0</v>
      </c>
    </row>
    <row r="11323" ht="15.0" hidden="1" customHeight="1">
      <c r="A11323" s="49" t="s">
        <v>410</v>
      </c>
      <c r="B11323" s="50">
        <v>45930.0</v>
      </c>
      <c r="C11323" s="49" t="s">
        <v>777</v>
      </c>
      <c r="D11323" s="49">
        <v>0.0</v>
      </c>
    </row>
    <row r="11324" ht="15.0" hidden="1" customHeight="1">
      <c r="A11324" s="49" t="s">
        <v>415</v>
      </c>
      <c r="B11324" s="50">
        <v>45930.0</v>
      </c>
      <c r="C11324" s="49" t="s">
        <v>777</v>
      </c>
      <c r="D11324" s="49">
        <v>0.0</v>
      </c>
    </row>
    <row r="11325" ht="15.0" hidden="1" customHeight="1">
      <c r="A11325" s="49" t="s">
        <v>420</v>
      </c>
      <c r="B11325" s="50">
        <v>45930.0</v>
      </c>
      <c r="C11325" s="49" t="s">
        <v>777</v>
      </c>
      <c r="D11325" s="49">
        <v>0.0</v>
      </c>
    </row>
    <row r="11326" ht="15.0" hidden="1" customHeight="1">
      <c r="A11326" s="49" t="s">
        <v>425</v>
      </c>
      <c r="B11326" s="50">
        <v>45930.0</v>
      </c>
      <c r="C11326" s="49" t="s">
        <v>777</v>
      </c>
      <c r="D11326" s="49">
        <v>0.0</v>
      </c>
    </row>
    <row r="11327" ht="15.0" hidden="1" customHeight="1">
      <c r="A11327" s="49" t="s">
        <v>430</v>
      </c>
      <c r="B11327" s="50">
        <v>45930.0</v>
      </c>
      <c r="C11327" s="49" t="s">
        <v>777</v>
      </c>
      <c r="D11327" s="49">
        <v>0.0</v>
      </c>
    </row>
    <row r="11328" ht="15.0" hidden="1" customHeight="1">
      <c r="A11328" s="49" t="s">
        <v>434</v>
      </c>
      <c r="B11328" s="50">
        <v>45930.0</v>
      </c>
      <c r="C11328" s="49" t="s">
        <v>777</v>
      </c>
      <c r="D11328" s="49">
        <v>0.0</v>
      </c>
    </row>
    <row r="11329" ht="15.0" hidden="1" customHeight="1">
      <c r="A11329" s="49" t="s">
        <v>439</v>
      </c>
      <c r="B11329" s="50">
        <v>45930.0</v>
      </c>
      <c r="C11329" s="49" t="s">
        <v>777</v>
      </c>
      <c r="D11329" s="49">
        <v>0.0</v>
      </c>
    </row>
    <row r="11330" ht="15.0" hidden="1" customHeight="1">
      <c r="A11330" s="49" t="s">
        <v>444</v>
      </c>
      <c r="B11330" s="50">
        <v>45930.0</v>
      </c>
      <c r="C11330" s="49" t="s">
        <v>777</v>
      </c>
      <c r="D11330" s="49">
        <v>0.0</v>
      </c>
    </row>
    <row r="11331" ht="15.0" hidden="1" customHeight="1">
      <c r="A11331" s="49" t="s">
        <v>449</v>
      </c>
      <c r="B11331" s="50">
        <v>45930.0</v>
      </c>
      <c r="C11331" s="49" t="s">
        <v>777</v>
      </c>
      <c r="D11331" s="49">
        <v>0.0</v>
      </c>
    </row>
    <row r="11332" ht="15.0" hidden="1" customHeight="1">
      <c r="A11332" s="49" t="s">
        <v>455</v>
      </c>
      <c r="B11332" s="50">
        <v>45930.0</v>
      </c>
      <c r="C11332" s="49" t="s">
        <v>777</v>
      </c>
      <c r="D11332" s="49">
        <v>0.0</v>
      </c>
    </row>
    <row r="11333" ht="15.0" hidden="1" customHeight="1">
      <c r="A11333" s="49" t="s">
        <v>470</v>
      </c>
      <c r="B11333" s="50">
        <v>45930.0</v>
      </c>
      <c r="C11333" s="49" t="s">
        <v>777</v>
      </c>
      <c r="D11333" s="49">
        <v>0.0</v>
      </c>
    </row>
    <row r="11334" ht="15.0" hidden="1" customHeight="1">
      <c r="A11334" s="49" t="s">
        <v>476</v>
      </c>
      <c r="B11334" s="50">
        <v>45930.0</v>
      </c>
      <c r="C11334" s="49" t="s">
        <v>777</v>
      </c>
      <c r="D11334" s="49">
        <v>0.0</v>
      </c>
    </row>
    <row r="11335" ht="15.0" hidden="1" customHeight="1">
      <c r="A11335" s="49" t="s">
        <v>481</v>
      </c>
      <c r="B11335" s="50">
        <v>45930.0</v>
      </c>
      <c r="C11335" s="49" t="s">
        <v>777</v>
      </c>
      <c r="D11335" s="49">
        <v>0.0</v>
      </c>
    </row>
    <row r="11336" ht="15.0" hidden="1" customHeight="1">
      <c r="A11336" s="49" t="s">
        <v>486</v>
      </c>
      <c r="B11336" s="50">
        <v>45930.0</v>
      </c>
      <c r="C11336" s="49" t="s">
        <v>777</v>
      </c>
      <c r="D11336" s="49">
        <v>0.0</v>
      </c>
    </row>
    <row r="11337" ht="15.0" hidden="1" customHeight="1">
      <c r="A11337" s="49" t="s">
        <v>491</v>
      </c>
      <c r="B11337" s="50">
        <v>45930.0</v>
      </c>
      <c r="C11337" s="49" t="s">
        <v>777</v>
      </c>
      <c r="D11337" s="49">
        <v>0.0</v>
      </c>
    </row>
    <row r="11338" ht="15.0" hidden="1" customHeight="1">
      <c r="A11338" s="49" t="s">
        <v>496</v>
      </c>
      <c r="B11338" s="50">
        <v>45930.0</v>
      </c>
      <c r="C11338" s="49" t="s">
        <v>777</v>
      </c>
      <c r="D11338" s="49">
        <v>0.0</v>
      </c>
    </row>
    <row r="11339" ht="15.0" hidden="1" customHeight="1">
      <c r="A11339" s="49" t="s">
        <v>501</v>
      </c>
      <c r="B11339" s="50">
        <v>45930.0</v>
      </c>
      <c r="C11339" s="49" t="s">
        <v>777</v>
      </c>
      <c r="D11339" s="49">
        <v>0.0</v>
      </c>
    </row>
    <row r="11340" ht="15.0" hidden="1" customHeight="1">
      <c r="A11340" s="49" t="s">
        <v>506</v>
      </c>
      <c r="B11340" s="50">
        <v>45930.0</v>
      </c>
      <c r="C11340" s="49" t="s">
        <v>777</v>
      </c>
      <c r="D11340" s="49">
        <v>0.0</v>
      </c>
    </row>
    <row r="11341" ht="15.0" hidden="1" customHeight="1">
      <c r="A11341" s="49" t="s">
        <v>512</v>
      </c>
      <c r="B11341" s="50">
        <v>45930.0</v>
      </c>
      <c r="C11341" s="49" t="s">
        <v>777</v>
      </c>
      <c r="D11341" s="49">
        <v>0.0</v>
      </c>
    </row>
    <row r="11342" ht="15.0" hidden="1" customHeight="1">
      <c r="A11342" s="49" t="s">
        <v>517</v>
      </c>
      <c r="B11342" s="50">
        <v>45930.0</v>
      </c>
      <c r="C11342" s="49" t="s">
        <v>777</v>
      </c>
      <c r="D11342" s="49">
        <v>0.0</v>
      </c>
    </row>
    <row r="11343" ht="15.0" hidden="1" customHeight="1">
      <c r="A11343" s="49" t="s">
        <v>522</v>
      </c>
      <c r="B11343" s="50">
        <v>45930.0</v>
      </c>
      <c r="C11343" s="49" t="s">
        <v>777</v>
      </c>
      <c r="D11343" s="49">
        <v>0.0</v>
      </c>
    </row>
    <row r="11344" ht="15.0" hidden="1" customHeight="1">
      <c r="A11344" s="49" t="s">
        <v>528</v>
      </c>
      <c r="B11344" s="50">
        <v>45930.0</v>
      </c>
      <c r="C11344" s="49" t="s">
        <v>777</v>
      </c>
      <c r="D11344" s="49">
        <v>0.0</v>
      </c>
    </row>
    <row r="11345" ht="15.0" hidden="1" customHeight="1">
      <c r="A11345" s="49" t="s">
        <v>533</v>
      </c>
      <c r="B11345" s="50">
        <v>45930.0</v>
      </c>
      <c r="C11345" s="49" t="s">
        <v>777</v>
      </c>
      <c r="D11345" s="49">
        <v>0.0</v>
      </c>
    </row>
    <row r="11346" ht="15.0" hidden="1" customHeight="1">
      <c r="A11346" s="49" t="s">
        <v>538</v>
      </c>
      <c r="B11346" s="50">
        <v>45930.0</v>
      </c>
      <c r="C11346" s="49" t="s">
        <v>777</v>
      </c>
      <c r="D11346" s="49">
        <v>0.0</v>
      </c>
    </row>
    <row r="11347" ht="15.0" hidden="1" customHeight="1">
      <c r="A11347" s="49" t="s">
        <v>546</v>
      </c>
      <c r="B11347" s="50">
        <v>45930.0</v>
      </c>
      <c r="C11347" s="49" t="s">
        <v>777</v>
      </c>
      <c r="D11347" s="49">
        <v>0.0</v>
      </c>
    </row>
    <row r="11348" ht="15.0" hidden="1" customHeight="1">
      <c r="A11348" s="49" t="s">
        <v>551</v>
      </c>
      <c r="B11348" s="50">
        <v>45930.0</v>
      </c>
      <c r="C11348" s="49" t="s">
        <v>777</v>
      </c>
      <c r="D11348" s="49">
        <v>0.0</v>
      </c>
    </row>
    <row r="11349" ht="15.0" hidden="1" customHeight="1">
      <c r="A11349" s="49" t="s">
        <v>556</v>
      </c>
      <c r="B11349" s="50">
        <v>45930.0</v>
      </c>
      <c r="C11349" s="49" t="s">
        <v>777</v>
      </c>
      <c r="D11349" s="49">
        <v>0.0</v>
      </c>
    </row>
    <row r="11350" ht="15.0" hidden="1" customHeight="1">
      <c r="A11350" s="49" t="s">
        <v>561</v>
      </c>
      <c r="B11350" s="50">
        <v>45930.0</v>
      </c>
      <c r="C11350" s="49" t="s">
        <v>777</v>
      </c>
      <c r="D11350" s="49">
        <v>0.0</v>
      </c>
    </row>
    <row r="11351" ht="15.0" hidden="1" customHeight="1">
      <c r="A11351" s="49" t="s">
        <v>566</v>
      </c>
      <c r="B11351" s="50">
        <v>45930.0</v>
      </c>
      <c r="C11351" s="49" t="s">
        <v>777</v>
      </c>
      <c r="D11351" s="49">
        <v>0.0</v>
      </c>
    </row>
    <row r="11352" ht="15.0" hidden="1" customHeight="1">
      <c r="A11352" s="49" t="s">
        <v>571</v>
      </c>
      <c r="B11352" s="50">
        <v>45930.0</v>
      </c>
      <c r="C11352" s="49" t="s">
        <v>777</v>
      </c>
      <c r="D11352" s="49">
        <v>0.0</v>
      </c>
    </row>
    <row r="11353" ht="15.0" hidden="1" customHeight="1">
      <c r="A11353" s="49" t="s">
        <v>576</v>
      </c>
      <c r="B11353" s="50">
        <v>45930.0</v>
      </c>
      <c r="C11353" s="49" t="s">
        <v>777</v>
      </c>
      <c r="D11353" s="49">
        <v>0.0</v>
      </c>
    </row>
    <row r="11354" ht="15.0" hidden="1" customHeight="1">
      <c r="A11354" s="49" t="s">
        <v>581</v>
      </c>
      <c r="B11354" s="50">
        <v>45930.0</v>
      </c>
      <c r="C11354" s="49" t="s">
        <v>777</v>
      </c>
      <c r="D11354" s="49">
        <v>0.0</v>
      </c>
    </row>
    <row r="11355" ht="15.0" hidden="1" customHeight="1">
      <c r="A11355" s="49" t="s">
        <v>586</v>
      </c>
      <c r="B11355" s="50">
        <v>45930.0</v>
      </c>
      <c r="C11355" s="49" t="s">
        <v>777</v>
      </c>
      <c r="D11355" s="49">
        <v>0.0</v>
      </c>
    </row>
    <row r="11356" ht="15.0" hidden="1" customHeight="1">
      <c r="A11356" s="49" t="s">
        <v>754</v>
      </c>
      <c r="B11356" s="50">
        <v>45930.0</v>
      </c>
      <c r="C11356" s="49" t="s">
        <v>777</v>
      </c>
      <c r="D11356" s="49">
        <v>0.0</v>
      </c>
    </row>
    <row r="11357" ht="15.0" hidden="1" customHeight="1">
      <c r="A11357" s="49" t="s">
        <v>591</v>
      </c>
      <c r="B11357" s="50">
        <v>45930.0</v>
      </c>
      <c r="C11357" s="49" t="s">
        <v>777</v>
      </c>
      <c r="D11357" s="49">
        <v>0.0</v>
      </c>
    </row>
    <row r="11358" ht="15.0" hidden="1" customHeight="1">
      <c r="A11358" s="49" t="s">
        <v>759</v>
      </c>
      <c r="B11358" s="50">
        <v>45930.0</v>
      </c>
      <c r="C11358" s="49" t="s">
        <v>777</v>
      </c>
      <c r="D11358" s="49">
        <v>0.0</v>
      </c>
    </row>
    <row r="11359" ht="15.0" hidden="1" customHeight="1">
      <c r="A11359" s="49" t="s">
        <v>596</v>
      </c>
      <c r="B11359" s="50">
        <v>45930.0</v>
      </c>
      <c r="C11359" s="49" t="s">
        <v>777</v>
      </c>
      <c r="D11359" s="49">
        <v>0.0</v>
      </c>
    </row>
    <row r="11360" ht="15.0" hidden="1" customHeight="1">
      <c r="A11360" s="49" t="s">
        <v>602</v>
      </c>
      <c r="B11360" s="50">
        <v>45930.0</v>
      </c>
      <c r="C11360" s="49" t="s">
        <v>777</v>
      </c>
      <c r="D11360" s="49">
        <v>0.0</v>
      </c>
    </row>
    <row r="11361" ht="15.0" hidden="1" customHeight="1">
      <c r="A11361" s="49" t="s">
        <v>607</v>
      </c>
      <c r="B11361" s="50">
        <v>45930.0</v>
      </c>
      <c r="C11361" s="49" t="s">
        <v>777</v>
      </c>
      <c r="D11361" s="49">
        <v>0.0</v>
      </c>
    </row>
    <row r="11362" ht="15.0" hidden="1" customHeight="1">
      <c r="A11362" s="49" t="s">
        <v>612</v>
      </c>
      <c r="B11362" s="50">
        <v>45930.0</v>
      </c>
      <c r="C11362" s="49" t="s">
        <v>777</v>
      </c>
      <c r="D11362" s="49">
        <v>0.0</v>
      </c>
    </row>
    <row r="11363" ht="15.0" hidden="1" customHeight="1">
      <c r="A11363" s="49" t="s">
        <v>617</v>
      </c>
      <c r="B11363" s="50">
        <v>45930.0</v>
      </c>
      <c r="C11363" s="49" t="s">
        <v>777</v>
      </c>
      <c r="D11363" s="49">
        <v>0.0</v>
      </c>
    </row>
    <row r="11364" ht="15.0" hidden="1" customHeight="1">
      <c r="A11364" s="49" t="s">
        <v>622</v>
      </c>
      <c r="B11364" s="50">
        <v>45930.0</v>
      </c>
      <c r="C11364" s="49" t="s">
        <v>777</v>
      </c>
      <c r="D11364" s="49">
        <v>0.0</v>
      </c>
    </row>
    <row r="11365" ht="15.0" hidden="1" customHeight="1">
      <c r="A11365" s="49" t="s">
        <v>627</v>
      </c>
      <c r="B11365" s="50">
        <v>45930.0</v>
      </c>
      <c r="C11365" s="49" t="s">
        <v>777</v>
      </c>
      <c r="D11365" s="49">
        <v>0.0</v>
      </c>
    </row>
    <row r="11366" ht="15.0" hidden="1" customHeight="1">
      <c r="A11366" s="49" t="s">
        <v>631</v>
      </c>
      <c r="B11366" s="50">
        <v>45930.0</v>
      </c>
      <c r="C11366" s="49" t="s">
        <v>777</v>
      </c>
      <c r="D11366" s="49">
        <v>0.0</v>
      </c>
    </row>
    <row r="11367" ht="15.0" hidden="1" customHeight="1">
      <c r="A11367" s="49" t="s">
        <v>636</v>
      </c>
      <c r="B11367" s="50">
        <v>45930.0</v>
      </c>
      <c r="C11367" s="49" t="s">
        <v>777</v>
      </c>
      <c r="D11367" s="49">
        <v>0.0</v>
      </c>
    </row>
    <row r="11368" ht="15.0" hidden="1" customHeight="1">
      <c r="A11368" s="49" t="s">
        <v>640</v>
      </c>
      <c r="B11368" s="50">
        <v>45930.0</v>
      </c>
      <c r="C11368" s="49" t="s">
        <v>777</v>
      </c>
      <c r="D11368" s="49">
        <v>0.0</v>
      </c>
    </row>
    <row r="11369" ht="15.0" hidden="1" customHeight="1">
      <c r="A11369" s="49" t="s">
        <v>644</v>
      </c>
      <c r="B11369" s="50">
        <v>45930.0</v>
      </c>
      <c r="C11369" s="49" t="s">
        <v>777</v>
      </c>
      <c r="D11369" s="49">
        <v>0.0</v>
      </c>
    </row>
    <row r="11370" ht="15.0" hidden="1" customHeight="1">
      <c r="A11370" s="49" t="s">
        <v>649</v>
      </c>
      <c r="B11370" s="50">
        <v>45930.0</v>
      </c>
      <c r="C11370" s="49" t="s">
        <v>777</v>
      </c>
      <c r="D11370" s="49">
        <v>0.0</v>
      </c>
    </row>
    <row r="11371" ht="15.0" hidden="1" customHeight="1">
      <c r="A11371" s="49" t="s">
        <v>654</v>
      </c>
      <c r="B11371" s="50">
        <v>45930.0</v>
      </c>
      <c r="C11371" s="49" t="s">
        <v>777</v>
      </c>
      <c r="D11371" s="49">
        <v>0.0</v>
      </c>
    </row>
    <row r="11372" ht="15.0" hidden="1" customHeight="1">
      <c r="A11372" s="49" t="s">
        <v>659</v>
      </c>
      <c r="B11372" s="50">
        <v>45930.0</v>
      </c>
      <c r="C11372" s="49" t="s">
        <v>777</v>
      </c>
      <c r="D11372" s="49">
        <v>0.0</v>
      </c>
    </row>
    <row r="11373" ht="15.0" hidden="1" customHeight="1">
      <c r="A11373" s="49" t="s">
        <v>664</v>
      </c>
      <c r="B11373" s="50">
        <v>45930.0</v>
      </c>
      <c r="C11373" s="49" t="s">
        <v>777</v>
      </c>
      <c r="D11373" s="49">
        <v>8200000.0</v>
      </c>
    </row>
    <row r="11374" ht="15.0" hidden="1" customHeight="1">
      <c r="A11374" s="49" t="s">
        <v>669</v>
      </c>
      <c r="B11374" s="50">
        <v>45930.0</v>
      </c>
      <c r="C11374" s="49" t="s">
        <v>777</v>
      </c>
      <c r="D11374" s="49">
        <v>0.0</v>
      </c>
    </row>
    <row r="11375" ht="15.0" hidden="1" customHeight="1">
      <c r="A11375" s="49" t="s">
        <v>674</v>
      </c>
      <c r="B11375" s="50">
        <v>45930.0</v>
      </c>
      <c r="C11375" s="49" t="s">
        <v>777</v>
      </c>
      <c r="D11375" s="49">
        <v>0.0</v>
      </c>
    </row>
    <row r="11376" ht="15.0" hidden="1" customHeight="1">
      <c r="A11376" s="49" t="s">
        <v>679</v>
      </c>
      <c r="B11376" s="50">
        <v>45930.0</v>
      </c>
      <c r="C11376" s="49" t="s">
        <v>777</v>
      </c>
      <c r="D11376" s="49">
        <v>0.0</v>
      </c>
    </row>
    <row r="11377" ht="15.0" hidden="1" customHeight="1">
      <c r="A11377" s="49" t="s">
        <v>684</v>
      </c>
      <c r="B11377" s="50">
        <v>45930.0</v>
      </c>
      <c r="C11377" s="49" t="s">
        <v>777</v>
      </c>
      <c r="D11377" s="49">
        <v>233280.0</v>
      </c>
    </row>
    <row r="11378" ht="15.0" hidden="1" customHeight="1">
      <c r="A11378" s="49" t="s">
        <v>689</v>
      </c>
      <c r="B11378" s="50">
        <v>45930.0</v>
      </c>
      <c r="C11378" s="49" t="s">
        <v>777</v>
      </c>
      <c r="D11378" s="49">
        <v>50000.0</v>
      </c>
    </row>
    <row r="11379" ht="15.0" hidden="1" customHeight="1">
      <c r="A11379" s="49" t="s">
        <v>694</v>
      </c>
      <c r="B11379" s="50">
        <v>45930.0</v>
      </c>
      <c r="C11379" s="49" t="s">
        <v>777</v>
      </c>
      <c r="D11379" s="49">
        <v>1479870.0</v>
      </c>
    </row>
    <row r="11380" ht="15.0" hidden="1" customHeight="1">
      <c r="A11380" s="49" t="s">
        <v>699</v>
      </c>
      <c r="B11380" s="50">
        <v>45930.0</v>
      </c>
      <c r="C11380" s="49" t="s">
        <v>777</v>
      </c>
      <c r="D11380" s="49">
        <v>1600000.0</v>
      </c>
    </row>
    <row r="11381" ht="15.0" hidden="1" customHeight="1">
      <c r="A11381" s="49" t="s">
        <v>705</v>
      </c>
      <c r="B11381" s="50">
        <v>45930.0</v>
      </c>
      <c r="C11381" s="49" t="s">
        <v>777</v>
      </c>
      <c r="D11381" s="49">
        <v>3974850.0</v>
      </c>
    </row>
    <row r="11382" ht="15.0" hidden="1" customHeight="1">
      <c r="A11382" s="49" t="s">
        <v>710</v>
      </c>
      <c r="B11382" s="50">
        <v>45930.0</v>
      </c>
      <c r="C11382" s="49" t="s">
        <v>777</v>
      </c>
      <c r="D11382" s="49">
        <v>0.0</v>
      </c>
    </row>
    <row r="11383" ht="15.0" hidden="1" customHeight="1">
      <c r="A11383" s="49" t="s">
        <v>715</v>
      </c>
      <c r="B11383" s="50">
        <v>45930.0</v>
      </c>
      <c r="C11383" s="49" t="s">
        <v>777</v>
      </c>
      <c r="D11383" s="49">
        <v>0.0</v>
      </c>
    </row>
    <row r="11384" ht="15.0" hidden="1" customHeight="1">
      <c r="A11384" s="49" t="s">
        <v>765</v>
      </c>
      <c r="B11384" s="50">
        <v>45930.0</v>
      </c>
      <c r="C11384" s="49" t="s">
        <v>777</v>
      </c>
      <c r="D11384" s="49">
        <v>0.0</v>
      </c>
    </row>
    <row r="11385" ht="15.0" hidden="1" customHeight="1">
      <c r="A11385" s="49" t="s">
        <v>720</v>
      </c>
      <c r="B11385" s="50">
        <v>45930.0</v>
      </c>
      <c r="C11385" s="49" t="s">
        <v>777</v>
      </c>
      <c r="D11385" s="49">
        <v>0.0</v>
      </c>
    </row>
    <row r="11386" ht="15.0" hidden="1" customHeight="1">
      <c r="A11386" s="49" t="s">
        <v>725</v>
      </c>
      <c r="B11386" s="50">
        <v>45930.0</v>
      </c>
      <c r="C11386" s="49" t="s">
        <v>777</v>
      </c>
      <c r="D11386" s="49">
        <v>0.0</v>
      </c>
    </row>
    <row r="11387" ht="15.0" hidden="1" customHeight="1">
      <c r="A11387" s="49" t="s">
        <v>730</v>
      </c>
      <c r="B11387" s="50">
        <v>45930.0</v>
      </c>
      <c r="C11387" s="49" t="s">
        <v>777</v>
      </c>
      <c r="D11387" s="49">
        <v>0.0</v>
      </c>
    </row>
    <row r="11388" ht="15.0" hidden="1" customHeight="1">
      <c r="A11388" s="49" t="s">
        <v>734</v>
      </c>
      <c r="B11388" s="50">
        <v>45930.0</v>
      </c>
      <c r="C11388" s="49" t="s">
        <v>777</v>
      </c>
      <c r="D11388" s="49">
        <v>0.0</v>
      </c>
    </row>
    <row r="11389" ht="15.0" hidden="1" customHeight="1">
      <c r="A11389" s="49" t="s">
        <v>739</v>
      </c>
      <c r="B11389" s="50">
        <v>45930.0</v>
      </c>
      <c r="C11389" s="49" t="s">
        <v>777</v>
      </c>
      <c r="D11389" s="49">
        <v>0.0</v>
      </c>
    </row>
    <row r="11390" ht="15.0" hidden="1" customHeight="1">
      <c r="A11390" s="49" t="s">
        <v>744</v>
      </c>
      <c r="B11390" s="50">
        <v>45930.0</v>
      </c>
      <c r="C11390" s="49" t="s">
        <v>777</v>
      </c>
      <c r="D11390" s="49">
        <v>0.0</v>
      </c>
    </row>
    <row r="11391" ht="15.0" hidden="1" customHeight="1">
      <c r="A11391" s="49" t="s">
        <v>749</v>
      </c>
      <c r="B11391" s="50">
        <v>45930.0</v>
      </c>
      <c r="C11391" s="49" t="s">
        <v>777</v>
      </c>
      <c r="D11391" s="49">
        <v>0.0</v>
      </c>
    </row>
    <row r="11392" ht="15.0" customHeight="1">
      <c r="A11392" s="49" t="s">
        <v>776</v>
      </c>
      <c r="B11392" s="50">
        <v>45930.0</v>
      </c>
      <c r="C11392" s="49" t="s">
        <v>78</v>
      </c>
      <c r="D11392" s="49">
        <v>0.0</v>
      </c>
    </row>
    <row r="11393" ht="15.0" hidden="1" customHeight="1">
      <c r="A11393" s="49" t="s">
        <v>778</v>
      </c>
      <c r="B11393" s="50">
        <v>45930.0</v>
      </c>
      <c r="C11393" s="49" t="s">
        <v>78</v>
      </c>
      <c r="D11393" s="49">
        <v>0.0</v>
      </c>
    </row>
    <row r="11394" ht="15.0" hidden="1" customHeight="1">
      <c r="A11394" s="49" t="s">
        <v>92</v>
      </c>
      <c r="B11394" s="50">
        <v>45930.0</v>
      </c>
      <c r="C11394" s="49" t="s">
        <v>78</v>
      </c>
      <c r="D11394" s="49">
        <v>0.0</v>
      </c>
    </row>
    <row r="11395" ht="15.0" hidden="1" customHeight="1">
      <c r="A11395" s="49" t="s">
        <v>97</v>
      </c>
      <c r="B11395" s="50">
        <v>45930.0</v>
      </c>
      <c r="C11395" s="49" t="s">
        <v>78</v>
      </c>
      <c r="D11395" s="49">
        <v>0.0</v>
      </c>
    </row>
    <row r="11396" ht="15.0" hidden="1" customHeight="1">
      <c r="A11396" s="49" t="s">
        <v>102</v>
      </c>
      <c r="B11396" s="50">
        <v>45930.0</v>
      </c>
      <c r="C11396" s="49" t="s">
        <v>78</v>
      </c>
      <c r="D11396" s="49">
        <v>0.0</v>
      </c>
    </row>
    <row r="11397" ht="15.0" hidden="1" customHeight="1">
      <c r="A11397" s="49" t="s">
        <v>106</v>
      </c>
      <c r="B11397" s="50">
        <v>45930.0</v>
      </c>
      <c r="C11397" s="49" t="s">
        <v>78</v>
      </c>
      <c r="D11397" s="49">
        <v>0.0</v>
      </c>
    </row>
    <row r="11398" ht="15.0" hidden="1" customHeight="1">
      <c r="A11398" s="49" t="s">
        <v>111</v>
      </c>
      <c r="B11398" s="50">
        <v>45930.0</v>
      </c>
      <c r="C11398" s="49" t="s">
        <v>78</v>
      </c>
      <c r="D11398" s="49">
        <v>0.0</v>
      </c>
    </row>
    <row r="11399" ht="15.0" hidden="1" customHeight="1">
      <c r="A11399" s="49" t="s">
        <v>116</v>
      </c>
      <c r="B11399" s="50">
        <v>45930.0</v>
      </c>
      <c r="C11399" s="49" t="s">
        <v>78</v>
      </c>
      <c r="D11399" s="49">
        <v>0.0</v>
      </c>
    </row>
    <row r="11400" ht="15.0" hidden="1" customHeight="1">
      <c r="A11400" s="49" t="s">
        <v>120</v>
      </c>
      <c r="B11400" s="50">
        <v>45930.0</v>
      </c>
      <c r="C11400" s="49" t="s">
        <v>78</v>
      </c>
      <c r="D11400" s="49">
        <v>0.0</v>
      </c>
    </row>
    <row r="11401" ht="15.0" hidden="1" customHeight="1">
      <c r="A11401" s="49" t="s">
        <v>125</v>
      </c>
      <c r="B11401" s="50">
        <v>45930.0</v>
      </c>
      <c r="C11401" s="49" t="s">
        <v>78</v>
      </c>
      <c r="D11401" s="49">
        <v>0.0</v>
      </c>
    </row>
    <row r="11402" ht="15.0" hidden="1" customHeight="1">
      <c r="A11402" s="49" t="s">
        <v>130</v>
      </c>
      <c r="B11402" s="50">
        <v>45930.0</v>
      </c>
      <c r="C11402" s="49" t="s">
        <v>78</v>
      </c>
      <c r="D11402" s="49">
        <v>0.0</v>
      </c>
    </row>
    <row r="11403" ht="15.0" hidden="1" customHeight="1">
      <c r="A11403" s="49" t="s">
        <v>137</v>
      </c>
      <c r="B11403" s="50">
        <v>45930.0</v>
      </c>
      <c r="C11403" s="49" t="s">
        <v>78</v>
      </c>
      <c r="D11403" s="49">
        <v>0.0</v>
      </c>
    </row>
    <row r="11404" ht="15.0" hidden="1" customHeight="1">
      <c r="A11404" s="49" t="s">
        <v>142</v>
      </c>
      <c r="B11404" s="50">
        <v>45930.0</v>
      </c>
      <c r="C11404" s="49" t="s">
        <v>78</v>
      </c>
      <c r="D11404" s="49">
        <v>0.0</v>
      </c>
    </row>
    <row r="11405" ht="15.0" hidden="1" customHeight="1">
      <c r="A11405" s="49" t="s">
        <v>147</v>
      </c>
      <c r="B11405" s="50">
        <v>45930.0</v>
      </c>
      <c r="C11405" s="49" t="s">
        <v>78</v>
      </c>
      <c r="D11405" s="49">
        <v>0.0</v>
      </c>
    </row>
    <row r="11406" ht="15.0" hidden="1" customHeight="1">
      <c r="A11406" s="49" t="s">
        <v>152</v>
      </c>
      <c r="B11406" s="50">
        <v>45930.0</v>
      </c>
      <c r="C11406" s="49" t="s">
        <v>78</v>
      </c>
      <c r="D11406" s="49">
        <v>0.0</v>
      </c>
    </row>
    <row r="11407" ht="15.0" hidden="1" customHeight="1">
      <c r="A11407" s="49" t="s">
        <v>157</v>
      </c>
      <c r="B11407" s="50">
        <v>45930.0</v>
      </c>
      <c r="C11407" s="49" t="s">
        <v>78</v>
      </c>
      <c r="D11407" s="49">
        <v>0.0</v>
      </c>
    </row>
    <row r="11408" ht="15.0" hidden="1" customHeight="1">
      <c r="A11408" s="49" t="s">
        <v>162</v>
      </c>
      <c r="B11408" s="50">
        <v>45930.0</v>
      </c>
      <c r="C11408" s="49" t="s">
        <v>78</v>
      </c>
      <c r="D11408" s="49">
        <v>0.0</v>
      </c>
    </row>
    <row r="11409" ht="15.0" hidden="1" customHeight="1">
      <c r="A11409" s="49" t="s">
        <v>167</v>
      </c>
      <c r="B11409" s="50">
        <v>45930.0</v>
      </c>
      <c r="C11409" s="49" t="s">
        <v>78</v>
      </c>
      <c r="D11409" s="49">
        <v>0.0</v>
      </c>
    </row>
    <row r="11410" ht="15.0" hidden="1" customHeight="1">
      <c r="A11410" s="49" t="s">
        <v>172</v>
      </c>
      <c r="B11410" s="50">
        <v>45930.0</v>
      </c>
      <c r="C11410" s="49" t="s">
        <v>78</v>
      </c>
      <c r="D11410" s="49">
        <v>0.0</v>
      </c>
    </row>
    <row r="11411" ht="15.0" hidden="1" customHeight="1">
      <c r="A11411" s="49" t="s">
        <v>177</v>
      </c>
      <c r="B11411" s="50">
        <v>45930.0</v>
      </c>
      <c r="C11411" s="49" t="s">
        <v>78</v>
      </c>
      <c r="D11411" s="49">
        <v>0.0</v>
      </c>
    </row>
    <row r="11412" ht="15.0" hidden="1" customHeight="1">
      <c r="A11412" s="49" t="s">
        <v>182</v>
      </c>
      <c r="B11412" s="50">
        <v>45930.0</v>
      </c>
      <c r="C11412" s="49" t="s">
        <v>78</v>
      </c>
      <c r="D11412" s="49">
        <v>0.0</v>
      </c>
    </row>
    <row r="11413" ht="15.0" hidden="1" customHeight="1">
      <c r="A11413" s="49" t="s">
        <v>187</v>
      </c>
      <c r="B11413" s="50">
        <v>45930.0</v>
      </c>
      <c r="C11413" s="49" t="s">
        <v>78</v>
      </c>
      <c r="D11413" s="49">
        <v>0.0</v>
      </c>
    </row>
    <row r="11414" ht="15.0" hidden="1" customHeight="1">
      <c r="A11414" s="49" t="s">
        <v>192</v>
      </c>
      <c r="B11414" s="50">
        <v>45930.0</v>
      </c>
      <c r="C11414" s="49" t="s">
        <v>78</v>
      </c>
      <c r="D11414" s="49">
        <v>0.0</v>
      </c>
    </row>
    <row r="11415" ht="15.0" hidden="1" customHeight="1">
      <c r="A11415" s="49" t="s">
        <v>197</v>
      </c>
      <c r="B11415" s="50">
        <v>45930.0</v>
      </c>
      <c r="C11415" s="49" t="s">
        <v>78</v>
      </c>
      <c r="D11415" s="49">
        <v>0.0</v>
      </c>
    </row>
    <row r="11416" ht="15.0" hidden="1" customHeight="1">
      <c r="A11416" s="49" t="s">
        <v>202</v>
      </c>
      <c r="B11416" s="50">
        <v>45930.0</v>
      </c>
      <c r="C11416" s="49" t="s">
        <v>78</v>
      </c>
      <c r="D11416" s="49">
        <v>0.0</v>
      </c>
    </row>
    <row r="11417" ht="15.0" hidden="1" customHeight="1">
      <c r="A11417" s="49" t="s">
        <v>206</v>
      </c>
      <c r="B11417" s="50">
        <v>45930.0</v>
      </c>
      <c r="C11417" s="49" t="s">
        <v>78</v>
      </c>
      <c r="D11417" s="49">
        <v>0.0</v>
      </c>
    </row>
    <row r="11418" ht="15.0" hidden="1" customHeight="1">
      <c r="A11418" s="49" t="s">
        <v>211</v>
      </c>
      <c r="B11418" s="50">
        <v>45930.0</v>
      </c>
      <c r="C11418" s="49" t="s">
        <v>78</v>
      </c>
      <c r="D11418" s="49">
        <v>0.0</v>
      </c>
    </row>
    <row r="11419" ht="15.0" hidden="1" customHeight="1">
      <c r="A11419" s="49" t="s">
        <v>779</v>
      </c>
      <c r="B11419" s="50">
        <v>45930.0</v>
      </c>
      <c r="C11419" s="49" t="s">
        <v>78</v>
      </c>
      <c r="D11419" s="49">
        <v>0.0</v>
      </c>
    </row>
    <row r="11420" ht="15.0" hidden="1" customHeight="1">
      <c r="A11420" s="49" t="s">
        <v>221</v>
      </c>
      <c r="B11420" s="50">
        <v>45930.0</v>
      </c>
      <c r="C11420" s="49" t="s">
        <v>78</v>
      </c>
      <c r="D11420" s="49">
        <v>0.0</v>
      </c>
    </row>
    <row r="11421" ht="15.0" hidden="1" customHeight="1">
      <c r="A11421" s="49" t="s">
        <v>226</v>
      </c>
      <c r="B11421" s="50">
        <v>45930.0</v>
      </c>
      <c r="C11421" s="49" t="s">
        <v>78</v>
      </c>
      <c r="D11421" s="49">
        <v>0.0</v>
      </c>
    </row>
    <row r="11422" ht="15.0" hidden="1" customHeight="1">
      <c r="A11422" s="49" t="s">
        <v>231</v>
      </c>
      <c r="B11422" s="50">
        <v>45930.0</v>
      </c>
      <c r="C11422" s="49" t="s">
        <v>78</v>
      </c>
      <c r="D11422" s="49">
        <v>0.0</v>
      </c>
    </row>
    <row r="11423" ht="15.0" hidden="1" customHeight="1">
      <c r="A11423" s="49" t="s">
        <v>236</v>
      </c>
      <c r="B11423" s="50">
        <v>45930.0</v>
      </c>
      <c r="C11423" s="49" t="s">
        <v>78</v>
      </c>
      <c r="D11423" s="49">
        <v>0.0</v>
      </c>
    </row>
    <row r="11424" ht="15.0" hidden="1" customHeight="1">
      <c r="A11424" s="49" t="s">
        <v>242</v>
      </c>
      <c r="B11424" s="50">
        <v>45930.0</v>
      </c>
      <c r="C11424" s="49" t="s">
        <v>78</v>
      </c>
      <c r="D11424" s="49">
        <v>0.0</v>
      </c>
    </row>
    <row r="11425" ht="15.0" hidden="1" customHeight="1">
      <c r="A11425" s="49" t="s">
        <v>248</v>
      </c>
      <c r="B11425" s="50">
        <v>45930.0</v>
      </c>
      <c r="C11425" s="49" t="s">
        <v>78</v>
      </c>
      <c r="D11425" s="49">
        <v>0.0</v>
      </c>
    </row>
    <row r="11426" ht="15.0" hidden="1" customHeight="1">
      <c r="A11426" s="49" t="s">
        <v>253</v>
      </c>
      <c r="B11426" s="50">
        <v>45930.0</v>
      </c>
      <c r="C11426" s="49" t="s">
        <v>78</v>
      </c>
      <c r="D11426" s="49">
        <v>0.0</v>
      </c>
    </row>
    <row r="11427" ht="15.0" hidden="1" customHeight="1">
      <c r="A11427" s="49" t="s">
        <v>258</v>
      </c>
      <c r="B11427" s="50">
        <v>45930.0</v>
      </c>
      <c r="C11427" s="49" t="s">
        <v>78</v>
      </c>
      <c r="D11427" s="49">
        <v>0.0</v>
      </c>
    </row>
    <row r="11428" ht="15.0" hidden="1" customHeight="1">
      <c r="A11428" s="49" t="s">
        <v>263</v>
      </c>
      <c r="B11428" s="50">
        <v>45930.0</v>
      </c>
      <c r="C11428" s="49" t="s">
        <v>78</v>
      </c>
      <c r="D11428" s="49">
        <v>0.0</v>
      </c>
    </row>
    <row r="11429" ht="15.0" hidden="1" customHeight="1">
      <c r="A11429" s="49" t="s">
        <v>268</v>
      </c>
      <c r="B11429" s="50">
        <v>45930.0</v>
      </c>
      <c r="C11429" s="49" t="s">
        <v>78</v>
      </c>
      <c r="D11429" s="49">
        <v>0.0</v>
      </c>
    </row>
    <row r="11430" ht="15.0" hidden="1" customHeight="1">
      <c r="A11430" s="49" t="s">
        <v>273</v>
      </c>
      <c r="B11430" s="50">
        <v>45930.0</v>
      </c>
      <c r="C11430" s="49" t="s">
        <v>78</v>
      </c>
      <c r="D11430" s="49">
        <v>0.0</v>
      </c>
    </row>
    <row r="11431" ht="15.0" hidden="1" customHeight="1">
      <c r="A11431" s="49" t="s">
        <v>278</v>
      </c>
      <c r="B11431" s="50">
        <v>45930.0</v>
      </c>
      <c r="C11431" s="49" t="s">
        <v>78</v>
      </c>
      <c r="D11431" s="49">
        <v>0.0</v>
      </c>
    </row>
    <row r="11432" ht="15.0" hidden="1" customHeight="1">
      <c r="A11432" s="49" t="s">
        <v>283</v>
      </c>
      <c r="B11432" s="50">
        <v>45930.0</v>
      </c>
      <c r="C11432" s="49" t="s">
        <v>78</v>
      </c>
      <c r="D11432" s="49">
        <v>0.0</v>
      </c>
    </row>
    <row r="11433" ht="15.0" hidden="1" customHeight="1">
      <c r="A11433" s="49" t="s">
        <v>288</v>
      </c>
      <c r="B11433" s="50">
        <v>45930.0</v>
      </c>
      <c r="C11433" s="49" t="s">
        <v>78</v>
      </c>
      <c r="D11433" s="49">
        <v>0.0</v>
      </c>
    </row>
    <row r="11434" ht="15.0" hidden="1" customHeight="1">
      <c r="A11434" s="49" t="s">
        <v>293</v>
      </c>
      <c r="B11434" s="50">
        <v>45930.0</v>
      </c>
      <c r="C11434" s="49" t="s">
        <v>78</v>
      </c>
      <c r="D11434" s="49">
        <v>0.0</v>
      </c>
    </row>
    <row r="11435" ht="15.0" hidden="1" customHeight="1">
      <c r="A11435" s="49" t="s">
        <v>298</v>
      </c>
      <c r="B11435" s="50">
        <v>45930.0</v>
      </c>
      <c r="C11435" s="49" t="s">
        <v>78</v>
      </c>
      <c r="D11435" s="49">
        <v>0.0</v>
      </c>
    </row>
    <row r="11436" ht="15.0" hidden="1" customHeight="1">
      <c r="A11436" s="49" t="s">
        <v>303</v>
      </c>
      <c r="B11436" s="50">
        <v>45930.0</v>
      </c>
      <c r="C11436" s="49" t="s">
        <v>78</v>
      </c>
      <c r="D11436" s="49">
        <v>0.0</v>
      </c>
    </row>
    <row r="11437" ht="15.0" hidden="1" customHeight="1">
      <c r="A11437" s="49" t="s">
        <v>307</v>
      </c>
      <c r="B11437" s="50">
        <v>45930.0</v>
      </c>
      <c r="C11437" s="49" t="s">
        <v>78</v>
      </c>
      <c r="D11437" s="49">
        <v>0.0</v>
      </c>
    </row>
    <row r="11438" ht="15.0" hidden="1" customHeight="1">
      <c r="A11438" s="49" t="s">
        <v>313</v>
      </c>
      <c r="B11438" s="50">
        <v>45930.0</v>
      </c>
      <c r="C11438" s="49" t="s">
        <v>78</v>
      </c>
      <c r="D11438" s="49">
        <v>0.0</v>
      </c>
    </row>
    <row r="11439" ht="15.0" hidden="1" customHeight="1">
      <c r="A11439" s="49" t="s">
        <v>318</v>
      </c>
      <c r="B11439" s="50">
        <v>45930.0</v>
      </c>
      <c r="C11439" s="49" t="s">
        <v>78</v>
      </c>
      <c r="D11439" s="49">
        <v>0.0</v>
      </c>
    </row>
    <row r="11440" ht="15.0" hidden="1" customHeight="1">
      <c r="A11440" s="49" t="s">
        <v>323</v>
      </c>
      <c r="B11440" s="50">
        <v>45930.0</v>
      </c>
      <c r="C11440" s="49" t="s">
        <v>78</v>
      </c>
      <c r="D11440" s="49">
        <v>0.0</v>
      </c>
    </row>
    <row r="11441" ht="15.0" hidden="1" customHeight="1">
      <c r="A11441" s="49" t="s">
        <v>328</v>
      </c>
      <c r="B11441" s="50">
        <v>45930.0</v>
      </c>
      <c r="C11441" s="49" t="s">
        <v>78</v>
      </c>
      <c r="D11441" s="49">
        <v>0.0</v>
      </c>
    </row>
    <row r="11442" ht="15.0" hidden="1" customHeight="1">
      <c r="A11442" s="49" t="s">
        <v>335</v>
      </c>
      <c r="B11442" s="50">
        <v>45930.0</v>
      </c>
      <c r="C11442" s="49" t="s">
        <v>78</v>
      </c>
      <c r="D11442" s="49">
        <v>0.0</v>
      </c>
    </row>
    <row r="11443" ht="15.0" hidden="1" customHeight="1">
      <c r="A11443" s="49" t="s">
        <v>340</v>
      </c>
      <c r="B11443" s="50">
        <v>45930.0</v>
      </c>
      <c r="C11443" s="49" t="s">
        <v>78</v>
      </c>
      <c r="D11443" s="49">
        <v>0.0</v>
      </c>
    </row>
    <row r="11444" ht="15.0" hidden="1" customHeight="1">
      <c r="A11444" s="49" t="s">
        <v>345</v>
      </c>
      <c r="B11444" s="50">
        <v>45930.0</v>
      </c>
      <c r="C11444" s="49" t="s">
        <v>78</v>
      </c>
      <c r="D11444" s="49">
        <v>0.0</v>
      </c>
    </row>
    <row r="11445" ht="15.0" hidden="1" customHeight="1">
      <c r="A11445" s="49" t="s">
        <v>350</v>
      </c>
      <c r="B11445" s="50">
        <v>45930.0</v>
      </c>
      <c r="C11445" s="49" t="s">
        <v>78</v>
      </c>
      <c r="D11445" s="49">
        <v>0.0</v>
      </c>
    </row>
    <row r="11446" ht="15.0" hidden="1" customHeight="1">
      <c r="A11446" s="49" t="s">
        <v>355</v>
      </c>
      <c r="B11446" s="50">
        <v>45930.0</v>
      </c>
      <c r="C11446" s="49" t="s">
        <v>78</v>
      </c>
      <c r="D11446" s="49">
        <v>0.0</v>
      </c>
    </row>
    <row r="11447" ht="15.0" hidden="1" customHeight="1">
      <c r="A11447" s="49" t="s">
        <v>360</v>
      </c>
      <c r="B11447" s="50">
        <v>45930.0</v>
      </c>
      <c r="C11447" s="49" t="s">
        <v>78</v>
      </c>
      <c r="D11447" s="49">
        <v>0.0</v>
      </c>
    </row>
    <row r="11448" ht="15.0" hidden="1" customHeight="1">
      <c r="A11448" s="49" t="s">
        <v>365</v>
      </c>
      <c r="B11448" s="50">
        <v>45930.0</v>
      </c>
      <c r="C11448" s="49" t="s">
        <v>78</v>
      </c>
      <c r="D11448" s="49">
        <v>0.0</v>
      </c>
    </row>
    <row r="11449" ht="15.0" hidden="1" customHeight="1">
      <c r="A11449" s="49" t="s">
        <v>370</v>
      </c>
      <c r="B11449" s="50">
        <v>45930.0</v>
      </c>
      <c r="C11449" s="49" t="s">
        <v>78</v>
      </c>
      <c r="D11449" s="49">
        <v>0.0</v>
      </c>
    </row>
    <row r="11450" ht="15.0" hidden="1" customHeight="1">
      <c r="A11450" s="49" t="s">
        <v>375</v>
      </c>
      <c r="B11450" s="50">
        <v>45930.0</v>
      </c>
      <c r="C11450" s="49" t="s">
        <v>78</v>
      </c>
      <c r="D11450" s="49">
        <v>0.0</v>
      </c>
    </row>
    <row r="11451" ht="15.0" hidden="1" customHeight="1">
      <c r="A11451" s="49" t="s">
        <v>380</v>
      </c>
      <c r="B11451" s="50">
        <v>45930.0</v>
      </c>
      <c r="C11451" s="49" t="s">
        <v>78</v>
      </c>
      <c r="D11451" s="49">
        <v>0.0</v>
      </c>
    </row>
    <row r="11452" ht="15.0" hidden="1" customHeight="1">
      <c r="A11452" s="49" t="s">
        <v>385</v>
      </c>
      <c r="B11452" s="50">
        <v>45930.0</v>
      </c>
      <c r="C11452" s="49" t="s">
        <v>78</v>
      </c>
      <c r="D11452" s="49">
        <v>0.0</v>
      </c>
    </row>
    <row r="11453" ht="15.0" hidden="1" customHeight="1">
      <c r="A11453" s="49" t="s">
        <v>390</v>
      </c>
      <c r="B11453" s="50">
        <v>45930.0</v>
      </c>
      <c r="C11453" s="49" t="s">
        <v>78</v>
      </c>
      <c r="D11453" s="49">
        <v>0.0</v>
      </c>
    </row>
    <row r="11454" ht="15.0" hidden="1" customHeight="1">
      <c r="A11454" s="49" t="s">
        <v>395</v>
      </c>
      <c r="B11454" s="50">
        <v>45930.0</v>
      </c>
      <c r="C11454" s="49" t="s">
        <v>78</v>
      </c>
      <c r="D11454" s="49">
        <v>0.0</v>
      </c>
    </row>
    <row r="11455" ht="15.0" hidden="1" customHeight="1">
      <c r="A11455" s="49" t="s">
        <v>400</v>
      </c>
      <c r="B11455" s="50">
        <v>45930.0</v>
      </c>
      <c r="C11455" s="49" t="s">
        <v>78</v>
      </c>
      <c r="D11455" s="49">
        <v>0.0</v>
      </c>
    </row>
    <row r="11456" ht="15.0" hidden="1" customHeight="1">
      <c r="A11456" s="49" t="s">
        <v>405</v>
      </c>
      <c r="B11456" s="50">
        <v>45930.0</v>
      </c>
      <c r="C11456" s="49" t="s">
        <v>78</v>
      </c>
      <c r="D11456" s="49">
        <v>0.0</v>
      </c>
    </row>
    <row r="11457" ht="15.0" hidden="1" customHeight="1">
      <c r="A11457" s="49" t="s">
        <v>410</v>
      </c>
      <c r="B11457" s="50">
        <v>45930.0</v>
      </c>
      <c r="C11457" s="49" t="s">
        <v>78</v>
      </c>
      <c r="D11457" s="49">
        <v>0.0</v>
      </c>
    </row>
    <row r="11458" ht="15.0" hidden="1" customHeight="1">
      <c r="A11458" s="49" t="s">
        <v>415</v>
      </c>
      <c r="B11458" s="50">
        <v>45930.0</v>
      </c>
      <c r="C11458" s="49" t="s">
        <v>78</v>
      </c>
      <c r="D11458" s="49">
        <v>0.0</v>
      </c>
    </row>
    <row r="11459" ht="15.0" hidden="1" customHeight="1">
      <c r="A11459" s="49" t="s">
        <v>420</v>
      </c>
      <c r="B11459" s="50">
        <v>45930.0</v>
      </c>
      <c r="C11459" s="49" t="s">
        <v>78</v>
      </c>
      <c r="D11459" s="49">
        <v>0.0</v>
      </c>
    </row>
    <row r="11460" ht="15.0" hidden="1" customHeight="1">
      <c r="A11460" s="49" t="s">
        <v>425</v>
      </c>
      <c r="B11460" s="50">
        <v>45930.0</v>
      </c>
      <c r="C11460" s="49" t="s">
        <v>78</v>
      </c>
      <c r="D11460" s="49">
        <v>0.0</v>
      </c>
    </row>
    <row r="11461" ht="15.0" hidden="1" customHeight="1">
      <c r="A11461" s="49" t="s">
        <v>430</v>
      </c>
      <c r="B11461" s="50">
        <v>45930.0</v>
      </c>
      <c r="C11461" s="49" t="s">
        <v>78</v>
      </c>
      <c r="D11461" s="49">
        <v>0.0</v>
      </c>
    </row>
    <row r="11462" ht="15.0" hidden="1" customHeight="1">
      <c r="A11462" s="49" t="s">
        <v>434</v>
      </c>
      <c r="B11462" s="50">
        <v>45930.0</v>
      </c>
      <c r="C11462" s="49" t="s">
        <v>78</v>
      </c>
      <c r="D11462" s="49">
        <v>0.0</v>
      </c>
    </row>
    <row r="11463" ht="15.0" hidden="1" customHeight="1">
      <c r="A11463" s="49" t="s">
        <v>439</v>
      </c>
      <c r="B11463" s="50">
        <v>45930.0</v>
      </c>
      <c r="C11463" s="49" t="s">
        <v>78</v>
      </c>
      <c r="D11463" s="49">
        <v>0.0</v>
      </c>
    </row>
    <row r="11464" ht="15.0" hidden="1" customHeight="1">
      <c r="A11464" s="49" t="s">
        <v>444</v>
      </c>
      <c r="B11464" s="50">
        <v>45930.0</v>
      </c>
      <c r="C11464" s="49" t="s">
        <v>78</v>
      </c>
      <c r="D11464" s="49">
        <v>0.0</v>
      </c>
    </row>
    <row r="11465" ht="15.0" hidden="1" customHeight="1">
      <c r="A11465" s="49" t="s">
        <v>449</v>
      </c>
      <c r="B11465" s="50">
        <v>45930.0</v>
      </c>
      <c r="C11465" s="49" t="s">
        <v>78</v>
      </c>
      <c r="D11465" s="49">
        <v>0.0</v>
      </c>
    </row>
    <row r="11466" ht="15.0" hidden="1" customHeight="1">
      <c r="A11466" s="49" t="s">
        <v>455</v>
      </c>
      <c r="B11466" s="50">
        <v>45930.0</v>
      </c>
      <c r="C11466" s="49" t="s">
        <v>78</v>
      </c>
      <c r="D11466" s="49">
        <v>0.0</v>
      </c>
    </row>
    <row r="11467" ht="15.0" hidden="1" customHeight="1">
      <c r="A11467" s="49" t="s">
        <v>470</v>
      </c>
      <c r="B11467" s="50">
        <v>45930.0</v>
      </c>
      <c r="C11467" s="49" t="s">
        <v>78</v>
      </c>
      <c r="D11467" s="49">
        <v>0.0</v>
      </c>
    </row>
    <row r="11468" ht="15.0" hidden="1" customHeight="1">
      <c r="A11468" s="49" t="s">
        <v>476</v>
      </c>
      <c r="B11468" s="50">
        <v>45930.0</v>
      </c>
      <c r="C11468" s="49" t="s">
        <v>78</v>
      </c>
      <c r="D11468" s="49">
        <v>0.0</v>
      </c>
    </row>
    <row r="11469" ht="15.0" hidden="1" customHeight="1">
      <c r="A11469" s="49" t="s">
        <v>481</v>
      </c>
      <c r="B11469" s="50">
        <v>45930.0</v>
      </c>
      <c r="C11469" s="49" t="s">
        <v>78</v>
      </c>
      <c r="D11469" s="49">
        <v>0.0</v>
      </c>
    </row>
    <row r="11470" ht="15.0" hidden="1" customHeight="1">
      <c r="A11470" s="49" t="s">
        <v>486</v>
      </c>
      <c r="B11470" s="50">
        <v>45930.0</v>
      </c>
      <c r="C11470" s="49" t="s">
        <v>78</v>
      </c>
      <c r="D11470" s="49">
        <v>0.0</v>
      </c>
    </row>
    <row r="11471" ht="15.0" hidden="1" customHeight="1">
      <c r="A11471" s="49" t="s">
        <v>491</v>
      </c>
      <c r="B11471" s="50">
        <v>45930.0</v>
      </c>
      <c r="C11471" s="49" t="s">
        <v>78</v>
      </c>
      <c r="D11471" s="49">
        <v>0.0</v>
      </c>
    </row>
    <row r="11472" ht="15.0" hidden="1" customHeight="1">
      <c r="A11472" s="49" t="s">
        <v>496</v>
      </c>
      <c r="B11472" s="50">
        <v>45930.0</v>
      </c>
      <c r="C11472" s="49" t="s">
        <v>78</v>
      </c>
      <c r="D11472" s="49">
        <v>0.0</v>
      </c>
    </row>
    <row r="11473" ht="15.0" hidden="1" customHeight="1">
      <c r="A11473" s="49" t="s">
        <v>501</v>
      </c>
      <c r="B11473" s="50">
        <v>45930.0</v>
      </c>
      <c r="C11473" s="49" t="s">
        <v>78</v>
      </c>
      <c r="D11473" s="49">
        <v>0.0</v>
      </c>
    </row>
    <row r="11474" ht="15.0" hidden="1" customHeight="1">
      <c r="A11474" s="49" t="s">
        <v>506</v>
      </c>
      <c r="B11474" s="50">
        <v>45930.0</v>
      </c>
      <c r="C11474" s="49" t="s">
        <v>78</v>
      </c>
      <c r="D11474" s="49">
        <v>0.0</v>
      </c>
    </row>
    <row r="11475" ht="15.0" hidden="1" customHeight="1">
      <c r="A11475" s="49" t="s">
        <v>512</v>
      </c>
      <c r="B11475" s="50">
        <v>45930.0</v>
      </c>
      <c r="C11475" s="49" t="s">
        <v>78</v>
      </c>
      <c r="D11475" s="49">
        <v>0.0</v>
      </c>
    </row>
    <row r="11476" ht="15.0" hidden="1" customHeight="1">
      <c r="A11476" s="49" t="s">
        <v>517</v>
      </c>
      <c r="B11476" s="50">
        <v>45930.0</v>
      </c>
      <c r="C11476" s="49" t="s">
        <v>78</v>
      </c>
      <c r="D11476" s="49">
        <v>0.0</v>
      </c>
    </row>
    <row r="11477" ht="15.0" hidden="1" customHeight="1">
      <c r="A11477" s="49" t="s">
        <v>522</v>
      </c>
      <c r="B11477" s="50">
        <v>45930.0</v>
      </c>
      <c r="C11477" s="49" t="s">
        <v>78</v>
      </c>
      <c r="D11477" s="49">
        <v>0.0</v>
      </c>
    </row>
    <row r="11478" ht="15.0" hidden="1" customHeight="1">
      <c r="A11478" s="49" t="s">
        <v>528</v>
      </c>
      <c r="B11478" s="50">
        <v>45930.0</v>
      </c>
      <c r="C11478" s="49" t="s">
        <v>78</v>
      </c>
      <c r="D11478" s="49">
        <v>0.0</v>
      </c>
    </row>
    <row r="11479" ht="15.0" hidden="1" customHeight="1">
      <c r="A11479" s="49" t="s">
        <v>533</v>
      </c>
      <c r="B11479" s="50">
        <v>45930.0</v>
      </c>
      <c r="C11479" s="49" t="s">
        <v>78</v>
      </c>
      <c r="D11479" s="49">
        <v>0.0</v>
      </c>
    </row>
    <row r="11480" ht="15.0" hidden="1" customHeight="1">
      <c r="A11480" s="49" t="s">
        <v>538</v>
      </c>
      <c r="B11480" s="50">
        <v>45930.0</v>
      </c>
      <c r="C11480" s="49" t="s">
        <v>78</v>
      </c>
      <c r="D11480" s="49">
        <v>0.0</v>
      </c>
    </row>
    <row r="11481" ht="15.0" hidden="1" customHeight="1">
      <c r="A11481" s="49" t="s">
        <v>546</v>
      </c>
      <c r="B11481" s="50">
        <v>45930.0</v>
      </c>
      <c r="C11481" s="49" t="s">
        <v>78</v>
      </c>
      <c r="D11481" s="49">
        <v>0.0</v>
      </c>
    </row>
    <row r="11482" ht="15.0" hidden="1" customHeight="1">
      <c r="A11482" s="49" t="s">
        <v>551</v>
      </c>
      <c r="B11482" s="50">
        <v>45930.0</v>
      </c>
      <c r="C11482" s="49" t="s">
        <v>78</v>
      </c>
      <c r="D11482" s="49">
        <v>0.0</v>
      </c>
    </row>
    <row r="11483" ht="15.0" hidden="1" customHeight="1">
      <c r="A11483" s="49" t="s">
        <v>556</v>
      </c>
      <c r="B11483" s="50">
        <v>45930.0</v>
      </c>
      <c r="C11483" s="49" t="s">
        <v>78</v>
      </c>
      <c r="D11483" s="49">
        <v>0.0</v>
      </c>
    </row>
    <row r="11484" ht="15.0" hidden="1" customHeight="1">
      <c r="A11484" s="49" t="s">
        <v>561</v>
      </c>
      <c r="B11484" s="50">
        <v>45930.0</v>
      </c>
      <c r="C11484" s="49" t="s">
        <v>78</v>
      </c>
      <c r="D11484" s="49">
        <v>0.0</v>
      </c>
    </row>
    <row r="11485" ht="15.0" hidden="1" customHeight="1">
      <c r="A11485" s="49" t="s">
        <v>566</v>
      </c>
      <c r="B11485" s="50">
        <v>45930.0</v>
      </c>
      <c r="C11485" s="49" t="s">
        <v>78</v>
      </c>
      <c r="D11485" s="49">
        <v>0.0</v>
      </c>
    </row>
    <row r="11486" ht="15.0" hidden="1" customHeight="1">
      <c r="A11486" s="49" t="s">
        <v>571</v>
      </c>
      <c r="B11486" s="50">
        <v>45930.0</v>
      </c>
      <c r="C11486" s="49" t="s">
        <v>78</v>
      </c>
      <c r="D11486" s="49">
        <v>0.0</v>
      </c>
    </row>
    <row r="11487" ht="15.0" hidden="1" customHeight="1">
      <c r="A11487" s="49" t="s">
        <v>576</v>
      </c>
      <c r="B11487" s="50">
        <v>45930.0</v>
      </c>
      <c r="C11487" s="49" t="s">
        <v>78</v>
      </c>
      <c r="D11487" s="49">
        <v>0.0</v>
      </c>
    </row>
    <row r="11488" ht="15.0" hidden="1" customHeight="1">
      <c r="A11488" s="49" t="s">
        <v>581</v>
      </c>
      <c r="B11488" s="50">
        <v>45930.0</v>
      </c>
      <c r="C11488" s="49" t="s">
        <v>78</v>
      </c>
      <c r="D11488" s="49">
        <v>0.0</v>
      </c>
    </row>
    <row r="11489" ht="15.0" hidden="1" customHeight="1">
      <c r="A11489" s="49" t="s">
        <v>586</v>
      </c>
      <c r="B11489" s="50">
        <v>45930.0</v>
      </c>
      <c r="C11489" s="49" t="s">
        <v>78</v>
      </c>
      <c r="D11489" s="49">
        <v>0.0</v>
      </c>
    </row>
    <row r="11490" ht="15.0" hidden="1" customHeight="1">
      <c r="A11490" s="49" t="s">
        <v>754</v>
      </c>
      <c r="B11490" s="50">
        <v>45930.0</v>
      </c>
      <c r="C11490" s="49" t="s">
        <v>78</v>
      </c>
      <c r="D11490" s="49">
        <v>0.0</v>
      </c>
    </row>
    <row r="11491" ht="15.0" hidden="1" customHeight="1">
      <c r="A11491" s="49" t="s">
        <v>591</v>
      </c>
      <c r="B11491" s="50">
        <v>45930.0</v>
      </c>
      <c r="C11491" s="49" t="s">
        <v>78</v>
      </c>
      <c r="D11491" s="49">
        <v>0.0</v>
      </c>
    </row>
    <row r="11492" ht="15.0" hidden="1" customHeight="1">
      <c r="A11492" s="49" t="s">
        <v>759</v>
      </c>
      <c r="B11492" s="50">
        <v>45930.0</v>
      </c>
      <c r="C11492" s="49" t="s">
        <v>78</v>
      </c>
      <c r="D11492" s="49">
        <v>0.0</v>
      </c>
    </row>
    <row r="11493" ht="15.0" hidden="1" customHeight="1">
      <c r="A11493" s="49" t="s">
        <v>596</v>
      </c>
      <c r="B11493" s="50">
        <v>45930.0</v>
      </c>
      <c r="C11493" s="49" t="s">
        <v>78</v>
      </c>
      <c r="D11493" s="49">
        <v>0.0</v>
      </c>
    </row>
    <row r="11494" ht="15.0" hidden="1" customHeight="1">
      <c r="A11494" s="49" t="s">
        <v>602</v>
      </c>
      <c r="B11494" s="50">
        <v>45930.0</v>
      </c>
      <c r="C11494" s="49" t="s">
        <v>78</v>
      </c>
      <c r="D11494" s="49">
        <v>0.0</v>
      </c>
    </row>
    <row r="11495" ht="15.0" hidden="1" customHeight="1">
      <c r="A11495" s="49" t="s">
        <v>607</v>
      </c>
      <c r="B11495" s="50">
        <v>45930.0</v>
      </c>
      <c r="C11495" s="49" t="s">
        <v>78</v>
      </c>
      <c r="D11495" s="49">
        <v>0.0</v>
      </c>
    </row>
    <row r="11496" ht="15.0" hidden="1" customHeight="1">
      <c r="A11496" s="49" t="s">
        <v>612</v>
      </c>
      <c r="B11496" s="50">
        <v>45930.0</v>
      </c>
      <c r="C11496" s="49" t="s">
        <v>78</v>
      </c>
      <c r="D11496" s="49">
        <v>0.0</v>
      </c>
    </row>
    <row r="11497" ht="15.0" hidden="1" customHeight="1">
      <c r="A11497" s="49" t="s">
        <v>617</v>
      </c>
      <c r="B11497" s="50">
        <v>45930.0</v>
      </c>
      <c r="C11497" s="49" t="s">
        <v>78</v>
      </c>
      <c r="D11497" s="49">
        <v>0.0</v>
      </c>
    </row>
    <row r="11498" ht="15.0" hidden="1" customHeight="1">
      <c r="A11498" s="49" t="s">
        <v>622</v>
      </c>
      <c r="B11498" s="50">
        <v>45930.0</v>
      </c>
      <c r="C11498" s="49" t="s">
        <v>78</v>
      </c>
      <c r="D11498" s="49">
        <v>0.0</v>
      </c>
    </row>
    <row r="11499" ht="15.0" hidden="1" customHeight="1">
      <c r="A11499" s="49" t="s">
        <v>627</v>
      </c>
      <c r="B11499" s="50">
        <v>45930.0</v>
      </c>
      <c r="C11499" s="49" t="s">
        <v>78</v>
      </c>
      <c r="D11499" s="49">
        <v>0.0</v>
      </c>
    </row>
    <row r="11500" ht="15.0" hidden="1" customHeight="1">
      <c r="A11500" s="49" t="s">
        <v>631</v>
      </c>
      <c r="B11500" s="50">
        <v>45930.0</v>
      </c>
      <c r="C11500" s="49" t="s">
        <v>78</v>
      </c>
      <c r="D11500" s="49">
        <v>0.0</v>
      </c>
    </row>
    <row r="11501" ht="15.0" hidden="1" customHeight="1">
      <c r="A11501" s="49" t="s">
        <v>636</v>
      </c>
      <c r="B11501" s="50">
        <v>45930.0</v>
      </c>
      <c r="C11501" s="49" t="s">
        <v>78</v>
      </c>
      <c r="D11501" s="49">
        <v>0.0</v>
      </c>
    </row>
    <row r="11502" ht="15.0" hidden="1" customHeight="1">
      <c r="A11502" s="49" t="s">
        <v>640</v>
      </c>
      <c r="B11502" s="50">
        <v>45930.0</v>
      </c>
      <c r="C11502" s="49" t="s">
        <v>78</v>
      </c>
      <c r="D11502" s="49">
        <v>0.0</v>
      </c>
    </row>
    <row r="11503" ht="15.0" hidden="1" customHeight="1">
      <c r="A11503" s="49" t="s">
        <v>644</v>
      </c>
      <c r="B11503" s="50">
        <v>45930.0</v>
      </c>
      <c r="C11503" s="49" t="s">
        <v>78</v>
      </c>
      <c r="D11503" s="49">
        <v>0.0</v>
      </c>
    </row>
    <row r="11504" ht="15.0" hidden="1" customHeight="1">
      <c r="A11504" s="49" t="s">
        <v>649</v>
      </c>
      <c r="B11504" s="50">
        <v>45930.0</v>
      </c>
      <c r="C11504" s="49" t="s">
        <v>78</v>
      </c>
      <c r="D11504" s="49">
        <v>0.0</v>
      </c>
    </row>
    <row r="11505" ht="15.0" hidden="1" customHeight="1">
      <c r="A11505" s="49" t="s">
        <v>654</v>
      </c>
      <c r="B11505" s="50">
        <v>45930.0</v>
      </c>
      <c r="C11505" s="49" t="s">
        <v>78</v>
      </c>
      <c r="D11505" s="49">
        <v>0.0</v>
      </c>
    </row>
    <row r="11506" ht="15.0" hidden="1" customHeight="1">
      <c r="A11506" s="49" t="s">
        <v>659</v>
      </c>
      <c r="B11506" s="50">
        <v>45930.0</v>
      </c>
      <c r="C11506" s="49" t="s">
        <v>78</v>
      </c>
      <c r="D11506" s="49">
        <v>0.0</v>
      </c>
    </row>
    <row r="11507" ht="15.0" hidden="1" customHeight="1">
      <c r="A11507" s="49" t="s">
        <v>664</v>
      </c>
      <c r="B11507" s="50">
        <v>45930.0</v>
      </c>
      <c r="C11507" s="49" t="s">
        <v>78</v>
      </c>
      <c r="D11507" s="49">
        <v>8200000.0</v>
      </c>
    </row>
    <row r="11508" ht="15.0" hidden="1" customHeight="1">
      <c r="A11508" s="49" t="s">
        <v>669</v>
      </c>
      <c r="B11508" s="50">
        <v>45930.0</v>
      </c>
      <c r="C11508" s="49" t="s">
        <v>78</v>
      </c>
      <c r="D11508" s="49">
        <v>0.0</v>
      </c>
    </row>
    <row r="11509" ht="15.0" hidden="1" customHeight="1">
      <c r="A11509" s="49" t="s">
        <v>674</v>
      </c>
      <c r="B11509" s="50">
        <v>45930.0</v>
      </c>
      <c r="C11509" s="49" t="s">
        <v>78</v>
      </c>
      <c r="D11509" s="49">
        <v>0.0</v>
      </c>
    </row>
    <row r="11510" ht="15.0" hidden="1" customHeight="1">
      <c r="A11510" s="49" t="s">
        <v>679</v>
      </c>
      <c r="B11510" s="50">
        <v>45930.0</v>
      </c>
      <c r="C11510" s="49" t="s">
        <v>78</v>
      </c>
      <c r="D11510" s="49">
        <v>0.0</v>
      </c>
    </row>
    <row r="11511" ht="15.0" hidden="1" customHeight="1">
      <c r="A11511" s="49" t="s">
        <v>684</v>
      </c>
      <c r="B11511" s="50">
        <v>45930.0</v>
      </c>
      <c r="C11511" s="49" t="s">
        <v>78</v>
      </c>
      <c r="D11511" s="49">
        <v>233280.0</v>
      </c>
    </row>
    <row r="11512" ht="15.0" hidden="1" customHeight="1">
      <c r="A11512" s="49" t="s">
        <v>689</v>
      </c>
      <c r="B11512" s="50">
        <v>45930.0</v>
      </c>
      <c r="C11512" s="49" t="s">
        <v>78</v>
      </c>
      <c r="D11512" s="49">
        <v>50000.0</v>
      </c>
    </row>
    <row r="11513" ht="15.0" hidden="1" customHeight="1">
      <c r="A11513" s="49" t="s">
        <v>694</v>
      </c>
      <c r="B11513" s="50">
        <v>45930.0</v>
      </c>
      <c r="C11513" s="49" t="s">
        <v>78</v>
      </c>
      <c r="D11513" s="49">
        <v>1479870.0</v>
      </c>
    </row>
    <row r="11514" ht="15.0" hidden="1" customHeight="1">
      <c r="A11514" s="49" t="s">
        <v>699</v>
      </c>
      <c r="B11514" s="50">
        <v>45930.0</v>
      </c>
      <c r="C11514" s="49" t="s">
        <v>78</v>
      </c>
      <c r="D11514" s="49">
        <v>735253.0</v>
      </c>
    </row>
    <row r="11515" ht="15.0" hidden="1" customHeight="1">
      <c r="A11515" s="49" t="s">
        <v>705</v>
      </c>
      <c r="B11515" s="50">
        <v>45930.0</v>
      </c>
      <c r="C11515" s="49" t="s">
        <v>78</v>
      </c>
      <c r="D11515" s="49">
        <v>3974850.0</v>
      </c>
    </row>
    <row r="11516" ht="15.0" hidden="1" customHeight="1">
      <c r="A11516" s="49" t="s">
        <v>710</v>
      </c>
      <c r="B11516" s="50">
        <v>45930.0</v>
      </c>
      <c r="C11516" s="49" t="s">
        <v>78</v>
      </c>
      <c r="D11516" s="49">
        <v>0.0</v>
      </c>
    </row>
    <row r="11517" ht="15.0" hidden="1" customHeight="1">
      <c r="A11517" s="49" t="s">
        <v>715</v>
      </c>
      <c r="B11517" s="50">
        <v>45930.0</v>
      </c>
      <c r="C11517" s="49" t="s">
        <v>78</v>
      </c>
      <c r="D11517" s="49">
        <v>0.0</v>
      </c>
    </row>
    <row r="11518" ht="15.0" hidden="1" customHeight="1">
      <c r="A11518" s="49" t="s">
        <v>765</v>
      </c>
      <c r="B11518" s="50">
        <v>45930.0</v>
      </c>
      <c r="C11518" s="49" t="s">
        <v>78</v>
      </c>
      <c r="D11518" s="49">
        <v>0.0</v>
      </c>
    </row>
    <row r="11519" ht="15.0" hidden="1" customHeight="1">
      <c r="A11519" s="49" t="s">
        <v>720</v>
      </c>
      <c r="B11519" s="50">
        <v>45930.0</v>
      </c>
      <c r="C11519" s="49" t="s">
        <v>78</v>
      </c>
      <c r="D11519" s="49">
        <v>0.0</v>
      </c>
    </row>
    <row r="11520" ht="15.0" hidden="1" customHeight="1">
      <c r="A11520" s="49" t="s">
        <v>725</v>
      </c>
      <c r="B11520" s="50">
        <v>45930.0</v>
      </c>
      <c r="C11520" s="49" t="s">
        <v>78</v>
      </c>
      <c r="D11520" s="49">
        <v>0.0</v>
      </c>
    </row>
    <row r="11521" ht="15.0" hidden="1" customHeight="1">
      <c r="A11521" s="49" t="s">
        <v>730</v>
      </c>
      <c r="B11521" s="50">
        <v>45930.0</v>
      </c>
      <c r="C11521" s="49" t="s">
        <v>78</v>
      </c>
      <c r="D11521" s="49">
        <v>0.0</v>
      </c>
    </row>
    <row r="11522" ht="15.0" hidden="1" customHeight="1">
      <c r="A11522" s="49" t="s">
        <v>734</v>
      </c>
      <c r="B11522" s="50">
        <v>45930.0</v>
      </c>
      <c r="C11522" s="49" t="s">
        <v>78</v>
      </c>
      <c r="D11522" s="49">
        <v>0.0</v>
      </c>
    </row>
    <row r="11523" ht="15.0" hidden="1" customHeight="1">
      <c r="A11523" s="49" t="s">
        <v>739</v>
      </c>
      <c r="B11523" s="50">
        <v>45930.0</v>
      </c>
      <c r="C11523" s="49" t="s">
        <v>78</v>
      </c>
      <c r="D11523" s="49">
        <v>0.0</v>
      </c>
    </row>
    <row r="11524" ht="15.0" hidden="1" customHeight="1">
      <c r="A11524" s="49" t="s">
        <v>744</v>
      </c>
      <c r="B11524" s="50">
        <v>45930.0</v>
      </c>
      <c r="C11524" s="49" t="s">
        <v>78</v>
      </c>
      <c r="D11524" s="49">
        <v>0.0</v>
      </c>
    </row>
    <row r="11525" ht="15.0" hidden="1" customHeight="1">
      <c r="A11525" s="49" t="s">
        <v>749</v>
      </c>
      <c r="B11525" s="50">
        <v>45930.0</v>
      </c>
      <c r="C11525" s="49" t="s">
        <v>78</v>
      </c>
      <c r="D11525" s="49">
        <v>0.0</v>
      </c>
    </row>
    <row r="11526" ht="15.0" customHeight="1">
      <c r="A11526" s="49" t="s">
        <v>776</v>
      </c>
      <c r="B11526" s="50">
        <v>45930.0</v>
      </c>
      <c r="C11526" s="49" t="s">
        <v>69</v>
      </c>
      <c r="D11526" s="49">
        <v>0.0</v>
      </c>
    </row>
    <row r="11527" ht="15.0" hidden="1" customHeight="1">
      <c r="A11527" s="49" t="s">
        <v>778</v>
      </c>
      <c r="B11527" s="50">
        <v>45930.0</v>
      </c>
      <c r="C11527" s="49" t="s">
        <v>69</v>
      </c>
      <c r="D11527" s="49">
        <v>0.0</v>
      </c>
    </row>
    <row r="11528" ht="15.0" hidden="1" customHeight="1">
      <c r="A11528" s="49" t="s">
        <v>92</v>
      </c>
      <c r="B11528" s="50">
        <v>45930.0</v>
      </c>
      <c r="C11528" s="49" t="s">
        <v>69</v>
      </c>
      <c r="D11528" s="49">
        <v>0.0</v>
      </c>
    </row>
    <row r="11529" ht="15.0" hidden="1" customHeight="1">
      <c r="A11529" s="49" t="s">
        <v>97</v>
      </c>
      <c r="B11529" s="50">
        <v>45930.0</v>
      </c>
      <c r="C11529" s="49" t="s">
        <v>69</v>
      </c>
      <c r="D11529" s="49">
        <v>0.0</v>
      </c>
    </row>
    <row r="11530" ht="15.0" hidden="1" customHeight="1">
      <c r="A11530" s="49" t="s">
        <v>102</v>
      </c>
      <c r="B11530" s="50">
        <v>45930.0</v>
      </c>
      <c r="C11530" s="49" t="s">
        <v>69</v>
      </c>
      <c r="D11530" s="49">
        <v>0.0</v>
      </c>
    </row>
    <row r="11531" ht="15.0" hidden="1" customHeight="1">
      <c r="A11531" s="49" t="s">
        <v>106</v>
      </c>
      <c r="B11531" s="50">
        <v>45930.0</v>
      </c>
      <c r="C11531" s="49" t="s">
        <v>69</v>
      </c>
      <c r="D11531" s="49">
        <v>0.0</v>
      </c>
    </row>
    <row r="11532" ht="15.0" hidden="1" customHeight="1">
      <c r="A11532" s="49" t="s">
        <v>111</v>
      </c>
      <c r="B11532" s="50">
        <v>45930.0</v>
      </c>
      <c r="C11532" s="49" t="s">
        <v>69</v>
      </c>
      <c r="D11532" s="49">
        <v>0.0</v>
      </c>
    </row>
    <row r="11533" ht="15.0" hidden="1" customHeight="1">
      <c r="A11533" s="49" t="s">
        <v>116</v>
      </c>
      <c r="B11533" s="50">
        <v>45930.0</v>
      </c>
      <c r="C11533" s="49" t="s">
        <v>69</v>
      </c>
      <c r="D11533" s="49">
        <v>0.0</v>
      </c>
    </row>
    <row r="11534" ht="15.0" hidden="1" customHeight="1">
      <c r="A11534" s="49" t="s">
        <v>120</v>
      </c>
      <c r="B11534" s="50">
        <v>45930.0</v>
      </c>
      <c r="C11534" s="49" t="s">
        <v>69</v>
      </c>
      <c r="D11534" s="49">
        <v>0.0</v>
      </c>
    </row>
    <row r="11535" ht="15.0" hidden="1" customHeight="1">
      <c r="A11535" s="49" t="s">
        <v>125</v>
      </c>
      <c r="B11535" s="50">
        <v>45930.0</v>
      </c>
      <c r="C11535" s="49" t="s">
        <v>69</v>
      </c>
      <c r="D11535" s="49">
        <v>0.0</v>
      </c>
    </row>
    <row r="11536" ht="15.0" hidden="1" customHeight="1">
      <c r="A11536" s="49" t="s">
        <v>130</v>
      </c>
      <c r="B11536" s="50">
        <v>45930.0</v>
      </c>
      <c r="C11536" s="49" t="s">
        <v>69</v>
      </c>
      <c r="D11536" s="49">
        <v>0.0</v>
      </c>
    </row>
    <row r="11537" ht="15.0" hidden="1" customHeight="1">
      <c r="A11537" s="49" t="s">
        <v>137</v>
      </c>
      <c r="B11537" s="50">
        <v>45930.0</v>
      </c>
      <c r="C11537" s="49" t="s">
        <v>69</v>
      </c>
      <c r="D11537" s="49">
        <v>0.0</v>
      </c>
    </row>
    <row r="11538" ht="15.0" hidden="1" customHeight="1">
      <c r="A11538" s="49" t="s">
        <v>142</v>
      </c>
      <c r="B11538" s="50">
        <v>45930.0</v>
      </c>
      <c r="C11538" s="49" t="s">
        <v>69</v>
      </c>
      <c r="D11538" s="49">
        <v>0.0</v>
      </c>
    </row>
    <row r="11539" ht="15.0" hidden="1" customHeight="1">
      <c r="A11539" s="49" t="s">
        <v>147</v>
      </c>
      <c r="B11539" s="50">
        <v>45930.0</v>
      </c>
      <c r="C11539" s="49" t="s">
        <v>69</v>
      </c>
      <c r="D11539" s="49">
        <v>0.0</v>
      </c>
    </row>
    <row r="11540" ht="15.0" hidden="1" customHeight="1">
      <c r="A11540" s="49" t="s">
        <v>152</v>
      </c>
      <c r="B11540" s="50">
        <v>45930.0</v>
      </c>
      <c r="C11540" s="49" t="s">
        <v>69</v>
      </c>
      <c r="D11540" s="49">
        <v>0.0</v>
      </c>
    </row>
    <row r="11541" ht="15.0" hidden="1" customHeight="1">
      <c r="A11541" s="49" t="s">
        <v>157</v>
      </c>
      <c r="B11541" s="50">
        <v>45930.0</v>
      </c>
      <c r="C11541" s="49" t="s">
        <v>69</v>
      </c>
      <c r="D11541" s="49">
        <v>0.0</v>
      </c>
    </row>
    <row r="11542" ht="15.0" hidden="1" customHeight="1">
      <c r="A11542" s="49" t="s">
        <v>162</v>
      </c>
      <c r="B11542" s="50">
        <v>45930.0</v>
      </c>
      <c r="C11542" s="49" t="s">
        <v>69</v>
      </c>
      <c r="D11542" s="49">
        <v>0.0</v>
      </c>
    </row>
    <row r="11543" ht="15.0" hidden="1" customHeight="1">
      <c r="A11543" s="49" t="s">
        <v>167</v>
      </c>
      <c r="B11543" s="50">
        <v>45930.0</v>
      </c>
      <c r="C11543" s="49" t="s">
        <v>69</v>
      </c>
      <c r="D11543" s="49">
        <v>0.0</v>
      </c>
    </row>
    <row r="11544" ht="15.0" hidden="1" customHeight="1">
      <c r="A11544" s="49" t="s">
        <v>172</v>
      </c>
      <c r="B11544" s="50">
        <v>45930.0</v>
      </c>
      <c r="C11544" s="49" t="s">
        <v>69</v>
      </c>
      <c r="D11544" s="49">
        <v>0.0</v>
      </c>
    </row>
    <row r="11545" ht="15.0" hidden="1" customHeight="1">
      <c r="A11545" s="49" t="s">
        <v>177</v>
      </c>
      <c r="B11545" s="50">
        <v>45930.0</v>
      </c>
      <c r="C11545" s="49" t="s">
        <v>69</v>
      </c>
      <c r="D11545" s="49">
        <v>0.0</v>
      </c>
    </row>
    <row r="11546" ht="15.0" hidden="1" customHeight="1">
      <c r="A11546" s="49" t="s">
        <v>182</v>
      </c>
      <c r="B11546" s="50">
        <v>45930.0</v>
      </c>
      <c r="C11546" s="49" t="s">
        <v>69</v>
      </c>
      <c r="D11546" s="49">
        <v>0.0</v>
      </c>
    </row>
    <row r="11547" ht="15.0" hidden="1" customHeight="1">
      <c r="A11547" s="49" t="s">
        <v>187</v>
      </c>
      <c r="B11547" s="50">
        <v>45930.0</v>
      </c>
      <c r="C11547" s="49" t="s">
        <v>69</v>
      </c>
      <c r="D11547" s="49">
        <v>0.0</v>
      </c>
    </row>
    <row r="11548" ht="15.0" hidden="1" customHeight="1">
      <c r="A11548" s="49" t="s">
        <v>192</v>
      </c>
      <c r="B11548" s="50">
        <v>45930.0</v>
      </c>
      <c r="C11548" s="49" t="s">
        <v>69</v>
      </c>
      <c r="D11548" s="49">
        <v>0.0</v>
      </c>
    </row>
    <row r="11549" ht="15.0" hidden="1" customHeight="1">
      <c r="A11549" s="49" t="s">
        <v>197</v>
      </c>
      <c r="B11549" s="50">
        <v>45930.0</v>
      </c>
      <c r="C11549" s="49" t="s">
        <v>69</v>
      </c>
      <c r="D11549" s="49">
        <v>0.0</v>
      </c>
    </row>
    <row r="11550" ht="15.0" hidden="1" customHeight="1">
      <c r="A11550" s="49" t="s">
        <v>202</v>
      </c>
      <c r="B11550" s="50">
        <v>45930.0</v>
      </c>
      <c r="C11550" s="49" t="s">
        <v>69</v>
      </c>
      <c r="D11550" s="49">
        <v>0.0</v>
      </c>
    </row>
    <row r="11551" ht="15.0" hidden="1" customHeight="1">
      <c r="A11551" s="49" t="s">
        <v>206</v>
      </c>
      <c r="B11551" s="50">
        <v>45930.0</v>
      </c>
      <c r="C11551" s="49" t="s">
        <v>69</v>
      </c>
      <c r="D11551" s="49">
        <v>0.0</v>
      </c>
    </row>
    <row r="11552" ht="15.0" hidden="1" customHeight="1">
      <c r="A11552" s="49" t="s">
        <v>211</v>
      </c>
      <c r="B11552" s="50">
        <v>45930.0</v>
      </c>
      <c r="C11552" s="49" t="s">
        <v>69</v>
      </c>
      <c r="D11552" s="49">
        <v>0.0</v>
      </c>
    </row>
    <row r="11553" ht="15.0" hidden="1" customHeight="1">
      <c r="A11553" s="49" t="s">
        <v>779</v>
      </c>
      <c r="B11553" s="50">
        <v>45930.0</v>
      </c>
      <c r="C11553" s="49" t="s">
        <v>69</v>
      </c>
      <c r="D11553" s="49">
        <v>0.0</v>
      </c>
    </row>
    <row r="11554" ht="15.0" hidden="1" customHeight="1">
      <c r="A11554" s="49" t="s">
        <v>221</v>
      </c>
      <c r="B11554" s="50">
        <v>45930.0</v>
      </c>
      <c r="C11554" s="49" t="s">
        <v>69</v>
      </c>
      <c r="D11554" s="49">
        <v>0.0</v>
      </c>
    </row>
    <row r="11555" ht="15.0" hidden="1" customHeight="1">
      <c r="A11555" s="49" t="s">
        <v>226</v>
      </c>
      <c r="B11555" s="50">
        <v>45930.0</v>
      </c>
      <c r="C11555" s="49" t="s">
        <v>69</v>
      </c>
      <c r="D11555" s="49">
        <v>0.0</v>
      </c>
    </row>
    <row r="11556" ht="15.0" hidden="1" customHeight="1">
      <c r="A11556" s="49" t="s">
        <v>231</v>
      </c>
      <c r="B11556" s="50">
        <v>45930.0</v>
      </c>
      <c r="C11556" s="49" t="s">
        <v>69</v>
      </c>
      <c r="D11556" s="49">
        <v>0.0</v>
      </c>
    </row>
    <row r="11557" ht="15.0" hidden="1" customHeight="1">
      <c r="A11557" s="49" t="s">
        <v>236</v>
      </c>
      <c r="B11557" s="50">
        <v>45930.0</v>
      </c>
      <c r="C11557" s="49" t="s">
        <v>69</v>
      </c>
      <c r="D11557" s="49">
        <v>0.0</v>
      </c>
    </row>
    <row r="11558" ht="15.0" hidden="1" customHeight="1">
      <c r="A11558" s="49" t="s">
        <v>242</v>
      </c>
      <c r="B11558" s="50">
        <v>45930.0</v>
      </c>
      <c r="C11558" s="49" t="s">
        <v>69</v>
      </c>
      <c r="D11558" s="49">
        <v>0.0</v>
      </c>
    </row>
    <row r="11559" ht="15.0" hidden="1" customHeight="1">
      <c r="A11559" s="49" t="s">
        <v>248</v>
      </c>
      <c r="B11559" s="50">
        <v>45930.0</v>
      </c>
      <c r="C11559" s="49" t="s">
        <v>69</v>
      </c>
      <c r="D11559" s="49">
        <v>0.0</v>
      </c>
    </row>
    <row r="11560" ht="15.0" hidden="1" customHeight="1">
      <c r="A11560" s="49" t="s">
        <v>253</v>
      </c>
      <c r="B11560" s="50">
        <v>45930.0</v>
      </c>
      <c r="C11560" s="49" t="s">
        <v>69</v>
      </c>
      <c r="D11560" s="49">
        <v>0.0</v>
      </c>
    </row>
    <row r="11561" ht="15.0" hidden="1" customHeight="1">
      <c r="A11561" s="49" t="s">
        <v>258</v>
      </c>
      <c r="B11561" s="50">
        <v>45930.0</v>
      </c>
      <c r="C11561" s="49" t="s">
        <v>69</v>
      </c>
      <c r="D11561" s="49">
        <v>0.0</v>
      </c>
    </row>
    <row r="11562" ht="15.0" hidden="1" customHeight="1">
      <c r="A11562" s="49" t="s">
        <v>263</v>
      </c>
      <c r="B11562" s="50">
        <v>45930.0</v>
      </c>
      <c r="C11562" s="49" t="s">
        <v>69</v>
      </c>
      <c r="D11562" s="49">
        <v>0.0</v>
      </c>
    </row>
    <row r="11563" ht="15.0" hidden="1" customHeight="1">
      <c r="A11563" s="49" t="s">
        <v>268</v>
      </c>
      <c r="B11563" s="50">
        <v>45930.0</v>
      </c>
      <c r="C11563" s="49" t="s">
        <v>69</v>
      </c>
      <c r="D11563" s="49">
        <v>0.0</v>
      </c>
    </row>
    <row r="11564" ht="15.0" hidden="1" customHeight="1">
      <c r="A11564" s="49" t="s">
        <v>273</v>
      </c>
      <c r="B11564" s="50">
        <v>45930.0</v>
      </c>
      <c r="C11564" s="49" t="s">
        <v>69</v>
      </c>
      <c r="D11564" s="49">
        <v>0.0</v>
      </c>
    </row>
    <row r="11565" ht="15.0" hidden="1" customHeight="1">
      <c r="A11565" s="49" t="s">
        <v>278</v>
      </c>
      <c r="B11565" s="50">
        <v>45930.0</v>
      </c>
      <c r="C11565" s="49" t="s">
        <v>69</v>
      </c>
      <c r="D11565" s="49">
        <v>0.0</v>
      </c>
    </row>
    <row r="11566" ht="15.0" hidden="1" customHeight="1">
      <c r="A11566" s="49" t="s">
        <v>283</v>
      </c>
      <c r="B11566" s="50">
        <v>45930.0</v>
      </c>
      <c r="C11566" s="49" t="s">
        <v>69</v>
      </c>
      <c r="D11566" s="49">
        <v>0.0</v>
      </c>
    </row>
    <row r="11567" ht="15.0" hidden="1" customHeight="1">
      <c r="A11567" s="49" t="s">
        <v>288</v>
      </c>
      <c r="B11567" s="50">
        <v>45930.0</v>
      </c>
      <c r="C11567" s="49" t="s">
        <v>69</v>
      </c>
      <c r="D11567" s="49">
        <v>0.0</v>
      </c>
    </row>
    <row r="11568" ht="15.0" hidden="1" customHeight="1">
      <c r="A11568" s="49" t="s">
        <v>293</v>
      </c>
      <c r="B11568" s="50">
        <v>45930.0</v>
      </c>
      <c r="C11568" s="49" t="s">
        <v>69</v>
      </c>
      <c r="D11568" s="49">
        <v>0.0</v>
      </c>
    </row>
    <row r="11569" ht="15.0" hidden="1" customHeight="1">
      <c r="A11569" s="49" t="s">
        <v>298</v>
      </c>
      <c r="B11569" s="50">
        <v>45930.0</v>
      </c>
      <c r="C11569" s="49" t="s">
        <v>69</v>
      </c>
      <c r="D11569" s="49">
        <v>0.0</v>
      </c>
    </row>
    <row r="11570" ht="15.0" hidden="1" customHeight="1">
      <c r="A11570" s="49" t="s">
        <v>303</v>
      </c>
      <c r="B11570" s="50">
        <v>45930.0</v>
      </c>
      <c r="C11570" s="49" t="s">
        <v>69</v>
      </c>
      <c r="D11570" s="49">
        <v>0.0</v>
      </c>
    </row>
    <row r="11571" ht="15.0" hidden="1" customHeight="1">
      <c r="A11571" s="49" t="s">
        <v>307</v>
      </c>
      <c r="B11571" s="50">
        <v>45930.0</v>
      </c>
      <c r="C11571" s="49" t="s">
        <v>69</v>
      </c>
      <c r="D11571" s="49">
        <v>0.0</v>
      </c>
    </row>
    <row r="11572" ht="15.0" hidden="1" customHeight="1">
      <c r="A11572" s="49" t="s">
        <v>313</v>
      </c>
      <c r="B11572" s="50">
        <v>45930.0</v>
      </c>
      <c r="C11572" s="49" t="s">
        <v>69</v>
      </c>
      <c r="D11572" s="49">
        <v>0.0</v>
      </c>
    </row>
    <row r="11573" ht="15.0" hidden="1" customHeight="1">
      <c r="A11573" s="49" t="s">
        <v>318</v>
      </c>
      <c r="B11573" s="50">
        <v>45930.0</v>
      </c>
      <c r="C11573" s="49" t="s">
        <v>69</v>
      </c>
      <c r="D11573" s="49">
        <v>0.0</v>
      </c>
    </row>
    <row r="11574" ht="15.0" hidden="1" customHeight="1">
      <c r="A11574" s="49" t="s">
        <v>323</v>
      </c>
      <c r="B11574" s="50">
        <v>45930.0</v>
      </c>
      <c r="C11574" s="49" t="s">
        <v>69</v>
      </c>
      <c r="D11574" s="49">
        <v>0.0</v>
      </c>
    </row>
    <row r="11575" ht="15.0" hidden="1" customHeight="1">
      <c r="A11575" s="49" t="s">
        <v>328</v>
      </c>
      <c r="B11575" s="50">
        <v>45930.0</v>
      </c>
      <c r="C11575" s="49" t="s">
        <v>69</v>
      </c>
      <c r="D11575" s="49">
        <v>0.0</v>
      </c>
    </row>
    <row r="11576" ht="15.0" hidden="1" customHeight="1">
      <c r="A11576" s="49" t="s">
        <v>335</v>
      </c>
      <c r="B11576" s="50">
        <v>45930.0</v>
      </c>
      <c r="C11576" s="49" t="s">
        <v>69</v>
      </c>
      <c r="D11576" s="49">
        <v>0.0</v>
      </c>
    </row>
    <row r="11577" ht="15.0" hidden="1" customHeight="1">
      <c r="A11577" s="49" t="s">
        <v>340</v>
      </c>
      <c r="B11577" s="50">
        <v>45930.0</v>
      </c>
      <c r="C11577" s="49" t="s">
        <v>69</v>
      </c>
      <c r="D11577" s="49">
        <v>0.0</v>
      </c>
    </row>
    <row r="11578" ht="15.0" hidden="1" customHeight="1">
      <c r="A11578" s="49" t="s">
        <v>345</v>
      </c>
      <c r="B11578" s="50">
        <v>45930.0</v>
      </c>
      <c r="C11578" s="49" t="s">
        <v>69</v>
      </c>
      <c r="D11578" s="49">
        <v>0.0</v>
      </c>
    </row>
    <row r="11579" ht="15.0" hidden="1" customHeight="1">
      <c r="A11579" s="49" t="s">
        <v>350</v>
      </c>
      <c r="B11579" s="50">
        <v>45930.0</v>
      </c>
      <c r="C11579" s="49" t="s">
        <v>69</v>
      </c>
      <c r="D11579" s="49">
        <v>0.0</v>
      </c>
    </row>
    <row r="11580" ht="15.0" hidden="1" customHeight="1">
      <c r="A11580" s="49" t="s">
        <v>355</v>
      </c>
      <c r="B11580" s="50">
        <v>45930.0</v>
      </c>
      <c r="C11580" s="49" t="s">
        <v>69</v>
      </c>
      <c r="D11580" s="49">
        <v>0.0</v>
      </c>
    </row>
    <row r="11581" ht="15.0" hidden="1" customHeight="1">
      <c r="A11581" s="49" t="s">
        <v>360</v>
      </c>
      <c r="B11581" s="50">
        <v>45930.0</v>
      </c>
      <c r="C11581" s="49" t="s">
        <v>69</v>
      </c>
      <c r="D11581" s="49">
        <v>0.0</v>
      </c>
    </row>
    <row r="11582" ht="15.0" hidden="1" customHeight="1">
      <c r="A11582" s="49" t="s">
        <v>365</v>
      </c>
      <c r="B11582" s="50">
        <v>45930.0</v>
      </c>
      <c r="C11582" s="49" t="s">
        <v>69</v>
      </c>
      <c r="D11582" s="49">
        <v>0.0</v>
      </c>
    </row>
    <row r="11583" ht="15.0" hidden="1" customHeight="1">
      <c r="A11583" s="49" t="s">
        <v>370</v>
      </c>
      <c r="B11583" s="50">
        <v>45930.0</v>
      </c>
      <c r="C11583" s="49" t="s">
        <v>69</v>
      </c>
      <c r="D11583" s="49">
        <v>0.0</v>
      </c>
    </row>
    <row r="11584" ht="15.0" hidden="1" customHeight="1">
      <c r="A11584" s="49" t="s">
        <v>375</v>
      </c>
      <c r="B11584" s="50">
        <v>45930.0</v>
      </c>
      <c r="C11584" s="49" t="s">
        <v>69</v>
      </c>
      <c r="D11584" s="49">
        <v>0.0</v>
      </c>
    </row>
    <row r="11585" ht="15.0" hidden="1" customHeight="1">
      <c r="A11585" s="49" t="s">
        <v>380</v>
      </c>
      <c r="B11585" s="50">
        <v>45930.0</v>
      </c>
      <c r="C11585" s="49" t="s">
        <v>69</v>
      </c>
      <c r="D11585" s="49">
        <v>0.0</v>
      </c>
    </row>
    <row r="11586" ht="15.0" hidden="1" customHeight="1">
      <c r="A11586" s="49" t="s">
        <v>385</v>
      </c>
      <c r="B11586" s="50">
        <v>45930.0</v>
      </c>
      <c r="C11586" s="49" t="s">
        <v>69</v>
      </c>
      <c r="D11586" s="49">
        <v>0.0</v>
      </c>
    </row>
    <row r="11587" ht="15.0" hidden="1" customHeight="1">
      <c r="A11587" s="49" t="s">
        <v>390</v>
      </c>
      <c r="B11587" s="50">
        <v>45930.0</v>
      </c>
      <c r="C11587" s="49" t="s">
        <v>69</v>
      </c>
      <c r="D11587" s="49">
        <v>0.0</v>
      </c>
    </row>
    <row r="11588" ht="15.0" hidden="1" customHeight="1">
      <c r="A11588" s="49" t="s">
        <v>395</v>
      </c>
      <c r="B11588" s="50">
        <v>45930.0</v>
      </c>
      <c r="C11588" s="49" t="s">
        <v>69</v>
      </c>
      <c r="D11588" s="49">
        <v>0.0</v>
      </c>
    </row>
    <row r="11589" ht="15.0" hidden="1" customHeight="1">
      <c r="A11589" s="49" t="s">
        <v>400</v>
      </c>
      <c r="B11589" s="50">
        <v>45930.0</v>
      </c>
      <c r="C11589" s="49" t="s">
        <v>69</v>
      </c>
      <c r="D11589" s="49">
        <v>0.0</v>
      </c>
    </row>
    <row r="11590" ht="15.0" hidden="1" customHeight="1">
      <c r="A11590" s="49" t="s">
        <v>405</v>
      </c>
      <c r="B11590" s="50">
        <v>45930.0</v>
      </c>
      <c r="C11590" s="49" t="s">
        <v>69</v>
      </c>
      <c r="D11590" s="49">
        <v>0.0</v>
      </c>
    </row>
    <row r="11591" ht="15.0" hidden="1" customHeight="1">
      <c r="A11591" s="49" t="s">
        <v>410</v>
      </c>
      <c r="B11591" s="50">
        <v>45930.0</v>
      </c>
      <c r="C11591" s="49" t="s">
        <v>69</v>
      </c>
      <c r="D11591" s="49">
        <v>0.0</v>
      </c>
    </row>
    <row r="11592" ht="15.0" hidden="1" customHeight="1">
      <c r="A11592" s="49" t="s">
        <v>415</v>
      </c>
      <c r="B11592" s="50">
        <v>45930.0</v>
      </c>
      <c r="C11592" s="49" t="s">
        <v>69</v>
      </c>
      <c r="D11592" s="49">
        <v>0.0</v>
      </c>
    </row>
    <row r="11593" ht="15.0" hidden="1" customHeight="1">
      <c r="A11593" s="49" t="s">
        <v>420</v>
      </c>
      <c r="B11593" s="50">
        <v>45930.0</v>
      </c>
      <c r="C11593" s="49" t="s">
        <v>69</v>
      </c>
      <c r="D11593" s="49">
        <v>0.0</v>
      </c>
    </row>
    <row r="11594" ht="15.0" hidden="1" customHeight="1">
      <c r="A11594" s="49" t="s">
        <v>425</v>
      </c>
      <c r="B11594" s="50">
        <v>45930.0</v>
      </c>
      <c r="C11594" s="49" t="s">
        <v>69</v>
      </c>
      <c r="D11594" s="49">
        <v>0.0</v>
      </c>
    </row>
    <row r="11595" ht="15.0" hidden="1" customHeight="1">
      <c r="A11595" s="49" t="s">
        <v>430</v>
      </c>
      <c r="B11595" s="50">
        <v>45930.0</v>
      </c>
      <c r="C11595" s="49" t="s">
        <v>69</v>
      </c>
      <c r="D11595" s="49">
        <v>0.0</v>
      </c>
    </row>
    <row r="11596" ht="15.0" hidden="1" customHeight="1">
      <c r="A11596" s="49" t="s">
        <v>434</v>
      </c>
      <c r="B11596" s="50">
        <v>45930.0</v>
      </c>
      <c r="C11596" s="49" t="s">
        <v>69</v>
      </c>
      <c r="D11596" s="49">
        <v>0.0</v>
      </c>
    </row>
    <row r="11597" ht="15.0" hidden="1" customHeight="1">
      <c r="A11597" s="49" t="s">
        <v>439</v>
      </c>
      <c r="B11597" s="50">
        <v>45930.0</v>
      </c>
      <c r="C11597" s="49" t="s">
        <v>69</v>
      </c>
      <c r="D11597" s="49">
        <v>0.0</v>
      </c>
    </row>
    <row r="11598" ht="15.0" hidden="1" customHeight="1">
      <c r="A11598" s="49" t="s">
        <v>444</v>
      </c>
      <c r="B11598" s="50">
        <v>45930.0</v>
      </c>
      <c r="C11598" s="49" t="s">
        <v>69</v>
      </c>
      <c r="D11598" s="49">
        <v>0.0</v>
      </c>
    </row>
    <row r="11599" ht="15.0" hidden="1" customHeight="1">
      <c r="A11599" s="49" t="s">
        <v>449</v>
      </c>
      <c r="B11599" s="50">
        <v>45930.0</v>
      </c>
      <c r="C11599" s="49" t="s">
        <v>69</v>
      </c>
      <c r="D11599" s="49">
        <v>0.0</v>
      </c>
    </row>
    <row r="11600" ht="15.0" hidden="1" customHeight="1">
      <c r="A11600" s="49" t="s">
        <v>455</v>
      </c>
      <c r="B11600" s="50">
        <v>45930.0</v>
      </c>
      <c r="C11600" s="49" t="s">
        <v>69</v>
      </c>
      <c r="D11600" s="49">
        <v>600000.0</v>
      </c>
    </row>
    <row r="11601" ht="15.0" hidden="1" customHeight="1">
      <c r="A11601" s="49" t="s">
        <v>470</v>
      </c>
      <c r="B11601" s="50">
        <v>45930.0</v>
      </c>
      <c r="C11601" s="49" t="s">
        <v>69</v>
      </c>
      <c r="D11601" s="49">
        <v>0.0</v>
      </c>
    </row>
    <row r="11602" ht="15.0" hidden="1" customHeight="1">
      <c r="A11602" s="49" t="s">
        <v>476</v>
      </c>
      <c r="B11602" s="50">
        <v>45930.0</v>
      </c>
      <c r="C11602" s="49" t="s">
        <v>69</v>
      </c>
      <c r="D11602" s="49">
        <v>0.0</v>
      </c>
    </row>
    <row r="11603" ht="15.0" hidden="1" customHeight="1">
      <c r="A11603" s="49" t="s">
        <v>481</v>
      </c>
      <c r="B11603" s="50">
        <v>45930.0</v>
      </c>
      <c r="C11603" s="49" t="s">
        <v>69</v>
      </c>
      <c r="D11603" s="49">
        <v>0.0</v>
      </c>
    </row>
    <row r="11604" ht="15.0" hidden="1" customHeight="1">
      <c r="A11604" s="49" t="s">
        <v>486</v>
      </c>
      <c r="B11604" s="50">
        <v>45930.0</v>
      </c>
      <c r="C11604" s="49" t="s">
        <v>69</v>
      </c>
      <c r="D11604" s="49">
        <v>0.0</v>
      </c>
    </row>
    <row r="11605" ht="15.0" hidden="1" customHeight="1">
      <c r="A11605" s="49" t="s">
        <v>491</v>
      </c>
      <c r="B11605" s="50">
        <v>45930.0</v>
      </c>
      <c r="C11605" s="49" t="s">
        <v>69</v>
      </c>
      <c r="D11605" s="49">
        <v>0.0</v>
      </c>
    </row>
    <row r="11606" ht="15.0" hidden="1" customHeight="1">
      <c r="A11606" s="49" t="s">
        <v>496</v>
      </c>
      <c r="B11606" s="50">
        <v>45930.0</v>
      </c>
      <c r="C11606" s="49" t="s">
        <v>69</v>
      </c>
      <c r="D11606" s="49">
        <v>0.0</v>
      </c>
    </row>
    <row r="11607" ht="15.0" hidden="1" customHeight="1">
      <c r="A11607" s="49" t="s">
        <v>501</v>
      </c>
      <c r="B11607" s="50">
        <v>45930.0</v>
      </c>
      <c r="C11607" s="49" t="s">
        <v>69</v>
      </c>
      <c r="D11607" s="49">
        <v>0.0</v>
      </c>
    </row>
    <row r="11608" ht="15.0" hidden="1" customHeight="1">
      <c r="A11608" s="49" t="s">
        <v>506</v>
      </c>
      <c r="B11608" s="50">
        <v>45930.0</v>
      </c>
      <c r="C11608" s="49" t="s">
        <v>69</v>
      </c>
      <c r="D11608" s="49">
        <v>0.0</v>
      </c>
    </row>
    <row r="11609" ht="15.0" hidden="1" customHeight="1">
      <c r="A11609" s="49" t="s">
        <v>512</v>
      </c>
      <c r="B11609" s="50">
        <v>45930.0</v>
      </c>
      <c r="C11609" s="49" t="s">
        <v>69</v>
      </c>
      <c r="D11609" s="49">
        <v>0.0</v>
      </c>
    </row>
    <row r="11610" ht="15.0" hidden="1" customHeight="1">
      <c r="A11610" s="49" t="s">
        <v>517</v>
      </c>
      <c r="B11610" s="50">
        <v>45930.0</v>
      </c>
      <c r="C11610" s="49" t="s">
        <v>69</v>
      </c>
      <c r="D11610" s="49">
        <v>0.0</v>
      </c>
    </row>
    <row r="11611" ht="15.0" hidden="1" customHeight="1">
      <c r="A11611" s="49" t="s">
        <v>522</v>
      </c>
      <c r="B11611" s="50">
        <v>45930.0</v>
      </c>
      <c r="C11611" s="49" t="s">
        <v>69</v>
      </c>
      <c r="D11611" s="49">
        <v>0.0</v>
      </c>
    </row>
    <row r="11612" ht="15.0" hidden="1" customHeight="1">
      <c r="A11612" s="49" t="s">
        <v>528</v>
      </c>
      <c r="B11612" s="50">
        <v>45930.0</v>
      </c>
      <c r="C11612" s="49" t="s">
        <v>69</v>
      </c>
      <c r="D11612" s="49">
        <v>0.0</v>
      </c>
    </row>
    <row r="11613" ht="15.0" hidden="1" customHeight="1">
      <c r="A11613" s="49" t="s">
        <v>533</v>
      </c>
      <c r="B11613" s="50">
        <v>45930.0</v>
      </c>
      <c r="C11613" s="49" t="s">
        <v>69</v>
      </c>
      <c r="D11613" s="49">
        <v>0.0</v>
      </c>
    </row>
    <row r="11614" ht="15.0" hidden="1" customHeight="1">
      <c r="A11614" s="49" t="s">
        <v>538</v>
      </c>
      <c r="B11614" s="50">
        <v>45930.0</v>
      </c>
      <c r="C11614" s="49" t="s">
        <v>69</v>
      </c>
      <c r="D11614" s="49">
        <v>0.0</v>
      </c>
    </row>
    <row r="11615" ht="15.0" hidden="1" customHeight="1">
      <c r="A11615" s="49" t="s">
        <v>546</v>
      </c>
      <c r="B11615" s="50">
        <v>45930.0</v>
      </c>
      <c r="C11615" s="49" t="s">
        <v>69</v>
      </c>
      <c r="D11615" s="49">
        <v>0.0</v>
      </c>
    </row>
    <row r="11616" ht="15.0" hidden="1" customHeight="1">
      <c r="A11616" s="49" t="s">
        <v>551</v>
      </c>
      <c r="B11616" s="50">
        <v>45930.0</v>
      </c>
      <c r="C11616" s="49" t="s">
        <v>69</v>
      </c>
      <c r="D11616" s="49">
        <v>0.0</v>
      </c>
    </row>
    <row r="11617" ht="15.0" hidden="1" customHeight="1">
      <c r="A11617" s="49" t="s">
        <v>556</v>
      </c>
      <c r="B11617" s="50">
        <v>45930.0</v>
      </c>
      <c r="C11617" s="49" t="s">
        <v>69</v>
      </c>
      <c r="D11617" s="49">
        <v>0.0</v>
      </c>
    </row>
    <row r="11618" ht="15.0" hidden="1" customHeight="1">
      <c r="A11618" s="49" t="s">
        <v>561</v>
      </c>
      <c r="B11618" s="50">
        <v>45930.0</v>
      </c>
      <c r="C11618" s="49" t="s">
        <v>69</v>
      </c>
      <c r="D11618" s="49">
        <v>0.0</v>
      </c>
    </row>
    <row r="11619" ht="15.0" hidden="1" customHeight="1">
      <c r="A11619" s="49" t="s">
        <v>566</v>
      </c>
      <c r="B11619" s="50">
        <v>45930.0</v>
      </c>
      <c r="C11619" s="49" t="s">
        <v>69</v>
      </c>
      <c r="D11619" s="49">
        <v>100000.0</v>
      </c>
    </row>
    <row r="11620" ht="15.0" hidden="1" customHeight="1">
      <c r="A11620" s="49" t="s">
        <v>571</v>
      </c>
      <c r="B11620" s="50">
        <v>45930.0</v>
      </c>
      <c r="C11620" s="49" t="s">
        <v>69</v>
      </c>
      <c r="D11620" s="49">
        <v>0.0</v>
      </c>
    </row>
    <row r="11621" ht="15.0" hidden="1" customHeight="1">
      <c r="A11621" s="49" t="s">
        <v>576</v>
      </c>
      <c r="B11621" s="50">
        <v>45930.0</v>
      </c>
      <c r="C11621" s="49" t="s">
        <v>69</v>
      </c>
      <c r="D11621" s="49">
        <v>0.0</v>
      </c>
    </row>
    <row r="11622" ht="15.0" hidden="1" customHeight="1">
      <c r="A11622" s="49" t="s">
        <v>581</v>
      </c>
      <c r="B11622" s="50">
        <v>45930.0</v>
      </c>
      <c r="C11622" s="49" t="s">
        <v>69</v>
      </c>
      <c r="D11622" s="49">
        <v>0.0</v>
      </c>
    </row>
    <row r="11623" ht="15.0" hidden="1" customHeight="1">
      <c r="A11623" s="49" t="s">
        <v>586</v>
      </c>
      <c r="B11623" s="50">
        <v>45930.0</v>
      </c>
      <c r="C11623" s="49" t="s">
        <v>69</v>
      </c>
      <c r="D11623" s="49">
        <v>0.0</v>
      </c>
    </row>
    <row r="11624" ht="15.0" hidden="1" customHeight="1">
      <c r="A11624" s="49" t="s">
        <v>754</v>
      </c>
      <c r="B11624" s="50">
        <v>45930.0</v>
      </c>
      <c r="C11624" s="49" t="s">
        <v>69</v>
      </c>
      <c r="D11624" s="49">
        <v>0.0</v>
      </c>
    </row>
    <row r="11625" ht="15.0" hidden="1" customHeight="1">
      <c r="A11625" s="49" t="s">
        <v>591</v>
      </c>
      <c r="B11625" s="50">
        <v>45930.0</v>
      </c>
      <c r="C11625" s="49" t="s">
        <v>69</v>
      </c>
      <c r="D11625" s="49">
        <v>0.0</v>
      </c>
    </row>
    <row r="11626" ht="15.0" hidden="1" customHeight="1">
      <c r="A11626" s="49" t="s">
        <v>759</v>
      </c>
      <c r="B11626" s="50">
        <v>45930.0</v>
      </c>
      <c r="C11626" s="49" t="s">
        <v>69</v>
      </c>
      <c r="D11626" s="49">
        <v>0.0</v>
      </c>
    </row>
    <row r="11627" ht="15.0" hidden="1" customHeight="1">
      <c r="A11627" s="49" t="s">
        <v>596</v>
      </c>
      <c r="B11627" s="50">
        <v>45930.0</v>
      </c>
      <c r="C11627" s="49" t="s">
        <v>69</v>
      </c>
      <c r="D11627" s="49">
        <v>0.0</v>
      </c>
    </row>
    <row r="11628" ht="15.0" hidden="1" customHeight="1">
      <c r="A11628" s="49" t="s">
        <v>602</v>
      </c>
      <c r="B11628" s="50">
        <v>45930.0</v>
      </c>
      <c r="C11628" s="49" t="s">
        <v>69</v>
      </c>
      <c r="D11628" s="49">
        <v>930000.0</v>
      </c>
    </row>
    <row r="11629" ht="15.0" hidden="1" customHeight="1">
      <c r="A11629" s="49" t="s">
        <v>607</v>
      </c>
      <c r="B11629" s="50">
        <v>45930.0</v>
      </c>
      <c r="C11629" s="49" t="s">
        <v>69</v>
      </c>
      <c r="D11629" s="49">
        <v>0.0</v>
      </c>
    </row>
    <row r="11630" ht="15.0" hidden="1" customHeight="1">
      <c r="A11630" s="49" t="s">
        <v>612</v>
      </c>
      <c r="B11630" s="50">
        <v>45930.0</v>
      </c>
      <c r="C11630" s="49" t="s">
        <v>69</v>
      </c>
      <c r="D11630" s="49">
        <v>0.0</v>
      </c>
    </row>
    <row r="11631" ht="15.0" hidden="1" customHeight="1">
      <c r="A11631" s="49" t="s">
        <v>617</v>
      </c>
      <c r="B11631" s="50">
        <v>45930.0</v>
      </c>
      <c r="C11631" s="49" t="s">
        <v>69</v>
      </c>
      <c r="D11631" s="49">
        <v>0.0</v>
      </c>
    </row>
    <row r="11632" ht="15.0" hidden="1" customHeight="1">
      <c r="A11632" s="49" t="s">
        <v>622</v>
      </c>
      <c r="B11632" s="50">
        <v>45930.0</v>
      </c>
      <c r="C11632" s="49" t="s">
        <v>69</v>
      </c>
      <c r="D11632" s="49">
        <v>175000.0</v>
      </c>
    </row>
    <row r="11633" ht="15.0" hidden="1" customHeight="1">
      <c r="A11633" s="49" t="s">
        <v>627</v>
      </c>
      <c r="B11633" s="50">
        <v>45930.0</v>
      </c>
      <c r="C11633" s="49" t="s">
        <v>69</v>
      </c>
      <c r="D11633" s="49">
        <v>93750.0</v>
      </c>
    </row>
    <row r="11634" ht="15.0" hidden="1" customHeight="1">
      <c r="A11634" s="49" t="s">
        <v>631</v>
      </c>
      <c r="B11634" s="50">
        <v>45930.0</v>
      </c>
      <c r="C11634" s="49" t="s">
        <v>69</v>
      </c>
      <c r="D11634" s="49">
        <v>400000.0</v>
      </c>
    </row>
    <row r="11635" ht="15.0" hidden="1" customHeight="1">
      <c r="A11635" s="49" t="s">
        <v>636</v>
      </c>
      <c r="B11635" s="50">
        <v>45930.0</v>
      </c>
      <c r="C11635" s="49" t="s">
        <v>69</v>
      </c>
      <c r="D11635" s="49">
        <v>250000.0</v>
      </c>
    </row>
    <row r="11636" ht="15.0" hidden="1" customHeight="1">
      <c r="A11636" s="49" t="s">
        <v>640</v>
      </c>
      <c r="B11636" s="50">
        <v>45930.0</v>
      </c>
      <c r="C11636" s="49" t="s">
        <v>69</v>
      </c>
      <c r="D11636" s="49">
        <v>1200000.0</v>
      </c>
    </row>
    <row r="11637" ht="15.0" hidden="1" customHeight="1">
      <c r="A11637" s="49" t="s">
        <v>644</v>
      </c>
      <c r="B11637" s="50">
        <v>45930.0</v>
      </c>
      <c r="C11637" s="49" t="s">
        <v>69</v>
      </c>
      <c r="D11637" s="49">
        <v>75000.0</v>
      </c>
    </row>
    <row r="11638" ht="15.0" hidden="1" customHeight="1">
      <c r="A11638" s="49" t="s">
        <v>649</v>
      </c>
      <c r="B11638" s="50">
        <v>45930.0</v>
      </c>
      <c r="C11638" s="49" t="s">
        <v>69</v>
      </c>
      <c r="D11638" s="49">
        <v>250000.0</v>
      </c>
    </row>
    <row r="11639" ht="15.0" hidden="1" customHeight="1">
      <c r="A11639" s="49" t="s">
        <v>654</v>
      </c>
      <c r="B11639" s="50">
        <v>45930.0</v>
      </c>
      <c r="C11639" s="49" t="s">
        <v>69</v>
      </c>
      <c r="D11639" s="49">
        <v>263736.0</v>
      </c>
    </row>
    <row r="11640" ht="15.0" hidden="1" customHeight="1">
      <c r="A11640" s="49" t="s">
        <v>659</v>
      </c>
      <c r="B11640" s="50">
        <v>45930.0</v>
      </c>
      <c r="C11640" s="49" t="s">
        <v>69</v>
      </c>
      <c r="D11640" s="49">
        <v>201000.45</v>
      </c>
    </row>
    <row r="11641" ht="15.0" hidden="1" customHeight="1">
      <c r="A11641" s="49" t="s">
        <v>664</v>
      </c>
      <c r="B11641" s="50">
        <v>45930.0</v>
      </c>
      <c r="C11641" s="49" t="s">
        <v>69</v>
      </c>
      <c r="D11641" s="49">
        <v>0.0</v>
      </c>
    </row>
    <row r="11642" ht="15.0" hidden="1" customHeight="1">
      <c r="A11642" s="49" t="s">
        <v>669</v>
      </c>
      <c r="B11642" s="50">
        <v>45930.0</v>
      </c>
      <c r="C11642" s="49" t="s">
        <v>69</v>
      </c>
      <c r="D11642" s="49">
        <v>1540000.0</v>
      </c>
    </row>
    <row r="11643" ht="15.0" hidden="1" customHeight="1">
      <c r="A11643" s="49" t="s">
        <v>674</v>
      </c>
      <c r="B11643" s="50">
        <v>45930.0</v>
      </c>
      <c r="C11643" s="49" t="s">
        <v>69</v>
      </c>
      <c r="D11643" s="49">
        <v>300000.0</v>
      </c>
    </row>
    <row r="11644" ht="15.0" hidden="1" customHeight="1">
      <c r="A11644" s="49" t="s">
        <v>679</v>
      </c>
      <c r="B11644" s="50">
        <v>45930.0</v>
      </c>
      <c r="C11644" s="49" t="s">
        <v>69</v>
      </c>
      <c r="D11644" s="49">
        <v>300000.0</v>
      </c>
    </row>
    <row r="11645" ht="15.0" hidden="1" customHeight="1">
      <c r="A11645" s="49" t="s">
        <v>684</v>
      </c>
      <c r="B11645" s="50">
        <v>45930.0</v>
      </c>
      <c r="C11645" s="49" t="s">
        <v>69</v>
      </c>
      <c r="D11645" s="49">
        <v>233280.0</v>
      </c>
    </row>
    <row r="11646" ht="15.0" hidden="1" customHeight="1">
      <c r="A11646" s="49" t="s">
        <v>689</v>
      </c>
      <c r="B11646" s="50">
        <v>45930.0</v>
      </c>
      <c r="C11646" s="49" t="s">
        <v>69</v>
      </c>
      <c r="D11646" s="49">
        <v>0.0</v>
      </c>
    </row>
    <row r="11647" ht="15.0" hidden="1" customHeight="1">
      <c r="A11647" s="49" t="s">
        <v>694</v>
      </c>
      <c r="B11647" s="50">
        <v>45930.0</v>
      </c>
      <c r="C11647" s="49" t="s">
        <v>69</v>
      </c>
      <c r="D11647" s="49">
        <v>0.0</v>
      </c>
    </row>
    <row r="11648" ht="15.0" hidden="1" customHeight="1">
      <c r="A11648" s="49" t="s">
        <v>699</v>
      </c>
      <c r="B11648" s="50">
        <v>45930.0</v>
      </c>
      <c r="C11648" s="49" t="s">
        <v>69</v>
      </c>
      <c r="D11648" s="49">
        <v>0.0</v>
      </c>
    </row>
    <row r="11649" ht="15.0" hidden="1" customHeight="1">
      <c r="A11649" s="49" t="s">
        <v>705</v>
      </c>
      <c r="B11649" s="50">
        <v>45930.0</v>
      </c>
      <c r="C11649" s="49" t="s">
        <v>69</v>
      </c>
      <c r="D11649" s="49">
        <v>0.0</v>
      </c>
    </row>
    <row r="11650" ht="15.0" hidden="1" customHeight="1">
      <c r="A11650" s="49" t="s">
        <v>710</v>
      </c>
      <c r="B11650" s="50">
        <v>45930.0</v>
      </c>
      <c r="C11650" s="49" t="s">
        <v>69</v>
      </c>
      <c r="D11650" s="49">
        <v>0.0</v>
      </c>
    </row>
    <row r="11651" ht="15.0" hidden="1" customHeight="1">
      <c r="A11651" s="49" t="s">
        <v>715</v>
      </c>
      <c r="B11651" s="50">
        <v>45930.0</v>
      </c>
      <c r="C11651" s="49" t="s">
        <v>69</v>
      </c>
      <c r="D11651" s="49">
        <v>0.0</v>
      </c>
    </row>
    <row r="11652" ht="15.0" hidden="1" customHeight="1">
      <c r="A11652" s="49" t="s">
        <v>765</v>
      </c>
      <c r="B11652" s="50">
        <v>45930.0</v>
      </c>
      <c r="C11652" s="49" t="s">
        <v>69</v>
      </c>
      <c r="D11652" s="49">
        <v>0.0</v>
      </c>
    </row>
    <row r="11653" ht="15.0" hidden="1" customHeight="1">
      <c r="A11653" s="49" t="s">
        <v>720</v>
      </c>
      <c r="B11653" s="50">
        <v>45930.0</v>
      </c>
      <c r="C11653" s="49" t="s">
        <v>69</v>
      </c>
      <c r="D11653" s="49">
        <v>0.0</v>
      </c>
    </row>
    <row r="11654" ht="15.0" hidden="1" customHeight="1">
      <c r="A11654" s="49" t="s">
        <v>725</v>
      </c>
      <c r="B11654" s="50">
        <v>45930.0</v>
      </c>
      <c r="C11654" s="49" t="s">
        <v>69</v>
      </c>
      <c r="D11654" s="49">
        <v>0.0</v>
      </c>
    </row>
    <row r="11655" ht="15.0" hidden="1" customHeight="1">
      <c r="A11655" s="49" t="s">
        <v>730</v>
      </c>
      <c r="B11655" s="50">
        <v>45930.0</v>
      </c>
      <c r="C11655" s="49" t="s">
        <v>69</v>
      </c>
      <c r="D11655" s="49">
        <v>0.0</v>
      </c>
    </row>
    <row r="11656" ht="15.0" hidden="1" customHeight="1">
      <c r="A11656" s="49" t="s">
        <v>734</v>
      </c>
      <c r="B11656" s="50">
        <v>45930.0</v>
      </c>
      <c r="C11656" s="49" t="s">
        <v>69</v>
      </c>
      <c r="D11656" s="49">
        <v>0.0</v>
      </c>
    </row>
    <row r="11657" ht="15.0" hidden="1" customHeight="1">
      <c r="A11657" s="49" t="s">
        <v>739</v>
      </c>
      <c r="B11657" s="50">
        <v>45930.0</v>
      </c>
      <c r="C11657" s="49" t="s">
        <v>69</v>
      </c>
      <c r="D11657" s="49">
        <v>0.0</v>
      </c>
    </row>
    <row r="11658" ht="15.0" hidden="1" customHeight="1">
      <c r="A11658" s="49" t="s">
        <v>744</v>
      </c>
      <c r="B11658" s="50">
        <v>45930.0</v>
      </c>
      <c r="C11658" s="49" t="s">
        <v>69</v>
      </c>
      <c r="D11658" s="49">
        <v>0.0</v>
      </c>
    </row>
    <row r="11659" ht="15.0" hidden="1" customHeight="1">
      <c r="A11659" s="49" t="s">
        <v>749</v>
      </c>
      <c r="B11659" s="50">
        <v>45930.0</v>
      </c>
      <c r="C11659" s="49" t="s">
        <v>69</v>
      </c>
      <c r="D11659" s="49">
        <v>0.0</v>
      </c>
    </row>
    <row r="11660" ht="15.0" customHeight="1">
      <c r="A11660" s="49" t="s">
        <v>776</v>
      </c>
      <c r="B11660" s="50">
        <v>45930.0</v>
      </c>
      <c r="C11660" s="49" t="s">
        <v>780</v>
      </c>
      <c r="D11660" s="49">
        <v>0.0</v>
      </c>
    </row>
    <row r="11661" ht="15.0" hidden="1" customHeight="1">
      <c r="A11661" s="49" t="s">
        <v>778</v>
      </c>
      <c r="B11661" s="50">
        <v>45930.0</v>
      </c>
      <c r="C11661" s="49" t="s">
        <v>780</v>
      </c>
      <c r="D11661" s="49">
        <v>0.0</v>
      </c>
    </row>
    <row r="11662" ht="15.0" hidden="1" customHeight="1">
      <c r="A11662" s="49" t="s">
        <v>92</v>
      </c>
      <c r="B11662" s="50">
        <v>45930.0</v>
      </c>
      <c r="C11662" s="49" t="s">
        <v>780</v>
      </c>
      <c r="D11662" s="49">
        <v>0.0</v>
      </c>
    </row>
    <row r="11663" ht="15.0" hidden="1" customHeight="1">
      <c r="A11663" s="49" t="s">
        <v>97</v>
      </c>
      <c r="B11663" s="50">
        <v>45930.0</v>
      </c>
      <c r="C11663" s="49" t="s">
        <v>780</v>
      </c>
      <c r="D11663" s="49">
        <v>0.0</v>
      </c>
    </row>
    <row r="11664" ht="15.0" hidden="1" customHeight="1">
      <c r="A11664" s="49" t="s">
        <v>102</v>
      </c>
      <c r="B11664" s="50">
        <v>45930.0</v>
      </c>
      <c r="C11664" s="49" t="s">
        <v>780</v>
      </c>
      <c r="D11664" s="49">
        <v>0.0</v>
      </c>
    </row>
    <row r="11665" ht="15.0" hidden="1" customHeight="1">
      <c r="A11665" s="49" t="s">
        <v>106</v>
      </c>
      <c r="B11665" s="50">
        <v>45930.0</v>
      </c>
      <c r="C11665" s="49" t="s">
        <v>780</v>
      </c>
      <c r="D11665" s="49">
        <v>0.0</v>
      </c>
    </row>
    <row r="11666" ht="15.0" hidden="1" customHeight="1">
      <c r="A11666" s="49" t="s">
        <v>111</v>
      </c>
      <c r="B11666" s="50">
        <v>45930.0</v>
      </c>
      <c r="C11666" s="49" t="s">
        <v>780</v>
      </c>
      <c r="D11666" s="49">
        <v>0.0</v>
      </c>
    </row>
    <row r="11667" ht="15.0" hidden="1" customHeight="1">
      <c r="A11667" s="49" t="s">
        <v>116</v>
      </c>
      <c r="B11667" s="50">
        <v>45930.0</v>
      </c>
      <c r="C11667" s="49" t="s">
        <v>780</v>
      </c>
      <c r="D11667" s="49">
        <v>0.0</v>
      </c>
    </row>
    <row r="11668" ht="15.0" hidden="1" customHeight="1">
      <c r="A11668" s="49" t="s">
        <v>120</v>
      </c>
      <c r="B11668" s="50">
        <v>45930.0</v>
      </c>
      <c r="C11668" s="49" t="s">
        <v>780</v>
      </c>
      <c r="D11668" s="49">
        <v>0.0</v>
      </c>
    </row>
    <row r="11669" ht="15.0" hidden="1" customHeight="1">
      <c r="A11669" s="49" t="s">
        <v>125</v>
      </c>
      <c r="B11669" s="50">
        <v>45930.0</v>
      </c>
      <c r="C11669" s="49" t="s">
        <v>780</v>
      </c>
      <c r="D11669" s="49">
        <v>0.0</v>
      </c>
    </row>
    <row r="11670" ht="15.0" hidden="1" customHeight="1">
      <c r="A11670" s="49" t="s">
        <v>130</v>
      </c>
      <c r="B11670" s="50">
        <v>45930.0</v>
      </c>
      <c r="C11670" s="49" t="s">
        <v>780</v>
      </c>
      <c r="D11670" s="49">
        <v>0.0</v>
      </c>
    </row>
    <row r="11671" ht="15.0" hidden="1" customHeight="1">
      <c r="A11671" s="49" t="s">
        <v>137</v>
      </c>
      <c r="B11671" s="50">
        <v>45930.0</v>
      </c>
      <c r="C11671" s="49" t="s">
        <v>780</v>
      </c>
      <c r="D11671" s="49">
        <v>0.0</v>
      </c>
    </row>
    <row r="11672" ht="15.0" hidden="1" customHeight="1">
      <c r="A11672" s="49" t="s">
        <v>142</v>
      </c>
      <c r="B11672" s="50">
        <v>45930.0</v>
      </c>
      <c r="C11672" s="49" t="s">
        <v>780</v>
      </c>
      <c r="D11672" s="49">
        <v>0.0</v>
      </c>
    </row>
    <row r="11673" ht="15.0" hidden="1" customHeight="1">
      <c r="A11673" s="49" t="s">
        <v>147</v>
      </c>
      <c r="B11673" s="50">
        <v>45930.0</v>
      </c>
      <c r="C11673" s="49" t="s">
        <v>780</v>
      </c>
      <c r="D11673" s="49">
        <v>0.0</v>
      </c>
    </row>
    <row r="11674" ht="15.0" hidden="1" customHeight="1">
      <c r="A11674" s="49" t="s">
        <v>152</v>
      </c>
      <c r="B11674" s="50">
        <v>45930.0</v>
      </c>
      <c r="C11674" s="49" t="s">
        <v>780</v>
      </c>
      <c r="D11674" s="49">
        <v>0.0</v>
      </c>
    </row>
    <row r="11675" ht="15.0" hidden="1" customHeight="1">
      <c r="A11675" s="49" t="s">
        <v>157</v>
      </c>
      <c r="B11675" s="50">
        <v>45930.0</v>
      </c>
      <c r="C11675" s="49" t="s">
        <v>780</v>
      </c>
      <c r="D11675" s="49">
        <v>0.0</v>
      </c>
    </row>
    <row r="11676" ht="15.0" hidden="1" customHeight="1">
      <c r="A11676" s="49" t="s">
        <v>162</v>
      </c>
      <c r="B11676" s="50">
        <v>45930.0</v>
      </c>
      <c r="C11676" s="49" t="s">
        <v>780</v>
      </c>
      <c r="D11676" s="49">
        <v>0.0</v>
      </c>
    </row>
    <row r="11677" ht="15.0" hidden="1" customHeight="1">
      <c r="A11677" s="49" t="s">
        <v>167</v>
      </c>
      <c r="B11677" s="50">
        <v>45930.0</v>
      </c>
      <c r="C11677" s="49" t="s">
        <v>780</v>
      </c>
      <c r="D11677" s="49">
        <v>0.0</v>
      </c>
    </row>
    <row r="11678" ht="15.0" hidden="1" customHeight="1">
      <c r="A11678" s="49" t="s">
        <v>172</v>
      </c>
      <c r="B11678" s="50">
        <v>45930.0</v>
      </c>
      <c r="C11678" s="49" t="s">
        <v>780</v>
      </c>
      <c r="D11678" s="49">
        <v>0.0</v>
      </c>
    </row>
    <row r="11679" ht="15.0" hidden="1" customHeight="1">
      <c r="A11679" s="49" t="s">
        <v>177</v>
      </c>
      <c r="B11679" s="50">
        <v>45930.0</v>
      </c>
      <c r="C11679" s="49" t="s">
        <v>780</v>
      </c>
      <c r="D11679" s="49">
        <v>0.0</v>
      </c>
    </row>
    <row r="11680" ht="15.0" hidden="1" customHeight="1">
      <c r="A11680" s="49" t="s">
        <v>182</v>
      </c>
      <c r="B11680" s="50">
        <v>45930.0</v>
      </c>
      <c r="C11680" s="49" t="s">
        <v>780</v>
      </c>
      <c r="D11680" s="49">
        <v>0.0</v>
      </c>
    </row>
    <row r="11681" ht="15.0" hidden="1" customHeight="1">
      <c r="A11681" s="49" t="s">
        <v>187</v>
      </c>
      <c r="B11681" s="50">
        <v>45930.0</v>
      </c>
      <c r="C11681" s="49" t="s">
        <v>780</v>
      </c>
      <c r="D11681" s="49">
        <v>0.0</v>
      </c>
    </row>
    <row r="11682" ht="15.0" hidden="1" customHeight="1">
      <c r="A11682" s="49" t="s">
        <v>192</v>
      </c>
      <c r="B11682" s="50">
        <v>45930.0</v>
      </c>
      <c r="C11682" s="49" t="s">
        <v>780</v>
      </c>
      <c r="D11682" s="49">
        <v>0.0</v>
      </c>
    </row>
    <row r="11683" ht="15.0" hidden="1" customHeight="1">
      <c r="A11683" s="49" t="s">
        <v>197</v>
      </c>
      <c r="B11683" s="50">
        <v>45930.0</v>
      </c>
      <c r="C11683" s="49" t="s">
        <v>780</v>
      </c>
      <c r="D11683" s="49">
        <v>0.0</v>
      </c>
    </row>
    <row r="11684" ht="15.0" hidden="1" customHeight="1">
      <c r="A11684" s="49" t="s">
        <v>202</v>
      </c>
      <c r="B11684" s="50">
        <v>45930.0</v>
      </c>
      <c r="C11684" s="49" t="s">
        <v>780</v>
      </c>
      <c r="D11684" s="49">
        <v>0.0</v>
      </c>
    </row>
    <row r="11685" ht="15.0" hidden="1" customHeight="1">
      <c r="A11685" s="49" t="s">
        <v>206</v>
      </c>
      <c r="B11685" s="50">
        <v>45930.0</v>
      </c>
      <c r="C11685" s="49" t="s">
        <v>780</v>
      </c>
      <c r="D11685" s="49">
        <v>0.0</v>
      </c>
    </row>
    <row r="11686" ht="15.0" hidden="1" customHeight="1">
      <c r="A11686" s="49" t="s">
        <v>211</v>
      </c>
      <c r="B11686" s="50">
        <v>45930.0</v>
      </c>
      <c r="C11686" s="49" t="s">
        <v>780</v>
      </c>
      <c r="D11686" s="49">
        <v>0.0</v>
      </c>
    </row>
    <row r="11687" ht="15.0" hidden="1" customHeight="1">
      <c r="A11687" s="49" t="s">
        <v>779</v>
      </c>
      <c r="B11687" s="50">
        <v>45930.0</v>
      </c>
      <c r="C11687" s="49" t="s">
        <v>780</v>
      </c>
      <c r="D11687" s="49">
        <v>0.0</v>
      </c>
    </row>
    <row r="11688" ht="15.0" hidden="1" customHeight="1">
      <c r="A11688" s="49" t="s">
        <v>221</v>
      </c>
      <c r="B11688" s="50">
        <v>45930.0</v>
      </c>
      <c r="C11688" s="49" t="s">
        <v>780</v>
      </c>
      <c r="D11688" s="49">
        <v>0.0</v>
      </c>
    </row>
    <row r="11689" ht="15.0" hidden="1" customHeight="1">
      <c r="A11689" s="49" t="s">
        <v>226</v>
      </c>
      <c r="B11689" s="50">
        <v>45930.0</v>
      </c>
      <c r="C11689" s="49" t="s">
        <v>780</v>
      </c>
      <c r="D11689" s="49">
        <v>0.0</v>
      </c>
    </row>
    <row r="11690" ht="15.0" hidden="1" customHeight="1">
      <c r="A11690" s="49" t="s">
        <v>231</v>
      </c>
      <c r="B11690" s="50">
        <v>45930.0</v>
      </c>
      <c r="C11690" s="49" t="s">
        <v>780</v>
      </c>
      <c r="D11690" s="49">
        <v>0.0</v>
      </c>
    </row>
    <row r="11691" ht="15.0" hidden="1" customHeight="1">
      <c r="A11691" s="49" t="s">
        <v>236</v>
      </c>
      <c r="B11691" s="50">
        <v>45930.0</v>
      </c>
      <c r="C11691" s="49" t="s">
        <v>780</v>
      </c>
      <c r="D11691" s="49">
        <v>0.0</v>
      </c>
    </row>
    <row r="11692" ht="15.0" hidden="1" customHeight="1">
      <c r="A11692" s="49" t="s">
        <v>242</v>
      </c>
      <c r="B11692" s="50">
        <v>45930.0</v>
      </c>
      <c r="C11692" s="49" t="s">
        <v>780</v>
      </c>
      <c r="D11692" s="49">
        <v>0.0</v>
      </c>
    </row>
    <row r="11693" ht="15.0" hidden="1" customHeight="1">
      <c r="A11693" s="49" t="s">
        <v>248</v>
      </c>
      <c r="B11693" s="50">
        <v>45930.0</v>
      </c>
      <c r="C11693" s="49" t="s">
        <v>780</v>
      </c>
      <c r="D11693" s="49">
        <v>0.0</v>
      </c>
    </row>
    <row r="11694" ht="15.0" hidden="1" customHeight="1">
      <c r="A11694" s="49" t="s">
        <v>253</v>
      </c>
      <c r="B11694" s="50">
        <v>45930.0</v>
      </c>
      <c r="C11694" s="49" t="s">
        <v>780</v>
      </c>
      <c r="D11694" s="49">
        <v>0.0</v>
      </c>
    </row>
    <row r="11695" ht="15.0" hidden="1" customHeight="1">
      <c r="A11695" s="49" t="s">
        <v>258</v>
      </c>
      <c r="B11695" s="50">
        <v>45930.0</v>
      </c>
      <c r="C11695" s="49" t="s">
        <v>780</v>
      </c>
      <c r="D11695" s="49">
        <v>0.0</v>
      </c>
    </row>
    <row r="11696" ht="15.0" hidden="1" customHeight="1">
      <c r="A11696" s="49" t="s">
        <v>263</v>
      </c>
      <c r="B11696" s="50">
        <v>45930.0</v>
      </c>
      <c r="C11696" s="49" t="s">
        <v>780</v>
      </c>
      <c r="D11696" s="49">
        <v>0.0</v>
      </c>
    </row>
    <row r="11697" ht="15.0" hidden="1" customHeight="1">
      <c r="A11697" s="49" t="s">
        <v>268</v>
      </c>
      <c r="B11697" s="50">
        <v>45930.0</v>
      </c>
      <c r="C11697" s="49" t="s">
        <v>780</v>
      </c>
      <c r="D11697" s="49">
        <v>0.0</v>
      </c>
    </row>
    <row r="11698" ht="15.0" hidden="1" customHeight="1">
      <c r="A11698" s="49" t="s">
        <v>273</v>
      </c>
      <c r="B11698" s="50">
        <v>45930.0</v>
      </c>
      <c r="C11698" s="49" t="s">
        <v>780</v>
      </c>
      <c r="D11698" s="49">
        <v>0.0</v>
      </c>
    </row>
    <row r="11699" ht="15.0" hidden="1" customHeight="1">
      <c r="A11699" s="49" t="s">
        <v>278</v>
      </c>
      <c r="B11699" s="50">
        <v>45930.0</v>
      </c>
      <c r="C11699" s="49" t="s">
        <v>780</v>
      </c>
      <c r="D11699" s="49">
        <v>0.0</v>
      </c>
    </row>
    <row r="11700" ht="15.0" hidden="1" customHeight="1">
      <c r="A11700" s="49" t="s">
        <v>283</v>
      </c>
      <c r="B11700" s="50">
        <v>45930.0</v>
      </c>
      <c r="C11700" s="49" t="s">
        <v>780</v>
      </c>
      <c r="D11700" s="49">
        <v>0.0</v>
      </c>
    </row>
    <row r="11701" ht="15.0" hidden="1" customHeight="1">
      <c r="A11701" s="49" t="s">
        <v>288</v>
      </c>
      <c r="B11701" s="50">
        <v>45930.0</v>
      </c>
      <c r="C11701" s="49" t="s">
        <v>780</v>
      </c>
      <c r="D11701" s="49">
        <v>0.0</v>
      </c>
    </row>
    <row r="11702" ht="15.0" hidden="1" customHeight="1">
      <c r="A11702" s="49" t="s">
        <v>293</v>
      </c>
      <c r="B11702" s="50">
        <v>45930.0</v>
      </c>
      <c r="C11702" s="49" t="s">
        <v>780</v>
      </c>
      <c r="D11702" s="49">
        <v>0.0</v>
      </c>
    </row>
    <row r="11703" ht="15.0" hidden="1" customHeight="1">
      <c r="A11703" s="49" t="s">
        <v>298</v>
      </c>
      <c r="B11703" s="50">
        <v>45930.0</v>
      </c>
      <c r="C11703" s="49" t="s">
        <v>780</v>
      </c>
      <c r="D11703" s="49">
        <v>0.0</v>
      </c>
    </row>
    <row r="11704" ht="15.0" hidden="1" customHeight="1">
      <c r="A11704" s="49" t="s">
        <v>303</v>
      </c>
      <c r="B11704" s="50">
        <v>45930.0</v>
      </c>
      <c r="C11704" s="49" t="s">
        <v>780</v>
      </c>
      <c r="D11704" s="49">
        <v>0.0</v>
      </c>
    </row>
    <row r="11705" ht="15.0" hidden="1" customHeight="1">
      <c r="A11705" s="49" t="s">
        <v>307</v>
      </c>
      <c r="B11705" s="50">
        <v>45930.0</v>
      </c>
      <c r="C11705" s="49" t="s">
        <v>780</v>
      </c>
      <c r="D11705" s="49">
        <v>0.0</v>
      </c>
    </row>
    <row r="11706" ht="15.0" hidden="1" customHeight="1">
      <c r="A11706" s="49" t="s">
        <v>313</v>
      </c>
      <c r="B11706" s="50">
        <v>45930.0</v>
      </c>
      <c r="C11706" s="49" t="s">
        <v>780</v>
      </c>
      <c r="D11706" s="49">
        <v>0.0</v>
      </c>
    </row>
    <row r="11707" ht="15.0" hidden="1" customHeight="1">
      <c r="A11707" s="49" t="s">
        <v>318</v>
      </c>
      <c r="B11707" s="50">
        <v>45930.0</v>
      </c>
      <c r="C11707" s="49" t="s">
        <v>780</v>
      </c>
      <c r="D11707" s="49">
        <v>0.0</v>
      </c>
    </row>
    <row r="11708" ht="15.0" hidden="1" customHeight="1">
      <c r="A11708" s="49" t="s">
        <v>323</v>
      </c>
      <c r="B11708" s="50">
        <v>45930.0</v>
      </c>
      <c r="C11708" s="49" t="s">
        <v>780</v>
      </c>
      <c r="D11708" s="49">
        <v>0.0</v>
      </c>
    </row>
    <row r="11709" ht="15.0" hidden="1" customHeight="1">
      <c r="A11709" s="49" t="s">
        <v>328</v>
      </c>
      <c r="B11709" s="50">
        <v>45930.0</v>
      </c>
      <c r="C11709" s="49" t="s">
        <v>780</v>
      </c>
      <c r="D11709" s="49">
        <v>0.0</v>
      </c>
    </row>
    <row r="11710" ht="15.0" hidden="1" customHeight="1">
      <c r="A11710" s="49" t="s">
        <v>335</v>
      </c>
      <c r="B11710" s="50">
        <v>45930.0</v>
      </c>
      <c r="C11710" s="49" t="s">
        <v>780</v>
      </c>
      <c r="D11710" s="49">
        <v>0.0</v>
      </c>
    </row>
    <row r="11711" ht="15.0" hidden="1" customHeight="1">
      <c r="A11711" s="49" t="s">
        <v>340</v>
      </c>
      <c r="B11711" s="50">
        <v>45930.0</v>
      </c>
      <c r="C11711" s="49" t="s">
        <v>780</v>
      </c>
      <c r="D11711" s="49">
        <v>0.0</v>
      </c>
    </row>
    <row r="11712" ht="15.0" hidden="1" customHeight="1">
      <c r="A11712" s="49" t="s">
        <v>345</v>
      </c>
      <c r="B11712" s="50">
        <v>45930.0</v>
      </c>
      <c r="C11712" s="49" t="s">
        <v>780</v>
      </c>
      <c r="D11712" s="49">
        <v>0.0</v>
      </c>
    </row>
    <row r="11713" ht="15.0" hidden="1" customHeight="1">
      <c r="A11713" s="49" t="s">
        <v>350</v>
      </c>
      <c r="B11713" s="50">
        <v>45930.0</v>
      </c>
      <c r="C11713" s="49" t="s">
        <v>780</v>
      </c>
      <c r="D11713" s="49">
        <v>0.0</v>
      </c>
    </row>
    <row r="11714" ht="15.0" hidden="1" customHeight="1">
      <c r="A11714" s="49" t="s">
        <v>355</v>
      </c>
      <c r="B11714" s="50">
        <v>45930.0</v>
      </c>
      <c r="C11714" s="49" t="s">
        <v>780</v>
      </c>
      <c r="D11714" s="49">
        <v>0.0</v>
      </c>
    </row>
    <row r="11715" ht="15.0" hidden="1" customHeight="1">
      <c r="A11715" s="49" t="s">
        <v>360</v>
      </c>
      <c r="B11715" s="50">
        <v>45930.0</v>
      </c>
      <c r="C11715" s="49" t="s">
        <v>780</v>
      </c>
      <c r="D11715" s="49">
        <v>0.0</v>
      </c>
    </row>
    <row r="11716" ht="15.0" hidden="1" customHeight="1">
      <c r="A11716" s="49" t="s">
        <v>365</v>
      </c>
      <c r="B11716" s="50">
        <v>45930.0</v>
      </c>
      <c r="C11716" s="49" t="s">
        <v>780</v>
      </c>
      <c r="D11716" s="49">
        <v>0.0</v>
      </c>
    </row>
    <row r="11717" ht="15.0" hidden="1" customHeight="1">
      <c r="A11717" s="49" t="s">
        <v>370</v>
      </c>
      <c r="B11717" s="50">
        <v>45930.0</v>
      </c>
      <c r="C11717" s="49" t="s">
        <v>780</v>
      </c>
      <c r="D11717" s="49">
        <v>0.0</v>
      </c>
    </row>
    <row r="11718" ht="15.0" hidden="1" customHeight="1">
      <c r="A11718" s="49" t="s">
        <v>375</v>
      </c>
      <c r="B11718" s="50">
        <v>45930.0</v>
      </c>
      <c r="C11718" s="49" t="s">
        <v>780</v>
      </c>
      <c r="D11718" s="49">
        <v>0.0</v>
      </c>
    </row>
    <row r="11719" ht="15.0" hidden="1" customHeight="1">
      <c r="A11719" s="49" t="s">
        <v>380</v>
      </c>
      <c r="B11719" s="50">
        <v>45930.0</v>
      </c>
      <c r="C11719" s="49" t="s">
        <v>780</v>
      </c>
      <c r="D11719" s="49">
        <v>0.0</v>
      </c>
    </row>
    <row r="11720" ht="15.0" hidden="1" customHeight="1">
      <c r="A11720" s="49" t="s">
        <v>385</v>
      </c>
      <c r="B11720" s="50">
        <v>45930.0</v>
      </c>
      <c r="C11720" s="49" t="s">
        <v>780</v>
      </c>
      <c r="D11720" s="49">
        <v>0.0</v>
      </c>
    </row>
    <row r="11721" ht="15.0" hidden="1" customHeight="1">
      <c r="A11721" s="49" t="s">
        <v>390</v>
      </c>
      <c r="B11721" s="50">
        <v>45930.0</v>
      </c>
      <c r="C11721" s="49" t="s">
        <v>780</v>
      </c>
      <c r="D11721" s="49">
        <v>0.0</v>
      </c>
    </row>
    <row r="11722" ht="15.0" hidden="1" customHeight="1">
      <c r="A11722" s="49" t="s">
        <v>395</v>
      </c>
      <c r="B11722" s="50">
        <v>45930.0</v>
      </c>
      <c r="C11722" s="49" t="s">
        <v>780</v>
      </c>
      <c r="D11722" s="49">
        <v>0.0</v>
      </c>
    </row>
    <row r="11723" ht="15.0" hidden="1" customHeight="1">
      <c r="A11723" s="49" t="s">
        <v>400</v>
      </c>
      <c r="B11723" s="50">
        <v>45930.0</v>
      </c>
      <c r="C11723" s="49" t="s">
        <v>780</v>
      </c>
      <c r="D11723" s="49">
        <v>0.0</v>
      </c>
    </row>
    <row r="11724" ht="15.0" hidden="1" customHeight="1">
      <c r="A11724" s="49" t="s">
        <v>405</v>
      </c>
      <c r="B11724" s="50">
        <v>45930.0</v>
      </c>
      <c r="C11724" s="49" t="s">
        <v>780</v>
      </c>
      <c r="D11724" s="49">
        <v>0.0</v>
      </c>
    </row>
    <row r="11725" ht="15.0" hidden="1" customHeight="1">
      <c r="A11725" s="49" t="s">
        <v>410</v>
      </c>
      <c r="B11725" s="50">
        <v>45930.0</v>
      </c>
      <c r="C11725" s="49" t="s">
        <v>780</v>
      </c>
      <c r="D11725" s="49">
        <v>0.0</v>
      </c>
    </row>
    <row r="11726" ht="15.0" hidden="1" customHeight="1">
      <c r="A11726" s="49" t="s">
        <v>415</v>
      </c>
      <c r="B11726" s="50">
        <v>45930.0</v>
      </c>
      <c r="C11726" s="49" t="s">
        <v>780</v>
      </c>
      <c r="D11726" s="49">
        <v>0.0</v>
      </c>
    </row>
    <row r="11727" ht="15.0" hidden="1" customHeight="1">
      <c r="A11727" s="49" t="s">
        <v>420</v>
      </c>
      <c r="B11727" s="50">
        <v>45930.0</v>
      </c>
      <c r="C11727" s="49" t="s">
        <v>780</v>
      </c>
      <c r="D11727" s="49">
        <v>0.0</v>
      </c>
    </row>
    <row r="11728" ht="15.0" hidden="1" customHeight="1">
      <c r="A11728" s="49" t="s">
        <v>425</v>
      </c>
      <c r="B11728" s="50">
        <v>45930.0</v>
      </c>
      <c r="C11728" s="49" t="s">
        <v>780</v>
      </c>
      <c r="D11728" s="49">
        <v>0.0</v>
      </c>
    </row>
    <row r="11729" ht="15.0" hidden="1" customHeight="1">
      <c r="A11729" s="49" t="s">
        <v>430</v>
      </c>
      <c r="B11729" s="50">
        <v>45930.0</v>
      </c>
      <c r="C11729" s="49" t="s">
        <v>780</v>
      </c>
      <c r="D11729" s="49">
        <v>0.0</v>
      </c>
    </row>
    <row r="11730" ht="15.0" hidden="1" customHeight="1">
      <c r="A11730" s="49" t="s">
        <v>434</v>
      </c>
      <c r="B11730" s="50">
        <v>45930.0</v>
      </c>
      <c r="C11730" s="49" t="s">
        <v>780</v>
      </c>
      <c r="D11730" s="49">
        <v>0.0</v>
      </c>
    </row>
    <row r="11731" ht="15.0" hidden="1" customHeight="1">
      <c r="A11731" s="49" t="s">
        <v>439</v>
      </c>
      <c r="B11731" s="50">
        <v>45930.0</v>
      </c>
      <c r="C11731" s="49" t="s">
        <v>780</v>
      </c>
      <c r="D11731" s="49">
        <v>0.0</v>
      </c>
    </row>
    <row r="11732" ht="15.0" hidden="1" customHeight="1">
      <c r="A11732" s="49" t="s">
        <v>444</v>
      </c>
      <c r="B11732" s="50">
        <v>45930.0</v>
      </c>
      <c r="C11732" s="49" t="s">
        <v>780</v>
      </c>
      <c r="D11732" s="49">
        <v>0.0</v>
      </c>
    </row>
    <row r="11733" ht="15.0" hidden="1" customHeight="1">
      <c r="A11733" s="49" t="s">
        <v>449</v>
      </c>
      <c r="B11733" s="50">
        <v>45930.0</v>
      </c>
      <c r="C11733" s="49" t="s">
        <v>780</v>
      </c>
      <c r="D11733" s="49">
        <v>0.0</v>
      </c>
    </row>
    <row r="11734" ht="15.0" hidden="1" customHeight="1">
      <c r="A11734" s="49" t="s">
        <v>455</v>
      </c>
      <c r="B11734" s="50">
        <v>45930.0</v>
      </c>
      <c r="C11734" s="49" t="s">
        <v>780</v>
      </c>
      <c r="D11734" s="49">
        <v>-600000.0</v>
      </c>
    </row>
    <row r="11735" ht="15.0" hidden="1" customHeight="1">
      <c r="A11735" s="49" t="s">
        <v>470</v>
      </c>
      <c r="B11735" s="50">
        <v>45930.0</v>
      </c>
      <c r="C11735" s="49" t="s">
        <v>780</v>
      </c>
      <c r="D11735" s="49">
        <v>0.0</v>
      </c>
    </row>
    <row r="11736" ht="15.0" hidden="1" customHeight="1">
      <c r="A11736" s="49" t="s">
        <v>476</v>
      </c>
      <c r="B11736" s="50">
        <v>45930.0</v>
      </c>
      <c r="C11736" s="49" t="s">
        <v>780</v>
      </c>
      <c r="D11736" s="49">
        <v>0.0</v>
      </c>
    </row>
    <row r="11737" ht="15.0" hidden="1" customHeight="1">
      <c r="A11737" s="49" t="s">
        <v>481</v>
      </c>
      <c r="B11737" s="50">
        <v>45930.0</v>
      </c>
      <c r="C11737" s="49" t="s">
        <v>780</v>
      </c>
      <c r="D11737" s="49">
        <v>0.0</v>
      </c>
    </row>
    <row r="11738" ht="15.0" hidden="1" customHeight="1">
      <c r="A11738" s="49" t="s">
        <v>486</v>
      </c>
      <c r="B11738" s="50">
        <v>45930.0</v>
      </c>
      <c r="C11738" s="49" t="s">
        <v>780</v>
      </c>
      <c r="D11738" s="49">
        <v>0.0</v>
      </c>
    </row>
    <row r="11739" ht="15.0" hidden="1" customHeight="1">
      <c r="A11739" s="49" t="s">
        <v>491</v>
      </c>
      <c r="B11739" s="50">
        <v>45930.0</v>
      </c>
      <c r="C11739" s="49" t="s">
        <v>780</v>
      </c>
      <c r="D11739" s="49">
        <v>0.0</v>
      </c>
    </row>
    <row r="11740" ht="15.0" hidden="1" customHeight="1">
      <c r="A11740" s="49" t="s">
        <v>496</v>
      </c>
      <c r="B11740" s="50">
        <v>45930.0</v>
      </c>
      <c r="C11740" s="49" t="s">
        <v>780</v>
      </c>
      <c r="D11740" s="49">
        <v>0.0</v>
      </c>
    </row>
    <row r="11741" ht="15.0" hidden="1" customHeight="1">
      <c r="A11741" s="49" t="s">
        <v>501</v>
      </c>
      <c r="B11741" s="50">
        <v>45930.0</v>
      </c>
      <c r="C11741" s="49" t="s">
        <v>780</v>
      </c>
      <c r="D11741" s="49">
        <v>0.0</v>
      </c>
    </row>
    <row r="11742" ht="15.0" hidden="1" customHeight="1">
      <c r="A11742" s="49" t="s">
        <v>506</v>
      </c>
      <c r="B11742" s="50">
        <v>45930.0</v>
      </c>
      <c r="C11742" s="49" t="s">
        <v>780</v>
      </c>
      <c r="D11742" s="49">
        <v>0.0</v>
      </c>
    </row>
    <row r="11743" ht="15.0" hidden="1" customHeight="1">
      <c r="A11743" s="49" t="s">
        <v>512</v>
      </c>
      <c r="B11743" s="50">
        <v>45930.0</v>
      </c>
      <c r="C11743" s="49" t="s">
        <v>780</v>
      </c>
      <c r="D11743" s="49">
        <v>0.0</v>
      </c>
    </row>
    <row r="11744" ht="15.0" hidden="1" customHeight="1">
      <c r="A11744" s="49" t="s">
        <v>517</v>
      </c>
      <c r="B11744" s="50">
        <v>45930.0</v>
      </c>
      <c r="C11744" s="49" t="s">
        <v>780</v>
      </c>
      <c r="D11744" s="49">
        <v>0.0</v>
      </c>
    </row>
    <row r="11745" ht="15.0" hidden="1" customHeight="1">
      <c r="A11745" s="49" t="s">
        <v>522</v>
      </c>
      <c r="B11745" s="50">
        <v>45930.0</v>
      </c>
      <c r="C11745" s="49" t="s">
        <v>780</v>
      </c>
      <c r="D11745" s="49">
        <v>0.0</v>
      </c>
    </row>
    <row r="11746" ht="15.0" hidden="1" customHeight="1">
      <c r="A11746" s="49" t="s">
        <v>528</v>
      </c>
      <c r="B11746" s="50">
        <v>45930.0</v>
      </c>
      <c r="C11746" s="49" t="s">
        <v>780</v>
      </c>
      <c r="D11746" s="49">
        <v>0.0</v>
      </c>
    </row>
    <row r="11747" ht="15.0" hidden="1" customHeight="1">
      <c r="A11747" s="49" t="s">
        <v>533</v>
      </c>
      <c r="B11747" s="50">
        <v>45930.0</v>
      </c>
      <c r="C11747" s="49" t="s">
        <v>780</v>
      </c>
      <c r="D11747" s="49">
        <v>0.0</v>
      </c>
    </row>
    <row r="11748" ht="15.0" hidden="1" customHeight="1">
      <c r="A11748" s="49" t="s">
        <v>538</v>
      </c>
      <c r="B11748" s="50">
        <v>45930.0</v>
      </c>
      <c r="C11748" s="49" t="s">
        <v>780</v>
      </c>
      <c r="D11748" s="49">
        <v>0.0</v>
      </c>
    </row>
    <row r="11749" ht="15.0" hidden="1" customHeight="1">
      <c r="A11749" s="49" t="s">
        <v>546</v>
      </c>
      <c r="B11749" s="50">
        <v>45930.0</v>
      </c>
      <c r="C11749" s="49" t="s">
        <v>780</v>
      </c>
      <c r="D11749" s="49">
        <v>0.0</v>
      </c>
    </row>
    <row r="11750" ht="15.0" hidden="1" customHeight="1">
      <c r="A11750" s="49" t="s">
        <v>551</v>
      </c>
      <c r="B11750" s="50">
        <v>45930.0</v>
      </c>
      <c r="C11750" s="49" t="s">
        <v>780</v>
      </c>
      <c r="D11750" s="49">
        <v>0.0</v>
      </c>
    </row>
    <row r="11751" ht="15.0" hidden="1" customHeight="1">
      <c r="A11751" s="49" t="s">
        <v>556</v>
      </c>
      <c r="B11751" s="50">
        <v>45930.0</v>
      </c>
      <c r="C11751" s="49" t="s">
        <v>780</v>
      </c>
      <c r="D11751" s="49">
        <v>0.0</v>
      </c>
    </row>
    <row r="11752" ht="15.0" hidden="1" customHeight="1">
      <c r="A11752" s="49" t="s">
        <v>561</v>
      </c>
      <c r="B11752" s="50">
        <v>45930.0</v>
      </c>
      <c r="C11752" s="49" t="s">
        <v>780</v>
      </c>
      <c r="D11752" s="49">
        <v>0.0</v>
      </c>
    </row>
    <row r="11753" ht="15.0" hidden="1" customHeight="1">
      <c r="A11753" s="49" t="s">
        <v>566</v>
      </c>
      <c r="B11753" s="50">
        <v>45930.0</v>
      </c>
      <c r="C11753" s="49" t="s">
        <v>780</v>
      </c>
      <c r="D11753" s="49">
        <v>-100000.0</v>
      </c>
    </row>
    <row r="11754" ht="15.0" hidden="1" customHeight="1">
      <c r="A11754" s="49" t="s">
        <v>571</v>
      </c>
      <c r="B11754" s="50">
        <v>45930.0</v>
      </c>
      <c r="C11754" s="49" t="s">
        <v>780</v>
      </c>
      <c r="D11754" s="49">
        <v>0.0</v>
      </c>
    </row>
    <row r="11755" ht="15.0" hidden="1" customHeight="1">
      <c r="A11755" s="49" t="s">
        <v>576</v>
      </c>
      <c r="B11755" s="50">
        <v>45930.0</v>
      </c>
      <c r="C11755" s="49" t="s">
        <v>780</v>
      </c>
      <c r="D11755" s="49">
        <v>0.0</v>
      </c>
    </row>
    <row r="11756" ht="15.0" hidden="1" customHeight="1">
      <c r="A11756" s="49" t="s">
        <v>581</v>
      </c>
      <c r="B11756" s="50">
        <v>45930.0</v>
      </c>
      <c r="C11756" s="49" t="s">
        <v>780</v>
      </c>
      <c r="D11756" s="49">
        <v>0.0</v>
      </c>
    </row>
    <row r="11757" ht="15.0" hidden="1" customHeight="1">
      <c r="A11757" s="49" t="s">
        <v>586</v>
      </c>
      <c r="B11757" s="50">
        <v>45930.0</v>
      </c>
      <c r="C11757" s="49" t="s">
        <v>780</v>
      </c>
      <c r="D11757" s="49">
        <v>0.0</v>
      </c>
    </row>
    <row r="11758" ht="15.0" hidden="1" customHeight="1">
      <c r="A11758" s="49" t="s">
        <v>754</v>
      </c>
      <c r="B11758" s="50">
        <v>45930.0</v>
      </c>
      <c r="C11758" s="49" t="s">
        <v>780</v>
      </c>
      <c r="D11758" s="49">
        <v>0.0</v>
      </c>
    </row>
    <row r="11759" ht="15.0" hidden="1" customHeight="1">
      <c r="A11759" s="49" t="s">
        <v>591</v>
      </c>
      <c r="B11759" s="50">
        <v>45930.0</v>
      </c>
      <c r="C11759" s="49" t="s">
        <v>780</v>
      </c>
      <c r="D11759" s="49">
        <v>0.0</v>
      </c>
    </row>
    <row r="11760" ht="15.0" hidden="1" customHeight="1">
      <c r="A11760" s="49" t="s">
        <v>759</v>
      </c>
      <c r="B11760" s="50">
        <v>45930.0</v>
      </c>
      <c r="C11760" s="49" t="s">
        <v>780</v>
      </c>
      <c r="D11760" s="49">
        <v>0.0</v>
      </c>
    </row>
    <row r="11761" ht="15.0" hidden="1" customHeight="1">
      <c r="A11761" s="49" t="s">
        <v>596</v>
      </c>
      <c r="B11761" s="50">
        <v>45930.0</v>
      </c>
      <c r="C11761" s="49" t="s">
        <v>780</v>
      </c>
      <c r="D11761" s="49">
        <v>0.0</v>
      </c>
    </row>
    <row r="11762" ht="15.0" hidden="1" customHeight="1">
      <c r="A11762" s="49" t="s">
        <v>602</v>
      </c>
      <c r="B11762" s="50">
        <v>45930.0</v>
      </c>
      <c r="C11762" s="49" t="s">
        <v>780</v>
      </c>
      <c r="D11762" s="49">
        <v>-930000.0</v>
      </c>
    </row>
    <row r="11763" ht="15.0" hidden="1" customHeight="1">
      <c r="A11763" s="49" t="s">
        <v>607</v>
      </c>
      <c r="B11763" s="50">
        <v>45930.0</v>
      </c>
      <c r="C11763" s="49" t="s">
        <v>780</v>
      </c>
      <c r="D11763" s="49">
        <v>0.0</v>
      </c>
    </row>
    <row r="11764" ht="15.0" hidden="1" customHeight="1">
      <c r="A11764" s="49" t="s">
        <v>612</v>
      </c>
      <c r="B11764" s="50">
        <v>45930.0</v>
      </c>
      <c r="C11764" s="49" t="s">
        <v>780</v>
      </c>
      <c r="D11764" s="49">
        <v>0.0</v>
      </c>
    </row>
    <row r="11765" ht="15.0" hidden="1" customHeight="1">
      <c r="A11765" s="49" t="s">
        <v>617</v>
      </c>
      <c r="B11765" s="50">
        <v>45930.0</v>
      </c>
      <c r="C11765" s="49" t="s">
        <v>780</v>
      </c>
      <c r="D11765" s="49">
        <v>0.0</v>
      </c>
    </row>
    <row r="11766" ht="15.0" hidden="1" customHeight="1">
      <c r="A11766" s="49" t="s">
        <v>622</v>
      </c>
      <c r="B11766" s="50">
        <v>45930.0</v>
      </c>
      <c r="C11766" s="49" t="s">
        <v>780</v>
      </c>
      <c r="D11766" s="49">
        <v>-175000.0</v>
      </c>
    </row>
    <row r="11767" ht="15.0" hidden="1" customHeight="1">
      <c r="A11767" s="49" t="s">
        <v>627</v>
      </c>
      <c r="B11767" s="50">
        <v>45930.0</v>
      </c>
      <c r="C11767" s="49" t="s">
        <v>780</v>
      </c>
      <c r="D11767" s="49">
        <v>-93750.0</v>
      </c>
    </row>
    <row r="11768" ht="15.0" hidden="1" customHeight="1">
      <c r="A11768" s="49" t="s">
        <v>631</v>
      </c>
      <c r="B11768" s="50">
        <v>45930.0</v>
      </c>
      <c r="C11768" s="49" t="s">
        <v>780</v>
      </c>
      <c r="D11768" s="49">
        <v>-400000.0</v>
      </c>
    </row>
    <row r="11769" ht="15.0" hidden="1" customHeight="1">
      <c r="A11769" s="49" t="s">
        <v>636</v>
      </c>
      <c r="B11769" s="50">
        <v>45930.0</v>
      </c>
      <c r="C11769" s="49" t="s">
        <v>780</v>
      </c>
      <c r="D11769" s="49">
        <v>-250000.0</v>
      </c>
    </row>
    <row r="11770" ht="15.0" hidden="1" customHeight="1">
      <c r="A11770" s="49" t="s">
        <v>640</v>
      </c>
      <c r="B11770" s="50">
        <v>45930.0</v>
      </c>
      <c r="C11770" s="49" t="s">
        <v>780</v>
      </c>
      <c r="D11770" s="49">
        <v>-1200000.0</v>
      </c>
    </row>
    <row r="11771" ht="15.0" hidden="1" customHeight="1">
      <c r="A11771" s="49" t="s">
        <v>644</v>
      </c>
      <c r="B11771" s="50">
        <v>45930.0</v>
      </c>
      <c r="C11771" s="49" t="s">
        <v>780</v>
      </c>
      <c r="D11771" s="49">
        <v>-75000.0</v>
      </c>
    </row>
    <row r="11772" ht="15.0" hidden="1" customHeight="1">
      <c r="A11772" s="49" t="s">
        <v>649</v>
      </c>
      <c r="B11772" s="50">
        <v>45930.0</v>
      </c>
      <c r="C11772" s="49" t="s">
        <v>780</v>
      </c>
      <c r="D11772" s="49">
        <v>-250000.0</v>
      </c>
    </row>
    <row r="11773" ht="15.0" hidden="1" customHeight="1">
      <c r="A11773" s="49" t="s">
        <v>654</v>
      </c>
      <c r="B11773" s="50">
        <v>45930.0</v>
      </c>
      <c r="C11773" s="49" t="s">
        <v>780</v>
      </c>
      <c r="D11773" s="49">
        <v>-263736.0</v>
      </c>
    </row>
    <row r="11774" ht="15.0" hidden="1" customHeight="1">
      <c r="A11774" s="49" t="s">
        <v>659</v>
      </c>
      <c r="B11774" s="50">
        <v>45930.0</v>
      </c>
      <c r="C11774" s="49" t="s">
        <v>780</v>
      </c>
      <c r="D11774" s="49">
        <v>-201000.45</v>
      </c>
    </row>
    <row r="11775" ht="15.0" hidden="1" customHeight="1">
      <c r="A11775" s="49" t="s">
        <v>664</v>
      </c>
      <c r="B11775" s="50">
        <v>45930.0</v>
      </c>
      <c r="C11775" s="49" t="s">
        <v>780</v>
      </c>
      <c r="D11775" s="49">
        <v>8200000.0</v>
      </c>
    </row>
    <row r="11776" ht="15.0" hidden="1" customHeight="1">
      <c r="A11776" s="49" t="s">
        <v>669</v>
      </c>
      <c r="B11776" s="50">
        <v>45930.0</v>
      </c>
      <c r="C11776" s="49" t="s">
        <v>780</v>
      </c>
      <c r="D11776" s="49">
        <v>-1540000.0</v>
      </c>
    </row>
    <row r="11777" ht="15.0" hidden="1" customHeight="1">
      <c r="A11777" s="49" t="s">
        <v>674</v>
      </c>
      <c r="B11777" s="50">
        <v>45930.0</v>
      </c>
      <c r="C11777" s="49" t="s">
        <v>780</v>
      </c>
      <c r="D11777" s="49">
        <v>-300000.0</v>
      </c>
    </row>
    <row r="11778" ht="15.0" hidden="1" customHeight="1">
      <c r="A11778" s="49" t="s">
        <v>679</v>
      </c>
      <c r="B11778" s="50">
        <v>45930.0</v>
      </c>
      <c r="C11778" s="49" t="s">
        <v>780</v>
      </c>
      <c r="D11778" s="49">
        <v>-300000.0</v>
      </c>
    </row>
    <row r="11779" ht="15.0" hidden="1" customHeight="1">
      <c r="A11779" s="49" t="s">
        <v>684</v>
      </c>
      <c r="B11779" s="50">
        <v>45930.0</v>
      </c>
      <c r="C11779" s="49" t="s">
        <v>780</v>
      </c>
      <c r="D11779" s="49">
        <v>0.0</v>
      </c>
    </row>
    <row r="11780" ht="15.0" hidden="1" customHeight="1">
      <c r="A11780" s="49" t="s">
        <v>689</v>
      </c>
      <c r="B11780" s="50">
        <v>45930.0</v>
      </c>
      <c r="C11780" s="49" t="s">
        <v>780</v>
      </c>
      <c r="D11780" s="49">
        <v>50000.0</v>
      </c>
    </row>
    <row r="11781" ht="15.0" hidden="1" customHeight="1">
      <c r="A11781" s="49" t="s">
        <v>694</v>
      </c>
      <c r="B11781" s="50">
        <v>45930.0</v>
      </c>
      <c r="C11781" s="49" t="s">
        <v>780</v>
      </c>
      <c r="D11781" s="49">
        <v>1479870.0</v>
      </c>
    </row>
    <row r="11782" ht="15.0" hidden="1" customHeight="1">
      <c r="A11782" s="49" t="s">
        <v>699</v>
      </c>
      <c r="B11782" s="50">
        <v>45930.0</v>
      </c>
      <c r="C11782" s="49" t="s">
        <v>780</v>
      </c>
      <c r="D11782" s="49">
        <v>735253.0</v>
      </c>
    </row>
    <row r="11783" ht="15.0" hidden="1" customHeight="1">
      <c r="A11783" s="49" t="s">
        <v>705</v>
      </c>
      <c r="B11783" s="50">
        <v>45930.0</v>
      </c>
      <c r="C11783" s="49" t="s">
        <v>780</v>
      </c>
      <c r="D11783" s="49">
        <v>3974850.0</v>
      </c>
    </row>
    <row r="11784" ht="15.0" hidden="1" customHeight="1">
      <c r="A11784" s="49" t="s">
        <v>710</v>
      </c>
      <c r="B11784" s="50">
        <v>45930.0</v>
      </c>
      <c r="C11784" s="49" t="s">
        <v>780</v>
      </c>
      <c r="D11784" s="49">
        <v>0.0</v>
      </c>
    </row>
    <row r="11785" ht="15.0" hidden="1" customHeight="1">
      <c r="A11785" s="49" t="s">
        <v>715</v>
      </c>
      <c r="B11785" s="50">
        <v>45930.0</v>
      </c>
      <c r="C11785" s="49" t="s">
        <v>780</v>
      </c>
      <c r="D11785" s="49">
        <v>0.0</v>
      </c>
    </row>
    <row r="11786" ht="15.0" hidden="1" customHeight="1">
      <c r="A11786" s="49" t="s">
        <v>765</v>
      </c>
      <c r="B11786" s="50">
        <v>45930.0</v>
      </c>
      <c r="C11786" s="49" t="s">
        <v>780</v>
      </c>
      <c r="D11786" s="49">
        <v>0.0</v>
      </c>
    </row>
    <row r="11787" ht="15.0" hidden="1" customHeight="1">
      <c r="A11787" s="49" t="s">
        <v>720</v>
      </c>
      <c r="B11787" s="50">
        <v>45930.0</v>
      </c>
      <c r="C11787" s="49" t="s">
        <v>780</v>
      </c>
      <c r="D11787" s="49">
        <v>0.0</v>
      </c>
    </row>
    <row r="11788" ht="15.0" hidden="1" customHeight="1">
      <c r="A11788" s="49" t="s">
        <v>725</v>
      </c>
      <c r="B11788" s="50">
        <v>45930.0</v>
      </c>
      <c r="C11788" s="49" t="s">
        <v>780</v>
      </c>
      <c r="D11788" s="49">
        <v>0.0</v>
      </c>
    </row>
    <row r="11789" ht="15.0" hidden="1" customHeight="1">
      <c r="A11789" s="49" t="s">
        <v>730</v>
      </c>
      <c r="B11789" s="50">
        <v>45930.0</v>
      </c>
      <c r="C11789" s="49" t="s">
        <v>780</v>
      </c>
      <c r="D11789" s="49">
        <v>0.0</v>
      </c>
    </row>
    <row r="11790" ht="15.0" hidden="1" customHeight="1">
      <c r="A11790" s="49" t="s">
        <v>734</v>
      </c>
      <c r="B11790" s="50">
        <v>45930.0</v>
      </c>
      <c r="C11790" s="49" t="s">
        <v>780</v>
      </c>
      <c r="D11790" s="49">
        <v>0.0</v>
      </c>
    </row>
    <row r="11791" ht="15.0" hidden="1" customHeight="1">
      <c r="A11791" s="49" t="s">
        <v>739</v>
      </c>
      <c r="B11791" s="50">
        <v>45930.0</v>
      </c>
      <c r="C11791" s="49" t="s">
        <v>780</v>
      </c>
      <c r="D11791" s="49">
        <v>0.0</v>
      </c>
    </row>
    <row r="11792" ht="15.0" hidden="1" customHeight="1">
      <c r="A11792" s="49" t="s">
        <v>744</v>
      </c>
      <c r="B11792" s="50">
        <v>45930.0</v>
      </c>
      <c r="C11792" s="49" t="s">
        <v>780</v>
      </c>
      <c r="D11792" s="49">
        <v>0.0</v>
      </c>
    </row>
    <row r="11793" ht="15.0" hidden="1" customHeight="1">
      <c r="A11793" s="49" t="s">
        <v>749</v>
      </c>
      <c r="B11793" s="50">
        <v>45930.0</v>
      </c>
      <c r="C11793" s="49" t="s">
        <v>780</v>
      </c>
      <c r="D11793" s="49">
        <v>0.0</v>
      </c>
    </row>
    <row r="11794" ht="15.0" customHeight="1">
      <c r="A11794" s="49" t="s">
        <v>776</v>
      </c>
      <c r="B11794" s="50">
        <v>46022.0</v>
      </c>
      <c r="C11794" s="49" t="s">
        <v>777</v>
      </c>
      <c r="D11794" s="49">
        <v>0.0</v>
      </c>
    </row>
    <row r="11795" ht="15.0" hidden="1" customHeight="1">
      <c r="A11795" s="49" t="s">
        <v>778</v>
      </c>
      <c r="B11795" s="50">
        <v>46022.0</v>
      </c>
      <c r="C11795" s="49" t="s">
        <v>777</v>
      </c>
      <c r="D11795" s="49">
        <v>0.0</v>
      </c>
    </row>
    <row r="11796" ht="15.0" hidden="1" customHeight="1">
      <c r="A11796" s="49" t="s">
        <v>92</v>
      </c>
      <c r="B11796" s="50">
        <v>46022.0</v>
      </c>
      <c r="C11796" s="49" t="s">
        <v>777</v>
      </c>
      <c r="D11796" s="49">
        <v>0.0</v>
      </c>
    </row>
    <row r="11797" ht="15.0" hidden="1" customHeight="1">
      <c r="A11797" s="49" t="s">
        <v>97</v>
      </c>
      <c r="B11797" s="50">
        <v>46022.0</v>
      </c>
      <c r="C11797" s="49" t="s">
        <v>777</v>
      </c>
      <c r="D11797" s="49">
        <v>0.0</v>
      </c>
    </row>
    <row r="11798" ht="15.0" hidden="1" customHeight="1">
      <c r="A11798" s="49" t="s">
        <v>102</v>
      </c>
      <c r="B11798" s="50">
        <v>46022.0</v>
      </c>
      <c r="C11798" s="49" t="s">
        <v>777</v>
      </c>
      <c r="D11798" s="49">
        <v>0.0</v>
      </c>
    </row>
    <row r="11799" ht="15.0" hidden="1" customHeight="1">
      <c r="A11799" s="49" t="s">
        <v>106</v>
      </c>
      <c r="B11799" s="50">
        <v>46022.0</v>
      </c>
      <c r="C11799" s="49" t="s">
        <v>777</v>
      </c>
      <c r="D11799" s="49">
        <v>0.0</v>
      </c>
    </row>
    <row r="11800" ht="15.0" hidden="1" customHeight="1">
      <c r="A11800" s="49" t="s">
        <v>111</v>
      </c>
      <c r="B11800" s="50">
        <v>46022.0</v>
      </c>
      <c r="C11800" s="49" t="s">
        <v>777</v>
      </c>
      <c r="D11800" s="49">
        <v>0.0</v>
      </c>
    </row>
    <row r="11801" ht="15.0" hidden="1" customHeight="1">
      <c r="A11801" s="49" t="s">
        <v>116</v>
      </c>
      <c r="B11801" s="50">
        <v>46022.0</v>
      </c>
      <c r="C11801" s="49" t="s">
        <v>777</v>
      </c>
      <c r="D11801" s="49">
        <v>0.0</v>
      </c>
    </row>
    <row r="11802" ht="15.0" hidden="1" customHeight="1">
      <c r="A11802" s="49" t="s">
        <v>120</v>
      </c>
      <c r="B11802" s="50">
        <v>46022.0</v>
      </c>
      <c r="C11802" s="49" t="s">
        <v>777</v>
      </c>
      <c r="D11802" s="49">
        <v>0.0</v>
      </c>
    </row>
    <row r="11803" ht="15.0" hidden="1" customHeight="1">
      <c r="A11803" s="49" t="s">
        <v>125</v>
      </c>
      <c r="B11803" s="50">
        <v>46022.0</v>
      </c>
      <c r="C11803" s="49" t="s">
        <v>777</v>
      </c>
      <c r="D11803" s="49">
        <v>0.0</v>
      </c>
    </row>
    <row r="11804" ht="15.0" hidden="1" customHeight="1">
      <c r="A11804" s="49" t="s">
        <v>130</v>
      </c>
      <c r="B11804" s="50">
        <v>46022.0</v>
      </c>
      <c r="C11804" s="49" t="s">
        <v>777</v>
      </c>
      <c r="D11804" s="49">
        <v>0.0</v>
      </c>
    </row>
    <row r="11805" ht="15.0" hidden="1" customHeight="1">
      <c r="A11805" s="49" t="s">
        <v>137</v>
      </c>
      <c r="B11805" s="50">
        <v>46022.0</v>
      </c>
      <c r="C11805" s="49" t="s">
        <v>777</v>
      </c>
      <c r="D11805" s="49">
        <v>0.0</v>
      </c>
    </row>
    <row r="11806" ht="15.0" hidden="1" customHeight="1">
      <c r="A11806" s="49" t="s">
        <v>142</v>
      </c>
      <c r="B11806" s="50">
        <v>46022.0</v>
      </c>
      <c r="C11806" s="49" t="s">
        <v>777</v>
      </c>
      <c r="D11806" s="49">
        <v>0.0</v>
      </c>
    </row>
    <row r="11807" ht="15.0" hidden="1" customHeight="1">
      <c r="A11807" s="49" t="s">
        <v>147</v>
      </c>
      <c r="B11807" s="50">
        <v>46022.0</v>
      </c>
      <c r="C11807" s="49" t="s">
        <v>777</v>
      </c>
      <c r="D11807" s="49">
        <v>0.0</v>
      </c>
    </row>
    <row r="11808" ht="15.0" hidden="1" customHeight="1">
      <c r="A11808" s="49" t="s">
        <v>152</v>
      </c>
      <c r="B11808" s="50">
        <v>46022.0</v>
      </c>
      <c r="C11808" s="49" t="s">
        <v>777</v>
      </c>
      <c r="D11808" s="49">
        <v>0.0</v>
      </c>
    </row>
    <row r="11809" ht="15.0" hidden="1" customHeight="1">
      <c r="A11809" s="49" t="s">
        <v>157</v>
      </c>
      <c r="B11809" s="50">
        <v>46022.0</v>
      </c>
      <c r="C11809" s="49" t="s">
        <v>777</v>
      </c>
      <c r="D11809" s="49">
        <v>0.0</v>
      </c>
    </row>
    <row r="11810" ht="15.0" hidden="1" customHeight="1">
      <c r="A11810" s="49" t="s">
        <v>162</v>
      </c>
      <c r="B11810" s="50">
        <v>46022.0</v>
      </c>
      <c r="C11810" s="49" t="s">
        <v>777</v>
      </c>
      <c r="D11810" s="49">
        <v>0.0</v>
      </c>
    </row>
    <row r="11811" ht="15.0" hidden="1" customHeight="1">
      <c r="A11811" s="49" t="s">
        <v>167</v>
      </c>
      <c r="B11811" s="50">
        <v>46022.0</v>
      </c>
      <c r="C11811" s="49" t="s">
        <v>777</v>
      </c>
      <c r="D11811" s="49">
        <v>0.0</v>
      </c>
    </row>
    <row r="11812" ht="15.0" hidden="1" customHeight="1">
      <c r="A11812" s="49" t="s">
        <v>172</v>
      </c>
      <c r="B11812" s="50">
        <v>46022.0</v>
      </c>
      <c r="C11812" s="49" t="s">
        <v>777</v>
      </c>
      <c r="D11812" s="49">
        <v>0.0</v>
      </c>
    </row>
    <row r="11813" ht="15.0" hidden="1" customHeight="1">
      <c r="A11813" s="49" t="s">
        <v>177</v>
      </c>
      <c r="B11813" s="50">
        <v>46022.0</v>
      </c>
      <c r="C11813" s="49" t="s">
        <v>777</v>
      </c>
      <c r="D11813" s="49">
        <v>0.0</v>
      </c>
    </row>
    <row r="11814" ht="15.0" hidden="1" customHeight="1">
      <c r="A11814" s="49" t="s">
        <v>182</v>
      </c>
      <c r="B11814" s="50">
        <v>46022.0</v>
      </c>
      <c r="C11814" s="49" t="s">
        <v>777</v>
      </c>
      <c r="D11814" s="49">
        <v>0.0</v>
      </c>
    </row>
    <row r="11815" ht="15.0" hidden="1" customHeight="1">
      <c r="A11815" s="49" t="s">
        <v>187</v>
      </c>
      <c r="B11815" s="50">
        <v>46022.0</v>
      </c>
      <c r="C11815" s="49" t="s">
        <v>777</v>
      </c>
      <c r="D11815" s="49">
        <v>0.0</v>
      </c>
    </row>
    <row r="11816" ht="15.0" hidden="1" customHeight="1">
      <c r="A11816" s="49" t="s">
        <v>192</v>
      </c>
      <c r="B11816" s="50">
        <v>46022.0</v>
      </c>
      <c r="C11816" s="49" t="s">
        <v>777</v>
      </c>
      <c r="D11816" s="49">
        <v>0.0</v>
      </c>
    </row>
    <row r="11817" ht="15.0" hidden="1" customHeight="1">
      <c r="A11817" s="49" t="s">
        <v>197</v>
      </c>
      <c r="B11817" s="50">
        <v>46022.0</v>
      </c>
      <c r="C11817" s="49" t="s">
        <v>777</v>
      </c>
      <c r="D11817" s="49">
        <v>0.0</v>
      </c>
    </row>
    <row r="11818" ht="15.0" hidden="1" customHeight="1">
      <c r="A11818" s="49" t="s">
        <v>202</v>
      </c>
      <c r="B11818" s="50">
        <v>46022.0</v>
      </c>
      <c r="C11818" s="49" t="s">
        <v>777</v>
      </c>
      <c r="D11818" s="49">
        <v>0.0</v>
      </c>
    </row>
    <row r="11819" ht="15.0" hidden="1" customHeight="1">
      <c r="A11819" s="49" t="s">
        <v>206</v>
      </c>
      <c r="B11819" s="50">
        <v>46022.0</v>
      </c>
      <c r="C11819" s="49" t="s">
        <v>777</v>
      </c>
      <c r="D11819" s="49">
        <v>0.0</v>
      </c>
    </row>
    <row r="11820" ht="15.0" hidden="1" customHeight="1">
      <c r="A11820" s="49" t="s">
        <v>211</v>
      </c>
      <c r="B11820" s="50">
        <v>46022.0</v>
      </c>
      <c r="C11820" s="49" t="s">
        <v>777</v>
      </c>
      <c r="D11820" s="49">
        <v>0.0</v>
      </c>
    </row>
    <row r="11821" ht="15.0" hidden="1" customHeight="1">
      <c r="A11821" s="49" t="s">
        <v>779</v>
      </c>
      <c r="B11821" s="50">
        <v>46022.0</v>
      </c>
      <c r="C11821" s="49" t="s">
        <v>777</v>
      </c>
      <c r="D11821" s="49">
        <v>0.0</v>
      </c>
    </row>
    <row r="11822" ht="15.0" hidden="1" customHeight="1">
      <c r="A11822" s="49" t="s">
        <v>221</v>
      </c>
      <c r="B11822" s="50">
        <v>46022.0</v>
      </c>
      <c r="C11822" s="49" t="s">
        <v>777</v>
      </c>
      <c r="D11822" s="49">
        <v>0.0</v>
      </c>
    </row>
    <row r="11823" ht="15.0" hidden="1" customHeight="1">
      <c r="A11823" s="49" t="s">
        <v>226</v>
      </c>
      <c r="B11823" s="50">
        <v>46022.0</v>
      </c>
      <c r="C11823" s="49" t="s">
        <v>777</v>
      </c>
      <c r="D11823" s="49">
        <v>0.0</v>
      </c>
    </row>
    <row r="11824" ht="15.0" hidden="1" customHeight="1">
      <c r="A11824" s="49" t="s">
        <v>231</v>
      </c>
      <c r="B11824" s="50">
        <v>46022.0</v>
      </c>
      <c r="C11824" s="49" t="s">
        <v>777</v>
      </c>
      <c r="D11824" s="49">
        <v>0.0</v>
      </c>
    </row>
    <row r="11825" ht="15.0" hidden="1" customHeight="1">
      <c r="A11825" s="49" t="s">
        <v>236</v>
      </c>
      <c r="B11825" s="50">
        <v>46022.0</v>
      </c>
      <c r="C11825" s="49" t="s">
        <v>777</v>
      </c>
      <c r="D11825" s="49">
        <v>0.0</v>
      </c>
    </row>
    <row r="11826" ht="15.0" hidden="1" customHeight="1">
      <c r="A11826" s="49" t="s">
        <v>242</v>
      </c>
      <c r="B11826" s="50">
        <v>46022.0</v>
      </c>
      <c r="C11826" s="49" t="s">
        <v>777</v>
      </c>
      <c r="D11826" s="49">
        <v>0.0</v>
      </c>
    </row>
    <row r="11827" ht="15.0" hidden="1" customHeight="1">
      <c r="A11827" s="49" t="s">
        <v>248</v>
      </c>
      <c r="B11827" s="50">
        <v>46022.0</v>
      </c>
      <c r="C11827" s="49" t="s">
        <v>777</v>
      </c>
      <c r="D11827" s="49">
        <v>0.0</v>
      </c>
    </row>
    <row r="11828" ht="15.0" hidden="1" customHeight="1">
      <c r="A11828" s="49" t="s">
        <v>253</v>
      </c>
      <c r="B11828" s="50">
        <v>46022.0</v>
      </c>
      <c r="C11828" s="49" t="s">
        <v>777</v>
      </c>
      <c r="D11828" s="49">
        <v>0.0</v>
      </c>
    </row>
    <row r="11829" ht="15.0" hidden="1" customHeight="1">
      <c r="A11829" s="49" t="s">
        <v>258</v>
      </c>
      <c r="B11829" s="50">
        <v>46022.0</v>
      </c>
      <c r="C11829" s="49" t="s">
        <v>777</v>
      </c>
      <c r="D11829" s="49">
        <v>0.0</v>
      </c>
    </row>
    <row r="11830" ht="15.0" hidden="1" customHeight="1">
      <c r="A11830" s="49" t="s">
        <v>263</v>
      </c>
      <c r="B11830" s="50">
        <v>46022.0</v>
      </c>
      <c r="C11830" s="49" t="s">
        <v>777</v>
      </c>
      <c r="D11830" s="49">
        <v>0.0</v>
      </c>
    </row>
    <row r="11831" ht="15.0" hidden="1" customHeight="1">
      <c r="A11831" s="49" t="s">
        <v>268</v>
      </c>
      <c r="B11831" s="50">
        <v>46022.0</v>
      </c>
      <c r="C11831" s="49" t="s">
        <v>777</v>
      </c>
      <c r="D11831" s="49">
        <v>0.0</v>
      </c>
    </row>
    <row r="11832" ht="15.0" hidden="1" customHeight="1">
      <c r="A11832" s="49" t="s">
        <v>273</v>
      </c>
      <c r="B11832" s="50">
        <v>46022.0</v>
      </c>
      <c r="C11832" s="49" t="s">
        <v>777</v>
      </c>
      <c r="D11832" s="49">
        <v>0.0</v>
      </c>
    </row>
    <row r="11833" ht="15.0" hidden="1" customHeight="1">
      <c r="A11833" s="49" t="s">
        <v>278</v>
      </c>
      <c r="B11833" s="50">
        <v>46022.0</v>
      </c>
      <c r="C11833" s="49" t="s">
        <v>777</v>
      </c>
      <c r="D11833" s="49">
        <v>0.0</v>
      </c>
    </row>
    <row r="11834" ht="15.0" hidden="1" customHeight="1">
      <c r="A11834" s="49" t="s">
        <v>283</v>
      </c>
      <c r="B11834" s="50">
        <v>46022.0</v>
      </c>
      <c r="C11834" s="49" t="s">
        <v>777</v>
      </c>
      <c r="D11834" s="49">
        <v>0.0</v>
      </c>
    </row>
    <row r="11835" ht="15.0" hidden="1" customHeight="1">
      <c r="A11835" s="49" t="s">
        <v>288</v>
      </c>
      <c r="B11835" s="50">
        <v>46022.0</v>
      </c>
      <c r="C11835" s="49" t="s">
        <v>777</v>
      </c>
      <c r="D11835" s="49">
        <v>0.0</v>
      </c>
    </row>
    <row r="11836" ht="15.0" hidden="1" customHeight="1">
      <c r="A11836" s="49" t="s">
        <v>293</v>
      </c>
      <c r="B11836" s="50">
        <v>46022.0</v>
      </c>
      <c r="C11836" s="49" t="s">
        <v>777</v>
      </c>
      <c r="D11836" s="49">
        <v>0.0</v>
      </c>
    </row>
    <row r="11837" ht="15.0" hidden="1" customHeight="1">
      <c r="A11837" s="49" t="s">
        <v>298</v>
      </c>
      <c r="B11837" s="50">
        <v>46022.0</v>
      </c>
      <c r="C11837" s="49" t="s">
        <v>777</v>
      </c>
      <c r="D11837" s="49">
        <v>0.0</v>
      </c>
    </row>
    <row r="11838" ht="15.0" hidden="1" customHeight="1">
      <c r="A11838" s="49" t="s">
        <v>303</v>
      </c>
      <c r="B11838" s="50">
        <v>46022.0</v>
      </c>
      <c r="C11838" s="49" t="s">
        <v>777</v>
      </c>
      <c r="D11838" s="49">
        <v>0.0</v>
      </c>
    </row>
    <row r="11839" ht="15.0" hidden="1" customHeight="1">
      <c r="A11839" s="49" t="s">
        <v>307</v>
      </c>
      <c r="B11839" s="50">
        <v>46022.0</v>
      </c>
      <c r="C11839" s="49" t="s">
        <v>777</v>
      </c>
      <c r="D11839" s="49">
        <v>0.0</v>
      </c>
    </row>
    <row r="11840" ht="15.0" hidden="1" customHeight="1">
      <c r="A11840" s="49" t="s">
        <v>313</v>
      </c>
      <c r="B11840" s="50">
        <v>46022.0</v>
      </c>
      <c r="C11840" s="49" t="s">
        <v>777</v>
      </c>
      <c r="D11840" s="49">
        <v>0.0</v>
      </c>
    </row>
    <row r="11841" ht="15.0" hidden="1" customHeight="1">
      <c r="A11841" s="49" t="s">
        <v>318</v>
      </c>
      <c r="B11841" s="50">
        <v>46022.0</v>
      </c>
      <c r="C11841" s="49" t="s">
        <v>777</v>
      </c>
      <c r="D11841" s="49">
        <v>0.0</v>
      </c>
    </row>
    <row r="11842" ht="15.0" hidden="1" customHeight="1">
      <c r="A11842" s="49" t="s">
        <v>323</v>
      </c>
      <c r="B11842" s="50">
        <v>46022.0</v>
      </c>
      <c r="C11842" s="49" t="s">
        <v>777</v>
      </c>
      <c r="D11842" s="49">
        <v>0.0</v>
      </c>
    </row>
    <row r="11843" ht="15.0" hidden="1" customHeight="1">
      <c r="A11843" s="49" t="s">
        <v>328</v>
      </c>
      <c r="B11843" s="50">
        <v>46022.0</v>
      </c>
      <c r="C11843" s="49" t="s">
        <v>777</v>
      </c>
      <c r="D11843" s="49">
        <v>0.0</v>
      </c>
    </row>
    <row r="11844" ht="15.0" hidden="1" customHeight="1">
      <c r="A11844" s="49" t="s">
        <v>335</v>
      </c>
      <c r="B11844" s="50">
        <v>46022.0</v>
      </c>
      <c r="C11844" s="49" t="s">
        <v>777</v>
      </c>
      <c r="D11844" s="49">
        <v>0.0</v>
      </c>
    </row>
    <row r="11845" ht="15.0" hidden="1" customHeight="1">
      <c r="A11845" s="49" t="s">
        <v>340</v>
      </c>
      <c r="B11845" s="50">
        <v>46022.0</v>
      </c>
      <c r="C11845" s="49" t="s">
        <v>777</v>
      </c>
      <c r="D11845" s="49">
        <v>0.0</v>
      </c>
    </row>
    <row r="11846" ht="15.0" hidden="1" customHeight="1">
      <c r="A11846" s="49" t="s">
        <v>345</v>
      </c>
      <c r="B11846" s="50">
        <v>46022.0</v>
      </c>
      <c r="C11846" s="49" t="s">
        <v>777</v>
      </c>
      <c r="D11846" s="49">
        <v>0.0</v>
      </c>
    </row>
    <row r="11847" ht="15.0" hidden="1" customHeight="1">
      <c r="A11847" s="49" t="s">
        <v>350</v>
      </c>
      <c r="B11847" s="50">
        <v>46022.0</v>
      </c>
      <c r="C11847" s="49" t="s">
        <v>777</v>
      </c>
      <c r="D11847" s="49">
        <v>0.0</v>
      </c>
    </row>
    <row r="11848" ht="15.0" hidden="1" customHeight="1">
      <c r="A11848" s="49" t="s">
        <v>355</v>
      </c>
      <c r="B11848" s="50">
        <v>46022.0</v>
      </c>
      <c r="C11848" s="49" t="s">
        <v>777</v>
      </c>
      <c r="D11848" s="49">
        <v>0.0</v>
      </c>
    </row>
    <row r="11849" ht="15.0" hidden="1" customHeight="1">
      <c r="A11849" s="49" t="s">
        <v>360</v>
      </c>
      <c r="B11849" s="50">
        <v>46022.0</v>
      </c>
      <c r="C11849" s="49" t="s">
        <v>777</v>
      </c>
      <c r="D11849" s="49">
        <v>0.0</v>
      </c>
    </row>
    <row r="11850" ht="15.0" hidden="1" customHeight="1">
      <c r="A11850" s="49" t="s">
        <v>365</v>
      </c>
      <c r="B11850" s="50">
        <v>46022.0</v>
      </c>
      <c r="C11850" s="49" t="s">
        <v>777</v>
      </c>
      <c r="D11850" s="49">
        <v>0.0</v>
      </c>
    </row>
    <row r="11851" ht="15.0" hidden="1" customHeight="1">
      <c r="A11851" s="49" t="s">
        <v>370</v>
      </c>
      <c r="B11851" s="50">
        <v>46022.0</v>
      </c>
      <c r="C11851" s="49" t="s">
        <v>777</v>
      </c>
      <c r="D11851" s="49">
        <v>0.0</v>
      </c>
    </row>
    <row r="11852" ht="15.0" hidden="1" customHeight="1">
      <c r="A11852" s="49" t="s">
        <v>375</v>
      </c>
      <c r="B11852" s="50">
        <v>46022.0</v>
      </c>
      <c r="C11852" s="49" t="s">
        <v>777</v>
      </c>
      <c r="D11852" s="49">
        <v>0.0</v>
      </c>
    </row>
    <row r="11853" ht="15.0" hidden="1" customHeight="1">
      <c r="A11853" s="49" t="s">
        <v>380</v>
      </c>
      <c r="B11853" s="50">
        <v>46022.0</v>
      </c>
      <c r="C11853" s="49" t="s">
        <v>777</v>
      </c>
      <c r="D11853" s="49">
        <v>0.0</v>
      </c>
    </row>
    <row r="11854" ht="15.0" hidden="1" customHeight="1">
      <c r="A11854" s="49" t="s">
        <v>385</v>
      </c>
      <c r="B11854" s="50">
        <v>46022.0</v>
      </c>
      <c r="C11854" s="49" t="s">
        <v>777</v>
      </c>
      <c r="D11854" s="49">
        <v>0.0</v>
      </c>
    </row>
    <row r="11855" ht="15.0" hidden="1" customHeight="1">
      <c r="A11855" s="49" t="s">
        <v>390</v>
      </c>
      <c r="B11855" s="50">
        <v>46022.0</v>
      </c>
      <c r="C11855" s="49" t="s">
        <v>777</v>
      </c>
      <c r="D11855" s="49">
        <v>1664288.27</v>
      </c>
    </row>
    <row r="11856" ht="15.0" hidden="1" customHeight="1">
      <c r="A11856" s="49" t="s">
        <v>395</v>
      </c>
      <c r="B11856" s="50">
        <v>46022.0</v>
      </c>
      <c r="C11856" s="49" t="s">
        <v>777</v>
      </c>
      <c r="D11856" s="49">
        <v>0.0</v>
      </c>
    </row>
    <row r="11857" ht="15.0" hidden="1" customHeight="1">
      <c r="A11857" s="49" t="s">
        <v>400</v>
      </c>
      <c r="B11857" s="50">
        <v>46022.0</v>
      </c>
      <c r="C11857" s="49" t="s">
        <v>777</v>
      </c>
      <c r="D11857" s="49">
        <v>0.0</v>
      </c>
    </row>
    <row r="11858" ht="15.0" hidden="1" customHeight="1">
      <c r="A11858" s="49" t="s">
        <v>405</v>
      </c>
      <c r="B11858" s="50">
        <v>46022.0</v>
      </c>
      <c r="C11858" s="49" t="s">
        <v>777</v>
      </c>
      <c r="D11858" s="49">
        <v>0.0</v>
      </c>
    </row>
    <row r="11859" ht="15.0" hidden="1" customHeight="1">
      <c r="A11859" s="49" t="s">
        <v>410</v>
      </c>
      <c r="B11859" s="50">
        <v>46022.0</v>
      </c>
      <c r="C11859" s="49" t="s">
        <v>777</v>
      </c>
      <c r="D11859" s="49">
        <v>0.0</v>
      </c>
    </row>
    <row r="11860" ht="15.0" hidden="1" customHeight="1">
      <c r="A11860" s="49" t="s">
        <v>415</v>
      </c>
      <c r="B11860" s="50">
        <v>46022.0</v>
      </c>
      <c r="C11860" s="49" t="s">
        <v>777</v>
      </c>
      <c r="D11860" s="49">
        <v>0.0</v>
      </c>
    </row>
    <row r="11861" ht="15.0" hidden="1" customHeight="1">
      <c r="A11861" s="49" t="s">
        <v>420</v>
      </c>
      <c r="B11861" s="50">
        <v>46022.0</v>
      </c>
      <c r="C11861" s="49" t="s">
        <v>777</v>
      </c>
      <c r="D11861" s="49">
        <v>0.0</v>
      </c>
    </row>
    <row r="11862" ht="15.0" hidden="1" customHeight="1">
      <c r="A11862" s="49" t="s">
        <v>425</v>
      </c>
      <c r="B11862" s="50">
        <v>46022.0</v>
      </c>
      <c r="C11862" s="49" t="s">
        <v>777</v>
      </c>
      <c r="D11862" s="49">
        <v>0.0</v>
      </c>
    </row>
    <row r="11863" ht="15.0" hidden="1" customHeight="1">
      <c r="A11863" s="49" t="s">
        <v>430</v>
      </c>
      <c r="B11863" s="50">
        <v>46022.0</v>
      </c>
      <c r="C11863" s="49" t="s">
        <v>777</v>
      </c>
      <c r="D11863" s="49">
        <v>0.0</v>
      </c>
    </row>
    <row r="11864" ht="15.0" hidden="1" customHeight="1">
      <c r="A11864" s="49" t="s">
        <v>434</v>
      </c>
      <c r="B11864" s="50">
        <v>46022.0</v>
      </c>
      <c r="C11864" s="49" t="s">
        <v>777</v>
      </c>
      <c r="D11864" s="49">
        <v>0.0</v>
      </c>
    </row>
    <row r="11865" ht="15.0" hidden="1" customHeight="1">
      <c r="A11865" s="49" t="s">
        <v>439</v>
      </c>
      <c r="B11865" s="50">
        <v>46022.0</v>
      </c>
      <c r="C11865" s="49" t="s">
        <v>777</v>
      </c>
      <c r="D11865" s="49">
        <v>0.0</v>
      </c>
    </row>
    <row r="11866" ht="15.0" hidden="1" customHeight="1">
      <c r="A11866" s="49" t="s">
        <v>444</v>
      </c>
      <c r="B11866" s="50">
        <v>46022.0</v>
      </c>
      <c r="C11866" s="49" t="s">
        <v>777</v>
      </c>
      <c r="D11866" s="49">
        <v>0.0</v>
      </c>
    </row>
    <row r="11867" ht="15.0" hidden="1" customHeight="1">
      <c r="A11867" s="49" t="s">
        <v>449</v>
      </c>
      <c r="B11867" s="50">
        <v>46022.0</v>
      </c>
      <c r="C11867" s="49" t="s">
        <v>777</v>
      </c>
      <c r="D11867" s="49">
        <v>0.0</v>
      </c>
    </row>
    <row r="11868" ht="15.0" hidden="1" customHeight="1">
      <c r="A11868" s="49" t="s">
        <v>455</v>
      </c>
      <c r="B11868" s="50">
        <v>46022.0</v>
      </c>
      <c r="C11868" s="49" t="s">
        <v>777</v>
      </c>
      <c r="D11868" s="49">
        <v>0.0</v>
      </c>
    </row>
    <row r="11869" ht="15.0" hidden="1" customHeight="1">
      <c r="A11869" s="49" t="s">
        <v>470</v>
      </c>
      <c r="B11869" s="50">
        <v>46022.0</v>
      </c>
      <c r="C11869" s="49" t="s">
        <v>777</v>
      </c>
      <c r="D11869" s="49">
        <v>0.0</v>
      </c>
    </row>
    <row r="11870" ht="15.0" hidden="1" customHeight="1">
      <c r="A11870" s="49" t="s">
        <v>476</v>
      </c>
      <c r="B11870" s="50">
        <v>46022.0</v>
      </c>
      <c r="C11870" s="49" t="s">
        <v>777</v>
      </c>
      <c r="D11870" s="49">
        <v>0.0</v>
      </c>
    </row>
    <row r="11871" ht="15.0" hidden="1" customHeight="1">
      <c r="A11871" s="49" t="s">
        <v>481</v>
      </c>
      <c r="B11871" s="50">
        <v>46022.0</v>
      </c>
      <c r="C11871" s="49" t="s">
        <v>777</v>
      </c>
      <c r="D11871" s="49">
        <v>0.0</v>
      </c>
    </row>
    <row r="11872" ht="15.0" hidden="1" customHeight="1">
      <c r="A11872" s="49" t="s">
        <v>486</v>
      </c>
      <c r="B11872" s="50">
        <v>46022.0</v>
      </c>
      <c r="C11872" s="49" t="s">
        <v>777</v>
      </c>
      <c r="D11872" s="49">
        <v>0.0</v>
      </c>
    </row>
    <row r="11873" ht="15.0" hidden="1" customHeight="1">
      <c r="A11873" s="49" t="s">
        <v>491</v>
      </c>
      <c r="B11873" s="50">
        <v>46022.0</v>
      </c>
      <c r="C11873" s="49" t="s">
        <v>777</v>
      </c>
      <c r="D11873" s="49">
        <v>0.0</v>
      </c>
    </row>
    <row r="11874" ht="15.0" hidden="1" customHeight="1">
      <c r="A11874" s="49" t="s">
        <v>496</v>
      </c>
      <c r="B11874" s="50">
        <v>46022.0</v>
      </c>
      <c r="C11874" s="49" t="s">
        <v>777</v>
      </c>
      <c r="D11874" s="49">
        <v>0.0</v>
      </c>
    </row>
    <row r="11875" ht="15.0" hidden="1" customHeight="1">
      <c r="A11875" s="49" t="s">
        <v>501</v>
      </c>
      <c r="B11875" s="50">
        <v>46022.0</v>
      </c>
      <c r="C11875" s="49" t="s">
        <v>777</v>
      </c>
      <c r="D11875" s="49">
        <v>0.0</v>
      </c>
    </row>
    <row r="11876" ht="15.0" hidden="1" customHeight="1">
      <c r="A11876" s="49" t="s">
        <v>506</v>
      </c>
      <c r="B11876" s="50">
        <v>46022.0</v>
      </c>
      <c r="C11876" s="49" t="s">
        <v>777</v>
      </c>
      <c r="D11876" s="49">
        <v>65046.88</v>
      </c>
    </row>
    <row r="11877" ht="15.0" hidden="1" customHeight="1">
      <c r="A11877" s="49" t="s">
        <v>512</v>
      </c>
      <c r="B11877" s="50">
        <v>46022.0</v>
      </c>
      <c r="C11877" s="49" t="s">
        <v>777</v>
      </c>
      <c r="D11877" s="49">
        <v>0.0</v>
      </c>
    </row>
    <row r="11878" ht="15.0" hidden="1" customHeight="1">
      <c r="A11878" s="49" t="s">
        <v>517</v>
      </c>
      <c r="B11878" s="50">
        <v>46022.0</v>
      </c>
      <c r="C11878" s="49" t="s">
        <v>777</v>
      </c>
      <c r="D11878" s="49">
        <v>0.0</v>
      </c>
    </row>
    <row r="11879" ht="15.0" hidden="1" customHeight="1">
      <c r="A11879" s="49" t="s">
        <v>522</v>
      </c>
      <c r="B11879" s="50">
        <v>46022.0</v>
      </c>
      <c r="C11879" s="49" t="s">
        <v>777</v>
      </c>
      <c r="D11879" s="49">
        <v>2805000.0</v>
      </c>
    </row>
    <row r="11880" ht="15.0" hidden="1" customHeight="1">
      <c r="A11880" s="49" t="s">
        <v>528</v>
      </c>
      <c r="B11880" s="50">
        <v>46022.0</v>
      </c>
      <c r="C11880" s="49" t="s">
        <v>777</v>
      </c>
      <c r="D11880" s="49">
        <v>0.0</v>
      </c>
    </row>
    <row r="11881" ht="15.0" hidden="1" customHeight="1">
      <c r="A11881" s="49" t="s">
        <v>533</v>
      </c>
      <c r="B11881" s="50">
        <v>46022.0</v>
      </c>
      <c r="C11881" s="49" t="s">
        <v>777</v>
      </c>
      <c r="D11881" s="49">
        <v>0.0</v>
      </c>
    </row>
    <row r="11882" ht="15.0" hidden="1" customHeight="1">
      <c r="A11882" s="49" t="s">
        <v>538</v>
      </c>
      <c r="B11882" s="50">
        <v>46022.0</v>
      </c>
      <c r="C11882" s="49" t="s">
        <v>777</v>
      </c>
      <c r="D11882" s="49">
        <v>0.0</v>
      </c>
    </row>
    <row r="11883" ht="15.0" hidden="1" customHeight="1">
      <c r="A11883" s="49" t="s">
        <v>546</v>
      </c>
      <c r="B11883" s="50">
        <v>46022.0</v>
      </c>
      <c r="C11883" s="49" t="s">
        <v>777</v>
      </c>
      <c r="D11883" s="49">
        <v>0.0</v>
      </c>
    </row>
    <row r="11884" ht="15.0" hidden="1" customHeight="1">
      <c r="A11884" s="49" t="s">
        <v>551</v>
      </c>
      <c r="B11884" s="50">
        <v>46022.0</v>
      </c>
      <c r="C11884" s="49" t="s">
        <v>777</v>
      </c>
      <c r="D11884" s="49">
        <v>0.0</v>
      </c>
    </row>
    <row r="11885" ht="15.0" hidden="1" customHeight="1">
      <c r="A11885" s="49" t="s">
        <v>556</v>
      </c>
      <c r="B11885" s="50">
        <v>46022.0</v>
      </c>
      <c r="C11885" s="49" t="s">
        <v>777</v>
      </c>
      <c r="D11885" s="49">
        <v>0.0</v>
      </c>
    </row>
    <row r="11886" ht="15.0" hidden="1" customHeight="1">
      <c r="A11886" s="49" t="s">
        <v>561</v>
      </c>
      <c r="B11886" s="50">
        <v>46022.0</v>
      </c>
      <c r="C11886" s="49" t="s">
        <v>777</v>
      </c>
      <c r="D11886" s="49">
        <v>0.0</v>
      </c>
    </row>
    <row r="11887" ht="15.0" hidden="1" customHeight="1">
      <c r="A11887" s="49" t="s">
        <v>566</v>
      </c>
      <c r="B11887" s="50">
        <v>46022.0</v>
      </c>
      <c r="C11887" s="49" t="s">
        <v>777</v>
      </c>
      <c r="D11887" s="49">
        <v>0.0</v>
      </c>
    </row>
    <row r="11888" ht="15.0" hidden="1" customHeight="1">
      <c r="A11888" s="49" t="s">
        <v>571</v>
      </c>
      <c r="B11888" s="50">
        <v>46022.0</v>
      </c>
      <c r="C11888" s="49" t="s">
        <v>777</v>
      </c>
      <c r="D11888" s="49">
        <v>0.0</v>
      </c>
    </row>
    <row r="11889" ht="15.0" hidden="1" customHeight="1">
      <c r="A11889" s="49" t="s">
        <v>576</v>
      </c>
      <c r="B11889" s="50">
        <v>46022.0</v>
      </c>
      <c r="C11889" s="49" t="s">
        <v>777</v>
      </c>
      <c r="D11889" s="49">
        <v>0.0</v>
      </c>
    </row>
    <row r="11890" ht="15.0" hidden="1" customHeight="1">
      <c r="A11890" s="49" t="s">
        <v>581</v>
      </c>
      <c r="B11890" s="50">
        <v>46022.0</v>
      </c>
      <c r="C11890" s="49" t="s">
        <v>777</v>
      </c>
      <c r="D11890" s="49">
        <v>0.0</v>
      </c>
    </row>
    <row r="11891" ht="15.0" hidden="1" customHeight="1">
      <c r="A11891" s="49" t="s">
        <v>586</v>
      </c>
      <c r="B11891" s="50">
        <v>46022.0</v>
      </c>
      <c r="C11891" s="49" t="s">
        <v>777</v>
      </c>
      <c r="D11891" s="49">
        <v>0.0</v>
      </c>
    </row>
    <row r="11892" ht="15.0" hidden="1" customHeight="1">
      <c r="A11892" s="49" t="s">
        <v>754</v>
      </c>
      <c r="B11892" s="50">
        <v>46022.0</v>
      </c>
      <c r="C11892" s="49" t="s">
        <v>777</v>
      </c>
      <c r="D11892" s="49">
        <v>0.0</v>
      </c>
    </row>
    <row r="11893" ht="15.0" hidden="1" customHeight="1">
      <c r="A11893" s="49" t="s">
        <v>591</v>
      </c>
      <c r="B11893" s="50">
        <v>46022.0</v>
      </c>
      <c r="C11893" s="49" t="s">
        <v>777</v>
      </c>
      <c r="D11893" s="49">
        <v>0.0</v>
      </c>
    </row>
    <row r="11894" ht="15.0" hidden="1" customHeight="1">
      <c r="A11894" s="49" t="s">
        <v>759</v>
      </c>
      <c r="B11894" s="50">
        <v>46022.0</v>
      </c>
      <c r="C11894" s="49" t="s">
        <v>777</v>
      </c>
      <c r="D11894" s="49">
        <v>0.0</v>
      </c>
    </row>
    <row r="11895" ht="15.0" hidden="1" customHeight="1">
      <c r="A11895" s="49" t="s">
        <v>596</v>
      </c>
      <c r="B11895" s="50">
        <v>46022.0</v>
      </c>
      <c r="C11895" s="49" t="s">
        <v>777</v>
      </c>
      <c r="D11895" s="49">
        <v>0.0</v>
      </c>
    </row>
    <row r="11896" ht="15.0" hidden="1" customHeight="1">
      <c r="A11896" s="49" t="s">
        <v>602</v>
      </c>
      <c r="B11896" s="50">
        <v>46022.0</v>
      </c>
      <c r="C11896" s="49" t="s">
        <v>777</v>
      </c>
      <c r="D11896" s="49">
        <v>0.0</v>
      </c>
    </row>
    <row r="11897" ht="15.0" hidden="1" customHeight="1">
      <c r="A11897" s="49" t="s">
        <v>607</v>
      </c>
      <c r="B11897" s="50">
        <v>46022.0</v>
      </c>
      <c r="C11897" s="49" t="s">
        <v>777</v>
      </c>
      <c r="D11897" s="49">
        <v>0.0</v>
      </c>
    </row>
    <row r="11898" ht="15.0" hidden="1" customHeight="1">
      <c r="A11898" s="49" t="s">
        <v>612</v>
      </c>
      <c r="B11898" s="50">
        <v>46022.0</v>
      </c>
      <c r="C11898" s="49" t="s">
        <v>777</v>
      </c>
      <c r="D11898" s="49">
        <v>0.0</v>
      </c>
    </row>
    <row r="11899" ht="15.0" hidden="1" customHeight="1">
      <c r="A11899" s="49" t="s">
        <v>617</v>
      </c>
      <c r="B11899" s="50">
        <v>46022.0</v>
      </c>
      <c r="C11899" s="49" t="s">
        <v>777</v>
      </c>
      <c r="D11899" s="49">
        <v>0.0</v>
      </c>
    </row>
    <row r="11900" ht="15.0" hidden="1" customHeight="1">
      <c r="A11900" s="49" t="s">
        <v>622</v>
      </c>
      <c r="B11900" s="50">
        <v>46022.0</v>
      </c>
      <c r="C11900" s="49" t="s">
        <v>777</v>
      </c>
      <c r="D11900" s="49">
        <v>0.0</v>
      </c>
    </row>
    <row r="11901" ht="15.0" hidden="1" customHeight="1">
      <c r="A11901" s="49" t="s">
        <v>627</v>
      </c>
      <c r="B11901" s="50">
        <v>46022.0</v>
      </c>
      <c r="C11901" s="49" t="s">
        <v>777</v>
      </c>
      <c r="D11901" s="49">
        <v>0.0</v>
      </c>
    </row>
    <row r="11902" ht="15.0" hidden="1" customHeight="1">
      <c r="A11902" s="49" t="s">
        <v>631</v>
      </c>
      <c r="B11902" s="50">
        <v>46022.0</v>
      </c>
      <c r="C11902" s="49" t="s">
        <v>777</v>
      </c>
      <c r="D11902" s="49">
        <v>0.0</v>
      </c>
    </row>
    <row r="11903" ht="15.0" hidden="1" customHeight="1">
      <c r="A11903" s="49" t="s">
        <v>636</v>
      </c>
      <c r="B11903" s="50">
        <v>46022.0</v>
      </c>
      <c r="C11903" s="49" t="s">
        <v>777</v>
      </c>
      <c r="D11903" s="49">
        <v>0.0</v>
      </c>
    </row>
    <row r="11904" ht="15.0" hidden="1" customHeight="1">
      <c r="A11904" s="49" t="s">
        <v>640</v>
      </c>
      <c r="B11904" s="50">
        <v>46022.0</v>
      </c>
      <c r="C11904" s="49" t="s">
        <v>777</v>
      </c>
      <c r="D11904" s="49">
        <v>0.0</v>
      </c>
    </row>
    <row r="11905" ht="15.0" hidden="1" customHeight="1">
      <c r="A11905" s="49" t="s">
        <v>644</v>
      </c>
      <c r="B11905" s="50">
        <v>46022.0</v>
      </c>
      <c r="C11905" s="49" t="s">
        <v>777</v>
      </c>
      <c r="D11905" s="49">
        <v>0.0</v>
      </c>
    </row>
    <row r="11906" ht="15.0" hidden="1" customHeight="1">
      <c r="A11906" s="49" t="s">
        <v>649</v>
      </c>
      <c r="B11906" s="50">
        <v>46022.0</v>
      </c>
      <c r="C11906" s="49" t="s">
        <v>777</v>
      </c>
      <c r="D11906" s="49">
        <v>0.0</v>
      </c>
    </row>
    <row r="11907" ht="15.0" hidden="1" customHeight="1">
      <c r="A11907" s="49" t="s">
        <v>654</v>
      </c>
      <c r="B11907" s="50">
        <v>46022.0</v>
      </c>
      <c r="C11907" s="49" t="s">
        <v>777</v>
      </c>
      <c r="D11907" s="49">
        <v>0.0</v>
      </c>
    </row>
    <row r="11908" ht="15.0" hidden="1" customHeight="1">
      <c r="A11908" s="49" t="s">
        <v>659</v>
      </c>
      <c r="B11908" s="50">
        <v>46022.0</v>
      </c>
      <c r="C11908" s="49" t="s">
        <v>777</v>
      </c>
      <c r="D11908" s="49">
        <v>0.0</v>
      </c>
    </row>
    <row r="11909" ht="15.0" hidden="1" customHeight="1">
      <c r="A11909" s="49" t="s">
        <v>664</v>
      </c>
      <c r="B11909" s="50">
        <v>46022.0</v>
      </c>
      <c r="C11909" s="49" t="s">
        <v>777</v>
      </c>
      <c r="D11909" s="49">
        <v>0.0</v>
      </c>
    </row>
    <row r="11910" ht="15.0" hidden="1" customHeight="1">
      <c r="A11910" s="49" t="s">
        <v>669</v>
      </c>
      <c r="B11910" s="50">
        <v>46022.0</v>
      </c>
      <c r="C11910" s="49" t="s">
        <v>777</v>
      </c>
      <c r="D11910" s="49">
        <v>0.0</v>
      </c>
    </row>
    <row r="11911" ht="15.0" hidden="1" customHeight="1">
      <c r="A11911" s="49" t="s">
        <v>674</v>
      </c>
      <c r="B11911" s="50">
        <v>46022.0</v>
      </c>
      <c r="C11911" s="49" t="s">
        <v>777</v>
      </c>
      <c r="D11911" s="49">
        <v>0.0</v>
      </c>
    </row>
    <row r="11912" ht="15.0" hidden="1" customHeight="1">
      <c r="A11912" s="49" t="s">
        <v>679</v>
      </c>
      <c r="B11912" s="50">
        <v>46022.0</v>
      </c>
      <c r="C11912" s="49" t="s">
        <v>777</v>
      </c>
      <c r="D11912" s="49">
        <v>0.0</v>
      </c>
    </row>
    <row r="11913" ht="15.0" hidden="1" customHeight="1">
      <c r="A11913" s="49" t="s">
        <v>684</v>
      </c>
      <c r="B11913" s="50">
        <v>46022.0</v>
      </c>
      <c r="C11913" s="49" t="s">
        <v>777</v>
      </c>
      <c r="D11913" s="49">
        <v>0.0</v>
      </c>
    </row>
    <row r="11914" ht="15.0" hidden="1" customHeight="1">
      <c r="A11914" s="49" t="s">
        <v>689</v>
      </c>
      <c r="B11914" s="50">
        <v>46022.0</v>
      </c>
      <c r="C11914" s="49" t="s">
        <v>777</v>
      </c>
      <c r="D11914" s="49">
        <v>0.0</v>
      </c>
    </row>
    <row r="11915" ht="15.0" hidden="1" customHeight="1">
      <c r="A11915" s="49" t="s">
        <v>694</v>
      </c>
      <c r="B11915" s="50">
        <v>46022.0</v>
      </c>
      <c r="C11915" s="49" t="s">
        <v>777</v>
      </c>
      <c r="D11915" s="49">
        <v>0.0</v>
      </c>
    </row>
    <row r="11916" ht="15.0" hidden="1" customHeight="1">
      <c r="A11916" s="49" t="s">
        <v>699</v>
      </c>
      <c r="B11916" s="50">
        <v>46022.0</v>
      </c>
      <c r="C11916" s="49" t="s">
        <v>777</v>
      </c>
      <c r="D11916" s="49">
        <v>0.0</v>
      </c>
    </row>
    <row r="11917" ht="15.0" hidden="1" customHeight="1">
      <c r="A11917" s="49" t="s">
        <v>705</v>
      </c>
      <c r="B11917" s="50">
        <v>46022.0</v>
      </c>
      <c r="C11917" s="49" t="s">
        <v>777</v>
      </c>
      <c r="D11917" s="49">
        <v>0.0</v>
      </c>
    </row>
    <row r="11918" ht="15.0" hidden="1" customHeight="1">
      <c r="A11918" s="49" t="s">
        <v>710</v>
      </c>
      <c r="B11918" s="50">
        <v>46022.0</v>
      </c>
      <c r="C11918" s="49" t="s">
        <v>777</v>
      </c>
      <c r="D11918" s="49">
        <v>0.0</v>
      </c>
    </row>
    <row r="11919" ht="15.0" hidden="1" customHeight="1">
      <c r="A11919" s="49" t="s">
        <v>715</v>
      </c>
      <c r="B11919" s="50">
        <v>46022.0</v>
      </c>
      <c r="C11919" s="49" t="s">
        <v>777</v>
      </c>
      <c r="D11919" s="49">
        <v>0.0</v>
      </c>
    </row>
    <row r="11920" ht="15.0" hidden="1" customHeight="1">
      <c r="A11920" s="49" t="s">
        <v>765</v>
      </c>
      <c r="B11920" s="50">
        <v>46022.0</v>
      </c>
      <c r="C11920" s="49" t="s">
        <v>777</v>
      </c>
      <c r="D11920" s="49">
        <v>0.0</v>
      </c>
    </row>
    <row r="11921" ht="15.0" hidden="1" customHeight="1">
      <c r="A11921" s="49" t="s">
        <v>720</v>
      </c>
      <c r="B11921" s="50">
        <v>46022.0</v>
      </c>
      <c r="C11921" s="49" t="s">
        <v>777</v>
      </c>
      <c r="D11921" s="49">
        <v>0.0</v>
      </c>
    </row>
    <row r="11922" ht="15.0" hidden="1" customHeight="1">
      <c r="A11922" s="49" t="s">
        <v>725</v>
      </c>
      <c r="B11922" s="50">
        <v>46022.0</v>
      </c>
      <c r="C11922" s="49" t="s">
        <v>777</v>
      </c>
      <c r="D11922" s="49">
        <v>0.0</v>
      </c>
    </row>
    <row r="11923" ht="15.0" hidden="1" customHeight="1">
      <c r="A11923" s="49" t="s">
        <v>730</v>
      </c>
      <c r="B11923" s="50">
        <v>46022.0</v>
      </c>
      <c r="C11923" s="49" t="s">
        <v>777</v>
      </c>
      <c r="D11923" s="49">
        <v>0.0</v>
      </c>
    </row>
    <row r="11924" ht="15.0" hidden="1" customHeight="1">
      <c r="A11924" s="49" t="s">
        <v>734</v>
      </c>
      <c r="B11924" s="50">
        <v>46022.0</v>
      </c>
      <c r="C11924" s="49" t="s">
        <v>777</v>
      </c>
      <c r="D11924" s="49">
        <v>0.0</v>
      </c>
    </row>
    <row r="11925" ht="15.0" hidden="1" customHeight="1">
      <c r="A11925" s="49" t="s">
        <v>739</v>
      </c>
      <c r="B11925" s="50">
        <v>46022.0</v>
      </c>
      <c r="C11925" s="49" t="s">
        <v>777</v>
      </c>
      <c r="D11925" s="49">
        <v>0.0</v>
      </c>
    </row>
    <row r="11926" ht="15.0" hidden="1" customHeight="1">
      <c r="A11926" s="49" t="s">
        <v>744</v>
      </c>
      <c r="B11926" s="50">
        <v>46022.0</v>
      </c>
      <c r="C11926" s="49" t="s">
        <v>777</v>
      </c>
      <c r="D11926" s="49">
        <v>0.0</v>
      </c>
    </row>
    <row r="11927" ht="15.0" hidden="1" customHeight="1">
      <c r="A11927" s="49" t="s">
        <v>749</v>
      </c>
      <c r="B11927" s="50">
        <v>46022.0</v>
      </c>
      <c r="C11927" s="49" t="s">
        <v>777</v>
      </c>
      <c r="D11927" s="49">
        <v>0.0</v>
      </c>
    </row>
    <row r="11928" ht="15.0" customHeight="1">
      <c r="A11928" s="49" t="s">
        <v>776</v>
      </c>
      <c r="B11928" s="50">
        <v>46022.0</v>
      </c>
      <c r="C11928" s="49" t="s">
        <v>78</v>
      </c>
      <c r="D11928" s="49">
        <v>0.0</v>
      </c>
    </row>
    <row r="11929" ht="15.0" hidden="1" customHeight="1">
      <c r="A11929" s="49" t="s">
        <v>778</v>
      </c>
      <c r="B11929" s="50">
        <v>46022.0</v>
      </c>
      <c r="C11929" s="49" t="s">
        <v>78</v>
      </c>
      <c r="D11929" s="49">
        <v>0.0</v>
      </c>
    </row>
    <row r="11930" ht="15.0" hidden="1" customHeight="1">
      <c r="A11930" s="49" t="s">
        <v>92</v>
      </c>
      <c r="B11930" s="50">
        <v>46022.0</v>
      </c>
      <c r="C11930" s="49" t="s">
        <v>78</v>
      </c>
      <c r="D11930" s="49">
        <v>0.0</v>
      </c>
    </row>
    <row r="11931" ht="15.0" hidden="1" customHeight="1">
      <c r="A11931" s="49" t="s">
        <v>97</v>
      </c>
      <c r="B11931" s="50">
        <v>46022.0</v>
      </c>
      <c r="C11931" s="49" t="s">
        <v>78</v>
      </c>
      <c r="D11931" s="49">
        <v>0.0</v>
      </c>
    </row>
    <row r="11932" ht="15.0" hidden="1" customHeight="1">
      <c r="A11932" s="49" t="s">
        <v>102</v>
      </c>
      <c r="B11932" s="50">
        <v>46022.0</v>
      </c>
      <c r="C11932" s="49" t="s">
        <v>78</v>
      </c>
      <c r="D11932" s="49">
        <v>0.0</v>
      </c>
    </row>
    <row r="11933" ht="15.0" hidden="1" customHeight="1">
      <c r="A11933" s="49" t="s">
        <v>106</v>
      </c>
      <c r="B11933" s="50">
        <v>46022.0</v>
      </c>
      <c r="C11933" s="49" t="s">
        <v>78</v>
      </c>
      <c r="D11933" s="49">
        <v>0.0</v>
      </c>
    </row>
    <row r="11934" ht="15.0" hidden="1" customHeight="1">
      <c r="A11934" s="49" t="s">
        <v>111</v>
      </c>
      <c r="B11934" s="50">
        <v>46022.0</v>
      </c>
      <c r="C11934" s="49" t="s">
        <v>78</v>
      </c>
      <c r="D11934" s="49">
        <v>0.0</v>
      </c>
    </row>
    <row r="11935" ht="15.0" hidden="1" customHeight="1">
      <c r="A11935" s="49" t="s">
        <v>116</v>
      </c>
      <c r="B11935" s="50">
        <v>46022.0</v>
      </c>
      <c r="C11935" s="49" t="s">
        <v>78</v>
      </c>
      <c r="D11935" s="49">
        <v>0.0</v>
      </c>
    </row>
    <row r="11936" ht="15.0" hidden="1" customHeight="1">
      <c r="A11936" s="49" t="s">
        <v>120</v>
      </c>
      <c r="B11936" s="50">
        <v>46022.0</v>
      </c>
      <c r="C11936" s="49" t="s">
        <v>78</v>
      </c>
      <c r="D11936" s="49">
        <v>0.0</v>
      </c>
    </row>
    <row r="11937" ht="15.0" hidden="1" customHeight="1">
      <c r="A11937" s="49" t="s">
        <v>125</v>
      </c>
      <c r="B11937" s="50">
        <v>46022.0</v>
      </c>
      <c r="C11937" s="49" t="s">
        <v>78</v>
      </c>
      <c r="D11937" s="49">
        <v>0.0</v>
      </c>
    </row>
    <row r="11938" ht="15.0" hidden="1" customHeight="1">
      <c r="A11938" s="49" t="s">
        <v>130</v>
      </c>
      <c r="B11938" s="50">
        <v>46022.0</v>
      </c>
      <c r="C11938" s="49" t="s">
        <v>78</v>
      </c>
      <c r="D11938" s="49">
        <v>0.0</v>
      </c>
    </row>
    <row r="11939" ht="15.0" hidden="1" customHeight="1">
      <c r="A11939" s="49" t="s">
        <v>137</v>
      </c>
      <c r="B11939" s="50">
        <v>46022.0</v>
      </c>
      <c r="C11939" s="49" t="s">
        <v>78</v>
      </c>
      <c r="D11939" s="49">
        <v>0.0</v>
      </c>
    </row>
    <row r="11940" ht="15.0" hidden="1" customHeight="1">
      <c r="A11940" s="49" t="s">
        <v>142</v>
      </c>
      <c r="B11940" s="50">
        <v>46022.0</v>
      </c>
      <c r="C11940" s="49" t="s">
        <v>78</v>
      </c>
      <c r="D11940" s="49">
        <v>0.0</v>
      </c>
    </row>
    <row r="11941" ht="15.0" hidden="1" customHeight="1">
      <c r="A11941" s="49" t="s">
        <v>147</v>
      </c>
      <c r="B11941" s="50">
        <v>46022.0</v>
      </c>
      <c r="C11941" s="49" t="s">
        <v>78</v>
      </c>
      <c r="D11941" s="49">
        <v>0.0</v>
      </c>
    </row>
    <row r="11942" ht="15.0" hidden="1" customHeight="1">
      <c r="A11942" s="49" t="s">
        <v>152</v>
      </c>
      <c r="B11942" s="50">
        <v>46022.0</v>
      </c>
      <c r="C11942" s="49" t="s">
        <v>78</v>
      </c>
      <c r="D11942" s="49">
        <v>0.0</v>
      </c>
    </row>
    <row r="11943" ht="15.0" hidden="1" customHeight="1">
      <c r="A11943" s="49" t="s">
        <v>157</v>
      </c>
      <c r="B11943" s="50">
        <v>46022.0</v>
      </c>
      <c r="C11943" s="49" t="s">
        <v>78</v>
      </c>
      <c r="D11943" s="49">
        <v>0.0</v>
      </c>
    </row>
    <row r="11944" ht="15.0" hidden="1" customHeight="1">
      <c r="A11944" s="49" t="s">
        <v>162</v>
      </c>
      <c r="B11944" s="50">
        <v>46022.0</v>
      </c>
      <c r="C11944" s="49" t="s">
        <v>78</v>
      </c>
      <c r="D11944" s="49">
        <v>0.0</v>
      </c>
    </row>
    <row r="11945" ht="15.0" hidden="1" customHeight="1">
      <c r="A11945" s="49" t="s">
        <v>167</v>
      </c>
      <c r="B11945" s="50">
        <v>46022.0</v>
      </c>
      <c r="C11945" s="49" t="s">
        <v>78</v>
      </c>
      <c r="D11945" s="49">
        <v>0.0</v>
      </c>
    </row>
    <row r="11946" ht="15.0" hidden="1" customHeight="1">
      <c r="A11946" s="49" t="s">
        <v>172</v>
      </c>
      <c r="B11946" s="50">
        <v>46022.0</v>
      </c>
      <c r="C11946" s="49" t="s">
        <v>78</v>
      </c>
      <c r="D11946" s="49">
        <v>0.0</v>
      </c>
    </row>
    <row r="11947" ht="15.0" hidden="1" customHeight="1">
      <c r="A11947" s="49" t="s">
        <v>177</v>
      </c>
      <c r="B11947" s="50">
        <v>46022.0</v>
      </c>
      <c r="C11947" s="49" t="s">
        <v>78</v>
      </c>
      <c r="D11947" s="49">
        <v>0.0</v>
      </c>
    </row>
    <row r="11948" ht="15.0" hidden="1" customHeight="1">
      <c r="A11948" s="49" t="s">
        <v>182</v>
      </c>
      <c r="B11948" s="50">
        <v>46022.0</v>
      </c>
      <c r="C11948" s="49" t="s">
        <v>78</v>
      </c>
      <c r="D11948" s="49">
        <v>0.0</v>
      </c>
    </row>
    <row r="11949" ht="15.0" hidden="1" customHeight="1">
      <c r="A11949" s="49" t="s">
        <v>187</v>
      </c>
      <c r="B11949" s="50">
        <v>46022.0</v>
      </c>
      <c r="C11949" s="49" t="s">
        <v>78</v>
      </c>
      <c r="D11949" s="49">
        <v>0.0</v>
      </c>
    </row>
    <row r="11950" ht="15.0" hidden="1" customHeight="1">
      <c r="A11950" s="49" t="s">
        <v>192</v>
      </c>
      <c r="B11950" s="50">
        <v>46022.0</v>
      </c>
      <c r="C11950" s="49" t="s">
        <v>78</v>
      </c>
      <c r="D11950" s="49">
        <v>0.0</v>
      </c>
    </row>
    <row r="11951" ht="15.0" hidden="1" customHeight="1">
      <c r="A11951" s="49" t="s">
        <v>197</v>
      </c>
      <c r="B11951" s="50">
        <v>46022.0</v>
      </c>
      <c r="C11951" s="49" t="s">
        <v>78</v>
      </c>
      <c r="D11951" s="49">
        <v>0.0</v>
      </c>
    </row>
    <row r="11952" ht="15.0" hidden="1" customHeight="1">
      <c r="A11952" s="49" t="s">
        <v>202</v>
      </c>
      <c r="B11952" s="50">
        <v>46022.0</v>
      </c>
      <c r="C11952" s="49" t="s">
        <v>78</v>
      </c>
      <c r="D11952" s="49">
        <v>0.0</v>
      </c>
    </row>
    <row r="11953" ht="15.0" hidden="1" customHeight="1">
      <c r="A11953" s="49" t="s">
        <v>206</v>
      </c>
      <c r="B11953" s="50">
        <v>46022.0</v>
      </c>
      <c r="C11953" s="49" t="s">
        <v>78</v>
      </c>
      <c r="D11953" s="49">
        <v>0.0</v>
      </c>
    </row>
    <row r="11954" ht="15.0" hidden="1" customHeight="1">
      <c r="A11954" s="49" t="s">
        <v>211</v>
      </c>
      <c r="B11954" s="50">
        <v>46022.0</v>
      </c>
      <c r="C11954" s="49" t="s">
        <v>78</v>
      </c>
      <c r="D11954" s="49">
        <v>0.0</v>
      </c>
    </row>
    <row r="11955" ht="15.0" hidden="1" customHeight="1">
      <c r="A11955" s="49" t="s">
        <v>779</v>
      </c>
      <c r="B11955" s="50">
        <v>46022.0</v>
      </c>
      <c r="C11955" s="49" t="s">
        <v>78</v>
      </c>
      <c r="D11955" s="49">
        <v>0.0</v>
      </c>
    </row>
    <row r="11956" ht="15.0" hidden="1" customHeight="1">
      <c r="A11956" s="49" t="s">
        <v>221</v>
      </c>
      <c r="B11956" s="50">
        <v>46022.0</v>
      </c>
      <c r="C11956" s="49" t="s">
        <v>78</v>
      </c>
      <c r="D11956" s="49">
        <v>0.0</v>
      </c>
    </row>
    <row r="11957" ht="15.0" hidden="1" customHeight="1">
      <c r="A11957" s="49" t="s">
        <v>226</v>
      </c>
      <c r="B11957" s="50">
        <v>46022.0</v>
      </c>
      <c r="C11957" s="49" t="s">
        <v>78</v>
      </c>
      <c r="D11957" s="49">
        <v>0.0</v>
      </c>
    </row>
    <row r="11958" ht="15.0" hidden="1" customHeight="1">
      <c r="A11958" s="49" t="s">
        <v>231</v>
      </c>
      <c r="B11958" s="50">
        <v>46022.0</v>
      </c>
      <c r="C11958" s="49" t="s">
        <v>78</v>
      </c>
      <c r="D11958" s="49">
        <v>0.0</v>
      </c>
    </row>
    <row r="11959" ht="15.0" hidden="1" customHeight="1">
      <c r="A11959" s="49" t="s">
        <v>236</v>
      </c>
      <c r="B11959" s="50">
        <v>46022.0</v>
      </c>
      <c r="C11959" s="49" t="s">
        <v>78</v>
      </c>
      <c r="D11959" s="49">
        <v>0.0</v>
      </c>
    </row>
    <row r="11960" ht="15.0" hidden="1" customHeight="1">
      <c r="A11960" s="49" t="s">
        <v>242</v>
      </c>
      <c r="B11960" s="50">
        <v>46022.0</v>
      </c>
      <c r="C11960" s="49" t="s">
        <v>78</v>
      </c>
      <c r="D11960" s="49">
        <v>0.0</v>
      </c>
    </row>
    <row r="11961" ht="15.0" hidden="1" customHeight="1">
      <c r="A11961" s="49" t="s">
        <v>248</v>
      </c>
      <c r="B11961" s="50">
        <v>46022.0</v>
      </c>
      <c r="C11961" s="49" t="s">
        <v>78</v>
      </c>
      <c r="D11961" s="49">
        <v>0.0</v>
      </c>
    </row>
    <row r="11962" ht="15.0" hidden="1" customHeight="1">
      <c r="A11962" s="49" t="s">
        <v>253</v>
      </c>
      <c r="B11962" s="50">
        <v>46022.0</v>
      </c>
      <c r="C11962" s="49" t="s">
        <v>78</v>
      </c>
      <c r="D11962" s="49">
        <v>0.0</v>
      </c>
    </row>
    <row r="11963" ht="15.0" hidden="1" customHeight="1">
      <c r="A11963" s="49" t="s">
        <v>258</v>
      </c>
      <c r="B11963" s="50">
        <v>46022.0</v>
      </c>
      <c r="C11963" s="49" t="s">
        <v>78</v>
      </c>
      <c r="D11963" s="49">
        <v>0.0</v>
      </c>
    </row>
    <row r="11964" ht="15.0" hidden="1" customHeight="1">
      <c r="A11964" s="49" t="s">
        <v>263</v>
      </c>
      <c r="B11964" s="50">
        <v>46022.0</v>
      </c>
      <c r="C11964" s="49" t="s">
        <v>78</v>
      </c>
      <c r="D11964" s="49">
        <v>0.0</v>
      </c>
    </row>
    <row r="11965" ht="15.0" hidden="1" customHeight="1">
      <c r="A11965" s="49" t="s">
        <v>268</v>
      </c>
      <c r="B11965" s="50">
        <v>46022.0</v>
      </c>
      <c r="C11965" s="49" t="s">
        <v>78</v>
      </c>
      <c r="D11965" s="49">
        <v>0.0</v>
      </c>
    </row>
    <row r="11966" ht="15.0" hidden="1" customHeight="1">
      <c r="A11966" s="49" t="s">
        <v>273</v>
      </c>
      <c r="B11966" s="50">
        <v>46022.0</v>
      </c>
      <c r="C11966" s="49" t="s">
        <v>78</v>
      </c>
      <c r="D11966" s="49">
        <v>0.0</v>
      </c>
    </row>
    <row r="11967" ht="15.0" hidden="1" customHeight="1">
      <c r="A11967" s="49" t="s">
        <v>278</v>
      </c>
      <c r="B11967" s="50">
        <v>46022.0</v>
      </c>
      <c r="C11967" s="49" t="s">
        <v>78</v>
      </c>
      <c r="D11967" s="49">
        <v>0.0</v>
      </c>
    </row>
    <row r="11968" ht="15.0" hidden="1" customHeight="1">
      <c r="A11968" s="49" t="s">
        <v>283</v>
      </c>
      <c r="B11968" s="50">
        <v>46022.0</v>
      </c>
      <c r="C11968" s="49" t="s">
        <v>78</v>
      </c>
      <c r="D11968" s="49">
        <v>0.0</v>
      </c>
    </row>
    <row r="11969" ht="15.0" hidden="1" customHeight="1">
      <c r="A11969" s="49" t="s">
        <v>288</v>
      </c>
      <c r="B11969" s="50">
        <v>46022.0</v>
      </c>
      <c r="C11969" s="49" t="s">
        <v>78</v>
      </c>
      <c r="D11969" s="49">
        <v>0.0</v>
      </c>
    </row>
    <row r="11970" ht="15.0" hidden="1" customHeight="1">
      <c r="A11970" s="49" t="s">
        <v>293</v>
      </c>
      <c r="B11970" s="50">
        <v>46022.0</v>
      </c>
      <c r="C11970" s="49" t="s">
        <v>78</v>
      </c>
      <c r="D11970" s="49">
        <v>0.0</v>
      </c>
    </row>
    <row r="11971" ht="15.0" hidden="1" customHeight="1">
      <c r="A11971" s="49" t="s">
        <v>298</v>
      </c>
      <c r="B11971" s="50">
        <v>46022.0</v>
      </c>
      <c r="C11971" s="49" t="s">
        <v>78</v>
      </c>
      <c r="D11971" s="49">
        <v>0.0</v>
      </c>
    </row>
    <row r="11972" ht="15.0" hidden="1" customHeight="1">
      <c r="A11972" s="49" t="s">
        <v>303</v>
      </c>
      <c r="B11972" s="50">
        <v>46022.0</v>
      </c>
      <c r="C11972" s="49" t="s">
        <v>78</v>
      </c>
      <c r="D11972" s="49">
        <v>0.0</v>
      </c>
    </row>
    <row r="11973" ht="15.0" hidden="1" customHeight="1">
      <c r="A11973" s="49" t="s">
        <v>307</v>
      </c>
      <c r="B11973" s="50">
        <v>46022.0</v>
      </c>
      <c r="C11973" s="49" t="s">
        <v>78</v>
      </c>
      <c r="D11973" s="49">
        <v>0.0</v>
      </c>
    </row>
    <row r="11974" ht="15.0" hidden="1" customHeight="1">
      <c r="A11974" s="49" t="s">
        <v>313</v>
      </c>
      <c r="B11974" s="50">
        <v>46022.0</v>
      </c>
      <c r="C11974" s="49" t="s">
        <v>78</v>
      </c>
      <c r="D11974" s="49">
        <v>0.0</v>
      </c>
    </row>
    <row r="11975" ht="15.0" hidden="1" customHeight="1">
      <c r="A11975" s="49" t="s">
        <v>318</v>
      </c>
      <c r="B11975" s="50">
        <v>46022.0</v>
      </c>
      <c r="C11975" s="49" t="s">
        <v>78</v>
      </c>
      <c r="D11975" s="49">
        <v>0.0</v>
      </c>
    </row>
    <row r="11976" ht="15.0" hidden="1" customHeight="1">
      <c r="A11976" s="49" t="s">
        <v>323</v>
      </c>
      <c r="B11976" s="50">
        <v>46022.0</v>
      </c>
      <c r="C11976" s="49" t="s">
        <v>78</v>
      </c>
      <c r="D11976" s="49">
        <v>0.0</v>
      </c>
    </row>
    <row r="11977" ht="15.0" hidden="1" customHeight="1">
      <c r="A11977" s="49" t="s">
        <v>328</v>
      </c>
      <c r="B11977" s="50">
        <v>46022.0</v>
      </c>
      <c r="C11977" s="49" t="s">
        <v>78</v>
      </c>
      <c r="D11977" s="49">
        <v>0.0</v>
      </c>
    </row>
    <row r="11978" ht="15.0" hidden="1" customHeight="1">
      <c r="A11978" s="49" t="s">
        <v>335</v>
      </c>
      <c r="B11978" s="50">
        <v>46022.0</v>
      </c>
      <c r="C11978" s="49" t="s">
        <v>78</v>
      </c>
      <c r="D11978" s="49">
        <v>0.0</v>
      </c>
    </row>
    <row r="11979" ht="15.0" hidden="1" customHeight="1">
      <c r="A11979" s="49" t="s">
        <v>340</v>
      </c>
      <c r="B11979" s="50">
        <v>46022.0</v>
      </c>
      <c r="C11979" s="49" t="s">
        <v>78</v>
      </c>
      <c r="D11979" s="49">
        <v>0.0</v>
      </c>
    </row>
    <row r="11980" ht="15.0" hidden="1" customHeight="1">
      <c r="A11980" s="49" t="s">
        <v>345</v>
      </c>
      <c r="B11980" s="50">
        <v>46022.0</v>
      </c>
      <c r="C11980" s="49" t="s">
        <v>78</v>
      </c>
      <c r="D11980" s="49">
        <v>0.0</v>
      </c>
    </row>
    <row r="11981" ht="15.0" hidden="1" customHeight="1">
      <c r="A11981" s="49" t="s">
        <v>350</v>
      </c>
      <c r="B11981" s="50">
        <v>46022.0</v>
      </c>
      <c r="C11981" s="49" t="s">
        <v>78</v>
      </c>
      <c r="D11981" s="49">
        <v>0.0</v>
      </c>
    </row>
    <row r="11982" ht="15.0" hidden="1" customHeight="1">
      <c r="A11982" s="49" t="s">
        <v>355</v>
      </c>
      <c r="B11982" s="50">
        <v>46022.0</v>
      </c>
      <c r="C11982" s="49" t="s">
        <v>78</v>
      </c>
      <c r="D11982" s="49">
        <v>0.0</v>
      </c>
    </row>
    <row r="11983" ht="15.0" hidden="1" customHeight="1">
      <c r="A11983" s="49" t="s">
        <v>360</v>
      </c>
      <c r="B11983" s="50">
        <v>46022.0</v>
      </c>
      <c r="C11983" s="49" t="s">
        <v>78</v>
      </c>
      <c r="D11983" s="49">
        <v>0.0</v>
      </c>
    </row>
    <row r="11984" ht="15.0" hidden="1" customHeight="1">
      <c r="A11984" s="49" t="s">
        <v>365</v>
      </c>
      <c r="B11984" s="50">
        <v>46022.0</v>
      </c>
      <c r="C11984" s="49" t="s">
        <v>78</v>
      </c>
      <c r="D11984" s="49">
        <v>0.0</v>
      </c>
    </row>
    <row r="11985" ht="15.0" hidden="1" customHeight="1">
      <c r="A11985" s="49" t="s">
        <v>370</v>
      </c>
      <c r="B11985" s="50">
        <v>46022.0</v>
      </c>
      <c r="C11985" s="49" t="s">
        <v>78</v>
      </c>
      <c r="D11985" s="49">
        <v>0.0</v>
      </c>
    </row>
    <row r="11986" ht="15.0" hidden="1" customHeight="1">
      <c r="A11986" s="49" t="s">
        <v>375</v>
      </c>
      <c r="B11986" s="50">
        <v>46022.0</v>
      </c>
      <c r="C11986" s="49" t="s">
        <v>78</v>
      </c>
      <c r="D11986" s="49">
        <v>0.0</v>
      </c>
    </row>
    <row r="11987" ht="15.0" hidden="1" customHeight="1">
      <c r="A11987" s="49" t="s">
        <v>380</v>
      </c>
      <c r="B11987" s="50">
        <v>46022.0</v>
      </c>
      <c r="C11987" s="49" t="s">
        <v>78</v>
      </c>
      <c r="D11987" s="49">
        <v>0.0</v>
      </c>
    </row>
    <row r="11988" ht="15.0" hidden="1" customHeight="1">
      <c r="A11988" s="49" t="s">
        <v>385</v>
      </c>
      <c r="B11988" s="50">
        <v>46022.0</v>
      </c>
      <c r="C11988" s="49" t="s">
        <v>78</v>
      </c>
      <c r="D11988" s="49">
        <v>0.0</v>
      </c>
    </row>
    <row r="11989" ht="15.0" hidden="1" customHeight="1">
      <c r="A11989" s="49" t="s">
        <v>390</v>
      </c>
      <c r="B11989" s="50">
        <v>46022.0</v>
      </c>
      <c r="C11989" s="49" t="s">
        <v>78</v>
      </c>
      <c r="D11989" s="49">
        <v>1664288.27</v>
      </c>
    </row>
    <row r="11990" ht="15.0" hidden="1" customHeight="1">
      <c r="A11990" s="49" t="s">
        <v>395</v>
      </c>
      <c r="B11990" s="50">
        <v>46022.0</v>
      </c>
      <c r="C11990" s="49" t="s">
        <v>78</v>
      </c>
      <c r="D11990" s="49">
        <v>0.0</v>
      </c>
    </row>
    <row r="11991" ht="15.0" hidden="1" customHeight="1">
      <c r="A11991" s="49" t="s">
        <v>400</v>
      </c>
      <c r="B11991" s="50">
        <v>46022.0</v>
      </c>
      <c r="C11991" s="49" t="s">
        <v>78</v>
      </c>
      <c r="D11991" s="49">
        <v>0.0</v>
      </c>
    </row>
    <row r="11992" ht="15.0" hidden="1" customHeight="1">
      <c r="A11992" s="49" t="s">
        <v>405</v>
      </c>
      <c r="B11992" s="50">
        <v>46022.0</v>
      </c>
      <c r="C11992" s="49" t="s">
        <v>78</v>
      </c>
      <c r="D11992" s="49">
        <v>0.0</v>
      </c>
    </row>
    <row r="11993" ht="15.0" hidden="1" customHeight="1">
      <c r="A11993" s="49" t="s">
        <v>410</v>
      </c>
      <c r="B11993" s="50">
        <v>46022.0</v>
      </c>
      <c r="C11993" s="49" t="s">
        <v>78</v>
      </c>
      <c r="D11993" s="49">
        <v>0.0</v>
      </c>
    </row>
    <row r="11994" ht="15.0" hidden="1" customHeight="1">
      <c r="A11994" s="49" t="s">
        <v>415</v>
      </c>
      <c r="B11994" s="50">
        <v>46022.0</v>
      </c>
      <c r="C11994" s="49" t="s">
        <v>78</v>
      </c>
      <c r="D11994" s="49">
        <v>0.0</v>
      </c>
    </row>
    <row r="11995" ht="15.0" hidden="1" customHeight="1">
      <c r="A11995" s="49" t="s">
        <v>420</v>
      </c>
      <c r="B11995" s="50">
        <v>46022.0</v>
      </c>
      <c r="C11995" s="49" t="s">
        <v>78</v>
      </c>
      <c r="D11995" s="49">
        <v>0.0</v>
      </c>
    </row>
    <row r="11996" ht="15.0" hidden="1" customHeight="1">
      <c r="A11996" s="49" t="s">
        <v>425</v>
      </c>
      <c r="B11996" s="50">
        <v>46022.0</v>
      </c>
      <c r="C11996" s="49" t="s">
        <v>78</v>
      </c>
      <c r="D11996" s="49">
        <v>0.0</v>
      </c>
    </row>
    <row r="11997" ht="15.0" hidden="1" customHeight="1">
      <c r="A11997" s="49" t="s">
        <v>430</v>
      </c>
      <c r="B11997" s="50">
        <v>46022.0</v>
      </c>
      <c r="C11997" s="49" t="s">
        <v>78</v>
      </c>
      <c r="D11997" s="49">
        <v>0.0</v>
      </c>
    </row>
    <row r="11998" ht="15.0" hidden="1" customHeight="1">
      <c r="A11998" s="49" t="s">
        <v>434</v>
      </c>
      <c r="B11998" s="50">
        <v>46022.0</v>
      </c>
      <c r="C11998" s="49" t="s">
        <v>78</v>
      </c>
      <c r="D11998" s="49">
        <v>0.0</v>
      </c>
    </row>
    <row r="11999" ht="15.0" hidden="1" customHeight="1">
      <c r="A11999" s="49" t="s">
        <v>439</v>
      </c>
      <c r="B11999" s="50">
        <v>46022.0</v>
      </c>
      <c r="C11999" s="49" t="s">
        <v>78</v>
      </c>
      <c r="D11999" s="49">
        <v>0.0</v>
      </c>
    </row>
    <row r="12000" ht="15.0" hidden="1" customHeight="1">
      <c r="A12000" s="49" t="s">
        <v>444</v>
      </c>
      <c r="B12000" s="50">
        <v>46022.0</v>
      </c>
      <c r="C12000" s="49" t="s">
        <v>78</v>
      </c>
      <c r="D12000" s="49">
        <v>0.0</v>
      </c>
    </row>
    <row r="12001" ht="15.0" hidden="1" customHeight="1">
      <c r="A12001" s="49" t="s">
        <v>449</v>
      </c>
      <c r="B12001" s="50">
        <v>46022.0</v>
      </c>
      <c r="C12001" s="49" t="s">
        <v>78</v>
      </c>
      <c r="D12001" s="49">
        <v>0.0</v>
      </c>
    </row>
    <row r="12002" ht="15.0" hidden="1" customHeight="1">
      <c r="A12002" s="49" t="s">
        <v>455</v>
      </c>
      <c r="B12002" s="50">
        <v>46022.0</v>
      </c>
      <c r="C12002" s="49" t="s">
        <v>78</v>
      </c>
      <c r="D12002" s="49">
        <v>0.0</v>
      </c>
    </row>
    <row r="12003" ht="15.0" hidden="1" customHeight="1">
      <c r="A12003" s="49" t="s">
        <v>470</v>
      </c>
      <c r="B12003" s="50">
        <v>46022.0</v>
      </c>
      <c r="C12003" s="49" t="s">
        <v>78</v>
      </c>
      <c r="D12003" s="49">
        <v>0.0</v>
      </c>
    </row>
    <row r="12004" ht="15.0" hidden="1" customHeight="1">
      <c r="A12004" s="49" t="s">
        <v>476</v>
      </c>
      <c r="B12004" s="50">
        <v>46022.0</v>
      </c>
      <c r="C12004" s="49" t="s">
        <v>78</v>
      </c>
      <c r="D12004" s="49">
        <v>0.0</v>
      </c>
    </row>
    <row r="12005" ht="15.0" hidden="1" customHeight="1">
      <c r="A12005" s="49" t="s">
        <v>481</v>
      </c>
      <c r="B12005" s="50">
        <v>46022.0</v>
      </c>
      <c r="C12005" s="49" t="s">
        <v>78</v>
      </c>
      <c r="D12005" s="49">
        <v>0.0</v>
      </c>
    </row>
    <row r="12006" ht="15.0" hidden="1" customHeight="1">
      <c r="A12006" s="49" t="s">
        <v>486</v>
      </c>
      <c r="B12006" s="50">
        <v>46022.0</v>
      </c>
      <c r="C12006" s="49" t="s">
        <v>78</v>
      </c>
      <c r="D12006" s="49">
        <v>0.0</v>
      </c>
    </row>
    <row r="12007" ht="15.0" hidden="1" customHeight="1">
      <c r="A12007" s="49" t="s">
        <v>491</v>
      </c>
      <c r="B12007" s="50">
        <v>46022.0</v>
      </c>
      <c r="C12007" s="49" t="s">
        <v>78</v>
      </c>
      <c r="D12007" s="49">
        <v>0.0</v>
      </c>
    </row>
    <row r="12008" ht="15.0" hidden="1" customHeight="1">
      <c r="A12008" s="49" t="s">
        <v>496</v>
      </c>
      <c r="B12008" s="50">
        <v>46022.0</v>
      </c>
      <c r="C12008" s="49" t="s">
        <v>78</v>
      </c>
      <c r="D12008" s="49">
        <v>0.0</v>
      </c>
    </row>
    <row r="12009" ht="15.0" hidden="1" customHeight="1">
      <c r="A12009" s="49" t="s">
        <v>501</v>
      </c>
      <c r="B12009" s="50">
        <v>46022.0</v>
      </c>
      <c r="C12009" s="49" t="s">
        <v>78</v>
      </c>
      <c r="D12009" s="49">
        <v>0.0</v>
      </c>
    </row>
    <row r="12010" ht="15.0" hidden="1" customHeight="1">
      <c r="A12010" s="49" t="s">
        <v>506</v>
      </c>
      <c r="B12010" s="50">
        <v>46022.0</v>
      </c>
      <c r="C12010" s="49" t="s">
        <v>78</v>
      </c>
      <c r="D12010" s="49">
        <v>65046.88</v>
      </c>
    </row>
    <row r="12011" ht="15.0" hidden="1" customHeight="1">
      <c r="A12011" s="49" t="s">
        <v>512</v>
      </c>
      <c r="B12011" s="50">
        <v>46022.0</v>
      </c>
      <c r="C12011" s="49" t="s">
        <v>78</v>
      </c>
      <c r="D12011" s="49">
        <v>0.0</v>
      </c>
    </row>
    <row r="12012" ht="15.0" hidden="1" customHeight="1">
      <c r="A12012" s="49" t="s">
        <v>517</v>
      </c>
      <c r="B12012" s="50">
        <v>46022.0</v>
      </c>
      <c r="C12012" s="49" t="s">
        <v>78</v>
      </c>
      <c r="D12012" s="49">
        <v>0.0</v>
      </c>
    </row>
    <row r="12013" ht="15.0" hidden="1" customHeight="1">
      <c r="A12013" s="49" t="s">
        <v>522</v>
      </c>
      <c r="B12013" s="50">
        <v>46022.0</v>
      </c>
      <c r="C12013" s="49" t="s">
        <v>78</v>
      </c>
      <c r="D12013" s="49">
        <v>2805000.0</v>
      </c>
    </row>
    <row r="12014" ht="15.0" hidden="1" customHeight="1">
      <c r="A12014" s="49" t="s">
        <v>528</v>
      </c>
      <c r="B12014" s="50">
        <v>46022.0</v>
      </c>
      <c r="C12014" s="49" t="s">
        <v>78</v>
      </c>
      <c r="D12014" s="49">
        <v>0.0</v>
      </c>
    </row>
    <row r="12015" ht="15.0" hidden="1" customHeight="1">
      <c r="A12015" s="49" t="s">
        <v>533</v>
      </c>
      <c r="B12015" s="50">
        <v>46022.0</v>
      </c>
      <c r="C12015" s="49" t="s">
        <v>78</v>
      </c>
      <c r="D12015" s="49">
        <v>0.0</v>
      </c>
    </row>
    <row r="12016" ht="15.0" hidden="1" customHeight="1">
      <c r="A12016" s="49" t="s">
        <v>538</v>
      </c>
      <c r="B12016" s="50">
        <v>46022.0</v>
      </c>
      <c r="C12016" s="49" t="s">
        <v>78</v>
      </c>
      <c r="D12016" s="49">
        <v>0.0</v>
      </c>
    </row>
    <row r="12017" ht="15.0" hidden="1" customHeight="1">
      <c r="A12017" s="49" t="s">
        <v>546</v>
      </c>
      <c r="B12017" s="50">
        <v>46022.0</v>
      </c>
      <c r="C12017" s="49" t="s">
        <v>78</v>
      </c>
      <c r="D12017" s="49">
        <v>0.0</v>
      </c>
    </row>
    <row r="12018" ht="15.0" hidden="1" customHeight="1">
      <c r="A12018" s="49" t="s">
        <v>551</v>
      </c>
      <c r="B12018" s="50">
        <v>46022.0</v>
      </c>
      <c r="C12018" s="49" t="s">
        <v>78</v>
      </c>
      <c r="D12018" s="49">
        <v>0.0</v>
      </c>
    </row>
    <row r="12019" ht="15.0" hidden="1" customHeight="1">
      <c r="A12019" s="49" t="s">
        <v>556</v>
      </c>
      <c r="B12019" s="50">
        <v>46022.0</v>
      </c>
      <c r="C12019" s="49" t="s">
        <v>78</v>
      </c>
      <c r="D12019" s="49">
        <v>0.0</v>
      </c>
    </row>
    <row r="12020" ht="15.0" hidden="1" customHeight="1">
      <c r="A12020" s="49" t="s">
        <v>561</v>
      </c>
      <c r="B12020" s="50">
        <v>46022.0</v>
      </c>
      <c r="C12020" s="49" t="s">
        <v>78</v>
      </c>
      <c r="D12020" s="49">
        <v>0.0</v>
      </c>
    </row>
    <row r="12021" ht="15.0" hidden="1" customHeight="1">
      <c r="A12021" s="49" t="s">
        <v>566</v>
      </c>
      <c r="B12021" s="50">
        <v>46022.0</v>
      </c>
      <c r="C12021" s="49" t="s">
        <v>78</v>
      </c>
      <c r="D12021" s="49">
        <v>0.0</v>
      </c>
    </row>
    <row r="12022" ht="15.0" hidden="1" customHeight="1">
      <c r="A12022" s="49" t="s">
        <v>571</v>
      </c>
      <c r="B12022" s="50">
        <v>46022.0</v>
      </c>
      <c r="C12022" s="49" t="s">
        <v>78</v>
      </c>
      <c r="D12022" s="49">
        <v>0.0</v>
      </c>
    </row>
    <row r="12023" ht="15.0" hidden="1" customHeight="1">
      <c r="A12023" s="49" t="s">
        <v>576</v>
      </c>
      <c r="B12023" s="50">
        <v>46022.0</v>
      </c>
      <c r="C12023" s="49" t="s">
        <v>78</v>
      </c>
      <c r="D12023" s="49">
        <v>0.0</v>
      </c>
    </row>
    <row r="12024" ht="15.0" hidden="1" customHeight="1">
      <c r="A12024" s="49" t="s">
        <v>581</v>
      </c>
      <c r="B12024" s="50">
        <v>46022.0</v>
      </c>
      <c r="C12024" s="49" t="s">
        <v>78</v>
      </c>
      <c r="D12024" s="49">
        <v>0.0</v>
      </c>
    </row>
    <row r="12025" ht="15.0" hidden="1" customHeight="1">
      <c r="A12025" s="49" t="s">
        <v>586</v>
      </c>
      <c r="B12025" s="50">
        <v>46022.0</v>
      </c>
      <c r="C12025" s="49" t="s">
        <v>78</v>
      </c>
      <c r="D12025" s="49">
        <v>0.0</v>
      </c>
    </row>
    <row r="12026" ht="15.0" hidden="1" customHeight="1">
      <c r="A12026" s="49" t="s">
        <v>754</v>
      </c>
      <c r="B12026" s="50">
        <v>46022.0</v>
      </c>
      <c r="C12026" s="49" t="s">
        <v>78</v>
      </c>
      <c r="D12026" s="49">
        <v>0.0</v>
      </c>
    </row>
    <row r="12027" ht="15.0" hidden="1" customHeight="1">
      <c r="A12027" s="49" t="s">
        <v>591</v>
      </c>
      <c r="B12027" s="50">
        <v>46022.0</v>
      </c>
      <c r="C12027" s="49" t="s">
        <v>78</v>
      </c>
      <c r="D12027" s="49">
        <v>0.0</v>
      </c>
    </row>
    <row r="12028" ht="15.0" hidden="1" customHeight="1">
      <c r="A12028" s="49" t="s">
        <v>759</v>
      </c>
      <c r="B12028" s="50">
        <v>46022.0</v>
      </c>
      <c r="C12028" s="49" t="s">
        <v>78</v>
      </c>
      <c r="D12028" s="49">
        <v>0.0</v>
      </c>
    </row>
    <row r="12029" ht="15.0" hidden="1" customHeight="1">
      <c r="A12029" s="49" t="s">
        <v>596</v>
      </c>
      <c r="B12029" s="50">
        <v>46022.0</v>
      </c>
      <c r="C12029" s="49" t="s">
        <v>78</v>
      </c>
      <c r="D12029" s="49">
        <v>0.0</v>
      </c>
    </row>
    <row r="12030" ht="15.0" hidden="1" customHeight="1">
      <c r="A12030" s="49" t="s">
        <v>602</v>
      </c>
      <c r="B12030" s="50">
        <v>46022.0</v>
      </c>
      <c r="C12030" s="49" t="s">
        <v>78</v>
      </c>
      <c r="D12030" s="49">
        <v>0.0</v>
      </c>
    </row>
    <row r="12031" ht="15.0" hidden="1" customHeight="1">
      <c r="A12031" s="49" t="s">
        <v>607</v>
      </c>
      <c r="B12031" s="50">
        <v>46022.0</v>
      </c>
      <c r="C12031" s="49" t="s">
        <v>78</v>
      </c>
      <c r="D12031" s="49">
        <v>0.0</v>
      </c>
    </row>
    <row r="12032" ht="15.0" hidden="1" customHeight="1">
      <c r="A12032" s="49" t="s">
        <v>612</v>
      </c>
      <c r="B12032" s="50">
        <v>46022.0</v>
      </c>
      <c r="C12032" s="49" t="s">
        <v>78</v>
      </c>
      <c r="D12032" s="49">
        <v>0.0</v>
      </c>
    </row>
    <row r="12033" ht="15.0" hidden="1" customHeight="1">
      <c r="A12033" s="49" t="s">
        <v>617</v>
      </c>
      <c r="B12033" s="50">
        <v>46022.0</v>
      </c>
      <c r="C12033" s="49" t="s">
        <v>78</v>
      </c>
      <c r="D12033" s="49">
        <v>0.0</v>
      </c>
    </row>
    <row r="12034" ht="15.0" hidden="1" customHeight="1">
      <c r="A12034" s="49" t="s">
        <v>622</v>
      </c>
      <c r="B12034" s="50">
        <v>46022.0</v>
      </c>
      <c r="C12034" s="49" t="s">
        <v>78</v>
      </c>
      <c r="D12034" s="49">
        <v>0.0</v>
      </c>
    </row>
    <row r="12035" ht="15.0" hidden="1" customHeight="1">
      <c r="A12035" s="49" t="s">
        <v>627</v>
      </c>
      <c r="B12035" s="50">
        <v>46022.0</v>
      </c>
      <c r="C12035" s="49" t="s">
        <v>78</v>
      </c>
      <c r="D12035" s="49">
        <v>0.0</v>
      </c>
    </row>
    <row r="12036" ht="15.0" hidden="1" customHeight="1">
      <c r="A12036" s="49" t="s">
        <v>631</v>
      </c>
      <c r="B12036" s="50">
        <v>46022.0</v>
      </c>
      <c r="C12036" s="49" t="s">
        <v>78</v>
      </c>
      <c r="D12036" s="49">
        <v>0.0</v>
      </c>
    </row>
    <row r="12037" ht="15.0" hidden="1" customHeight="1">
      <c r="A12037" s="49" t="s">
        <v>636</v>
      </c>
      <c r="B12037" s="50">
        <v>46022.0</v>
      </c>
      <c r="C12037" s="49" t="s">
        <v>78</v>
      </c>
      <c r="D12037" s="49">
        <v>0.0</v>
      </c>
    </row>
    <row r="12038" ht="15.0" hidden="1" customHeight="1">
      <c r="A12038" s="49" t="s">
        <v>640</v>
      </c>
      <c r="B12038" s="50">
        <v>46022.0</v>
      </c>
      <c r="C12038" s="49" t="s">
        <v>78</v>
      </c>
      <c r="D12038" s="49">
        <v>0.0</v>
      </c>
    </row>
    <row r="12039" ht="15.0" hidden="1" customHeight="1">
      <c r="A12039" s="49" t="s">
        <v>644</v>
      </c>
      <c r="B12039" s="50">
        <v>46022.0</v>
      </c>
      <c r="C12039" s="49" t="s">
        <v>78</v>
      </c>
      <c r="D12039" s="49">
        <v>0.0</v>
      </c>
    </row>
    <row r="12040" ht="15.0" hidden="1" customHeight="1">
      <c r="A12040" s="49" t="s">
        <v>649</v>
      </c>
      <c r="B12040" s="50">
        <v>46022.0</v>
      </c>
      <c r="C12040" s="49" t="s">
        <v>78</v>
      </c>
      <c r="D12040" s="49">
        <v>0.0</v>
      </c>
    </row>
    <row r="12041" ht="15.0" hidden="1" customHeight="1">
      <c r="A12041" s="49" t="s">
        <v>654</v>
      </c>
      <c r="B12041" s="50">
        <v>46022.0</v>
      </c>
      <c r="C12041" s="49" t="s">
        <v>78</v>
      </c>
      <c r="D12041" s="49">
        <v>0.0</v>
      </c>
    </row>
    <row r="12042" ht="15.0" hidden="1" customHeight="1">
      <c r="A12042" s="49" t="s">
        <v>659</v>
      </c>
      <c r="B12042" s="50">
        <v>46022.0</v>
      </c>
      <c r="C12042" s="49" t="s">
        <v>78</v>
      </c>
      <c r="D12042" s="49">
        <v>0.0</v>
      </c>
    </row>
    <row r="12043" ht="15.0" hidden="1" customHeight="1">
      <c r="A12043" s="49" t="s">
        <v>664</v>
      </c>
      <c r="B12043" s="50">
        <v>46022.0</v>
      </c>
      <c r="C12043" s="49" t="s">
        <v>78</v>
      </c>
      <c r="D12043" s="49">
        <v>0.0</v>
      </c>
    </row>
    <row r="12044" ht="15.0" hidden="1" customHeight="1">
      <c r="A12044" s="49" t="s">
        <v>669</v>
      </c>
      <c r="B12044" s="50">
        <v>46022.0</v>
      </c>
      <c r="C12044" s="49" t="s">
        <v>78</v>
      </c>
      <c r="D12044" s="49">
        <v>0.0</v>
      </c>
    </row>
    <row r="12045" ht="15.0" hidden="1" customHeight="1">
      <c r="A12045" s="49" t="s">
        <v>674</v>
      </c>
      <c r="B12045" s="50">
        <v>46022.0</v>
      </c>
      <c r="C12045" s="49" t="s">
        <v>78</v>
      </c>
      <c r="D12045" s="49">
        <v>0.0</v>
      </c>
    </row>
    <row r="12046" ht="15.0" hidden="1" customHeight="1">
      <c r="A12046" s="49" t="s">
        <v>679</v>
      </c>
      <c r="B12046" s="50">
        <v>46022.0</v>
      </c>
      <c r="C12046" s="49" t="s">
        <v>78</v>
      </c>
      <c r="D12046" s="49">
        <v>0.0</v>
      </c>
    </row>
    <row r="12047" ht="15.0" hidden="1" customHeight="1">
      <c r="A12047" s="49" t="s">
        <v>684</v>
      </c>
      <c r="B12047" s="50">
        <v>46022.0</v>
      </c>
      <c r="C12047" s="49" t="s">
        <v>78</v>
      </c>
      <c r="D12047" s="49">
        <v>0.0</v>
      </c>
    </row>
    <row r="12048" ht="15.0" hidden="1" customHeight="1">
      <c r="A12048" s="49" t="s">
        <v>689</v>
      </c>
      <c r="B12048" s="50">
        <v>46022.0</v>
      </c>
      <c r="C12048" s="49" t="s">
        <v>78</v>
      </c>
      <c r="D12048" s="49">
        <v>0.0</v>
      </c>
    </row>
    <row r="12049" ht="15.0" hidden="1" customHeight="1">
      <c r="A12049" s="49" t="s">
        <v>694</v>
      </c>
      <c r="B12049" s="50">
        <v>46022.0</v>
      </c>
      <c r="C12049" s="49" t="s">
        <v>78</v>
      </c>
      <c r="D12049" s="49">
        <v>0.0</v>
      </c>
    </row>
    <row r="12050" ht="15.0" hidden="1" customHeight="1">
      <c r="A12050" s="49" t="s">
        <v>699</v>
      </c>
      <c r="B12050" s="50">
        <v>46022.0</v>
      </c>
      <c r="C12050" s="49" t="s">
        <v>78</v>
      </c>
      <c r="D12050" s="49">
        <v>0.0</v>
      </c>
    </row>
    <row r="12051" ht="15.0" hidden="1" customHeight="1">
      <c r="A12051" s="49" t="s">
        <v>705</v>
      </c>
      <c r="B12051" s="50">
        <v>46022.0</v>
      </c>
      <c r="C12051" s="49" t="s">
        <v>78</v>
      </c>
      <c r="D12051" s="49">
        <v>0.0</v>
      </c>
    </row>
    <row r="12052" ht="15.0" hidden="1" customHeight="1">
      <c r="A12052" s="49" t="s">
        <v>710</v>
      </c>
      <c r="B12052" s="50">
        <v>46022.0</v>
      </c>
      <c r="C12052" s="49" t="s">
        <v>78</v>
      </c>
      <c r="D12052" s="49">
        <v>0.0</v>
      </c>
    </row>
    <row r="12053" ht="15.0" hidden="1" customHeight="1">
      <c r="A12053" s="49" t="s">
        <v>715</v>
      </c>
      <c r="B12053" s="50">
        <v>46022.0</v>
      </c>
      <c r="C12053" s="49" t="s">
        <v>78</v>
      </c>
      <c r="D12053" s="49">
        <v>0.0</v>
      </c>
    </row>
    <row r="12054" ht="15.0" hidden="1" customHeight="1">
      <c r="A12054" s="49" t="s">
        <v>765</v>
      </c>
      <c r="B12054" s="50">
        <v>46022.0</v>
      </c>
      <c r="C12054" s="49" t="s">
        <v>78</v>
      </c>
      <c r="D12054" s="49">
        <v>0.0</v>
      </c>
    </row>
    <row r="12055" ht="15.0" hidden="1" customHeight="1">
      <c r="A12055" s="49" t="s">
        <v>720</v>
      </c>
      <c r="B12055" s="50">
        <v>46022.0</v>
      </c>
      <c r="C12055" s="49" t="s">
        <v>78</v>
      </c>
      <c r="D12055" s="49">
        <v>0.0</v>
      </c>
    </row>
    <row r="12056" ht="15.0" hidden="1" customHeight="1">
      <c r="A12056" s="49" t="s">
        <v>725</v>
      </c>
      <c r="B12056" s="50">
        <v>46022.0</v>
      </c>
      <c r="C12056" s="49" t="s">
        <v>78</v>
      </c>
      <c r="D12056" s="49">
        <v>0.0</v>
      </c>
    </row>
    <row r="12057" ht="15.0" hidden="1" customHeight="1">
      <c r="A12057" s="49" t="s">
        <v>730</v>
      </c>
      <c r="B12057" s="50">
        <v>46022.0</v>
      </c>
      <c r="C12057" s="49" t="s">
        <v>78</v>
      </c>
      <c r="D12057" s="49">
        <v>0.0</v>
      </c>
    </row>
    <row r="12058" ht="15.0" hidden="1" customHeight="1">
      <c r="A12058" s="49" t="s">
        <v>734</v>
      </c>
      <c r="B12058" s="50">
        <v>46022.0</v>
      </c>
      <c r="C12058" s="49" t="s">
        <v>78</v>
      </c>
      <c r="D12058" s="49">
        <v>0.0</v>
      </c>
    </row>
    <row r="12059" ht="15.0" hidden="1" customHeight="1">
      <c r="A12059" s="49" t="s">
        <v>739</v>
      </c>
      <c r="B12059" s="50">
        <v>46022.0</v>
      </c>
      <c r="C12059" s="49" t="s">
        <v>78</v>
      </c>
      <c r="D12059" s="49">
        <v>0.0</v>
      </c>
    </row>
    <row r="12060" ht="15.0" hidden="1" customHeight="1">
      <c r="A12060" s="49" t="s">
        <v>744</v>
      </c>
      <c r="B12060" s="50">
        <v>46022.0</v>
      </c>
      <c r="C12060" s="49" t="s">
        <v>78</v>
      </c>
      <c r="D12060" s="49">
        <v>0.0</v>
      </c>
    </row>
    <row r="12061" ht="15.0" hidden="1" customHeight="1">
      <c r="A12061" s="49" t="s">
        <v>749</v>
      </c>
      <c r="B12061" s="50">
        <v>46022.0</v>
      </c>
      <c r="C12061" s="49" t="s">
        <v>78</v>
      </c>
      <c r="D12061" s="49">
        <v>0.0</v>
      </c>
    </row>
    <row r="12062" ht="15.0" customHeight="1">
      <c r="A12062" s="49" t="s">
        <v>776</v>
      </c>
      <c r="B12062" s="50">
        <v>46022.0</v>
      </c>
      <c r="C12062" s="49" t="s">
        <v>69</v>
      </c>
      <c r="D12062" s="49">
        <v>0.0</v>
      </c>
    </row>
    <row r="12063" ht="15.0" hidden="1" customHeight="1">
      <c r="A12063" s="49" t="s">
        <v>778</v>
      </c>
      <c r="B12063" s="50">
        <v>46022.0</v>
      </c>
      <c r="C12063" s="49" t="s">
        <v>69</v>
      </c>
      <c r="D12063" s="49">
        <v>0.0</v>
      </c>
    </row>
    <row r="12064" ht="15.0" hidden="1" customHeight="1">
      <c r="A12064" s="49" t="s">
        <v>92</v>
      </c>
      <c r="B12064" s="50">
        <v>46022.0</v>
      </c>
      <c r="C12064" s="49" t="s">
        <v>69</v>
      </c>
      <c r="D12064" s="49">
        <v>0.0</v>
      </c>
    </row>
    <row r="12065" ht="15.0" hidden="1" customHeight="1">
      <c r="A12065" s="49" t="s">
        <v>97</v>
      </c>
      <c r="B12065" s="50">
        <v>46022.0</v>
      </c>
      <c r="C12065" s="49" t="s">
        <v>69</v>
      </c>
      <c r="D12065" s="49">
        <v>0.0</v>
      </c>
    </row>
    <row r="12066" ht="15.0" hidden="1" customHeight="1">
      <c r="A12066" s="49" t="s">
        <v>102</v>
      </c>
      <c r="B12066" s="50">
        <v>46022.0</v>
      </c>
      <c r="C12066" s="49" t="s">
        <v>69</v>
      </c>
      <c r="D12066" s="49">
        <v>0.0</v>
      </c>
    </row>
    <row r="12067" ht="15.0" hidden="1" customHeight="1">
      <c r="A12067" s="49" t="s">
        <v>106</v>
      </c>
      <c r="B12067" s="50">
        <v>46022.0</v>
      </c>
      <c r="C12067" s="49" t="s">
        <v>69</v>
      </c>
      <c r="D12067" s="49">
        <v>0.0</v>
      </c>
    </row>
    <row r="12068" ht="15.0" hidden="1" customHeight="1">
      <c r="A12068" s="49" t="s">
        <v>111</v>
      </c>
      <c r="B12068" s="50">
        <v>46022.0</v>
      </c>
      <c r="C12068" s="49" t="s">
        <v>69</v>
      </c>
      <c r="D12068" s="49">
        <v>0.0</v>
      </c>
    </row>
    <row r="12069" ht="15.0" hidden="1" customHeight="1">
      <c r="A12069" s="49" t="s">
        <v>116</v>
      </c>
      <c r="B12069" s="50">
        <v>46022.0</v>
      </c>
      <c r="C12069" s="49" t="s">
        <v>69</v>
      </c>
      <c r="D12069" s="49">
        <v>0.0</v>
      </c>
    </row>
    <row r="12070" ht="15.0" hidden="1" customHeight="1">
      <c r="A12070" s="49" t="s">
        <v>120</v>
      </c>
      <c r="B12070" s="50">
        <v>46022.0</v>
      </c>
      <c r="C12070" s="49" t="s">
        <v>69</v>
      </c>
      <c r="D12070" s="49">
        <v>0.0</v>
      </c>
    </row>
    <row r="12071" ht="15.0" hidden="1" customHeight="1">
      <c r="A12071" s="49" t="s">
        <v>125</v>
      </c>
      <c r="B12071" s="50">
        <v>46022.0</v>
      </c>
      <c r="C12071" s="49" t="s">
        <v>69</v>
      </c>
      <c r="D12071" s="49">
        <v>0.0</v>
      </c>
    </row>
    <row r="12072" ht="15.0" hidden="1" customHeight="1">
      <c r="A12072" s="49" t="s">
        <v>130</v>
      </c>
      <c r="B12072" s="50">
        <v>46022.0</v>
      </c>
      <c r="C12072" s="49" t="s">
        <v>69</v>
      </c>
      <c r="D12072" s="49">
        <v>0.0</v>
      </c>
    </row>
    <row r="12073" ht="15.0" hidden="1" customHeight="1">
      <c r="A12073" s="49" t="s">
        <v>137</v>
      </c>
      <c r="B12073" s="50">
        <v>46022.0</v>
      </c>
      <c r="C12073" s="49" t="s">
        <v>69</v>
      </c>
      <c r="D12073" s="49">
        <v>0.0</v>
      </c>
    </row>
    <row r="12074" ht="15.0" hidden="1" customHeight="1">
      <c r="A12074" s="49" t="s">
        <v>142</v>
      </c>
      <c r="B12074" s="50">
        <v>46022.0</v>
      </c>
      <c r="C12074" s="49" t="s">
        <v>69</v>
      </c>
      <c r="D12074" s="49">
        <v>0.0</v>
      </c>
    </row>
    <row r="12075" ht="15.0" hidden="1" customHeight="1">
      <c r="A12075" s="49" t="s">
        <v>147</v>
      </c>
      <c r="B12075" s="50">
        <v>46022.0</v>
      </c>
      <c r="C12075" s="49" t="s">
        <v>69</v>
      </c>
      <c r="D12075" s="49">
        <v>0.0</v>
      </c>
    </row>
    <row r="12076" ht="15.0" hidden="1" customHeight="1">
      <c r="A12076" s="49" t="s">
        <v>152</v>
      </c>
      <c r="B12076" s="50">
        <v>46022.0</v>
      </c>
      <c r="C12076" s="49" t="s">
        <v>69</v>
      </c>
      <c r="D12076" s="49">
        <v>0.0</v>
      </c>
    </row>
    <row r="12077" ht="15.0" hidden="1" customHeight="1">
      <c r="A12077" s="49" t="s">
        <v>157</v>
      </c>
      <c r="B12077" s="50">
        <v>46022.0</v>
      </c>
      <c r="C12077" s="49" t="s">
        <v>69</v>
      </c>
      <c r="D12077" s="49">
        <v>0.0</v>
      </c>
    </row>
    <row r="12078" ht="15.0" hidden="1" customHeight="1">
      <c r="A12078" s="49" t="s">
        <v>162</v>
      </c>
      <c r="B12078" s="50">
        <v>46022.0</v>
      </c>
      <c r="C12078" s="49" t="s">
        <v>69</v>
      </c>
      <c r="D12078" s="49">
        <v>0.0</v>
      </c>
    </row>
    <row r="12079" ht="15.0" hidden="1" customHeight="1">
      <c r="A12079" s="49" t="s">
        <v>167</v>
      </c>
      <c r="B12079" s="50">
        <v>46022.0</v>
      </c>
      <c r="C12079" s="49" t="s">
        <v>69</v>
      </c>
      <c r="D12079" s="49">
        <v>0.0</v>
      </c>
    </row>
    <row r="12080" ht="15.0" hidden="1" customHeight="1">
      <c r="A12080" s="49" t="s">
        <v>172</v>
      </c>
      <c r="B12080" s="50">
        <v>46022.0</v>
      </c>
      <c r="C12080" s="49" t="s">
        <v>69</v>
      </c>
      <c r="D12080" s="49">
        <v>0.0</v>
      </c>
    </row>
    <row r="12081" ht="15.0" hidden="1" customHeight="1">
      <c r="A12081" s="49" t="s">
        <v>177</v>
      </c>
      <c r="B12081" s="50">
        <v>46022.0</v>
      </c>
      <c r="C12081" s="49" t="s">
        <v>69</v>
      </c>
      <c r="D12081" s="49">
        <v>0.0</v>
      </c>
    </row>
    <row r="12082" ht="15.0" hidden="1" customHeight="1">
      <c r="A12082" s="49" t="s">
        <v>182</v>
      </c>
      <c r="B12082" s="50">
        <v>46022.0</v>
      </c>
      <c r="C12082" s="49" t="s">
        <v>69</v>
      </c>
      <c r="D12082" s="49">
        <v>0.0</v>
      </c>
    </row>
    <row r="12083" ht="15.0" hidden="1" customHeight="1">
      <c r="A12083" s="49" t="s">
        <v>187</v>
      </c>
      <c r="B12083" s="50">
        <v>46022.0</v>
      </c>
      <c r="C12083" s="49" t="s">
        <v>69</v>
      </c>
      <c r="D12083" s="49">
        <v>0.0</v>
      </c>
    </row>
    <row r="12084" ht="15.0" hidden="1" customHeight="1">
      <c r="A12084" s="49" t="s">
        <v>192</v>
      </c>
      <c r="B12084" s="50">
        <v>46022.0</v>
      </c>
      <c r="C12084" s="49" t="s">
        <v>69</v>
      </c>
      <c r="D12084" s="49">
        <v>0.0</v>
      </c>
    </row>
    <row r="12085" ht="15.0" hidden="1" customHeight="1">
      <c r="A12085" s="49" t="s">
        <v>197</v>
      </c>
      <c r="B12085" s="50">
        <v>46022.0</v>
      </c>
      <c r="C12085" s="49" t="s">
        <v>69</v>
      </c>
      <c r="D12085" s="49">
        <v>0.0</v>
      </c>
    </row>
    <row r="12086" ht="15.0" hidden="1" customHeight="1">
      <c r="A12086" s="49" t="s">
        <v>202</v>
      </c>
      <c r="B12086" s="50">
        <v>46022.0</v>
      </c>
      <c r="C12086" s="49" t="s">
        <v>69</v>
      </c>
      <c r="D12086" s="49">
        <v>0.0</v>
      </c>
    </row>
    <row r="12087" ht="15.0" hidden="1" customHeight="1">
      <c r="A12087" s="49" t="s">
        <v>206</v>
      </c>
      <c r="B12087" s="50">
        <v>46022.0</v>
      </c>
      <c r="C12087" s="49" t="s">
        <v>69</v>
      </c>
      <c r="D12087" s="49">
        <v>0.0</v>
      </c>
    </row>
    <row r="12088" ht="15.0" hidden="1" customHeight="1">
      <c r="A12088" s="49" t="s">
        <v>211</v>
      </c>
      <c r="B12088" s="50">
        <v>46022.0</v>
      </c>
      <c r="C12088" s="49" t="s">
        <v>69</v>
      </c>
      <c r="D12088" s="49">
        <v>0.0</v>
      </c>
    </row>
    <row r="12089" ht="15.0" hidden="1" customHeight="1">
      <c r="A12089" s="49" t="s">
        <v>779</v>
      </c>
      <c r="B12089" s="50">
        <v>46022.0</v>
      </c>
      <c r="C12089" s="49" t="s">
        <v>69</v>
      </c>
      <c r="D12089" s="49">
        <v>0.0</v>
      </c>
    </row>
    <row r="12090" ht="15.0" hidden="1" customHeight="1">
      <c r="A12090" s="49" t="s">
        <v>221</v>
      </c>
      <c r="B12090" s="50">
        <v>46022.0</v>
      </c>
      <c r="C12090" s="49" t="s">
        <v>69</v>
      </c>
      <c r="D12090" s="49">
        <v>0.0</v>
      </c>
    </row>
    <row r="12091" ht="15.0" hidden="1" customHeight="1">
      <c r="A12091" s="49" t="s">
        <v>226</v>
      </c>
      <c r="B12091" s="50">
        <v>46022.0</v>
      </c>
      <c r="C12091" s="49" t="s">
        <v>69</v>
      </c>
      <c r="D12091" s="49">
        <v>0.0</v>
      </c>
    </row>
    <row r="12092" ht="15.0" hidden="1" customHeight="1">
      <c r="A12092" s="49" t="s">
        <v>231</v>
      </c>
      <c r="B12092" s="50">
        <v>46022.0</v>
      </c>
      <c r="C12092" s="49" t="s">
        <v>69</v>
      </c>
      <c r="D12092" s="49">
        <v>0.0</v>
      </c>
    </row>
    <row r="12093" ht="15.0" hidden="1" customHeight="1">
      <c r="A12093" s="49" t="s">
        <v>236</v>
      </c>
      <c r="B12093" s="50">
        <v>46022.0</v>
      </c>
      <c r="C12093" s="49" t="s">
        <v>69</v>
      </c>
      <c r="D12093" s="49">
        <v>0.0</v>
      </c>
    </row>
    <row r="12094" ht="15.0" hidden="1" customHeight="1">
      <c r="A12094" s="49" t="s">
        <v>242</v>
      </c>
      <c r="B12094" s="50">
        <v>46022.0</v>
      </c>
      <c r="C12094" s="49" t="s">
        <v>69</v>
      </c>
      <c r="D12094" s="49">
        <v>0.0</v>
      </c>
    </row>
    <row r="12095" ht="15.0" hidden="1" customHeight="1">
      <c r="A12095" s="49" t="s">
        <v>248</v>
      </c>
      <c r="B12095" s="50">
        <v>46022.0</v>
      </c>
      <c r="C12095" s="49" t="s">
        <v>69</v>
      </c>
      <c r="D12095" s="49">
        <v>0.0</v>
      </c>
    </row>
    <row r="12096" ht="15.0" hidden="1" customHeight="1">
      <c r="A12096" s="49" t="s">
        <v>253</v>
      </c>
      <c r="B12096" s="50">
        <v>46022.0</v>
      </c>
      <c r="C12096" s="49" t="s">
        <v>69</v>
      </c>
      <c r="D12096" s="49">
        <v>0.0</v>
      </c>
    </row>
    <row r="12097" ht="15.0" hidden="1" customHeight="1">
      <c r="A12097" s="49" t="s">
        <v>258</v>
      </c>
      <c r="B12097" s="50">
        <v>46022.0</v>
      </c>
      <c r="C12097" s="49" t="s">
        <v>69</v>
      </c>
      <c r="D12097" s="49">
        <v>0.0</v>
      </c>
    </row>
    <row r="12098" ht="15.0" hidden="1" customHeight="1">
      <c r="A12098" s="49" t="s">
        <v>263</v>
      </c>
      <c r="B12098" s="50">
        <v>46022.0</v>
      </c>
      <c r="C12098" s="49" t="s">
        <v>69</v>
      </c>
      <c r="D12098" s="49">
        <v>0.0</v>
      </c>
    </row>
    <row r="12099" ht="15.0" hidden="1" customHeight="1">
      <c r="A12099" s="49" t="s">
        <v>268</v>
      </c>
      <c r="B12099" s="50">
        <v>46022.0</v>
      </c>
      <c r="C12099" s="49" t="s">
        <v>69</v>
      </c>
      <c r="D12099" s="49">
        <v>0.0</v>
      </c>
    </row>
    <row r="12100" ht="15.0" hidden="1" customHeight="1">
      <c r="A12100" s="49" t="s">
        <v>273</v>
      </c>
      <c r="B12100" s="50">
        <v>46022.0</v>
      </c>
      <c r="C12100" s="49" t="s">
        <v>69</v>
      </c>
      <c r="D12100" s="49">
        <v>0.0</v>
      </c>
    </row>
    <row r="12101" ht="15.0" hidden="1" customHeight="1">
      <c r="A12101" s="49" t="s">
        <v>278</v>
      </c>
      <c r="B12101" s="50">
        <v>46022.0</v>
      </c>
      <c r="C12101" s="49" t="s">
        <v>69</v>
      </c>
      <c r="D12101" s="49">
        <v>0.0</v>
      </c>
    </row>
    <row r="12102" ht="15.0" hidden="1" customHeight="1">
      <c r="A12102" s="49" t="s">
        <v>283</v>
      </c>
      <c r="B12102" s="50">
        <v>46022.0</v>
      </c>
      <c r="C12102" s="49" t="s">
        <v>69</v>
      </c>
      <c r="D12102" s="49">
        <v>0.0</v>
      </c>
    </row>
    <row r="12103" ht="15.0" hidden="1" customHeight="1">
      <c r="A12103" s="49" t="s">
        <v>288</v>
      </c>
      <c r="B12103" s="50">
        <v>46022.0</v>
      </c>
      <c r="C12103" s="49" t="s">
        <v>69</v>
      </c>
      <c r="D12103" s="49">
        <v>0.0</v>
      </c>
    </row>
    <row r="12104" ht="15.0" hidden="1" customHeight="1">
      <c r="A12104" s="49" t="s">
        <v>293</v>
      </c>
      <c r="B12104" s="50">
        <v>46022.0</v>
      </c>
      <c r="C12104" s="49" t="s">
        <v>69</v>
      </c>
      <c r="D12104" s="49">
        <v>0.0</v>
      </c>
    </row>
    <row r="12105" ht="15.0" hidden="1" customHeight="1">
      <c r="A12105" s="49" t="s">
        <v>298</v>
      </c>
      <c r="B12105" s="50">
        <v>46022.0</v>
      </c>
      <c r="C12105" s="49" t="s">
        <v>69</v>
      </c>
      <c r="D12105" s="49">
        <v>0.0</v>
      </c>
    </row>
    <row r="12106" ht="15.0" hidden="1" customHeight="1">
      <c r="A12106" s="49" t="s">
        <v>303</v>
      </c>
      <c r="B12106" s="50">
        <v>46022.0</v>
      </c>
      <c r="C12106" s="49" t="s">
        <v>69</v>
      </c>
      <c r="D12106" s="49">
        <v>0.0</v>
      </c>
    </row>
    <row r="12107" ht="15.0" hidden="1" customHeight="1">
      <c r="A12107" s="49" t="s">
        <v>307</v>
      </c>
      <c r="B12107" s="50">
        <v>46022.0</v>
      </c>
      <c r="C12107" s="49" t="s">
        <v>69</v>
      </c>
      <c r="D12107" s="49">
        <v>0.0</v>
      </c>
    </row>
    <row r="12108" ht="15.0" hidden="1" customHeight="1">
      <c r="A12108" s="49" t="s">
        <v>313</v>
      </c>
      <c r="B12108" s="50">
        <v>46022.0</v>
      </c>
      <c r="C12108" s="49" t="s">
        <v>69</v>
      </c>
      <c r="D12108" s="49">
        <v>0.0</v>
      </c>
    </row>
    <row r="12109" ht="15.0" hidden="1" customHeight="1">
      <c r="A12109" s="49" t="s">
        <v>318</v>
      </c>
      <c r="B12109" s="50">
        <v>46022.0</v>
      </c>
      <c r="C12109" s="49" t="s">
        <v>69</v>
      </c>
      <c r="D12109" s="49">
        <v>0.0</v>
      </c>
    </row>
    <row r="12110" ht="15.0" hidden="1" customHeight="1">
      <c r="A12110" s="49" t="s">
        <v>323</v>
      </c>
      <c r="B12110" s="50">
        <v>46022.0</v>
      </c>
      <c r="C12110" s="49" t="s">
        <v>69</v>
      </c>
      <c r="D12110" s="49">
        <v>0.0</v>
      </c>
    </row>
    <row r="12111" ht="15.0" hidden="1" customHeight="1">
      <c r="A12111" s="49" t="s">
        <v>328</v>
      </c>
      <c r="B12111" s="50">
        <v>46022.0</v>
      </c>
      <c r="C12111" s="49" t="s">
        <v>69</v>
      </c>
      <c r="D12111" s="49">
        <v>0.0</v>
      </c>
    </row>
    <row r="12112" ht="15.0" hidden="1" customHeight="1">
      <c r="A12112" s="49" t="s">
        <v>335</v>
      </c>
      <c r="B12112" s="50">
        <v>46022.0</v>
      </c>
      <c r="C12112" s="49" t="s">
        <v>69</v>
      </c>
      <c r="D12112" s="49">
        <v>0.0</v>
      </c>
    </row>
    <row r="12113" ht="15.0" hidden="1" customHeight="1">
      <c r="A12113" s="49" t="s">
        <v>340</v>
      </c>
      <c r="B12113" s="50">
        <v>46022.0</v>
      </c>
      <c r="C12113" s="49" t="s">
        <v>69</v>
      </c>
      <c r="D12113" s="49">
        <v>0.0</v>
      </c>
    </row>
    <row r="12114" ht="15.0" hidden="1" customHeight="1">
      <c r="A12114" s="49" t="s">
        <v>345</v>
      </c>
      <c r="B12114" s="50">
        <v>46022.0</v>
      </c>
      <c r="C12114" s="49" t="s">
        <v>69</v>
      </c>
      <c r="D12114" s="49">
        <v>0.0</v>
      </c>
    </row>
    <row r="12115" ht="15.0" hidden="1" customHeight="1">
      <c r="A12115" s="49" t="s">
        <v>350</v>
      </c>
      <c r="B12115" s="50">
        <v>46022.0</v>
      </c>
      <c r="C12115" s="49" t="s">
        <v>69</v>
      </c>
      <c r="D12115" s="49">
        <v>0.0</v>
      </c>
    </row>
    <row r="12116" ht="15.0" hidden="1" customHeight="1">
      <c r="A12116" s="49" t="s">
        <v>355</v>
      </c>
      <c r="B12116" s="50">
        <v>46022.0</v>
      </c>
      <c r="C12116" s="49" t="s">
        <v>69</v>
      </c>
      <c r="D12116" s="49">
        <v>0.0</v>
      </c>
    </row>
    <row r="12117" ht="15.0" hidden="1" customHeight="1">
      <c r="A12117" s="49" t="s">
        <v>360</v>
      </c>
      <c r="B12117" s="50">
        <v>46022.0</v>
      </c>
      <c r="C12117" s="49" t="s">
        <v>69</v>
      </c>
      <c r="D12117" s="49">
        <v>0.0</v>
      </c>
    </row>
    <row r="12118" ht="15.0" hidden="1" customHeight="1">
      <c r="A12118" s="49" t="s">
        <v>365</v>
      </c>
      <c r="B12118" s="50">
        <v>46022.0</v>
      </c>
      <c r="C12118" s="49" t="s">
        <v>69</v>
      </c>
      <c r="D12118" s="49">
        <v>0.0</v>
      </c>
    </row>
    <row r="12119" ht="15.0" hidden="1" customHeight="1">
      <c r="A12119" s="49" t="s">
        <v>370</v>
      </c>
      <c r="B12119" s="50">
        <v>46022.0</v>
      </c>
      <c r="C12119" s="49" t="s">
        <v>69</v>
      </c>
      <c r="D12119" s="49">
        <v>0.0</v>
      </c>
    </row>
    <row r="12120" ht="15.0" hidden="1" customHeight="1">
      <c r="A12120" s="49" t="s">
        <v>375</v>
      </c>
      <c r="B12120" s="50">
        <v>46022.0</v>
      </c>
      <c r="C12120" s="49" t="s">
        <v>69</v>
      </c>
      <c r="D12120" s="49">
        <v>0.0</v>
      </c>
    </row>
    <row r="12121" ht="15.0" hidden="1" customHeight="1">
      <c r="A12121" s="49" t="s">
        <v>380</v>
      </c>
      <c r="B12121" s="50">
        <v>46022.0</v>
      </c>
      <c r="C12121" s="49" t="s">
        <v>69</v>
      </c>
      <c r="D12121" s="49">
        <v>0.0</v>
      </c>
    </row>
    <row r="12122" ht="15.0" hidden="1" customHeight="1">
      <c r="A12122" s="49" t="s">
        <v>385</v>
      </c>
      <c r="B12122" s="50">
        <v>46022.0</v>
      </c>
      <c r="C12122" s="49" t="s">
        <v>69</v>
      </c>
      <c r="D12122" s="49">
        <v>1024085.9</v>
      </c>
    </row>
    <row r="12123" ht="15.0" hidden="1" customHeight="1">
      <c r="A12123" s="49" t="s">
        <v>390</v>
      </c>
      <c r="B12123" s="50">
        <v>46022.0</v>
      </c>
      <c r="C12123" s="49" t="s">
        <v>69</v>
      </c>
      <c r="D12123" s="49">
        <v>0.0</v>
      </c>
    </row>
    <row r="12124" ht="15.0" hidden="1" customHeight="1">
      <c r="A12124" s="49" t="s">
        <v>395</v>
      </c>
      <c r="B12124" s="50">
        <v>46022.0</v>
      </c>
      <c r="C12124" s="49" t="s">
        <v>69</v>
      </c>
      <c r="D12124" s="49">
        <v>0.0</v>
      </c>
    </row>
    <row r="12125" ht="15.0" hidden="1" customHeight="1">
      <c r="A12125" s="49" t="s">
        <v>400</v>
      </c>
      <c r="B12125" s="50">
        <v>46022.0</v>
      </c>
      <c r="C12125" s="49" t="s">
        <v>69</v>
      </c>
      <c r="D12125" s="49">
        <v>500000.0</v>
      </c>
    </row>
    <row r="12126" ht="15.0" hidden="1" customHeight="1">
      <c r="A12126" s="49" t="s">
        <v>405</v>
      </c>
      <c r="B12126" s="50">
        <v>46022.0</v>
      </c>
      <c r="C12126" s="49" t="s">
        <v>69</v>
      </c>
      <c r="D12126" s="49">
        <v>0.0</v>
      </c>
    </row>
    <row r="12127" ht="15.0" hidden="1" customHeight="1">
      <c r="A12127" s="49" t="s">
        <v>410</v>
      </c>
      <c r="B12127" s="50">
        <v>46022.0</v>
      </c>
      <c r="C12127" s="49" t="s">
        <v>69</v>
      </c>
      <c r="D12127" s="49">
        <v>0.0</v>
      </c>
    </row>
    <row r="12128" ht="15.0" hidden="1" customHeight="1">
      <c r="A12128" s="49" t="s">
        <v>415</v>
      </c>
      <c r="B12128" s="50">
        <v>46022.0</v>
      </c>
      <c r="C12128" s="49" t="s">
        <v>69</v>
      </c>
      <c r="D12128" s="49">
        <v>0.0</v>
      </c>
    </row>
    <row r="12129" ht="15.0" hidden="1" customHeight="1">
      <c r="A12129" s="49" t="s">
        <v>420</v>
      </c>
      <c r="B12129" s="50">
        <v>46022.0</v>
      </c>
      <c r="C12129" s="49" t="s">
        <v>69</v>
      </c>
      <c r="D12129" s="49">
        <v>0.0</v>
      </c>
    </row>
    <row r="12130" ht="15.0" hidden="1" customHeight="1">
      <c r="A12130" s="49" t="s">
        <v>425</v>
      </c>
      <c r="B12130" s="50">
        <v>46022.0</v>
      </c>
      <c r="C12130" s="49" t="s">
        <v>69</v>
      </c>
      <c r="D12130" s="49">
        <v>0.0</v>
      </c>
    </row>
    <row r="12131" ht="15.0" hidden="1" customHeight="1">
      <c r="A12131" s="49" t="s">
        <v>430</v>
      </c>
      <c r="B12131" s="50">
        <v>46022.0</v>
      </c>
      <c r="C12131" s="49" t="s">
        <v>69</v>
      </c>
      <c r="D12131" s="49">
        <v>0.0</v>
      </c>
    </row>
    <row r="12132" ht="15.0" hidden="1" customHeight="1">
      <c r="A12132" s="49" t="s">
        <v>434</v>
      </c>
      <c r="B12132" s="50">
        <v>46022.0</v>
      </c>
      <c r="C12132" s="49" t="s">
        <v>69</v>
      </c>
      <c r="D12132" s="49">
        <v>0.0</v>
      </c>
    </row>
    <row r="12133" ht="15.0" hidden="1" customHeight="1">
      <c r="A12133" s="49" t="s">
        <v>439</v>
      </c>
      <c r="B12133" s="50">
        <v>46022.0</v>
      </c>
      <c r="C12133" s="49" t="s">
        <v>69</v>
      </c>
      <c r="D12133" s="49">
        <v>0.0</v>
      </c>
    </row>
    <row r="12134" ht="15.0" hidden="1" customHeight="1">
      <c r="A12134" s="49" t="s">
        <v>444</v>
      </c>
      <c r="B12134" s="50">
        <v>46022.0</v>
      </c>
      <c r="C12134" s="49" t="s">
        <v>69</v>
      </c>
      <c r="D12134" s="49">
        <v>0.0</v>
      </c>
    </row>
    <row r="12135" ht="15.0" hidden="1" customHeight="1">
      <c r="A12135" s="49" t="s">
        <v>449</v>
      </c>
      <c r="B12135" s="50">
        <v>46022.0</v>
      </c>
      <c r="C12135" s="49" t="s">
        <v>69</v>
      </c>
      <c r="D12135" s="49">
        <v>0.0</v>
      </c>
    </row>
    <row r="12136" ht="15.0" hidden="1" customHeight="1">
      <c r="A12136" s="49" t="s">
        <v>455</v>
      </c>
      <c r="B12136" s="50">
        <v>46022.0</v>
      </c>
      <c r="C12136" s="49" t="s">
        <v>69</v>
      </c>
      <c r="D12136" s="49">
        <v>0.0</v>
      </c>
    </row>
    <row r="12137" ht="15.0" hidden="1" customHeight="1">
      <c r="A12137" s="49" t="s">
        <v>470</v>
      </c>
      <c r="B12137" s="50">
        <v>46022.0</v>
      </c>
      <c r="C12137" s="49" t="s">
        <v>69</v>
      </c>
      <c r="D12137" s="49">
        <v>0.0</v>
      </c>
    </row>
    <row r="12138" ht="15.0" hidden="1" customHeight="1">
      <c r="A12138" s="49" t="s">
        <v>476</v>
      </c>
      <c r="B12138" s="50">
        <v>46022.0</v>
      </c>
      <c r="C12138" s="49" t="s">
        <v>69</v>
      </c>
      <c r="D12138" s="49">
        <v>0.0</v>
      </c>
    </row>
    <row r="12139" ht="15.0" hidden="1" customHeight="1">
      <c r="A12139" s="49" t="s">
        <v>481</v>
      </c>
      <c r="B12139" s="50">
        <v>46022.0</v>
      </c>
      <c r="C12139" s="49" t="s">
        <v>69</v>
      </c>
      <c r="D12139" s="49">
        <v>0.0</v>
      </c>
    </row>
    <row r="12140" ht="15.0" hidden="1" customHeight="1">
      <c r="A12140" s="49" t="s">
        <v>486</v>
      </c>
      <c r="B12140" s="50">
        <v>46022.0</v>
      </c>
      <c r="C12140" s="49" t="s">
        <v>69</v>
      </c>
      <c r="D12140" s="49">
        <v>0.0</v>
      </c>
    </row>
    <row r="12141" ht="15.0" hidden="1" customHeight="1">
      <c r="A12141" s="49" t="s">
        <v>491</v>
      </c>
      <c r="B12141" s="50">
        <v>46022.0</v>
      </c>
      <c r="C12141" s="49" t="s">
        <v>69</v>
      </c>
      <c r="D12141" s="49">
        <v>0.0</v>
      </c>
    </row>
    <row r="12142" ht="15.0" hidden="1" customHeight="1">
      <c r="A12142" s="49" t="s">
        <v>496</v>
      </c>
      <c r="B12142" s="50">
        <v>46022.0</v>
      </c>
      <c r="C12142" s="49" t="s">
        <v>69</v>
      </c>
      <c r="D12142" s="49">
        <v>0.0</v>
      </c>
    </row>
    <row r="12143" ht="15.0" hidden="1" customHeight="1">
      <c r="A12143" s="49" t="s">
        <v>501</v>
      </c>
      <c r="B12143" s="50">
        <v>46022.0</v>
      </c>
      <c r="C12143" s="49" t="s">
        <v>69</v>
      </c>
      <c r="D12143" s="49">
        <v>0.0</v>
      </c>
    </row>
    <row r="12144" ht="15.0" hidden="1" customHeight="1">
      <c r="A12144" s="49" t="s">
        <v>506</v>
      </c>
      <c r="B12144" s="50">
        <v>46022.0</v>
      </c>
      <c r="C12144" s="49" t="s">
        <v>69</v>
      </c>
      <c r="D12144" s="49">
        <v>0.0</v>
      </c>
    </row>
    <row r="12145" ht="15.0" hidden="1" customHeight="1">
      <c r="A12145" s="49" t="s">
        <v>512</v>
      </c>
      <c r="B12145" s="50">
        <v>46022.0</v>
      </c>
      <c r="C12145" s="49" t="s">
        <v>69</v>
      </c>
      <c r="D12145" s="49">
        <v>0.0</v>
      </c>
    </row>
    <row r="12146" ht="15.0" hidden="1" customHeight="1">
      <c r="A12146" s="49" t="s">
        <v>517</v>
      </c>
      <c r="B12146" s="50">
        <v>46022.0</v>
      </c>
      <c r="C12146" s="49" t="s">
        <v>69</v>
      </c>
      <c r="D12146" s="49">
        <v>0.0</v>
      </c>
    </row>
    <row r="12147" ht="15.0" hidden="1" customHeight="1">
      <c r="A12147" s="49" t="s">
        <v>522</v>
      </c>
      <c r="B12147" s="50">
        <v>46022.0</v>
      </c>
      <c r="C12147" s="49" t="s">
        <v>69</v>
      </c>
      <c r="D12147" s="49">
        <v>0.0</v>
      </c>
    </row>
    <row r="12148" ht="15.0" hidden="1" customHeight="1">
      <c r="A12148" s="49" t="s">
        <v>528</v>
      </c>
      <c r="B12148" s="50">
        <v>46022.0</v>
      </c>
      <c r="C12148" s="49" t="s">
        <v>69</v>
      </c>
      <c r="D12148" s="49">
        <v>0.0</v>
      </c>
    </row>
    <row r="12149" ht="15.0" hidden="1" customHeight="1">
      <c r="A12149" s="49" t="s">
        <v>533</v>
      </c>
      <c r="B12149" s="50">
        <v>46022.0</v>
      </c>
      <c r="C12149" s="49" t="s">
        <v>69</v>
      </c>
      <c r="D12149" s="49">
        <v>0.0</v>
      </c>
    </row>
    <row r="12150" ht="15.0" hidden="1" customHeight="1">
      <c r="A12150" s="49" t="s">
        <v>538</v>
      </c>
      <c r="B12150" s="50">
        <v>46022.0</v>
      </c>
      <c r="C12150" s="49" t="s">
        <v>69</v>
      </c>
      <c r="D12150" s="49">
        <v>0.0</v>
      </c>
    </row>
    <row r="12151" ht="15.0" hidden="1" customHeight="1">
      <c r="A12151" s="49" t="s">
        <v>546</v>
      </c>
      <c r="B12151" s="50">
        <v>46022.0</v>
      </c>
      <c r="C12151" s="49" t="s">
        <v>69</v>
      </c>
      <c r="D12151" s="49">
        <v>0.0</v>
      </c>
    </row>
    <row r="12152" ht="15.0" hidden="1" customHeight="1">
      <c r="A12152" s="49" t="s">
        <v>551</v>
      </c>
      <c r="B12152" s="50">
        <v>46022.0</v>
      </c>
      <c r="C12152" s="49" t="s">
        <v>69</v>
      </c>
      <c r="D12152" s="49">
        <v>0.0</v>
      </c>
    </row>
    <row r="12153" ht="15.0" hidden="1" customHeight="1">
      <c r="A12153" s="49" t="s">
        <v>556</v>
      </c>
      <c r="B12153" s="50">
        <v>46022.0</v>
      </c>
      <c r="C12153" s="49" t="s">
        <v>69</v>
      </c>
      <c r="D12153" s="49">
        <v>0.0</v>
      </c>
    </row>
    <row r="12154" ht="15.0" hidden="1" customHeight="1">
      <c r="A12154" s="49" t="s">
        <v>561</v>
      </c>
      <c r="B12154" s="50">
        <v>46022.0</v>
      </c>
      <c r="C12154" s="49" t="s">
        <v>69</v>
      </c>
      <c r="D12154" s="49">
        <v>0.0</v>
      </c>
    </row>
    <row r="12155" ht="15.0" hidden="1" customHeight="1">
      <c r="A12155" s="49" t="s">
        <v>566</v>
      </c>
      <c r="B12155" s="50">
        <v>46022.0</v>
      </c>
      <c r="C12155" s="49" t="s">
        <v>69</v>
      </c>
      <c r="D12155" s="49">
        <v>100000.0</v>
      </c>
    </row>
    <row r="12156" ht="15.0" hidden="1" customHeight="1">
      <c r="A12156" s="49" t="s">
        <v>571</v>
      </c>
      <c r="B12156" s="50">
        <v>46022.0</v>
      </c>
      <c r="C12156" s="49" t="s">
        <v>69</v>
      </c>
      <c r="D12156" s="49">
        <v>0.0</v>
      </c>
    </row>
    <row r="12157" ht="15.0" hidden="1" customHeight="1">
      <c r="A12157" s="49" t="s">
        <v>576</v>
      </c>
      <c r="B12157" s="50">
        <v>46022.0</v>
      </c>
      <c r="C12157" s="49" t="s">
        <v>69</v>
      </c>
      <c r="D12157" s="49">
        <v>0.0</v>
      </c>
    </row>
    <row r="12158" ht="15.0" hidden="1" customHeight="1">
      <c r="A12158" s="49" t="s">
        <v>581</v>
      </c>
      <c r="B12158" s="50">
        <v>46022.0</v>
      </c>
      <c r="C12158" s="49" t="s">
        <v>69</v>
      </c>
      <c r="D12158" s="49">
        <v>0.0</v>
      </c>
    </row>
    <row r="12159" ht="15.0" hidden="1" customHeight="1">
      <c r="A12159" s="49" t="s">
        <v>586</v>
      </c>
      <c r="B12159" s="50">
        <v>46022.0</v>
      </c>
      <c r="C12159" s="49" t="s">
        <v>69</v>
      </c>
      <c r="D12159" s="49">
        <v>0.0</v>
      </c>
    </row>
    <row r="12160" ht="15.0" hidden="1" customHeight="1">
      <c r="A12160" s="49" t="s">
        <v>754</v>
      </c>
      <c r="B12160" s="50">
        <v>46022.0</v>
      </c>
      <c r="C12160" s="49" t="s">
        <v>69</v>
      </c>
      <c r="D12160" s="49">
        <v>0.0</v>
      </c>
    </row>
    <row r="12161" ht="15.0" hidden="1" customHeight="1">
      <c r="A12161" s="49" t="s">
        <v>591</v>
      </c>
      <c r="B12161" s="50">
        <v>46022.0</v>
      </c>
      <c r="C12161" s="49" t="s">
        <v>69</v>
      </c>
      <c r="D12161" s="49">
        <v>0.0</v>
      </c>
    </row>
    <row r="12162" ht="15.0" hidden="1" customHeight="1">
      <c r="A12162" s="49" t="s">
        <v>759</v>
      </c>
      <c r="B12162" s="50">
        <v>46022.0</v>
      </c>
      <c r="C12162" s="49" t="s">
        <v>69</v>
      </c>
      <c r="D12162" s="49">
        <v>0.0</v>
      </c>
    </row>
    <row r="12163" ht="15.0" hidden="1" customHeight="1">
      <c r="A12163" s="49" t="s">
        <v>596</v>
      </c>
      <c r="B12163" s="50">
        <v>46022.0</v>
      </c>
      <c r="C12163" s="49" t="s">
        <v>69</v>
      </c>
      <c r="D12163" s="49">
        <v>500000.0</v>
      </c>
    </row>
    <row r="12164" ht="15.0" hidden="1" customHeight="1">
      <c r="A12164" s="49" t="s">
        <v>602</v>
      </c>
      <c r="B12164" s="50">
        <v>46022.0</v>
      </c>
      <c r="C12164" s="49" t="s">
        <v>69</v>
      </c>
      <c r="D12164" s="49">
        <v>0.0</v>
      </c>
    </row>
    <row r="12165" ht="15.0" hidden="1" customHeight="1">
      <c r="A12165" s="49" t="s">
        <v>607</v>
      </c>
      <c r="B12165" s="50">
        <v>46022.0</v>
      </c>
      <c r="C12165" s="49" t="s">
        <v>69</v>
      </c>
      <c r="D12165" s="49">
        <v>0.0</v>
      </c>
    </row>
    <row r="12166" ht="15.0" hidden="1" customHeight="1">
      <c r="A12166" s="49" t="s">
        <v>612</v>
      </c>
      <c r="B12166" s="50">
        <v>46022.0</v>
      </c>
      <c r="C12166" s="49" t="s">
        <v>69</v>
      </c>
      <c r="D12166" s="49">
        <v>250000.0</v>
      </c>
    </row>
    <row r="12167" ht="15.0" hidden="1" customHeight="1">
      <c r="A12167" s="49" t="s">
        <v>617</v>
      </c>
      <c r="B12167" s="50">
        <v>46022.0</v>
      </c>
      <c r="C12167" s="49" t="s">
        <v>69</v>
      </c>
      <c r="D12167" s="49">
        <v>0.0</v>
      </c>
    </row>
    <row r="12168" ht="15.0" hidden="1" customHeight="1">
      <c r="A12168" s="49" t="s">
        <v>622</v>
      </c>
      <c r="B12168" s="50">
        <v>46022.0</v>
      </c>
      <c r="C12168" s="49" t="s">
        <v>69</v>
      </c>
      <c r="D12168" s="49">
        <v>0.0</v>
      </c>
    </row>
    <row r="12169" ht="15.0" hidden="1" customHeight="1">
      <c r="A12169" s="49" t="s">
        <v>627</v>
      </c>
      <c r="B12169" s="50">
        <v>46022.0</v>
      </c>
      <c r="C12169" s="49" t="s">
        <v>69</v>
      </c>
      <c r="D12169" s="49">
        <v>0.0</v>
      </c>
    </row>
    <row r="12170" ht="15.0" hidden="1" customHeight="1">
      <c r="A12170" s="49" t="s">
        <v>631</v>
      </c>
      <c r="B12170" s="50">
        <v>46022.0</v>
      </c>
      <c r="C12170" s="49" t="s">
        <v>69</v>
      </c>
      <c r="D12170" s="49">
        <v>150000.0</v>
      </c>
    </row>
    <row r="12171" ht="15.0" hidden="1" customHeight="1">
      <c r="A12171" s="49" t="s">
        <v>636</v>
      </c>
      <c r="B12171" s="50">
        <v>46022.0</v>
      </c>
      <c r="C12171" s="49" t="s">
        <v>69</v>
      </c>
      <c r="D12171" s="49">
        <v>150000.0</v>
      </c>
    </row>
    <row r="12172" ht="15.0" hidden="1" customHeight="1">
      <c r="A12172" s="49" t="s">
        <v>640</v>
      </c>
      <c r="B12172" s="50">
        <v>46022.0</v>
      </c>
      <c r="C12172" s="49" t="s">
        <v>69</v>
      </c>
      <c r="D12172" s="49">
        <v>500000.0</v>
      </c>
    </row>
    <row r="12173" ht="15.0" hidden="1" customHeight="1">
      <c r="A12173" s="49" t="s">
        <v>644</v>
      </c>
      <c r="B12173" s="50">
        <v>46022.0</v>
      </c>
      <c r="C12173" s="49" t="s">
        <v>69</v>
      </c>
      <c r="D12173" s="49">
        <v>0.0</v>
      </c>
    </row>
    <row r="12174" ht="15.0" hidden="1" customHeight="1">
      <c r="A12174" s="49" t="s">
        <v>649</v>
      </c>
      <c r="B12174" s="50">
        <v>46022.0</v>
      </c>
      <c r="C12174" s="49" t="s">
        <v>69</v>
      </c>
      <c r="D12174" s="49">
        <v>0.0</v>
      </c>
    </row>
    <row r="12175" ht="15.0" hidden="1" customHeight="1">
      <c r="A12175" s="49" t="s">
        <v>654</v>
      </c>
      <c r="B12175" s="50">
        <v>46022.0</v>
      </c>
      <c r="C12175" s="49" t="s">
        <v>69</v>
      </c>
      <c r="D12175" s="49">
        <v>0.0</v>
      </c>
    </row>
    <row r="12176" ht="15.0" hidden="1" customHeight="1">
      <c r="A12176" s="49" t="s">
        <v>659</v>
      </c>
      <c r="B12176" s="50">
        <v>46022.0</v>
      </c>
      <c r="C12176" s="49" t="s">
        <v>69</v>
      </c>
      <c r="D12176" s="49">
        <v>600000.0</v>
      </c>
    </row>
    <row r="12177" ht="15.0" hidden="1" customHeight="1">
      <c r="A12177" s="49" t="s">
        <v>664</v>
      </c>
      <c r="B12177" s="50">
        <v>46022.0</v>
      </c>
      <c r="C12177" s="49" t="s">
        <v>69</v>
      </c>
      <c r="D12177" s="49">
        <v>200000.0</v>
      </c>
    </row>
    <row r="12178" ht="15.0" hidden="1" customHeight="1">
      <c r="A12178" s="49" t="s">
        <v>669</v>
      </c>
      <c r="B12178" s="50">
        <v>46022.0</v>
      </c>
      <c r="C12178" s="49" t="s">
        <v>69</v>
      </c>
      <c r="D12178" s="49">
        <v>0.0</v>
      </c>
    </row>
    <row r="12179" ht="15.0" hidden="1" customHeight="1">
      <c r="A12179" s="49" t="s">
        <v>674</v>
      </c>
      <c r="B12179" s="50">
        <v>46022.0</v>
      </c>
      <c r="C12179" s="49" t="s">
        <v>69</v>
      </c>
      <c r="D12179" s="49">
        <v>50000.0</v>
      </c>
    </row>
    <row r="12180" ht="15.0" hidden="1" customHeight="1">
      <c r="A12180" s="49" t="s">
        <v>679</v>
      </c>
      <c r="B12180" s="50">
        <v>46022.0</v>
      </c>
      <c r="C12180" s="49" t="s">
        <v>69</v>
      </c>
      <c r="D12180" s="49">
        <v>0.0</v>
      </c>
    </row>
    <row r="12181" ht="15.0" hidden="1" customHeight="1">
      <c r="A12181" s="49" t="s">
        <v>684</v>
      </c>
      <c r="B12181" s="50">
        <v>46022.0</v>
      </c>
      <c r="C12181" s="49" t="s">
        <v>69</v>
      </c>
      <c r="D12181" s="49">
        <v>0.0</v>
      </c>
    </row>
    <row r="12182" ht="15.0" hidden="1" customHeight="1">
      <c r="A12182" s="49" t="s">
        <v>689</v>
      </c>
      <c r="B12182" s="50">
        <v>46022.0</v>
      </c>
      <c r="C12182" s="49" t="s">
        <v>69</v>
      </c>
      <c r="D12182" s="49">
        <v>50000.0</v>
      </c>
    </row>
    <row r="12183" ht="15.0" hidden="1" customHeight="1">
      <c r="A12183" s="49" t="s">
        <v>694</v>
      </c>
      <c r="B12183" s="50">
        <v>46022.0</v>
      </c>
      <c r="C12183" s="49" t="s">
        <v>69</v>
      </c>
      <c r="D12183" s="49">
        <v>325000.0</v>
      </c>
    </row>
    <row r="12184" ht="15.0" hidden="1" customHeight="1">
      <c r="A12184" s="49" t="s">
        <v>699</v>
      </c>
      <c r="B12184" s="50">
        <v>46022.0</v>
      </c>
      <c r="C12184" s="49" t="s">
        <v>69</v>
      </c>
      <c r="D12184" s="49">
        <v>135253.0</v>
      </c>
    </row>
    <row r="12185" ht="15.0" hidden="1" customHeight="1">
      <c r="A12185" s="49" t="s">
        <v>705</v>
      </c>
      <c r="B12185" s="50">
        <v>46022.0</v>
      </c>
      <c r="C12185" s="49" t="s">
        <v>69</v>
      </c>
      <c r="D12185" s="49">
        <v>1500000.0</v>
      </c>
    </row>
    <row r="12186" ht="15.0" hidden="1" customHeight="1">
      <c r="A12186" s="49" t="s">
        <v>710</v>
      </c>
      <c r="B12186" s="50">
        <v>46022.0</v>
      </c>
      <c r="C12186" s="49" t="s">
        <v>69</v>
      </c>
      <c r="D12186" s="49">
        <v>0.0</v>
      </c>
    </row>
    <row r="12187" ht="15.0" hidden="1" customHeight="1">
      <c r="A12187" s="49" t="s">
        <v>715</v>
      </c>
      <c r="B12187" s="50">
        <v>46022.0</v>
      </c>
      <c r="C12187" s="49" t="s">
        <v>69</v>
      </c>
      <c r="D12187" s="49">
        <v>0.0</v>
      </c>
    </row>
    <row r="12188" ht="15.0" hidden="1" customHeight="1">
      <c r="A12188" s="49" t="s">
        <v>765</v>
      </c>
      <c r="B12188" s="50">
        <v>46022.0</v>
      </c>
      <c r="C12188" s="49" t="s">
        <v>69</v>
      </c>
      <c r="D12188" s="49">
        <v>0.0</v>
      </c>
    </row>
    <row r="12189" ht="15.0" hidden="1" customHeight="1">
      <c r="A12189" s="49" t="s">
        <v>720</v>
      </c>
      <c r="B12189" s="50">
        <v>46022.0</v>
      </c>
      <c r="C12189" s="49" t="s">
        <v>69</v>
      </c>
      <c r="D12189" s="49">
        <v>0.0</v>
      </c>
    </row>
    <row r="12190" ht="15.0" hidden="1" customHeight="1">
      <c r="A12190" s="49" t="s">
        <v>725</v>
      </c>
      <c r="B12190" s="50">
        <v>46022.0</v>
      </c>
      <c r="C12190" s="49" t="s">
        <v>69</v>
      </c>
      <c r="D12190" s="49">
        <v>0.0</v>
      </c>
    </row>
    <row r="12191" ht="15.0" hidden="1" customHeight="1">
      <c r="A12191" s="49" t="s">
        <v>730</v>
      </c>
      <c r="B12191" s="50">
        <v>46022.0</v>
      </c>
      <c r="C12191" s="49" t="s">
        <v>69</v>
      </c>
      <c r="D12191" s="49">
        <v>0.0</v>
      </c>
    </row>
    <row r="12192" ht="15.0" hidden="1" customHeight="1">
      <c r="A12192" s="49" t="s">
        <v>734</v>
      </c>
      <c r="B12192" s="50">
        <v>46022.0</v>
      </c>
      <c r="C12192" s="49" t="s">
        <v>69</v>
      </c>
      <c r="D12192" s="49">
        <v>0.0</v>
      </c>
    </row>
    <row r="12193" ht="15.0" hidden="1" customHeight="1">
      <c r="A12193" s="49" t="s">
        <v>739</v>
      </c>
      <c r="B12193" s="50">
        <v>46022.0</v>
      </c>
      <c r="C12193" s="49" t="s">
        <v>69</v>
      </c>
      <c r="D12193" s="49">
        <v>0.0</v>
      </c>
    </row>
    <row r="12194" ht="15.0" hidden="1" customHeight="1">
      <c r="A12194" s="49" t="s">
        <v>744</v>
      </c>
      <c r="B12194" s="50">
        <v>46022.0</v>
      </c>
      <c r="C12194" s="49" t="s">
        <v>69</v>
      </c>
      <c r="D12194" s="49">
        <v>0.0</v>
      </c>
    </row>
    <row r="12195" ht="15.0" hidden="1" customHeight="1">
      <c r="A12195" s="49" t="s">
        <v>749</v>
      </c>
      <c r="B12195" s="50">
        <v>46022.0</v>
      </c>
      <c r="C12195" s="49" t="s">
        <v>69</v>
      </c>
      <c r="D12195" s="49">
        <v>0.0</v>
      </c>
    </row>
    <row r="12196" ht="15.0" customHeight="1">
      <c r="A12196" s="49" t="s">
        <v>776</v>
      </c>
      <c r="B12196" s="50">
        <v>46022.0</v>
      </c>
      <c r="C12196" s="49" t="s">
        <v>780</v>
      </c>
      <c r="D12196" s="49">
        <v>0.0</v>
      </c>
    </row>
    <row r="12197" ht="15.0" hidden="1" customHeight="1">
      <c r="A12197" s="49" t="s">
        <v>778</v>
      </c>
      <c r="B12197" s="50">
        <v>46022.0</v>
      </c>
      <c r="C12197" s="49" t="s">
        <v>780</v>
      </c>
      <c r="D12197" s="49">
        <v>0.0</v>
      </c>
    </row>
    <row r="12198" ht="15.0" hidden="1" customHeight="1">
      <c r="A12198" s="49" t="s">
        <v>92</v>
      </c>
      <c r="B12198" s="50">
        <v>46022.0</v>
      </c>
      <c r="C12198" s="49" t="s">
        <v>780</v>
      </c>
      <c r="D12198" s="49">
        <v>0.0</v>
      </c>
    </row>
    <row r="12199" ht="15.0" hidden="1" customHeight="1">
      <c r="A12199" s="49" t="s">
        <v>97</v>
      </c>
      <c r="B12199" s="50">
        <v>46022.0</v>
      </c>
      <c r="C12199" s="49" t="s">
        <v>780</v>
      </c>
      <c r="D12199" s="49">
        <v>0.0</v>
      </c>
    </row>
    <row r="12200" ht="15.0" hidden="1" customHeight="1">
      <c r="A12200" s="49" t="s">
        <v>102</v>
      </c>
      <c r="B12200" s="50">
        <v>46022.0</v>
      </c>
      <c r="C12200" s="49" t="s">
        <v>780</v>
      </c>
      <c r="D12200" s="49">
        <v>0.0</v>
      </c>
    </row>
    <row r="12201" ht="15.0" hidden="1" customHeight="1">
      <c r="A12201" s="49" t="s">
        <v>106</v>
      </c>
      <c r="B12201" s="50">
        <v>46022.0</v>
      </c>
      <c r="C12201" s="49" t="s">
        <v>780</v>
      </c>
      <c r="D12201" s="49">
        <v>0.0</v>
      </c>
    </row>
    <row r="12202" ht="15.0" hidden="1" customHeight="1">
      <c r="A12202" s="49" t="s">
        <v>111</v>
      </c>
      <c r="B12202" s="50">
        <v>46022.0</v>
      </c>
      <c r="C12202" s="49" t="s">
        <v>780</v>
      </c>
      <c r="D12202" s="49">
        <v>0.0</v>
      </c>
    </row>
    <row r="12203" ht="15.0" hidden="1" customHeight="1">
      <c r="A12203" s="49" t="s">
        <v>116</v>
      </c>
      <c r="B12203" s="50">
        <v>46022.0</v>
      </c>
      <c r="C12203" s="49" t="s">
        <v>780</v>
      </c>
      <c r="D12203" s="49">
        <v>0.0</v>
      </c>
    </row>
    <row r="12204" ht="15.0" hidden="1" customHeight="1">
      <c r="A12204" s="49" t="s">
        <v>120</v>
      </c>
      <c r="B12204" s="50">
        <v>46022.0</v>
      </c>
      <c r="C12204" s="49" t="s">
        <v>780</v>
      </c>
      <c r="D12204" s="49">
        <v>0.0</v>
      </c>
    </row>
    <row r="12205" ht="15.0" hidden="1" customHeight="1">
      <c r="A12205" s="49" t="s">
        <v>125</v>
      </c>
      <c r="B12205" s="50">
        <v>46022.0</v>
      </c>
      <c r="C12205" s="49" t="s">
        <v>780</v>
      </c>
      <c r="D12205" s="49">
        <v>0.0</v>
      </c>
    </row>
    <row r="12206" ht="15.0" hidden="1" customHeight="1">
      <c r="A12206" s="49" t="s">
        <v>130</v>
      </c>
      <c r="B12206" s="50">
        <v>46022.0</v>
      </c>
      <c r="C12206" s="49" t="s">
        <v>780</v>
      </c>
      <c r="D12206" s="49">
        <v>0.0</v>
      </c>
    </row>
    <row r="12207" ht="15.0" hidden="1" customHeight="1">
      <c r="A12207" s="49" t="s">
        <v>137</v>
      </c>
      <c r="B12207" s="50">
        <v>46022.0</v>
      </c>
      <c r="C12207" s="49" t="s">
        <v>780</v>
      </c>
      <c r="D12207" s="49">
        <v>0.0</v>
      </c>
    </row>
    <row r="12208" ht="15.0" hidden="1" customHeight="1">
      <c r="A12208" s="49" t="s">
        <v>142</v>
      </c>
      <c r="B12208" s="50">
        <v>46022.0</v>
      </c>
      <c r="C12208" s="49" t="s">
        <v>780</v>
      </c>
      <c r="D12208" s="49">
        <v>0.0</v>
      </c>
    </row>
    <row r="12209" ht="15.0" hidden="1" customHeight="1">
      <c r="A12209" s="49" t="s">
        <v>147</v>
      </c>
      <c r="B12209" s="50">
        <v>46022.0</v>
      </c>
      <c r="C12209" s="49" t="s">
        <v>780</v>
      </c>
      <c r="D12209" s="49">
        <v>0.0</v>
      </c>
    </row>
    <row r="12210" ht="15.0" hidden="1" customHeight="1">
      <c r="A12210" s="49" t="s">
        <v>152</v>
      </c>
      <c r="B12210" s="50">
        <v>46022.0</v>
      </c>
      <c r="C12210" s="49" t="s">
        <v>780</v>
      </c>
      <c r="D12210" s="49">
        <v>0.0</v>
      </c>
    </row>
    <row r="12211" ht="15.0" hidden="1" customHeight="1">
      <c r="A12211" s="49" t="s">
        <v>157</v>
      </c>
      <c r="B12211" s="50">
        <v>46022.0</v>
      </c>
      <c r="C12211" s="49" t="s">
        <v>780</v>
      </c>
      <c r="D12211" s="49">
        <v>0.0</v>
      </c>
    </row>
    <row r="12212" ht="15.0" hidden="1" customHeight="1">
      <c r="A12212" s="49" t="s">
        <v>162</v>
      </c>
      <c r="B12212" s="50">
        <v>46022.0</v>
      </c>
      <c r="C12212" s="49" t="s">
        <v>780</v>
      </c>
      <c r="D12212" s="49">
        <v>0.0</v>
      </c>
    </row>
    <row r="12213" ht="15.0" hidden="1" customHeight="1">
      <c r="A12213" s="49" t="s">
        <v>167</v>
      </c>
      <c r="B12213" s="50">
        <v>46022.0</v>
      </c>
      <c r="C12213" s="49" t="s">
        <v>780</v>
      </c>
      <c r="D12213" s="49">
        <v>0.0</v>
      </c>
    </row>
    <row r="12214" ht="15.0" hidden="1" customHeight="1">
      <c r="A12214" s="49" t="s">
        <v>172</v>
      </c>
      <c r="B12214" s="50">
        <v>46022.0</v>
      </c>
      <c r="C12214" s="49" t="s">
        <v>780</v>
      </c>
      <c r="D12214" s="49">
        <v>0.0</v>
      </c>
    </row>
    <row r="12215" ht="15.0" hidden="1" customHeight="1">
      <c r="A12215" s="49" t="s">
        <v>177</v>
      </c>
      <c r="B12215" s="50">
        <v>46022.0</v>
      </c>
      <c r="C12215" s="49" t="s">
        <v>780</v>
      </c>
      <c r="D12215" s="49">
        <v>0.0</v>
      </c>
    </row>
    <row r="12216" ht="15.0" hidden="1" customHeight="1">
      <c r="A12216" s="49" t="s">
        <v>182</v>
      </c>
      <c r="B12216" s="50">
        <v>46022.0</v>
      </c>
      <c r="C12216" s="49" t="s">
        <v>780</v>
      </c>
      <c r="D12216" s="49">
        <v>0.0</v>
      </c>
    </row>
    <row r="12217" ht="15.0" hidden="1" customHeight="1">
      <c r="A12217" s="49" t="s">
        <v>187</v>
      </c>
      <c r="B12217" s="50">
        <v>46022.0</v>
      </c>
      <c r="C12217" s="49" t="s">
        <v>780</v>
      </c>
      <c r="D12217" s="49">
        <v>0.0</v>
      </c>
    </row>
    <row r="12218" ht="15.0" hidden="1" customHeight="1">
      <c r="A12218" s="49" t="s">
        <v>192</v>
      </c>
      <c r="B12218" s="50">
        <v>46022.0</v>
      </c>
      <c r="C12218" s="49" t="s">
        <v>780</v>
      </c>
      <c r="D12218" s="49">
        <v>0.0</v>
      </c>
    </row>
    <row r="12219" ht="15.0" hidden="1" customHeight="1">
      <c r="A12219" s="49" t="s">
        <v>197</v>
      </c>
      <c r="B12219" s="50">
        <v>46022.0</v>
      </c>
      <c r="C12219" s="49" t="s">
        <v>780</v>
      </c>
      <c r="D12219" s="49">
        <v>0.0</v>
      </c>
    </row>
    <row r="12220" ht="15.0" hidden="1" customHeight="1">
      <c r="A12220" s="49" t="s">
        <v>202</v>
      </c>
      <c r="B12220" s="50">
        <v>46022.0</v>
      </c>
      <c r="C12220" s="49" t="s">
        <v>780</v>
      </c>
      <c r="D12220" s="49">
        <v>0.0</v>
      </c>
    </row>
    <row r="12221" ht="15.0" hidden="1" customHeight="1">
      <c r="A12221" s="49" t="s">
        <v>206</v>
      </c>
      <c r="B12221" s="50">
        <v>46022.0</v>
      </c>
      <c r="C12221" s="49" t="s">
        <v>780</v>
      </c>
      <c r="D12221" s="49">
        <v>0.0</v>
      </c>
    </row>
    <row r="12222" ht="15.0" hidden="1" customHeight="1">
      <c r="A12222" s="49" t="s">
        <v>211</v>
      </c>
      <c r="B12222" s="50">
        <v>46022.0</v>
      </c>
      <c r="C12222" s="49" t="s">
        <v>780</v>
      </c>
      <c r="D12222" s="49">
        <v>0.0</v>
      </c>
    </row>
    <row r="12223" ht="15.0" hidden="1" customHeight="1">
      <c r="A12223" s="49" t="s">
        <v>779</v>
      </c>
      <c r="B12223" s="50">
        <v>46022.0</v>
      </c>
      <c r="C12223" s="49" t="s">
        <v>780</v>
      </c>
      <c r="D12223" s="49">
        <v>0.0</v>
      </c>
    </row>
    <row r="12224" ht="15.0" hidden="1" customHeight="1">
      <c r="A12224" s="49" t="s">
        <v>221</v>
      </c>
      <c r="B12224" s="50">
        <v>46022.0</v>
      </c>
      <c r="C12224" s="49" t="s">
        <v>780</v>
      </c>
      <c r="D12224" s="49">
        <v>0.0</v>
      </c>
    </row>
    <row r="12225" ht="15.0" hidden="1" customHeight="1">
      <c r="A12225" s="49" t="s">
        <v>226</v>
      </c>
      <c r="B12225" s="50">
        <v>46022.0</v>
      </c>
      <c r="C12225" s="49" t="s">
        <v>780</v>
      </c>
      <c r="D12225" s="49">
        <v>0.0</v>
      </c>
    </row>
    <row r="12226" ht="15.0" hidden="1" customHeight="1">
      <c r="A12226" s="49" t="s">
        <v>231</v>
      </c>
      <c r="B12226" s="50">
        <v>46022.0</v>
      </c>
      <c r="C12226" s="49" t="s">
        <v>780</v>
      </c>
      <c r="D12226" s="49">
        <v>0.0</v>
      </c>
    </row>
    <row r="12227" ht="15.0" hidden="1" customHeight="1">
      <c r="A12227" s="49" t="s">
        <v>236</v>
      </c>
      <c r="B12227" s="50">
        <v>46022.0</v>
      </c>
      <c r="C12227" s="49" t="s">
        <v>780</v>
      </c>
      <c r="D12227" s="49">
        <v>0.0</v>
      </c>
    </row>
    <row r="12228" ht="15.0" hidden="1" customHeight="1">
      <c r="A12228" s="49" t="s">
        <v>242</v>
      </c>
      <c r="B12228" s="50">
        <v>46022.0</v>
      </c>
      <c r="C12228" s="49" t="s">
        <v>780</v>
      </c>
      <c r="D12228" s="49">
        <v>0.0</v>
      </c>
    </row>
    <row r="12229" ht="15.0" hidden="1" customHeight="1">
      <c r="A12229" s="49" t="s">
        <v>248</v>
      </c>
      <c r="B12229" s="50">
        <v>46022.0</v>
      </c>
      <c r="C12229" s="49" t="s">
        <v>780</v>
      </c>
      <c r="D12229" s="49">
        <v>0.0</v>
      </c>
    </row>
    <row r="12230" ht="15.0" hidden="1" customHeight="1">
      <c r="A12230" s="49" t="s">
        <v>253</v>
      </c>
      <c r="B12230" s="50">
        <v>46022.0</v>
      </c>
      <c r="C12230" s="49" t="s">
        <v>780</v>
      </c>
      <c r="D12230" s="49">
        <v>0.0</v>
      </c>
    </row>
    <row r="12231" ht="15.0" hidden="1" customHeight="1">
      <c r="A12231" s="49" t="s">
        <v>258</v>
      </c>
      <c r="B12231" s="50">
        <v>46022.0</v>
      </c>
      <c r="C12231" s="49" t="s">
        <v>780</v>
      </c>
      <c r="D12231" s="49">
        <v>0.0</v>
      </c>
    </row>
    <row r="12232" ht="15.0" hidden="1" customHeight="1">
      <c r="A12232" s="49" t="s">
        <v>263</v>
      </c>
      <c r="B12232" s="50">
        <v>46022.0</v>
      </c>
      <c r="C12232" s="49" t="s">
        <v>780</v>
      </c>
      <c r="D12232" s="49">
        <v>0.0</v>
      </c>
    </row>
    <row r="12233" ht="15.0" hidden="1" customHeight="1">
      <c r="A12233" s="49" t="s">
        <v>268</v>
      </c>
      <c r="B12233" s="50">
        <v>46022.0</v>
      </c>
      <c r="C12233" s="49" t="s">
        <v>780</v>
      </c>
      <c r="D12233" s="49">
        <v>0.0</v>
      </c>
    </row>
    <row r="12234" ht="15.0" hidden="1" customHeight="1">
      <c r="A12234" s="49" t="s">
        <v>273</v>
      </c>
      <c r="B12234" s="50">
        <v>46022.0</v>
      </c>
      <c r="C12234" s="49" t="s">
        <v>780</v>
      </c>
      <c r="D12234" s="49">
        <v>0.0</v>
      </c>
    </row>
    <row r="12235" ht="15.0" hidden="1" customHeight="1">
      <c r="A12235" s="49" t="s">
        <v>278</v>
      </c>
      <c r="B12235" s="50">
        <v>46022.0</v>
      </c>
      <c r="C12235" s="49" t="s">
        <v>780</v>
      </c>
      <c r="D12235" s="49">
        <v>0.0</v>
      </c>
    </row>
    <row r="12236" ht="15.0" hidden="1" customHeight="1">
      <c r="A12236" s="49" t="s">
        <v>283</v>
      </c>
      <c r="B12236" s="50">
        <v>46022.0</v>
      </c>
      <c r="C12236" s="49" t="s">
        <v>780</v>
      </c>
      <c r="D12236" s="49">
        <v>0.0</v>
      </c>
    </row>
    <row r="12237" ht="15.0" hidden="1" customHeight="1">
      <c r="A12237" s="49" t="s">
        <v>288</v>
      </c>
      <c r="B12237" s="50">
        <v>46022.0</v>
      </c>
      <c r="C12237" s="49" t="s">
        <v>780</v>
      </c>
      <c r="D12237" s="49">
        <v>0.0</v>
      </c>
    </row>
    <row r="12238" ht="15.0" hidden="1" customHeight="1">
      <c r="A12238" s="49" t="s">
        <v>293</v>
      </c>
      <c r="B12238" s="50">
        <v>46022.0</v>
      </c>
      <c r="C12238" s="49" t="s">
        <v>780</v>
      </c>
      <c r="D12238" s="49">
        <v>0.0</v>
      </c>
    </row>
    <row r="12239" ht="15.0" hidden="1" customHeight="1">
      <c r="A12239" s="49" t="s">
        <v>298</v>
      </c>
      <c r="B12239" s="50">
        <v>46022.0</v>
      </c>
      <c r="C12239" s="49" t="s">
        <v>780</v>
      </c>
      <c r="D12239" s="49">
        <v>0.0</v>
      </c>
    </row>
    <row r="12240" ht="15.0" hidden="1" customHeight="1">
      <c r="A12240" s="49" t="s">
        <v>303</v>
      </c>
      <c r="B12240" s="50">
        <v>46022.0</v>
      </c>
      <c r="C12240" s="49" t="s">
        <v>780</v>
      </c>
      <c r="D12240" s="49">
        <v>0.0</v>
      </c>
    </row>
    <row r="12241" ht="15.0" hidden="1" customHeight="1">
      <c r="A12241" s="49" t="s">
        <v>307</v>
      </c>
      <c r="B12241" s="50">
        <v>46022.0</v>
      </c>
      <c r="C12241" s="49" t="s">
        <v>780</v>
      </c>
      <c r="D12241" s="49">
        <v>0.0</v>
      </c>
    </row>
    <row r="12242" ht="15.0" hidden="1" customHeight="1">
      <c r="A12242" s="49" t="s">
        <v>313</v>
      </c>
      <c r="B12242" s="50">
        <v>46022.0</v>
      </c>
      <c r="C12242" s="49" t="s">
        <v>780</v>
      </c>
      <c r="D12242" s="49">
        <v>0.0</v>
      </c>
    </row>
    <row r="12243" ht="15.0" hidden="1" customHeight="1">
      <c r="A12243" s="49" t="s">
        <v>318</v>
      </c>
      <c r="B12243" s="50">
        <v>46022.0</v>
      </c>
      <c r="C12243" s="49" t="s">
        <v>780</v>
      </c>
      <c r="D12243" s="49">
        <v>0.0</v>
      </c>
    </row>
    <row r="12244" ht="15.0" hidden="1" customHeight="1">
      <c r="A12244" s="49" t="s">
        <v>323</v>
      </c>
      <c r="B12244" s="50">
        <v>46022.0</v>
      </c>
      <c r="C12244" s="49" t="s">
        <v>780</v>
      </c>
      <c r="D12244" s="49">
        <v>0.0</v>
      </c>
    </row>
    <row r="12245" ht="15.0" hidden="1" customHeight="1">
      <c r="A12245" s="49" t="s">
        <v>328</v>
      </c>
      <c r="B12245" s="50">
        <v>46022.0</v>
      </c>
      <c r="C12245" s="49" t="s">
        <v>780</v>
      </c>
      <c r="D12245" s="49">
        <v>0.0</v>
      </c>
    </row>
    <row r="12246" ht="15.0" hidden="1" customHeight="1">
      <c r="A12246" s="49" t="s">
        <v>335</v>
      </c>
      <c r="B12246" s="50">
        <v>46022.0</v>
      </c>
      <c r="C12246" s="49" t="s">
        <v>780</v>
      </c>
      <c r="D12246" s="49">
        <v>0.0</v>
      </c>
    </row>
    <row r="12247" ht="15.0" hidden="1" customHeight="1">
      <c r="A12247" s="49" t="s">
        <v>340</v>
      </c>
      <c r="B12247" s="50">
        <v>46022.0</v>
      </c>
      <c r="C12247" s="49" t="s">
        <v>780</v>
      </c>
      <c r="D12247" s="49">
        <v>0.0</v>
      </c>
    </row>
    <row r="12248" ht="15.0" hidden="1" customHeight="1">
      <c r="A12248" s="49" t="s">
        <v>345</v>
      </c>
      <c r="B12248" s="50">
        <v>46022.0</v>
      </c>
      <c r="C12248" s="49" t="s">
        <v>780</v>
      </c>
      <c r="D12248" s="49">
        <v>0.0</v>
      </c>
    </row>
    <row r="12249" ht="15.0" hidden="1" customHeight="1">
      <c r="A12249" s="49" t="s">
        <v>350</v>
      </c>
      <c r="B12249" s="50">
        <v>46022.0</v>
      </c>
      <c r="C12249" s="49" t="s">
        <v>780</v>
      </c>
      <c r="D12249" s="49">
        <v>0.0</v>
      </c>
    </row>
    <row r="12250" ht="15.0" hidden="1" customHeight="1">
      <c r="A12250" s="49" t="s">
        <v>355</v>
      </c>
      <c r="B12250" s="50">
        <v>46022.0</v>
      </c>
      <c r="C12250" s="49" t="s">
        <v>780</v>
      </c>
      <c r="D12250" s="49">
        <v>0.0</v>
      </c>
    </row>
    <row r="12251" ht="15.0" hidden="1" customHeight="1">
      <c r="A12251" s="49" t="s">
        <v>360</v>
      </c>
      <c r="B12251" s="50">
        <v>46022.0</v>
      </c>
      <c r="C12251" s="49" t="s">
        <v>780</v>
      </c>
      <c r="D12251" s="49">
        <v>0.0</v>
      </c>
    </row>
    <row r="12252" ht="15.0" hidden="1" customHeight="1">
      <c r="A12252" s="49" t="s">
        <v>365</v>
      </c>
      <c r="B12252" s="50">
        <v>46022.0</v>
      </c>
      <c r="C12252" s="49" t="s">
        <v>780</v>
      </c>
      <c r="D12252" s="49">
        <v>0.0</v>
      </c>
    </row>
    <row r="12253" ht="15.0" hidden="1" customHeight="1">
      <c r="A12253" s="49" t="s">
        <v>370</v>
      </c>
      <c r="B12253" s="50">
        <v>46022.0</v>
      </c>
      <c r="C12253" s="49" t="s">
        <v>780</v>
      </c>
      <c r="D12253" s="49">
        <v>0.0</v>
      </c>
    </row>
    <row r="12254" ht="15.0" hidden="1" customHeight="1">
      <c r="A12254" s="49" t="s">
        <v>375</v>
      </c>
      <c r="B12254" s="50">
        <v>46022.0</v>
      </c>
      <c r="C12254" s="49" t="s">
        <v>780</v>
      </c>
      <c r="D12254" s="49">
        <v>0.0</v>
      </c>
    </row>
    <row r="12255" ht="15.0" hidden="1" customHeight="1">
      <c r="A12255" s="49" t="s">
        <v>380</v>
      </c>
      <c r="B12255" s="50">
        <v>46022.0</v>
      </c>
      <c r="C12255" s="49" t="s">
        <v>780</v>
      </c>
      <c r="D12255" s="49">
        <v>0.0</v>
      </c>
    </row>
    <row r="12256" ht="15.0" hidden="1" customHeight="1">
      <c r="A12256" s="49" t="s">
        <v>385</v>
      </c>
      <c r="B12256" s="50">
        <v>46022.0</v>
      </c>
      <c r="C12256" s="49" t="s">
        <v>780</v>
      </c>
      <c r="D12256" s="49">
        <v>-1024085.9</v>
      </c>
    </row>
    <row r="12257" ht="15.0" hidden="1" customHeight="1">
      <c r="A12257" s="49" t="s">
        <v>390</v>
      </c>
      <c r="B12257" s="50">
        <v>46022.0</v>
      </c>
      <c r="C12257" s="49" t="s">
        <v>780</v>
      </c>
      <c r="D12257" s="49">
        <v>1664288.27</v>
      </c>
    </row>
    <row r="12258" ht="15.0" hidden="1" customHeight="1">
      <c r="A12258" s="49" t="s">
        <v>395</v>
      </c>
      <c r="B12258" s="50">
        <v>46022.0</v>
      </c>
      <c r="C12258" s="49" t="s">
        <v>780</v>
      </c>
      <c r="D12258" s="49">
        <v>0.0</v>
      </c>
    </row>
    <row r="12259" ht="15.0" hidden="1" customHeight="1">
      <c r="A12259" s="49" t="s">
        <v>400</v>
      </c>
      <c r="B12259" s="50">
        <v>46022.0</v>
      </c>
      <c r="C12259" s="49" t="s">
        <v>780</v>
      </c>
      <c r="D12259" s="49">
        <v>-500000.0</v>
      </c>
    </row>
    <row r="12260" ht="15.0" hidden="1" customHeight="1">
      <c r="A12260" s="49" t="s">
        <v>405</v>
      </c>
      <c r="B12260" s="50">
        <v>46022.0</v>
      </c>
      <c r="C12260" s="49" t="s">
        <v>780</v>
      </c>
      <c r="D12260" s="49">
        <v>0.0</v>
      </c>
    </row>
    <row r="12261" ht="15.0" hidden="1" customHeight="1">
      <c r="A12261" s="49" t="s">
        <v>410</v>
      </c>
      <c r="B12261" s="50">
        <v>46022.0</v>
      </c>
      <c r="C12261" s="49" t="s">
        <v>780</v>
      </c>
      <c r="D12261" s="49">
        <v>0.0</v>
      </c>
    </row>
    <row r="12262" ht="15.0" hidden="1" customHeight="1">
      <c r="A12262" s="49" t="s">
        <v>415</v>
      </c>
      <c r="B12262" s="50">
        <v>46022.0</v>
      </c>
      <c r="C12262" s="49" t="s">
        <v>780</v>
      </c>
      <c r="D12262" s="49">
        <v>0.0</v>
      </c>
    </row>
    <row r="12263" ht="15.0" hidden="1" customHeight="1">
      <c r="A12263" s="49" t="s">
        <v>420</v>
      </c>
      <c r="B12263" s="50">
        <v>46022.0</v>
      </c>
      <c r="C12263" s="49" t="s">
        <v>780</v>
      </c>
      <c r="D12263" s="49">
        <v>0.0</v>
      </c>
    </row>
    <row r="12264" ht="15.0" hidden="1" customHeight="1">
      <c r="A12264" s="49" t="s">
        <v>425</v>
      </c>
      <c r="B12264" s="50">
        <v>46022.0</v>
      </c>
      <c r="C12264" s="49" t="s">
        <v>780</v>
      </c>
      <c r="D12264" s="49">
        <v>0.0</v>
      </c>
    </row>
    <row r="12265" ht="15.0" hidden="1" customHeight="1">
      <c r="A12265" s="49" t="s">
        <v>430</v>
      </c>
      <c r="B12265" s="50">
        <v>46022.0</v>
      </c>
      <c r="C12265" s="49" t="s">
        <v>780</v>
      </c>
      <c r="D12265" s="49">
        <v>0.0</v>
      </c>
    </row>
    <row r="12266" ht="15.0" hidden="1" customHeight="1">
      <c r="A12266" s="49" t="s">
        <v>434</v>
      </c>
      <c r="B12266" s="50">
        <v>46022.0</v>
      </c>
      <c r="C12266" s="49" t="s">
        <v>780</v>
      </c>
      <c r="D12266" s="49">
        <v>0.0</v>
      </c>
    </row>
    <row r="12267" ht="15.0" hidden="1" customHeight="1">
      <c r="A12267" s="49" t="s">
        <v>439</v>
      </c>
      <c r="B12267" s="50">
        <v>46022.0</v>
      </c>
      <c r="C12267" s="49" t="s">
        <v>780</v>
      </c>
      <c r="D12267" s="49">
        <v>0.0</v>
      </c>
    </row>
    <row r="12268" ht="15.0" hidden="1" customHeight="1">
      <c r="A12268" s="49" t="s">
        <v>444</v>
      </c>
      <c r="B12268" s="50">
        <v>46022.0</v>
      </c>
      <c r="C12268" s="49" t="s">
        <v>780</v>
      </c>
      <c r="D12268" s="49">
        <v>0.0</v>
      </c>
    </row>
    <row r="12269" ht="15.0" hidden="1" customHeight="1">
      <c r="A12269" s="49" t="s">
        <v>449</v>
      </c>
      <c r="B12269" s="50">
        <v>46022.0</v>
      </c>
      <c r="C12269" s="49" t="s">
        <v>780</v>
      </c>
      <c r="D12269" s="49">
        <v>0.0</v>
      </c>
    </row>
    <row r="12270" ht="15.0" hidden="1" customHeight="1">
      <c r="A12270" s="49" t="s">
        <v>455</v>
      </c>
      <c r="B12270" s="50">
        <v>46022.0</v>
      </c>
      <c r="C12270" s="49" t="s">
        <v>780</v>
      </c>
      <c r="D12270" s="49">
        <v>0.0</v>
      </c>
    </row>
    <row r="12271" ht="15.0" hidden="1" customHeight="1">
      <c r="A12271" s="49" t="s">
        <v>470</v>
      </c>
      <c r="B12271" s="50">
        <v>46022.0</v>
      </c>
      <c r="C12271" s="49" t="s">
        <v>780</v>
      </c>
      <c r="D12271" s="49">
        <v>0.0</v>
      </c>
    </row>
    <row r="12272" ht="15.0" hidden="1" customHeight="1">
      <c r="A12272" s="49" t="s">
        <v>476</v>
      </c>
      <c r="B12272" s="50">
        <v>46022.0</v>
      </c>
      <c r="C12272" s="49" t="s">
        <v>780</v>
      </c>
      <c r="D12272" s="49">
        <v>0.0</v>
      </c>
    </row>
    <row r="12273" ht="15.0" hidden="1" customHeight="1">
      <c r="A12273" s="49" t="s">
        <v>481</v>
      </c>
      <c r="B12273" s="50">
        <v>46022.0</v>
      </c>
      <c r="C12273" s="49" t="s">
        <v>780</v>
      </c>
      <c r="D12273" s="49">
        <v>0.0</v>
      </c>
    </row>
    <row r="12274" ht="15.0" hidden="1" customHeight="1">
      <c r="A12274" s="49" t="s">
        <v>486</v>
      </c>
      <c r="B12274" s="50">
        <v>46022.0</v>
      </c>
      <c r="C12274" s="49" t="s">
        <v>780</v>
      </c>
      <c r="D12274" s="49">
        <v>0.0</v>
      </c>
    </row>
    <row r="12275" ht="15.0" hidden="1" customHeight="1">
      <c r="A12275" s="49" t="s">
        <v>491</v>
      </c>
      <c r="B12275" s="50">
        <v>46022.0</v>
      </c>
      <c r="C12275" s="49" t="s">
        <v>780</v>
      </c>
      <c r="D12275" s="49">
        <v>0.0</v>
      </c>
    </row>
    <row r="12276" ht="15.0" hidden="1" customHeight="1">
      <c r="A12276" s="49" t="s">
        <v>496</v>
      </c>
      <c r="B12276" s="50">
        <v>46022.0</v>
      </c>
      <c r="C12276" s="49" t="s">
        <v>780</v>
      </c>
      <c r="D12276" s="49">
        <v>0.0</v>
      </c>
    </row>
    <row r="12277" ht="15.0" hidden="1" customHeight="1">
      <c r="A12277" s="49" t="s">
        <v>501</v>
      </c>
      <c r="B12277" s="50">
        <v>46022.0</v>
      </c>
      <c r="C12277" s="49" t="s">
        <v>780</v>
      </c>
      <c r="D12277" s="49">
        <v>0.0</v>
      </c>
    </row>
    <row r="12278" ht="15.0" hidden="1" customHeight="1">
      <c r="A12278" s="49" t="s">
        <v>506</v>
      </c>
      <c r="B12278" s="50">
        <v>46022.0</v>
      </c>
      <c r="C12278" s="49" t="s">
        <v>780</v>
      </c>
      <c r="D12278" s="49">
        <v>65046.88</v>
      </c>
    </row>
    <row r="12279" ht="15.0" hidden="1" customHeight="1">
      <c r="A12279" s="49" t="s">
        <v>512</v>
      </c>
      <c r="B12279" s="50">
        <v>46022.0</v>
      </c>
      <c r="C12279" s="49" t="s">
        <v>780</v>
      </c>
      <c r="D12279" s="49">
        <v>0.0</v>
      </c>
    </row>
    <row r="12280" ht="15.0" hidden="1" customHeight="1">
      <c r="A12280" s="49" t="s">
        <v>517</v>
      </c>
      <c r="B12280" s="50">
        <v>46022.0</v>
      </c>
      <c r="C12280" s="49" t="s">
        <v>780</v>
      </c>
      <c r="D12280" s="49">
        <v>0.0</v>
      </c>
    </row>
    <row r="12281" ht="15.0" hidden="1" customHeight="1">
      <c r="A12281" s="49" t="s">
        <v>522</v>
      </c>
      <c r="B12281" s="50">
        <v>46022.0</v>
      </c>
      <c r="C12281" s="49" t="s">
        <v>780</v>
      </c>
      <c r="D12281" s="49">
        <v>2805000.0</v>
      </c>
    </row>
    <row r="12282" ht="15.0" hidden="1" customHeight="1">
      <c r="A12282" s="49" t="s">
        <v>528</v>
      </c>
      <c r="B12282" s="50">
        <v>46022.0</v>
      </c>
      <c r="C12282" s="49" t="s">
        <v>780</v>
      </c>
      <c r="D12282" s="49">
        <v>0.0</v>
      </c>
    </row>
    <row r="12283" ht="15.0" hidden="1" customHeight="1">
      <c r="A12283" s="49" t="s">
        <v>533</v>
      </c>
      <c r="B12283" s="50">
        <v>46022.0</v>
      </c>
      <c r="C12283" s="49" t="s">
        <v>780</v>
      </c>
      <c r="D12283" s="49">
        <v>0.0</v>
      </c>
    </row>
    <row r="12284" ht="15.0" hidden="1" customHeight="1">
      <c r="A12284" s="49" t="s">
        <v>538</v>
      </c>
      <c r="B12284" s="50">
        <v>46022.0</v>
      </c>
      <c r="C12284" s="49" t="s">
        <v>780</v>
      </c>
      <c r="D12284" s="49">
        <v>0.0</v>
      </c>
    </row>
    <row r="12285" ht="15.0" hidden="1" customHeight="1">
      <c r="A12285" s="49" t="s">
        <v>546</v>
      </c>
      <c r="B12285" s="50">
        <v>46022.0</v>
      </c>
      <c r="C12285" s="49" t="s">
        <v>780</v>
      </c>
      <c r="D12285" s="49">
        <v>0.0</v>
      </c>
    </row>
    <row r="12286" ht="15.0" hidden="1" customHeight="1">
      <c r="A12286" s="49" t="s">
        <v>551</v>
      </c>
      <c r="B12286" s="50">
        <v>46022.0</v>
      </c>
      <c r="C12286" s="49" t="s">
        <v>780</v>
      </c>
      <c r="D12286" s="49">
        <v>0.0</v>
      </c>
    </row>
    <row r="12287" ht="15.0" hidden="1" customHeight="1">
      <c r="A12287" s="49" t="s">
        <v>556</v>
      </c>
      <c r="B12287" s="50">
        <v>46022.0</v>
      </c>
      <c r="C12287" s="49" t="s">
        <v>780</v>
      </c>
      <c r="D12287" s="49">
        <v>0.0</v>
      </c>
    </row>
    <row r="12288" ht="15.0" hidden="1" customHeight="1">
      <c r="A12288" s="49" t="s">
        <v>561</v>
      </c>
      <c r="B12288" s="50">
        <v>46022.0</v>
      </c>
      <c r="C12288" s="49" t="s">
        <v>780</v>
      </c>
      <c r="D12288" s="49">
        <v>0.0</v>
      </c>
    </row>
    <row r="12289" ht="15.0" hidden="1" customHeight="1">
      <c r="A12289" s="49" t="s">
        <v>566</v>
      </c>
      <c r="B12289" s="50">
        <v>46022.0</v>
      </c>
      <c r="C12289" s="49" t="s">
        <v>780</v>
      </c>
      <c r="D12289" s="49">
        <v>-100000.0</v>
      </c>
    </row>
    <row r="12290" ht="15.0" hidden="1" customHeight="1">
      <c r="A12290" s="49" t="s">
        <v>571</v>
      </c>
      <c r="B12290" s="50">
        <v>46022.0</v>
      </c>
      <c r="C12290" s="49" t="s">
        <v>780</v>
      </c>
      <c r="D12290" s="49">
        <v>0.0</v>
      </c>
    </row>
    <row r="12291" ht="15.0" hidden="1" customHeight="1">
      <c r="A12291" s="49" t="s">
        <v>576</v>
      </c>
      <c r="B12291" s="50">
        <v>46022.0</v>
      </c>
      <c r="C12291" s="49" t="s">
        <v>780</v>
      </c>
      <c r="D12291" s="49">
        <v>0.0</v>
      </c>
    </row>
    <row r="12292" ht="15.0" hidden="1" customHeight="1">
      <c r="A12292" s="49" t="s">
        <v>581</v>
      </c>
      <c r="B12292" s="50">
        <v>46022.0</v>
      </c>
      <c r="C12292" s="49" t="s">
        <v>780</v>
      </c>
      <c r="D12292" s="49">
        <v>0.0</v>
      </c>
    </row>
    <row r="12293" ht="15.0" hidden="1" customHeight="1">
      <c r="A12293" s="49" t="s">
        <v>586</v>
      </c>
      <c r="B12293" s="50">
        <v>46022.0</v>
      </c>
      <c r="C12293" s="49" t="s">
        <v>780</v>
      </c>
      <c r="D12293" s="49">
        <v>0.0</v>
      </c>
    </row>
    <row r="12294" ht="15.0" hidden="1" customHeight="1">
      <c r="A12294" s="49" t="s">
        <v>754</v>
      </c>
      <c r="B12294" s="50">
        <v>46022.0</v>
      </c>
      <c r="C12294" s="49" t="s">
        <v>780</v>
      </c>
      <c r="D12294" s="49">
        <v>0.0</v>
      </c>
    </row>
    <row r="12295" ht="15.0" hidden="1" customHeight="1">
      <c r="A12295" s="49" t="s">
        <v>591</v>
      </c>
      <c r="B12295" s="50">
        <v>46022.0</v>
      </c>
      <c r="C12295" s="49" t="s">
        <v>780</v>
      </c>
      <c r="D12295" s="49">
        <v>0.0</v>
      </c>
    </row>
    <row r="12296" ht="15.0" hidden="1" customHeight="1">
      <c r="A12296" s="49" t="s">
        <v>759</v>
      </c>
      <c r="B12296" s="50">
        <v>46022.0</v>
      </c>
      <c r="C12296" s="49" t="s">
        <v>780</v>
      </c>
      <c r="D12296" s="49">
        <v>0.0</v>
      </c>
    </row>
    <row r="12297" ht="15.0" hidden="1" customHeight="1">
      <c r="A12297" s="49" t="s">
        <v>596</v>
      </c>
      <c r="B12297" s="50">
        <v>46022.0</v>
      </c>
      <c r="C12297" s="49" t="s">
        <v>780</v>
      </c>
      <c r="D12297" s="49">
        <v>-500000.0</v>
      </c>
    </row>
    <row r="12298" ht="15.0" hidden="1" customHeight="1">
      <c r="A12298" s="49" t="s">
        <v>602</v>
      </c>
      <c r="B12298" s="50">
        <v>46022.0</v>
      </c>
      <c r="C12298" s="49" t="s">
        <v>780</v>
      </c>
      <c r="D12298" s="49">
        <v>0.0</v>
      </c>
    </row>
    <row r="12299" ht="15.0" hidden="1" customHeight="1">
      <c r="A12299" s="49" t="s">
        <v>607</v>
      </c>
      <c r="B12299" s="50">
        <v>46022.0</v>
      </c>
      <c r="C12299" s="49" t="s">
        <v>780</v>
      </c>
      <c r="D12299" s="49">
        <v>0.0</v>
      </c>
    </row>
    <row r="12300" ht="15.0" hidden="1" customHeight="1">
      <c r="A12300" s="49" t="s">
        <v>612</v>
      </c>
      <c r="B12300" s="50">
        <v>46022.0</v>
      </c>
      <c r="C12300" s="49" t="s">
        <v>780</v>
      </c>
      <c r="D12300" s="49">
        <v>-250000.0</v>
      </c>
    </row>
    <row r="12301" ht="15.0" hidden="1" customHeight="1">
      <c r="A12301" s="49" t="s">
        <v>617</v>
      </c>
      <c r="B12301" s="50">
        <v>46022.0</v>
      </c>
      <c r="C12301" s="49" t="s">
        <v>780</v>
      </c>
      <c r="D12301" s="49">
        <v>0.0</v>
      </c>
    </row>
    <row r="12302" ht="15.0" hidden="1" customHeight="1">
      <c r="A12302" s="49" t="s">
        <v>622</v>
      </c>
      <c r="B12302" s="50">
        <v>46022.0</v>
      </c>
      <c r="C12302" s="49" t="s">
        <v>780</v>
      </c>
      <c r="D12302" s="49">
        <v>0.0</v>
      </c>
    </row>
    <row r="12303" ht="15.0" hidden="1" customHeight="1">
      <c r="A12303" s="49" t="s">
        <v>627</v>
      </c>
      <c r="B12303" s="50">
        <v>46022.0</v>
      </c>
      <c r="C12303" s="49" t="s">
        <v>780</v>
      </c>
      <c r="D12303" s="49">
        <v>0.0</v>
      </c>
    </row>
    <row r="12304" ht="15.0" hidden="1" customHeight="1">
      <c r="A12304" s="49" t="s">
        <v>631</v>
      </c>
      <c r="B12304" s="50">
        <v>46022.0</v>
      </c>
      <c r="C12304" s="49" t="s">
        <v>780</v>
      </c>
      <c r="D12304" s="49">
        <v>-150000.0</v>
      </c>
    </row>
    <row r="12305" ht="15.0" hidden="1" customHeight="1">
      <c r="A12305" s="49" t="s">
        <v>636</v>
      </c>
      <c r="B12305" s="50">
        <v>46022.0</v>
      </c>
      <c r="C12305" s="49" t="s">
        <v>780</v>
      </c>
      <c r="D12305" s="49">
        <v>-150000.0</v>
      </c>
    </row>
    <row r="12306" ht="15.0" hidden="1" customHeight="1">
      <c r="A12306" s="49" t="s">
        <v>640</v>
      </c>
      <c r="B12306" s="50">
        <v>46022.0</v>
      </c>
      <c r="C12306" s="49" t="s">
        <v>780</v>
      </c>
      <c r="D12306" s="49">
        <v>-500000.0</v>
      </c>
    </row>
    <row r="12307" ht="15.0" hidden="1" customHeight="1">
      <c r="A12307" s="49" t="s">
        <v>644</v>
      </c>
      <c r="B12307" s="50">
        <v>46022.0</v>
      </c>
      <c r="C12307" s="49" t="s">
        <v>780</v>
      </c>
      <c r="D12307" s="49">
        <v>0.0</v>
      </c>
    </row>
    <row r="12308" ht="15.0" hidden="1" customHeight="1">
      <c r="A12308" s="49" t="s">
        <v>649</v>
      </c>
      <c r="B12308" s="50">
        <v>46022.0</v>
      </c>
      <c r="C12308" s="49" t="s">
        <v>780</v>
      </c>
      <c r="D12308" s="49">
        <v>0.0</v>
      </c>
    </row>
    <row r="12309" ht="15.0" hidden="1" customHeight="1">
      <c r="A12309" s="49" t="s">
        <v>654</v>
      </c>
      <c r="B12309" s="50">
        <v>46022.0</v>
      </c>
      <c r="C12309" s="49" t="s">
        <v>780</v>
      </c>
      <c r="D12309" s="49">
        <v>0.0</v>
      </c>
    </row>
    <row r="12310" ht="15.0" hidden="1" customHeight="1">
      <c r="A12310" s="49" t="s">
        <v>659</v>
      </c>
      <c r="B12310" s="50">
        <v>46022.0</v>
      </c>
      <c r="C12310" s="49" t="s">
        <v>780</v>
      </c>
      <c r="D12310" s="49">
        <v>-600000.0</v>
      </c>
    </row>
    <row r="12311" ht="15.0" hidden="1" customHeight="1">
      <c r="A12311" s="49" t="s">
        <v>664</v>
      </c>
      <c r="B12311" s="50">
        <v>46022.0</v>
      </c>
      <c r="C12311" s="49" t="s">
        <v>780</v>
      </c>
      <c r="D12311" s="49">
        <v>-200000.0</v>
      </c>
    </row>
    <row r="12312" ht="15.0" hidden="1" customHeight="1">
      <c r="A12312" s="49" t="s">
        <v>669</v>
      </c>
      <c r="B12312" s="50">
        <v>46022.0</v>
      </c>
      <c r="C12312" s="49" t="s">
        <v>780</v>
      </c>
      <c r="D12312" s="49">
        <v>0.0</v>
      </c>
    </row>
    <row r="12313" ht="15.0" hidden="1" customHeight="1">
      <c r="A12313" s="49" t="s">
        <v>674</v>
      </c>
      <c r="B12313" s="50">
        <v>46022.0</v>
      </c>
      <c r="C12313" s="49" t="s">
        <v>780</v>
      </c>
      <c r="D12313" s="49">
        <v>-50000.0</v>
      </c>
    </row>
    <row r="12314" ht="15.0" hidden="1" customHeight="1">
      <c r="A12314" s="49" t="s">
        <v>679</v>
      </c>
      <c r="B12314" s="50">
        <v>46022.0</v>
      </c>
      <c r="C12314" s="49" t="s">
        <v>780</v>
      </c>
      <c r="D12314" s="49">
        <v>0.0</v>
      </c>
    </row>
    <row r="12315" ht="15.0" hidden="1" customHeight="1">
      <c r="A12315" s="49" t="s">
        <v>684</v>
      </c>
      <c r="B12315" s="50">
        <v>46022.0</v>
      </c>
      <c r="C12315" s="49" t="s">
        <v>780</v>
      </c>
      <c r="D12315" s="49">
        <v>0.0</v>
      </c>
    </row>
    <row r="12316" ht="15.0" hidden="1" customHeight="1">
      <c r="A12316" s="49" t="s">
        <v>689</v>
      </c>
      <c r="B12316" s="50">
        <v>46022.0</v>
      </c>
      <c r="C12316" s="49" t="s">
        <v>780</v>
      </c>
      <c r="D12316" s="49">
        <v>-50000.0</v>
      </c>
    </row>
    <row r="12317" ht="15.0" hidden="1" customHeight="1">
      <c r="A12317" s="49" t="s">
        <v>694</v>
      </c>
      <c r="B12317" s="50">
        <v>46022.0</v>
      </c>
      <c r="C12317" s="49" t="s">
        <v>780</v>
      </c>
      <c r="D12317" s="49">
        <v>-325000.0</v>
      </c>
    </row>
    <row r="12318" ht="15.0" hidden="1" customHeight="1">
      <c r="A12318" s="49" t="s">
        <v>699</v>
      </c>
      <c r="B12318" s="50">
        <v>46022.0</v>
      </c>
      <c r="C12318" s="49" t="s">
        <v>780</v>
      </c>
      <c r="D12318" s="49">
        <v>-135253.0</v>
      </c>
    </row>
    <row r="12319" ht="15.0" hidden="1" customHeight="1">
      <c r="A12319" s="49" t="s">
        <v>705</v>
      </c>
      <c r="B12319" s="50">
        <v>46022.0</v>
      </c>
      <c r="C12319" s="49" t="s">
        <v>780</v>
      </c>
      <c r="D12319" s="49">
        <v>-1500000.0</v>
      </c>
    </row>
    <row r="12320" ht="15.0" hidden="1" customHeight="1">
      <c r="A12320" s="49" t="s">
        <v>710</v>
      </c>
      <c r="B12320" s="50">
        <v>46022.0</v>
      </c>
      <c r="C12320" s="49" t="s">
        <v>780</v>
      </c>
      <c r="D12320" s="49">
        <v>0.0</v>
      </c>
    </row>
    <row r="12321" ht="15.0" hidden="1" customHeight="1">
      <c r="A12321" s="49" t="s">
        <v>715</v>
      </c>
      <c r="B12321" s="50">
        <v>46022.0</v>
      </c>
      <c r="C12321" s="49" t="s">
        <v>780</v>
      </c>
      <c r="D12321" s="49">
        <v>0.0</v>
      </c>
    </row>
    <row r="12322" ht="15.0" hidden="1" customHeight="1">
      <c r="A12322" s="49" t="s">
        <v>765</v>
      </c>
      <c r="B12322" s="50">
        <v>46022.0</v>
      </c>
      <c r="C12322" s="49" t="s">
        <v>780</v>
      </c>
      <c r="D12322" s="49">
        <v>0.0</v>
      </c>
    </row>
    <row r="12323" ht="15.0" hidden="1" customHeight="1">
      <c r="A12323" s="49" t="s">
        <v>720</v>
      </c>
      <c r="B12323" s="50">
        <v>46022.0</v>
      </c>
      <c r="C12323" s="49" t="s">
        <v>780</v>
      </c>
      <c r="D12323" s="49">
        <v>0.0</v>
      </c>
    </row>
    <row r="12324" ht="15.0" hidden="1" customHeight="1">
      <c r="A12324" s="49" t="s">
        <v>725</v>
      </c>
      <c r="B12324" s="50">
        <v>46022.0</v>
      </c>
      <c r="C12324" s="49" t="s">
        <v>780</v>
      </c>
      <c r="D12324" s="49">
        <v>0.0</v>
      </c>
    </row>
    <row r="12325" ht="15.0" hidden="1" customHeight="1">
      <c r="A12325" s="49" t="s">
        <v>730</v>
      </c>
      <c r="B12325" s="50">
        <v>46022.0</v>
      </c>
      <c r="C12325" s="49" t="s">
        <v>780</v>
      </c>
      <c r="D12325" s="49">
        <v>0.0</v>
      </c>
    </row>
    <row r="12326" ht="15.0" hidden="1" customHeight="1">
      <c r="A12326" s="49" t="s">
        <v>734</v>
      </c>
      <c r="B12326" s="50">
        <v>46022.0</v>
      </c>
      <c r="C12326" s="49" t="s">
        <v>780</v>
      </c>
      <c r="D12326" s="49">
        <v>0.0</v>
      </c>
    </row>
    <row r="12327" ht="15.0" hidden="1" customHeight="1">
      <c r="A12327" s="49" t="s">
        <v>739</v>
      </c>
      <c r="B12327" s="50">
        <v>46022.0</v>
      </c>
      <c r="C12327" s="49" t="s">
        <v>780</v>
      </c>
      <c r="D12327" s="49">
        <v>0.0</v>
      </c>
    </row>
    <row r="12328" ht="15.0" hidden="1" customHeight="1">
      <c r="A12328" s="49" t="s">
        <v>744</v>
      </c>
      <c r="B12328" s="50">
        <v>46022.0</v>
      </c>
      <c r="C12328" s="49" t="s">
        <v>780</v>
      </c>
      <c r="D12328" s="49">
        <v>0.0</v>
      </c>
    </row>
    <row r="12329" ht="15.0" hidden="1" customHeight="1">
      <c r="A12329" s="49" t="s">
        <v>749</v>
      </c>
      <c r="B12329" s="50">
        <v>46022.0</v>
      </c>
      <c r="C12329" s="49" t="s">
        <v>780</v>
      </c>
      <c r="D12329" s="49">
        <v>0.0</v>
      </c>
    </row>
    <row r="12330" ht="15.0" customHeight="1">
      <c r="A12330" s="49" t="s">
        <v>776</v>
      </c>
      <c r="B12330" s="50">
        <v>46111.0</v>
      </c>
      <c r="C12330" s="49" t="s">
        <v>777</v>
      </c>
      <c r="D12330" s="49">
        <v>0.0</v>
      </c>
    </row>
    <row r="12331" ht="15.0" hidden="1" customHeight="1">
      <c r="A12331" s="49" t="s">
        <v>778</v>
      </c>
      <c r="B12331" s="50">
        <v>46111.0</v>
      </c>
      <c r="C12331" s="49" t="s">
        <v>777</v>
      </c>
      <c r="D12331" s="49">
        <v>0.0</v>
      </c>
    </row>
    <row r="12332" ht="15.0" hidden="1" customHeight="1">
      <c r="A12332" s="49" t="s">
        <v>92</v>
      </c>
      <c r="B12332" s="50">
        <v>46111.0</v>
      </c>
      <c r="C12332" s="49" t="s">
        <v>777</v>
      </c>
      <c r="D12332" s="49">
        <v>0.0</v>
      </c>
    </row>
    <row r="12333" ht="15.0" hidden="1" customHeight="1">
      <c r="A12333" s="49" t="s">
        <v>97</v>
      </c>
      <c r="B12333" s="50">
        <v>46111.0</v>
      </c>
      <c r="C12333" s="49" t="s">
        <v>777</v>
      </c>
      <c r="D12333" s="49">
        <v>0.0</v>
      </c>
    </row>
    <row r="12334" ht="15.0" hidden="1" customHeight="1">
      <c r="A12334" s="49" t="s">
        <v>102</v>
      </c>
      <c r="B12334" s="50">
        <v>46111.0</v>
      </c>
      <c r="C12334" s="49" t="s">
        <v>777</v>
      </c>
      <c r="D12334" s="49">
        <v>0.0</v>
      </c>
    </row>
    <row r="12335" ht="15.0" hidden="1" customHeight="1">
      <c r="A12335" s="49" t="s">
        <v>106</v>
      </c>
      <c r="B12335" s="50">
        <v>46111.0</v>
      </c>
      <c r="C12335" s="49" t="s">
        <v>777</v>
      </c>
      <c r="D12335" s="49">
        <v>0.0</v>
      </c>
    </row>
    <row r="12336" ht="15.0" hidden="1" customHeight="1">
      <c r="A12336" s="49" t="s">
        <v>111</v>
      </c>
      <c r="B12336" s="50">
        <v>46111.0</v>
      </c>
      <c r="C12336" s="49" t="s">
        <v>777</v>
      </c>
      <c r="D12336" s="49">
        <v>0.0</v>
      </c>
    </row>
    <row r="12337" ht="15.0" hidden="1" customHeight="1">
      <c r="A12337" s="49" t="s">
        <v>116</v>
      </c>
      <c r="B12337" s="50">
        <v>46111.0</v>
      </c>
      <c r="C12337" s="49" t="s">
        <v>777</v>
      </c>
      <c r="D12337" s="49">
        <v>0.0</v>
      </c>
    </row>
    <row r="12338" ht="15.0" hidden="1" customHeight="1">
      <c r="A12338" s="49" t="s">
        <v>120</v>
      </c>
      <c r="B12338" s="50">
        <v>46111.0</v>
      </c>
      <c r="C12338" s="49" t="s">
        <v>777</v>
      </c>
      <c r="D12338" s="49">
        <v>0.0</v>
      </c>
    </row>
    <row r="12339" ht="15.0" hidden="1" customHeight="1">
      <c r="A12339" s="49" t="s">
        <v>125</v>
      </c>
      <c r="B12339" s="50">
        <v>46111.0</v>
      </c>
      <c r="C12339" s="49" t="s">
        <v>777</v>
      </c>
      <c r="D12339" s="49">
        <v>0.0</v>
      </c>
    </row>
    <row r="12340" ht="15.0" hidden="1" customHeight="1">
      <c r="A12340" s="49" t="s">
        <v>130</v>
      </c>
      <c r="B12340" s="50">
        <v>46111.0</v>
      </c>
      <c r="C12340" s="49" t="s">
        <v>777</v>
      </c>
      <c r="D12340" s="49">
        <v>0.0</v>
      </c>
    </row>
    <row r="12341" ht="15.0" hidden="1" customHeight="1">
      <c r="A12341" s="49" t="s">
        <v>137</v>
      </c>
      <c r="B12341" s="50">
        <v>46111.0</v>
      </c>
      <c r="C12341" s="49" t="s">
        <v>777</v>
      </c>
      <c r="D12341" s="49">
        <v>0.0</v>
      </c>
    </row>
    <row r="12342" ht="15.0" hidden="1" customHeight="1">
      <c r="A12342" s="49" t="s">
        <v>142</v>
      </c>
      <c r="B12342" s="50">
        <v>46111.0</v>
      </c>
      <c r="C12342" s="49" t="s">
        <v>777</v>
      </c>
      <c r="D12342" s="49">
        <v>0.0</v>
      </c>
    </row>
    <row r="12343" ht="15.0" hidden="1" customHeight="1">
      <c r="A12343" s="49" t="s">
        <v>147</v>
      </c>
      <c r="B12343" s="50">
        <v>46111.0</v>
      </c>
      <c r="C12343" s="49" t="s">
        <v>777</v>
      </c>
      <c r="D12343" s="49">
        <v>0.0</v>
      </c>
    </row>
    <row r="12344" ht="15.0" hidden="1" customHeight="1">
      <c r="A12344" s="49" t="s">
        <v>152</v>
      </c>
      <c r="B12344" s="50">
        <v>46111.0</v>
      </c>
      <c r="C12344" s="49" t="s">
        <v>777</v>
      </c>
      <c r="D12344" s="49">
        <v>0.0</v>
      </c>
    </row>
    <row r="12345" ht="15.0" hidden="1" customHeight="1">
      <c r="A12345" s="49" t="s">
        <v>157</v>
      </c>
      <c r="B12345" s="50">
        <v>46111.0</v>
      </c>
      <c r="C12345" s="49" t="s">
        <v>777</v>
      </c>
      <c r="D12345" s="49">
        <v>0.0</v>
      </c>
    </row>
    <row r="12346" ht="15.0" hidden="1" customHeight="1">
      <c r="A12346" s="49" t="s">
        <v>162</v>
      </c>
      <c r="B12346" s="50">
        <v>46111.0</v>
      </c>
      <c r="C12346" s="49" t="s">
        <v>777</v>
      </c>
      <c r="D12346" s="49">
        <v>0.0</v>
      </c>
    </row>
    <row r="12347" ht="15.0" hidden="1" customHeight="1">
      <c r="A12347" s="49" t="s">
        <v>167</v>
      </c>
      <c r="B12347" s="50">
        <v>46111.0</v>
      </c>
      <c r="C12347" s="49" t="s">
        <v>777</v>
      </c>
      <c r="D12347" s="49">
        <v>0.0</v>
      </c>
    </row>
    <row r="12348" ht="15.0" hidden="1" customHeight="1">
      <c r="A12348" s="49" t="s">
        <v>172</v>
      </c>
      <c r="B12348" s="50">
        <v>46111.0</v>
      </c>
      <c r="C12348" s="49" t="s">
        <v>777</v>
      </c>
      <c r="D12348" s="49">
        <v>0.0</v>
      </c>
    </row>
    <row r="12349" ht="15.0" hidden="1" customHeight="1">
      <c r="A12349" s="49" t="s">
        <v>177</v>
      </c>
      <c r="B12349" s="50">
        <v>46111.0</v>
      </c>
      <c r="C12349" s="49" t="s">
        <v>777</v>
      </c>
      <c r="D12349" s="49">
        <v>0.0</v>
      </c>
    </row>
    <row r="12350" ht="15.0" hidden="1" customHeight="1">
      <c r="A12350" s="49" t="s">
        <v>182</v>
      </c>
      <c r="B12350" s="50">
        <v>46111.0</v>
      </c>
      <c r="C12350" s="49" t="s">
        <v>777</v>
      </c>
      <c r="D12350" s="49">
        <v>0.0</v>
      </c>
    </row>
    <row r="12351" ht="15.0" hidden="1" customHeight="1">
      <c r="A12351" s="49" t="s">
        <v>187</v>
      </c>
      <c r="B12351" s="50">
        <v>46111.0</v>
      </c>
      <c r="C12351" s="49" t="s">
        <v>777</v>
      </c>
      <c r="D12351" s="49">
        <v>0.0</v>
      </c>
    </row>
    <row r="12352" ht="15.0" hidden="1" customHeight="1">
      <c r="A12352" s="49" t="s">
        <v>192</v>
      </c>
      <c r="B12352" s="50">
        <v>46111.0</v>
      </c>
      <c r="C12352" s="49" t="s">
        <v>777</v>
      </c>
      <c r="D12352" s="49">
        <v>0.0</v>
      </c>
    </row>
    <row r="12353" ht="15.0" hidden="1" customHeight="1">
      <c r="A12353" s="49" t="s">
        <v>197</v>
      </c>
      <c r="B12353" s="50">
        <v>46111.0</v>
      </c>
      <c r="C12353" s="49" t="s">
        <v>777</v>
      </c>
      <c r="D12353" s="49">
        <v>0.0</v>
      </c>
    </row>
    <row r="12354" ht="15.0" hidden="1" customHeight="1">
      <c r="A12354" s="49" t="s">
        <v>202</v>
      </c>
      <c r="B12354" s="50">
        <v>46111.0</v>
      </c>
      <c r="C12354" s="49" t="s">
        <v>777</v>
      </c>
      <c r="D12354" s="49">
        <v>0.0</v>
      </c>
    </row>
    <row r="12355" ht="15.0" hidden="1" customHeight="1">
      <c r="A12355" s="49" t="s">
        <v>206</v>
      </c>
      <c r="B12355" s="50">
        <v>46111.0</v>
      </c>
      <c r="C12355" s="49" t="s">
        <v>777</v>
      </c>
      <c r="D12355" s="49">
        <v>0.0</v>
      </c>
    </row>
    <row r="12356" ht="15.0" hidden="1" customHeight="1">
      <c r="A12356" s="49" t="s">
        <v>211</v>
      </c>
      <c r="B12356" s="50">
        <v>46111.0</v>
      </c>
      <c r="C12356" s="49" t="s">
        <v>777</v>
      </c>
      <c r="D12356" s="49">
        <v>0.0</v>
      </c>
    </row>
    <row r="12357" ht="15.0" hidden="1" customHeight="1">
      <c r="A12357" s="49" t="s">
        <v>779</v>
      </c>
      <c r="B12357" s="50">
        <v>46111.0</v>
      </c>
      <c r="C12357" s="49" t="s">
        <v>777</v>
      </c>
      <c r="D12357" s="49">
        <v>0.0</v>
      </c>
    </row>
    <row r="12358" ht="15.0" hidden="1" customHeight="1">
      <c r="A12358" s="49" t="s">
        <v>221</v>
      </c>
      <c r="B12358" s="50">
        <v>46111.0</v>
      </c>
      <c r="C12358" s="49" t="s">
        <v>777</v>
      </c>
      <c r="D12358" s="49">
        <v>0.0</v>
      </c>
    </row>
    <row r="12359" ht="15.0" hidden="1" customHeight="1">
      <c r="A12359" s="49" t="s">
        <v>226</v>
      </c>
      <c r="B12359" s="50">
        <v>46111.0</v>
      </c>
      <c r="C12359" s="49" t="s">
        <v>777</v>
      </c>
      <c r="D12359" s="49">
        <v>0.0</v>
      </c>
    </row>
    <row r="12360" ht="15.0" hidden="1" customHeight="1">
      <c r="A12360" s="49" t="s">
        <v>231</v>
      </c>
      <c r="B12360" s="50">
        <v>46111.0</v>
      </c>
      <c r="C12360" s="49" t="s">
        <v>777</v>
      </c>
      <c r="D12360" s="49">
        <v>0.0</v>
      </c>
    </row>
    <row r="12361" ht="15.0" hidden="1" customHeight="1">
      <c r="A12361" s="49" t="s">
        <v>236</v>
      </c>
      <c r="B12361" s="50">
        <v>46111.0</v>
      </c>
      <c r="C12361" s="49" t="s">
        <v>777</v>
      </c>
      <c r="D12361" s="49">
        <v>0.0</v>
      </c>
    </row>
    <row r="12362" ht="15.0" hidden="1" customHeight="1">
      <c r="A12362" s="49" t="s">
        <v>242</v>
      </c>
      <c r="B12362" s="50">
        <v>46111.0</v>
      </c>
      <c r="C12362" s="49" t="s">
        <v>777</v>
      </c>
      <c r="D12362" s="49">
        <v>0.0</v>
      </c>
    </row>
    <row r="12363" ht="15.0" hidden="1" customHeight="1">
      <c r="A12363" s="49" t="s">
        <v>248</v>
      </c>
      <c r="B12363" s="50">
        <v>46111.0</v>
      </c>
      <c r="C12363" s="49" t="s">
        <v>777</v>
      </c>
      <c r="D12363" s="49">
        <v>0.0</v>
      </c>
    </row>
    <row r="12364" ht="15.0" hidden="1" customHeight="1">
      <c r="A12364" s="49" t="s">
        <v>253</v>
      </c>
      <c r="B12364" s="50">
        <v>46111.0</v>
      </c>
      <c r="C12364" s="49" t="s">
        <v>777</v>
      </c>
      <c r="D12364" s="49">
        <v>0.0</v>
      </c>
    </row>
    <row r="12365" ht="15.0" hidden="1" customHeight="1">
      <c r="A12365" s="49" t="s">
        <v>258</v>
      </c>
      <c r="B12365" s="50">
        <v>46111.0</v>
      </c>
      <c r="C12365" s="49" t="s">
        <v>777</v>
      </c>
      <c r="D12365" s="49">
        <v>0.0</v>
      </c>
    </row>
    <row r="12366" ht="15.0" hidden="1" customHeight="1">
      <c r="A12366" s="49" t="s">
        <v>263</v>
      </c>
      <c r="B12366" s="50">
        <v>46111.0</v>
      </c>
      <c r="C12366" s="49" t="s">
        <v>777</v>
      </c>
      <c r="D12366" s="49">
        <v>0.0</v>
      </c>
    </row>
    <row r="12367" ht="15.0" hidden="1" customHeight="1">
      <c r="A12367" s="49" t="s">
        <v>268</v>
      </c>
      <c r="B12367" s="50">
        <v>46111.0</v>
      </c>
      <c r="C12367" s="49" t="s">
        <v>777</v>
      </c>
      <c r="D12367" s="49">
        <v>0.0</v>
      </c>
    </row>
    <row r="12368" ht="15.0" hidden="1" customHeight="1">
      <c r="A12368" s="49" t="s">
        <v>273</v>
      </c>
      <c r="B12368" s="50">
        <v>46111.0</v>
      </c>
      <c r="C12368" s="49" t="s">
        <v>777</v>
      </c>
      <c r="D12368" s="49">
        <v>0.0</v>
      </c>
    </row>
    <row r="12369" ht="15.0" hidden="1" customHeight="1">
      <c r="A12369" s="49" t="s">
        <v>278</v>
      </c>
      <c r="B12369" s="50">
        <v>46111.0</v>
      </c>
      <c r="C12369" s="49" t="s">
        <v>777</v>
      </c>
      <c r="D12369" s="49">
        <v>0.0</v>
      </c>
    </row>
    <row r="12370" ht="15.0" hidden="1" customHeight="1">
      <c r="A12370" s="49" t="s">
        <v>283</v>
      </c>
      <c r="B12370" s="50">
        <v>46111.0</v>
      </c>
      <c r="C12370" s="49" t="s">
        <v>777</v>
      </c>
      <c r="D12370" s="49">
        <v>0.0</v>
      </c>
    </row>
    <row r="12371" ht="15.0" hidden="1" customHeight="1">
      <c r="A12371" s="49" t="s">
        <v>288</v>
      </c>
      <c r="B12371" s="50">
        <v>46111.0</v>
      </c>
      <c r="C12371" s="49" t="s">
        <v>777</v>
      </c>
      <c r="D12371" s="49">
        <v>0.0</v>
      </c>
    </row>
    <row r="12372" ht="15.0" hidden="1" customHeight="1">
      <c r="A12372" s="49" t="s">
        <v>293</v>
      </c>
      <c r="B12372" s="50">
        <v>46111.0</v>
      </c>
      <c r="C12372" s="49" t="s">
        <v>777</v>
      </c>
      <c r="D12372" s="49">
        <v>0.0</v>
      </c>
    </row>
    <row r="12373" ht="15.0" hidden="1" customHeight="1">
      <c r="A12373" s="49" t="s">
        <v>298</v>
      </c>
      <c r="B12373" s="50">
        <v>46111.0</v>
      </c>
      <c r="C12373" s="49" t="s">
        <v>777</v>
      </c>
      <c r="D12373" s="49">
        <v>0.0</v>
      </c>
    </row>
    <row r="12374" ht="15.0" hidden="1" customHeight="1">
      <c r="A12374" s="49" t="s">
        <v>303</v>
      </c>
      <c r="B12374" s="50">
        <v>46111.0</v>
      </c>
      <c r="C12374" s="49" t="s">
        <v>777</v>
      </c>
      <c r="D12374" s="49">
        <v>0.0</v>
      </c>
    </row>
    <row r="12375" ht="15.0" hidden="1" customHeight="1">
      <c r="A12375" s="49" t="s">
        <v>307</v>
      </c>
      <c r="B12375" s="50">
        <v>46111.0</v>
      </c>
      <c r="C12375" s="49" t="s">
        <v>777</v>
      </c>
      <c r="D12375" s="49">
        <v>0.0</v>
      </c>
    </row>
    <row r="12376" ht="15.0" hidden="1" customHeight="1">
      <c r="A12376" s="49" t="s">
        <v>313</v>
      </c>
      <c r="B12376" s="50">
        <v>46111.0</v>
      </c>
      <c r="C12376" s="49" t="s">
        <v>777</v>
      </c>
      <c r="D12376" s="49">
        <v>0.0</v>
      </c>
    </row>
    <row r="12377" ht="15.0" hidden="1" customHeight="1">
      <c r="A12377" s="49" t="s">
        <v>318</v>
      </c>
      <c r="B12377" s="50">
        <v>46111.0</v>
      </c>
      <c r="C12377" s="49" t="s">
        <v>777</v>
      </c>
      <c r="D12377" s="49">
        <v>0.0</v>
      </c>
    </row>
    <row r="12378" ht="15.0" hidden="1" customHeight="1">
      <c r="A12378" s="49" t="s">
        <v>323</v>
      </c>
      <c r="B12378" s="50">
        <v>46111.0</v>
      </c>
      <c r="C12378" s="49" t="s">
        <v>777</v>
      </c>
      <c r="D12378" s="49">
        <v>0.0</v>
      </c>
    </row>
    <row r="12379" ht="15.0" hidden="1" customHeight="1">
      <c r="A12379" s="49" t="s">
        <v>328</v>
      </c>
      <c r="B12379" s="50">
        <v>46111.0</v>
      </c>
      <c r="C12379" s="49" t="s">
        <v>777</v>
      </c>
      <c r="D12379" s="49">
        <v>0.0</v>
      </c>
    </row>
    <row r="12380" ht="15.0" hidden="1" customHeight="1">
      <c r="A12380" s="49" t="s">
        <v>335</v>
      </c>
      <c r="B12380" s="50">
        <v>46111.0</v>
      </c>
      <c r="C12380" s="49" t="s">
        <v>777</v>
      </c>
      <c r="D12380" s="49">
        <v>0.0</v>
      </c>
    </row>
    <row r="12381" ht="15.0" hidden="1" customHeight="1">
      <c r="A12381" s="49" t="s">
        <v>340</v>
      </c>
      <c r="B12381" s="50">
        <v>46111.0</v>
      </c>
      <c r="C12381" s="49" t="s">
        <v>777</v>
      </c>
      <c r="D12381" s="49">
        <v>0.0</v>
      </c>
    </row>
    <row r="12382" ht="15.0" hidden="1" customHeight="1">
      <c r="A12382" s="49" t="s">
        <v>345</v>
      </c>
      <c r="B12382" s="50">
        <v>46111.0</v>
      </c>
      <c r="C12382" s="49" t="s">
        <v>777</v>
      </c>
      <c r="D12382" s="49">
        <v>0.0</v>
      </c>
    </row>
    <row r="12383" ht="15.0" hidden="1" customHeight="1">
      <c r="A12383" s="49" t="s">
        <v>350</v>
      </c>
      <c r="B12383" s="50">
        <v>46111.0</v>
      </c>
      <c r="C12383" s="49" t="s">
        <v>777</v>
      </c>
      <c r="D12383" s="49">
        <v>0.0</v>
      </c>
    </row>
    <row r="12384" ht="15.0" hidden="1" customHeight="1">
      <c r="A12384" s="49" t="s">
        <v>355</v>
      </c>
      <c r="B12384" s="50">
        <v>46111.0</v>
      </c>
      <c r="C12384" s="49" t="s">
        <v>777</v>
      </c>
      <c r="D12384" s="49">
        <v>0.0</v>
      </c>
    </row>
    <row r="12385" ht="15.0" hidden="1" customHeight="1">
      <c r="A12385" s="49" t="s">
        <v>360</v>
      </c>
      <c r="B12385" s="50">
        <v>46111.0</v>
      </c>
      <c r="C12385" s="49" t="s">
        <v>777</v>
      </c>
      <c r="D12385" s="49">
        <v>0.0</v>
      </c>
    </row>
    <row r="12386" ht="15.0" hidden="1" customHeight="1">
      <c r="A12386" s="49" t="s">
        <v>365</v>
      </c>
      <c r="B12386" s="50">
        <v>46111.0</v>
      </c>
      <c r="C12386" s="49" t="s">
        <v>777</v>
      </c>
      <c r="D12386" s="49">
        <v>0.0</v>
      </c>
    </row>
    <row r="12387" ht="15.0" hidden="1" customHeight="1">
      <c r="A12387" s="49" t="s">
        <v>370</v>
      </c>
      <c r="B12387" s="50">
        <v>46111.0</v>
      </c>
      <c r="C12387" s="49" t="s">
        <v>777</v>
      </c>
      <c r="D12387" s="49">
        <v>0.0</v>
      </c>
    </row>
    <row r="12388" ht="15.0" hidden="1" customHeight="1">
      <c r="A12388" s="49" t="s">
        <v>375</v>
      </c>
      <c r="B12388" s="50">
        <v>46111.0</v>
      </c>
      <c r="C12388" s="49" t="s">
        <v>777</v>
      </c>
      <c r="D12388" s="49">
        <v>0.0</v>
      </c>
    </row>
    <row r="12389" ht="15.0" hidden="1" customHeight="1">
      <c r="A12389" s="49" t="s">
        <v>380</v>
      </c>
      <c r="B12389" s="50">
        <v>46111.0</v>
      </c>
      <c r="C12389" s="49" t="s">
        <v>777</v>
      </c>
      <c r="D12389" s="49">
        <v>0.0</v>
      </c>
    </row>
    <row r="12390" ht="15.0" hidden="1" customHeight="1">
      <c r="A12390" s="49" t="s">
        <v>385</v>
      </c>
      <c r="B12390" s="50">
        <v>46111.0</v>
      </c>
      <c r="C12390" s="49" t="s">
        <v>777</v>
      </c>
      <c r="D12390" s="49">
        <v>0.0</v>
      </c>
    </row>
    <row r="12391" ht="15.0" hidden="1" customHeight="1">
      <c r="A12391" s="49" t="s">
        <v>390</v>
      </c>
      <c r="B12391" s="50">
        <v>46111.0</v>
      </c>
      <c r="C12391" s="49" t="s">
        <v>777</v>
      </c>
      <c r="D12391" s="49">
        <v>0.0</v>
      </c>
    </row>
    <row r="12392" ht="15.0" hidden="1" customHeight="1">
      <c r="A12392" s="49" t="s">
        <v>395</v>
      </c>
      <c r="B12392" s="50">
        <v>46111.0</v>
      </c>
      <c r="C12392" s="49" t="s">
        <v>777</v>
      </c>
      <c r="D12392" s="49">
        <v>0.0</v>
      </c>
    </row>
    <row r="12393" ht="15.0" hidden="1" customHeight="1">
      <c r="A12393" s="49" t="s">
        <v>400</v>
      </c>
      <c r="B12393" s="50">
        <v>46111.0</v>
      </c>
      <c r="C12393" s="49" t="s">
        <v>777</v>
      </c>
      <c r="D12393" s="49">
        <v>0.0</v>
      </c>
    </row>
    <row r="12394" ht="15.0" hidden="1" customHeight="1">
      <c r="A12394" s="49" t="s">
        <v>405</v>
      </c>
      <c r="B12394" s="50">
        <v>46111.0</v>
      </c>
      <c r="C12394" s="49" t="s">
        <v>777</v>
      </c>
      <c r="D12394" s="49">
        <v>0.0</v>
      </c>
    </row>
    <row r="12395" ht="15.0" hidden="1" customHeight="1">
      <c r="A12395" s="49" t="s">
        <v>410</v>
      </c>
      <c r="B12395" s="50">
        <v>46111.0</v>
      </c>
      <c r="C12395" s="49" t="s">
        <v>777</v>
      </c>
      <c r="D12395" s="49">
        <v>0.0</v>
      </c>
    </row>
    <row r="12396" ht="15.0" hidden="1" customHeight="1">
      <c r="A12396" s="49" t="s">
        <v>415</v>
      </c>
      <c r="B12396" s="50">
        <v>46111.0</v>
      </c>
      <c r="C12396" s="49" t="s">
        <v>777</v>
      </c>
      <c r="D12396" s="49">
        <v>0.0</v>
      </c>
    </row>
    <row r="12397" ht="15.0" hidden="1" customHeight="1">
      <c r="A12397" s="49" t="s">
        <v>420</v>
      </c>
      <c r="B12397" s="50">
        <v>46111.0</v>
      </c>
      <c r="C12397" s="49" t="s">
        <v>777</v>
      </c>
      <c r="D12397" s="49">
        <v>0.0</v>
      </c>
    </row>
    <row r="12398" ht="15.0" hidden="1" customHeight="1">
      <c r="A12398" s="49" t="s">
        <v>425</v>
      </c>
      <c r="B12398" s="50">
        <v>46111.0</v>
      </c>
      <c r="C12398" s="49" t="s">
        <v>777</v>
      </c>
      <c r="D12398" s="49">
        <v>0.0</v>
      </c>
    </row>
    <row r="12399" ht="15.0" hidden="1" customHeight="1">
      <c r="A12399" s="49" t="s">
        <v>430</v>
      </c>
      <c r="B12399" s="50">
        <v>46111.0</v>
      </c>
      <c r="C12399" s="49" t="s">
        <v>777</v>
      </c>
      <c r="D12399" s="49">
        <v>0.0</v>
      </c>
    </row>
    <row r="12400" ht="15.0" hidden="1" customHeight="1">
      <c r="A12400" s="49" t="s">
        <v>434</v>
      </c>
      <c r="B12400" s="50">
        <v>46111.0</v>
      </c>
      <c r="C12400" s="49" t="s">
        <v>777</v>
      </c>
      <c r="D12400" s="49">
        <v>0.0</v>
      </c>
    </row>
    <row r="12401" ht="15.0" hidden="1" customHeight="1">
      <c r="A12401" s="49" t="s">
        <v>439</v>
      </c>
      <c r="B12401" s="50">
        <v>46111.0</v>
      </c>
      <c r="C12401" s="49" t="s">
        <v>777</v>
      </c>
      <c r="D12401" s="49">
        <v>0.0</v>
      </c>
    </row>
    <row r="12402" ht="15.0" hidden="1" customHeight="1">
      <c r="A12402" s="49" t="s">
        <v>444</v>
      </c>
      <c r="B12402" s="50">
        <v>46111.0</v>
      </c>
      <c r="C12402" s="49" t="s">
        <v>777</v>
      </c>
      <c r="D12402" s="49">
        <v>0.0</v>
      </c>
    </row>
    <row r="12403" ht="15.0" hidden="1" customHeight="1">
      <c r="A12403" s="49" t="s">
        <v>449</v>
      </c>
      <c r="B12403" s="50">
        <v>46111.0</v>
      </c>
      <c r="C12403" s="49" t="s">
        <v>777</v>
      </c>
      <c r="D12403" s="49">
        <v>0.0</v>
      </c>
    </row>
    <row r="12404" ht="15.0" hidden="1" customHeight="1">
      <c r="A12404" s="49" t="s">
        <v>455</v>
      </c>
      <c r="B12404" s="50">
        <v>46111.0</v>
      </c>
      <c r="C12404" s="49" t="s">
        <v>777</v>
      </c>
      <c r="D12404" s="49">
        <v>0.0</v>
      </c>
    </row>
    <row r="12405" ht="15.0" hidden="1" customHeight="1">
      <c r="A12405" s="49" t="s">
        <v>470</v>
      </c>
      <c r="B12405" s="50">
        <v>46111.0</v>
      </c>
      <c r="C12405" s="49" t="s">
        <v>777</v>
      </c>
      <c r="D12405" s="49">
        <v>0.0</v>
      </c>
    </row>
    <row r="12406" ht="15.0" hidden="1" customHeight="1">
      <c r="A12406" s="49" t="s">
        <v>476</v>
      </c>
      <c r="B12406" s="50">
        <v>46111.0</v>
      </c>
      <c r="C12406" s="49" t="s">
        <v>777</v>
      </c>
      <c r="D12406" s="49">
        <v>0.0</v>
      </c>
    </row>
    <row r="12407" ht="15.0" hidden="1" customHeight="1">
      <c r="A12407" s="49" t="s">
        <v>481</v>
      </c>
      <c r="B12407" s="50">
        <v>46111.0</v>
      </c>
      <c r="C12407" s="49" t="s">
        <v>777</v>
      </c>
      <c r="D12407" s="49">
        <v>0.0</v>
      </c>
    </row>
    <row r="12408" ht="15.0" hidden="1" customHeight="1">
      <c r="A12408" s="49" t="s">
        <v>486</v>
      </c>
      <c r="B12408" s="50">
        <v>46111.0</v>
      </c>
      <c r="C12408" s="49" t="s">
        <v>777</v>
      </c>
      <c r="D12408" s="49">
        <v>0.0</v>
      </c>
    </row>
    <row r="12409" ht="15.0" hidden="1" customHeight="1">
      <c r="A12409" s="49" t="s">
        <v>491</v>
      </c>
      <c r="B12409" s="50">
        <v>46111.0</v>
      </c>
      <c r="C12409" s="49" t="s">
        <v>777</v>
      </c>
      <c r="D12409" s="49">
        <v>0.0</v>
      </c>
    </row>
    <row r="12410" ht="15.0" hidden="1" customHeight="1">
      <c r="A12410" s="49" t="s">
        <v>496</v>
      </c>
      <c r="B12410" s="50">
        <v>46111.0</v>
      </c>
      <c r="C12410" s="49" t="s">
        <v>777</v>
      </c>
      <c r="D12410" s="49">
        <v>0.0</v>
      </c>
    </row>
    <row r="12411" ht="15.0" hidden="1" customHeight="1">
      <c r="A12411" s="49" t="s">
        <v>501</v>
      </c>
      <c r="B12411" s="50">
        <v>46111.0</v>
      </c>
      <c r="C12411" s="49" t="s">
        <v>777</v>
      </c>
      <c r="D12411" s="49">
        <v>0.0</v>
      </c>
    </row>
    <row r="12412" ht="15.0" hidden="1" customHeight="1">
      <c r="A12412" s="49" t="s">
        <v>506</v>
      </c>
      <c r="B12412" s="50">
        <v>46111.0</v>
      </c>
      <c r="C12412" s="49" t="s">
        <v>777</v>
      </c>
      <c r="D12412" s="49">
        <v>0.0</v>
      </c>
    </row>
    <row r="12413" ht="15.0" hidden="1" customHeight="1">
      <c r="A12413" s="49" t="s">
        <v>512</v>
      </c>
      <c r="B12413" s="50">
        <v>46111.0</v>
      </c>
      <c r="C12413" s="49" t="s">
        <v>777</v>
      </c>
      <c r="D12413" s="49">
        <v>0.0</v>
      </c>
    </row>
    <row r="12414" ht="15.0" hidden="1" customHeight="1">
      <c r="A12414" s="49" t="s">
        <v>517</v>
      </c>
      <c r="B12414" s="50">
        <v>46111.0</v>
      </c>
      <c r="C12414" s="49" t="s">
        <v>777</v>
      </c>
      <c r="D12414" s="49">
        <v>0.0</v>
      </c>
    </row>
    <row r="12415" ht="15.0" hidden="1" customHeight="1">
      <c r="A12415" s="49" t="s">
        <v>522</v>
      </c>
      <c r="B12415" s="50">
        <v>46111.0</v>
      </c>
      <c r="C12415" s="49" t="s">
        <v>777</v>
      </c>
      <c r="D12415" s="49">
        <v>0.0</v>
      </c>
    </row>
    <row r="12416" ht="15.0" hidden="1" customHeight="1">
      <c r="A12416" s="49" t="s">
        <v>528</v>
      </c>
      <c r="B12416" s="50">
        <v>46111.0</v>
      </c>
      <c r="C12416" s="49" t="s">
        <v>777</v>
      </c>
      <c r="D12416" s="49">
        <v>0.0</v>
      </c>
    </row>
    <row r="12417" ht="15.0" hidden="1" customHeight="1">
      <c r="A12417" s="49" t="s">
        <v>533</v>
      </c>
      <c r="B12417" s="50">
        <v>46111.0</v>
      </c>
      <c r="C12417" s="49" t="s">
        <v>777</v>
      </c>
      <c r="D12417" s="49">
        <v>0.0</v>
      </c>
    </row>
    <row r="12418" ht="15.0" hidden="1" customHeight="1">
      <c r="A12418" s="49" t="s">
        <v>538</v>
      </c>
      <c r="B12418" s="50">
        <v>46111.0</v>
      </c>
      <c r="C12418" s="49" t="s">
        <v>777</v>
      </c>
      <c r="D12418" s="49">
        <v>5367020.0</v>
      </c>
    </row>
    <row r="12419" ht="15.0" hidden="1" customHeight="1">
      <c r="A12419" s="49" t="s">
        <v>546</v>
      </c>
      <c r="B12419" s="50">
        <v>46111.0</v>
      </c>
      <c r="C12419" s="49" t="s">
        <v>777</v>
      </c>
      <c r="D12419" s="49">
        <v>0.0</v>
      </c>
    </row>
    <row r="12420" ht="15.0" hidden="1" customHeight="1">
      <c r="A12420" s="49" t="s">
        <v>551</v>
      </c>
      <c r="B12420" s="50">
        <v>46111.0</v>
      </c>
      <c r="C12420" s="49" t="s">
        <v>777</v>
      </c>
      <c r="D12420" s="49">
        <v>0.0</v>
      </c>
    </row>
    <row r="12421" ht="15.0" hidden="1" customHeight="1">
      <c r="A12421" s="49" t="s">
        <v>556</v>
      </c>
      <c r="B12421" s="50">
        <v>46111.0</v>
      </c>
      <c r="C12421" s="49" t="s">
        <v>777</v>
      </c>
      <c r="D12421" s="49">
        <v>0.0</v>
      </c>
    </row>
    <row r="12422" ht="15.0" hidden="1" customHeight="1">
      <c r="A12422" s="49" t="s">
        <v>561</v>
      </c>
      <c r="B12422" s="50">
        <v>46111.0</v>
      </c>
      <c r="C12422" s="49" t="s">
        <v>777</v>
      </c>
      <c r="D12422" s="49">
        <v>0.0</v>
      </c>
    </row>
    <row r="12423" ht="15.0" hidden="1" customHeight="1">
      <c r="A12423" s="49" t="s">
        <v>566</v>
      </c>
      <c r="B12423" s="50">
        <v>46111.0</v>
      </c>
      <c r="C12423" s="49" t="s">
        <v>777</v>
      </c>
      <c r="D12423" s="49">
        <v>0.0</v>
      </c>
    </row>
    <row r="12424" ht="15.0" hidden="1" customHeight="1">
      <c r="A12424" s="49" t="s">
        <v>571</v>
      </c>
      <c r="B12424" s="50">
        <v>46111.0</v>
      </c>
      <c r="C12424" s="49" t="s">
        <v>777</v>
      </c>
      <c r="D12424" s="49">
        <v>0.0</v>
      </c>
    </row>
    <row r="12425" ht="15.0" hidden="1" customHeight="1">
      <c r="A12425" s="49" t="s">
        <v>576</v>
      </c>
      <c r="B12425" s="50">
        <v>46111.0</v>
      </c>
      <c r="C12425" s="49" t="s">
        <v>777</v>
      </c>
      <c r="D12425" s="49">
        <v>0.0</v>
      </c>
    </row>
    <row r="12426" ht="15.0" hidden="1" customHeight="1">
      <c r="A12426" s="49" t="s">
        <v>581</v>
      </c>
      <c r="B12426" s="50">
        <v>46111.0</v>
      </c>
      <c r="C12426" s="49" t="s">
        <v>777</v>
      </c>
      <c r="D12426" s="49">
        <v>0.0</v>
      </c>
    </row>
    <row r="12427" ht="15.0" hidden="1" customHeight="1">
      <c r="A12427" s="49" t="s">
        <v>586</v>
      </c>
      <c r="B12427" s="50">
        <v>46111.0</v>
      </c>
      <c r="C12427" s="49" t="s">
        <v>777</v>
      </c>
      <c r="D12427" s="49">
        <v>0.0</v>
      </c>
    </row>
    <row r="12428" ht="15.0" hidden="1" customHeight="1">
      <c r="A12428" s="49" t="s">
        <v>754</v>
      </c>
      <c r="B12428" s="50">
        <v>46111.0</v>
      </c>
      <c r="C12428" s="49" t="s">
        <v>777</v>
      </c>
      <c r="D12428" s="49">
        <v>0.0</v>
      </c>
    </row>
    <row r="12429" ht="15.0" hidden="1" customHeight="1">
      <c r="A12429" s="49" t="s">
        <v>591</v>
      </c>
      <c r="B12429" s="50">
        <v>46111.0</v>
      </c>
      <c r="C12429" s="49" t="s">
        <v>777</v>
      </c>
      <c r="D12429" s="49">
        <v>0.0</v>
      </c>
    </row>
    <row r="12430" ht="15.0" hidden="1" customHeight="1">
      <c r="A12430" s="49" t="s">
        <v>759</v>
      </c>
      <c r="B12430" s="50">
        <v>46111.0</v>
      </c>
      <c r="C12430" s="49" t="s">
        <v>777</v>
      </c>
      <c r="D12430" s="49">
        <v>0.0</v>
      </c>
    </row>
    <row r="12431" ht="15.0" hidden="1" customHeight="1">
      <c r="A12431" s="49" t="s">
        <v>596</v>
      </c>
      <c r="B12431" s="50">
        <v>46111.0</v>
      </c>
      <c r="C12431" s="49" t="s">
        <v>777</v>
      </c>
      <c r="D12431" s="49">
        <v>0.0</v>
      </c>
    </row>
    <row r="12432" ht="15.0" hidden="1" customHeight="1">
      <c r="A12432" s="49" t="s">
        <v>602</v>
      </c>
      <c r="B12432" s="50">
        <v>46111.0</v>
      </c>
      <c r="C12432" s="49" t="s">
        <v>777</v>
      </c>
      <c r="D12432" s="49">
        <v>0.0</v>
      </c>
    </row>
    <row r="12433" ht="15.0" hidden="1" customHeight="1">
      <c r="A12433" s="49" t="s">
        <v>607</v>
      </c>
      <c r="B12433" s="50">
        <v>46111.0</v>
      </c>
      <c r="C12433" s="49" t="s">
        <v>777</v>
      </c>
      <c r="D12433" s="49">
        <v>0.0</v>
      </c>
    </row>
    <row r="12434" ht="15.0" hidden="1" customHeight="1">
      <c r="A12434" s="49" t="s">
        <v>612</v>
      </c>
      <c r="B12434" s="50">
        <v>46111.0</v>
      </c>
      <c r="C12434" s="49" t="s">
        <v>777</v>
      </c>
      <c r="D12434" s="49">
        <v>0.0</v>
      </c>
    </row>
    <row r="12435" ht="15.0" hidden="1" customHeight="1">
      <c r="A12435" s="49" t="s">
        <v>617</v>
      </c>
      <c r="B12435" s="50">
        <v>46111.0</v>
      </c>
      <c r="C12435" s="49" t="s">
        <v>777</v>
      </c>
      <c r="D12435" s="49">
        <v>0.0</v>
      </c>
    </row>
    <row r="12436" ht="15.0" hidden="1" customHeight="1">
      <c r="A12436" s="49" t="s">
        <v>622</v>
      </c>
      <c r="B12436" s="50">
        <v>46111.0</v>
      </c>
      <c r="C12436" s="49" t="s">
        <v>777</v>
      </c>
      <c r="D12436" s="49">
        <v>0.0</v>
      </c>
    </row>
    <row r="12437" ht="15.0" hidden="1" customHeight="1">
      <c r="A12437" s="49" t="s">
        <v>627</v>
      </c>
      <c r="B12437" s="50">
        <v>46111.0</v>
      </c>
      <c r="C12437" s="49" t="s">
        <v>777</v>
      </c>
      <c r="D12437" s="49">
        <v>0.0</v>
      </c>
    </row>
    <row r="12438" ht="15.0" hidden="1" customHeight="1">
      <c r="A12438" s="49" t="s">
        <v>631</v>
      </c>
      <c r="B12438" s="50">
        <v>46111.0</v>
      </c>
      <c r="C12438" s="49" t="s">
        <v>777</v>
      </c>
      <c r="D12438" s="49">
        <v>0.0</v>
      </c>
    </row>
    <row r="12439" ht="15.0" hidden="1" customHeight="1">
      <c r="A12439" s="49" t="s">
        <v>636</v>
      </c>
      <c r="B12439" s="50">
        <v>46111.0</v>
      </c>
      <c r="C12439" s="49" t="s">
        <v>777</v>
      </c>
      <c r="D12439" s="49">
        <v>0.0</v>
      </c>
    </row>
    <row r="12440" ht="15.0" hidden="1" customHeight="1">
      <c r="A12440" s="49" t="s">
        <v>640</v>
      </c>
      <c r="B12440" s="50">
        <v>46111.0</v>
      </c>
      <c r="C12440" s="49" t="s">
        <v>777</v>
      </c>
      <c r="D12440" s="49">
        <v>0.0</v>
      </c>
    </row>
    <row r="12441" ht="15.0" hidden="1" customHeight="1">
      <c r="A12441" s="49" t="s">
        <v>644</v>
      </c>
      <c r="B12441" s="50">
        <v>46111.0</v>
      </c>
      <c r="C12441" s="49" t="s">
        <v>777</v>
      </c>
      <c r="D12441" s="49">
        <v>0.0</v>
      </c>
    </row>
    <row r="12442" ht="15.0" hidden="1" customHeight="1">
      <c r="A12442" s="49" t="s">
        <v>649</v>
      </c>
      <c r="B12442" s="50">
        <v>46111.0</v>
      </c>
      <c r="C12442" s="49" t="s">
        <v>777</v>
      </c>
      <c r="D12442" s="49">
        <v>0.0</v>
      </c>
    </row>
    <row r="12443" ht="15.0" hidden="1" customHeight="1">
      <c r="A12443" s="49" t="s">
        <v>654</v>
      </c>
      <c r="B12443" s="50">
        <v>46111.0</v>
      </c>
      <c r="C12443" s="49" t="s">
        <v>777</v>
      </c>
      <c r="D12443" s="49">
        <v>0.0</v>
      </c>
    </row>
    <row r="12444" ht="15.0" hidden="1" customHeight="1">
      <c r="A12444" s="49" t="s">
        <v>659</v>
      </c>
      <c r="B12444" s="50">
        <v>46111.0</v>
      </c>
      <c r="C12444" s="49" t="s">
        <v>777</v>
      </c>
      <c r="D12444" s="49">
        <v>0.0</v>
      </c>
    </row>
    <row r="12445" ht="15.0" hidden="1" customHeight="1">
      <c r="A12445" s="49" t="s">
        <v>664</v>
      </c>
      <c r="B12445" s="50">
        <v>46111.0</v>
      </c>
      <c r="C12445" s="49" t="s">
        <v>777</v>
      </c>
      <c r="D12445" s="49">
        <v>0.0</v>
      </c>
    </row>
    <row r="12446" ht="15.0" hidden="1" customHeight="1">
      <c r="A12446" s="49" t="s">
        <v>669</v>
      </c>
      <c r="B12446" s="50">
        <v>46111.0</v>
      </c>
      <c r="C12446" s="49" t="s">
        <v>777</v>
      </c>
      <c r="D12446" s="49">
        <v>0.0</v>
      </c>
    </row>
    <row r="12447" ht="15.0" hidden="1" customHeight="1">
      <c r="A12447" s="49" t="s">
        <v>674</v>
      </c>
      <c r="B12447" s="50">
        <v>46111.0</v>
      </c>
      <c r="C12447" s="49" t="s">
        <v>777</v>
      </c>
      <c r="D12447" s="49">
        <v>0.0</v>
      </c>
    </row>
    <row r="12448" ht="15.0" hidden="1" customHeight="1">
      <c r="A12448" s="49" t="s">
        <v>679</v>
      </c>
      <c r="B12448" s="50">
        <v>46111.0</v>
      </c>
      <c r="C12448" s="49" t="s">
        <v>777</v>
      </c>
      <c r="D12448" s="49">
        <v>0.0</v>
      </c>
    </row>
    <row r="12449" ht="15.0" hidden="1" customHeight="1">
      <c r="A12449" s="49" t="s">
        <v>684</v>
      </c>
      <c r="B12449" s="50">
        <v>46111.0</v>
      </c>
      <c r="C12449" s="49" t="s">
        <v>777</v>
      </c>
      <c r="D12449" s="49">
        <v>0.0</v>
      </c>
    </row>
    <row r="12450" ht="15.0" hidden="1" customHeight="1">
      <c r="A12450" s="49" t="s">
        <v>689</v>
      </c>
      <c r="B12450" s="50">
        <v>46111.0</v>
      </c>
      <c r="C12450" s="49" t="s">
        <v>777</v>
      </c>
      <c r="D12450" s="49">
        <v>0.0</v>
      </c>
    </row>
    <row r="12451" ht="15.0" hidden="1" customHeight="1">
      <c r="A12451" s="49" t="s">
        <v>694</v>
      </c>
      <c r="B12451" s="50">
        <v>46111.0</v>
      </c>
      <c r="C12451" s="49" t="s">
        <v>777</v>
      </c>
      <c r="D12451" s="49">
        <v>0.0</v>
      </c>
    </row>
    <row r="12452" ht="15.0" hidden="1" customHeight="1">
      <c r="A12452" s="49" t="s">
        <v>699</v>
      </c>
      <c r="B12452" s="50">
        <v>46111.0</v>
      </c>
      <c r="C12452" s="49" t="s">
        <v>777</v>
      </c>
      <c r="D12452" s="49">
        <v>0.0</v>
      </c>
    </row>
    <row r="12453" ht="15.0" hidden="1" customHeight="1">
      <c r="A12453" s="49" t="s">
        <v>705</v>
      </c>
      <c r="B12453" s="50">
        <v>46111.0</v>
      </c>
      <c r="C12453" s="49" t="s">
        <v>777</v>
      </c>
      <c r="D12453" s="49">
        <v>0.0</v>
      </c>
    </row>
    <row r="12454" ht="15.0" hidden="1" customHeight="1">
      <c r="A12454" s="49" t="s">
        <v>710</v>
      </c>
      <c r="B12454" s="50">
        <v>46111.0</v>
      </c>
      <c r="C12454" s="49" t="s">
        <v>777</v>
      </c>
      <c r="D12454" s="49">
        <v>0.0</v>
      </c>
    </row>
    <row r="12455" ht="15.0" hidden="1" customHeight="1">
      <c r="A12455" s="49" t="s">
        <v>715</v>
      </c>
      <c r="B12455" s="50">
        <v>46111.0</v>
      </c>
      <c r="C12455" s="49" t="s">
        <v>777</v>
      </c>
      <c r="D12455" s="49">
        <v>0.0</v>
      </c>
    </row>
    <row r="12456" ht="15.0" hidden="1" customHeight="1">
      <c r="A12456" s="49" t="s">
        <v>765</v>
      </c>
      <c r="B12456" s="50">
        <v>46111.0</v>
      </c>
      <c r="C12456" s="49" t="s">
        <v>777</v>
      </c>
      <c r="D12456" s="49">
        <v>3308467.83</v>
      </c>
    </row>
    <row r="12457" ht="15.0" hidden="1" customHeight="1">
      <c r="A12457" s="49" t="s">
        <v>720</v>
      </c>
      <c r="B12457" s="50">
        <v>46111.0</v>
      </c>
      <c r="C12457" s="49" t="s">
        <v>777</v>
      </c>
      <c r="D12457" s="49">
        <v>0.0</v>
      </c>
    </row>
    <row r="12458" ht="15.0" hidden="1" customHeight="1">
      <c r="A12458" s="49" t="s">
        <v>725</v>
      </c>
      <c r="B12458" s="50">
        <v>46111.0</v>
      </c>
      <c r="C12458" s="49" t="s">
        <v>777</v>
      </c>
      <c r="D12458" s="49">
        <v>0.0</v>
      </c>
    </row>
    <row r="12459" ht="15.0" hidden="1" customHeight="1">
      <c r="A12459" s="49" t="s">
        <v>730</v>
      </c>
      <c r="B12459" s="50">
        <v>46111.0</v>
      </c>
      <c r="C12459" s="49" t="s">
        <v>777</v>
      </c>
      <c r="D12459" s="49">
        <v>0.0</v>
      </c>
    </row>
    <row r="12460" ht="15.0" hidden="1" customHeight="1">
      <c r="A12460" s="49" t="s">
        <v>734</v>
      </c>
      <c r="B12460" s="50">
        <v>46111.0</v>
      </c>
      <c r="C12460" s="49" t="s">
        <v>777</v>
      </c>
      <c r="D12460" s="49">
        <v>0.0</v>
      </c>
    </row>
    <row r="12461" ht="15.0" hidden="1" customHeight="1">
      <c r="A12461" s="49" t="s">
        <v>739</v>
      </c>
      <c r="B12461" s="50">
        <v>46111.0</v>
      </c>
      <c r="C12461" s="49" t="s">
        <v>777</v>
      </c>
      <c r="D12461" s="49">
        <v>0.0</v>
      </c>
    </row>
    <row r="12462" ht="15.0" hidden="1" customHeight="1">
      <c r="A12462" s="49" t="s">
        <v>744</v>
      </c>
      <c r="B12462" s="50">
        <v>46111.0</v>
      </c>
      <c r="C12462" s="49" t="s">
        <v>777</v>
      </c>
      <c r="D12462" s="49">
        <v>0.0</v>
      </c>
    </row>
    <row r="12463" ht="15.0" hidden="1" customHeight="1">
      <c r="A12463" s="49" t="s">
        <v>749</v>
      </c>
      <c r="B12463" s="50">
        <v>46111.0</v>
      </c>
      <c r="C12463" s="49" t="s">
        <v>777</v>
      </c>
      <c r="D12463" s="49">
        <v>0.0</v>
      </c>
    </row>
    <row r="12464" ht="15.0" customHeight="1">
      <c r="A12464" s="49" t="s">
        <v>776</v>
      </c>
      <c r="B12464" s="50">
        <v>46111.0</v>
      </c>
      <c r="C12464" s="49" t="s">
        <v>78</v>
      </c>
      <c r="D12464" s="49">
        <v>0.0</v>
      </c>
    </row>
    <row r="12465" ht="15.0" hidden="1" customHeight="1">
      <c r="A12465" s="49" t="s">
        <v>778</v>
      </c>
      <c r="B12465" s="50">
        <v>46111.0</v>
      </c>
      <c r="C12465" s="49" t="s">
        <v>78</v>
      </c>
      <c r="D12465" s="49">
        <v>0.0</v>
      </c>
    </row>
    <row r="12466" ht="15.0" hidden="1" customHeight="1">
      <c r="A12466" s="49" t="s">
        <v>92</v>
      </c>
      <c r="B12466" s="50">
        <v>46111.0</v>
      </c>
      <c r="C12466" s="49" t="s">
        <v>78</v>
      </c>
      <c r="D12466" s="49">
        <v>0.0</v>
      </c>
    </row>
    <row r="12467" ht="15.0" hidden="1" customHeight="1">
      <c r="A12467" s="49" t="s">
        <v>97</v>
      </c>
      <c r="B12467" s="50">
        <v>46111.0</v>
      </c>
      <c r="C12467" s="49" t="s">
        <v>78</v>
      </c>
      <c r="D12467" s="49">
        <v>0.0</v>
      </c>
    </row>
    <row r="12468" ht="15.0" hidden="1" customHeight="1">
      <c r="A12468" s="49" t="s">
        <v>102</v>
      </c>
      <c r="B12468" s="50">
        <v>46111.0</v>
      </c>
      <c r="C12468" s="49" t="s">
        <v>78</v>
      </c>
      <c r="D12468" s="49">
        <v>0.0</v>
      </c>
    </row>
    <row r="12469" ht="15.0" hidden="1" customHeight="1">
      <c r="A12469" s="49" t="s">
        <v>106</v>
      </c>
      <c r="B12469" s="50">
        <v>46111.0</v>
      </c>
      <c r="C12469" s="49" t="s">
        <v>78</v>
      </c>
      <c r="D12469" s="49">
        <v>0.0</v>
      </c>
    </row>
    <row r="12470" ht="15.0" hidden="1" customHeight="1">
      <c r="A12470" s="49" t="s">
        <v>111</v>
      </c>
      <c r="B12470" s="50">
        <v>46111.0</v>
      </c>
      <c r="C12470" s="49" t="s">
        <v>78</v>
      </c>
      <c r="D12470" s="49">
        <v>0.0</v>
      </c>
    </row>
    <row r="12471" ht="15.0" hidden="1" customHeight="1">
      <c r="A12471" s="49" t="s">
        <v>116</v>
      </c>
      <c r="B12471" s="50">
        <v>46111.0</v>
      </c>
      <c r="C12471" s="49" t="s">
        <v>78</v>
      </c>
      <c r="D12471" s="49">
        <v>0.0</v>
      </c>
    </row>
    <row r="12472" ht="15.0" hidden="1" customHeight="1">
      <c r="A12472" s="49" t="s">
        <v>120</v>
      </c>
      <c r="B12472" s="50">
        <v>46111.0</v>
      </c>
      <c r="C12472" s="49" t="s">
        <v>78</v>
      </c>
      <c r="D12472" s="49">
        <v>0.0</v>
      </c>
    </row>
    <row r="12473" ht="15.0" hidden="1" customHeight="1">
      <c r="A12473" s="49" t="s">
        <v>125</v>
      </c>
      <c r="B12473" s="50">
        <v>46111.0</v>
      </c>
      <c r="C12473" s="49" t="s">
        <v>78</v>
      </c>
      <c r="D12473" s="49">
        <v>0.0</v>
      </c>
    </row>
    <row r="12474" ht="15.0" hidden="1" customHeight="1">
      <c r="A12474" s="49" t="s">
        <v>130</v>
      </c>
      <c r="B12474" s="50">
        <v>46111.0</v>
      </c>
      <c r="C12474" s="49" t="s">
        <v>78</v>
      </c>
      <c r="D12474" s="49">
        <v>0.0</v>
      </c>
    </row>
    <row r="12475" ht="15.0" hidden="1" customHeight="1">
      <c r="A12475" s="49" t="s">
        <v>137</v>
      </c>
      <c r="B12475" s="50">
        <v>46111.0</v>
      </c>
      <c r="C12475" s="49" t="s">
        <v>78</v>
      </c>
      <c r="D12475" s="49">
        <v>0.0</v>
      </c>
    </row>
    <row r="12476" ht="15.0" hidden="1" customHeight="1">
      <c r="A12476" s="49" t="s">
        <v>142</v>
      </c>
      <c r="B12476" s="50">
        <v>46111.0</v>
      </c>
      <c r="C12476" s="49" t="s">
        <v>78</v>
      </c>
      <c r="D12476" s="49">
        <v>0.0</v>
      </c>
    </row>
    <row r="12477" ht="15.0" hidden="1" customHeight="1">
      <c r="A12477" s="49" t="s">
        <v>147</v>
      </c>
      <c r="B12477" s="50">
        <v>46111.0</v>
      </c>
      <c r="C12477" s="49" t="s">
        <v>78</v>
      </c>
      <c r="D12477" s="49">
        <v>0.0</v>
      </c>
    </row>
    <row r="12478" ht="15.0" hidden="1" customHeight="1">
      <c r="A12478" s="49" t="s">
        <v>152</v>
      </c>
      <c r="B12478" s="50">
        <v>46111.0</v>
      </c>
      <c r="C12478" s="49" t="s">
        <v>78</v>
      </c>
      <c r="D12478" s="49">
        <v>0.0</v>
      </c>
    </row>
    <row r="12479" ht="15.0" hidden="1" customHeight="1">
      <c r="A12479" s="49" t="s">
        <v>157</v>
      </c>
      <c r="B12479" s="50">
        <v>46111.0</v>
      </c>
      <c r="C12479" s="49" t="s">
        <v>78</v>
      </c>
      <c r="D12479" s="49">
        <v>0.0</v>
      </c>
    </row>
    <row r="12480" ht="15.0" hidden="1" customHeight="1">
      <c r="A12480" s="49" t="s">
        <v>162</v>
      </c>
      <c r="B12480" s="50">
        <v>46111.0</v>
      </c>
      <c r="C12480" s="49" t="s">
        <v>78</v>
      </c>
      <c r="D12480" s="49">
        <v>0.0</v>
      </c>
    </row>
    <row r="12481" ht="15.0" hidden="1" customHeight="1">
      <c r="A12481" s="49" t="s">
        <v>167</v>
      </c>
      <c r="B12481" s="50">
        <v>46111.0</v>
      </c>
      <c r="C12481" s="49" t="s">
        <v>78</v>
      </c>
      <c r="D12481" s="49">
        <v>0.0</v>
      </c>
    </row>
    <row r="12482" ht="15.0" hidden="1" customHeight="1">
      <c r="A12482" s="49" t="s">
        <v>172</v>
      </c>
      <c r="B12482" s="50">
        <v>46111.0</v>
      </c>
      <c r="C12482" s="49" t="s">
        <v>78</v>
      </c>
      <c r="D12482" s="49">
        <v>0.0</v>
      </c>
    </row>
    <row r="12483" ht="15.0" hidden="1" customHeight="1">
      <c r="A12483" s="49" t="s">
        <v>177</v>
      </c>
      <c r="B12483" s="50">
        <v>46111.0</v>
      </c>
      <c r="C12483" s="49" t="s">
        <v>78</v>
      </c>
      <c r="D12483" s="49">
        <v>0.0</v>
      </c>
    </row>
    <row r="12484" ht="15.0" hidden="1" customHeight="1">
      <c r="A12484" s="49" t="s">
        <v>182</v>
      </c>
      <c r="B12484" s="50">
        <v>46111.0</v>
      </c>
      <c r="C12484" s="49" t="s">
        <v>78</v>
      </c>
      <c r="D12484" s="49">
        <v>0.0</v>
      </c>
    </row>
    <row r="12485" ht="15.0" hidden="1" customHeight="1">
      <c r="A12485" s="49" t="s">
        <v>187</v>
      </c>
      <c r="B12485" s="50">
        <v>46111.0</v>
      </c>
      <c r="C12485" s="49" t="s">
        <v>78</v>
      </c>
      <c r="D12485" s="49">
        <v>0.0</v>
      </c>
    </row>
    <row r="12486" ht="15.0" hidden="1" customHeight="1">
      <c r="A12486" s="49" t="s">
        <v>192</v>
      </c>
      <c r="B12486" s="50">
        <v>46111.0</v>
      </c>
      <c r="C12486" s="49" t="s">
        <v>78</v>
      </c>
      <c r="D12486" s="49">
        <v>0.0</v>
      </c>
    </row>
    <row r="12487" ht="15.0" hidden="1" customHeight="1">
      <c r="A12487" s="49" t="s">
        <v>197</v>
      </c>
      <c r="B12487" s="50">
        <v>46111.0</v>
      </c>
      <c r="C12487" s="49" t="s">
        <v>78</v>
      </c>
      <c r="D12487" s="49">
        <v>0.0</v>
      </c>
    </row>
    <row r="12488" ht="15.0" hidden="1" customHeight="1">
      <c r="A12488" s="49" t="s">
        <v>202</v>
      </c>
      <c r="B12488" s="50">
        <v>46111.0</v>
      </c>
      <c r="C12488" s="49" t="s">
        <v>78</v>
      </c>
      <c r="D12488" s="49">
        <v>0.0</v>
      </c>
    </row>
    <row r="12489" ht="15.0" hidden="1" customHeight="1">
      <c r="A12489" s="49" t="s">
        <v>206</v>
      </c>
      <c r="B12489" s="50">
        <v>46111.0</v>
      </c>
      <c r="C12489" s="49" t="s">
        <v>78</v>
      </c>
      <c r="D12489" s="49">
        <v>0.0</v>
      </c>
    </row>
    <row r="12490" ht="15.0" hidden="1" customHeight="1">
      <c r="A12490" s="49" t="s">
        <v>211</v>
      </c>
      <c r="B12490" s="50">
        <v>46111.0</v>
      </c>
      <c r="C12490" s="49" t="s">
        <v>78</v>
      </c>
      <c r="D12490" s="49">
        <v>0.0</v>
      </c>
    </row>
    <row r="12491" ht="15.0" hidden="1" customHeight="1">
      <c r="A12491" s="49" t="s">
        <v>779</v>
      </c>
      <c r="B12491" s="50">
        <v>46111.0</v>
      </c>
      <c r="C12491" s="49" t="s">
        <v>78</v>
      </c>
      <c r="D12491" s="49">
        <v>0.0</v>
      </c>
    </row>
    <row r="12492" ht="15.0" hidden="1" customHeight="1">
      <c r="A12492" s="49" t="s">
        <v>221</v>
      </c>
      <c r="B12492" s="50">
        <v>46111.0</v>
      </c>
      <c r="C12492" s="49" t="s">
        <v>78</v>
      </c>
      <c r="D12492" s="49">
        <v>0.0</v>
      </c>
    </row>
    <row r="12493" ht="15.0" hidden="1" customHeight="1">
      <c r="A12493" s="49" t="s">
        <v>226</v>
      </c>
      <c r="B12493" s="50">
        <v>46111.0</v>
      </c>
      <c r="C12493" s="49" t="s">
        <v>78</v>
      </c>
      <c r="D12493" s="49">
        <v>0.0</v>
      </c>
    </row>
    <row r="12494" ht="15.0" hidden="1" customHeight="1">
      <c r="A12494" s="49" t="s">
        <v>231</v>
      </c>
      <c r="B12494" s="50">
        <v>46111.0</v>
      </c>
      <c r="C12494" s="49" t="s">
        <v>78</v>
      </c>
      <c r="D12494" s="49">
        <v>0.0</v>
      </c>
    </row>
    <row r="12495" ht="15.0" hidden="1" customHeight="1">
      <c r="A12495" s="49" t="s">
        <v>236</v>
      </c>
      <c r="B12495" s="50">
        <v>46111.0</v>
      </c>
      <c r="C12495" s="49" t="s">
        <v>78</v>
      </c>
      <c r="D12495" s="49">
        <v>0.0</v>
      </c>
    </row>
    <row r="12496" ht="15.0" hidden="1" customHeight="1">
      <c r="A12496" s="49" t="s">
        <v>242</v>
      </c>
      <c r="B12496" s="50">
        <v>46111.0</v>
      </c>
      <c r="C12496" s="49" t="s">
        <v>78</v>
      </c>
      <c r="D12496" s="49">
        <v>0.0</v>
      </c>
    </row>
    <row r="12497" ht="15.0" hidden="1" customHeight="1">
      <c r="A12497" s="49" t="s">
        <v>248</v>
      </c>
      <c r="B12497" s="50">
        <v>46111.0</v>
      </c>
      <c r="C12497" s="49" t="s">
        <v>78</v>
      </c>
      <c r="D12497" s="49">
        <v>0.0</v>
      </c>
    </row>
    <row r="12498" ht="15.0" hidden="1" customHeight="1">
      <c r="A12498" s="49" t="s">
        <v>253</v>
      </c>
      <c r="B12498" s="50">
        <v>46111.0</v>
      </c>
      <c r="C12498" s="49" t="s">
        <v>78</v>
      </c>
      <c r="D12498" s="49">
        <v>0.0</v>
      </c>
    </row>
    <row r="12499" ht="15.0" hidden="1" customHeight="1">
      <c r="A12499" s="49" t="s">
        <v>258</v>
      </c>
      <c r="B12499" s="50">
        <v>46111.0</v>
      </c>
      <c r="C12499" s="49" t="s">
        <v>78</v>
      </c>
      <c r="D12499" s="49">
        <v>0.0</v>
      </c>
    </row>
    <row r="12500" ht="15.0" hidden="1" customHeight="1">
      <c r="A12500" s="49" t="s">
        <v>263</v>
      </c>
      <c r="B12500" s="50">
        <v>46111.0</v>
      </c>
      <c r="C12500" s="49" t="s">
        <v>78</v>
      </c>
      <c r="D12500" s="49">
        <v>0.0</v>
      </c>
    </row>
    <row r="12501" ht="15.0" hidden="1" customHeight="1">
      <c r="A12501" s="49" t="s">
        <v>268</v>
      </c>
      <c r="B12501" s="50">
        <v>46111.0</v>
      </c>
      <c r="C12501" s="49" t="s">
        <v>78</v>
      </c>
      <c r="D12501" s="49">
        <v>0.0</v>
      </c>
    </row>
    <row r="12502" ht="15.0" hidden="1" customHeight="1">
      <c r="A12502" s="49" t="s">
        <v>273</v>
      </c>
      <c r="B12502" s="50">
        <v>46111.0</v>
      </c>
      <c r="C12502" s="49" t="s">
        <v>78</v>
      </c>
      <c r="D12502" s="49">
        <v>0.0</v>
      </c>
    </row>
    <row r="12503" ht="15.0" hidden="1" customHeight="1">
      <c r="A12503" s="49" t="s">
        <v>278</v>
      </c>
      <c r="B12503" s="50">
        <v>46111.0</v>
      </c>
      <c r="C12503" s="49" t="s">
        <v>78</v>
      </c>
      <c r="D12503" s="49">
        <v>0.0</v>
      </c>
    </row>
    <row r="12504" ht="15.0" hidden="1" customHeight="1">
      <c r="A12504" s="49" t="s">
        <v>283</v>
      </c>
      <c r="B12504" s="50">
        <v>46111.0</v>
      </c>
      <c r="C12504" s="49" t="s">
        <v>78</v>
      </c>
      <c r="D12504" s="49">
        <v>0.0</v>
      </c>
    </row>
    <row r="12505" ht="15.0" hidden="1" customHeight="1">
      <c r="A12505" s="49" t="s">
        <v>288</v>
      </c>
      <c r="B12505" s="50">
        <v>46111.0</v>
      </c>
      <c r="C12505" s="49" t="s">
        <v>78</v>
      </c>
      <c r="D12505" s="49">
        <v>0.0</v>
      </c>
    </row>
    <row r="12506" ht="15.0" hidden="1" customHeight="1">
      <c r="A12506" s="49" t="s">
        <v>293</v>
      </c>
      <c r="B12506" s="50">
        <v>46111.0</v>
      </c>
      <c r="C12506" s="49" t="s">
        <v>78</v>
      </c>
      <c r="D12506" s="49">
        <v>0.0</v>
      </c>
    </row>
    <row r="12507" ht="15.0" hidden="1" customHeight="1">
      <c r="A12507" s="49" t="s">
        <v>298</v>
      </c>
      <c r="B12507" s="50">
        <v>46111.0</v>
      </c>
      <c r="C12507" s="49" t="s">
        <v>78</v>
      </c>
      <c r="D12507" s="49">
        <v>0.0</v>
      </c>
    </row>
    <row r="12508" ht="15.0" hidden="1" customHeight="1">
      <c r="A12508" s="49" t="s">
        <v>303</v>
      </c>
      <c r="B12508" s="50">
        <v>46111.0</v>
      </c>
      <c r="C12508" s="49" t="s">
        <v>78</v>
      </c>
      <c r="D12508" s="49">
        <v>0.0</v>
      </c>
    </row>
    <row r="12509" ht="15.0" hidden="1" customHeight="1">
      <c r="A12509" s="49" t="s">
        <v>307</v>
      </c>
      <c r="B12509" s="50">
        <v>46111.0</v>
      </c>
      <c r="C12509" s="49" t="s">
        <v>78</v>
      </c>
      <c r="D12509" s="49">
        <v>0.0</v>
      </c>
    </row>
    <row r="12510" ht="15.0" hidden="1" customHeight="1">
      <c r="A12510" s="49" t="s">
        <v>313</v>
      </c>
      <c r="B12510" s="50">
        <v>46111.0</v>
      </c>
      <c r="C12510" s="49" t="s">
        <v>78</v>
      </c>
      <c r="D12510" s="49">
        <v>0.0</v>
      </c>
    </row>
    <row r="12511" ht="15.0" hidden="1" customHeight="1">
      <c r="A12511" s="49" t="s">
        <v>318</v>
      </c>
      <c r="B12511" s="50">
        <v>46111.0</v>
      </c>
      <c r="C12511" s="49" t="s">
        <v>78</v>
      </c>
      <c r="D12511" s="49">
        <v>0.0</v>
      </c>
    </row>
    <row r="12512" ht="15.0" hidden="1" customHeight="1">
      <c r="A12512" s="49" t="s">
        <v>323</v>
      </c>
      <c r="B12512" s="50">
        <v>46111.0</v>
      </c>
      <c r="C12512" s="49" t="s">
        <v>78</v>
      </c>
      <c r="D12512" s="49">
        <v>0.0</v>
      </c>
    </row>
    <row r="12513" ht="15.0" hidden="1" customHeight="1">
      <c r="A12513" s="49" t="s">
        <v>328</v>
      </c>
      <c r="B12513" s="50">
        <v>46111.0</v>
      </c>
      <c r="C12513" s="49" t="s">
        <v>78</v>
      </c>
      <c r="D12513" s="49">
        <v>0.0</v>
      </c>
    </row>
    <row r="12514" ht="15.0" hidden="1" customHeight="1">
      <c r="A12514" s="49" t="s">
        <v>335</v>
      </c>
      <c r="B12514" s="50">
        <v>46111.0</v>
      </c>
      <c r="C12514" s="49" t="s">
        <v>78</v>
      </c>
      <c r="D12514" s="49">
        <v>0.0</v>
      </c>
    </row>
    <row r="12515" ht="15.0" hidden="1" customHeight="1">
      <c r="A12515" s="49" t="s">
        <v>340</v>
      </c>
      <c r="B12515" s="50">
        <v>46111.0</v>
      </c>
      <c r="C12515" s="49" t="s">
        <v>78</v>
      </c>
      <c r="D12515" s="49">
        <v>0.0</v>
      </c>
    </row>
    <row r="12516" ht="15.0" hidden="1" customHeight="1">
      <c r="A12516" s="49" t="s">
        <v>345</v>
      </c>
      <c r="B12516" s="50">
        <v>46111.0</v>
      </c>
      <c r="C12516" s="49" t="s">
        <v>78</v>
      </c>
      <c r="D12516" s="49">
        <v>0.0</v>
      </c>
    </row>
    <row r="12517" ht="15.0" hidden="1" customHeight="1">
      <c r="A12517" s="49" t="s">
        <v>350</v>
      </c>
      <c r="B12517" s="50">
        <v>46111.0</v>
      </c>
      <c r="C12517" s="49" t="s">
        <v>78</v>
      </c>
      <c r="D12517" s="49">
        <v>0.0</v>
      </c>
    </row>
    <row r="12518" ht="15.0" hidden="1" customHeight="1">
      <c r="A12518" s="49" t="s">
        <v>355</v>
      </c>
      <c r="B12518" s="50">
        <v>46111.0</v>
      </c>
      <c r="C12518" s="49" t="s">
        <v>78</v>
      </c>
      <c r="D12518" s="49">
        <v>0.0</v>
      </c>
    </row>
    <row r="12519" ht="15.0" hidden="1" customHeight="1">
      <c r="A12519" s="49" t="s">
        <v>360</v>
      </c>
      <c r="B12519" s="50">
        <v>46111.0</v>
      </c>
      <c r="C12519" s="49" t="s">
        <v>78</v>
      </c>
      <c r="D12519" s="49">
        <v>0.0</v>
      </c>
    </row>
    <row r="12520" ht="15.0" hidden="1" customHeight="1">
      <c r="A12520" s="49" t="s">
        <v>365</v>
      </c>
      <c r="B12520" s="50">
        <v>46111.0</v>
      </c>
      <c r="C12520" s="49" t="s">
        <v>78</v>
      </c>
      <c r="D12520" s="49">
        <v>0.0</v>
      </c>
    </row>
    <row r="12521" ht="15.0" hidden="1" customHeight="1">
      <c r="A12521" s="49" t="s">
        <v>370</v>
      </c>
      <c r="B12521" s="50">
        <v>46111.0</v>
      </c>
      <c r="C12521" s="49" t="s">
        <v>78</v>
      </c>
      <c r="D12521" s="49">
        <v>0.0</v>
      </c>
    </row>
    <row r="12522" ht="15.0" hidden="1" customHeight="1">
      <c r="A12522" s="49" t="s">
        <v>375</v>
      </c>
      <c r="B12522" s="50">
        <v>46111.0</v>
      </c>
      <c r="C12522" s="49" t="s">
        <v>78</v>
      </c>
      <c r="D12522" s="49">
        <v>0.0</v>
      </c>
    </row>
    <row r="12523" ht="15.0" hidden="1" customHeight="1">
      <c r="A12523" s="49" t="s">
        <v>380</v>
      </c>
      <c r="B12523" s="50">
        <v>46111.0</v>
      </c>
      <c r="C12523" s="49" t="s">
        <v>78</v>
      </c>
      <c r="D12523" s="49">
        <v>0.0</v>
      </c>
    </row>
    <row r="12524" ht="15.0" hidden="1" customHeight="1">
      <c r="A12524" s="49" t="s">
        <v>385</v>
      </c>
      <c r="B12524" s="50">
        <v>46111.0</v>
      </c>
      <c r="C12524" s="49" t="s">
        <v>78</v>
      </c>
      <c r="D12524" s="49">
        <v>0.0</v>
      </c>
    </row>
    <row r="12525" ht="15.0" hidden="1" customHeight="1">
      <c r="A12525" s="49" t="s">
        <v>390</v>
      </c>
      <c r="B12525" s="50">
        <v>46111.0</v>
      </c>
      <c r="C12525" s="49" t="s">
        <v>78</v>
      </c>
      <c r="D12525" s="49">
        <v>0.0</v>
      </c>
    </row>
    <row r="12526" ht="15.0" hidden="1" customHeight="1">
      <c r="A12526" s="49" t="s">
        <v>395</v>
      </c>
      <c r="B12526" s="50">
        <v>46111.0</v>
      </c>
      <c r="C12526" s="49" t="s">
        <v>78</v>
      </c>
      <c r="D12526" s="49">
        <v>0.0</v>
      </c>
    </row>
    <row r="12527" ht="15.0" hidden="1" customHeight="1">
      <c r="A12527" s="49" t="s">
        <v>400</v>
      </c>
      <c r="B12527" s="50">
        <v>46111.0</v>
      </c>
      <c r="C12527" s="49" t="s">
        <v>78</v>
      </c>
      <c r="D12527" s="49">
        <v>0.0</v>
      </c>
    </row>
    <row r="12528" ht="15.0" hidden="1" customHeight="1">
      <c r="A12528" s="49" t="s">
        <v>405</v>
      </c>
      <c r="B12528" s="50">
        <v>46111.0</v>
      </c>
      <c r="C12528" s="49" t="s">
        <v>78</v>
      </c>
      <c r="D12528" s="49">
        <v>0.0</v>
      </c>
    </row>
    <row r="12529" ht="15.0" hidden="1" customHeight="1">
      <c r="A12529" s="49" t="s">
        <v>410</v>
      </c>
      <c r="B12529" s="50">
        <v>46111.0</v>
      </c>
      <c r="C12529" s="49" t="s">
        <v>78</v>
      </c>
      <c r="D12529" s="49">
        <v>0.0</v>
      </c>
    </row>
    <row r="12530" ht="15.0" hidden="1" customHeight="1">
      <c r="A12530" s="49" t="s">
        <v>415</v>
      </c>
      <c r="B12530" s="50">
        <v>46111.0</v>
      </c>
      <c r="C12530" s="49" t="s">
        <v>78</v>
      </c>
      <c r="D12530" s="49">
        <v>0.0</v>
      </c>
    </row>
    <row r="12531" ht="15.0" hidden="1" customHeight="1">
      <c r="A12531" s="49" t="s">
        <v>420</v>
      </c>
      <c r="B12531" s="50">
        <v>46111.0</v>
      </c>
      <c r="C12531" s="49" t="s">
        <v>78</v>
      </c>
      <c r="D12531" s="49">
        <v>0.0</v>
      </c>
    </row>
    <row r="12532" ht="15.0" hidden="1" customHeight="1">
      <c r="A12532" s="49" t="s">
        <v>425</v>
      </c>
      <c r="B12532" s="50">
        <v>46111.0</v>
      </c>
      <c r="C12532" s="49" t="s">
        <v>78</v>
      </c>
      <c r="D12532" s="49">
        <v>0.0</v>
      </c>
    </row>
    <row r="12533" ht="15.0" hidden="1" customHeight="1">
      <c r="A12533" s="49" t="s">
        <v>430</v>
      </c>
      <c r="B12533" s="50">
        <v>46111.0</v>
      </c>
      <c r="C12533" s="49" t="s">
        <v>78</v>
      </c>
      <c r="D12533" s="49">
        <v>0.0</v>
      </c>
    </row>
    <row r="12534" ht="15.0" hidden="1" customHeight="1">
      <c r="A12534" s="49" t="s">
        <v>434</v>
      </c>
      <c r="B12534" s="50">
        <v>46111.0</v>
      </c>
      <c r="C12534" s="49" t="s">
        <v>78</v>
      </c>
      <c r="D12534" s="49">
        <v>0.0</v>
      </c>
    </row>
    <row r="12535" ht="15.0" hidden="1" customHeight="1">
      <c r="A12535" s="49" t="s">
        <v>439</v>
      </c>
      <c r="B12535" s="50">
        <v>46111.0</v>
      </c>
      <c r="C12535" s="49" t="s">
        <v>78</v>
      </c>
      <c r="D12535" s="49">
        <v>0.0</v>
      </c>
    </row>
    <row r="12536" ht="15.0" hidden="1" customHeight="1">
      <c r="A12536" s="49" t="s">
        <v>444</v>
      </c>
      <c r="B12536" s="50">
        <v>46111.0</v>
      </c>
      <c r="C12536" s="49" t="s">
        <v>78</v>
      </c>
      <c r="D12536" s="49">
        <v>0.0</v>
      </c>
    </row>
    <row r="12537" ht="15.0" hidden="1" customHeight="1">
      <c r="A12537" s="49" t="s">
        <v>449</v>
      </c>
      <c r="B12537" s="50">
        <v>46111.0</v>
      </c>
      <c r="C12537" s="49" t="s">
        <v>78</v>
      </c>
      <c r="D12537" s="49">
        <v>0.0</v>
      </c>
    </row>
    <row r="12538" ht="15.0" hidden="1" customHeight="1">
      <c r="A12538" s="49" t="s">
        <v>455</v>
      </c>
      <c r="B12538" s="50">
        <v>46111.0</v>
      </c>
      <c r="C12538" s="49" t="s">
        <v>78</v>
      </c>
      <c r="D12538" s="49">
        <v>0.0</v>
      </c>
    </row>
    <row r="12539" ht="15.0" hidden="1" customHeight="1">
      <c r="A12539" s="49" t="s">
        <v>470</v>
      </c>
      <c r="B12539" s="50">
        <v>46111.0</v>
      </c>
      <c r="C12539" s="49" t="s">
        <v>78</v>
      </c>
      <c r="D12539" s="49">
        <v>0.0</v>
      </c>
    </row>
    <row r="12540" ht="15.0" hidden="1" customHeight="1">
      <c r="A12540" s="49" t="s">
        <v>476</v>
      </c>
      <c r="B12540" s="50">
        <v>46111.0</v>
      </c>
      <c r="C12540" s="49" t="s">
        <v>78</v>
      </c>
      <c r="D12540" s="49">
        <v>0.0</v>
      </c>
    </row>
    <row r="12541" ht="15.0" hidden="1" customHeight="1">
      <c r="A12541" s="49" t="s">
        <v>481</v>
      </c>
      <c r="B12541" s="50">
        <v>46111.0</v>
      </c>
      <c r="C12541" s="49" t="s">
        <v>78</v>
      </c>
      <c r="D12541" s="49">
        <v>0.0</v>
      </c>
    </row>
    <row r="12542" ht="15.0" hidden="1" customHeight="1">
      <c r="A12542" s="49" t="s">
        <v>486</v>
      </c>
      <c r="B12542" s="50">
        <v>46111.0</v>
      </c>
      <c r="C12542" s="49" t="s">
        <v>78</v>
      </c>
      <c r="D12542" s="49">
        <v>0.0</v>
      </c>
    </row>
    <row r="12543" ht="15.0" hidden="1" customHeight="1">
      <c r="A12543" s="49" t="s">
        <v>491</v>
      </c>
      <c r="B12543" s="50">
        <v>46111.0</v>
      </c>
      <c r="C12543" s="49" t="s">
        <v>78</v>
      </c>
      <c r="D12543" s="49">
        <v>0.0</v>
      </c>
    </row>
    <row r="12544" ht="15.0" hidden="1" customHeight="1">
      <c r="A12544" s="49" t="s">
        <v>496</v>
      </c>
      <c r="B12544" s="50">
        <v>46111.0</v>
      </c>
      <c r="C12544" s="49" t="s">
        <v>78</v>
      </c>
      <c r="D12544" s="49">
        <v>0.0</v>
      </c>
    </row>
    <row r="12545" ht="15.0" hidden="1" customHeight="1">
      <c r="A12545" s="49" t="s">
        <v>501</v>
      </c>
      <c r="B12545" s="50">
        <v>46111.0</v>
      </c>
      <c r="C12545" s="49" t="s">
        <v>78</v>
      </c>
      <c r="D12545" s="49">
        <v>0.0</v>
      </c>
    </row>
    <row r="12546" ht="15.0" hidden="1" customHeight="1">
      <c r="A12546" s="49" t="s">
        <v>506</v>
      </c>
      <c r="B12546" s="50">
        <v>46111.0</v>
      </c>
      <c r="C12546" s="49" t="s">
        <v>78</v>
      </c>
      <c r="D12546" s="49">
        <v>0.0</v>
      </c>
    </row>
    <row r="12547" ht="15.0" hidden="1" customHeight="1">
      <c r="A12547" s="49" t="s">
        <v>512</v>
      </c>
      <c r="B12547" s="50">
        <v>46111.0</v>
      </c>
      <c r="C12547" s="49" t="s">
        <v>78</v>
      </c>
      <c r="D12547" s="49">
        <v>0.0</v>
      </c>
    </row>
    <row r="12548" ht="15.0" hidden="1" customHeight="1">
      <c r="A12548" s="49" t="s">
        <v>517</v>
      </c>
      <c r="B12548" s="50">
        <v>46111.0</v>
      </c>
      <c r="C12548" s="49" t="s">
        <v>78</v>
      </c>
      <c r="D12548" s="49">
        <v>0.0</v>
      </c>
    </row>
    <row r="12549" ht="15.0" hidden="1" customHeight="1">
      <c r="A12549" s="49" t="s">
        <v>522</v>
      </c>
      <c r="B12549" s="50">
        <v>46111.0</v>
      </c>
      <c r="C12549" s="49" t="s">
        <v>78</v>
      </c>
      <c r="D12549" s="49">
        <v>0.0</v>
      </c>
    </row>
    <row r="12550" ht="15.0" hidden="1" customHeight="1">
      <c r="A12550" s="49" t="s">
        <v>528</v>
      </c>
      <c r="B12550" s="50">
        <v>46111.0</v>
      </c>
      <c r="C12550" s="49" t="s">
        <v>78</v>
      </c>
      <c r="D12550" s="49">
        <v>0.0</v>
      </c>
    </row>
    <row r="12551" ht="15.0" hidden="1" customHeight="1">
      <c r="A12551" s="49" t="s">
        <v>533</v>
      </c>
      <c r="B12551" s="50">
        <v>46111.0</v>
      </c>
      <c r="C12551" s="49" t="s">
        <v>78</v>
      </c>
      <c r="D12551" s="49">
        <v>0.0</v>
      </c>
    </row>
    <row r="12552" ht="15.0" hidden="1" customHeight="1">
      <c r="A12552" s="49" t="s">
        <v>538</v>
      </c>
      <c r="B12552" s="50">
        <v>46111.0</v>
      </c>
      <c r="C12552" s="49" t="s">
        <v>78</v>
      </c>
      <c r="D12552" s="49">
        <v>5367020.0</v>
      </c>
    </row>
    <row r="12553" ht="15.0" hidden="1" customHeight="1">
      <c r="A12553" s="49" t="s">
        <v>546</v>
      </c>
      <c r="B12553" s="50">
        <v>46111.0</v>
      </c>
      <c r="C12553" s="49" t="s">
        <v>78</v>
      </c>
      <c r="D12553" s="49">
        <v>0.0</v>
      </c>
    </row>
    <row r="12554" ht="15.0" hidden="1" customHeight="1">
      <c r="A12554" s="49" t="s">
        <v>551</v>
      </c>
      <c r="B12554" s="50">
        <v>46111.0</v>
      </c>
      <c r="C12554" s="49" t="s">
        <v>78</v>
      </c>
      <c r="D12554" s="49">
        <v>0.0</v>
      </c>
    </row>
    <row r="12555" ht="15.0" hidden="1" customHeight="1">
      <c r="A12555" s="49" t="s">
        <v>556</v>
      </c>
      <c r="B12555" s="50">
        <v>46111.0</v>
      </c>
      <c r="C12555" s="49" t="s">
        <v>78</v>
      </c>
      <c r="D12555" s="49">
        <v>0.0</v>
      </c>
    </row>
    <row r="12556" ht="15.0" hidden="1" customHeight="1">
      <c r="A12556" s="49" t="s">
        <v>561</v>
      </c>
      <c r="B12556" s="50">
        <v>46111.0</v>
      </c>
      <c r="C12556" s="49" t="s">
        <v>78</v>
      </c>
      <c r="D12556" s="49">
        <v>0.0</v>
      </c>
    </row>
    <row r="12557" ht="15.0" hidden="1" customHeight="1">
      <c r="A12557" s="49" t="s">
        <v>566</v>
      </c>
      <c r="B12557" s="50">
        <v>46111.0</v>
      </c>
      <c r="C12557" s="49" t="s">
        <v>78</v>
      </c>
      <c r="D12557" s="49">
        <v>0.0</v>
      </c>
    </row>
    <row r="12558" ht="15.0" hidden="1" customHeight="1">
      <c r="A12558" s="49" t="s">
        <v>571</v>
      </c>
      <c r="B12558" s="50">
        <v>46111.0</v>
      </c>
      <c r="C12558" s="49" t="s">
        <v>78</v>
      </c>
      <c r="D12558" s="49">
        <v>0.0</v>
      </c>
    </row>
    <row r="12559" ht="15.0" hidden="1" customHeight="1">
      <c r="A12559" s="49" t="s">
        <v>576</v>
      </c>
      <c r="B12559" s="50">
        <v>46111.0</v>
      </c>
      <c r="C12559" s="49" t="s">
        <v>78</v>
      </c>
      <c r="D12559" s="49">
        <v>0.0</v>
      </c>
    </row>
    <row r="12560" ht="15.0" hidden="1" customHeight="1">
      <c r="A12560" s="49" t="s">
        <v>581</v>
      </c>
      <c r="B12560" s="50">
        <v>46111.0</v>
      </c>
      <c r="C12560" s="49" t="s">
        <v>78</v>
      </c>
      <c r="D12560" s="49">
        <v>0.0</v>
      </c>
    </row>
    <row r="12561" ht="15.0" hidden="1" customHeight="1">
      <c r="A12561" s="49" t="s">
        <v>586</v>
      </c>
      <c r="B12561" s="50">
        <v>46111.0</v>
      </c>
      <c r="C12561" s="49" t="s">
        <v>78</v>
      </c>
      <c r="D12561" s="49">
        <v>0.0</v>
      </c>
    </row>
    <row r="12562" ht="15.0" hidden="1" customHeight="1">
      <c r="A12562" s="49" t="s">
        <v>754</v>
      </c>
      <c r="B12562" s="50">
        <v>46111.0</v>
      </c>
      <c r="C12562" s="49" t="s">
        <v>78</v>
      </c>
      <c r="D12562" s="49">
        <v>0.0</v>
      </c>
    </row>
    <row r="12563" ht="15.0" hidden="1" customHeight="1">
      <c r="A12563" s="49" t="s">
        <v>591</v>
      </c>
      <c r="B12563" s="50">
        <v>46111.0</v>
      </c>
      <c r="C12563" s="49" t="s">
        <v>78</v>
      </c>
      <c r="D12563" s="49">
        <v>0.0</v>
      </c>
    </row>
    <row r="12564" ht="15.0" hidden="1" customHeight="1">
      <c r="A12564" s="49" t="s">
        <v>759</v>
      </c>
      <c r="B12564" s="50">
        <v>46111.0</v>
      </c>
      <c r="C12564" s="49" t="s">
        <v>78</v>
      </c>
      <c r="D12564" s="49">
        <v>0.0</v>
      </c>
    </row>
    <row r="12565" ht="15.0" hidden="1" customHeight="1">
      <c r="A12565" s="49" t="s">
        <v>596</v>
      </c>
      <c r="B12565" s="50">
        <v>46111.0</v>
      </c>
      <c r="C12565" s="49" t="s">
        <v>78</v>
      </c>
      <c r="D12565" s="49">
        <v>0.0</v>
      </c>
    </row>
    <row r="12566" ht="15.0" hidden="1" customHeight="1">
      <c r="A12566" s="49" t="s">
        <v>602</v>
      </c>
      <c r="B12566" s="50">
        <v>46111.0</v>
      </c>
      <c r="C12566" s="49" t="s">
        <v>78</v>
      </c>
      <c r="D12566" s="49">
        <v>0.0</v>
      </c>
    </row>
    <row r="12567" ht="15.0" hidden="1" customHeight="1">
      <c r="A12567" s="49" t="s">
        <v>607</v>
      </c>
      <c r="B12567" s="50">
        <v>46111.0</v>
      </c>
      <c r="C12567" s="49" t="s">
        <v>78</v>
      </c>
      <c r="D12567" s="49">
        <v>0.0</v>
      </c>
    </row>
    <row r="12568" ht="15.0" hidden="1" customHeight="1">
      <c r="A12568" s="49" t="s">
        <v>612</v>
      </c>
      <c r="B12568" s="50">
        <v>46111.0</v>
      </c>
      <c r="C12568" s="49" t="s">
        <v>78</v>
      </c>
      <c r="D12568" s="49">
        <v>0.0</v>
      </c>
    </row>
    <row r="12569" ht="15.0" hidden="1" customHeight="1">
      <c r="A12569" s="49" t="s">
        <v>617</v>
      </c>
      <c r="B12569" s="50">
        <v>46111.0</v>
      </c>
      <c r="C12569" s="49" t="s">
        <v>78</v>
      </c>
      <c r="D12569" s="49">
        <v>0.0</v>
      </c>
    </row>
    <row r="12570" ht="15.0" hidden="1" customHeight="1">
      <c r="A12570" s="49" t="s">
        <v>622</v>
      </c>
      <c r="B12570" s="50">
        <v>46111.0</v>
      </c>
      <c r="C12570" s="49" t="s">
        <v>78</v>
      </c>
      <c r="D12570" s="49">
        <v>0.0</v>
      </c>
    </row>
    <row r="12571" ht="15.0" hidden="1" customHeight="1">
      <c r="A12571" s="49" t="s">
        <v>627</v>
      </c>
      <c r="B12571" s="50">
        <v>46111.0</v>
      </c>
      <c r="C12571" s="49" t="s">
        <v>78</v>
      </c>
      <c r="D12571" s="49">
        <v>0.0</v>
      </c>
    </row>
    <row r="12572" ht="15.0" hidden="1" customHeight="1">
      <c r="A12572" s="49" t="s">
        <v>631</v>
      </c>
      <c r="B12572" s="50">
        <v>46111.0</v>
      </c>
      <c r="C12572" s="49" t="s">
        <v>78</v>
      </c>
      <c r="D12572" s="49">
        <v>0.0</v>
      </c>
    </row>
    <row r="12573" ht="15.0" hidden="1" customHeight="1">
      <c r="A12573" s="49" t="s">
        <v>636</v>
      </c>
      <c r="B12573" s="50">
        <v>46111.0</v>
      </c>
      <c r="C12573" s="49" t="s">
        <v>78</v>
      </c>
      <c r="D12573" s="49">
        <v>0.0</v>
      </c>
    </row>
    <row r="12574" ht="15.0" hidden="1" customHeight="1">
      <c r="A12574" s="49" t="s">
        <v>640</v>
      </c>
      <c r="B12574" s="50">
        <v>46111.0</v>
      </c>
      <c r="C12574" s="49" t="s">
        <v>78</v>
      </c>
      <c r="D12574" s="49">
        <v>0.0</v>
      </c>
    </row>
    <row r="12575" ht="15.0" hidden="1" customHeight="1">
      <c r="A12575" s="49" t="s">
        <v>644</v>
      </c>
      <c r="B12575" s="50">
        <v>46111.0</v>
      </c>
      <c r="C12575" s="49" t="s">
        <v>78</v>
      </c>
      <c r="D12575" s="49">
        <v>0.0</v>
      </c>
    </row>
    <row r="12576" ht="15.0" hidden="1" customHeight="1">
      <c r="A12576" s="49" t="s">
        <v>649</v>
      </c>
      <c r="B12576" s="50">
        <v>46111.0</v>
      </c>
      <c r="C12576" s="49" t="s">
        <v>78</v>
      </c>
      <c r="D12576" s="49">
        <v>0.0</v>
      </c>
    </row>
    <row r="12577" ht="15.0" hidden="1" customHeight="1">
      <c r="A12577" s="49" t="s">
        <v>654</v>
      </c>
      <c r="B12577" s="50">
        <v>46111.0</v>
      </c>
      <c r="C12577" s="49" t="s">
        <v>78</v>
      </c>
      <c r="D12577" s="49">
        <v>0.0</v>
      </c>
    </row>
    <row r="12578" ht="15.0" hidden="1" customHeight="1">
      <c r="A12578" s="49" t="s">
        <v>659</v>
      </c>
      <c r="B12578" s="50">
        <v>46111.0</v>
      </c>
      <c r="C12578" s="49" t="s">
        <v>78</v>
      </c>
      <c r="D12578" s="49">
        <v>0.0</v>
      </c>
    </row>
    <row r="12579" ht="15.0" hidden="1" customHeight="1">
      <c r="A12579" s="49" t="s">
        <v>664</v>
      </c>
      <c r="B12579" s="50">
        <v>46111.0</v>
      </c>
      <c r="C12579" s="49" t="s">
        <v>78</v>
      </c>
      <c r="D12579" s="49">
        <v>0.0</v>
      </c>
    </row>
    <row r="12580" ht="15.0" hidden="1" customHeight="1">
      <c r="A12580" s="49" t="s">
        <v>669</v>
      </c>
      <c r="B12580" s="50">
        <v>46111.0</v>
      </c>
      <c r="C12580" s="49" t="s">
        <v>78</v>
      </c>
      <c r="D12580" s="49">
        <v>0.0</v>
      </c>
    </row>
    <row r="12581" ht="15.0" hidden="1" customHeight="1">
      <c r="A12581" s="49" t="s">
        <v>674</v>
      </c>
      <c r="B12581" s="50">
        <v>46111.0</v>
      </c>
      <c r="C12581" s="49" t="s">
        <v>78</v>
      </c>
      <c r="D12581" s="49">
        <v>0.0</v>
      </c>
    </row>
    <row r="12582" ht="15.0" hidden="1" customHeight="1">
      <c r="A12582" s="49" t="s">
        <v>679</v>
      </c>
      <c r="B12582" s="50">
        <v>46111.0</v>
      </c>
      <c r="C12582" s="49" t="s">
        <v>78</v>
      </c>
      <c r="D12582" s="49">
        <v>0.0</v>
      </c>
    </row>
    <row r="12583" ht="15.0" hidden="1" customHeight="1">
      <c r="A12583" s="49" t="s">
        <v>684</v>
      </c>
      <c r="B12583" s="50">
        <v>46111.0</v>
      </c>
      <c r="C12583" s="49" t="s">
        <v>78</v>
      </c>
      <c r="D12583" s="49">
        <v>0.0</v>
      </c>
    </row>
    <row r="12584" ht="15.0" hidden="1" customHeight="1">
      <c r="A12584" s="49" t="s">
        <v>689</v>
      </c>
      <c r="B12584" s="50">
        <v>46111.0</v>
      </c>
      <c r="C12584" s="49" t="s">
        <v>78</v>
      </c>
      <c r="D12584" s="49">
        <v>0.0</v>
      </c>
    </row>
    <row r="12585" ht="15.0" hidden="1" customHeight="1">
      <c r="A12585" s="49" t="s">
        <v>694</v>
      </c>
      <c r="B12585" s="50">
        <v>46111.0</v>
      </c>
      <c r="C12585" s="49" t="s">
        <v>78</v>
      </c>
      <c r="D12585" s="49">
        <v>0.0</v>
      </c>
    </row>
    <row r="12586" ht="15.0" hidden="1" customHeight="1">
      <c r="A12586" s="49" t="s">
        <v>699</v>
      </c>
      <c r="B12586" s="50">
        <v>46111.0</v>
      </c>
      <c r="C12586" s="49" t="s">
        <v>78</v>
      </c>
      <c r="D12586" s="49">
        <v>0.0</v>
      </c>
    </row>
    <row r="12587" ht="15.0" hidden="1" customHeight="1">
      <c r="A12587" s="49" t="s">
        <v>705</v>
      </c>
      <c r="B12587" s="50">
        <v>46111.0</v>
      </c>
      <c r="C12587" s="49" t="s">
        <v>78</v>
      </c>
      <c r="D12587" s="49">
        <v>0.0</v>
      </c>
    </row>
    <row r="12588" ht="15.0" hidden="1" customHeight="1">
      <c r="A12588" s="49" t="s">
        <v>710</v>
      </c>
      <c r="B12588" s="50">
        <v>46111.0</v>
      </c>
      <c r="C12588" s="49" t="s">
        <v>78</v>
      </c>
      <c r="D12588" s="49">
        <v>0.0</v>
      </c>
    </row>
    <row r="12589" ht="15.0" hidden="1" customHeight="1">
      <c r="A12589" s="49" t="s">
        <v>715</v>
      </c>
      <c r="B12589" s="50">
        <v>46111.0</v>
      </c>
      <c r="C12589" s="49" t="s">
        <v>78</v>
      </c>
      <c r="D12589" s="49">
        <v>0.0</v>
      </c>
    </row>
    <row r="12590" ht="15.0" hidden="1" customHeight="1">
      <c r="A12590" s="49" t="s">
        <v>765</v>
      </c>
      <c r="B12590" s="50">
        <v>46111.0</v>
      </c>
      <c r="C12590" s="49" t="s">
        <v>78</v>
      </c>
      <c r="D12590" s="49">
        <v>3308467.83</v>
      </c>
    </row>
    <row r="12591" ht="15.0" hidden="1" customHeight="1">
      <c r="A12591" s="49" t="s">
        <v>720</v>
      </c>
      <c r="B12591" s="50">
        <v>46111.0</v>
      </c>
      <c r="C12591" s="49" t="s">
        <v>78</v>
      </c>
      <c r="D12591" s="49">
        <v>0.0</v>
      </c>
    </row>
    <row r="12592" ht="15.0" hidden="1" customHeight="1">
      <c r="A12592" s="49" t="s">
        <v>725</v>
      </c>
      <c r="B12592" s="50">
        <v>46111.0</v>
      </c>
      <c r="C12592" s="49" t="s">
        <v>78</v>
      </c>
      <c r="D12592" s="49">
        <v>0.0</v>
      </c>
    </row>
    <row r="12593" ht="15.0" hidden="1" customHeight="1">
      <c r="A12593" s="49" t="s">
        <v>730</v>
      </c>
      <c r="B12593" s="50">
        <v>46111.0</v>
      </c>
      <c r="C12593" s="49" t="s">
        <v>78</v>
      </c>
      <c r="D12593" s="49">
        <v>0.0</v>
      </c>
    </row>
    <row r="12594" ht="15.0" hidden="1" customHeight="1">
      <c r="A12594" s="49" t="s">
        <v>734</v>
      </c>
      <c r="B12594" s="50">
        <v>46111.0</v>
      </c>
      <c r="C12594" s="49" t="s">
        <v>78</v>
      </c>
      <c r="D12594" s="49">
        <v>0.0</v>
      </c>
    </row>
    <row r="12595" ht="15.0" hidden="1" customHeight="1">
      <c r="A12595" s="49" t="s">
        <v>739</v>
      </c>
      <c r="B12595" s="50">
        <v>46111.0</v>
      </c>
      <c r="C12595" s="49" t="s">
        <v>78</v>
      </c>
      <c r="D12595" s="49">
        <v>0.0</v>
      </c>
    </row>
    <row r="12596" ht="15.0" hidden="1" customHeight="1">
      <c r="A12596" s="49" t="s">
        <v>744</v>
      </c>
      <c r="B12596" s="50">
        <v>46111.0</v>
      </c>
      <c r="C12596" s="49" t="s">
        <v>78</v>
      </c>
      <c r="D12596" s="49">
        <v>0.0</v>
      </c>
    </row>
    <row r="12597" ht="15.0" hidden="1" customHeight="1">
      <c r="A12597" s="49" t="s">
        <v>749</v>
      </c>
      <c r="B12597" s="50">
        <v>46111.0</v>
      </c>
      <c r="C12597" s="49" t="s">
        <v>78</v>
      </c>
      <c r="D12597" s="49">
        <v>0.0</v>
      </c>
    </row>
    <row r="12598" ht="15.0" customHeight="1">
      <c r="A12598" s="49" t="s">
        <v>776</v>
      </c>
      <c r="B12598" s="50">
        <v>46111.0</v>
      </c>
      <c r="C12598" s="49" t="s">
        <v>69</v>
      </c>
      <c r="D12598" s="49">
        <v>0.0</v>
      </c>
    </row>
    <row r="12599" ht="15.0" hidden="1" customHeight="1">
      <c r="A12599" s="49" t="s">
        <v>778</v>
      </c>
      <c r="B12599" s="50">
        <v>46111.0</v>
      </c>
      <c r="C12599" s="49" t="s">
        <v>69</v>
      </c>
      <c r="D12599" s="49">
        <v>0.0</v>
      </c>
    </row>
    <row r="12600" ht="15.0" hidden="1" customHeight="1">
      <c r="A12600" s="49" t="s">
        <v>92</v>
      </c>
      <c r="B12600" s="50">
        <v>46111.0</v>
      </c>
      <c r="C12600" s="49" t="s">
        <v>69</v>
      </c>
      <c r="D12600" s="49">
        <v>0.0</v>
      </c>
    </row>
    <row r="12601" ht="15.0" hidden="1" customHeight="1">
      <c r="A12601" s="49" t="s">
        <v>97</v>
      </c>
      <c r="B12601" s="50">
        <v>46111.0</v>
      </c>
      <c r="C12601" s="49" t="s">
        <v>69</v>
      </c>
      <c r="D12601" s="49">
        <v>0.0</v>
      </c>
    </row>
    <row r="12602" ht="15.0" hidden="1" customHeight="1">
      <c r="A12602" s="49" t="s">
        <v>102</v>
      </c>
      <c r="B12602" s="50">
        <v>46111.0</v>
      </c>
      <c r="C12602" s="49" t="s">
        <v>69</v>
      </c>
      <c r="D12602" s="49">
        <v>0.0</v>
      </c>
    </row>
    <row r="12603" ht="15.0" hidden="1" customHeight="1">
      <c r="A12603" s="49" t="s">
        <v>106</v>
      </c>
      <c r="B12603" s="50">
        <v>46111.0</v>
      </c>
      <c r="C12603" s="49" t="s">
        <v>69</v>
      </c>
      <c r="D12603" s="49">
        <v>0.0</v>
      </c>
    </row>
    <row r="12604" ht="15.0" hidden="1" customHeight="1">
      <c r="A12604" s="49" t="s">
        <v>111</v>
      </c>
      <c r="B12604" s="50">
        <v>46111.0</v>
      </c>
      <c r="C12604" s="49" t="s">
        <v>69</v>
      </c>
      <c r="D12604" s="49">
        <v>0.0</v>
      </c>
    </row>
    <row r="12605" ht="15.0" hidden="1" customHeight="1">
      <c r="A12605" s="49" t="s">
        <v>116</v>
      </c>
      <c r="B12605" s="50">
        <v>46111.0</v>
      </c>
      <c r="C12605" s="49" t="s">
        <v>69</v>
      </c>
      <c r="D12605" s="49">
        <v>0.0</v>
      </c>
    </row>
    <row r="12606" ht="15.0" hidden="1" customHeight="1">
      <c r="A12606" s="49" t="s">
        <v>120</v>
      </c>
      <c r="B12606" s="50">
        <v>46111.0</v>
      </c>
      <c r="C12606" s="49" t="s">
        <v>69</v>
      </c>
      <c r="D12606" s="49">
        <v>0.0</v>
      </c>
    </row>
    <row r="12607" ht="15.0" hidden="1" customHeight="1">
      <c r="A12607" s="49" t="s">
        <v>125</v>
      </c>
      <c r="B12607" s="50">
        <v>46111.0</v>
      </c>
      <c r="C12607" s="49" t="s">
        <v>69</v>
      </c>
      <c r="D12607" s="49">
        <v>0.0</v>
      </c>
    </row>
    <row r="12608" ht="15.0" hidden="1" customHeight="1">
      <c r="A12608" s="49" t="s">
        <v>130</v>
      </c>
      <c r="B12608" s="50">
        <v>46111.0</v>
      </c>
      <c r="C12608" s="49" t="s">
        <v>69</v>
      </c>
      <c r="D12608" s="49">
        <v>0.0</v>
      </c>
    </row>
    <row r="12609" ht="15.0" hidden="1" customHeight="1">
      <c r="A12609" s="49" t="s">
        <v>137</v>
      </c>
      <c r="B12609" s="50">
        <v>46111.0</v>
      </c>
      <c r="C12609" s="49" t="s">
        <v>69</v>
      </c>
      <c r="D12609" s="49">
        <v>0.0</v>
      </c>
    </row>
    <row r="12610" ht="15.0" hidden="1" customHeight="1">
      <c r="A12610" s="49" t="s">
        <v>142</v>
      </c>
      <c r="B12610" s="50">
        <v>46111.0</v>
      </c>
      <c r="C12610" s="49" t="s">
        <v>69</v>
      </c>
      <c r="D12610" s="49">
        <v>0.0</v>
      </c>
    </row>
    <row r="12611" ht="15.0" hidden="1" customHeight="1">
      <c r="A12611" s="49" t="s">
        <v>147</v>
      </c>
      <c r="B12611" s="50">
        <v>46111.0</v>
      </c>
      <c r="C12611" s="49" t="s">
        <v>69</v>
      </c>
      <c r="D12611" s="49">
        <v>0.0</v>
      </c>
    </row>
    <row r="12612" ht="15.0" hidden="1" customHeight="1">
      <c r="A12612" s="49" t="s">
        <v>152</v>
      </c>
      <c r="B12612" s="50">
        <v>46111.0</v>
      </c>
      <c r="C12612" s="49" t="s">
        <v>69</v>
      </c>
      <c r="D12612" s="49">
        <v>0.0</v>
      </c>
    </row>
    <row r="12613" ht="15.0" hidden="1" customHeight="1">
      <c r="A12613" s="49" t="s">
        <v>157</v>
      </c>
      <c r="B12613" s="50">
        <v>46111.0</v>
      </c>
      <c r="C12613" s="49" t="s">
        <v>69</v>
      </c>
      <c r="D12613" s="49">
        <v>0.0</v>
      </c>
    </row>
    <row r="12614" ht="15.0" hidden="1" customHeight="1">
      <c r="A12614" s="49" t="s">
        <v>162</v>
      </c>
      <c r="B12614" s="50">
        <v>46111.0</v>
      </c>
      <c r="C12614" s="49" t="s">
        <v>69</v>
      </c>
      <c r="D12614" s="49">
        <v>0.0</v>
      </c>
    </row>
    <row r="12615" ht="15.0" hidden="1" customHeight="1">
      <c r="A12615" s="49" t="s">
        <v>167</v>
      </c>
      <c r="B12615" s="50">
        <v>46111.0</v>
      </c>
      <c r="C12615" s="49" t="s">
        <v>69</v>
      </c>
      <c r="D12615" s="49">
        <v>0.0</v>
      </c>
    </row>
    <row r="12616" ht="15.0" hidden="1" customHeight="1">
      <c r="A12616" s="49" t="s">
        <v>172</v>
      </c>
      <c r="B12616" s="50">
        <v>46111.0</v>
      </c>
      <c r="C12616" s="49" t="s">
        <v>69</v>
      </c>
      <c r="D12616" s="49">
        <v>0.0</v>
      </c>
    </row>
    <row r="12617" ht="15.0" hidden="1" customHeight="1">
      <c r="A12617" s="49" t="s">
        <v>177</v>
      </c>
      <c r="B12617" s="50">
        <v>46111.0</v>
      </c>
      <c r="C12617" s="49" t="s">
        <v>69</v>
      </c>
      <c r="D12617" s="49">
        <v>0.0</v>
      </c>
    </row>
    <row r="12618" ht="15.0" hidden="1" customHeight="1">
      <c r="A12618" s="49" t="s">
        <v>182</v>
      </c>
      <c r="B12618" s="50">
        <v>46111.0</v>
      </c>
      <c r="C12618" s="49" t="s">
        <v>69</v>
      </c>
      <c r="D12618" s="49">
        <v>0.0</v>
      </c>
    </row>
    <row r="12619" ht="15.0" hidden="1" customHeight="1">
      <c r="A12619" s="49" t="s">
        <v>187</v>
      </c>
      <c r="B12619" s="50">
        <v>46111.0</v>
      </c>
      <c r="C12619" s="49" t="s">
        <v>69</v>
      </c>
      <c r="D12619" s="49">
        <v>0.0</v>
      </c>
    </row>
    <row r="12620" ht="15.0" hidden="1" customHeight="1">
      <c r="A12620" s="49" t="s">
        <v>192</v>
      </c>
      <c r="B12620" s="50">
        <v>46111.0</v>
      </c>
      <c r="C12620" s="49" t="s">
        <v>69</v>
      </c>
      <c r="D12620" s="49">
        <v>0.0</v>
      </c>
    </row>
    <row r="12621" ht="15.0" hidden="1" customHeight="1">
      <c r="A12621" s="49" t="s">
        <v>197</v>
      </c>
      <c r="B12621" s="50">
        <v>46111.0</v>
      </c>
      <c r="C12621" s="49" t="s">
        <v>69</v>
      </c>
      <c r="D12621" s="49">
        <v>0.0</v>
      </c>
    </row>
    <row r="12622" ht="15.0" hidden="1" customHeight="1">
      <c r="A12622" s="49" t="s">
        <v>202</v>
      </c>
      <c r="B12622" s="50">
        <v>46111.0</v>
      </c>
      <c r="C12622" s="49" t="s">
        <v>69</v>
      </c>
      <c r="D12622" s="49">
        <v>0.0</v>
      </c>
    </row>
    <row r="12623" ht="15.0" hidden="1" customHeight="1">
      <c r="A12623" s="49" t="s">
        <v>206</v>
      </c>
      <c r="B12623" s="50">
        <v>46111.0</v>
      </c>
      <c r="C12623" s="49" t="s">
        <v>69</v>
      </c>
      <c r="D12623" s="49">
        <v>0.0</v>
      </c>
    </row>
    <row r="12624" ht="15.0" hidden="1" customHeight="1">
      <c r="A12624" s="49" t="s">
        <v>211</v>
      </c>
      <c r="B12624" s="50">
        <v>46111.0</v>
      </c>
      <c r="C12624" s="49" t="s">
        <v>69</v>
      </c>
      <c r="D12624" s="49">
        <v>0.0</v>
      </c>
    </row>
    <row r="12625" ht="15.0" hidden="1" customHeight="1">
      <c r="A12625" s="49" t="s">
        <v>779</v>
      </c>
      <c r="B12625" s="50">
        <v>46111.0</v>
      </c>
      <c r="C12625" s="49" t="s">
        <v>69</v>
      </c>
      <c r="D12625" s="49">
        <v>0.0</v>
      </c>
    </row>
    <row r="12626" ht="15.0" hidden="1" customHeight="1">
      <c r="A12626" s="49" t="s">
        <v>221</v>
      </c>
      <c r="B12626" s="50">
        <v>46111.0</v>
      </c>
      <c r="C12626" s="49" t="s">
        <v>69</v>
      </c>
      <c r="D12626" s="49">
        <v>0.0</v>
      </c>
    </row>
    <row r="12627" ht="15.0" hidden="1" customHeight="1">
      <c r="A12627" s="49" t="s">
        <v>226</v>
      </c>
      <c r="B12627" s="50">
        <v>46111.0</v>
      </c>
      <c r="C12627" s="49" t="s">
        <v>69</v>
      </c>
      <c r="D12627" s="49">
        <v>0.0</v>
      </c>
    </row>
    <row r="12628" ht="15.0" hidden="1" customHeight="1">
      <c r="A12628" s="49" t="s">
        <v>231</v>
      </c>
      <c r="B12628" s="50">
        <v>46111.0</v>
      </c>
      <c r="C12628" s="49" t="s">
        <v>69</v>
      </c>
      <c r="D12628" s="49">
        <v>0.0</v>
      </c>
    </row>
    <row r="12629" ht="15.0" hidden="1" customHeight="1">
      <c r="A12629" s="49" t="s">
        <v>236</v>
      </c>
      <c r="B12629" s="50">
        <v>46111.0</v>
      </c>
      <c r="C12629" s="49" t="s">
        <v>69</v>
      </c>
      <c r="D12629" s="49">
        <v>0.0</v>
      </c>
    </row>
    <row r="12630" ht="15.0" hidden="1" customHeight="1">
      <c r="A12630" s="49" t="s">
        <v>242</v>
      </c>
      <c r="B12630" s="50">
        <v>46111.0</v>
      </c>
      <c r="C12630" s="49" t="s">
        <v>69</v>
      </c>
      <c r="D12630" s="49">
        <v>0.0</v>
      </c>
    </row>
    <row r="12631" ht="15.0" hidden="1" customHeight="1">
      <c r="A12631" s="49" t="s">
        <v>248</v>
      </c>
      <c r="B12631" s="50">
        <v>46111.0</v>
      </c>
      <c r="C12631" s="49" t="s">
        <v>69</v>
      </c>
      <c r="D12631" s="49">
        <v>0.0</v>
      </c>
    </row>
    <row r="12632" ht="15.0" hidden="1" customHeight="1">
      <c r="A12632" s="49" t="s">
        <v>253</v>
      </c>
      <c r="B12632" s="50">
        <v>46111.0</v>
      </c>
      <c r="C12632" s="49" t="s">
        <v>69</v>
      </c>
      <c r="D12632" s="49">
        <v>0.0</v>
      </c>
    </row>
    <row r="12633" ht="15.0" hidden="1" customHeight="1">
      <c r="A12633" s="49" t="s">
        <v>258</v>
      </c>
      <c r="B12633" s="50">
        <v>46111.0</v>
      </c>
      <c r="C12633" s="49" t="s">
        <v>69</v>
      </c>
      <c r="D12633" s="49">
        <v>0.0</v>
      </c>
    </row>
    <row r="12634" ht="15.0" hidden="1" customHeight="1">
      <c r="A12634" s="49" t="s">
        <v>263</v>
      </c>
      <c r="B12634" s="50">
        <v>46111.0</v>
      </c>
      <c r="C12634" s="49" t="s">
        <v>69</v>
      </c>
      <c r="D12634" s="49">
        <v>0.0</v>
      </c>
    </row>
    <row r="12635" ht="15.0" hidden="1" customHeight="1">
      <c r="A12635" s="49" t="s">
        <v>268</v>
      </c>
      <c r="B12635" s="50">
        <v>46111.0</v>
      </c>
      <c r="C12635" s="49" t="s">
        <v>69</v>
      </c>
      <c r="D12635" s="49">
        <v>0.0</v>
      </c>
    </row>
    <row r="12636" ht="15.0" hidden="1" customHeight="1">
      <c r="A12636" s="49" t="s">
        <v>273</v>
      </c>
      <c r="B12636" s="50">
        <v>46111.0</v>
      </c>
      <c r="C12636" s="49" t="s">
        <v>69</v>
      </c>
      <c r="D12636" s="49">
        <v>0.0</v>
      </c>
    </row>
    <row r="12637" ht="15.0" hidden="1" customHeight="1">
      <c r="A12637" s="49" t="s">
        <v>278</v>
      </c>
      <c r="B12637" s="50">
        <v>46111.0</v>
      </c>
      <c r="C12637" s="49" t="s">
        <v>69</v>
      </c>
      <c r="D12637" s="49">
        <v>0.0</v>
      </c>
    </row>
    <row r="12638" ht="15.0" hidden="1" customHeight="1">
      <c r="A12638" s="49" t="s">
        <v>283</v>
      </c>
      <c r="B12638" s="50">
        <v>46111.0</v>
      </c>
      <c r="C12638" s="49" t="s">
        <v>69</v>
      </c>
      <c r="D12638" s="49">
        <v>0.0</v>
      </c>
    </row>
    <row r="12639" ht="15.0" hidden="1" customHeight="1">
      <c r="A12639" s="49" t="s">
        <v>288</v>
      </c>
      <c r="B12639" s="50">
        <v>46111.0</v>
      </c>
      <c r="C12639" s="49" t="s">
        <v>69</v>
      </c>
      <c r="D12639" s="49">
        <v>0.0</v>
      </c>
    </row>
    <row r="12640" ht="15.0" hidden="1" customHeight="1">
      <c r="A12640" s="49" t="s">
        <v>293</v>
      </c>
      <c r="B12640" s="50">
        <v>46111.0</v>
      </c>
      <c r="C12640" s="49" t="s">
        <v>69</v>
      </c>
      <c r="D12640" s="49">
        <v>0.0</v>
      </c>
    </row>
    <row r="12641" ht="15.0" hidden="1" customHeight="1">
      <c r="A12641" s="49" t="s">
        <v>298</v>
      </c>
      <c r="B12641" s="50">
        <v>46111.0</v>
      </c>
      <c r="C12641" s="49" t="s">
        <v>69</v>
      </c>
      <c r="D12641" s="49">
        <v>0.0</v>
      </c>
    </row>
    <row r="12642" ht="15.0" hidden="1" customHeight="1">
      <c r="A12642" s="49" t="s">
        <v>303</v>
      </c>
      <c r="B12642" s="50">
        <v>46111.0</v>
      </c>
      <c r="C12642" s="49" t="s">
        <v>69</v>
      </c>
      <c r="D12642" s="49">
        <v>0.0</v>
      </c>
    </row>
    <row r="12643" ht="15.0" hidden="1" customHeight="1">
      <c r="A12643" s="49" t="s">
        <v>307</v>
      </c>
      <c r="B12643" s="50">
        <v>46111.0</v>
      </c>
      <c r="C12643" s="49" t="s">
        <v>69</v>
      </c>
      <c r="D12643" s="49">
        <v>0.0</v>
      </c>
    </row>
    <row r="12644" ht="15.0" hidden="1" customHeight="1">
      <c r="A12644" s="49" t="s">
        <v>313</v>
      </c>
      <c r="B12644" s="50">
        <v>46111.0</v>
      </c>
      <c r="C12644" s="49" t="s">
        <v>69</v>
      </c>
      <c r="D12644" s="49">
        <v>0.0</v>
      </c>
    </row>
    <row r="12645" ht="15.0" hidden="1" customHeight="1">
      <c r="A12645" s="49" t="s">
        <v>318</v>
      </c>
      <c r="B12645" s="50">
        <v>46111.0</v>
      </c>
      <c r="C12645" s="49" t="s">
        <v>69</v>
      </c>
      <c r="D12645" s="49">
        <v>0.0</v>
      </c>
    </row>
    <row r="12646" ht="15.0" hidden="1" customHeight="1">
      <c r="A12646" s="49" t="s">
        <v>323</v>
      </c>
      <c r="B12646" s="50">
        <v>46111.0</v>
      </c>
      <c r="C12646" s="49" t="s">
        <v>69</v>
      </c>
      <c r="D12646" s="49">
        <v>0.0</v>
      </c>
    </row>
    <row r="12647" ht="15.0" hidden="1" customHeight="1">
      <c r="A12647" s="49" t="s">
        <v>328</v>
      </c>
      <c r="B12647" s="50">
        <v>46111.0</v>
      </c>
      <c r="C12647" s="49" t="s">
        <v>69</v>
      </c>
      <c r="D12647" s="49">
        <v>0.0</v>
      </c>
    </row>
    <row r="12648" ht="15.0" hidden="1" customHeight="1">
      <c r="A12648" s="49" t="s">
        <v>335</v>
      </c>
      <c r="B12648" s="50">
        <v>46111.0</v>
      </c>
      <c r="C12648" s="49" t="s">
        <v>69</v>
      </c>
      <c r="D12648" s="49">
        <v>0.0</v>
      </c>
    </row>
    <row r="12649" ht="15.0" hidden="1" customHeight="1">
      <c r="A12649" s="49" t="s">
        <v>340</v>
      </c>
      <c r="B12649" s="50">
        <v>46111.0</v>
      </c>
      <c r="C12649" s="49" t="s">
        <v>69</v>
      </c>
      <c r="D12649" s="49">
        <v>0.0</v>
      </c>
    </row>
    <row r="12650" ht="15.0" hidden="1" customHeight="1">
      <c r="A12650" s="49" t="s">
        <v>345</v>
      </c>
      <c r="B12650" s="50">
        <v>46111.0</v>
      </c>
      <c r="C12650" s="49" t="s">
        <v>69</v>
      </c>
      <c r="D12650" s="49">
        <v>0.0</v>
      </c>
    </row>
    <row r="12651" ht="15.0" hidden="1" customHeight="1">
      <c r="A12651" s="49" t="s">
        <v>350</v>
      </c>
      <c r="B12651" s="50">
        <v>46111.0</v>
      </c>
      <c r="C12651" s="49" t="s">
        <v>69</v>
      </c>
      <c r="D12651" s="49">
        <v>0.0</v>
      </c>
    </row>
    <row r="12652" ht="15.0" hidden="1" customHeight="1">
      <c r="A12652" s="49" t="s">
        <v>355</v>
      </c>
      <c r="B12652" s="50">
        <v>46111.0</v>
      </c>
      <c r="C12652" s="49" t="s">
        <v>69</v>
      </c>
      <c r="D12652" s="49">
        <v>0.0</v>
      </c>
    </row>
    <row r="12653" ht="15.0" hidden="1" customHeight="1">
      <c r="A12653" s="49" t="s">
        <v>360</v>
      </c>
      <c r="B12653" s="50">
        <v>46111.0</v>
      </c>
      <c r="C12653" s="49" t="s">
        <v>69</v>
      </c>
      <c r="D12653" s="49">
        <v>0.0</v>
      </c>
    </row>
    <row r="12654" ht="15.0" hidden="1" customHeight="1">
      <c r="A12654" s="49" t="s">
        <v>365</v>
      </c>
      <c r="B12654" s="50">
        <v>46111.0</v>
      </c>
      <c r="C12654" s="49" t="s">
        <v>69</v>
      </c>
      <c r="D12654" s="49">
        <v>0.0</v>
      </c>
    </row>
    <row r="12655" ht="15.0" hidden="1" customHeight="1">
      <c r="A12655" s="49" t="s">
        <v>370</v>
      </c>
      <c r="B12655" s="50">
        <v>46111.0</v>
      </c>
      <c r="C12655" s="49" t="s">
        <v>69</v>
      </c>
      <c r="D12655" s="49">
        <v>0.0</v>
      </c>
    </row>
    <row r="12656" ht="15.0" hidden="1" customHeight="1">
      <c r="A12656" s="49" t="s">
        <v>375</v>
      </c>
      <c r="B12656" s="50">
        <v>46111.0</v>
      </c>
      <c r="C12656" s="49" t="s">
        <v>69</v>
      </c>
      <c r="D12656" s="49">
        <v>0.0</v>
      </c>
    </row>
    <row r="12657" ht="15.0" hidden="1" customHeight="1">
      <c r="A12657" s="49" t="s">
        <v>380</v>
      </c>
      <c r="B12657" s="50">
        <v>46111.0</v>
      </c>
      <c r="C12657" s="49" t="s">
        <v>69</v>
      </c>
      <c r="D12657" s="49">
        <v>0.0</v>
      </c>
    </row>
    <row r="12658" ht="15.0" hidden="1" customHeight="1">
      <c r="A12658" s="49" t="s">
        <v>385</v>
      </c>
      <c r="B12658" s="50">
        <v>46111.0</v>
      </c>
      <c r="C12658" s="49" t="s">
        <v>69</v>
      </c>
      <c r="D12658" s="49">
        <v>0.0</v>
      </c>
    </row>
    <row r="12659" ht="15.0" hidden="1" customHeight="1">
      <c r="A12659" s="49" t="s">
        <v>390</v>
      </c>
      <c r="B12659" s="50">
        <v>46111.0</v>
      </c>
      <c r="C12659" s="49" t="s">
        <v>69</v>
      </c>
      <c r="D12659" s="49">
        <v>0.0</v>
      </c>
    </row>
    <row r="12660" ht="15.0" hidden="1" customHeight="1">
      <c r="A12660" s="49" t="s">
        <v>395</v>
      </c>
      <c r="B12660" s="50">
        <v>46111.0</v>
      </c>
      <c r="C12660" s="49" t="s">
        <v>69</v>
      </c>
      <c r="D12660" s="49">
        <v>0.0</v>
      </c>
    </row>
    <row r="12661" ht="15.0" hidden="1" customHeight="1">
      <c r="A12661" s="49" t="s">
        <v>400</v>
      </c>
      <c r="B12661" s="50">
        <v>46111.0</v>
      </c>
      <c r="C12661" s="49" t="s">
        <v>69</v>
      </c>
      <c r="D12661" s="49">
        <v>0.0</v>
      </c>
    </row>
    <row r="12662" ht="15.0" hidden="1" customHeight="1">
      <c r="A12662" s="49" t="s">
        <v>405</v>
      </c>
      <c r="B12662" s="50">
        <v>46111.0</v>
      </c>
      <c r="C12662" s="49" t="s">
        <v>69</v>
      </c>
      <c r="D12662" s="49">
        <v>0.0</v>
      </c>
    </row>
    <row r="12663" ht="15.0" hidden="1" customHeight="1">
      <c r="A12663" s="49" t="s">
        <v>410</v>
      </c>
      <c r="B12663" s="50">
        <v>46111.0</v>
      </c>
      <c r="C12663" s="49" t="s">
        <v>69</v>
      </c>
      <c r="D12663" s="49">
        <v>0.0</v>
      </c>
    </row>
    <row r="12664" ht="15.0" hidden="1" customHeight="1">
      <c r="A12664" s="49" t="s">
        <v>415</v>
      </c>
      <c r="B12664" s="50">
        <v>46111.0</v>
      </c>
      <c r="C12664" s="49" t="s">
        <v>69</v>
      </c>
      <c r="D12664" s="49">
        <v>0.0</v>
      </c>
    </row>
    <row r="12665" ht="15.0" hidden="1" customHeight="1">
      <c r="A12665" s="49" t="s">
        <v>420</v>
      </c>
      <c r="B12665" s="50">
        <v>46111.0</v>
      </c>
      <c r="C12665" s="49" t="s">
        <v>69</v>
      </c>
      <c r="D12665" s="49">
        <v>0.0</v>
      </c>
    </row>
    <row r="12666" ht="15.0" hidden="1" customHeight="1">
      <c r="A12666" s="49" t="s">
        <v>425</v>
      </c>
      <c r="B12666" s="50">
        <v>46111.0</v>
      </c>
      <c r="C12666" s="49" t="s">
        <v>69</v>
      </c>
      <c r="D12666" s="49">
        <v>0.0</v>
      </c>
    </row>
    <row r="12667" ht="15.0" hidden="1" customHeight="1">
      <c r="A12667" s="49" t="s">
        <v>430</v>
      </c>
      <c r="B12667" s="50">
        <v>46111.0</v>
      </c>
      <c r="C12667" s="49" t="s">
        <v>69</v>
      </c>
      <c r="D12667" s="49">
        <v>0.0</v>
      </c>
    </row>
    <row r="12668" ht="15.0" hidden="1" customHeight="1">
      <c r="A12668" s="49" t="s">
        <v>434</v>
      </c>
      <c r="B12668" s="50">
        <v>46111.0</v>
      </c>
      <c r="C12668" s="49" t="s">
        <v>69</v>
      </c>
      <c r="D12668" s="49">
        <v>0.0</v>
      </c>
    </row>
    <row r="12669" ht="15.0" hidden="1" customHeight="1">
      <c r="A12669" s="49" t="s">
        <v>439</v>
      </c>
      <c r="B12669" s="50">
        <v>46111.0</v>
      </c>
      <c r="C12669" s="49" t="s">
        <v>69</v>
      </c>
      <c r="D12669" s="49">
        <v>0.0</v>
      </c>
    </row>
    <row r="12670" ht="15.0" hidden="1" customHeight="1">
      <c r="A12670" s="49" t="s">
        <v>444</v>
      </c>
      <c r="B12670" s="50">
        <v>46111.0</v>
      </c>
      <c r="C12670" s="49" t="s">
        <v>69</v>
      </c>
      <c r="D12670" s="49">
        <v>0.0</v>
      </c>
    </row>
    <row r="12671" ht="15.0" hidden="1" customHeight="1">
      <c r="A12671" s="49" t="s">
        <v>449</v>
      </c>
      <c r="B12671" s="50">
        <v>46111.0</v>
      </c>
      <c r="C12671" s="49" t="s">
        <v>69</v>
      </c>
      <c r="D12671" s="49">
        <v>1000000.0</v>
      </c>
    </row>
    <row r="12672" ht="15.0" hidden="1" customHeight="1">
      <c r="A12672" s="49" t="s">
        <v>455</v>
      </c>
      <c r="B12672" s="50">
        <v>46111.0</v>
      </c>
      <c r="C12672" s="49" t="s">
        <v>69</v>
      </c>
      <c r="D12672" s="49">
        <v>1000000.0</v>
      </c>
    </row>
    <row r="12673" ht="15.0" hidden="1" customHeight="1">
      <c r="A12673" s="49" t="s">
        <v>470</v>
      </c>
      <c r="B12673" s="50">
        <v>46111.0</v>
      </c>
      <c r="C12673" s="49" t="s">
        <v>69</v>
      </c>
      <c r="D12673" s="49">
        <v>0.0</v>
      </c>
    </row>
    <row r="12674" ht="15.0" hidden="1" customHeight="1">
      <c r="A12674" s="49" t="s">
        <v>476</v>
      </c>
      <c r="B12674" s="50">
        <v>46111.0</v>
      </c>
      <c r="C12674" s="49" t="s">
        <v>69</v>
      </c>
      <c r="D12674" s="49">
        <v>0.0</v>
      </c>
    </row>
    <row r="12675" ht="15.0" hidden="1" customHeight="1">
      <c r="A12675" s="49" t="s">
        <v>481</v>
      </c>
      <c r="B12675" s="50">
        <v>46111.0</v>
      </c>
      <c r="C12675" s="49" t="s">
        <v>69</v>
      </c>
      <c r="D12675" s="49">
        <v>0.0</v>
      </c>
    </row>
    <row r="12676" ht="15.0" hidden="1" customHeight="1">
      <c r="A12676" s="49" t="s">
        <v>486</v>
      </c>
      <c r="B12676" s="50">
        <v>46111.0</v>
      </c>
      <c r="C12676" s="49" t="s">
        <v>69</v>
      </c>
      <c r="D12676" s="49">
        <v>0.0</v>
      </c>
    </row>
    <row r="12677" ht="15.0" hidden="1" customHeight="1">
      <c r="A12677" s="49" t="s">
        <v>491</v>
      </c>
      <c r="B12677" s="50">
        <v>46111.0</v>
      </c>
      <c r="C12677" s="49" t="s">
        <v>69</v>
      </c>
      <c r="D12677" s="49">
        <v>0.0</v>
      </c>
    </row>
    <row r="12678" ht="15.0" hidden="1" customHeight="1">
      <c r="A12678" s="49" t="s">
        <v>496</v>
      </c>
      <c r="B12678" s="50">
        <v>46111.0</v>
      </c>
      <c r="C12678" s="49" t="s">
        <v>69</v>
      </c>
      <c r="D12678" s="49">
        <v>0.0</v>
      </c>
    </row>
    <row r="12679" ht="15.0" hidden="1" customHeight="1">
      <c r="A12679" s="49" t="s">
        <v>501</v>
      </c>
      <c r="B12679" s="50">
        <v>46111.0</v>
      </c>
      <c r="C12679" s="49" t="s">
        <v>69</v>
      </c>
      <c r="D12679" s="49">
        <v>0.0</v>
      </c>
    </row>
    <row r="12680" ht="15.0" hidden="1" customHeight="1">
      <c r="A12680" s="49" t="s">
        <v>506</v>
      </c>
      <c r="B12680" s="50">
        <v>46111.0</v>
      </c>
      <c r="C12680" s="49" t="s">
        <v>69</v>
      </c>
      <c r="D12680" s="49">
        <v>0.0</v>
      </c>
    </row>
    <row r="12681" ht="15.0" hidden="1" customHeight="1">
      <c r="A12681" s="49" t="s">
        <v>512</v>
      </c>
      <c r="B12681" s="50">
        <v>46111.0</v>
      </c>
      <c r="C12681" s="49" t="s">
        <v>69</v>
      </c>
      <c r="D12681" s="49">
        <v>0.0</v>
      </c>
    </row>
    <row r="12682" ht="15.0" hidden="1" customHeight="1">
      <c r="A12682" s="49" t="s">
        <v>517</v>
      </c>
      <c r="B12682" s="50">
        <v>46111.0</v>
      </c>
      <c r="C12682" s="49" t="s">
        <v>69</v>
      </c>
      <c r="D12682" s="49">
        <v>0.0</v>
      </c>
    </row>
    <row r="12683" ht="15.0" hidden="1" customHeight="1">
      <c r="A12683" s="49" t="s">
        <v>522</v>
      </c>
      <c r="B12683" s="50">
        <v>46111.0</v>
      </c>
      <c r="C12683" s="49" t="s">
        <v>69</v>
      </c>
      <c r="D12683" s="49">
        <v>0.0</v>
      </c>
    </row>
    <row r="12684" ht="15.0" hidden="1" customHeight="1">
      <c r="A12684" s="49" t="s">
        <v>528</v>
      </c>
      <c r="B12684" s="50">
        <v>46111.0</v>
      </c>
      <c r="C12684" s="49" t="s">
        <v>69</v>
      </c>
      <c r="D12684" s="49">
        <v>0.0</v>
      </c>
    </row>
    <row r="12685" ht="15.0" hidden="1" customHeight="1">
      <c r="A12685" s="49" t="s">
        <v>533</v>
      </c>
      <c r="B12685" s="50">
        <v>46111.0</v>
      </c>
      <c r="C12685" s="49" t="s">
        <v>69</v>
      </c>
      <c r="D12685" s="49">
        <v>0.0</v>
      </c>
    </row>
    <row r="12686" ht="15.0" hidden="1" customHeight="1">
      <c r="A12686" s="49" t="s">
        <v>538</v>
      </c>
      <c r="B12686" s="50">
        <v>46111.0</v>
      </c>
      <c r="C12686" s="49" t="s">
        <v>69</v>
      </c>
      <c r="D12686" s="49">
        <v>87844.0</v>
      </c>
    </row>
    <row r="12687" ht="15.0" hidden="1" customHeight="1">
      <c r="A12687" s="49" t="s">
        <v>546</v>
      </c>
      <c r="B12687" s="50">
        <v>46111.0</v>
      </c>
      <c r="C12687" s="49" t="s">
        <v>69</v>
      </c>
      <c r="D12687" s="49">
        <v>0.0</v>
      </c>
    </row>
    <row r="12688" ht="15.0" hidden="1" customHeight="1">
      <c r="A12688" s="49" t="s">
        <v>551</v>
      </c>
      <c r="B12688" s="50">
        <v>46111.0</v>
      </c>
      <c r="C12688" s="49" t="s">
        <v>69</v>
      </c>
      <c r="D12688" s="49">
        <v>0.0</v>
      </c>
    </row>
    <row r="12689" ht="15.0" hidden="1" customHeight="1">
      <c r="A12689" s="49" t="s">
        <v>556</v>
      </c>
      <c r="B12689" s="50">
        <v>46111.0</v>
      </c>
      <c r="C12689" s="49" t="s">
        <v>69</v>
      </c>
      <c r="D12689" s="49">
        <v>0.0</v>
      </c>
    </row>
    <row r="12690" ht="15.0" hidden="1" customHeight="1">
      <c r="A12690" s="49" t="s">
        <v>561</v>
      </c>
      <c r="B12690" s="50">
        <v>46111.0</v>
      </c>
      <c r="C12690" s="49" t="s">
        <v>69</v>
      </c>
      <c r="D12690" s="49">
        <v>0.0</v>
      </c>
    </row>
    <row r="12691" ht="15.0" hidden="1" customHeight="1">
      <c r="A12691" s="49" t="s">
        <v>566</v>
      </c>
      <c r="B12691" s="50">
        <v>46111.0</v>
      </c>
      <c r="C12691" s="49" t="s">
        <v>69</v>
      </c>
      <c r="D12691" s="49">
        <v>50000.0</v>
      </c>
    </row>
    <row r="12692" ht="15.0" hidden="1" customHeight="1">
      <c r="A12692" s="49" t="s">
        <v>571</v>
      </c>
      <c r="B12692" s="50">
        <v>46111.0</v>
      </c>
      <c r="C12692" s="49" t="s">
        <v>69</v>
      </c>
      <c r="D12692" s="49">
        <v>0.0</v>
      </c>
    </row>
    <row r="12693" ht="15.0" hidden="1" customHeight="1">
      <c r="A12693" s="49" t="s">
        <v>576</v>
      </c>
      <c r="B12693" s="50">
        <v>46111.0</v>
      </c>
      <c r="C12693" s="49" t="s">
        <v>69</v>
      </c>
      <c r="D12693" s="49">
        <v>0.0</v>
      </c>
    </row>
    <row r="12694" ht="15.0" hidden="1" customHeight="1">
      <c r="A12694" s="49" t="s">
        <v>581</v>
      </c>
      <c r="B12694" s="50">
        <v>46111.0</v>
      </c>
      <c r="C12694" s="49" t="s">
        <v>69</v>
      </c>
      <c r="D12694" s="49">
        <v>0.0</v>
      </c>
    </row>
    <row r="12695" ht="15.0" hidden="1" customHeight="1">
      <c r="A12695" s="49" t="s">
        <v>586</v>
      </c>
      <c r="B12695" s="50">
        <v>46111.0</v>
      </c>
      <c r="C12695" s="49" t="s">
        <v>69</v>
      </c>
      <c r="D12695" s="49">
        <v>800000.0</v>
      </c>
    </row>
    <row r="12696" ht="15.0" hidden="1" customHeight="1">
      <c r="A12696" s="49" t="s">
        <v>754</v>
      </c>
      <c r="B12696" s="50">
        <v>46111.0</v>
      </c>
      <c r="C12696" s="49" t="s">
        <v>69</v>
      </c>
      <c r="D12696" s="49">
        <v>0.0</v>
      </c>
    </row>
    <row r="12697" ht="15.0" hidden="1" customHeight="1">
      <c r="A12697" s="49" t="s">
        <v>591</v>
      </c>
      <c r="B12697" s="50">
        <v>46111.0</v>
      </c>
      <c r="C12697" s="49" t="s">
        <v>69</v>
      </c>
      <c r="D12697" s="49">
        <v>0.0</v>
      </c>
    </row>
    <row r="12698" ht="15.0" hidden="1" customHeight="1">
      <c r="A12698" s="49" t="s">
        <v>759</v>
      </c>
      <c r="B12698" s="50">
        <v>46111.0</v>
      </c>
      <c r="C12698" s="49" t="s">
        <v>69</v>
      </c>
      <c r="D12698" s="49">
        <v>1700571.21</v>
      </c>
    </row>
    <row r="12699" ht="15.0" hidden="1" customHeight="1">
      <c r="A12699" s="49" t="s">
        <v>596</v>
      </c>
      <c r="B12699" s="50">
        <v>46111.0</v>
      </c>
      <c r="C12699" s="49" t="s">
        <v>69</v>
      </c>
      <c r="D12699" s="49">
        <v>0.0</v>
      </c>
    </row>
    <row r="12700" ht="15.0" hidden="1" customHeight="1">
      <c r="A12700" s="49" t="s">
        <v>602</v>
      </c>
      <c r="B12700" s="50">
        <v>46111.0</v>
      </c>
      <c r="C12700" s="49" t="s">
        <v>69</v>
      </c>
      <c r="D12700" s="49">
        <v>0.0</v>
      </c>
    </row>
    <row r="12701" ht="15.0" hidden="1" customHeight="1">
      <c r="A12701" s="49" t="s">
        <v>607</v>
      </c>
      <c r="B12701" s="50">
        <v>46111.0</v>
      </c>
      <c r="C12701" s="49" t="s">
        <v>69</v>
      </c>
      <c r="D12701" s="49">
        <v>0.0</v>
      </c>
    </row>
    <row r="12702" ht="15.0" hidden="1" customHeight="1">
      <c r="A12702" s="49" t="s">
        <v>612</v>
      </c>
      <c r="B12702" s="50">
        <v>46111.0</v>
      </c>
      <c r="C12702" s="49" t="s">
        <v>69</v>
      </c>
      <c r="D12702" s="49">
        <v>0.0</v>
      </c>
    </row>
    <row r="12703" ht="15.0" hidden="1" customHeight="1">
      <c r="A12703" s="49" t="s">
        <v>617</v>
      </c>
      <c r="B12703" s="50">
        <v>46111.0</v>
      </c>
      <c r="C12703" s="49" t="s">
        <v>69</v>
      </c>
      <c r="D12703" s="49">
        <v>0.0</v>
      </c>
    </row>
    <row r="12704" ht="15.0" hidden="1" customHeight="1">
      <c r="A12704" s="49" t="s">
        <v>622</v>
      </c>
      <c r="B12704" s="50">
        <v>46111.0</v>
      </c>
      <c r="C12704" s="49" t="s">
        <v>69</v>
      </c>
      <c r="D12704" s="49">
        <v>0.0</v>
      </c>
    </row>
    <row r="12705" ht="15.0" hidden="1" customHeight="1">
      <c r="A12705" s="49" t="s">
        <v>627</v>
      </c>
      <c r="B12705" s="50">
        <v>46111.0</v>
      </c>
      <c r="C12705" s="49" t="s">
        <v>69</v>
      </c>
      <c r="D12705" s="49">
        <v>0.0</v>
      </c>
    </row>
    <row r="12706" ht="15.0" hidden="1" customHeight="1">
      <c r="A12706" s="49" t="s">
        <v>631</v>
      </c>
      <c r="B12706" s="50">
        <v>46111.0</v>
      </c>
      <c r="C12706" s="49" t="s">
        <v>69</v>
      </c>
      <c r="D12706" s="49">
        <v>250000.0</v>
      </c>
    </row>
    <row r="12707" ht="15.0" hidden="1" customHeight="1">
      <c r="A12707" s="49" t="s">
        <v>636</v>
      </c>
      <c r="B12707" s="50">
        <v>46111.0</v>
      </c>
      <c r="C12707" s="49" t="s">
        <v>69</v>
      </c>
      <c r="D12707" s="49">
        <v>100000.0</v>
      </c>
    </row>
    <row r="12708" ht="15.0" hidden="1" customHeight="1">
      <c r="A12708" s="49" t="s">
        <v>640</v>
      </c>
      <c r="B12708" s="50">
        <v>46111.0</v>
      </c>
      <c r="C12708" s="49" t="s">
        <v>69</v>
      </c>
      <c r="D12708" s="49">
        <v>555000.0</v>
      </c>
    </row>
    <row r="12709" ht="15.0" hidden="1" customHeight="1">
      <c r="A12709" s="49" t="s">
        <v>644</v>
      </c>
      <c r="B12709" s="50">
        <v>46111.0</v>
      </c>
      <c r="C12709" s="49" t="s">
        <v>69</v>
      </c>
      <c r="D12709" s="49">
        <v>0.0</v>
      </c>
    </row>
    <row r="12710" ht="15.0" hidden="1" customHeight="1">
      <c r="A12710" s="49" t="s">
        <v>649</v>
      </c>
      <c r="B12710" s="50">
        <v>46111.0</v>
      </c>
      <c r="C12710" s="49" t="s">
        <v>69</v>
      </c>
      <c r="D12710" s="49">
        <v>0.0</v>
      </c>
    </row>
    <row r="12711" ht="15.0" hidden="1" customHeight="1">
      <c r="A12711" s="49" t="s">
        <v>654</v>
      </c>
      <c r="B12711" s="50">
        <v>46111.0</v>
      </c>
      <c r="C12711" s="49" t="s">
        <v>69</v>
      </c>
      <c r="D12711" s="49">
        <v>0.0</v>
      </c>
    </row>
    <row r="12712" ht="15.0" hidden="1" customHeight="1">
      <c r="A12712" s="49" t="s">
        <v>659</v>
      </c>
      <c r="B12712" s="50">
        <v>46111.0</v>
      </c>
      <c r="C12712" s="49" t="s">
        <v>69</v>
      </c>
      <c r="D12712" s="49">
        <v>250000.0</v>
      </c>
    </row>
    <row r="12713" ht="15.0" hidden="1" customHeight="1">
      <c r="A12713" s="49" t="s">
        <v>664</v>
      </c>
      <c r="B12713" s="50">
        <v>46111.0</v>
      </c>
      <c r="C12713" s="49" t="s">
        <v>69</v>
      </c>
      <c r="D12713" s="49">
        <v>500000.0</v>
      </c>
    </row>
    <row r="12714" ht="15.0" hidden="1" customHeight="1">
      <c r="A12714" s="49" t="s">
        <v>669</v>
      </c>
      <c r="B12714" s="50">
        <v>46111.0</v>
      </c>
      <c r="C12714" s="49" t="s">
        <v>69</v>
      </c>
      <c r="D12714" s="49">
        <v>0.0</v>
      </c>
    </row>
    <row r="12715" ht="15.0" hidden="1" customHeight="1">
      <c r="A12715" s="49" t="s">
        <v>674</v>
      </c>
      <c r="B12715" s="50">
        <v>46111.0</v>
      </c>
      <c r="C12715" s="49" t="s">
        <v>69</v>
      </c>
      <c r="D12715" s="49">
        <v>150000.0</v>
      </c>
    </row>
    <row r="12716" ht="15.0" hidden="1" customHeight="1">
      <c r="A12716" s="49" t="s">
        <v>679</v>
      </c>
      <c r="B12716" s="50">
        <v>46111.0</v>
      </c>
      <c r="C12716" s="49" t="s">
        <v>69</v>
      </c>
      <c r="D12716" s="49">
        <v>250000.0</v>
      </c>
    </row>
    <row r="12717" ht="15.0" hidden="1" customHeight="1">
      <c r="A12717" s="49" t="s">
        <v>684</v>
      </c>
      <c r="B12717" s="50">
        <v>46111.0</v>
      </c>
      <c r="C12717" s="49" t="s">
        <v>69</v>
      </c>
      <c r="D12717" s="49">
        <v>0.0</v>
      </c>
    </row>
    <row r="12718" ht="15.0" hidden="1" customHeight="1">
      <c r="A12718" s="49" t="s">
        <v>689</v>
      </c>
      <c r="B12718" s="50">
        <v>46111.0</v>
      </c>
      <c r="C12718" s="49" t="s">
        <v>69</v>
      </c>
      <c r="D12718" s="49">
        <v>0.0</v>
      </c>
    </row>
    <row r="12719" ht="15.0" hidden="1" customHeight="1">
      <c r="A12719" s="49" t="s">
        <v>694</v>
      </c>
      <c r="B12719" s="50">
        <v>46111.0</v>
      </c>
      <c r="C12719" s="49" t="s">
        <v>69</v>
      </c>
      <c r="D12719" s="49">
        <v>250000.0</v>
      </c>
    </row>
    <row r="12720" ht="15.0" hidden="1" customHeight="1">
      <c r="A12720" s="49" t="s">
        <v>699</v>
      </c>
      <c r="B12720" s="50">
        <v>46111.0</v>
      </c>
      <c r="C12720" s="49" t="s">
        <v>69</v>
      </c>
      <c r="D12720" s="49">
        <v>600000.0</v>
      </c>
    </row>
    <row r="12721" ht="15.0" hidden="1" customHeight="1">
      <c r="A12721" s="49" t="s">
        <v>705</v>
      </c>
      <c r="B12721" s="50">
        <v>46111.0</v>
      </c>
      <c r="C12721" s="49" t="s">
        <v>69</v>
      </c>
      <c r="D12721" s="49">
        <v>880616.24</v>
      </c>
    </row>
    <row r="12722" ht="15.0" hidden="1" customHeight="1">
      <c r="A12722" s="49" t="s">
        <v>710</v>
      </c>
      <c r="B12722" s="50">
        <v>46111.0</v>
      </c>
      <c r="C12722" s="49" t="s">
        <v>69</v>
      </c>
      <c r="D12722" s="49">
        <v>0.0</v>
      </c>
    </row>
    <row r="12723" ht="15.0" hidden="1" customHeight="1">
      <c r="A12723" s="49" t="s">
        <v>715</v>
      </c>
      <c r="B12723" s="50">
        <v>46111.0</v>
      </c>
      <c r="C12723" s="49" t="s">
        <v>69</v>
      </c>
      <c r="D12723" s="49">
        <v>300000.0</v>
      </c>
    </row>
    <row r="12724" ht="15.0" hidden="1" customHeight="1">
      <c r="A12724" s="49" t="s">
        <v>765</v>
      </c>
      <c r="B12724" s="50">
        <v>46111.0</v>
      </c>
      <c r="C12724" s="49" t="s">
        <v>69</v>
      </c>
      <c r="D12724" s="49">
        <v>0.0</v>
      </c>
    </row>
    <row r="12725" ht="15.0" hidden="1" customHeight="1">
      <c r="A12725" s="49" t="s">
        <v>720</v>
      </c>
      <c r="B12725" s="50">
        <v>46111.0</v>
      </c>
      <c r="C12725" s="49" t="s">
        <v>69</v>
      </c>
      <c r="D12725" s="49">
        <v>0.0</v>
      </c>
    </row>
    <row r="12726" ht="15.0" hidden="1" customHeight="1">
      <c r="A12726" s="49" t="s">
        <v>725</v>
      </c>
      <c r="B12726" s="50">
        <v>46111.0</v>
      </c>
      <c r="C12726" s="49" t="s">
        <v>69</v>
      </c>
      <c r="D12726" s="49">
        <v>0.0</v>
      </c>
    </row>
    <row r="12727" ht="15.0" hidden="1" customHeight="1">
      <c r="A12727" s="49" t="s">
        <v>730</v>
      </c>
      <c r="B12727" s="50">
        <v>46111.0</v>
      </c>
      <c r="C12727" s="49" t="s">
        <v>69</v>
      </c>
      <c r="D12727" s="49">
        <v>0.0</v>
      </c>
    </row>
    <row r="12728" ht="15.0" hidden="1" customHeight="1">
      <c r="A12728" s="49" t="s">
        <v>734</v>
      </c>
      <c r="B12728" s="50">
        <v>46111.0</v>
      </c>
      <c r="C12728" s="49" t="s">
        <v>69</v>
      </c>
      <c r="D12728" s="49">
        <v>0.0</v>
      </c>
    </row>
    <row r="12729" ht="15.0" hidden="1" customHeight="1">
      <c r="A12729" s="49" t="s">
        <v>739</v>
      </c>
      <c r="B12729" s="50">
        <v>46111.0</v>
      </c>
      <c r="C12729" s="49" t="s">
        <v>69</v>
      </c>
      <c r="D12729" s="49">
        <v>0.0</v>
      </c>
    </row>
    <row r="12730" ht="15.0" hidden="1" customHeight="1">
      <c r="A12730" s="49" t="s">
        <v>744</v>
      </c>
      <c r="B12730" s="50">
        <v>46111.0</v>
      </c>
      <c r="C12730" s="49" t="s">
        <v>69</v>
      </c>
      <c r="D12730" s="49">
        <v>0.0</v>
      </c>
    </row>
    <row r="12731" ht="15.0" hidden="1" customHeight="1">
      <c r="A12731" s="49" t="s">
        <v>749</v>
      </c>
      <c r="B12731" s="50">
        <v>46111.0</v>
      </c>
      <c r="C12731" s="49" t="s">
        <v>69</v>
      </c>
      <c r="D12731" s="49">
        <v>0.0</v>
      </c>
    </row>
    <row r="12732" ht="15.0" customHeight="1">
      <c r="A12732" s="49" t="s">
        <v>776</v>
      </c>
      <c r="B12732" s="50">
        <v>46111.0</v>
      </c>
      <c r="C12732" s="49" t="s">
        <v>780</v>
      </c>
      <c r="D12732" s="49">
        <v>0.0</v>
      </c>
    </row>
    <row r="12733" ht="15.0" hidden="1" customHeight="1">
      <c r="A12733" s="49" t="s">
        <v>778</v>
      </c>
      <c r="B12733" s="50">
        <v>46111.0</v>
      </c>
      <c r="C12733" s="49" t="s">
        <v>780</v>
      </c>
      <c r="D12733" s="49">
        <v>0.0</v>
      </c>
    </row>
    <row r="12734" ht="15.0" hidden="1" customHeight="1">
      <c r="A12734" s="49" t="s">
        <v>92</v>
      </c>
      <c r="B12734" s="50">
        <v>46111.0</v>
      </c>
      <c r="C12734" s="49" t="s">
        <v>780</v>
      </c>
      <c r="D12734" s="49">
        <v>0.0</v>
      </c>
    </row>
    <row r="12735" ht="15.0" hidden="1" customHeight="1">
      <c r="A12735" s="49" t="s">
        <v>97</v>
      </c>
      <c r="B12735" s="50">
        <v>46111.0</v>
      </c>
      <c r="C12735" s="49" t="s">
        <v>780</v>
      </c>
      <c r="D12735" s="49">
        <v>0.0</v>
      </c>
    </row>
    <row r="12736" ht="15.0" hidden="1" customHeight="1">
      <c r="A12736" s="49" t="s">
        <v>102</v>
      </c>
      <c r="B12736" s="50">
        <v>46111.0</v>
      </c>
      <c r="C12736" s="49" t="s">
        <v>780</v>
      </c>
      <c r="D12736" s="49">
        <v>0.0</v>
      </c>
    </row>
    <row r="12737" ht="15.0" hidden="1" customHeight="1">
      <c r="A12737" s="49" t="s">
        <v>106</v>
      </c>
      <c r="B12737" s="50">
        <v>46111.0</v>
      </c>
      <c r="C12737" s="49" t="s">
        <v>780</v>
      </c>
      <c r="D12737" s="49">
        <v>0.0</v>
      </c>
    </row>
    <row r="12738" ht="15.0" hidden="1" customHeight="1">
      <c r="A12738" s="49" t="s">
        <v>111</v>
      </c>
      <c r="B12738" s="50">
        <v>46111.0</v>
      </c>
      <c r="C12738" s="49" t="s">
        <v>780</v>
      </c>
      <c r="D12738" s="49">
        <v>0.0</v>
      </c>
    </row>
    <row r="12739" ht="15.0" hidden="1" customHeight="1">
      <c r="A12739" s="49" t="s">
        <v>116</v>
      </c>
      <c r="B12739" s="50">
        <v>46111.0</v>
      </c>
      <c r="C12739" s="49" t="s">
        <v>780</v>
      </c>
      <c r="D12739" s="49">
        <v>0.0</v>
      </c>
    </row>
    <row r="12740" ht="15.0" hidden="1" customHeight="1">
      <c r="A12740" s="49" t="s">
        <v>120</v>
      </c>
      <c r="B12740" s="50">
        <v>46111.0</v>
      </c>
      <c r="C12740" s="49" t="s">
        <v>780</v>
      </c>
      <c r="D12740" s="49">
        <v>0.0</v>
      </c>
    </row>
    <row r="12741" ht="15.0" hidden="1" customHeight="1">
      <c r="A12741" s="49" t="s">
        <v>125</v>
      </c>
      <c r="B12741" s="50">
        <v>46111.0</v>
      </c>
      <c r="C12741" s="49" t="s">
        <v>780</v>
      </c>
      <c r="D12741" s="49">
        <v>0.0</v>
      </c>
    </row>
    <row r="12742" ht="15.0" hidden="1" customHeight="1">
      <c r="A12742" s="49" t="s">
        <v>130</v>
      </c>
      <c r="B12742" s="50">
        <v>46111.0</v>
      </c>
      <c r="C12742" s="49" t="s">
        <v>780</v>
      </c>
      <c r="D12742" s="49">
        <v>0.0</v>
      </c>
    </row>
    <row r="12743" ht="15.0" hidden="1" customHeight="1">
      <c r="A12743" s="49" t="s">
        <v>137</v>
      </c>
      <c r="B12743" s="50">
        <v>46111.0</v>
      </c>
      <c r="C12743" s="49" t="s">
        <v>780</v>
      </c>
      <c r="D12743" s="49">
        <v>0.0</v>
      </c>
    </row>
    <row r="12744" ht="15.0" hidden="1" customHeight="1">
      <c r="A12744" s="49" t="s">
        <v>142</v>
      </c>
      <c r="B12744" s="50">
        <v>46111.0</v>
      </c>
      <c r="C12744" s="49" t="s">
        <v>780</v>
      </c>
      <c r="D12744" s="49">
        <v>0.0</v>
      </c>
    </row>
    <row r="12745" ht="15.0" hidden="1" customHeight="1">
      <c r="A12745" s="49" t="s">
        <v>147</v>
      </c>
      <c r="B12745" s="50">
        <v>46111.0</v>
      </c>
      <c r="C12745" s="49" t="s">
        <v>780</v>
      </c>
      <c r="D12745" s="49">
        <v>0.0</v>
      </c>
    </row>
    <row r="12746" ht="15.0" hidden="1" customHeight="1">
      <c r="A12746" s="49" t="s">
        <v>152</v>
      </c>
      <c r="B12746" s="50">
        <v>46111.0</v>
      </c>
      <c r="C12746" s="49" t="s">
        <v>780</v>
      </c>
      <c r="D12746" s="49">
        <v>0.0</v>
      </c>
    </row>
    <row r="12747" ht="15.0" hidden="1" customHeight="1">
      <c r="A12747" s="49" t="s">
        <v>157</v>
      </c>
      <c r="B12747" s="50">
        <v>46111.0</v>
      </c>
      <c r="C12747" s="49" t="s">
        <v>780</v>
      </c>
      <c r="D12747" s="49">
        <v>0.0</v>
      </c>
    </row>
    <row r="12748" ht="15.0" hidden="1" customHeight="1">
      <c r="A12748" s="49" t="s">
        <v>162</v>
      </c>
      <c r="B12748" s="50">
        <v>46111.0</v>
      </c>
      <c r="C12748" s="49" t="s">
        <v>780</v>
      </c>
      <c r="D12748" s="49">
        <v>0.0</v>
      </c>
    </row>
    <row r="12749" ht="15.0" hidden="1" customHeight="1">
      <c r="A12749" s="49" t="s">
        <v>167</v>
      </c>
      <c r="B12749" s="50">
        <v>46111.0</v>
      </c>
      <c r="C12749" s="49" t="s">
        <v>780</v>
      </c>
      <c r="D12749" s="49">
        <v>0.0</v>
      </c>
    </row>
    <row r="12750" ht="15.0" hidden="1" customHeight="1">
      <c r="A12750" s="49" t="s">
        <v>172</v>
      </c>
      <c r="B12750" s="50">
        <v>46111.0</v>
      </c>
      <c r="C12750" s="49" t="s">
        <v>780</v>
      </c>
      <c r="D12750" s="49">
        <v>0.0</v>
      </c>
    </row>
    <row r="12751" ht="15.0" hidden="1" customHeight="1">
      <c r="A12751" s="49" t="s">
        <v>177</v>
      </c>
      <c r="B12751" s="50">
        <v>46111.0</v>
      </c>
      <c r="C12751" s="49" t="s">
        <v>780</v>
      </c>
      <c r="D12751" s="49">
        <v>0.0</v>
      </c>
    </row>
    <row r="12752" ht="15.0" hidden="1" customHeight="1">
      <c r="A12752" s="49" t="s">
        <v>182</v>
      </c>
      <c r="B12752" s="50">
        <v>46111.0</v>
      </c>
      <c r="C12752" s="49" t="s">
        <v>780</v>
      </c>
      <c r="D12752" s="49">
        <v>0.0</v>
      </c>
    </row>
    <row r="12753" ht="15.0" hidden="1" customHeight="1">
      <c r="A12753" s="49" t="s">
        <v>187</v>
      </c>
      <c r="B12753" s="50">
        <v>46111.0</v>
      </c>
      <c r="C12753" s="49" t="s">
        <v>780</v>
      </c>
      <c r="D12753" s="49">
        <v>0.0</v>
      </c>
    </row>
    <row r="12754" ht="15.0" hidden="1" customHeight="1">
      <c r="A12754" s="49" t="s">
        <v>192</v>
      </c>
      <c r="B12754" s="50">
        <v>46111.0</v>
      </c>
      <c r="C12754" s="49" t="s">
        <v>780</v>
      </c>
      <c r="D12754" s="49">
        <v>0.0</v>
      </c>
    </row>
    <row r="12755" ht="15.0" hidden="1" customHeight="1">
      <c r="A12755" s="49" t="s">
        <v>197</v>
      </c>
      <c r="B12755" s="50">
        <v>46111.0</v>
      </c>
      <c r="C12755" s="49" t="s">
        <v>780</v>
      </c>
      <c r="D12755" s="49">
        <v>0.0</v>
      </c>
    </row>
    <row r="12756" ht="15.0" hidden="1" customHeight="1">
      <c r="A12756" s="49" t="s">
        <v>202</v>
      </c>
      <c r="B12756" s="50">
        <v>46111.0</v>
      </c>
      <c r="C12756" s="49" t="s">
        <v>780</v>
      </c>
      <c r="D12756" s="49">
        <v>0.0</v>
      </c>
    </row>
    <row r="12757" ht="15.0" hidden="1" customHeight="1">
      <c r="A12757" s="49" t="s">
        <v>206</v>
      </c>
      <c r="B12757" s="50">
        <v>46111.0</v>
      </c>
      <c r="C12757" s="49" t="s">
        <v>780</v>
      </c>
      <c r="D12757" s="49">
        <v>0.0</v>
      </c>
    </row>
    <row r="12758" ht="15.0" hidden="1" customHeight="1">
      <c r="A12758" s="49" t="s">
        <v>211</v>
      </c>
      <c r="B12758" s="50">
        <v>46111.0</v>
      </c>
      <c r="C12758" s="49" t="s">
        <v>780</v>
      </c>
      <c r="D12758" s="49">
        <v>0.0</v>
      </c>
    </row>
    <row r="12759" ht="15.0" hidden="1" customHeight="1">
      <c r="A12759" s="49" t="s">
        <v>779</v>
      </c>
      <c r="B12759" s="50">
        <v>46111.0</v>
      </c>
      <c r="C12759" s="49" t="s">
        <v>780</v>
      </c>
      <c r="D12759" s="49">
        <v>0.0</v>
      </c>
    </row>
    <row r="12760" ht="15.0" hidden="1" customHeight="1">
      <c r="A12760" s="49" t="s">
        <v>221</v>
      </c>
      <c r="B12760" s="50">
        <v>46111.0</v>
      </c>
      <c r="C12760" s="49" t="s">
        <v>780</v>
      </c>
      <c r="D12760" s="49">
        <v>0.0</v>
      </c>
    </row>
    <row r="12761" ht="15.0" hidden="1" customHeight="1">
      <c r="A12761" s="49" t="s">
        <v>226</v>
      </c>
      <c r="B12761" s="50">
        <v>46111.0</v>
      </c>
      <c r="C12761" s="49" t="s">
        <v>780</v>
      </c>
      <c r="D12761" s="49">
        <v>0.0</v>
      </c>
    </row>
    <row r="12762" ht="15.0" hidden="1" customHeight="1">
      <c r="A12762" s="49" t="s">
        <v>231</v>
      </c>
      <c r="B12762" s="50">
        <v>46111.0</v>
      </c>
      <c r="C12762" s="49" t="s">
        <v>780</v>
      </c>
      <c r="D12762" s="49">
        <v>0.0</v>
      </c>
    </row>
    <row r="12763" ht="15.0" hidden="1" customHeight="1">
      <c r="A12763" s="49" t="s">
        <v>236</v>
      </c>
      <c r="B12763" s="50">
        <v>46111.0</v>
      </c>
      <c r="C12763" s="49" t="s">
        <v>780</v>
      </c>
      <c r="D12763" s="49">
        <v>0.0</v>
      </c>
    </row>
    <row r="12764" ht="15.0" hidden="1" customHeight="1">
      <c r="A12764" s="49" t="s">
        <v>242</v>
      </c>
      <c r="B12764" s="50">
        <v>46111.0</v>
      </c>
      <c r="C12764" s="49" t="s">
        <v>780</v>
      </c>
      <c r="D12764" s="49">
        <v>0.0</v>
      </c>
    </row>
    <row r="12765" ht="15.0" hidden="1" customHeight="1">
      <c r="A12765" s="49" t="s">
        <v>248</v>
      </c>
      <c r="B12765" s="50">
        <v>46111.0</v>
      </c>
      <c r="C12765" s="49" t="s">
        <v>780</v>
      </c>
      <c r="D12765" s="49">
        <v>0.0</v>
      </c>
    </row>
    <row r="12766" ht="15.0" hidden="1" customHeight="1">
      <c r="A12766" s="49" t="s">
        <v>253</v>
      </c>
      <c r="B12766" s="50">
        <v>46111.0</v>
      </c>
      <c r="C12766" s="49" t="s">
        <v>780</v>
      </c>
      <c r="D12766" s="49">
        <v>0.0</v>
      </c>
    </row>
    <row r="12767" ht="15.0" hidden="1" customHeight="1">
      <c r="A12767" s="49" t="s">
        <v>258</v>
      </c>
      <c r="B12767" s="50">
        <v>46111.0</v>
      </c>
      <c r="C12767" s="49" t="s">
        <v>780</v>
      </c>
      <c r="D12767" s="49">
        <v>0.0</v>
      </c>
    </row>
    <row r="12768" ht="15.0" hidden="1" customHeight="1">
      <c r="A12768" s="49" t="s">
        <v>263</v>
      </c>
      <c r="B12768" s="50">
        <v>46111.0</v>
      </c>
      <c r="C12768" s="49" t="s">
        <v>780</v>
      </c>
      <c r="D12768" s="49">
        <v>0.0</v>
      </c>
    </row>
    <row r="12769" ht="15.0" hidden="1" customHeight="1">
      <c r="A12769" s="49" t="s">
        <v>268</v>
      </c>
      <c r="B12769" s="50">
        <v>46111.0</v>
      </c>
      <c r="C12769" s="49" t="s">
        <v>780</v>
      </c>
      <c r="D12769" s="49">
        <v>0.0</v>
      </c>
    </row>
    <row r="12770" ht="15.0" hidden="1" customHeight="1">
      <c r="A12770" s="49" t="s">
        <v>273</v>
      </c>
      <c r="B12770" s="50">
        <v>46111.0</v>
      </c>
      <c r="C12770" s="49" t="s">
        <v>780</v>
      </c>
      <c r="D12770" s="49">
        <v>0.0</v>
      </c>
    </row>
    <row r="12771" ht="15.0" hidden="1" customHeight="1">
      <c r="A12771" s="49" t="s">
        <v>278</v>
      </c>
      <c r="B12771" s="50">
        <v>46111.0</v>
      </c>
      <c r="C12771" s="49" t="s">
        <v>780</v>
      </c>
      <c r="D12771" s="49">
        <v>0.0</v>
      </c>
    </row>
    <row r="12772" ht="15.0" hidden="1" customHeight="1">
      <c r="A12772" s="49" t="s">
        <v>283</v>
      </c>
      <c r="B12772" s="50">
        <v>46111.0</v>
      </c>
      <c r="C12772" s="49" t="s">
        <v>780</v>
      </c>
      <c r="D12772" s="49">
        <v>0.0</v>
      </c>
    </row>
    <row r="12773" ht="15.0" hidden="1" customHeight="1">
      <c r="A12773" s="49" t="s">
        <v>288</v>
      </c>
      <c r="B12773" s="50">
        <v>46111.0</v>
      </c>
      <c r="C12773" s="49" t="s">
        <v>780</v>
      </c>
      <c r="D12773" s="49">
        <v>0.0</v>
      </c>
    </row>
    <row r="12774" ht="15.0" hidden="1" customHeight="1">
      <c r="A12774" s="49" t="s">
        <v>293</v>
      </c>
      <c r="B12774" s="50">
        <v>46111.0</v>
      </c>
      <c r="C12774" s="49" t="s">
        <v>780</v>
      </c>
      <c r="D12774" s="49">
        <v>0.0</v>
      </c>
    </row>
    <row r="12775" ht="15.0" hidden="1" customHeight="1">
      <c r="A12775" s="49" t="s">
        <v>298</v>
      </c>
      <c r="B12775" s="50">
        <v>46111.0</v>
      </c>
      <c r="C12775" s="49" t="s">
        <v>780</v>
      </c>
      <c r="D12775" s="49">
        <v>0.0</v>
      </c>
    </row>
    <row r="12776" ht="15.0" hidden="1" customHeight="1">
      <c r="A12776" s="49" t="s">
        <v>303</v>
      </c>
      <c r="B12776" s="50">
        <v>46111.0</v>
      </c>
      <c r="C12776" s="49" t="s">
        <v>780</v>
      </c>
      <c r="D12776" s="49">
        <v>0.0</v>
      </c>
    </row>
    <row r="12777" ht="15.0" hidden="1" customHeight="1">
      <c r="A12777" s="49" t="s">
        <v>307</v>
      </c>
      <c r="B12777" s="50">
        <v>46111.0</v>
      </c>
      <c r="C12777" s="49" t="s">
        <v>780</v>
      </c>
      <c r="D12777" s="49">
        <v>0.0</v>
      </c>
    </row>
    <row r="12778" ht="15.0" hidden="1" customHeight="1">
      <c r="A12778" s="49" t="s">
        <v>313</v>
      </c>
      <c r="B12778" s="50">
        <v>46111.0</v>
      </c>
      <c r="C12778" s="49" t="s">
        <v>780</v>
      </c>
      <c r="D12778" s="49">
        <v>0.0</v>
      </c>
    </row>
    <row r="12779" ht="15.0" hidden="1" customHeight="1">
      <c r="A12779" s="49" t="s">
        <v>318</v>
      </c>
      <c r="B12779" s="50">
        <v>46111.0</v>
      </c>
      <c r="C12779" s="49" t="s">
        <v>780</v>
      </c>
      <c r="D12779" s="49">
        <v>0.0</v>
      </c>
    </row>
    <row r="12780" ht="15.0" hidden="1" customHeight="1">
      <c r="A12780" s="49" t="s">
        <v>323</v>
      </c>
      <c r="B12780" s="50">
        <v>46111.0</v>
      </c>
      <c r="C12780" s="49" t="s">
        <v>780</v>
      </c>
      <c r="D12780" s="49">
        <v>0.0</v>
      </c>
    </row>
    <row r="12781" ht="15.0" hidden="1" customHeight="1">
      <c r="A12781" s="49" t="s">
        <v>328</v>
      </c>
      <c r="B12781" s="50">
        <v>46111.0</v>
      </c>
      <c r="C12781" s="49" t="s">
        <v>780</v>
      </c>
      <c r="D12781" s="49">
        <v>0.0</v>
      </c>
    </row>
    <row r="12782" ht="15.0" hidden="1" customHeight="1">
      <c r="A12782" s="49" t="s">
        <v>335</v>
      </c>
      <c r="B12782" s="50">
        <v>46111.0</v>
      </c>
      <c r="C12782" s="49" t="s">
        <v>780</v>
      </c>
      <c r="D12782" s="49">
        <v>0.0</v>
      </c>
    </row>
    <row r="12783" ht="15.0" hidden="1" customHeight="1">
      <c r="A12783" s="49" t="s">
        <v>340</v>
      </c>
      <c r="B12783" s="50">
        <v>46111.0</v>
      </c>
      <c r="C12783" s="49" t="s">
        <v>780</v>
      </c>
      <c r="D12783" s="49">
        <v>0.0</v>
      </c>
    </row>
    <row r="12784" ht="15.0" hidden="1" customHeight="1">
      <c r="A12784" s="49" t="s">
        <v>345</v>
      </c>
      <c r="B12784" s="50">
        <v>46111.0</v>
      </c>
      <c r="C12784" s="49" t="s">
        <v>780</v>
      </c>
      <c r="D12784" s="49">
        <v>0.0</v>
      </c>
    </row>
    <row r="12785" ht="15.0" hidden="1" customHeight="1">
      <c r="A12785" s="49" t="s">
        <v>350</v>
      </c>
      <c r="B12785" s="50">
        <v>46111.0</v>
      </c>
      <c r="C12785" s="49" t="s">
        <v>780</v>
      </c>
      <c r="D12785" s="49">
        <v>0.0</v>
      </c>
    </row>
    <row r="12786" ht="15.0" hidden="1" customHeight="1">
      <c r="A12786" s="49" t="s">
        <v>355</v>
      </c>
      <c r="B12786" s="50">
        <v>46111.0</v>
      </c>
      <c r="C12786" s="49" t="s">
        <v>780</v>
      </c>
      <c r="D12786" s="49">
        <v>0.0</v>
      </c>
    </row>
    <row r="12787" ht="15.0" hidden="1" customHeight="1">
      <c r="A12787" s="49" t="s">
        <v>360</v>
      </c>
      <c r="B12787" s="50">
        <v>46111.0</v>
      </c>
      <c r="C12787" s="49" t="s">
        <v>780</v>
      </c>
      <c r="D12787" s="49">
        <v>0.0</v>
      </c>
    </row>
    <row r="12788" ht="15.0" hidden="1" customHeight="1">
      <c r="A12788" s="49" t="s">
        <v>365</v>
      </c>
      <c r="B12788" s="50">
        <v>46111.0</v>
      </c>
      <c r="C12788" s="49" t="s">
        <v>780</v>
      </c>
      <c r="D12788" s="49">
        <v>0.0</v>
      </c>
    </row>
    <row r="12789" ht="15.0" hidden="1" customHeight="1">
      <c r="A12789" s="49" t="s">
        <v>370</v>
      </c>
      <c r="B12789" s="50">
        <v>46111.0</v>
      </c>
      <c r="C12789" s="49" t="s">
        <v>780</v>
      </c>
      <c r="D12789" s="49">
        <v>0.0</v>
      </c>
    </row>
    <row r="12790" ht="15.0" hidden="1" customHeight="1">
      <c r="A12790" s="49" t="s">
        <v>375</v>
      </c>
      <c r="B12790" s="50">
        <v>46111.0</v>
      </c>
      <c r="C12790" s="49" t="s">
        <v>780</v>
      </c>
      <c r="D12790" s="49">
        <v>0.0</v>
      </c>
    </row>
    <row r="12791" ht="15.0" hidden="1" customHeight="1">
      <c r="A12791" s="49" t="s">
        <v>380</v>
      </c>
      <c r="B12791" s="50">
        <v>46111.0</v>
      </c>
      <c r="C12791" s="49" t="s">
        <v>780</v>
      </c>
      <c r="D12791" s="49">
        <v>0.0</v>
      </c>
    </row>
    <row r="12792" ht="15.0" hidden="1" customHeight="1">
      <c r="A12792" s="49" t="s">
        <v>385</v>
      </c>
      <c r="B12792" s="50">
        <v>46111.0</v>
      </c>
      <c r="C12792" s="49" t="s">
        <v>780</v>
      </c>
      <c r="D12792" s="49">
        <v>0.0</v>
      </c>
    </row>
    <row r="12793" ht="15.0" hidden="1" customHeight="1">
      <c r="A12793" s="49" t="s">
        <v>390</v>
      </c>
      <c r="B12793" s="50">
        <v>46111.0</v>
      </c>
      <c r="C12793" s="49" t="s">
        <v>780</v>
      </c>
      <c r="D12793" s="49">
        <v>0.0</v>
      </c>
    </row>
    <row r="12794" ht="15.0" hidden="1" customHeight="1">
      <c r="A12794" s="49" t="s">
        <v>395</v>
      </c>
      <c r="B12794" s="50">
        <v>46111.0</v>
      </c>
      <c r="C12794" s="49" t="s">
        <v>780</v>
      </c>
      <c r="D12794" s="49">
        <v>0.0</v>
      </c>
    </row>
    <row r="12795" ht="15.0" hidden="1" customHeight="1">
      <c r="A12795" s="49" t="s">
        <v>400</v>
      </c>
      <c r="B12795" s="50">
        <v>46111.0</v>
      </c>
      <c r="C12795" s="49" t="s">
        <v>780</v>
      </c>
      <c r="D12795" s="49">
        <v>0.0</v>
      </c>
    </row>
    <row r="12796" ht="15.0" hidden="1" customHeight="1">
      <c r="A12796" s="49" t="s">
        <v>405</v>
      </c>
      <c r="B12796" s="50">
        <v>46111.0</v>
      </c>
      <c r="C12796" s="49" t="s">
        <v>780</v>
      </c>
      <c r="D12796" s="49">
        <v>0.0</v>
      </c>
    </row>
    <row r="12797" ht="15.0" hidden="1" customHeight="1">
      <c r="A12797" s="49" t="s">
        <v>410</v>
      </c>
      <c r="B12797" s="50">
        <v>46111.0</v>
      </c>
      <c r="C12797" s="49" t="s">
        <v>780</v>
      </c>
      <c r="D12797" s="49">
        <v>0.0</v>
      </c>
    </row>
    <row r="12798" ht="15.0" hidden="1" customHeight="1">
      <c r="A12798" s="49" t="s">
        <v>415</v>
      </c>
      <c r="B12798" s="50">
        <v>46111.0</v>
      </c>
      <c r="C12798" s="49" t="s">
        <v>780</v>
      </c>
      <c r="D12798" s="49">
        <v>0.0</v>
      </c>
    </row>
    <row r="12799" ht="15.0" hidden="1" customHeight="1">
      <c r="A12799" s="49" t="s">
        <v>420</v>
      </c>
      <c r="B12799" s="50">
        <v>46111.0</v>
      </c>
      <c r="C12799" s="49" t="s">
        <v>780</v>
      </c>
      <c r="D12799" s="49">
        <v>0.0</v>
      </c>
    </row>
    <row r="12800" ht="15.0" hidden="1" customHeight="1">
      <c r="A12800" s="49" t="s">
        <v>425</v>
      </c>
      <c r="B12800" s="50">
        <v>46111.0</v>
      </c>
      <c r="C12800" s="49" t="s">
        <v>780</v>
      </c>
      <c r="D12800" s="49">
        <v>0.0</v>
      </c>
    </row>
    <row r="12801" ht="15.0" hidden="1" customHeight="1">
      <c r="A12801" s="49" t="s">
        <v>430</v>
      </c>
      <c r="B12801" s="50">
        <v>46111.0</v>
      </c>
      <c r="C12801" s="49" t="s">
        <v>780</v>
      </c>
      <c r="D12801" s="49">
        <v>0.0</v>
      </c>
    </row>
    <row r="12802" ht="15.0" hidden="1" customHeight="1">
      <c r="A12802" s="49" t="s">
        <v>434</v>
      </c>
      <c r="B12802" s="50">
        <v>46111.0</v>
      </c>
      <c r="C12802" s="49" t="s">
        <v>780</v>
      </c>
      <c r="D12802" s="49">
        <v>0.0</v>
      </c>
    </row>
    <row r="12803" ht="15.0" hidden="1" customHeight="1">
      <c r="A12803" s="49" t="s">
        <v>439</v>
      </c>
      <c r="B12803" s="50">
        <v>46111.0</v>
      </c>
      <c r="C12803" s="49" t="s">
        <v>780</v>
      </c>
      <c r="D12803" s="49">
        <v>0.0</v>
      </c>
    </row>
    <row r="12804" ht="15.0" hidden="1" customHeight="1">
      <c r="A12804" s="49" t="s">
        <v>444</v>
      </c>
      <c r="B12804" s="50">
        <v>46111.0</v>
      </c>
      <c r="C12804" s="49" t="s">
        <v>780</v>
      </c>
      <c r="D12804" s="49">
        <v>0.0</v>
      </c>
    </row>
    <row r="12805" ht="15.0" hidden="1" customHeight="1">
      <c r="A12805" s="49" t="s">
        <v>449</v>
      </c>
      <c r="B12805" s="50">
        <v>46111.0</v>
      </c>
      <c r="C12805" s="49" t="s">
        <v>780</v>
      </c>
      <c r="D12805" s="49">
        <v>-1000000.0</v>
      </c>
    </row>
    <row r="12806" ht="15.0" hidden="1" customHeight="1">
      <c r="A12806" s="49" t="s">
        <v>455</v>
      </c>
      <c r="B12806" s="50">
        <v>46111.0</v>
      </c>
      <c r="C12806" s="49" t="s">
        <v>780</v>
      </c>
      <c r="D12806" s="49">
        <v>-1000000.0</v>
      </c>
    </row>
    <row r="12807" ht="15.0" hidden="1" customHeight="1">
      <c r="A12807" s="49" t="s">
        <v>470</v>
      </c>
      <c r="B12807" s="50">
        <v>46111.0</v>
      </c>
      <c r="C12807" s="49" t="s">
        <v>780</v>
      </c>
      <c r="D12807" s="49">
        <v>0.0</v>
      </c>
    </row>
    <row r="12808" ht="15.0" hidden="1" customHeight="1">
      <c r="A12808" s="49" t="s">
        <v>476</v>
      </c>
      <c r="B12808" s="50">
        <v>46111.0</v>
      </c>
      <c r="C12808" s="49" t="s">
        <v>780</v>
      </c>
      <c r="D12808" s="49">
        <v>0.0</v>
      </c>
    </row>
    <row r="12809" ht="15.0" hidden="1" customHeight="1">
      <c r="A12809" s="49" t="s">
        <v>481</v>
      </c>
      <c r="B12809" s="50">
        <v>46111.0</v>
      </c>
      <c r="C12809" s="49" t="s">
        <v>780</v>
      </c>
      <c r="D12809" s="49">
        <v>0.0</v>
      </c>
    </row>
    <row r="12810" ht="15.0" hidden="1" customHeight="1">
      <c r="A12810" s="49" t="s">
        <v>486</v>
      </c>
      <c r="B12810" s="50">
        <v>46111.0</v>
      </c>
      <c r="C12810" s="49" t="s">
        <v>780</v>
      </c>
      <c r="D12810" s="49">
        <v>0.0</v>
      </c>
    </row>
    <row r="12811" ht="15.0" hidden="1" customHeight="1">
      <c r="A12811" s="49" t="s">
        <v>491</v>
      </c>
      <c r="B12811" s="50">
        <v>46111.0</v>
      </c>
      <c r="C12811" s="49" t="s">
        <v>780</v>
      </c>
      <c r="D12811" s="49">
        <v>0.0</v>
      </c>
    </row>
    <row r="12812" ht="15.0" hidden="1" customHeight="1">
      <c r="A12812" s="49" t="s">
        <v>496</v>
      </c>
      <c r="B12812" s="50">
        <v>46111.0</v>
      </c>
      <c r="C12812" s="49" t="s">
        <v>780</v>
      </c>
      <c r="D12812" s="49">
        <v>0.0</v>
      </c>
    </row>
    <row r="12813" ht="15.0" hidden="1" customHeight="1">
      <c r="A12813" s="49" t="s">
        <v>501</v>
      </c>
      <c r="B12813" s="50">
        <v>46111.0</v>
      </c>
      <c r="C12813" s="49" t="s">
        <v>780</v>
      </c>
      <c r="D12813" s="49">
        <v>0.0</v>
      </c>
    </row>
    <row r="12814" ht="15.0" hidden="1" customHeight="1">
      <c r="A12814" s="49" t="s">
        <v>506</v>
      </c>
      <c r="B12814" s="50">
        <v>46111.0</v>
      </c>
      <c r="C12814" s="49" t="s">
        <v>780</v>
      </c>
      <c r="D12814" s="49">
        <v>0.0</v>
      </c>
    </row>
    <row r="12815" ht="15.0" hidden="1" customHeight="1">
      <c r="A12815" s="49" t="s">
        <v>512</v>
      </c>
      <c r="B12815" s="50">
        <v>46111.0</v>
      </c>
      <c r="C12815" s="49" t="s">
        <v>780</v>
      </c>
      <c r="D12815" s="49">
        <v>0.0</v>
      </c>
    </row>
    <row r="12816" ht="15.0" hidden="1" customHeight="1">
      <c r="A12816" s="49" t="s">
        <v>517</v>
      </c>
      <c r="B12816" s="50">
        <v>46111.0</v>
      </c>
      <c r="C12816" s="49" t="s">
        <v>780</v>
      </c>
      <c r="D12816" s="49">
        <v>0.0</v>
      </c>
    </row>
    <row r="12817" ht="15.0" hidden="1" customHeight="1">
      <c r="A12817" s="49" t="s">
        <v>522</v>
      </c>
      <c r="B12817" s="50">
        <v>46111.0</v>
      </c>
      <c r="C12817" s="49" t="s">
        <v>780</v>
      </c>
      <c r="D12817" s="49">
        <v>0.0</v>
      </c>
    </row>
    <row r="12818" ht="15.0" hidden="1" customHeight="1">
      <c r="A12818" s="49" t="s">
        <v>528</v>
      </c>
      <c r="B12818" s="50">
        <v>46111.0</v>
      </c>
      <c r="C12818" s="49" t="s">
        <v>780</v>
      </c>
      <c r="D12818" s="49">
        <v>0.0</v>
      </c>
    </row>
    <row r="12819" ht="15.0" hidden="1" customHeight="1">
      <c r="A12819" s="49" t="s">
        <v>533</v>
      </c>
      <c r="B12819" s="50">
        <v>46111.0</v>
      </c>
      <c r="C12819" s="49" t="s">
        <v>780</v>
      </c>
      <c r="D12819" s="49">
        <v>0.0</v>
      </c>
    </row>
    <row r="12820" ht="15.0" hidden="1" customHeight="1">
      <c r="A12820" s="49" t="s">
        <v>538</v>
      </c>
      <c r="B12820" s="50">
        <v>46111.0</v>
      </c>
      <c r="C12820" s="49" t="s">
        <v>780</v>
      </c>
      <c r="D12820" s="49">
        <v>5279176.0</v>
      </c>
    </row>
    <row r="12821" ht="15.0" hidden="1" customHeight="1">
      <c r="A12821" s="49" t="s">
        <v>546</v>
      </c>
      <c r="B12821" s="50">
        <v>46111.0</v>
      </c>
      <c r="C12821" s="49" t="s">
        <v>780</v>
      </c>
      <c r="D12821" s="49">
        <v>0.0</v>
      </c>
    </row>
    <row r="12822" ht="15.0" hidden="1" customHeight="1">
      <c r="A12822" s="49" t="s">
        <v>551</v>
      </c>
      <c r="B12822" s="50">
        <v>46111.0</v>
      </c>
      <c r="C12822" s="49" t="s">
        <v>780</v>
      </c>
      <c r="D12822" s="49">
        <v>0.0</v>
      </c>
    </row>
    <row r="12823" ht="15.0" hidden="1" customHeight="1">
      <c r="A12823" s="49" t="s">
        <v>556</v>
      </c>
      <c r="B12823" s="50">
        <v>46111.0</v>
      </c>
      <c r="C12823" s="49" t="s">
        <v>780</v>
      </c>
      <c r="D12823" s="49">
        <v>0.0</v>
      </c>
    </row>
    <row r="12824" ht="15.0" hidden="1" customHeight="1">
      <c r="A12824" s="49" t="s">
        <v>561</v>
      </c>
      <c r="B12824" s="50">
        <v>46111.0</v>
      </c>
      <c r="C12824" s="49" t="s">
        <v>780</v>
      </c>
      <c r="D12824" s="49">
        <v>0.0</v>
      </c>
    </row>
    <row r="12825" ht="15.0" hidden="1" customHeight="1">
      <c r="A12825" s="49" t="s">
        <v>566</v>
      </c>
      <c r="B12825" s="50">
        <v>46111.0</v>
      </c>
      <c r="C12825" s="49" t="s">
        <v>780</v>
      </c>
      <c r="D12825" s="49">
        <v>-50000.0</v>
      </c>
    </row>
    <row r="12826" ht="15.0" hidden="1" customHeight="1">
      <c r="A12826" s="49" t="s">
        <v>571</v>
      </c>
      <c r="B12826" s="50">
        <v>46111.0</v>
      </c>
      <c r="C12826" s="49" t="s">
        <v>780</v>
      </c>
      <c r="D12826" s="49">
        <v>0.0</v>
      </c>
    </row>
    <row r="12827" ht="15.0" hidden="1" customHeight="1">
      <c r="A12827" s="49" t="s">
        <v>576</v>
      </c>
      <c r="B12827" s="50">
        <v>46111.0</v>
      </c>
      <c r="C12827" s="49" t="s">
        <v>780</v>
      </c>
      <c r="D12827" s="49">
        <v>0.0</v>
      </c>
    </row>
    <row r="12828" ht="15.0" hidden="1" customHeight="1">
      <c r="A12828" s="49" t="s">
        <v>581</v>
      </c>
      <c r="B12828" s="50">
        <v>46111.0</v>
      </c>
      <c r="C12828" s="49" t="s">
        <v>780</v>
      </c>
      <c r="D12828" s="49">
        <v>0.0</v>
      </c>
    </row>
    <row r="12829" ht="15.0" hidden="1" customHeight="1">
      <c r="A12829" s="49" t="s">
        <v>586</v>
      </c>
      <c r="B12829" s="50">
        <v>46111.0</v>
      </c>
      <c r="C12829" s="49" t="s">
        <v>780</v>
      </c>
      <c r="D12829" s="49">
        <v>-800000.0</v>
      </c>
    </row>
    <row r="12830" ht="15.0" hidden="1" customHeight="1">
      <c r="A12830" s="49" t="s">
        <v>754</v>
      </c>
      <c r="B12830" s="50">
        <v>46111.0</v>
      </c>
      <c r="C12830" s="49" t="s">
        <v>780</v>
      </c>
      <c r="D12830" s="49">
        <v>0.0</v>
      </c>
    </row>
    <row r="12831" ht="15.0" hidden="1" customHeight="1">
      <c r="A12831" s="49" t="s">
        <v>591</v>
      </c>
      <c r="B12831" s="50">
        <v>46111.0</v>
      </c>
      <c r="C12831" s="49" t="s">
        <v>780</v>
      </c>
      <c r="D12831" s="49">
        <v>0.0</v>
      </c>
    </row>
    <row r="12832" ht="15.0" hidden="1" customHeight="1">
      <c r="A12832" s="49" t="s">
        <v>759</v>
      </c>
      <c r="B12832" s="50">
        <v>46111.0</v>
      </c>
      <c r="C12832" s="49" t="s">
        <v>780</v>
      </c>
      <c r="D12832" s="49">
        <v>-1700571.21</v>
      </c>
    </row>
    <row r="12833" ht="15.0" hidden="1" customHeight="1">
      <c r="A12833" s="49" t="s">
        <v>596</v>
      </c>
      <c r="B12833" s="50">
        <v>46111.0</v>
      </c>
      <c r="C12833" s="49" t="s">
        <v>780</v>
      </c>
      <c r="D12833" s="49">
        <v>0.0</v>
      </c>
    </row>
    <row r="12834" ht="15.0" hidden="1" customHeight="1">
      <c r="A12834" s="49" t="s">
        <v>602</v>
      </c>
      <c r="B12834" s="50">
        <v>46111.0</v>
      </c>
      <c r="C12834" s="49" t="s">
        <v>780</v>
      </c>
      <c r="D12834" s="49">
        <v>0.0</v>
      </c>
    </row>
    <row r="12835" ht="15.0" hidden="1" customHeight="1">
      <c r="A12835" s="49" t="s">
        <v>607</v>
      </c>
      <c r="B12835" s="50">
        <v>46111.0</v>
      </c>
      <c r="C12835" s="49" t="s">
        <v>780</v>
      </c>
      <c r="D12835" s="49">
        <v>0.0</v>
      </c>
    </row>
    <row r="12836" ht="15.0" hidden="1" customHeight="1">
      <c r="A12836" s="49" t="s">
        <v>612</v>
      </c>
      <c r="B12836" s="50">
        <v>46111.0</v>
      </c>
      <c r="C12836" s="49" t="s">
        <v>780</v>
      </c>
      <c r="D12836" s="49">
        <v>0.0</v>
      </c>
    </row>
    <row r="12837" ht="15.0" hidden="1" customHeight="1">
      <c r="A12837" s="49" t="s">
        <v>617</v>
      </c>
      <c r="B12837" s="50">
        <v>46111.0</v>
      </c>
      <c r="C12837" s="49" t="s">
        <v>780</v>
      </c>
      <c r="D12837" s="49">
        <v>0.0</v>
      </c>
    </row>
    <row r="12838" ht="15.0" hidden="1" customHeight="1">
      <c r="A12838" s="49" t="s">
        <v>622</v>
      </c>
      <c r="B12838" s="50">
        <v>46111.0</v>
      </c>
      <c r="C12838" s="49" t="s">
        <v>780</v>
      </c>
      <c r="D12838" s="49">
        <v>0.0</v>
      </c>
    </row>
    <row r="12839" ht="15.0" hidden="1" customHeight="1">
      <c r="A12839" s="49" t="s">
        <v>627</v>
      </c>
      <c r="B12839" s="50">
        <v>46111.0</v>
      </c>
      <c r="C12839" s="49" t="s">
        <v>780</v>
      </c>
      <c r="D12839" s="49">
        <v>0.0</v>
      </c>
    </row>
    <row r="12840" ht="15.0" hidden="1" customHeight="1">
      <c r="A12840" s="49" t="s">
        <v>631</v>
      </c>
      <c r="B12840" s="50">
        <v>46111.0</v>
      </c>
      <c r="C12840" s="49" t="s">
        <v>780</v>
      </c>
      <c r="D12840" s="49">
        <v>-250000.0</v>
      </c>
    </row>
    <row r="12841" ht="15.0" hidden="1" customHeight="1">
      <c r="A12841" s="49" t="s">
        <v>636</v>
      </c>
      <c r="B12841" s="50">
        <v>46111.0</v>
      </c>
      <c r="C12841" s="49" t="s">
        <v>780</v>
      </c>
      <c r="D12841" s="49">
        <v>-100000.0</v>
      </c>
    </row>
    <row r="12842" ht="15.0" hidden="1" customHeight="1">
      <c r="A12842" s="49" t="s">
        <v>640</v>
      </c>
      <c r="B12842" s="50">
        <v>46111.0</v>
      </c>
      <c r="C12842" s="49" t="s">
        <v>780</v>
      </c>
      <c r="D12842" s="49">
        <v>-555000.0</v>
      </c>
    </row>
    <row r="12843" ht="15.0" hidden="1" customHeight="1">
      <c r="A12843" s="49" t="s">
        <v>644</v>
      </c>
      <c r="B12843" s="50">
        <v>46111.0</v>
      </c>
      <c r="C12843" s="49" t="s">
        <v>780</v>
      </c>
      <c r="D12843" s="49">
        <v>0.0</v>
      </c>
    </row>
    <row r="12844" ht="15.0" hidden="1" customHeight="1">
      <c r="A12844" s="49" t="s">
        <v>649</v>
      </c>
      <c r="B12844" s="50">
        <v>46111.0</v>
      </c>
      <c r="C12844" s="49" t="s">
        <v>780</v>
      </c>
      <c r="D12844" s="49">
        <v>0.0</v>
      </c>
    </row>
    <row r="12845" ht="15.0" hidden="1" customHeight="1">
      <c r="A12845" s="49" t="s">
        <v>654</v>
      </c>
      <c r="B12845" s="50">
        <v>46111.0</v>
      </c>
      <c r="C12845" s="49" t="s">
        <v>780</v>
      </c>
      <c r="D12845" s="49">
        <v>0.0</v>
      </c>
    </row>
    <row r="12846" ht="15.0" hidden="1" customHeight="1">
      <c r="A12846" s="49" t="s">
        <v>659</v>
      </c>
      <c r="B12846" s="50">
        <v>46111.0</v>
      </c>
      <c r="C12846" s="49" t="s">
        <v>780</v>
      </c>
      <c r="D12846" s="49">
        <v>-250000.0</v>
      </c>
    </row>
    <row r="12847" ht="15.0" hidden="1" customHeight="1">
      <c r="A12847" s="49" t="s">
        <v>664</v>
      </c>
      <c r="B12847" s="50">
        <v>46111.0</v>
      </c>
      <c r="C12847" s="49" t="s">
        <v>780</v>
      </c>
      <c r="D12847" s="49">
        <v>-500000.0</v>
      </c>
    </row>
    <row r="12848" ht="15.0" hidden="1" customHeight="1">
      <c r="A12848" s="49" t="s">
        <v>669</v>
      </c>
      <c r="B12848" s="50">
        <v>46111.0</v>
      </c>
      <c r="C12848" s="49" t="s">
        <v>780</v>
      </c>
      <c r="D12848" s="49">
        <v>0.0</v>
      </c>
    </row>
    <row r="12849" ht="15.0" hidden="1" customHeight="1">
      <c r="A12849" s="49" t="s">
        <v>674</v>
      </c>
      <c r="B12849" s="50">
        <v>46111.0</v>
      </c>
      <c r="C12849" s="49" t="s">
        <v>780</v>
      </c>
      <c r="D12849" s="49">
        <v>-150000.0</v>
      </c>
    </row>
    <row r="12850" ht="15.0" hidden="1" customHeight="1">
      <c r="A12850" s="49" t="s">
        <v>679</v>
      </c>
      <c r="B12850" s="50">
        <v>46111.0</v>
      </c>
      <c r="C12850" s="49" t="s">
        <v>780</v>
      </c>
      <c r="D12850" s="49">
        <v>-250000.0</v>
      </c>
    </row>
    <row r="12851" ht="15.0" hidden="1" customHeight="1">
      <c r="A12851" s="49" t="s">
        <v>684</v>
      </c>
      <c r="B12851" s="50">
        <v>46111.0</v>
      </c>
      <c r="C12851" s="49" t="s">
        <v>780</v>
      </c>
      <c r="D12851" s="49">
        <v>0.0</v>
      </c>
    </row>
    <row r="12852" ht="15.0" hidden="1" customHeight="1">
      <c r="A12852" s="49" t="s">
        <v>689</v>
      </c>
      <c r="B12852" s="50">
        <v>46111.0</v>
      </c>
      <c r="C12852" s="49" t="s">
        <v>780</v>
      </c>
      <c r="D12852" s="49">
        <v>0.0</v>
      </c>
    </row>
    <row r="12853" ht="15.0" hidden="1" customHeight="1">
      <c r="A12853" s="49" t="s">
        <v>694</v>
      </c>
      <c r="B12853" s="50">
        <v>46111.0</v>
      </c>
      <c r="C12853" s="49" t="s">
        <v>780</v>
      </c>
      <c r="D12853" s="49">
        <v>-250000.0</v>
      </c>
    </row>
    <row r="12854" ht="15.0" hidden="1" customHeight="1">
      <c r="A12854" s="49" t="s">
        <v>699</v>
      </c>
      <c r="B12854" s="50">
        <v>46111.0</v>
      </c>
      <c r="C12854" s="49" t="s">
        <v>780</v>
      </c>
      <c r="D12854" s="49">
        <v>-600000.0</v>
      </c>
    </row>
    <row r="12855" ht="15.0" hidden="1" customHeight="1">
      <c r="A12855" s="49" t="s">
        <v>705</v>
      </c>
      <c r="B12855" s="50">
        <v>46111.0</v>
      </c>
      <c r="C12855" s="49" t="s">
        <v>780</v>
      </c>
      <c r="D12855" s="49">
        <v>-880616.24</v>
      </c>
    </row>
    <row r="12856" ht="15.0" hidden="1" customHeight="1">
      <c r="A12856" s="49" t="s">
        <v>710</v>
      </c>
      <c r="B12856" s="50">
        <v>46111.0</v>
      </c>
      <c r="C12856" s="49" t="s">
        <v>780</v>
      </c>
      <c r="D12856" s="49">
        <v>0.0</v>
      </c>
    </row>
    <row r="12857" ht="15.0" hidden="1" customHeight="1">
      <c r="A12857" s="49" t="s">
        <v>715</v>
      </c>
      <c r="B12857" s="50">
        <v>46111.0</v>
      </c>
      <c r="C12857" s="49" t="s">
        <v>780</v>
      </c>
      <c r="D12857" s="49">
        <v>-300000.0</v>
      </c>
    </row>
    <row r="12858" ht="15.0" hidden="1" customHeight="1">
      <c r="A12858" s="49" t="s">
        <v>765</v>
      </c>
      <c r="B12858" s="50">
        <v>46111.0</v>
      </c>
      <c r="C12858" s="49" t="s">
        <v>780</v>
      </c>
      <c r="D12858" s="49">
        <v>3308467.83</v>
      </c>
    </row>
    <row r="12859" ht="15.0" hidden="1" customHeight="1">
      <c r="A12859" s="49" t="s">
        <v>720</v>
      </c>
      <c r="B12859" s="50">
        <v>46111.0</v>
      </c>
      <c r="C12859" s="49" t="s">
        <v>780</v>
      </c>
      <c r="D12859" s="49">
        <v>0.0</v>
      </c>
    </row>
    <row r="12860" ht="15.0" hidden="1" customHeight="1">
      <c r="A12860" s="49" t="s">
        <v>725</v>
      </c>
      <c r="B12860" s="50">
        <v>46111.0</v>
      </c>
      <c r="C12860" s="49" t="s">
        <v>780</v>
      </c>
      <c r="D12860" s="49">
        <v>0.0</v>
      </c>
    </row>
    <row r="12861" ht="15.0" hidden="1" customHeight="1">
      <c r="A12861" s="49" t="s">
        <v>730</v>
      </c>
      <c r="B12861" s="50">
        <v>46111.0</v>
      </c>
      <c r="C12861" s="49" t="s">
        <v>780</v>
      </c>
      <c r="D12861" s="49">
        <v>0.0</v>
      </c>
    </row>
    <row r="12862" ht="15.0" hidden="1" customHeight="1">
      <c r="A12862" s="49" t="s">
        <v>734</v>
      </c>
      <c r="B12862" s="50">
        <v>46111.0</v>
      </c>
      <c r="C12862" s="49" t="s">
        <v>780</v>
      </c>
      <c r="D12862" s="49">
        <v>0.0</v>
      </c>
    </row>
    <row r="12863" ht="15.0" hidden="1" customHeight="1">
      <c r="A12863" s="49" t="s">
        <v>739</v>
      </c>
      <c r="B12863" s="50">
        <v>46111.0</v>
      </c>
      <c r="C12863" s="49" t="s">
        <v>780</v>
      </c>
      <c r="D12863" s="49">
        <v>0.0</v>
      </c>
    </row>
    <row r="12864" ht="15.0" hidden="1" customHeight="1">
      <c r="A12864" s="49" t="s">
        <v>744</v>
      </c>
      <c r="B12864" s="50">
        <v>46111.0</v>
      </c>
      <c r="C12864" s="49" t="s">
        <v>780</v>
      </c>
      <c r="D12864" s="49">
        <v>0.0</v>
      </c>
    </row>
    <row r="12865" ht="15.0" hidden="1" customHeight="1">
      <c r="A12865" s="49" t="s">
        <v>749</v>
      </c>
      <c r="B12865" s="50">
        <v>46111.0</v>
      </c>
      <c r="C12865" s="49" t="s">
        <v>780</v>
      </c>
      <c r="D12865" s="49">
        <v>0.0</v>
      </c>
    </row>
    <row r="12866" ht="15.0" customHeight="1">
      <c r="A12866" s="49" t="s">
        <v>776</v>
      </c>
      <c r="B12866" s="50">
        <v>46203.0</v>
      </c>
      <c r="C12866" s="49" t="s">
        <v>777</v>
      </c>
      <c r="D12866" s="49">
        <v>0.0</v>
      </c>
    </row>
    <row r="12867" ht="15.0" hidden="1" customHeight="1">
      <c r="A12867" s="49" t="s">
        <v>778</v>
      </c>
      <c r="B12867" s="50">
        <v>46203.0</v>
      </c>
      <c r="C12867" s="49" t="s">
        <v>777</v>
      </c>
      <c r="D12867" s="49">
        <v>0.0</v>
      </c>
    </row>
    <row r="12868" ht="15.0" hidden="1" customHeight="1">
      <c r="A12868" s="49" t="s">
        <v>92</v>
      </c>
      <c r="B12868" s="50">
        <v>46203.0</v>
      </c>
      <c r="C12868" s="49" t="s">
        <v>777</v>
      </c>
      <c r="D12868" s="49">
        <v>0.0</v>
      </c>
    </row>
    <row r="12869" ht="15.0" hidden="1" customHeight="1">
      <c r="A12869" s="49" t="s">
        <v>97</v>
      </c>
      <c r="B12869" s="50">
        <v>46203.0</v>
      </c>
      <c r="C12869" s="49" t="s">
        <v>777</v>
      </c>
      <c r="D12869" s="49">
        <v>0.0</v>
      </c>
    </row>
    <row r="12870" ht="15.0" hidden="1" customHeight="1">
      <c r="A12870" s="49" t="s">
        <v>102</v>
      </c>
      <c r="B12870" s="50">
        <v>46203.0</v>
      </c>
      <c r="C12870" s="49" t="s">
        <v>777</v>
      </c>
      <c r="D12870" s="49">
        <v>0.0</v>
      </c>
    </row>
    <row r="12871" ht="15.0" hidden="1" customHeight="1">
      <c r="A12871" s="49" t="s">
        <v>106</v>
      </c>
      <c r="B12871" s="50">
        <v>46203.0</v>
      </c>
      <c r="C12871" s="49" t="s">
        <v>777</v>
      </c>
      <c r="D12871" s="49">
        <v>0.0</v>
      </c>
    </row>
    <row r="12872" ht="15.0" hidden="1" customHeight="1">
      <c r="A12872" s="49" t="s">
        <v>111</v>
      </c>
      <c r="B12872" s="50">
        <v>46203.0</v>
      </c>
      <c r="C12872" s="49" t="s">
        <v>777</v>
      </c>
      <c r="D12872" s="49">
        <v>0.0</v>
      </c>
    </row>
    <row r="12873" ht="15.0" hidden="1" customHeight="1">
      <c r="A12873" s="49" t="s">
        <v>116</v>
      </c>
      <c r="B12873" s="50">
        <v>46203.0</v>
      </c>
      <c r="C12873" s="49" t="s">
        <v>777</v>
      </c>
      <c r="D12873" s="49">
        <v>0.0</v>
      </c>
    </row>
    <row r="12874" ht="15.0" hidden="1" customHeight="1">
      <c r="A12874" s="49" t="s">
        <v>120</v>
      </c>
      <c r="B12874" s="50">
        <v>46203.0</v>
      </c>
      <c r="C12874" s="49" t="s">
        <v>777</v>
      </c>
      <c r="D12874" s="49">
        <v>0.0</v>
      </c>
    </row>
    <row r="12875" ht="15.0" hidden="1" customHeight="1">
      <c r="A12875" s="49" t="s">
        <v>125</v>
      </c>
      <c r="B12875" s="50">
        <v>46203.0</v>
      </c>
      <c r="C12875" s="49" t="s">
        <v>777</v>
      </c>
      <c r="D12875" s="49">
        <v>0.0</v>
      </c>
    </row>
    <row r="12876" ht="15.0" hidden="1" customHeight="1">
      <c r="A12876" s="49" t="s">
        <v>130</v>
      </c>
      <c r="B12876" s="50">
        <v>46203.0</v>
      </c>
      <c r="C12876" s="49" t="s">
        <v>777</v>
      </c>
      <c r="D12876" s="49">
        <v>0.0</v>
      </c>
    </row>
    <row r="12877" ht="15.0" hidden="1" customHeight="1">
      <c r="A12877" s="49" t="s">
        <v>137</v>
      </c>
      <c r="B12877" s="50">
        <v>46203.0</v>
      </c>
      <c r="C12877" s="49" t="s">
        <v>777</v>
      </c>
      <c r="D12877" s="49">
        <v>0.0</v>
      </c>
    </row>
    <row r="12878" ht="15.0" hidden="1" customHeight="1">
      <c r="A12878" s="49" t="s">
        <v>142</v>
      </c>
      <c r="B12878" s="50">
        <v>46203.0</v>
      </c>
      <c r="C12878" s="49" t="s">
        <v>777</v>
      </c>
      <c r="D12878" s="49">
        <v>0.0</v>
      </c>
    </row>
    <row r="12879" ht="15.0" hidden="1" customHeight="1">
      <c r="A12879" s="49" t="s">
        <v>147</v>
      </c>
      <c r="B12879" s="50">
        <v>46203.0</v>
      </c>
      <c r="C12879" s="49" t="s">
        <v>777</v>
      </c>
      <c r="D12879" s="49">
        <v>0.0</v>
      </c>
    </row>
    <row r="12880" ht="15.0" hidden="1" customHeight="1">
      <c r="A12880" s="49" t="s">
        <v>152</v>
      </c>
      <c r="B12880" s="50">
        <v>46203.0</v>
      </c>
      <c r="C12880" s="49" t="s">
        <v>777</v>
      </c>
      <c r="D12880" s="49">
        <v>0.0</v>
      </c>
    </row>
    <row r="12881" ht="15.0" hidden="1" customHeight="1">
      <c r="A12881" s="49" t="s">
        <v>157</v>
      </c>
      <c r="B12881" s="50">
        <v>46203.0</v>
      </c>
      <c r="C12881" s="49" t="s">
        <v>777</v>
      </c>
      <c r="D12881" s="49">
        <v>0.0</v>
      </c>
    </row>
    <row r="12882" ht="15.0" hidden="1" customHeight="1">
      <c r="A12882" s="49" t="s">
        <v>162</v>
      </c>
      <c r="B12882" s="50">
        <v>46203.0</v>
      </c>
      <c r="C12882" s="49" t="s">
        <v>777</v>
      </c>
      <c r="D12882" s="49">
        <v>0.0</v>
      </c>
    </row>
    <row r="12883" ht="15.0" hidden="1" customHeight="1">
      <c r="A12883" s="49" t="s">
        <v>167</v>
      </c>
      <c r="B12883" s="50">
        <v>46203.0</v>
      </c>
      <c r="C12883" s="49" t="s">
        <v>777</v>
      </c>
      <c r="D12883" s="49">
        <v>0.0</v>
      </c>
    </row>
    <row r="12884" ht="15.0" hidden="1" customHeight="1">
      <c r="A12884" s="49" t="s">
        <v>172</v>
      </c>
      <c r="B12884" s="50">
        <v>46203.0</v>
      </c>
      <c r="C12884" s="49" t="s">
        <v>777</v>
      </c>
      <c r="D12884" s="49">
        <v>0.0</v>
      </c>
    </row>
    <row r="12885" ht="15.0" hidden="1" customHeight="1">
      <c r="A12885" s="49" t="s">
        <v>177</v>
      </c>
      <c r="B12885" s="50">
        <v>46203.0</v>
      </c>
      <c r="C12885" s="49" t="s">
        <v>777</v>
      </c>
      <c r="D12885" s="49">
        <v>0.0</v>
      </c>
    </row>
    <row r="12886" ht="15.0" hidden="1" customHeight="1">
      <c r="A12886" s="49" t="s">
        <v>182</v>
      </c>
      <c r="B12886" s="50">
        <v>46203.0</v>
      </c>
      <c r="C12886" s="49" t="s">
        <v>777</v>
      </c>
      <c r="D12886" s="49">
        <v>0.0</v>
      </c>
    </row>
    <row r="12887" ht="15.0" hidden="1" customHeight="1">
      <c r="A12887" s="49" t="s">
        <v>187</v>
      </c>
      <c r="B12887" s="50">
        <v>46203.0</v>
      </c>
      <c r="C12887" s="49" t="s">
        <v>777</v>
      </c>
      <c r="D12887" s="49">
        <v>0.0</v>
      </c>
    </row>
    <row r="12888" ht="15.0" hidden="1" customHeight="1">
      <c r="A12888" s="49" t="s">
        <v>192</v>
      </c>
      <c r="B12888" s="50">
        <v>46203.0</v>
      </c>
      <c r="C12888" s="49" t="s">
        <v>777</v>
      </c>
      <c r="D12888" s="49">
        <v>0.0</v>
      </c>
    </row>
    <row r="12889" ht="15.0" hidden="1" customHeight="1">
      <c r="A12889" s="49" t="s">
        <v>197</v>
      </c>
      <c r="B12889" s="50">
        <v>46203.0</v>
      </c>
      <c r="C12889" s="49" t="s">
        <v>777</v>
      </c>
      <c r="D12889" s="49">
        <v>0.0</v>
      </c>
    </row>
    <row r="12890" ht="15.0" hidden="1" customHeight="1">
      <c r="A12890" s="49" t="s">
        <v>202</v>
      </c>
      <c r="B12890" s="50">
        <v>46203.0</v>
      </c>
      <c r="C12890" s="49" t="s">
        <v>777</v>
      </c>
      <c r="D12890" s="49">
        <v>0.0</v>
      </c>
    </row>
    <row r="12891" ht="15.0" hidden="1" customHeight="1">
      <c r="A12891" s="49" t="s">
        <v>206</v>
      </c>
      <c r="B12891" s="50">
        <v>46203.0</v>
      </c>
      <c r="C12891" s="49" t="s">
        <v>777</v>
      </c>
      <c r="D12891" s="49">
        <v>0.0</v>
      </c>
    </row>
    <row r="12892" ht="15.0" hidden="1" customHeight="1">
      <c r="A12892" s="49" t="s">
        <v>211</v>
      </c>
      <c r="B12892" s="50">
        <v>46203.0</v>
      </c>
      <c r="C12892" s="49" t="s">
        <v>777</v>
      </c>
      <c r="D12892" s="49">
        <v>0.0</v>
      </c>
    </row>
    <row r="12893" ht="15.0" hidden="1" customHeight="1">
      <c r="A12893" s="49" t="s">
        <v>779</v>
      </c>
      <c r="B12893" s="50">
        <v>46203.0</v>
      </c>
      <c r="C12893" s="49" t="s">
        <v>777</v>
      </c>
      <c r="D12893" s="49">
        <v>0.0</v>
      </c>
    </row>
    <row r="12894" ht="15.0" hidden="1" customHeight="1">
      <c r="A12894" s="49" t="s">
        <v>221</v>
      </c>
      <c r="B12894" s="50">
        <v>46203.0</v>
      </c>
      <c r="C12894" s="49" t="s">
        <v>777</v>
      </c>
      <c r="D12894" s="49">
        <v>0.0</v>
      </c>
    </row>
    <row r="12895" ht="15.0" hidden="1" customHeight="1">
      <c r="A12895" s="49" t="s">
        <v>226</v>
      </c>
      <c r="B12895" s="50">
        <v>46203.0</v>
      </c>
      <c r="C12895" s="49" t="s">
        <v>777</v>
      </c>
      <c r="D12895" s="49">
        <v>0.0</v>
      </c>
    </row>
    <row r="12896" ht="15.0" hidden="1" customHeight="1">
      <c r="A12896" s="49" t="s">
        <v>231</v>
      </c>
      <c r="B12896" s="50">
        <v>46203.0</v>
      </c>
      <c r="C12896" s="49" t="s">
        <v>777</v>
      </c>
      <c r="D12896" s="49">
        <v>0.0</v>
      </c>
    </row>
    <row r="12897" ht="15.0" hidden="1" customHeight="1">
      <c r="A12897" s="49" t="s">
        <v>236</v>
      </c>
      <c r="B12897" s="50">
        <v>46203.0</v>
      </c>
      <c r="C12897" s="49" t="s">
        <v>777</v>
      </c>
      <c r="D12897" s="49">
        <v>0.0</v>
      </c>
    </row>
    <row r="12898" ht="15.0" hidden="1" customHeight="1">
      <c r="A12898" s="49" t="s">
        <v>242</v>
      </c>
      <c r="B12898" s="50">
        <v>46203.0</v>
      </c>
      <c r="C12898" s="49" t="s">
        <v>777</v>
      </c>
      <c r="D12898" s="49">
        <v>0.0</v>
      </c>
    </row>
    <row r="12899" ht="15.0" hidden="1" customHeight="1">
      <c r="A12899" s="49" t="s">
        <v>248</v>
      </c>
      <c r="B12899" s="50">
        <v>46203.0</v>
      </c>
      <c r="C12899" s="49" t="s">
        <v>777</v>
      </c>
      <c r="D12899" s="49">
        <v>0.0</v>
      </c>
    </row>
    <row r="12900" ht="15.0" hidden="1" customHeight="1">
      <c r="A12900" s="49" t="s">
        <v>253</v>
      </c>
      <c r="B12900" s="50">
        <v>46203.0</v>
      </c>
      <c r="C12900" s="49" t="s">
        <v>777</v>
      </c>
      <c r="D12900" s="49">
        <v>0.0</v>
      </c>
    </row>
    <row r="12901" ht="15.0" hidden="1" customHeight="1">
      <c r="A12901" s="49" t="s">
        <v>258</v>
      </c>
      <c r="B12901" s="50">
        <v>46203.0</v>
      </c>
      <c r="C12901" s="49" t="s">
        <v>777</v>
      </c>
      <c r="D12901" s="49">
        <v>0.0</v>
      </c>
    </row>
    <row r="12902" ht="15.0" hidden="1" customHeight="1">
      <c r="A12902" s="49" t="s">
        <v>263</v>
      </c>
      <c r="B12902" s="50">
        <v>46203.0</v>
      </c>
      <c r="C12902" s="49" t="s">
        <v>777</v>
      </c>
      <c r="D12902" s="49">
        <v>0.0</v>
      </c>
    </row>
    <row r="12903" ht="15.0" hidden="1" customHeight="1">
      <c r="A12903" s="49" t="s">
        <v>268</v>
      </c>
      <c r="B12903" s="50">
        <v>46203.0</v>
      </c>
      <c r="C12903" s="49" t="s">
        <v>777</v>
      </c>
      <c r="D12903" s="49">
        <v>0.0</v>
      </c>
    </row>
    <row r="12904" ht="15.0" hidden="1" customHeight="1">
      <c r="A12904" s="49" t="s">
        <v>273</v>
      </c>
      <c r="B12904" s="50">
        <v>46203.0</v>
      </c>
      <c r="C12904" s="49" t="s">
        <v>777</v>
      </c>
      <c r="D12904" s="49">
        <v>0.0</v>
      </c>
    </row>
    <row r="12905" ht="15.0" hidden="1" customHeight="1">
      <c r="A12905" s="49" t="s">
        <v>278</v>
      </c>
      <c r="B12905" s="50">
        <v>46203.0</v>
      </c>
      <c r="C12905" s="49" t="s">
        <v>777</v>
      </c>
      <c r="D12905" s="49">
        <v>0.0</v>
      </c>
    </row>
    <row r="12906" ht="15.0" hidden="1" customHeight="1">
      <c r="A12906" s="49" t="s">
        <v>283</v>
      </c>
      <c r="B12906" s="50">
        <v>46203.0</v>
      </c>
      <c r="C12906" s="49" t="s">
        <v>777</v>
      </c>
      <c r="D12906" s="49">
        <v>0.0</v>
      </c>
    </row>
    <row r="12907" ht="15.0" hidden="1" customHeight="1">
      <c r="A12907" s="49" t="s">
        <v>288</v>
      </c>
      <c r="B12907" s="50">
        <v>46203.0</v>
      </c>
      <c r="C12907" s="49" t="s">
        <v>777</v>
      </c>
      <c r="D12907" s="49">
        <v>0.0</v>
      </c>
    </row>
    <row r="12908" ht="15.0" hidden="1" customHeight="1">
      <c r="A12908" s="49" t="s">
        <v>293</v>
      </c>
      <c r="B12908" s="50">
        <v>46203.0</v>
      </c>
      <c r="C12908" s="49" t="s">
        <v>777</v>
      </c>
      <c r="D12908" s="49">
        <v>0.0</v>
      </c>
    </row>
    <row r="12909" ht="15.0" hidden="1" customHeight="1">
      <c r="A12909" s="49" t="s">
        <v>298</v>
      </c>
      <c r="B12909" s="50">
        <v>46203.0</v>
      </c>
      <c r="C12909" s="49" t="s">
        <v>777</v>
      </c>
      <c r="D12909" s="49">
        <v>0.0</v>
      </c>
    </row>
    <row r="12910" ht="15.0" hidden="1" customHeight="1">
      <c r="A12910" s="49" t="s">
        <v>303</v>
      </c>
      <c r="B12910" s="50">
        <v>46203.0</v>
      </c>
      <c r="C12910" s="49" t="s">
        <v>777</v>
      </c>
      <c r="D12910" s="49">
        <v>0.0</v>
      </c>
    </row>
    <row r="12911" ht="15.0" hidden="1" customHeight="1">
      <c r="A12911" s="49" t="s">
        <v>307</v>
      </c>
      <c r="B12911" s="50">
        <v>46203.0</v>
      </c>
      <c r="C12911" s="49" t="s">
        <v>777</v>
      </c>
      <c r="D12911" s="49">
        <v>0.0</v>
      </c>
    </row>
    <row r="12912" ht="15.0" hidden="1" customHeight="1">
      <c r="A12912" s="49" t="s">
        <v>313</v>
      </c>
      <c r="B12912" s="50">
        <v>46203.0</v>
      </c>
      <c r="C12912" s="49" t="s">
        <v>777</v>
      </c>
      <c r="D12912" s="49">
        <v>0.0</v>
      </c>
    </row>
    <row r="12913" ht="15.0" hidden="1" customHeight="1">
      <c r="A12913" s="49" t="s">
        <v>318</v>
      </c>
      <c r="B12913" s="50">
        <v>46203.0</v>
      </c>
      <c r="C12913" s="49" t="s">
        <v>777</v>
      </c>
      <c r="D12913" s="49">
        <v>0.0</v>
      </c>
    </row>
    <row r="12914" ht="15.0" hidden="1" customHeight="1">
      <c r="A12914" s="49" t="s">
        <v>323</v>
      </c>
      <c r="B12914" s="50">
        <v>46203.0</v>
      </c>
      <c r="C12914" s="49" t="s">
        <v>777</v>
      </c>
      <c r="D12914" s="49">
        <v>0.0</v>
      </c>
    </row>
    <row r="12915" ht="15.0" hidden="1" customHeight="1">
      <c r="A12915" s="49" t="s">
        <v>328</v>
      </c>
      <c r="B12915" s="50">
        <v>46203.0</v>
      </c>
      <c r="C12915" s="49" t="s">
        <v>777</v>
      </c>
      <c r="D12915" s="49">
        <v>0.0</v>
      </c>
    </row>
    <row r="12916" ht="15.0" hidden="1" customHeight="1">
      <c r="A12916" s="49" t="s">
        <v>335</v>
      </c>
      <c r="B12916" s="50">
        <v>46203.0</v>
      </c>
      <c r="C12916" s="49" t="s">
        <v>777</v>
      </c>
      <c r="D12916" s="49">
        <v>0.0</v>
      </c>
    </row>
    <row r="12917" ht="15.0" hidden="1" customHeight="1">
      <c r="A12917" s="49" t="s">
        <v>340</v>
      </c>
      <c r="B12917" s="50">
        <v>46203.0</v>
      </c>
      <c r="C12917" s="49" t="s">
        <v>777</v>
      </c>
      <c r="D12917" s="49">
        <v>0.0</v>
      </c>
    </row>
    <row r="12918" ht="15.0" hidden="1" customHeight="1">
      <c r="A12918" s="49" t="s">
        <v>345</v>
      </c>
      <c r="B12918" s="50">
        <v>46203.0</v>
      </c>
      <c r="C12918" s="49" t="s">
        <v>777</v>
      </c>
      <c r="D12918" s="49">
        <v>0.0</v>
      </c>
    </row>
    <row r="12919" ht="15.0" hidden="1" customHeight="1">
      <c r="A12919" s="49" t="s">
        <v>350</v>
      </c>
      <c r="B12919" s="50">
        <v>46203.0</v>
      </c>
      <c r="C12919" s="49" t="s">
        <v>777</v>
      </c>
      <c r="D12919" s="49">
        <v>0.0</v>
      </c>
    </row>
    <row r="12920" ht="15.0" hidden="1" customHeight="1">
      <c r="A12920" s="49" t="s">
        <v>355</v>
      </c>
      <c r="B12920" s="50">
        <v>46203.0</v>
      </c>
      <c r="C12920" s="49" t="s">
        <v>777</v>
      </c>
      <c r="D12920" s="49">
        <v>0.0</v>
      </c>
    </row>
    <row r="12921" ht="15.0" hidden="1" customHeight="1">
      <c r="A12921" s="49" t="s">
        <v>360</v>
      </c>
      <c r="B12921" s="50">
        <v>46203.0</v>
      </c>
      <c r="C12921" s="49" t="s">
        <v>777</v>
      </c>
      <c r="D12921" s="49">
        <v>0.0</v>
      </c>
    </row>
    <row r="12922" ht="15.0" hidden="1" customHeight="1">
      <c r="A12922" s="49" t="s">
        <v>365</v>
      </c>
      <c r="B12922" s="50">
        <v>46203.0</v>
      </c>
      <c r="C12922" s="49" t="s">
        <v>777</v>
      </c>
      <c r="D12922" s="49">
        <v>0.0</v>
      </c>
    </row>
    <row r="12923" ht="15.0" hidden="1" customHeight="1">
      <c r="A12923" s="49" t="s">
        <v>370</v>
      </c>
      <c r="B12923" s="50">
        <v>46203.0</v>
      </c>
      <c r="C12923" s="49" t="s">
        <v>777</v>
      </c>
      <c r="D12923" s="49">
        <v>0.0</v>
      </c>
    </row>
    <row r="12924" ht="15.0" hidden="1" customHeight="1">
      <c r="A12924" s="49" t="s">
        <v>375</v>
      </c>
      <c r="B12924" s="50">
        <v>46203.0</v>
      </c>
      <c r="C12924" s="49" t="s">
        <v>777</v>
      </c>
      <c r="D12924" s="49">
        <v>0.0</v>
      </c>
    </row>
    <row r="12925" ht="15.0" hidden="1" customHeight="1">
      <c r="A12925" s="49" t="s">
        <v>380</v>
      </c>
      <c r="B12925" s="50">
        <v>46203.0</v>
      </c>
      <c r="C12925" s="49" t="s">
        <v>777</v>
      </c>
      <c r="D12925" s="49">
        <v>0.0</v>
      </c>
    </row>
    <row r="12926" ht="15.0" hidden="1" customHeight="1">
      <c r="A12926" s="49" t="s">
        <v>385</v>
      </c>
      <c r="B12926" s="50">
        <v>46203.0</v>
      </c>
      <c r="C12926" s="49" t="s">
        <v>777</v>
      </c>
      <c r="D12926" s="49">
        <v>0.0</v>
      </c>
    </row>
    <row r="12927" ht="15.0" hidden="1" customHeight="1">
      <c r="A12927" s="49" t="s">
        <v>390</v>
      </c>
      <c r="B12927" s="50">
        <v>46203.0</v>
      </c>
      <c r="C12927" s="49" t="s">
        <v>777</v>
      </c>
      <c r="D12927" s="49">
        <v>0.0</v>
      </c>
    </row>
    <row r="12928" ht="15.0" hidden="1" customHeight="1">
      <c r="A12928" s="49" t="s">
        <v>395</v>
      </c>
      <c r="B12928" s="50">
        <v>46203.0</v>
      </c>
      <c r="C12928" s="49" t="s">
        <v>777</v>
      </c>
      <c r="D12928" s="49">
        <v>0.0</v>
      </c>
    </row>
    <row r="12929" ht="15.0" hidden="1" customHeight="1">
      <c r="A12929" s="49" t="s">
        <v>400</v>
      </c>
      <c r="B12929" s="50">
        <v>46203.0</v>
      </c>
      <c r="C12929" s="49" t="s">
        <v>777</v>
      </c>
      <c r="D12929" s="49">
        <v>0.0</v>
      </c>
    </row>
    <row r="12930" ht="15.0" hidden="1" customHeight="1">
      <c r="A12930" s="49" t="s">
        <v>405</v>
      </c>
      <c r="B12930" s="50">
        <v>46203.0</v>
      </c>
      <c r="C12930" s="49" t="s">
        <v>777</v>
      </c>
      <c r="D12930" s="49">
        <v>0.0</v>
      </c>
    </row>
    <row r="12931" ht="15.0" hidden="1" customHeight="1">
      <c r="A12931" s="49" t="s">
        <v>410</v>
      </c>
      <c r="B12931" s="50">
        <v>46203.0</v>
      </c>
      <c r="C12931" s="49" t="s">
        <v>777</v>
      </c>
      <c r="D12931" s="49">
        <v>0.0</v>
      </c>
    </row>
    <row r="12932" ht="15.0" hidden="1" customHeight="1">
      <c r="A12932" s="49" t="s">
        <v>415</v>
      </c>
      <c r="B12932" s="50">
        <v>46203.0</v>
      </c>
      <c r="C12932" s="49" t="s">
        <v>777</v>
      </c>
      <c r="D12932" s="49">
        <v>0.0</v>
      </c>
    </row>
    <row r="12933" ht="15.0" hidden="1" customHeight="1">
      <c r="A12933" s="49" t="s">
        <v>420</v>
      </c>
      <c r="B12933" s="50">
        <v>46203.0</v>
      </c>
      <c r="C12933" s="49" t="s">
        <v>777</v>
      </c>
      <c r="D12933" s="49">
        <v>0.0</v>
      </c>
    </row>
    <row r="12934" ht="15.0" hidden="1" customHeight="1">
      <c r="A12934" s="49" t="s">
        <v>425</v>
      </c>
      <c r="B12934" s="50">
        <v>46203.0</v>
      </c>
      <c r="C12934" s="49" t="s">
        <v>777</v>
      </c>
      <c r="D12934" s="49">
        <v>0.0</v>
      </c>
    </row>
    <row r="12935" ht="15.0" hidden="1" customHeight="1">
      <c r="A12935" s="49" t="s">
        <v>430</v>
      </c>
      <c r="B12935" s="50">
        <v>46203.0</v>
      </c>
      <c r="C12935" s="49" t="s">
        <v>777</v>
      </c>
      <c r="D12935" s="49">
        <v>0.0</v>
      </c>
    </row>
    <row r="12936" ht="15.0" hidden="1" customHeight="1">
      <c r="A12936" s="49" t="s">
        <v>434</v>
      </c>
      <c r="B12936" s="50">
        <v>46203.0</v>
      </c>
      <c r="C12936" s="49" t="s">
        <v>777</v>
      </c>
      <c r="D12936" s="49">
        <v>0.0</v>
      </c>
    </row>
    <row r="12937" ht="15.0" hidden="1" customHeight="1">
      <c r="A12937" s="49" t="s">
        <v>439</v>
      </c>
      <c r="B12937" s="50">
        <v>46203.0</v>
      </c>
      <c r="C12937" s="49" t="s">
        <v>777</v>
      </c>
      <c r="D12937" s="49">
        <v>0.0</v>
      </c>
    </row>
    <row r="12938" ht="15.0" hidden="1" customHeight="1">
      <c r="A12938" s="49" t="s">
        <v>444</v>
      </c>
      <c r="B12938" s="50">
        <v>46203.0</v>
      </c>
      <c r="C12938" s="49" t="s">
        <v>777</v>
      </c>
      <c r="D12938" s="49">
        <v>0.0</v>
      </c>
    </row>
    <row r="12939" ht="15.0" hidden="1" customHeight="1">
      <c r="A12939" s="49" t="s">
        <v>449</v>
      </c>
      <c r="B12939" s="50">
        <v>46203.0</v>
      </c>
      <c r="C12939" s="49" t="s">
        <v>777</v>
      </c>
      <c r="D12939" s="49">
        <v>0.0</v>
      </c>
    </row>
    <row r="12940" ht="15.0" hidden="1" customHeight="1">
      <c r="A12940" s="49" t="s">
        <v>455</v>
      </c>
      <c r="B12940" s="50">
        <v>46203.0</v>
      </c>
      <c r="C12940" s="49" t="s">
        <v>777</v>
      </c>
      <c r="D12940" s="49">
        <v>0.0</v>
      </c>
    </row>
    <row r="12941" ht="15.0" hidden="1" customHeight="1">
      <c r="A12941" s="49" t="s">
        <v>470</v>
      </c>
      <c r="B12941" s="50">
        <v>46203.0</v>
      </c>
      <c r="C12941" s="49" t="s">
        <v>777</v>
      </c>
      <c r="D12941" s="49">
        <v>0.0</v>
      </c>
    </row>
    <row r="12942" ht="15.0" hidden="1" customHeight="1">
      <c r="A12942" s="49" t="s">
        <v>476</v>
      </c>
      <c r="B12942" s="50">
        <v>46203.0</v>
      </c>
      <c r="C12942" s="49" t="s">
        <v>777</v>
      </c>
      <c r="D12942" s="49">
        <v>0.0</v>
      </c>
    </row>
    <row r="12943" ht="15.0" hidden="1" customHeight="1">
      <c r="A12943" s="49" t="s">
        <v>481</v>
      </c>
      <c r="B12943" s="50">
        <v>46203.0</v>
      </c>
      <c r="C12943" s="49" t="s">
        <v>777</v>
      </c>
      <c r="D12943" s="49">
        <v>0.0</v>
      </c>
    </row>
    <row r="12944" ht="15.0" hidden="1" customHeight="1">
      <c r="A12944" s="49" t="s">
        <v>486</v>
      </c>
      <c r="B12944" s="50">
        <v>46203.0</v>
      </c>
      <c r="C12944" s="49" t="s">
        <v>777</v>
      </c>
      <c r="D12944" s="49">
        <v>0.0</v>
      </c>
    </row>
    <row r="12945" ht="15.0" hidden="1" customHeight="1">
      <c r="A12945" s="49" t="s">
        <v>491</v>
      </c>
      <c r="B12945" s="50">
        <v>46203.0</v>
      </c>
      <c r="C12945" s="49" t="s">
        <v>777</v>
      </c>
      <c r="D12945" s="49">
        <v>0.0</v>
      </c>
    </row>
    <row r="12946" ht="15.0" hidden="1" customHeight="1">
      <c r="A12946" s="49" t="s">
        <v>496</v>
      </c>
      <c r="B12946" s="50">
        <v>46203.0</v>
      </c>
      <c r="C12946" s="49" t="s">
        <v>777</v>
      </c>
      <c r="D12946" s="49">
        <v>0.0</v>
      </c>
    </row>
    <row r="12947" ht="15.0" hidden="1" customHeight="1">
      <c r="A12947" s="49" t="s">
        <v>501</v>
      </c>
      <c r="B12947" s="50">
        <v>46203.0</v>
      </c>
      <c r="C12947" s="49" t="s">
        <v>777</v>
      </c>
      <c r="D12947" s="49">
        <v>0.0</v>
      </c>
    </row>
    <row r="12948" ht="15.0" hidden="1" customHeight="1">
      <c r="A12948" s="49" t="s">
        <v>506</v>
      </c>
      <c r="B12948" s="50">
        <v>46203.0</v>
      </c>
      <c r="C12948" s="49" t="s">
        <v>777</v>
      </c>
      <c r="D12948" s="49">
        <v>0.0</v>
      </c>
    </row>
    <row r="12949" ht="15.0" hidden="1" customHeight="1">
      <c r="A12949" s="49" t="s">
        <v>512</v>
      </c>
      <c r="B12949" s="50">
        <v>46203.0</v>
      </c>
      <c r="C12949" s="49" t="s">
        <v>777</v>
      </c>
      <c r="D12949" s="49">
        <v>0.0</v>
      </c>
    </row>
    <row r="12950" ht="15.0" hidden="1" customHeight="1">
      <c r="A12950" s="49" t="s">
        <v>517</v>
      </c>
      <c r="B12950" s="50">
        <v>46203.0</v>
      </c>
      <c r="C12950" s="49" t="s">
        <v>777</v>
      </c>
      <c r="D12950" s="49">
        <v>0.0</v>
      </c>
    </row>
    <row r="12951" ht="15.0" hidden="1" customHeight="1">
      <c r="A12951" s="49" t="s">
        <v>522</v>
      </c>
      <c r="B12951" s="50">
        <v>46203.0</v>
      </c>
      <c r="C12951" s="49" t="s">
        <v>777</v>
      </c>
      <c r="D12951" s="49">
        <v>0.0</v>
      </c>
    </row>
    <row r="12952" ht="15.0" hidden="1" customHeight="1">
      <c r="A12952" s="49" t="s">
        <v>528</v>
      </c>
      <c r="B12952" s="50">
        <v>46203.0</v>
      </c>
      <c r="C12952" s="49" t="s">
        <v>777</v>
      </c>
      <c r="D12952" s="49">
        <v>0.0</v>
      </c>
    </row>
    <row r="12953" ht="15.0" hidden="1" customHeight="1">
      <c r="A12953" s="49" t="s">
        <v>533</v>
      </c>
      <c r="B12953" s="50">
        <v>46203.0</v>
      </c>
      <c r="C12953" s="49" t="s">
        <v>777</v>
      </c>
      <c r="D12953" s="49">
        <v>0.0</v>
      </c>
    </row>
    <row r="12954" ht="15.0" hidden="1" customHeight="1">
      <c r="A12954" s="49" t="s">
        <v>538</v>
      </c>
      <c r="B12954" s="50">
        <v>46203.0</v>
      </c>
      <c r="C12954" s="49" t="s">
        <v>777</v>
      </c>
      <c r="D12954" s="49">
        <v>0.0</v>
      </c>
    </row>
    <row r="12955" ht="15.0" hidden="1" customHeight="1">
      <c r="A12955" s="49" t="s">
        <v>546</v>
      </c>
      <c r="B12955" s="50">
        <v>46203.0</v>
      </c>
      <c r="C12955" s="49" t="s">
        <v>777</v>
      </c>
      <c r="D12955" s="49">
        <v>0.0</v>
      </c>
    </row>
    <row r="12956" ht="15.0" hidden="1" customHeight="1">
      <c r="A12956" s="49" t="s">
        <v>551</v>
      </c>
      <c r="B12956" s="50">
        <v>46203.0</v>
      </c>
      <c r="C12956" s="49" t="s">
        <v>777</v>
      </c>
      <c r="D12956" s="49">
        <v>0.0</v>
      </c>
    </row>
    <row r="12957" ht="15.0" hidden="1" customHeight="1">
      <c r="A12957" s="49" t="s">
        <v>556</v>
      </c>
      <c r="B12957" s="50">
        <v>46203.0</v>
      </c>
      <c r="C12957" s="49" t="s">
        <v>777</v>
      </c>
      <c r="D12957" s="49">
        <v>0.0</v>
      </c>
    </row>
    <row r="12958" ht="15.0" hidden="1" customHeight="1">
      <c r="A12958" s="49" t="s">
        <v>561</v>
      </c>
      <c r="B12958" s="50">
        <v>46203.0</v>
      </c>
      <c r="C12958" s="49" t="s">
        <v>777</v>
      </c>
      <c r="D12958" s="49">
        <v>0.0</v>
      </c>
    </row>
    <row r="12959" ht="15.0" hidden="1" customHeight="1">
      <c r="A12959" s="49" t="s">
        <v>566</v>
      </c>
      <c r="B12959" s="50">
        <v>46203.0</v>
      </c>
      <c r="C12959" s="49" t="s">
        <v>777</v>
      </c>
      <c r="D12959" s="49">
        <v>0.0</v>
      </c>
    </row>
    <row r="12960" ht="15.0" hidden="1" customHeight="1">
      <c r="A12960" s="49" t="s">
        <v>571</v>
      </c>
      <c r="B12960" s="50">
        <v>46203.0</v>
      </c>
      <c r="C12960" s="49" t="s">
        <v>777</v>
      </c>
      <c r="D12960" s="49">
        <v>0.0</v>
      </c>
    </row>
    <row r="12961" ht="15.0" hidden="1" customHeight="1">
      <c r="A12961" s="49" t="s">
        <v>576</v>
      </c>
      <c r="B12961" s="50">
        <v>46203.0</v>
      </c>
      <c r="C12961" s="49" t="s">
        <v>777</v>
      </c>
      <c r="D12961" s="49">
        <v>0.0</v>
      </c>
    </row>
    <row r="12962" ht="15.0" hidden="1" customHeight="1">
      <c r="A12962" s="49" t="s">
        <v>581</v>
      </c>
      <c r="B12962" s="50">
        <v>46203.0</v>
      </c>
      <c r="C12962" s="49" t="s">
        <v>777</v>
      </c>
      <c r="D12962" s="49">
        <v>0.0</v>
      </c>
    </row>
    <row r="12963" ht="15.0" hidden="1" customHeight="1">
      <c r="A12963" s="49" t="s">
        <v>586</v>
      </c>
      <c r="B12963" s="50">
        <v>46203.0</v>
      </c>
      <c r="C12963" s="49" t="s">
        <v>777</v>
      </c>
      <c r="D12963" s="49">
        <v>0.0</v>
      </c>
    </row>
    <row r="12964" ht="15.0" hidden="1" customHeight="1">
      <c r="A12964" s="49" t="s">
        <v>754</v>
      </c>
      <c r="B12964" s="50">
        <v>46203.0</v>
      </c>
      <c r="C12964" s="49" t="s">
        <v>777</v>
      </c>
      <c r="D12964" s="49">
        <v>0.0</v>
      </c>
    </row>
    <row r="12965" ht="15.0" hidden="1" customHeight="1">
      <c r="A12965" s="49" t="s">
        <v>591</v>
      </c>
      <c r="B12965" s="50">
        <v>46203.0</v>
      </c>
      <c r="C12965" s="49" t="s">
        <v>777</v>
      </c>
      <c r="D12965" s="49">
        <v>0.0</v>
      </c>
    </row>
    <row r="12966" ht="15.0" hidden="1" customHeight="1">
      <c r="A12966" s="49" t="s">
        <v>759</v>
      </c>
      <c r="B12966" s="50">
        <v>46203.0</v>
      </c>
      <c r="C12966" s="49" t="s">
        <v>777</v>
      </c>
      <c r="D12966" s="49">
        <v>0.0</v>
      </c>
    </row>
    <row r="12967" ht="15.0" hidden="1" customHeight="1">
      <c r="A12967" s="49" t="s">
        <v>596</v>
      </c>
      <c r="B12967" s="50">
        <v>46203.0</v>
      </c>
      <c r="C12967" s="49" t="s">
        <v>777</v>
      </c>
      <c r="D12967" s="49">
        <v>0.0</v>
      </c>
    </row>
    <row r="12968" ht="15.0" hidden="1" customHeight="1">
      <c r="A12968" s="49" t="s">
        <v>602</v>
      </c>
      <c r="B12968" s="50">
        <v>46203.0</v>
      </c>
      <c r="C12968" s="49" t="s">
        <v>777</v>
      </c>
      <c r="D12968" s="49">
        <v>0.0</v>
      </c>
    </row>
    <row r="12969" ht="15.0" hidden="1" customHeight="1">
      <c r="A12969" s="49" t="s">
        <v>607</v>
      </c>
      <c r="B12969" s="50">
        <v>46203.0</v>
      </c>
      <c r="C12969" s="49" t="s">
        <v>777</v>
      </c>
      <c r="D12969" s="49">
        <v>0.0</v>
      </c>
    </row>
    <row r="12970" ht="15.0" hidden="1" customHeight="1">
      <c r="A12970" s="49" t="s">
        <v>612</v>
      </c>
      <c r="B12970" s="50">
        <v>46203.0</v>
      </c>
      <c r="C12970" s="49" t="s">
        <v>777</v>
      </c>
      <c r="D12970" s="49">
        <v>0.0</v>
      </c>
    </row>
    <row r="12971" ht="15.0" hidden="1" customHeight="1">
      <c r="A12971" s="49" t="s">
        <v>617</v>
      </c>
      <c r="B12971" s="50">
        <v>46203.0</v>
      </c>
      <c r="C12971" s="49" t="s">
        <v>777</v>
      </c>
      <c r="D12971" s="49">
        <v>0.0</v>
      </c>
    </row>
    <row r="12972" ht="15.0" hidden="1" customHeight="1">
      <c r="A12972" s="49" t="s">
        <v>622</v>
      </c>
      <c r="B12972" s="50">
        <v>46203.0</v>
      </c>
      <c r="C12972" s="49" t="s">
        <v>777</v>
      </c>
      <c r="D12972" s="49">
        <v>0.0</v>
      </c>
    </row>
    <row r="12973" ht="15.0" hidden="1" customHeight="1">
      <c r="A12973" s="49" t="s">
        <v>627</v>
      </c>
      <c r="B12973" s="50">
        <v>46203.0</v>
      </c>
      <c r="C12973" s="49" t="s">
        <v>777</v>
      </c>
      <c r="D12973" s="49">
        <v>0.0</v>
      </c>
    </row>
    <row r="12974" ht="15.0" hidden="1" customHeight="1">
      <c r="A12974" s="49" t="s">
        <v>631</v>
      </c>
      <c r="B12974" s="50">
        <v>46203.0</v>
      </c>
      <c r="C12974" s="49" t="s">
        <v>777</v>
      </c>
      <c r="D12974" s="49">
        <v>0.0</v>
      </c>
    </row>
    <row r="12975" ht="15.0" hidden="1" customHeight="1">
      <c r="A12975" s="49" t="s">
        <v>636</v>
      </c>
      <c r="B12975" s="50">
        <v>46203.0</v>
      </c>
      <c r="C12975" s="49" t="s">
        <v>777</v>
      </c>
      <c r="D12975" s="49">
        <v>0.0</v>
      </c>
    </row>
    <row r="12976" ht="15.0" hidden="1" customHeight="1">
      <c r="A12976" s="49" t="s">
        <v>640</v>
      </c>
      <c r="B12976" s="50">
        <v>46203.0</v>
      </c>
      <c r="C12976" s="49" t="s">
        <v>777</v>
      </c>
      <c r="D12976" s="49">
        <v>0.0</v>
      </c>
    </row>
    <row r="12977" ht="15.0" hidden="1" customHeight="1">
      <c r="A12977" s="49" t="s">
        <v>644</v>
      </c>
      <c r="B12977" s="50">
        <v>46203.0</v>
      </c>
      <c r="C12977" s="49" t="s">
        <v>777</v>
      </c>
      <c r="D12977" s="49">
        <v>0.0</v>
      </c>
    </row>
    <row r="12978" ht="15.0" hidden="1" customHeight="1">
      <c r="A12978" s="49" t="s">
        <v>649</v>
      </c>
      <c r="B12978" s="50">
        <v>46203.0</v>
      </c>
      <c r="C12978" s="49" t="s">
        <v>777</v>
      </c>
      <c r="D12978" s="49">
        <v>0.0</v>
      </c>
    </row>
    <row r="12979" ht="15.0" hidden="1" customHeight="1">
      <c r="A12979" s="49" t="s">
        <v>654</v>
      </c>
      <c r="B12979" s="50">
        <v>46203.0</v>
      </c>
      <c r="C12979" s="49" t="s">
        <v>777</v>
      </c>
      <c r="D12979" s="49">
        <v>0.0</v>
      </c>
    </row>
    <row r="12980" ht="15.0" hidden="1" customHeight="1">
      <c r="A12980" s="49" t="s">
        <v>659</v>
      </c>
      <c r="B12980" s="50">
        <v>46203.0</v>
      </c>
      <c r="C12980" s="49" t="s">
        <v>777</v>
      </c>
      <c r="D12980" s="49">
        <v>0.0</v>
      </c>
    </row>
    <row r="12981" ht="15.0" hidden="1" customHeight="1">
      <c r="A12981" s="49" t="s">
        <v>664</v>
      </c>
      <c r="B12981" s="50">
        <v>46203.0</v>
      </c>
      <c r="C12981" s="49" t="s">
        <v>777</v>
      </c>
      <c r="D12981" s="49">
        <v>0.0</v>
      </c>
    </row>
    <row r="12982" ht="15.0" hidden="1" customHeight="1">
      <c r="A12982" s="49" t="s">
        <v>669</v>
      </c>
      <c r="B12982" s="50">
        <v>46203.0</v>
      </c>
      <c r="C12982" s="49" t="s">
        <v>777</v>
      </c>
      <c r="D12982" s="49">
        <v>0.0</v>
      </c>
    </row>
    <row r="12983" ht="15.0" hidden="1" customHeight="1">
      <c r="A12983" s="49" t="s">
        <v>674</v>
      </c>
      <c r="B12983" s="50">
        <v>46203.0</v>
      </c>
      <c r="C12983" s="49" t="s">
        <v>777</v>
      </c>
      <c r="D12983" s="49">
        <v>0.0</v>
      </c>
    </row>
    <row r="12984" ht="15.0" hidden="1" customHeight="1">
      <c r="A12984" s="49" t="s">
        <v>679</v>
      </c>
      <c r="B12984" s="50">
        <v>46203.0</v>
      </c>
      <c r="C12984" s="49" t="s">
        <v>777</v>
      </c>
      <c r="D12984" s="49">
        <v>0.0</v>
      </c>
    </row>
    <row r="12985" ht="15.0" hidden="1" customHeight="1">
      <c r="A12985" s="49" t="s">
        <v>684</v>
      </c>
      <c r="B12985" s="50">
        <v>46203.0</v>
      </c>
      <c r="C12985" s="49" t="s">
        <v>777</v>
      </c>
      <c r="D12985" s="49">
        <v>0.0</v>
      </c>
    </row>
    <row r="12986" ht="15.0" hidden="1" customHeight="1">
      <c r="A12986" s="49" t="s">
        <v>689</v>
      </c>
      <c r="B12986" s="50">
        <v>46203.0</v>
      </c>
      <c r="C12986" s="49" t="s">
        <v>777</v>
      </c>
      <c r="D12986" s="49">
        <v>0.0</v>
      </c>
    </row>
    <row r="12987" ht="15.0" hidden="1" customHeight="1">
      <c r="A12987" s="49" t="s">
        <v>694</v>
      </c>
      <c r="B12987" s="50">
        <v>46203.0</v>
      </c>
      <c r="C12987" s="49" t="s">
        <v>777</v>
      </c>
      <c r="D12987" s="49">
        <v>0.0</v>
      </c>
    </row>
    <row r="12988" ht="15.0" hidden="1" customHeight="1">
      <c r="A12988" s="49" t="s">
        <v>699</v>
      </c>
      <c r="B12988" s="50">
        <v>46203.0</v>
      </c>
      <c r="C12988" s="49" t="s">
        <v>777</v>
      </c>
      <c r="D12988" s="49">
        <v>0.0</v>
      </c>
    </row>
    <row r="12989" ht="15.0" hidden="1" customHeight="1">
      <c r="A12989" s="49" t="s">
        <v>705</v>
      </c>
      <c r="B12989" s="50">
        <v>46203.0</v>
      </c>
      <c r="C12989" s="49" t="s">
        <v>777</v>
      </c>
      <c r="D12989" s="49">
        <v>0.0</v>
      </c>
    </row>
    <row r="12990" ht="15.0" hidden="1" customHeight="1">
      <c r="A12990" s="49" t="s">
        <v>710</v>
      </c>
      <c r="B12990" s="50">
        <v>46203.0</v>
      </c>
      <c r="C12990" s="49" t="s">
        <v>777</v>
      </c>
      <c r="D12990" s="49">
        <v>0.0</v>
      </c>
    </row>
    <row r="12991" ht="15.0" hidden="1" customHeight="1">
      <c r="A12991" s="49" t="s">
        <v>715</v>
      </c>
      <c r="B12991" s="50">
        <v>46203.0</v>
      </c>
      <c r="C12991" s="49" t="s">
        <v>777</v>
      </c>
      <c r="D12991" s="49">
        <v>0.0</v>
      </c>
    </row>
    <row r="12992" ht="15.0" hidden="1" customHeight="1">
      <c r="A12992" s="49" t="s">
        <v>765</v>
      </c>
      <c r="B12992" s="50">
        <v>46203.0</v>
      </c>
      <c r="C12992" s="49" t="s">
        <v>777</v>
      </c>
      <c r="D12992" s="49">
        <v>0.0</v>
      </c>
    </row>
    <row r="12993" ht="15.0" hidden="1" customHeight="1">
      <c r="A12993" s="49" t="s">
        <v>720</v>
      </c>
      <c r="B12993" s="50">
        <v>46203.0</v>
      </c>
      <c r="C12993" s="49" t="s">
        <v>777</v>
      </c>
      <c r="D12993" s="49">
        <v>0.0</v>
      </c>
    </row>
    <row r="12994" ht="15.0" hidden="1" customHeight="1">
      <c r="A12994" s="49" t="s">
        <v>725</v>
      </c>
      <c r="B12994" s="50">
        <v>46203.0</v>
      </c>
      <c r="C12994" s="49" t="s">
        <v>777</v>
      </c>
      <c r="D12994" s="49">
        <v>0.0</v>
      </c>
    </row>
    <row r="12995" ht="15.0" hidden="1" customHeight="1">
      <c r="A12995" s="49" t="s">
        <v>730</v>
      </c>
      <c r="B12995" s="50">
        <v>46203.0</v>
      </c>
      <c r="C12995" s="49" t="s">
        <v>777</v>
      </c>
      <c r="D12995" s="49">
        <v>0.0</v>
      </c>
    </row>
    <row r="12996" ht="15.0" hidden="1" customHeight="1">
      <c r="A12996" s="49" t="s">
        <v>734</v>
      </c>
      <c r="B12996" s="50">
        <v>46203.0</v>
      </c>
      <c r="C12996" s="49" t="s">
        <v>777</v>
      </c>
      <c r="D12996" s="49">
        <v>0.0</v>
      </c>
    </row>
    <row r="12997" ht="15.0" hidden="1" customHeight="1">
      <c r="A12997" s="49" t="s">
        <v>739</v>
      </c>
      <c r="B12997" s="50">
        <v>46203.0</v>
      </c>
      <c r="C12997" s="49" t="s">
        <v>777</v>
      </c>
      <c r="D12997" s="49">
        <v>0.0</v>
      </c>
    </row>
    <row r="12998" ht="15.0" hidden="1" customHeight="1">
      <c r="A12998" s="49" t="s">
        <v>744</v>
      </c>
      <c r="B12998" s="50">
        <v>46203.0</v>
      </c>
      <c r="C12998" s="49" t="s">
        <v>777</v>
      </c>
      <c r="D12998" s="49">
        <v>0.0</v>
      </c>
    </row>
    <row r="12999" ht="15.0" hidden="1" customHeight="1">
      <c r="A12999" s="49" t="s">
        <v>749</v>
      </c>
      <c r="B12999" s="50">
        <v>46203.0</v>
      </c>
      <c r="C12999" s="49" t="s">
        <v>777</v>
      </c>
      <c r="D12999" s="49">
        <v>0.0</v>
      </c>
    </row>
    <row r="13000" ht="15.0" customHeight="1">
      <c r="A13000" s="49" t="s">
        <v>776</v>
      </c>
      <c r="B13000" s="50">
        <v>46203.0</v>
      </c>
      <c r="C13000" s="49" t="s">
        <v>78</v>
      </c>
      <c r="D13000" s="49">
        <v>0.0</v>
      </c>
    </row>
    <row r="13001" ht="15.0" hidden="1" customHeight="1">
      <c r="A13001" s="49" t="s">
        <v>778</v>
      </c>
      <c r="B13001" s="50">
        <v>46203.0</v>
      </c>
      <c r="C13001" s="49" t="s">
        <v>78</v>
      </c>
      <c r="D13001" s="49">
        <v>0.0</v>
      </c>
    </row>
    <row r="13002" ht="15.0" hidden="1" customHeight="1">
      <c r="A13002" s="49" t="s">
        <v>92</v>
      </c>
      <c r="B13002" s="50">
        <v>46203.0</v>
      </c>
      <c r="C13002" s="49" t="s">
        <v>78</v>
      </c>
      <c r="D13002" s="49">
        <v>0.0</v>
      </c>
    </row>
    <row r="13003" ht="15.0" hidden="1" customHeight="1">
      <c r="A13003" s="49" t="s">
        <v>97</v>
      </c>
      <c r="B13003" s="50">
        <v>46203.0</v>
      </c>
      <c r="C13003" s="49" t="s">
        <v>78</v>
      </c>
      <c r="D13003" s="49">
        <v>0.0</v>
      </c>
    </row>
    <row r="13004" ht="15.0" hidden="1" customHeight="1">
      <c r="A13004" s="49" t="s">
        <v>102</v>
      </c>
      <c r="B13004" s="50">
        <v>46203.0</v>
      </c>
      <c r="C13004" s="49" t="s">
        <v>78</v>
      </c>
      <c r="D13004" s="49">
        <v>0.0</v>
      </c>
    </row>
    <row r="13005" ht="15.0" hidden="1" customHeight="1">
      <c r="A13005" s="49" t="s">
        <v>106</v>
      </c>
      <c r="B13005" s="50">
        <v>46203.0</v>
      </c>
      <c r="C13005" s="49" t="s">
        <v>78</v>
      </c>
      <c r="D13005" s="49">
        <v>0.0</v>
      </c>
    </row>
    <row r="13006" ht="15.0" hidden="1" customHeight="1">
      <c r="A13006" s="49" t="s">
        <v>111</v>
      </c>
      <c r="B13006" s="50">
        <v>46203.0</v>
      </c>
      <c r="C13006" s="49" t="s">
        <v>78</v>
      </c>
      <c r="D13006" s="49">
        <v>0.0</v>
      </c>
    </row>
    <row r="13007" ht="15.0" hidden="1" customHeight="1">
      <c r="A13007" s="49" t="s">
        <v>116</v>
      </c>
      <c r="B13007" s="50">
        <v>46203.0</v>
      </c>
      <c r="C13007" s="49" t="s">
        <v>78</v>
      </c>
      <c r="D13007" s="49">
        <v>0.0</v>
      </c>
    </row>
    <row r="13008" ht="15.0" hidden="1" customHeight="1">
      <c r="A13008" s="49" t="s">
        <v>120</v>
      </c>
      <c r="B13008" s="50">
        <v>46203.0</v>
      </c>
      <c r="C13008" s="49" t="s">
        <v>78</v>
      </c>
      <c r="D13008" s="49">
        <v>0.0</v>
      </c>
    </row>
    <row r="13009" ht="15.0" hidden="1" customHeight="1">
      <c r="A13009" s="49" t="s">
        <v>125</v>
      </c>
      <c r="B13009" s="50">
        <v>46203.0</v>
      </c>
      <c r="C13009" s="49" t="s">
        <v>78</v>
      </c>
      <c r="D13009" s="49">
        <v>0.0</v>
      </c>
    </row>
    <row r="13010" ht="15.0" hidden="1" customHeight="1">
      <c r="A13010" s="49" t="s">
        <v>130</v>
      </c>
      <c r="B13010" s="50">
        <v>46203.0</v>
      </c>
      <c r="C13010" s="49" t="s">
        <v>78</v>
      </c>
      <c r="D13010" s="49">
        <v>0.0</v>
      </c>
    </row>
    <row r="13011" ht="15.0" hidden="1" customHeight="1">
      <c r="A13011" s="49" t="s">
        <v>137</v>
      </c>
      <c r="B13011" s="50">
        <v>46203.0</v>
      </c>
      <c r="C13011" s="49" t="s">
        <v>78</v>
      </c>
      <c r="D13011" s="49">
        <v>0.0</v>
      </c>
    </row>
    <row r="13012" ht="15.0" hidden="1" customHeight="1">
      <c r="A13012" s="49" t="s">
        <v>142</v>
      </c>
      <c r="B13012" s="50">
        <v>46203.0</v>
      </c>
      <c r="C13012" s="49" t="s">
        <v>78</v>
      </c>
      <c r="D13012" s="49">
        <v>0.0</v>
      </c>
    </row>
    <row r="13013" ht="15.0" hidden="1" customHeight="1">
      <c r="A13013" s="49" t="s">
        <v>147</v>
      </c>
      <c r="B13013" s="50">
        <v>46203.0</v>
      </c>
      <c r="C13013" s="49" t="s">
        <v>78</v>
      </c>
      <c r="D13013" s="49">
        <v>0.0</v>
      </c>
    </row>
    <row r="13014" ht="15.0" hidden="1" customHeight="1">
      <c r="A13014" s="49" t="s">
        <v>152</v>
      </c>
      <c r="B13014" s="50">
        <v>46203.0</v>
      </c>
      <c r="C13014" s="49" t="s">
        <v>78</v>
      </c>
      <c r="D13014" s="49">
        <v>0.0</v>
      </c>
    </row>
    <row r="13015" ht="15.0" hidden="1" customHeight="1">
      <c r="A13015" s="49" t="s">
        <v>157</v>
      </c>
      <c r="B13015" s="50">
        <v>46203.0</v>
      </c>
      <c r="C13015" s="49" t="s">
        <v>78</v>
      </c>
      <c r="D13015" s="49">
        <v>0.0</v>
      </c>
    </row>
    <row r="13016" ht="15.0" hidden="1" customHeight="1">
      <c r="A13016" s="49" t="s">
        <v>162</v>
      </c>
      <c r="B13016" s="50">
        <v>46203.0</v>
      </c>
      <c r="C13016" s="49" t="s">
        <v>78</v>
      </c>
      <c r="D13016" s="49">
        <v>0.0</v>
      </c>
    </row>
    <row r="13017" ht="15.0" hidden="1" customHeight="1">
      <c r="A13017" s="49" t="s">
        <v>167</v>
      </c>
      <c r="B13017" s="50">
        <v>46203.0</v>
      </c>
      <c r="C13017" s="49" t="s">
        <v>78</v>
      </c>
      <c r="D13017" s="49">
        <v>0.0</v>
      </c>
    </row>
    <row r="13018" ht="15.0" hidden="1" customHeight="1">
      <c r="A13018" s="49" t="s">
        <v>172</v>
      </c>
      <c r="B13018" s="50">
        <v>46203.0</v>
      </c>
      <c r="C13018" s="49" t="s">
        <v>78</v>
      </c>
      <c r="D13018" s="49">
        <v>0.0</v>
      </c>
    </row>
    <row r="13019" ht="15.0" hidden="1" customHeight="1">
      <c r="A13019" s="49" t="s">
        <v>177</v>
      </c>
      <c r="B13019" s="50">
        <v>46203.0</v>
      </c>
      <c r="C13019" s="49" t="s">
        <v>78</v>
      </c>
      <c r="D13019" s="49">
        <v>0.0</v>
      </c>
    </row>
    <row r="13020" ht="15.0" hidden="1" customHeight="1">
      <c r="A13020" s="49" t="s">
        <v>182</v>
      </c>
      <c r="B13020" s="50">
        <v>46203.0</v>
      </c>
      <c r="C13020" s="49" t="s">
        <v>78</v>
      </c>
      <c r="D13020" s="49">
        <v>0.0</v>
      </c>
    </row>
    <row r="13021" ht="15.0" hidden="1" customHeight="1">
      <c r="A13021" s="49" t="s">
        <v>187</v>
      </c>
      <c r="B13021" s="50">
        <v>46203.0</v>
      </c>
      <c r="C13021" s="49" t="s">
        <v>78</v>
      </c>
      <c r="D13021" s="49">
        <v>0.0</v>
      </c>
    </row>
    <row r="13022" ht="15.0" hidden="1" customHeight="1">
      <c r="A13022" s="49" t="s">
        <v>192</v>
      </c>
      <c r="B13022" s="50">
        <v>46203.0</v>
      </c>
      <c r="C13022" s="49" t="s">
        <v>78</v>
      </c>
      <c r="D13022" s="49">
        <v>0.0</v>
      </c>
    </row>
    <row r="13023" ht="15.0" hidden="1" customHeight="1">
      <c r="A13023" s="49" t="s">
        <v>197</v>
      </c>
      <c r="B13023" s="50">
        <v>46203.0</v>
      </c>
      <c r="C13023" s="49" t="s">
        <v>78</v>
      </c>
      <c r="D13023" s="49">
        <v>0.0</v>
      </c>
    </row>
    <row r="13024" ht="15.0" hidden="1" customHeight="1">
      <c r="A13024" s="49" t="s">
        <v>202</v>
      </c>
      <c r="B13024" s="50">
        <v>46203.0</v>
      </c>
      <c r="C13024" s="49" t="s">
        <v>78</v>
      </c>
      <c r="D13024" s="49">
        <v>0.0</v>
      </c>
    </row>
    <row r="13025" ht="15.0" hidden="1" customHeight="1">
      <c r="A13025" s="49" t="s">
        <v>206</v>
      </c>
      <c r="B13025" s="50">
        <v>46203.0</v>
      </c>
      <c r="C13025" s="49" t="s">
        <v>78</v>
      </c>
      <c r="D13025" s="49">
        <v>0.0</v>
      </c>
    </row>
    <row r="13026" ht="15.0" hidden="1" customHeight="1">
      <c r="A13026" s="49" t="s">
        <v>211</v>
      </c>
      <c r="B13026" s="50">
        <v>46203.0</v>
      </c>
      <c r="C13026" s="49" t="s">
        <v>78</v>
      </c>
      <c r="D13026" s="49">
        <v>0.0</v>
      </c>
    </row>
    <row r="13027" ht="15.0" hidden="1" customHeight="1">
      <c r="A13027" s="49" t="s">
        <v>779</v>
      </c>
      <c r="B13027" s="50">
        <v>46203.0</v>
      </c>
      <c r="C13027" s="49" t="s">
        <v>78</v>
      </c>
      <c r="D13027" s="49">
        <v>0.0</v>
      </c>
    </row>
    <row r="13028" ht="15.0" hidden="1" customHeight="1">
      <c r="A13028" s="49" t="s">
        <v>221</v>
      </c>
      <c r="B13028" s="50">
        <v>46203.0</v>
      </c>
      <c r="C13028" s="49" t="s">
        <v>78</v>
      </c>
      <c r="D13028" s="49">
        <v>0.0</v>
      </c>
    </row>
    <row r="13029" ht="15.0" hidden="1" customHeight="1">
      <c r="A13029" s="49" t="s">
        <v>226</v>
      </c>
      <c r="B13029" s="50">
        <v>46203.0</v>
      </c>
      <c r="C13029" s="49" t="s">
        <v>78</v>
      </c>
      <c r="D13029" s="49">
        <v>0.0</v>
      </c>
    </row>
    <row r="13030" ht="15.0" hidden="1" customHeight="1">
      <c r="A13030" s="49" t="s">
        <v>231</v>
      </c>
      <c r="B13030" s="50">
        <v>46203.0</v>
      </c>
      <c r="C13030" s="49" t="s">
        <v>78</v>
      </c>
      <c r="D13030" s="49">
        <v>0.0</v>
      </c>
    </row>
    <row r="13031" ht="15.0" hidden="1" customHeight="1">
      <c r="A13031" s="49" t="s">
        <v>236</v>
      </c>
      <c r="B13031" s="50">
        <v>46203.0</v>
      </c>
      <c r="C13031" s="49" t="s">
        <v>78</v>
      </c>
      <c r="D13031" s="49">
        <v>0.0</v>
      </c>
    </row>
    <row r="13032" ht="15.0" hidden="1" customHeight="1">
      <c r="A13032" s="49" t="s">
        <v>242</v>
      </c>
      <c r="B13032" s="50">
        <v>46203.0</v>
      </c>
      <c r="C13032" s="49" t="s">
        <v>78</v>
      </c>
      <c r="D13032" s="49">
        <v>0.0</v>
      </c>
    </row>
    <row r="13033" ht="15.0" hidden="1" customHeight="1">
      <c r="A13033" s="49" t="s">
        <v>248</v>
      </c>
      <c r="B13033" s="50">
        <v>46203.0</v>
      </c>
      <c r="C13033" s="49" t="s">
        <v>78</v>
      </c>
      <c r="D13033" s="49">
        <v>0.0</v>
      </c>
    </row>
    <row r="13034" ht="15.0" hidden="1" customHeight="1">
      <c r="A13034" s="49" t="s">
        <v>253</v>
      </c>
      <c r="B13034" s="50">
        <v>46203.0</v>
      </c>
      <c r="C13034" s="49" t="s">
        <v>78</v>
      </c>
      <c r="D13034" s="49">
        <v>0.0</v>
      </c>
    </row>
    <row r="13035" ht="15.0" hidden="1" customHeight="1">
      <c r="A13035" s="49" t="s">
        <v>258</v>
      </c>
      <c r="B13035" s="50">
        <v>46203.0</v>
      </c>
      <c r="C13035" s="49" t="s">
        <v>78</v>
      </c>
      <c r="D13035" s="49">
        <v>0.0</v>
      </c>
    </row>
    <row r="13036" ht="15.0" hidden="1" customHeight="1">
      <c r="A13036" s="49" t="s">
        <v>263</v>
      </c>
      <c r="B13036" s="50">
        <v>46203.0</v>
      </c>
      <c r="C13036" s="49" t="s">
        <v>78</v>
      </c>
      <c r="D13036" s="49">
        <v>0.0</v>
      </c>
    </row>
    <row r="13037" ht="15.0" hidden="1" customHeight="1">
      <c r="A13037" s="49" t="s">
        <v>268</v>
      </c>
      <c r="B13037" s="50">
        <v>46203.0</v>
      </c>
      <c r="C13037" s="49" t="s">
        <v>78</v>
      </c>
      <c r="D13037" s="49">
        <v>0.0</v>
      </c>
    </row>
    <row r="13038" ht="15.0" hidden="1" customHeight="1">
      <c r="A13038" s="49" t="s">
        <v>273</v>
      </c>
      <c r="B13038" s="50">
        <v>46203.0</v>
      </c>
      <c r="C13038" s="49" t="s">
        <v>78</v>
      </c>
      <c r="D13038" s="49">
        <v>0.0</v>
      </c>
    </row>
    <row r="13039" ht="15.0" hidden="1" customHeight="1">
      <c r="A13039" s="49" t="s">
        <v>278</v>
      </c>
      <c r="B13039" s="50">
        <v>46203.0</v>
      </c>
      <c r="C13039" s="49" t="s">
        <v>78</v>
      </c>
      <c r="D13039" s="49">
        <v>0.0</v>
      </c>
    </row>
    <row r="13040" ht="15.0" hidden="1" customHeight="1">
      <c r="A13040" s="49" t="s">
        <v>283</v>
      </c>
      <c r="B13040" s="50">
        <v>46203.0</v>
      </c>
      <c r="C13040" s="49" t="s">
        <v>78</v>
      </c>
      <c r="D13040" s="49">
        <v>0.0</v>
      </c>
    </row>
    <row r="13041" ht="15.0" hidden="1" customHeight="1">
      <c r="A13041" s="49" t="s">
        <v>288</v>
      </c>
      <c r="B13041" s="50">
        <v>46203.0</v>
      </c>
      <c r="C13041" s="49" t="s">
        <v>78</v>
      </c>
      <c r="D13041" s="49">
        <v>0.0</v>
      </c>
    </row>
    <row r="13042" ht="15.0" hidden="1" customHeight="1">
      <c r="A13042" s="49" t="s">
        <v>293</v>
      </c>
      <c r="B13042" s="50">
        <v>46203.0</v>
      </c>
      <c r="C13042" s="49" t="s">
        <v>78</v>
      </c>
      <c r="D13042" s="49">
        <v>0.0</v>
      </c>
    </row>
    <row r="13043" ht="15.0" hidden="1" customHeight="1">
      <c r="A13043" s="49" t="s">
        <v>298</v>
      </c>
      <c r="B13043" s="50">
        <v>46203.0</v>
      </c>
      <c r="C13043" s="49" t="s">
        <v>78</v>
      </c>
      <c r="D13043" s="49">
        <v>0.0</v>
      </c>
    </row>
    <row r="13044" ht="15.0" hidden="1" customHeight="1">
      <c r="A13044" s="49" t="s">
        <v>303</v>
      </c>
      <c r="B13044" s="50">
        <v>46203.0</v>
      </c>
      <c r="C13044" s="49" t="s">
        <v>78</v>
      </c>
      <c r="D13044" s="49">
        <v>0.0</v>
      </c>
    </row>
    <row r="13045" ht="15.0" hidden="1" customHeight="1">
      <c r="A13045" s="49" t="s">
        <v>307</v>
      </c>
      <c r="B13045" s="50">
        <v>46203.0</v>
      </c>
      <c r="C13045" s="49" t="s">
        <v>78</v>
      </c>
      <c r="D13045" s="49">
        <v>0.0</v>
      </c>
    </row>
    <row r="13046" ht="15.0" hidden="1" customHeight="1">
      <c r="A13046" s="49" t="s">
        <v>313</v>
      </c>
      <c r="B13046" s="50">
        <v>46203.0</v>
      </c>
      <c r="C13046" s="49" t="s">
        <v>78</v>
      </c>
      <c r="D13046" s="49">
        <v>0.0</v>
      </c>
    </row>
    <row r="13047" ht="15.0" hidden="1" customHeight="1">
      <c r="A13047" s="49" t="s">
        <v>318</v>
      </c>
      <c r="B13047" s="50">
        <v>46203.0</v>
      </c>
      <c r="C13047" s="49" t="s">
        <v>78</v>
      </c>
      <c r="D13047" s="49">
        <v>0.0</v>
      </c>
    </row>
    <row r="13048" ht="15.0" hidden="1" customHeight="1">
      <c r="A13048" s="49" t="s">
        <v>323</v>
      </c>
      <c r="B13048" s="50">
        <v>46203.0</v>
      </c>
      <c r="C13048" s="49" t="s">
        <v>78</v>
      </c>
      <c r="D13048" s="49">
        <v>0.0</v>
      </c>
    </row>
    <row r="13049" ht="15.0" hidden="1" customHeight="1">
      <c r="A13049" s="49" t="s">
        <v>328</v>
      </c>
      <c r="B13049" s="50">
        <v>46203.0</v>
      </c>
      <c r="C13049" s="49" t="s">
        <v>78</v>
      </c>
      <c r="D13049" s="49">
        <v>0.0</v>
      </c>
    </row>
    <row r="13050" ht="15.0" hidden="1" customHeight="1">
      <c r="A13050" s="49" t="s">
        <v>335</v>
      </c>
      <c r="B13050" s="50">
        <v>46203.0</v>
      </c>
      <c r="C13050" s="49" t="s">
        <v>78</v>
      </c>
      <c r="D13050" s="49">
        <v>0.0</v>
      </c>
    </row>
    <row r="13051" ht="15.0" hidden="1" customHeight="1">
      <c r="A13051" s="49" t="s">
        <v>340</v>
      </c>
      <c r="B13051" s="50">
        <v>46203.0</v>
      </c>
      <c r="C13051" s="49" t="s">
        <v>78</v>
      </c>
      <c r="D13051" s="49">
        <v>0.0</v>
      </c>
    </row>
    <row r="13052" ht="15.0" hidden="1" customHeight="1">
      <c r="A13052" s="49" t="s">
        <v>345</v>
      </c>
      <c r="B13052" s="50">
        <v>46203.0</v>
      </c>
      <c r="C13052" s="49" t="s">
        <v>78</v>
      </c>
      <c r="D13052" s="49">
        <v>0.0</v>
      </c>
    </row>
    <row r="13053" ht="15.0" hidden="1" customHeight="1">
      <c r="A13053" s="49" t="s">
        <v>350</v>
      </c>
      <c r="B13053" s="50">
        <v>46203.0</v>
      </c>
      <c r="C13053" s="49" t="s">
        <v>78</v>
      </c>
      <c r="D13053" s="49">
        <v>0.0</v>
      </c>
    </row>
    <row r="13054" ht="15.0" hidden="1" customHeight="1">
      <c r="A13054" s="49" t="s">
        <v>355</v>
      </c>
      <c r="B13054" s="50">
        <v>46203.0</v>
      </c>
      <c r="C13054" s="49" t="s">
        <v>78</v>
      </c>
      <c r="D13054" s="49">
        <v>0.0</v>
      </c>
    </row>
    <row r="13055" ht="15.0" hidden="1" customHeight="1">
      <c r="A13055" s="49" t="s">
        <v>360</v>
      </c>
      <c r="B13055" s="50">
        <v>46203.0</v>
      </c>
      <c r="C13055" s="49" t="s">
        <v>78</v>
      </c>
      <c r="D13055" s="49">
        <v>0.0</v>
      </c>
    </row>
    <row r="13056" ht="15.0" hidden="1" customHeight="1">
      <c r="A13056" s="49" t="s">
        <v>365</v>
      </c>
      <c r="B13056" s="50">
        <v>46203.0</v>
      </c>
      <c r="C13056" s="49" t="s">
        <v>78</v>
      </c>
      <c r="D13056" s="49">
        <v>0.0</v>
      </c>
    </row>
    <row r="13057" ht="15.0" hidden="1" customHeight="1">
      <c r="A13057" s="49" t="s">
        <v>370</v>
      </c>
      <c r="B13057" s="50">
        <v>46203.0</v>
      </c>
      <c r="C13057" s="49" t="s">
        <v>78</v>
      </c>
      <c r="D13057" s="49">
        <v>0.0</v>
      </c>
    </row>
    <row r="13058" ht="15.0" hidden="1" customHeight="1">
      <c r="A13058" s="49" t="s">
        <v>375</v>
      </c>
      <c r="B13058" s="50">
        <v>46203.0</v>
      </c>
      <c r="C13058" s="49" t="s">
        <v>78</v>
      </c>
      <c r="D13058" s="49">
        <v>0.0</v>
      </c>
    </row>
    <row r="13059" ht="15.0" hidden="1" customHeight="1">
      <c r="A13059" s="49" t="s">
        <v>380</v>
      </c>
      <c r="B13059" s="50">
        <v>46203.0</v>
      </c>
      <c r="C13059" s="49" t="s">
        <v>78</v>
      </c>
      <c r="D13059" s="49">
        <v>0.0</v>
      </c>
    </row>
    <row r="13060" ht="15.0" hidden="1" customHeight="1">
      <c r="A13060" s="49" t="s">
        <v>385</v>
      </c>
      <c r="B13060" s="50">
        <v>46203.0</v>
      </c>
      <c r="C13060" s="49" t="s">
        <v>78</v>
      </c>
      <c r="D13060" s="49">
        <v>0.0</v>
      </c>
    </row>
    <row r="13061" ht="15.0" hidden="1" customHeight="1">
      <c r="A13061" s="49" t="s">
        <v>390</v>
      </c>
      <c r="B13061" s="50">
        <v>46203.0</v>
      </c>
      <c r="C13061" s="49" t="s">
        <v>78</v>
      </c>
      <c r="D13061" s="49">
        <v>0.0</v>
      </c>
    </row>
    <row r="13062" ht="15.0" hidden="1" customHeight="1">
      <c r="A13062" s="49" t="s">
        <v>395</v>
      </c>
      <c r="B13062" s="50">
        <v>46203.0</v>
      </c>
      <c r="C13062" s="49" t="s">
        <v>78</v>
      </c>
      <c r="D13062" s="49">
        <v>0.0</v>
      </c>
    </row>
    <row r="13063" ht="15.0" hidden="1" customHeight="1">
      <c r="A13063" s="49" t="s">
        <v>400</v>
      </c>
      <c r="B13063" s="50">
        <v>46203.0</v>
      </c>
      <c r="C13063" s="49" t="s">
        <v>78</v>
      </c>
      <c r="D13063" s="49">
        <v>0.0</v>
      </c>
    </row>
    <row r="13064" ht="15.0" hidden="1" customHeight="1">
      <c r="A13064" s="49" t="s">
        <v>405</v>
      </c>
      <c r="B13064" s="50">
        <v>46203.0</v>
      </c>
      <c r="C13064" s="49" t="s">
        <v>78</v>
      </c>
      <c r="D13064" s="49">
        <v>0.0</v>
      </c>
    </row>
    <row r="13065" ht="15.0" hidden="1" customHeight="1">
      <c r="A13065" s="49" t="s">
        <v>410</v>
      </c>
      <c r="B13065" s="50">
        <v>46203.0</v>
      </c>
      <c r="C13065" s="49" t="s">
        <v>78</v>
      </c>
      <c r="D13065" s="49">
        <v>0.0</v>
      </c>
    </row>
    <row r="13066" ht="15.0" hidden="1" customHeight="1">
      <c r="A13066" s="49" t="s">
        <v>415</v>
      </c>
      <c r="B13066" s="50">
        <v>46203.0</v>
      </c>
      <c r="C13066" s="49" t="s">
        <v>78</v>
      </c>
      <c r="D13066" s="49">
        <v>0.0</v>
      </c>
    </row>
    <row r="13067" ht="15.0" hidden="1" customHeight="1">
      <c r="A13067" s="49" t="s">
        <v>420</v>
      </c>
      <c r="B13067" s="50">
        <v>46203.0</v>
      </c>
      <c r="C13067" s="49" t="s">
        <v>78</v>
      </c>
      <c r="D13067" s="49">
        <v>0.0</v>
      </c>
    </row>
    <row r="13068" ht="15.0" hidden="1" customHeight="1">
      <c r="A13068" s="49" t="s">
        <v>425</v>
      </c>
      <c r="B13068" s="50">
        <v>46203.0</v>
      </c>
      <c r="C13068" s="49" t="s">
        <v>78</v>
      </c>
      <c r="D13068" s="49">
        <v>0.0</v>
      </c>
    </row>
    <row r="13069" ht="15.0" hidden="1" customHeight="1">
      <c r="A13069" s="49" t="s">
        <v>430</v>
      </c>
      <c r="B13069" s="50">
        <v>46203.0</v>
      </c>
      <c r="C13069" s="49" t="s">
        <v>78</v>
      </c>
      <c r="D13069" s="49">
        <v>0.0</v>
      </c>
    </row>
    <row r="13070" ht="15.0" hidden="1" customHeight="1">
      <c r="A13070" s="49" t="s">
        <v>434</v>
      </c>
      <c r="B13070" s="50">
        <v>46203.0</v>
      </c>
      <c r="C13070" s="49" t="s">
        <v>78</v>
      </c>
      <c r="D13070" s="49">
        <v>0.0</v>
      </c>
    </row>
    <row r="13071" ht="15.0" hidden="1" customHeight="1">
      <c r="A13071" s="49" t="s">
        <v>439</v>
      </c>
      <c r="B13071" s="50">
        <v>46203.0</v>
      </c>
      <c r="C13071" s="49" t="s">
        <v>78</v>
      </c>
      <c r="D13071" s="49">
        <v>0.0</v>
      </c>
    </row>
    <row r="13072" ht="15.0" hidden="1" customHeight="1">
      <c r="A13072" s="49" t="s">
        <v>444</v>
      </c>
      <c r="B13072" s="50">
        <v>46203.0</v>
      </c>
      <c r="C13072" s="49" t="s">
        <v>78</v>
      </c>
      <c r="D13072" s="49">
        <v>0.0</v>
      </c>
    </row>
    <row r="13073" ht="15.0" hidden="1" customHeight="1">
      <c r="A13073" s="49" t="s">
        <v>449</v>
      </c>
      <c r="B13073" s="50">
        <v>46203.0</v>
      </c>
      <c r="C13073" s="49" t="s">
        <v>78</v>
      </c>
      <c r="D13073" s="49">
        <v>0.0</v>
      </c>
    </row>
    <row r="13074" ht="15.0" hidden="1" customHeight="1">
      <c r="A13074" s="49" t="s">
        <v>455</v>
      </c>
      <c r="B13074" s="50">
        <v>46203.0</v>
      </c>
      <c r="C13074" s="49" t="s">
        <v>78</v>
      </c>
      <c r="D13074" s="49">
        <v>0.0</v>
      </c>
    </row>
    <row r="13075" ht="15.0" hidden="1" customHeight="1">
      <c r="A13075" s="49" t="s">
        <v>470</v>
      </c>
      <c r="B13075" s="50">
        <v>46203.0</v>
      </c>
      <c r="C13075" s="49" t="s">
        <v>78</v>
      </c>
      <c r="D13075" s="49">
        <v>0.0</v>
      </c>
    </row>
    <row r="13076" ht="15.0" hidden="1" customHeight="1">
      <c r="A13076" s="49" t="s">
        <v>476</v>
      </c>
      <c r="B13076" s="50">
        <v>46203.0</v>
      </c>
      <c r="C13076" s="49" t="s">
        <v>78</v>
      </c>
      <c r="D13076" s="49">
        <v>0.0</v>
      </c>
    </row>
    <row r="13077" ht="15.0" hidden="1" customHeight="1">
      <c r="A13077" s="49" t="s">
        <v>481</v>
      </c>
      <c r="B13077" s="50">
        <v>46203.0</v>
      </c>
      <c r="C13077" s="49" t="s">
        <v>78</v>
      </c>
      <c r="D13077" s="49">
        <v>0.0</v>
      </c>
    </row>
    <row r="13078" ht="15.0" hidden="1" customHeight="1">
      <c r="A13078" s="49" t="s">
        <v>486</v>
      </c>
      <c r="B13078" s="50">
        <v>46203.0</v>
      </c>
      <c r="C13078" s="49" t="s">
        <v>78</v>
      </c>
      <c r="D13078" s="49">
        <v>0.0</v>
      </c>
    </row>
    <row r="13079" ht="15.0" hidden="1" customHeight="1">
      <c r="A13079" s="49" t="s">
        <v>491</v>
      </c>
      <c r="B13079" s="50">
        <v>46203.0</v>
      </c>
      <c r="C13079" s="49" t="s">
        <v>78</v>
      </c>
      <c r="D13079" s="49">
        <v>0.0</v>
      </c>
    </row>
    <row r="13080" ht="15.0" hidden="1" customHeight="1">
      <c r="A13080" s="49" t="s">
        <v>496</v>
      </c>
      <c r="B13080" s="50">
        <v>46203.0</v>
      </c>
      <c r="C13080" s="49" t="s">
        <v>78</v>
      </c>
      <c r="D13080" s="49">
        <v>0.0</v>
      </c>
    </row>
    <row r="13081" ht="15.0" hidden="1" customHeight="1">
      <c r="A13081" s="49" t="s">
        <v>501</v>
      </c>
      <c r="B13081" s="50">
        <v>46203.0</v>
      </c>
      <c r="C13081" s="49" t="s">
        <v>78</v>
      </c>
      <c r="D13081" s="49">
        <v>0.0</v>
      </c>
    </row>
    <row r="13082" ht="15.0" hidden="1" customHeight="1">
      <c r="A13082" s="49" t="s">
        <v>506</v>
      </c>
      <c r="B13082" s="50">
        <v>46203.0</v>
      </c>
      <c r="C13082" s="49" t="s">
        <v>78</v>
      </c>
      <c r="D13082" s="49">
        <v>0.0</v>
      </c>
    </row>
    <row r="13083" ht="15.0" hidden="1" customHeight="1">
      <c r="A13083" s="49" t="s">
        <v>512</v>
      </c>
      <c r="B13083" s="50">
        <v>46203.0</v>
      </c>
      <c r="C13083" s="49" t="s">
        <v>78</v>
      </c>
      <c r="D13083" s="49">
        <v>0.0</v>
      </c>
    </row>
    <row r="13084" ht="15.0" hidden="1" customHeight="1">
      <c r="A13084" s="49" t="s">
        <v>517</v>
      </c>
      <c r="B13084" s="50">
        <v>46203.0</v>
      </c>
      <c r="C13084" s="49" t="s">
        <v>78</v>
      </c>
      <c r="D13084" s="49">
        <v>0.0</v>
      </c>
    </row>
    <row r="13085" ht="15.0" hidden="1" customHeight="1">
      <c r="A13085" s="49" t="s">
        <v>522</v>
      </c>
      <c r="B13085" s="50">
        <v>46203.0</v>
      </c>
      <c r="C13085" s="49" t="s">
        <v>78</v>
      </c>
      <c r="D13085" s="49">
        <v>0.0</v>
      </c>
    </row>
    <row r="13086" ht="15.0" hidden="1" customHeight="1">
      <c r="A13086" s="49" t="s">
        <v>528</v>
      </c>
      <c r="B13086" s="50">
        <v>46203.0</v>
      </c>
      <c r="C13086" s="49" t="s">
        <v>78</v>
      </c>
      <c r="D13086" s="49">
        <v>0.0</v>
      </c>
    </row>
    <row r="13087" ht="15.0" hidden="1" customHeight="1">
      <c r="A13087" s="49" t="s">
        <v>533</v>
      </c>
      <c r="B13087" s="50">
        <v>46203.0</v>
      </c>
      <c r="C13087" s="49" t="s">
        <v>78</v>
      </c>
      <c r="D13087" s="49">
        <v>0.0</v>
      </c>
    </row>
    <row r="13088" ht="15.0" hidden="1" customHeight="1">
      <c r="A13088" s="49" t="s">
        <v>538</v>
      </c>
      <c r="B13088" s="50">
        <v>46203.0</v>
      </c>
      <c r="C13088" s="49" t="s">
        <v>78</v>
      </c>
      <c r="D13088" s="49">
        <v>0.0</v>
      </c>
    </row>
    <row r="13089" ht="15.0" hidden="1" customHeight="1">
      <c r="A13089" s="49" t="s">
        <v>546</v>
      </c>
      <c r="B13089" s="50">
        <v>46203.0</v>
      </c>
      <c r="C13089" s="49" t="s">
        <v>78</v>
      </c>
      <c r="D13089" s="49">
        <v>0.0</v>
      </c>
    </row>
    <row r="13090" ht="15.0" hidden="1" customHeight="1">
      <c r="A13090" s="49" t="s">
        <v>551</v>
      </c>
      <c r="B13090" s="50">
        <v>46203.0</v>
      </c>
      <c r="C13090" s="49" t="s">
        <v>78</v>
      </c>
      <c r="D13090" s="49">
        <v>0.0</v>
      </c>
    </row>
    <row r="13091" ht="15.0" hidden="1" customHeight="1">
      <c r="A13091" s="49" t="s">
        <v>556</v>
      </c>
      <c r="B13091" s="50">
        <v>46203.0</v>
      </c>
      <c r="C13091" s="49" t="s">
        <v>78</v>
      </c>
      <c r="D13091" s="49">
        <v>0.0</v>
      </c>
    </row>
    <row r="13092" ht="15.0" hidden="1" customHeight="1">
      <c r="A13092" s="49" t="s">
        <v>561</v>
      </c>
      <c r="B13092" s="50">
        <v>46203.0</v>
      </c>
      <c r="C13092" s="49" t="s">
        <v>78</v>
      </c>
      <c r="D13092" s="49">
        <v>0.0</v>
      </c>
    </row>
    <row r="13093" ht="15.0" hidden="1" customHeight="1">
      <c r="A13093" s="49" t="s">
        <v>566</v>
      </c>
      <c r="B13093" s="50">
        <v>46203.0</v>
      </c>
      <c r="C13093" s="49" t="s">
        <v>78</v>
      </c>
      <c r="D13093" s="49">
        <v>0.0</v>
      </c>
    </row>
    <row r="13094" ht="15.0" hidden="1" customHeight="1">
      <c r="A13094" s="49" t="s">
        <v>571</v>
      </c>
      <c r="B13094" s="50">
        <v>46203.0</v>
      </c>
      <c r="C13094" s="49" t="s">
        <v>78</v>
      </c>
      <c r="D13094" s="49">
        <v>0.0</v>
      </c>
    </row>
    <row r="13095" ht="15.0" hidden="1" customHeight="1">
      <c r="A13095" s="49" t="s">
        <v>576</v>
      </c>
      <c r="B13095" s="50">
        <v>46203.0</v>
      </c>
      <c r="C13095" s="49" t="s">
        <v>78</v>
      </c>
      <c r="D13095" s="49">
        <v>0.0</v>
      </c>
    </row>
    <row r="13096" ht="15.0" hidden="1" customHeight="1">
      <c r="A13096" s="49" t="s">
        <v>581</v>
      </c>
      <c r="B13096" s="50">
        <v>46203.0</v>
      </c>
      <c r="C13096" s="49" t="s">
        <v>78</v>
      </c>
      <c r="D13096" s="49">
        <v>0.0</v>
      </c>
    </row>
    <row r="13097" ht="15.0" hidden="1" customHeight="1">
      <c r="A13097" s="49" t="s">
        <v>586</v>
      </c>
      <c r="B13097" s="50">
        <v>46203.0</v>
      </c>
      <c r="C13097" s="49" t="s">
        <v>78</v>
      </c>
      <c r="D13097" s="49">
        <v>0.0</v>
      </c>
    </row>
    <row r="13098" ht="15.0" hidden="1" customHeight="1">
      <c r="A13098" s="49" t="s">
        <v>754</v>
      </c>
      <c r="B13098" s="50">
        <v>46203.0</v>
      </c>
      <c r="C13098" s="49" t="s">
        <v>78</v>
      </c>
      <c r="D13098" s="49">
        <v>0.0</v>
      </c>
    </row>
    <row r="13099" ht="15.0" hidden="1" customHeight="1">
      <c r="A13099" s="49" t="s">
        <v>591</v>
      </c>
      <c r="B13099" s="50">
        <v>46203.0</v>
      </c>
      <c r="C13099" s="49" t="s">
        <v>78</v>
      </c>
      <c r="D13099" s="49">
        <v>0.0</v>
      </c>
    </row>
    <row r="13100" ht="15.0" hidden="1" customHeight="1">
      <c r="A13100" s="49" t="s">
        <v>759</v>
      </c>
      <c r="B13100" s="50">
        <v>46203.0</v>
      </c>
      <c r="C13100" s="49" t="s">
        <v>78</v>
      </c>
      <c r="D13100" s="49">
        <v>0.0</v>
      </c>
    </row>
    <row r="13101" ht="15.0" hidden="1" customHeight="1">
      <c r="A13101" s="49" t="s">
        <v>596</v>
      </c>
      <c r="B13101" s="50">
        <v>46203.0</v>
      </c>
      <c r="C13101" s="49" t="s">
        <v>78</v>
      </c>
      <c r="D13101" s="49">
        <v>0.0</v>
      </c>
    </row>
    <row r="13102" ht="15.0" hidden="1" customHeight="1">
      <c r="A13102" s="49" t="s">
        <v>602</v>
      </c>
      <c r="B13102" s="50">
        <v>46203.0</v>
      </c>
      <c r="C13102" s="49" t="s">
        <v>78</v>
      </c>
      <c r="D13102" s="49">
        <v>0.0</v>
      </c>
    </row>
    <row r="13103" ht="15.0" hidden="1" customHeight="1">
      <c r="A13103" s="49" t="s">
        <v>607</v>
      </c>
      <c r="B13103" s="50">
        <v>46203.0</v>
      </c>
      <c r="C13103" s="49" t="s">
        <v>78</v>
      </c>
      <c r="D13103" s="49">
        <v>0.0</v>
      </c>
    </row>
    <row r="13104" ht="15.0" hidden="1" customHeight="1">
      <c r="A13104" s="49" t="s">
        <v>612</v>
      </c>
      <c r="B13104" s="50">
        <v>46203.0</v>
      </c>
      <c r="C13104" s="49" t="s">
        <v>78</v>
      </c>
      <c r="D13104" s="49">
        <v>0.0</v>
      </c>
    </row>
    <row r="13105" ht="15.0" hidden="1" customHeight="1">
      <c r="A13105" s="49" t="s">
        <v>617</v>
      </c>
      <c r="B13105" s="50">
        <v>46203.0</v>
      </c>
      <c r="C13105" s="49" t="s">
        <v>78</v>
      </c>
      <c r="D13105" s="49">
        <v>0.0</v>
      </c>
    </row>
    <row r="13106" ht="15.0" hidden="1" customHeight="1">
      <c r="A13106" s="49" t="s">
        <v>622</v>
      </c>
      <c r="B13106" s="50">
        <v>46203.0</v>
      </c>
      <c r="C13106" s="49" t="s">
        <v>78</v>
      </c>
      <c r="D13106" s="49">
        <v>0.0</v>
      </c>
    </row>
    <row r="13107" ht="15.0" hidden="1" customHeight="1">
      <c r="A13107" s="49" t="s">
        <v>627</v>
      </c>
      <c r="B13107" s="50">
        <v>46203.0</v>
      </c>
      <c r="C13107" s="49" t="s">
        <v>78</v>
      </c>
      <c r="D13107" s="49">
        <v>0.0</v>
      </c>
    </row>
    <row r="13108" ht="15.0" hidden="1" customHeight="1">
      <c r="A13108" s="49" t="s">
        <v>631</v>
      </c>
      <c r="B13108" s="50">
        <v>46203.0</v>
      </c>
      <c r="C13108" s="49" t="s">
        <v>78</v>
      </c>
      <c r="D13108" s="49">
        <v>0.0</v>
      </c>
    </row>
    <row r="13109" ht="15.0" hidden="1" customHeight="1">
      <c r="A13109" s="49" t="s">
        <v>636</v>
      </c>
      <c r="B13109" s="50">
        <v>46203.0</v>
      </c>
      <c r="C13109" s="49" t="s">
        <v>78</v>
      </c>
      <c r="D13109" s="49">
        <v>0.0</v>
      </c>
    </row>
    <row r="13110" ht="15.0" hidden="1" customHeight="1">
      <c r="A13110" s="49" t="s">
        <v>640</v>
      </c>
      <c r="B13110" s="50">
        <v>46203.0</v>
      </c>
      <c r="C13110" s="49" t="s">
        <v>78</v>
      </c>
      <c r="D13110" s="49">
        <v>0.0</v>
      </c>
    </row>
    <row r="13111" ht="15.0" hidden="1" customHeight="1">
      <c r="A13111" s="49" t="s">
        <v>644</v>
      </c>
      <c r="B13111" s="50">
        <v>46203.0</v>
      </c>
      <c r="C13111" s="49" t="s">
        <v>78</v>
      </c>
      <c r="D13111" s="49">
        <v>0.0</v>
      </c>
    </row>
    <row r="13112" ht="15.0" hidden="1" customHeight="1">
      <c r="A13112" s="49" t="s">
        <v>649</v>
      </c>
      <c r="B13112" s="50">
        <v>46203.0</v>
      </c>
      <c r="C13112" s="49" t="s">
        <v>78</v>
      </c>
      <c r="D13112" s="49">
        <v>0.0</v>
      </c>
    </row>
    <row r="13113" ht="15.0" hidden="1" customHeight="1">
      <c r="A13113" s="49" t="s">
        <v>654</v>
      </c>
      <c r="B13113" s="50">
        <v>46203.0</v>
      </c>
      <c r="C13113" s="49" t="s">
        <v>78</v>
      </c>
      <c r="D13113" s="49">
        <v>0.0</v>
      </c>
    </row>
    <row r="13114" ht="15.0" hidden="1" customHeight="1">
      <c r="A13114" s="49" t="s">
        <v>659</v>
      </c>
      <c r="B13114" s="50">
        <v>46203.0</v>
      </c>
      <c r="C13114" s="49" t="s">
        <v>78</v>
      </c>
      <c r="D13114" s="49">
        <v>0.0</v>
      </c>
    </row>
    <row r="13115" ht="15.0" hidden="1" customHeight="1">
      <c r="A13115" s="49" t="s">
        <v>664</v>
      </c>
      <c r="B13115" s="50">
        <v>46203.0</v>
      </c>
      <c r="C13115" s="49" t="s">
        <v>78</v>
      </c>
      <c r="D13115" s="49">
        <v>0.0</v>
      </c>
    </row>
    <row r="13116" ht="15.0" hidden="1" customHeight="1">
      <c r="A13116" s="49" t="s">
        <v>669</v>
      </c>
      <c r="B13116" s="50">
        <v>46203.0</v>
      </c>
      <c r="C13116" s="49" t="s">
        <v>78</v>
      </c>
      <c r="D13116" s="49">
        <v>0.0</v>
      </c>
    </row>
    <row r="13117" ht="15.0" hidden="1" customHeight="1">
      <c r="A13117" s="49" t="s">
        <v>674</v>
      </c>
      <c r="B13117" s="50">
        <v>46203.0</v>
      </c>
      <c r="C13117" s="49" t="s">
        <v>78</v>
      </c>
      <c r="D13117" s="49">
        <v>0.0</v>
      </c>
    </row>
    <row r="13118" ht="15.0" hidden="1" customHeight="1">
      <c r="A13118" s="49" t="s">
        <v>679</v>
      </c>
      <c r="B13118" s="50">
        <v>46203.0</v>
      </c>
      <c r="C13118" s="49" t="s">
        <v>78</v>
      </c>
      <c r="D13118" s="49">
        <v>0.0</v>
      </c>
    </row>
    <row r="13119" ht="15.0" hidden="1" customHeight="1">
      <c r="A13119" s="49" t="s">
        <v>684</v>
      </c>
      <c r="B13119" s="50">
        <v>46203.0</v>
      </c>
      <c r="C13119" s="49" t="s">
        <v>78</v>
      </c>
      <c r="D13119" s="49">
        <v>0.0</v>
      </c>
    </row>
    <row r="13120" ht="15.0" hidden="1" customHeight="1">
      <c r="A13120" s="49" t="s">
        <v>689</v>
      </c>
      <c r="B13120" s="50">
        <v>46203.0</v>
      </c>
      <c r="C13120" s="49" t="s">
        <v>78</v>
      </c>
      <c r="D13120" s="49">
        <v>0.0</v>
      </c>
    </row>
    <row r="13121" ht="15.0" hidden="1" customHeight="1">
      <c r="A13121" s="49" t="s">
        <v>694</v>
      </c>
      <c r="B13121" s="50">
        <v>46203.0</v>
      </c>
      <c r="C13121" s="49" t="s">
        <v>78</v>
      </c>
      <c r="D13121" s="49">
        <v>0.0</v>
      </c>
    </row>
    <row r="13122" ht="15.0" hidden="1" customHeight="1">
      <c r="A13122" s="49" t="s">
        <v>699</v>
      </c>
      <c r="B13122" s="50">
        <v>46203.0</v>
      </c>
      <c r="C13122" s="49" t="s">
        <v>78</v>
      </c>
      <c r="D13122" s="49">
        <v>0.0</v>
      </c>
    </row>
    <row r="13123" ht="15.0" hidden="1" customHeight="1">
      <c r="A13123" s="49" t="s">
        <v>705</v>
      </c>
      <c r="B13123" s="50">
        <v>46203.0</v>
      </c>
      <c r="C13123" s="49" t="s">
        <v>78</v>
      </c>
      <c r="D13123" s="49">
        <v>0.0</v>
      </c>
    </row>
    <row r="13124" ht="15.0" hidden="1" customHeight="1">
      <c r="A13124" s="49" t="s">
        <v>710</v>
      </c>
      <c r="B13124" s="50">
        <v>46203.0</v>
      </c>
      <c r="C13124" s="49" t="s">
        <v>78</v>
      </c>
      <c r="D13124" s="49">
        <v>0.0</v>
      </c>
    </row>
    <row r="13125" ht="15.0" hidden="1" customHeight="1">
      <c r="A13125" s="49" t="s">
        <v>715</v>
      </c>
      <c r="B13125" s="50">
        <v>46203.0</v>
      </c>
      <c r="C13125" s="49" t="s">
        <v>78</v>
      </c>
      <c r="D13125" s="49">
        <v>0.0</v>
      </c>
    </row>
    <row r="13126" ht="15.0" hidden="1" customHeight="1">
      <c r="A13126" s="49" t="s">
        <v>765</v>
      </c>
      <c r="B13126" s="50">
        <v>46203.0</v>
      </c>
      <c r="C13126" s="49" t="s">
        <v>78</v>
      </c>
      <c r="D13126" s="49">
        <v>0.0</v>
      </c>
    </row>
    <row r="13127" ht="15.0" hidden="1" customHeight="1">
      <c r="A13127" s="49" t="s">
        <v>720</v>
      </c>
      <c r="B13127" s="50">
        <v>46203.0</v>
      </c>
      <c r="C13127" s="49" t="s">
        <v>78</v>
      </c>
      <c r="D13127" s="49">
        <v>0.0</v>
      </c>
    </row>
    <row r="13128" ht="15.0" hidden="1" customHeight="1">
      <c r="A13128" s="49" t="s">
        <v>725</v>
      </c>
      <c r="B13128" s="50">
        <v>46203.0</v>
      </c>
      <c r="C13128" s="49" t="s">
        <v>78</v>
      </c>
      <c r="D13128" s="49">
        <v>0.0</v>
      </c>
    </row>
    <row r="13129" ht="15.0" hidden="1" customHeight="1">
      <c r="A13129" s="49" t="s">
        <v>730</v>
      </c>
      <c r="B13129" s="50">
        <v>46203.0</v>
      </c>
      <c r="C13129" s="49" t="s">
        <v>78</v>
      </c>
      <c r="D13129" s="49">
        <v>0.0</v>
      </c>
    </row>
    <row r="13130" ht="15.0" hidden="1" customHeight="1">
      <c r="A13130" s="49" t="s">
        <v>734</v>
      </c>
      <c r="B13130" s="50">
        <v>46203.0</v>
      </c>
      <c r="C13130" s="49" t="s">
        <v>78</v>
      </c>
      <c r="D13130" s="49">
        <v>0.0</v>
      </c>
    </row>
    <row r="13131" ht="15.0" hidden="1" customHeight="1">
      <c r="A13131" s="49" t="s">
        <v>739</v>
      </c>
      <c r="B13131" s="50">
        <v>46203.0</v>
      </c>
      <c r="C13131" s="49" t="s">
        <v>78</v>
      </c>
      <c r="D13131" s="49">
        <v>0.0</v>
      </c>
    </row>
    <row r="13132" ht="15.0" hidden="1" customHeight="1">
      <c r="A13132" s="49" t="s">
        <v>744</v>
      </c>
      <c r="B13132" s="50">
        <v>46203.0</v>
      </c>
      <c r="C13132" s="49" t="s">
        <v>78</v>
      </c>
      <c r="D13132" s="49">
        <v>0.0</v>
      </c>
    </row>
    <row r="13133" ht="15.0" hidden="1" customHeight="1">
      <c r="A13133" s="49" t="s">
        <v>749</v>
      </c>
      <c r="B13133" s="50">
        <v>46203.0</v>
      </c>
      <c r="C13133" s="49" t="s">
        <v>78</v>
      </c>
      <c r="D13133" s="49">
        <v>0.0</v>
      </c>
    </row>
    <row r="13134" ht="15.0" customHeight="1">
      <c r="A13134" s="49" t="s">
        <v>776</v>
      </c>
      <c r="B13134" s="50">
        <v>46203.0</v>
      </c>
      <c r="C13134" s="49" t="s">
        <v>69</v>
      </c>
      <c r="D13134" s="49">
        <v>0.0</v>
      </c>
    </row>
    <row r="13135" ht="15.0" hidden="1" customHeight="1">
      <c r="A13135" s="49" t="s">
        <v>778</v>
      </c>
      <c r="B13135" s="50">
        <v>46203.0</v>
      </c>
      <c r="C13135" s="49" t="s">
        <v>69</v>
      </c>
      <c r="D13135" s="49">
        <v>0.0</v>
      </c>
    </row>
    <row r="13136" ht="15.0" hidden="1" customHeight="1">
      <c r="A13136" s="49" t="s">
        <v>92</v>
      </c>
      <c r="B13136" s="50">
        <v>46203.0</v>
      </c>
      <c r="C13136" s="49" t="s">
        <v>69</v>
      </c>
      <c r="D13136" s="49">
        <v>0.0</v>
      </c>
    </row>
    <row r="13137" ht="15.0" hidden="1" customHeight="1">
      <c r="A13137" s="49" t="s">
        <v>97</v>
      </c>
      <c r="B13137" s="50">
        <v>46203.0</v>
      </c>
      <c r="C13137" s="49" t="s">
        <v>69</v>
      </c>
      <c r="D13137" s="49">
        <v>0.0</v>
      </c>
    </row>
    <row r="13138" ht="15.0" hidden="1" customHeight="1">
      <c r="A13138" s="49" t="s">
        <v>102</v>
      </c>
      <c r="B13138" s="50">
        <v>46203.0</v>
      </c>
      <c r="C13138" s="49" t="s">
        <v>69</v>
      </c>
      <c r="D13138" s="49">
        <v>0.0</v>
      </c>
    </row>
    <row r="13139" ht="15.0" hidden="1" customHeight="1">
      <c r="A13139" s="49" t="s">
        <v>106</v>
      </c>
      <c r="B13139" s="50">
        <v>46203.0</v>
      </c>
      <c r="C13139" s="49" t="s">
        <v>69</v>
      </c>
      <c r="D13139" s="49">
        <v>0.0</v>
      </c>
    </row>
    <row r="13140" ht="15.0" hidden="1" customHeight="1">
      <c r="A13140" s="49" t="s">
        <v>111</v>
      </c>
      <c r="B13140" s="50">
        <v>46203.0</v>
      </c>
      <c r="C13140" s="49" t="s">
        <v>69</v>
      </c>
      <c r="D13140" s="49">
        <v>0.0</v>
      </c>
    </row>
    <row r="13141" ht="15.0" hidden="1" customHeight="1">
      <c r="A13141" s="49" t="s">
        <v>116</v>
      </c>
      <c r="B13141" s="50">
        <v>46203.0</v>
      </c>
      <c r="C13141" s="49" t="s">
        <v>69</v>
      </c>
      <c r="D13141" s="49">
        <v>0.0</v>
      </c>
    </row>
    <row r="13142" ht="15.0" hidden="1" customHeight="1">
      <c r="A13142" s="49" t="s">
        <v>120</v>
      </c>
      <c r="B13142" s="50">
        <v>46203.0</v>
      </c>
      <c r="C13142" s="49" t="s">
        <v>69</v>
      </c>
      <c r="D13142" s="49">
        <v>0.0</v>
      </c>
    </row>
    <row r="13143" ht="15.0" hidden="1" customHeight="1">
      <c r="A13143" s="49" t="s">
        <v>125</v>
      </c>
      <c r="B13143" s="50">
        <v>46203.0</v>
      </c>
      <c r="C13143" s="49" t="s">
        <v>69</v>
      </c>
      <c r="D13143" s="49">
        <v>0.0</v>
      </c>
    </row>
    <row r="13144" ht="15.0" hidden="1" customHeight="1">
      <c r="A13144" s="49" t="s">
        <v>130</v>
      </c>
      <c r="B13144" s="50">
        <v>46203.0</v>
      </c>
      <c r="C13144" s="49" t="s">
        <v>69</v>
      </c>
      <c r="D13144" s="49">
        <v>0.0</v>
      </c>
    </row>
    <row r="13145" ht="15.0" hidden="1" customHeight="1">
      <c r="A13145" s="49" t="s">
        <v>137</v>
      </c>
      <c r="B13145" s="50">
        <v>46203.0</v>
      </c>
      <c r="C13145" s="49" t="s">
        <v>69</v>
      </c>
      <c r="D13145" s="49">
        <v>0.0</v>
      </c>
    </row>
    <row r="13146" ht="15.0" hidden="1" customHeight="1">
      <c r="A13146" s="49" t="s">
        <v>142</v>
      </c>
      <c r="B13146" s="50">
        <v>46203.0</v>
      </c>
      <c r="C13146" s="49" t="s">
        <v>69</v>
      </c>
      <c r="D13146" s="49">
        <v>0.0</v>
      </c>
    </row>
    <row r="13147" ht="15.0" hidden="1" customHeight="1">
      <c r="A13147" s="49" t="s">
        <v>147</v>
      </c>
      <c r="B13147" s="50">
        <v>46203.0</v>
      </c>
      <c r="C13147" s="49" t="s">
        <v>69</v>
      </c>
      <c r="D13147" s="49">
        <v>0.0</v>
      </c>
    </row>
    <row r="13148" ht="15.0" hidden="1" customHeight="1">
      <c r="A13148" s="49" t="s">
        <v>152</v>
      </c>
      <c r="B13148" s="50">
        <v>46203.0</v>
      </c>
      <c r="C13148" s="49" t="s">
        <v>69</v>
      </c>
      <c r="D13148" s="49">
        <v>0.0</v>
      </c>
    </row>
    <row r="13149" ht="15.0" hidden="1" customHeight="1">
      <c r="A13149" s="49" t="s">
        <v>157</v>
      </c>
      <c r="B13149" s="50">
        <v>46203.0</v>
      </c>
      <c r="C13149" s="49" t="s">
        <v>69</v>
      </c>
      <c r="D13149" s="49">
        <v>0.0</v>
      </c>
    </row>
    <row r="13150" ht="15.0" hidden="1" customHeight="1">
      <c r="A13150" s="49" t="s">
        <v>162</v>
      </c>
      <c r="B13150" s="50">
        <v>46203.0</v>
      </c>
      <c r="C13150" s="49" t="s">
        <v>69</v>
      </c>
      <c r="D13150" s="49">
        <v>0.0</v>
      </c>
    </row>
    <row r="13151" ht="15.0" hidden="1" customHeight="1">
      <c r="A13151" s="49" t="s">
        <v>167</v>
      </c>
      <c r="B13151" s="50">
        <v>46203.0</v>
      </c>
      <c r="C13151" s="49" t="s">
        <v>69</v>
      </c>
      <c r="D13151" s="49">
        <v>0.0</v>
      </c>
    </row>
    <row r="13152" ht="15.0" hidden="1" customHeight="1">
      <c r="A13152" s="49" t="s">
        <v>172</v>
      </c>
      <c r="B13152" s="50">
        <v>46203.0</v>
      </c>
      <c r="C13152" s="49" t="s">
        <v>69</v>
      </c>
      <c r="D13152" s="49">
        <v>0.0</v>
      </c>
    </row>
    <row r="13153" ht="15.0" hidden="1" customHeight="1">
      <c r="A13153" s="49" t="s">
        <v>177</v>
      </c>
      <c r="B13153" s="50">
        <v>46203.0</v>
      </c>
      <c r="C13153" s="49" t="s">
        <v>69</v>
      </c>
      <c r="D13153" s="49">
        <v>0.0</v>
      </c>
    </row>
    <row r="13154" ht="15.0" hidden="1" customHeight="1">
      <c r="A13154" s="49" t="s">
        <v>182</v>
      </c>
      <c r="B13154" s="50">
        <v>46203.0</v>
      </c>
      <c r="C13154" s="49" t="s">
        <v>69</v>
      </c>
      <c r="D13154" s="49">
        <v>0.0</v>
      </c>
    </row>
    <row r="13155" ht="15.0" hidden="1" customHeight="1">
      <c r="A13155" s="49" t="s">
        <v>187</v>
      </c>
      <c r="B13155" s="50">
        <v>46203.0</v>
      </c>
      <c r="C13155" s="49" t="s">
        <v>69</v>
      </c>
      <c r="D13155" s="49">
        <v>0.0</v>
      </c>
    </row>
    <row r="13156" ht="15.0" hidden="1" customHeight="1">
      <c r="A13156" s="49" t="s">
        <v>192</v>
      </c>
      <c r="B13156" s="50">
        <v>46203.0</v>
      </c>
      <c r="C13156" s="49" t="s">
        <v>69</v>
      </c>
      <c r="D13156" s="49">
        <v>0.0</v>
      </c>
    </row>
    <row r="13157" ht="15.0" hidden="1" customHeight="1">
      <c r="A13157" s="49" t="s">
        <v>197</v>
      </c>
      <c r="B13157" s="50">
        <v>46203.0</v>
      </c>
      <c r="C13157" s="49" t="s">
        <v>69</v>
      </c>
      <c r="D13157" s="49">
        <v>0.0</v>
      </c>
    </row>
    <row r="13158" ht="15.0" hidden="1" customHeight="1">
      <c r="A13158" s="49" t="s">
        <v>202</v>
      </c>
      <c r="B13158" s="50">
        <v>46203.0</v>
      </c>
      <c r="C13158" s="49" t="s">
        <v>69</v>
      </c>
      <c r="D13158" s="49">
        <v>0.0</v>
      </c>
    </row>
    <row r="13159" ht="15.0" hidden="1" customHeight="1">
      <c r="A13159" s="49" t="s">
        <v>206</v>
      </c>
      <c r="B13159" s="50">
        <v>46203.0</v>
      </c>
      <c r="C13159" s="49" t="s">
        <v>69</v>
      </c>
      <c r="D13159" s="49">
        <v>0.0</v>
      </c>
    </row>
    <row r="13160" ht="15.0" hidden="1" customHeight="1">
      <c r="A13160" s="49" t="s">
        <v>211</v>
      </c>
      <c r="B13160" s="50">
        <v>46203.0</v>
      </c>
      <c r="C13160" s="49" t="s">
        <v>69</v>
      </c>
      <c r="D13160" s="49">
        <v>0.0</v>
      </c>
    </row>
    <row r="13161" ht="15.0" hidden="1" customHeight="1">
      <c r="A13161" s="49" t="s">
        <v>779</v>
      </c>
      <c r="B13161" s="50">
        <v>46203.0</v>
      </c>
      <c r="C13161" s="49" t="s">
        <v>69</v>
      </c>
      <c r="D13161" s="49">
        <v>0.0</v>
      </c>
    </row>
    <row r="13162" ht="15.0" hidden="1" customHeight="1">
      <c r="A13162" s="49" t="s">
        <v>221</v>
      </c>
      <c r="B13162" s="50">
        <v>46203.0</v>
      </c>
      <c r="C13162" s="49" t="s">
        <v>69</v>
      </c>
      <c r="D13162" s="49">
        <v>0.0</v>
      </c>
    </row>
    <row r="13163" ht="15.0" hidden="1" customHeight="1">
      <c r="A13163" s="49" t="s">
        <v>226</v>
      </c>
      <c r="B13163" s="50">
        <v>46203.0</v>
      </c>
      <c r="C13163" s="49" t="s">
        <v>69</v>
      </c>
      <c r="D13163" s="49">
        <v>0.0</v>
      </c>
    </row>
    <row r="13164" ht="15.0" hidden="1" customHeight="1">
      <c r="A13164" s="49" t="s">
        <v>231</v>
      </c>
      <c r="B13164" s="50">
        <v>46203.0</v>
      </c>
      <c r="C13164" s="49" t="s">
        <v>69</v>
      </c>
      <c r="D13164" s="49">
        <v>0.0</v>
      </c>
    </row>
    <row r="13165" ht="15.0" hidden="1" customHeight="1">
      <c r="A13165" s="49" t="s">
        <v>236</v>
      </c>
      <c r="B13165" s="50">
        <v>46203.0</v>
      </c>
      <c r="C13165" s="49" t="s">
        <v>69</v>
      </c>
      <c r="D13165" s="49">
        <v>0.0</v>
      </c>
    </row>
    <row r="13166" ht="15.0" hidden="1" customHeight="1">
      <c r="A13166" s="49" t="s">
        <v>242</v>
      </c>
      <c r="B13166" s="50">
        <v>46203.0</v>
      </c>
      <c r="C13166" s="49" t="s">
        <v>69</v>
      </c>
      <c r="D13166" s="49">
        <v>0.0</v>
      </c>
    </row>
    <row r="13167" ht="15.0" hidden="1" customHeight="1">
      <c r="A13167" s="49" t="s">
        <v>248</v>
      </c>
      <c r="B13167" s="50">
        <v>46203.0</v>
      </c>
      <c r="C13167" s="49" t="s">
        <v>69</v>
      </c>
      <c r="D13167" s="49">
        <v>0.0</v>
      </c>
    </row>
    <row r="13168" ht="15.0" hidden="1" customHeight="1">
      <c r="A13168" s="49" t="s">
        <v>253</v>
      </c>
      <c r="B13168" s="50">
        <v>46203.0</v>
      </c>
      <c r="C13168" s="49" t="s">
        <v>69</v>
      </c>
      <c r="D13168" s="49">
        <v>0.0</v>
      </c>
    </row>
    <row r="13169" ht="15.0" hidden="1" customHeight="1">
      <c r="A13169" s="49" t="s">
        <v>258</v>
      </c>
      <c r="B13169" s="50">
        <v>46203.0</v>
      </c>
      <c r="C13169" s="49" t="s">
        <v>69</v>
      </c>
      <c r="D13169" s="49">
        <v>0.0</v>
      </c>
    </row>
    <row r="13170" ht="15.0" hidden="1" customHeight="1">
      <c r="A13170" s="49" t="s">
        <v>263</v>
      </c>
      <c r="B13170" s="50">
        <v>46203.0</v>
      </c>
      <c r="C13170" s="49" t="s">
        <v>69</v>
      </c>
      <c r="D13170" s="49">
        <v>0.0</v>
      </c>
    </row>
    <row r="13171" ht="15.0" hidden="1" customHeight="1">
      <c r="A13171" s="49" t="s">
        <v>268</v>
      </c>
      <c r="B13171" s="50">
        <v>46203.0</v>
      </c>
      <c r="C13171" s="49" t="s">
        <v>69</v>
      </c>
      <c r="D13171" s="49">
        <v>0.0</v>
      </c>
    </row>
    <row r="13172" ht="15.0" hidden="1" customHeight="1">
      <c r="A13172" s="49" t="s">
        <v>273</v>
      </c>
      <c r="B13172" s="50">
        <v>46203.0</v>
      </c>
      <c r="C13172" s="49" t="s">
        <v>69</v>
      </c>
      <c r="D13172" s="49">
        <v>0.0</v>
      </c>
    </row>
    <row r="13173" ht="15.0" hidden="1" customHeight="1">
      <c r="A13173" s="49" t="s">
        <v>278</v>
      </c>
      <c r="B13173" s="50">
        <v>46203.0</v>
      </c>
      <c r="C13173" s="49" t="s">
        <v>69</v>
      </c>
      <c r="D13173" s="49">
        <v>0.0</v>
      </c>
    </row>
    <row r="13174" ht="15.0" hidden="1" customHeight="1">
      <c r="A13174" s="49" t="s">
        <v>283</v>
      </c>
      <c r="B13174" s="50">
        <v>46203.0</v>
      </c>
      <c r="C13174" s="49" t="s">
        <v>69</v>
      </c>
      <c r="D13174" s="49">
        <v>0.0</v>
      </c>
    </row>
    <row r="13175" ht="15.0" hidden="1" customHeight="1">
      <c r="A13175" s="49" t="s">
        <v>288</v>
      </c>
      <c r="B13175" s="50">
        <v>46203.0</v>
      </c>
      <c r="C13175" s="49" t="s">
        <v>69</v>
      </c>
      <c r="D13175" s="49">
        <v>0.0</v>
      </c>
    </row>
    <row r="13176" ht="15.0" hidden="1" customHeight="1">
      <c r="A13176" s="49" t="s">
        <v>293</v>
      </c>
      <c r="B13176" s="50">
        <v>46203.0</v>
      </c>
      <c r="C13176" s="49" t="s">
        <v>69</v>
      </c>
      <c r="D13176" s="49">
        <v>0.0</v>
      </c>
    </row>
    <row r="13177" ht="15.0" hidden="1" customHeight="1">
      <c r="A13177" s="49" t="s">
        <v>298</v>
      </c>
      <c r="B13177" s="50">
        <v>46203.0</v>
      </c>
      <c r="C13177" s="49" t="s">
        <v>69</v>
      </c>
      <c r="D13177" s="49">
        <v>0.0</v>
      </c>
    </row>
    <row r="13178" ht="15.0" hidden="1" customHeight="1">
      <c r="A13178" s="49" t="s">
        <v>303</v>
      </c>
      <c r="B13178" s="50">
        <v>46203.0</v>
      </c>
      <c r="C13178" s="49" t="s">
        <v>69</v>
      </c>
      <c r="D13178" s="49">
        <v>0.0</v>
      </c>
    </row>
    <row r="13179" ht="15.0" hidden="1" customHeight="1">
      <c r="A13179" s="49" t="s">
        <v>307</v>
      </c>
      <c r="B13179" s="50">
        <v>46203.0</v>
      </c>
      <c r="C13179" s="49" t="s">
        <v>69</v>
      </c>
      <c r="D13179" s="49">
        <v>0.0</v>
      </c>
    </row>
    <row r="13180" ht="15.0" hidden="1" customHeight="1">
      <c r="A13180" s="49" t="s">
        <v>313</v>
      </c>
      <c r="B13180" s="50">
        <v>46203.0</v>
      </c>
      <c r="C13180" s="49" t="s">
        <v>69</v>
      </c>
      <c r="D13180" s="49">
        <v>0.0</v>
      </c>
    </row>
    <row r="13181" ht="15.0" hidden="1" customHeight="1">
      <c r="A13181" s="49" t="s">
        <v>318</v>
      </c>
      <c r="B13181" s="50">
        <v>46203.0</v>
      </c>
      <c r="C13181" s="49" t="s">
        <v>69</v>
      </c>
      <c r="D13181" s="49">
        <v>0.0</v>
      </c>
    </row>
    <row r="13182" ht="15.0" hidden="1" customHeight="1">
      <c r="A13182" s="49" t="s">
        <v>323</v>
      </c>
      <c r="B13182" s="50">
        <v>46203.0</v>
      </c>
      <c r="C13182" s="49" t="s">
        <v>69</v>
      </c>
      <c r="D13182" s="49">
        <v>0.0</v>
      </c>
    </row>
    <row r="13183" ht="15.0" hidden="1" customHeight="1">
      <c r="A13183" s="49" t="s">
        <v>328</v>
      </c>
      <c r="B13183" s="50">
        <v>46203.0</v>
      </c>
      <c r="C13183" s="49" t="s">
        <v>69</v>
      </c>
      <c r="D13183" s="49">
        <v>0.0</v>
      </c>
    </row>
    <row r="13184" ht="15.0" hidden="1" customHeight="1">
      <c r="A13184" s="49" t="s">
        <v>335</v>
      </c>
      <c r="B13184" s="50">
        <v>46203.0</v>
      </c>
      <c r="C13184" s="49" t="s">
        <v>69</v>
      </c>
      <c r="D13184" s="49">
        <v>0.0</v>
      </c>
    </row>
    <row r="13185" ht="15.0" hidden="1" customHeight="1">
      <c r="A13185" s="49" t="s">
        <v>340</v>
      </c>
      <c r="B13185" s="50">
        <v>46203.0</v>
      </c>
      <c r="C13185" s="49" t="s">
        <v>69</v>
      </c>
      <c r="D13185" s="49">
        <v>0.0</v>
      </c>
    </row>
    <row r="13186" ht="15.0" hidden="1" customHeight="1">
      <c r="A13186" s="49" t="s">
        <v>345</v>
      </c>
      <c r="B13186" s="50">
        <v>46203.0</v>
      </c>
      <c r="C13186" s="49" t="s">
        <v>69</v>
      </c>
      <c r="D13186" s="49">
        <v>0.0</v>
      </c>
    </row>
    <row r="13187" ht="15.0" hidden="1" customHeight="1">
      <c r="A13187" s="49" t="s">
        <v>350</v>
      </c>
      <c r="B13187" s="50">
        <v>46203.0</v>
      </c>
      <c r="C13187" s="49" t="s">
        <v>69</v>
      </c>
      <c r="D13187" s="49">
        <v>0.0</v>
      </c>
    </row>
    <row r="13188" ht="15.0" hidden="1" customHeight="1">
      <c r="A13188" s="49" t="s">
        <v>355</v>
      </c>
      <c r="B13188" s="50">
        <v>46203.0</v>
      </c>
      <c r="C13188" s="49" t="s">
        <v>69</v>
      </c>
      <c r="D13188" s="49">
        <v>0.0</v>
      </c>
    </row>
    <row r="13189" ht="15.0" hidden="1" customHeight="1">
      <c r="A13189" s="49" t="s">
        <v>360</v>
      </c>
      <c r="B13189" s="50">
        <v>46203.0</v>
      </c>
      <c r="C13189" s="49" t="s">
        <v>69</v>
      </c>
      <c r="D13189" s="49">
        <v>0.0</v>
      </c>
    </row>
    <row r="13190" ht="15.0" hidden="1" customHeight="1">
      <c r="A13190" s="49" t="s">
        <v>365</v>
      </c>
      <c r="B13190" s="50">
        <v>46203.0</v>
      </c>
      <c r="C13190" s="49" t="s">
        <v>69</v>
      </c>
      <c r="D13190" s="49">
        <v>0.0</v>
      </c>
    </row>
    <row r="13191" ht="15.0" hidden="1" customHeight="1">
      <c r="A13191" s="49" t="s">
        <v>370</v>
      </c>
      <c r="B13191" s="50">
        <v>46203.0</v>
      </c>
      <c r="C13191" s="49" t="s">
        <v>69</v>
      </c>
      <c r="D13191" s="49">
        <v>0.0</v>
      </c>
    </row>
    <row r="13192" ht="15.0" hidden="1" customHeight="1">
      <c r="A13192" s="49" t="s">
        <v>375</v>
      </c>
      <c r="B13192" s="50">
        <v>46203.0</v>
      </c>
      <c r="C13192" s="49" t="s">
        <v>69</v>
      </c>
      <c r="D13192" s="49">
        <v>0.0</v>
      </c>
    </row>
    <row r="13193" ht="15.0" hidden="1" customHeight="1">
      <c r="A13193" s="49" t="s">
        <v>380</v>
      </c>
      <c r="B13193" s="50">
        <v>46203.0</v>
      </c>
      <c r="C13193" s="49" t="s">
        <v>69</v>
      </c>
      <c r="D13193" s="49">
        <v>0.0</v>
      </c>
    </row>
    <row r="13194" ht="15.0" hidden="1" customHeight="1">
      <c r="A13194" s="49" t="s">
        <v>385</v>
      </c>
      <c r="B13194" s="50">
        <v>46203.0</v>
      </c>
      <c r="C13194" s="49" t="s">
        <v>69</v>
      </c>
      <c r="D13194" s="49">
        <v>0.0</v>
      </c>
    </row>
    <row r="13195" ht="15.0" hidden="1" customHeight="1">
      <c r="A13195" s="49" t="s">
        <v>390</v>
      </c>
      <c r="B13195" s="50">
        <v>46203.0</v>
      </c>
      <c r="C13195" s="49" t="s">
        <v>69</v>
      </c>
      <c r="D13195" s="49">
        <v>0.0</v>
      </c>
    </row>
    <row r="13196" ht="15.0" hidden="1" customHeight="1">
      <c r="A13196" s="49" t="s">
        <v>395</v>
      </c>
      <c r="B13196" s="50">
        <v>46203.0</v>
      </c>
      <c r="C13196" s="49" t="s">
        <v>69</v>
      </c>
      <c r="D13196" s="49">
        <v>0.0</v>
      </c>
    </row>
    <row r="13197" ht="15.0" hidden="1" customHeight="1">
      <c r="A13197" s="49" t="s">
        <v>400</v>
      </c>
      <c r="B13197" s="50">
        <v>46203.0</v>
      </c>
      <c r="C13197" s="49" t="s">
        <v>69</v>
      </c>
      <c r="D13197" s="49">
        <v>0.0</v>
      </c>
    </row>
    <row r="13198" ht="15.0" hidden="1" customHeight="1">
      <c r="A13198" s="49" t="s">
        <v>405</v>
      </c>
      <c r="B13198" s="50">
        <v>46203.0</v>
      </c>
      <c r="C13198" s="49" t="s">
        <v>69</v>
      </c>
      <c r="D13198" s="49">
        <v>0.0</v>
      </c>
    </row>
    <row r="13199" ht="15.0" hidden="1" customHeight="1">
      <c r="A13199" s="49" t="s">
        <v>410</v>
      </c>
      <c r="B13199" s="50">
        <v>46203.0</v>
      </c>
      <c r="C13199" s="49" t="s">
        <v>69</v>
      </c>
      <c r="D13199" s="49">
        <v>0.0</v>
      </c>
    </row>
    <row r="13200" ht="15.0" hidden="1" customHeight="1">
      <c r="A13200" s="49" t="s">
        <v>415</v>
      </c>
      <c r="B13200" s="50">
        <v>46203.0</v>
      </c>
      <c r="C13200" s="49" t="s">
        <v>69</v>
      </c>
      <c r="D13200" s="49">
        <v>0.0</v>
      </c>
    </row>
    <row r="13201" ht="15.0" hidden="1" customHeight="1">
      <c r="A13201" s="49" t="s">
        <v>420</v>
      </c>
      <c r="B13201" s="50">
        <v>46203.0</v>
      </c>
      <c r="C13201" s="49" t="s">
        <v>69</v>
      </c>
      <c r="D13201" s="49">
        <v>0.0</v>
      </c>
    </row>
    <row r="13202" ht="15.0" hidden="1" customHeight="1">
      <c r="A13202" s="49" t="s">
        <v>425</v>
      </c>
      <c r="B13202" s="50">
        <v>46203.0</v>
      </c>
      <c r="C13202" s="49" t="s">
        <v>69</v>
      </c>
      <c r="D13202" s="49">
        <v>0.0</v>
      </c>
    </row>
    <row r="13203" ht="15.0" hidden="1" customHeight="1">
      <c r="A13203" s="49" t="s">
        <v>430</v>
      </c>
      <c r="B13203" s="50">
        <v>46203.0</v>
      </c>
      <c r="C13203" s="49" t="s">
        <v>69</v>
      </c>
      <c r="D13203" s="49">
        <v>0.0</v>
      </c>
    </row>
    <row r="13204" ht="15.0" hidden="1" customHeight="1">
      <c r="A13204" s="49" t="s">
        <v>434</v>
      </c>
      <c r="B13204" s="50">
        <v>46203.0</v>
      </c>
      <c r="C13204" s="49" t="s">
        <v>69</v>
      </c>
      <c r="D13204" s="49">
        <v>0.0</v>
      </c>
    </row>
    <row r="13205" ht="15.0" hidden="1" customHeight="1">
      <c r="A13205" s="49" t="s">
        <v>439</v>
      </c>
      <c r="B13205" s="50">
        <v>46203.0</v>
      </c>
      <c r="C13205" s="49" t="s">
        <v>69</v>
      </c>
      <c r="D13205" s="49">
        <v>0.0</v>
      </c>
    </row>
    <row r="13206" ht="15.0" hidden="1" customHeight="1">
      <c r="A13206" s="49" t="s">
        <v>444</v>
      </c>
      <c r="B13206" s="50">
        <v>46203.0</v>
      </c>
      <c r="C13206" s="49" t="s">
        <v>69</v>
      </c>
      <c r="D13206" s="49">
        <v>0.0</v>
      </c>
    </row>
    <row r="13207" ht="15.0" hidden="1" customHeight="1">
      <c r="A13207" s="49" t="s">
        <v>449</v>
      </c>
      <c r="B13207" s="50">
        <v>46203.0</v>
      </c>
      <c r="C13207" s="49" t="s">
        <v>69</v>
      </c>
      <c r="D13207" s="49">
        <v>0.0</v>
      </c>
    </row>
    <row r="13208" ht="15.0" hidden="1" customHeight="1">
      <c r="A13208" s="49" t="s">
        <v>455</v>
      </c>
      <c r="B13208" s="50">
        <v>46203.0</v>
      </c>
      <c r="C13208" s="49" t="s">
        <v>69</v>
      </c>
      <c r="D13208" s="49">
        <v>0.0</v>
      </c>
    </row>
    <row r="13209" ht="15.0" hidden="1" customHeight="1">
      <c r="A13209" s="49" t="s">
        <v>470</v>
      </c>
      <c r="B13209" s="50">
        <v>46203.0</v>
      </c>
      <c r="C13209" s="49" t="s">
        <v>69</v>
      </c>
      <c r="D13209" s="49">
        <v>0.0</v>
      </c>
    </row>
    <row r="13210" ht="15.0" hidden="1" customHeight="1">
      <c r="A13210" s="49" t="s">
        <v>476</v>
      </c>
      <c r="B13210" s="50">
        <v>46203.0</v>
      </c>
      <c r="C13210" s="49" t="s">
        <v>69</v>
      </c>
      <c r="D13210" s="49">
        <v>0.0</v>
      </c>
    </row>
    <row r="13211" ht="15.0" hidden="1" customHeight="1">
      <c r="A13211" s="49" t="s">
        <v>481</v>
      </c>
      <c r="B13211" s="50">
        <v>46203.0</v>
      </c>
      <c r="C13211" s="49" t="s">
        <v>69</v>
      </c>
      <c r="D13211" s="49">
        <v>0.0</v>
      </c>
    </row>
    <row r="13212" ht="15.0" hidden="1" customHeight="1">
      <c r="A13212" s="49" t="s">
        <v>486</v>
      </c>
      <c r="B13212" s="50">
        <v>46203.0</v>
      </c>
      <c r="C13212" s="49" t="s">
        <v>69</v>
      </c>
      <c r="D13212" s="49">
        <v>0.0</v>
      </c>
    </row>
    <row r="13213" ht="15.0" hidden="1" customHeight="1">
      <c r="A13213" s="49" t="s">
        <v>491</v>
      </c>
      <c r="B13213" s="50">
        <v>46203.0</v>
      </c>
      <c r="C13213" s="49" t="s">
        <v>69</v>
      </c>
      <c r="D13213" s="49">
        <v>0.0</v>
      </c>
    </row>
    <row r="13214" ht="15.0" hidden="1" customHeight="1">
      <c r="A13214" s="49" t="s">
        <v>496</v>
      </c>
      <c r="B13214" s="50">
        <v>46203.0</v>
      </c>
      <c r="C13214" s="49" t="s">
        <v>69</v>
      </c>
      <c r="D13214" s="49">
        <v>0.0</v>
      </c>
    </row>
    <row r="13215" ht="15.0" hidden="1" customHeight="1">
      <c r="A13215" s="49" t="s">
        <v>501</v>
      </c>
      <c r="B13215" s="50">
        <v>46203.0</v>
      </c>
      <c r="C13215" s="49" t="s">
        <v>69</v>
      </c>
      <c r="D13215" s="49">
        <v>0.0</v>
      </c>
    </row>
    <row r="13216" ht="15.0" hidden="1" customHeight="1">
      <c r="A13216" s="49" t="s">
        <v>506</v>
      </c>
      <c r="B13216" s="50">
        <v>46203.0</v>
      </c>
      <c r="C13216" s="49" t="s">
        <v>69</v>
      </c>
      <c r="D13216" s="49">
        <v>0.0</v>
      </c>
    </row>
    <row r="13217" ht="15.0" hidden="1" customHeight="1">
      <c r="A13217" s="49" t="s">
        <v>512</v>
      </c>
      <c r="B13217" s="50">
        <v>46203.0</v>
      </c>
      <c r="C13217" s="49" t="s">
        <v>69</v>
      </c>
      <c r="D13217" s="49">
        <v>0.0</v>
      </c>
    </row>
    <row r="13218" ht="15.0" hidden="1" customHeight="1">
      <c r="A13218" s="49" t="s">
        <v>517</v>
      </c>
      <c r="B13218" s="50">
        <v>46203.0</v>
      </c>
      <c r="C13218" s="49" t="s">
        <v>69</v>
      </c>
      <c r="D13218" s="49">
        <v>0.0</v>
      </c>
    </row>
    <row r="13219" ht="15.0" hidden="1" customHeight="1">
      <c r="A13219" s="49" t="s">
        <v>522</v>
      </c>
      <c r="B13219" s="50">
        <v>46203.0</v>
      </c>
      <c r="C13219" s="49" t="s">
        <v>69</v>
      </c>
      <c r="D13219" s="49">
        <v>0.0</v>
      </c>
    </row>
    <row r="13220" ht="15.0" hidden="1" customHeight="1">
      <c r="A13220" s="49" t="s">
        <v>528</v>
      </c>
      <c r="B13220" s="50">
        <v>46203.0</v>
      </c>
      <c r="C13220" s="49" t="s">
        <v>69</v>
      </c>
      <c r="D13220" s="49">
        <v>0.0</v>
      </c>
    </row>
    <row r="13221" ht="15.0" hidden="1" customHeight="1">
      <c r="A13221" s="49" t="s">
        <v>533</v>
      </c>
      <c r="B13221" s="50">
        <v>46203.0</v>
      </c>
      <c r="C13221" s="49" t="s">
        <v>69</v>
      </c>
      <c r="D13221" s="49">
        <v>0.0</v>
      </c>
    </row>
    <row r="13222" ht="15.0" hidden="1" customHeight="1">
      <c r="A13222" s="49" t="s">
        <v>538</v>
      </c>
      <c r="B13222" s="50">
        <v>46203.0</v>
      </c>
      <c r="C13222" s="49" t="s">
        <v>69</v>
      </c>
      <c r="D13222" s="49">
        <v>0.0</v>
      </c>
    </row>
    <row r="13223" ht="15.0" hidden="1" customHeight="1">
      <c r="A13223" s="49" t="s">
        <v>546</v>
      </c>
      <c r="B13223" s="50">
        <v>46203.0</v>
      </c>
      <c r="C13223" s="49" t="s">
        <v>69</v>
      </c>
      <c r="D13223" s="49">
        <v>0.0</v>
      </c>
    </row>
    <row r="13224" ht="15.0" hidden="1" customHeight="1">
      <c r="A13224" s="49" t="s">
        <v>551</v>
      </c>
      <c r="B13224" s="50">
        <v>46203.0</v>
      </c>
      <c r="C13224" s="49" t="s">
        <v>69</v>
      </c>
      <c r="D13224" s="49">
        <v>0.0</v>
      </c>
    </row>
    <row r="13225" ht="15.0" hidden="1" customHeight="1">
      <c r="A13225" s="49" t="s">
        <v>556</v>
      </c>
      <c r="B13225" s="50">
        <v>46203.0</v>
      </c>
      <c r="C13225" s="49" t="s">
        <v>69</v>
      </c>
      <c r="D13225" s="49">
        <v>0.0</v>
      </c>
    </row>
    <row r="13226" ht="15.0" hidden="1" customHeight="1">
      <c r="A13226" s="49" t="s">
        <v>561</v>
      </c>
      <c r="B13226" s="50">
        <v>46203.0</v>
      </c>
      <c r="C13226" s="49" t="s">
        <v>69</v>
      </c>
      <c r="D13226" s="49">
        <v>0.0</v>
      </c>
    </row>
    <row r="13227" ht="15.0" hidden="1" customHeight="1">
      <c r="A13227" s="49" t="s">
        <v>566</v>
      </c>
      <c r="B13227" s="50">
        <v>46203.0</v>
      </c>
      <c r="C13227" s="49" t="s">
        <v>69</v>
      </c>
      <c r="D13227" s="49">
        <v>0.0</v>
      </c>
    </row>
    <row r="13228" ht="15.0" hidden="1" customHeight="1">
      <c r="A13228" s="49" t="s">
        <v>571</v>
      </c>
      <c r="B13228" s="50">
        <v>46203.0</v>
      </c>
      <c r="C13228" s="49" t="s">
        <v>69</v>
      </c>
      <c r="D13228" s="49">
        <v>0.0</v>
      </c>
    </row>
    <row r="13229" ht="15.0" hidden="1" customHeight="1">
      <c r="A13229" s="49" t="s">
        <v>576</v>
      </c>
      <c r="B13229" s="50">
        <v>46203.0</v>
      </c>
      <c r="C13229" s="49" t="s">
        <v>69</v>
      </c>
      <c r="D13229" s="49">
        <v>0.0</v>
      </c>
    </row>
    <row r="13230" ht="15.0" hidden="1" customHeight="1">
      <c r="A13230" s="49" t="s">
        <v>581</v>
      </c>
      <c r="B13230" s="50">
        <v>46203.0</v>
      </c>
      <c r="C13230" s="49" t="s">
        <v>69</v>
      </c>
      <c r="D13230" s="49">
        <v>0.0</v>
      </c>
    </row>
    <row r="13231" ht="15.0" hidden="1" customHeight="1">
      <c r="A13231" s="49" t="s">
        <v>586</v>
      </c>
      <c r="B13231" s="50">
        <v>46203.0</v>
      </c>
      <c r="C13231" s="49" t="s">
        <v>69</v>
      </c>
      <c r="D13231" s="49">
        <v>0.0</v>
      </c>
    </row>
    <row r="13232" ht="15.0" hidden="1" customHeight="1">
      <c r="A13232" s="49" t="s">
        <v>754</v>
      </c>
      <c r="B13232" s="50">
        <v>46203.0</v>
      </c>
      <c r="C13232" s="49" t="s">
        <v>69</v>
      </c>
      <c r="D13232" s="49">
        <v>0.0</v>
      </c>
    </row>
    <row r="13233" ht="15.0" hidden="1" customHeight="1">
      <c r="A13233" s="49" t="s">
        <v>591</v>
      </c>
      <c r="B13233" s="50">
        <v>46203.0</v>
      </c>
      <c r="C13233" s="49" t="s">
        <v>69</v>
      </c>
      <c r="D13233" s="49">
        <v>0.0</v>
      </c>
    </row>
    <row r="13234" ht="15.0" hidden="1" customHeight="1">
      <c r="A13234" s="49" t="s">
        <v>759</v>
      </c>
      <c r="B13234" s="50">
        <v>46203.0</v>
      </c>
      <c r="C13234" s="49" t="s">
        <v>69</v>
      </c>
      <c r="D13234" s="49">
        <v>0.0</v>
      </c>
    </row>
    <row r="13235" ht="15.0" hidden="1" customHeight="1">
      <c r="A13235" s="49" t="s">
        <v>596</v>
      </c>
      <c r="B13235" s="50">
        <v>46203.0</v>
      </c>
      <c r="C13235" s="49" t="s">
        <v>69</v>
      </c>
      <c r="D13235" s="49">
        <v>0.0</v>
      </c>
    </row>
    <row r="13236" ht="15.0" hidden="1" customHeight="1">
      <c r="A13236" s="49" t="s">
        <v>602</v>
      </c>
      <c r="B13236" s="50">
        <v>46203.0</v>
      </c>
      <c r="C13236" s="49" t="s">
        <v>69</v>
      </c>
      <c r="D13236" s="49">
        <v>0.0</v>
      </c>
    </row>
    <row r="13237" ht="15.0" hidden="1" customHeight="1">
      <c r="A13237" s="49" t="s">
        <v>607</v>
      </c>
      <c r="B13237" s="50">
        <v>46203.0</v>
      </c>
      <c r="C13237" s="49" t="s">
        <v>69</v>
      </c>
      <c r="D13237" s="49">
        <v>0.0</v>
      </c>
    </row>
    <row r="13238" ht="15.0" hidden="1" customHeight="1">
      <c r="A13238" s="49" t="s">
        <v>612</v>
      </c>
      <c r="B13238" s="50">
        <v>46203.0</v>
      </c>
      <c r="C13238" s="49" t="s">
        <v>69</v>
      </c>
      <c r="D13238" s="49">
        <v>0.0</v>
      </c>
    </row>
    <row r="13239" ht="15.0" hidden="1" customHeight="1">
      <c r="A13239" s="49" t="s">
        <v>617</v>
      </c>
      <c r="B13239" s="50">
        <v>46203.0</v>
      </c>
      <c r="C13239" s="49" t="s">
        <v>69</v>
      </c>
      <c r="D13239" s="49">
        <v>0.0</v>
      </c>
    </row>
    <row r="13240" ht="15.0" hidden="1" customHeight="1">
      <c r="A13240" s="49" t="s">
        <v>622</v>
      </c>
      <c r="B13240" s="50">
        <v>46203.0</v>
      </c>
      <c r="C13240" s="49" t="s">
        <v>69</v>
      </c>
      <c r="D13240" s="49">
        <v>0.0</v>
      </c>
    </row>
    <row r="13241" ht="15.0" hidden="1" customHeight="1">
      <c r="A13241" s="49" t="s">
        <v>627</v>
      </c>
      <c r="B13241" s="50">
        <v>46203.0</v>
      </c>
      <c r="C13241" s="49" t="s">
        <v>69</v>
      </c>
      <c r="D13241" s="49">
        <v>0.0</v>
      </c>
    </row>
    <row r="13242" ht="15.0" hidden="1" customHeight="1">
      <c r="A13242" s="49" t="s">
        <v>631</v>
      </c>
      <c r="B13242" s="50">
        <v>46203.0</v>
      </c>
      <c r="C13242" s="49" t="s">
        <v>69</v>
      </c>
      <c r="D13242" s="49">
        <v>0.0</v>
      </c>
    </row>
    <row r="13243" ht="15.0" hidden="1" customHeight="1">
      <c r="A13243" s="49" t="s">
        <v>636</v>
      </c>
      <c r="B13243" s="50">
        <v>46203.0</v>
      </c>
      <c r="C13243" s="49" t="s">
        <v>69</v>
      </c>
      <c r="D13243" s="49">
        <v>0.0</v>
      </c>
    </row>
    <row r="13244" ht="15.0" hidden="1" customHeight="1">
      <c r="A13244" s="49" t="s">
        <v>640</v>
      </c>
      <c r="B13244" s="50">
        <v>46203.0</v>
      </c>
      <c r="C13244" s="49" t="s">
        <v>69</v>
      </c>
      <c r="D13244" s="49">
        <v>0.0</v>
      </c>
    </row>
    <row r="13245" ht="15.0" hidden="1" customHeight="1">
      <c r="A13245" s="49" t="s">
        <v>644</v>
      </c>
      <c r="B13245" s="50">
        <v>46203.0</v>
      </c>
      <c r="C13245" s="49" t="s">
        <v>69</v>
      </c>
      <c r="D13245" s="49">
        <v>0.0</v>
      </c>
    </row>
    <row r="13246" ht="15.0" hidden="1" customHeight="1">
      <c r="A13246" s="49" t="s">
        <v>649</v>
      </c>
      <c r="B13246" s="50">
        <v>46203.0</v>
      </c>
      <c r="C13246" s="49" t="s">
        <v>69</v>
      </c>
      <c r="D13246" s="49">
        <v>0.0</v>
      </c>
    </row>
    <row r="13247" ht="15.0" hidden="1" customHeight="1">
      <c r="A13247" s="49" t="s">
        <v>654</v>
      </c>
      <c r="B13247" s="50">
        <v>46203.0</v>
      </c>
      <c r="C13247" s="49" t="s">
        <v>69</v>
      </c>
      <c r="D13247" s="49">
        <v>0.0</v>
      </c>
    </row>
    <row r="13248" ht="15.0" hidden="1" customHeight="1">
      <c r="A13248" s="49" t="s">
        <v>659</v>
      </c>
      <c r="B13248" s="50">
        <v>46203.0</v>
      </c>
      <c r="C13248" s="49" t="s">
        <v>69</v>
      </c>
      <c r="D13248" s="49">
        <v>0.0</v>
      </c>
    </row>
    <row r="13249" ht="15.0" hidden="1" customHeight="1">
      <c r="A13249" s="49" t="s">
        <v>664</v>
      </c>
      <c r="B13249" s="50">
        <v>46203.0</v>
      </c>
      <c r="C13249" s="49" t="s">
        <v>69</v>
      </c>
      <c r="D13249" s="49">
        <v>0.0</v>
      </c>
    </row>
    <row r="13250" ht="15.0" hidden="1" customHeight="1">
      <c r="A13250" s="49" t="s">
        <v>669</v>
      </c>
      <c r="B13250" s="50">
        <v>46203.0</v>
      </c>
      <c r="C13250" s="49" t="s">
        <v>69</v>
      </c>
      <c r="D13250" s="49">
        <v>0.0</v>
      </c>
    </row>
    <row r="13251" ht="15.0" hidden="1" customHeight="1">
      <c r="A13251" s="49" t="s">
        <v>674</v>
      </c>
      <c r="B13251" s="50">
        <v>46203.0</v>
      </c>
      <c r="C13251" s="49" t="s">
        <v>69</v>
      </c>
      <c r="D13251" s="49">
        <v>0.0</v>
      </c>
    </row>
    <row r="13252" ht="15.0" hidden="1" customHeight="1">
      <c r="A13252" s="49" t="s">
        <v>679</v>
      </c>
      <c r="B13252" s="50">
        <v>46203.0</v>
      </c>
      <c r="C13252" s="49" t="s">
        <v>69</v>
      </c>
      <c r="D13252" s="49">
        <v>0.0</v>
      </c>
    </row>
    <row r="13253" ht="15.0" hidden="1" customHeight="1">
      <c r="A13253" s="49" t="s">
        <v>684</v>
      </c>
      <c r="B13253" s="50">
        <v>46203.0</v>
      </c>
      <c r="C13253" s="49" t="s">
        <v>69</v>
      </c>
      <c r="D13253" s="49">
        <v>0.0</v>
      </c>
    </row>
    <row r="13254" ht="15.0" hidden="1" customHeight="1">
      <c r="A13254" s="49" t="s">
        <v>689</v>
      </c>
      <c r="B13254" s="50">
        <v>46203.0</v>
      </c>
      <c r="C13254" s="49" t="s">
        <v>69</v>
      </c>
      <c r="D13254" s="49">
        <v>0.0</v>
      </c>
    </row>
    <row r="13255" ht="15.0" hidden="1" customHeight="1">
      <c r="A13255" s="49" t="s">
        <v>694</v>
      </c>
      <c r="B13255" s="50">
        <v>46203.0</v>
      </c>
      <c r="C13255" s="49" t="s">
        <v>69</v>
      </c>
      <c r="D13255" s="49">
        <v>0.0</v>
      </c>
    </row>
    <row r="13256" ht="15.0" hidden="1" customHeight="1">
      <c r="A13256" s="49" t="s">
        <v>699</v>
      </c>
      <c r="B13256" s="50">
        <v>46203.0</v>
      </c>
      <c r="C13256" s="49" t="s">
        <v>69</v>
      </c>
      <c r="D13256" s="49">
        <v>0.0</v>
      </c>
    </row>
    <row r="13257" ht="15.0" hidden="1" customHeight="1">
      <c r="A13257" s="49" t="s">
        <v>705</v>
      </c>
      <c r="B13257" s="50">
        <v>46203.0</v>
      </c>
      <c r="C13257" s="49" t="s">
        <v>69</v>
      </c>
      <c r="D13257" s="49">
        <v>0.0</v>
      </c>
    </row>
    <row r="13258" ht="15.0" hidden="1" customHeight="1">
      <c r="A13258" s="49" t="s">
        <v>710</v>
      </c>
      <c r="B13258" s="50">
        <v>46203.0</v>
      </c>
      <c r="C13258" s="49" t="s">
        <v>69</v>
      </c>
      <c r="D13258" s="49">
        <v>0.0</v>
      </c>
    </row>
    <row r="13259" ht="15.0" hidden="1" customHeight="1">
      <c r="A13259" s="49" t="s">
        <v>715</v>
      </c>
      <c r="B13259" s="50">
        <v>46203.0</v>
      </c>
      <c r="C13259" s="49" t="s">
        <v>69</v>
      </c>
      <c r="D13259" s="49">
        <v>0.0</v>
      </c>
    </row>
    <row r="13260" ht="15.0" hidden="1" customHeight="1">
      <c r="A13260" s="49" t="s">
        <v>765</v>
      </c>
      <c r="B13260" s="50">
        <v>46203.0</v>
      </c>
      <c r="C13260" s="49" t="s">
        <v>69</v>
      </c>
      <c r="D13260" s="49">
        <v>0.0</v>
      </c>
    </row>
    <row r="13261" ht="15.0" hidden="1" customHeight="1">
      <c r="A13261" s="49" t="s">
        <v>720</v>
      </c>
      <c r="B13261" s="50">
        <v>46203.0</v>
      </c>
      <c r="C13261" s="49" t="s">
        <v>69</v>
      </c>
      <c r="D13261" s="49">
        <v>0.0</v>
      </c>
    </row>
    <row r="13262" ht="15.0" hidden="1" customHeight="1">
      <c r="A13262" s="49" t="s">
        <v>725</v>
      </c>
      <c r="B13262" s="50">
        <v>46203.0</v>
      </c>
      <c r="C13262" s="49" t="s">
        <v>69</v>
      </c>
      <c r="D13262" s="49">
        <v>0.0</v>
      </c>
    </row>
    <row r="13263" ht="15.0" hidden="1" customHeight="1">
      <c r="A13263" s="49" t="s">
        <v>730</v>
      </c>
      <c r="B13263" s="50">
        <v>46203.0</v>
      </c>
      <c r="C13263" s="49" t="s">
        <v>69</v>
      </c>
      <c r="D13263" s="49">
        <v>0.0</v>
      </c>
    </row>
    <row r="13264" ht="15.0" hidden="1" customHeight="1">
      <c r="A13264" s="49" t="s">
        <v>734</v>
      </c>
      <c r="B13264" s="50">
        <v>46203.0</v>
      </c>
      <c r="C13264" s="49" t="s">
        <v>69</v>
      </c>
      <c r="D13264" s="49">
        <v>0.0</v>
      </c>
    </row>
    <row r="13265" ht="15.0" hidden="1" customHeight="1">
      <c r="A13265" s="49" t="s">
        <v>739</v>
      </c>
      <c r="B13265" s="50">
        <v>46203.0</v>
      </c>
      <c r="C13265" s="49" t="s">
        <v>69</v>
      </c>
      <c r="D13265" s="49">
        <v>0.0</v>
      </c>
    </row>
    <row r="13266" ht="15.0" hidden="1" customHeight="1">
      <c r="A13266" s="49" t="s">
        <v>744</v>
      </c>
      <c r="B13266" s="50">
        <v>46203.0</v>
      </c>
      <c r="C13266" s="49" t="s">
        <v>69</v>
      </c>
      <c r="D13266" s="49">
        <v>0.0</v>
      </c>
    </row>
    <row r="13267" ht="15.0" hidden="1" customHeight="1">
      <c r="A13267" s="49" t="s">
        <v>749</v>
      </c>
      <c r="B13267" s="50">
        <v>46203.0</v>
      </c>
      <c r="C13267" s="49" t="s">
        <v>69</v>
      </c>
      <c r="D13267" s="49">
        <v>0.0</v>
      </c>
    </row>
    <row r="13268" ht="15.0" customHeight="1">
      <c r="A13268" s="49" t="s">
        <v>776</v>
      </c>
      <c r="B13268" s="50">
        <v>46203.0</v>
      </c>
      <c r="C13268" s="49" t="s">
        <v>780</v>
      </c>
      <c r="D13268" s="49">
        <v>0.0</v>
      </c>
    </row>
    <row r="13269" ht="15.0" hidden="1" customHeight="1">
      <c r="A13269" s="49" t="s">
        <v>778</v>
      </c>
      <c r="B13269" s="50">
        <v>46203.0</v>
      </c>
      <c r="C13269" s="49" t="s">
        <v>780</v>
      </c>
      <c r="D13269" s="49">
        <v>0.0</v>
      </c>
    </row>
    <row r="13270" ht="15.0" hidden="1" customHeight="1">
      <c r="A13270" s="49" t="s">
        <v>92</v>
      </c>
      <c r="B13270" s="50">
        <v>46203.0</v>
      </c>
      <c r="C13270" s="49" t="s">
        <v>780</v>
      </c>
      <c r="D13270" s="49">
        <v>0.0</v>
      </c>
    </row>
    <row r="13271" ht="15.0" hidden="1" customHeight="1">
      <c r="A13271" s="49" t="s">
        <v>97</v>
      </c>
      <c r="B13271" s="50">
        <v>46203.0</v>
      </c>
      <c r="C13271" s="49" t="s">
        <v>780</v>
      </c>
      <c r="D13271" s="49">
        <v>0.0</v>
      </c>
    </row>
    <row r="13272" ht="15.0" hidden="1" customHeight="1">
      <c r="A13272" s="49" t="s">
        <v>102</v>
      </c>
      <c r="B13272" s="50">
        <v>46203.0</v>
      </c>
      <c r="C13272" s="49" t="s">
        <v>780</v>
      </c>
      <c r="D13272" s="49">
        <v>0.0</v>
      </c>
    </row>
    <row r="13273" ht="15.0" hidden="1" customHeight="1">
      <c r="A13273" s="49" t="s">
        <v>106</v>
      </c>
      <c r="B13273" s="50">
        <v>46203.0</v>
      </c>
      <c r="C13273" s="49" t="s">
        <v>780</v>
      </c>
      <c r="D13273" s="49">
        <v>0.0</v>
      </c>
    </row>
    <row r="13274" ht="15.0" hidden="1" customHeight="1">
      <c r="A13274" s="49" t="s">
        <v>111</v>
      </c>
      <c r="B13274" s="50">
        <v>46203.0</v>
      </c>
      <c r="C13274" s="49" t="s">
        <v>780</v>
      </c>
      <c r="D13274" s="49">
        <v>0.0</v>
      </c>
    </row>
    <row r="13275" ht="15.0" hidden="1" customHeight="1">
      <c r="A13275" s="49" t="s">
        <v>116</v>
      </c>
      <c r="B13275" s="50">
        <v>46203.0</v>
      </c>
      <c r="C13275" s="49" t="s">
        <v>780</v>
      </c>
      <c r="D13275" s="49">
        <v>0.0</v>
      </c>
    </row>
    <row r="13276" ht="15.0" hidden="1" customHeight="1">
      <c r="A13276" s="49" t="s">
        <v>120</v>
      </c>
      <c r="B13276" s="50">
        <v>46203.0</v>
      </c>
      <c r="C13276" s="49" t="s">
        <v>780</v>
      </c>
      <c r="D13276" s="49">
        <v>0.0</v>
      </c>
    </row>
    <row r="13277" ht="15.0" hidden="1" customHeight="1">
      <c r="A13277" s="49" t="s">
        <v>125</v>
      </c>
      <c r="B13277" s="50">
        <v>46203.0</v>
      </c>
      <c r="C13277" s="49" t="s">
        <v>780</v>
      </c>
      <c r="D13277" s="49">
        <v>0.0</v>
      </c>
    </row>
    <row r="13278" ht="15.0" hidden="1" customHeight="1">
      <c r="A13278" s="49" t="s">
        <v>130</v>
      </c>
      <c r="B13278" s="50">
        <v>46203.0</v>
      </c>
      <c r="C13278" s="49" t="s">
        <v>780</v>
      </c>
      <c r="D13278" s="49">
        <v>0.0</v>
      </c>
    </row>
    <row r="13279" ht="15.0" hidden="1" customHeight="1">
      <c r="A13279" s="49" t="s">
        <v>137</v>
      </c>
      <c r="B13279" s="50">
        <v>46203.0</v>
      </c>
      <c r="C13279" s="49" t="s">
        <v>780</v>
      </c>
      <c r="D13279" s="49">
        <v>0.0</v>
      </c>
    </row>
    <row r="13280" ht="15.0" hidden="1" customHeight="1">
      <c r="A13280" s="49" t="s">
        <v>142</v>
      </c>
      <c r="B13280" s="50">
        <v>46203.0</v>
      </c>
      <c r="C13280" s="49" t="s">
        <v>780</v>
      </c>
      <c r="D13280" s="49">
        <v>0.0</v>
      </c>
    </row>
    <row r="13281" ht="15.0" hidden="1" customHeight="1">
      <c r="A13281" s="49" t="s">
        <v>147</v>
      </c>
      <c r="B13281" s="50">
        <v>46203.0</v>
      </c>
      <c r="C13281" s="49" t="s">
        <v>780</v>
      </c>
      <c r="D13281" s="49">
        <v>0.0</v>
      </c>
    </row>
    <row r="13282" ht="15.0" hidden="1" customHeight="1">
      <c r="A13282" s="49" t="s">
        <v>152</v>
      </c>
      <c r="B13282" s="50">
        <v>46203.0</v>
      </c>
      <c r="C13282" s="49" t="s">
        <v>780</v>
      </c>
      <c r="D13282" s="49">
        <v>0.0</v>
      </c>
    </row>
    <row r="13283" ht="15.0" hidden="1" customHeight="1">
      <c r="A13283" s="49" t="s">
        <v>157</v>
      </c>
      <c r="B13283" s="50">
        <v>46203.0</v>
      </c>
      <c r="C13283" s="49" t="s">
        <v>780</v>
      </c>
      <c r="D13283" s="49">
        <v>0.0</v>
      </c>
    </row>
    <row r="13284" ht="15.0" hidden="1" customHeight="1">
      <c r="A13284" s="49" t="s">
        <v>162</v>
      </c>
      <c r="B13284" s="50">
        <v>46203.0</v>
      </c>
      <c r="C13284" s="49" t="s">
        <v>780</v>
      </c>
      <c r="D13284" s="49">
        <v>0.0</v>
      </c>
    </row>
    <row r="13285" ht="15.0" hidden="1" customHeight="1">
      <c r="A13285" s="49" t="s">
        <v>167</v>
      </c>
      <c r="B13285" s="50">
        <v>46203.0</v>
      </c>
      <c r="C13285" s="49" t="s">
        <v>780</v>
      </c>
      <c r="D13285" s="49">
        <v>0.0</v>
      </c>
    </row>
    <row r="13286" ht="15.0" hidden="1" customHeight="1">
      <c r="A13286" s="49" t="s">
        <v>172</v>
      </c>
      <c r="B13286" s="50">
        <v>46203.0</v>
      </c>
      <c r="C13286" s="49" t="s">
        <v>780</v>
      </c>
      <c r="D13286" s="49">
        <v>0.0</v>
      </c>
    </row>
    <row r="13287" ht="15.0" hidden="1" customHeight="1">
      <c r="A13287" s="49" t="s">
        <v>177</v>
      </c>
      <c r="B13287" s="50">
        <v>46203.0</v>
      </c>
      <c r="C13287" s="49" t="s">
        <v>780</v>
      </c>
      <c r="D13287" s="49">
        <v>0.0</v>
      </c>
    </row>
    <row r="13288" ht="15.0" hidden="1" customHeight="1">
      <c r="A13288" s="49" t="s">
        <v>182</v>
      </c>
      <c r="B13288" s="50">
        <v>46203.0</v>
      </c>
      <c r="C13288" s="49" t="s">
        <v>780</v>
      </c>
      <c r="D13288" s="49">
        <v>0.0</v>
      </c>
    </row>
    <row r="13289" ht="15.0" hidden="1" customHeight="1">
      <c r="A13289" s="49" t="s">
        <v>187</v>
      </c>
      <c r="B13289" s="50">
        <v>46203.0</v>
      </c>
      <c r="C13289" s="49" t="s">
        <v>780</v>
      </c>
      <c r="D13289" s="49">
        <v>0.0</v>
      </c>
    </row>
    <row r="13290" ht="15.0" hidden="1" customHeight="1">
      <c r="A13290" s="49" t="s">
        <v>192</v>
      </c>
      <c r="B13290" s="50">
        <v>46203.0</v>
      </c>
      <c r="C13290" s="49" t="s">
        <v>780</v>
      </c>
      <c r="D13290" s="49">
        <v>0.0</v>
      </c>
    </row>
    <row r="13291" ht="15.0" hidden="1" customHeight="1">
      <c r="A13291" s="49" t="s">
        <v>197</v>
      </c>
      <c r="B13291" s="50">
        <v>46203.0</v>
      </c>
      <c r="C13291" s="49" t="s">
        <v>780</v>
      </c>
      <c r="D13291" s="49">
        <v>0.0</v>
      </c>
    </row>
    <row r="13292" ht="15.0" hidden="1" customHeight="1">
      <c r="A13292" s="49" t="s">
        <v>202</v>
      </c>
      <c r="B13292" s="50">
        <v>46203.0</v>
      </c>
      <c r="C13292" s="49" t="s">
        <v>780</v>
      </c>
      <c r="D13292" s="49">
        <v>0.0</v>
      </c>
    </row>
    <row r="13293" ht="15.0" hidden="1" customHeight="1">
      <c r="A13293" s="49" t="s">
        <v>206</v>
      </c>
      <c r="B13293" s="50">
        <v>46203.0</v>
      </c>
      <c r="C13293" s="49" t="s">
        <v>780</v>
      </c>
      <c r="D13293" s="49">
        <v>0.0</v>
      </c>
    </row>
    <row r="13294" ht="15.0" hidden="1" customHeight="1">
      <c r="A13294" s="49" t="s">
        <v>211</v>
      </c>
      <c r="B13294" s="50">
        <v>46203.0</v>
      </c>
      <c r="C13294" s="49" t="s">
        <v>780</v>
      </c>
      <c r="D13294" s="49">
        <v>0.0</v>
      </c>
    </row>
    <row r="13295" ht="15.0" hidden="1" customHeight="1">
      <c r="A13295" s="49" t="s">
        <v>779</v>
      </c>
      <c r="B13295" s="50">
        <v>46203.0</v>
      </c>
      <c r="C13295" s="49" t="s">
        <v>780</v>
      </c>
      <c r="D13295" s="49">
        <v>0.0</v>
      </c>
    </row>
    <row r="13296" ht="15.0" hidden="1" customHeight="1">
      <c r="A13296" s="49" t="s">
        <v>221</v>
      </c>
      <c r="B13296" s="50">
        <v>46203.0</v>
      </c>
      <c r="C13296" s="49" t="s">
        <v>780</v>
      </c>
      <c r="D13296" s="49">
        <v>0.0</v>
      </c>
    </row>
    <row r="13297" ht="15.0" hidden="1" customHeight="1">
      <c r="A13297" s="49" t="s">
        <v>226</v>
      </c>
      <c r="B13297" s="50">
        <v>46203.0</v>
      </c>
      <c r="C13297" s="49" t="s">
        <v>780</v>
      </c>
      <c r="D13297" s="49">
        <v>0.0</v>
      </c>
    </row>
    <row r="13298" ht="15.0" hidden="1" customHeight="1">
      <c r="A13298" s="49" t="s">
        <v>231</v>
      </c>
      <c r="B13298" s="50">
        <v>46203.0</v>
      </c>
      <c r="C13298" s="49" t="s">
        <v>780</v>
      </c>
      <c r="D13298" s="49">
        <v>0.0</v>
      </c>
    </row>
    <row r="13299" ht="15.0" hidden="1" customHeight="1">
      <c r="A13299" s="49" t="s">
        <v>236</v>
      </c>
      <c r="B13299" s="50">
        <v>46203.0</v>
      </c>
      <c r="C13299" s="49" t="s">
        <v>780</v>
      </c>
      <c r="D13299" s="49">
        <v>0.0</v>
      </c>
    </row>
    <row r="13300" ht="15.0" hidden="1" customHeight="1">
      <c r="A13300" s="49" t="s">
        <v>242</v>
      </c>
      <c r="B13300" s="50">
        <v>46203.0</v>
      </c>
      <c r="C13300" s="49" t="s">
        <v>780</v>
      </c>
      <c r="D13300" s="49">
        <v>0.0</v>
      </c>
    </row>
    <row r="13301" ht="15.0" hidden="1" customHeight="1">
      <c r="A13301" s="49" t="s">
        <v>248</v>
      </c>
      <c r="B13301" s="50">
        <v>46203.0</v>
      </c>
      <c r="C13301" s="49" t="s">
        <v>780</v>
      </c>
      <c r="D13301" s="49">
        <v>0.0</v>
      </c>
    </row>
    <row r="13302" ht="15.0" hidden="1" customHeight="1">
      <c r="A13302" s="49" t="s">
        <v>253</v>
      </c>
      <c r="B13302" s="50">
        <v>46203.0</v>
      </c>
      <c r="C13302" s="49" t="s">
        <v>780</v>
      </c>
      <c r="D13302" s="49">
        <v>0.0</v>
      </c>
    </row>
    <row r="13303" ht="15.0" hidden="1" customHeight="1">
      <c r="A13303" s="49" t="s">
        <v>258</v>
      </c>
      <c r="B13303" s="50">
        <v>46203.0</v>
      </c>
      <c r="C13303" s="49" t="s">
        <v>780</v>
      </c>
      <c r="D13303" s="49">
        <v>0.0</v>
      </c>
    </row>
    <row r="13304" ht="15.0" hidden="1" customHeight="1">
      <c r="A13304" s="49" t="s">
        <v>263</v>
      </c>
      <c r="B13304" s="50">
        <v>46203.0</v>
      </c>
      <c r="C13304" s="49" t="s">
        <v>780</v>
      </c>
      <c r="D13304" s="49">
        <v>0.0</v>
      </c>
    </row>
    <row r="13305" ht="15.0" hidden="1" customHeight="1">
      <c r="A13305" s="49" t="s">
        <v>268</v>
      </c>
      <c r="B13305" s="50">
        <v>46203.0</v>
      </c>
      <c r="C13305" s="49" t="s">
        <v>780</v>
      </c>
      <c r="D13305" s="49">
        <v>0.0</v>
      </c>
    </row>
    <row r="13306" ht="15.0" hidden="1" customHeight="1">
      <c r="A13306" s="49" t="s">
        <v>273</v>
      </c>
      <c r="B13306" s="50">
        <v>46203.0</v>
      </c>
      <c r="C13306" s="49" t="s">
        <v>780</v>
      </c>
      <c r="D13306" s="49">
        <v>0.0</v>
      </c>
    </row>
    <row r="13307" ht="15.0" hidden="1" customHeight="1">
      <c r="A13307" s="49" t="s">
        <v>278</v>
      </c>
      <c r="B13307" s="50">
        <v>46203.0</v>
      </c>
      <c r="C13307" s="49" t="s">
        <v>780</v>
      </c>
      <c r="D13307" s="49">
        <v>0.0</v>
      </c>
    </row>
    <row r="13308" ht="15.0" hidden="1" customHeight="1">
      <c r="A13308" s="49" t="s">
        <v>283</v>
      </c>
      <c r="B13308" s="50">
        <v>46203.0</v>
      </c>
      <c r="C13308" s="49" t="s">
        <v>780</v>
      </c>
      <c r="D13308" s="49">
        <v>0.0</v>
      </c>
    </row>
    <row r="13309" ht="15.0" hidden="1" customHeight="1">
      <c r="A13309" s="49" t="s">
        <v>288</v>
      </c>
      <c r="B13309" s="50">
        <v>46203.0</v>
      </c>
      <c r="C13309" s="49" t="s">
        <v>780</v>
      </c>
      <c r="D13309" s="49">
        <v>0.0</v>
      </c>
    </row>
    <row r="13310" ht="15.0" hidden="1" customHeight="1">
      <c r="A13310" s="49" t="s">
        <v>293</v>
      </c>
      <c r="B13310" s="50">
        <v>46203.0</v>
      </c>
      <c r="C13310" s="49" t="s">
        <v>780</v>
      </c>
      <c r="D13310" s="49">
        <v>0.0</v>
      </c>
    </row>
    <row r="13311" ht="15.0" hidden="1" customHeight="1">
      <c r="A13311" s="49" t="s">
        <v>298</v>
      </c>
      <c r="B13311" s="50">
        <v>46203.0</v>
      </c>
      <c r="C13311" s="49" t="s">
        <v>780</v>
      </c>
      <c r="D13311" s="49">
        <v>0.0</v>
      </c>
    </row>
    <row r="13312" ht="15.0" hidden="1" customHeight="1">
      <c r="A13312" s="49" t="s">
        <v>303</v>
      </c>
      <c r="B13312" s="50">
        <v>46203.0</v>
      </c>
      <c r="C13312" s="49" t="s">
        <v>780</v>
      </c>
      <c r="D13312" s="49">
        <v>0.0</v>
      </c>
    </row>
    <row r="13313" ht="15.0" hidden="1" customHeight="1">
      <c r="A13313" s="49" t="s">
        <v>307</v>
      </c>
      <c r="B13313" s="50">
        <v>46203.0</v>
      </c>
      <c r="C13313" s="49" t="s">
        <v>780</v>
      </c>
      <c r="D13313" s="49">
        <v>0.0</v>
      </c>
    </row>
    <row r="13314" ht="15.0" hidden="1" customHeight="1">
      <c r="A13314" s="49" t="s">
        <v>313</v>
      </c>
      <c r="B13314" s="50">
        <v>46203.0</v>
      </c>
      <c r="C13314" s="49" t="s">
        <v>780</v>
      </c>
      <c r="D13314" s="49">
        <v>0.0</v>
      </c>
    </row>
    <row r="13315" ht="15.0" hidden="1" customHeight="1">
      <c r="A13315" s="49" t="s">
        <v>318</v>
      </c>
      <c r="B13315" s="50">
        <v>46203.0</v>
      </c>
      <c r="C13315" s="49" t="s">
        <v>780</v>
      </c>
      <c r="D13315" s="49">
        <v>0.0</v>
      </c>
    </row>
    <row r="13316" ht="15.0" hidden="1" customHeight="1">
      <c r="A13316" s="49" t="s">
        <v>323</v>
      </c>
      <c r="B13316" s="50">
        <v>46203.0</v>
      </c>
      <c r="C13316" s="49" t="s">
        <v>780</v>
      </c>
      <c r="D13316" s="49">
        <v>0.0</v>
      </c>
    </row>
    <row r="13317" ht="15.0" hidden="1" customHeight="1">
      <c r="A13317" s="49" t="s">
        <v>328</v>
      </c>
      <c r="B13317" s="50">
        <v>46203.0</v>
      </c>
      <c r="C13317" s="49" t="s">
        <v>780</v>
      </c>
      <c r="D13317" s="49">
        <v>0.0</v>
      </c>
    </row>
    <row r="13318" ht="15.0" hidden="1" customHeight="1">
      <c r="A13318" s="49" t="s">
        <v>335</v>
      </c>
      <c r="B13318" s="50">
        <v>46203.0</v>
      </c>
      <c r="C13318" s="49" t="s">
        <v>780</v>
      </c>
      <c r="D13318" s="49">
        <v>0.0</v>
      </c>
    </row>
    <row r="13319" ht="15.0" hidden="1" customHeight="1">
      <c r="A13319" s="49" t="s">
        <v>340</v>
      </c>
      <c r="B13319" s="50">
        <v>46203.0</v>
      </c>
      <c r="C13319" s="49" t="s">
        <v>780</v>
      </c>
      <c r="D13319" s="49">
        <v>0.0</v>
      </c>
    </row>
    <row r="13320" ht="15.0" hidden="1" customHeight="1">
      <c r="A13320" s="49" t="s">
        <v>345</v>
      </c>
      <c r="B13320" s="50">
        <v>46203.0</v>
      </c>
      <c r="C13320" s="49" t="s">
        <v>780</v>
      </c>
      <c r="D13320" s="49">
        <v>0.0</v>
      </c>
    </row>
    <row r="13321" ht="15.0" hidden="1" customHeight="1">
      <c r="A13321" s="49" t="s">
        <v>350</v>
      </c>
      <c r="B13321" s="50">
        <v>46203.0</v>
      </c>
      <c r="C13321" s="49" t="s">
        <v>780</v>
      </c>
      <c r="D13321" s="49">
        <v>0.0</v>
      </c>
    </row>
    <row r="13322" ht="15.0" hidden="1" customHeight="1">
      <c r="A13322" s="49" t="s">
        <v>355</v>
      </c>
      <c r="B13322" s="50">
        <v>46203.0</v>
      </c>
      <c r="C13322" s="49" t="s">
        <v>780</v>
      </c>
      <c r="D13322" s="49">
        <v>0.0</v>
      </c>
    </row>
    <row r="13323" ht="15.0" hidden="1" customHeight="1">
      <c r="A13323" s="49" t="s">
        <v>360</v>
      </c>
      <c r="B13323" s="50">
        <v>46203.0</v>
      </c>
      <c r="C13323" s="49" t="s">
        <v>780</v>
      </c>
      <c r="D13323" s="49">
        <v>0.0</v>
      </c>
    </row>
    <row r="13324" ht="15.0" hidden="1" customHeight="1">
      <c r="A13324" s="49" t="s">
        <v>365</v>
      </c>
      <c r="B13324" s="50">
        <v>46203.0</v>
      </c>
      <c r="C13324" s="49" t="s">
        <v>780</v>
      </c>
      <c r="D13324" s="49">
        <v>0.0</v>
      </c>
    </row>
    <row r="13325" ht="15.0" hidden="1" customHeight="1">
      <c r="A13325" s="49" t="s">
        <v>370</v>
      </c>
      <c r="B13325" s="50">
        <v>46203.0</v>
      </c>
      <c r="C13325" s="49" t="s">
        <v>780</v>
      </c>
      <c r="D13325" s="49">
        <v>0.0</v>
      </c>
    </row>
    <row r="13326" ht="15.0" hidden="1" customHeight="1">
      <c r="A13326" s="49" t="s">
        <v>375</v>
      </c>
      <c r="B13326" s="50">
        <v>46203.0</v>
      </c>
      <c r="C13326" s="49" t="s">
        <v>780</v>
      </c>
      <c r="D13326" s="49">
        <v>0.0</v>
      </c>
    </row>
    <row r="13327" ht="15.0" hidden="1" customHeight="1">
      <c r="A13327" s="49" t="s">
        <v>380</v>
      </c>
      <c r="B13327" s="50">
        <v>46203.0</v>
      </c>
      <c r="C13327" s="49" t="s">
        <v>780</v>
      </c>
      <c r="D13327" s="49">
        <v>0.0</v>
      </c>
    </row>
    <row r="13328" ht="15.0" hidden="1" customHeight="1">
      <c r="A13328" s="49" t="s">
        <v>385</v>
      </c>
      <c r="B13328" s="50">
        <v>46203.0</v>
      </c>
      <c r="C13328" s="49" t="s">
        <v>780</v>
      </c>
      <c r="D13328" s="49">
        <v>0.0</v>
      </c>
    </row>
    <row r="13329" ht="15.0" hidden="1" customHeight="1">
      <c r="A13329" s="49" t="s">
        <v>390</v>
      </c>
      <c r="B13329" s="50">
        <v>46203.0</v>
      </c>
      <c r="C13329" s="49" t="s">
        <v>780</v>
      </c>
      <c r="D13329" s="49">
        <v>0.0</v>
      </c>
    </row>
    <row r="13330" ht="15.0" hidden="1" customHeight="1">
      <c r="A13330" s="49" t="s">
        <v>395</v>
      </c>
      <c r="B13330" s="50">
        <v>46203.0</v>
      </c>
      <c r="C13330" s="49" t="s">
        <v>780</v>
      </c>
      <c r="D13330" s="49">
        <v>0.0</v>
      </c>
    </row>
    <row r="13331" ht="15.0" hidden="1" customHeight="1">
      <c r="A13331" s="49" t="s">
        <v>400</v>
      </c>
      <c r="B13331" s="50">
        <v>46203.0</v>
      </c>
      <c r="C13331" s="49" t="s">
        <v>780</v>
      </c>
      <c r="D13331" s="49">
        <v>0.0</v>
      </c>
    </row>
    <row r="13332" ht="15.0" hidden="1" customHeight="1">
      <c r="A13332" s="49" t="s">
        <v>405</v>
      </c>
      <c r="B13332" s="50">
        <v>46203.0</v>
      </c>
      <c r="C13332" s="49" t="s">
        <v>780</v>
      </c>
      <c r="D13332" s="49">
        <v>0.0</v>
      </c>
    </row>
    <row r="13333" ht="15.0" hidden="1" customHeight="1">
      <c r="A13333" s="49" t="s">
        <v>410</v>
      </c>
      <c r="B13333" s="50">
        <v>46203.0</v>
      </c>
      <c r="C13333" s="49" t="s">
        <v>780</v>
      </c>
      <c r="D13333" s="49">
        <v>0.0</v>
      </c>
    </row>
    <row r="13334" ht="15.0" hidden="1" customHeight="1">
      <c r="A13334" s="49" t="s">
        <v>415</v>
      </c>
      <c r="B13334" s="50">
        <v>46203.0</v>
      </c>
      <c r="C13334" s="49" t="s">
        <v>780</v>
      </c>
      <c r="D13334" s="49">
        <v>0.0</v>
      </c>
    </row>
    <row r="13335" ht="15.0" hidden="1" customHeight="1">
      <c r="A13335" s="49" t="s">
        <v>420</v>
      </c>
      <c r="B13335" s="50">
        <v>46203.0</v>
      </c>
      <c r="C13335" s="49" t="s">
        <v>780</v>
      </c>
      <c r="D13335" s="49">
        <v>0.0</v>
      </c>
    </row>
    <row r="13336" ht="15.0" hidden="1" customHeight="1">
      <c r="A13336" s="49" t="s">
        <v>425</v>
      </c>
      <c r="B13336" s="50">
        <v>46203.0</v>
      </c>
      <c r="C13336" s="49" t="s">
        <v>780</v>
      </c>
      <c r="D13336" s="49">
        <v>0.0</v>
      </c>
    </row>
    <row r="13337" ht="15.0" hidden="1" customHeight="1">
      <c r="A13337" s="49" t="s">
        <v>430</v>
      </c>
      <c r="B13337" s="50">
        <v>46203.0</v>
      </c>
      <c r="C13337" s="49" t="s">
        <v>780</v>
      </c>
      <c r="D13337" s="49">
        <v>0.0</v>
      </c>
    </row>
    <row r="13338" ht="15.0" hidden="1" customHeight="1">
      <c r="A13338" s="49" t="s">
        <v>434</v>
      </c>
      <c r="B13338" s="50">
        <v>46203.0</v>
      </c>
      <c r="C13338" s="49" t="s">
        <v>780</v>
      </c>
      <c r="D13338" s="49">
        <v>0.0</v>
      </c>
    </row>
    <row r="13339" ht="15.0" hidden="1" customHeight="1">
      <c r="A13339" s="49" t="s">
        <v>439</v>
      </c>
      <c r="B13339" s="50">
        <v>46203.0</v>
      </c>
      <c r="C13339" s="49" t="s">
        <v>780</v>
      </c>
      <c r="D13339" s="49">
        <v>0.0</v>
      </c>
    </row>
    <row r="13340" ht="15.0" hidden="1" customHeight="1">
      <c r="A13340" s="49" t="s">
        <v>444</v>
      </c>
      <c r="B13340" s="50">
        <v>46203.0</v>
      </c>
      <c r="C13340" s="49" t="s">
        <v>780</v>
      </c>
      <c r="D13340" s="49">
        <v>0.0</v>
      </c>
    </row>
    <row r="13341" ht="15.0" hidden="1" customHeight="1">
      <c r="A13341" s="49" t="s">
        <v>449</v>
      </c>
      <c r="B13341" s="50">
        <v>46203.0</v>
      </c>
      <c r="C13341" s="49" t="s">
        <v>780</v>
      </c>
      <c r="D13341" s="49">
        <v>0.0</v>
      </c>
    </row>
    <row r="13342" ht="15.0" hidden="1" customHeight="1">
      <c r="A13342" s="49" t="s">
        <v>455</v>
      </c>
      <c r="B13342" s="50">
        <v>46203.0</v>
      </c>
      <c r="C13342" s="49" t="s">
        <v>780</v>
      </c>
      <c r="D13342" s="49">
        <v>0.0</v>
      </c>
    </row>
    <row r="13343" ht="15.0" hidden="1" customHeight="1">
      <c r="A13343" s="49" t="s">
        <v>470</v>
      </c>
      <c r="B13343" s="50">
        <v>46203.0</v>
      </c>
      <c r="C13343" s="49" t="s">
        <v>780</v>
      </c>
      <c r="D13343" s="49">
        <v>0.0</v>
      </c>
    </row>
    <row r="13344" ht="15.0" hidden="1" customHeight="1">
      <c r="A13344" s="49" t="s">
        <v>476</v>
      </c>
      <c r="B13344" s="50">
        <v>46203.0</v>
      </c>
      <c r="C13344" s="49" t="s">
        <v>780</v>
      </c>
      <c r="D13344" s="49">
        <v>0.0</v>
      </c>
    </row>
    <row r="13345" ht="15.0" hidden="1" customHeight="1">
      <c r="A13345" s="49" t="s">
        <v>481</v>
      </c>
      <c r="B13345" s="50">
        <v>46203.0</v>
      </c>
      <c r="C13345" s="49" t="s">
        <v>780</v>
      </c>
      <c r="D13345" s="49">
        <v>0.0</v>
      </c>
    </row>
    <row r="13346" ht="15.0" hidden="1" customHeight="1">
      <c r="A13346" s="49" t="s">
        <v>486</v>
      </c>
      <c r="B13346" s="50">
        <v>46203.0</v>
      </c>
      <c r="C13346" s="49" t="s">
        <v>780</v>
      </c>
      <c r="D13346" s="49">
        <v>0.0</v>
      </c>
    </row>
    <row r="13347" ht="15.0" hidden="1" customHeight="1">
      <c r="A13347" s="49" t="s">
        <v>491</v>
      </c>
      <c r="B13347" s="50">
        <v>46203.0</v>
      </c>
      <c r="C13347" s="49" t="s">
        <v>780</v>
      </c>
      <c r="D13347" s="49">
        <v>0.0</v>
      </c>
    </row>
    <row r="13348" ht="15.0" hidden="1" customHeight="1">
      <c r="A13348" s="49" t="s">
        <v>496</v>
      </c>
      <c r="B13348" s="50">
        <v>46203.0</v>
      </c>
      <c r="C13348" s="49" t="s">
        <v>780</v>
      </c>
      <c r="D13348" s="49">
        <v>0.0</v>
      </c>
    </row>
    <row r="13349" ht="15.0" hidden="1" customHeight="1">
      <c r="A13349" s="49" t="s">
        <v>501</v>
      </c>
      <c r="B13349" s="50">
        <v>46203.0</v>
      </c>
      <c r="C13349" s="49" t="s">
        <v>780</v>
      </c>
      <c r="D13349" s="49">
        <v>0.0</v>
      </c>
    </row>
    <row r="13350" ht="15.0" hidden="1" customHeight="1">
      <c r="A13350" s="49" t="s">
        <v>506</v>
      </c>
      <c r="B13350" s="50">
        <v>46203.0</v>
      </c>
      <c r="C13350" s="49" t="s">
        <v>780</v>
      </c>
      <c r="D13350" s="49">
        <v>0.0</v>
      </c>
    </row>
    <row r="13351" ht="15.0" hidden="1" customHeight="1">
      <c r="A13351" s="49" t="s">
        <v>512</v>
      </c>
      <c r="B13351" s="50">
        <v>46203.0</v>
      </c>
      <c r="C13351" s="49" t="s">
        <v>780</v>
      </c>
      <c r="D13351" s="49">
        <v>0.0</v>
      </c>
    </row>
    <row r="13352" ht="15.0" hidden="1" customHeight="1">
      <c r="A13352" s="49" t="s">
        <v>517</v>
      </c>
      <c r="B13352" s="50">
        <v>46203.0</v>
      </c>
      <c r="C13352" s="49" t="s">
        <v>780</v>
      </c>
      <c r="D13352" s="49">
        <v>0.0</v>
      </c>
    </row>
    <row r="13353" ht="15.0" hidden="1" customHeight="1">
      <c r="A13353" s="49" t="s">
        <v>522</v>
      </c>
      <c r="B13353" s="50">
        <v>46203.0</v>
      </c>
      <c r="C13353" s="49" t="s">
        <v>780</v>
      </c>
      <c r="D13353" s="49">
        <v>0.0</v>
      </c>
    </row>
    <row r="13354" ht="15.0" hidden="1" customHeight="1">
      <c r="A13354" s="49" t="s">
        <v>528</v>
      </c>
      <c r="B13354" s="50">
        <v>46203.0</v>
      </c>
      <c r="C13354" s="49" t="s">
        <v>780</v>
      </c>
      <c r="D13354" s="49">
        <v>0.0</v>
      </c>
    </row>
    <row r="13355" ht="15.0" hidden="1" customHeight="1">
      <c r="A13355" s="49" t="s">
        <v>533</v>
      </c>
      <c r="B13355" s="50">
        <v>46203.0</v>
      </c>
      <c r="C13355" s="49" t="s">
        <v>780</v>
      </c>
      <c r="D13355" s="49">
        <v>0.0</v>
      </c>
    </row>
    <row r="13356" ht="15.0" hidden="1" customHeight="1">
      <c r="A13356" s="49" t="s">
        <v>538</v>
      </c>
      <c r="B13356" s="50">
        <v>46203.0</v>
      </c>
      <c r="C13356" s="49" t="s">
        <v>780</v>
      </c>
      <c r="D13356" s="49">
        <v>0.0</v>
      </c>
    </row>
    <row r="13357" ht="15.0" hidden="1" customHeight="1">
      <c r="A13357" s="49" t="s">
        <v>546</v>
      </c>
      <c r="B13357" s="50">
        <v>46203.0</v>
      </c>
      <c r="C13357" s="49" t="s">
        <v>780</v>
      </c>
      <c r="D13357" s="49">
        <v>0.0</v>
      </c>
    </row>
    <row r="13358" ht="15.0" hidden="1" customHeight="1">
      <c r="A13358" s="49" t="s">
        <v>551</v>
      </c>
      <c r="B13358" s="50">
        <v>46203.0</v>
      </c>
      <c r="C13358" s="49" t="s">
        <v>780</v>
      </c>
      <c r="D13358" s="49">
        <v>0.0</v>
      </c>
    </row>
    <row r="13359" ht="15.0" hidden="1" customHeight="1">
      <c r="A13359" s="49" t="s">
        <v>556</v>
      </c>
      <c r="B13359" s="50">
        <v>46203.0</v>
      </c>
      <c r="C13359" s="49" t="s">
        <v>780</v>
      </c>
      <c r="D13359" s="49">
        <v>0.0</v>
      </c>
    </row>
    <row r="13360" ht="15.0" hidden="1" customHeight="1">
      <c r="A13360" s="49" t="s">
        <v>561</v>
      </c>
      <c r="B13360" s="50">
        <v>46203.0</v>
      </c>
      <c r="C13360" s="49" t="s">
        <v>780</v>
      </c>
      <c r="D13360" s="49">
        <v>0.0</v>
      </c>
    </row>
    <row r="13361" ht="15.0" hidden="1" customHeight="1">
      <c r="A13361" s="49" t="s">
        <v>566</v>
      </c>
      <c r="B13361" s="50">
        <v>46203.0</v>
      </c>
      <c r="C13361" s="49" t="s">
        <v>780</v>
      </c>
      <c r="D13361" s="49">
        <v>0.0</v>
      </c>
    </row>
    <row r="13362" ht="15.0" hidden="1" customHeight="1">
      <c r="A13362" s="49" t="s">
        <v>571</v>
      </c>
      <c r="B13362" s="50">
        <v>46203.0</v>
      </c>
      <c r="C13362" s="49" t="s">
        <v>780</v>
      </c>
      <c r="D13362" s="49">
        <v>0.0</v>
      </c>
    </row>
    <row r="13363" ht="15.0" hidden="1" customHeight="1">
      <c r="A13363" s="49" t="s">
        <v>576</v>
      </c>
      <c r="B13363" s="50">
        <v>46203.0</v>
      </c>
      <c r="C13363" s="49" t="s">
        <v>780</v>
      </c>
      <c r="D13363" s="49">
        <v>0.0</v>
      </c>
    </row>
    <row r="13364" ht="15.0" hidden="1" customHeight="1">
      <c r="A13364" s="49" t="s">
        <v>581</v>
      </c>
      <c r="B13364" s="50">
        <v>46203.0</v>
      </c>
      <c r="C13364" s="49" t="s">
        <v>780</v>
      </c>
      <c r="D13364" s="49">
        <v>0.0</v>
      </c>
    </row>
    <row r="13365" ht="15.0" hidden="1" customHeight="1">
      <c r="A13365" s="49" t="s">
        <v>586</v>
      </c>
      <c r="B13365" s="50">
        <v>46203.0</v>
      </c>
      <c r="C13365" s="49" t="s">
        <v>780</v>
      </c>
      <c r="D13365" s="49">
        <v>0.0</v>
      </c>
    </row>
    <row r="13366" ht="15.0" hidden="1" customHeight="1">
      <c r="A13366" s="49" t="s">
        <v>754</v>
      </c>
      <c r="B13366" s="50">
        <v>46203.0</v>
      </c>
      <c r="C13366" s="49" t="s">
        <v>780</v>
      </c>
      <c r="D13366" s="49">
        <v>0.0</v>
      </c>
    </row>
    <row r="13367" ht="15.0" hidden="1" customHeight="1">
      <c r="A13367" s="49" t="s">
        <v>591</v>
      </c>
      <c r="B13367" s="50">
        <v>46203.0</v>
      </c>
      <c r="C13367" s="49" t="s">
        <v>780</v>
      </c>
      <c r="D13367" s="49">
        <v>0.0</v>
      </c>
    </row>
    <row r="13368" ht="15.0" hidden="1" customHeight="1">
      <c r="A13368" s="49" t="s">
        <v>759</v>
      </c>
      <c r="B13368" s="50">
        <v>46203.0</v>
      </c>
      <c r="C13368" s="49" t="s">
        <v>780</v>
      </c>
      <c r="D13368" s="49">
        <v>0.0</v>
      </c>
    </row>
    <row r="13369" ht="15.0" hidden="1" customHeight="1">
      <c r="A13369" s="49" t="s">
        <v>596</v>
      </c>
      <c r="B13369" s="50">
        <v>46203.0</v>
      </c>
      <c r="C13369" s="49" t="s">
        <v>780</v>
      </c>
      <c r="D13369" s="49">
        <v>0.0</v>
      </c>
    </row>
    <row r="13370" ht="15.0" hidden="1" customHeight="1">
      <c r="A13370" s="49" t="s">
        <v>602</v>
      </c>
      <c r="B13370" s="50">
        <v>46203.0</v>
      </c>
      <c r="C13370" s="49" t="s">
        <v>780</v>
      </c>
      <c r="D13370" s="49">
        <v>0.0</v>
      </c>
    </row>
    <row r="13371" ht="15.0" hidden="1" customHeight="1">
      <c r="A13371" s="49" t="s">
        <v>607</v>
      </c>
      <c r="B13371" s="50">
        <v>46203.0</v>
      </c>
      <c r="C13371" s="49" t="s">
        <v>780</v>
      </c>
      <c r="D13371" s="49">
        <v>0.0</v>
      </c>
    </row>
    <row r="13372" ht="15.0" hidden="1" customHeight="1">
      <c r="A13372" s="49" t="s">
        <v>612</v>
      </c>
      <c r="B13372" s="50">
        <v>46203.0</v>
      </c>
      <c r="C13372" s="49" t="s">
        <v>780</v>
      </c>
      <c r="D13372" s="49">
        <v>0.0</v>
      </c>
    </row>
    <row r="13373" ht="15.0" hidden="1" customHeight="1">
      <c r="A13373" s="49" t="s">
        <v>617</v>
      </c>
      <c r="B13373" s="50">
        <v>46203.0</v>
      </c>
      <c r="C13373" s="49" t="s">
        <v>780</v>
      </c>
      <c r="D13373" s="49">
        <v>0.0</v>
      </c>
    </row>
    <row r="13374" ht="15.0" hidden="1" customHeight="1">
      <c r="A13374" s="49" t="s">
        <v>622</v>
      </c>
      <c r="B13374" s="50">
        <v>46203.0</v>
      </c>
      <c r="C13374" s="49" t="s">
        <v>780</v>
      </c>
      <c r="D13374" s="49">
        <v>0.0</v>
      </c>
    </row>
    <row r="13375" ht="15.0" hidden="1" customHeight="1">
      <c r="A13375" s="49" t="s">
        <v>627</v>
      </c>
      <c r="B13375" s="50">
        <v>46203.0</v>
      </c>
      <c r="C13375" s="49" t="s">
        <v>780</v>
      </c>
      <c r="D13375" s="49">
        <v>0.0</v>
      </c>
    </row>
    <row r="13376" ht="15.0" hidden="1" customHeight="1">
      <c r="A13376" s="49" t="s">
        <v>631</v>
      </c>
      <c r="B13376" s="50">
        <v>46203.0</v>
      </c>
      <c r="C13376" s="49" t="s">
        <v>780</v>
      </c>
      <c r="D13376" s="49">
        <v>0.0</v>
      </c>
    </row>
    <row r="13377" ht="15.0" hidden="1" customHeight="1">
      <c r="A13377" s="49" t="s">
        <v>636</v>
      </c>
      <c r="B13377" s="50">
        <v>46203.0</v>
      </c>
      <c r="C13377" s="49" t="s">
        <v>780</v>
      </c>
      <c r="D13377" s="49">
        <v>0.0</v>
      </c>
    </row>
    <row r="13378" ht="15.0" hidden="1" customHeight="1">
      <c r="A13378" s="49" t="s">
        <v>640</v>
      </c>
      <c r="B13378" s="50">
        <v>46203.0</v>
      </c>
      <c r="C13378" s="49" t="s">
        <v>780</v>
      </c>
      <c r="D13378" s="49">
        <v>0.0</v>
      </c>
    </row>
    <row r="13379" ht="15.0" hidden="1" customHeight="1">
      <c r="A13379" s="49" t="s">
        <v>644</v>
      </c>
      <c r="B13379" s="50">
        <v>46203.0</v>
      </c>
      <c r="C13379" s="49" t="s">
        <v>780</v>
      </c>
      <c r="D13379" s="49">
        <v>0.0</v>
      </c>
    </row>
    <row r="13380" ht="15.0" hidden="1" customHeight="1">
      <c r="A13380" s="49" t="s">
        <v>649</v>
      </c>
      <c r="B13380" s="50">
        <v>46203.0</v>
      </c>
      <c r="C13380" s="49" t="s">
        <v>780</v>
      </c>
      <c r="D13380" s="49">
        <v>0.0</v>
      </c>
    </row>
    <row r="13381" ht="15.0" hidden="1" customHeight="1">
      <c r="A13381" s="49" t="s">
        <v>654</v>
      </c>
      <c r="B13381" s="50">
        <v>46203.0</v>
      </c>
      <c r="C13381" s="49" t="s">
        <v>780</v>
      </c>
      <c r="D13381" s="49">
        <v>0.0</v>
      </c>
    </row>
    <row r="13382" ht="15.0" hidden="1" customHeight="1">
      <c r="A13382" s="49" t="s">
        <v>659</v>
      </c>
      <c r="B13382" s="50">
        <v>46203.0</v>
      </c>
      <c r="C13382" s="49" t="s">
        <v>780</v>
      </c>
      <c r="D13382" s="49">
        <v>0.0</v>
      </c>
    </row>
    <row r="13383" ht="15.0" hidden="1" customHeight="1">
      <c r="A13383" s="49" t="s">
        <v>664</v>
      </c>
      <c r="B13383" s="50">
        <v>46203.0</v>
      </c>
      <c r="C13383" s="49" t="s">
        <v>780</v>
      </c>
      <c r="D13383" s="49">
        <v>0.0</v>
      </c>
    </row>
    <row r="13384" ht="15.0" hidden="1" customHeight="1">
      <c r="A13384" s="49" t="s">
        <v>669</v>
      </c>
      <c r="B13384" s="50">
        <v>46203.0</v>
      </c>
      <c r="C13384" s="49" t="s">
        <v>780</v>
      </c>
      <c r="D13384" s="49">
        <v>0.0</v>
      </c>
    </row>
    <row r="13385" ht="15.0" hidden="1" customHeight="1">
      <c r="A13385" s="49" t="s">
        <v>674</v>
      </c>
      <c r="B13385" s="50">
        <v>46203.0</v>
      </c>
      <c r="C13385" s="49" t="s">
        <v>780</v>
      </c>
      <c r="D13385" s="49">
        <v>0.0</v>
      </c>
    </row>
    <row r="13386" ht="15.0" hidden="1" customHeight="1">
      <c r="A13386" s="49" t="s">
        <v>679</v>
      </c>
      <c r="B13386" s="50">
        <v>46203.0</v>
      </c>
      <c r="C13386" s="49" t="s">
        <v>780</v>
      </c>
      <c r="D13386" s="49">
        <v>0.0</v>
      </c>
    </row>
    <row r="13387" ht="15.0" hidden="1" customHeight="1">
      <c r="A13387" s="49" t="s">
        <v>684</v>
      </c>
      <c r="B13387" s="50">
        <v>46203.0</v>
      </c>
      <c r="C13387" s="49" t="s">
        <v>780</v>
      </c>
      <c r="D13387" s="49">
        <v>0.0</v>
      </c>
    </row>
    <row r="13388" ht="15.0" hidden="1" customHeight="1">
      <c r="A13388" s="49" t="s">
        <v>689</v>
      </c>
      <c r="B13388" s="50">
        <v>46203.0</v>
      </c>
      <c r="C13388" s="49" t="s">
        <v>780</v>
      </c>
      <c r="D13388" s="49">
        <v>0.0</v>
      </c>
    </row>
    <row r="13389" ht="15.0" hidden="1" customHeight="1">
      <c r="A13389" s="49" t="s">
        <v>694</v>
      </c>
      <c r="B13389" s="50">
        <v>46203.0</v>
      </c>
      <c r="C13389" s="49" t="s">
        <v>780</v>
      </c>
      <c r="D13389" s="49">
        <v>0.0</v>
      </c>
    </row>
    <row r="13390" ht="15.0" hidden="1" customHeight="1">
      <c r="A13390" s="49" t="s">
        <v>699</v>
      </c>
      <c r="B13390" s="50">
        <v>46203.0</v>
      </c>
      <c r="C13390" s="49" t="s">
        <v>780</v>
      </c>
      <c r="D13390" s="49">
        <v>0.0</v>
      </c>
    </row>
    <row r="13391" ht="15.0" hidden="1" customHeight="1">
      <c r="A13391" s="49" t="s">
        <v>705</v>
      </c>
      <c r="B13391" s="50">
        <v>46203.0</v>
      </c>
      <c r="C13391" s="49" t="s">
        <v>780</v>
      </c>
      <c r="D13391" s="49">
        <v>0.0</v>
      </c>
    </row>
    <row r="13392" ht="15.0" hidden="1" customHeight="1">
      <c r="A13392" s="49" t="s">
        <v>710</v>
      </c>
      <c r="B13392" s="50">
        <v>46203.0</v>
      </c>
      <c r="C13392" s="49" t="s">
        <v>780</v>
      </c>
      <c r="D13392" s="49">
        <v>0.0</v>
      </c>
    </row>
    <row r="13393" ht="15.0" hidden="1" customHeight="1">
      <c r="A13393" s="49" t="s">
        <v>715</v>
      </c>
      <c r="B13393" s="50">
        <v>46203.0</v>
      </c>
      <c r="C13393" s="49" t="s">
        <v>780</v>
      </c>
      <c r="D13393" s="49">
        <v>0.0</v>
      </c>
    </row>
    <row r="13394" ht="15.0" hidden="1" customHeight="1">
      <c r="A13394" s="49" t="s">
        <v>765</v>
      </c>
      <c r="B13394" s="50">
        <v>46203.0</v>
      </c>
      <c r="C13394" s="49" t="s">
        <v>780</v>
      </c>
      <c r="D13394" s="49">
        <v>0.0</v>
      </c>
    </row>
    <row r="13395" ht="15.0" hidden="1" customHeight="1">
      <c r="A13395" s="49" t="s">
        <v>720</v>
      </c>
      <c r="B13395" s="50">
        <v>46203.0</v>
      </c>
      <c r="C13395" s="49" t="s">
        <v>780</v>
      </c>
      <c r="D13395" s="49">
        <v>0.0</v>
      </c>
    </row>
    <row r="13396" ht="15.0" hidden="1" customHeight="1">
      <c r="A13396" s="49" t="s">
        <v>725</v>
      </c>
      <c r="B13396" s="50">
        <v>46203.0</v>
      </c>
      <c r="C13396" s="49" t="s">
        <v>780</v>
      </c>
      <c r="D13396" s="49">
        <v>0.0</v>
      </c>
    </row>
    <row r="13397" ht="15.0" hidden="1" customHeight="1">
      <c r="A13397" s="49" t="s">
        <v>730</v>
      </c>
      <c r="B13397" s="50">
        <v>46203.0</v>
      </c>
      <c r="C13397" s="49" t="s">
        <v>780</v>
      </c>
      <c r="D13397" s="49">
        <v>0.0</v>
      </c>
    </row>
    <row r="13398" ht="15.0" hidden="1" customHeight="1">
      <c r="A13398" s="49" t="s">
        <v>734</v>
      </c>
      <c r="B13398" s="50">
        <v>46203.0</v>
      </c>
      <c r="C13398" s="49" t="s">
        <v>780</v>
      </c>
      <c r="D13398" s="49">
        <v>0.0</v>
      </c>
    </row>
    <row r="13399" ht="15.0" hidden="1" customHeight="1">
      <c r="A13399" s="49" t="s">
        <v>739</v>
      </c>
      <c r="B13399" s="50">
        <v>46203.0</v>
      </c>
      <c r="C13399" s="49" t="s">
        <v>780</v>
      </c>
      <c r="D13399" s="49">
        <v>0.0</v>
      </c>
    </row>
    <row r="13400" ht="15.0" hidden="1" customHeight="1">
      <c r="A13400" s="49" t="s">
        <v>744</v>
      </c>
      <c r="B13400" s="50">
        <v>46203.0</v>
      </c>
      <c r="C13400" s="49" t="s">
        <v>780</v>
      </c>
      <c r="D13400" s="49">
        <v>0.0</v>
      </c>
    </row>
    <row r="13401" ht="15.0" hidden="1" customHeight="1">
      <c r="A13401" s="49" t="s">
        <v>749</v>
      </c>
      <c r="B13401" s="50">
        <v>46203.0</v>
      </c>
      <c r="C13401" s="49" t="s">
        <v>780</v>
      </c>
      <c r="D13401" s="49">
        <v>0.0</v>
      </c>
    </row>
    <row r="13402" ht="15.0" customHeight="1">
      <c r="A13402" s="49" t="s">
        <v>776</v>
      </c>
      <c r="B13402" s="50">
        <v>46295.0</v>
      </c>
      <c r="C13402" s="49" t="s">
        <v>777</v>
      </c>
      <c r="D13402" s="49">
        <v>0.0</v>
      </c>
    </row>
    <row r="13403" ht="15.0" hidden="1" customHeight="1">
      <c r="A13403" s="49" t="s">
        <v>778</v>
      </c>
      <c r="B13403" s="50">
        <v>46295.0</v>
      </c>
      <c r="C13403" s="49" t="s">
        <v>777</v>
      </c>
      <c r="D13403" s="49">
        <v>0.0</v>
      </c>
    </row>
    <row r="13404" ht="15.0" hidden="1" customHeight="1">
      <c r="A13404" s="49" t="s">
        <v>92</v>
      </c>
      <c r="B13404" s="50">
        <v>46295.0</v>
      </c>
      <c r="C13404" s="49" t="s">
        <v>777</v>
      </c>
      <c r="D13404" s="49">
        <v>0.0</v>
      </c>
    </row>
    <row r="13405" ht="15.0" hidden="1" customHeight="1">
      <c r="A13405" s="49" t="s">
        <v>97</v>
      </c>
      <c r="B13405" s="50">
        <v>46295.0</v>
      </c>
      <c r="C13405" s="49" t="s">
        <v>777</v>
      </c>
      <c r="D13405" s="49">
        <v>0.0</v>
      </c>
    </row>
    <row r="13406" ht="15.0" hidden="1" customHeight="1">
      <c r="A13406" s="49" t="s">
        <v>102</v>
      </c>
      <c r="B13406" s="50">
        <v>46295.0</v>
      </c>
      <c r="C13406" s="49" t="s">
        <v>777</v>
      </c>
      <c r="D13406" s="49">
        <v>0.0</v>
      </c>
    </row>
    <row r="13407" ht="15.0" hidden="1" customHeight="1">
      <c r="A13407" s="49" t="s">
        <v>106</v>
      </c>
      <c r="B13407" s="50">
        <v>46295.0</v>
      </c>
      <c r="C13407" s="49" t="s">
        <v>777</v>
      </c>
      <c r="D13407" s="49">
        <v>0.0</v>
      </c>
    </row>
    <row r="13408" ht="15.0" hidden="1" customHeight="1">
      <c r="A13408" s="49" t="s">
        <v>111</v>
      </c>
      <c r="B13408" s="50">
        <v>46295.0</v>
      </c>
      <c r="C13408" s="49" t="s">
        <v>777</v>
      </c>
      <c r="D13408" s="49">
        <v>0.0</v>
      </c>
    </row>
    <row r="13409" ht="15.0" hidden="1" customHeight="1">
      <c r="A13409" s="49" t="s">
        <v>116</v>
      </c>
      <c r="B13409" s="50">
        <v>46295.0</v>
      </c>
      <c r="C13409" s="49" t="s">
        <v>777</v>
      </c>
      <c r="D13409" s="49">
        <v>0.0</v>
      </c>
    </row>
    <row r="13410" ht="15.0" hidden="1" customHeight="1">
      <c r="A13410" s="49" t="s">
        <v>120</v>
      </c>
      <c r="B13410" s="50">
        <v>46295.0</v>
      </c>
      <c r="C13410" s="49" t="s">
        <v>777</v>
      </c>
      <c r="D13410" s="49">
        <v>0.0</v>
      </c>
    </row>
    <row r="13411" ht="15.0" hidden="1" customHeight="1">
      <c r="A13411" s="49" t="s">
        <v>125</v>
      </c>
      <c r="B13411" s="50">
        <v>46295.0</v>
      </c>
      <c r="C13411" s="49" t="s">
        <v>777</v>
      </c>
      <c r="D13411" s="49">
        <v>0.0</v>
      </c>
    </row>
    <row r="13412" ht="15.0" hidden="1" customHeight="1">
      <c r="A13412" s="49" t="s">
        <v>130</v>
      </c>
      <c r="B13412" s="50">
        <v>46295.0</v>
      </c>
      <c r="C13412" s="49" t="s">
        <v>777</v>
      </c>
      <c r="D13412" s="49">
        <v>0.0</v>
      </c>
    </row>
    <row r="13413" ht="15.0" hidden="1" customHeight="1">
      <c r="A13413" s="49" t="s">
        <v>137</v>
      </c>
      <c r="B13413" s="50">
        <v>46295.0</v>
      </c>
      <c r="C13413" s="49" t="s">
        <v>777</v>
      </c>
      <c r="D13413" s="49">
        <v>0.0</v>
      </c>
    </row>
    <row r="13414" ht="15.0" hidden="1" customHeight="1">
      <c r="A13414" s="49" t="s">
        <v>142</v>
      </c>
      <c r="B13414" s="50">
        <v>46295.0</v>
      </c>
      <c r="C13414" s="49" t="s">
        <v>777</v>
      </c>
      <c r="D13414" s="49">
        <v>0.0</v>
      </c>
    </row>
    <row r="13415" ht="15.0" hidden="1" customHeight="1">
      <c r="A13415" s="49" t="s">
        <v>147</v>
      </c>
      <c r="B13415" s="50">
        <v>46295.0</v>
      </c>
      <c r="C13415" s="49" t="s">
        <v>777</v>
      </c>
      <c r="D13415" s="49">
        <v>0.0</v>
      </c>
    </row>
    <row r="13416" ht="15.0" hidden="1" customHeight="1">
      <c r="A13416" s="49" t="s">
        <v>152</v>
      </c>
      <c r="B13416" s="50">
        <v>46295.0</v>
      </c>
      <c r="C13416" s="49" t="s">
        <v>777</v>
      </c>
      <c r="D13416" s="49">
        <v>0.0</v>
      </c>
    </row>
    <row r="13417" ht="15.0" hidden="1" customHeight="1">
      <c r="A13417" s="49" t="s">
        <v>157</v>
      </c>
      <c r="B13417" s="50">
        <v>46295.0</v>
      </c>
      <c r="C13417" s="49" t="s">
        <v>777</v>
      </c>
      <c r="D13417" s="49">
        <v>0.0</v>
      </c>
    </row>
    <row r="13418" ht="15.0" hidden="1" customHeight="1">
      <c r="A13418" s="49" t="s">
        <v>162</v>
      </c>
      <c r="B13418" s="50">
        <v>46295.0</v>
      </c>
      <c r="C13418" s="49" t="s">
        <v>777</v>
      </c>
      <c r="D13418" s="49">
        <v>0.0</v>
      </c>
    </row>
    <row r="13419" ht="15.0" hidden="1" customHeight="1">
      <c r="A13419" s="49" t="s">
        <v>167</v>
      </c>
      <c r="B13419" s="50">
        <v>46295.0</v>
      </c>
      <c r="C13419" s="49" t="s">
        <v>777</v>
      </c>
      <c r="D13419" s="49">
        <v>0.0</v>
      </c>
    </row>
    <row r="13420" ht="15.0" hidden="1" customHeight="1">
      <c r="A13420" s="49" t="s">
        <v>172</v>
      </c>
      <c r="B13420" s="50">
        <v>46295.0</v>
      </c>
      <c r="C13420" s="49" t="s">
        <v>777</v>
      </c>
      <c r="D13420" s="49">
        <v>0.0</v>
      </c>
    </row>
    <row r="13421" ht="15.0" hidden="1" customHeight="1">
      <c r="A13421" s="49" t="s">
        <v>177</v>
      </c>
      <c r="B13421" s="50">
        <v>46295.0</v>
      </c>
      <c r="C13421" s="49" t="s">
        <v>777</v>
      </c>
      <c r="D13421" s="49">
        <v>0.0</v>
      </c>
    </row>
    <row r="13422" ht="15.0" hidden="1" customHeight="1">
      <c r="A13422" s="49" t="s">
        <v>182</v>
      </c>
      <c r="B13422" s="50">
        <v>46295.0</v>
      </c>
      <c r="C13422" s="49" t="s">
        <v>777</v>
      </c>
      <c r="D13422" s="49">
        <v>0.0</v>
      </c>
    </row>
    <row r="13423" ht="15.0" hidden="1" customHeight="1">
      <c r="A13423" s="49" t="s">
        <v>187</v>
      </c>
      <c r="B13423" s="50">
        <v>46295.0</v>
      </c>
      <c r="C13423" s="49" t="s">
        <v>777</v>
      </c>
      <c r="D13423" s="49">
        <v>0.0</v>
      </c>
    </row>
    <row r="13424" ht="15.0" hidden="1" customHeight="1">
      <c r="A13424" s="49" t="s">
        <v>192</v>
      </c>
      <c r="B13424" s="50">
        <v>46295.0</v>
      </c>
      <c r="C13424" s="49" t="s">
        <v>777</v>
      </c>
      <c r="D13424" s="49">
        <v>0.0</v>
      </c>
    </row>
    <row r="13425" ht="15.0" hidden="1" customHeight="1">
      <c r="A13425" s="49" t="s">
        <v>197</v>
      </c>
      <c r="B13425" s="50">
        <v>46295.0</v>
      </c>
      <c r="C13425" s="49" t="s">
        <v>777</v>
      </c>
      <c r="D13425" s="49">
        <v>0.0</v>
      </c>
    </row>
    <row r="13426" ht="15.0" hidden="1" customHeight="1">
      <c r="A13426" s="49" t="s">
        <v>202</v>
      </c>
      <c r="B13426" s="50">
        <v>46295.0</v>
      </c>
      <c r="C13426" s="49" t="s">
        <v>777</v>
      </c>
      <c r="D13426" s="49">
        <v>0.0</v>
      </c>
    </row>
    <row r="13427" ht="15.0" hidden="1" customHeight="1">
      <c r="A13427" s="49" t="s">
        <v>206</v>
      </c>
      <c r="B13427" s="50">
        <v>46295.0</v>
      </c>
      <c r="C13427" s="49" t="s">
        <v>777</v>
      </c>
      <c r="D13427" s="49">
        <v>0.0</v>
      </c>
    </row>
    <row r="13428" ht="15.0" hidden="1" customHeight="1">
      <c r="A13428" s="49" t="s">
        <v>211</v>
      </c>
      <c r="B13428" s="50">
        <v>46295.0</v>
      </c>
      <c r="C13428" s="49" t="s">
        <v>777</v>
      </c>
      <c r="D13428" s="49">
        <v>0.0</v>
      </c>
    </row>
    <row r="13429" ht="15.0" hidden="1" customHeight="1">
      <c r="A13429" s="49" t="s">
        <v>779</v>
      </c>
      <c r="B13429" s="50">
        <v>46295.0</v>
      </c>
      <c r="C13429" s="49" t="s">
        <v>777</v>
      </c>
      <c r="D13429" s="49">
        <v>0.0</v>
      </c>
    </row>
    <row r="13430" ht="15.0" hidden="1" customHeight="1">
      <c r="A13430" s="49" t="s">
        <v>221</v>
      </c>
      <c r="B13430" s="50">
        <v>46295.0</v>
      </c>
      <c r="C13430" s="49" t="s">
        <v>777</v>
      </c>
      <c r="D13430" s="49">
        <v>0.0</v>
      </c>
    </row>
    <row r="13431" ht="15.0" hidden="1" customHeight="1">
      <c r="A13431" s="49" t="s">
        <v>226</v>
      </c>
      <c r="B13431" s="50">
        <v>46295.0</v>
      </c>
      <c r="C13431" s="49" t="s">
        <v>777</v>
      </c>
      <c r="D13431" s="49">
        <v>0.0</v>
      </c>
    </row>
    <row r="13432" ht="15.0" hidden="1" customHeight="1">
      <c r="A13432" s="49" t="s">
        <v>231</v>
      </c>
      <c r="B13432" s="50">
        <v>46295.0</v>
      </c>
      <c r="C13432" s="49" t="s">
        <v>777</v>
      </c>
      <c r="D13432" s="49">
        <v>0.0</v>
      </c>
    </row>
    <row r="13433" ht="15.0" hidden="1" customHeight="1">
      <c r="A13433" s="49" t="s">
        <v>236</v>
      </c>
      <c r="B13433" s="50">
        <v>46295.0</v>
      </c>
      <c r="C13433" s="49" t="s">
        <v>777</v>
      </c>
      <c r="D13433" s="49">
        <v>0.0</v>
      </c>
    </row>
    <row r="13434" ht="15.0" hidden="1" customHeight="1">
      <c r="A13434" s="49" t="s">
        <v>242</v>
      </c>
      <c r="B13434" s="50">
        <v>46295.0</v>
      </c>
      <c r="C13434" s="49" t="s">
        <v>777</v>
      </c>
      <c r="D13434" s="49">
        <v>0.0</v>
      </c>
    </row>
    <row r="13435" ht="15.0" hidden="1" customHeight="1">
      <c r="A13435" s="49" t="s">
        <v>248</v>
      </c>
      <c r="B13435" s="50">
        <v>46295.0</v>
      </c>
      <c r="C13435" s="49" t="s">
        <v>777</v>
      </c>
      <c r="D13435" s="49">
        <v>0.0</v>
      </c>
    </row>
    <row r="13436" ht="15.0" hidden="1" customHeight="1">
      <c r="A13436" s="49" t="s">
        <v>253</v>
      </c>
      <c r="B13436" s="50">
        <v>46295.0</v>
      </c>
      <c r="C13436" s="49" t="s">
        <v>777</v>
      </c>
      <c r="D13436" s="49">
        <v>0.0</v>
      </c>
    </row>
    <row r="13437" ht="15.0" hidden="1" customHeight="1">
      <c r="A13437" s="49" t="s">
        <v>258</v>
      </c>
      <c r="B13437" s="50">
        <v>46295.0</v>
      </c>
      <c r="C13437" s="49" t="s">
        <v>777</v>
      </c>
      <c r="D13437" s="49">
        <v>0.0</v>
      </c>
    </row>
    <row r="13438" ht="15.0" hidden="1" customHeight="1">
      <c r="A13438" s="49" t="s">
        <v>263</v>
      </c>
      <c r="B13438" s="50">
        <v>46295.0</v>
      </c>
      <c r="C13438" s="49" t="s">
        <v>777</v>
      </c>
      <c r="D13438" s="49">
        <v>0.0</v>
      </c>
    </row>
    <row r="13439" ht="15.0" hidden="1" customHeight="1">
      <c r="A13439" s="49" t="s">
        <v>268</v>
      </c>
      <c r="B13439" s="50">
        <v>46295.0</v>
      </c>
      <c r="C13439" s="49" t="s">
        <v>777</v>
      </c>
      <c r="D13439" s="49">
        <v>0.0</v>
      </c>
    </row>
    <row r="13440" ht="15.0" hidden="1" customHeight="1">
      <c r="A13440" s="49" t="s">
        <v>273</v>
      </c>
      <c r="B13440" s="50">
        <v>46295.0</v>
      </c>
      <c r="C13440" s="49" t="s">
        <v>777</v>
      </c>
      <c r="D13440" s="49">
        <v>0.0</v>
      </c>
    </row>
    <row r="13441" ht="15.0" hidden="1" customHeight="1">
      <c r="A13441" s="49" t="s">
        <v>278</v>
      </c>
      <c r="B13441" s="50">
        <v>46295.0</v>
      </c>
      <c r="C13441" s="49" t="s">
        <v>777</v>
      </c>
      <c r="D13441" s="49">
        <v>0.0</v>
      </c>
    </row>
    <row r="13442" ht="15.0" hidden="1" customHeight="1">
      <c r="A13442" s="49" t="s">
        <v>283</v>
      </c>
      <c r="B13442" s="50">
        <v>46295.0</v>
      </c>
      <c r="C13442" s="49" t="s">
        <v>777</v>
      </c>
      <c r="D13442" s="49">
        <v>0.0</v>
      </c>
    </row>
    <row r="13443" ht="15.0" hidden="1" customHeight="1">
      <c r="A13443" s="49" t="s">
        <v>288</v>
      </c>
      <c r="B13443" s="50">
        <v>46295.0</v>
      </c>
      <c r="C13443" s="49" t="s">
        <v>777</v>
      </c>
      <c r="D13443" s="49">
        <v>0.0</v>
      </c>
    </row>
    <row r="13444" ht="15.0" hidden="1" customHeight="1">
      <c r="A13444" s="49" t="s">
        <v>293</v>
      </c>
      <c r="B13444" s="50">
        <v>46295.0</v>
      </c>
      <c r="C13444" s="49" t="s">
        <v>777</v>
      </c>
      <c r="D13444" s="49">
        <v>0.0</v>
      </c>
    </row>
    <row r="13445" ht="15.0" hidden="1" customHeight="1">
      <c r="A13445" s="49" t="s">
        <v>298</v>
      </c>
      <c r="B13445" s="50">
        <v>46295.0</v>
      </c>
      <c r="C13445" s="49" t="s">
        <v>777</v>
      </c>
      <c r="D13445" s="49">
        <v>0.0</v>
      </c>
    </row>
    <row r="13446" ht="15.0" hidden="1" customHeight="1">
      <c r="A13446" s="49" t="s">
        <v>303</v>
      </c>
      <c r="B13446" s="50">
        <v>46295.0</v>
      </c>
      <c r="C13446" s="49" t="s">
        <v>777</v>
      </c>
      <c r="D13446" s="49">
        <v>0.0</v>
      </c>
    </row>
    <row r="13447" ht="15.0" hidden="1" customHeight="1">
      <c r="A13447" s="49" t="s">
        <v>307</v>
      </c>
      <c r="B13447" s="50">
        <v>46295.0</v>
      </c>
      <c r="C13447" s="49" t="s">
        <v>777</v>
      </c>
      <c r="D13447" s="49">
        <v>0.0</v>
      </c>
    </row>
    <row r="13448" ht="15.0" hidden="1" customHeight="1">
      <c r="A13448" s="49" t="s">
        <v>313</v>
      </c>
      <c r="B13448" s="50">
        <v>46295.0</v>
      </c>
      <c r="C13448" s="49" t="s">
        <v>777</v>
      </c>
      <c r="D13448" s="49">
        <v>0.0</v>
      </c>
    </row>
    <row r="13449" ht="15.0" hidden="1" customHeight="1">
      <c r="A13449" s="49" t="s">
        <v>318</v>
      </c>
      <c r="B13449" s="50">
        <v>46295.0</v>
      </c>
      <c r="C13449" s="49" t="s">
        <v>777</v>
      </c>
      <c r="D13449" s="49">
        <v>0.0</v>
      </c>
    </row>
    <row r="13450" ht="15.0" hidden="1" customHeight="1">
      <c r="A13450" s="49" t="s">
        <v>323</v>
      </c>
      <c r="B13450" s="50">
        <v>46295.0</v>
      </c>
      <c r="C13450" s="49" t="s">
        <v>777</v>
      </c>
      <c r="D13450" s="49">
        <v>0.0</v>
      </c>
    </row>
    <row r="13451" ht="15.0" hidden="1" customHeight="1">
      <c r="A13451" s="49" t="s">
        <v>328</v>
      </c>
      <c r="B13451" s="50">
        <v>46295.0</v>
      </c>
      <c r="C13451" s="49" t="s">
        <v>777</v>
      </c>
      <c r="D13451" s="49">
        <v>0.0</v>
      </c>
    </row>
    <row r="13452" ht="15.0" hidden="1" customHeight="1">
      <c r="A13452" s="49" t="s">
        <v>335</v>
      </c>
      <c r="B13452" s="50">
        <v>46295.0</v>
      </c>
      <c r="C13452" s="49" t="s">
        <v>777</v>
      </c>
      <c r="D13452" s="49">
        <v>0.0</v>
      </c>
    </row>
    <row r="13453" ht="15.0" hidden="1" customHeight="1">
      <c r="A13453" s="49" t="s">
        <v>340</v>
      </c>
      <c r="B13453" s="50">
        <v>46295.0</v>
      </c>
      <c r="C13453" s="49" t="s">
        <v>777</v>
      </c>
      <c r="D13453" s="49">
        <v>0.0</v>
      </c>
    </row>
    <row r="13454" ht="15.0" hidden="1" customHeight="1">
      <c r="A13454" s="49" t="s">
        <v>345</v>
      </c>
      <c r="B13454" s="50">
        <v>46295.0</v>
      </c>
      <c r="C13454" s="49" t="s">
        <v>777</v>
      </c>
      <c r="D13454" s="49">
        <v>0.0</v>
      </c>
    </row>
    <row r="13455" ht="15.0" hidden="1" customHeight="1">
      <c r="A13455" s="49" t="s">
        <v>350</v>
      </c>
      <c r="B13455" s="50">
        <v>46295.0</v>
      </c>
      <c r="C13455" s="49" t="s">
        <v>777</v>
      </c>
      <c r="D13455" s="49">
        <v>0.0</v>
      </c>
    </row>
    <row r="13456" ht="15.0" hidden="1" customHeight="1">
      <c r="A13456" s="49" t="s">
        <v>355</v>
      </c>
      <c r="B13456" s="50">
        <v>46295.0</v>
      </c>
      <c r="C13456" s="49" t="s">
        <v>777</v>
      </c>
      <c r="D13456" s="49">
        <v>0.0</v>
      </c>
    </row>
    <row r="13457" ht="15.0" hidden="1" customHeight="1">
      <c r="A13457" s="49" t="s">
        <v>360</v>
      </c>
      <c r="B13457" s="50">
        <v>46295.0</v>
      </c>
      <c r="C13457" s="49" t="s">
        <v>777</v>
      </c>
      <c r="D13457" s="49">
        <v>0.0</v>
      </c>
    </row>
    <row r="13458" ht="15.0" hidden="1" customHeight="1">
      <c r="A13458" s="49" t="s">
        <v>365</v>
      </c>
      <c r="B13458" s="50">
        <v>46295.0</v>
      </c>
      <c r="C13458" s="49" t="s">
        <v>777</v>
      </c>
      <c r="D13458" s="49">
        <v>0.0</v>
      </c>
    </row>
    <row r="13459" ht="15.0" hidden="1" customHeight="1">
      <c r="A13459" s="49" t="s">
        <v>370</v>
      </c>
      <c r="B13459" s="50">
        <v>46295.0</v>
      </c>
      <c r="C13459" s="49" t="s">
        <v>777</v>
      </c>
      <c r="D13459" s="49">
        <v>0.0</v>
      </c>
    </row>
    <row r="13460" ht="15.0" hidden="1" customHeight="1">
      <c r="A13460" s="49" t="s">
        <v>375</v>
      </c>
      <c r="B13460" s="50">
        <v>46295.0</v>
      </c>
      <c r="C13460" s="49" t="s">
        <v>777</v>
      </c>
      <c r="D13460" s="49">
        <v>0.0</v>
      </c>
    </row>
    <row r="13461" ht="15.0" hidden="1" customHeight="1">
      <c r="A13461" s="49" t="s">
        <v>380</v>
      </c>
      <c r="B13461" s="50">
        <v>46295.0</v>
      </c>
      <c r="C13461" s="49" t="s">
        <v>777</v>
      </c>
      <c r="D13461" s="49">
        <v>0.0</v>
      </c>
    </row>
    <row r="13462" ht="15.0" hidden="1" customHeight="1">
      <c r="A13462" s="49" t="s">
        <v>385</v>
      </c>
      <c r="B13462" s="50">
        <v>46295.0</v>
      </c>
      <c r="C13462" s="49" t="s">
        <v>777</v>
      </c>
      <c r="D13462" s="49">
        <v>0.0</v>
      </c>
    </row>
    <row r="13463" ht="15.0" hidden="1" customHeight="1">
      <c r="A13463" s="49" t="s">
        <v>390</v>
      </c>
      <c r="B13463" s="50">
        <v>46295.0</v>
      </c>
      <c r="C13463" s="49" t="s">
        <v>777</v>
      </c>
      <c r="D13463" s="49">
        <v>0.0</v>
      </c>
    </row>
    <row r="13464" ht="15.0" hidden="1" customHeight="1">
      <c r="A13464" s="49" t="s">
        <v>395</v>
      </c>
      <c r="B13464" s="50">
        <v>46295.0</v>
      </c>
      <c r="C13464" s="49" t="s">
        <v>777</v>
      </c>
      <c r="D13464" s="49">
        <v>0.0</v>
      </c>
    </row>
    <row r="13465" ht="15.0" hidden="1" customHeight="1">
      <c r="A13465" s="49" t="s">
        <v>400</v>
      </c>
      <c r="B13465" s="50">
        <v>46295.0</v>
      </c>
      <c r="C13465" s="49" t="s">
        <v>777</v>
      </c>
      <c r="D13465" s="49">
        <v>0.0</v>
      </c>
    </row>
    <row r="13466" ht="15.0" hidden="1" customHeight="1">
      <c r="A13466" s="49" t="s">
        <v>405</v>
      </c>
      <c r="B13466" s="50">
        <v>46295.0</v>
      </c>
      <c r="C13466" s="49" t="s">
        <v>777</v>
      </c>
      <c r="D13466" s="49">
        <v>0.0</v>
      </c>
    </row>
    <row r="13467" ht="15.0" hidden="1" customHeight="1">
      <c r="A13467" s="49" t="s">
        <v>410</v>
      </c>
      <c r="B13467" s="50">
        <v>46295.0</v>
      </c>
      <c r="C13467" s="49" t="s">
        <v>777</v>
      </c>
      <c r="D13467" s="49">
        <v>0.0</v>
      </c>
    </row>
    <row r="13468" ht="15.0" hidden="1" customHeight="1">
      <c r="A13468" s="49" t="s">
        <v>415</v>
      </c>
      <c r="B13468" s="50">
        <v>46295.0</v>
      </c>
      <c r="C13468" s="49" t="s">
        <v>777</v>
      </c>
      <c r="D13468" s="49">
        <v>0.0</v>
      </c>
    </row>
    <row r="13469" ht="15.0" hidden="1" customHeight="1">
      <c r="A13469" s="49" t="s">
        <v>420</v>
      </c>
      <c r="B13469" s="50">
        <v>46295.0</v>
      </c>
      <c r="C13469" s="49" t="s">
        <v>777</v>
      </c>
      <c r="D13469" s="49">
        <v>0.0</v>
      </c>
    </row>
    <row r="13470" ht="15.0" hidden="1" customHeight="1">
      <c r="A13470" s="49" t="s">
        <v>425</v>
      </c>
      <c r="B13470" s="50">
        <v>46295.0</v>
      </c>
      <c r="C13470" s="49" t="s">
        <v>777</v>
      </c>
      <c r="D13470" s="49">
        <v>0.0</v>
      </c>
    </row>
    <row r="13471" ht="15.0" hidden="1" customHeight="1">
      <c r="A13471" s="49" t="s">
        <v>430</v>
      </c>
      <c r="B13471" s="50">
        <v>46295.0</v>
      </c>
      <c r="C13471" s="49" t="s">
        <v>777</v>
      </c>
      <c r="D13471" s="49">
        <v>0.0</v>
      </c>
    </row>
    <row r="13472" ht="15.0" hidden="1" customHeight="1">
      <c r="A13472" s="49" t="s">
        <v>434</v>
      </c>
      <c r="B13472" s="50">
        <v>46295.0</v>
      </c>
      <c r="C13472" s="49" t="s">
        <v>777</v>
      </c>
      <c r="D13472" s="49">
        <v>0.0</v>
      </c>
    </row>
    <row r="13473" ht="15.0" hidden="1" customHeight="1">
      <c r="A13473" s="49" t="s">
        <v>439</v>
      </c>
      <c r="B13473" s="50">
        <v>46295.0</v>
      </c>
      <c r="C13473" s="49" t="s">
        <v>777</v>
      </c>
      <c r="D13473" s="49">
        <v>0.0</v>
      </c>
    </row>
    <row r="13474" ht="15.0" hidden="1" customHeight="1">
      <c r="A13474" s="49" t="s">
        <v>444</v>
      </c>
      <c r="B13474" s="50">
        <v>46295.0</v>
      </c>
      <c r="C13474" s="49" t="s">
        <v>777</v>
      </c>
      <c r="D13474" s="49">
        <v>0.0</v>
      </c>
    </row>
    <row r="13475" ht="15.0" hidden="1" customHeight="1">
      <c r="A13475" s="49" t="s">
        <v>449</v>
      </c>
      <c r="B13475" s="50">
        <v>46295.0</v>
      </c>
      <c r="C13475" s="49" t="s">
        <v>777</v>
      </c>
      <c r="D13475" s="49">
        <v>0.0</v>
      </c>
    </row>
    <row r="13476" ht="15.0" hidden="1" customHeight="1">
      <c r="A13476" s="49" t="s">
        <v>455</v>
      </c>
      <c r="B13476" s="50">
        <v>46295.0</v>
      </c>
      <c r="C13476" s="49" t="s">
        <v>777</v>
      </c>
      <c r="D13476" s="49">
        <v>0.0</v>
      </c>
    </row>
    <row r="13477" ht="15.0" hidden="1" customHeight="1">
      <c r="A13477" s="49" t="s">
        <v>470</v>
      </c>
      <c r="B13477" s="50">
        <v>46295.0</v>
      </c>
      <c r="C13477" s="49" t="s">
        <v>777</v>
      </c>
      <c r="D13477" s="49">
        <v>0.0</v>
      </c>
    </row>
    <row r="13478" ht="15.0" hidden="1" customHeight="1">
      <c r="A13478" s="49" t="s">
        <v>476</v>
      </c>
      <c r="B13478" s="50">
        <v>46295.0</v>
      </c>
      <c r="C13478" s="49" t="s">
        <v>777</v>
      </c>
      <c r="D13478" s="49">
        <v>0.0</v>
      </c>
    </row>
    <row r="13479" ht="15.0" hidden="1" customHeight="1">
      <c r="A13479" s="49" t="s">
        <v>481</v>
      </c>
      <c r="B13479" s="50">
        <v>46295.0</v>
      </c>
      <c r="C13479" s="49" t="s">
        <v>777</v>
      </c>
      <c r="D13479" s="49">
        <v>0.0</v>
      </c>
    </row>
    <row r="13480" ht="15.0" hidden="1" customHeight="1">
      <c r="A13480" s="49" t="s">
        <v>486</v>
      </c>
      <c r="B13480" s="50">
        <v>46295.0</v>
      </c>
      <c r="C13480" s="49" t="s">
        <v>777</v>
      </c>
      <c r="D13480" s="49">
        <v>0.0</v>
      </c>
    </row>
    <row r="13481" ht="15.0" hidden="1" customHeight="1">
      <c r="A13481" s="49" t="s">
        <v>491</v>
      </c>
      <c r="B13481" s="50">
        <v>46295.0</v>
      </c>
      <c r="C13481" s="49" t="s">
        <v>777</v>
      </c>
      <c r="D13481" s="49">
        <v>0.0</v>
      </c>
    </row>
    <row r="13482" ht="15.0" hidden="1" customHeight="1">
      <c r="A13482" s="49" t="s">
        <v>496</v>
      </c>
      <c r="B13482" s="50">
        <v>46295.0</v>
      </c>
      <c r="C13482" s="49" t="s">
        <v>777</v>
      </c>
      <c r="D13482" s="49">
        <v>0.0</v>
      </c>
    </row>
    <row r="13483" ht="15.0" hidden="1" customHeight="1">
      <c r="A13483" s="49" t="s">
        <v>501</v>
      </c>
      <c r="B13483" s="50">
        <v>46295.0</v>
      </c>
      <c r="C13483" s="49" t="s">
        <v>777</v>
      </c>
      <c r="D13483" s="49">
        <v>0.0</v>
      </c>
    </row>
    <row r="13484" ht="15.0" hidden="1" customHeight="1">
      <c r="A13484" s="49" t="s">
        <v>506</v>
      </c>
      <c r="B13484" s="50">
        <v>46295.0</v>
      </c>
      <c r="C13484" s="49" t="s">
        <v>777</v>
      </c>
      <c r="D13484" s="49">
        <v>0.0</v>
      </c>
    </row>
    <row r="13485" ht="15.0" hidden="1" customHeight="1">
      <c r="A13485" s="49" t="s">
        <v>512</v>
      </c>
      <c r="B13485" s="50">
        <v>46295.0</v>
      </c>
      <c r="C13485" s="49" t="s">
        <v>777</v>
      </c>
      <c r="D13485" s="49">
        <v>0.0</v>
      </c>
    </row>
    <row r="13486" ht="15.0" hidden="1" customHeight="1">
      <c r="A13486" s="49" t="s">
        <v>517</v>
      </c>
      <c r="B13486" s="50">
        <v>46295.0</v>
      </c>
      <c r="C13486" s="49" t="s">
        <v>777</v>
      </c>
      <c r="D13486" s="49">
        <v>0.0</v>
      </c>
    </row>
    <row r="13487" ht="15.0" hidden="1" customHeight="1">
      <c r="A13487" s="49" t="s">
        <v>522</v>
      </c>
      <c r="B13487" s="50">
        <v>46295.0</v>
      </c>
      <c r="C13487" s="49" t="s">
        <v>777</v>
      </c>
      <c r="D13487" s="49">
        <v>0.0</v>
      </c>
    </row>
    <row r="13488" ht="15.0" hidden="1" customHeight="1">
      <c r="A13488" s="49" t="s">
        <v>528</v>
      </c>
      <c r="B13488" s="50">
        <v>46295.0</v>
      </c>
      <c r="C13488" s="49" t="s">
        <v>777</v>
      </c>
      <c r="D13488" s="49">
        <v>0.0</v>
      </c>
    </row>
    <row r="13489" ht="15.0" hidden="1" customHeight="1">
      <c r="A13489" s="49" t="s">
        <v>533</v>
      </c>
      <c r="B13489" s="50">
        <v>46295.0</v>
      </c>
      <c r="C13489" s="49" t="s">
        <v>777</v>
      </c>
      <c r="D13489" s="49">
        <v>0.0</v>
      </c>
    </row>
    <row r="13490" ht="15.0" hidden="1" customHeight="1">
      <c r="A13490" s="49" t="s">
        <v>538</v>
      </c>
      <c r="B13490" s="50">
        <v>46295.0</v>
      </c>
      <c r="C13490" s="49" t="s">
        <v>777</v>
      </c>
      <c r="D13490" s="49">
        <v>0.0</v>
      </c>
    </row>
    <row r="13491" ht="15.0" hidden="1" customHeight="1">
      <c r="A13491" s="49" t="s">
        <v>546</v>
      </c>
      <c r="B13491" s="50">
        <v>46295.0</v>
      </c>
      <c r="C13491" s="49" t="s">
        <v>777</v>
      </c>
      <c r="D13491" s="49">
        <v>0.0</v>
      </c>
    </row>
    <row r="13492" ht="15.0" hidden="1" customHeight="1">
      <c r="A13492" s="49" t="s">
        <v>551</v>
      </c>
      <c r="B13492" s="50">
        <v>46295.0</v>
      </c>
      <c r="C13492" s="49" t="s">
        <v>777</v>
      </c>
      <c r="D13492" s="49">
        <v>0.0</v>
      </c>
    </row>
    <row r="13493" ht="15.0" hidden="1" customHeight="1">
      <c r="A13493" s="49" t="s">
        <v>556</v>
      </c>
      <c r="B13493" s="50">
        <v>46295.0</v>
      </c>
      <c r="C13493" s="49" t="s">
        <v>777</v>
      </c>
      <c r="D13493" s="49">
        <v>0.0</v>
      </c>
    </row>
    <row r="13494" ht="15.0" hidden="1" customHeight="1">
      <c r="A13494" s="49" t="s">
        <v>561</v>
      </c>
      <c r="B13494" s="50">
        <v>46295.0</v>
      </c>
      <c r="C13494" s="49" t="s">
        <v>777</v>
      </c>
      <c r="D13494" s="49">
        <v>0.0</v>
      </c>
    </row>
    <row r="13495" ht="15.0" hidden="1" customHeight="1">
      <c r="A13495" s="49" t="s">
        <v>566</v>
      </c>
      <c r="B13495" s="50">
        <v>46295.0</v>
      </c>
      <c r="C13495" s="49" t="s">
        <v>777</v>
      </c>
      <c r="D13495" s="49">
        <v>0.0</v>
      </c>
    </row>
    <row r="13496" ht="15.0" hidden="1" customHeight="1">
      <c r="A13496" s="49" t="s">
        <v>571</v>
      </c>
      <c r="B13496" s="50">
        <v>46295.0</v>
      </c>
      <c r="C13496" s="49" t="s">
        <v>777</v>
      </c>
      <c r="D13496" s="49">
        <v>0.0</v>
      </c>
    </row>
    <row r="13497" ht="15.0" hidden="1" customHeight="1">
      <c r="A13497" s="49" t="s">
        <v>576</v>
      </c>
      <c r="B13497" s="50">
        <v>46295.0</v>
      </c>
      <c r="C13497" s="49" t="s">
        <v>777</v>
      </c>
      <c r="D13497" s="49">
        <v>0.0</v>
      </c>
    </row>
    <row r="13498" ht="15.0" hidden="1" customHeight="1">
      <c r="A13498" s="49" t="s">
        <v>581</v>
      </c>
      <c r="B13498" s="50">
        <v>46295.0</v>
      </c>
      <c r="C13498" s="49" t="s">
        <v>777</v>
      </c>
      <c r="D13498" s="49">
        <v>0.0</v>
      </c>
    </row>
    <row r="13499" ht="15.0" hidden="1" customHeight="1">
      <c r="A13499" s="49" t="s">
        <v>586</v>
      </c>
      <c r="B13499" s="50">
        <v>46295.0</v>
      </c>
      <c r="C13499" s="49" t="s">
        <v>777</v>
      </c>
      <c r="D13499" s="49">
        <v>0.0</v>
      </c>
    </row>
    <row r="13500" ht="15.0" hidden="1" customHeight="1">
      <c r="A13500" s="49" t="s">
        <v>754</v>
      </c>
      <c r="B13500" s="50">
        <v>46295.0</v>
      </c>
      <c r="C13500" s="49" t="s">
        <v>777</v>
      </c>
      <c r="D13500" s="49">
        <v>0.0</v>
      </c>
    </row>
    <row r="13501" ht="15.0" hidden="1" customHeight="1">
      <c r="A13501" s="49" t="s">
        <v>591</v>
      </c>
      <c r="B13501" s="50">
        <v>46295.0</v>
      </c>
      <c r="C13501" s="49" t="s">
        <v>777</v>
      </c>
      <c r="D13501" s="49">
        <v>0.0</v>
      </c>
    </row>
    <row r="13502" ht="15.0" hidden="1" customHeight="1">
      <c r="A13502" s="49" t="s">
        <v>759</v>
      </c>
      <c r="B13502" s="50">
        <v>46295.0</v>
      </c>
      <c r="C13502" s="49" t="s">
        <v>777</v>
      </c>
      <c r="D13502" s="49">
        <v>0.0</v>
      </c>
    </row>
    <row r="13503" ht="15.0" hidden="1" customHeight="1">
      <c r="A13503" s="49" t="s">
        <v>596</v>
      </c>
      <c r="B13503" s="50">
        <v>46295.0</v>
      </c>
      <c r="C13503" s="49" t="s">
        <v>777</v>
      </c>
      <c r="D13503" s="49">
        <v>0.0</v>
      </c>
    </row>
    <row r="13504" ht="15.0" hidden="1" customHeight="1">
      <c r="A13504" s="49" t="s">
        <v>602</v>
      </c>
      <c r="B13504" s="50">
        <v>46295.0</v>
      </c>
      <c r="C13504" s="49" t="s">
        <v>777</v>
      </c>
      <c r="D13504" s="49">
        <v>0.0</v>
      </c>
    </row>
    <row r="13505" ht="15.0" hidden="1" customHeight="1">
      <c r="A13505" s="49" t="s">
        <v>607</v>
      </c>
      <c r="B13505" s="50">
        <v>46295.0</v>
      </c>
      <c r="C13505" s="49" t="s">
        <v>777</v>
      </c>
      <c r="D13505" s="49">
        <v>0.0</v>
      </c>
    </row>
    <row r="13506" ht="15.0" hidden="1" customHeight="1">
      <c r="A13506" s="49" t="s">
        <v>612</v>
      </c>
      <c r="B13506" s="50">
        <v>46295.0</v>
      </c>
      <c r="C13506" s="49" t="s">
        <v>777</v>
      </c>
      <c r="D13506" s="49">
        <v>0.0</v>
      </c>
    </row>
    <row r="13507" ht="15.0" hidden="1" customHeight="1">
      <c r="A13507" s="49" t="s">
        <v>617</v>
      </c>
      <c r="B13507" s="50">
        <v>46295.0</v>
      </c>
      <c r="C13507" s="49" t="s">
        <v>777</v>
      </c>
      <c r="D13507" s="49">
        <v>0.0</v>
      </c>
    </row>
    <row r="13508" ht="15.0" hidden="1" customHeight="1">
      <c r="A13508" s="49" t="s">
        <v>622</v>
      </c>
      <c r="B13508" s="50">
        <v>46295.0</v>
      </c>
      <c r="C13508" s="49" t="s">
        <v>777</v>
      </c>
      <c r="D13508" s="49">
        <v>0.0</v>
      </c>
    </row>
    <row r="13509" ht="15.0" hidden="1" customHeight="1">
      <c r="A13509" s="49" t="s">
        <v>627</v>
      </c>
      <c r="B13509" s="50">
        <v>46295.0</v>
      </c>
      <c r="C13509" s="49" t="s">
        <v>777</v>
      </c>
      <c r="D13509" s="49">
        <v>0.0</v>
      </c>
    </row>
    <row r="13510" ht="15.0" hidden="1" customHeight="1">
      <c r="A13510" s="49" t="s">
        <v>631</v>
      </c>
      <c r="B13510" s="50">
        <v>46295.0</v>
      </c>
      <c r="C13510" s="49" t="s">
        <v>777</v>
      </c>
      <c r="D13510" s="49">
        <v>0.0</v>
      </c>
    </row>
    <row r="13511" ht="15.0" hidden="1" customHeight="1">
      <c r="A13511" s="49" t="s">
        <v>636</v>
      </c>
      <c r="B13511" s="50">
        <v>46295.0</v>
      </c>
      <c r="C13511" s="49" t="s">
        <v>777</v>
      </c>
      <c r="D13511" s="49">
        <v>0.0</v>
      </c>
    </row>
    <row r="13512" ht="15.0" hidden="1" customHeight="1">
      <c r="A13512" s="49" t="s">
        <v>640</v>
      </c>
      <c r="B13512" s="50">
        <v>46295.0</v>
      </c>
      <c r="C13512" s="49" t="s">
        <v>777</v>
      </c>
      <c r="D13512" s="49">
        <v>0.0</v>
      </c>
    </row>
    <row r="13513" ht="15.0" hidden="1" customHeight="1">
      <c r="A13513" s="49" t="s">
        <v>644</v>
      </c>
      <c r="B13513" s="50">
        <v>46295.0</v>
      </c>
      <c r="C13513" s="49" t="s">
        <v>777</v>
      </c>
      <c r="D13513" s="49">
        <v>0.0</v>
      </c>
    </row>
    <row r="13514" ht="15.0" hidden="1" customHeight="1">
      <c r="A13514" s="49" t="s">
        <v>649</v>
      </c>
      <c r="B13514" s="50">
        <v>46295.0</v>
      </c>
      <c r="C13514" s="49" t="s">
        <v>777</v>
      </c>
      <c r="D13514" s="49">
        <v>0.0</v>
      </c>
    </row>
    <row r="13515" ht="15.0" hidden="1" customHeight="1">
      <c r="A13515" s="49" t="s">
        <v>654</v>
      </c>
      <c r="B13515" s="50">
        <v>46295.0</v>
      </c>
      <c r="C13515" s="49" t="s">
        <v>777</v>
      </c>
      <c r="D13515" s="49">
        <v>0.0</v>
      </c>
    </row>
    <row r="13516" ht="15.0" hidden="1" customHeight="1">
      <c r="A13516" s="49" t="s">
        <v>659</v>
      </c>
      <c r="B13516" s="50">
        <v>46295.0</v>
      </c>
      <c r="C13516" s="49" t="s">
        <v>777</v>
      </c>
      <c r="D13516" s="49">
        <v>0.0</v>
      </c>
    </row>
    <row r="13517" ht="15.0" hidden="1" customHeight="1">
      <c r="A13517" s="49" t="s">
        <v>664</v>
      </c>
      <c r="B13517" s="50">
        <v>46295.0</v>
      </c>
      <c r="C13517" s="49" t="s">
        <v>777</v>
      </c>
      <c r="D13517" s="49">
        <v>0.0</v>
      </c>
    </row>
    <row r="13518" ht="15.0" hidden="1" customHeight="1">
      <c r="A13518" s="49" t="s">
        <v>669</v>
      </c>
      <c r="B13518" s="50">
        <v>46295.0</v>
      </c>
      <c r="C13518" s="49" t="s">
        <v>777</v>
      </c>
      <c r="D13518" s="49">
        <v>0.0</v>
      </c>
    </row>
    <row r="13519" ht="15.0" hidden="1" customHeight="1">
      <c r="A13519" s="49" t="s">
        <v>674</v>
      </c>
      <c r="B13519" s="50">
        <v>46295.0</v>
      </c>
      <c r="C13519" s="49" t="s">
        <v>777</v>
      </c>
      <c r="D13519" s="49">
        <v>0.0</v>
      </c>
    </row>
    <row r="13520" ht="15.0" hidden="1" customHeight="1">
      <c r="A13520" s="49" t="s">
        <v>679</v>
      </c>
      <c r="B13520" s="50">
        <v>46295.0</v>
      </c>
      <c r="C13520" s="49" t="s">
        <v>777</v>
      </c>
      <c r="D13520" s="49">
        <v>0.0</v>
      </c>
    </row>
    <row r="13521" ht="15.0" hidden="1" customHeight="1">
      <c r="A13521" s="49" t="s">
        <v>684</v>
      </c>
      <c r="B13521" s="50">
        <v>46295.0</v>
      </c>
      <c r="C13521" s="49" t="s">
        <v>777</v>
      </c>
      <c r="D13521" s="49">
        <v>0.0</v>
      </c>
    </row>
    <row r="13522" ht="15.0" hidden="1" customHeight="1">
      <c r="A13522" s="49" t="s">
        <v>689</v>
      </c>
      <c r="B13522" s="50">
        <v>46295.0</v>
      </c>
      <c r="C13522" s="49" t="s">
        <v>777</v>
      </c>
      <c r="D13522" s="49">
        <v>0.0</v>
      </c>
    </row>
    <row r="13523" ht="15.0" hidden="1" customHeight="1">
      <c r="A13523" s="49" t="s">
        <v>694</v>
      </c>
      <c r="B13523" s="50">
        <v>46295.0</v>
      </c>
      <c r="C13523" s="49" t="s">
        <v>777</v>
      </c>
      <c r="D13523" s="49">
        <v>0.0</v>
      </c>
    </row>
    <row r="13524" ht="15.0" hidden="1" customHeight="1">
      <c r="A13524" s="49" t="s">
        <v>699</v>
      </c>
      <c r="B13524" s="50">
        <v>46295.0</v>
      </c>
      <c r="C13524" s="49" t="s">
        <v>777</v>
      </c>
      <c r="D13524" s="49">
        <v>0.0</v>
      </c>
    </row>
    <row r="13525" ht="15.0" hidden="1" customHeight="1">
      <c r="A13525" s="49" t="s">
        <v>705</v>
      </c>
      <c r="B13525" s="50">
        <v>46295.0</v>
      </c>
      <c r="C13525" s="49" t="s">
        <v>777</v>
      </c>
      <c r="D13525" s="49">
        <v>0.0</v>
      </c>
    </row>
    <row r="13526" ht="15.0" hidden="1" customHeight="1">
      <c r="A13526" s="49" t="s">
        <v>710</v>
      </c>
      <c r="B13526" s="50">
        <v>46295.0</v>
      </c>
      <c r="C13526" s="49" t="s">
        <v>777</v>
      </c>
      <c r="D13526" s="49">
        <v>0.0</v>
      </c>
    </row>
    <row r="13527" ht="15.0" hidden="1" customHeight="1">
      <c r="A13527" s="49" t="s">
        <v>715</v>
      </c>
      <c r="B13527" s="50">
        <v>46295.0</v>
      </c>
      <c r="C13527" s="49" t="s">
        <v>777</v>
      </c>
      <c r="D13527" s="49">
        <v>0.0</v>
      </c>
    </row>
    <row r="13528" ht="15.0" hidden="1" customHeight="1">
      <c r="A13528" s="49" t="s">
        <v>765</v>
      </c>
      <c r="B13528" s="50">
        <v>46295.0</v>
      </c>
      <c r="C13528" s="49" t="s">
        <v>777</v>
      </c>
      <c r="D13528" s="49">
        <v>0.0</v>
      </c>
    </row>
    <row r="13529" ht="15.0" hidden="1" customHeight="1">
      <c r="A13529" s="49" t="s">
        <v>720</v>
      </c>
      <c r="B13529" s="50">
        <v>46295.0</v>
      </c>
      <c r="C13529" s="49" t="s">
        <v>777</v>
      </c>
      <c r="D13529" s="49">
        <v>0.0</v>
      </c>
    </row>
    <row r="13530" ht="15.0" hidden="1" customHeight="1">
      <c r="A13530" s="49" t="s">
        <v>725</v>
      </c>
      <c r="B13530" s="50">
        <v>46295.0</v>
      </c>
      <c r="C13530" s="49" t="s">
        <v>777</v>
      </c>
      <c r="D13530" s="49">
        <v>0.0</v>
      </c>
    </row>
    <row r="13531" ht="15.0" hidden="1" customHeight="1">
      <c r="A13531" s="49" t="s">
        <v>730</v>
      </c>
      <c r="B13531" s="50">
        <v>46295.0</v>
      </c>
      <c r="C13531" s="49" t="s">
        <v>777</v>
      </c>
      <c r="D13531" s="49">
        <v>0.0</v>
      </c>
    </row>
    <row r="13532" ht="15.0" hidden="1" customHeight="1">
      <c r="A13532" s="49" t="s">
        <v>734</v>
      </c>
      <c r="B13532" s="50">
        <v>46295.0</v>
      </c>
      <c r="C13532" s="49" t="s">
        <v>777</v>
      </c>
      <c r="D13532" s="49">
        <v>0.0</v>
      </c>
    </row>
    <row r="13533" ht="15.0" hidden="1" customHeight="1">
      <c r="A13533" s="49" t="s">
        <v>739</v>
      </c>
      <c r="B13533" s="50">
        <v>46295.0</v>
      </c>
      <c r="C13533" s="49" t="s">
        <v>777</v>
      </c>
      <c r="D13533" s="49">
        <v>0.0</v>
      </c>
    </row>
    <row r="13534" ht="15.0" hidden="1" customHeight="1">
      <c r="A13534" s="49" t="s">
        <v>744</v>
      </c>
      <c r="B13534" s="50">
        <v>46295.0</v>
      </c>
      <c r="C13534" s="49" t="s">
        <v>777</v>
      </c>
      <c r="D13534" s="49">
        <v>0.0</v>
      </c>
    </row>
    <row r="13535" ht="15.0" hidden="1" customHeight="1">
      <c r="A13535" s="49" t="s">
        <v>749</v>
      </c>
      <c r="B13535" s="50">
        <v>46295.0</v>
      </c>
      <c r="C13535" s="49" t="s">
        <v>777</v>
      </c>
      <c r="D13535" s="49">
        <v>0.0</v>
      </c>
    </row>
    <row r="13536" ht="15.0" customHeight="1">
      <c r="A13536" s="49" t="s">
        <v>776</v>
      </c>
      <c r="B13536" s="50">
        <v>46295.0</v>
      </c>
      <c r="C13536" s="49" t="s">
        <v>78</v>
      </c>
      <c r="D13536" s="49">
        <v>0.0</v>
      </c>
    </row>
    <row r="13537" ht="15.0" hidden="1" customHeight="1">
      <c r="A13537" s="49" t="s">
        <v>778</v>
      </c>
      <c r="B13537" s="50">
        <v>46295.0</v>
      </c>
      <c r="C13537" s="49" t="s">
        <v>78</v>
      </c>
      <c r="D13537" s="49">
        <v>0.0</v>
      </c>
    </row>
    <row r="13538" ht="15.0" hidden="1" customHeight="1">
      <c r="A13538" s="49" t="s">
        <v>92</v>
      </c>
      <c r="B13538" s="50">
        <v>46295.0</v>
      </c>
      <c r="C13538" s="49" t="s">
        <v>78</v>
      </c>
      <c r="D13538" s="49">
        <v>0.0</v>
      </c>
    </row>
    <row r="13539" ht="15.0" hidden="1" customHeight="1">
      <c r="A13539" s="49" t="s">
        <v>97</v>
      </c>
      <c r="B13539" s="50">
        <v>46295.0</v>
      </c>
      <c r="C13539" s="49" t="s">
        <v>78</v>
      </c>
      <c r="D13539" s="49">
        <v>0.0</v>
      </c>
    </row>
    <row r="13540" ht="15.0" hidden="1" customHeight="1">
      <c r="A13540" s="49" t="s">
        <v>102</v>
      </c>
      <c r="B13540" s="50">
        <v>46295.0</v>
      </c>
      <c r="C13540" s="49" t="s">
        <v>78</v>
      </c>
      <c r="D13540" s="49">
        <v>0.0</v>
      </c>
    </row>
    <row r="13541" ht="15.0" hidden="1" customHeight="1">
      <c r="A13541" s="49" t="s">
        <v>106</v>
      </c>
      <c r="B13541" s="50">
        <v>46295.0</v>
      </c>
      <c r="C13541" s="49" t="s">
        <v>78</v>
      </c>
      <c r="D13541" s="49">
        <v>0.0</v>
      </c>
    </row>
    <row r="13542" ht="15.0" hidden="1" customHeight="1">
      <c r="A13542" s="49" t="s">
        <v>111</v>
      </c>
      <c r="B13542" s="50">
        <v>46295.0</v>
      </c>
      <c r="C13542" s="49" t="s">
        <v>78</v>
      </c>
      <c r="D13542" s="49">
        <v>0.0</v>
      </c>
    </row>
    <row r="13543" ht="15.0" hidden="1" customHeight="1">
      <c r="A13543" s="49" t="s">
        <v>116</v>
      </c>
      <c r="B13543" s="50">
        <v>46295.0</v>
      </c>
      <c r="C13543" s="49" t="s">
        <v>78</v>
      </c>
      <c r="D13543" s="49">
        <v>0.0</v>
      </c>
    </row>
    <row r="13544" ht="15.0" hidden="1" customHeight="1">
      <c r="A13544" s="49" t="s">
        <v>120</v>
      </c>
      <c r="B13544" s="50">
        <v>46295.0</v>
      </c>
      <c r="C13544" s="49" t="s">
        <v>78</v>
      </c>
      <c r="D13544" s="49">
        <v>0.0</v>
      </c>
    </row>
    <row r="13545" ht="15.0" hidden="1" customHeight="1">
      <c r="A13545" s="49" t="s">
        <v>125</v>
      </c>
      <c r="B13545" s="50">
        <v>46295.0</v>
      </c>
      <c r="C13545" s="49" t="s">
        <v>78</v>
      </c>
      <c r="D13545" s="49">
        <v>0.0</v>
      </c>
    </row>
    <row r="13546" ht="15.0" hidden="1" customHeight="1">
      <c r="A13546" s="49" t="s">
        <v>130</v>
      </c>
      <c r="B13546" s="50">
        <v>46295.0</v>
      </c>
      <c r="C13546" s="49" t="s">
        <v>78</v>
      </c>
      <c r="D13546" s="49">
        <v>0.0</v>
      </c>
    </row>
    <row r="13547" ht="15.0" hidden="1" customHeight="1">
      <c r="A13547" s="49" t="s">
        <v>137</v>
      </c>
      <c r="B13547" s="50">
        <v>46295.0</v>
      </c>
      <c r="C13547" s="49" t="s">
        <v>78</v>
      </c>
      <c r="D13547" s="49">
        <v>0.0</v>
      </c>
    </row>
    <row r="13548" ht="15.0" hidden="1" customHeight="1">
      <c r="A13548" s="49" t="s">
        <v>142</v>
      </c>
      <c r="B13548" s="50">
        <v>46295.0</v>
      </c>
      <c r="C13548" s="49" t="s">
        <v>78</v>
      </c>
      <c r="D13548" s="49">
        <v>0.0</v>
      </c>
    </row>
    <row r="13549" ht="15.0" hidden="1" customHeight="1">
      <c r="A13549" s="49" t="s">
        <v>147</v>
      </c>
      <c r="B13549" s="50">
        <v>46295.0</v>
      </c>
      <c r="C13549" s="49" t="s">
        <v>78</v>
      </c>
      <c r="D13549" s="49">
        <v>0.0</v>
      </c>
    </row>
    <row r="13550" ht="15.0" hidden="1" customHeight="1">
      <c r="A13550" s="49" t="s">
        <v>152</v>
      </c>
      <c r="B13550" s="50">
        <v>46295.0</v>
      </c>
      <c r="C13550" s="49" t="s">
        <v>78</v>
      </c>
      <c r="D13550" s="49">
        <v>0.0</v>
      </c>
    </row>
    <row r="13551" ht="15.0" hidden="1" customHeight="1">
      <c r="A13551" s="49" t="s">
        <v>157</v>
      </c>
      <c r="B13551" s="50">
        <v>46295.0</v>
      </c>
      <c r="C13551" s="49" t="s">
        <v>78</v>
      </c>
      <c r="D13551" s="49">
        <v>0.0</v>
      </c>
    </row>
    <row r="13552" ht="15.0" hidden="1" customHeight="1">
      <c r="A13552" s="49" t="s">
        <v>162</v>
      </c>
      <c r="B13552" s="50">
        <v>46295.0</v>
      </c>
      <c r="C13552" s="49" t="s">
        <v>78</v>
      </c>
      <c r="D13552" s="49">
        <v>0.0</v>
      </c>
    </row>
    <row r="13553" ht="15.0" hidden="1" customHeight="1">
      <c r="A13553" s="49" t="s">
        <v>167</v>
      </c>
      <c r="B13553" s="50">
        <v>46295.0</v>
      </c>
      <c r="C13553" s="49" t="s">
        <v>78</v>
      </c>
      <c r="D13553" s="49">
        <v>0.0</v>
      </c>
    </row>
    <row r="13554" ht="15.0" hidden="1" customHeight="1">
      <c r="A13554" s="49" t="s">
        <v>172</v>
      </c>
      <c r="B13554" s="50">
        <v>46295.0</v>
      </c>
      <c r="C13554" s="49" t="s">
        <v>78</v>
      </c>
      <c r="D13554" s="49">
        <v>0.0</v>
      </c>
    </row>
    <row r="13555" ht="15.0" hidden="1" customHeight="1">
      <c r="A13555" s="49" t="s">
        <v>177</v>
      </c>
      <c r="B13555" s="50">
        <v>46295.0</v>
      </c>
      <c r="C13555" s="49" t="s">
        <v>78</v>
      </c>
      <c r="D13555" s="49">
        <v>0.0</v>
      </c>
    </row>
    <row r="13556" ht="15.0" hidden="1" customHeight="1">
      <c r="A13556" s="49" t="s">
        <v>182</v>
      </c>
      <c r="B13556" s="50">
        <v>46295.0</v>
      </c>
      <c r="C13556" s="49" t="s">
        <v>78</v>
      </c>
      <c r="D13556" s="49">
        <v>0.0</v>
      </c>
    </row>
    <row r="13557" ht="15.0" hidden="1" customHeight="1">
      <c r="A13557" s="49" t="s">
        <v>187</v>
      </c>
      <c r="B13557" s="50">
        <v>46295.0</v>
      </c>
      <c r="C13557" s="49" t="s">
        <v>78</v>
      </c>
      <c r="D13557" s="49">
        <v>0.0</v>
      </c>
    </row>
    <row r="13558" ht="15.0" hidden="1" customHeight="1">
      <c r="A13558" s="49" t="s">
        <v>192</v>
      </c>
      <c r="B13558" s="50">
        <v>46295.0</v>
      </c>
      <c r="C13558" s="49" t="s">
        <v>78</v>
      </c>
      <c r="D13558" s="49">
        <v>0.0</v>
      </c>
    </row>
    <row r="13559" ht="15.0" hidden="1" customHeight="1">
      <c r="A13559" s="49" t="s">
        <v>197</v>
      </c>
      <c r="B13559" s="50">
        <v>46295.0</v>
      </c>
      <c r="C13559" s="49" t="s">
        <v>78</v>
      </c>
      <c r="D13559" s="49">
        <v>0.0</v>
      </c>
    </row>
    <row r="13560" ht="15.0" hidden="1" customHeight="1">
      <c r="A13560" s="49" t="s">
        <v>202</v>
      </c>
      <c r="B13560" s="50">
        <v>46295.0</v>
      </c>
      <c r="C13560" s="49" t="s">
        <v>78</v>
      </c>
      <c r="D13560" s="49">
        <v>0.0</v>
      </c>
    </row>
    <row r="13561" ht="15.0" hidden="1" customHeight="1">
      <c r="A13561" s="49" t="s">
        <v>206</v>
      </c>
      <c r="B13561" s="50">
        <v>46295.0</v>
      </c>
      <c r="C13561" s="49" t="s">
        <v>78</v>
      </c>
      <c r="D13561" s="49">
        <v>0.0</v>
      </c>
    </row>
    <row r="13562" ht="15.0" hidden="1" customHeight="1">
      <c r="A13562" s="49" t="s">
        <v>211</v>
      </c>
      <c r="B13562" s="50">
        <v>46295.0</v>
      </c>
      <c r="C13562" s="49" t="s">
        <v>78</v>
      </c>
      <c r="D13562" s="49">
        <v>0.0</v>
      </c>
    </row>
    <row r="13563" ht="15.0" hidden="1" customHeight="1">
      <c r="A13563" s="49" t="s">
        <v>779</v>
      </c>
      <c r="B13563" s="50">
        <v>46295.0</v>
      </c>
      <c r="C13563" s="49" t="s">
        <v>78</v>
      </c>
      <c r="D13563" s="49">
        <v>0.0</v>
      </c>
    </row>
    <row r="13564" ht="15.0" hidden="1" customHeight="1">
      <c r="A13564" s="49" t="s">
        <v>221</v>
      </c>
      <c r="B13564" s="50">
        <v>46295.0</v>
      </c>
      <c r="C13564" s="49" t="s">
        <v>78</v>
      </c>
      <c r="D13564" s="49">
        <v>0.0</v>
      </c>
    </row>
    <row r="13565" ht="15.0" hidden="1" customHeight="1">
      <c r="A13565" s="49" t="s">
        <v>226</v>
      </c>
      <c r="B13565" s="50">
        <v>46295.0</v>
      </c>
      <c r="C13565" s="49" t="s">
        <v>78</v>
      </c>
      <c r="D13565" s="49">
        <v>0.0</v>
      </c>
    </row>
    <row r="13566" ht="15.0" hidden="1" customHeight="1">
      <c r="A13566" s="49" t="s">
        <v>231</v>
      </c>
      <c r="B13566" s="50">
        <v>46295.0</v>
      </c>
      <c r="C13566" s="49" t="s">
        <v>78</v>
      </c>
      <c r="D13566" s="49">
        <v>0.0</v>
      </c>
    </row>
    <row r="13567" ht="15.0" hidden="1" customHeight="1">
      <c r="A13567" s="49" t="s">
        <v>236</v>
      </c>
      <c r="B13567" s="50">
        <v>46295.0</v>
      </c>
      <c r="C13567" s="49" t="s">
        <v>78</v>
      </c>
      <c r="D13567" s="49">
        <v>0.0</v>
      </c>
    </row>
    <row r="13568" ht="15.0" hidden="1" customHeight="1">
      <c r="A13568" s="49" t="s">
        <v>242</v>
      </c>
      <c r="B13568" s="50">
        <v>46295.0</v>
      </c>
      <c r="C13568" s="49" t="s">
        <v>78</v>
      </c>
      <c r="D13568" s="49">
        <v>0.0</v>
      </c>
    </row>
    <row r="13569" ht="15.0" hidden="1" customHeight="1">
      <c r="A13569" s="49" t="s">
        <v>248</v>
      </c>
      <c r="B13569" s="50">
        <v>46295.0</v>
      </c>
      <c r="C13569" s="49" t="s">
        <v>78</v>
      </c>
      <c r="D13569" s="49">
        <v>0.0</v>
      </c>
    </row>
    <row r="13570" ht="15.0" hidden="1" customHeight="1">
      <c r="A13570" s="49" t="s">
        <v>253</v>
      </c>
      <c r="B13570" s="50">
        <v>46295.0</v>
      </c>
      <c r="C13570" s="49" t="s">
        <v>78</v>
      </c>
      <c r="D13570" s="49">
        <v>0.0</v>
      </c>
    </row>
    <row r="13571" ht="15.0" hidden="1" customHeight="1">
      <c r="A13571" s="49" t="s">
        <v>258</v>
      </c>
      <c r="B13571" s="50">
        <v>46295.0</v>
      </c>
      <c r="C13571" s="49" t="s">
        <v>78</v>
      </c>
      <c r="D13571" s="49">
        <v>0.0</v>
      </c>
    </row>
    <row r="13572" ht="15.0" hidden="1" customHeight="1">
      <c r="A13572" s="49" t="s">
        <v>263</v>
      </c>
      <c r="B13572" s="50">
        <v>46295.0</v>
      </c>
      <c r="C13572" s="49" t="s">
        <v>78</v>
      </c>
      <c r="D13572" s="49">
        <v>0.0</v>
      </c>
    </row>
    <row r="13573" ht="15.0" hidden="1" customHeight="1">
      <c r="A13573" s="49" t="s">
        <v>268</v>
      </c>
      <c r="B13573" s="50">
        <v>46295.0</v>
      </c>
      <c r="C13573" s="49" t="s">
        <v>78</v>
      </c>
      <c r="D13573" s="49">
        <v>0.0</v>
      </c>
    </row>
    <row r="13574" ht="15.0" hidden="1" customHeight="1">
      <c r="A13574" s="49" t="s">
        <v>273</v>
      </c>
      <c r="B13574" s="50">
        <v>46295.0</v>
      </c>
      <c r="C13574" s="49" t="s">
        <v>78</v>
      </c>
      <c r="D13574" s="49">
        <v>0.0</v>
      </c>
    </row>
    <row r="13575" ht="15.0" hidden="1" customHeight="1">
      <c r="A13575" s="49" t="s">
        <v>278</v>
      </c>
      <c r="B13575" s="50">
        <v>46295.0</v>
      </c>
      <c r="C13575" s="49" t="s">
        <v>78</v>
      </c>
      <c r="D13575" s="49">
        <v>0.0</v>
      </c>
    </row>
    <row r="13576" ht="15.0" hidden="1" customHeight="1">
      <c r="A13576" s="49" t="s">
        <v>283</v>
      </c>
      <c r="B13576" s="50">
        <v>46295.0</v>
      </c>
      <c r="C13576" s="49" t="s">
        <v>78</v>
      </c>
      <c r="D13576" s="49">
        <v>0.0</v>
      </c>
    </row>
    <row r="13577" ht="15.0" hidden="1" customHeight="1">
      <c r="A13577" s="49" t="s">
        <v>288</v>
      </c>
      <c r="B13577" s="50">
        <v>46295.0</v>
      </c>
      <c r="C13577" s="49" t="s">
        <v>78</v>
      </c>
      <c r="D13577" s="49">
        <v>0.0</v>
      </c>
    </row>
    <row r="13578" ht="15.0" hidden="1" customHeight="1">
      <c r="A13578" s="49" t="s">
        <v>293</v>
      </c>
      <c r="B13578" s="50">
        <v>46295.0</v>
      </c>
      <c r="C13578" s="49" t="s">
        <v>78</v>
      </c>
      <c r="D13578" s="49">
        <v>0.0</v>
      </c>
    </row>
    <row r="13579" ht="15.0" hidden="1" customHeight="1">
      <c r="A13579" s="49" t="s">
        <v>298</v>
      </c>
      <c r="B13579" s="50">
        <v>46295.0</v>
      </c>
      <c r="C13579" s="49" t="s">
        <v>78</v>
      </c>
      <c r="D13579" s="49">
        <v>0.0</v>
      </c>
    </row>
    <row r="13580" ht="15.0" hidden="1" customHeight="1">
      <c r="A13580" s="49" t="s">
        <v>303</v>
      </c>
      <c r="B13580" s="50">
        <v>46295.0</v>
      </c>
      <c r="C13580" s="49" t="s">
        <v>78</v>
      </c>
      <c r="D13580" s="49">
        <v>0.0</v>
      </c>
    </row>
    <row r="13581" ht="15.0" hidden="1" customHeight="1">
      <c r="A13581" s="49" t="s">
        <v>307</v>
      </c>
      <c r="B13581" s="50">
        <v>46295.0</v>
      </c>
      <c r="C13581" s="49" t="s">
        <v>78</v>
      </c>
      <c r="D13581" s="49">
        <v>0.0</v>
      </c>
    </row>
    <row r="13582" ht="15.0" hidden="1" customHeight="1">
      <c r="A13582" s="49" t="s">
        <v>313</v>
      </c>
      <c r="B13582" s="50">
        <v>46295.0</v>
      </c>
      <c r="C13582" s="49" t="s">
        <v>78</v>
      </c>
      <c r="D13582" s="49">
        <v>0.0</v>
      </c>
    </row>
    <row r="13583" ht="15.0" hidden="1" customHeight="1">
      <c r="A13583" s="49" t="s">
        <v>318</v>
      </c>
      <c r="B13583" s="50">
        <v>46295.0</v>
      </c>
      <c r="C13583" s="49" t="s">
        <v>78</v>
      </c>
      <c r="D13583" s="49">
        <v>0.0</v>
      </c>
    </row>
    <row r="13584" ht="15.0" hidden="1" customHeight="1">
      <c r="A13584" s="49" t="s">
        <v>323</v>
      </c>
      <c r="B13584" s="50">
        <v>46295.0</v>
      </c>
      <c r="C13584" s="49" t="s">
        <v>78</v>
      </c>
      <c r="D13584" s="49">
        <v>0.0</v>
      </c>
    </row>
    <row r="13585" ht="15.0" hidden="1" customHeight="1">
      <c r="A13585" s="49" t="s">
        <v>328</v>
      </c>
      <c r="B13585" s="50">
        <v>46295.0</v>
      </c>
      <c r="C13585" s="49" t="s">
        <v>78</v>
      </c>
      <c r="D13585" s="49">
        <v>0.0</v>
      </c>
    </row>
    <row r="13586" ht="15.0" hidden="1" customHeight="1">
      <c r="A13586" s="49" t="s">
        <v>335</v>
      </c>
      <c r="B13586" s="50">
        <v>46295.0</v>
      </c>
      <c r="C13586" s="49" t="s">
        <v>78</v>
      </c>
      <c r="D13586" s="49">
        <v>0.0</v>
      </c>
    </row>
    <row r="13587" ht="15.0" hidden="1" customHeight="1">
      <c r="A13587" s="49" t="s">
        <v>340</v>
      </c>
      <c r="B13587" s="50">
        <v>46295.0</v>
      </c>
      <c r="C13587" s="49" t="s">
        <v>78</v>
      </c>
      <c r="D13587" s="49">
        <v>0.0</v>
      </c>
    </row>
    <row r="13588" ht="15.0" hidden="1" customHeight="1">
      <c r="A13588" s="49" t="s">
        <v>345</v>
      </c>
      <c r="B13588" s="50">
        <v>46295.0</v>
      </c>
      <c r="C13588" s="49" t="s">
        <v>78</v>
      </c>
      <c r="D13588" s="49">
        <v>0.0</v>
      </c>
    </row>
    <row r="13589" ht="15.0" hidden="1" customHeight="1">
      <c r="A13589" s="49" t="s">
        <v>350</v>
      </c>
      <c r="B13589" s="50">
        <v>46295.0</v>
      </c>
      <c r="C13589" s="49" t="s">
        <v>78</v>
      </c>
      <c r="D13589" s="49">
        <v>0.0</v>
      </c>
    </row>
    <row r="13590" ht="15.0" hidden="1" customHeight="1">
      <c r="A13590" s="49" t="s">
        <v>355</v>
      </c>
      <c r="B13590" s="50">
        <v>46295.0</v>
      </c>
      <c r="C13590" s="49" t="s">
        <v>78</v>
      </c>
      <c r="D13590" s="49">
        <v>0.0</v>
      </c>
    </row>
    <row r="13591" ht="15.0" hidden="1" customHeight="1">
      <c r="A13591" s="49" t="s">
        <v>360</v>
      </c>
      <c r="B13591" s="50">
        <v>46295.0</v>
      </c>
      <c r="C13591" s="49" t="s">
        <v>78</v>
      </c>
      <c r="D13591" s="49">
        <v>0.0</v>
      </c>
    </row>
    <row r="13592" ht="15.0" hidden="1" customHeight="1">
      <c r="A13592" s="49" t="s">
        <v>365</v>
      </c>
      <c r="B13592" s="50">
        <v>46295.0</v>
      </c>
      <c r="C13592" s="49" t="s">
        <v>78</v>
      </c>
      <c r="D13592" s="49">
        <v>0.0</v>
      </c>
    </row>
    <row r="13593" ht="15.0" hidden="1" customHeight="1">
      <c r="A13593" s="49" t="s">
        <v>370</v>
      </c>
      <c r="B13593" s="50">
        <v>46295.0</v>
      </c>
      <c r="C13593" s="49" t="s">
        <v>78</v>
      </c>
      <c r="D13593" s="49">
        <v>0.0</v>
      </c>
    </row>
    <row r="13594" ht="15.0" hidden="1" customHeight="1">
      <c r="A13594" s="49" t="s">
        <v>375</v>
      </c>
      <c r="B13594" s="50">
        <v>46295.0</v>
      </c>
      <c r="C13594" s="49" t="s">
        <v>78</v>
      </c>
      <c r="D13594" s="49">
        <v>0.0</v>
      </c>
    </row>
    <row r="13595" ht="15.0" hidden="1" customHeight="1">
      <c r="A13595" s="49" t="s">
        <v>380</v>
      </c>
      <c r="B13595" s="50">
        <v>46295.0</v>
      </c>
      <c r="C13595" s="49" t="s">
        <v>78</v>
      </c>
      <c r="D13595" s="49">
        <v>0.0</v>
      </c>
    </row>
    <row r="13596" ht="15.0" hidden="1" customHeight="1">
      <c r="A13596" s="49" t="s">
        <v>385</v>
      </c>
      <c r="B13596" s="50">
        <v>46295.0</v>
      </c>
      <c r="C13596" s="49" t="s">
        <v>78</v>
      </c>
      <c r="D13596" s="49">
        <v>0.0</v>
      </c>
    </row>
    <row r="13597" ht="15.0" hidden="1" customHeight="1">
      <c r="A13597" s="49" t="s">
        <v>390</v>
      </c>
      <c r="B13597" s="50">
        <v>46295.0</v>
      </c>
      <c r="C13597" s="49" t="s">
        <v>78</v>
      </c>
      <c r="D13597" s="49">
        <v>0.0</v>
      </c>
    </row>
    <row r="13598" ht="15.0" hidden="1" customHeight="1">
      <c r="A13598" s="49" t="s">
        <v>395</v>
      </c>
      <c r="B13598" s="50">
        <v>46295.0</v>
      </c>
      <c r="C13598" s="49" t="s">
        <v>78</v>
      </c>
      <c r="D13598" s="49">
        <v>0.0</v>
      </c>
    </row>
    <row r="13599" ht="15.0" hidden="1" customHeight="1">
      <c r="A13599" s="49" t="s">
        <v>400</v>
      </c>
      <c r="B13599" s="50">
        <v>46295.0</v>
      </c>
      <c r="C13599" s="49" t="s">
        <v>78</v>
      </c>
      <c r="D13599" s="49">
        <v>0.0</v>
      </c>
    </row>
    <row r="13600" ht="15.0" hidden="1" customHeight="1">
      <c r="A13600" s="49" t="s">
        <v>405</v>
      </c>
      <c r="B13600" s="50">
        <v>46295.0</v>
      </c>
      <c r="C13600" s="49" t="s">
        <v>78</v>
      </c>
      <c r="D13600" s="49">
        <v>0.0</v>
      </c>
    </row>
    <row r="13601" ht="15.0" hidden="1" customHeight="1">
      <c r="A13601" s="49" t="s">
        <v>410</v>
      </c>
      <c r="B13601" s="50">
        <v>46295.0</v>
      </c>
      <c r="C13601" s="49" t="s">
        <v>78</v>
      </c>
      <c r="D13601" s="49">
        <v>0.0</v>
      </c>
    </row>
    <row r="13602" ht="15.0" hidden="1" customHeight="1">
      <c r="A13602" s="49" t="s">
        <v>415</v>
      </c>
      <c r="B13602" s="50">
        <v>46295.0</v>
      </c>
      <c r="C13602" s="49" t="s">
        <v>78</v>
      </c>
      <c r="D13602" s="49">
        <v>0.0</v>
      </c>
    </row>
    <row r="13603" ht="15.0" hidden="1" customHeight="1">
      <c r="A13603" s="49" t="s">
        <v>420</v>
      </c>
      <c r="B13603" s="50">
        <v>46295.0</v>
      </c>
      <c r="C13603" s="49" t="s">
        <v>78</v>
      </c>
      <c r="D13603" s="49">
        <v>0.0</v>
      </c>
    </row>
    <row r="13604" ht="15.0" hidden="1" customHeight="1">
      <c r="A13604" s="49" t="s">
        <v>425</v>
      </c>
      <c r="B13604" s="50">
        <v>46295.0</v>
      </c>
      <c r="C13604" s="49" t="s">
        <v>78</v>
      </c>
      <c r="D13604" s="49">
        <v>0.0</v>
      </c>
    </row>
    <row r="13605" ht="15.0" hidden="1" customHeight="1">
      <c r="A13605" s="49" t="s">
        <v>430</v>
      </c>
      <c r="B13605" s="50">
        <v>46295.0</v>
      </c>
      <c r="C13605" s="49" t="s">
        <v>78</v>
      </c>
      <c r="D13605" s="49">
        <v>0.0</v>
      </c>
    </row>
    <row r="13606" ht="15.0" hidden="1" customHeight="1">
      <c r="A13606" s="49" t="s">
        <v>434</v>
      </c>
      <c r="B13606" s="50">
        <v>46295.0</v>
      </c>
      <c r="C13606" s="49" t="s">
        <v>78</v>
      </c>
      <c r="D13606" s="49">
        <v>0.0</v>
      </c>
    </row>
    <row r="13607" ht="15.0" hidden="1" customHeight="1">
      <c r="A13607" s="49" t="s">
        <v>439</v>
      </c>
      <c r="B13607" s="50">
        <v>46295.0</v>
      </c>
      <c r="C13607" s="49" t="s">
        <v>78</v>
      </c>
      <c r="D13607" s="49">
        <v>0.0</v>
      </c>
    </row>
    <row r="13608" ht="15.0" hidden="1" customHeight="1">
      <c r="A13608" s="49" t="s">
        <v>444</v>
      </c>
      <c r="B13608" s="50">
        <v>46295.0</v>
      </c>
      <c r="C13608" s="49" t="s">
        <v>78</v>
      </c>
      <c r="D13608" s="49">
        <v>0.0</v>
      </c>
    </row>
    <row r="13609" ht="15.0" hidden="1" customHeight="1">
      <c r="A13609" s="49" t="s">
        <v>449</v>
      </c>
      <c r="B13609" s="50">
        <v>46295.0</v>
      </c>
      <c r="C13609" s="49" t="s">
        <v>78</v>
      </c>
      <c r="D13609" s="49">
        <v>0.0</v>
      </c>
    </row>
    <row r="13610" ht="15.0" hidden="1" customHeight="1">
      <c r="A13610" s="49" t="s">
        <v>455</v>
      </c>
      <c r="B13610" s="50">
        <v>46295.0</v>
      </c>
      <c r="C13610" s="49" t="s">
        <v>78</v>
      </c>
      <c r="D13610" s="49">
        <v>0.0</v>
      </c>
    </row>
    <row r="13611" ht="15.0" hidden="1" customHeight="1">
      <c r="A13611" s="49" t="s">
        <v>470</v>
      </c>
      <c r="B13611" s="50">
        <v>46295.0</v>
      </c>
      <c r="C13611" s="49" t="s">
        <v>78</v>
      </c>
      <c r="D13611" s="49">
        <v>0.0</v>
      </c>
    </row>
    <row r="13612" ht="15.0" hidden="1" customHeight="1">
      <c r="A13612" s="49" t="s">
        <v>476</v>
      </c>
      <c r="B13612" s="50">
        <v>46295.0</v>
      </c>
      <c r="C13612" s="49" t="s">
        <v>78</v>
      </c>
      <c r="D13612" s="49">
        <v>0.0</v>
      </c>
    </row>
    <row r="13613" ht="15.0" hidden="1" customHeight="1">
      <c r="A13613" s="49" t="s">
        <v>481</v>
      </c>
      <c r="B13613" s="50">
        <v>46295.0</v>
      </c>
      <c r="C13613" s="49" t="s">
        <v>78</v>
      </c>
      <c r="D13613" s="49">
        <v>0.0</v>
      </c>
    </row>
    <row r="13614" ht="15.0" hidden="1" customHeight="1">
      <c r="A13614" s="49" t="s">
        <v>486</v>
      </c>
      <c r="B13614" s="50">
        <v>46295.0</v>
      </c>
      <c r="C13614" s="49" t="s">
        <v>78</v>
      </c>
      <c r="D13614" s="49">
        <v>0.0</v>
      </c>
    </row>
    <row r="13615" ht="15.0" hidden="1" customHeight="1">
      <c r="A13615" s="49" t="s">
        <v>491</v>
      </c>
      <c r="B13615" s="50">
        <v>46295.0</v>
      </c>
      <c r="C13615" s="49" t="s">
        <v>78</v>
      </c>
      <c r="D13615" s="49">
        <v>0.0</v>
      </c>
    </row>
    <row r="13616" ht="15.0" hidden="1" customHeight="1">
      <c r="A13616" s="49" t="s">
        <v>496</v>
      </c>
      <c r="B13616" s="50">
        <v>46295.0</v>
      </c>
      <c r="C13616" s="49" t="s">
        <v>78</v>
      </c>
      <c r="D13616" s="49">
        <v>0.0</v>
      </c>
    </row>
    <row r="13617" ht="15.0" hidden="1" customHeight="1">
      <c r="A13617" s="49" t="s">
        <v>501</v>
      </c>
      <c r="B13617" s="50">
        <v>46295.0</v>
      </c>
      <c r="C13617" s="49" t="s">
        <v>78</v>
      </c>
      <c r="D13617" s="49">
        <v>0.0</v>
      </c>
    </row>
    <row r="13618" ht="15.0" hidden="1" customHeight="1">
      <c r="A13618" s="49" t="s">
        <v>506</v>
      </c>
      <c r="B13618" s="50">
        <v>46295.0</v>
      </c>
      <c r="C13618" s="49" t="s">
        <v>78</v>
      </c>
      <c r="D13618" s="49">
        <v>0.0</v>
      </c>
    </row>
    <row r="13619" ht="15.0" hidden="1" customHeight="1">
      <c r="A13619" s="49" t="s">
        <v>512</v>
      </c>
      <c r="B13619" s="50">
        <v>46295.0</v>
      </c>
      <c r="C13619" s="49" t="s">
        <v>78</v>
      </c>
      <c r="D13619" s="49">
        <v>0.0</v>
      </c>
    </row>
    <row r="13620" ht="15.0" hidden="1" customHeight="1">
      <c r="A13620" s="49" t="s">
        <v>517</v>
      </c>
      <c r="B13620" s="50">
        <v>46295.0</v>
      </c>
      <c r="C13620" s="49" t="s">
        <v>78</v>
      </c>
      <c r="D13620" s="49">
        <v>0.0</v>
      </c>
    </row>
    <row r="13621" ht="15.0" hidden="1" customHeight="1">
      <c r="A13621" s="49" t="s">
        <v>522</v>
      </c>
      <c r="B13621" s="50">
        <v>46295.0</v>
      </c>
      <c r="C13621" s="49" t="s">
        <v>78</v>
      </c>
      <c r="D13621" s="49">
        <v>0.0</v>
      </c>
    </row>
    <row r="13622" ht="15.0" hidden="1" customHeight="1">
      <c r="A13622" s="49" t="s">
        <v>528</v>
      </c>
      <c r="B13622" s="50">
        <v>46295.0</v>
      </c>
      <c r="C13622" s="49" t="s">
        <v>78</v>
      </c>
      <c r="D13622" s="49">
        <v>0.0</v>
      </c>
    </row>
    <row r="13623" ht="15.0" hidden="1" customHeight="1">
      <c r="A13623" s="49" t="s">
        <v>533</v>
      </c>
      <c r="B13623" s="50">
        <v>46295.0</v>
      </c>
      <c r="C13623" s="49" t="s">
        <v>78</v>
      </c>
      <c r="D13623" s="49">
        <v>0.0</v>
      </c>
    </row>
    <row r="13624" ht="15.0" hidden="1" customHeight="1">
      <c r="A13624" s="49" t="s">
        <v>538</v>
      </c>
      <c r="B13624" s="50">
        <v>46295.0</v>
      </c>
      <c r="C13624" s="49" t="s">
        <v>78</v>
      </c>
      <c r="D13624" s="49">
        <v>0.0</v>
      </c>
    </row>
    <row r="13625" ht="15.0" hidden="1" customHeight="1">
      <c r="A13625" s="49" t="s">
        <v>546</v>
      </c>
      <c r="B13625" s="50">
        <v>46295.0</v>
      </c>
      <c r="C13625" s="49" t="s">
        <v>78</v>
      </c>
      <c r="D13625" s="49">
        <v>0.0</v>
      </c>
    </row>
    <row r="13626" ht="15.0" hidden="1" customHeight="1">
      <c r="A13626" s="49" t="s">
        <v>551</v>
      </c>
      <c r="B13626" s="50">
        <v>46295.0</v>
      </c>
      <c r="C13626" s="49" t="s">
        <v>78</v>
      </c>
      <c r="D13626" s="49">
        <v>0.0</v>
      </c>
    </row>
    <row r="13627" ht="15.0" hidden="1" customHeight="1">
      <c r="A13627" s="49" t="s">
        <v>556</v>
      </c>
      <c r="B13627" s="50">
        <v>46295.0</v>
      </c>
      <c r="C13627" s="49" t="s">
        <v>78</v>
      </c>
      <c r="D13627" s="49">
        <v>0.0</v>
      </c>
    </row>
    <row r="13628" ht="15.0" hidden="1" customHeight="1">
      <c r="A13628" s="49" t="s">
        <v>561</v>
      </c>
      <c r="B13628" s="50">
        <v>46295.0</v>
      </c>
      <c r="C13628" s="49" t="s">
        <v>78</v>
      </c>
      <c r="D13628" s="49">
        <v>0.0</v>
      </c>
    </row>
    <row r="13629" ht="15.0" hidden="1" customHeight="1">
      <c r="A13629" s="49" t="s">
        <v>566</v>
      </c>
      <c r="B13629" s="50">
        <v>46295.0</v>
      </c>
      <c r="C13629" s="49" t="s">
        <v>78</v>
      </c>
      <c r="D13629" s="49">
        <v>0.0</v>
      </c>
    </row>
    <row r="13630" ht="15.0" hidden="1" customHeight="1">
      <c r="A13630" s="49" t="s">
        <v>571</v>
      </c>
      <c r="B13630" s="50">
        <v>46295.0</v>
      </c>
      <c r="C13630" s="49" t="s">
        <v>78</v>
      </c>
      <c r="D13630" s="49">
        <v>0.0</v>
      </c>
    </row>
    <row r="13631" ht="15.0" hidden="1" customHeight="1">
      <c r="A13631" s="49" t="s">
        <v>576</v>
      </c>
      <c r="B13631" s="50">
        <v>46295.0</v>
      </c>
      <c r="C13631" s="49" t="s">
        <v>78</v>
      </c>
      <c r="D13631" s="49">
        <v>0.0</v>
      </c>
    </row>
    <row r="13632" ht="15.0" hidden="1" customHeight="1">
      <c r="A13632" s="49" t="s">
        <v>581</v>
      </c>
      <c r="B13632" s="50">
        <v>46295.0</v>
      </c>
      <c r="C13632" s="49" t="s">
        <v>78</v>
      </c>
      <c r="D13632" s="49">
        <v>0.0</v>
      </c>
    </row>
    <row r="13633" ht="15.0" hidden="1" customHeight="1">
      <c r="A13633" s="49" t="s">
        <v>586</v>
      </c>
      <c r="B13633" s="50">
        <v>46295.0</v>
      </c>
      <c r="C13633" s="49" t="s">
        <v>78</v>
      </c>
      <c r="D13633" s="49">
        <v>0.0</v>
      </c>
    </row>
    <row r="13634" ht="15.0" hidden="1" customHeight="1">
      <c r="A13634" s="49" t="s">
        <v>754</v>
      </c>
      <c r="B13634" s="50">
        <v>46295.0</v>
      </c>
      <c r="C13634" s="49" t="s">
        <v>78</v>
      </c>
      <c r="D13634" s="49">
        <v>0.0</v>
      </c>
    </row>
    <row r="13635" ht="15.0" hidden="1" customHeight="1">
      <c r="A13635" s="49" t="s">
        <v>591</v>
      </c>
      <c r="B13635" s="50">
        <v>46295.0</v>
      </c>
      <c r="C13635" s="49" t="s">
        <v>78</v>
      </c>
      <c r="D13635" s="49">
        <v>0.0</v>
      </c>
    </row>
    <row r="13636" ht="15.0" hidden="1" customHeight="1">
      <c r="A13636" s="49" t="s">
        <v>759</v>
      </c>
      <c r="B13636" s="50">
        <v>46295.0</v>
      </c>
      <c r="C13636" s="49" t="s">
        <v>78</v>
      </c>
      <c r="D13636" s="49">
        <v>0.0</v>
      </c>
    </row>
    <row r="13637" ht="15.0" hidden="1" customHeight="1">
      <c r="A13637" s="49" t="s">
        <v>596</v>
      </c>
      <c r="B13637" s="50">
        <v>46295.0</v>
      </c>
      <c r="C13637" s="49" t="s">
        <v>78</v>
      </c>
      <c r="D13637" s="49">
        <v>0.0</v>
      </c>
    </row>
    <row r="13638" ht="15.0" hidden="1" customHeight="1">
      <c r="A13638" s="49" t="s">
        <v>602</v>
      </c>
      <c r="B13638" s="50">
        <v>46295.0</v>
      </c>
      <c r="C13638" s="49" t="s">
        <v>78</v>
      </c>
      <c r="D13638" s="49">
        <v>0.0</v>
      </c>
    </row>
    <row r="13639" ht="15.0" hidden="1" customHeight="1">
      <c r="A13639" s="49" t="s">
        <v>607</v>
      </c>
      <c r="B13639" s="50">
        <v>46295.0</v>
      </c>
      <c r="C13639" s="49" t="s">
        <v>78</v>
      </c>
      <c r="D13639" s="49">
        <v>0.0</v>
      </c>
    </row>
    <row r="13640" ht="15.0" hidden="1" customHeight="1">
      <c r="A13640" s="49" t="s">
        <v>612</v>
      </c>
      <c r="B13640" s="50">
        <v>46295.0</v>
      </c>
      <c r="C13640" s="49" t="s">
        <v>78</v>
      </c>
      <c r="D13640" s="49">
        <v>0.0</v>
      </c>
    </row>
    <row r="13641" ht="15.0" hidden="1" customHeight="1">
      <c r="A13641" s="49" t="s">
        <v>617</v>
      </c>
      <c r="B13641" s="50">
        <v>46295.0</v>
      </c>
      <c r="C13641" s="49" t="s">
        <v>78</v>
      </c>
      <c r="D13641" s="49">
        <v>0.0</v>
      </c>
    </row>
    <row r="13642" ht="15.0" hidden="1" customHeight="1">
      <c r="A13642" s="49" t="s">
        <v>622</v>
      </c>
      <c r="B13642" s="50">
        <v>46295.0</v>
      </c>
      <c r="C13642" s="49" t="s">
        <v>78</v>
      </c>
      <c r="D13642" s="49">
        <v>0.0</v>
      </c>
    </row>
    <row r="13643" ht="15.0" hidden="1" customHeight="1">
      <c r="A13643" s="49" t="s">
        <v>627</v>
      </c>
      <c r="B13643" s="50">
        <v>46295.0</v>
      </c>
      <c r="C13643" s="49" t="s">
        <v>78</v>
      </c>
      <c r="D13643" s="49">
        <v>0.0</v>
      </c>
    </row>
    <row r="13644" ht="15.0" hidden="1" customHeight="1">
      <c r="A13644" s="49" t="s">
        <v>631</v>
      </c>
      <c r="B13644" s="50">
        <v>46295.0</v>
      </c>
      <c r="C13644" s="49" t="s">
        <v>78</v>
      </c>
      <c r="D13644" s="49">
        <v>0.0</v>
      </c>
    </row>
    <row r="13645" ht="15.0" hidden="1" customHeight="1">
      <c r="A13645" s="49" t="s">
        <v>636</v>
      </c>
      <c r="B13645" s="50">
        <v>46295.0</v>
      </c>
      <c r="C13645" s="49" t="s">
        <v>78</v>
      </c>
      <c r="D13645" s="49">
        <v>0.0</v>
      </c>
    </row>
    <row r="13646" ht="15.0" hidden="1" customHeight="1">
      <c r="A13646" s="49" t="s">
        <v>640</v>
      </c>
      <c r="B13646" s="50">
        <v>46295.0</v>
      </c>
      <c r="C13646" s="49" t="s">
        <v>78</v>
      </c>
      <c r="D13646" s="49">
        <v>0.0</v>
      </c>
    </row>
    <row r="13647" ht="15.0" hidden="1" customHeight="1">
      <c r="A13647" s="49" t="s">
        <v>644</v>
      </c>
      <c r="B13647" s="50">
        <v>46295.0</v>
      </c>
      <c r="C13647" s="49" t="s">
        <v>78</v>
      </c>
      <c r="D13647" s="49">
        <v>0.0</v>
      </c>
    </row>
    <row r="13648" ht="15.0" hidden="1" customHeight="1">
      <c r="A13648" s="49" t="s">
        <v>649</v>
      </c>
      <c r="B13648" s="50">
        <v>46295.0</v>
      </c>
      <c r="C13648" s="49" t="s">
        <v>78</v>
      </c>
      <c r="D13648" s="49">
        <v>0.0</v>
      </c>
    </row>
    <row r="13649" ht="15.0" hidden="1" customHeight="1">
      <c r="A13649" s="49" t="s">
        <v>654</v>
      </c>
      <c r="B13649" s="50">
        <v>46295.0</v>
      </c>
      <c r="C13649" s="49" t="s">
        <v>78</v>
      </c>
      <c r="D13649" s="49">
        <v>0.0</v>
      </c>
    </row>
    <row r="13650" ht="15.0" hidden="1" customHeight="1">
      <c r="A13650" s="49" t="s">
        <v>659</v>
      </c>
      <c r="B13650" s="50">
        <v>46295.0</v>
      </c>
      <c r="C13650" s="49" t="s">
        <v>78</v>
      </c>
      <c r="D13650" s="49">
        <v>0.0</v>
      </c>
    </row>
    <row r="13651" ht="15.0" hidden="1" customHeight="1">
      <c r="A13651" s="49" t="s">
        <v>664</v>
      </c>
      <c r="B13651" s="50">
        <v>46295.0</v>
      </c>
      <c r="C13651" s="49" t="s">
        <v>78</v>
      </c>
      <c r="D13651" s="49">
        <v>0.0</v>
      </c>
    </row>
    <row r="13652" ht="15.0" hidden="1" customHeight="1">
      <c r="A13652" s="49" t="s">
        <v>669</v>
      </c>
      <c r="B13652" s="50">
        <v>46295.0</v>
      </c>
      <c r="C13652" s="49" t="s">
        <v>78</v>
      </c>
      <c r="D13652" s="49">
        <v>0.0</v>
      </c>
    </row>
    <row r="13653" ht="15.0" hidden="1" customHeight="1">
      <c r="A13653" s="49" t="s">
        <v>674</v>
      </c>
      <c r="B13653" s="50">
        <v>46295.0</v>
      </c>
      <c r="C13653" s="49" t="s">
        <v>78</v>
      </c>
      <c r="D13653" s="49">
        <v>0.0</v>
      </c>
    </row>
    <row r="13654" ht="15.0" hidden="1" customHeight="1">
      <c r="A13654" s="49" t="s">
        <v>679</v>
      </c>
      <c r="B13654" s="50">
        <v>46295.0</v>
      </c>
      <c r="C13654" s="49" t="s">
        <v>78</v>
      </c>
      <c r="D13654" s="49">
        <v>0.0</v>
      </c>
    </row>
    <row r="13655" ht="15.0" hidden="1" customHeight="1">
      <c r="A13655" s="49" t="s">
        <v>684</v>
      </c>
      <c r="B13655" s="50">
        <v>46295.0</v>
      </c>
      <c r="C13655" s="49" t="s">
        <v>78</v>
      </c>
      <c r="D13655" s="49">
        <v>0.0</v>
      </c>
    </row>
    <row r="13656" ht="15.0" hidden="1" customHeight="1">
      <c r="A13656" s="49" t="s">
        <v>689</v>
      </c>
      <c r="B13656" s="50">
        <v>46295.0</v>
      </c>
      <c r="C13656" s="49" t="s">
        <v>78</v>
      </c>
      <c r="D13656" s="49">
        <v>0.0</v>
      </c>
    </row>
    <row r="13657" ht="15.0" hidden="1" customHeight="1">
      <c r="A13657" s="49" t="s">
        <v>694</v>
      </c>
      <c r="B13657" s="50">
        <v>46295.0</v>
      </c>
      <c r="C13657" s="49" t="s">
        <v>78</v>
      </c>
      <c r="D13657" s="49">
        <v>0.0</v>
      </c>
    </row>
    <row r="13658" ht="15.0" hidden="1" customHeight="1">
      <c r="A13658" s="49" t="s">
        <v>699</v>
      </c>
      <c r="B13658" s="50">
        <v>46295.0</v>
      </c>
      <c r="C13658" s="49" t="s">
        <v>78</v>
      </c>
      <c r="D13658" s="49">
        <v>0.0</v>
      </c>
    </row>
    <row r="13659" ht="15.0" hidden="1" customHeight="1">
      <c r="A13659" s="49" t="s">
        <v>705</v>
      </c>
      <c r="B13659" s="50">
        <v>46295.0</v>
      </c>
      <c r="C13659" s="49" t="s">
        <v>78</v>
      </c>
      <c r="D13659" s="49">
        <v>0.0</v>
      </c>
    </row>
    <row r="13660" ht="15.0" hidden="1" customHeight="1">
      <c r="A13660" s="49" t="s">
        <v>710</v>
      </c>
      <c r="B13660" s="50">
        <v>46295.0</v>
      </c>
      <c r="C13660" s="49" t="s">
        <v>78</v>
      </c>
      <c r="D13660" s="49">
        <v>0.0</v>
      </c>
    </row>
    <row r="13661" ht="15.0" hidden="1" customHeight="1">
      <c r="A13661" s="49" t="s">
        <v>715</v>
      </c>
      <c r="B13661" s="50">
        <v>46295.0</v>
      </c>
      <c r="C13661" s="49" t="s">
        <v>78</v>
      </c>
      <c r="D13661" s="49">
        <v>0.0</v>
      </c>
    </row>
    <row r="13662" ht="15.0" hidden="1" customHeight="1">
      <c r="A13662" s="49" t="s">
        <v>765</v>
      </c>
      <c r="B13662" s="50">
        <v>46295.0</v>
      </c>
      <c r="C13662" s="49" t="s">
        <v>78</v>
      </c>
      <c r="D13662" s="49">
        <v>0.0</v>
      </c>
    </row>
    <row r="13663" ht="15.0" hidden="1" customHeight="1">
      <c r="A13663" s="49" t="s">
        <v>720</v>
      </c>
      <c r="B13663" s="50">
        <v>46295.0</v>
      </c>
      <c r="C13663" s="49" t="s">
        <v>78</v>
      </c>
      <c r="D13663" s="49">
        <v>0.0</v>
      </c>
    </row>
    <row r="13664" ht="15.0" hidden="1" customHeight="1">
      <c r="A13664" s="49" t="s">
        <v>725</v>
      </c>
      <c r="B13664" s="50">
        <v>46295.0</v>
      </c>
      <c r="C13664" s="49" t="s">
        <v>78</v>
      </c>
      <c r="D13664" s="49">
        <v>0.0</v>
      </c>
    </row>
    <row r="13665" ht="15.0" hidden="1" customHeight="1">
      <c r="A13665" s="49" t="s">
        <v>730</v>
      </c>
      <c r="B13665" s="50">
        <v>46295.0</v>
      </c>
      <c r="C13665" s="49" t="s">
        <v>78</v>
      </c>
      <c r="D13665" s="49">
        <v>0.0</v>
      </c>
    </row>
    <row r="13666" ht="15.0" hidden="1" customHeight="1">
      <c r="A13666" s="49" t="s">
        <v>734</v>
      </c>
      <c r="B13666" s="50">
        <v>46295.0</v>
      </c>
      <c r="C13666" s="49" t="s">
        <v>78</v>
      </c>
      <c r="D13666" s="49">
        <v>0.0</v>
      </c>
    </row>
    <row r="13667" ht="15.0" hidden="1" customHeight="1">
      <c r="A13667" s="49" t="s">
        <v>739</v>
      </c>
      <c r="B13667" s="50">
        <v>46295.0</v>
      </c>
      <c r="C13667" s="49" t="s">
        <v>78</v>
      </c>
      <c r="D13667" s="49">
        <v>0.0</v>
      </c>
    </row>
    <row r="13668" ht="15.0" hidden="1" customHeight="1">
      <c r="A13668" s="49" t="s">
        <v>744</v>
      </c>
      <c r="B13668" s="50">
        <v>46295.0</v>
      </c>
      <c r="C13668" s="49" t="s">
        <v>78</v>
      </c>
      <c r="D13668" s="49">
        <v>0.0</v>
      </c>
    </row>
    <row r="13669" ht="15.0" hidden="1" customHeight="1">
      <c r="A13669" s="49" t="s">
        <v>749</v>
      </c>
      <c r="B13669" s="50">
        <v>46295.0</v>
      </c>
      <c r="C13669" s="49" t="s">
        <v>78</v>
      </c>
      <c r="D13669" s="49">
        <v>0.0</v>
      </c>
    </row>
    <row r="13670" ht="15.0" customHeight="1">
      <c r="A13670" s="49" t="s">
        <v>776</v>
      </c>
      <c r="B13670" s="50">
        <v>46295.0</v>
      </c>
      <c r="C13670" s="49" t="s">
        <v>69</v>
      </c>
      <c r="D13670" s="49">
        <v>0.0</v>
      </c>
    </row>
    <row r="13671" ht="15.0" hidden="1" customHeight="1">
      <c r="A13671" s="49" t="s">
        <v>778</v>
      </c>
      <c r="B13671" s="50">
        <v>46295.0</v>
      </c>
      <c r="C13671" s="49" t="s">
        <v>69</v>
      </c>
      <c r="D13671" s="49">
        <v>0.0</v>
      </c>
    </row>
    <row r="13672" ht="15.0" hidden="1" customHeight="1">
      <c r="A13672" s="49" t="s">
        <v>92</v>
      </c>
      <c r="B13672" s="50">
        <v>46295.0</v>
      </c>
      <c r="C13672" s="49" t="s">
        <v>69</v>
      </c>
      <c r="D13672" s="49">
        <v>0.0</v>
      </c>
    </row>
    <row r="13673" ht="15.0" hidden="1" customHeight="1">
      <c r="A13673" s="49" t="s">
        <v>97</v>
      </c>
      <c r="B13673" s="50">
        <v>46295.0</v>
      </c>
      <c r="C13673" s="49" t="s">
        <v>69</v>
      </c>
      <c r="D13673" s="49">
        <v>0.0</v>
      </c>
    </row>
    <row r="13674" ht="15.0" hidden="1" customHeight="1">
      <c r="A13674" s="49" t="s">
        <v>102</v>
      </c>
      <c r="B13674" s="50">
        <v>46295.0</v>
      </c>
      <c r="C13674" s="49" t="s">
        <v>69</v>
      </c>
      <c r="D13674" s="49">
        <v>0.0</v>
      </c>
    </row>
    <row r="13675" ht="15.0" hidden="1" customHeight="1">
      <c r="A13675" s="49" t="s">
        <v>106</v>
      </c>
      <c r="B13675" s="50">
        <v>46295.0</v>
      </c>
      <c r="C13675" s="49" t="s">
        <v>69</v>
      </c>
      <c r="D13675" s="49">
        <v>0.0</v>
      </c>
    </row>
    <row r="13676" ht="15.0" hidden="1" customHeight="1">
      <c r="A13676" s="49" t="s">
        <v>111</v>
      </c>
      <c r="B13676" s="50">
        <v>46295.0</v>
      </c>
      <c r="C13676" s="49" t="s">
        <v>69</v>
      </c>
      <c r="D13676" s="49">
        <v>0.0</v>
      </c>
    </row>
    <row r="13677" ht="15.0" hidden="1" customHeight="1">
      <c r="A13677" s="49" t="s">
        <v>116</v>
      </c>
      <c r="B13677" s="50">
        <v>46295.0</v>
      </c>
      <c r="C13677" s="49" t="s">
        <v>69</v>
      </c>
      <c r="D13677" s="49">
        <v>0.0</v>
      </c>
    </row>
    <row r="13678" ht="15.0" hidden="1" customHeight="1">
      <c r="A13678" s="49" t="s">
        <v>120</v>
      </c>
      <c r="B13678" s="50">
        <v>46295.0</v>
      </c>
      <c r="C13678" s="49" t="s">
        <v>69</v>
      </c>
      <c r="D13678" s="49">
        <v>0.0</v>
      </c>
    </row>
    <row r="13679" ht="15.0" hidden="1" customHeight="1">
      <c r="A13679" s="49" t="s">
        <v>125</v>
      </c>
      <c r="B13679" s="50">
        <v>46295.0</v>
      </c>
      <c r="C13679" s="49" t="s">
        <v>69</v>
      </c>
      <c r="D13679" s="49">
        <v>0.0</v>
      </c>
    </row>
    <row r="13680" ht="15.0" hidden="1" customHeight="1">
      <c r="A13680" s="49" t="s">
        <v>130</v>
      </c>
      <c r="B13680" s="50">
        <v>46295.0</v>
      </c>
      <c r="C13680" s="49" t="s">
        <v>69</v>
      </c>
      <c r="D13680" s="49">
        <v>0.0</v>
      </c>
    </row>
    <row r="13681" ht="15.0" hidden="1" customHeight="1">
      <c r="A13681" s="49" t="s">
        <v>137</v>
      </c>
      <c r="B13681" s="50">
        <v>46295.0</v>
      </c>
      <c r="C13681" s="49" t="s">
        <v>69</v>
      </c>
      <c r="D13681" s="49">
        <v>0.0</v>
      </c>
    </row>
    <row r="13682" ht="15.0" hidden="1" customHeight="1">
      <c r="A13682" s="49" t="s">
        <v>142</v>
      </c>
      <c r="B13682" s="50">
        <v>46295.0</v>
      </c>
      <c r="C13682" s="49" t="s">
        <v>69</v>
      </c>
      <c r="D13682" s="49">
        <v>0.0</v>
      </c>
    </row>
    <row r="13683" ht="15.0" hidden="1" customHeight="1">
      <c r="A13683" s="49" t="s">
        <v>147</v>
      </c>
      <c r="B13683" s="50">
        <v>46295.0</v>
      </c>
      <c r="C13683" s="49" t="s">
        <v>69</v>
      </c>
      <c r="D13683" s="49">
        <v>0.0</v>
      </c>
    </row>
    <row r="13684" ht="15.0" hidden="1" customHeight="1">
      <c r="A13684" s="49" t="s">
        <v>152</v>
      </c>
      <c r="B13684" s="50">
        <v>46295.0</v>
      </c>
      <c r="C13684" s="49" t="s">
        <v>69</v>
      </c>
      <c r="D13684" s="49">
        <v>0.0</v>
      </c>
    </row>
    <row r="13685" ht="15.0" hidden="1" customHeight="1">
      <c r="A13685" s="49" t="s">
        <v>157</v>
      </c>
      <c r="B13685" s="50">
        <v>46295.0</v>
      </c>
      <c r="C13685" s="49" t="s">
        <v>69</v>
      </c>
      <c r="D13685" s="49">
        <v>0.0</v>
      </c>
    </row>
    <row r="13686" ht="15.0" hidden="1" customHeight="1">
      <c r="A13686" s="49" t="s">
        <v>162</v>
      </c>
      <c r="B13686" s="50">
        <v>46295.0</v>
      </c>
      <c r="C13686" s="49" t="s">
        <v>69</v>
      </c>
      <c r="D13686" s="49">
        <v>0.0</v>
      </c>
    </row>
    <row r="13687" ht="15.0" hidden="1" customHeight="1">
      <c r="A13687" s="49" t="s">
        <v>167</v>
      </c>
      <c r="B13687" s="50">
        <v>46295.0</v>
      </c>
      <c r="C13687" s="49" t="s">
        <v>69</v>
      </c>
      <c r="D13687" s="49">
        <v>0.0</v>
      </c>
    </row>
    <row r="13688" ht="15.0" hidden="1" customHeight="1">
      <c r="A13688" s="49" t="s">
        <v>172</v>
      </c>
      <c r="B13688" s="50">
        <v>46295.0</v>
      </c>
      <c r="C13688" s="49" t="s">
        <v>69</v>
      </c>
      <c r="D13688" s="49">
        <v>0.0</v>
      </c>
    </row>
    <row r="13689" ht="15.0" hidden="1" customHeight="1">
      <c r="A13689" s="49" t="s">
        <v>177</v>
      </c>
      <c r="B13689" s="50">
        <v>46295.0</v>
      </c>
      <c r="C13689" s="49" t="s">
        <v>69</v>
      </c>
      <c r="D13689" s="49">
        <v>0.0</v>
      </c>
    </row>
    <row r="13690" ht="15.0" hidden="1" customHeight="1">
      <c r="A13690" s="49" t="s">
        <v>182</v>
      </c>
      <c r="B13690" s="50">
        <v>46295.0</v>
      </c>
      <c r="C13690" s="49" t="s">
        <v>69</v>
      </c>
      <c r="D13690" s="49">
        <v>0.0</v>
      </c>
    </row>
    <row r="13691" ht="15.0" hidden="1" customHeight="1">
      <c r="A13691" s="49" t="s">
        <v>187</v>
      </c>
      <c r="B13691" s="50">
        <v>46295.0</v>
      </c>
      <c r="C13691" s="49" t="s">
        <v>69</v>
      </c>
      <c r="D13691" s="49">
        <v>0.0</v>
      </c>
    </row>
    <row r="13692" ht="15.0" hidden="1" customHeight="1">
      <c r="A13692" s="49" t="s">
        <v>192</v>
      </c>
      <c r="B13692" s="50">
        <v>46295.0</v>
      </c>
      <c r="C13692" s="49" t="s">
        <v>69</v>
      </c>
      <c r="D13692" s="49">
        <v>0.0</v>
      </c>
    </row>
    <row r="13693" ht="15.0" hidden="1" customHeight="1">
      <c r="A13693" s="49" t="s">
        <v>197</v>
      </c>
      <c r="B13693" s="50">
        <v>46295.0</v>
      </c>
      <c r="C13693" s="49" t="s">
        <v>69</v>
      </c>
      <c r="D13693" s="49">
        <v>0.0</v>
      </c>
    </row>
    <row r="13694" ht="15.0" hidden="1" customHeight="1">
      <c r="A13694" s="49" t="s">
        <v>202</v>
      </c>
      <c r="B13694" s="50">
        <v>46295.0</v>
      </c>
      <c r="C13694" s="49" t="s">
        <v>69</v>
      </c>
      <c r="D13694" s="49">
        <v>0.0</v>
      </c>
    </row>
    <row r="13695" ht="15.0" hidden="1" customHeight="1">
      <c r="A13695" s="49" t="s">
        <v>206</v>
      </c>
      <c r="B13695" s="50">
        <v>46295.0</v>
      </c>
      <c r="C13695" s="49" t="s">
        <v>69</v>
      </c>
      <c r="D13695" s="49">
        <v>0.0</v>
      </c>
    </row>
    <row r="13696" ht="15.0" hidden="1" customHeight="1">
      <c r="A13696" s="49" t="s">
        <v>211</v>
      </c>
      <c r="B13696" s="50">
        <v>46295.0</v>
      </c>
      <c r="C13696" s="49" t="s">
        <v>69</v>
      </c>
      <c r="D13696" s="49">
        <v>0.0</v>
      </c>
    </row>
    <row r="13697" ht="15.0" hidden="1" customHeight="1">
      <c r="A13697" s="49" t="s">
        <v>779</v>
      </c>
      <c r="B13697" s="50">
        <v>46295.0</v>
      </c>
      <c r="C13697" s="49" t="s">
        <v>69</v>
      </c>
      <c r="D13697" s="49">
        <v>0.0</v>
      </c>
    </row>
    <row r="13698" ht="15.0" hidden="1" customHeight="1">
      <c r="A13698" s="49" t="s">
        <v>221</v>
      </c>
      <c r="B13698" s="50">
        <v>46295.0</v>
      </c>
      <c r="C13698" s="49" t="s">
        <v>69</v>
      </c>
      <c r="D13698" s="49">
        <v>0.0</v>
      </c>
    </row>
    <row r="13699" ht="15.0" hidden="1" customHeight="1">
      <c r="A13699" s="49" t="s">
        <v>226</v>
      </c>
      <c r="B13699" s="50">
        <v>46295.0</v>
      </c>
      <c r="C13699" s="49" t="s">
        <v>69</v>
      </c>
      <c r="D13699" s="49">
        <v>0.0</v>
      </c>
    </row>
    <row r="13700" ht="15.0" hidden="1" customHeight="1">
      <c r="A13700" s="49" t="s">
        <v>231</v>
      </c>
      <c r="B13700" s="50">
        <v>46295.0</v>
      </c>
      <c r="C13700" s="49" t="s">
        <v>69</v>
      </c>
      <c r="D13700" s="49">
        <v>0.0</v>
      </c>
    </row>
    <row r="13701" ht="15.0" hidden="1" customHeight="1">
      <c r="A13701" s="49" t="s">
        <v>236</v>
      </c>
      <c r="B13701" s="50">
        <v>46295.0</v>
      </c>
      <c r="C13701" s="49" t="s">
        <v>69</v>
      </c>
      <c r="D13701" s="49">
        <v>0.0</v>
      </c>
    </row>
    <row r="13702" ht="15.0" hidden="1" customHeight="1">
      <c r="A13702" s="49" t="s">
        <v>242</v>
      </c>
      <c r="B13702" s="50">
        <v>46295.0</v>
      </c>
      <c r="C13702" s="49" t="s">
        <v>69</v>
      </c>
      <c r="D13702" s="49">
        <v>0.0</v>
      </c>
    </row>
    <row r="13703" ht="15.0" hidden="1" customHeight="1">
      <c r="A13703" s="49" t="s">
        <v>248</v>
      </c>
      <c r="B13703" s="50">
        <v>46295.0</v>
      </c>
      <c r="C13703" s="49" t="s">
        <v>69</v>
      </c>
      <c r="D13703" s="49">
        <v>0.0</v>
      </c>
    </row>
    <row r="13704" ht="15.0" hidden="1" customHeight="1">
      <c r="A13704" s="49" t="s">
        <v>253</v>
      </c>
      <c r="B13704" s="50">
        <v>46295.0</v>
      </c>
      <c r="C13704" s="49" t="s">
        <v>69</v>
      </c>
      <c r="D13704" s="49">
        <v>0.0</v>
      </c>
    </row>
    <row r="13705" ht="15.0" hidden="1" customHeight="1">
      <c r="A13705" s="49" t="s">
        <v>258</v>
      </c>
      <c r="B13705" s="50">
        <v>46295.0</v>
      </c>
      <c r="C13705" s="49" t="s">
        <v>69</v>
      </c>
      <c r="D13705" s="49">
        <v>0.0</v>
      </c>
    </row>
    <row r="13706" ht="15.0" hidden="1" customHeight="1">
      <c r="A13706" s="49" t="s">
        <v>263</v>
      </c>
      <c r="B13706" s="50">
        <v>46295.0</v>
      </c>
      <c r="C13706" s="49" t="s">
        <v>69</v>
      </c>
      <c r="D13706" s="49">
        <v>0.0</v>
      </c>
    </row>
    <row r="13707" ht="15.0" hidden="1" customHeight="1">
      <c r="A13707" s="49" t="s">
        <v>268</v>
      </c>
      <c r="B13707" s="50">
        <v>46295.0</v>
      </c>
      <c r="C13707" s="49" t="s">
        <v>69</v>
      </c>
      <c r="D13707" s="49">
        <v>0.0</v>
      </c>
    </row>
    <row r="13708" ht="15.0" hidden="1" customHeight="1">
      <c r="A13708" s="49" t="s">
        <v>273</v>
      </c>
      <c r="B13708" s="50">
        <v>46295.0</v>
      </c>
      <c r="C13708" s="49" t="s">
        <v>69</v>
      </c>
      <c r="D13708" s="49">
        <v>0.0</v>
      </c>
    </row>
    <row r="13709" ht="15.0" hidden="1" customHeight="1">
      <c r="A13709" s="49" t="s">
        <v>278</v>
      </c>
      <c r="B13709" s="50">
        <v>46295.0</v>
      </c>
      <c r="C13709" s="49" t="s">
        <v>69</v>
      </c>
      <c r="D13709" s="49">
        <v>0.0</v>
      </c>
    </row>
    <row r="13710" ht="15.0" hidden="1" customHeight="1">
      <c r="A13710" s="49" t="s">
        <v>283</v>
      </c>
      <c r="B13710" s="50">
        <v>46295.0</v>
      </c>
      <c r="C13710" s="49" t="s">
        <v>69</v>
      </c>
      <c r="D13710" s="49">
        <v>0.0</v>
      </c>
    </row>
    <row r="13711" ht="15.0" hidden="1" customHeight="1">
      <c r="A13711" s="49" t="s">
        <v>288</v>
      </c>
      <c r="B13711" s="50">
        <v>46295.0</v>
      </c>
      <c r="C13711" s="49" t="s">
        <v>69</v>
      </c>
      <c r="D13711" s="49">
        <v>0.0</v>
      </c>
    </row>
    <row r="13712" ht="15.0" hidden="1" customHeight="1">
      <c r="A13712" s="49" t="s">
        <v>293</v>
      </c>
      <c r="B13712" s="50">
        <v>46295.0</v>
      </c>
      <c r="C13712" s="49" t="s">
        <v>69</v>
      </c>
      <c r="D13712" s="49">
        <v>0.0</v>
      </c>
    </row>
    <row r="13713" ht="15.0" hidden="1" customHeight="1">
      <c r="A13713" s="49" t="s">
        <v>298</v>
      </c>
      <c r="B13713" s="50">
        <v>46295.0</v>
      </c>
      <c r="C13713" s="49" t="s">
        <v>69</v>
      </c>
      <c r="D13713" s="49">
        <v>0.0</v>
      </c>
    </row>
    <row r="13714" ht="15.0" hidden="1" customHeight="1">
      <c r="A13714" s="49" t="s">
        <v>303</v>
      </c>
      <c r="B13714" s="50">
        <v>46295.0</v>
      </c>
      <c r="C13714" s="49" t="s">
        <v>69</v>
      </c>
      <c r="D13714" s="49">
        <v>0.0</v>
      </c>
    </row>
    <row r="13715" ht="15.0" hidden="1" customHeight="1">
      <c r="A13715" s="49" t="s">
        <v>307</v>
      </c>
      <c r="B13715" s="50">
        <v>46295.0</v>
      </c>
      <c r="C13715" s="49" t="s">
        <v>69</v>
      </c>
      <c r="D13715" s="49">
        <v>0.0</v>
      </c>
    </row>
    <row r="13716" ht="15.0" hidden="1" customHeight="1">
      <c r="A13716" s="49" t="s">
        <v>313</v>
      </c>
      <c r="B13716" s="50">
        <v>46295.0</v>
      </c>
      <c r="C13716" s="49" t="s">
        <v>69</v>
      </c>
      <c r="D13716" s="49">
        <v>0.0</v>
      </c>
    </row>
    <row r="13717" ht="15.0" hidden="1" customHeight="1">
      <c r="A13717" s="49" t="s">
        <v>318</v>
      </c>
      <c r="B13717" s="50">
        <v>46295.0</v>
      </c>
      <c r="C13717" s="49" t="s">
        <v>69</v>
      </c>
      <c r="D13717" s="49">
        <v>0.0</v>
      </c>
    </row>
    <row r="13718" ht="15.0" hidden="1" customHeight="1">
      <c r="A13718" s="49" t="s">
        <v>323</v>
      </c>
      <c r="B13718" s="50">
        <v>46295.0</v>
      </c>
      <c r="C13718" s="49" t="s">
        <v>69</v>
      </c>
      <c r="D13718" s="49">
        <v>0.0</v>
      </c>
    </row>
    <row r="13719" ht="15.0" hidden="1" customHeight="1">
      <c r="A13719" s="49" t="s">
        <v>328</v>
      </c>
      <c r="B13719" s="50">
        <v>46295.0</v>
      </c>
      <c r="C13719" s="49" t="s">
        <v>69</v>
      </c>
      <c r="D13719" s="49">
        <v>0.0</v>
      </c>
    </row>
    <row r="13720" ht="15.0" hidden="1" customHeight="1">
      <c r="A13720" s="49" t="s">
        <v>335</v>
      </c>
      <c r="B13720" s="50">
        <v>46295.0</v>
      </c>
      <c r="C13720" s="49" t="s">
        <v>69</v>
      </c>
      <c r="D13720" s="49">
        <v>0.0</v>
      </c>
    </row>
    <row r="13721" ht="15.0" hidden="1" customHeight="1">
      <c r="A13721" s="49" t="s">
        <v>340</v>
      </c>
      <c r="B13721" s="50">
        <v>46295.0</v>
      </c>
      <c r="C13721" s="49" t="s">
        <v>69</v>
      </c>
      <c r="D13721" s="49">
        <v>0.0</v>
      </c>
    </row>
    <row r="13722" ht="15.0" hidden="1" customHeight="1">
      <c r="A13722" s="49" t="s">
        <v>345</v>
      </c>
      <c r="B13722" s="50">
        <v>46295.0</v>
      </c>
      <c r="C13722" s="49" t="s">
        <v>69</v>
      </c>
      <c r="D13722" s="49">
        <v>0.0</v>
      </c>
    </row>
    <row r="13723" ht="15.0" hidden="1" customHeight="1">
      <c r="A13723" s="49" t="s">
        <v>350</v>
      </c>
      <c r="B13723" s="50">
        <v>46295.0</v>
      </c>
      <c r="C13723" s="49" t="s">
        <v>69</v>
      </c>
      <c r="D13723" s="49">
        <v>0.0</v>
      </c>
    </row>
    <row r="13724" ht="15.0" hidden="1" customHeight="1">
      <c r="A13724" s="49" t="s">
        <v>355</v>
      </c>
      <c r="B13724" s="50">
        <v>46295.0</v>
      </c>
      <c r="C13724" s="49" t="s">
        <v>69</v>
      </c>
      <c r="D13724" s="49">
        <v>0.0</v>
      </c>
    </row>
    <row r="13725" ht="15.0" hidden="1" customHeight="1">
      <c r="A13725" s="49" t="s">
        <v>360</v>
      </c>
      <c r="B13725" s="50">
        <v>46295.0</v>
      </c>
      <c r="C13725" s="49" t="s">
        <v>69</v>
      </c>
      <c r="D13725" s="49">
        <v>0.0</v>
      </c>
    </row>
    <row r="13726" ht="15.0" hidden="1" customHeight="1">
      <c r="A13726" s="49" t="s">
        <v>365</v>
      </c>
      <c r="B13726" s="50">
        <v>46295.0</v>
      </c>
      <c r="C13726" s="49" t="s">
        <v>69</v>
      </c>
      <c r="D13726" s="49">
        <v>0.0</v>
      </c>
    </row>
    <row r="13727" ht="15.0" hidden="1" customHeight="1">
      <c r="A13727" s="49" t="s">
        <v>370</v>
      </c>
      <c r="B13727" s="50">
        <v>46295.0</v>
      </c>
      <c r="C13727" s="49" t="s">
        <v>69</v>
      </c>
      <c r="D13727" s="49">
        <v>0.0</v>
      </c>
    </row>
    <row r="13728" ht="15.0" hidden="1" customHeight="1">
      <c r="A13728" s="49" t="s">
        <v>375</v>
      </c>
      <c r="B13728" s="50">
        <v>46295.0</v>
      </c>
      <c r="C13728" s="49" t="s">
        <v>69</v>
      </c>
      <c r="D13728" s="49">
        <v>0.0</v>
      </c>
    </row>
    <row r="13729" ht="15.0" hidden="1" customHeight="1">
      <c r="A13729" s="49" t="s">
        <v>380</v>
      </c>
      <c r="B13729" s="50">
        <v>46295.0</v>
      </c>
      <c r="C13729" s="49" t="s">
        <v>69</v>
      </c>
      <c r="D13729" s="49">
        <v>0.0</v>
      </c>
    </row>
    <row r="13730" ht="15.0" hidden="1" customHeight="1">
      <c r="A13730" s="49" t="s">
        <v>385</v>
      </c>
      <c r="B13730" s="50">
        <v>46295.0</v>
      </c>
      <c r="C13730" s="49" t="s">
        <v>69</v>
      </c>
      <c r="D13730" s="49">
        <v>0.0</v>
      </c>
    </row>
    <row r="13731" ht="15.0" hidden="1" customHeight="1">
      <c r="A13731" s="49" t="s">
        <v>390</v>
      </c>
      <c r="B13731" s="50">
        <v>46295.0</v>
      </c>
      <c r="C13731" s="49" t="s">
        <v>69</v>
      </c>
      <c r="D13731" s="49">
        <v>0.0</v>
      </c>
    </row>
    <row r="13732" ht="15.0" hidden="1" customHeight="1">
      <c r="A13732" s="49" t="s">
        <v>395</v>
      </c>
      <c r="B13732" s="50">
        <v>46295.0</v>
      </c>
      <c r="C13732" s="49" t="s">
        <v>69</v>
      </c>
      <c r="D13732" s="49">
        <v>0.0</v>
      </c>
    </row>
    <row r="13733" ht="15.0" hidden="1" customHeight="1">
      <c r="A13733" s="49" t="s">
        <v>400</v>
      </c>
      <c r="B13733" s="50">
        <v>46295.0</v>
      </c>
      <c r="C13733" s="49" t="s">
        <v>69</v>
      </c>
      <c r="D13733" s="49">
        <v>0.0</v>
      </c>
    </row>
    <row r="13734" ht="15.0" hidden="1" customHeight="1">
      <c r="A13734" s="49" t="s">
        <v>405</v>
      </c>
      <c r="B13734" s="50">
        <v>46295.0</v>
      </c>
      <c r="C13734" s="49" t="s">
        <v>69</v>
      </c>
      <c r="D13734" s="49">
        <v>0.0</v>
      </c>
    </row>
    <row r="13735" ht="15.0" hidden="1" customHeight="1">
      <c r="A13735" s="49" t="s">
        <v>410</v>
      </c>
      <c r="B13735" s="50">
        <v>46295.0</v>
      </c>
      <c r="C13735" s="49" t="s">
        <v>69</v>
      </c>
      <c r="D13735" s="49">
        <v>0.0</v>
      </c>
    </row>
    <row r="13736" ht="15.0" hidden="1" customHeight="1">
      <c r="A13736" s="49" t="s">
        <v>415</v>
      </c>
      <c r="B13736" s="50">
        <v>46295.0</v>
      </c>
      <c r="C13736" s="49" t="s">
        <v>69</v>
      </c>
      <c r="D13736" s="49">
        <v>0.0</v>
      </c>
    </row>
    <row r="13737" ht="15.0" hidden="1" customHeight="1">
      <c r="A13737" s="49" t="s">
        <v>420</v>
      </c>
      <c r="B13737" s="50">
        <v>46295.0</v>
      </c>
      <c r="C13737" s="49" t="s">
        <v>69</v>
      </c>
      <c r="D13737" s="49">
        <v>0.0</v>
      </c>
    </row>
    <row r="13738" ht="15.0" hidden="1" customHeight="1">
      <c r="A13738" s="49" t="s">
        <v>425</v>
      </c>
      <c r="B13738" s="50">
        <v>46295.0</v>
      </c>
      <c r="C13738" s="49" t="s">
        <v>69</v>
      </c>
      <c r="D13738" s="49">
        <v>0.0</v>
      </c>
    </row>
    <row r="13739" ht="15.0" hidden="1" customHeight="1">
      <c r="A13739" s="49" t="s">
        <v>430</v>
      </c>
      <c r="B13739" s="50">
        <v>46295.0</v>
      </c>
      <c r="C13739" s="49" t="s">
        <v>69</v>
      </c>
      <c r="D13739" s="49">
        <v>0.0</v>
      </c>
    </row>
    <row r="13740" ht="15.0" hidden="1" customHeight="1">
      <c r="A13740" s="49" t="s">
        <v>434</v>
      </c>
      <c r="B13740" s="50">
        <v>46295.0</v>
      </c>
      <c r="C13740" s="49" t="s">
        <v>69</v>
      </c>
      <c r="D13740" s="49">
        <v>0.0</v>
      </c>
    </row>
    <row r="13741" ht="15.0" hidden="1" customHeight="1">
      <c r="A13741" s="49" t="s">
        <v>439</v>
      </c>
      <c r="B13741" s="50">
        <v>46295.0</v>
      </c>
      <c r="C13741" s="49" t="s">
        <v>69</v>
      </c>
      <c r="D13741" s="49">
        <v>0.0</v>
      </c>
    </row>
    <row r="13742" ht="15.0" hidden="1" customHeight="1">
      <c r="A13742" s="49" t="s">
        <v>444</v>
      </c>
      <c r="B13742" s="50">
        <v>46295.0</v>
      </c>
      <c r="C13742" s="49" t="s">
        <v>69</v>
      </c>
      <c r="D13742" s="49">
        <v>0.0</v>
      </c>
    </row>
    <row r="13743" ht="15.0" hidden="1" customHeight="1">
      <c r="A13743" s="49" t="s">
        <v>449</v>
      </c>
      <c r="B13743" s="50">
        <v>46295.0</v>
      </c>
      <c r="C13743" s="49" t="s">
        <v>69</v>
      </c>
      <c r="D13743" s="49">
        <v>0.0</v>
      </c>
    </row>
    <row r="13744" ht="15.0" hidden="1" customHeight="1">
      <c r="A13744" s="49" t="s">
        <v>455</v>
      </c>
      <c r="B13744" s="50">
        <v>46295.0</v>
      </c>
      <c r="C13744" s="49" t="s">
        <v>69</v>
      </c>
      <c r="D13744" s="49">
        <v>0.0</v>
      </c>
    </row>
    <row r="13745" ht="15.0" hidden="1" customHeight="1">
      <c r="A13745" s="49" t="s">
        <v>470</v>
      </c>
      <c r="B13745" s="50">
        <v>46295.0</v>
      </c>
      <c r="C13745" s="49" t="s">
        <v>69</v>
      </c>
      <c r="D13745" s="49">
        <v>0.0</v>
      </c>
    </row>
    <row r="13746" ht="15.0" hidden="1" customHeight="1">
      <c r="A13746" s="49" t="s">
        <v>476</v>
      </c>
      <c r="B13746" s="50">
        <v>46295.0</v>
      </c>
      <c r="C13746" s="49" t="s">
        <v>69</v>
      </c>
      <c r="D13746" s="49">
        <v>0.0</v>
      </c>
    </row>
    <row r="13747" ht="15.0" hidden="1" customHeight="1">
      <c r="A13747" s="49" t="s">
        <v>481</v>
      </c>
      <c r="B13747" s="50">
        <v>46295.0</v>
      </c>
      <c r="C13747" s="49" t="s">
        <v>69</v>
      </c>
      <c r="D13747" s="49">
        <v>0.0</v>
      </c>
    </row>
    <row r="13748" ht="15.0" hidden="1" customHeight="1">
      <c r="A13748" s="49" t="s">
        <v>486</v>
      </c>
      <c r="B13748" s="50">
        <v>46295.0</v>
      </c>
      <c r="C13748" s="49" t="s">
        <v>69</v>
      </c>
      <c r="D13748" s="49">
        <v>0.0</v>
      </c>
    </row>
    <row r="13749" ht="15.0" hidden="1" customHeight="1">
      <c r="A13749" s="49" t="s">
        <v>491</v>
      </c>
      <c r="B13749" s="50">
        <v>46295.0</v>
      </c>
      <c r="C13749" s="49" t="s">
        <v>69</v>
      </c>
      <c r="D13749" s="49">
        <v>0.0</v>
      </c>
    </row>
    <row r="13750" ht="15.0" hidden="1" customHeight="1">
      <c r="A13750" s="49" t="s">
        <v>496</v>
      </c>
      <c r="B13750" s="50">
        <v>46295.0</v>
      </c>
      <c r="C13750" s="49" t="s">
        <v>69</v>
      </c>
      <c r="D13750" s="49">
        <v>0.0</v>
      </c>
    </row>
    <row r="13751" ht="15.0" hidden="1" customHeight="1">
      <c r="A13751" s="49" t="s">
        <v>501</v>
      </c>
      <c r="B13751" s="50">
        <v>46295.0</v>
      </c>
      <c r="C13751" s="49" t="s">
        <v>69</v>
      </c>
      <c r="D13751" s="49">
        <v>0.0</v>
      </c>
    </row>
    <row r="13752" ht="15.0" hidden="1" customHeight="1">
      <c r="A13752" s="49" t="s">
        <v>506</v>
      </c>
      <c r="B13752" s="50">
        <v>46295.0</v>
      </c>
      <c r="C13752" s="49" t="s">
        <v>69</v>
      </c>
      <c r="D13752" s="49">
        <v>0.0</v>
      </c>
    </row>
    <row r="13753" ht="15.0" hidden="1" customHeight="1">
      <c r="A13753" s="49" t="s">
        <v>512</v>
      </c>
      <c r="B13753" s="50">
        <v>46295.0</v>
      </c>
      <c r="C13753" s="49" t="s">
        <v>69</v>
      </c>
      <c r="D13753" s="49">
        <v>0.0</v>
      </c>
    </row>
    <row r="13754" ht="15.0" hidden="1" customHeight="1">
      <c r="A13754" s="49" t="s">
        <v>517</v>
      </c>
      <c r="B13754" s="50">
        <v>46295.0</v>
      </c>
      <c r="C13754" s="49" t="s">
        <v>69</v>
      </c>
      <c r="D13754" s="49">
        <v>0.0</v>
      </c>
    </row>
    <row r="13755" ht="15.0" hidden="1" customHeight="1">
      <c r="A13755" s="49" t="s">
        <v>522</v>
      </c>
      <c r="B13755" s="50">
        <v>46295.0</v>
      </c>
      <c r="C13755" s="49" t="s">
        <v>69</v>
      </c>
      <c r="D13755" s="49">
        <v>0.0</v>
      </c>
    </row>
    <row r="13756" ht="15.0" hidden="1" customHeight="1">
      <c r="A13756" s="49" t="s">
        <v>528</v>
      </c>
      <c r="B13756" s="50">
        <v>46295.0</v>
      </c>
      <c r="C13756" s="49" t="s">
        <v>69</v>
      </c>
      <c r="D13756" s="49">
        <v>0.0</v>
      </c>
    </row>
    <row r="13757" ht="15.0" hidden="1" customHeight="1">
      <c r="A13757" s="49" t="s">
        <v>533</v>
      </c>
      <c r="B13757" s="50">
        <v>46295.0</v>
      </c>
      <c r="C13757" s="49" t="s">
        <v>69</v>
      </c>
      <c r="D13757" s="49">
        <v>0.0</v>
      </c>
    </row>
    <row r="13758" ht="15.0" hidden="1" customHeight="1">
      <c r="A13758" s="49" t="s">
        <v>538</v>
      </c>
      <c r="B13758" s="50">
        <v>46295.0</v>
      </c>
      <c r="C13758" s="49" t="s">
        <v>69</v>
      </c>
      <c r="D13758" s="49">
        <v>0.0</v>
      </c>
    </row>
    <row r="13759" ht="15.0" hidden="1" customHeight="1">
      <c r="A13759" s="49" t="s">
        <v>546</v>
      </c>
      <c r="B13759" s="50">
        <v>46295.0</v>
      </c>
      <c r="C13759" s="49" t="s">
        <v>69</v>
      </c>
      <c r="D13759" s="49">
        <v>0.0</v>
      </c>
    </row>
    <row r="13760" ht="15.0" hidden="1" customHeight="1">
      <c r="A13760" s="49" t="s">
        <v>551</v>
      </c>
      <c r="B13760" s="50">
        <v>46295.0</v>
      </c>
      <c r="C13760" s="49" t="s">
        <v>69</v>
      </c>
      <c r="D13760" s="49">
        <v>0.0</v>
      </c>
    </row>
    <row r="13761" ht="15.0" hidden="1" customHeight="1">
      <c r="A13761" s="49" t="s">
        <v>556</v>
      </c>
      <c r="B13761" s="50">
        <v>46295.0</v>
      </c>
      <c r="C13761" s="49" t="s">
        <v>69</v>
      </c>
      <c r="D13761" s="49">
        <v>0.0</v>
      </c>
    </row>
    <row r="13762" ht="15.0" hidden="1" customHeight="1">
      <c r="A13762" s="49" t="s">
        <v>561</v>
      </c>
      <c r="B13762" s="50">
        <v>46295.0</v>
      </c>
      <c r="C13762" s="49" t="s">
        <v>69</v>
      </c>
      <c r="D13762" s="49">
        <v>0.0</v>
      </c>
    </row>
    <row r="13763" ht="15.0" hidden="1" customHeight="1">
      <c r="A13763" s="49" t="s">
        <v>566</v>
      </c>
      <c r="B13763" s="50">
        <v>46295.0</v>
      </c>
      <c r="C13763" s="49" t="s">
        <v>69</v>
      </c>
      <c r="D13763" s="49">
        <v>0.0</v>
      </c>
    </row>
    <row r="13764" ht="15.0" hidden="1" customHeight="1">
      <c r="A13764" s="49" t="s">
        <v>571</v>
      </c>
      <c r="B13764" s="50">
        <v>46295.0</v>
      </c>
      <c r="C13764" s="49" t="s">
        <v>69</v>
      </c>
      <c r="D13764" s="49">
        <v>0.0</v>
      </c>
    </row>
    <row r="13765" ht="15.0" hidden="1" customHeight="1">
      <c r="A13765" s="49" t="s">
        <v>576</v>
      </c>
      <c r="B13765" s="50">
        <v>46295.0</v>
      </c>
      <c r="C13765" s="49" t="s">
        <v>69</v>
      </c>
      <c r="D13765" s="49">
        <v>0.0</v>
      </c>
    </row>
    <row r="13766" ht="15.0" hidden="1" customHeight="1">
      <c r="A13766" s="49" t="s">
        <v>581</v>
      </c>
      <c r="B13766" s="50">
        <v>46295.0</v>
      </c>
      <c r="C13766" s="49" t="s">
        <v>69</v>
      </c>
      <c r="D13766" s="49">
        <v>0.0</v>
      </c>
    </row>
    <row r="13767" ht="15.0" hidden="1" customHeight="1">
      <c r="A13767" s="49" t="s">
        <v>586</v>
      </c>
      <c r="B13767" s="50">
        <v>46295.0</v>
      </c>
      <c r="C13767" s="49" t="s">
        <v>69</v>
      </c>
      <c r="D13767" s="49">
        <v>0.0</v>
      </c>
    </row>
    <row r="13768" ht="15.0" hidden="1" customHeight="1">
      <c r="A13768" s="49" t="s">
        <v>754</v>
      </c>
      <c r="B13768" s="50">
        <v>46295.0</v>
      </c>
      <c r="C13768" s="49" t="s">
        <v>69</v>
      </c>
      <c r="D13768" s="49">
        <v>0.0</v>
      </c>
    </row>
    <row r="13769" ht="15.0" hidden="1" customHeight="1">
      <c r="A13769" s="49" t="s">
        <v>591</v>
      </c>
      <c r="B13769" s="50">
        <v>46295.0</v>
      </c>
      <c r="C13769" s="49" t="s">
        <v>69</v>
      </c>
      <c r="D13769" s="49">
        <v>0.0</v>
      </c>
    </row>
    <row r="13770" ht="15.0" hidden="1" customHeight="1">
      <c r="A13770" s="49" t="s">
        <v>759</v>
      </c>
      <c r="B13770" s="50">
        <v>46295.0</v>
      </c>
      <c r="C13770" s="49" t="s">
        <v>69</v>
      </c>
      <c r="D13770" s="49">
        <v>0.0</v>
      </c>
    </row>
    <row r="13771" ht="15.0" hidden="1" customHeight="1">
      <c r="A13771" s="49" t="s">
        <v>596</v>
      </c>
      <c r="B13771" s="50">
        <v>46295.0</v>
      </c>
      <c r="C13771" s="49" t="s">
        <v>69</v>
      </c>
      <c r="D13771" s="49">
        <v>0.0</v>
      </c>
    </row>
    <row r="13772" ht="15.0" hidden="1" customHeight="1">
      <c r="A13772" s="49" t="s">
        <v>602</v>
      </c>
      <c r="B13772" s="50">
        <v>46295.0</v>
      </c>
      <c r="C13772" s="49" t="s">
        <v>69</v>
      </c>
      <c r="D13772" s="49">
        <v>0.0</v>
      </c>
    </row>
    <row r="13773" ht="15.0" hidden="1" customHeight="1">
      <c r="A13773" s="49" t="s">
        <v>607</v>
      </c>
      <c r="B13773" s="50">
        <v>46295.0</v>
      </c>
      <c r="C13773" s="49" t="s">
        <v>69</v>
      </c>
      <c r="D13773" s="49">
        <v>0.0</v>
      </c>
    </row>
    <row r="13774" ht="15.0" hidden="1" customHeight="1">
      <c r="A13774" s="49" t="s">
        <v>612</v>
      </c>
      <c r="B13774" s="50">
        <v>46295.0</v>
      </c>
      <c r="C13774" s="49" t="s">
        <v>69</v>
      </c>
      <c r="D13774" s="49">
        <v>0.0</v>
      </c>
    </row>
    <row r="13775" ht="15.0" hidden="1" customHeight="1">
      <c r="A13775" s="49" t="s">
        <v>617</v>
      </c>
      <c r="B13775" s="50">
        <v>46295.0</v>
      </c>
      <c r="C13775" s="49" t="s">
        <v>69</v>
      </c>
      <c r="D13775" s="49">
        <v>0.0</v>
      </c>
    </row>
    <row r="13776" ht="15.0" hidden="1" customHeight="1">
      <c r="A13776" s="49" t="s">
        <v>622</v>
      </c>
      <c r="B13776" s="50">
        <v>46295.0</v>
      </c>
      <c r="C13776" s="49" t="s">
        <v>69</v>
      </c>
      <c r="D13776" s="49">
        <v>0.0</v>
      </c>
    </row>
    <row r="13777" ht="15.0" hidden="1" customHeight="1">
      <c r="A13777" s="49" t="s">
        <v>627</v>
      </c>
      <c r="B13777" s="50">
        <v>46295.0</v>
      </c>
      <c r="C13777" s="49" t="s">
        <v>69</v>
      </c>
      <c r="D13777" s="49">
        <v>0.0</v>
      </c>
    </row>
    <row r="13778" ht="15.0" hidden="1" customHeight="1">
      <c r="A13778" s="49" t="s">
        <v>631</v>
      </c>
      <c r="B13778" s="50">
        <v>46295.0</v>
      </c>
      <c r="C13778" s="49" t="s">
        <v>69</v>
      </c>
      <c r="D13778" s="49">
        <v>0.0</v>
      </c>
    </row>
    <row r="13779" ht="15.0" hidden="1" customHeight="1">
      <c r="A13779" s="49" t="s">
        <v>636</v>
      </c>
      <c r="B13779" s="50">
        <v>46295.0</v>
      </c>
      <c r="C13779" s="49" t="s">
        <v>69</v>
      </c>
      <c r="D13779" s="49">
        <v>0.0</v>
      </c>
    </row>
    <row r="13780" ht="15.0" hidden="1" customHeight="1">
      <c r="A13780" s="49" t="s">
        <v>640</v>
      </c>
      <c r="B13780" s="50">
        <v>46295.0</v>
      </c>
      <c r="C13780" s="49" t="s">
        <v>69</v>
      </c>
      <c r="D13780" s="49">
        <v>0.0</v>
      </c>
    </row>
    <row r="13781" ht="15.0" hidden="1" customHeight="1">
      <c r="A13781" s="49" t="s">
        <v>644</v>
      </c>
      <c r="B13781" s="50">
        <v>46295.0</v>
      </c>
      <c r="C13781" s="49" t="s">
        <v>69</v>
      </c>
      <c r="D13781" s="49">
        <v>0.0</v>
      </c>
    </row>
    <row r="13782" ht="15.0" hidden="1" customHeight="1">
      <c r="A13782" s="49" t="s">
        <v>649</v>
      </c>
      <c r="B13782" s="50">
        <v>46295.0</v>
      </c>
      <c r="C13782" s="49" t="s">
        <v>69</v>
      </c>
      <c r="D13782" s="49">
        <v>0.0</v>
      </c>
    </row>
    <row r="13783" ht="15.0" hidden="1" customHeight="1">
      <c r="A13783" s="49" t="s">
        <v>654</v>
      </c>
      <c r="B13783" s="50">
        <v>46295.0</v>
      </c>
      <c r="C13783" s="49" t="s">
        <v>69</v>
      </c>
      <c r="D13783" s="49">
        <v>0.0</v>
      </c>
    </row>
    <row r="13784" ht="15.0" hidden="1" customHeight="1">
      <c r="A13784" s="49" t="s">
        <v>659</v>
      </c>
      <c r="B13784" s="50">
        <v>46295.0</v>
      </c>
      <c r="C13784" s="49" t="s">
        <v>69</v>
      </c>
      <c r="D13784" s="49">
        <v>0.0</v>
      </c>
    </row>
    <row r="13785" ht="15.0" hidden="1" customHeight="1">
      <c r="A13785" s="49" t="s">
        <v>664</v>
      </c>
      <c r="B13785" s="50">
        <v>46295.0</v>
      </c>
      <c r="C13785" s="49" t="s">
        <v>69</v>
      </c>
      <c r="D13785" s="49">
        <v>0.0</v>
      </c>
    </row>
    <row r="13786" ht="15.0" hidden="1" customHeight="1">
      <c r="A13786" s="49" t="s">
        <v>669</v>
      </c>
      <c r="B13786" s="50">
        <v>46295.0</v>
      </c>
      <c r="C13786" s="49" t="s">
        <v>69</v>
      </c>
      <c r="D13786" s="49">
        <v>0.0</v>
      </c>
    </row>
    <row r="13787" ht="15.0" hidden="1" customHeight="1">
      <c r="A13787" s="49" t="s">
        <v>674</v>
      </c>
      <c r="B13787" s="50">
        <v>46295.0</v>
      </c>
      <c r="C13787" s="49" t="s">
        <v>69</v>
      </c>
      <c r="D13787" s="49">
        <v>0.0</v>
      </c>
    </row>
    <row r="13788" ht="15.0" hidden="1" customHeight="1">
      <c r="A13788" s="49" t="s">
        <v>679</v>
      </c>
      <c r="B13788" s="50">
        <v>46295.0</v>
      </c>
      <c r="C13788" s="49" t="s">
        <v>69</v>
      </c>
      <c r="D13788" s="49">
        <v>0.0</v>
      </c>
    </row>
    <row r="13789" ht="15.0" hidden="1" customHeight="1">
      <c r="A13789" s="49" t="s">
        <v>684</v>
      </c>
      <c r="B13789" s="50">
        <v>46295.0</v>
      </c>
      <c r="C13789" s="49" t="s">
        <v>69</v>
      </c>
      <c r="D13789" s="49">
        <v>0.0</v>
      </c>
    </row>
    <row r="13790" ht="15.0" hidden="1" customHeight="1">
      <c r="A13790" s="49" t="s">
        <v>689</v>
      </c>
      <c r="B13790" s="50">
        <v>46295.0</v>
      </c>
      <c r="C13790" s="49" t="s">
        <v>69</v>
      </c>
      <c r="D13790" s="49">
        <v>0.0</v>
      </c>
    </row>
    <row r="13791" ht="15.0" hidden="1" customHeight="1">
      <c r="A13791" s="49" t="s">
        <v>694</v>
      </c>
      <c r="B13791" s="50">
        <v>46295.0</v>
      </c>
      <c r="C13791" s="49" t="s">
        <v>69</v>
      </c>
      <c r="D13791" s="49">
        <v>0.0</v>
      </c>
    </row>
    <row r="13792" ht="15.0" hidden="1" customHeight="1">
      <c r="A13792" s="49" t="s">
        <v>699</v>
      </c>
      <c r="B13792" s="50">
        <v>46295.0</v>
      </c>
      <c r="C13792" s="49" t="s">
        <v>69</v>
      </c>
      <c r="D13792" s="49">
        <v>0.0</v>
      </c>
    </row>
    <row r="13793" ht="15.0" hidden="1" customHeight="1">
      <c r="A13793" s="49" t="s">
        <v>705</v>
      </c>
      <c r="B13793" s="50">
        <v>46295.0</v>
      </c>
      <c r="C13793" s="49" t="s">
        <v>69</v>
      </c>
      <c r="D13793" s="49">
        <v>0.0</v>
      </c>
    </row>
    <row r="13794" ht="15.0" hidden="1" customHeight="1">
      <c r="A13794" s="49" t="s">
        <v>710</v>
      </c>
      <c r="B13794" s="50">
        <v>46295.0</v>
      </c>
      <c r="C13794" s="49" t="s">
        <v>69</v>
      </c>
      <c r="D13794" s="49">
        <v>0.0</v>
      </c>
    </row>
    <row r="13795" ht="15.0" hidden="1" customHeight="1">
      <c r="A13795" s="49" t="s">
        <v>715</v>
      </c>
      <c r="B13795" s="50">
        <v>46295.0</v>
      </c>
      <c r="C13795" s="49" t="s">
        <v>69</v>
      </c>
      <c r="D13795" s="49">
        <v>0.0</v>
      </c>
    </row>
    <row r="13796" ht="15.0" hidden="1" customHeight="1">
      <c r="A13796" s="49" t="s">
        <v>765</v>
      </c>
      <c r="B13796" s="50">
        <v>46295.0</v>
      </c>
      <c r="C13796" s="49" t="s">
        <v>69</v>
      </c>
      <c r="D13796" s="49">
        <v>0.0</v>
      </c>
    </row>
    <row r="13797" ht="15.0" hidden="1" customHeight="1">
      <c r="A13797" s="49" t="s">
        <v>720</v>
      </c>
      <c r="B13797" s="50">
        <v>46295.0</v>
      </c>
      <c r="C13797" s="49" t="s">
        <v>69</v>
      </c>
      <c r="D13797" s="49">
        <v>0.0</v>
      </c>
    </row>
    <row r="13798" ht="15.0" hidden="1" customHeight="1">
      <c r="A13798" s="49" t="s">
        <v>725</v>
      </c>
      <c r="B13798" s="50">
        <v>46295.0</v>
      </c>
      <c r="C13798" s="49" t="s">
        <v>69</v>
      </c>
      <c r="D13798" s="49">
        <v>0.0</v>
      </c>
    </row>
    <row r="13799" ht="15.0" hidden="1" customHeight="1">
      <c r="A13799" s="49" t="s">
        <v>730</v>
      </c>
      <c r="B13799" s="50">
        <v>46295.0</v>
      </c>
      <c r="C13799" s="49" t="s">
        <v>69</v>
      </c>
      <c r="D13799" s="49">
        <v>0.0</v>
      </c>
    </row>
    <row r="13800" ht="15.0" hidden="1" customHeight="1">
      <c r="A13800" s="49" t="s">
        <v>734</v>
      </c>
      <c r="B13800" s="50">
        <v>46295.0</v>
      </c>
      <c r="C13800" s="49" t="s">
        <v>69</v>
      </c>
      <c r="D13800" s="49">
        <v>0.0</v>
      </c>
    </row>
    <row r="13801" ht="15.0" hidden="1" customHeight="1">
      <c r="A13801" s="49" t="s">
        <v>739</v>
      </c>
      <c r="B13801" s="50">
        <v>46295.0</v>
      </c>
      <c r="C13801" s="49" t="s">
        <v>69</v>
      </c>
      <c r="D13801" s="49">
        <v>0.0</v>
      </c>
    </row>
    <row r="13802" ht="15.0" hidden="1" customHeight="1">
      <c r="A13802" s="49" t="s">
        <v>744</v>
      </c>
      <c r="B13802" s="50">
        <v>46295.0</v>
      </c>
      <c r="C13802" s="49" t="s">
        <v>69</v>
      </c>
      <c r="D13802" s="49">
        <v>0.0</v>
      </c>
    </row>
    <row r="13803" ht="15.0" hidden="1" customHeight="1">
      <c r="A13803" s="49" t="s">
        <v>749</v>
      </c>
      <c r="B13803" s="50">
        <v>46295.0</v>
      </c>
      <c r="C13803" s="49" t="s">
        <v>69</v>
      </c>
      <c r="D13803" s="49">
        <v>0.0</v>
      </c>
    </row>
    <row r="13804" ht="15.0" customHeight="1">
      <c r="A13804" s="49" t="s">
        <v>776</v>
      </c>
      <c r="B13804" s="50">
        <v>46295.0</v>
      </c>
      <c r="C13804" s="49" t="s">
        <v>780</v>
      </c>
      <c r="D13804" s="49">
        <v>0.0</v>
      </c>
    </row>
    <row r="13805" ht="15.0" hidden="1" customHeight="1">
      <c r="A13805" s="49" t="s">
        <v>778</v>
      </c>
      <c r="B13805" s="50">
        <v>46295.0</v>
      </c>
      <c r="C13805" s="49" t="s">
        <v>780</v>
      </c>
      <c r="D13805" s="49">
        <v>0.0</v>
      </c>
    </row>
    <row r="13806" ht="15.0" hidden="1" customHeight="1">
      <c r="A13806" s="49" t="s">
        <v>92</v>
      </c>
      <c r="B13806" s="50">
        <v>46295.0</v>
      </c>
      <c r="C13806" s="49" t="s">
        <v>780</v>
      </c>
      <c r="D13806" s="49">
        <v>0.0</v>
      </c>
    </row>
    <row r="13807" ht="15.0" hidden="1" customHeight="1">
      <c r="A13807" s="49" t="s">
        <v>97</v>
      </c>
      <c r="B13807" s="50">
        <v>46295.0</v>
      </c>
      <c r="C13807" s="49" t="s">
        <v>780</v>
      </c>
      <c r="D13807" s="49">
        <v>0.0</v>
      </c>
    </row>
    <row r="13808" ht="15.0" hidden="1" customHeight="1">
      <c r="A13808" s="49" t="s">
        <v>102</v>
      </c>
      <c r="B13808" s="50">
        <v>46295.0</v>
      </c>
      <c r="C13808" s="49" t="s">
        <v>780</v>
      </c>
      <c r="D13808" s="49">
        <v>0.0</v>
      </c>
    </row>
    <row r="13809" ht="15.0" hidden="1" customHeight="1">
      <c r="A13809" s="49" t="s">
        <v>106</v>
      </c>
      <c r="B13809" s="50">
        <v>46295.0</v>
      </c>
      <c r="C13809" s="49" t="s">
        <v>780</v>
      </c>
      <c r="D13809" s="49">
        <v>0.0</v>
      </c>
    </row>
    <row r="13810" ht="15.0" hidden="1" customHeight="1">
      <c r="A13810" s="49" t="s">
        <v>111</v>
      </c>
      <c r="B13810" s="50">
        <v>46295.0</v>
      </c>
      <c r="C13810" s="49" t="s">
        <v>780</v>
      </c>
      <c r="D13810" s="49">
        <v>0.0</v>
      </c>
    </row>
    <row r="13811" ht="15.0" hidden="1" customHeight="1">
      <c r="A13811" s="49" t="s">
        <v>116</v>
      </c>
      <c r="B13811" s="50">
        <v>46295.0</v>
      </c>
      <c r="C13811" s="49" t="s">
        <v>780</v>
      </c>
      <c r="D13811" s="49">
        <v>0.0</v>
      </c>
    </row>
    <row r="13812" ht="15.0" hidden="1" customHeight="1">
      <c r="A13812" s="49" t="s">
        <v>120</v>
      </c>
      <c r="B13812" s="50">
        <v>46295.0</v>
      </c>
      <c r="C13812" s="49" t="s">
        <v>780</v>
      </c>
      <c r="D13812" s="49">
        <v>0.0</v>
      </c>
    </row>
    <row r="13813" ht="15.0" hidden="1" customHeight="1">
      <c r="A13813" s="49" t="s">
        <v>125</v>
      </c>
      <c r="B13813" s="50">
        <v>46295.0</v>
      </c>
      <c r="C13813" s="49" t="s">
        <v>780</v>
      </c>
      <c r="D13813" s="49">
        <v>0.0</v>
      </c>
    </row>
    <row r="13814" ht="15.0" hidden="1" customHeight="1">
      <c r="A13814" s="49" t="s">
        <v>130</v>
      </c>
      <c r="B13814" s="50">
        <v>46295.0</v>
      </c>
      <c r="C13814" s="49" t="s">
        <v>780</v>
      </c>
      <c r="D13814" s="49">
        <v>0.0</v>
      </c>
    </row>
    <row r="13815" ht="15.0" hidden="1" customHeight="1">
      <c r="A13815" s="49" t="s">
        <v>137</v>
      </c>
      <c r="B13815" s="50">
        <v>46295.0</v>
      </c>
      <c r="C13815" s="49" t="s">
        <v>780</v>
      </c>
      <c r="D13815" s="49">
        <v>0.0</v>
      </c>
    </row>
    <row r="13816" ht="15.0" hidden="1" customHeight="1">
      <c r="A13816" s="49" t="s">
        <v>142</v>
      </c>
      <c r="B13816" s="50">
        <v>46295.0</v>
      </c>
      <c r="C13816" s="49" t="s">
        <v>780</v>
      </c>
      <c r="D13816" s="49">
        <v>0.0</v>
      </c>
    </row>
    <row r="13817" ht="15.0" hidden="1" customHeight="1">
      <c r="A13817" s="49" t="s">
        <v>147</v>
      </c>
      <c r="B13817" s="50">
        <v>46295.0</v>
      </c>
      <c r="C13817" s="49" t="s">
        <v>780</v>
      </c>
      <c r="D13817" s="49">
        <v>0.0</v>
      </c>
    </row>
    <row r="13818" ht="15.0" hidden="1" customHeight="1">
      <c r="A13818" s="49" t="s">
        <v>152</v>
      </c>
      <c r="B13818" s="50">
        <v>46295.0</v>
      </c>
      <c r="C13818" s="49" t="s">
        <v>780</v>
      </c>
      <c r="D13818" s="49">
        <v>0.0</v>
      </c>
    </row>
    <row r="13819" ht="15.0" hidden="1" customHeight="1">
      <c r="A13819" s="49" t="s">
        <v>157</v>
      </c>
      <c r="B13819" s="50">
        <v>46295.0</v>
      </c>
      <c r="C13819" s="49" t="s">
        <v>780</v>
      </c>
      <c r="D13819" s="49">
        <v>0.0</v>
      </c>
    </row>
    <row r="13820" ht="15.0" hidden="1" customHeight="1">
      <c r="A13820" s="49" t="s">
        <v>162</v>
      </c>
      <c r="B13820" s="50">
        <v>46295.0</v>
      </c>
      <c r="C13820" s="49" t="s">
        <v>780</v>
      </c>
      <c r="D13820" s="49">
        <v>0.0</v>
      </c>
    </row>
    <row r="13821" ht="15.0" hidden="1" customHeight="1">
      <c r="A13821" s="49" t="s">
        <v>167</v>
      </c>
      <c r="B13821" s="50">
        <v>46295.0</v>
      </c>
      <c r="C13821" s="49" t="s">
        <v>780</v>
      </c>
      <c r="D13821" s="49">
        <v>0.0</v>
      </c>
    </row>
    <row r="13822" ht="15.0" hidden="1" customHeight="1">
      <c r="A13822" s="49" t="s">
        <v>172</v>
      </c>
      <c r="B13822" s="50">
        <v>46295.0</v>
      </c>
      <c r="C13822" s="49" t="s">
        <v>780</v>
      </c>
      <c r="D13822" s="49">
        <v>0.0</v>
      </c>
    </row>
    <row r="13823" ht="15.0" hidden="1" customHeight="1">
      <c r="A13823" s="49" t="s">
        <v>177</v>
      </c>
      <c r="B13823" s="50">
        <v>46295.0</v>
      </c>
      <c r="C13823" s="49" t="s">
        <v>780</v>
      </c>
      <c r="D13823" s="49">
        <v>0.0</v>
      </c>
    </row>
    <row r="13824" ht="15.0" hidden="1" customHeight="1">
      <c r="A13824" s="49" t="s">
        <v>182</v>
      </c>
      <c r="B13824" s="50">
        <v>46295.0</v>
      </c>
      <c r="C13824" s="49" t="s">
        <v>780</v>
      </c>
      <c r="D13824" s="49">
        <v>0.0</v>
      </c>
    </row>
    <row r="13825" ht="15.0" hidden="1" customHeight="1">
      <c r="A13825" s="49" t="s">
        <v>187</v>
      </c>
      <c r="B13825" s="50">
        <v>46295.0</v>
      </c>
      <c r="C13825" s="49" t="s">
        <v>780</v>
      </c>
      <c r="D13825" s="49">
        <v>0.0</v>
      </c>
    </row>
    <row r="13826" ht="15.0" hidden="1" customHeight="1">
      <c r="A13826" s="49" t="s">
        <v>192</v>
      </c>
      <c r="B13826" s="50">
        <v>46295.0</v>
      </c>
      <c r="C13826" s="49" t="s">
        <v>780</v>
      </c>
      <c r="D13826" s="49">
        <v>0.0</v>
      </c>
    </row>
    <row r="13827" ht="15.0" hidden="1" customHeight="1">
      <c r="A13827" s="49" t="s">
        <v>197</v>
      </c>
      <c r="B13827" s="50">
        <v>46295.0</v>
      </c>
      <c r="C13827" s="49" t="s">
        <v>780</v>
      </c>
      <c r="D13827" s="49">
        <v>0.0</v>
      </c>
    </row>
    <row r="13828" ht="15.0" hidden="1" customHeight="1">
      <c r="A13828" s="49" t="s">
        <v>202</v>
      </c>
      <c r="B13828" s="50">
        <v>46295.0</v>
      </c>
      <c r="C13828" s="49" t="s">
        <v>780</v>
      </c>
      <c r="D13828" s="49">
        <v>0.0</v>
      </c>
    </row>
    <row r="13829" ht="15.0" hidden="1" customHeight="1">
      <c r="A13829" s="49" t="s">
        <v>206</v>
      </c>
      <c r="B13829" s="50">
        <v>46295.0</v>
      </c>
      <c r="C13829" s="49" t="s">
        <v>780</v>
      </c>
      <c r="D13829" s="49">
        <v>0.0</v>
      </c>
    </row>
    <row r="13830" ht="15.0" hidden="1" customHeight="1">
      <c r="A13830" s="49" t="s">
        <v>211</v>
      </c>
      <c r="B13830" s="50">
        <v>46295.0</v>
      </c>
      <c r="C13830" s="49" t="s">
        <v>780</v>
      </c>
      <c r="D13830" s="49">
        <v>0.0</v>
      </c>
    </row>
    <row r="13831" ht="15.0" hidden="1" customHeight="1">
      <c r="A13831" s="49" t="s">
        <v>779</v>
      </c>
      <c r="B13831" s="50">
        <v>46295.0</v>
      </c>
      <c r="C13831" s="49" t="s">
        <v>780</v>
      </c>
      <c r="D13831" s="49">
        <v>0.0</v>
      </c>
    </row>
    <row r="13832" ht="15.0" hidden="1" customHeight="1">
      <c r="A13832" s="49" t="s">
        <v>221</v>
      </c>
      <c r="B13832" s="50">
        <v>46295.0</v>
      </c>
      <c r="C13832" s="49" t="s">
        <v>780</v>
      </c>
      <c r="D13832" s="49">
        <v>0.0</v>
      </c>
    </row>
    <row r="13833" ht="15.0" hidden="1" customHeight="1">
      <c r="A13833" s="49" t="s">
        <v>226</v>
      </c>
      <c r="B13833" s="50">
        <v>46295.0</v>
      </c>
      <c r="C13833" s="49" t="s">
        <v>780</v>
      </c>
      <c r="D13833" s="49">
        <v>0.0</v>
      </c>
    </row>
    <row r="13834" ht="15.0" hidden="1" customHeight="1">
      <c r="A13834" s="49" t="s">
        <v>231</v>
      </c>
      <c r="B13834" s="50">
        <v>46295.0</v>
      </c>
      <c r="C13834" s="49" t="s">
        <v>780</v>
      </c>
      <c r="D13834" s="49">
        <v>0.0</v>
      </c>
    </row>
    <row r="13835" ht="15.0" hidden="1" customHeight="1">
      <c r="A13835" s="49" t="s">
        <v>236</v>
      </c>
      <c r="B13835" s="50">
        <v>46295.0</v>
      </c>
      <c r="C13835" s="49" t="s">
        <v>780</v>
      </c>
      <c r="D13835" s="49">
        <v>0.0</v>
      </c>
    </row>
    <row r="13836" ht="15.0" hidden="1" customHeight="1">
      <c r="A13836" s="49" t="s">
        <v>242</v>
      </c>
      <c r="B13836" s="50">
        <v>46295.0</v>
      </c>
      <c r="C13836" s="49" t="s">
        <v>780</v>
      </c>
      <c r="D13836" s="49">
        <v>0.0</v>
      </c>
    </row>
    <row r="13837" ht="15.0" hidden="1" customHeight="1">
      <c r="A13837" s="49" t="s">
        <v>248</v>
      </c>
      <c r="B13837" s="50">
        <v>46295.0</v>
      </c>
      <c r="C13837" s="49" t="s">
        <v>780</v>
      </c>
      <c r="D13837" s="49">
        <v>0.0</v>
      </c>
    </row>
    <row r="13838" ht="15.0" hidden="1" customHeight="1">
      <c r="A13838" s="49" t="s">
        <v>253</v>
      </c>
      <c r="B13838" s="50">
        <v>46295.0</v>
      </c>
      <c r="C13838" s="49" t="s">
        <v>780</v>
      </c>
      <c r="D13838" s="49">
        <v>0.0</v>
      </c>
    </row>
    <row r="13839" ht="15.0" hidden="1" customHeight="1">
      <c r="A13839" s="49" t="s">
        <v>258</v>
      </c>
      <c r="B13839" s="50">
        <v>46295.0</v>
      </c>
      <c r="C13839" s="49" t="s">
        <v>780</v>
      </c>
      <c r="D13839" s="49">
        <v>0.0</v>
      </c>
    </row>
    <row r="13840" ht="15.0" hidden="1" customHeight="1">
      <c r="A13840" s="49" t="s">
        <v>263</v>
      </c>
      <c r="B13840" s="50">
        <v>46295.0</v>
      </c>
      <c r="C13840" s="49" t="s">
        <v>780</v>
      </c>
      <c r="D13840" s="49">
        <v>0.0</v>
      </c>
    </row>
    <row r="13841" ht="15.0" hidden="1" customHeight="1">
      <c r="A13841" s="49" t="s">
        <v>268</v>
      </c>
      <c r="B13841" s="50">
        <v>46295.0</v>
      </c>
      <c r="C13841" s="49" t="s">
        <v>780</v>
      </c>
      <c r="D13841" s="49">
        <v>0.0</v>
      </c>
    </row>
    <row r="13842" ht="15.0" hidden="1" customHeight="1">
      <c r="A13842" s="49" t="s">
        <v>273</v>
      </c>
      <c r="B13842" s="50">
        <v>46295.0</v>
      </c>
      <c r="C13842" s="49" t="s">
        <v>780</v>
      </c>
      <c r="D13842" s="49">
        <v>0.0</v>
      </c>
    </row>
    <row r="13843" ht="15.0" hidden="1" customHeight="1">
      <c r="A13843" s="49" t="s">
        <v>278</v>
      </c>
      <c r="B13843" s="50">
        <v>46295.0</v>
      </c>
      <c r="C13843" s="49" t="s">
        <v>780</v>
      </c>
      <c r="D13843" s="49">
        <v>0.0</v>
      </c>
    </row>
    <row r="13844" ht="15.0" hidden="1" customHeight="1">
      <c r="A13844" s="49" t="s">
        <v>283</v>
      </c>
      <c r="B13844" s="50">
        <v>46295.0</v>
      </c>
      <c r="C13844" s="49" t="s">
        <v>780</v>
      </c>
      <c r="D13844" s="49">
        <v>0.0</v>
      </c>
    </row>
    <row r="13845" ht="15.0" hidden="1" customHeight="1">
      <c r="A13845" s="49" t="s">
        <v>288</v>
      </c>
      <c r="B13845" s="50">
        <v>46295.0</v>
      </c>
      <c r="C13845" s="49" t="s">
        <v>780</v>
      </c>
      <c r="D13845" s="49">
        <v>0.0</v>
      </c>
    </row>
    <row r="13846" ht="15.0" hidden="1" customHeight="1">
      <c r="A13846" s="49" t="s">
        <v>293</v>
      </c>
      <c r="B13846" s="50">
        <v>46295.0</v>
      </c>
      <c r="C13846" s="49" t="s">
        <v>780</v>
      </c>
      <c r="D13846" s="49">
        <v>0.0</v>
      </c>
    </row>
    <row r="13847" ht="15.0" hidden="1" customHeight="1">
      <c r="A13847" s="49" t="s">
        <v>298</v>
      </c>
      <c r="B13847" s="50">
        <v>46295.0</v>
      </c>
      <c r="C13847" s="49" t="s">
        <v>780</v>
      </c>
      <c r="D13847" s="49">
        <v>0.0</v>
      </c>
    </row>
    <row r="13848" ht="15.0" hidden="1" customHeight="1">
      <c r="A13848" s="49" t="s">
        <v>303</v>
      </c>
      <c r="B13848" s="50">
        <v>46295.0</v>
      </c>
      <c r="C13848" s="49" t="s">
        <v>780</v>
      </c>
      <c r="D13848" s="49">
        <v>0.0</v>
      </c>
    </row>
    <row r="13849" ht="15.0" hidden="1" customHeight="1">
      <c r="A13849" s="49" t="s">
        <v>307</v>
      </c>
      <c r="B13849" s="50">
        <v>46295.0</v>
      </c>
      <c r="C13849" s="49" t="s">
        <v>780</v>
      </c>
      <c r="D13849" s="49">
        <v>0.0</v>
      </c>
    </row>
    <row r="13850" ht="15.0" hidden="1" customHeight="1">
      <c r="A13850" s="49" t="s">
        <v>313</v>
      </c>
      <c r="B13850" s="50">
        <v>46295.0</v>
      </c>
      <c r="C13850" s="49" t="s">
        <v>780</v>
      </c>
      <c r="D13850" s="49">
        <v>0.0</v>
      </c>
    </row>
    <row r="13851" ht="15.0" hidden="1" customHeight="1">
      <c r="A13851" s="49" t="s">
        <v>318</v>
      </c>
      <c r="B13851" s="50">
        <v>46295.0</v>
      </c>
      <c r="C13851" s="49" t="s">
        <v>780</v>
      </c>
      <c r="D13851" s="49">
        <v>0.0</v>
      </c>
    </row>
    <row r="13852" ht="15.0" hidden="1" customHeight="1">
      <c r="A13852" s="49" t="s">
        <v>323</v>
      </c>
      <c r="B13852" s="50">
        <v>46295.0</v>
      </c>
      <c r="C13852" s="49" t="s">
        <v>780</v>
      </c>
      <c r="D13852" s="49">
        <v>0.0</v>
      </c>
    </row>
    <row r="13853" ht="15.0" hidden="1" customHeight="1">
      <c r="A13853" s="49" t="s">
        <v>328</v>
      </c>
      <c r="B13853" s="50">
        <v>46295.0</v>
      </c>
      <c r="C13853" s="49" t="s">
        <v>780</v>
      </c>
      <c r="D13853" s="49">
        <v>0.0</v>
      </c>
    </row>
    <row r="13854" ht="15.0" hidden="1" customHeight="1">
      <c r="A13854" s="49" t="s">
        <v>335</v>
      </c>
      <c r="B13854" s="50">
        <v>46295.0</v>
      </c>
      <c r="C13854" s="49" t="s">
        <v>780</v>
      </c>
      <c r="D13854" s="49">
        <v>0.0</v>
      </c>
    </row>
    <row r="13855" ht="15.0" hidden="1" customHeight="1">
      <c r="A13855" s="49" t="s">
        <v>340</v>
      </c>
      <c r="B13855" s="50">
        <v>46295.0</v>
      </c>
      <c r="C13855" s="49" t="s">
        <v>780</v>
      </c>
      <c r="D13855" s="49">
        <v>0.0</v>
      </c>
    </row>
    <row r="13856" ht="15.0" hidden="1" customHeight="1">
      <c r="A13856" s="49" t="s">
        <v>345</v>
      </c>
      <c r="B13856" s="50">
        <v>46295.0</v>
      </c>
      <c r="C13856" s="49" t="s">
        <v>780</v>
      </c>
      <c r="D13856" s="49">
        <v>0.0</v>
      </c>
    </row>
    <row r="13857" ht="15.0" hidden="1" customHeight="1">
      <c r="A13857" s="49" t="s">
        <v>350</v>
      </c>
      <c r="B13857" s="50">
        <v>46295.0</v>
      </c>
      <c r="C13857" s="49" t="s">
        <v>780</v>
      </c>
      <c r="D13857" s="49">
        <v>0.0</v>
      </c>
    </row>
    <row r="13858" ht="15.0" hidden="1" customHeight="1">
      <c r="A13858" s="49" t="s">
        <v>355</v>
      </c>
      <c r="B13858" s="50">
        <v>46295.0</v>
      </c>
      <c r="C13858" s="49" t="s">
        <v>780</v>
      </c>
      <c r="D13858" s="49">
        <v>0.0</v>
      </c>
    </row>
    <row r="13859" ht="15.0" hidden="1" customHeight="1">
      <c r="A13859" s="49" t="s">
        <v>360</v>
      </c>
      <c r="B13859" s="50">
        <v>46295.0</v>
      </c>
      <c r="C13859" s="49" t="s">
        <v>780</v>
      </c>
      <c r="D13859" s="49">
        <v>0.0</v>
      </c>
    </row>
    <row r="13860" ht="15.0" hidden="1" customHeight="1">
      <c r="A13860" s="49" t="s">
        <v>365</v>
      </c>
      <c r="B13860" s="50">
        <v>46295.0</v>
      </c>
      <c r="C13860" s="49" t="s">
        <v>780</v>
      </c>
      <c r="D13860" s="49">
        <v>0.0</v>
      </c>
    </row>
    <row r="13861" ht="15.0" hidden="1" customHeight="1">
      <c r="A13861" s="49" t="s">
        <v>370</v>
      </c>
      <c r="B13861" s="50">
        <v>46295.0</v>
      </c>
      <c r="C13861" s="49" t="s">
        <v>780</v>
      </c>
      <c r="D13861" s="49">
        <v>0.0</v>
      </c>
    </row>
    <row r="13862" ht="15.0" hidden="1" customHeight="1">
      <c r="A13862" s="49" t="s">
        <v>375</v>
      </c>
      <c r="B13862" s="50">
        <v>46295.0</v>
      </c>
      <c r="C13862" s="49" t="s">
        <v>780</v>
      </c>
      <c r="D13862" s="49">
        <v>0.0</v>
      </c>
    </row>
    <row r="13863" ht="15.0" hidden="1" customHeight="1">
      <c r="A13863" s="49" t="s">
        <v>380</v>
      </c>
      <c r="B13863" s="50">
        <v>46295.0</v>
      </c>
      <c r="C13863" s="49" t="s">
        <v>780</v>
      </c>
      <c r="D13863" s="49">
        <v>0.0</v>
      </c>
    </row>
    <row r="13864" ht="15.0" hidden="1" customHeight="1">
      <c r="A13864" s="49" t="s">
        <v>385</v>
      </c>
      <c r="B13864" s="50">
        <v>46295.0</v>
      </c>
      <c r="C13864" s="49" t="s">
        <v>780</v>
      </c>
      <c r="D13864" s="49">
        <v>0.0</v>
      </c>
    </row>
    <row r="13865" ht="15.0" hidden="1" customHeight="1">
      <c r="A13865" s="49" t="s">
        <v>390</v>
      </c>
      <c r="B13865" s="50">
        <v>46295.0</v>
      </c>
      <c r="C13865" s="49" t="s">
        <v>780</v>
      </c>
      <c r="D13865" s="49">
        <v>0.0</v>
      </c>
    </row>
    <row r="13866" ht="15.0" hidden="1" customHeight="1">
      <c r="A13866" s="49" t="s">
        <v>395</v>
      </c>
      <c r="B13866" s="50">
        <v>46295.0</v>
      </c>
      <c r="C13866" s="49" t="s">
        <v>780</v>
      </c>
      <c r="D13866" s="49">
        <v>0.0</v>
      </c>
    </row>
    <row r="13867" ht="15.0" hidden="1" customHeight="1">
      <c r="A13867" s="49" t="s">
        <v>400</v>
      </c>
      <c r="B13867" s="50">
        <v>46295.0</v>
      </c>
      <c r="C13867" s="49" t="s">
        <v>780</v>
      </c>
      <c r="D13867" s="49">
        <v>0.0</v>
      </c>
    </row>
    <row r="13868" ht="15.0" hidden="1" customHeight="1">
      <c r="A13868" s="49" t="s">
        <v>405</v>
      </c>
      <c r="B13868" s="50">
        <v>46295.0</v>
      </c>
      <c r="C13868" s="49" t="s">
        <v>780</v>
      </c>
      <c r="D13868" s="49">
        <v>0.0</v>
      </c>
    </row>
    <row r="13869" ht="15.0" hidden="1" customHeight="1">
      <c r="A13869" s="49" t="s">
        <v>410</v>
      </c>
      <c r="B13869" s="50">
        <v>46295.0</v>
      </c>
      <c r="C13869" s="49" t="s">
        <v>780</v>
      </c>
      <c r="D13869" s="49">
        <v>0.0</v>
      </c>
    </row>
    <row r="13870" ht="15.0" hidden="1" customHeight="1">
      <c r="A13870" s="49" t="s">
        <v>415</v>
      </c>
      <c r="B13870" s="50">
        <v>46295.0</v>
      </c>
      <c r="C13870" s="49" t="s">
        <v>780</v>
      </c>
      <c r="D13870" s="49">
        <v>0.0</v>
      </c>
    </row>
    <row r="13871" ht="15.0" hidden="1" customHeight="1">
      <c r="A13871" s="49" t="s">
        <v>420</v>
      </c>
      <c r="B13871" s="50">
        <v>46295.0</v>
      </c>
      <c r="C13871" s="49" t="s">
        <v>780</v>
      </c>
      <c r="D13871" s="49">
        <v>0.0</v>
      </c>
    </row>
    <row r="13872" ht="15.0" hidden="1" customHeight="1">
      <c r="A13872" s="49" t="s">
        <v>425</v>
      </c>
      <c r="B13872" s="50">
        <v>46295.0</v>
      </c>
      <c r="C13872" s="49" t="s">
        <v>780</v>
      </c>
      <c r="D13872" s="49">
        <v>0.0</v>
      </c>
    </row>
    <row r="13873" ht="15.0" hidden="1" customHeight="1">
      <c r="A13873" s="49" t="s">
        <v>430</v>
      </c>
      <c r="B13873" s="50">
        <v>46295.0</v>
      </c>
      <c r="C13873" s="49" t="s">
        <v>780</v>
      </c>
      <c r="D13873" s="49">
        <v>0.0</v>
      </c>
    </row>
    <row r="13874" ht="15.0" hidden="1" customHeight="1">
      <c r="A13874" s="49" t="s">
        <v>434</v>
      </c>
      <c r="B13874" s="50">
        <v>46295.0</v>
      </c>
      <c r="C13874" s="49" t="s">
        <v>780</v>
      </c>
      <c r="D13874" s="49">
        <v>0.0</v>
      </c>
    </row>
    <row r="13875" ht="15.0" hidden="1" customHeight="1">
      <c r="A13875" s="49" t="s">
        <v>439</v>
      </c>
      <c r="B13875" s="50">
        <v>46295.0</v>
      </c>
      <c r="C13875" s="49" t="s">
        <v>780</v>
      </c>
      <c r="D13875" s="49">
        <v>0.0</v>
      </c>
    </row>
    <row r="13876" ht="15.0" hidden="1" customHeight="1">
      <c r="A13876" s="49" t="s">
        <v>444</v>
      </c>
      <c r="B13876" s="50">
        <v>46295.0</v>
      </c>
      <c r="C13876" s="49" t="s">
        <v>780</v>
      </c>
      <c r="D13876" s="49">
        <v>0.0</v>
      </c>
    </row>
    <row r="13877" ht="15.0" hidden="1" customHeight="1">
      <c r="A13877" s="49" t="s">
        <v>449</v>
      </c>
      <c r="B13877" s="50">
        <v>46295.0</v>
      </c>
      <c r="C13877" s="49" t="s">
        <v>780</v>
      </c>
      <c r="D13877" s="49">
        <v>0.0</v>
      </c>
    </row>
    <row r="13878" ht="15.0" hidden="1" customHeight="1">
      <c r="A13878" s="49" t="s">
        <v>455</v>
      </c>
      <c r="B13878" s="50">
        <v>46295.0</v>
      </c>
      <c r="C13878" s="49" t="s">
        <v>780</v>
      </c>
      <c r="D13878" s="49">
        <v>0.0</v>
      </c>
    </row>
    <row r="13879" ht="15.0" hidden="1" customHeight="1">
      <c r="A13879" s="49" t="s">
        <v>470</v>
      </c>
      <c r="B13879" s="50">
        <v>46295.0</v>
      </c>
      <c r="C13879" s="49" t="s">
        <v>780</v>
      </c>
      <c r="D13879" s="49">
        <v>0.0</v>
      </c>
    </row>
    <row r="13880" ht="15.0" hidden="1" customHeight="1">
      <c r="A13880" s="49" t="s">
        <v>476</v>
      </c>
      <c r="B13880" s="50">
        <v>46295.0</v>
      </c>
      <c r="C13880" s="49" t="s">
        <v>780</v>
      </c>
      <c r="D13880" s="49">
        <v>0.0</v>
      </c>
    </row>
    <row r="13881" ht="15.0" hidden="1" customHeight="1">
      <c r="A13881" s="49" t="s">
        <v>481</v>
      </c>
      <c r="B13881" s="50">
        <v>46295.0</v>
      </c>
      <c r="C13881" s="49" t="s">
        <v>780</v>
      </c>
      <c r="D13881" s="49">
        <v>0.0</v>
      </c>
    </row>
    <row r="13882" ht="15.0" hidden="1" customHeight="1">
      <c r="A13882" s="49" t="s">
        <v>486</v>
      </c>
      <c r="B13882" s="50">
        <v>46295.0</v>
      </c>
      <c r="C13882" s="49" t="s">
        <v>780</v>
      </c>
      <c r="D13882" s="49">
        <v>0.0</v>
      </c>
    </row>
    <row r="13883" ht="15.0" hidden="1" customHeight="1">
      <c r="A13883" s="49" t="s">
        <v>491</v>
      </c>
      <c r="B13883" s="50">
        <v>46295.0</v>
      </c>
      <c r="C13883" s="49" t="s">
        <v>780</v>
      </c>
      <c r="D13883" s="49">
        <v>0.0</v>
      </c>
    </row>
    <row r="13884" ht="15.0" hidden="1" customHeight="1">
      <c r="A13884" s="49" t="s">
        <v>496</v>
      </c>
      <c r="B13884" s="50">
        <v>46295.0</v>
      </c>
      <c r="C13884" s="49" t="s">
        <v>780</v>
      </c>
      <c r="D13884" s="49">
        <v>0.0</v>
      </c>
    </row>
    <row r="13885" ht="15.0" hidden="1" customHeight="1">
      <c r="A13885" s="49" t="s">
        <v>501</v>
      </c>
      <c r="B13885" s="50">
        <v>46295.0</v>
      </c>
      <c r="C13885" s="49" t="s">
        <v>780</v>
      </c>
      <c r="D13885" s="49">
        <v>0.0</v>
      </c>
    </row>
    <row r="13886" ht="15.0" hidden="1" customHeight="1">
      <c r="A13886" s="49" t="s">
        <v>506</v>
      </c>
      <c r="B13886" s="50">
        <v>46295.0</v>
      </c>
      <c r="C13886" s="49" t="s">
        <v>780</v>
      </c>
      <c r="D13886" s="49">
        <v>0.0</v>
      </c>
    </row>
    <row r="13887" ht="15.0" hidden="1" customHeight="1">
      <c r="A13887" s="49" t="s">
        <v>512</v>
      </c>
      <c r="B13887" s="50">
        <v>46295.0</v>
      </c>
      <c r="C13887" s="49" t="s">
        <v>780</v>
      </c>
      <c r="D13887" s="49">
        <v>0.0</v>
      </c>
    </row>
    <row r="13888" ht="15.0" hidden="1" customHeight="1">
      <c r="A13888" s="49" t="s">
        <v>517</v>
      </c>
      <c r="B13888" s="50">
        <v>46295.0</v>
      </c>
      <c r="C13888" s="49" t="s">
        <v>780</v>
      </c>
      <c r="D13888" s="49">
        <v>0.0</v>
      </c>
    </row>
    <row r="13889" ht="15.0" hidden="1" customHeight="1">
      <c r="A13889" s="49" t="s">
        <v>522</v>
      </c>
      <c r="B13889" s="50">
        <v>46295.0</v>
      </c>
      <c r="C13889" s="49" t="s">
        <v>780</v>
      </c>
      <c r="D13889" s="49">
        <v>0.0</v>
      </c>
    </row>
    <row r="13890" ht="15.0" hidden="1" customHeight="1">
      <c r="A13890" s="49" t="s">
        <v>528</v>
      </c>
      <c r="B13890" s="50">
        <v>46295.0</v>
      </c>
      <c r="C13890" s="49" t="s">
        <v>780</v>
      </c>
      <c r="D13890" s="49">
        <v>0.0</v>
      </c>
    </row>
    <row r="13891" ht="15.0" hidden="1" customHeight="1">
      <c r="A13891" s="49" t="s">
        <v>533</v>
      </c>
      <c r="B13891" s="50">
        <v>46295.0</v>
      </c>
      <c r="C13891" s="49" t="s">
        <v>780</v>
      </c>
      <c r="D13891" s="49">
        <v>0.0</v>
      </c>
    </row>
    <row r="13892" ht="15.0" hidden="1" customHeight="1">
      <c r="A13892" s="49" t="s">
        <v>538</v>
      </c>
      <c r="B13892" s="50">
        <v>46295.0</v>
      </c>
      <c r="C13892" s="49" t="s">
        <v>780</v>
      </c>
      <c r="D13892" s="49">
        <v>0.0</v>
      </c>
    </row>
    <row r="13893" ht="15.0" hidden="1" customHeight="1">
      <c r="A13893" s="49" t="s">
        <v>546</v>
      </c>
      <c r="B13893" s="50">
        <v>46295.0</v>
      </c>
      <c r="C13893" s="49" t="s">
        <v>780</v>
      </c>
      <c r="D13893" s="49">
        <v>0.0</v>
      </c>
    </row>
    <row r="13894" ht="15.0" hidden="1" customHeight="1">
      <c r="A13894" s="49" t="s">
        <v>551</v>
      </c>
      <c r="B13894" s="50">
        <v>46295.0</v>
      </c>
      <c r="C13894" s="49" t="s">
        <v>780</v>
      </c>
      <c r="D13894" s="49">
        <v>0.0</v>
      </c>
    </row>
    <row r="13895" ht="15.0" hidden="1" customHeight="1">
      <c r="A13895" s="49" t="s">
        <v>556</v>
      </c>
      <c r="B13895" s="50">
        <v>46295.0</v>
      </c>
      <c r="C13895" s="49" t="s">
        <v>780</v>
      </c>
      <c r="D13895" s="49">
        <v>0.0</v>
      </c>
    </row>
    <row r="13896" ht="15.0" hidden="1" customHeight="1">
      <c r="A13896" s="49" t="s">
        <v>561</v>
      </c>
      <c r="B13896" s="50">
        <v>46295.0</v>
      </c>
      <c r="C13896" s="49" t="s">
        <v>780</v>
      </c>
      <c r="D13896" s="49">
        <v>0.0</v>
      </c>
    </row>
    <row r="13897" ht="15.0" hidden="1" customHeight="1">
      <c r="A13897" s="49" t="s">
        <v>566</v>
      </c>
      <c r="B13897" s="50">
        <v>46295.0</v>
      </c>
      <c r="C13897" s="49" t="s">
        <v>780</v>
      </c>
      <c r="D13897" s="49">
        <v>0.0</v>
      </c>
    </row>
    <row r="13898" ht="15.0" hidden="1" customHeight="1">
      <c r="A13898" s="49" t="s">
        <v>571</v>
      </c>
      <c r="B13898" s="50">
        <v>46295.0</v>
      </c>
      <c r="C13898" s="49" t="s">
        <v>780</v>
      </c>
      <c r="D13898" s="49">
        <v>0.0</v>
      </c>
    </row>
    <row r="13899" ht="15.0" hidden="1" customHeight="1">
      <c r="A13899" s="49" t="s">
        <v>576</v>
      </c>
      <c r="B13899" s="50">
        <v>46295.0</v>
      </c>
      <c r="C13899" s="49" t="s">
        <v>780</v>
      </c>
      <c r="D13899" s="49">
        <v>0.0</v>
      </c>
    </row>
    <row r="13900" ht="15.0" hidden="1" customHeight="1">
      <c r="A13900" s="49" t="s">
        <v>581</v>
      </c>
      <c r="B13900" s="50">
        <v>46295.0</v>
      </c>
      <c r="C13900" s="49" t="s">
        <v>780</v>
      </c>
      <c r="D13900" s="49">
        <v>0.0</v>
      </c>
    </row>
    <row r="13901" ht="15.0" hidden="1" customHeight="1">
      <c r="A13901" s="49" t="s">
        <v>586</v>
      </c>
      <c r="B13901" s="50">
        <v>46295.0</v>
      </c>
      <c r="C13901" s="49" t="s">
        <v>780</v>
      </c>
      <c r="D13901" s="49">
        <v>0.0</v>
      </c>
    </row>
    <row r="13902" ht="15.0" hidden="1" customHeight="1">
      <c r="A13902" s="49" t="s">
        <v>754</v>
      </c>
      <c r="B13902" s="50">
        <v>46295.0</v>
      </c>
      <c r="C13902" s="49" t="s">
        <v>780</v>
      </c>
      <c r="D13902" s="49">
        <v>0.0</v>
      </c>
    </row>
    <row r="13903" ht="15.0" hidden="1" customHeight="1">
      <c r="A13903" s="49" t="s">
        <v>591</v>
      </c>
      <c r="B13903" s="50">
        <v>46295.0</v>
      </c>
      <c r="C13903" s="49" t="s">
        <v>780</v>
      </c>
      <c r="D13903" s="49">
        <v>0.0</v>
      </c>
    </row>
    <row r="13904" ht="15.0" hidden="1" customHeight="1">
      <c r="A13904" s="49" t="s">
        <v>759</v>
      </c>
      <c r="B13904" s="50">
        <v>46295.0</v>
      </c>
      <c r="C13904" s="49" t="s">
        <v>780</v>
      </c>
      <c r="D13904" s="49">
        <v>0.0</v>
      </c>
    </row>
    <row r="13905" ht="15.0" hidden="1" customHeight="1">
      <c r="A13905" s="49" t="s">
        <v>596</v>
      </c>
      <c r="B13905" s="50">
        <v>46295.0</v>
      </c>
      <c r="C13905" s="49" t="s">
        <v>780</v>
      </c>
      <c r="D13905" s="49">
        <v>0.0</v>
      </c>
    </row>
    <row r="13906" ht="15.0" hidden="1" customHeight="1">
      <c r="A13906" s="49" t="s">
        <v>602</v>
      </c>
      <c r="B13906" s="50">
        <v>46295.0</v>
      </c>
      <c r="C13906" s="49" t="s">
        <v>780</v>
      </c>
      <c r="D13906" s="49">
        <v>0.0</v>
      </c>
    </row>
    <row r="13907" ht="15.0" hidden="1" customHeight="1">
      <c r="A13907" s="49" t="s">
        <v>607</v>
      </c>
      <c r="B13907" s="50">
        <v>46295.0</v>
      </c>
      <c r="C13907" s="49" t="s">
        <v>780</v>
      </c>
      <c r="D13907" s="49">
        <v>0.0</v>
      </c>
    </row>
    <row r="13908" ht="15.0" hidden="1" customHeight="1">
      <c r="A13908" s="49" t="s">
        <v>612</v>
      </c>
      <c r="B13908" s="50">
        <v>46295.0</v>
      </c>
      <c r="C13908" s="49" t="s">
        <v>780</v>
      </c>
      <c r="D13908" s="49">
        <v>0.0</v>
      </c>
    </row>
    <row r="13909" ht="15.0" hidden="1" customHeight="1">
      <c r="A13909" s="49" t="s">
        <v>617</v>
      </c>
      <c r="B13909" s="50">
        <v>46295.0</v>
      </c>
      <c r="C13909" s="49" t="s">
        <v>780</v>
      </c>
      <c r="D13909" s="49">
        <v>0.0</v>
      </c>
    </row>
    <row r="13910" ht="15.0" hidden="1" customHeight="1">
      <c r="A13910" s="49" t="s">
        <v>622</v>
      </c>
      <c r="B13910" s="50">
        <v>46295.0</v>
      </c>
      <c r="C13910" s="49" t="s">
        <v>780</v>
      </c>
      <c r="D13910" s="49">
        <v>0.0</v>
      </c>
    </row>
    <row r="13911" ht="15.0" hidden="1" customHeight="1">
      <c r="A13911" s="49" t="s">
        <v>627</v>
      </c>
      <c r="B13911" s="50">
        <v>46295.0</v>
      </c>
      <c r="C13911" s="49" t="s">
        <v>780</v>
      </c>
      <c r="D13911" s="49">
        <v>0.0</v>
      </c>
    </row>
    <row r="13912" ht="15.0" hidden="1" customHeight="1">
      <c r="A13912" s="49" t="s">
        <v>631</v>
      </c>
      <c r="B13912" s="50">
        <v>46295.0</v>
      </c>
      <c r="C13912" s="49" t="s">
        <v>780</v>
      </c>
      <c r="D13912" s="49">
        <v>0.0</v>
      </c>
    </row>
    <row r="13913" ht="15.0" hidden="1" customHeight="1">
      <c r="A13913" s="49" t="s">
        <v>636</v>
      </c>
      <c r="B13913" s="50">
        <v>46295.0</v>
      </c>
      <c r="C13913" s="49" t="s">
        <v>780</v>
      </c>
      <c r="D13913" s="49">
        <v>0.0</v>
      </c>
    </row>
    <row r="13914" ht="15.0" hidden="1" customHeight="1">
      <c r="A13914" s="49" t="s">
        <v>640</v>
      </c>
      <c r="B13914" s="50">
        <v>46295.0</v>
      </c>
      <c r="C13914" s="49" t="s">
        <v>780</v>
      </c>
      <c r="D13914" s="49">
        <v>0.0</v>
      </c>
    </row>
    <row r="13915" ht="15.0" hidden="1" customHeight="1">
      <c r="A13915" s="49" t="s">
        <v>644</v>
      </c>
      <c r="B13915" s="50">
        <v>46295.0</v>
      </c>
      <c r="C13915" s="49" t="s">
        <v>780</v>
      </c>
      <c r="D13915" s="49">
        <v>0.0</v>
      </c>
    </row>
    <row r="13916" ht="15.0" hidden="1" customHeight="1">
      <c r="A13916" s="49" t="s">
        <v>649</v>
      </c>
      <c r="B13916" s="50">
        <v>46295.0</v>
      </c>
      <c r="C13916" s="49" t="s">
        <v>780</v>
      </c>
      <c r="D13916" s="49">
        <v>0.0</v>
      </c>
    </row>
    <row r="13917" ht="15.0" hidden="1" customHeight="1">
      <c r="A13917" s="49" t="s">
        <v>654</v>
      </c>
      <c r="B13917" s="50">
        <v>46295.0</v>
      </c>
      <c r="C13917" s="49" t="s">
        <v>780</v>
      </c>
      <c r="D13917" s="49">
        <v>0.0</v>
      </c>
    </row>
    <row r="13918" ht="15.0" hidden="1" customHeight="1">
      <c r="A13918" s="49" t="s">
        <v>659</v>
      </c>
      <c r="B13918" s="50">
        <v>46295.0</v>
      </c>
      <c r="C13918" s="49" t="s">
        <v>780</v>
      </c>
      <c r="D13918" s="49">
        <v>0.0</v>
      </c>
    </row>
    <row r="13919" ht="15.0" hidden="1" customHeight="1">
      <c r="A13919" s="49" t="s">
        <v>664</v>
      </c>
      <c r="B13919" s="50">
        <v>46295.0</v>
      </c>
      <c r="C13919" s="49" t="s">
        <v>780</v>
      </c>
      <c r="D13919" s="49">
        <v>0.0</v>
      </c>
    </row>
    <row r="13920" ht="15.0" hidden="1" customHeight="1">
      <c r="A13920" s="49" t="s">
        <v>669</v>
      </c>
      <c r="B13920" s="50">
        <v>46295.0</v>
      </c>
      <c r="C13920" s="49" t="s">
        <v>780</v>
      </c>
      <c r="D13920" s="49">
        <v>0.0</v>
      </c>
    </row>
    <row r="13921" ht="15.0" hidden="1" customHeight="1">
      <c r="A13921" s="49" t="s">
        <v>674</v>
      </c>
      <c r="B13921" s="50">
        <v>46295.0</v>
      </c>
      <c r="C13921" s="49" t="s">
        <v>780</v>
      </c>
      <c r="D13921" s="49">
        <v>0.0</v>
      </c>
    </row>
    <row r="13922" ht="15.0" hidden="1" customHeight="1">
      <c r="A13922" s="49" t="s">
        <v>679</v>
      </c>
      <c r="B13922" s="50">
        <v>46295.0</v>
      </c>
      <c r="C13922" s="49" t="s">
        <v>780</v>
      </c>
      <c r="D13922" s="49">
        <v>0.0</v>
      </c>
    </row>
    <row r="13923" ht="15.0" hidden="1" customHeight="1">
      <c r="A13923" s="49" t="s">
        <v>684</v>
      </c>
      <c r="B13923" s="50">
        <v>46295.0</v>
      </c>
      <c r="C13923" s="49" t="s">
        <v>780</v>
      </c>
      <c r="D13923" s="49">
        <v>0.0</v>
      </c>
    </row>
    <row r="13924" ht="15.0" hidden="1" customHeight="1">
      <c r="A13924" s="49" t="s">
        <v>689</v>
      </c>
      <c r="B13924" s="50">
        <v>46295.0</v>
      </c>
      <c r="C13924" s="49" t="s">
        <v>780</v>
      </c>
      <c r="D13924" s="49">
        <v>0.0</v>
      </c>
    </row>
    <row r="13925" ht="15.0" hidden="1" customHeight="1">
      <c r="A13925" s="49" t="s">
        <v>694</v>
      </c>
      <c r="B13925" s="50">
        <v>46295.0</v>
      </c>
      <c r="C13925" s="49" t="s">
        <v>780</v>
      </c>
      <c r="D13925" s="49">
        <v>0.0</v>
      </c>
    </row>
    <row r="13926" ht="15.0" hidden="1" customHeight="1">
      <c r="A13926" s="49" t="s">
        <v>699</v>
      </c>
      <c r="B13926" s="50">
        <v>46295.0</v>
      </c>
      <c r="C13926" s="49" t="s">
        <v>780</v>
      </c>
      <c r="D13926" s="49">
        <v>0.0</v>
      </c>
    </row>
    <row r="13927" ht="15.0" hidden="1" customHeight="1">
      <c r="A13927" s="49" t="s">
        <v>705</v>
      </c>
      <c r="B13927" s="50">
        <v>46295.0</v>
      </c>
      <c r="C13927" s="49" t="s">
        <v>780</v>
      </c>
      <c r="D13927" s="49">
        <v>0.0</v>
      </c>
    </row>
    <row r="13928" ht="15.0" hidden="1" customHeight="1">
      <c r="A13928" s="49" t="s">
        <v>710</v>
      </c>
      <c r="B13928" s="50">
        <v>46295.0</v>
      </c>
      <c r="C13928" s="49" t="s">
        <v>780</v>
      </c>
      <c r="D13928" s="49">
        <v>0.0</v>
      </c>
    </row>
    <row r="13929" ht="15.0" hidden="1" customHeight="1">
      <c r="A13929" s="49" t="s">
        <v>715</v>
      </c>
      <c r="B13929" s="50">
        <v>46295.0</v>
      </c>
      <c r="C13929" s="49" t="s">
        <v>780</v>
      </c>
      <c r="D13929" s="49">
        <v>0.0</v>
      </c>
    </row>
    <row r="13930" ht="15.0" hidden="1" customHeight="1">
      <c r="A13930" s="49" t="s">
        <v>765</v>
      </c>
      <c r="B13930" s="50">
        <v>46295.0</v>
      </c>
      <c r="C13930" s="49" t="s">
        <v>780</v>
      </c>
      <c r="D13930" s="49">
        <v>0.0</v>
      </c>
    </row>
    <row r="13931" ht="15.0" hidden="1" customHeight="1">
      <c r="A13931" s="49" t="s">
        <v>720</v>
      </c>
      <c r="B13931" s="50">
        <v>46295.0</v>
      </c>
      <c r="C13931" s="49" t="s">
        <v>780</v>
      </c>
      <c r="D13931" s="49">
        <v>0.0</v>
      </c>
    </row>
    <row r="13932" ht="15.0" hidden="1" customHeight="1">
      <c r="A13932" s="49" t="s">
        <v>725</v>
      </c>
      <c r="B13932" s="50">
        <v>46295.0</v>
      </c>
      <c r="C13932" s="49" t="s">
        <v>780</v>
      </c>
      <c r="D13932" s="49">
        <v>0.0</v>
      </c>
    </row>
    <row r="13933" ht="15.0" hidden="1" customHeight="1">
      <c r="A13933" s="49" t="s">
        <v>730</v>
      </c>
      <c r="B13933" s="50">
        <v>46295.0</v>
      </c>
      <c r="C13933" s="49" t="s">
        <v>780</v>
      </c>
      <c r="D13933" s="49">
        <v>0.0</v>
      </c>
    </row>
    <row r="13934" ht="15.0" hidden="1" customHeight="1">
      <c r="A13934" s="49" t="s">
        <v>734</v>
      </c>
      <c r="B13934" s="50">
        <v>46295.0</v>
      </c>
      <c r="C13934" s="49" t="s">
        <v>780</v>
      </c>
      <c r="D13934" s="49">
        <v>0.0</v>
      </c>
    </row>
    <row r="13935" ht="15.0" hidden="1" customHeight="1">
      <c r="A13935" s="49" t="s">
        <v>739</v>
      </c>
      <c r="B13935" s="50">
        <v>46295.0</v>
      </c>
      <c r="C13935" s="49" t="s">
        <v>780</v>
      </c>
      <c r="D13935" s="49">
        <v>0.0</v>
      </c>
    </row>
    <row r="13936" ht="15.0" hidden="1" customHeight="1">
      <c r="A13936" s="49" t="s">
        <v>744</v>
      </c>
      <c r="B13936" s="50">
        <v>46295.0</v>
      </c>
      <c r="C13936" s="49" t="s">
        <v>780</v>
      </c>
      <c r="D13936" s="49">
        <v>0.0</v>
      </c>
    </row>
    <row r="13937" ht="15.0" hidden="1" customHeight="1">
      <c r="A13937" s="49" t="s">
        <v>749</v>
      </c>
      <c r="B13937" s="50">
        <v>46295.0</v>
      </c>
      <c r="C13937" s="49" t="s">
        <v>780</v>
      </c>
      <c r="D13937" s="49">
        <v>0.0</v>
      </c>
    </row>
    <row r="13938" ht="15.75" customHeight="1">
      <c r="A13938" s="51" t="s">
        <v>776</v>
      </c>
      <c r="B13938" s="52">
        <v>46387.0</v>
      </c>
      <c r="C13938" s="51" t="s">
        <v>777</v>
      </c>
      <c r="D13938" s="51">
        <v>0.0</v>
      </c>
    </row>
    <row r="13939" ht="15.75" hidden="1" customHeight="1">
      <c r="A13939" s="51" t="s">
        <v>778</v>
      </c>
      <c r="B13939" s="52">
        <v>46387.0</v>
      </c>
      <c r="C13939" s="51" t="s">
        <v>777</v>
      </c>
      <c r="D13939" s="51">
        <v>0.0</v>
      </c>
    </row>
    <row r="13940" ht="15.75" hidden="1" customHeight="1">
      <c r="A13940" s="51" t="s">
        <v>92</v>
      </c>
      <c r="B13940" s="52">
        <v>46387.0</v>
      </c>
      <c r="C13940" s="51" t="s">
        <v>777</v>
      </c>
      <c r="D13940" s="51">
        <v>0.0</v>
      </c>
    </row>
    <row r="13941" ht="15.75" hidden="1" customHeight="1">
      <c r="A13941" s="51" t="s">
        <v>97</v>
      </c>
      <c r="B13941" s="52">
        <v>46387.0</v>
      </c>
      <c r="C13941" s="51" t="s">
        <v>777</v>
      </c>
      <c r="D13941" s="51">
        <v>0.0</v>
      </c>
    </row>
    <row r="13942" ht="15.75" hidden="1" customHeight="1">
      <c r="A13942" s="51" t="s">
        <v>102</v>
      </c>
      <c r="B13942" s="52">
        <v>46387.0</v>
      </c>
      <c r="C13942" s="51" t="s">
        <v>777</v>
      </c>
      <c r="D13942" s="51">
        <v>0.0</v>
      </c>
    </row>
    <row r="13943" ht="15.75" hidden="1" customHeight="1">
      <c r="A13943" s="51" t="s">
        <v>106</v>
      </c>
      <c r="B13943" s="52">
        <v>46387.0</v>
      </c>
      <c r="C13943" s="51" t="s">
        <v>777</v>
      </c>
      <c r="D13943" s="51">
        <v>0.0</v>
      </c>
    </row>
    <row r="13944" ht="15.75" hidden="1" customHeight="1">
      <c r="A13944" s="51" t="s">
        <v>111</v>
      </c>
      <c r="B13944" s="52">
        <v>46387.0</v>
      </c>
      <c r="C13944" s="51" t="s">
        <v>777</v>
      </c>
      <c r="D13944" s="51">
        <v>0.0</v>
      </c>
    </row>
    <row r="13945" ht="15.75" hidden="1" customHeight="1">
      <c r="A13945" s="51" t="s">
        <v>116</v>
      </c>
      <c r="B13945" s="52">
        <v>46387.0</v>
      </c>
      <c r="C13945" s="51" t="s">
        <v>777</v>
      </c>
      <c r="D13945" s="51">
        <v>0.0</v>
      </c>
    </row>
    <row r="13946" ht="15.75" hidden="1" customHeight="1">
      <c r="A13946" s="51" t="s">
        <v>120</v>
      </c>
      <c r="B13946" s="52">
        <v>46387.0</v>
      </c>
      <c r="C13946" s="51" t="s">
        <v>777</v>
      </c>
      <c r="D13946" s="51">
        <v>0.0</v>
      </c>
    </row>
    <row r="13947" ht="15.75" hidden="1" customHeight="1">
      <c r="A13947" s="51" t="s">
        <v>125</v>
      </c>
      <c r="B13947" s="52">
        <v>46387.0</v>
      </c>
      <c r="C13947" s="51" t="s">
        <v>777</v>
      </c>
      <c r="D13947" s="51">
        <v>0.0</v>
      </c>
    </row>
    <row r="13948" ht="15.75" hidden="1" customHeight="1">
      <c r="A13948" s="51" t="s">
        <v>130</v>
      </c>
      <c r="B13948" s="52">
        <v>46387.0</v>
      </c>
      <c r="C13948" s="51" t="s">
        <v>777</v>
      </c>
      <c r="D13948" s="51">
        <v>0.0</v>
      </c>
    </row>
    <row r="13949" ht="15.75" hidden="1" customHeight="1">
      <c r="A13949" s="51" t="s">
        <v>137</v>
      </c>
      <c r="B13949" s="52">
        <v>46387.0</v>
      </c>
      <c r="C13949" s="51" t="s">
        <v>777</v>
      </c>
      <c r="D13949" s="51">
        <v>0.0</v>
      </c>
    </row>
    <row r="13950" ht="15.75" hidden="1" customHeight="1">
      <c r="A13950" s="51" t="s">
        <v>142</v>
      </c>
      <c r="B13950" s="52">
        <v>46387.0</v>
      </c>
      <c r="C13950" s="51" t="s">
        <v>777</v>
      </c>
      <c r="D13950" s="51">
        <v>0.0</v>
      </c>
    </row>
    <row r="13951" ht="15.75" hidden="1" customHeight="1">
      <c r="A13951" s="51" t="s">
        <v>147</v>
      </c>
      <c r="B13951" s="52">
        <v>46387.0</v>
      </c>
      <c r="C13951" s="51" t="s">
        <v>777</v>
      </c>
      <c r="D13951" s="51">
        <v>0.0</v>
      </c>
    </row>
    <row r="13952" ht="15.75" hidden="1" customHeight="1">
      <c r="A13952" s="51" t="s">
        <v>152</v>
      </c>
      <c r="B13952" s="52">
        <v>46387.0</v>
      </c>
      <c r="C13952" s="51" t="s">
        <v>777</v>
      </c>
      <c r="D13952" s="51">
        <v>0.0</v>
      </c>
    </row>
    <row r="13953" ht="15.75" hidden="1" customHeight="1">
      <c r="A13953" s="51" t="s">
        <v>157</v>
      </c>
      <c r="B13953" s="52">
        <v>46387.0</v>
      </c>
      <c r="C13953" s="51" t="s">
        <v>777</v>
      </c>
      <c r="D13953" s="51">
        <v>0.0</v>
      </c>
    </row>
    <row r="13954" ht="15.75" hidden="1" customHeight="1">
      <c r="A13954" s="51" t="s">
        <v>162</v>
      </c>
      <c r="B13954" s="52">
        <v>46387.0</v>
      </c>
      <c r="C13954" s="51" t="s">
        <v>777</v>
      </c>
      <c r="D13954" s="51">
        <v>0.0</v>
      </c>
    </row>
    <row r="13955" ht="15.75" hidden="1" customHeight="1">
      <c r="A13955" s="51" t="s">
        <v>167</v>
      </c>
      <c r="B13955" s="52">
        <v>46387.0</v>
      </c>
      <c r="C13955" s="51" t="s">
        <v>777</v>
      </c>
      <c r="D13955" s="51">
        <v>0.0</v>
      </c>
    </row>
    <row r="13956" ht="15.75" hidden="1" customHeight="1">
      <c r="A13956" s="51" t="s">
        <v>172</v>
      </c>
      <c r="B13956" s="52">
        <v>46387.0</v>
      </c>
      <c r="C13956" s="51" t="s">
        <v>777</v>
      </c>
      <c r="D13956" s="51">
        <v>0.0</v>
      </c>
    </row>
    <row r="13957" ht="15.75" hidden="1" customHeight="1">
      <c r="A13957" s="51" t="s">
        <v>177</v>
      </c>
      <c r="B13957" s="52">
        <v>46387.0</v>
      </c>
      <c r="C13957" s="51" t="s">
        <v>777</v>
      </c>
      <c r="D13957" s="51">
        <v>0.0</v>
      </c>
    </row>
    <row r="13958" ht="15.75" hidden="1" customHeight="1">
      <c r="A13958" s="51" t="s">
        <v>182</v>
      </c>
      <c r="B13958" s="52">
        <v>46387.0</v>
      </c>
      <c r="C13958" s="51" t="s">
        <v>777</v>
      </c>
      <c r="D13958" s="51">
        <v>0.0</v>
      </c>
    </row>
    <row r="13959" ht="15.75" hidden="1" customHeight="1">
      <c r="A13959" s="51" t="s">
        <v>187</v>
      </c>
      <c r="B13959" s="52">
        <v>46387.0</v>
      </c>
      <c r="C13959" s="51" t="s">
        <v>777</v>
      </c>
      <c r="D13959" s="51">
        <v>0.0</v>
      </c>
    </row>
    <row r="13960" ht="15.75" hidden="1" customHeight="1">
      <c r="A13960" s="51" t="s">
        <v>192</v>
      </c>
      <c r="B13960" s="52">
        <v>46387.0</v>
      </c>
      <c r="C13960" s="51" t="s">
        <v>777</v>
      </c>
      <c r="D13960" s="51">
        <v>0.0</v>
      </c>
    </row>
    <row r="13961" ht="15.75" hidden="1" customHeight="1">
      <c r="A13961" s="51" t="s">
        <v>197</v>
      </c>
      <c r="B13961" s="52">
        <v>46387.0</v>
      </c>
      <c r="C13961" s="51" t="s">
        <v>777</v>
      </c>
      <c r="D13961" s="51">
        <v>0.0</v>
      </c>
    </row>
    <row r="13962" ht="15.75" hidden="1" customHeight="1">
      <c r="A13962" s="51" t="s">
        <v>202</v>
      </c>
      <c r="B13962" s="52">
        <v>46387.0</v>
      </c>
      <c r="C13962" s="51" t="s">
        <v>777</v>
      </c>
      <c r="D13962" s="51">
        <v>0.0</v>
      </c>
    </row>
    <row r="13963" ht="15.75" hidden="1" customHeight="1">
      <c r="A13963" s="51" t="s">
        <v>206</v>
      </c>
      <c r="B13963" s="52">
        <v>46387.0</v>
      </c>
      <c r="C13963" s="51" t="s">
        <v>777</v>
      </c>
      <c r="D13963" s="51">
        <v>0.0</v>
      </c>
    </row>
    <row r="13964" ht="15.75" hidden="1" customHeight="1">
      <c r="A13964" s="51" t="s">
        <v>211</v>
      </c>
      <c r="B13964" s="52">
        <v>46387.0</v>
      </c>
      <c r="C13964" s="51" t="s">
        <v>777</v>
      </c>
      <c r="D13964" s="51">
        <v>0.0</v>
      </c>
    </row>
    <row r="13965" ht="15.75" hidden="1" customHeight="1">
      <c r="A13965" s="51" t="s">
        <v>779</v>
      </c>
      <c r="B13965" s="52">
        <v>46387.0</v>
      </c>
      <c r="C13965" s="51" t="s">
        <v>777</v>
      </c>
      <c r="D13965" s="51">
        <v>0.0</v>
      </c>
    </row>
    <row r="13966" ht="15.75" hidden="1" customHeight="1">
      <c r="A13966" s="51" t="s">
        <v>221</v>
      </c>
      <c r="B13966" s="52">
        <v>46387.0</v>
      </c>
      <c r="C13966" s="51" t="s">
        <v>777</v>
      </c>
      <c r="D13966" s="51">
        <v>0.0</v>
      </c>
    </row>
    <row r="13967" ht="15.75" hidden="1" customHeight="1">
      <c r="A13967" s="51" t="s">
        <v>226</v>
      </c>
      <c r="B13967" s="52">
        <v>46387.0</v>
      </c>
      <c r="C13967" s="51" t="s">
        <v>777</v>
      </c>
      <c r="D13967" s="51">
        <v>0.0</v>
      </c>
    </row>
    <row r="13968" ht="15.75" hidden="1" customHeight="1">
      <c r="A13968" s="51" t="s">
        <v>231</v>
      </c>
      <c r="B13968" s="52">
        <v>46387.0</v>
      </c>
      <c r="C13968" s="51" t="s">
        <v>777</v>
      </c>
      <c r="D13968" s="51">
        <v>0.0</v>
      </c>
    </row>
    <row r="13969" ht="15.75" hidden="1" customHeight="1">
      <c r="A13969" s="51" t="s">
        <v>236</v>
      </c>
      <c r="B13969" s="52">
        <v>46387.0</v>
      </c>
      <c r="C13969" s="51" t="s">
        <v>777</v>
      </c>
      <c r="D13969" s="51">
        <v>0.0</v>
      </c>
    </row>
    <row r="13970" ht="15.75" hidden="1" customHeight="1">
      <c r="A13970" s="51" t="s">
        <v>242</v>
      </c>
      <c r="B13970" s="52">
        <v>46387.0</v>
      </c>
      <c r="C13970" s="51" t="s">
        <v>777</v>
      </c>
      <c r="D13970" s="51">
        <v>0.0</v>
      </c>
    </row>
    <row r="13971" ht="15.75" hidden="1" customHeight="1">
      <c r="A13971" s="51" t="s">
        <v>248</v>
      </c>
      <c r="B13971" s="52">
        <v>46387.0</v>
      </c>
      <c r="C13971" s="51" t="s">
        <v>777</v>
      </c>
      <c r="D13971" s="51">
        <v>0.0</v>
      </c>
    </row>
    <row r="13972" ht="15.75" hidden="1" customHeight="1">
      <c r="A13972" s="51" t="s">
        <v>253</v>
      </c>
      <c r="B13972" s="52">
        <v>46387.0</v>
      </c>
      <c r="C13972" s="51" t="s">
        <v>777</v>
      </c>
      <c r="D13972" s="51">
        <v>0.0</v>
      </c>
    </row>
    <row r="13973" ht="15.75" hidden="1" customHeight="1">
      <c r="A13973" s="51" t="s">
        <v>258</v>
      </c>
      <c r="B13973" s="52">
        <v>46387.0</v>
      </c>
      <c r="C13973" s="51" t="s">
        <v>777</v>
      </c>
      <c r="D13973" s="51">
        <v>0.0</v>
      </c>
    </row>
    <row r="13974" ht="15.75" hidden="1" customHeight="1">
      <c r="A13974" s="51" t="s">
        <v>263</v>
      </c>
      <c r="B13974" s="52">
        <v>46387.0</v>
      </c>
      <c r="C13974" s="51" t="s">
        <v>777</v>
      </c>
      <c r="D13974" s="51">
        <v>0.0</v>
      </c>
    </row>
    <row r="13975" ht="15.75" hidden="1" customHeight="1">
      <c r="A13975" s="51" t="s">
        <v>268</v>
      </c>
      <c r="B13975" s="52">
        <v>46387.0</v>
      </c>
      <c r="C13975" s="51" t="s">
        <v>777</v>
      </c>
      <c r="D13975" s="51">
        <v>0.0</v>
      </c>
    </row>
    <row r="13976" ht="15.75" hidden="1" customHeight="1">
      <c r="A13976" s="51" t="s">
        <v>273</v>
      </c>
      <c r="B13976" s="52">
        <v>46387.0</v>
      </c>
      <c r="C13976" s="51" t="s">
        <v>777</v>
      </c>
      <c r="D13976" s="51">
        <v>0.0</v>
      </c>
    </row>
    <row r="13977" ht="15.75" hidden="1" customHeight="1">
      <c r="A13977" s="51" t="s">
        <v>278</v>
      </c>
      <c r="B13977" s="52">
        <v>46387.0</v>
      </c>
      <c r="C13977" s="51" t="s">
        <v>777</v>
      </c>
      <c r="D13977" s="51">
        <v>0.0</v>
      </c>
    </row>
    <row r="13978" ht="15.75" hidden="1" customHeight="1">
      <c r="A13978" s="51" t="s">
        <v>283</v>
      </c>
      <c r="B13978" s="52">
        <v>46387.0</v>
      </c>
      <c r="C13978" s="51" t="s">
        <v>777</v>
      </c>
      <c r="D13978" s="51">
        <v>0.0</v>
      </c>
    </row>
    <row r="13979" ht="15.75" hidden="1" customHeight="1">
      <c r="A13979" s="51" t="s">
        <v>288</v>
      </c>
      <c r="B13979" s="52">
        <v>46387.0</v>
      </c>
      <c r="C13979" s="51" t="s">
        <v>777</v>
      </c>
      <c r="D13979" s="51">
        <v>0.0</v>
      </c>
    </row>
    <row r="13980" ht="15.75" hidden="1" customHeight="1">
      <c r="A13980" s="51" t="s">
        <v>293</v>
      </c>
      <c r="B13980" s="52">
        <v>46387.0</v>
      </c>
      <c r="C13980" s="51" t="s">
        <v>777</v>
      </c>
      <c r="D13980" s="51">
        <v>0.0</v>
      </c>
    </row>
    <row r="13981" ht="15.75" hidden="1" customHeight="1">
      <c r="A13981" s="51" t="s">
        <v>298</v>
      </c>
      <c r="B13981" s="52">
        <v>46387.0</v>
      </c>
      <c r="C13981" s="51" t="s">
        <v>777</v>
      </c>
      <c r="D13981" s="51">
        <v>0.0</v>
      </c>
    </row>
    <row r="13982" ht="15.75" hidden="1" customHeight="1">
      <c r="A13982" s="51" t="s">
        <v>303</v>
      </c>
      <c r="B13982" s="52">
        <v>46387.0</v>
      </c>
      <c r="C13982" s="51" t="s">
        <v>777</v>
      </c>
      <c r="D13982" s="51">
        <v>0.0</v>
      </c>
    </row>
    <row r="13983" ht="15.75" hidden="1" customHeight="1">
      <c r="A13983" s="51" t="s">
        <v>307</v>
      </c>
      <c r="B13983" s="52">
        <v>46387.0</v>
      </c>
      <c r="C13983" s="51" t="s">
        <v>777</v>
      </c>
      <c r="D13983" s="51">
        <v>0.0</v>
      </c>
    </row>
    <row r="13984" ht="15.75" hidden="1" customHeight="1">
      <c r="A13984" s="51" t="s">
        <v>313</v>
      </c>
      <c r="B13984" s="52">
        <v>46387.0</v>
      </c>
      <c r="C13984" s="51" t="s">
        <v>777</v>
      </c>
      <c r="D13984" s="51">
        <v>0.0</v>
      </c>
    </row>
    <row r="13985" ht="15.75" hidden="1" customHeight="1">
      <c r="A13985" s="51" t="s">
        <v>318</v>
      </c>
      <c r="B13985" s="52">
        <v>46387.0</v>
      </c>
      <c r="C13985" s="51" t="s">
        <v>777</v>
      </c>
      <c r="D13985" s="51">
        <v>0.0</v>
      </c>
    </row>
    <row r="13986" ht="15.75" hidden="1" customHeight="1">
      <c r="A13986" s="51" t="s">
        <v>323</v>
      </c>
      <c r="B13986" s="52">
        <v>46387.0</v>
      </c>
      <c r="C13986" s="51" t="s">
        <v>777</v>
      </c>
      <c r="D13986" s="51">
        <v>0.0</v>
      </c>
    </row>
    <row r="13987" ht="15.75" hidden="1" customHeight="1">
      <c r="A13987" s="51" t="s">
        <v>328</v>
      </c>
      <c r="B13987" s="52">
        <v>46387.0</v>
      </c>
      <c r="C13987" s="51" t="s">
        <v>777</v>
      </c>
      <c r="D13987" s="51">
        <v>0.0</v>
      </c>
    </row>
    <row r="13988" ht="15.75" hidden="1" customHeight="1">
      <c r="A13988" s="51" t="s">
        <v>335</v>
      </c>
      <c r="B13988" s="52">
        <v>46387.0</v>
      </c>
      <c r="C13988" s="51" t="s">
        <v>777</v>
      </c>
      <c r="D13988" s="51">
        <v>0.0</v>
      </c>
    </row>
    <row r="13989" ht="15.75" hidden="1" customHeight="1">
      <c r="A13989" s="51" t="s">
        <v>340</v>
      </c>
      <c r="B13989" s="52">
        <v>46387.0</v>
      </c>
      <c r="C13989" s="51" t="s">
        <v>777</v>
      </c>
      <c r="D13989" s="51">
        <v>0.0</v>
      </c>
    </row>
    <row r="13990" ht="15.75" hidden="1" customHeight="1">
      <c r="A13990" s="51" t="s">
        <v>345</v>
      </c>
      <c r="B13990" s="52">
        <v>46387.0</v>
      </c>
      <c r="C13990" s="51" t="s">
        <v>777</v>
      </c>
      <c r="D13990" s="51">
        <v>0.0</v>
      </c>
    </row>
    <row r="13991" ht="15.75" hidden="1" customHeight="1">
      <c r="A13991" s="51" t="s">
        <v>350</v>
      </c>
      <c r="B13991" s="52">
        <v>46387.0</v>
      </c>
      <c r="C13991" s="51" t="s">
        <v>777</v>
      </c>
      <c r="D13991" s="51">
        <v>0.0</v>
      </c>
    </row>
    <row r="13992" ht="15.75" hidden="1" customHeight="1">
      <c r="A13992" s="51" t="s">
        <v>355</v>
      </c>
      <c r="B13992" s="52">
        <v>46387.0</v>
      </c>
      <c r="C13992" s="51" t="s">
        <v>777</v>
      </c>
      <c r="D13992" s="51">
        <v>0.0</v>
      </c>
    </row>
    <row r="13993" ht="15.75" hidden="1" customHeight="1">
      <c r="A13993" s="51" t="s">
        <v>360</v>
      </c>
      <c r="B13993" s="52">
        <v>46387.0</v>
      </c>
      <c r="C13993" s="51" t="s">
        <v>777</v>
      </c>
      <c r="D13993" s="51">
        <v>0.0</v>
      </c>
    </row>
    <row r="13994" ht="15.75" hidden="1" customHeight="1">
      <c r="A13994" s="51" t="s">
        <v>365</v>
      </c>
      <c r="B13994" s="52">
        <v>46387.0</v>
      </c>
      <c r="C13994" s="51" t="s">
        <v>777</v>
      </c>
      <c r="D13994" s="51">
        <v>0.0</v>
      </c>
    </row>
    <row r="13995" ht="15.75" hidden="1" customHeight="1">
      <c r="A13995" s="51" t="s">
        <v>370</v>
      </c>
      <c r="B13995" s="52">
        <v>46387.0</v>
      </c>
      <c r="C13995" s="51" t="s">
        <v>777</v>
      </c>
      <c r="D13995" s="51">
        <v>0.0</v>
      </c>
    </row>
    <row r="13996" ht="15.75" hidden="1" customHeight="1">
      <c r="A13996" s="51" t="s">
        <v>375</v>
      </c>
      <c r="B13996" s="52">
        <v>46387.0</v>
      </c>
      <c r="C13996" s="51" t="s">
        <v>777</v>
      </c>
      <c r="D13996" s="51">
        <v>0.0</v>
      </c>
    </row>
    <row r="13997" ht="15.75" hidden="1" customHeight="1">
      <c r="A13997" s="51" t="s">
        <v>380</v>
      </c>
      <c r="B13997" s="52">
        <v>46387.0</v>
      </c>
      <c r="C13997" s="51" t="s">
        <v>777</v>
      </c>
      <c r="D13997" s="51">
        <v>0.0</v>
      </c>
    </row>
    <row r="13998" ht="15.75" hidden="1" customHeight="1">
      <c r="A13998" s="51" t="s">
        <v>385</v>
      </c>
      <c r="B13998" s="52">
        <v>46387.0</v>
      </c>
      <c r="C13998" s="51" t="s">
        <v>777</v>
      </c>
      <c r="D13998" s="51">
        <v>0.0</v>
      </c>
    </row>
    <row r="13999" ht="15.75" hidden="1" customHeight="1">
      <c r="A13999" s="51" t="s">
        <v>390</v>
      </c>
      <c r="B13999" s="52">
        <v>46387.0</v>
      </c>
      <c r="C13999" s="51" t="s">
        <v>777</v>
      </c>
      <c r="D13999" s="51">
        <v>1664288.27</v>
      </c>
    </row>
    <row r="14000" ht="15.75" hidden="1" customHeight="1">
      <c r="A14000" s="51" t="s">
        <v>395</v>
      </c>
      <c r="B14000" s="52">
        <v>46387.0</v>
      </c>
      <c r="C14000" s="51" t="s">
        <v>777</v>
      </c>
      <c r="D14000" s="51">
        <v>0.0</v>
      </c>
    </row>
    <row r="14001" ht="15.75" hidden="1" customHeight="1">
      <c r="A14001" s="51" t="s">
        <v>400</v>
      </c>
      <c r="B14001" s="52">
        <v>46387.0</v>
      </c>
      <c r="C14001" s="51" t="s">
        <v>777</v>
      </c>
      <c r="D14001" s="51">
        <v>0.0</v>
      </c>
    </row>
    <row r="14002" ht="15.75" hidden="1" customHeight="1">
      <c r="A14002" s="51" t="s">
        <v>405</v>
      </c>
      <c r="B14002" s="52">
        <v>46387.0</v>
      </c>
      <c r="C14002" s="51" t="s">
        <v>777</v>
      </c>
      <c r="D14002" s="51">
        <v>0.0</v>
      </c>
    </row>
    <row r="14003" ht="15.75" hidden="1" customHeight="1">
      <c r="A14003" s="51" t="s">
        <v>410</v>
      </c>
      <c r="B14003" s="52">
        <v>46387.0</v>
      </c>
      <c r="C14003" s="51" t="s">
        <v>777</v>
      </c>
      <c r="D14003" s="51">
        <v>0.0</v>
      </c>
    </row>
    <row r="14004" ht="15.75" hidden="1" customHeight="1">
      <c r="A14004" s="51" t="s">
        <v>415</v>
      </c>
      <c r="B14004" s="52">
        <v>46387.0</v>
      </c>
      <c r="C14004" s="51" t="s">
        <v>777</v>
      </c>
      <c r="D14004" s="51">
        <v>0.0</v>
      </c>
    </row>
    <row r="14005" ht="15.75" hidden="1" customHeight="1">
      <c r="A14005" s="51" t="s">
        <v>420</v>
      </c>
      <c r="B14005" s="52">
        <v>46387.0</v>
      </c>
      <c r="C14005" s="51" t="s">
        <v>777</v>
      </c>
      <c r="D14005" s="51">
        <v>0.0</v>
      </c>
    </row>
    <row r="14006" ht="15.75" hidden="1" customHeight="1">
      <c r="A14006" s="51" t="s">
        <v>425</v>
      </c>
      <c r="B14006" s="52">
        <v>46387.0</v>
      </c>
      <c r="C14006" s="51" t="s">
        <v>777</v>
      </c>
      <c r="D14006" s="51">
        <v>0.0</v>
      </c>
    </row>
    <row r="14007" ht="15.75" hidden="1" customHeight="1">
      <c r="A14007" s="51" t="s">
        <v>430</v>
      </c>
      <c r="B14007" s="52">
        <v>46387.0</v>
      </c>
      <c r="C14007" s="51" t="s">
        <v>777</v>
      </c>
      <c r="D14007" s="51">
        <v>0.0</v>
      </c>
    </row>
    <row r="14008" ht="15.75" hidden="1" customHeight="1">
      <c r="A14008" s="51" t="s">
        <v>434</v>
      </c>
      <c r="B14008" s="52">
        <v>46387.0</v>
      </c>
      <c r="C14008" s="51" t="s">
        <v>777</v>
      </c>
      <c r="D14008" s="51">
        <v>0.0</v>
      </c>
    </row>
    <row r="14009" ht="15.75" hidden="1" customHeight="1">
      <c r="A14009" s="51" t="s">
        <v>439</v>
      </c>
      <c r="B14009" s="52">
        <v>46387.0</v>
      </c>
      <c r="C14009" s="51" t="s">
        <v>777</v>
      </c>
      <c r="D14009" s="51">
        <v>0.0</v>
      </c>
    </row>
    <row r="14010" ht="15.75" hidden="1" customHeight="1">
      <c r="A14010" s="51" t="s">
        <v>444</v>
      </c>
      <c r="B14010" s="52">
        <v>46387.0</v>
      </c>
      <c r="C14010" s="51" t="s">
        <v>777</v>
      </c>
      <c r="D14010" s="51">
        <v>0.0</v>
      </c>
    </row>
    <row r="14011" ht="15.75" hidden="1" customHeight="1">
      <c r="A14011" s="51" t="s">
        <v>449</v>
      </c>
      <c r="B14011" s="52">
        <v>46387.0</v>
      </c>
      <c r="C14011" s="51" t="s">
        <v>777</v>
      </c>
      <c r="D14011" s="51">
        <v>0.0</v>
      </c>
    </row>
    <row r="14012" ht="15.75" hidden="1" customHeight="1">
      <c r="A14012" s="51" t="s">
        <v>455</v>
      </c>
      <c r="B14012" s="52">
        <v>46387.0</v>
      </c>
      <c r="C14012" s="51" t="s">
        <v>777</v>
      </c>
      <c r="D14012" s="51">
        <v>0.0</v>
      </c>
    </row>
    <row r="14013" ht="15.75" hidden="1" customHeight="1">
      <c r="A14013" s="51" t="s">
        <v>470</v>
      </c>
      <c r="B14013" s="52">
        <v>46387.0</v>
      </c>
      <c r="C14013" s="51" t="s">
        <v>777</v>
      </c>
      <c r="D14013" s="51">
        <v>0.0</v>
      </c>
    </row>
    <row r="14014" ht="15.75" hidden="1" customHeight="1">
      <c r="A14014" s="51" t="s">
        <v>476</v>
      </c>
      <c r="B14014" s="52">
        <v>46387.0</v>
      </c>
      <c r="C14014" s="51" t="s">
        <v>777</v>
      </c>
      <c r="D14014" s="51">
        <v>0.0</v>
      </c>
    </row>
    <row r="14015" ht="15.75" hidden="1" customHeight="1">
      <c r="A14015" s="51" t="s">
        <v>481</v>
      </c>
      <c r="B14015" s="52">
        <v>46387.0</v>
      </c>
      <c r="C14015" s="51" t="s">
        <v>777</v>
      </c>
      <c r="D14015" s="51">
        <v>0.0</v>
      </c>
    </row>
    <row r="14016" ht="15.75" hidden="1" customHeight="1">
      <c r="A14016" s="51" t="s">
        <v>486</v>
      </c>
      <c r="B14016" s="52">
        <v>46387.0</v>
      </c>
      <c r="C14016" s="51" t="s">
        <v>777</v>
      </c>
      <c r="D14016" s="51">
        <v>0.0</v>
      </c>
    </row>
    <row r="14017" ht="15.75" hidden="1" customHeight="1">
      <c r="A14017" s="51" t="s">
        <v>491</v>
      </c>
      <c r="B14017" s="52">
        <v>46387.0</v>
      </c>
      <c r="C14017" s="51" t="s">
        <v>777</v>
      </c>
      <c r="D14017" s="51">
        <v>0.0</v>
      </c>
    </row>
    <row r="14018" ht="15.75" hidden="1" customHeight="1">
      <c r="A14018" s="51" t="s">
        <v>496</v>
      </c>
      <c r="B14018" s="52">
        <v>46387.0</v>
      </c>
      <c r="C14018" s="51" t="s">
        <v>777</v>
      </c>
      <c r="D14018" s="51">
        <v>0.0</v>
      </c>
    </row>
    <row r="14019" ht="15.75" hidden="1" customHeight="1">
      <c r="A14019" s="51" t="s">
        <v>501</v>
      </c>
      <c r="B14019" s="52">
        <v>46387.0</v>
      </c>
      <c r="C14019" s="51" t="s">
        <v>777</v>
      </c>
      <c r="D14019" s="51">
        <v>0.0</v>
      </c>
    </row>
    <row r="14020" ht="15.75" hidden="1" customHeight="1">
      <c r="A14020" s="51" t="s">
        <v>506</v>
      </c>
      <c r="B14020" s="52">
        <v>46387.0</v>
      </c>
      <c r="C14020" s="51" t="s">
        <v>777</v>
      </c>
      <c r="D14020" s="51">
        <v>65046.88</v>
      </c>
    </row>
    <row r="14021" ht="15.75" hidden="1" customHeight="1">
      <c r="A14021" s="51" t="s">
        <v>512</v>
      </c>
      <c r="B14021" s="52">
        <v>46387.0</v>
      </c>
      <c r="C14021" s="51" t="s">
        <v>777</v>
      </c>
      <c r="D14021" s="51">
        <v>0.0</v>
      </c>
    </row>
    <row r="14022" ht="15.75" hidden="1" customHeight="1">
      <c r="A14022" s="51" t="s">
        <v>517</v>
      </c>
      <c r="B14022" s="52">
        <v>46387.0</v>
      </c>
      <c r="C14022" s="51" t="s">
        <v>777</v>
      </c>
      <c r="D14022" s="51">
        <v>0.0</v>
      </c>
    </row>
    <row r="14023" ht="15.75" hidden="1" customHeight="1">
      <c r="A14023" s="51" t="s">
        <v>522</v>
      </c>
      <c r="B14023" s="52">
        <v>46387.0</v>
      </c>
      <c r="C14023" s="51" t="s">
        <v>777</v>
      </c>
      <c r="D14023" s="51">
        <v>2805000.0</v>
      </c>
    </row>
    <row r="14024" ht="15.75" hidden="1" customHeight="1">
      <c r="A14024" s="51" t="s">
        <v>528</v>
      </c>
      <c r="B14024" s="52">
        <v>46387.0</v>
      </c>
      <c r="C14024" s="51" t="s">
        <v>777</v>
      </c>
      <c r="D14024" s="51">
        <v>0.0</v>
      </c>
    </row>
    <row r="14025" ht="15.75" hidden="1" customHeight="1">
      <c r="A14025" s="51" t="s">
        <v>533</v>
      </c>
      <c r="B14025" s="52">
        <v>46387.0</v>
      </c>
      <c r="C14025" s="51" t="s">
        <v>777</v>
      </c>
      <c r="D14025" s="51">
        <v>0.0</v>
      </c>
    </row>
    <row r="14026" ht="15.75" hidden="1" customHeight="1">
      <c r="A14026" s="51" t="s">
        <v>538</v>
      </c>
      <c r="B14026" s="52">
        <v>46387.0</v>
      </c>
      <c r="C14026" s="51" t="s">
        <v>777</v>
      </c>
      <c r="D14026" s="51">
        <v>0.0</v>
      </c>
    </row>
    <row r="14027" ht="15.75" hidden="1" customHeight="1">
      <c r="A14027" s="51" t="s">
        <v>546</v>
      </c>
      <c r="B14027" s="52">
        <v>46387.0</v>
      </c>
      <c r="C14027" s="51" t="s">
        <v>777</v>
      </c>
      <c r="D14027" s="51">
        <v>0.0</v>
      </c>
    </row>
    <row r="14028" ht="15.75" hidden="1" customHeight="1">
      <c r="A14028" s="51" t="s">
        <v>551</v>
      </c>
      <c r="B14028" s="52">
        <v>46387.0</v>
      </c>
      <c r="C14028" s="51" t="s">
        <v>777</v>
      </c>
      <c r="D14028" s="51">
        <v>0.0</v>
      </c>
    </row>
    <row r="14029" ht="15.75" hidden="1" customHeight="1">
      <c r="A14029" s="51" t="s">
        <v>556</v>
      </c>
      <c r="B14029" s="52">
        <v>46387.0</v>
      </c>
      <c r="C14029" s="51" t="s">
        <v>777</v>
      </c>
      <c r="D14029" s="51">
        <v>0.0</v>
      </c>
    </row>
    <row r="14030" ht="15.75" hidden="1" customHeight="1">
      <c r="A14030" s="51" t="s">
        <v>561</v>
      </c>
      <c r="B14030" s="52">
        <v>46387.0</v>
      </c>
      <c r="C14030" s="51" t="s">
        <v>777</v>
      </c>
      <c r="D14030" s="51">
        <v>0.0</v>
      </c>
    </row>
    <row r="14031" ht="15.75" hidden="1" customHeight="1">
      <c r="A14031" s="51" t="s">
        <v>566</v>
      </c>
      <c r="B14031" s="52">
        <v>46387.0</v>
      </c>
      <c r="C14031" s="51" t="s">
        <v>777</v>
      </c>
      <c r="D14031" s="51">
        <v>0.0</v>
      </c>
    </row>
    <row r="14032" ht="15.75" hidden="1" customHeight="1">
      <c r="A14032" s="51" t="s">
        <v>571</v>
      </c>
      <c r="B14032" s="52">
        <v>46387.0</v>
      </c>
      <c r="C14032" s="51" t="s">
        <v>777</v>
      </c>
      <c r="D14032" s="51">
        <v>0.0</v>
      </c>
    </row>
    <row r="14033" ht="15.75" hidden="1" customHeight="1">
      <c r="A14033" s="51" t="s">
        <v>576</v>
      </c>
      <c r="B14033" s="52">
        <v>46387.0</v>
      </c>
      <c r="C14033" s="51" t="s">
        <v>777</v>
      </c>
      <c r="D14033" s="51">
        <v>0.0</v>
      </c>
    </row>
    <row r="14034" ht="15.75" hidden="1" customHeight="1">
      <c r="A14034" s="51" t="s">
        <v>581</v>
      </c>
      <c r="B14034" s="52">
        <v>46387.0</v>
      </c>
      <c r="C14034" s="51" t="s">
        <v>777</v>
      </c>
      <c r="D14034" s="51">
        <v>0.0</v>
      </c>
    </row>
    <row r="14035" ht="15.75" hidden="1" customHeight="1">
      <c r="A14035" s="51" t="s">
        <v>586</v>
      </c>
      <c r="B14035" s="52">
        <v>46387.0</v>
      </c>
      <c r="C14035" s="51" t="s">
        <v>777</v>
      </c>
      <c r="D14035" s="51">
        <v>0.0</v>
      </c>
    </row>
    <row r="14036" ht="15.75" hidden="1" customHeight="1">
      <c r="A14036" s="51" t="s">
        <v>754</v>
      </c>
      <c r="B14036" s="52">
        <v>46387.0</v>
      </c>
      <c r="C14036" s="51" t="s">
        <v>777</v>
      </c>
      <c r="D14036" s="51">
        <v>0.0</v>
      </c>
    </row>
    <row r="14037" ht="15.75" hidden="1" customHeight="1">
      <c r="A14037" s="51" t="s">
        <v>591</v>
      </c>
      <c r="B14037" s="52">
        <v>46387.0</v>
      </c>
      <c r="C14037" s="51" t="s">
        <v>777</v>
      </c>
      <c r="D14037" s="51">
        <v>0.0</v>
      </c>
    </row>
    <row r="14038" ht="15.75" hidden="1" customHeight="1">
      <c r="A14038" s="51" t="s">
        <v>759</v>
      </c>
      <c r="B14038" s="52">
        <v>46387.0</v>
      </c>
      <c r="C14038" s="51" t="s">
        <v>777</v>
      </c>
      <c r="D14038" s="51">
        <v>0.0</v>
      </c>
    </row>
    <row r="14039" ht="15.75" hidden="1" customHeight="1">
      <c r="A14039" s="51" t="s">
        <v>596</v>
      </c>
      <c r="B14039" s="52">
        <v>46387.0</v>
      </c>
      <c r="C14039" s="51" t="s">
        <v>777</v>
      </c>
      <c r="D14039" s="51">
        <v>0.0</v>
      </c>
    </row>
    <row r="14040" ht="15.75" hidden="1" customHeight="1">
      <c r="A14040" s="51" t="s">
        <v>602</v>
      </c>
      <c r="B14040" s="52">
        <v>46387.0</v>
      </c>
      <c r="C14040" s="51" t="s">
        <v>777</v>
      </c>
      <c r="D14040" s="51">
        <v>0.0</v>
      </c>
    </row>
    <row r="14041" ht="15.75" hidden="1" customHeight="1">
      <c r="A14041" s="51" t="s">
        <v>607</v>
      </c>
      <c r="B14041" s="52">
        <v>46387.0</v>
      </c>
      <c r="C14041" s="51" t="s">
        <v>777</v>
      </c>
      <c r="D14041" s="51">
        <v>0.0</v>
      </c>
    </row>
    <row r="14042" ht="15.75" hidden="1" customHeight="1">
      <c r="A14042" s="51" t="s">
        <v>612</v>
      </c>
      <c r="B14042" s="52">
        <v>46387.0</v>
      </c>
      <c r="C14042" s="51" t="s">
        <v>777</v>
      </c>
      <c r="D14042" s="51">
        <v>0.0</v>
      </c>
    </row>
    <row r="14043" ht="15.75" hidden="1" customHeight="1">
      <c r="A14043" s="51" t="s">
        <v>617</v>
      </c>
      <c r="B14043" s="52">
        <v>46387.0</v>
      </c>
      <c r="C14043" s="51" t="s">
        <v>777</v>
      </c>
      <c r="D14043" s="51">
        <v>0.0</v>
      </c>
    </row>
    <row r="14044" ht="15.75" hidden="1" customHeight="1">
      <c r="A14044" s="51" t="s">
        <v>622</v>
      </c>
      <c r="B14044" s="52">
        <v>46387.0</v>
      </c>
      <c r="C14044" s="51" t="s">
        <v>777</v>
      </c>
      <c r="D14044" s="51">
        <v>0.0</v>
      </c>
    </row>
    <row r="14045" ht="15.75" hidden="1" customHeight="1">
      <c r="A14045" s="51" t="s">
        <v>627</v>
      </c>
      <c r="B14045" s="52">
        <v>46387.0</v>
      </c>
      <c r="C14045" s="51" t="s">
        <v>777</v>
      </c>
      <c r="D14045" s="51">
        <v>0.0</v>
      </c>
    </row>
    <row r="14046" ht="15.75" hidden="1" customHeight="1">
      <c r="A14046" s="51" t="s">
        <v>631</v>
      </c>
      <c r="B14046" s="52">
        <v>46387.0</v>
      </c>
      <c r="C14046" s="51" t="s">
        <v>777</v>
      </c>
      <c r="D14046" s="51">
        <v>0.0</v>
      </c>
    </row>
    <row r="14047" ht="15.75" hidden="1" customHeight="1">
      <c r="A14047" s="51" t="s">
        <v>636</v>
      </c>
      <c r="B14047" s="52">
        <v>46387.0</v>
      </c>
      <c r="C14047" s="51" t="s">
        <v>777</v>
      </c>
      <c r="D14047" s="51">
        <v>0.0</v>
      </c>
    </row>
    <row r="14048" ht="15.75" hidden="1" customHeight="1">
      <c r="A14048" s="51" t="s">
        <v>640</v>
      </c>
      <c r="B14048" s="52">
        <v>46387.0</v>
      </c>
      <c r="C14048" s="51" t="s">
        <v>777</v>
      </c>
      <c r="D14048" s="51">
        <v>0.0</v>
      </c>
    </row>
    <row r="14049" ht="15.75" hidden="1" customHeight="1">
      <c r="A14049" s="51" t="s">
        <v>644</v>
      </c>
      <c r="B14049" s="52">
        <v>46387.0</v>
      </c>
      <c r="C14049" s="51" t="s">
        <v>777</v>
      </c>
      <c r="D14049" s="51">
        <v>0.0</v>
      </c>
    </row>
    <row r="14050" ht="15.75" hidden="1" customHeight="1">
      <c r="A14050" s="51" t="s">
        <v>649</v>
      </c>
      <c r="B14050" s="52">
        <v>46387.0</v>
      </c>
      <c r="C14050" s="51" t="s">
        <v>777</v>
      </c>
      <c r="D14050" s="51">
        <v>0.0</v>
      </c>
    </row>
    <row r="14051" ht="15.75" hidden="1" customHeight="1">
      <c r="A14051" s="51" t="s">
        <v>654</v>
      </c>
      <c r="B14051" s="52">
        <v>46387.0</v>
      </c>
      <c r="C14051" s="51" t="s">
        <v>777</v>
      </c>
      <c r="D14051" s="51">
        <v>0.0</v>
      </c>
    </row>
    <row r="14052" ht="15.75" hidden="1" customHeight="1">
      <c r="A14052" s="51" t="s">
        <v>659</v>
      </c>
      <c r="B14052" s="52">
        <v>46387.0</v>
      </c>
      <c r="C14052" s="51" t="s">
        <v>777</v>
      </c>
      <c r="D14052" s="51">
        <v>0.0</v>
      </c>
    </row>
    <row r="14053" ht="15.75" hidden="1" customHeight="1">
      <c r="A14053" s="51" t="s">
        <v>664</v>
      </c>
      <c r="B14053" s="52">
        <v>46387.0</v>
      </c>
      <c r="C14053" s="51" t="s">
        <v>777</v>
      </c>
      <c r="D14053" s="51">
        <v>0.0</v>
      </c>
    </row>
    <row r="14054" ht="15.75" hidden="1" customHeight="1">
      <c r="A14054" s="51" t="s">
        <v>669</v>
      </c>
      <c r="B14054" s="52">
        <v>46387.0</v>
      </c>
      <c r="C14054" s="51" t="s">
        <v>777</v>
      </c>
      <c r="D14054" s="51">
        <v>0.0</v>
      </c>
    </row>
    <row r="14055" ht="15.75" hidden="1" customHeight="1">
      <c r="A14055" s="51" t="s">
        <v>674</v>
      </c>
      <c r="B14055" s="52">
        <v>46387.0</v>
      </c>
      <c r="C14055" s="51" t="s">
        <v>777</v>
      </c>
      <c r="D14055" s="51">
        <v>0.0</v>
      </c>
    </row>
    <row r="14056" ht="15.75" hidden="1" customHeight="1">
      <c r="A14056" s="51" t="s">
        <v>679</v>
      </c>
      <c r="B14056" s="52">
        <v>46387.0</v>
      </c>
      <c r="C14056" s="51" t="s">
        <v>777</v>
      </c>
      <c r="D14056" s="51">
        <v>0.0</v>
      </c>
    </row>
    <row r="14057" ht="15.75" hidden="1" customHeight="1">
      <c r="A14057" s="51" t="s">
        <v>684</v>
      </c>
      <c r="B14057" s="52">
        <v>46387.0</v>
      </c>
      <c r="C14057" s="51" t="s">
        <v>777</v>
      </c>
      <c r="D14057" s="51">
        <v>0.0</v>
      </c>
    </row>
    <row r="14058" ht="15.75" hidden="1" customHeight="1">
      <c r="A14058" s="51" t="s">
        <v>689</v>
      </c>
      <c r="B14058" s="52">
        <v>46387.0</v>
      </c>
      <c r="C14058" s="51" t="s">
        <v>777</v>
      </c>
      <c r="D14058" s="51">
        <v>0.0</v>
      </c>
    </row>
    <row r="14059" ht="15.75" hidden="1" customHeight="1">
      <c r="A14059" s="51" t="s">
        <v>694</v>
      </c>
      <c r="B14059" s="52">
        <v>46387.0</v>
      </c>
      <c r="C14059" s="51" t="s">
        <v>777</v>
      </c>
      <c r="D14059" s="51">
        <v>0.0</v>
      </c>
    </row>
    <row r="14060" ht="15.75" hidden="1" customHeight="1">
      <c r="A14060" s="51" t="s">
        <v>699</v>
      </c>
      <c r="B14060" s="52">
        <v>46387.0</v>
      </c>
      <c r="C14060" s="51" t="s">
        <v>777</v>
      </c>
      <c r="D14060" s="51">
        <v>0.0</v>
      </c>
    </row>
    <row r="14061" ht="15.75" hidden="1" customHeight="1">
      <c r="A14061" s="51" t="s">
        <v>705</v>
      </c>
      <c r="B14061" s="52">
        <v>46387.0</v>
      </c>
      <c r="C14061" s="51" t="s">
        <v>777</v>
      </c>
      <c r="D14061" s="51">
        <v>0.0</v>
      </c>
    </row>
    <row r="14062" ht="15.75" hidden="1" customHeight="1">
      <c r="A14062" s="51" t="s">
        <v>710</v>
      </c>
      <c r="B14062" s="52">
        <v>46387.0</v>
      </c>
      <c r="C14062" s="51" t="s">
        <v>777</v>
      </c>
      <c r="D14062" s="51">
        <v>0.0</v>
      </c>
    </row>
    <row r="14063" ht="15.75" hidden="1" customHeight="1">
      <c r="A14063" s="51" t="s">
        <v>715</v>
      </c>
      <c r="B14063" s="52">
        <v>46387.0</v>
      </c>
      <c r="C14063" s="51" t="s">
        <v>777</v>
      </c>
      <c r="D14063" s="51">
        <v>0.0</v>
      </c>
    </row>
    <row r="14064" ht="15.75" hidden="1" customHeight="1">
      <c r="A14064" s="51" t="s">
        <v>765</v>
      </c>
      <c r="B14064" s="52">
        <v>46387.0</v>
      </c>
      <c r="C14064" s="51" t="s">
        <v>777</v>
      </c>
      <c r="D14064" s="51">
        <v>0.0</v>
      </c>
    </row>
    <row r="14065" ht="15.75" hidden="1" customHeight="1">
      <c r="A14065" s="51" t="s">
        <v>720</v>
      </c>
      <c r="B14065" s="52">
        <v>46387.0</v>
      </c>
      <c r="C14065" s="51" t="s">
        <v>777</v>
      </c>
      <c r="D14065" s="51">
        <v>0.0</v>
      </c>
    </row>
    <row r="14066" ht="15.75" hidden="1" customHeight="1">
      <c r="A14066" s="51" t="s">
        <v>725</v>
      </c>
      <c r="B14066" s="52">
        <v>46387.0</v>
      </c>
      <c r="C14066" s="51" t="s">
        <v>777</v>
      </c>
      <c r="D14066" s="51">
        <v>0.0</v>
      </c>
    </row>
    <row r="14067" ht="15.75" hidden="1" customHeight="1">
      <c r="A14067" s="51" t="s">
        <v>730</v>
      </c>
      <c r="B14067" s="52">
        <v>46387.0</v>
      </c>
      <c r="C14067" s="51" t="s">
        <v>777</v>
      </c>
      <c r="D14067" s="51">
        <v>0.0</v>
      </c>
    </row>
    <row r="14068" ht="15.75" hidden="1" customHeight="1">
      <c r="A14068" s="51" t="s">
        <v>734</v>
      </c>
      <c r="B14068" s="52">
        <v>46387.0</v>
      </c>
      <c r="C14068" s="51" t="s">
        <v>777</v>
      </c>
      <c r="D14068" s="51">
        <v>0.0</v>
      </c>
    </row>
    <row r="14069" ht="15.75" hidden="1" customHeight="1">
      <c r="A14069" s="51" t="s">
        <v>739</v>
      </c>
      <c r="B14069" s="52">
        <v>46387.0</v>
      </c>
      <c r="C14069" s="51" t="s">
        <v>777</v>
      </c>
      <c r="D14069" s="51">
        <v>0.0</v>
      </c>
    </row>
    <row r="14070" ht="15.75" hidden="1" customHeight="1">
      <c r="A14070" s="51" t="s">
        <v>744</v>
      </c>
      <c r="B14070" s="52">
        <v>46387.0</v>
      </c>
      <c r="C14070" s="51" t="s">
        <v>777</v>
      </c>
      <c r="D14070" s="51">
        <v>0.0</v>
      </c>
    </row>
    <row r="14071" ht="15.75" hidden="1" customHeight="1">
      <c r="A14071" s="51" t="s">
        <v>749</v>
      </c>
      <c r="B14071" s="52">
        <v>46387.0</v>
      </c>
      <c r="C14071" s="51" t="s">
        <v>777</v>
      </c>
      <c r="D14071" s="51">
        <v>0.0</v>
      </c>
    </row>
    <row r="14072" ht="15.75" customHeight="1">
      <c r="A14072" s="51" t="s">
        <v>776</v>
      </c>
      <c r="B14072" s="52">
        <v>46387.0</v>
      </c>
      <c r="C14072" s="51" t="s">
        <v>78</v>
      </c>
      <c r="D14072" s="51">
        <v>0.0</v>
      </c>
    </row>
    <row r="14073" ht="15.75" hidden="1" customHeight="1">
      <c r="A14073" s="51" t="s">
        <v>778</v>
      </c>
      <c r="B14073" s="52">
        <v>46387.0</v>
      </c>
      <c r="C14073" s="51" t="s">
        <v>78</v>
      </c>
      <c r="D14073" s="51">
        <v>0.0</v>
      </c>
    </row>
    <row r="14074" ht="15.75" hidden="1" customHeight="1">
      <c r="A14074" s="51" t="s">
        <v>92</v>
      </c>
      <c r="B14074" s="52">
        <v>46387.0</v>
      </c>
      <c r="C14074" s="51" t="s">
        <v>78</v>
      </c>
      <c r="D14074" s="51">
        <v>0.0</v>
      </c>
    </row>
    <row r="14075" ht="15.75" hidden="1" customHeight="1">
      <c r="A14075" s="51" t="s">
        <v>97</v>
      </c>
      <c r="B14075" s="52">
        <v>46387.0</v>
      </c>
      <c r="C14075" s="51" t="s">
        <v>78</v>
      </c>
      <c r="D14075" s="51">
        <v>0.0</v>
      </c>
    </row>
    <row r="14076" ht="15.75" hidden="1" customHeight="1">
      <c r="A14076" s="51" t="s">
        <v>102</v>
      </c>
      <c r="B14076" s="52">
        <v>46387.0</v>
      </c>
      <c r="C14076" s="51" t="s">
        <v>78</v>
      </c>
      <c r="D14076" s="51">
        <v>0.0</v>
      </c>
    </row>
    <row r="14077" ht="15.75" hidden="1" customHeight="1">
      <c r="A14077" s="51" t="s">
        <v>106</v>
      </c>
      <c r="B14077" s="52">
        <v>46387.0</v>
      </c>
      <c r="C14077" s="51" t="s">
        <v>78</v>
      </c>
      <c r="D14077" s="51">
        <v>0.0</v>
      </c>
    </row>
    <row r="14078" ht="15.75" hidden="1" customHeight="1">
      <c r="A14078" s="51" t="s">
        <v>111</v>
      </c>
      <c r="B14078" s="52">
        <v>46387.0</v>
      </c>
      <c r="C14078" s="51" t="s">
        <v>78</v>
      </c>
      <c r="D14078" s="51">
        <v>0.0</v>
      </c>
    </row>
    <row r="14079" ht="15.75" hidden="1" customHeight="1">
      <c r="A14079" s="51" t="s">
        <v>116</v>
      </c>
      <c r="B14079" s="52">
        <v>46387.0</v>
      </c>
      <c r="C14079" s="51" t="s">
        <v>78</v>
      </c>
      <c r="D14079" s="51">
        <v>0.0</v>
      </c>
    </row>
    <row r="14080" ht="15.75" hidden="1" customHeight="1">
      <c r="A14080" s="51" t="s">
        <v>120</v>
      </c>
      <c r="B14080" s="52">
        <v>46387.0</v>
      </c>
      <c r="C14080" s="51" t="s">
        <v>78</v>
      </c>
      <c r="D14080" s="51">
        <v>0.0</v>
      </c>
    </row>
    <row r="14081" ht="15.75" hidden="1" customHeight="1">
      <c r="A14081" s="51" t="s">
        <v>125</v>
      </c>
      <c r="B14081" s="52">
        <v>46387.0</v>
      </c>
      <c r="C14081" s="51" t="s">
        <v>78</v>
      </c>
      <c r="D14081" s="51">
        <v>0.0</v>
      </c>
    </row>
    <row r="14082" ht="15.75" hidden="1" customHeight="1">
      <c r="A14082" s="51" t="s">
        <v>130</v>
      </c>
      <c r="B14082" s="52">
        <v>46387.0</v>
      </c>
      <c r="C14082" s="51" t="s">
        <v>78</v>
      </c>
      <c r="D14082" s="51">
        <v>0.0</v>
      </c>
    </row>
    <row r="14083" ht="15.75" hidden="1" customHeight="1">
      <c r="A14083" s="51" t="s">
        <v>137</v>
      </c>
      <c r="B14083" s="52">
        <v>46387.0</v>
      </c>
      <c r="C14083" s="51" t="s">
        <v>78</v>
      </c>
      <c r="D14083" s="51">
        <v>0.0</v>
      </c>
    </row>
    <row r="14084" ht="15.75" hidden="1" customHeight="1">
      <c r="A14084" s="51" t="s">
        <v>142</v>
      </c>
      <c r="B14084" s="52">
        <v>46387.0</v>
      </c>
      <c r="C14084" s="51" t="s">
        <v>78</v>
      </c>
      <c r="D14084" s="51">
        <v>0.0</v>
      </c>
    </row>
    <row r="14085" ht="15.75" hidden="1" customHeight="1">
      <c r="A14085" s="51" t="s">
        <v>147</v>
      </c>
      <c r="B14085" s="52">
        <v>46387.0</v>
      </c>
      <c r="C14085" s="51" t="s">
        <v>78</v>
      </c>
      <c r="D14085" s="51">
        <v>0.0</v>
      </c>
    </row>
    <row r="14086" ht="15.75" hidden="1" customHeight="1">
      <c r="A14086" s="51" t="s">
        <v>152</v>
      </c>
      <c r="B14086" s="52">
        <v>46387.0</v>
      </c>
      <c r="C14086" s="51" t="s">
        <v>78</v>
      </c>
      <c r="D14086" s="51">
        <v>0.0</v>
      </c>
    </row>
    <row r="14087" ht="15.75" hidden="1" customHeight="1">
      <c r="A14087" s="51" t="s">
        <v>157</v>
      </c>
      <c r="B14087" s="52">
        <v>46387.0</v>
      </c>
      <c r="C14087" s="51" t="s">
        <v>78</v>
      </c>
      <c r="D14087" s="51">
        <v>0.0</v>
      </c>
    </row>
    <row r="14088" ht="15.75" hidden="1" customHeight="1">
      <c r="A14088" s="51" t="s">
        <v>162</v>
      </c>
      <c r="B14088" s="52">
        <v>46387.0</v>
      </c>
      <c r="C14088" s="51" t="s">
        <v>78</v>
      </c>
      <c r="D14088" s="51">
        <v>0.0</v>
      </c>
    </row>
    <row r="14089" ht="15.75" hidden="1" customHeight="1">
      <c r="A14089" s="51" t="s">
        <v>167</v>
      </c>
      <c r="B14089" s="52">
        <v>46387.0</v>
      </c>
      <c r="C14089" s="51" t="s">
        <v>78</v>
      </c>
      <c r="D14089" s="51">
        <v>0.0</v>
      </c>
    </row>
    <row r="14090" ht="15.75" hidden="1" customHeight="1">
      <c r="A14090" s="51" t="s">
        <v>172</v>
      </c>
      <c r="B14090" s="52">
        <v>46387.0</v>
      </c>
      <c r="C14090" s="51" t="s">
        <v>78</v>
      </c>
      <c r="D14090" s="51">
        <v>0.0</v>
      </c>
    </row>
    <row r="14091" ht="15.75" hidden="1" customHeight="1">
      <c r="A14091" s="51" t="s">
        <v>177</v>
      </c>
      <c r="B14091" s="52">
        <v>46387.0</v>
      </c>
      <c r="C14091" s="51" t="s">
        <v>78</v>
      </c>
      <c r="D14091" s="51">
        <v>0.0</v>
      </c>
    </row>
    <row r="14092" ht="15.75" hidden="1" customHeight="1">
      <c r="A14092" s="51" t="s">
        <v>182</v>
      </c>
      <c r="B14092" s="52">
        <v>46387.0</v>
      </c>
      <c r="C14092" s="51" t="s">
        <v>78</v>
      </c>
      <c r="D14092" s="51">
        <v>0.0</v>
      </c>
    </row>
    <row r="14093" ht="15.75" hidden="1" customHeight="1">
      <c r="A14093" s="51" t="s">
        <v>187</v>
      </c>
      <c r="B14093" s="52">
        <v>46387.0</v>
      </c>
      <c r="C14093" s="51" t="s">
        <v>78</v>
      </c>
      <c r="D14093" s="51">
        <v>0.0</v>
      </c>
    </row>
    <row r="14094" ht="15.75" hidden="1" customHeight="1">
      <c r="A14094" s="51" t="s">
        <v>192</v>
      </c>
      <c r="B14094" s="52">
        <v>46387.0</v>
      </c>
      <c r="C14094" s="51" t="s">
        <v>78</v>
      </c>
      <c r="D14094" s="51">
        <v>0.0</v>
      </c>
    </row>
    <row r="14095" ht="15.75" hidden="1" customHeight="1">
      <c r="A14095" s="51" t="s">
        <v>197</v>
      </c>
      <c r="B14095" s="52">
        <v>46387.0</v>
      </c>
      <c r="C14095" s="51" t="s">
        <v>78</v>
      </c>
      <c r="D14095" s="51">
        <v>0.0</v>
      </c>
    </row>
    <row r="14096" ht="15.75" hidden="1" customHeight="1">
      <c r="A14096" s="51" t="s">
        <v>202</v>
      </c>
      <c r="B14096" s="52">
        <v>46387.0</v>
      </c>
      <c r="C14096" s="51" t="s">
        <v>78</v>
      </c>
      <c r="D14096" s="51">
        <v>0.0</v>
      </c>
    </row>
    <row r="14097" ht="15.75" hidden="1" customHeight="1">
      <c r="A14097" s="51" t="s">
        <v>206</v>
      </c>
      <c r="B14097" s="52">
        <v>46387.0</v>
      </c>
      <c r="C14097" s="51" t="s">
        <v>78</v>
      </c>
      <c r="D14097" s="51">
        <v>0.0</v>
      </c>
    </row>
    <row r="14098" ht="15.75" hidden="1" customHeight="1">
      <c r="A14098" s="51" t="s">
        <v>211</v>
      </c>
      <c r="B14098" s="52">
        <v>46387.0</v>
      </c>
      <c r="C14098" s="51" t="s">
        <v>78</v>
      </c>
      <c r="D14098" s="51">
        <v>0.0</v>
      </c>
    </row>
    <row r="14099" ht="15.75" hidden="1" customHeight="1">
      <c r="A14099" s="51" t="s">
        <v>779</v>
      </c>
      <c r="B14099" s="52">
        <v>46387.0</v>
      </c>
      <c r="C14099" s="51" t="s">
        <v>78</v>
      </c>
      <c r="D14099" s="51">
        <v>0.0</v>
      </c>
    </row>
    <row r="14100" ht="15.75" hidden="1" customHeight="1">
      <c r="A14100" s="51" t="s">
        <v>221</v>
      </c>
      <c r="B14100" s="52">
        <v>46387.0</v>
      </c>
      <c r="C14100" s="51" t="s">
        <v>78</v>
      </c>
      <c r="D14100" s="51">
        <v>0.0</v>
      </c>
    </row>
    <row r="14101" ht="15.75" hidden="1" customHeight="1">
      <c r="A14101" s="51" t="s">
        <v>226</v>
      </c>
      <c r="B14101" s="52">
        <v>46387.0</v>
      </c>
      <c r="C14101" s="51" t="s">
        <v>78</v>
      </c>
      <c r="D14101" s="51">
        <v>0.0</v>
      </c>
    </row>
    <row r="14102" ht="15.75" hidden="1" customHeight="1">
      <c r="A14102" s="51" t="s">
        <v>231</v>
      </c>
      <c r="B14102" s="52">
        <v>46387.0</v>
      </c>
      <c r="C14102" s="51" t="s">
        <v>78</v>
      </c>
      <c r="D14102" s="51">
        <v>0.0</v>
      </c>
    </row>
    <row r="14103" ht="15.75" hidden="1" customHeight="1">
      <c r="A14103" s="51" t="s">
        <v>236</v>
      </c>
      <c r="B14103" s="52">
        <v>46387.0</v>
      </c>
      <c r="C14103" s="51" t="s">
        <v>78</v>
      </c>
      <c r="D14103" s="51">
        <v>0.0</v>
      </c>
    </row>
    <row r="14104" ht="15.75" hidden="1" customHeight="1">
      <c r="A14104" s="51" t="s">
        <v>242</v>
      </c>
      <c r="B14104" s="52">
        <v>46387.0</v>
      </c>
      <c r="C14104" s="51" t="s">
        <v>78</v>
      </c>
      <c r="D14104" s="51">
        <v>0.0</v>
      </c>
    </row>
    <row r="14105" ht="15.75" hidden="1" customHeight="1">
      <c r="A14105" s="51" t="s">
        <v>248</v>
      </c>
      <c r="B14105" s="52">
        <v>46387.0</v>
      </c>
      <c r="C14105" s="51" t="s">
        <v>78</v>
      </c>
      <c r="D14105" s="51">
        <v>0.0</v>
      </c>
    </row>
    <row r="14106" ht="15.75" hidden="1" customHeight="1">
      <c r="A14106" s="51" t="s">
        <v>253</v>
      </c>
      <c r="B14106" s="52">
        <v>46387.0</v>
      </c>
      <c r="C14106" s="51" t="s">
        <v>78</v>
      </c>
      <c r="D14106" s="51">
        <v>0.0</v>
      </c>
    </row>
    <row r="14107" ht="15.75" hidden="1" customHeight="1">
      <c r="A14107" s="51" t="s">
        <v>258</v>
      </c>
      <c r="B14107" s="52">
        <v>46387.0</v>
      </c>
      <c r="C14107" s="51" t="s">
        <v>78</v>
      </c>
      <c r="D14107" s="51">
        <v>0.0</v>
      </c>
    </row>
    <row r="14108" ht="15.75" hidden="1" customHeight="1">
      <c r="A14108" s="51" t="s">
        <v>263</v>
      </c>
      <c r="B14108" s="52">
        <v>46387.0</v>
      </c>
      <c r="C14108" s="51" t="s">
        <v>78</v>
      </c>
      <c r="D14108" s="51">
        <v>0.0</v>
      </c>
    </row>
    <row r="14109" ht="15.75" hidden="1" customHeight="1">
      <c r="A14109" s="51" t="s">
        <v>268</v>
      </c>
      <c r="B14109" s="52">
        <v>46387.0</v>
      </c>
      <c r="C14109" s="51" t="s">
        <v>78</v>
      </c>
      <c r="D14109" s="51">
        <v>0.0</v>
      </c>
    </row>
    <row r="14110" ht="15.75" hidden="1" customHeight="1">
      <c r="A14110" s="51" t="s">
        <v>273</v>
      </c>
      <c r="B14110" s="52">
        <v>46387.0</v>
      </c>
      <c r="C14110" s="51" t="s">
        <v>78</v>
      </c>
      <c r="D14110" s="51">
        <v>0.0</v>
      </c>
    </row>
    <row r="14111" ht="15.75" hidden="1" customHeight="1">
      <c r="A14111" s="51" t="s">
        <v>278</v>
      </c>
      <c r="B14111" s="52">
        <v>46387.0</v>
      </c>
      <c r="C14111" s="51" t="s">
        <v>78</v>
      </c>
      <c r="D14111" s="51">
        <v>0.0</v>
      </c>
    </row>
    <row r="14112" ht="15.75" hidden="1" customHeight="1">
      <c r="A14112" s="51" t="s">
        <v>283</v>
      </c>
      <c r="B14112" s="52">
        <v>46387.0</v>
      </c>
      <c r="C14112" s="51" t="s">
        <v>78</v>
      </c>
      <c r="D14112" s="51">
        <v>0.0</v>
      </c>
    </row>
    <row r="14113" ht="15.75" hidden="1" customHeight="1">
      <c r="A14113" s="51" t="s">
        <v>288</v>
      </c>
      <c r="B14113" s="52">
        <v>46387.0</v>
      </c>
      <c r="C14113" s="51" t="s">
        <v>78</v>
      </c>
      <c r="D14113" s="51">
        <v>0.0</v>
      </c>
    </row>
    <row r="14114" ht="15.75" hidden="1" customHeight="1">
      <c r="A14114" s="51" t="s">
        <v>293</v>
      </c>
      <c r="B14114" s="52">
        <v>46387.0</v>
      </c>
      <c r="C14114" s="51" t="s">
        <v>78</v>
      </c>
      <c r="D14114" s="51">
        <v>0.0</v>
      </c>
    </row>
    <row r="14115" ht="15.75" hidden="1" customHeight="1">
      <c r="A14115" s="51" t="s">
        <v>298</v>
      </c>
      <c r="B14115" s="52">
        <v>46387.0</v>
      </c>
      <c r="C14115" s="51" t="s">
        <v>78</v>
      </c>
      <c r="D14115" s="51">
        <v>0.0</v>
      </c>
    </row>
    <row r="14116" ht="15.75" hidden="1" customHeight="1">
      <c r="A14116" s="51" t="s">
        <v>303</v>
      </c>
      <c r="B14116" s="52">
        <v>46387.0</v>
      </c>
      <c r="C14116" s="51" t="s">
        <v>78</v>
      </c>
      <c r="D14116" s="51">
        <v>0.0</v>
      </c>
    </row>
    <row r="14117" ht="15.75" hidden="1" customHeight="1">
      <c r="A14117" s="51" t="s">
        <v>307</v>
      </c>
      <c r="B14117" s="52">
        <v>46387.0</v>
      </c>
      <c r="C14117" s="51" t="s">
        <v>78</v>
      </c>
      <c r="D14117" s="51">
        <v>0.0</v>
      </c>
    </row>
    <row r="14118" ht="15.75" hidden="1" customHeight="1">
      <c r="A14118" s="51" t="s">
        <v>313</v>
      </c>
      <c r="B14118" s="52">
        <v>46387.0</v>
      </c>
      <c r="C14118" s="51" t="s">
        <v>78</v>
      </c>
      <c r="D14118" s="51">
        <v>0.0</v>
      </c>
    </row>
    <row r="14119" ht="15.75" hidden="1" customHeight="1">
      <c r="A14119" s="51" t="s">
        <v>318</v>
      </c>
      <c r="B14119" s="52">
        <v>46387.0</v>
      </c>
      <c r="C14119" s="51" t="s">
        <v>78</v>
      </c>
      <c r="D14119" s="51">
        <v>0.0</v>
      </c>
    </row>
    <row r="14120" ht="15.75" hidden="1" customHeight="1">
      <c r="A14120" s="51" t="s">
        <v>323</v>
      </c>
      <c r="B14120" s="52">
        <v>46387.0</v>
      </c>
      <c r="C14120" s="51" t="s">
        <v>78</v>
      </c>
      <c r="D14120" s="51">
        <v>0.0</v>
      </c>
    </row>
    <row r="14121" ht="15.75" hidden="1" customHeight="1">
      <c r="A14121" s="51" t="s">
        <v>328</v>
      </c>
      <c r="B14121" s="52">
        <v>46387.0</v>
      </c>
      <c r="C14121" s="51" t="s">
        <v>78</v>
      </c>
      <c r="D14121" s="51">
        <v>0.0</v>
      </c>
    </row>
    <row r="14122" ht="15.75" hidden="1" customHeight="1">
      <c r="A14122" s="51" t="s">
        <v>335</v>
      </c>
      <c r="B14122" s="52">
        <v>46387.0</v>
      </c>
      <c r="C14122" s="51" t="s">
        <v>78</v>
      </c>
      <c r="D14122" s="51">
        <v>0.0</v>
      </c>
    </row>
    <row r="14123" ht="15.75" hidden="1" customHeight="1">
      <c r="A14123" s="51" t="s">
        <v>340</v>
      </c>
      <c r="B14123" s="52">
        <v>46387.0</v>
      </c>
      <c r="C14123" s="51" t="s">
        <v>78</v>
      </c>
      <c r="D14123" s="51">
        <v>0.0</v>
      </c>
    </row>
    <row r="14124" ht="15.75" hidden="1" customHeight="1">
      <c r="A14124" s="51" t="s">
        <v>345</v>
      </c>
      <c r="B14124" s="52">
        <v>46387.0</v>
      </c>
      <c r="C14124" s="51" t="s">
        <v>78</v>
      </c>
      <c r="D14124" s="51">
        <v>0.0</v>
      </c>
    </row>
    <row r="14125" ht="15.75" hidden="1" customHeight="1">
      <c r="A14125" s="51" t="s">
        <v>350</v>
      </c>
      <c r="B14125" s="52">
        <v>46387.0</v>
      </c>
      <c r="C14125" s="51" t="s">
        <v>78</v>
      </c>
      <c r="D14125" s="51">
        <v>0.0</v>
      </c>
    </row>
    <row r="14126" ht="15.75" hidden="1" customHeight="1">
      <c r="A14126" s="51" t="s">
        <v>355</v>
      </c>
      <c r="B14126" s="52">
        <v>46387.0</v>
      </c>
      <c r="C14126" s="51" t="s">
        <v>78</v>
      </c>
      <c r="D14126" s="51">
        <v>0.0</v>
      </c>
    </row>
    <row r="14127" ht="15.75" hidden="1" customHeight="1">
      <c r="A14127" s="51" t="s">
        <v>360</v>
      </c>
      <c r="B14127" s="52">
        <v>46387.0</v>
      </c>
      <c r="C14127" s="51" t="s">
        <v>78</v>
      </c>
      <c r="D14127" s="51">
        <v>0.0</v>
      </c>
    </row>
    <row r="14128" ht="15.75" hidden="1" customHeight="1">
      <c r="A14128" s="51" t="s">
        <v>365</v>
      </c>
      <c r="B14128" s="52">
        <v>46387.0</v>
      </c>
      <c r="C14128" s="51" t="s">
        <v>78</v>
      </c>
      <c r="D14128" s="51">
        <v>0.0</v>
      </c>
    </row>
    <row r="14129" ht="15.75" hidden="1" customHeight="1">
      <c r="A14129" s="51" t="s">
        <v>370</v>
      </c>
      <c r="B14129" s="52">
        <v>46387.0</v>
      </c>
      <c r="C14129" s="51" t="s">
        <v>78</v>
      </c>
      <c r="D14129" s="51">
        <v>0.0</v>
      </c>
    </row>
    <row r="14130" ht="15.75" hidden="1" customHeight="1">
      <c r="A14130" s="51" t="s">
        <v>375</v>
      </c>
      <c r="B14130" s="52">
        <v>46387.0</v>
      </c>
      <c r="C14130" s="51" t="s">
        <v>78</v>
      </c>
      <c r="D14130" s="51">
        <v>0.0</v>
      </c>
    </row>
    <row r="14131" ht="15.75" hidden="1" customHeight="1">
      <c r="A14131" s="51" t="s">
        <v>380</v>
      </c>
      <c r="B14131" s="52">
        <v>46387.0</v>
      </c>
      <c r="C14131" s="51" t="s">
        <v>78</v>
      </c>
      <c r="D14131" s="51">
        <v>0.0</v>
      </c>
    </row>
    <row r="14132" ht="15.75" hidden="1" customHeight="1">
      <c r="A14132" s="51" t="s">
        <v>385</v>
      </c>
      <c r="B14132" s="52">
        <v>46387.0</v>
      </c>
      <c r="C14132" s="51" t="s">
        <v>78</v>
      </c>
      <c r="D14132" s="51">
        <v>0.0</v>
      </c>
    </row>
    <row r="14133" ht="15.75" hidden="1" customHeight="1">
      <c r="A14133" s="51" t="s">
        <v>390</v>
      </c>
      <c r="B14133" s="52">
        <v>46387.0</v>
      </c>
      <c r="C14133" s="51" t="s">
        <v>78</v>
      </c>
      <c r="D14133" s="51">
        <v>1664288.27</v>
      </c>
    </row>
    <row r="14134" ht="15.75" hidden="1" customHeight="1">
      <c r="A14134" s="51" t="s">
        <v>395</v>
      </c>
      <c r="B14134" s="52">
        <v>46387.0</v>
      </c>
      <c r="C14134" s="51" t="s">
        <v>78</v>
      </c>
      <c r="D14134" s="51">
        <v>0.0</v>
      </c>
    </row>
    <row r="14135" ht="15.75" hidden="1" customHeight="1">
      <c r="A14135" s="51" t="s">
        <v>400</v>
      </c>
      <c r="B14135" s="52">
        <v>46387.0</v>
      </c>
      <c r="C14135" s="51" t="s">
        <v>78</v>
      </c>
      <c r="D14135" s="51">
        <v>0.0</v>
      </c>
    </row>
    <row r="14136" ht="15.75" hidden="1" customHeight="1">
      <c r="A14136" s="51" t="s">
        <v>405</v>
      </c>
      <c r="B14136" s="52">
        <v>46387.0</v>
      </c>
      <c r="C14136" s="51" t="s">
        <v>78</v>
      </c>
      <c r="D14136" s="51">
        <v>0.0</v>
      </c>
    </row>
    <row r="14137" ht="15.75" hidden="1" customHeight="1">
      <c r="A14137" s="51" t="s">
        <v>410</v>
      </c>
      <c r="B14137" s="52">
        <v>46387.0</v>
      </c>
      <c r="C14137" s="51" t="s">
        <v>78</v>
      </c>
      <c r="D14137" s="51">
        <v>0.0</v>
      </c>
    </row>
    <row r="14138" ht="15.75" hidden="1" customHeight="1">
      <c r="A14138" s="51" t="s">
        <v>415</v>
      </c>
      <c r="B14138" s="52">
        <v>46387.0</v>
      </c>
      <c r="C14138" s="51" t="s">
        <v>78</v>
      </c>
      <c r="D14138" s="51">
        <v>0.0</v>
      </c>
    </row>
    <row r="14139" ht="15.75" hidden="1" customHeight="1">
      <c r="A14139" s="51" t="s">
        <v>420</v>
      </c>
      <c r="B14139" s="52">
        <v>46387.0</v>
      </c>
      <c r="C14139" s="51" t="s">
        <v>78</v>
      </c>
      <c r="D14139" s="51">
        <v>0.0</v>
      </c>
    </row>
    <row r="14140" ht="15.75" hidden="1" customHeight="1">
      <c r="A14140" s="51" t="s">
        <v>425</v>
      </c>
      <c r="B14140" s="52">
        <v>46387.0</v>
      </c>
      <c r="C14140" s="51" t="s">
        <v>78</v>
      </c>
      <c r="D14140" s="51">
        <v>0.0</v>
      </c>
    </row>
    <row r="14141" ht="15.75" hidden="1" customHeight="1">
      <c r="A14141" s="51" t="s">
        <v>430</v>
      </c>
      <c r="B14141" s="52">
        <v>46387.0</v>
      </c>
      <c r="C14141" s="51" t="s">
        <v>78</v>
      </c>
      <c r="D14141" s="51">
        <v>0.0</v>
      </c>
    </row>
    <row r="14142" ht="15.75" hidden="1" customHeight="1">
      <c r="A14142" s="51" t="s">
        <v>434</v>
      </c>
      <c r="B14142" s="52">
        <v>46387.0</v>
      </c>
      <c r="C14142" s="51" t="s">
        <v>78</v>
      </c>
      <c r="D14142" s="51">
        <v>0.0</v>
      </c>
    </row>
    <row r="14143" ht="15.75" hidden="1" customHeight="1">
      <c r="A14143" s="51" t="s">
        <v>439</v>
      </c>
      <c r="B14143" s="52">
        <v>46387.0</v>
      </c>
      <c r="C14143" s="51" t="s">
        <v>78</v>
      </c>
      <c r="D14143" s="51">
        <v>0.0</v>
      </c>
    </row>
    <row r="14144" ht="15.75" hidden="1" customHeight="1">
      <c r="A14144" s="51" t="s">
        <v>444</v>
      </c>
      <c r="B14144" s="52">
        <v>46387.0</v>
      </c>
      <c r="C14144" s="51" t="s">
        <v>78</v>
      </c>
      <c r="D14144" s="51">
        <v>0.0</v>
      </c>
    </row>
    <row r="14145" ht="15.75" hidden="1" customHeight="1">
      <c r="A14145" s="51" t="s">
        <v>449</v>
      </c>
      <c r="B14145" s="52">
        <v>46387.0</v>
      </c>
      <c r="C14145" s="51" t="s">
        <v>78</v>
      </c>
      <c r="D14145" s="51">
        <v>0.0</v>
      </c>
    </row>
    <row r="14146" ht="15.75" hidden="1" customHeight="1">
      <c r="A14146" s="51" t="s">
        <v>455</v>
      </c>
      <c r="B14146" s="52">
        <v>46387.0</v>
      </c>
      <c r="C14146" s="51" t="s">
        <v>78</v>
      </c>
      <c r="D14146" s="51">
        <v>0.0</v>
      </c>
    </row>
    <row r="14147" ht="15.75" hidden="1" customHeight="1">
      <c r="A14147" s="51" t="s">
        <v>470</v>
      </c>
      <c r="B14147" s="52">
        <v>46387.0</v>
      </c>
      <c r="C14147" s="51" t="s">
        <v>78</v>
      </c>
      <c r="D14147" s="51">
        <v>0.0</v>
      </c>
    </row>
    <row r="14148" ht="15.75" hidden="1" customHeight="1">
      <c r="A14148" s="51" t="s">
        <v>476</v>
      </c>
      <c r="B14148" s="52">
        <v>46387.0</v>
      </c>
      <c r="C14148" s="51" t="s">
        <v>78</v>
      </c>
      <c r="D14148" s="51">
        <v>0.0</v>
      </c>
    </row>
    <row r="14149" ht="15.75" hidden="1" customHeight="1">
      <c r="A14149" s="51" t="s">
        <v>481</v>
      </c>
      <c r="B14149" s="52">
        <v>46387.0</v>
      </c>
      <c r="C14149" s="51" t="s">
        <v>78</v>
      </c>
      <c r="D14149" s="51">
        <v>0.0</v>
      </c>
    </row>
    <row r="14150" ht="15.75" hidden="1" customHeight="1">
      <c r="A14150" s="51" t="s">
        <v>486</v>
      </c>
      <c r="B14150" s="52">
        <v>46387.0</v>
      </c>
      <c r="C14150" s="51" t="s">
        <v>78</v>
      </c>
      <c r="D14150" s="51">
        <v>0.0</v>
      </c>
    </row>
    <row r="14151" ht="15.75" hidden="1" customHeight="1">
      <c r="A14151" s="51" t="s">
        <v>491</v>
      </c>
      <c r="B14151" s="52">
        <v>46387.0</v>
      </c>
      <c r="C14151" s="51" t="s">
        <v>78</v>
      </c>
      <c r="D14151" s="51">
        <v>0.0</v>
      </c>
    </row>
    <row r="14152" ht="15.75" hidden="1" customHeight="1">
      <c r="A14152" s="51" t="s">
        <v>496</v>
      </c>
      <c r="B14152" s="52">
        <v>46387.0</v>
      </c>
      <c r="C14152" s="51" t="s">
        <v>78</v>
      </c>
      <c r="D14152" s="51">
        <v>0.0</v>
      </c>
    </row>
    <row r="14153" ht="15.75" hidden="1" customHeight="1">
      <c r="A14153" s="51" t="s">
        <v>501</v>
      </c>
      <c r="B14153" s="52">
        <v>46387.0</v>
      </c>
      <c r="C14153" s="51" t="s">
        <v>78</v>
      </c>
      <c r="D14153" s="51">
        <v>0.0</v>
      </c>
    </row>
    <row r="14154" ht="15.75" hidden="1" customHeight="1">
      <c r="A14154" s="51" t="s">
        <v>506</v>
      </c>
      <c r="B14154" s="52">
        <v>46387.0</v>
      </c>
      <c r="C14154" s="51" t="s">
        <v>78</v>
      </c>
      <c r="D14154" s="51">
        <v>65046.88</v>
      </c>
    </row>
    <row r="14155" ht="15.75" hidden="1" customHeight="1">
      <c r="A14155" s="51" t="s">
        <v>512</v>
      </c>
      <c r="B14155" s="52">
        <v>46387.0</v>
      </c>
      <c r="C14155" s="51" t="s">
        <v>78</v>
      </c>
      <c r="D14155" s="51">
        <v>0.0</v>
      </c>
    </row>
    <row r="14156" ht="15.75" hidden="1" customHeight="1">
      <c r="A14156" s="51" t="s">
        <v>517</v>
      </c>
      <c r="B14156" s="52">
        <v>46387.0</v>
      </c>
      <c r="C14156" s="51" t="s">
        <v>78</v>
      </c>
      <c r="D14156" s="51">
        <v>0.0</v>
      </c>
    </row>
    <row r="14157" ht="15.75" hidden="1" customHeight="1">
      <c r="A14157" s="51" t="s">
        <v>522</v>
      </c>
      <c r="B14157" s="52">
        <v>46387.0</v>
      </c>
      <c r="C14157" s="51" t="s">
        <v>78</v>
      </c>
      <c r="D14157" s="51">
        <v>2805000.0</v>
      </c>
    </row>
    <row r="14158" ht="15.75" hidden="1" customHeight="1">
      <c r="A14158" s="51" t="s">
        <v>528</v>
      </c>
      <c r="B14158" s="52">
        <v>46387.0</v>
      </c>
      <c r="C14158" s="51" t="s">
        <v>78</v>
      </c>
      <c r="D14158" s="51">
        <v>0.0</v>
      </c>
    </row>
    <row r="14159" ht="15.75" hidden="1" customHeight="1">
      <c r="A14159" s="51" t="s">
        <v>533</v>
      </c>
      <c r="B14159" s="52">
        <v>46387.0</v>
      </c>
      <c r="C14159" s="51" t="s">
        <v>78</v>
      </c>
      <c r="D14159" s="51">
        <v>0.0</v>
      </c>
    </row>
    <row r="14160" ht="15.75" hidden="1" customHeight="1">
      <c r="A14160" s="51" t="s">
        <v>538</v>
      </c>
      <c r="B14160" s="52">
        <v>46387.0</v>
      </c>
      <c r="C14160" s="51" t="s">
        <v>78</v>
      </c>
      <c r="D14160" s="51">
        <v>0.0</v>
      </c>
    </row>
    <row r="14161" ht="15.75" hidden="1" customHeight="1">
      <c r="A14161" s="51" t="s">
        <v>546</v>
      </c>
      <c r="B14161" s="52">
        <v>46387.0</v>
      </c>
      <c r="C14161" s="51" t="s">
        <v>78</v>
      </c>
      <c r="D14161" s="51">
        <v>0.0</v>
      </c>
    </row>
    <row r="14162" ht="15.75" hidden="1" customHeight="1">
      <c r="A14162" s="51" t="s">
        <v>551</v>
      </c>
      <c r="B14162" s="52">
        <v>46387.0</v>
      </c>
      <c r="C14162" s="51" t="s">
        <v>78</v>
      </c>
      <c r="D14162" s="51">
        <v>0.0</v>
      </c>
    </row>
    <row r="14163" ht="15.75" hidden="1" customHeight="1">
      <c r="A14163" s="51" t="s">
        <v>556</v>
      </c>
      <c r="B14163" s="52">
        <v>46387.0</v>
      </c>
      <c r="C14163" s="51" t="s">
        <v>78</v>
      </c>
      <c r="D14163" s="51">
        <v>0.0</v>
      </c>
    </row>
    <row r="14164" ht="15.75" hidden="1" customHeight="1">
      <c r="A14164" s="51" t="s">
        <v>561</v>
      </c>
      <c r="B14164" s="52">
        <v>46387.0</v>
      </c>
      <c r="C14164" s="51" t="s">
        <v>78</v>
      </c>
      <c r="D14164" s="51">
        <v>0.0</v>
      </c>
    </row>
    <row r="14165" ht="15.75" hidden="1" customHeight="1">
      <c r="A14165" s="51" t="s">
        <v>566</v>
      </c>
      <c r="B14165" s="52">
        <v>46387.0</v>
      </c>
      <c r="C14165" s="51" t="s">
        <v>78</v>
      </c>
      <c r="D14165" s="51">
        <v>0.0</v>
      </c>
    </row>
    <row r="14166" ht="15.75" hidden="1" customHeight="1">
      <c r="A14166" s="51" t="s">
        <v>571</v>
      </c>
      <c r="B14166" s="52">
        <v>46387.0</v>
      </c>
      <c r="C14166" s="51" t="s">
        <v>78</v>
      </c>
      <c r="D14166" s="51">
        <v>0.0</v>
      </c>
    </row>
    <row r="14167" ht="15.75" hidden="1" customHeight="1">
      <c r="A14167" s="51" t="s">
        <v>576</v>
      </c>
      <c r="B14167" s="52">
        <v>46387.0</v>
      </c>
      <c r="C14167" s="51" t="s">
        <v>78</v>
      </c>
      <c r="D14167" s="51">
        <v>0.0</v>
      </c>
    </row>
    <row r="14168" ht="15.75" hidden="1" customHeight="1">
      <c r="A14168" s="51" t="s">
        <v>581</v>
      </c>
      <c r="B14168" s="52">
        <v>46387.0</v>
      </c>
      <c r="C14168" s="51" t="s">
        <v>78</v>
      </c>
      <c r="D14168" s="51">
        <v>0.0</v>
      </c>
    </row>
    <row r="14169" ht="15.75" hidden="1" customHeight="1">
      <c r="A14169" s="51" t="s">
        <v>586</v>
      </c>
      <c r="B14169" s="52">
        <v>46387.0</v>
      </c>
      <c r="C14169" s="51" t="s">
        <v>78</v>
      </c>
      <c r="D14169" s="51">
        <v>0.0</v>
      </c>
    </row>
    <row r="14170" ht="15.75" hidden="1" customHeight="1">
      <c r="A14170" s="51" t="s">
        <v>754</v>
      </c>
      <c r="B14170" s="52">
        <v>46387.0</v>
      </c>
      <c r="C14170" s="51" t="s">
        <v>78</v>
      </c>
      <c r="D14170" s="51">
        <v>0.0</v>
      </c>
    </row>
    <row r="14171" ht="15.75" hidden="1" customHeight="1">
      <c r="A14171" s="51" t="s">
        <v>591</v>
      </c>
      <c r="B14171" s="52">
        <v>46387.0</v>
      </c>
      <c r="C14171" s="51" t="s">
        <v>78</v>
      </c>
      <c r="D14171" s="51">
        <v>0.0</v>
      </c>
    </row>
    <row r="14172" ht="15.75" hidden="1" customHeight="1">
      <c r="A14172" s="51" t="s">
        <v>759</v>
      </c>
      <c r="B14172" s="52">
        <v>46387.0</v>
      </c>
      <c r="C14172" s="51" t="s">
        <v>78</v>
      </c>
      <c r="D14172" s="51">
        <v>0.0</v>
      </c>
    </row>
    <row r="14173" ht="15.75" hidden="1" customHeight="1">
      <c r="A14173" s="51" t="s">
        <v>596</v>
      </c>
      <c r="B14173" s="52">
        <v>46387.0</v>
      </c>
      <c r="C14173" s="51" t="s">
        <v>78</v>
      </c>
      <c r="D14173" s="51">
        <v>0.0</v>
      </c>
    </row>
    <row r="14174" ht="15.75" hidden="1" customHeight="1">
      <c r="A14174" s="51" t="s">
        <v>602</v>
      </c>
      <c r="B14174" s="52">
        <v>46387.0</v>
      </c>
      <c r="C14174" s="51" t="s">
        <v>78</v>
      </c>
      <c r="D14174" s="51">
        <v>0.0</v>
      </c>
    </row>
    <row r="14175" ht="15.75" hidden="1" customHeight="1">
      <c r="A14175" s="51" t="s">
        <v>607</v>
      </c>
      <c r="B14175" s="52">
        <v>46387.0</v>
      </c>
      <c r="C14175" s="51" t="s">
        <v>78</v>
      </c>
      <c r="D14175" s="51">
        <v>0.0</v>
      </c>
    </row>
    <row r="14176" ht="15.75" hidden="1" customHeight="1">
      <c r="A14176" s="51" t="s">
        <v>612</v>
      </c>
      <c r="B14176" s="52">
        <v>46387.0</v>
      </c>
      <c r="C14176" s="51" t="s">
        <v>78</v>
      </c>
      <c r="D14176" s="51">
        <v>0.0</v>
      </c>
    </row>
    <row r="14177" ht="15.75" hidden="1" customHeight="1">
      <c r="A14177" s="51" t="s">
        <v>617</v>
      </c>
      <c r="B14177" s="52">
        <v>46387.0</v>
      </c>
      <c r="C14177" s="51" t="s">
        <v>78</v>
      </c>
      <c r="D14177" s="51">
        <v>0.0</v>
      </c>
    </row>
    <row r="14178" ht="15.75" hidden="1" customHeight="1">
      <c r="A14178" s="51" t="s">
        <v>622</v>
      </c>
      <c r="B14178" s="52">
        <v>46387.0</v>
      </c>
      <c r="C14178" s="51" t="s">
        <v>78</v>
      </c>
      <c r="D14178" s="51">
        <v>0.0</v>
      </c>
    </row>
    <row r="14179" ht="15.75" hidden="1" customHeight="1">
      <c r="A14179" s="51" t="s">
        <v>627</v>
      </c>
      <c r="B14179" s="52">
        <v>46387.0</v>
      </c>
      <c r="C14179" s="51" t="s">
        <v>78</v>
      </c>
      <c r="D14179" s="51">
        <v>0.0</v>
      </c>
    </row>
    <row r="14180" ht="15.75" hidden="1" customHeight="1">
      <c r="A14180" s="51" t="s">
        <v>631</v>
      </c>
      <c r="B14180" s="52">
        <v>46387.0</v>
      </c>
      <c r="C14180" s="51" t="s">
        <v>78</v>
      </c>
      <c r="D14180" s="51">
        <v>0.0</v>
      </c>
    </row>
    <row r="14181" ht="15.75" hidden="1" customHeight="1">
      <c r="A14181" s="51" t="s">
        <v>636</v>
      </c>
      <c r="B14181" s="52">
        <v>46387.0</v>
      </c>
      <c r="C14181" s="51" t="s">
        <v>78</v>
      </c>
      <c r="D14181" s="51">
        <v>0.0</v>
      </c>
    </row>
    <row r="14182" ht="15.75" hidden="1" customHeight="1">
      <c r="A14182" s="51" t="s">
        <v>640</v>
      </c>
      <c r="B14182" s="52">
        <v>46387.0</v>
      </c>
      <c r="C14182" s="51" t="s">
        <v>78</v>
      </c>
      <c r="D14182" s="51">
        <v>0.0</v>
      </c>
    </row>
    <row r="14183" ht="15.75" hidden="1" customHeight="1">
      <c r="A14183" s="51" t="s">
        <v>644</v>
      </c>
      <c r="B14183" s="52">
        <v>46387.0</v>
      </c>
      <c r="C14183" s="51" t="s">
        <v>78</v>
      </c>
      <c r="D14183" s="51">
        <v>0.0</v>
      </c>
    </row>
    <row r="14184" ht="15.75" hidden="1" customHeight="1">
      <c r="A14184" s="51" t="s">
        <v>649</v>
      </c>
      <c r="B14184" s="52">
        <v>46387.0</v>
      </c>
      <c r="C14184" s="51" t="s">
        <v>78</v>
      </c>
      <c r="D14184" s="51">
        <v>0.0</v>
      </c>
    </row>
    <row r="14185" ht="15.75" hidden="1" customHeight="1">
      <c r="A14185" s="51" t="s">
        <v>654</v>
      </c>
      <c r="B14185" s="52">
        <v>46387.0</v>
      </c>
      <c r="C14185" s="51" t="s">
        <v>78</v>
      </c>
      <c r="D14185" s="51">
        <v>0.0</v>
      </c>
    </row>
    <row r="14186" ht="15.75" hidden="1" customHeight="1">
      <c r="A14186" s="51" t="s">
        <v>659</v>
      </c>
      <c r="B14186" s="52">
        <v>46387.0</v>
      </c>
      <c r="C14186" s="51" t="s">
        <v>78</v>
      </c>
      <c r="D14186" s="51">
        <v>0.0</v>
      </c>
    </row>
    <row r="14187" ht="15.75" hidden="1" customHeight="1">
      <c r="A14187" s="51" t="s">
        <v>664</v>
      </c>
      <c r="B14187" s="52">
        <v>46387.0</v>
      </c>
      <c r="C14187" s="51" t="s">
        <v>78</v>
      </c>
      <c r="D14187" s="51">
        <v>0.0</v>
      </c>
    </row>
    <row r="14188" ht="15.75" hidden="1" customHeight="1">
      <c r="A14188" s="51" t="s">
        <v>669</v>
      </c>
      <c r="B14188" s="52">
        <v>46387.0</v>
      </c>
      <c r="C14188" s="51" t="s">
        <v>78</v>
      </c>
      <c r="D14188" s="51">
        <v>0.0</v>
      </c>
    </row>
    <row r="14189" ht="15.75" hidden="1" customHeight="1">
      <c r="A14189" s="51" t="s">
        <v>674</v>
      </c>
      <c r="B14189" s="52">
        <v>46387.0</v>
      </c>
      <c r="C14189" s="51" t="s">
        <v>78</v>
      </c>
      <c r="D14189" s="51">
        <v>0.0</v>
      </c>
    </row>
    <row r="14190" ht="15.75" hidden="1" customHeight="1">
      <c r="A14190" s="51" t="s">
        <v>679</v>
      </c>
      <c r="B14190" s="52">
        <v>46387.0</v>
      </c>
      <c r="C14190" s="51" t="s">
        <v>78</v>
      </c>
      <c r="D14190" s="51">
        <v>0.0</v>
      </c>
    </row>
    <row r="14191" ht="15.75" hidden="1" customHeight="1">
      <c r="A14191" s="51" t="s">
        <v>684</v>
      </c>
      <c r="B14191" s="52">
        <v>46387.0</v>
      </c>
      <c r="C14191" s="51" t="s">
        <v>78</v>
      </c>
      <c r="D14191" s="51">
        <v>0.0</v>
      </c>
    </row>
    <row r="14192" ht="15.75" hidden="1" customHeight="1">
      <c r="A14192" s="51" t="s">
        <v>689</v>
      </c>
      <c r="B14192" s="52">
        <v>46387.0</v>
      </c>
      <c r="C14192" s="51" t="s">
        <v>78</v>
      </c>
      <c r="D14192" s="51">
        <v>0.0</v>
      </c>
    </row>
    <row r="14193" ht="15.75" hidden="1" customHeight="1">
      <c r="A14193" s="51" t="s">
        <v>694</v>
      </c>
      <c r="B14193" s="52">
        <v>46387.0</v>
      </c>
      <c r="C14193" s="51" t="s">
        <v>78</v>
      </c>
      <c r="D14193" s="51">
        <v>0.0</v>
      </c>
    </row>
    <row r="14194" ht="15.75" hidden="1" customHeight="1">
      <c r="A14194" s="51" t="s">
        <v>699</v>
      </c>
      <c r="B14194" s="52">
        <v>46387.0</v>
      </c>
      <c r="C14194" s="51" t="s">
        <v>78</v>
      </c>
      <c r="D14194" s="51">
        <v>0.0</v>
      </c>
    </row>
    <row r="14195" ht="15.75" hidden="1" customHeight="1">
      <c r="A14195" s="51" t="s">
        <v>705</v>
      </c>
      <c r="B14195" s="52">
        <v>46387.0</v>
      </c>
      <c r="C14195" s="51" t="s">
        <v>78</v>
      </c>
      <c r="D14195" s="51">
        <v>0.0</v>
      </c>
    </row>
    <row r="14196" ht="15.75" hidden="1" customHeight="1">
      <c r="A14196" s="51" t="s">
        <v>710</v>
      </c>
      <c r="B14196" s="52">
        <v>46387.0</v>
      </c>
      <c r="C14196" s="51" t="s">
        <v>78</v>
      </c>
      <c r="D14196" s="51">
        <v>0.0</v>
      </c>
    </row>
    <row r="14197" ht="15.75" hidden="1" customHeight="1">
      <c r="A14197" s="51" t="s">
        <v>715</v>
      </c>
      <c r="B14197" s="52">
        <v>46387.0</v>
      </c>
      <c r="C14197" s="51" t="s">
        <v>78</v>
      </c>
      <c r="D14197" s="51">
        <v>0.0</v>
      </c>
    </row>
    <row r="14198" ht="15.75" hidden="1" customHeight="1">
      <c r="A14198" s="51" t="s">
        <v>765</v>
      </c>
      <c r="B14198" s="52">
        <v>46387.0</v>
      </c>
      <c r="C14198" s="51" t="s">
        <v>78</v>
      </c>
      <c r="D14198" s="51">
        <v>0.0</v>
      </c>
    </row>
    <row r="14199" ht="15.75" hidden="1" customHeight="1">
      <c r="A14199" s="51" t="s">
        <v>720</v>
      </c>
      <c r="B14199" s="52">
        <v>46387.0</v>
      </c>
      <c r="C14199" s="51" t="s">
        <v>78</v>
      </c>
      <c r="D14199" s="51">
        <v>0.0</v>
      </c>
    </row>
    <row r="14200" ht="15.75" hidden="1" customHeight="1">
      <c r="A14200" s="51" t="s">
        <v>725</v>
      </c>
      <c r="B14200" s="52">
        <v>46387.0</v>
      </c>
      <c r="C14200" s="51" t="s">
        <v>78</v>
      </c>
      <c r="D14200" s="51">
        <v>0.0</v>
      </c>
    </row>
    <row r="14201" ht="15.75" hidden="1" customHeight="1">
      <c r="A14201" s="51" t="s">
        <v>730</v>
      </c>
      <c r="B14201" s="52">
        <v>46387.0</v>
      </c>
      <c r="C14201" s="51" t="s">
        <v>78</v>
      </c>
      <c r="D14201" s="51">
        <v>0.0</v>
      </c>
    </row>
    <row r="14202" ht="15.75" hidden="1" customHeight="1">
      <c r="A14202" s="51" t="s">
        <v>734</v>
      </c>
      <c r="B14202" s="52">
        <v>46387.0</v>
      </c>
      <c r="C14202" s="51" t="s">
        <v>78</v>
      </c>
      <c r="D14202" s="51">
        <v>0.0</v>
      </c>
    </row>
    <row r="14203" ht="15.75" hidden="1" customHeight="1">
      <c r="A14203" s="51" t="s">
        <v>739</v>
      </c>
      <c r="B14203" s="52">
        <v>46387.0</v>
      </c>
      <c r="C14203" s="51" t="s">
        <v>78</v>
      </c>
      <c r="D14203" s="51">
        <v>0.0</v>
      </c>
    </row>
    <row r="14204" ht="15.75" hidden="1" customHeight="1">
      <c r="A14204" s="51" t="s">
        <v>744</v>
      </c>
      <c r="B14204" s="52">
        <v>46387.0</v>
      </c>
      <c r="C14204" s="51" t="s">
        <v>78</v>
      </c>
      <c r="D14204" s="51">
        <v>0.0</v>
      </c>
    </row>
    <row r="14205" ht="15.75" hidden="1" customHeight="1">
      <c r="A14205" s="51" t="s">
        <v>749</v>
      </c>
      <c r="B14205" s="52">
        <v>46387.0</v>
      </c>
      <c r="C14205" s="51" t="s">
        <v>78</v>
      </c>
      <c r="D14205" s="51">
        <v>0.0</v>
      </c>
    </row>
    <row r="14206" ht="15.75" customHeight="1">
      <c r="A14206" s="51" t="s">
        <v>776</v>
      </c>
      <c r="B14206" s="52">
        <v>46387.0</v>
      </c>
      <c r="C14206" s="51" t="s">
        <v>69</v>
      </c>
      <c r="D14206" s="51">
        <v>0.0</v>
      </c>
    </row>
    <row r="14207" ht="15.75" hidden="1" customHeight="1">
      <c r="A14207" s="51" t="s">
        <v>778</v>
      </c>
      <c r="B14207" s="52">
        <v>46387.0</v>
      </c>
      <c r="C14207" s="51" t="s">
        <v>69</v>
      </c>
      <c r="D14207" s="51">
        <v>0.0</v>
      </c>
    </row>
    <row r="14208" ht="15.75" hidden="1" customHeight="1">
      <c r="A14208" s="51" t="s">
        <v>92</v>
      </c>
      <c r="B14208" s="52">
        <v>46387.0</v>
      </c>
      <c r="C14208" s="51" t="s">
        <v>69</v>
      </c>
      <c r="D14208" s="51">
        <v>0.0</v>
      </c>
    </row>
    <row r="14209" ht="15.75" hidden="1" customHeight="1">
      <c r="A14209" s="51" t="s">
        <v>97</v>
      </c>
      <c r="B14209" s="52">
        <v>46387.0</v>
      </c>
      <c r="C14209" s="51" t="s">
        <v>69</v>
      </c>
      <c r="D14209" s="51">
        <v>0.0</v>
      </c>
    </row>
    <row r="14210" ht="15.75" hidden="1" customHeight="1">
      <c r="A14210" s="51" t="s">
        <v>102</v>
      </c>
      <c r="B14210" s="52">
        <v>46387.0</v>
      </c>
      <c r="C14210" s="51" t="s">
        <v>69</v>
      </c>
      <c r="D14210" s="51">
        <v>0.0</v>
      </c>
    </row>
    <row r="14211" ht="15.75" hidden="1" customHeight="1">
      <c r="A14211" s="51" t="s">
        <v>106</v>
      </c>
      <c r="B14211" s="52">
        <v>46387.0</v>
      </c>
      <c r="C14211" s="51" t="s">
        <v>69</v>
      </c>
      <c r="D14211" s="51">
        <v>0.0</v>
      </c>
    </row>
    <row r="14212" ht="15.75" hidden="1" customHeight="1">
      <c r="A14212" s="51" t="s">
        <v>111</v>
      </c>
      <c r="B14212" s="52">
        <v>46387.0</v>
      </c>
      <c r="C14212" s="51" t="s">
        <v>69</v>
      </c>
      <c r="D14212" s="51">
        <v>0.0</v>
      </c>
    </row>
    <row r="14213" ht="15.75" hidden="1" customHeight="1">
      <c r="A14213" s="51" t="s">
        <v>116</v>
      </c>
      <c r="B14213" s="52">
        <v>46387.0</v>
      </c>
      <c r="C14213" s="51" t="s">
        <v>69</v>
      </c>
      <c r="D14213" s="51">
        <v>0.0</v>
      </c>
    </row>
    <row r="14214" ht="15.75" hidden="1" customHeight="1">
      <c r="A14214" s="51" t="s">
        <v>120</v>
      </c>
      <c r="B14214" s="52">
        <v>46387.0</v>
      </c>
      <c r="C14214" s="51" t="s">
        <v>69</v>
      </c>
      <c r="D14214" s="51">
        <v>0.0</v>
      </c>
    </row>
    <row r="14215" ht="15.75" hidden="1" customHeight="1">
      <c r="A14215" s="51" t="s">
        <v>125</v>
      </c>
      <c r="B14215" s="52">
        <v>46387.0</v>
      </c>
      <c r="C14215" s="51" t="s">
        <v>69</v>
      </c>
      <c r="D14215" s="51">
        <v>0.0</v>
      </c>
    </row>
    <row r="14216" ht="15.75" hidden="1" customHeight="1">
      <c r="A14216" s="51" t="s">
        <v>130</v>
      </c>
      <c r="B14216" s="52">
        <v>46387.0</v>
      </c>
      <c r="C14216" s="51" t="s">
        <v>69</v>
      </c>
      <c r="D14216" s="51">
        <v>0.0</v>
      </c>
    </row>
    <row r="14217" ht="15.75" hidden="1" customHeight="1">
      <c r="A14217" s="51" t="s">
        <v>137</v>
      </c>
      <c r="B14217" s="52">
        <v>46387.0</v>
      </c>
      <c r="C14217" s="51" t="s">
        <v>69</v>
      </c>
      <c r="D14217" s="51">
        <v>0.0</v>
      </c>
    </row>
    <row r="14218" ht="15.75" hidden="1" customHeight="1">
      <c r="A14218" s="51" t="s">
        <v>142</v>
      </c>
      <c r="B14218" s="52">
        <v>46387.0</v>
      </c>
      <c r="C14218" s="51" t="s">
        <v>69</v>
      </c>
      <c r="D14218" s="51">
        <v>0.0</v>
      </c>
    </row>
    <row r="14219" ht="15.75" hidden="1" customHeight="1">
      <c r="A14219" s="51" t="s">
        <v>147</v>
      </c>
      <c r="B14219" s="52">
        <v>46387.0</v>
      </c>
      <c r="C14219" s="51" t="s">
        <v>69</v>
      </c>
      <c r="D14219" s="51">
        <v>0.0</v>
      </c>
    </row>
    <row r="14220" ht="15.75" hidden="1" customHeight="1">
      <c r="A14220" s="51" t="s">
        <v>152</v>
      </c>
      <c r="B14220" s="52">
        <v>46387.0</v>
      </c>
      <c r="C14220" s="51" t="s">
        <v>69</v>
      </c>
      <c r="D14220" s="51">
        <v>0.0</v>
      </c>
    </row>
    <row r="14221" ht="15.75" hidden="1" customHeight="1">
      <c r="A14221" s="51" t="s">
        <v>157</v>
      </c>
      <c r="B14221" s="52">
        <v>46387.0</v>
      </c>
      <c r="C14221" s="51" t="s">
        <v>69</v>
      </c>
      <c r="D14221" s="51">
        <v>0.0</v>
      </c>
    </row>
    <row r="14222" ht="15.75" hidden="1" customHeight="1">
      <c r="A14222" s="51" t="s">
        <v>162</v>
      </c>
      <c r="B14222" s="52">
        <v>46387.0</v>
      </c>
      <c r="C14222" s="51" t="s">
        <v>69</v>
      </c>
      <c r="D14222" s="51">
        <v>0.0</v>
      </c>
    </row>
    <row r="14223" ht="15.75" hidden="1" customHeight="1">
      <c r="A14223" s="51" t="s">
        <v>167</v>
      </c>
      <c r="B14223" s="52">
        <v>46387.0</v>
      </c>
      <c r="C14223" s="51" t="s">
        <v>69</v>
      </c>
      <c r="D14223" s="51">
        <v>0.0</v>
      </c>
    </row>
    <row r="14224" ht="15.75" hidden="1" customHeight="1">
      <c r="A14224" s="51" t="s">
        <v>172</v>
      </c>
      <c r="B14224" s="52">
        <v>46387.0</v>
      </c>
      <c r="C14224" s="51" t="s">
        <v>69</v>
      </c>
      <c r="D14224" s="51">
        <v>0.0</v>
      </c>
    </row>
    <row r="14225" ht="15.75" hidden="1" customHeight="1">
      <c r="A14225" s="51" t="s">
        <v>177</v>
      </c>
      <c r="B14225" s="52">
        <v>46387.0</v>
      </c>
      <c r="C14225" s="51" t="s">
        <v>69</v>
      </c>
      <c r="D14225" s="51">
        <v>0.0</v>
      </c>
    </row>
    <row r="14226" ht="15.75" hidden="1" customHeight="1">
      <c r="A14226" s="51" t="s">
        <v>182</v>
      </c>
      <c r="B14226" s="52">
        <v>46387.0</v>
      </c>
      <c r="C14226" s="51" t="s">
        <v>69</v>
      </c>
      <c r="D14226" s="51">
        <v>0.0</v>
      </c>
    </row>
    <row r="14227" ht="15.75" hidden="1" customHeight="1">
      <c r="A14227" s="51" t="s">
        <v>187</v>
      </c>
      <c r="B14227" s="52">
        <v>46387.0</v>
      </c>
      <c r="C14227" s="51" t="s">
        <v>69</v>
      </c>
      <c r="D14227" s="51">
        <v>0.0</v>
      </c>
    </row>
    <row r="14228" ht="15.75" hidden="1" customHeight="1">
      <c r="A14228" s="51" t="s">
        <v>192</v>
      </c>
      <c r="B14228" s="52">
        <v>46387.0</v>
      </c>
      <c r="C14228" s="51" t="s">
        <v>69</v>
      </c>
      <c r="D14228" s="51">
        <v>0.0</v>
      </c>
    </row>
    <row r="14229" ht="15.75" hidden="1" customHeight="1">
      <c r="A14229" s="51" t="s">
        <v>197</v>
      </c>
      <c r="B14229" s="52">
        <v>46387.0</v>
      </c>
      <c r="C14229" s="51" t="s">
        <v>69</v>
      </c>
      <c r="D14229" s="51">
        <v>0.0</v>
      </c>
    </row>
    <row r="14230" ht="15.75" hidden="1" customHeight="1">
      <c r="A14230" s="51" t="s">
        <v>202</v>
      </c>
      <c r="B14230" s="52">
        <v>46387.0</v>
      </c>
      <c r="C14230" s="51" t="s">
        <v>69</v>
      </c>
      <c r="D14230" s="51">
        <v>0.0</v>
      </c>
    </row>
    <row r="14231" ht="15.75" hidden="1" customHeight="1">
      <c r="A14231" s="51" t="s">
        <v>206</v>
      </c>
      <c r="B14231" s="52">
        <v>46387.0</v>
      </c>
      <c r="C14231" s="51" t="s">
        <v>69</v>
      </c>
      <c r="D14231" s="51">
        <v>0.0</v>
      </c>
    </row>
    <row r="14232" ht="15.75" hidden="1" customHeight="1">
      <c r="A14232" s="51" t="s">
        <v>211</v>
      </c>
      <c r="B14232" s="52">
        <v>46387.0</v>
      </c>
      <c r="C14232" s="51" t="s">
        <v>69</v>
      </c>
      <c r="D14232" s="51">
        <v>0.0</v>
      </c>
    </row>
    <row r="14233" ht="15.75" hidden="1" customHeight="1">
      <c r="A14233" s="51" t="s">
        <v>779</v>
      </c>
      <c r="B14233" s="52">
        <v>46387.0</v>
      </c>
      <c r="C14233" s="51" t="s">
        <v>69</v>
      </c>
      <c r="D14233" s="51">
        <v>0.0</v>
      </c>
    </row>
    <row r="14234" ht="15.75" hidden="1" customHeight="1">
      <c r="A14234" s="51" t="s">
        <v>221</v>
      </c>
      <c r="B14234" s="52">
        <v>46387.0</v>
      </c>
      <c r="C14234" s="51" t="s">
        <v>69</v>
      </c>
      <c r="D14234" s="51">
        <v>0.0</v>
      </c>
    </row>
    <row r="14235" ht="15.75" hidden="1" customHeight="1">
      <c r="A14235" s="51" t="s">
        <v>226</v>
      </c>
      <c r="B14235" s="52">
        <v>46387.0</v>
      </c>
      <c r="C14235" s="51" t="s">
        <v>69</v>
      </c>
      <c r="D14235" s="51">
        <v>0.0</v>
      </c>
    </row>
    <row r="14236" ht="15.75" hidden="1" customHeight="1">
      <c r="A14236" s="51" t="s">
        <v>231</v>
      </c>
      <c r="B14236" s="52">
        <v>46387.0</v>
      </c>
      <c r="C14236" s="51" t="s">
        <v>69</v>
      </c>
      <c r="D14236" s="51">
        <v>0.0</v>
      </c>
    </row>
    <row r="14237" ht="15.75" hidden="1" customHeight="1">
      <c r="A14237" s="51" t="s">
        <v>236</v>
      </c>
      <c r="B14237" s="52">
        <v>46387.0</v>
      </c>
      <c r="C14237" s="51" t="s">
        <v>69</v>
      </c>
      <c r="D14237" s="51">
        <v>0.0</v>
      </c>
    </row>
    <row r="14238" ht="15.75" hidden="1" customHeight="1">
      <c r="A14238" s="51" t="s">
        <v>242</v>
      </c>
      <c r="B14238" s="52">
        <v>46387.0</v>
      </c>
      <c r="C14238" s="51" t="s">
        <v>69</v>
      </c>
      <c r="D14238" s="51">
        <v>0.0</v>
      </c>
    </row>
    <row r="14239" ht="15.75" hidden="1" customHeight="1">
      <c r="A14239" s="51" t="s">
        <v>248</v>
      </c>
      <c r="B14239" s="52">
        <v>46387.0</v>
      </c>
      <c r="C14239" s="51" t="s">
        <v>69</v>
      </c>
      <c r="D14239" s="51">
        <v>0.0</v>
      </c>
    </row>
    <row r="14240" ht="15.75" hidden="1" customHeight="1">
      <c r="A14240" s="51" t="s">
        <v>253</v>
      </c>
      <c r="B14240" s="52">
        <v>46387.0</v>
      </c>
      <c r="C14240" s="51" t="s">
        <v>69</v>
      </c>
      <c r="D14240" s="51">
        <v>0.0</v>
      </c>
    </row>
    <row r="14241" ht="15.75" hidden="1" customHeight="1">
      <c r="A14241" s="51" t="s">
        <v>258</v>
      </c>
      <c r="B14241" s="52">
        <v>46387.0</v>
      </c>
      <c r="C14241" s="51" t="s">
        <v>69</v>
      </c>
      <c r="D14241" s="51">
        <v>0.0</v>
      </c>
    </row>
    <row r="14242" ht="15.75" hidden="1" customHeight="1">
      <c r="A14242" s="51" t="s">
        <v>263</v>
      </c>
      <c r="B14242" s="52">
        <v>46387.0</v>
      </c>
      <c r="C14242" s="51" t="s">
        <v>69</v>
      </c>
      <c r="D14242" s="51">
        <v>0.0</v>
      </c>
    </row>
    <row r="14243" ht="15.75" hidden="1" customHeight="1">
      <c r="A14243" s="51" t="s">
        <v>268</v>
      </c>
      <c r="B14243" s="52">
        <v>46387.0</v>
      </c>
      <c r="C14243" s="51" t="s">
        <v>69</v>
      </c>
      <c r="D14243" s="51">
        <v>0.0</v>
      </c>
    </row>
    <row r="14244" ht="15.75" hidden="1" customHeight="1">
      <c r="A14244" s="51" t="s">
        <v>273</v>
      </c>
      <c r="B14244" s="52">
        <v>46387.0</v>
      </c>
      <c r="C14244" s="51" t="s">
        <v>69</v>
      </c>
      <c r="D14244" s="51">
        <v>0.0</v>
      </c>
    </row>
    <row r="14245" ht="15.75" hidden="1" customHeight="1">
      <c r="A14245" s="51" t="s">
        <v>278</v>
      </c>
      <c r="B14245" s="52">
        <v>46387.0</v>
      </c>
      <c r="C14245" s="51" t="s">
        <v>69</v>
      </c>
      <c r="D14245" s="51">
        <v>0.0</v>
      </c>
    </row>
    <row r="14246" ht="15.75" hidden="1" customHeight="1">
      <c r="A14246" s="51" t="s">
        <v>283</v>
      </c>
      <c r="B14246" s="52">
        <v>46387.0</v>
      </c>
      <c r="C14246" s="51" t="s">
        <v>69</v>
      </c>
      <c r="D14246" s="51">
        <v>0.0</v>
      </c>
    </row>
    <row r="14247" ht="15.75" hidden="1" customHeight="1">
      <c r="A14247" s="51" t="s">
        <v>288</v>
      </c>
      <c r="B14247" s="52">
        <v>46387.0</v>
      </c>
      <c r="C14247" s="51" t="s">
        <v>69</v>
      </c>
      <c r="D14247" s="51">
        <v>0.0</v>
      </c>
    </row>
    <row r="14248" ht="15.75" hidden="1" customHeight="1">
      <c r="A14248" s="51" t="s">
        <v>293</v>
      </c>
      <c r="B14248" s="52">
        <v>46387.0</v>
      </c>
      <c r="C14248" s="51" t="s">
        <v>69</v>
      </c>
      <c r="D14248" s="51">
        <v>0.0</v>
      </c>
    </row>
    <row r="14249" ht="15.75" hidden="1" customHeight="1">
      <c r="A14249" s="51" t="s">
        <v>298</v>
      </c>
      <c r="B14249" s="52">
        <v>46387.0</v>
      </c>
      <c r="C14249" s="51" t="s">
        <v>69</v>
      </c>
      <c r="D14249" s="51">
        <v>0.0</v>
      </c>
    </row>
    <row r="14250" ht="15.75" hidden="1" customHeight="1">
      <c r="A14250" s="51" t="s">
        <v>303</v>
      </c>
      <c r="B14250" s="52">
        <v>46387.0</v>
      </c>
      <c r="C14250" s="51" t="s">
        <v>69</v>
      </c>
      <c r="D14250" s="51">
        <v>0.0</v>
      </c>
    </row>
    <row r="14251" ht="15.75" hidden="1" customHeight="1">
      <c r="A14251" s="51" t="s">
        <v>307</v>
      </c>
      <c r="B14251" s="52">
        <v>46387.0</v>
      </c>
      <c r="C14251" s="51" t="s">
        <v>69</v>
      </c>
      <c r="D14251" s="51">
        <v>0.0</v>
      </c>
    </row>
    <row r="14252" ht="15.75" hidden="1" customHeight="1">
      <c r="A14252" s="51" t="s">
        <v>313</v>
      </c>
      <c r="B14252" s="52">
        <v>46387.0</v>
      </c>
      <c r="C14252" s="51" t="s">
        <v>69</v>
      </c>
      <c r="D14252" s="51">
        <v>0.0</v>
      </c>
    </row>
    <row r="14253" ht="15.75" hidden="1" customHeight="1">
      <c r="A14253" s="51" t="s">
        <v>318</v>
      </c>
      <c r="B14253" s="52">
        <v>46387.0</v>
      </c>
      <c r="C14253" s="51" t="s">
        <v>69</v>
      </c>
      <c r="D14253" s="51">
        <v>0.0</v>
      </c>
    </row>
    <row r="14254" ht="15.75" hidden="1" customHeight="1">
      <c r="A14254" s="51" t="s">
        <v>323</v>
      </c>
      <c r="B14254" s="52">
        <v>46387.0</v>
      </c>
      <c r="C14254" s="51" t="s">
        <v>69</v>
      </c>
      <c r="D14254" s="51">
        <v>0.0</v>
      </c>
    </row>
    <row r="14255" ht="15.75" hidden="1" customHeight="1">
      <c r="A14255" s="51" t="s">
        <v>328</v>
      </c>
      <c r="B14255" s="52">
        <v>46387.0</v>
      </c>
      <c r="C14255" s="51" t="s">
        <v>69</v>
      </c>
      <c r="D14255" s="51">
        <v>0.0</v>
      </c>
    </row>
    <row r="14256" ht="15.75" hidden="1" customHeight="1">
      <c r="A14256" s="51" t="s">
        <v>335</v>
      </c>
      <c r="B14256" s="52">
        <v>46387.0</v>
      </c>
      <c r="C14256" s="51" t="s">
        <v>69</v>
      </c>
      <c r="D14256" s="51">
        <v>0.0</v>
      </c>
    </row>
    <row r="14257" ht="15.75" hidden="1" customHeight="1">
      <c r="A14257" s="51" t="s">
        <v>340</v>
      </c>
      <c r="B14257" s="52">
        <v>46387.0</v>
      </c>
      <c r="C14257" s="51" t="s">
        <v>69</v>
      </c>
      <c r="D14257" s="51">
        <v>0.0</v>
      </c>
    </row>
    <row r="14258" ht="15.75" hidden="1" customHeight="1">
      <c r="A14258" s="51" t="s">
        <v>345</v>
      </c>
      <c r="B14258" s="52">
        <v>46387.0</v>
      </c>
      <c r="C14258" s="51" t="s">
        <v>69</v>
      </c>
      <c r="D14258" s="51">
        <v>0.0</v>
      </c>
    </row>
    <row r="14259" ht="15.75" hidden="1" customHeight="1">
      <c r="A14259" s="51" t="s">
        <v>350</v>
      </c>
      <c r="B14259" s="52">
        <v>46387.0</v>
      </c>
      <c r="C14259" s="51" t="s">
        <v>69</v>
      </c>
      <c r="D14259" s="51">
        <v>0.0</v>
      </c>
    </row>
    <row r="14260" ht="15.75" hidden="1" customHeight="1">
      <c r="A14260" s="51" t="s">
        <v>355</v>
      </c>
      <c r="B14260" s="52">
        <v>46387.0</v>
      </c>
      <c r="C14260" s="51" t="s">
        <v>69</v>
      </c>
      <c r="D14260" s="51">
        <v>0.0</v>
      </c>
    </row>
    <row r="14261" ht="15.75" hidden="1" customHeight="1">
      <c r="A14261" s="51" t="s">
        <v>360</v>
      </c>
      <c r="B14261" s="52">
        <v>46387.0</v>
      </c>
      <c r="C14261" s="51" t="s">
        <v>69</v>
      </c>
      <c r="D14261" s="51">
        <v>0.0</v>
      </c>
    </row>
    <row r="14262" ht="15.75" hidden="1" customHeight="1">
      <c r="A14262" s="51" t="s">
        <v>365</v>
      </c>
      <c r="B14262" s="52">
        <v>46387.0</v>
      </c>
      <c r="C14262" s="51" t="s">
        <v>69</v>
      </c>
      <c r="D14262" s="51">
        <v>0.0</v>
      </c>
    </row>
    <row r="14263" ht="15.75" hidden="1" customHeight="1">
      <c r="A14263" s="51" t="s">
        <v>370</v>
      </c>
      <c r="B14263" s="52">
        <v>46387.0</v>
      </c>
      <c r="C14263" s="51" t="s">
        <v>69</v>
      </c>
      <c r="D14263" s="51">
        <v>0.0</v>
      </c>
    </row>
    <row r="14264" ht="15.75" hidden="1" customHeight="1">
      <c r="A14264" s="51" t="s">
        <v>375</v>
      </c>
      <c r="B14264" s="52">
        <v>46387.0</v>
      </c>
      <c r="C14264" s="51" t="s">
        <v>69</v>
      </c>
      <c r="D14264" s="51">
        <v>0.0</v>
      </c>
    </row>
    <row r="14265" ht="15.75" hidden="1" customHeight="1">
      <c r="A14265" s="51" t="s">
        <v>380</v>
      </c>
      <c r="B14265" s="52">
        <v>46387.0</v>
      </c>
      <c r="C14265" s="51" t="s">
        <v>69</v>
      </c>
      <c r="D14265" s="51">
        <v>0.0</v>
      </c>
    </row>
    <row r="14266" ht="15.75" hidden="1" customHeight="1">
      <c r="A14266" s="51" t="s">
        <v>385</v>
      </c>
      <c r="B14266" s="52">
        <v>46387.0</v>
      </c>
      <c r="C14266" s="51" t="s">
        <v>69</v>
      </c>
      <c r="D14266" s="51">
        <v>1024085.9</v>
      </c>
    </row>
    <row r="14267" ht="15.75" hidden="1" customHeight="1">
      <c r="A14267" s="51" t="s">
        <v>390</v>
      </c>
      <c r="B14267" s="52">
        <v>46387.0</v>
      </c>
      <c r="C14267" s="51" t="s">
        <v>69</v>
      </c>
      <c r="D14267" s="51">
        <v>0.0</v>
      </c>
    </row>
    <row r="14268" ht="15.75" hidden="1" customHeight="1">
      <c r="A14268" s="51" t="s">
        <v>395</v>
      </c>
      <c r="B14268" s="52">
        <v>46387.0</v>
      </c>
      <c r="C14268" s="51" t="s">
        <v>69</v>
      </c>
      <c r="D14268" s="51">
        <v>0.0</v>
      </c>
    </row>
    <row r="14269" ht="15.75" hidden="1" customHeight="1">
      <c r="A14269" s="51" t="s">
        <v>400</v>
      </c>
      <c r="B14269" s="52">
        <v>46387.0</v>
      </c>
      <c r="C14269" s="51" t="s">
        <v>69</v>
      </c>
      <c r="D14269" s="51">
        <v>500000.0</v>
      </c>
    </row>
    <row r="14270" ht="15.75" hidden="1" customHeight="1">
      <c r="A14270" s="51" t="s">
        <v>405</v>
      </c>
      <c r="B14270" s="52">
        <v>46387.0</v>
      </c>
      <c r="C14270" s="51" t="s">
        <v>69</v>
      </c>
      <c r="D14270" s="51">
        <v>0.0</v>
      </c>
    </row>
    <row r="14271" ht="15.75" hidden="1" customHeight="1">
      <c r="A14271" s="51" t="s">
        <v>410</v>
      </c>
      <c r="B14271" s="52">
        <v>46387.0</v>
      </c>
      <c r="C14271" s="51" t="s">
        <v>69</v>
      </c>
      <c r="D14271" s="51">
        <v>0.0</v>
      </c>
    </row>
    <row r="14272" ht="15.75" hidden="1" customHeight="1">
      <c r="A14272" s="51" t="s">
        <v>415</v>
      </c>
      <c r="B14272" s="52">
        <v>46387.0</v>
      </c>
      <c r="C14272" s="51" t="s">
        <v>69</v>
      </c>
      <c r="D14272" s="51">
        <v>0.0</v>
      </c>
    </row>
    <row r="14273" ht="15.75" hidden="1" customHeight="1">
      <c r="A14273" s="51" t="s">
        <v>420</v>
      </c>
      <c r="B14273" s="52">
        <v>46387.0</v>
      </c>
      <c r="C14273" s="51" t="s">
        <v>69</v>
      </c>
      <c r="D14273" s="51">
        <v>0.0</v>
      </c>
    </row>
    <row r="14274" ht="15.75" hidden="1" customHeight="1">
      <c r="A14274" s="51" t="s">
        <v>425</v>
      </c>
      <c r="B14274" s="52">
        <v>46387.0</v>
      </c>
      <c r="C14274" s="51" t="s">
        <v>69</v>
      </c>
      <c r="D14274" s="51">
        <v>0.0</v>
      </c>
    </row>
    <row r="14275" ht="15.75" hidden="1" customHeight="1">
      <c r="A14275" s="51" t="s">
        <v>430</v>
      </c>
      <c r="B14275" s="52">
        <v>46387.0</v>
      </c>
      <c r="C14275" s="51" t="s">
        <v>69</v>
      </c>
      <c r="D14275" s="51">
        <v>0.0</v>
      </c>
    </row>
    <row r="14276" ht="15.75" hidden="1" customHeight="1">
      <c r="A14276" s="51" t="s">
        <v>434</v>
      </c>
      <c r="B14276" s="52">
        <v>46387.0</v>
      </c>
      <c r="C14276" s="51" t="s">
        <v>69</v>
      </c>
      <c r="D14276" s="51">
        <v>0.0</v>
      </c>
    </row>
    <row r="14277" ht="15.75" hidden="1" customHeight="1">
      <c r="A14277" s="51" t="s">
        <v>439</v>
      </c>
      <c r="B14277" s="52">
        <v>46387.0</v>
      </c>
      <c r="C14277" s="51" t="s">
        <v>69</v>
      </c>
      <c r="D14277" s="51">
        <v>0.0</v>
      </c>
    </row>
    <row r="14278" ht="15.75" hidden="1" customHeight="1">
      <c r="A14278" s="51" t="s">
        <v>444</v>
      </c>
      <c r="B14278" s="52">
        <v>46387.0</v>
      </c>
      <c r="C14278" s="51" t="s">
        <v>69</v>
      </c>
      <c r="D14278" s="51">
        <v>0.0</v>
      </c>
    </row>
    <row r="14279" ht="15.75" hidden="1" customHeight="1">
      <c r="A14279" s="51" t="s">
        <v>449</v>
      </c>
      <c r="B14279" s="52">
        <v>46387.0</v>
      </c>
      <c r="C14279" s="51" t="s">
        <v>69</v>
      </c>
      <c r="D14279" s="51">
        <v>0.0</v>
      </c>
    </row>
    <row r="14280" ht="15.75" hidden="1" customHeight="1">
      <c r="A14280" s="51" t="s">
        <v>455</v>
      </c>
      <c r="B14280" s="52">
        <v>46387.0</v>
      </c>
      <c r="C14280" s="51" t="s">
        <v>69</v>
      </c>
      <c r="D14280" s="51">
        <v>0.0</v>
      </c>
    </row>
    <row r="14281" ht="15.75" hidden="1" customHeight="1">
      <c r="A14281" s="51" t="s">
        <v>470</v>
      </c>
      <c r="B14281" s="52">
        <v>46387.0</v>
      </c>
      <c r="C14281" s="51" t="s">
        <v>69</v>
      </c>
      <c r="D14281" s="51">
        <v>0.0</v>
      </c>
    </row>
    <row r="14282" ht="15.75" hidden="1" customHeight="1">
      <c r="A14282" s="51" t="s">
        <v>476</v>
      </c>
      <c r="B14282" s="52">
        <v>46387.0</v>
      </c>
      <c r="C14282" s="51" t="s">
        <v>69</v>
      </c>
      <c r="D14282" s="51">
        <v>0.0</v>
      </c>
    </row>
    <row r="14283" ht="15.75" hidden="1" customHeight="1">
      <c r="A14283" s="51" t="s">
        <v>481</v>
      </c>
      <c r="B14283" s="52">
        <v>46387.0</v>
      </c>
      <c r="C14283" s="51" t="s">
        <v>69</v>
      </c>
      <c r="D14283" s="51">
        <v>0.0</v>
      </c>
    </row>
    <row r="14284" ht="15.75" hidden="1" customHeight="1">
      <c r="A14284" s="51" t="s">
        <v>486</v>
      </c>
      <c r="B14284" s="52">
        <v>46387.0</v>
      </c>
      <c r="C14284" s="51" t="s">
        <v>69</v>
      </c>
      <c r="D14284" s="51">
        <v>0.0</v>
      </c>
    </row>
    <row r="14285" ht="15.75" hidden="1" customHeight="1">
      <c r="A14285" s="51" t="s">
        <v>491</v>
      </c>
      <c r="B14285" s="52">
        <v>46387.0</v>
      </c>
      <c r="C14285" s="51" t="s">
        <v>69</v>
      </c>
      <c r="D14285" s="51">
        <v>0.0</v>
      </c>
    </row>
    <row r="14286" ht="15.75" hidden="1" customHeight="1">
      <c r="A14286" s="51" t="s">
        <v>496</v>
      </c>
      <c r="B14286" s="52">
        <v>46387.0</v>
      </c>
      <c r="C14286" s="51" t="s">
        <v>69</v>
      </c>
      <c r="D14286" s="51">
        <v>0.0</v>
      </c>
    </row>
    <row r="14287" ht="15.75" hidden="1" customHeight="1">
      <c r="A14287" s="51" t="s">
        <v>501</v>
      </c>
      <c r="B14287" s="52">
        <v>46387.0</v>
      </c>
      <c r="C14287" s="51" t="s">
        <v>69</v>
      </c>
      <c r="D14287" s="51">
        <v>0.0</v>
      </c>
    </row>
    <row r="14288" ht="15.75" hidden="1" customHeight="1">
      <c r="A14288" s="51" t="s">
        <v>506</v>
      </c>
      <c r="B14288" s="52">
        <v>46387.0</v>
      </c>
      <c r="C14288" s="51" t="s">
        <v>69</v>
      </c>
      <c r="D14288" s="51">
        <v>0.0</v>
      </c>
    </row>
    <row r="14289" ht="15.75" hidden="1" customHeight="1">
      <c r="A14289" s="51" t="s">
        <v>512</v>
      </c>
      <c r="B14289" s="52">
        <v>46387.0</v>
      </c>
      <c r="C14289" s="51" t="s">
        <v>69</v>
      </c>
      <c r="D14289" s="51">
        <v>0.0</v>
      </c>
    </row>
    <row r="14290" ht="15.75" hidden="1" customHeight="1">
      <c r="A14290" s="51" t="s">
        <v>517</v>
      </c>
      <c r="B14290" s="52">
        <v>46387.0</v>
      </c>
      <c r="C14290" s="51" t="s">
        <v>69</v>
      </c>
      <c r="D14290" s="51">
        <v>0.0</v>
      </c>
    </row>
    <row r="14291" ht="15.75" hidden="1" customHeight="1">
      <c r="A14291" s="51" t="s">
        <v>522</v>
      </c>
      <c r="B14291" s="52">
        <v>46387.0</v>
      </c>
      <c r="C14291" s="51" t="s">
        <v>69</v>
      </c>
      <c r="D14291" s="51">
        <v>0.0</v>
      </c>
    </row>
    <row r="14292" ht="15.75" hidden="1" customHeight="1">
      <c r="A14292" s="51" t="s">
        <v>528</v>
      </c>
      <c r="B14292" s="52">
        <v>46387.0</v>
      </c>
      <c r="C14292" s="51" t="s">
        <v>69</v>
      </c>
      <c r="D14292" s="51">
        <v>0.0</v>
      </c>
    </row>
    <row r="14293" ht="15.75" hidden="1" customHeight="1">
      <c r="A14293" s="51" t="s">
        <v>533</v>
      </c>
      <c r="B14293" s="52">
        <v>46387.0</v>
      </c>
      <c r="C14293" s="51" t="s">
        <v>69</v>
      </c>
      <c r="D14293" s="51">
        <v>0.0</v>
      </c>
    </row>
    <row r="14294" ht="15.75" hidden="1" customHeight="1">
      <c r="A14294" s="51" t="s">
        <v>538</v>
      </c>
      <c r="B14294" s="52">
        <v>46387.0</v>
      </c>
      <c r="C14294" s="51" t="s">
        <v>69</v>
      </c>
      <c r="D14294" s="51">
        <v>0.0</v>
      </c>
    </row>
    <row r="14295" ht="15.75" hidden="1" customHeight="1">
      <c r="A14295" s="51" t="s">
        <v>546</v>
      </c>
      <c r="B14295" s="52">
        <v>46387.0</v>
      </c>
      <c r="C14295" s="51" t="s">
        <v>69</v>
      </c>
      <c r="D14295" s="51">
        <v>0.0</v>
      </c>
    </row>
    <row r="14296" ht="15.75" hidden="1" customHeight="1">
      <c r="A14296" s="51" t="s">
        <v>551</v>
      </c>
      <c r="B14296" s="52">
        <v>46387.0</v>
      </c>
      <c r="C14296" s="51" t="s">
        <v>69</v>
      </c>
      <c r="D14296" s="51">
        <v>0.0</v>
      </c>
    </row>
    <row r="14297" ht="15.75" hidden="1" customHeight="1">
      <c r="A14297" s="51" t="s">
        <v>556</v>
      </c>
      <c r="B14297" s="52">
        <v>46387.0</v>
      </c>
      <c r="C14297" s="51" t="s">
        <v>69</v>
      </c>
      <c r="D14297" s="51">
        <v>0.0</v>
      </c>
    </row>
    <row r="14298" ht="15.75" hidden="1" customHeight="1">
      <c r="A14298" s="51" t="s">
        <v>561</v>
      </c>
      <c r="B14298" s="52">
        <v>46387.0</v>
      </c>
      <c r="C14298" s="51" t="s">
        <v>69</v>
      </c>
      <c r="D14298" s="51">
        <v>0.0</v>
      </c>
    </row>
    <row r="14299" ht="15.75" hidden="1" customHeight="1">
      <c r="A14299" s="51" t="s">
        <v>566</v>
      </c>
      <c r="B14299" s="52">
        <v>46387.0</v>
      </c>
      <c r="C14299" s="51" t="s">
        <v>69</v>
      </c>
      <c r="D14299" s="51">
        <v>100000.0</v>
      </c>
    </row>
    <row r="14300" ht="15.75" hidden="1" customHeight="1">
      <c r="A14300" s="51" t="s">
        <v>571</v>
      </c>
      <c r="B14300" s="52">
        <v>46387.0</v>
      </c>
      <c r="C14300" s="51" t="s">
        <v>69</v>
      </c>
      <c r="D14300" s="51">
        <v>0.0</v>
      </c>
    </row>
    <row r="14301" ht="15.75" hidden="1" customHeight="1">
      <c r="A14301" s="51" t="s">
        <v>576</v>
      </c>
      <c r="B14301" s="52">
        <v>46387.0</v>
      </c>
      <c r="C14301" s="51" t="s">
        <v>69</v>
      </c>
      <c r="D14301" s="51">
        <v>0.0</v>
      </c>
    </row>
    <row r="14302" ht="15.75" hidden="1" customHeight="1">
      <c r="A14302" s="51" t="s">
        <v>581</v>
      </c>
      <c r="B14302" s="52">
        <v>46387.0</v>
      </c>
      <c r="C14302" s="51" t="s">
        <v>69</v>
      </c>
      <c r="D14302" s="51">
        <v>0.0</v>
      </c>
    </row>
    <row r="14303" ht="15.75" hidden="1" customHeight="1">
      <c r="A14303" s="51" t="s">
        <v>586</v>
      </c>
      <c r="B14303" s="52">
        <v>46387.0</v>
      </c>
      <c r="C14303" s="51" t="s">
        <v>69</v>
      </c>
      <c r="D14303" s="51">
        <v>0.0</v>
      </c>
    </row>
    <row r="14304" ht="15.75" hidden="1" customHeight="1">
      <c r="A14304" s="51" t="s">
        <v>754</v>
      </c>
      <c r="B14304" s="52">
        <v>46387.0</v>
      </c>
      <c r="C14304" s="51" t="s">
        <v>69</v>
      </c>
      <c r="D14304" s="51">
        <v>0.0</v>
      </c>
    </row>
    <row r="14305" ht="15.75" hidden="1" customHeight="1">
      <c r="A14305" s="51" t="s">
        <v>591</v>
      </c>
      <c r="B14305" s="52">
        <v>46387.0</v>
      </c>
      <c r="C14305" s="51" t="s">
        <v>69</v>
      </c>
      <c r="D14305" s="51">
        <v>0.0</v>
      </c>
    </row>
    <row r="14306" ht="15.75" hidden="1" customHeight="1">
      <c r="A14306" s="51" t="s">
        <v>759</v>
      </c>
      <c r="B14306" s="52">
        <v>46387.0</v>
      </c>
      <c r="C14306" s="51" t="s">
        <v>69</v>
      </c>
      <c r="D14306" s="51">
        <v>0.0</v>
      </c>
    </row>
    <row r="14307" ht="15.75" hidden="1" customHeight="1">
      <c r="A14307" s="51" t="s">
        <v>596</v>
      </c>
      <c r="B14307" s="52">
        <v>46387.0</v>
      </c>
      <c r="C14307" s="51" t="s">
        <v>69</v>
      </c>
      <c r="D14307" s="51">
        <v>500000.0</v>
      </c>
    </row>
    <row r="14308" ht="15.75" hidden="1" customHeight="1">
      <c r="A14308" s="51" t="s">
        <v>602</v>
      </c>
      <c r="B14308" s="52">
        <v>46387.0</v>
      </c>
      <c r="C14308" s="51" t="s">
        <v>69</v>
      </c>
      <c r="D14308" s="51">
        <v>0.0</v>
      </c>
    </row>
    <row r="14309" ht="15.75" hidden="1" customHeight="1">
      <c r="A14309" s="51" t="s">
        <v>607</v>
      </c>
      <c r="B14309" s="52">
        <v>46387.0</v>
      </c>
      <c r="C14309" s="51" t="s">
        <v>69</v>
      </c>
      <c r="D14309" s="51">
        <v>0.0</v>
      </c>
    </row>
    <row r="14310" ht="15.75" hidden="1" customHeight="1">
      <c r="A14310" s="51" t="s">
        <v>612</v>
      </c>
      <c r="B14310" s="52">
        <v>46387.0</v>
      </c>
      <c r="C14310" s="51" t="s">
        <v>69</v>
      </c>
      <c r="D14310" s="51">
        <v>250000.0</v>
      </c>
    </row>
    <row r="14311" ht="15.75" hidden="1" customHeight="1">
      <c r="A14311" s="51" t="s">
        <v>617</v>
      </c>
      <c r="B14311" s="52">
        <v>46387.0</v>
      </c>
      <c r="C14311" s="51" t="s">
        <v>69</v>
      </c>
      <c r="D14311" s="51">
        <v>0.0</v>
      </c>
    </row>
    <row r="14312" ht="15.75" hidden="1" customHeight="1">
      <c r="A14312" s="51" t="s">
        <v>622</v>
      </c>
      <c r="B14312" s="52">
        <v>46387.0</v>
      </c>
      <c r="C14312" s="51" t="s">
        <v>69</v>
      </c>
      <c r="D14312" s="51">
        <v>0.0</v>
      </c>
    </row>
    <row r="14313" ht="15.75" hidden="1" customHeight="1">
      <c r="A14313" s="51" t="s">
        <v>627</v>
      </c>
      <c r="B14313" s="52">
        <v>46387.0</v>
      </c>
      <c r="C14313" s="51" t="s">
        <v>69</v>
      </c>
      <c r="D14313" s="51">
        <v>0.0</v>
      </c>
    </row>
    <row r="14314" ht="15.75" hidden="1" customHeight="1">
      <c r="A14314" s="51" t="s">
        <v>631</v>
      </c>
      <c r="B14314" s="52">
        <v>46387.0</v>
      </c>
      <c r="C14314" s="51" t="s">
        <v>69</v>
      </c>
      <c r="D14314" s="51">
        <v>150000.0</v>
      </c>
    </row>
    <row r="14315" ht="15.75" hidden="1" customHeight="1">
      <c r="A14315" s="51" t="s">
        <v>636</v>
      </c>
      <c r="B14315" s="52">
        <v>46387.0</v>
      </c>
      <c r="C14315" s="51" t="s">
        <v>69</v>
      </c>
      <c r="D14315" s="51">
        <v>150000.0</v>
      </c>
    </row>
    <row r="14316" ht="15.75" hidden="1" customHeight="1">
      <c r="A14316" s="51" t="s">
        <v>640</v>
      </c>
      <c r="B14316" s="52">
        <v>46387.0</v>
      </c>
      <c r="C14316" s="51" t="s">
        <v>69</v>
      </c>
      <c r="D14316" s="51">
        <v>500000.0</v>
      </c>
    </row>
    <row r="14317" ht="15.75" hidden="1" customHeight="1">
      <c r="A14317" s="51" t="s">
        <v>644</v>
      </c>
      <c r="B14317" s="52">
        <v>46387.0</v>
      </c>
      <c r="C14317" s="51" t="s">
        <v>69</v>
      </c>
      <c r="D14317" s="51">
        <v>0.0</v>
      </c>
    </row>
    <row r="14318" ht="15.75" hidden="1" customHeight="1">
      <c r="A14318" s="51" t="s">
        <v>649</v>
      </c>
      <c r="B14318" s="52">
        <v>46387.0</v>
      </c>
      <c r="C14318" s="51" t="s">
        <v>69</v>
      </c>
      <c r="D14318" s="51">
        <v>0.0</v>
      </c>
    </row>
    <row r="14319" ht="15.75" hidden="1" customHeight="1">
      <c r="A14319" s="51" t="s">
        <v>654</v>
      </c>
      <c r="B14319" s="52">
        <v>46387.0</v>
      </c>
      <c r="C14319" s="51" t="s">
        <v>69</v>
      </c>
      <c r="D14319" s="51">
        <v>0.0</v>
      </c>
    </row>
    <row r="14320" ht="15.75" hidden="1" customHeight="1">
      <c r="A14320" s="51" t="s">
        <v>659</v>
      </c>
      <c r="B14320" s="52">
        <v>46387.0</v>
      </c>
      <c r="C14320" s="51" t="s">
        <v>69</v>
      </c>
      <c r="D14320" s="51">
        <v>600000.0</v>
      </c>
    </row>
    <row r="14321" ht="15.75" hidden="1" customHeight="1">
      <c r="A14321" s="51" t="s">
        <v>664</v>
      </c>
      <c r="B14321" s="52">
        <v>46387.0</v>
      </c>
      <c r="C14321" s="51" t="s">
        <v>69</v>
      </c>
      <c r="D14321" s="51">
        <v>200000.0</v>
      </c>
    </row>
    <row r="14322" ht="15.75" hidden="1" customHeight="1">
      <c r="A14322" s="51" t="s">
        <v>669</v>
      </c>
      <c r="B14322" s="52">
        <v>46387.0</v>
      </c>
      <c r="C14322" s="51" t="s">
        <v>69</v>
      </c>
      <c r="D14322" s="51">
        <v>0.0</v>
      </c>
    </row>
    <row r="14323" ht="15.75" hidden="1" customHeight="1">
      <c r="A14323" s="51" t="s">
        <v>674</v>
      </c>
      <c r="B14323" s="52">
        <v>46387.0</v>
      </c>
      <c r="C14323" s="51" t="s">
        <v>69</v>
      </c>
      <c r="D14323" s="51">
        <v>50000.0</v>
      </c>
    </row>
    <row r="14324" ht="15.75" hidden="1" customHeight="1">
      <c r="A14324" s="51" t="s">
        <v>679</v>
      </c>
      <c r="B14324" s="52">
        <v>46387.0</v>
      </c>
      <c r="C14324" s="51" t="s">
        <v>69</v>
      </c>
      <c r="D14324" s="51">
        <v>0.0</v>
      </c>
    </row>
    <row r="14325" ht="15.75" hidden="1" customHeight="1">
      <c r="A14325" s="51" t="s">
        <v>684</v>
      </c>
      <c r="B14325" s="52">
        <v>46387.0</v>
      </c>
      <c r="C14325" s="51" t="s">
        <v>69</v>
      </c>
      <c r="D14325" s="51">
        <v>0.0</v>
      </c>
    </row>
    <row r="14326" ht="15.75" hidden="1" customHeight="1">
      <c r="A14326" s="51" t="s">
        <v>689</v>
      </c>
      <c r="B14326" s="52">
        <v>46387.0</v>
      </c>
      <c r="C14326" s="51" t="s">
        <v>69</v>
      </c>
      <c r="D14326" s="51">
        <v>50000.0</v>
      </c>
    </row>
    <row r="14327" ht="15.75" hidden="1" customHeight="1">
      <c r="A14327" s="51" t="s">
        <v>694</v>
      </c>
      <c r="B14327" s="52">
        <v>46387.0</v>
      </c>
      <c r="C14327" s="51" t="s">
        <v>69</v>
      </c>
      <c r="D14327" s="51">
        <v>325000.0</v>
      </c>
    </row>
    <row r="14328" ht="15.75" hidden="1" customHeight="1">
      <c r="A14328" s="51" t="s">
        <v>699</v>
      </c>
      <c r="B14328" s="52">
        <v>46387.0</v>
      </c>
      <c r="C14328" s="51" t="s">
        <v>69</v>
      </c>
      <c r="D14328" s="51">
        <v>135253.0</v>
      </c>
    </row>
    <row r="14329" ht="15.75" hidden="1" customHeight="1">
      <c r="A14329" s="51" t="s">
        <v>705</v>
      </c>
      <c r="B14329" s="52">
        <v>46387.0</v>
      </c>
      <c r="C14329" s="51" t="s">
        <v>69</v>
      </c>
      <c r="D14329" s="51">
        <v>1500000.0</v>
      </c>
    </row>
    <row r="14330" ht="15.75" hidden="1" customHeight="1">
      <c r="A14330" s="51" t="s">
        <v>710</v>
      </c>
      <c r="B14330" s="52">
        <v>46387.0</v>
      </c>
      <c r="C14330" s="51" t="s">
        <v>69</v>
      </c>
      <c r="D14330" s="51">
        <v>0.0</v>
      </c>
    </row>
    <row r="14331" ht="15.75" hidden="1" customHeight="1">
      <c r="A14331" s="51" t="s">
        <v>715</v>
      </c>
      <c r="B14331" s="52">
        <v>46387.0</v>
      </c>
      <c r="C14331" s="51" t="s">
        <v>69</v>
      </c>
      <c r="D14331" s="51">
        <v>0.0</v>
      </c>
    </row>
    <row r="14332" ht="15.75" hidden="1" customHeight="1">
      <c r="A14332" s="51" t="s">
        <v>765</v>
      </c>
      <c r="B14332" s="52">
        <v>46387.0</v>
      </c>
      <c r="C14332" s="51" t="s">
        <v>69</v>
      </c>
      <c r="D14332" s="51">
        <v>0.0</v>
      </c>
    </row>
    <row r="14333" ht="15.75" hidden="1" customHeight="1">
      <c r="A14333" s="51" t="s">
        <v>720</v>
      </c>
      <c r="B14333" s="52">
        <v>46387.0</v>
      </c>
      <c r="C14333" s="51" t="s">
        <v>69</v>
      </c>
      <c r="D14333" s="51">
        <v>0.0</v>
      </c>
    </row>
    <row r="14334" ht="15.75" hidden="1" customHeight="1">
      <c r="A14334" s="51" t="s">
        <v>725</v>
      </c>
      <c r="B14334" s="52">
        <v>46387.0</v>
      </c>
      <c r="C14334" s="51" t="s">
        <v>69</v>
      </c>
      <c r="D14334" s="51">
        <v>0.0</v>
      </c>
    </row>
    <row r="14335" ht="15.75" hidden="1" customHeight="1">
      <c r="A14335" s="51" t="s">
        <v>730</v>
      </c>
      <c r="B14335" s="52">
        <v>46387.0</v>
      </c>
      <c r="C14335" s="51" t="s">
        <v>69</v>
      </c>
      <c r="D14335" s="51">
        <v>0.0</v>
      </c>
    </row>
    <row r="14336" ht="15.75" hidden="1" customHeight="1">
      <c r="A14336" s="51" t="s">
        <v>734</v>
      </c>
      <c r="B14336" s="52">
        <v>46387.0</v>
      </c>
      <c r="C14336" s="51" t="s">
        <v>69</v>
      </c>
      <c r="D14336" s="51">
        <v>0.0</v>
      </c>
    </row>
    <row r="14337" ht="15.75" hidden="1" customHeight="1">
      <c r="A14337" s="51" t="s">
        <v>739</v>
      </c>
      <c r="B14337" s="52">
        <v>46387.0</v>
      </c>
      <c r="C14337" s="51" t="s">
        <v>69</v>
      </c>
      <c r="D14337" s="51">
        <v>0.0</v>
      </c>
    </row>
    <row r="14338" ht="15.75" hidden="1" customHeight="1">
      <c r="A14338" s="51" t="s">
        <v>744</v>
      </c>
      <c r="B14338" s="52">
        <v>46387.0</v>
      </c>
      <c r="C14338" s="51" t="s">
        <v>69</v>
      </c>
      <c r="D14338" s="51">
        <v>0.0</v>
      </c>
    </row>
    <row r="14339" ht="15.75" hidden="1" customHeight="1">
      <c r="A14339" s="51" t="s">
        <v>749</v>
      </c>
      <c r="B14339" s="52">
        <v>46387.0</v>
      </c>
      <c r="C14339" s="51" t="s">
        <v>69</v>
      </c>
      <c r="D14339" s="51">
        <v>0.0</v>
      </c>
    </row>
    <row r="14340" ht="15.75" customHeight="1">
      <c r="A14340" s="51" t="s">
        <v>776</v>
      </c>
      <c r="B14340" s="52">
        <v>46387.0</v>
      </c>
      <c r="C14340" s="51" t="s">
        <v>780</v>
      </c>
      <c r="D14340" s="51">
        <v>0.0</v>
      </c>
    </row>
    <row r="14341" ht="15.75" hidden="1" customHeight="1">
      <c r="A14341" s="51" t="s">
        <v>778</v>
      </c>
      <c r="B14341" s="52">
        <v>46387.0</v>
      </c>
      <c r="C14341" s="51" t="s">
        <v>780</v>
      </c>
      <c r="D14341" s="51">
        <v>0.0</v>
      </c>
    </row>
    <row r="14342" ht="15.75" hidden="1" customHeight="1">
      <c r="A14342" s="51" t="s">
        <v>92</v>
      </c>
      <c r="B14342" s="52">
        <v>46387.0</v>
      </c>
      <c r="C14342" s="51" t="s">
        <v>780</v>
      </c>
      <c r="D14342" s="51">
        <v>0.0</v>
      </c>
    </row>
    <row r="14343" ht="15.75" hidden="1" customHeight="1">
      <c r="A14343" s="51" t="s">
        <v>97</v>
      </c>
      <c r="B14343" s="52">
        <v>46387.0</v>
      </c>
      <c r="C14343" s="51" t="s">
        <v>780</v>
      </c>
      <c r="D14343" s="51">
        <v>0.0</v>
      </c>
    </row>
    <row r="14344" ht="15.75" hidden="1" customHeight="1">
      <c r="A14344" s="51" t="s">
        <v>102</v>
      </c>
      <c r="B14344" s="52">
        <v>46387.0</v>
      </c>
      <c r="C14344" s="51" t="s">
        <v>780</v>
      </c>
      <c r="D14344" s="51">
        <v>0.0</v>
      </c>
    </row>
    <row r="14345" ht="15.75" hidden="1" customHeight="1">
      <c r="A14345" s="51" t="s">
        <v>106</v>
      </c>
      <c r="B14345" s="52">
        <v>46387.0</v>
      </c>
      <c r="C14345" s="51" t="s">
        <v>780</v>
      </c>
      <c r="D14345" s="51">
        <v>0.0</v>
      </c>
    </row>
    <row r="14346" ht="15.75" hidden="1" customHeight="1">
      <c r="A14346" s="51" t="s">
        <v>111</v>
      </c>
      <c r="B14346" s="52">
        <v>46387.0</v>
      </c>
      <c r="C14346" s="51" t="s">
        <v>780</v>
      </c>
      <c r="D14346" s="51">
        <v>0.0</v>
      </c>
    </row>
    <row r="14347" ht="15.75" hidden="1" customHeight="1">
      <c r="A14347" s="51" t="s">
        <v>116</v>
      </c>
      <c r="B14347" s="52">
        <v>46387.0</v>
      </c>
      <c r="C14347" s="51" t="s">
        <v>780</v>
      </c>
      <c r="D14347" s="51">
        <v>0.0</v>
      </c>
    </row>
    <row r="14348" ht="15.75" hidden="1" customHeight="1">
      <c r="A14348" s="51" t="s">
        <v>120</v>
      </c>
      <c r="B14348" s="52">
        <v>46387.0</v>
      </c>
      <c r="C14348" s="51" t="s">
        <v>780</v>
      </c>
      <c r="D14348" s="51">
        <v>0.0</v>
      </c>
    </row>
    <row r="14349" ht="15.75" hidden="1" customHeight="1">
      <c r="A14349" s="51" t="s">
        <v>125</v>
      </c>
      <c r="B14349" s="52">
        <v>46387.0</v>
      </c>
      <c r="C14349" s="51" t="s">
        <v>780</v>
      </c>
      <c r="D14349" s="51">
        <v>0.0</v>
      </c>
    </row>
    <row r="14350" ht="15.75" hidden="1" customHeight="1">
      <c r="A14350" s="51" t="s">
        <v>130</v>
      </c>
      <c r="B14350" s="52">
        <v>46387.0</v>
      </c>
      <c r="C14350" s="51" t="s">
        <v>780</v>
      </c>
      <c r="D14350" s="51">
        <v>0.0</v>
      </c>
    </row>
    <row r="14351" ht="15.75" hidden="1" customHeight="1">
      <c r="A14351" s="51" t="s">
        <v>137</v>
      </c>
      <c r="B14351" s="52">
        <v>46387.0</v>
      </c>
      <c r="C14351" s="51" t="s">
        <v>780</v>
      </c>
      <c r="D14351" s="51">
        <v>0.0</v>
      </c>
    </row>
    <row r="14352" ht="15.75" hidden="1" customHeight="1">
      <c r="A14352" s="51" t="s">
        <v>142</v>
      </c>
      <c r="B14352" s="52">
        <v>46387.0</v>
      </c>
      <c r="C14352" s="51" t="s">
        <v>780</v>
      </c>
      <c r="D14352" s="51">
        <v>0.0</v>
      </c>
    </row>
    <row r="14353" ht="15.75" hidden="1" customHeight="1">
      <c r="A14353" s="51" t="s">
        <v>147</v>
      </c>
      <c r="B14353" s="52">
        <v>46387.0</v>
      </c>
      <c r="C14353" s="51" t="s">
        <v>780</v>
      </c>
      <c r="D14353" s="51">
        <v>0.0</v>
      </c>
    </row>
    <row r="14354" ht="15.75" hidden="1" customHeight="1">
      <c r="A14354" s="51" t="s">
        <v>152</v>
      </c>
      <c r="B14354" s="52">
        <v>46387.0</v>
      </c>
      <c r="C14354" s="51" t="s">
        <v>780</v>
      </c>
      <c r="D14354" s="51">
        <v>0.0</v>
      </c>
    </row>
    <row r="14355" ht="15.75" hidden="1" customHeight="1">
      <c r="A14355" s="51" t="s">
        <v>157</v>
      </c>
      <c r="B14355" s="52">
        <v>46387.0</v>
      </c>
      <c r="C14355" s="51" t="s">
        <v>780</v>
      </c>
      <c r="D14355" s="51">
        <v>0.0</v>
      </c>
    </row>
    <row r="14356" ht="15.75" hidden="1" customHeight="1">
      <c r="A14356" s="51" t="s">
        <v>162</v>
      </c>
      <c r="B14356" s="52">
        <v>46387.0</v>
      </c>
      <c r="C14356" s="51" t="s">
        <v>780</v>
      </c>
      <c r="D14356" s="51">
        <v>0.0</v>
      </c>
    </row>
    <row r="14357" ht="15.75" hidden="1" customHeight="1">
      <c r="A14357" s="51" t="s">
        <v>167</v>
      </c>
      <c r="B14357" s="52">
        <v>46387.0</v>
      </c>
      <c r="C14357" s="51" t="s">
        <v>780</v>
      </c>
      <c r="D14357" s="51">
        <v>0.0</v>
      </c>
    </row>
    <row r="14358" ht="15.75" hidden="1" customHeight="1">
      <c r="A14358" s="51" t="s">
        <v>172</v>
      </c>
      <c r="B14358" s="52">
        <v>46387.0</v>
      </c>
      <c r="C14358" s="51" t="s">
        <v>780</v>
      </c>
      <c r="D14358" s="51">
        <v>0.0</v>
      </c>
    </row>
    <row r="14359" ht="15.75" hidden="1" customHeight="1">
      <c r="A14359" s="51" t="s">
        <v>177</v>
      </c>
      <c r="B14359" s="52">
        <v>46387.0</v>
      </c>
      <c r="C14359" s="51" t="s">
        <v>780</v>
      </c>
      <c r="D14359" s="51">
        <v>0.0</v>
      </c>
    </row>
    <row r="14360" ht="15.75" hidden="1" customHeight="1">
      <c r="A14360" s="51" t="s">
        <v>182</v>
      </c>
      <c r="B14360" s="52">
        <v>46387.0</v>
      </c>
      <c r="C14360" s="51" t="s">
        <v>780</v>
      </c>
      <c r="D14360" s="51">
        <v>0.0</v>
      </c>
    </row>
    <row r="14361" ht="15.75" hidden="1" customHeight="1">
      <c r="A14361" s="51" t="s">
        <v>187</v>
      </c>
      <c r="B14361" s="52">
        <v>46387.0</v>
      </c>
      <c r="C14361" s="51" t="s">
        <v>780</v>
      </c>
      <c r="D14361" s="51">
        <v>0.0</v>
      </c>
    </row>
    <row r="14362" ht="15.75" hidden="1" customHeight="1">
      <c r="A14362" s="51" t="s">
        <v>192</v>
      </c>
      <c r="B14362" s="52">
        <v>46387.0</v>
      </c>
      <c r="C14362" s="51" t="s">
        <v>780</v>
      </c>
      <c r="D14362" s="51">
        <v>0.0</v>
      </c>
    </row>
    <row r="14363" ht="15.75" hidden="1" customHeight="1">
      <c r="A14363" s="51" t="s">
        <v>197</v>
      </c>
      <c r="B14363" s="52">
        <v>46387.0</v>
      </c>
      <c r="C14363" s="51" t="s">
        <v>780</v>
      </c>
      <c r="D14363" s="51">
        <v>0.0</v>
      </c>
    </row>
    <row r="14364" ht="15.75" hidden="1" customHeight="1">
      <c r="A14364" s="51" t="s">
        <v>202</v>
      </c>
      <c r="B14364" s="52">
        <v>46387.0</v>
      </c>
      <c r="C14364" s="51" t="s">
        <v>780</v>
      </c>
      <c r="D14364" s="51">
        <v>0.0</v>
      </c>
    </row>
    <row r="14365" ht="15.75" hidden="1" customHeight="1">
      <c r="A14365" s="51" t="s">
        <v>206</v>
      </c>
      <c r="B14365" s="52">
        <v>46387.0</v>
      </c>
      <c r="C14365" s="51" t="s">
        <v>780</v>
      </c>
      <c r="D14365" s="51">
        <v>0.0</v>
      </c>
    </row>
    <row r="14366" ht="15.75" hidden="1" customHeight="1">
      <c r="A14366" s="51" t="s">
        <v>211</v>
      </c>
      <c r="B14366" s="52">
        <v>46387.0</v>
      </c>
      <c r="C14366" s="51" t="s">
        <v>780</v>
      </c>
      <c r="D14366" s="51">
        <v>0.0</v>
      </c>
    </row>
    <row r="14367" ht="15.75" hidden="1" customHeight="1">
      <c r="A14367" s="51" t="s">
        <v>779</v>
      </c>
      <c r="B14367" s="52">
        <v>46387.0</v>
      </c>
      <c r="C14367" s="51" t="s">
        <v>780</v>
      </c>
      <c r="D14367" s="51">
        <v>0.0</v>
      </c>
    </row>
    <row r="14368" ht="15.75" hidden="1" customHeight="1">
      <c r="A14368" s="51" t="s">
        <v>221</v>
      </c>
      <c r="B14368" s="52">
        <v>46387.0</v>
      </c>
      <c r="C14368" s="51" t="s">
        <v>780</v>
      </c>
      <c r="D14368" s="51">
        <v>0.0</v>
      </c>
    </row>
    <row r="14369" ht="15.75" hidden="1" customHeight="1">
      <c r="A14369" s="51" t="s">
        <v>226</v>
      </c>
      <c r="B14369" s="52">
        <v>46387.0</v>
      </c>
      <c r="C14369" s="51" t="s">
        <v>780</v>
      </c>
      <c r="D14369" s="51">
        <v>0.0</v>
      </c>
    </row>
    <row r="14370" ht="15.75" hidden="1" customHeight="1">
      <c r="A14370" s="51" t="s">
        <v>231</v>
      </c>
      <c r="B14370" s="52">
        <v>46387.0</v>
      </c>
      <c r="C14370" s="51" t="s">
        <v>780</v>
      </c>
      <c r="D14370" s="51">
        <v>0.0</v>
      </c>
    </row>
    <row r="14371" ht="15.75" hidden="1" customHeight="1">
      <c r="A14371" s="51" t="s">
        <v>236</v>
      </c>
      <c r="B14371" s="52">
        <v>46387.0</v>
      </c>
      <c r="C14371" s="51" t="s">
        <v>780</v>
      </c>
      <c r="D14371" s="51">
        <v>0.0</v>
      </c>
    </row>
    <row r="14372" ht="15.75" hidden="1" customHeight="1">
      <c r="A14372" s="51" t="s">
        <v>242</v>
      </c>
      <c r="B14372" s="52">
        <v>46387.0</v>
      </c>
      <c r="C14372" s="51" t="s">
        <v>780</v>
      </c>
      <c r="D14372" s="51">
        <v>0.0</v>
      </c>
    </row>
    <row r="14373" ht="15.75" hidden="1" customHeight="1">
      <c r="A14373" s="51" t="s">
        <v>248</v>
      </c>
      <c r="B14373" s="52">
        <v>46387.0</v>
      </c>
      <c r="C14373" s="51" t="s">
        <v>780</v>
      </c>
      <c r="D14373" s="51">
        <v>0.0</v>
      </c>
    </row>
    <row r="14374" ht="15.75" hidden="1" customHeight="1">
      <c r="A14374" s="51" t="s">
        <v>253</v>
      </c>
      <c r="B14374" s="52">
        <v>46387.0</v>
      </c>
      <c r="C14374" s="51" t="s">
        <v>780</v>
      </c>
      <c r="D14374" s="51">
        <v>0.0</v>
      </c>
    </row>
    <row r="14375" ht="15.75" hidden="1" customHeight="1">
      <c r="A14375" s="51" t="s">
        <v>258</v>
      </c>
      <c r="B14375" s="52">
        <v>46387.0</v>
      </c>
      <c r="C14375" s="51" t="s">
        <v>780</v>
      </c>
      <c r="D14375" s="51">
        <v>0.0</v>
      </c>
    </row>
    <row r="14376" ht="15.75" hidden="1" customHeight="1">
      <c r="A14376" s="51" t="s">
        <v>263</v>
      </c>
      <c r="B14376" s="52">
        <v>46387.0</v>
      </c>
      <c r="C14376" s="51" t="s">
        <v>780</v>
      </c>
      <c r="D14376" s="51">
        <v>0.0</v>
      </c>
    </row>
    <row r="14377" ht="15.75" hidden="1" customHeight="1">
      <c r="A14377" s="51" t="s">
        <v>268</v>
      </c>
      <c r="B14377" s="52">
        <v>46387.0</v>
      </c>
      <c r="C14377" s="51" t="s">
        <v>780</v>
      </c>
      <c r="D14377" s="51">
        <v>0.0</v>
      </c>
    </row>
    <row r="14378" ht="15.75" hidden="1" customHeight="1">
      <c r="A14378" s="51" t="s">
        <v>273</v>
      </c>
      <c r="B14378" s="52">
        <v>46387.0</v>
      </c>
      <c r="C14378" s="51" t="s">
        <v>780</v>
      </c>
      <c r="D14378" s="51">
        <v>0.0</v>
      </c>
    </row>
    <row r="14379" ht="15.75" hidden="1" customHeight="1">
      <c r="A14379" s="51" t="s">
        <v>278</v>
      </c>
      <c r="B14379" s="52">
        <v>46387.0</v>
      </c>
      <c r="C14379" s="51" t="s">
        <v>780</v>
      </c>
      <c r="D14379" s="51">
        <v>0.0</v>
      </c>
    </row>
    <row r="14380" ht="15.75" hidden="1" customHeight="1">
      <c r="A14380" s="51" t="s">
        <v>283</v>
      </c>
      <c r="B14380" s="52">
        <v>46387.0</v>
      </c>
      <c r="C14380" s="51" t="s">
        <v>780</v>
      </c>
      <c r="D14380" s="51">
        <v>0.0</v>
      </c>
    </row>
    <row r="14381" ht="15.75" hidden="1" customHeight="1">
      <c r="A14381" s="51" t="s">
        <v>288</v>
      </c>
      <c r="B14381" s="52">
        <v>46387.0</v>
      </c>
      <c r="C14381" s="51" t="s">
        <v>780</v>
      </c>
      <c r="D14381" s="51">
        <v>0.0</v>
      </c>
    </row>
    <row r="14382" ht="15.75" hidden="1" customHeight="1">
      <c r="A14382" s="51" t="s">
        <v>293</v>
      </c>
      <c r="B14382" s="52">
        <v>46387.0</v>
      </c>
      <c r="C14382" s="51" t="s">
        <v>780</v>
      </c>
      <c r="D14382" s="51">
        <v>0.0</v>
      </c>
    </row>
    <row r="14383" ht="15.75" hidden="1" customHeight="1">
      <c r="A14383" s="51" t="s">
        <v>298</v>
      </c>
      <c r="B14383" s="52">
        <v>46387.0</v>
      </c>
      <c r="C14383" s="51" t="s">
        <v>780</v>
      </c>
      <c r="D14383" s="51">
        <v>0.0</v>
      </c>
    </row>
    <row r="14384" ht="15.75" hidden="1" customHeight="1">
      <c r="A14384" s="51" t="s">
        <v>303</v>
      </c>
      <c r="B14384" s="52">
        <v>46387.0</v>
      </c>
      <c r="C14384" s="51" t="s">
        <v>780</v>
      </c>
      <c r="D14384" s="51">
        <v>0.0</v>
      </c>
    </row>
    <row r="14385" ht="15.75" hidden="1" customHeight="1">
      <c r="A14385" s="51" t="s">
        <v>307</v>
      </c>
      <c r="B14385" s="52">
        <v>46387.0</v>
      </c>
      <c r="C14385" s="51" t="s">
        <v>780</v>
      </c>
      <c r="D14385" s="51">
        <v>0.0</v>
      </c>
    </row>
    <row r="14386" ht="15.75" hidden="1" customHeight="1">
      <c r="A14386" s="51" t="s">
        <v>313</v>
      </c>
      <c r="B14386" s="52">
        <v>46387.0</v>
      </c>
      <c r="C14386" s="51" t="s">
        <v>780</v>
      </c>
      <c r="D14386" s="51">
        <v>0.0</v>
      </c>
    </row>
    <row r="14387" ht="15.75" hidden="1" customHeight="1">
      <c r="A14387" s="51" t="s">
        <v>318</v>
      </c>
      <c r="B14387" s="52">
        <v>46387.0</v>
      </c>
      <c r="C14387" s="51" t="s">
        <v>780</v>
      </c>
      <c r="D14387" s="51">
        <v>0.0</v>
      </c>
    </row>
    <row r="14388" ht="15.75" hidden="1" customHeight="1">
      <c r="A14388" s="51" t="s">
        <v>323</v>
      </c>
      <c r="B14388" s="52">
        <v>46387.0</v>
      </c>
      <c r="C14388" s="51" t="s">
        <v>780</v>
      </c>
      <c r="D14388" s="51">
        <v>0.0</v>
      </c>
    </row>
    <row r="14389" ht="15.75" hidden="1" customHeight="1">
      <c r="A14389" s="51" t="s">
        <v>328</v>
      </c>
      <c r="B14389" s="52">
        <v>46387.0</v>
      </c>
      <c r="C14389" s="51" t="s">
        <v>780</v>
      </c>
      <c r="D14389" s="51">
        <v>0.0</v>
      </c>
    </row>
    <row r="14390" ht="15.75" hidden="1" customHeight="1">
      <c r="A14390" s="51" t="s">
        <v>335</v>
      </c>
      <c r="B14390" s="52">
        <v>46387.0</v>
      </c>
      <c r="C14390" s="51" t="s">
        <v>780</v>
      </c>
      <c r="D14390" s="51">
        <v>0.0</v>
      </c>
    </row>
    <row r="14391" ht="15.75" hidden="1" customHeight="1">
      <c r="A14391" s="51" t="s">
        <v>340</v>
      </c>
      <c r="B14391" s="52">
        <v>46387.0</v>
      </c>
      <c r="C14391" s="51" t="s">
        <v>780</v>
      </c>
      <c r="D14391" s="51">
        <v>0.0</v>
      </c>
    </row>
    <row r="14392" ht="15.75" hidden="1" customHeight="1">
      <c r="A14392" s="51" t="s">
        <v>345</v>
      </c>
      <c r="B14392" s="52">
        <v>46387.0</v>
      </c>
      <c r="C14392" s="51" t="s">
        <v>780</v>
      </c>
      <c r="D14392" s="51">
        <v>0.0</v>
      </c>
    </row>
    <row r="14393" ht="15.75" hidden="1" customHeight="1">
      <c r="A14393" s="51" t="s">
        <v>350</v>
      </c>
      <c r="B14393" s="52">
        <v>46387.0</v>
      </c>
      <c r="C14393" s="51" t="s">
        <v>780</v>
      </c>
      <c r="D14393" s="51">
        <v>0.0</v>
      </c>
    </row>
    <row r="14394" ht="15.75" hidden="1" customHeight="1">
      <c r="A14394" s="51" t="s">
        <v>355</v>
      </c>
      <c r="B14394" s="52">
        <v>46387.0</v>
      </c>
      <c r="C14394" s="51" t="s">
        <v>780</v>
      </c>
      <c r="D14394" s="51">
        <v>0.0</v>
      </c>
    </row>
    <row r="14395" ht="15.75" hidden="1" customHeight="1">
      <c r="A14395" s="51" t="s">
        <v>360</v>
      </c>
      <c r="B14395" s="52">
        <v>46387.0</v>
      </c>
      <c r="C14395" s="51" t="s">
        <v>780</v>
      </c>
      <c r="D14395" s="51">
        <v>0.0</v>
      </c>
    </row>
    <row r="14396" ht="15.75" hidden="1" customHeight="1">
      <c r="A14396" s="51" t="s">
        <v>365</v>
      </c>
      <c r="B14396" s="52">
        <v>46387.0</v>
      </c>
      <c r="C14396" s="51" t="s">
        <v>780</v>
      </c>
      <c r="D14396" s="51">
        <v>0.0</v>
      </c>
    </row>
    <row r="14397" ht="15.75" hidden="1" customHeight="1">
      <c r="A14397" s="51" t="s">
        <v>370</v>
      </c>
      <c r="B14397" s="52">
        <v>46387.0</v>
      </c>
      <c r="C14397" s="51" t="s">
        <v>780</v>
      </c>
      <c r="D14397" s="51">
        <v>0.0</v>
      </c>
    </row>
    <row r="14398" ht="15.75" hidden="1" customHeight="1">
      <c r="A14398" s="51" t="s">
        <v>375</v>
      </c>
      <c r="B14398" s="52">
        <v>46387.0</v>
      </c>
      <c r="C14398" s="51" t="s">
        <v>780</v>
      </c>
      <c r="D14398" s="51">
        <v>0.0</v>
      </c>
    </row>
    <row r="14399" ht="15.75" hidden="1" customHeight="1">
      <c r="A14399" s="51" t="s">
        <v>380</v>
      </c>
      <c r="B14399" s="52">
        <v>46387.0</v>
      </c>
      <c r="C14399" s="51" t="s">
        <v>780</v>
      </c>
      <c r="D14399" s="51">
        <v>0.0</v>
      </c>
    </row>
    <row r="14400" ht="15.75" hidden="1" customHeight="1">
      <c r="A14400" s="51" t="s">
        <v>385</v>
      </c>
      <c r="B14400" s="52">
        <v>46387.0</v>
      </c>
      <c r="C14400" s="51" t="s">
        <v>780</v>
      </c>
      <c r="D14400" s="51">
        <v>-1024085.9</v>
      </c>
    </row>
    <row r="14401" ht="15.75" hidden="1" customHeight="1">
      <c r="A14401" s="51" t="s">
        <v>390</v>
      </c>
      <c r="B14401" s="52">
        <v>46387.0</v>
      </c>
      <c r="C14401" s="51" t="s">
        <v>780</v>
      </c>
      <c r="D14401" s="51">
        <v>1664288.27</v>
      </c>
    </row>
    <row r="14402" ht="15.75" hidden="1" customHeight="1">
      <c r="A14402" s="51" t="s">
        <v>395</v>
      </c>
      <c r="B14402" s="52">
        <v>46387.0</v>
      </c>
      <c r="C14402" s="51" t="s">
        <v>780</v>
      </c>
      <c r="D14402" s="51">
        <v>0.0</v>
      </c>
    </row>
    <row r="14403" ht="15.75" hidden="1" customHeight="1">
      <c r="A14403" s="51" t="s">
        <v>400</v>
      </c>
      <c r="B14403" s="52">
        <v>46387.0</v>
      </c>
      <c r="C14403" s="51" t="s">
        <v>780</v>
      </c>
      <c r="D14403" s="51">
        <v>-500000.0</v>
      </c>
    </row>
    <row r="14404" ht="15.75" hidden="1" customHeight="1">
      <c r="A14404" s="51" t="s">
        <v>405</v>
      </c>
      <c r="B14404" s="52">
        <v>46387.0</v>
      </c>
      <c r="C14404" s="51" t="s">
        <v>780</v>
      </c>
      <c r="D14404" s="51">
        <v>0.0</v>
      </c>
    </row>
    <row r="14405" ht="15.75" hidden="1" customHeight="1">
      <c r="A14405" s="51" t="s">
        <v>410</v>
      </c>
      <c r="B14405" s="52">
        <v>46387.0</v>
      </c>
      <c r="C14405" s="51" t="s">
        <v>780</v>
      </c>
      <c r="D14405" s="51">
        <v>0.0</v>
      </c>
    </row>
    <row r="14406" ht="15.75" hidden="1" customHeight="1">
      <c r="A14406" s="51" t="s">
        <v>415</v>
      </c>
      <c r="B14406" s="52">
        <v>46387.0</v>
      </c>
      <c r="C14406" s="51" t="s">
        <v>780</v>
      </c>
      <c r="D14406" s="51">
        <v>0.0</v>
      </c>
    </row>
    <row r="14407" ht="15.75" hidden="1" customHeight="1">
      <c r="A14407" s="51" t="s">
        <v>420</v>
      </c>
      <c r="B14407" s="52">
        <v>46387.0</v>
      </c>
      <c r="C14407" s="51" t="s">
        <v>780</v>
      </c>
      <c r="D14407" s="51">
        <v>0.0</v>
      </c>
    </row>
    <row r="14408" ht="15.75" hidden="1" customHeight="1">
      <c r="A14408" s="51" t="s">
        <v>425</v>
      </c>
      <c r="B14408" s="52">
        <v>46387.0</v>
      </c>
      <c r="C14408" s="51" t="s">
        <v>780</v>
      </c>
      <c r="D14408" s="51">
        <v>0.0</v>
      </c>
    </row>
    <row r="14409" ht="15.75" hidden="1" customHeight="1">
      <c r="A14409" s="51" t="s">
        <v>430</v>
      </c>
      <c r="B14409" s="52">
        <v>46387.0</v>
      </c>
      <c r="C14409" s="51" t="s">
        <v>780</v>
      </c>
      <c r="D14409" s="51">
        <v>0.0</v>
      </c>
    </row>
    <row r="14410" ht="15.75" hidden="1" customHeight="1">
      <c r="A14410" s="51" t="s">
        <v>434</v>
      </c>
      <c r="B14410" s="52">
        <v>46387.0</v>
      </c>
      <c r="C14410" s="51" t="s">
        <v>780</v>
      </c>
      <c r="D14410" s="51">
        <v>0.0</v>
      </c>
    </row>
    <row r="14411" ht="15.75" hidden="1" customHeight="1">
      <c r="A14411" s="51" t="s">
        <v>439</v>
      </c>
      <c r="B14411" s="52">
        <v>46387.0</v>
      </c>
      <c r="C14411" s="51" t="s">
        <v>780</v>
      </c>
      <c r="D14411" s="51">
        <v>0.0</v>
      </c>
    </row>
    <row r="14412" ht="15.75" hidden="1" customHeight="1">
      <c r="A14412" s="51" t="s">
        <v>444</v>
      </c>
      <c r="B14412" s="52">
        <v>46387.0</v>
      </c>
      <c r="C14412" s="51" t="s">
        <v>780</v>
      </c>
      <c r="D14412" s="51">
        <v>0.0</v>
      </c>
    </row>
    <row r="14413" ht="15.75" hidden="1" customHeight="1">
      <c r="A14413" s="51" t="s">
        <v>449</v>
      </c>
      <c r="B14413" s="52">
        <v>46387.0</v>
      </c>
      <c r="C14413" s="51" t="s">
        <v>780</v>
      </c>
      <c r="D14413" s="51">
        <v>0.0</v>
      </c>
    </row>
    <row r="14414" ht="15.75" hidden="1" customHeight="1">
      <c r="A14414" s="51" t="s">
        <v>455</v>
      </c>
      <c r="B14414" s="52">
        <v>46387.0</v>
      </c>
      <c r="C14414" s="51" t="s">
        <v>780</v>
      </c>
      <c r="D14414" s="51">
        <v>0.0</v>
      </c>
    </row>
    <row r="14415" ht="15.75" hidden="1" customHeight="1">
      <c r="A14415" s="51" t="s">
        <v>470</v>
      </c>
      <c r="B14415" s="52">
        <v>46387.0</v>
      </c>
      <c r="C14415" s="51" t="s">
        <v>780</v>
      </c>
      <c r="D14415" s="51">
        <v>0.0</v>
      </c>
    </row>
    <row r="14416" ht="15.75" hidden="1" customHeight="1">
      <c r="A14416" s="51" t="s">
        <v>476</v>
      </c>
      <c r="B14416" s="52">
        <v>46387.0</v>
      </c>
      <c r="C14416" s="51" t="s">
        <v>780</v>
      </c>
      <c r="D14416" s="51">
        <v>0.0</v>
      </c>
    </row>
    <row r="14417" ht="15.75" hidden="1" customHeight="1">
      <c r="A14417" s="51" t="s">
        <v>481</v>
      </c>
      <c r="B14417" s="52">
        <v>46387.0</v>
      </c>
      <c r="C14417" s="51" t="s">
        <v>780</v>
      </c>
      <c r="D14417" s="51">
        <v>0.0</v>
      </c>
    </row>
    <row r="14418" ht="15.75" hidden="1" customHeight="1">
      <c r="A14418" s="51" t="s">
        <v>486</v>
      </c>
      <c r="B14418" s="52">
        <v>46387.0</v>
      </c>
      <c r="C14418" s="51" t="s">
        <v>780</v>
      </c>
      <c r="D14418" s="51">
        <v>0.0</v>
      </c>
    </row>
    <row r="14419" ht="15.75" hidden="1" customHeight="1">
      <c r="A14419" s="51" t="s">
        <v>491</v>
      </c>
      <c r="B14419" s="52">
        <v>46387.0</v>
      </c>
      <c r="C14419" s="51" t="s">
        <v>780</v>
      </c>
      <c r="D14419" s="51">
        <v>0.0</v>
      </c>
    </row>
    <row r="14420" ht="15.75" hidden="1" customHeight="1">
      <c r="A14420" s="51" t="s">
        <v>496</v>
      </c>
      <c r="B14420" s="52">
        <v>46387.0</v>
      </c>
      <c r="C14420" s="51" t="s">
        <v>780</v>
      </c>
      <c r="D14420" s="51">
        <v>0.0</v>
      </c>
    </row>
    <row r="14421" ht="15.75" hidden="1" customHeight="1">
      <c r="A14421" s="51" t="s">
        <v>501</v>
      </c>
      <c r="B14421" s="52">
        <v>46387.0</v>
      </c>
      <c r="C14421" s="51" t="s">
        <v>780</v>
      </c>
      <c r="D14421" s="51">
        <v>0.0</v>
      </c>
    </row>
    <row r="14422" ht="15.75" hidden="1" customHeight="1">
      <c r="A14422" s="51" t="s">
        <v>506</v>
      </c>
      <c r="B14422" s="52">
        <v>46387.0</v>
      </c>
      <c r="C14422" s="51" t="s">
        <v>780</v>
      </c>
      <c r="D14422" s="51">
        <v>65046.88</v>
      </c>
    </row>
    <row r="14423" ht="15.75" hidden="1" customHeight="1">
      <c r="A14423" s="51" t="s">
        <v>512</v>
      </c>
      <c r="B14423" s="52">
        <v>46387.0</v>
      </c>
      <c r="C14423" s="51" t="s">
        <v>780</v>
      </c>
      <c r="D14423" s="51">
        <v>0.0</v>
      </c>
    </row>
    <row r="14424" ht="15.75" hidden="1" customHeight="1">
      <c r="A14424" s="51" t="s">
        <v>517</v>
      </c>
      <c r="B14424" s="52">
        <v>46387.0</v>
      </c>
      <c r="C14424" s="51" t="s">
        <v>780</v>
      </c>
      <c r="D14424" s="51">
        <v>0.0</v>
      </c>
    </row>
    <row r="14425" ht="15.75" hidden="1" customHeight="1">
      <c r="A14425" s="51" t="s">
        <v>522</v>
      </c>
      <c r="B14425" s="52">
        <v>46387.0</v>
      </c>
      <c r="C14425" s="51" t="s">
        <v>780</v>
      </c>
      <c r="D14425" s="51">
        <v>2805000.0</v>
      </c>
    </row>
    <row r="14426" ht="15.75" hidden="1" customHeight="1">
      <c r="A14426" s="51" t="s">
        <v>528</v>
      </c>
      <c r="B14426" s="52">
        <v>46387.0</v>
      </c>
      <c r="C14426" s="51" t="s">
        <v>780</v>
      </c>
      <c r="D14426" s="51">
        <v>0.0</v>
      </c>
    </row>
    <row r="14427" ht="15.75" hidden="1" customHeight="1">
      <c r="A14427" s="51" t="s">
        <v>533</v>
      </c>
      <c r="B14427" s="52">
        <v>46387.0</v>
      </c>
      <c r="C14427" s="51" t="s">
        <v>780</v>
      </c>
      <c r="D14427" s="51">
        <v>0.0</v>
      </c>
    </row>
    <row r="14428" ht="15.75" hidden="1" customHeight="1">
      <c r="A14428" s="51" t="s">
        <v>538</v>
      </c>
      <c r="B14428" s="52">
        <v>46387.0</v>
      </c>
      <c r="C14428" s="51" t="s">
        <v>780</v>
      </c>
      <c r="D14428" s="51">
        <v>0.0</v>
      </c>
    </row>
    <row r="14429" ht="15.75" hidden="1" customHeight="1">
      <c r="A14429" s="51" t="s">
        <v>546</v>
      </c>
      <c r="B14429" s="52">
        <v>46387.0</v>
      </c>
      <c r="C14429" s="51" t="s">
        <v>780</v>
      </c>
      <c r="D14429" s="51">
        <v>0.0</v>
      </c>
    </row>
    <row r="14430" ht="15.75" hidden="1" customHeight="1">
      <c r="A14430" s="51" t="s">
        <v>551</v>
      </c>
      <c r="B14430" s="52">
        <v>46387.0</v>
      </c>
      <c r="C14430" s="51" t="s">
        <v>780</v>
      </c>
      <c r="D14430" s="51">
        <v>0.0</v>
      </c>
    </row>
    <row r="14431" ht="15.75" hidden="1" customHeight="1">
      <c r="A14431" s="51" t="s">
        <v>556</v>
      </c>
      <c r="B14431" s="52">
        <v>46387.0</v>
      </c>
      <c r="C14431" s="51" t="s">
        <v>780</v>
      </c>
      <c r="D14431" s="51">
        <v>0.0</v>
      </c>
    </row>
    <row r="14432" ht="15.75" hidden="1" customHeight="1">
      <c r="A14432" s="51" t="s">
        <v>561</v>
      </c>
      <c r="B14432" s="52">
        <v>46387.0</v>
      </c>
      <c r="C14432" s="51" t="s">
        <v>780</v>
      </c>
      <c r="D14432" s="51">
        <v>0.0</v>
      </c>
    </row>
    <row r="14433" ht="15.75" hidden="1" customHeight="1">
      <c r="A14433" s="51" t="s">
        <v>566</v>
      </c>
      <c r="B14433" s="52">
        <v>46387.0</v>
      </c>
      <c r="C14433" s="51" t="s">
        <v>780</v>
      </c>
      <c r="D14433" s="51">
        <v>-100000.0</v>
      </c>
    </row>
    <row r="14434" ht="15.75" hidden="1" customHeight="1">
      <c r="A14434" s="51" t="s">
        <v>571</v>
      </c>
      <c r="B14434" s="52">
        <v>46387.0</v>
      </c>
      <c r="C14434" s="51" t="s">
        <v>780</v>
      </c>
      <c r="D14434" s="51">
        <v>0.0</v>
      </c>
    </row>
    <row r="14435" ht="15.75" hidden="1" customHeight="1">
      <c r="A14435" s="51" t="s">
        <v>576</v>
      </c>
      <c r="B14435" s="52">
        <v>46387.0</v>
      </c>
      <c r="C14435" s="51" t="s">
        <v>780</v>
      </c>
      <c r="D14435" s="51">
        <v>0.0</v>
      </c>
    </row>
    <row r="14436" ht="15.75" hidden="1" customHeight="1">
      <c r="A14436" s="51" t="s">
        <v>581</v>
      </c>
      <c r="B14436" s="52">
        <v>46387.0</v>
      </c>
      <c r="C14436" s="51" t="s">
        <v>780</v>
      </c>
      <c r="D14436" s="51">
        <v>0.0</v>
      </c>
    </row>
    <row r="14437" ht="15.75" hidden="1" customHeight="1">
      <c r="A14437" s="51" t="s">
        <v>586</v>
      </c>
      <c r="B14437" s="52">
        <v>46387.0</v>
      </c>
      <c r="C14437" s="51" t="s">
        <v>780</v>
      </c>
      <c r="D14437" s="51">
        <v>0.0</v>
      </c>
    </row>
    <row r="14438" ht="15.75" hidden="1" customHeight="1">
      <c r="A14438" s="51" t="s">
        <v>754</v>
      </c>
      <c r="B14438" s="52">
        <v>46387.0</v>
      </c>
      <c r="C14438" s="51" t="s">
        <v>780</v>
      </c>
      <c r="D14438" s="51">
        <v>0.0</v>
      </c>
    </row>
    <row r="14439" ht="15.75" hidden="1" customHeight="1">
      <c r="A14439" s="51" t="s">
        <v>591</v>
      </c>
      <c r="B14439" s="52">
        <v>46387.0</v>
      </c>
      <c r="C14439" s="51" t="s">
        <v>780</v>
      </c>
      <c r="D14439" s="51">
        <v>0.0</v>
      </c>
    </row>
    <row r="14440" ht="15.75" hidden="1" customHeight="1">
      <c r="A14440" s="51" t="s">
        <v>759</v>
      </c>
      <c r="B14440" s="52">
        <v>46387.0</v>
      </c>
      <c r="C14440" s="51" t="s">
        <v>780</v>
      </c>
      <c r="D14440" s="51">
        <v>0.0</v>
      </c>
    </row>
    <row r="14441" ht="15.75" hidden="1" customHeight="1">
      <c r="A14441" s="51" t="s">
        <v>596</v>
      </c>
      <c r="B14441" s="52">
        <v>46387.0</v>
      </c>
      <c r="C14441" s="51" t="s">
        <v>780</v>
      </c>
      <c r="D14441" s="51">
        <v>-500000.0</v>
      </c>
    </row>
    <row r="14442" ht="15.75" hidden="1" customHeight="1">
      <c r="A14442" s="51" t="s">
        <v>602</v>
      </c>
      <c r="B14442" s="52">
        <v>46387.0</v>
      </c>
      <c r="C14442" s="51" t="s">
        <v>780</v>
      </c>
      <c r="D14442" s="51">
        <v>0.0</v>
      </c>
    </row>
    <row r="14443" ht="15.75" hidden="1" customHeight="1">
      <c r="A14443" s="51" t="s">
        <v>607</v>
      </c>
      <c r="B14443" s="52">
        <v>46387.0</v>
      </c>
      <c r="C14443" s="51" t="s">
        <v>780</v>
      </c>
      <c r="D14443" s="51">
        <v>0.0</v>
      </c>
    </row>
    <row r="14444" ht="15.75" hidden="1" customHeight="1">
      <c r="A14444" s="51" t="s">
        <v>612</v>
      </c>
      <c r="B14444" s="52">
        <v>46387.0</v>
      </c>
      <c r="C14444" s="51" t="s">
        <v>780</v>
      </c>
      <c r="D14444" s="51">
        <v>-250000.0</v>
      </c>
    </row>
    <row r="14445" ht="15.75" hidden="1" customHeight="1">
      <c r="A14445" s="51" t="s">
        <v>617</v>
      </c>
      <c r="B14445" s="52">
        <v>46387.0</v>
      </c>
      <c r="C14445" s="51" t="s">
        <v>780</v>
      </c>
      <c r="D14445" s="51">
        <v>0.0</v>
      </c>
    </row>
    <row r="14446" ht="15.75" hidden="1" customHeight="1">
      <c r="A14446" s="51" t="s">
        <v>622</v>
      </c>
      <c r="B14446" s="52">
        <v>46387.0</v>
      </c>
      <c r="C14446" s="51" t="s">
        <v>780</v>
      </c>
      <c r="D14446" s="51">
        <v>0.0</v>
      </c>
    </row>
    <row r="14447" ht="15.75" hidden="1" customHeight="1">
      <c r="A14447" s="51" t="s">
        <v>627</v>
      </c>
      <c r="B14447" s="52">
        <v>46387.0</v>
      </c>
      <c r="C14447" s="51" t="s">
        <v>780</v>
      </c>
      <c r="D14447" s="51">
        <v>0.0</v>
      </c>
    </row>
    <row r="14448" ht="15.75" hidden="1" customHeight="1">
      <c r="A14448" s="51" t="s">
        <v>631</v>
      </c>
      <c r="B14448" s="52">
        <v>46387.0</v>
      </c>
      <c r="C14448" s="51" t="s">
        <v>780</v>
      </c>
      <c r="D14448" s="51">
        <v>-150000.0</v>
      </c>
    </row>
    <row r="14449" ht="15.75" hidden="1" customHeight="1">
      <c r="A14449" s="51" t="s">
        <v>636</v>
      </c>
      <c r="B14449" s="52">
        <v>46387.0</v>
      </c>
      <c r="C14449" s="51" t="s">
        <v>780</v>
      </c>
      <c r="D14449" s="51">
        <v>-150000.0</v>
      </c>
    </row>
    <row r="14450" ht="15.75" hidden="1" customHeight="1">
      <c r="A14450" s="51" t="s">
        <v>640</v>
      </c>
      <c r="B14450" s="52">
        <v>46387.0</v>
      </c>
      <c r="C14450" s="51" t="s">
        <v>780</v>
      </c>
      <c r="D14450" s="51">
        <v>-500000.0</v>
      </c>
    </row>
    <row r="14451" ht="15.75" hidden="1" customHeight="1">
      <c r="A14451" s="51" t="s">
        <v>644</v>
      </c>
      <c r="B14451" s="52">
        <v>46387.0</v>
      </c>
      <c r="C14451" s="51" t="s">
        <v>780</v>
      </c>
      <c r="D14451" s="51">
        <v>0.0</v>
      </c>
    </row>
    <row r="14452" ht="15.75" hidden="1" customHeight="1">
      <c r="A14452" s="51" t="s">
        <v>649</v>
      </c>
      <c r="B14452" s="52">
        <v>46387.0</v>
      </c>
      <c r="C14452" s="51" t="s">
        <v>780</v>
      </c>
      <c r="D14452" s="51">
        <v>0.0</v>
      </c>
    </row>
    <row r="14453" ht="15.75" hidden="1" customHeight="1">
      <c r="A14453" s="51" t="s">
        <v>654</v>
      </c>
      <c r="B14453" s="52">
        <v>46387.0</v>
      </c>
      <c r="C14453" s="51" t="s">
        <v>780</v>
      </c>
      <c r="D14453" s="51">
        <v>0.0</v>
      </c>
    </row>
    <row r="14454" ht="15.75" hidden="1" customHeight="1">
      <c r="A14454" s="51" t="s">
        <v>659</v>
      </c>
      <c r="B14454" s="52">
        <v>46387.0</v>
      </c>
      <c r="C14454" s="51" t="s">
        <v>780</v>
      </c>
      <c r="D14454" s="51">
        <v>-600000.0</v>
      </c>
    </row>
    <row r="14455" ht="15.75" hidden="1" customHeight="1">
      <c r="A14455" s="51" t="s">
        <v>664</v>
      </c>
      <c r="B14455" s="52">
        <v>46387.0</v>
      </c>
      <c r="C14455" s="51" t="s">
        <v>780</v>
      </c>
      <c r="D14455" s="51">
        <v>-200000.0</v>
      </c>
    </row>
    <row r="14456" ht="15.75" hidden="1" customHeight="1">
      <c r="A14456" s="51" t="s">
        <v>669</v>
      </c>
      <c r="B14456" s="52">
        <v>46387.0</v>
      </c>
      <c r="C14456" s="51" t="s">
        <v>780</v>
      </c>
      <c r="D14456" s="51">
        <v>0.0</v>
      </c>
    </row>
    <row r="14457" ht="15.75" hidden="1" customHeight="1">
      <c r="A14457" s="51" t="s">
        <v>674</v>
      </c>
      <c r="B14457" s="52">
        <v>46387.0</v>
      </c>
      <c r="C14457" s="51" t="s">
        <v>780</v>
      </c>
      <c r="D14457" s="51">
        <v>-50000.0</v>
      </c>
    </row>
    <row r="14458" ht="15.75" hidden="1" customHeight="1">
      <c r="A14458" s="51" t="s">
        <v>679</v>
      </c>
      <c r="B14458" s="52">
        <v>46387.0</v>
      </c>
      <c r="C14458" s="51" t="s">
        <v>780</v>
      </c>
      <c r="D14458" s="51">
        <v>0.0</v>
      </c>
    </row>
    <row r="14459" ht="15.75" hidden="1" customHeight="1">
      <c r="A14459" s="51" t="s">
        <v>684</v>
      </c>
      <c r="B14459" s="52">
        <v>46387.0</v>
      </c>
      <c r="C14459" s="51" t="s">
        <v>780</v>
      </c>
      <c r="D14459" s="51">
        <v>0.0</v>
      </c>
    </row>
    <row r="14460" ht="15.75" hidden="1" customHeight="1">
      <c r="A14460" s="51" t="s">
        <v>689</v>
      </c>
      <c r="B14460" s="52">
        <v>46387.0</v>
      </c>
      <c r="C14460" s="51" t="s">
        <v>780</v>
      </c>
      <c r="D14460" s="51">
        <v>-50000.0</v>
      </c>
    </row>
    <row r="14461" ht="15.75" hidden="1" customHeight="1">
      <c r="A14461" s="51" t="s">
        <v>694</v>
      </c>
      <c r="B14461" s="52">
        <v>46387.0</v>
      </c>
      <c r="C14461" s="51" t="s">
        <v>780</v>
      </c>
      <c r="D14461" s="51">
        <v>-325000.0</v>
      </c>
    </row>
    <row r="14462" ht="15.75" hidden="1" customHeight="1">
      <c r="A14462" s="51" t="s">
        <v>699</v>
      </c>
      <c r="B14462" s="52">
        <v>46387.0</v>
      </c>
      <c r="C14462" s="51" t="s">
        <v>780</v>
      </c>
      <c r="D14462" s="51">
        <v>-135253.0</v>
      </c>
    </row>
    <row r="14463" ht="15.75" hidden="1" customHeight="1">
      <c r="A14463" s="51" t="s">
        <v>705</v>
      </c>
      <c r="B14463" s="52">
        <v>46387.0</v>
      </c>
      <c r="C14463" s="51" t="s">
        <v>780</v>
      </c>
      <c r="D14463" s="51">
        <v>-1500000.0</v>
      </c>
    </row>
    <row r="14464" ht="15.75" hidden="1" customHeight="1">
      <c r="A14464" s="51" t="s">
        <v>710</v>
      </c>
      <c r="B14464" s="52">
        <v>46387.0</v>
      </c>
      <c r="C14464" s="51" t="s">
        <v>780</v>
      </c>
      <c r="D14464" s="51">
        <v>0.0</v>
      </c>
    </row>
    <row r="14465" ht="15.75" hidden="1" customHeight="1">
      <c r="A14465" s="51" t="s">
        <v>715</v>
      </c>
      <c r="B14465" s="52">
        <v>46387.0</v>
      </c>
      <c r="C14465" s="51" t="s">
        <v>780</v>
      </c>
      <c r="D14465" s="51">
        <v>0.0</v>
      </c>
    </row>
    <row r="14466" ht="15.75" hidden="1" customHeight="1">
      <c r="A14466" s="51" t="s">
        <v>765</v>
      </c>
      <c r="B14466" s="52">
        <v>46387.0</v>
      </c>
      <c r="C14466" s="51" t="s">
        <v>780</v>
      </c>
      <c r="D14466" s="51">
        <v>0.0</v>
      </c>
    </row>
    <row r="14467" ht="15.75" hidden="1" customHeight="1">
      <c r="A14467" s="51" t="s">
        <v>720</v>
      </c>
      <c r="B14467" s="52">
        <v>46387.0</v>
      </c>
      <c r="C14467" s="51" t="s">
        <v>780</v>
      </c>
      <c r="D14467" s="51">
        <v>0.0</v>
      </c>
    </row>
    <row r="14468" ht="15.75" hidden="1" customHeight="1">
      <c r="A14468" s="51" t="s">
        <v>725</v>
      </c>
      <c r="B14468" s="52">
        <v>46387.0</v>
      </c>
      <c r="C14468" s="51" t="s">
        <v>780</v>
      </c>
      <c r="D14468" s="51">
        <v>0.0</v>
      </c>
    </row>
    <row r="14469" ht="15.75" hidden="1" customHeight="1">
      <c r="A14469" s="51" t="s">
        <v>730</v>
      </c>
      <c r="B14469" s="52">
        <v>46387.0</v>
      </c>
      <c r="C14469" s="51" t="s">
        <v>780</v>
      </c>
      <c r="D14469" s="51">
        <v>0.0</v>
      </c>
    </row>
    <row r="14470" ht="15.75" hidden="1" customHeight="1">
      <c r="A14470" s="51" t="s">
        <v>734</v>
      </c>
      <c r="B14470" s="52">
        <v>46387.0</v>
      </c>
      <c r="C14470" s="51" t="s">
        <v>780</v>
      </c>
      <c r="D14470" s="51">
        <v>0.0</v>
      </c>
    </row>
    <row r="14471" ht="15.75" hidden="1" customHeight="1">
      <c r="A14471" s="51" t="s">
        <v>739</v>
      </c>
      <c r="B14471" s="52">
        <v>46387.0</v>
      </c>
      <c r="C14471" s="51" t="s">
        <v>780</v>
      </c>
      <c r="D14471" s="51">
        <v>0.0</v>
      </c>
    </row>
    <row r="14472" ht="15.75" hidden="1" customHeight="1">
      <c r="A14472" s="51" t="s">
        <v>744</v>
      </c>
      <c r="B14472" s="52">
        <v>46387.0</v>
      </c>
      <c r="C14472" s="51" t="s">
        <v>780</v>
      </c>
      <c r="D14472" s="51">
        <v>0.0</v>
      </c>
    </row>
    <row r="14473" ht="15.75" hidden="1" customHeight="1">
      <c r="A14473" s="51" t="s">
        <v>749</v>
      </c>
      <c r="B14473" s="52">
        <v>46387.0</v>
      </c>
      <c r="C14473" s="51" t="s">
        <v>780</v>
      </c>
      <c r="D14473" s="51">
        <v>0.0</v>
      </c>
    </row>
    <row r="14474" ht="15.75" customHeight="1">
      <c r="A14474" s="51" t="s">
        <v>776</v>
      </c>
      <c r="B14474" s="52">
        <v>46476.0</v>
      </c>
      <c r="C14474" s="51" t="s">
        <v>777</v>
      </c>
      <c r="D14474" s="51">
        <v>0.0</v>
      </c>
    </row>
    <row r="14475" ht="15.75" hidden="1" customHeight="1">
      <c r="A14475" s="51" t="s">
        <v>778</v>
      </c>
      <c r="B14475" s="52">
        <v>46476.0</v>
      </c>
      <c r="C14475" s="51" t="s">
        <v>777</v>
      </c>
      <c r="D14475" s="51">
        <v>0.0</v>
      </c>
    </row>
    <row r="14476" ht="15.75" hidden="1" customHeight="1">
      <c r="A14476" s="51" t="s">
        <v>92</v>
      </c>
      <c r="B14476" s="52">
        <v>46476.0</v>
      </c>
      <c r="C14476" s="51" t="s">
        <v>777</v>
      </c>
      <c r="D14476" s="51">
        <v>0.0</v>
      </c>
    </row>
    <row r="14477" ht="15.75" hidden="1" customHeight="1">
      <c r="A14477" s="51" t="s">
        <v>97</v>
      </c>
      <c r="B14477" s="52">
        <v>46476.0</v>
      </c>
      <c r="C14477" s="51" t="s">
        <v>777</v>
      </c>
      <c r="D14477" s="51">
        <v>0.0</v>
      </c>
    </row>
    <row r="14478" ht="15.75" hidden="1" customHeight="1">
      <c r="A14478" s="51" t="s">
        <v>102</v>
      </c>
      <c r="B14478" s="52">
        <v>46476.0</v>
      </c>
      <c r="C14478" s="51" t="s">
        <v>777</v>
      </c>
      <c r="D14478" s="51">
        <v>0.0</v>
      </c>
    </row>
    <row r="14479" ht="15.75" hidden="1" customHeight="1">
      <c r="A14479" s="51" t="s">
        <v>106</v>
      </c>
      <c r="B14479" s="52">
        <v>46476.0</v>
      </c>
      <c r="C14479" s="51" t="s">
        <v>777</v>
      </c>
      <c r="D14479" s="51">
        <v>0.0</v>
      </c>
    </row>
    <row r="14480" ht="15.75" hidden="1" customHeight="1">
      <c r="A14480" s="51" t="s">
        <v>111</v>
      </c>
      <c r="B14480" s="52">
        <v>46476.0</v>
      </c>
      <c r="C14480" s="51" t="s">
        <v>777</v>
      </c>
      <c r="D14480" s="51">
        <v>0.0</v>
      </c>
    </row>
    <row r="14481" ht="15.75" hidden="1" customHeight="1">
      <c r="A14481" s="51" t="s">
        <v>116</v>
      </c>
      <c r="B14481" s="52">
        <v>46476.0</v>
      </c>
      <c r="C14481" s="51" t="s">
        <v>777</v>
      </c>
      <c r="D14481" s="51">
        <v>0.0</v>
      </c>
    </row>
    <row r="14482" ht="15.75" hidden="1" customHeight="1">
      <c r="A14482" s="51" t="s">
        <v>120</v>
      </c>
      <c r="B14482" s="52">
        <v>46476.0</v>
      </c>
      <c r="C14482" s="51" t="s">
        <v>777</v>
      </c>
      <c r="D14482" s="51">
        <v>0.0</v>
      </c>
    </row>
    <row r="14483" ht="15.75" hidden="1" customHeight="1">
      <c r="A14483" s="51" t="s">
        <v>125</v>
      </c>
      <c r="B14483" s="52">
        <v>46476.0</v>
      </c>
      <c r="C14483" s="51" t="s">
        <v>777</v>
      </c>
      <c r="D14483" s="51">
        <v>0.0</v>
      </c>
    </row>
    <row r="14484" ht="15.75" hidden="1" customHeight="1">
      <c r="A14484" s="51" t="s">
        <v>130</v>
      </c>
      <c r="B14484" s="52">
        <v>46476.0</v>
      </c>
      <c r="C14484" s="51" t="s">
        <v>777</v>
      </c>
      <c r="D14484" s="51">
        <v>0.0</v>
      </c>
    </row>
    <row r="14485" ht="15.75" hidden="1" customHeight="1">
      <c r="A14485" s="51" t="s">
        <v>137</v>
      </c>
      <c r="B14485" s="52">
        <v>46476.0</v>
      </c>
      <c r="C14485" s="51" t="s">
        <v>777</v>
      </c>
      <c r="D14485" s="51">
        <v>0.0</v>
      </c>
    </row>
    <row r="14486" ht="15.75" hidden="1" customHeight="1">
      <c r="A14486" s="51" t="s">
        <v>142</v>
      </c>
      <c r="B14486" s="52">
        <v>46476.0</v>
      </c>
      <c r="C14486" s="51" t="s">
        <v>777</v>
      </c>
      <c r="D14486" s="51">
        <v>0.0</v>
      </c>
    </row>
    <row r="14487" ht="15.75" hidden="1" customHeight="1">
      <c r="A14487" s="51" t="s">
        <v>147</v>
      </c>
      <c r="B14487" s="52">
        <v>46476.0</v>
      </c>
      <c r="C14487" s="51" t="s">
        <v>777</v>
      </c>
      <c r="D14487" s="51">
        <v>0.0</v>
      </c>
    </row>
    <row r="14488" ht="15.75" hidden="1" customHeight="1">
      <c r="A14488" s="51" t="s">
        <v>152</v>
      </c>
      <c r="B14488" s="52">
        <v>46476.0</v>
      </c>
      <c r="C14488" s="51" t="s">
        <v>777</v>
      </c>
      <c r="D14488" s="51">
        <v>0.0</v>
      </c>
    </row>
    <row r="14489" ht="15.75" hidden="1" customHeight="1">
      <c r="A14489" s="51" t="s">
        <v>157</v>
      </c>
      <c r="B14489" s="52">
        <v>46476.0</v>
      </c>
      <c r="C14489" s="51" t="s">
        <v>777</v>
      </c>
      <c r="D14489" s="51">
        <v>0.0</v>
      </c>
    </row>
    <row r="14490" ht="15.75" hidden="1" customHeight="1">
      <c r="A14490" s="51" t="s">
        <v>162</v>
      </c>
      <c r="B14490" s="52">
        <v>46476.0</v>
      </c>
      <c r="C14490" s="51" t="s">
        <v>777</v>
      </c>
      <c r="D14490" s="51">
        <v>0.0</v>
      </c>
    </row>
    <row r="14491" ht="15.75" hidden="1" customHeight="1">
      <c r="A14491" s="51" t="s">
        <v>167</v>
      </c>
      <c r="B14491" s="52">
        <v>46476.0</v>
      </c>
      <c r="C14491" s="51" t="s">
        <v>777</v>
      </c>
      <c r="D14491" s="51">
        <v>0.0</v>
      </c>
    </row>
    <row r="14492" ht="15.75" hidden="1" customHeight="1">
      <c r="A14492" s="51" t="s">
        <v>172</v>
      </c>
      <c r="B14492" s="52">
        <v>46476.0</v>
      </c>
      <c r="C14492" s="51" t="s">
        <v>777</v>
      </c>
      <c r="D14492" s="51">
        <v>0.0</v>
      </c>
    </row>
    <row r="14493" ht="15.75" hidden="1" customHeight="1">
      <c r="A14493" s="51" t="s">
        <v>177</v>
      </c>
      <c r="B14493" s="52">
        <v>46476.0</v>
      </c>
      <c r="C14493" s="51" t="s">
        <v>777</v>
      </c>
      <c r="D14493" s="51">
        <v>0.0</v>
      </c>
    </row>
    <row r="14494" ht="15.75" hidden="1" customHeight="1">
      <c r="A14494" s="51" t="s">
        <v>182</v>
      </c>
      <c r="B14494" s="52">
        <v>46476.0</v>
      </c>
      <c r="C14494" s="51" t="s">
        <v>777</v>
      </c>
      <c r="D14494" s="51">
        <v>0.0</v>
      </c>
    </row>
    <row r="14495" ht="15.75" hidden="1" customHeight="1">
      <c r="A14495" s="51" t="s">
        <v>187</v>
      </c>
      <c r="B14495" s="52">
        <v>46476.0</v>
      </c>
      <c r="C14495" s="51" t="s">
        <v>777</v>
      </c>
      <c r="D14495" s="51">
        <v>0.0</v>
      </c>
    </row>
    <row r="14496" ht="15.75" hidden="1" customHeight="1">
      <c r="A14496" s="51" t="s">
        <v>192</v>
      </c>
      <c r="B14496" s="52">
        <v>46476.0</v>
      </c>
      <c r="C14496" s="51" t="s">
        <v>777</v>
      </c>
      <c r="D14496" s="51">
        <v>0.0</v>
      </c>
    </row>
    <row r="14497" ht="15.75" hidden="1" customHeight="1">
      <c r="A14497" s="51" t="s">
        <v>197</v>
      </c>
      <c r="B14497" s="52">
        <v>46476.0</v>
      </c>
      <c r="C14497" s="51" t="s">
        <v>777</v>
      </c>
      <c r="D14497" s="51">
        <v>0.0</v>
      </c>
    </row>
    <row r="14498" ht="15.75" hidden="1" customHeight="1">
      <c r="A14498" s="51" t="s">
        <v>202</v>
      </c>
      <c r="B14498" s="52">
        <v>46476.0</v>
      </c>
      <c r="C14498" s="51" t="s">
        <v>777</v>
      </c>
      <c r="D14498" s="51">
        <v>0.0</v>
      </c>
    </row>
    <row r="14499" ht="15.75" hidden="1" customHeight="1">
      <c r="A14499" s="51" t="s">
        <v>206</v>
      </c>
      <c r="B14499" s="52">
        <v>46476.0</v>
      </c>
      <c r="C14499" s="51" t="s">
        <v>777</v>
      </c>
      <c r="D14499" s="51">
        <v>0.0</v>
      </c>
    </row>
    <row r="14500" ht="15.75" hidden="1" customHeight="1">
      <c r="A14500" s="51" t="s">
        <v>211</v>
      </c>
      <c r="B14500" s="52">
        <v>46476.0</v>
      </c>
      <c r="C14500" s="51" t="s">
        <v>777</v>
      </c>
      <c r="D14500" s="51">
        <v>0.0</v>
      </c>
    </row>
    <row r="14501" ht="15.75" hidden="1" customHeight="1">
      <c r="A14501" s="51" t="s">
        <v>779</v>
      </c>
      <c r="B14501" s="52">
        <v>46476.0</v>
      </c>
      <c r="C14501" s="51" t="s">
        <v>777</v>
      </c>
      <c r="D14501" s="51">
        <v>0.0</v>
      </c>
    </row>
    <row r="14502" ht="15.75" hidden="1" customHeight="1">
      <c r="A14502" s="51" t="s">
        <v>221</v>
      </c>
      <c r="B14502" s="52">
        <v>46476.0</v>
      </c>
      <c r="C14502" s="51" t="s">
        <v>777</v>
      </c>
      <c r="D14502" s="51">
        <v>0.0</v>
      </c>
    </row>
    <row r="14503" ht="15.75" hidden="1" customHeight="1">
      <c r="A14503" s="51" t="s">
        <v>226</v>
      </c>
      <c r="B14503" s="52">
        <v>46476.0</v>
      </c>
      <c r="C14503" s="51" t="s">
        <v>777</v>
      </c>
      <c r="D14503" s="51">
        <v>0.0</v>
      </c>
    </row>
    <row r="14504" ht="15.75" hidden="1" customHeight="1">
      <c r="A14504" s="51" t="s">
        <v>231</v>
      </c>
      <c r="B14504" s="52">
        <v>46476.0</v>
      </c>
      <c r="C14504" s="51" t="s">
        <v>777</v>
      </c>
      <c r="D14504" s="51">
        <v>0.0</v>
      </c>
    </row>
    <row r="14505" ht="15.75" hidden="1" customHeight="1">
      <c r="A14505" s="51" t="s">
        <v>236</v>
      </c>
      <c r="B14505" s="52">
        <v>46476.0</v>
      </c>
      <c r="C14505" s="51" t="s">
        <v>777</v>
      </c>
      <c r="D14505" s="51">
        <v>0.0</v>
      </c>
    </row>
    <row r="14506" ht="15.75" hidden="1" customHeight="1">
      <c r="A14506" s="51" t="s">
        <v>242</v>
      </c>
      <c r="B14506" s="52">
        <v>46476.0</v>
      </c>
      <c r="C14506" s="51" t="s">
        <v>777</v>
      </c>
      <c r="D14506" s="51">
        <v>0.0</v>
      </c>
    </row>
    <row r="14507" ht="15.75" hidden="1" customHeight="1">
      <c r="A14507" s="51" t="s">
        <v>248</v>
      </c>
      <c r="B14507" s="52">
        <v>46476.0</v>
      </c>
      <c r="C14507" s="51" t="s">
        <v>777</v>
      </c>
      <c r="D14507" s="51">
        <v>0.0</v>
      </c>
    </row>
    <row r="14508" ht="15.75" hidden="1" customHeight="1">
      <c r="A14508" s="51" t="s">
        <v>253</v>
      </c>
      <c r="B14508" s="52">
        <v>46476.0</v>
      </c>
      <c r="C14508" s="51" t="s">
        <v>777</v>
      </c>
      <c r="D14508" s="51">
        <v>0.0</v>
      </c>
    </row>
    <row r="14509" ht="15.75" hidden="1" customHeight="1">
      <c r="A14509" s="51" t="s">
        <v>258</v>
      </c>
      <c r="B14509" s="52">
        <v>46476.0</v>
      </c>
      <c r="C14509" s="51" t="s">
        <v>777</v>
      </c>
      <c r="D14509" s="51">
        <v>0.0</v>
      </c>
    </row>
    <row r="14510" ht="15.75" hidden="1" customHeight="1">
      <c r="A14510" s="51" t="s">
        <v>263</v>
      </c>
      <c r="B14510" s="52">
        <v>46476.0</v>
      </c>
      <c r="C14510" s="51" t="s">
        <v>777</v>
      </c>
      <c r="D14510" s="51">
        <v>0.0</v>
      </c>
    </row>
    <row r="14511" ht="15.75" hidden="1" customHeight="1">
      <c r="A14511" s="51" t="s">
        <v>268</v>
      </c>
      <c r="B14511" s="52">
        <v>46476.0</v>
      </c>
      <c r="C14511" s="51" t="s">
        <v>777</v>
      </c>
      <c r="D14511" s="51">
        <v>0.0</v>
      </c>
    </row>
    <row r="14512" ht="15.75" hidden="1" customHeight="1">
      <c r="A14512" s="51" t="s">
        <v>273</v>
      </c>
      <c r="B14512" s="52">
        <v>46476.0</v>
      </c>
      <c r="C14512" s="51" t="s">
        <v>777</v>
      </c>
      <c r="D14512" s="51">
        <v>0.0</v>
      </c>
    </row>
    <row r="14513" ht="15.75" hidden="1" customHeight="1">
      <c r="A14513" s="51" t="s">
        <v>278</v>
      </c>
      <c r="B14513" s="52">
        <v>46476.0</v>
      </c>
      <c r="C14513" s="51" t="s">
        <v>777</v>
      </c>
      <c r="D14513" s="51">
        <v>0.0</v>
      </c>
    </row>
    <row r="14514" ht="15.75" hidden="1" customHeight="1">
      <c r="A14514" s="51" t="s">
        <v>283</v>
      </c>
      <c r="B14514" s="52">
        <v>46476.0</v>
      </c>
      <c r="C14514" s="51" t="s">
        <v>777</v>
      </c>
      <c r="D14514" s="51">
        <v>0.0</v>
      </c>
    </row>
    <row r="14515" ht="15.75" hidden="1" customHeight="1">
      <c r="A14515" s="51" t="s">
        <v>288</v>
      </c>
      <c r="B14515" s="52">
        <v>46476.0</v>
      </c>
      <c r="C14515" s="51" t="s">
        <v>777</v>
      </c>
      <c r="D14515" s="51">
        <v>0.0</v>
      </c>
    </row>
    <row r="14516" ht="15.75" hidden="1" customHeight="1">
      <c r="A14516" s="51" t="s">
        <v>293</v>
      </c>
      <c r="B14516" s="52">
        <v>46476.0</v>
      </c>
      <c r="C14516" s="51" t="s">
        <v>777</v>
      </c>
      <c r="D14516" s="51">
        <v>0.0</v>
      </c>
    </row>
    <row r="14517" ht="15.75" hidden="1" customHeight="1">
      <c r="A14517" s="51" t="s">
        <v>298</v>
      </c>
      <c r="B14517" s="52">
        <v>46476.0</v>
      </c>
      <c r="C14517" s="51" t="s">
        <v>777</v>
      </c>
      <c r="D14517" s="51">
        <v>0.0</v>
      </c>
    </row>
    <row r="14518" ht="15.75" hidden="1" customHeight="1">
      <c r="A14518" s="51" t="s">
        <v>303</v>
      </c>
      <c r="B14518" s="52">
        <v>46476.0</v>
      </c>
      <c r="C14518" s="51" t="s">
        <v>777</v>
      </c>
      <c r="D14518" s="51">
        <v>0.0</v>
      </c>
    </row>
    <row r="14519" ht="15.75" hidden="1" customHeight="1">
      <c r="A14519" s="51" t="s">
        <v>307</v>
      </c>
      <c r="B14519" s="52">
        <v>46476.0</v>
      </c>
      <c r="C14519" s="51" t="s">
        <v>777</v>
      </c>
      <c r="D14519" s="51">
        <v>0.0</v>
      </c>
    </row>
    <row r="14520" ht="15.75" hidden="1" customHeight="1">
      <c r="A14520" s="51" t="s">
        <v>313</v>
      </c>
      <c r="B14520" s="52">
        <v>46476.0</v>
      </c>
      <c r="C14520" s="51" t="s">
        <v>777</v>
      </c>
      <c r="D14520" s="51">
        <v>0.0</v>
      </c>
    </row>
    <row r="14521" ht="15.75" hidden="1" customHeight="1">
      <c r="A14521" s="51" t="s">
        <v>318</v>
      </c>
      <c r="B14521" s="52">
        <v>46476.0</v>
      </c>
      <c r="C14521" s="51" t="s">
        <v>777</v>
      </c>
      <c r="D14521" s="51">
        <v>0.0</v>
      </c>
    </row>
    <row r="14522" ht="15.75" hidden="1" customHeight="1">
      <c r="A14522" s="51" t="s">
        <v>323</v>
      </c>
      <c r="B14522" s="52">
        <v>46476.0</v>
      </c>
      <c r="C14522" s="51" t="s">
        <v>777</v>
      </c>
      <c r="D14522" s="51">
        <v>0.0</v>
      </c>
    </row>
    <row r="14523" ht="15.75" hidden="1" customHeight="1">
      <c r="A14523" s="51" t="s">
        <v>328</v>
      </c>
      <c r="B14523" s="52">
        <v>46476.0</v>
      </c>
      <c r="C14523" s="51" t="s">
        <v>777</v>
      </c>
      <c r="D14523" s="51">
        <v>0.0</v>
      </c>
    </row>
    <row r="14524" ht="15.75" hidden="1" customHeight="1">
      <c r="A14524" s="51" t="s">
        <v>335</v>
      </c>
      <c r="B14524" s="52">
        <v>46476.0</v>
      </c>
      <c r="C14524" s="51" t="s">
        <v>777</v>
      </c>
      <c r="D14524" s="51">
        <v>0.0</v>
      </c>
    </row>
    <row r="14525" ht="15.75" hidden="1" customHeight="1">
      <c r="A14525" s="51" t="s">
        <v>340</v>
      </c>
      <c r="B14525" s="52">
        <v>46476.0</v>
      </c>
      <c r="C14525" s="51" t="s">
        <v>777</v>
      </c>
      <c r="D14525" s="51">
        <v>0.0</v>
      </c>
    </row>
    <row r="14526" ht="15.75" hidden="1" customHeight="1">
      <c r="A14526" s="51" t="s">
        <v>345</v>
      </c>
      <c r="B14526" s="52">
        <v>46476.0</v>
      </c>
      <c r="C14526" s="51" t="s">
        <v>777</v>
      </c>
      <c r="D14526" s="51">
        <v>0.0</v>
      </c>
    </row>
    <row r="14527" ht="15.75" hidden="1" customHeight="1">
      <c r="A14527" s="51" t="s">
        <v>350</v>
      </c>
      <c r="B14527" s="52">
        <v>46476.0</v>
      </c>
      <c r="C14527" s="51" t="s">
        <v>777</v>
      </c>
      <c r="D14527" s="51">
        <v>0.0</v>
      </c>
    </row>
    <row r="14528" ht="15.75" hidden="1" customHeight="1">
      <c r="A14528" s="51" t="s">
        <v>355</v>
      </c>
      <c r="B14528" s="52">
        <v>46476.0</v>
      </c>
      <c r="C14528" s="51" t="s">
        <v>777</v>
      </c>
      <c r="D14528" s="51">
        <v>0.0</v>
      </c>
    </row>
    <row r="14529" ht="15.75" hidden="1" customHeight="1">
      <c r="A14529" s="51" t="s">
        <v>360</v>
      </c>
      <c r="B14529" s="52">
        <v>46476.0</v>
      </c>
      <c r="C14529" s="51" t="s">
        <v>777</v>
      </c>
      <c r="D14529" s="51">
        <v>0.0</v>
      </c>
    </row>
    <row r="14530" ht="15.75" hidden="1" customHeight="1">
      <c r="A14530" s="51" t="s">
        <v>365</v>
      </c>
      <c r="B14530" s="52">
        <v>46476.0</v>
      </c>
      <c r="C14530" s="51" t="s">
        <v>777</v>
      </c>
      <c r="D14530" s="51">
        <v>0.0</v>
      </c>
    </row>
    <row r="14531" ht="15.75" hidden="1" customHeight="1">
      <c r="A14531" s="51" t="s">
        <v>370</v>
      </c>
      <c r="B14531" s="52">
        <v>46476.0</v>
      </c>
      <c r="C14531" s="51" t="s">
        <v>777</v>
      </c>
      <c r="D14531" s="51">
        <v>0.0</v>
      </c>
    </row>
    <row r="14532" ht="15.75" hidden="1" customHeight="1">
      <c r="A14532" s="51" t="s">
        <v>375</v>
      </c>
      <c r="B14532" s="52">
        <v>46476.0</v>
      </c>
      <c r="C14532" s="51" t="s">
        <v>777</v>
      </c>
      <c r="D14532" s="51">
        <v>0.0</v>
      </c>
    </row>
    <row r="14533" ht="15.75" hidden="1" customHeight="1">
      <c r="A14533" s="51" t="s">
        <v>380</v>
      </c>
      <c r="B14533" s="52">
        <v>46476.0</v>
      </c>
      <c r="C14533" s="51" t="s">
        <v>777</v>
      </c>
      <c r="D14533" s="51">
        <v>0.0</v>
      </c>
    </row>
    <row r="14534" ht="15.75" hidden="1" customHeight="1">
      <c r="A14534" s="51" t="s">
        <v>385</v>
      </c>
      <c r="B14534" s="52">
        <v>46476.0</v>
      </c>
      <c r="C14534" s="51" t="s">
        <v>777</v>
      </c>
      <c r="D14534" s="51">
        <v>0.0</v>
      </c>
    </row>
    <row r="14535" ht="15.75" hidden="1" customHeight="1">
      <c r="A14535" s="51" t="s">
        <v>390</v>
      </c>
      <c r="B14535" s="52">
        <v>46476.0</v>
      </c>
      <c r="C14535" s="51" t="s">
        <v>777</v>
      </c>
      <c r="D14535" s="51">
        <v>0.0</v>
      </c>
    </row>
    <row r="14536" ht="15.75" hidden="1" customHeight="1">
      <c r="A14536" s="51" t="s">
        <v>395</v>
      </c>
      <c r="B14536" s="52">
        <v>46476.0</v>
      </c>
      <c r="C14536" s="51" t="s">
        <v>777</v>
      </c>
      <c r="D14536" s="51">
        <v>0.0</v>
      </c>
    </row>
    <row r="14537" ht="15.75" hidden="1" customHeight="1">
      <c r="A14537" s="51" t="s">
        <v>400</v>
      </c>
      <c r="B14537" s="52">
        <v>46476.0</v>
      </c>
      <c r="C14537" s="51" t="s">
        <v>777</v>
      </c>
      <c r="D14537" s="51">
        <v>0.0</v>
      </c>
    </row>
    <row r="14538" ht="15.75" hidden="1" customHeight="1">
      <c r="A14538" s="51" t="s">
        <v>405</v>
      </c>
      <c r="B14538" s="52">
        <v>46476.0</v>
      </c>
      <c r="C14538" s="51" t="s">
        <v>777</v>
      </c>
      <c r="D14538" s="51">
        <v>0.0</v>
      </c>
    </row>
    <row r="14539" ht="15.75" hidden="1" customHeight="1">
      <c r="A14539" s="51" t="s">
        <v>410</v>
      </c>
      <c r="B14539" s="52">
        <v>46476.0</v>
      </c>
      <c r="C14539" s="51" t="s">
        <v>777</v>
      </c>
      <c r="D14539" s="51">
        <v>0.0</v>
      </c>
    </row>
    <row r="14540" ht="15.75" hidden="1" customHeight="1">
      <c r="A14540" s="51" t="s">
        <v>415</v>
      </c>
      <c r="B14540" s="52">
        <v>46476.0</v>
      </c>
      <c r="C14540" s="51" t="s">
        <v>777</v>
      </c>
      <c r="D14540" s="51">
        <v>0.0</v>
      </c>
    </row>
    <row r="14541" ht="15.75" hidden="1" customHeight="1">
      <c r="A14541" s="51" t="s">
        <v>420</v>
      </c>
      <c r="B14541" s="52">
        <v>46476.0</v>
      </c>
      <c r="C14541" s="51" t="s">
        <v>777</v>
      </c>
      <c r="D14541" s="51">
        <v>0.0</v>
      </c>
    </row>
    <row r="14542" ht="15.75" hidden="1" customHeight="1">
      <c r="A14542" s="51" t="s">
        <v>425</v>
      </c>
      <c r="B14542" s="52">
        <v>46476.0</v>
      </c>
      <c r="C14542" s="51" t="s">
        <v>777</v>
      </c>
      <c r="D14542" s="51">
        <v>0.0</v>
      </c>
    </row>
    <row r="14543" ht="15.75" hidden="1" customHeight="1">
      <c r="A14543" s="51" t="s">
        <v>430</v>
      </c>
      <c r="B14543" s="52">
        <v>46476.0</v>
      </c>
      <c r="C14543" s="51" t="s">
        <v>777</v>
      </c>
      <c r="D14543" s="51">
        <v>0.0</v>
      </c>
    </row>
    <row r="14544" ht="15.75" hidden="1" customHeight="1">
      <c r="A14544" s="51" t="s">
        <v>434</v>
      </c>
      <c r="B14544" s="52">
        <v>46476.0</v>
      </c>
      <c r="C14544" s="51" t="s">
        <v>777</v>
      </c>
      <c r="D14544" s="51">
        <v>0.0</v>
      </c>
    </row>
    <row r="14545" ht="15.75" hidden="1" customHeight="1">
      <c r="A14545" s="51" t="s">
        <v>439</v>
      </c>
      <c r="B14545" s="52">
        <v>46476.0</v>
      </c>
      <c r="C14545" s="51" t="s">
        <v>777</v>
      </c>
      <c r="D14545" s="51">
        <v>0.0</v>
      </c>
    </row>
    <row r="14546" ht="15.75" hidden="1" customHeight="1">
      <c r="A14546" s="51" t="s">
        <v>444</v>
      </c>
      <c r="B14546" s="52">
        <v>46476.0</v>
      </c>
      <c r="C14546" s="51" t="s">
        <v>777</v>
      </c>
      <c r="D14546" s="51">
        <v>0.0</v>
      </c>
    </row>
    <row r="14547" ht="15.75" hidden="1" customHeight="1">
      <c r="A14547" s="51" t="s">
        <v>449</v>
      </c>
      <c r="B14547" s="52">
        <v>46476.0</v>
      </c>
      <c r="C14547" s="51" t="s">
        <v>777</v>
      </c>
      <c r="D14547" s="51">
        <v>0.0</v>
      </c>
    </row>
    <row r="14548" ht="15.75" hidden="1" customHeight="1">
      <c r="A14548" s="51" t="s">
        <v>455</v>
      </c>
      <c r="B14548" s="52">
        <v>46476.0</v>
      </c>
      <c r="C14548" s="51" t="s">
        <v>777</v>
      </c>
      <c r="D14548" s="51">
        <v>0.0</v>
      </c>
    </row>
    <row r="14549" ht="15.75" hidden="1" customHeight="1">
      <c r="A14549" s="51" t="s">
        <v>470</v>
      </c>
      <c r="B14549" s="52">
        <v>46476.0</v>
      </c>
      <c r="C14549" s="51" t="s">
        <v>777</v>
      </c>
      <c r="D14549" s="51">
        <v>0.0</v>
      </c>
    </row>
    <row r="14550" ht="15.75" hidden="1" customHeight="1">
      <c r="A14550" s="51" t="s">
        <v>476</v>
      </c>
      <c r="B14550" s="52">
        <v>46476.0</v>
      </c>
      <c r="C14550" s="51" t="s">
        <v>777</v>
      </c>
      <c r="D14550" s="51">
        <v>0.0</v>
      </c>
    </row>
    <row r="14551" ht="15.75" hidden="1" customHeight="1">
      <c r="A14551" s="51" t="s">
        <v>481</v>
      </c>
      <c r="B14551" s="52">
        <v>46476.0</v>
      </c>
      <c r="C14551" s="51" t="s">
        <v>777</v>
      </c>
      <c r="D14551" s="51">
        <v>0.0</v>
      </c>
    </row>
    <row r="14552" ht="15.75" hidden="1" customHeight="1">
      <c r="A14552" s="51" t="s">
        <v>486</v>
      </c>
      <c r="B14552" s="52">
        <v>46476.0</v>
      </c>
      <c r="C14552" s="51" t="s">
        <v>777</v>
      </c>
      <c r="D14552" s="51">
        <v>0.0</v>
      </c>
    </row>
    <row r="14553" ht="15.75" hidden="1" customHeight="1">
      <c r="A14553" s="51" t="s">
        <v>491</v>
      </c>
      <c r="B14553" s="52">
        <v>46476.0</v>
      </c>
      <c r="C14553" s="51" t="s">
        <v>777</v>
      </c>
      <c r="D14553" s="51">
        <v>0.0</v>
      </c>
    </row>
    <row r="14554" ht="15.75" hidden="1" customHeight="1">
      <c r="A14554" s="51" t="s">
        <v>496</v>
      </c>
      <c r="B14554" s="52">
        <v>46476.0</v>
      </c>
      <c r="C14554" s="51" t="s">
        <v>777</v>
      </c>
      <c r="D14554" s="51">
        <v>0.0</v>
      </c>
    </row>
    <row r="14555" ht="15.75" hidden="1" customHeight="1">
      <c r="A14555" s="51" t="s">
        <v>501</v>
      </c>
      <c r="B14555" s="52">
        <v>46476.0</v>
      </c>
      <c r="C14555" s="51" t="s">
        <v>777</v>
      </c>
      <c r="D14555" s="51">
        <v>0.0</v>
      </c>
    </row>
    <row r="14556" ht="15.75" hidden="1" customHeight="1">
      <c r="A14556" s="51" t="s">
        <v>506</v>
      </c>
      <c r="B14556" s="52">
        <v>46476.0</v>
      </c>
      <c r="C14556" s="51" t="s">
        <v>777</v>
      </c>
      <c r="D14556" s="51">
        <v>0.0</v>
      </c>
    </row>
    <row r="14557" ht="15.75" hidden="1" customHeight="1">
      <c r="A14557" s="51" t="s">
        <v>512</v>
      </c>
      <c r="B14557" s="52">
        <v>46476.0</v>
      </c>
      <c r="C14557" s="51" t="s">
        <v>777</v>
      </c>
      <c r="D14557" s="51">
        <v>0.0</v>
      </c>
    </row>
    <row r="14558" ht="15.75" hidden="1" customHeight="1">
      <c r="A14558" s="51" t="s">
        <v>517</v>
      </c>
      <c r="B14558" s="52">
        <v>46476.0</v>
      </c>
      <c r="C14558" s="51" t="s">
        <v>777</v>
      </c>
      <c r="D14558" s="51">
        <v>0.0</v>
      </c>
    </row>
    <row r="14559" ht="15.75" hidden="1" customHeight="1">
      <c r="A14559" s="51" t="s">
        <v>522</v>
      </c>
      <c r="B14559" s="52">
        <v>46476.0</v>
      </c>
      <c r="C14559" s="51" t="s">
        <v>777</v>
      </c>
      <c r="D14559" s="51">
        <v>0.0</v>
      </c>
    </row>
    <row r="14560" ht="15.75" hidden="1" customHeight="1">
      <c r="A14560" s="51" t="s">
        <v>528</v>
      </c>
      <c r="B14560" s="52">
        <v>46476.0</v>
      </c>
      <c r="C14560" s="51" t="s">
        <v>777</v>
      </c>
      <c r="D14560" s="51">
        <v>0.0</v>
      </c>
    </row>
    <row r="14561" ht="15.75" hidden="1" customHeight="1">
      <c r="A14561" s="51" t="s">
        <v>533</v>
      </c>
      <c r="B14561" s="52">
        <v>46476.0</v>
      </c>
      <c r="C14561" s="51" t="s">
        <v>777</v>
      </c>
      <c r="D14561" s="51">
        <v>0.0</v>
      </c>
    </row>
    <row r="14562" ht="15.75" hidden="1" customHeight="1">
      <c r="A14562" s="51" t="s">
        <v>538</v>
      </c>
      <c r="B14562" s="52">
        <v>46476.0</v>
      </c>
      <c r="C14562" s="51" t="s">
        <v>777</v>
      </c>
      <c r="D14562" s="51">
        <v>5367020.0</v>
      </c>
    </row>
    <row r="14563" ht="15.75" hidden="1" customHeight="1">
      <c r="A14563" s="51" t="s">
        <v>546</v>
      </c>
      <c r="B14563" s="52">
        <v>46476.0</v>
      </c>
      <c r="C14563" s="51" t="s">
        <v>777</v>
      </c>
      <c r="D14563" s="51">
        <v>0.0</v>
      </c>
    </row>
    <row r="14564" ht="15.75" hidden="1" customHeight="1">
      <c r="A14564" s="51" t="s">
        <v>551</v>
      </c>
      <c r="B14564" s="52">
        <v>46476.0</v>
      </c>
      <c r="C14564" s="51" t="s">
        <v>777</v>
      </c>
      <c r="D14564" s="51">
        <v>0.0</v>
      </c>
    </row>
    <row r="14565" ht="15.75" hidden="1" customHeight="1">
      <c r="A14565" s="51" t="s">
        <v>556</v>
      </c>
      <c r="B14565" s="52">
        <v>46476.0</v>
      </c>
      <c r="C14565" s="51" t="s">
        <v>777</v>
      </c>
      <c r="D14565" s="51">
        <v>0.0</v>
      </c>
    </row>
    <row r="14566" ht="15.75" hidden="1" customHeight="1">
      <c r="A14566" s="51" t="s">
        <v>561</v>
      </c>
      <c r="B14566" s="52">
        <v>46476.0</v>
      </c>
      <c r="C14566" s="51" t="s">
        <v>777</v>
      </c>
      <c r="D14566" s="51">
        <v>0.0</v>
      </c>
    </row>
    <row r="14567" ht="15.75" hidden="1" customHeight="1">
      <c r="A14567" s="51" t="s">
        <v>566</v>
      </c>
      <c r="B14567" s="52">
        <v>46476.0</v>
      </c>
      <c r="C14567" s="51" t="s">
        <v>777</v>
      </c>
      <c r="D14567" s="51">
        <v>0.0</v>
      </c>
    </row>
    <row r="14568" ht="15.75" hidden="1" customHeight="1">
      <c r="A14568" s="51" t="s">
        <v>571</v>
      </c>
      <c r="B14568" s="52">
        <v>46476.0</v>
      </c>
      <c r="C14568" s="51" t="s">
        <v>777</v>
      </c>
      <c r="D14568" s="51">
        <v>0.0</v>
      </c>
    </row>
    <row r="14569" ht="15.75" hidden="1" customHeight="1">
      <c r="A14569" s="51" t="s">
        <v>576</v>
      </c>
      <c r="B14569" s="52">
        <v>46476.0</v>
      </c>
      <c r="C14569" s="51" t="s">
        <v>777</v>
      </c>
      <c r="D14569" s="51">
        <v>0.0</v>
      </c>
    </row>
    <row r="14570" ht="15.75" hidden="1" customHeight="1">
      <c r="A14570" s="51" t="s">
        <v>581</v>
      </c>
      <c r="B14570" s="52">
        <v>46476.0</v>
      </c>
      <c r="C14570" s="51" t="s">
        <v>777</v>
      </c>
      <c r="D14570" s="51">
        <v>0.0</v>
      </c>
    </row>
    <row r="14571" ht="15.75" hidden="1" customHeight="1">
      <c r="A14571" s="51" t="s">
        <v>586</v>
      </c>
      <c r="B14571" s="52">
        <v>46476.0</v>
      </c>
      <c r="C14571" s="51" t="s">
        <v>777</v>
      </c>
      <c r="D14571" s="51">
        <v>0.0</v>
      </c>
    </row>
    <row r="14572" ht="15.75" hidden="1" customHeight="1">
      <c r="A14572" s="51" t="s">
        <v>754</v>
      </c>
      <c r="B14572" s="52">
        <v>46476.0</v>
      </c>
      <c r="C14572" s="51" t="s">
        <v>777</v>
      </c>
      <c r="D14572" s="51">
        <v>0.0</v>
      </c>
    </row>
    <row r="14573" ht="15.75" hidden="1" customHeight="1">
      <c r="A14573" s="51" t="s">
        <v>591</v>
      </c>
      <c r="B14573" s="52">
        <v>46476.0</v>
      </c>
      <c r="C14573" s="51" t="s">
        <v>777</v>
      </c>
      <c r="D14573" s="51">
        <v>0.0</v>
      </c>
    </row>
    <row r="14574" ht="15.75" hidden="1" customHeight="1">
      <c r="A14574" s="51" t="s">
        <v>759</v>
      </c>
      <c r="B14574" s="52">
        <v>46476.0</v>
      </c>
      <c r="C14574" s="51" t="s">
        <v>777</v>
      </c>
      <c r="D14574" s="51">
        <v>0.0</v>
      </c>
    </row>
    <row r="14575" ht="15.75" hidden="1" customHeight="1">
      <c r="A14575" s="51" t="s">
        <v>596</v>
      </c>
      <c r="B14575" s="52">
        <v>46476.0</v>
      </c>
      <c r="C14575" s="51" t="s">
        <v>777</v>
      </c>
      <c r="D14575" s="51">
        <v>0.0</v>
      </c>
    </row>
    <row r="14576" ht="15.75" hidden="1" customHeight="1">
      <c r="A14576" s="51" t="s">
        <v>602</v>
      </c>
      <c r="B14576" s="52">
        <v>46476.0</v>
      </c>
      <c r="C14576" s="51" t="s">
        <v>777</v>
      </c>
      <c r="D14576" s="51">
        <v>0.0</v>
      </c>
    </row>
    <row r="14577" ht="15.75" hidden="1" customHeight="1">
      <c r="A14577" s="51" t="s">
        <v>607</v>
      </c>
      <c r="B14577" s="52">
        <v>46476.0</v>
      </c>
      <c r="C14577" s="51" t="s">
        <v>777</v>
      </c>
      <c r="D14577" s="51">
        <v>0.0</v>
      </c>
    </row>
    <row r="14578" ht="15.75" hidden="1" customHeight="1">
      <c r="A14578" s="51" t="s">
        <v>612</v>
      </c>
      <c r="B14578" s="52">
        <v>46476.0</v>
      </c>
      <c r="C14578" s="51" t="s">
        <v>777</v>
      </c>
      <c r="D14578" s="51">
        <v>0.0</v>
      </c>
    </row>
    <row r="14579" ht="15.75" hidden="1" customHeight="1">
      <c r="A14579" s="51" t="s">
        <v>617</v>
      </c>
      <c r="B14579" s="52">
        <v>46476.0</v>
      </c>
      <c r="C14579" s="51" t="s">
        <v>777</v>
      </c>
      <c r="D14579" s="51">
        <v>0.0</v>
      </c>
    </row>
    <row r="14580" ht="15.75" hidden="1" customHeight="1">
      <c r="A14580" s="51" t="s">
        <v>622</v>
      </c>
      <c r="B14580" s="52">
        <v>46476.0</v>
      </c>
      <c r="C14580" s="51" t="s">
        <v>777</v>
      </c>
      <c r="D14580" s="51">
        <v>0.0</v>
      </c>
    </row>
    <row r="14581" ht="15.75" hidden="1" customHeight="1">
      <c r="A14581" s="51" t="s">
        <v>627</v>
      </c>
      <c r="B14581" s="52">
        <v>46476.0</v>
      </c>
      <c r="C14581" s="51" t="s">
        <v>777</v>
      </c>
      <c r="D14581" s="51">
        <v>0.0</v>
      </c>
    </row>
    <row r="14582" ht="15.75" hidden="1" customHeight="1">
      <c r="A14582" s="51" t="s">
        <v>631</v>
      </c>
      <c r="B14582" s="52">
        <v>46476.0</v>
      </c>
      <c r="C14582" s="51" t="s">
        <v>777</v>
      </c>
      <c r="D14582" s="51">
        <v>0.0</v>
      </c>
    </row>
    <row r="14583" ht="15.75" hidden="1" customHeight="1">
      <c r="A14583" s="51" t="s">
        <v>636</v>
      </c>
      <c r="B14583" s="52">
        <v>46476.0</v>
      </c>
      <c r="C14583" s="51" t="s">
        <v>777</v>
      </c>
      <c r="D14583" s="51">
        <v>0.0</v>
      </c>
    </row>
    <row r="14584" ht="15.75" hidden="1" customHeight="1">
      <c r="A14584" s="51" t="s">
        <v>640</v>
      </c>
      <c r="B14584" s="52">
        <v>46476.0</v>
      </c>
      <c r="C14584" s="51" t="s">
        <v>777</v>
      </c>
      <c r="D14584" s="51">
        <v>0.0</v>
      </c>
    </row>
    <row r="14585" ht="15.75" hidden="1" customHeight="1">
      <c r="A14585" s="51" t="s">
        <v>644</v>
      </c>
      <c r="B14585" s="52">
        <v>46476.0</v>
      </c>
      <c r="C14585" s="51" t="s">
        <v>777</v>
      </c>
      <c r="D14585" s="51">
        <v>0.0</v>
      </c>
    </row>
    <row r="14586" ht="15.75" hidden="1" customHeight="1">
      <c r="A14586" s="51" t="s">
        <v>649</v>
      </c>
      <c r="B14586" s="52">
        <v>46476.0</v>
      </c>
      <c r="C14586" s="51" t="s">
        <v>777</v>
      </c>
      <c r="D14586" s="51">
        <v>0.0</v>
      </c>
    </row>
    <row r="14587" ht="15.75" hidden="1" customHeight="1">
      <c r="A14587" s="51" t="s">
        <v>654</v>
      </c>
      <c r="B14587" s="52">
        <v>46476.0</v>
      </c>
      <c r="C14587" s="51" t="s">
        <v>777</v>
      </c>
      <c r="D14587" s="51">
        <v>0.0</v>
      </c>
    </row>
    <row r="14588" ht="15.75" hidden="1" customHeight="1">
      <c r="A14588" s="51" t="s">
        <v>659</v>
      </c>
      <c r="B14588" s="52">
        <v>46476.0</v>
      </c>
      <c r="C14588" s="51" t="s">
        <v>777</v>
      </c>
      <c r="D14588" s="51">
        <v>0.0</v>
      </c>
    </row>
    <row r="14589" ht="15.75" hidden="1" customHeight="1">
      <c r="A14589" s="51" t="s">
        <v>664</v>
      </c>
      <c r="B14589" s="52">
        <v>46476.0</v>
      </c>
      <c r="C14589" s="51" t="s">
        <v>777</v>
      </c>
      <c r="D14589" s="51">
        <v>0.0</v>
      </c>
    </row>
    <row r="14590" ht="15.75" hidden="1" customHeight="1">
      <c r="A14590" s="51" t="s">
        <v>669</v>
      </c>
      <c r="B14590" s="52">
        <v>46476.0</v>
      </c>
      <c r="C14590" s="51" t="s">
        <v>777</v>
      </c>
      <c r="D14590" s="51">
        <v>0.0</v>
      </c>
    </row>
    <row r="14591" ht="15.75" hidden="1" customHeight="1">
      <c r="A14591" s="51" t="s">
        <v>674</v>
      </c>
      <c r="B14591" s="52">
        <v>46476.0</v>
      </c>
      <c r="C14591" s="51" t="s">
        <v>777</v>
      </c>
      <c r="D14591" s="51">
        <v>0.0</v>
      </c>
    </row>
    <row r="14592" ht="15.75" hidden="1" customHeight="1">
      <c r="A14592" s="51" t="s">
        <v>679</v>
      </c>
      <c r="B14592" s="52">
        <v>46476.0</v>
      </c>
      <c r="C14592" s="51" t="s">
        <v>777</v>
      </c>
      <c r="D14592" s="51">
        <v>0.0</v>
      </c>
    </row>
    <row r="14593" ht="15.75" hidden="1" customHeight="1">
      <c r="A14593" s="51" t="s">
        <v>684</v>
      </c>
      <c r="B14593" s="52">
        <v>46476.0</v>
      </c>
      <c r="C14593" s="51" t="s">
        <v>777</v>
      </c>
      <c r="D14593" s="51">
        <v>0.0</v>
      </c>
    </row>
    <row r="14594" ht="15.75" hidden="1" customHeight="1">
      <c r="A14594" s="51" t="s">
        <v>689</v>
      </c>
      <c r="B14594" s="52">
        <v>46476.0</v>
      </c>
      <c r="C14594" s="51" t="s">
        <v>777</v>
      </c>
      <c r="D14594" s="51">
        <v>0.0</v>
      </c>
    </row>
    <row r="14595" ht="15.75" hidden="1" customHeight="1">
      <c r="A14595" s="51" t="s">
        <v>694</v>
      </c>
      <c r="B14595" s="52">
        <v>46476.0</v>
      </c>
      <c r="C14595" s="51" t="s">
        <v>777</v>
      </c>
      <c r="D14595" s="51">
        <v>0.0</v>
      </c>
    </row>
    <row r="14596" ht="15.75" hidden="1" customHeight="1">
      <c r="A14596" s="51" t="s">
        <v>699</v>
      </c>
      <c r="B14596" s="52">
        <v>46476.0</v>
      </c>
      <c r="C14596" s="51" t="s">
        <v>777</v>
      </c>
      <c r="D14596" s="51">
        <v>0.0</v>
      </c>
    </row>
    <row r="14597" ht="15.75" hidden="1" customHeight="1">
      <c r="A14597" s="51" t="s">
        <v>705</v>
      </c>
      <c r="B14597" s="52">
        <v>46476.0</v>
      </c>
      <c r="C14597" s="51" t="s">
        <v>777</v>
      </c>
      <c r="D14597" s="51">
        <v>0.0</v>
      </c>
    </row>
    <row r="14598" ht="15.75" hidden="1" customHeight="1">
      <c r="A14598" s="51" t="s">
        <v>710</v>
      </c>
      <c r="B14598" s="52">
        <v>46476.0</v>
      </c>
      <c r="C14598" s="51" t="s">
        <v>777</v>
      </c>
      <c r="D14598" s="51">
        <v>0.0</v>
      </c>
    </row>
    <row r="14599" ht="15.75" hidden="1" customHeight="1">
      <c r="A14599" s="51" t="s">
        <v>715</v>
      </c>
      <c r="B14599" s="52">
        <v>46476.0</v>
      </c>
      <c r="C14599" s="51" t="s">
        <v>777</v>
      </c>
      <c r="D14599" s="51">
        <v>0.0</v>
      </c>
    </row>
    <row r="14600" ht="15.75" hidden="1" customHeight="1">
      <c r="A14600" s="51" t="s">
        <v>765</v>
      </c>
      <c r="B14600" s="52">
        <v>46476.0</v>
      </c>
      <c r="C14600" s="51" t="s">
        <v>777</v>
      </c>
      <c r="D14600" s="51">
        <v>3308467.83</v>
      </c>
    </row>
    <row r="14601" ht="15.75" hidden="1" customHeight="1">
      <c r="A14601" s="51" t="s">
        <v>720</v>
      </c>
      <c r="B14601" s="52">
        <v>46476.0</v>
      </c>
      <c r="C14601" s="51" t="s">
        <v>777</v>
      </c>
      <c r="D14601" s="51">
        <v>0.0</v>
      </c>
    </row>
    <row r="14602" ht="15.75" hidden="1" customHeight="1">
      <c r="A14602" s="51" t="s">
        <v>725</v>
      </c>
      <c r="B14602" s="52">
        <v>46476.0</v>
      </c>
      <c r="C14602" s="51" t="s">
        <v>777</v>
      </c>
      <c r="D14602" s="51">
        <v>0.0</v>
      </c>
    </row>
    <row r="14603" ht="15.75" hidden="1" customHeight="1">
      <c r="A14603" s="51" t="s">
        <v>730</v>
      </c>
      <c r="B14603" s="52">
        <v>46476.0</v>
      </c>
      <c r="C14603" s="51" t="s">
        <v>777</v>
      </c>
      <c r="D14603" s="51">
        <v>0.0</v>
      </c>
    </row>
    <row r="14604" ht="15.75" hidden="1" customHeight="1">
      <c r="A14604" s="51" t="s">
        <v>734</v>
      </c>
      <c r="B14604" s="52">
        <v>46476.0</v>
      </c>
      <c r="C14604" s="51" t="s">
        <v>777</v>
      </c>
      <c r="D14604" s="51">
        <v>0.0</v>
      </c>
    </row>
    <row r="14605" ht="15.75" hidden="1" customHeight="1">
      <c r="A14605" s="51" t="s">
        <v>739</v>
      </c>
      <c r="B14605" s="52">
        <v>46476.0</v>
      </c>
      <c r="C14605" s="51" t="s">
        <v>777</v>
      </c>
      <c r="D14605" s="51">
        <v>0.0</v>
      </c>
    </row>
    <row r="14606" ht="15.75" hidden="1" customHeight="1">
      <c r="A14606" s="51" t="s">
        <v>744</v>
      </c>
      <c r="B14606" s="52">
        <v>46476.0</v>
      </c>
      <c r="C14606" s="51" t="s">
        <v>777</v>
      </c>
      <c r="D14606" s="51">
        <v>0.0</v>
      </c>
    </row>
    <row r="14607" ht="15.75" hidden="1" customHeight="1">
      <c r="A14607" s="51" t="s">
        <v>749</v>
      </c>
      <c r="B14607" s="52">
        <v>46476.0</v>
      </c>
      <c r="C14607" s="51" t="s">
        <v>777</v>
      </c>
      <c r="D14607" s="51">
        <v>0.0</v>
      </c>
    </row>
    <row r="14608" ht="15.75" customHeight="1">
      <c r="A14608" s="51" t="s">
        <v>776</v>
      </c>
      <c r="B14608" s="52">
        <v>46476.0</v>
      </c>
      <c r="C14608" s="51" t="s">
        <v>78</v>
      </c>
      <c r="D14608" s="51">
        <v>0.0</v>
      </c>
    </row>
    <row r="14609" ht="15.75" hidden="1" customHeight="1">
      <c r="A14609" s="51" t="s">
        <v>778</v>
      </c>
      <c r="B14609" s="52">
        <v>46476.0</v>
      </c>
      <c r="C14609" s="51" t="s">
        <v>78</v>
      </c>
      <c r="D14609" s="51">
        <v>0.0</v>
      </c>
    </row>
    <row r="14610" ht="15.75" hidden="1" customHeight="1">
      <c r="A14610" s="51" t="s">
        <v>92</v>
      </c>
      <c r="B14610" s="52">
        <v>46476.0</v>
      </c>
      <c r="C14610" s="51" t="s">
        <v>78</v>
      </c>
      <c r="D14610" s="51">
        <v>0.0</v>
      </c>
    </row>
    <row r="14611" ht="15.75" hidden="1" customHeight="1">
      <c r="A14611" s="51" t="s">
        <v>97</v>
      </c>
      <c r="B14611" s="52">
        <v>46476.0</v>
      </c>
      <c r="C14611" s="51" t="s">
        <v>78</v>
      </c>
      <c r="D14611" s="51">
        <v>0.0</v>
      </c>
    </row>
    <row r="14612" ht="15.75" hidden="1" customHeight="1">
      <c r="A14612" s="51" t="s">
        <v>102</v>
      </c>
      <c r="B14612" s="52">
        <v>46476.0</v>
      </c>
      <c r="C14612" s="51" t="s">
        <v>78</v>
      </c>
      <c r="D14612" s="51">
        <v>0.0</v>
      </c>
    </row>
    <row r="14613" ht="15.75" hidden="1" customHeight="1">
      <c r="A14613" s="51" t="s">
        <v>106</v>
      </c>
      <c r="B14613" s="52">
        <v>46476.0</v>
      </c>
      <c r="C14613" s="51" t="s">
        <v>78</v>
      </c>
      <c r="D14613" s="51">
        <v>0.0</v>
      </c>
    </row>
    <row r="14614" ht="15.75" hidden="1" customHeight="1">
      <c r="A14614" s="51" t="s">
        <v>111</v>
      </c>
      <c r="B14614" s="52">
        <v>46476.0</v>
      </c>
      <c r="C14614" s="51" t="s">
        <v>78</v>
      </c>
      <c r="D14614" s="51">
        <v>0.0</v>
      </c>
    </row>
    <row r="14615" ht="15.75" hidden="1" customHeight="1">
      <c r="A14615" s="51" t="s">
        <v>116</v>
      </c>
      <c r="B14615" s="52">
        <v>46476.0</v>
      </c>
      <c r="C14615" s="51" t="s">
        <v>78</v>
      </c>
      <c r="D14615" s="51">
        <v>0.0</v>
      </c>
    </row>
    <row r="14616" ht="15.75" hidden="1" customHeight="1">
      <c r="A14616" s="51" t="s">
        <v>120</v>
      </c>
      <c r="B14616" s="52">
        <v>46476.0</v>
      </c>
      <c r="C14616" s="51" t="s">
        <v>78</v>
      </c>
      <c r="D14616" s="51">
        <v>0.0</v>
      </c>
    </row>
    <row r="14617" ht="15.75" hidden="1" customHeight="1">
      <c r="A14617" s="51" t="s">
        <v>125</v>
      </c>
      <c r="B14617" s="52">
        <v>46476.0</v>
      </c>
      <c r="C14617" s="51" t="s">
        <v>78</v>
      </c>
      <c r="D14617" s="51">
        <v>0.0</v>
      </c>
    </row>
    <row r="14618" ht="15.75" hidden="1" customHeight="1">
      <c r="A14618" s="51" t="s">
        <v>130</v>
      </c>
      <c r="B14618" s="52">
        <v>46476.0</v>
      </c>
      <c r="C14618" s="51" t="s">
        <v>78</v>
      </c>
      <c r="D14618" s="51">
        <v>0.0</v>
      </c>
    </row>
    <row r="14619" ht="15.75" hidden="1" customHeight="1">
      <c r="A14619" s="51" t="s">
        <v>137</v>
      </c>
      <c r="B14619" s="52">
        <v>46476.0</v>
      </c>
      <c r="C14619" s="51" t="s">
        <v>78</v>
      </c>
      <c r="D14619" s="51">
        <v>0.0</v>
      </c>
    </row>
    <row r="14620" ht="15.75" hidden="1" customHeight="1">
      <c r="A14620" s="51" t="s">
        <v>142</v>
      </c>
      <c r="B14620" s="52">
        <v>46476.0</v>
      </c>
      <c r="C14620" s="51" t="s">
        <v>78</v>
      </c>
      <c r="D14620" s="51">
        <v>0.0</v>
      </c>
    </row>
    <row r="14621" ht="15.75" hidden="1" customHeight="1">
      <c r="A14621" s="51" t="s">
        <v>147</v>
      </c>
      <c r="B14621" s="52">
        <v>46476.0</v>
      </c>
      <c r="C14621" s="51" t="s">
        <v>78</v>
      </c>
      <c r="D14621" s="51">
        <v>0.0</v>
      </c>
    </row>
    <row r="14622" ht="15.75" hidden="1" customHeight="1">
      <c r="A14622" s="51" t="s">
        <v>152</v>
      </c>
      <c r="B14622" s="52">
        <v>46476.0</v>
      </c>
      <c r="C14622" s="51" t="s">
        <v>78</v>
      </c>
      <c r="D14622" s="51">
        <v>0.0</v>
      </c>
    </row>
    <row r="14623" ht="15.75" hidden="1" customHeight="1">
      <c r="A14623" s="51" t="s">
        <v>157</v>
      </c>
      <c r="B14623" s="52">
        <v>46476.0</v>
      </c>
      <c r="C14623" s="51" t="s">
        <v>78</v>
      </c>
      <c r="D14623" s="51">
        <v>0.0</v>
      </c>
    </row>
    <row r="14624" ht="15.75" hidden="1" customHeight="1">
      <c r="A14624" s="51" t="s">
        <v>162</v>
      </c>
      <c r="B14624" s="52">
        <v>46476.0</v>
      </c>
      <c r="C14624" s="51" t="s">
        <v>78</v>
      </c>
      <c r="D14624" s="51">
        <v>0.0</v>
      </c>
    </row>
    <row r="14625" ht="15.75" hidden="1" customHeight="1">
      <c r="A14625" s="51" t="s">
        <v>167</v>
      </c>
      <c r="B14625" s="52">
        <v>46476.0</v>
      </c>
      <c r="C14625" s="51" t="s">
        <v>78</v>
      </c>
      <c r="D14625" s="51">
        <v>0.0</v>
      </c>
    </row>
    <row r="14626" ht="15.75" hidden="1" customHeight="1">
      <c r="A14626" s="51" t="s">
        <v>172</v>
      </c>
      <c r="B14626" s="52">
        <v>46476.0</v>
      </c>
      <c r="C14626" s="51" t="s">
        <v>78</v>
      </c>
      <c r="D14626" s="51">
        <v>0.0</v>
      </c>
    </row>
    <row r="14627" ht="15.75" hidden="1" customHeight="1">
      <c r="A14627" s="51" t="s">
        <v>177</v>
      </c>
      <c r="B14627" s="52">
        <v>46476.0</v>
      </c>
      <c r="C14627" s="51" t="s">
        <v>78</v>
      </c>
      <c r="D14627" s="51">
        <v>0.0</v>
      </c>
    </row>
    <row r="14628" ht="15.75" hidden="1" customHeight="1">
      <c r="A14628" s="51" t="s">
        <v>182</v>
      </c>
      <c r="B14628" s="52">
        <v>46476.0</v>
      </c>
      <c r="C14628" s="51" t="s">
        <v>78</v>
      </c>
      <c r="D14628" s="51">
        <v>0.0</v>
      </c>
    </row>
    <row r="14629" ht="15.75" hidden="1" customHeight="1">
      <c r="A14629" s="51" t="s">
        <v>187</v>
      </c>
      <c r="B14629" s="52">
        <v>46476.0</v>
      </c>
      <c r="C14629" s="51" t="s">
        <v>78</v>
      </c>
      <c r="D14629" s="51">
        <v>0.0</v>
      </c>
    </row>
    <row r="14630" ht="15.75" hidden="1" customHeight="1">
      <c r="A14630" s="51" t="s">
        <v>192</v>
      </c>
      <c r="B14630" s="52">
        <v>46476.0</v>
      </c>
      <c r="C14630" s="51" t="s">
        <v>78</v>
      </c>
      <c r="D14630" s="51">
        <v>0.0</v>
      </c>
    </row>
    <row r="14631" ht="15.75" hidden="1" customHeight="1">
      <c r="A14631" s="51" t="s">
        <v>197</v>
      </c>
      <c r="B14631" s="52">
        <v>46476.0</v>
      </c>
      <c r="C14631" s="51" t="s">
        <v>78</v>
      </c>
      <c r="D14631" s="51">
        <v>0.0</v>
      </c>
    </row>
    <row r="14632" ht="15.75" hidden="1" customHeight="1">
      <c r="A14632" s="51" t="s">
        <v>202</v>
      </c>
      <c r="B14632" s="52">
        <v>46476.0</v>
      </c>
      <c r="C14632" s="51" t="s">
        <v>78</v>
      </c>
      <c r="D14632" s="51">
        <v>0.0</v>
      </c>
    </row>
    <row r="14633" ht="15.75" hidden="1" customHeight="1">
      <c r="A14633" s="51" t="s">
        <v>206</v>
      </c>
      <c r="B14633" s="52">
        <v>46476.0</v>
      </c>
      <c r="C14633" s="51" t="s">
        <v>78</v>
      </c>
      <c r="D14633" s="51">
        <v>0.0</v>
      </c>
    </row>
    <row r="14634" ht="15.75" hidden="1" customHeight="1">
      <c r="A14634" s="51" t="s">
        <v>211</v>
      </c>
      <c r="B14634" s="52">
        <v>46476.0</v>
      </c>
      <c r="C14634" s="51" t="s">
        <v>78</v>
      </c>
      <c r="D14634" s="51">
        <v>0.0</v>
      </c>
    </row>
    <row r="14635" ht="15.75" hidden="1" customHeight="1">
      <c r="A14635" s="51" t="s">
        <v>779</v>
      </c>
      <c r="B14635" s="52">
        <v>46476.0</v>
      </c>
      <c r="C14635" s="51" t="s">
        <v>78</v>
      </c>
      <c r="D14635" s="51">
        <v>0.0</v>
      </c>
    </row>
    <row r="14636" ht="15.75" hidden="1" customHeight="1">
      <c r="A14636" s="51" t="s">
        <v>221</v>
      </c>
      <c r="B14636" s="52">
        <v>46476.0</v>
      </c>
      <c r="C14636" s="51" t="s">
        <v>78</v>
      </c>
      <c r="D14636" s="51">
        <v>0.0</v>
      </c>
    </row>
    <row r="14637" ht="15.75" hidden="1" customHeight="1">
      <c r="A14637" s="51" t="s">
        <v>226</v>
      </c>
      <c r="B14637" s="52">
        <v>46476.0</v>
      </c>
      <c r="C14637" s="51" t="s">
        <v>78</v>
      </c>
      <c r="D14637" s="51">
        <v>0.0</v>
      </c>
    </row>
    <row r="14638" ht="15.75" hidden="1" customHeight="1">
      <c r="A14638" s="51" t="s">
        <v>231</v>
      </c>
      <c r="B14638" s="52">
        <v>46476.0</v>
      </c>
      <c r="C14638" s="51" t="s">
        <v>78</v>
      </c>
      <c r="D14638" s="51">
        <v>0.0</v>
      </c>
    </row>
    <row r="14639" ht="15.75" hidden="1" customHeight="1">
      <c r="A14639" s="51" t="s">
        <v>236</v>
      </c>
      <c r="B14639" s="52">
        <v>46476.0</v>
      </c>
      <c r="C14639" s="51" t="s">
        <v>78</v>
      </c>
      <c r="D14639" s="51">
        <v>0.0</v>
      </c>
    </row>
    <row r="14640" ht="15.75" hidden="1" customHeight="1">
      <c r="A14640" s="51" t="s">
        <v>242</v>
      </c>
      <c r="B14640" s="52">
        <v>46476.0</v>
      </c>
      <c r="C14640" s="51" t="s">
        <v>78</v>
      </c>
      <c r="D14640" s="51">
        <v>0.0</v>
      </c>
    </row>
    <row r="14641" ht="15.75" hidden="1" customHeight="1">
      <c r="A14641" s="51" t="s">
        <v>248</v>
      </c>
      <c r="B14641" s="52">
        <v>46476.0</v>
      </c>
      <c r="C14641" s="51" t="s">
        <v>78</v>
      </c>
      <c r="D14641" s="51">
        <v>0.0</v>
      </c>
    </row>
    <row r="14642" ht="15.75" hidden="1" customHeight="1">
      <c r="A14642" s="51" t="s">
        <v>253</v>
      </c>
      <c r="B14642" s="52">
        <v>46476.0</v>
      </c>
      <c r="C14642" s="51" t="s">
        <v>78</v>
      </c>
      <c r="D14642" s="51">
        <v>0.0</v>
      </c>
    </row>
    <row r="14643" ht="15.75" hidden="1" customHeight="1">
      <c r="A14643" s="51" t="s">
        <v>258</v>
      </c>
      <c r="B14643" s="52">
        <v>46476.0</v>
      </c>
      <c r="C14643" s="51" t="s">
        <v>78</v>
      </c>
      <c r="D14643" s="51">
        <v>0.0</v>
      </c>
    </row>
    <row r="14644" ht="15.75" hidden="1" customHeight="1">
      <c r="A14644" s="51" t="s">
        <v>263</v>
      </c>
      <c r="B14644" s="52">
        <v>46476.0</v>
      </c>
      <c r="C14644" s="51" t="s">
        <v>78</v>
      </c>
      <c r="D14644" s="51">
        <v>0.0</v>
      </c>
    </row>
    <row r="14645" ht="15.75" hidden="1" customHeight="1">
      <c r="A14645" s="51" t="s">
        <v>268</v>
      </c>
      <c r="B14645" s="52">
        <v>46476.0</v>
      </c>
      <c r="C14645" s="51" t="s">
        <v>78</v>
      </c>
      <c r="D14645" s="51">
        <v>0.0</v>
      </c>
    </row>
    <row r="14646" ht="15.75" hidden="1" customHeight="1">
      <c r="A14646" s="51" t="s">
        <v>273</v>
      </c>
      <c r="B14646" s="52">
        <v>46476.0</v>
      </c>
      <c r="C14646" s="51" t="s">
        <v>78</v>
      </c>
      <c r="D14646" s="51">
        <v>0.0</v>
      </c>
    </row>
    <row r="14647" ht="15.75" hidden="1" customHeight="1">
      <c r="A14647" s="51" t="s">
        <v>278</v>
      </c>
      <c r="B14647" s="52">
        <v>46476.0</v>
      </c>
      <c r="C14647" s="51" t="s">
        <v>78</v>
      </c>
      <c r="D14647" s="51">
        <v>0.0</v>
      </c>
    </row>
    <row r="14648" ht="15.75" hidden="1" customHeight="1">
      <c r="A14648" s="51" t="s">
        <v>283</v>
      </c>
      <c r="B14648" s="52">
        <v>46476.0</v>
      </c>
      <c r="C14648" s="51" t="s">
        <v>78</v>
      </c>
      <c r="D14648" s="51">
        <v>0.0</v>
      </c>
    </row>
    <row r="14649" ht="15.75" hidden="1" customHeight="1">
      <c r="A14649" s="51" t="s">
        <v>288</v>
      </c>
      <c r="B14649" s="52">
        <v>46476.0</v>
      </c>
      <c r="C14649" s="51" t="s">
        <v>78</v>
      </c>
      <c r="D14649" s="51">
        <v>0.0</v>
      </c>
    </row>
    <row r="14650" ht="15.75" hidden="1" customHeight="1">
      <c r="A14650" s="51" t="s">
        <v>293</v>
      </c>
      <c r="B14650" s="52">
        <v>46476.0</v>
      </c>
      <c r="C14650" s="51" t="s">
        <v>78</v>
      </c>
      <c r="D14650" s="51">
        <v>0.0</v>
      </c>
    </row>
    <row r="14651" ht="15.75" hidden="1" customHeight="1">
      <c r="A14651" s="51" t="s">
        <v>298</v>
      </c>
      <c r="B14651" s="52">
        <v>46476.0</v>
      </c>
      <c r="C14651" s="51" t="s">
        <v>78</v>
      </c>
      <c r="D14651" s="51">
        <v>0.0</v>
      </c>
    </row>
    <row r="14652" ht="15.75" hidden="1" customHeight="1">
      <c r="A14652" s="51" t="s">
        <v>303</v>
      </c>
      <c r="B14652" s="52">
        <v>46476.0</v>
      </c>
      <c r="C14652" s="51" t="s">
        <v>78</v>
      </c>
      <c r="D14652" s="51">
        <v>0.0</v>
      </c>
    </row>
    <row r="14653" ht="15.75" hidden="1" customHeight="1">
      <c r="A14653" s="51" t="s">
        <v>307</v>
      </c>
      <c r="B14653" s="52">
        <v>46476.0</v>
      </c>
      <c r="C14653" s="51" t="s">
        <v>78</v>
      </c>
      <c r="D14653" s="51">
        <v>0.0</v>
      </c>
    </row>
    <row r="14654" ht="15.75" hidden="1" customHeight="1">
      <c r="A14654" s="51" t="s">
        <v>313</v>
      </c>
      <c r="B14654" s="52">
        <v>46476.0</v>
      </c>
      <c r="C14654" s="51" t="s">
        <v>78</v>
      </c>
      <c r="D14654" s="51">
        <v>0.0</v>
      </c>
    </row>
    <row r="14655" ht="15.75" hidden="1" customHeight="1">
      <c r="A14655" s="51" t="s">
        <v>318</v>
      </c>
      <c r="B14655" s="52">
        <v>46476.0</v>
      </c>
      <c r="C14655" s="51" t="s">
        <v>78</v>
      </c>
      <c r="D14655" s="51">
        <v>0.0</v>
      </c>
    </row>
    <row r="14656" ht="15.75" hidden="1" customHeight="1">
      <c r="A14656" s="51" t="s">
        <v>323</v>
      </c>
      <c r="B14656" s="52">
        <v>46476.0</v>
      </c>
      <c r="C14656" s="51" t="s">
        <v>78</v>
      </c>
      <c r="D14656" s="51">
        <v>0.0</v>
      </c>
    </row>
    <row r="14657" ht="15.75" hidden="1" customHeight="1">
      <c r="A14657" s="51" t="s">
        <v>328</v>
      </c>
      <c r="B14657" s="52">
        <v>46476.0</v>
      </c>
      <c r="C14657" s="51" t="s">
        <v>78</v>
      </c>
      <c r="D14657" s="51">
        <v>0.0</v>
      </c>
    </row>
    <row r="14658" ht="15.75" hidden="1" customHeight="1">
      <c r="A14658" s="51" t="s">
        <v>335</v>
      </c>
      <c r="B14658" s="52">
        <v>46476.0</v>
      </c>
      <c r="C14658" s="51" t="s">
        <v>78</v>
      </c>
      <c r="D14658" s="51">
        <v>0.0</v>
      </c>
    </row>
    <row r="14659" ht="15.75" hidden="1" customHeight="1">
      <c r="A14659" s="51" t="s">
        <v>340</v>
      </c>
      <c r="B14659" s="52">
        <v>46476.0</v>
      </c>
      <c r="C14659" s="51" t="s">
        <v>78</v>
      </c>
      <c r="D14659" s="51">
        <v>0.0</v>
      </c>
    </row>
    <row r="14660" ht="15.75" hidden="1" customHeight="1">
      <c r="A14660" s="51" t="s">
        <v>345</v>
      </c>
      <c r="B14660" s="52">
        <v>46476.0</v>
      </c>
      <c r="C14660" s="51" t="s">
        <v>78</v>
      </c>
      <c r="D14660" s="51">
        <v>0.0</v>
      </c>
    </row>
    <row r="14661" ht="15.75" hidden="1" customHeight="1">
      <c r="A14661" s="51" t="s">
        <v>350</v>
      </c>
      <c r="B14661" s="52">
        <v>46476.0</v>
      </c>
      <c r="C14661" s="51" t="s">
        <v>78</v>
      </c>
      <c r="D14661" s="51">
        <v>0.0</v>
      </c>
    </row>
    <row r="14662" ht="15.75" hidden="1" customHeight="1">
      <c r="A14662" s="51" t="s">
        <v>355</v>
      </c>
      <c r="B14662" s="52">
        <v>46476.0</v>
      </c>
      <c r="C14662" s="51" t="s">
        <v>78</v>
      </c>
      <c r="D14662" s="51">
        <v>0.0</v>
      </c>
    </row>
    <row r="14663" ht="15.75" hidden="1" customHeight="1">
      <c r="A14663" s="51" t="s">
        <v>360</v>
      </c>
      <c r="B14663" s="52">
        <v>46476.0</v>
      </c>
      <c r="C14663" s="51" t="s">
        <v>78</v>
      </c>
      <c r="D14663" s="51">
        <v>0.0</v>
      </c>
    </row>
    <row r="14664" ht="15.75" hidden="1" customHeight="1">
      <c r="A14664" s="51" t="s">
        <v>365</v>
      </c>
      <c r="B14664" s="52">
        <v>46476.0</v>
      </c>
      <c r="C14664" s="51" t="s">
        <v>78</v>
      </c>
      <c r="D14664" s="51">
        <v>0.0</v>
      </c>
    </row>
    <row r="14665" ht="15.75" hidden="1" customHeight="1">
      <c r="A14665" s="51" t="s">
        <v>370</v>
      </c>
      <c r="B14665" s="52">
        <v>46476.0</v>
      </c>
      <c r="C14665" s="51" t="s">
        <v>78</v>
      </c>
      <c r="D14665" s="51">
        <v>0.0</v>
      </c>
    </row>
    <row r="14666" ht="15.75" hidden="1" customHeight="1">
      <c r="A14666" s="51" t="s">
        <v>375</v>
      </c>
      <c r="B14666" s="52">
        <v>46476.0</v>
      </c>
      <c r="C14666" s="51" t="s">
        <v>78</v>
      </c>
      <c r="D14666" s="51">
        <v>0.0</v>
      </c>
    </row>
    <row r="14667" ht="15.75" hidden="1" customHeight="1">
      <c r="A14667" s="51" t="s">
        <v>380</v>
      </c>
      <c r="B14667" s="52">
        <v>46476.0</v>
      </c>
      <c r="C14667" s="51" t="s">
        <v>78</v>
      </c>
      <c r="D14667" s="51">
        <v>0.0</v>
      </c>
    </row>
    <row r="14668" ht="15.75" hidden="1" customHeight="1">
      <c r="A14668" s="51" t="s">
        <v>385</v>
      </c>
      <c r="B14668" s="52">
        <v>46476.0</v>
      </c>
      <c r="C14668" s="51" t="s">
        <v>78</v>
      </c>
      <c r="D14668" s="51">
        <v>0.0</v>
      </c>
    </row>
    <row r="14669" ht="15.75" hidden="1" customHeight="1">
      <c r="A14669" s="51" t="s">
        <v>390</v>
      </c>
      <c r="B14669" s="52">
        <v>46476.0</v>
      </c>
      <c r="C14669" s="51" t="s">
        <v>78</v>
      </c>
      <c r="D14669" s="51">
        <v>0.0</v>
      </c>
    </row>
    <row r="14670" ht="15.75" hidden="1" customHeight="1">
      <c r="A14670" s="51" t="s">
        <v>395</v>
      </c>
      <c r="B14670" s="52">
        <v>46476.0</v>
      </c>
      <c r="C14670" s="51" t="s">
        <v>78</v>
      </c>
      <c r="D14670" s="51">
        <v>0.0</v>
      </c>
    </row>
    <row r="14671" ht="15.75" hidden="1" customHeight="1">
      <c r="A14671" s="51" t="s">
        <v>400</v>
      </c>
      <c r="B14671" s="52">
        <v>46476.0</v>
      </c>
      <c r="C14671" s="51" t="s">
        <v>78</v>
      </c>
      <c r="D14671" s="51">
        <v>0.0</v>
      </c>
    </row>
    <row r="14672" ht="15.75" hidden="1" customHeight="1">
      <c r="A14672" s="51" t="s">
        <v>405</v>
      </c>
      <c r="B14672" s="52">
        <v>46476.0</v>
      </c>
      <c r="C14672" s="51" t="s">
        <v>78</v>
      </c>
      <c r="D14672" s="51">
        <v>0.0</v>
      </c>
    </row>
    <row r="14673" ht="15.75" hidden="1" customHeight="1">
      <c r="A14673" s="51" t="s">
        <v>410</v>
      </c>
      <c r="B14673" s="52">
        <v>46476.0</v>
      </c>
      <c r="C14673" s="51" t="s">
        <v>78</v>
      </c>
      <c r="D14673" s="51">
        <v>0.0</v>
      </c>
    </row>
    <row r="14674" ht="15.75" hidden="1" customHeight="1">
      <c r="A14674" s="51" t="s">
        <v>415</v>
      </c>
      <c r="B14674" s="52">
        <v>46476.0</v>
      </c>
      <c r="C14674" s="51" t="s">
        <v>78</v>
      </c>
      <c r="D14674" s="51">
        <v>0.0</v>
      </c>
    </row>
    <row r="14675" ht="15.75" hidden="1" customHeight="1">
      <c r="A14675" s="51" t="s">
        <v>420</v>
      </c>
      <c r="B14675" s="52">
        <v>46476.0</v>
      </c>
      <c r="C14675" s="51" t="s">
        <v>78</v>
      </c>
      <c r="D14675" s="51">
        <v>0.0</v>
      </c>
    </row>
    <row r="14676" ht="15.75" hidden="1" customHeight="1">
      <c r="A14676" s="51" t="s">
        <v>425</v>
      </c>
      <c r="B14676" s="52">
        <v>46476.0</v>
      </c>
      <c r="C14676" s="51" t="s">
        <v>78</v>
      </c>
      <c r="D14676" s="51">
        <v>0.0</v>
      </c>
    </row>
    <row r="14677" ht="15.75" hidden="1" customHeight="1">
      <c r="A14677" s="51" t="s">
        <v>430</v>
      </c>
      <c r="B14677" s="52">
        <v>46476.0</v>
      </c>
      <c r="C14677" s="51" t="s">
        <v>78</v>
      </c>
      <c r="D14677" s="51">
        <v>0.0</v>
      </c>
    </row>
    <row r="14678" ht="15.75" hidden="1" customHeight="1">
      <c r="A14678" s="51" t="s">
        <v>434</v>
      </c>
      <c r="B14678" s="52">
        <v>46476.0</v>
      </c>
      <c r="C14678" s="51" t="s">
        <v>78</v>
      </c>
      <c r="D14678" s="51">
        <v>0.0</v>
      </c>
    </row>
    <row r="14679" ht="15.75" hidden="1" customHeight="1">
      <c r="A14679" s="51" t="s">
        <v>439</v>
      </c>
      <c r="B14679" s="52">
        <v>46476.0</v>
      </c>
      <c r="C14679" s="51" t="s">
        <v>78</v>
      </c>
      <c r="D14679" s="51">
        <v>0.0</v>
      </c>
    </row>
    <row r="14680" ht="15.75" hidden="1" customHeight="1">
      <c r="A14680" s="51" t="s">
        <v>444</v>
      </c>
      <c r="B14680" s="52">
        <v>46476.0</v>
      </c>
      <c r="C14680" s="51" t="s">
        <v>78</v>
      </c>
      <c r="D14680" s="51">
        <v>0.0</v>
      </c>
    </row>
    <row r="14681" ht="15.75" hidden="1" customHeight="1">
      <c r="A14681" s="51" t="s">
        <v>449</v>
      </c>
      <c r="B14681" s="52">
        <v>46476.0</v>
      </c>
      <c r="C14681" s="51" t="s">
        <v>78</v>
      </c>
      <c r="D14681" s="51">
        <v>0.0</v>
      </c>
    </row>
    <row r="14682" ht="15.75" hidden="1" customHeight="1">
      <c r="A14682" s="51" t="s">
        <v>455</v>
      </c>
      <c r="B14682" s="52">
        <v>46476.0</v>
      </c>
      <c r="C14682" s="51" t="s">
        <v>78</v>
      </c>
      <c r="D14682" s="51">
        <v>0.0</v>
      </c>
    </row>
    <row r="14683" ht="15.75" hidden="1" customHeight="1">
      <c r="A14683" s="51" t="s">
        <v>470</v>
      </c>
      <c r="B14683" s="52">
        <v>46476.0</v>
      </c>
      <c r="C14683" s="51" t="s">
        <v>78</v>
      </c>
      <c r="D14683" s="51">
        <v>0.0</v>
      </c>
    </row>
    <row r="14684" ht="15.75" hidden="1" customHeight="1">
      <c r="A14684" s="51" t="s">
        <v>476</v>
      </c>
      <c r="B14684" s="52">
        <v>46476.0</v>
      </c>
      <c r="C14684" s="51" t="s">
        <v>78</v>
      </c>
      <c r="D14684" s="51">
        <v>0.0</v>
      </c>
    </row>
    <row r="14685" ht="15.75" hidden="1" customHeight="1">
      <c r="A14685" s="51" t="s">
        <v>481</v>
      </c>
      <c r="B14685" s="52">
        <v>46476.0</v>
      </c>
      <c r="C14685" s="51" t="s">
        <v>78</v>
      </c>
      <c r="D14685" s="51">
        <v>0.0</v>
      </c>
    </row>
    <row r="14686" ht="15.75" hidden="1" customHeight="1">
      <c r="A14686" s="51" t="s">
        <v>486</v>
      </c>
      <c r="B14686" s="52">
        <v>46476.0</v>
      </c>
      <c r="C14686" s="51" t="s">
        <v>78</v>
      </c>
      <c r="D14686" s="51">
        <v>0.0</v>
      </c>
    </row>
    <row r="14687" ht="15.75" hidden="1" customHeight="1">
      <c r="A14687" s="51" t="s">
        <v>491</v>
      </c>
      <c r="B14687" s="52">
        <v>46476.0</v>
      </c>
      <c r="C14687" s="51" t="s">
        <v>78</v>
      </c>
      <c r="D14687" s="51">
        <v>0.0</v>
      </c>
    </row>
    <row r="14688" ht="15.75" hidden="1" customHeight="1">
      <c r="A14688" s="51" t="s">
        <v>496</v>
      </c>
      <c r="B14688" s="52">
        <v>46476.0</v>
      </c>
      <c r="C14688" s="51" t="s">
        <v>78</v>
      </c>
      <c r="D14688" s="51">
        <v>0.0</v>
      </c>
    </row>
    <row r="14689" ht="15.75" hidden="1" customHeight="1">
      <c r="A14689" s="51" t="s">
        <v>501</v>
      </c>
      <c r="B14689" s="52">
        <v>46476.0</v>
      </c>
      <c r="C14689" s="51" t="s">
        <v>78</v>
      </c>
      <c r="D14689" s="51">
        <v>0.0</v>
      </c>
    </row>
    <row r="14690" ht="15.75" hidden="1" customHeight="1">
      <c r="A14690" s="51" t="s">
        <v>506</v>
      </c>
      <c r="B14690" s="52">
        <v>46476.0</v>
      </c>
      <c r="C14690" s="51" t="s">
        <v>78</v>
      </c>
      <c r="D14690" s="51">
        <v>0.0</v>
      </c>
    </row>
    <row r="14691" ht="15.75" hidden="1" customHeight="1">
      <c r="A14691" s="51" t="s">
        <v>512</v>
      </c>
      <c r="B14691" s="52">
        <v>46476.0</v>
      </c>
      <c r="C14691" s="51" t="s">
        <v>78</v>
      </c>
      <c r="D14691" s="51">
        <v>0.0</v>
      </c>
    </row>
    <row r="14692" ht="15.75" hidden="1" customHeight="1">
      <c r="A14692" s="51" t="s">
        <v>517</v>
      </c>
      <c r="B14692" s="52">
        <v>46476.0</v>
      </c>
      <c r="C14692" s="51" t="s">
        <v>78</v>
      </c>
      <c r="D14692" s="51">
        <v>0.0</v>
      </c>
    </row>
    <row r="14693" ht="15.75" hidden="1" customHeight="1">
      <c r="A14693" s="51" t="s">
        <v>522</v>
      </c>
      <c r="B14693" s="52">
        <v>46476.0</v>
      </c>
      <c r="C14693" s="51" t="s">
        <v>78</v>
      </c>
      <c r="D14693" s="51">
        <v>0.0</v>
      </c>
    </row>
    <row r="14694" ht="15.75" hidden="1" customHeight="1">
      <c r="A14694" s="51" t="s">
        <v>528</v>
      </c>
      <c r="B14694" s="52">
        <v>46476.0</v>
      </c>
      <c r="C14694" s="51" t="s">
        <v>78</v>
      </c>
      <c r="D14694" s="51">
        <v>0.0</v>
      </c>
    </row>
    <row r="14695" ht="15.75" hidden="1" customHeight="1">
      <c r="A14695" s="51" t="s">
        <v>533</v>
      </c>
      <c r="B14695" s="52">
        <v>46476.0</v>
      </c>
      <c r="C14695" s="51" t="s">
        <v>78</v>
      </c>
      <c r="D14695" s="51">
        <v>0.0</v>
      </c>
    </row>
    <row r="14696" ht="15.75" hidden="1" customHeight="1">
      <c r="A14696" s="51" t="s">
        <v>538</v>
      </c>
      <c r="B14696" s="52">
        <v>46476.0</v>
      </c>
      <c r="C14696" s="51" t="s">
        <v>78</v>
      </c>
      <c r="D14696" s="51">
        <v>5367020.0</v>
      </c>
    </row>
    <row r="14697" ht="15.75" hidden="1" customHeight="1">
      <c r="A14697" s="51" t="s">
        <v>546</v>
      </c>
      <c r="B14697" s="52">
        <v>46476.0</v>
      </c>
      <c r="C14697" s="51" t="s">
        <v>78</v>
      </c>
      <c r="D14697" s="51">
        <v>0.0</v>
      </c>
    </row>
    <row r="14698" ht="15.75" hidden="1" customHeight="1">
      <c r="A14698" s="51" t="s">
        <v>551</v>
      </c>
      <c r="B14698" s="52">
        <v>46476.0</v>
      </c>
      <c r="C14698" s="51" t="s">
        <v>78</v>
      </c>
      <c r="D14698" s="51">
        <v>0.0</v>
      </c>
    </row>
    <row r="14699" ht="15.75" hidden="1" customHeight="1">
      <c r="A14699" s="51" t="s">
        <v>556</v>
      </c>
      <c r="B14699" s="52">
        <v>46476.0</v>
      </c>
      <c r="C14699" s="51" t="s">
        <v>78</v>
      </c>
      <c r="D14699" s="51">
        <v>0.0</v>
      </c>
    </row>
    <row r="14700" ht="15.75" hidden="1" customHeight="1">
      <c r="A14700" s="51" t="s">
        <v>561</v>
      </c>
      <c r="B14700" s="52">
        <v>46476.0</v>
      </c>
      <c r="C14700" s="51" t="s">
        <v>78</v>
      </c>
      <c r="D14700" s="51">
        <v>0.0</v>
      </c>
    </row>
    <row r="14701" ht="15.75" hidden="1" customHeight="1">
      <c r="A14701" s="51" t="s">
        <v>566</v>
      </c>
      <c r="B14701" s="52">
        <v>46476.0</v>
      </c>
      <c r="C14701" s="51" t="s">
        <v>78</v>
      </c>
      <c r="D14701" s="51">
        <v>0.0</v>
      </c>
    </row>
    <row r="14702" ht="15.75" hidden="1" customHeight="1">
      <c r="A14702" s="51" t="s">
        <v>571</v>
      </c>
      <c r="B14702" s="52">
        <v>46476.0</v>
      </c>
      <c r="C14702" s="51" t="s">
        <v>78</v>
      </c>
      <c r="D14702" s="51">
        <v>0.0</v>
      </c>
    </row>
    <row r="14703" ht="15.75" hidden="1" customHeight="1">
      <c r="A14703" s="51" t="s">
        <v>576</v>
      </c>
      <c r="B14703" s="52">
        <v>46476.0</v>
      </c>
      <c r="C14703" s="51" t="s">
        <v>78</v>
      </c>
      <c r="D14703" s="51">
        <v>0.0</v>
      </c>
    </row>
    <row r="14704" ht="15.75" hidden="1" customHeight="1">
      <c r="A14704" s="51" t="s">
        <v>581</v>
      </c>
      <c r="B14704" s="52">
        <v>46476.0</v>
      </c>
      <c r="C14704" s="51" t="s">
        <v>78</v>
      </c>
      <c r="D14704" s="51">
        <v>0.0</v>
      </c>
    </row>
    <row r="14705" ht="15.75" hidden="1" customHeight="1">
      <c r="A14705" s="51" t="s">
        <v>586</v>
      </c>
      <c r="B14705" s="52">
        <v>46476.0</v>
      </c>
      <c r="C14705" s="51" t="s">
        <v>78</v>
      </c>
      <c r="D14705" s="51">
        <v>0.0</v>
      </c>
    </row>
    <row r="14706" ht="15.75" hidden="1" customHeight="1">
      <c r="A14706" s="51" t="s">
        <v>754</v>
      </c>
      <c r="B14706" s="52">
        <v>46476.0</v>
      </c>
      <c r="C14706" s="51" t="s">
        <v>78</v>
      </c>
      <c r="D14706" s="51">
        <v>0.0</v>
      </c>
    </row>
    <row r="14707" ht="15.75" hidden="1" customHeight="1">
      <c r="A14707" s="51" t="s">
        <v>591</v>
      </c>
      <c r="B14707" s="52">
        <v>46476.0</v>
      </c>
      <c r="C14707" s="51" t="s">
        <v>78</v>
      </c>
      <c r="D14707" s="51">
        <v>0.0</v>
      </c>
    </row>
    <row r="14708" ht="15.75" hidden="1" customHeight="1">
      <c r="A14708" s="51" t="s">
        <v>759</v>
      </c>
      <c r="B14708" s="52">
        <v>46476.0</v>
      </c>
      <c r="C14708" s="51" t="s">
        <v>78</v>
      </c>
      <c r="D14708" s="51">
        <v>0.0</v>
      </c>
    </row>
    <row r="14709" ht="15.75" hidden="1" customHeight="1">
      <c r="A14709" s="51" t="s">
        <v>596</v>
      </c>
      <c r="B14709" s="52">
        <v>46476.0</v>
      </c>
      <c r="C14709" s="51" t="s">
        <v>78</v>
      </c>
      <c r="D14709" s="51">
        <v>0.0</v>
      </c>
    </row>
    <row r="14710" ht="15.75" hidden="1" customHeight="1">
      <c r="A14710" s="51" t="s">
        <v>602</v>
      </c>
      <c r="B14710" s="52">
        <v>46476.0</v>
      </c>
      <c r="C14710" s="51" t="s">
        <v>78</v>
      </c>
      <c r="D14710" s="51">
        <v>0.0</v>
      </c>
    </row>
    <row r="14711" ht="15.75" hidden="1" customHeight="1">
      <c r="A14711" s="51" t="s">
        <v>607</v>
      </c>
      <c r="B14711" s="52">
        <v>46476.0</v>
      </c>
      <c r="C14711" s="51" t="s">
        <v>78</v>
      </c>
      <c r="D14711" s="51">
        <v>0.0</v>
      </c>
    </row>
    <row r="14712" ht="15.75" hidden="1" customHeight="1">
      <c r="A14712" s="51" t="s">
        <v>612</v>
      </c>
      <c r="B14712" s="52">
        <v>46476.0</v>
      </c>
      <c r="C14712" s="51" t="s">
        <v>78</v>
      </c>
      <c r="D14712" s="51">
        <v>0.0</v>
      </c>
    </row>
    <row r="14713" ht="15.75" hidden="1" customHeight="1">
      <c r="A14713" s="51" t="s">
        <v>617</v>
      </c>
      <c r="B14713" s="52">
        <v>46476.0</v>
      </c>
      <c r="C14713" s="51" t="s">
        <v>78</v>
      </c>
      <c r="D14713" s="51">
        <v>0.0</v>
      </c>
    </row>
    <row r="14714" ht="15.75" hidden="1" customHeight="1">
      <c r="A14714" s="51" t="s">
        <v>622</v>
      </c>
      <c r="B14714" s="52">
        <v>46476.0</v>
      </c>
      <c r="C14714" s="51" t="s">
        <v>78</v>
      </c>
      <c r="D14714" s="51">
        <v>0.0</v>
      </c>
    </row>
    <row r="14715" ht="15.75" hidden="1" customHeight="1">
      <c r="A14715" s="51" t="s">
        <v>627</v>
      </c>
      <c r="B14715" s="52">
        <v>46476.0</v>
      </c>
      <c r="C14715" s="51" t="s">
        <v>78</v>
      </c>
      <c r="D14715" s="51">
        <v>0.0</v>
      </c>
    </row>
    <row r="14716" ht="15.75" hidden="1" customHeight="1">
      <c r="A14716" s="51" t="s">
        <v>631</v>
      </c>
      <c r="B14716" s="52">
        <v>46476.0</v>
      </c>
      <c r="C14716" s="51" t="s">
        <v>78</v>
      </c>
      <c r="D14716" s="51">
        <v>0.0</v>
      </c>
    </row>
    <row r="14717" ht="15.75" hidden="1" customHeight="1">
      <c r="A14717" s="51" t="s">
        <v>636</v>
      </c>
      <c r="B14717" s="52">
        <v>46476.0</v>
      </c>
      <c r="C14717" s="51" t="s">
        <v>78</v>
      </c>
      <c r="D14717" s="51">
        <v>0.0</v>
      </c>
    </row>
    <row r="14718" ht="15.75" hidden="1" customHeight="1">
      <c r="A14718" s="51" t="s">
        <v>640</v>
      </c>
      <c r="B14718" s="52">
        <v>46476.0</v>
      </c>
      <c r="C14718" s="51" t="s">
        <v>78</v>
      </c>
      <c r="D14718" s="51">
        <v>0.0</v>
      </c>
    </row>
    <row r="14719" ht="15.75" hidden="1" customHeight="1">
      <c r="A14719" s="51" t="s">
        <v>644</v>
      </c>
      <c r="B14719" s="52">
        <v>46476.0</v>
      </c>
      <c r="C14719" s="51" t="s">
        <v>78</v>
      </c>
      <c r="D14719" s="51">
        <v>0.0</v>
      </c>
    </row>
    <row r="14720" ht="15.75" hidden="1" customHeight="1">
      <c r="A14720" s="51" t="s">
        <v>649</v>
      </c>
      <c r="B14720" s="52">
        <v>46476.0</v>
      </c>
      <c r="C14720" s="51" t="s">
        <v>78</v>
      </c>
      <c r="D14720" s="51">
        <v>0.0</v>
      </c>
    </row>
    <row r="14721" ht="15.75" hidden="1" customHeight="1">
      <c r="A14721" s="51" t="s">
        <v>654</v>
      </c>
      <c r="B14721" s="52">
        <v>46476.0</v>
      </c>
      <c r="C14721" s="51" t="s">
        <v>78</v>
      </c>
      <c r="D14721" s="51">
        <v>0.0</v>
      </c>
    </row>
    <row r="14722" ht="15.75" hidden="1" customHeight="1">
      <c r="A14722" s="51" t="s">
        <v>659</v>
      </c>
      <c r="B14722" s="52">
        <v>46476.0</v>
      </c>
      <c r="C14722" s="51" t="s">
        <v>78</v>
      </c>
      <c r="D14722" s="51">
        <v>0.0</v>
      </c>
    </row>
    <row r="14723" ht="15.75" hidden="1" customHeight="1">
      <c r="A14723" s="51" t="s">
        <v>664</v>
      </c>
      <c r="B14723" s="52">
        <v>46476.0</v>
      </c>
      <c r="C14723" s="51" t="s">
        <v>78</v>
      </c>
      <c r="D14723" s="51">
        <v>0.0</v>
      </c>
    </row>
    <row r="14724" ht="15.75" hidden="1" customHeight="1">
      <c r="A14724" s="51" t="s">
        <v>669</v>
      </c>
      <c r="B14724" s="52">
        <v>46476.0</v>
      </c>
      <c r="C14724" s="51" t="s">
        <v>78</v>
      </c>
      <c r="D14724" s="51">
        <v>0.0</v>
      </c>
    </row>
    <row r="14725" ht="15.75" hidden="1" customHeight="1">
      <c r="A14725" s="51" t="s">
        <v>674</v>
      </c>
      <c r="B14725" s="52">
        <v>46476.0</v>
      </c>
      <c r="C14725" s="51" t="s">
        <v>78</v>
      </c>
      <c r="D14725" s="51">
        <v>0.0</v>
      </c>
    </row>
    <row r="14726" ht="15.75" hidden="1" customHeight="1">
      <c r="A14726" s="51" t="s">
        <v>679</v>
      </c>
      <c r="B14726" s="52">
        <v>46476.0</v>
      </c>
      <c r="C14726" s="51" t="s">
        <v>78</v>
      </c>
      <c r="D14726" s="51">
        <v>0.0</v>
      </c>
    </row>
    <row r="14727" ht="15.75" hidden="1" customHeight="1">
      <c r="A14727" s="51" t="s">
        <v>684</v>
      </c>
      <c r="B14727" s="52">
        <v>46476.0</v>
      </c>
      <c r="C14727" s="51" t="s">
        <v>78</v>
      </c>
      <c r="D14727" s="51">
        <v>0.0</v>
      </c>
    </row>
    <row r="14728" ht="15.75" hidden="1" customHeight="1">
      <c r="A14728" s="51" t="s">
        <v>689</v>
      </c>
      <c r="B14728" s="52">
        <v>46476.0</v>
      </c>
      <c r="C14728" s="51" t="s">
        <v>78</v>
      </c>
      <c r="D14728" s="51">
        <v>0.0</v>
      </c>
    </row>
    <row r="14729" ht="15.75" hidden="1" customHeight="1">
      <c r="A14729" s="51" t="s">
        <v>694</v>
      </c>
      <c r="B14729" s="52">
        <v>46476.0</v>
      </c>
      <c r="C14729" s="51" t="s">
        <v>78</v>
      </c>
      <c r="D14729" s="51">
        <v>0.0</v>
      </c>
    </row>
    <row r="14730" ht="15.75" hidden="1" customHeight="1">
      <c r="A14730" s="51" t="s">
        <v>699</v>
      </c>
      <c r="B14730" s="52">
        <v>46476.0</v>
      </c>
      <c r="C14730" s="51" t="s">
        <v>78</v>
      </c>
      <c r="D14730" s="51">
        <v>0.0</v>
      </c>
    </row>
    <row r="14731" ht="15.75" hidden="1" customHeight="1">
      <c r="A14731" s="51" t="s">
        <v>705</v>
      </c>
      <c r="B14731" s="52">
        <v>46476.0</v>
      </c>
      <c r="C14731" s="51" t="s">
        <v>78</v>
      </c>
      <c r="D14731" s="51">
        <v>0.0</v>
      </c>
    </row>
    <row r="14732" ht="15.75" hidden="1" customHeight="1">
      <c r="A14732" s="51" t="s">
        <v>710</v>
      </c>
      <c r="B14732" s="52">
        <v>46476.0</v>
      </c>
      <c r="C14732" s="51" t="s">
        <v>78</v>
      </c>
      <c r="D14732" s="51">
        <v>0.0</v>
      </c>
    </row>
    <row r="14733" ht="15.75" hidden="1" customHeight="1">
      <c r="A14733" s="51" t="s">
        <v>715</v>
      </c>
      <c r="B14733" s="52">
        <v>46476.0</v>
      </c>
      <c r="C14733" s="51" t="s">
        <v>78</v>
      </c>
      <c r="D14733" s="51">
        <v>0.0</v>
      </c>
    </row>
    <row r="14734" ht="15.75" hidden="1" customHeight="1">
      <c r="A14734" s="51" t="s">
        <v>765</v>
      </c>
      <c r="B14734" s="52">
        <v>46476.0</v>
      </c>
      <c r="C14734" s="51" t="s">
        <v>78</v>
      </c>
      <c r="D14734" s="51">
        <v>3308467.83</v>
      </c>
    </row>
    <row r="14735" ht="15.75" hidden="1" customHeight="1">
      <c r="A14735" s="51" t="s">
        <v>720</v>
      </c>
      <c r="B14735" s="52">
        <v>46476.0</v>
      </c>
      <c r="C14735" s="51" t="s">
        <v>78</v>
      </c>
      <c r="D14735" s="51">
        <v>0.0</v>
      </c>
    </row>
    <row r="14736" ht="15.75" hidden="1" customHeight="1">
      <c r="A14736" s="51" t="s">
        <v>725</v>
      </c>
      <c r="B14736" s="52">
        <v>46476.0</v>
      </c>
      <c r="C14736" s="51" t="s">
        <v>78</v>
      </c>
      <c r="D14736" s="51">
        <v>0.0</v>
      </c>
    </row>
    <row r="14737" ht="15.75" hidden="1" customHeight="1">
      <c r="A14737" s="51" t="s">
        <v>730</v>
      </c>
      <c r="B14737" s="52">
        <v>46476.0</v>
      </c>
      <c r="C14737" s="51" t="s">
        <v>78</v>
      </c>
      <c r="D14737" s="51">
        <v>0.0</v>
      </c>
    </row>
    <row r="14738" ht="15.75" hidden="1" customHeight="1">
      <c r="A14738" s="51" t="s">
        <v>734</v>
      </c>
      <c r="B14738" s="52">
        <v>46476.0</v>
      </c>
      <c r="C14738" s="51" t="s">
        <v>78</v>
      </c>
      <c r="D14738" s="51">
        <v>0.0</v>
      </c>
    </row>
    <row r="14739" ht="15.75" hidden="1" customHeight="1">
      <c r="A14739" s="51" t="s">
        <v>739</v>
      </c>
      <c r="B14739" s="52">
        <v>46476.0</v>
      </c>
      <c r="C14739" s="51" t="s">
        <v>78</v>
      </c>
      <c r="D14739" s="51">
        <v>0.0</v>
      </c>
    </row>
    <row r="14740" ht="15.75" hidden="1" customHeight="1">
      <c r="A14740" s="51" t="s">
        <v>744</v>
      </c>
      <c r="B14740" s="52">
        <v>46476.0</v>
      </c>
      <c r="C14740" s="51" t="s">
        <v>78</v>
      </c>
      <c r="D14740" s="51">
        <v>0.0</v>
      </c>
    </row>
    <row r="14741" ht="15.75" hidden="1" customHeight="1">
      <c r="A14741" s="51" t="s">
        <v>749</v>
      </c>
      <c r="B14741" s="52">
        <v>46476.0</v>
      </c>
      <c r="C14741" s="51" t="s">
        <v>78</v>
      </c>
      <c r="D14741" s="51">
        <v>0.0</v>
      </c>
    </row>
    <row r="14742" ht="15.75" customHeight="1">
      <c r="A14742" s="51" t="s">
        <v>776</v>
      </c>
      <c r="B14742" s="52">
        <v>46476.0</v>
      </c>
      <c r="C14742" s="51" t="s">
        <v>69</v>
      </c>
      <c r="D14742" s="51">
        <v>0.0</v>
      </c>
    </row>
    <row r="14743" ht="15.75" hidden="1" customHeight="1">
      <c r="A14743" s="51" t="s">
        <v>778</v>
      </c>
      <c r="B14743" s="52">
        <v>46476.0</v>
      </c>
      <c r="C14743" s="51" t="s">
        <v>69</v>
      </c>
      <c r="D14743" s="51">
        <v>0.0</v>
      </c>
    </row>
    <row r="14744" ht="15.75" hidden="1" customHeight="1">
      <c r="A14744" s="51" t="s">
        <v>92</v>
      </c>
      <c r="B14744" s="52">
        <v>46476.0</v>
      </c>
      <c r="C14744" s="51" t="s">
        <v>69</v>
      </c>
      <c r="D14744" s="51">
        <v>0.0</v>
      </c>
    </row>
    <row r="14745" ht="15.75" hidden="1" customHeight="1">
      <c r="A14745" s="51" t="s">
        <v>97</v>
      </c>
      <c r="B14745" s="52">
        <v>46476.0</v>
      </c>
      <c r="C14745" s="51" t="s">
        <v>69</v>
      </c>
      <c r="D14745" s="51">
        <v>0.0</v>
      </c>
    </row>
    <row r="14746" ht="15.75" hidden="1" customHeight="1">
      <c r="A14746" s="51" t="s">
        <v>102</v>
      </c>
      <c r="B14746" s="52">
        <v>46476.0</v>
      </c>
      <c r="C14746" s="51" t="s">
        <v>69</v>
      </c>
      <c r="D14746" s="51">
        <v>0.0</v>
      </c>
    </row>
    <row r="14747" ht="15.75" hidden="1" customHeight="1">
      <c r="A14747" s="51" t="s">
        <v>106</v>
      </c>
      <c r="B14747" s="52">
        <v>46476.0</v>
      </c>
      <c r="C14747" s="51" t="s">
        <v>69</v>
      </c>
      <c r="D14747" s="51">
        <v>0.0</v>
      </c>
    </row>
    <row r="14748" ht="15.75" hidden="1" customHeight="1">
      <c r="A14748" s="51" t="s">
        <v>111</v>
      </c>
      <c r="B14748" s="52">
        <v>46476.0</v>
      </c>
      <c r="C14748" s="51" t="s">
        <v>69</v>
      </c>
      <c r="D14748" s="51">
        <v>0.0</v>
      </c>
    </row>
    <row r="14749" ht="15.75" hidden="1" customHeight="1">
      <c r="A14749" s="51" t="s">
        <v>116</v>
      </c>
      <c r="B14749" s="52">
        <v>46476.0</v>
      </c>
      <c r="C14749" s="51" t="s">
        <v>69</v>
      </c>
      <c r="D14749" s="51">
        <v>0.0</v>
      </c>
    </row>
    <row r="14750" ht="15.75" hidden="1" customHeight="1">
      <c r="A14750" s="51" t="s">
        <v>120</v>
      </c>
      <c r="B14750" s="52">
        <v>46476.0</v>
      </c>
      <c r="C14750" s="51" t="s">
        <v>69</v>
      </c>
      <c r="D14750" s="51">
        <v>0.0</v>
      </c>
    </row>
    <row r="14751" ht="15.75" hidden="1" customHeight="1">
      <c r="A14751" s="51" t="s">
        <v>125</v>
      </c>
      <c r="B14751" s="52">
        <v>46476.0</v>
      </c>
      <c r="C14751" s="51" t="s">
        <v>69</v>
      </c>
      <c r="D14751" s="51">
        <v>0.0</v>
      </c>
    </row>
    <row r="14752" ht="15.75" hidden="1" customHeight="1">
      <c r="A14752" s="51" t="s">
        <v>130</v>
      </c>
      <c r="B14752" s="52">
        <v>46476.0</v>
      </c>
      <c r="C14752" s="51" t="s">
        <v>69</v>
      </c>
      <c r="D14752" s="51">
        <v>0.0</v>
      </c>
    </row>
    <row r="14753" ht="15.75" hidden="1" customHeight="1">
      <c r="A14753" s="51" t="s">
        <v>137</v>
      </c>
      <c r="B14753" s="52">
        <v>46476.0</v>
      </c>
      <c r="C14753" s="51" t="s">
        <v>69</v>
      </c>
      <c r="D14753" s="51">
        <v>0.0</v>
      </c>
    </row>
    <row r="14754" ht="15.75" hidden="1" customHeight="1">
      <c r="A14754" s="51" t="s">
        <v>142</v>
      </c>
      <c r="B14754" s="52">
        <v>46476.0</v>
      </c>
      <c r="C14754" s="51" t="s">
        <v>69</v>
      </c>
      <c r="D14754" s="51">
        <v>0.0</v>
      </c>
    </row>
    <row r="14755" ht="15.75" hidden="1" customHeight="1">
      <c r="A14755" s="51" t="s">
        <v>147</v>
      </c>
      <c r="B14755" s="52">
        <v>46476.0</v>
      </c>
      <c r="C14755" s="51" t="s">
        <v>69</v>
      </c>
      <c r="D14755" s="51">
        <v>0.0</v>
      </c>
    </row>
    <row r="14756" ht="15.75" hidden="1" customHeight="1">
      <c r="A14756" s="51" t="s">
        <v>152</v>
      </c>
      <c r="B14756" s="52">
        <v>46476.0</v>
      </c>
      <c r="C14756" s="51" t="s">
        <v>69</v>
      </c>
      <c r="D14756" s="51">
        <v>0.0</v>
      </c>
    </row>
    <row r="14757" ht="15.75" hidden="1" customHeight="1">
      <c r="A14757" s="51" t="s">
        <v>157</v>
      </c>
      <c r="B14757" s="52">
        <v>46476.0</v>
      </c>
      <c r="C14757" s="51" t="s">
        <v>69</v>
      </c>
      <c r="D14757" s="51">
        <v>0.0</v>
      </c>
    </row>
    <row r="14758" ht="15.75" hidden="1" customHeight="1">
      <c r="A14758" s="51" t="s">
        <v>162</v>
      </c>
      <c r="B14758" s="52">
        <v>46476.0</v>
      </c>
      <c r="C14758" s="51" t="s">
        <v>69</v>
      </c>
      <c r="D14758" s="51">
        <v>0.0</v>
      </c>
    </row>
    <row r="14759" ht="15.75" hidden="1" customHeight="1">
      <c r="A14759" s="51" t="s">
        <v>167</v>
      </c>
      <c r="B14759" s="52">
        <v>46476.0</v>
      </c>
      <c r="C14759" s="51" t="s">
        <v>69</v>
      </c>
      <c r="D14759" s="51">
        <v>0.0</v>
      </c>
    </row>
    <row r="14760" ht="15.75" hidden="1" customHeight="1">
      <c r="A14760" s="51" t="s">
        <v>172</v>
      </c>
      <c r="B14760" s="52">
        <v>46476.0</v>
      </c>
      <c r="C14760" s="51" t="s">
        <v>69</v>
      </c>
      <c r="D14760" s="51">
        <v>0.0</v>
      </c>
    </row>
    <row r="14761" ht="15.75" hidden="1" customHeight="1">
      <c r="A14761" s="51" t="s">
        <v>177</v>
      </c>
      <c r="B14761" s="52">
        <v>46476.0</v>
      </c>
      <c r="C14761" s="51" t="s">
        <v>69</v>
      </c>
      <c r="D14761" s="51">
        <v>0.0</v>
      </c>
    </row>
    <row r="14762" ht="15.75" hidden="1" customHeight="1">
      <c r="A14762" s="51" t="s">
        <v>182</v>
      </c>
      <c r="B14762" s="52">
        <v>46476.0</v>
      </c>
      <c r="C14762" s="51" t="s">
        <v>69</v>
      </c>
      <c r="D14762" s="51">
        <v>0.0</v>
      </c>
    </row>
    <row r="14763" ht="15.75" hidden="1" customHeight="1">
      <c r="A14763" s="51" t="s">
        <v>187</v>
      </c>
      <c r="B14763" s="52">
        <v>46476.0</v>
      </c>
      <c r="C14763" s="51" t="s">
        <v>69</v>
      </c>
      <c r="D14763" s="51">
        <v>0.0</v>
      </c>
    </row>
    <row r="14764" ht="15.75" hidden="1" customHeight="1">
      <c r="A14764" s="51" t="s">
        <v>192</v>
      </c>
      <c r="B14764" s="52">
        <v>46476.0</v>
      </c>
      <c r="C14764" s="51" t="s">
        <v>69</v>
      </c>
      <c r="D14764" s="51">
        <v>0.0</v>
      </c>
    </row>
    <row r="14765" ht="15.75" hidden="1" customHeight="1">
      <c r="A14765" s="51" t="s">
        <v>197</v>
      </c>
      <c r="B14765" s="52">
        <v>46476.0</v>
      </c>
      <c r="C14765" s="51" t="s">
        <v>69</v>
      </c>
      <c r="D14765" s="51">
        <v>0.0</v>
      </c>
    </row>
    <row r="14766" ht="15.75" hidden="1" customHeight="1">
      <c r="A14766" s="51" t="s">
        <v>202</v>
      </c>
      <c r="B14766" s="52">
        <v>46476.0</v>
      </c>
      <c r="C14766" s="51" t="s">
        <v>69</v>
      </c>
      <c r="D14766" s="51">
        <v>0.0</v>
      </c>
    </row>
    <row r="14767" ht="15.75" hidden="1" customHeight="1">
      <c r="A14767" s="51" t="s">
        <v>206</v>
      </c>
      <c r="B14767" s="52">
        <v>46476.0</v>
      </c>
      <c r="C14767" s="51" t="s">
        <v>69</v>
      </c>
      <c r="D14767" s="51">
        <v>0.0</v>
      </c>
    </row>
    <row r="14768" ht="15.75" hidden="1" customHeight="1">
      <c r="A14768" s="51" t="s">
        <v>211</v>
      </c>
      <c r="B14768" s="52">
        <v>46476.0</v>
      </c>
      <c r="C14768" s="51" t="s">
        <v>69</v>
      </c>
      <c r="D14768" s="51">
        <v>0.0</v>
      </c>
    </row>
    <row r="14769" ht="15.75" hidden="1" customHeight="1">
      <c r="A14769" s="51" t="s">
        <v>779</v>
      </c>
      <c r="B14769" s="52">
        <v>46476.0</v>
      </c>
      <c r="C14769" s="51" t="s">
        <v>69</v>
      </c>
      <c r="D14769" s="51">
        <v>0.0</v>
      </c>
    </row>
    <row r="14770" ht="15.75" hidden="1" customHeight="1">
      <c r="A14770" s="51" t="s">
        <v>221</v>
      </c>
      <c r="B14770" s="52">
        <v>46476.0</v>
      </c>
      <c r="C14770" s="51" t="s">
        <v>69</v>
      </c>
      <c r="D14770" s="51">
        <v>0.0</v>
      </c>
    </row>
    <row r="14771" ht="15.75" hidden="1" customHeight="1">
      <c r="A14771" s="51" t="s">
        <v>226</v>
      </c>
      <c r="B14771" s="52">
        <v>46476.0</v>
      </c>
      <c r="C14771" s="51" t="s">
        <v>69</v>
      </c>
      <c r="D14771" s="51">
        <v>0.0</v>
      </c>
    </row>
    <row r="14772" ht="15.75" hidden="1" customHeight="1">
      <c r="A14772" s="51" t="s">
        <v>231</v>
      </c>
      <c r="B14772" s="52">
        <v>46476.0</v>
      </c>
      <c r="C14772" s="51" t="s">
        <v>69</v>
      </c>
      <c r="D14772" s="51">
        <v>0.0</v>
      </c>
    </row>
    <row r="14773" ht="15.75" hidden="1" customHeight="1">
      <c r="A14773" s="51" t="s">
        <v>236</v>
      </c>
      <c r="B14773" s="52">
        <v>46476.0</v>
      </c>
      <c r="C14773" s="51" t="s">
        <v>69</v>
      </c>
      <c r="D14773" s="51">
        <v>0.0</v>
      </c>
    </row>
    <row r="14774" ht="15.75" hidden="1" customHeight="1">
      <c r="A14774" s="51" t="s">
        <v>242</v>
      </c>
      <c r="B14774" s="52">
        <v>46476.0</v>
      </c>
      <c r="C14774" s="51" t="s">
        <v>69</v>
      </c>
      <c r="D14774" s="51">
        <v>0.0</v>
      </c>
    </row>
    <row r="14775" ht="15.75" hidden="1" customHeight="1">
      <c r="A14775" s="51" t="s">
        <v>248</v>
      </c>
      <c r="B14775" s="52">
        <v>46476.0</v>
      </c>
      <c r="C14775" s="51" t="s">
        <v>69</v>
      </c>
      <c r="D14775" s="51">
        <v>0.0</v>
      </c>
    </row>
    <row r="14776" ht="15.75" hidden="1" customHeight="1">
      <c r="A14776" s="51" t="s">
        <v>253</v>
      </c>
      <c r="B14776" s="52">
        <v>46476.0</v>
      </c>
      <c r="C14776" s="51" t="s">
        <v>69</v>
      </c>
      <c r="D14776" s="51">
        <v>0.0</v>
      </c>
    </row>
    <row r="14777" ht="15.75" hidden="1" customHeight="1">
      <c r="A14777" s="51" t="s">
        <v>258</v>
      </c>
      <c r="B14777" s="52">
        <v>46476.0</v>
      </c>
      <c r="C14777" s="51" t="s">
        <v>69</v>
      </c>
      <c r="D14777" s="51">
        <v>0.0</v>
      </c>
    </row>
    <row r="14778" ht="15.75" hidden="1" customHeight="1">
      <c r="A14778" s="51" t="s">
        <v>263</v>
      </c>
      <c r="B14778" s="52">
        <v>46476.0</v>
      </c>
      <c r="C14778" s="51" t="s">
        <v>69</v>
      </c>
      <c r="D14778" s="51">
        <v>0.0</v>
      </c>
    </row>
    <row r="14779" ht="15.75" hidden="1" customHeight="1">
      <c r="A14779" s="51" t="s">
        <v>268</v>
      </c>
      <c r="B14779" s="52">
        <v>46476.0</v>
      </c>
      <c r="C14779" s="51" t="s">
        <v>69</v>
      </c>
      <c r="D14779" s="51">
        <v>0.0</v>
      </c>
    </row>
    <row r="14780" ht="15.75" hidden="1" customHeight="1">
      <c r="A14780" s="51" t="s">
        <v>273</v>
      </c>
      <c r="B14780" s="52">
        <v>46476.0</v>
      </c>
      <c r="C14780" s="51" t="s">
        <v>69</v>
      </c>
      <c r="D14780" s="51">
        <v>0.0</v>
      </c>
    </row>
    <row r="14781" ht="15.75" hidden="1" customHeight="1">
      <c r="A14781" s="51" t="s">
        <v>278</v>
      </c>
      <c r="B14781" s="52">
        <v>46476.0</v>
      </c>
      <c r="C14781" s="51" t="s">
        <v>69</v>
      </c>
      <c r="D14781" s="51">
        <v>0.0</v>
      </c>
    </row>
    <row r="14782" ht="15.75" hidden="1" customHeight="1">
      <c r="A14782" s="51" t="s">
        <v>283</v>
      </c>
      <c r="B14782" s="52">
        <v>46476.0</v>
      </c>
      <c r="C14782" s="51" t="s">
        <v>69</v>
      </c>
      <c r="D14782" s="51">
        <v>0.0</v>
      </c>
    </row>
    <row r="14783" ht="15.75" hidden="1" customHeight="1">
      <c r="A14783" s="51" t="s">
        <v>288</v>
      </c>
      <c r="B14783" s="52">
        <v>46476.0</v>
      </c>
      <c r="C14783" s="51" t="s">
        <v>69</v>
      </c>
      <c r="D14783" s="51">
        <v>0.0</v>
      </c>
    </row>
    <row r="14784" ht="15.75" hidden="1" customHeight="1">
      <c r="A14784" s="51" t="s">
        <v>293</v>
      </c>
      <c r="B14784" s="52">
        <v>46476.0</v>
      </c>
      <c r="C14784" s="51" t="s">
        <v>69</v>
      </c>
      <c r="D14784" s="51">
        <v>0.0</v>
      </c>
    </row>
    <row r="14785" ht="15.75" hidden="1" customHeight="1">
      <c r="A14785" s="51" t="s">
        <v>298</v>
      </c>
      <c r="B14785" s="52">
        <v>46476.0</v>
      </c>
      <c r="C14785" s="51" t="s">
        <v>69</v>
      </c>
      <c r="D14785" s="51">
        <v>0.0</v>
      </c>
    </row>
    <row r="14786" ht="15.75" hidden="1" customHeight="1">
      <c r="A14786" s="51" t="s">
        <v>303</v>
      </c>
      <c r="B14786" s="52">
        <v>46476.0</v>
      </c>
      <c r="C14786" s="51" t="s">
        <v>69</v>
      </c>
      <c r="D14786" s="51">
        <v>0.0</v>
      </c>
    </row>
    <row r="14787" ht="15.75" hidden="1" customHeight="1">
      <c r="A14787" s="51" t="s">
        <v>307</v>
      </c>
      <c r="B14787" s="52">
        <v>46476.0</v>
      </c>
      <c r="C14787" s="51" t="s">
        <v>69</v>
      </c>
      <c r="D14787" s="51">
        <v>0.0</v>
      </c>
    </row>
    <row r="14788" ht="15.75" hidden="1" customHeight="1">
      <c r="A14788" s="51" t="s">
        <v>313</v>
      </c>
      <c r="B14788" s="52">
        <v>46476.0</v>
      </c>
      <c r="C14788" s="51" t="s">
        <v>69</v>
      </c>
      <c r="D14788" s="51">
        <v>0.0</v>
      </c>
    </row>
    <row r="14789" ht="15.75" hidden="1" customHeight="1">
      <c r="A14789" s="51" t="s">
        <v>318</v>
      </c>
      <c r="B14789" s="52">
        <v>46476.0</v>
      </c>
      <c r="C14789" s="51" t="s">
        <v>69</v>
      </c>
      <c r="D14789" s="51">
        <v>0.0</v>
      </c>
    </row>
    <row r="14790" ht="15.75" hidden="1" customHeight="1">
      <c r="A14790" s="51" t="s">
        <v>323</v>
      </c>
      <c r="B14790" s="52">
        <v>46476.0</v>
      </c>
      <c r="C14790" s="51" t="s">
        <v>69</v>
      </c>
      <c r="D14790" s="51">
        <v>0.0</v>
      </c>
    </row>
    <row r="14791" ht="15.75" hidden="1" customHeight="1">
      <c r="A14791" s="51" t="s">
        <v>328</v>
      </c>
      <c r="B14791" s="52">
        <v>46476.0</v>
      </c>
      <c r="C14791" s="51" t="s">
        <v>69</v>
      </c>
      <c r="D14791" s="51">
        <v>0.0</v>
      </c>
    </row>
    <row r="14792" ht="15.75" hidden="1" customHeight="1">
      <c r="A14792" s="51" t="s">
        <v>335</v>
      </c>
      <c r="B14792" s="52">
        <v>46476.0</v>
      </c>
      <c r="C14792" s="51" t="s">
        <v>69</v>
      </c>
      <c r="D14792" s="51">
        <v>0.0</v>
      </c>
    </row>
    <row r="14793" ht="15.75" hidden="1" customHeight="1">
      <c r="A14793" s="51" t="s">
        <v>340</v>
      </c>
      <c r="B14793" s="52">
        <v>46476.0</v>
      </c>
      <c r="C14793" s="51" t="s">
        <v>69</v>
      </c>
      <c r="D14793" s="51">
        <v>0.0</v>
      </c>
    </row>
    <row r="14794" ht="15.75" hidden="1" customHeight="1">
      <c r="A14794" s="51" t="s">
        <v>345</v>
      </c>
      <c r="B14794" s="52">
        <v>46476.0</v>
      </c>
      <c r="C14794" s="51" t="s">
        <v>69</v>
      </c>
      <c r="D14794" s="51">
        <v>0.0</v>
      </c>
    </row>
    <row r="14795" ht="15.75" hidden="1" customHeight="1">
      <c r="A14795" s="51" t="s">
        <v>350</v>
      </c>
      <c r="B14795" s="52">
        <v>46476.0</v>
      </c>
      <c r="C14795" s="51" t="s">
        <v>69</v>
      </c>
      <c r="D14795" s="51">
        <v>0.0</v>
      </c>
    </row>
    <row r="14796" ht="15.75" hidden="1" customHeight="1">
      <c r="A14796" s="51" t="s">
        <v>355</v>
      </c>
      <c r="B14796" s="52">
        <v>46476.0</v>
      </c>
      <c r="C14796" s="51" t="s">
        <v>69</v>
      </c>
      <c r="D14796" s="51">
        <v>0.0</v>
      </c>
    </row>
    <row r="14797" ht="15.75" hidden="1" customHeight="1">
      <c r="A14797" s="51" t="s">
        <v>360</v>
      </c>
      <c r="B14797" s="52">
        <v>46476.0</v>
      </c>
      <c r="C14797" s="51" t="s">
        <v>69</v>
      </c>
      <c r="D14797" s="51">
        <v>0.0</v>
      </c>
    </row>
    <row r="14798" ht="15.75" hidden="1" customHeight="1">
      <c r="A14798" s="51" t="s">
        <v>365</v>
      </c>
      <c r="B14798" s="52">
        <v>46476.0</v>
      </c>
      <c r="C14798" s="51" t="s">
        <v>69</v>
      </c>
      <c r="D14798" s="51">
        <v>0.0</v>
      </c>
    </row>
    <row r="14799" ht="15.75" hidden="1" customHeight="1">
      <c r="A14799" s="51" t="s">
        <v>370</v>
      </c>
      <c r="B14799" s="52">
        <v>46476.0</v>
      </c>
      <c r="C14799" s="51" t="s">
        <v>69</v>
      </c>
      <c r="D14799" s="51">
        <v>0.0</v>
      </c>
    </row>
    <row r="14800" ht="15.75" hidden="1" customHeight="1">
      <c r="A14800" s="51" t="s">
        <v>375</v>
      </c>
      <c r="B14800" s="52">
        <v>46476.0</v>
      </c>
      <c r="C14800" s="51" t="s">
        <v>69</v>
      </c>
      <c r="D14800" s="51">
        <v>0.0</v>
      </c>
    </row>
    <row r="14801" ht="15.75" hidden="1" customHeight="1">
      <c r="A14801" s="51" t="s">
        <v>380</v>
      </c>
      <c r="B14801" s="52">
        <v>46476.0</v>
      </c>
      <c r="C14801" s="51" t="s">
        <v>69</v>
      </c>
      <c r="D14801" s="51">
        <v>0.0</v>
      </c>
    </row>
    <row r="14802" ht="15.75" hidden="1" customHeight="1">
      <c r="A14802" s="51" t="s">
        <v>385</v>
      </c>
      <c r="B14802" s="52">
        <v>46476.0</v>
      </c>
      <c r="C14802" s="51" t="s">
        <v>69</v>
      </c>
      <c r="D14802" s="51">
        <v>0.0</v>
      </c>
    </row>
    <row r="14803" ht="15.75" hidden="1" customHeight="1">
      <c r="A14803" s="51" t="s">
        <v>390</v>
      </c>
      <c r="B14803" s="52">
        <v>46476.0</v>
      </c>
      <c r="C14803" s="51" t="s">
        <v>69</v>
      </c>
      <c r="D14803" s="51">
        <v>0.0</v>
      </c>
    </row>
    <row r="14804" ht="15.75" hidden="1" customHeight="1">
      <c r="A14804" s="51" t="s">
        <v>395</v>
      </c>
      <c r="B14804" s="52">
        <v>46476.0</v>
      </c>
      <c r="C14804" s="51" t="s">
        <v>69</v>
      </c>
      <c r="D14804" s="51">
        <v>0.0</v>
      </c>
    </row>
    <row r="14805" ht="15.75" hidden="1" customHeight="1">
      <c r="A14805" s="51" t="s">
        <v>400</v>
      </c>
      <c r="B14805" s="52">
        <v>46476.0</v>
      </c>
      <c r="C14805" s="51" t="s">
        <v>69</v>
      </c>
      <c r="D14805" s="51">
        <v>0.0</v>
      </c>
    </row>
    <row r="14806" ht="15.75" hidden="1" customHeight="1">
      <c r="A14806" s="51" t="s">
        <v>405</v>
      </c>
      <c r="B14806" s="52">
        <v>46476.0</v>
      </c>
      <c r="C14806" s="51" t="s">
        <v>69</v>
      </c>
      <c r="D14806" s="51">
        <v>0.0</v>
      </c>
    </row>
    <row r="14807" ht="15.75" hidden="1" customHeight="1">
      <c r="A14807" s="51" t="s">
        <v>410</v>
      </c>
      <c r="B14807" s="52">
        <v>46476.0</v>
      </c>
      <c r="C14807" s="51" t="s">
        <v>69</v>
      </c>
      <c r="D14807" s="51">
        <v>0.0</v>
      </c>
    </row>
    <row r="14808" ht="15.75" hidden="1" customHeight="1">
      <c r="A14808" s="51" t="s">
        <v>415</v>
      </c>
      <c r="B14808" s="52">
        <v>46476.0</v>
      </c>
      <c r="C14808" s="51" t="s">
        <v>69</v>
      </c>
      <c r="D14808" s="51">
        <v>0.0</v>
      </c>
    </row>
    <row r="14809" ht="15.75" hidden="1" customHeight="1">
      <c r="A14809" s="51" t="s">
        <v>420</v>
      </c>
      <c r="B14809" s="52">
        <v>46476.0</v>
      </c>
      <c r="C14809" s="51" t="s">
        <v>69</v>
      </c>
      <c r="D14809" s="51">
        <v>0.0</v>
      </c>
    </row>
    <row r="14810" ht="15.75" hidden="1" customHeight="1">
      <c r="A14810" s="51" t="s">
        <v>425</v>
      </c>
      <c r="B14810" s="52">
        <v>46476.0</v>
      </c>
      <c r="C14810" s="51" t="s">
        <v>69</v>
      </c>
      <c r="D14810" s="51">
        <v>0.0</v>
      </c>
    </row>
    <row r="14811" ht="15.75" hidden="1" customHeight="1">
      <c r="A14811" s="51" t="s">
        <v>430</v>
      </c>
      <c r="B14811" s="52">
        <v>46476.0</v>
      </c>
      <c r="C14811" s="51" t="s">
        <v>69</v>
      </c>
      <c r="D14811" s="51">
        <v>0.0</v>
      </c>
    </row>
    <row r="14812" ht="15.75" hidden="1" customHeight="1">
      <c r="A14812" s="51" t="s">
        <v>434</v>
      </c>
      <c r="B14812" s="52">
        <v>46476.0</v>
      </c>
      <c r="C14812" s="51" t="s">
        <v>69</v>
      </c>
      <c r="D14812" s="51">
        <v>0.0</v>
      </c>
    </row>
    <row r="14813" ht="15.75" hidden="1" customHeight="1">
      <c r="A14813" s="51" t="s">
        <v>439</v>
      </c>
      <c r="B14813" s="52">
        <v>46476.0</v>
      </c>
      <c r="C14813" s="51" t="s">
        <v>69</v>
      </c>
      <c r="D14813" s="51">
        <v>0.0</v>
      </c>
    </row>
    <row r="14814" ht="15.75" hidden="1" customHeight="1">
      <c r="A14814" s="51" t="s">
        <v>444</v>
      </c>
      <c r="B14814" s="52">
        <v>46476.0</v>
      </c>
      <c r="C14814" s="51" t="s">
        <v>69</v>
      </c>
      <c r="D14814" s="51">
        <v>0.0</v>
      </c>
    </row>
    <row r="14815" ht="15.75" hidden="1" customHeight="1">
      <c r="A14815" s="51" t="s">
        <v>449</v>
      </c>
      <c r="B14815" s="52">
        <v>46476.0</v>
      </c>
      <c r="C14815" s="51" t="s">
        <v>69</v>
      </c>
      <c r="D14815" s="51">
        <v>1000000.0</v>
      </c>
    </row>
    <row r="14816" ht="15.75" hidden="1" customHeight="1">
      <c r="A14816" s="51" t="s">
        <v>455</v>
      </c>
      <c r="B14816" s="52">
        <v>46476.0</v>
      </c>
      <c r="C14816" s="51" t="s">
        <v>69</v>
      </c>
      <c r="D14816" s="51">
        <v>1000000.0</v>
      </c>
    </row>
    <row r="14817" ht="15.75" hidden="1" customHeight="1">
      <c r="A14817" s="51" t="s">
        <v>470</v>
      </c>
      <c r="B14817" s="52">
        <v>46476.0</v>
      </c>
      <c r="C14817" s="51" t="s">
        <v>69</v>
      </c>
      <c r="D14817" s="51">
        <v>0.0</v>
      </c>
    </row>
    <row r="14818" ht="15.75" hidden="1" customHeight="1">
      <c r="A14818" s="51" t="s">
        <v>476</v>
      </c>
      <c r="B14818" s="52">
        <v>46476.0</v>
      </c>
      <c r="C14818" s="51" t="s">
        <v>69</v>
      </c>
      <c r="D14818" s="51">
        <v>0.0</v>
      </c>
    </row>
    <row r="14819" ht="15.75" hidden="1" customHeight="1">
      <c r="A14819" s="51" t="s">
        <v>481</v>
      </c>
      <c r="B14819" s="52">
        <v>46476.0</v>
      </c>
      <c r="C14819" s="51" t="s">
        <v>69</v>
      </c>
      <c r="D14819" s="51">
        <v>0.0</v>
      </c>
    </row>
    <row r="14820" ht="15.75" hidden="1" customHeight="1">
      <c r="A14820" s="51" t="s">
        <v>486</v>
      </c>
      <c r="B14820" s="52">
        <v>46476.0</v>
      </c>
      <c r="C14820" s="51" t="s">
        <v>69</v>
      </c>
      <c r="D14820" s="51">
        <v>0.0</v>
      </c>
    </row>
    <row r="14821" ht="15.75" hidden="1" customHeight="1">
      <c r="A14821" s="51" t="s">
        <v>491</v>
      </c>
      <c r="B14821" s="52">
        <v>46476.0</v>
      </c>
      <c r="C14821" s="51" t="s">
        <v>69</v>
      </c>
      <c r="D14821" s="51">
        <v>0.0</v>
      </c>
    </row>
    <row r="14822" ht="15.75" hidden="1" customHeight="1">
      <c r="A14822" s="51" t="s">
        <v>496</v>
      </c>
      <c r="B14822" s="52">
        <v>46476.0</v>
      </c>
      <c r="C14822" s="51" t="s">
        <v>69</v>
      </c>
      <c r="D14822" s="51">
        <v>0.0</v>
      </c>
    </row>
    <row r="14823" ht="15.75" hidden="1" customHeight="1">
      <c r="A14823" s="51" t="s">
        <v>501</v>
      </c>
      <c r="B14823" s="52">
        <v>46476.0</v>
      </c>
      <c r="C14823" s="51" t="s">
        <v>69</v>
      </c>
      <c r="D14823" s="51">
        <v>0.0</v>
      </c>
    </row>
    <row r="14824" ht="15.75" hidden="1" customHeight="1">
      <c r="A14824" s="51" t="s">
        <v>506</v>
      </c>
      <c r="B14824" s="52">
        <v>46476.0</v>
      </c>
      <c r="C14824" s="51" t="s">
        <v>69</v>
      </c>
      <c r="D14824" s="51">
        <v>0.0</v>
      </c>
    </row>
    <row r="14825" ht="15.75" hidden="1" customHeight="1">
      <c r="A14825" s="51" t="s">
        <v>512</v>
      </c>
      <c r="B14825" s="52">
        <v>46476.0</v>
      </c>
      <c r="C14825" s="51" t="s">
        <v>69</v>
      </c>
      <c r="D14825" s="51">
        <v>0.0</v>
      </c>
    </row>
    <row r="14826" ht="15.75" hidden="1" customHeight="1">
      <c r="A14826" s="51" t="s">
        <v>517</v>
      </c>
      <c r="B14826" s="52">
        <v>46476.0</v>
      </c>
      <c r="C14826" s="51" t="s">
        <v>69</v>
      </c>
      <c r="D14826" s="51">
        <v>0.0</v>
      </c>
    </row>
    <row r="14827" ht="15.75" hidden="1" customHeight="1">
      <c r="A14827" s="51" t="s">
        <v>522</v>
      </c>
      <c r="B14827" s="52">
        <v>46476.0</v>
      </c>
      <c r="C14827" s="51" t="s">
        <v>69</v>
      </c>
      <c r="D14827" s="51">
        <v>0.0</v>
      </c>
    </row>
    <row r="14828" ht="15.75" hidden="1" customHeight="1">
      <c r="A14828" s="51" t="s">
        <v>528</v>
      </c>
      <c r="B14828" s="52">
        <v>46476.0</v>
      </c>
      <c r="C14828" s="51" t="s">
        <v>69</v>
      </c>
      <c r="D14828" s="51">
        <v>0.0</v>
      </c>
    </row>
    <row r="14829" ht="15.75" hidden="1" customHeight="1">
      <c r="A14829" s="51" t="s">
        <v>533</v>
      </c>
      <c r="B14829" s="52">
        <v>46476.0</v>
      </c>
      <c r="C14829" s="51" t="s">
        <v>69</v>
      </c>
      <c r="D14829" s="51">
        <v>0.0</v>
      </c>
    </row>
    <row r="14830" ht="15.75" hidden="1" customHeight="1">
      <c r="A14830" s="51" t="s">
        <v>538</v>
      </c>
      <c r="B14830" s="52">
        <v>46476.0</v>
      </c>
      <c r="C14830" s="51" t="s">
        <v>69</v>
      </c>
      <c r="D14830" s="51">
        <v>87844.0</v>
      </c>
    </row>
    <row r="14831" ht="15.75" hidden="1" customHeight="1">
      <c r="A14831" s="51" t="s">
        <v>546</v>
      </c>
      <c r="B14831" s="52">
        <v>46476.0</v>
      </c>
      <c r="C14831" s="51" t="s">
        <v>69</v>
      </c>
      <c r="D14831" s="51">
        <v>0.0</v>
      </c>
    </row>
    <row r="14832" ht="15.75" hidden="1" customHeight="1">
      <c r="A14832" s="51" t="s">
        <v>551</v>
      </c>
      <c r="B14832" s="52">
        <v>46476.0</v>
      </c>
      <c r="C14832" s="51" t="s">
        <v>69</v>
      </c>
      <c r="D14832" s="51">
        <v>0.0</v>
      </c>
    </row>
    <row r="14833" ht="15.75" hidden="1" customHeight="1">
      <c r="A14833" s="51" t="s">
        <v>556</v>
      </c>
      <c r="B14833" s="52">
        <v>46476.0</v>
      </c>
      <c r="C14833" s="51" t="s">
        <v>69</v>
      </c>
      <c r="D14833" s="51">
        <v>0.0</v>
      </c>
    </row>
    <row r="14834" ht="15.75" hidden="1" customHeight="1">
      <c r="A14834" s="51" t="s">
        <v>561</v>
      </c>
      <c r="B14834" s="52">
        <v>46476.0</v>
      </c>
      <c r="C14834" s="51" t="s">
        <v>69</v>
      </c>
      <c r="D14834" s="51">
        <v>0.0</v>
      </c>
    </row>
    <row r="14835" ht="15.75" hidden="1" customHeight="1">
      <c r="A14835" s="51" t="s">
        <v>566</v>
      </c>
      <c r="B14835" s="52">
        <v>46476.0</v>
      </c>
      <c r="C14835" s="51" t="s">
        <v>69</v>
      </c>
      <c r="D14835" s="51">
        <v>50000.0</v>
      </c>
    </row>
    <row r="14836" ht="15.75" hidden="1" customHeight="1">
      <c r="A14836" s="51" t="s">
        <v>571</v>
      </c>
      <c r="B14836" s="52">
        <v>46476.0</v>
      </c>
      <c r="C14836" s="51" t="s">
        <v>69</v>
      </c>
      <c r="D14836" s="51">
        <v>0.0</v>
      </c>
    </row>
    <row r="14837" ht="15.75" hidden="1" customHeight="1">
      <c r="A14837" s="51" t="s">
        <v>576</v>
      </c>
      <c r="B14837" s="52">
        <v>46476.0</v>
      </c>
      <c r="C14837" s="51" t="s">
        <v>69</v>
      </c>
      <c r="D14837" s="51">
        <v>0.0</v>
      </c>
    </row>
    <row r="14838" ht="15.75" hidden="1" customHeight="1">
      <c r="A14838" s="51" t="s">
        <v>581</v>
      </c>
      <c r="B14838" s="52">
        <v>46476.0</v>
      </c>
      <c r="C14838" s="51" t="s">
        <v>69</v>
      </c>
      <c r="D14838" s="51">
        <v>0.0</v>
      </c>
    </row>
    <row r="14839" ht="15.75" hidden="1" customHeight="1">
      <c r="A14839" s="51" t="s">
        <v>586</v>
      </c>
      <c r="B14839" s="52">
        <v>46476.0</v>
      </c>
      <c r="C14839" s="51" t="s">
        <v>69</v>
      </c>
      <c r="D14839" s="51">
        <v>800000.0</v>
      </c>
    </row>
    <row r="14840" ht="15.75" hidden="1" customHeight="1">
      <c r="A14840" s="51" t="s">
        <v>754</v>
      </c>
      <c r="B14840" s="52">
        <v>46476.0</v>
      </c>
      <c r="C14840" s="51" t="s">
        <v>69</v>
      </c>
      <c r="D14840" s="51">
        <v>0.0</v>
      </c>
    </row>
    <row r="14841" ht="15.75" hidden="1" customHeight="1">
      <c r="A14841" s="51" t="s">
        <v>591</v>
      </c>
      <c r="B14841" s="52">
        <v>46476.0</v>
      </c>
      <c r="C14841" s="51" t="s">
        <v>69</v>
      </c>
      <c r="D14841" s="51">
        <v>0.0</v>
      </c>
    </row>
    <row r="14842" ht="15.75" hidden="1" customHeight="1">
      <c r="A14842" s="51" t="s">
        <v>759</v>
      </c>
      <c r="B14842" s="52">
        <v>46476.0</v>
      </c>
      <c r="C14842" s="51" t="s">
        <v>69</v>
      </c>
      <c r="D14842" s="51">
        <v>1700571.21</v>
      </c>
    </row>
    <row r="14843" ht="15.75" hidden="1" customHeight="1">
      <c r="A14843" s="51" t="s">
        <v>596</v>
      </c>
      <c r="B14843" s="52">
        <v>46476.0</v>
      </c>
      <c r="C14843" s="51" t="s">
        <v>69</v>
      </c>
      <c r="D14843" s="51">
        <v>0.0</v>
      </c>
    </row>
    <row r="14844" ht="15.75" hidden="1" customHeight="1">
      <c r="A14844" s="51" t="s">
        <v>602</v>
      </c>
      <c r="B14844" s="52">
        <v>46476.0</v>
      </c>
      <c r="C14844" s="51" t="s">
        <v>69</v>
      </c>
      <c r="D14844" s="51">
        <v>0.0</v>
      </c>
    </row>
    <row r="14845" ht="15.75" hidden="1" customHeight="1">
      <c r="A14845" s="51" t="s">
        <v>607</v>
      </c>
      <c r="B14845" s="52">
        <v>46476.0</v>
      </c>
      <c r="C14845" s="51" t="s">
        <v>69</v>
      </c>
      <c r="D14845" s="51">
        <v>0.0</v>
      </c>
    </row>
    <row r="14846" ht="15.75" hidden="1" customHeight="1">
      <c r="A14846" s="51" t="s">
        <v>612</v>
      </c>
      <c r="B14846" s="52">
        <v>46476.0</v>
      </c>
      <c r="C14846" s="51" t="s">
        <v>69</v>
      </c>
      <c r="D14846" s="51">
        <v>0.0</v>
      </c>
    </row>
    <row r="14847" ht="15.75" hidden="1" customHeight="1">
      <c r="A14847" s="51" t="s">
        <v>617</v>
      </c>
      <c r="B14847" s="52">
        <v>46476.0</v>
      </c>
      <c r="C14847" s="51" t="s">
        <v>69</v>
      </c>
      <c r="D14847" s="51">
        <v>0.0</v>
      </c>
    </row>
    <row r="14848" ht="15.75" hidden="1" customHeight="1">
      <c r="A14848" s="51" t="s">
        <v>622</v>
      </c>
      <c r="B14848" s="52">
        <v>46476.0</v>
      </c>
      <c r="C14848" s="51" t="s">
        <v>69</v>
      </c>
      <c r="D14848" s="51">
        <v>0.0</v>
      </c>
    </row>
    <row r="14849" ht="15.75" hidden="1" customHeight="1">
      <c r="A14849" s="51" t="s">
        <v>627</v>
      </c>
      <c r="B14849" s="52">
        <v>46476.0</v>
      </c>
      <c r="C14849" s="51" t="s">
        <v>69</v>
      </c>
      <c r="D14849" s="51">
        <v>0.0</v>
      </c>
    </row>
    <row r="14850" ht="15.75" hidden="1" customHeight="1">
      <c r="A14850" s="51" t="s">
        <v>631</v>
      </c>
      <c r="B14850" s="52">
        <v>46476.0</v>
      </c>
      <c r="C14850" s="51" t="s">
        <v>69</v>
      </c>
      <c r="D14850" s="51">
        <v>250000.0</v>
      </c>
    </row>
    <row r="14851" ht="15.75" hidden="1" customHeight="1">
      <c r="A14851" s="51" t="s">
        <v>636</v>
      </c>
      <c r="B14851" s="52">
        <v>46476.0</v>
      </c>
      <c r="C14851" s="51" t="s">
        <v>69</v>
      </c>
      <c r="D14851" s="51">
        <v>100000.0</v>
      </c>
    </row>
    <row r="14852" ht="15.75" hidden="1" customHeight="1">
      <c r="A14852" s="51" t="s">
        <v>640</v>
      </c>
      <c r="B14852" s="52">
        <v>46476.0</v>
      </c>
      <c r="C14852" s="51" t="s">
        <v>69</v>
      </c>
      <c r="D14852" s="51">
        <v>555000.0</v>
      </c>
    </row>
    <row r="14853" ht="15.75" hidden="1" customHeight="1">
      <c r="A14853" s="51" t="s">
        <v>644</v>
      </c>
      <c r="B14853" s="52">
        <v>46476.0</v>
      </c>
      <c r="C14853" s="51" t="s">
        <v>69</v>
      </c>
      <c r="D14853" s="51">
        <v>0.0</v>
      </c>
    </row>
    <row r="14854" ht="15.75" hidden="1" customHeight="1">
      <c r="A14854" s="51" t="s">
        <v>649</v>
      </c>
      <c r="B14854" s="52">
        <v>46476.0</v>
      </c>
      <c r="C14854" s="51" t="s">
        <v>69</v>
      </c>
      <c r="D14854" s="51">
        <v>0.0</v>
      </c>
    </row>
    <row r="14855" ht="15.75" hidden="1" customHeight="1">
      <c r="A14855" s="51" t="s">
        <v>654</v>
      </c>
      <c r="B14855" s="52">
        <v>46476.0</v>
      </c>
      <c r="C14855" s="51" t="s">
        <v>69</v>
      </c>
      <c r="D14855" s="51">
        <v>0.0</v>
      </c>
    </row>
    <row r="14856" ht="15.75" hidden="1" customHeight="1">
      <c r="A14856" s="51" t="s">
        <v>659</v>
      </c>
      <c r="B14856" s="52">
        <v>46476.0</v>
      </c>
      <c r="C14856" s="51" t="s">
        <v>69</v>
      </c>
      <c r="D14856" s="51">
        <v>250000.0</v>
      </c>
    </row>
    <row r="14857" ht="15.75" hidden="1" customHeight="1">
      <c r="A14857" s="51" t="s">
        <v>664</v>
      </c>
      <c r="B14857" s="52">
        <v>46476.0</v>
      </c>
      <c r="C14857" s="51" t="s">
        <v>69</v>
      </c>
      <c r="D14857" s="51">
        <v>500000.0</v>
      </c>
    </row>
    <row r="14858" ht="15.75" hidden="1" customHeight="1">
      <c r="A14858" s="51" t="s">
        <v>669</v>
      </c>
      <c r="B14858" s="52">
        <v>46476.0</v>
      </c>
      <c r="C14858" s="51" t="s">
        <v>69</v>
      </c>
      <c r="D14858" s="51">
        <v>0.0</v>
      </c>
    </row>
    <row r="14859" ht="15.75" hidden="1" customHeight="1">
      <c r="A14859" s="51" t="s">
        <v>674</v>
      </c>
      <c r="B14859" s="52">
        <v>46476.0</v>
      </c>
      <c r="C14859" s="51" t="s">
        <v>69</v>
      </c>
      <c r="D14859" s="51">
        <v>150000.0</v>
      </c>
    </row>
    <row r="14860" ht="15.75" hidden="1" customHeight="1">
      <c r="A14860" s="51" t="s">
        <v>679</v>
      </c>
      <c r="B14860" s="52">
        <v>46476.0</v>
      </c>
      <c r="C14860" s="51" t="s">
        <v>69</v>
      </c>
      <c r="D14860" s="51">
        <v>250000.0</v>
      </c>
    </row>
    <row r="14861" ht="15.75" hidden="1" customHeight="1">
      <c r="A14861" s="51" t="s">
        <v>684</v>
      </c>
      <c r="B14861" s="52">
        <v>46476.0</v>
      </c>
      <c r="C14861" s="51" t="s">
        <v>69</v>
      </c>
      <c r="D14861" s="51">
        <v>0.0</v>
      </c>
    </row>
    <row r="14862" ht="15.75" hidden="1" customHeight="1">
      <c r="A14862" s="51" t="s">
        <v>689</v>
      </c>
      <c r="B14862" s="52">
        <v>46476.0</v>
      </c>
      <c r="C14862" s="51" t="s">
        <v>69</v>
      </c>
      <c r="D14862" s="51">
        <v>0.0</v>
      </c>
    </row>
    <row r="14863" ht="15.75" hidden="1" customHeight="1">
      <c r="A14863" s="51" t="s">
        <v>694</v>
      </c>
      <c r="B14863" s="52">
        <v>46476.0</v>
      </c>
      <c r="C14863" s="51" t="s">
        <v>69</v>
      </c>
      <c r="D14863" s="51">
        <v>250000.0</v>
      </c>
    </row>
    <row r="14864" ht="15.75" hidden="1" customHeight="1">
      <c r="A14864" s="51" t="s">
        <v>699</v>
      </c>
      <c r="B14864" s="52">
        <v>46476.0</v>
      </c>
      <c r="C14864" s="51" t="s">
        <v>69</v>
      </c>
      <c r="D14864" s="51">
        <v>600000.0</v>
      </c>
    </row>
    <row r="14865" ht="15.75" hidden="1" customHeight="1">
      <c r="A14865" s="51" t="s">
        <v>705</v>
      </c>
      <c r="B14865" s="52">
        <v>46476.0</v>
      </c>
      <c r="C14865" s="51" t="s">
        <v>69</v>
      </c>
      <c r="D14865" s="51">
        <v>880616.24</v>
      </c>
    </row>
    <row r="14866" ht="15.75" hidden="1" customHeight="1">
      <c r="A14866" s="51" t="s">
        <v>710</v>
      </c>
      <c r="B14866" s="52">
        <v>46476.0</v>
      </c>
      <c r="C14866" s="51" t="s">
        <v>69</v>
      </c>
      <c r="D14866" s="51">
        <v>0.0</v>
      </c>
    </row>
    <row r="14867" ht="15.75" hidden="1" customHeight="1">
      <c r="A14867" s="51" t="s">
        <v>715</v>
      </c>
      <c r="B14867" s="52">
        <v>46476.0</v>
      </c>
      <c r="C14867" s="51" t="s">
        <v>69</v>
      </c>
      <c r="D14867" s="51">
        <v>300000.0</v>
      </c>
    </row>
    <row r="14868" ht="15.75" hidden="1" customHeight="1">
      <c r="A14868" s="51" t="s">
        <v>765</v>
      </c>
      <c r="B14868" s="52">
        <v>46476.0</v>
      </c>
      <c r="C14868" s="51" t="s">
        <v>69</v>
      </c>
      <c r="D14868" s="51">
        <v>0.0</v>
      </c>
    </row>
    <row r="14869" ht="15.75" hidden="1" customHeight="1">
      <c r="A14869" s="51" t="s">
        <v>720</v>
      </c>
      <c r="B14869" s="52">
        <v>46476.0</v>
      </c>
      <c r="C14869" s="51" t="s">
        <v>69</v>
      </c>
      <c r="D14869" s="51">
        <v>0.0</v>
      </c>
    </row>
    <row r="14870" ht="15.75" hidden="1" customHeight="1">
      <c r="A14870" s="51" t="s">
        <v>725</v>
      </c>
      <c r="B14870" s="52">
        <v>46476.0</v>
      </c>
      <c r="C14870" s="51" t="s">
        <v>69</v>
      </c>
      <c r="D14870" s="51">
        <v>0.0</v>
      </c>
    </row>
    <row r="14871" ht="15.75" hidden="1" customHeight="1">
      <c r="A14871" s="51" t="s">
        <v>730</v>
      </c>
      <c r="B14871" s="52">
        <v>46476.0</v>
      </c>
      <c r="C14871" s="51" t="s">
        <v>69</v>
      </c>
      <c r="D14871" s="51">
        <v>0.0</v>
      </c>
    </row>
    <row r="14872" ht="15.75" hidden="1" customHeight="1">
      <c r="A14872" s="51" t="s">
        <v>734</v>
      </c>
      <c r="B14872" s="52">
        <v>46476.0</v>
      </c>
      <c r="C14872" s="51" t="s">
        <v>69</v>
      </c>
      <c r="D14872" s="51">
        <v>0.0</v>
      </c>
    </row>
    <row r="14873" ht="15.75" hidden="1" customHeight="1">
      <c r="A14873" s="51" t="s">
        <v>739</v>
      </c>
      <c r="B14873" s="52">
        <v>46476.0</v>
      </c>
      <c r="C14873" s="51" t="s">
        <v>69</v>
      </c>
      <c r="D14873" s="51">
        <v>0.0</v>
      </c>
    </row>
    <row r="14874" ht="15.75" hidden="1" customHeight="1">
      <c r="A14874" s="51" t="s">
        <v>744</v>
      </c>
      <c r="B14874" s="52">
        <v>46476.0</v>
      </c>
      <c r="C14874" s="51" t="s">
        <v>69</v>
      </c>
      <c r="D14874" s="51">
        <v>0.0</v>
      </c>
    </row>
    <row r="14875" ht="15.75" hidden="1" customHeight="1">
      <c r="A14875" s="51" t="s">
        <v>749</v>
      </c>
      <c r="B14875" s="52">
        <v>46476.0</v>
      </c>
      <c r="C14875" s="51" t="s">
        <v>69</v>
      </c>
      <c r="D14875" s="51">
        <v>0.0</v>
      </c>
    </row>
    <row r="14876" ht="15.75" customHeight="1">
      <c r="A14876" s="51" t="s">
        <v>776</v>
      </c>
      <c r="B14876" s="52">
        <v>46476.0</v>
      </c>
      <c r="C14876" s="51" t="s">
        <v>780</v>
      </c>
      <c r="D14876" s="51">
        <v>0.0</v>
      </c>
    </row>
    <row r="14877" ht="15.75" hidden="1" customHeight="1">
      <c r="A14877" s="51" t="s">
        <v>778</v>
      </c>
      <c r="B14877" s="52">
        <v>46476.0</v>
      </c>
      <c r="C14877" s="51" t="s">
        <v>780</v>
      </c>
      <c r="D14877" s="51">
        <v>0.0</v>
      </c>
    </row>
    <row r="14878" ht="15.75" hidden="1" customHeight="1">
      <c r="A14878" s="51" t="s">
        <v>92</v>
      </c>
      <c r="B14878" s="52">
        <v>46476.0</v>
      </c>
      <c r="C14878" s="51" t="s">
        <v>780</v>
      </c>
      <c r="D14878" s="51">
        <v>0.0</v>
      </c>
    </row>
    <row r="14879" ht="15.75" hidden="1" customHeight="1">
      <c r="A14879" s="51" t="s">
        <v>97</v>
      </c>
      <c r="B14879" s="52">
        <v>46476.0</v>
      </c>
      <c r="C14879" s="51" t="s">
        <v>780</v>
      </c>
      <c r="D14879" s="51">
        <v>0.0</v>
      </c>
    </row>
    <row r="14880" ht="15.75" hidden="1" customHeight="1">
      <c r="A14880" s="51" t="s">
        <v>102</v>
      </c>
      <c r="B14880" s="52">
        <v>46476.0</v>
      </c>
      <c r="C14880" s="51" t="s">
        <v>780</v>
      </c>
      <c r="D14880" s="51">
        <v>0.0</v>
      </c>
    </row>
    <row r="14881" ht="15.75" hidden="1" customHeight="1">
      <c r="A14881" s="51" t="s">
        <v>106</v>
      </c>
      <c r="B14881" s="52">
        <v>46476.0</v>
      </c>
      <c r="C14881" s="51" t="s">
        <v>780</v>
      </c>
      <c r="D14881" s="51">
        <v>0.0</v>
      </c>
    </row>
    <row r="14882" ht="15.75" hidden="1" customHeight="1">
      <c r="A14882" s="51" t="s">
        <v>111</v>
      </c>
      <c r="B14882" s="52">
        <v>46476.0</v>
      </c>
      <c r="C14882" s="51" t="s">
        <v>780</v>
      </c>
      <c r="D14882" s="51">
        <v>0.0</v>
      </c>
    </row>
    <row r="14883" ht="15.75" hidden="1" customHeight="1">
      <c r="A14883" s="51" t="s">
        <v>116</v>
      </c>
      <c r="B14883" s="52">
        <v>46476.0</v>
      </c>
      <c r="C14883" s="51" t="s">
        <v>780</v>
      </c>
      <c r="D14883" s="51">
        <v>0.0</v>
      </c>
    </row>
    <row r="14884" ht="15.75" hidden="1" customHeight="1">
      <c r="A14884" s="51" t="s">
        <v>120</v>
      </c>
      <c r="B14884" s="52">
        <v>46476.0</v>
      </c>
      <c r="C14884" s="51" t="s">
        <v>780</v>
      </c>
      <c r="D14884" s="51">
        <v>0.0</v>
      </c>
    </row>
    <row r="14885" ht="15.75" hidden="1" customHeight="1">
      <c r="A14885" s="51" t="s">
        <v>125</v>
      </c>
      <c r="B14885" s="52">
        <v>46476.0</v>
      </c>
      <c r="C14885" s="51" t="s">
        <v>780</v>
      </c>
      <c r="D14885" s="51">
        <v>0.0</v>
      </c>
    </row>
    <row r="14886" ht="15.75" hidden="1" customHeight="1">
      <c r="A14886" s="51" t="s">
        <v>130</v>
      </c>
      <c r="B14886" s="52">
        <v>46476.0</v>
      </c>
      <c r="C14886" s="51" t="s">
        <v>780</v>
      </c>
      <c r="D14886" s="51">
        <v>0.0</v>
      </c>
    </row>
    <row r="14887" ht="15.75" hidden="1" customHeight="1">
      <c r="A14887" s="51" t="s">
        <v>137</v>
      </c>
      <c r="B14887" s="52">
        <v>46476.0</v>
      </c>
      <c r="C14887" s="51" t="s">
        <v>780</v>
      </c>
      <c r="D14887" s="51">
        <v>0.0</v>
      </c>
    </row>
    <row r="14888" ht="15.75" hidden="1" customHeight="1">
      <c r="A14888" s="51" t="s">
        <v>142</v>
      </c>
      <c r="B14888" s="52">
        <v>46476.0</v>
      </c>
      <c r="C14888" s="51" t="s">
        <v>780</v>
      </c>
      <c r="D14888" s="51">
        <v>0.0</v>
      </c>
    </row>
    <row r="14889" ht="15.75" hidden="1" customHeight="1">
      <c r="A14889" s="51" t="s">
        <v>147</v>
      </c>
      <c r="B14889" s="52">
        <v>46476.0</v>
      </c>
      <c r="C14889" s="51" t="s">
        <v>780</v>
      </c>
      <c r="D14889" s="51">
        <v>0.0</v>
      </c>
    </row>
    <row r="14890" ht="15.75" hidden="1" customHeight="1">
      <c r="A14890" s="51" t="s">
        <v>152</v>
      </c>
      <c r="B14890" s="52">
        <v>46476.0</v>
      </c>
      <c r="C14890" s="51" t="s">
        <v>780</v>
      </c>
      <c r="D14890" s="51">
        <v>0.0</v>
      </c>
    </row>
    <row r="14891" ht="15.75" hidden="1" customHeight="1">
      <c r="A14891" s="51" t="s">
        <v>157</v>
      </c>
      <c r="B14891" s="52">
        <v>46476.0</v>
      </c>
      <c r="C14891" s="51" t="s">
        <v>780</v>
      </c>
      <c r="D14891" s="51">
        <v>0.0</v>
      </c>
    </row>
    <row r="14892" ht="15.75" hidden="1" customHeight="1">
      <c r="A14892" s="51" t="s">
        <v>162</v>
      </c>
      <c r="B14892" s="52">
        <v>46476.0</v>
      </c>
      <c r="C14892" s="51" t="s">
        <v>780</v>
      </c>
      <c r="D14892" s="51">
        <v>0.0</v>
      </c>
    </row>
    <row r="14893" ht="15.75" hidden="1" customHeight="1">
      <c r="A14893" s="51" t="s">
        <v>167</v>
      </c>
      <c r="B14893" s="52">
        <v>46476.0</v>
      </c>
      <c r="C14893" s="51" t="s">
        <v>780</v>
      </c>
      <c r="D14893" s="51">
        <v>0.0</v>
      </c>
    </row>
    <row r="14894" ht="15.75" hidden="1" customHeight="1">
      <c r="A14894" s="51" t="s">
        <v>172</v>
      </c>
      <c r="B14894" s="52">
        <v>46476.0</v>
      </c>
      <c r="C14894" s="51" t="s">
        <v>780</v>
      </c>
      <c r="D14894" s="51">
        <v>0.0</v>
      </c>
    </row>
    <row r="14895" ht="15.75" hidden="1" customHeight="1">
      <c r="A14895" s="51" t="s">
        <v>177</v>
      </c>
      <c r="B14895" s="52">
        <v>46476.0</v>
      </c>
      <c r="C14895" s="51" t="s">
        <v>780</v>
      </c>
      <c r="D14895" s="51">
        <v>0.0</v>
      </c>
    </row>
    <row r="14896" ht="15.75" hidden="1" customHeight="1">
      <c r="A14896" s="51" t="s">
        <v>182</v>
      </c>
      <c r="B14896" s="52">
        <v>46476.0</v>
      </c>
      <c r="C14896" s="51" t="s">
        <v>780</v>
      </c>
      <c r="D14896" s="51">
        <v>0.0</v>
      </c>
    </row>
    <row r="14897" ht="15.75" hidden="1" customHeight="1">
      <c r="A14897" s="51" t="s">
        <v>187</v>
      </c>
      <c r="B14897" s="52">
        <v>46476.0</v>
      </c>
      <c r="C14897" s="51" t="s">
        <v>780</v>
      </c>
      <c r="D14897" s="51">
        <v>0.0</v>
      </c>
    </row>
    <row r="14898" ht="15.75" hidden="1" customHeight="1">
      <c r="A14898" s="51" t="s">
        <v>192</v>
      </c>
      <c r="B14898" s="52">
        <v>46476.0</v>
      </c>
      <c r="C14898" s="51" t="s">
        <v>780</v>
      </c>
      <c r="D14898" s="51">
        <v>0.0</v>
      </c>
    </row>
    <row r="14899" ht="15.75" hidden="1" customHeight="1">
      <c r="A14899" s="51" t="s">
        <v>197</v>
      </c>
      <c r="B14899" s="52">
        <v>46476.0</v>
      </c>
      <c r="C14899" s="51" t="s">
        <v>780</v>
      </c>
      <c r="D14899" s="51">
        <v>0.0</v>
      </c>
    </row>
    <row r="14900" ht="15.75" hidden="1" customHeight="1">
      <c r="A14900" s="51" t="s">
        <v>202</v>
      </c>
      <c r="B14900" s="52">
        <v>46476.0</v>
      </c>
      <c r="C14900" s="51" t="s">
        <v>780</v>
      </c>
      <c r="D14900" s="51">
        <v>0.0</v>
      </c>
    </row>
    <row r="14901" ht="15.75" hidden="1" customHeight="1">
      <c r="A14901" s="51" t="s">
        <v>206</v>
      </c>
      <c r="B14901" s="52">
        <v>46476.0</v>
      </c>
      <c r="C14901" s="51" t="s">
        <v>780</v>
      </c>
      <c r="D14901" s="51">
        <v>0.0</v>
      </c>
    </row>
    <row r="14902" ht="15.75" hidden="1" customHeight="1">
      <c r="A14902" s="51" t="s">
        <v>211</v>
      </c>
      <c r="B14902" s="52">
        <v>46476.0</v>
      </c>
      <c r="C14902" s="51" t="s">
        <v>780</v>
      </c>
      <c r="D14902" s="51">
        <v>0.0</v>
      </c>
    </row>
    <row r="14903" ht="15.75" hidden="1" customHeight="1">
      <c r="A14903" s="51" t="s">
        <v>779</v>
      </c>
      <c r="B14903" s="52">
        <v>46476.0</v>
      </c>
      <c r="C14903" s="51" t="s">
        <v>780</v>
      </c>
      <c r="D14903" s="51">
        <v>0.0</v>
      </c>
    </row>
    <row r="14904" ht="15.75" hidden="1" customHeight="1">
      <c r="A14904" s="51" t="s">
        <v>221</v>
      </c>
      <c r="B14904" s="52">
        <v>46476.0</v>
      </c>
      <c r="C14904" s="51" t="s">
        <v>780</v>
      </c>
      <c r="D14904" s="51">
        <v>0.0</v>
      </c>
    </row>
    <row r="14905" ht="15.75" hidden="1" customHeight="1">
      <c r="A14905" s="51" t="s">
        <v>226</v>
      </c>
      <c r="B14905" s="52">
        <v>46476.0</v>
      </c>
      <c r="C14905" s="51" t="s">
        <v>780</v>
      </c>
      <c r="D14905" s="51">
        <v>0.0</v>
      </c>
    </row>
    <row r="14906" ht="15.75" hidden="1" customHeight="1">
      <c r="A14906" s="51" t="s">
        <v>231</v>
      </c>
      <c r="B14906" s="52">
        <v>46476.0</v>
      </c>
      <c r="C14906" s="51" t="s">
        <v>780</v>
      </c>
      <c r="D14906" s="51">
        <v>0.0</v>
      </c>
    </row>
    <row r="14907" ht="15.75" hidden="1" customHeight="1">
      <c r="A14907" s="51" t="s">
        <v>236</v>
      </c>
      <c r="B14907" s="52">
        <v>46476.0</v>
      </c>
      <c r="C14907" s="51" t="s">
        <v>780</v>
      </c>
      <c r="D14907" s="51">
        <v>0.0</v>
      </c>
    </row>
    <row r="14908" ht="15.75" hidden="1" customHeight="1">
      <c r="A14908" s="51" t="s">
        <v>242</v>
      </c>
      <c r="B14908" s="52">
        <v>46476.0</v>
      </c>
      <c r="C14908" s="51" t="s">
        <v>780</v>
      </c>
      <c r="D14908" s="51">
        <v>0.0</v>
      </c>
    </row>
    <row r="14909" ht="15.75" hidden="1" customHeight="1">
      <c r="A14909" s="51" t="s">
        <v>248</v>
      </c>
      <c r="B14909" s="52">
        <v>46476.0</v>
      </c>
      <c r="C14909" s="51" t="s">
        <v>780</v>
      </c>
      <c r="D14909" s="51">
        <v>0.0</v>
      </c>
    </row>
    <row r="14910" ht="15.75" hidden="1" customHeight="1">
      <c r="A14910" s="51" t="s">
        <v>253</v>
      </c>
      <c r="B14910" s="52">
        <v>46476.0</v>
      </c>
      <c r="C14910" s="51" t="s">
        <v>780</v>
      </c>
      <c r="D14910" s="51">
        <v>0.0</v>
      </c>
    </row>
    <row r="14911" ht="15.75" hidden="1" customHeight="1">
      <c r="A14911" s="51" t="s">
        <v>258</v>
      </c>
      <c r="B14911" s="52">
        <v>46476.0</v>
      </c>
      <c r="C14911" s="51" t="s">
        <v>780</v>
      </c>
      <c r="D14911" s="51">
        <v>0.0</v>
      </c>
    </row>
    <row r="14912" ht="15.75" hidden="1" customHeight="1">
      <c r="A14912" s="51" t="s">
        <v>263</v>
      </c>
      <c r="B14912" s="52">
        <v>46476.0</v>
      </c>
      <c r="C14912" s="51" t="s">
        <v>780</v>
      </c>
      <c r="D14912" s="51">
        <v>0.0</v>
      </c>
    </row>
    <row r="14913" ht="15.75" hidden="1" customHeight="1">
      <c r="A14913" s="51" t="s">
        <v>268</v>
      </c>
      <c r="B14913" s="52">
        <v>46476.0</v>
      </c>
      <c r="C14913" s="51" t="s">
        <v>780</v>
      </c>
      <c r="D14913" s="51">
        <v>0.0</v>
      </c>
    </row>
    <row r="14914" ht="15.75" hidden="1" customHeight="1">
      <c r="A14914" s="51" t="s">
        <v>273</v>
      </c>
      <c r="B14914" s="52">
        <v>46476.0</v>
      </c>
      <c r="C14914" s="51" t="s">
        <v>780</v>
      </c>
      <c r="D14914" s="51">
        <v>0.0</v>
      </c>
    </row>
    <row r="14915" ht="15.75" hidden="1" customHeight="1">
      <c r="A14915" s="51" t="s">
        <v>278</v>
      </c>
      <c r="B14915" s="52">
        <v>46476.0</v>
      </c>
      <c r="C14915" s="51" t="s">
        <v>780</v>
      </c>
      <c r="D14915" s="51">
        <v>0.0</v>
      </c>
    </row>
    <row r="14916" ht="15.75" hidden="1" customHeight="1">
      <c r="A14916" s="51" t="s">
        <v>283</v>
      </c>
      <c r="B14916" s="52">
        <v>46476.0</v>
      </c>
      <c r="C14916" s="51" t="s">
        <v>780</v>
      </c>
      <c r="D14916" s="51">
        <v>0.0</v>
      </c>
    </row>
    <row r="14917" ht="15.75" hidden="1" customHeight="1">
      <c r="A14917" s="51" t="s">
        <v>288</v>
      </c>
      <c r="B14917" s="52">
        <v>46476.0</v>
      </c>
      <c r="C14917" s="51" t="s">
        <v>780</v>
      </c>
      <c r="D14917" s="51">
        <v>0.0</v>
      </c>
    </row>
    <row r="14918" ht="15.75" hidden="1" customHeight="1">
      <c r="A14918" s="51" t="s">
        <v>293</v>
      </c>
      <c r="B14918" s="52">
        <v>46476.0</v>
      </c>
      <c r="C14918" s="51" t="s">
        <v>780</v>
      </c>
      <c r="D14918" s="51">
        <v>0.0</v>
      </c>
    </row>
    <row r="14919" ht="15.75" hidden="1" customHeight="1">
      <c r="A14919" s="51" t="s">
        <v>298</v>
      </c>
      <c r="B14919" s="52">
        <v>46476.0</v>
      </c>
      <c r="C14919" s="51" t="s">
        <v>780</v>
      </c>
      <c r="D14919" s="51">
        <v>0.0</v>
      </c>
    </row>
    <row r="14920" ht="15.75" hidden="1" customHeight="1">
      <c r="A14920" s="51" t="s">
        <v>303</v>
      </c>
      <c r="B14920" s="52">
        <v>46476.0</v>
      </c>
      <c r="C14920" s="51" t="s">
        <v>780</v>
      </c>
      <c r="D14920" s="51">
        <v>0.0</v>
      </c>
    </row>
    <row r="14921" ht="15.75" hidden="1" customHeight="1">
      <c r="A14921" s="51" t="s">
        <v>307</v>
      </c>
      <c r="B14921" s="52">
        <v>46476.0</v>
      </c>
      <c r="C14921" s="51" t="s">
        <v>780</v>
      </c>
      <c r="D14921" s="51">
        <v>0.0</v>
      </c>
    </row>
    <row r="14922" ht="15.75" hidden="1" customHeight="1">
      <c r="A14922" s="51" t="s">
        <v>313</v>
      </c>
      <c r="B14922" s="52">
        <v>46476.0</v>
      </c>
      <c r="C14922" s="51" t="s">
        <v>780</v>
      </c>
      <c r="D14922" s="51">
        <v>0.0</v>
      </c>
    </row>
    <row r="14923" ht="15.75" hidden="1" customHeight="1">
      <c r="A14923" s="51" t="s">
        <v>318</v>
      </c>
      <c r="B14923" s="52">
        <v>46476.0</v>
      </c>
      <c r="C14923" s="51" t="s">
        <v>780</v>
      </c>
      <c r="D14923" s="51">
        <v>0.0</v>
      </c>
    </row>
    <row r="14924" ht="15.75" hidden="1" customHeight="1">
      <c r="A14924" s="51" t="s">
        <v>323</v>
      </c>
      <c r="B14924" s="52">
        <v>46476.0</v>
      </c>
      <c r="C14924" s="51" t="s">
        <v>780</v>
      </c>
      <c r="D14924" s="51">
        <v>0.0</v>
      </c>
    </row>
    <row r="14925" ht="15.75" hidden="1" customHeight="1">
      <c r="A14925" s="51" t="s">
        <v>328</v>
      </c>
      <c r="B14925" s="52">
        <v>46476.0</v>
      </c>
      <c r="C14925" s="51" t="s">
        <v>780</v>
      </c>
      <c r="D14925" s="51">
        <v>0.0</v>
      </c>
    </row>
    <row r="14926" ht="15.75" hidden="1" customHeight="1">
      <c r="A14926" s="51" t="s">
        <v>335</v>
      </c>
      <c r="B14926" s="52">
        <v>46476.0</v>
      </c>
      <c r="C14926" s="51" t="s">
        <v>780</v>
      </c>
      <c r="D14926" s="51">
        <v>0.0</v>
      </c>
    </row>
    <row r="14927" ht="15.75" hidden="1" customHeight="1">
      <c r="A14927" s="51" t="s">
        <v>340</v>
      </c>
      <c r="B14927" s="52">
        <v>46476.0</v>
      </c>
      <c r="C14927" s="51" t="s">
        <v>780</v>
      </c>
      <c r="D14927" s="51">
        <v>0.0</v>
      </c>
    </row>
    <row r="14928" ht="15.75" hidden="1" customHeight="1">
      <c r="A14928" s="51" t="s">
        <v>345</v>
      </c>
      <c r="B14928" s="52">
        <v>46476.0</v>
      </c>
      <c r="C14928" s="51" t="s">
        <v>780</v>
      </c>
      <c r="D14928" s="51">
        <v>0.0</v>
      </c>
    </row>
    <row r="14929" ht="15.75" hidden="1" customHeight="1">
      <c r="A14929" s="51" t="s">
        <v>350</v>
      </c>
      <c r="B14929" s="52">
        <v>46476.0</v>
      </c>
      <c r="C14929" s="51" t="s">
        <v>780</v>
      </c>
      <c r="D14929" s="51">
        <v>0.0</v>
      </c>
    </row>
    <row r="14930" ht="15.75" hidden="1" customHeight="1">
      <c r="A14930" s="51" t="s">
        <v>355</v>
      </c>
      <c r="B14930" s="52">
        <v>46476.0</v>
      </c>
      <c r="C14930" s="51" t="s">
        <v>780</v>
      </c>
      <c r="D14930" s="51">
        <v>0.0</v>
      </c>
    </row>
    <row r="14931" ht="15.75" hidden="1" customHeight="1">
      <c r="A14931" s="51" t="s">
        <v>360</v>
      </c>
      <c r="B14931" s="52">
        <v>46476.0</v>
      </c>
      <c r="C14931" s="51" t="s">
        <v>780</v>
      </c>
      <c r="D14931" s="51">
        <v>0.0</v>
      </c>
    </row>
    <row r="14932" ht="15.75" hidden="1" customHeight="1">
      <c r="A14932" s="51" t="s">
        <v>365</v>
      </c>
      <c r="B14932" s="52">
        <v>46476.0</v>
      </c>
      <c r="C14932" s="51" t="s">
        <v>780</v>
      </c>
      <c r="D14932" s="51">
        <v>0.0</v>
      </c>
    </row>
    <row r="14933" ht="15.75" hidden="1" customHeight="1">
      <c r="A14933" s="51" t="s">
        <v>370</v>
      </c>
      <c r="B14933" s="52">
        <v>46476.0</v>
      </c>
      <c r="C14933" s="51" t="s">
        <v>780</v>
      </c>
      <c r="D14933" s="51">
        <v>0.0</v>
      </c>
    </row>
    <row r="14934" ht="15.75" hidden="1" customHeight="1">
      <c r="A14934" s="51" t="s">
        <v>375</v>
      </c>
      <c r="B14934" s="52">
        <v>46476.0</v>
      </c>
      <c r="C14934" s="51" t="s">
        <v>780</v>
      </c>
      <c r="D14934" s="51">
        <v>0.0</v>
      </c>
    </row>
    <row r="14935" ht="15.75" hidden="1" customHeight="1">
      <c r="A14935" s="51" t="s">
        <v>380</v>
      </c>
      <c r="B14935" s="52">
        <v>46476.0</v>
      </c>
      <c r="C14935" s="51" t="s">
        <v>780</v>
      </c>
      <c r="D14935" s="51">
        <v>0.0</v>
      </c>
    </row>
    <row r="14936" ht="15.75" hidden="1" customHeight="1">
      <c r="A14936" s="51" t="s">
        <v>385</v>
      </c>
      <c r="B14936" s="52">
        <v>46476.0</v>
      </c>
      <c r="C14936" s="51" t="s">
        <v>780</v>
      </c>
      <c r="D14936" s="51">
        <v>0.0</v>
      </c>
    </row>
    <row r="14937" ht="15.75" hidden="1" customHeight="1">
      <c r="A14937" s="51" t="s">
        <v>390</v>
      </c>
      <c r="B14937" s="52">
        <v>46476.0</v>
      </c>
      <c r="C14937" s="51" t="s">
        <v>780</v>
      </c>
      <c r="D14937" s="51">
        <v>0.0</v>
      </c>
    </row>
    <row r="14938" ht="15.75" hidden="1" customHeight="1">
      <c r="A14938" s="51" t="s">
        <v>395</v>
      </c>
      <c r="B14938" s="52">
        <v>46476.0</v>
      </c>
      <c r="C14938" s="51" t="s">
        <v>780</v>
      </c>
      <c r="D14938" s="51">
        <v>0.0</v>
      </c>
    </row>
    <row r="14939" ht="15.75" hidden="1" customHeight="1">
      <c r="A14939" s="51" t="s">
        <v>400</v>
      </c>
      <c r="B14939" s="52">
        <v>46476.0</v>
      </c>
      <c r="C14939" s="51" t="s">
        <v>780</v>
      </c>
      <c r="D14939" s="51">
        <v>0.0</v>
      </c>
    </row>
    <row r="14940" ht="15.75" hidden="1" customHeight="1">
      <c r="A14940" s="51" t="s">
        <v>405</v>
      </c>
      <c r="B14940" s="52">
        <v>46476.0</v>
      </c>
      <c r="C14940" s="51" t="s">
        <v>780</v>
      </c>
      <c r="D14940" s="51">
        <v>0.0</v>
      </c>
    </row>
    <row r="14941" ht="15.75" hidden="1" customHeight="1">
      <c r="A14941" s="51" t="s">
        <v>410</v>
      </c>
      <c r="B14941" s="52">
        <v>46476.0</v>
      </c>
      <c r="C14941" s="51" t="s">
        <v>780</v>
      </c>
      <c r="D14941" s="51">
        <v>0.0</v>
      </c>
    </row>
    <row r="14942" ht="15.75" hidden="1" customHeight="1">
      <c r="A14942" s="51" t="s">
        <v>415</v>
      </c>
      <c r="B14942" s="52">
        <v>46476.0</v>
      </c>
      <c r="C14942" s="51" t="s">
        <v>780</v>
      </c>
      <c r="D14942" s="51">
        <v>0.0</v>
      </c>
    </row>
    <row r="14943" ht="15.75" hidden="1" customHeight="1">
      <c r="A14943" s="51" t="s">
        <v>420</v>
      </c>
      <c r="B14943" s="52">
        <v>46476.0</v>
      </c>
      <c r="C14943" s="51" t="s">
        <v>780</v>
      </c>
      <c r="D14943" s="51">
        <v>0.0</v>
      </c>
    </row>
    <row r="14944" ht="15.75" hidden="1" customHeight="1">
      <c r="A14944" s="51" t="s">
        <v>425</v>
      </c>
      <c r="B14944" s="52">
        <v>46476.0</v>
      </c>
      <c r="C14944" s="51" t="s">
        <v>780</v>
      </c>
      <c r="D14944" s="51">
        <v>0.0</v>
      </c>
    </row>
    <row r="14945" ht="15.75" hidden="1" customHeight="1">
      <c r="A14945" s="51" t="s">
        <v>430</v>
      </c>
      <c r="B14945" s="52">
        <v>46476.0</v>
      </c>
      <c r="C14945" s="51" t="s">
        <v>780</v>
      </c>
      <c r="D14945" s="51">
        <v>0.0</v>
      </c>
    </row>
    <row r="14946" ht="15.75" hidden="1" customHeight="1">
      <c r="A14946" s="51" t="s">
        <v>434</v>
      </c>
      <c r="B14946" s="52">
        <v>46476.0</v>
      </c>
      <c r="C14946" s="51" t="s">
        <v>780</v>
      </c>
      <c r="D14946" s="51">
        <v>0.0</v>
      </c>
    </row>
    <row r="14947" ht="15.75" hidden="1" customHeight="1">
      <c r="A14947" s="51" t="s">
        <v>439</v>
      </c>
      <c r="B14947" s="52">
        <v>46476.0</v>
      </c>
      <c r="C14947" s="51" t="s">
        <v>780</v>
      </c>
      <c r="D14947" s="51">
        <v>0.0</v>
      </c>
    </row>
    <row r="14948" ht="15.75" hidden="1" customHeight="1">
      <c r="A14948" s="51" t="s">
        <v>444</v>
      </c>
      <c r="B14948" s="52">
        <v>46476.0</v>
      </c>
      <c r="C14948" s="51" t="s">
        <v>780</v>
      </c>
      <c r="D14948" s="51">
        <v>0.0</v>
      </c>
    </row>
    <row r="14949" ht="15.75" hidden="1" customHeight="1">
      <c r="A14949" s="51" t="s">
        <v>449</v>
      </c>
      <c r="B14949" s="52">
        <v>46476.0</v>
      </c>
      <c r="C14949" s="51" t="s">
        <v>780</v>
      </c>
      <c r="D14949" s="51">
        <v>-1000000.0</v>
      </c>
    </row>
    <row r="14950" ht="15.75" hidden="1" customHeight="1">
      <c r="A14950" s="51" t="s">
        <v>455</v>
      </c>
      <c r="B14950" s="52">
        <v>46476.0</v>
      </c>
      <c r="C14950" s="51" t="s">
        <v>780</v>
      </c>
      <c r="D14950" s="51">
        <v>-1000000.0</v>
      </c>
    </row>
    <row r="14951" ht="15.75" hidden="1" customHeight="1">
      <c r="A14951" s="51" t="s">
        <v>470</v>
      </c>
      <c r="B14951" s="52">
        <v>46476.0</v>
      </c>
      <c r="C14951" s="51" t="s">
        <v>780</v>
      </c>
      <c r="D14951" s="51">
        <v>0.0</v>
      </c>
    </row>
    <row r="14952" ht="15.75" hidden="1" customHeight="1">
      <c r="A14952" s="51" t="s">
        <v>476</v>
      </c>
      <c r="B14952" s="52">
        <v>46476.0</v>
      </c>
      <c r="C14952" s="51" t="s">
        <v>780</v>
      </c>
      <c r="D14952" s="51">
        <v>0.0</v>
      </c>
    </row>
    <row r="14953" ht="15.75" hidden="1" customHeight="1">
      <c r="A14953" s="51" t="s">
        <v>481</v>
      </c>
      <c r="B14953" s="52">
        <v>46476.0</v>
      </c>
      <c r="C14953" s="51" t="s">
        <v>780</v>
      </c>
      <c r="D14953" s="51">
        <v>0.0</v>
      </c>
    </row>
    <row r="14954" ht="15.75" hidden="1" customHeight="1">
      <c r="A14954" s="51" t="s">
        <v>486</v>
      </c>
      <c r="B14954" s="52">
        <v>46476.0</v>
      </c>
      <c r="C14954" s="51" t="s">
        <v>780</v>
      </c>
      <c r="D14954" s="51">
        <v>0.0</v>
      </c>
    </row>
    <row r="14955" ht="15.75" hidden="1" customHeight="1">
      <c r="A14955" s="51" t="s">
        <v>491</v>
      </c>
      <c r="B14955" s="52">
        <v>46476.0</v>
      </c>
      <c r="C14955" s="51" t="s">
        <v>780</v>
      </c>
      <c r="D14955" s="51">
        <v>0.0</v>
      </c>
    </row>
    <row r="14956" ht="15.75" hidden="1" customHeight="1">
      <c r="A14956" s="51" t="s">
        <v>496</v>
      </c>
      <c r="B14956" s="52">
        <v>46476.0</v>
      </c>
      <c r="C14956" s="51" t="s">
        <v>780</v>
      </c>
      <c r="D14956" s="51">
        <v>0.0</v>
      </c>
    </row>
    <row r="14957" ht="15.75" hidden="1" customHeight="1">
      <c r="A14957" s="51" t="s">
        <v>501</v>
      </c>
      <c r="B14957" s="52">
        <v>46476.0</v>
      </c>
      <c r="C14957" s="51" t="s">
        <v>780</v>
      </c>
      <c r="D14957" s="51">
        <v>0.0</v>
      </c>
    </row>
    <row r="14958" ht="15.75" hidden="1" customHeight="1">
      <c r="A14958" s="51" t="s">
        <v>506</v>
      </c>
      <c r="B14958" s="52">
        <v>46476.0</v>
      </c>
      <c r="C14958" s="51" t="s">
        <v>780</v>
      </c>
      <c r="D14958" s="51">
        <v>0.0</v>
      </c>
    </row>
    <row r="14959" ht="15.75" hidden="1" customHeight="1">
      <c r="A14959" s="51" t="s">
        <v>512</v>
      </c>
      <c r="B14959" s="52">
        <v>46476.0</v>
      </c>
      <c r="C14959" s="51" t="s">
        <v>780</v>
      </c>
      <c r="D14959" s="51">
        <v>0.0</v>
      </c>
    </row>
    <row r="14960" ht="15.75" hidden="1" customHeight="1">
      <c r="A14960" s="51" t="s">
        <v>517</v>
      </c>
      <c r="B14960" s="52">
        <v>46476.0</v>
      </c>
      <c r="C14960" s="51" t="s">
        <v>780</v>
      </c>
      <c r="D14960" s="51">
        <v>0.0</v>
      </c>
    </row>
    <row r="14961" ht="15.75" hidden="1" customHeight="1">
      <c r="A14961" s="51" t="s">
        <v>522</v>
      </c>
      <c r="B14961" s="52">
        <v>46476.0</v>
      </c>
      <c r="C14961" s="51" t="s">
        <v>780</v>
      </c>
      <c r="D14961" s="51">
        <v>0.0</v>
      </c>
    </row>
    <row r="14962" ht="15.75" hidden="1" customHeight="1">
      <c r="A14962" s="51" t="s">
        <v>528</v>
      </c>
      <c r="B14962" s="52">
        <v>46476.0</v>
      </c>
      <c r="C14962" s="51" t="s">
        <v>780</v>
      </c>
      <c r="D14962" s="51">
        <v>0.0</v>
      </c>
    </row>
    <row r="14963" ht="15.75" hidden="1" customHeight="1">
      <c r="A14963" s="51" t="s">
        <v>533</v>
      </c>
      <c r="B14963" s="52">
        <v>46476.0</v>
      </c>
      <c r="C14963" s="51" t="s">
        <v>780</v>
      </c>
      <c r="D14963" s="51">
        <v>0.0</v>
      </c>
    </row>
    <row r="14964" ht="15.75" hidden="1" customHeight="1">
      <c r="A14964" s="51" t="s">
        <v>538</v>
      </c>
      <c r="B14964" s="52">
        <v>46476.0</v>
      </c>
      <c r="C14964" s="51" t="s">
        <v>780</v>
      </c>
      <c r="D14964" s="51">
        <v>5279176.0</v>
      </c>
    </row>
    <row r="14965" ht="15.75" hidden="1" customHeight="1">
      <c r="A14965" s="51" t="s">
        <v>546</v>
      </c>
      <c r="B14965" s="52">
        <v>46476.0</v>
      </c>
      <c r="C14965" s="51" t="s">
        <v>780</v>
      </c>
      <c r="D14965" s="51">
        <v>0.0</v>
      </c>
    </row>
    <row r="14966" ht="15.75" hidden="1" customHeight="1">
      <c r="A14966" s="51" t="s">
        <v>551</v>
      </c>
      <c r="B14966" s="52">
        <v>46476.0</v>
      </c>
      <c r="C14966" s="51" t="s">
        <v>780</v>
      </c>
      <c r="D14966" s="51">
        <v>0.0</v>
      </c>
    </row>
    <row r="14967" ht="15.75" hidden="1" customHeight="1">
      <c r="A14967" s="51" t="s">
        <v>556</v>
      </c>
      <c r="B14967" s="52">
        <v>46476.0</v>
      </c>
      <c r="C14967" s="51" t="s">
        <v>780</v>
      </c>
      <c r="D14967" s="51">
        <v>0.0</v>
      </c>
    </row>
    <row r="14968" ht="15.75" hidden="1" customHeight="1">
      <c r="A14968" s="51" t="s">
        <v>561</v>
      </c>
      <c r="B14968" s="52">
        <v>46476.0</v>
      </c>
      <c r="C14968" s="51" t="s">
        <v>780</v>
      </c>
      <c r="D14968" s="51">
        <v>0.0</v>
      </c>
    </row>
    <row r="14969" ht="15.75" hidden="1" customHeight="1">
      <c r="A14969" s="51" t="s">
        <v>566</v>
      </c>
      <c r="B14969" s="52">
        <v>46476.0</v>
      </c>
      <c r="C14969" s="51" t="s">
        <v>780</v>
      </c>
      <c r="D14969" s="51">
        <v>-50000.0</v>
      </c>
    </row>
    <row r="14970" ht="15.75" hidden="1" customHeight="1">
      <c r="A14970" s="51" t="s">
        <v>571</v>
      </c>
      <c r="B14970" s="52">
        <v>46476.0</v>
      </c>
      <c r="C14970" s="51" t="s">
        <v>780</v>
      </c>
      <c r="D14970" s="51">
        <v>0.0</v>
      </c>
    </row>
    <row r="14971" ht="15.75" hidden="1" customHeight="1">
      <c r="A14971" s="51" t="s">
        <v>576</v>
      </c>
      <c r="B14971" s="52">
        <v>46476.0</v>
      </c>
      <c r="C14971" s="51" t="s">
        <v>780</v>
      </c>
      <c r="D14971" s="51">
        <v>0.0</v>
      </c>
    </row>
    <row r="14972" ht="15.75" hidden="1" customHeight="1">
      <c r="A14972" s="51" t="s">
        <v>581</v>
      </c>
      <c r="B14972" s="52">
        <v>46476.0</v>
      </c>
      <c r="C14972" s="51" t="s">
        <v>780</v>
      </c>
      <c r="D14972" s="51">
        <v>0.0</v>
      </c>
    </row>
    <row r="14973" ht="15.75" hidden="1" customHeight="1">
      <c r="A14973" s="51" t="s">
        <v>586</v>
      </c>
      <c r="B14973" s="52">
        <v>46476.0</v>
      </c>
      <c r="C14973" s="51" t="s">
        <v>780</v>
      </c>
      <c r="D14973" s="51">
        <v>-800000.0</v>
      </c>
    </row>
    <row r="14974" ht="15.75" hidden="1" customHeight="1">
      <c r="A14974" s="51" t="s">
        <v>754</v>
      </c>
      <c r="B14974" s="52">
        <v>46476.0</v>
      </c>
      <c r="C14974" s="51" t="s">
        <v>780</v>
      </c>
      <c r="D14974" s="51">
        <v>0.0</v>
      </c>
    </row>
    <row r="14975" ht="15.75" hidden="1" customHeight="1">
      <c r="A14975" s="51" t="s">
        <v>591</v>
      </c>
      <c r="B14975" s="52">
        <v>46476.0</v>
      </c>
      <c r="C14975" s="51" t="s">
        <v>780</v>
      </c>
      <c r="D14975" s="51">
        <v>0.0</v>
      </c>
    </row>
    <row r="14976" ht="15.75" hidden="1" customHeight="1">
      <c r="A14976" s="51" t="s">
        <v>759</v>
      </c>
      <c r="B14976" s="52">
        <v>46476.0</v>
      </c>
      <c r="C14976" s="51" t="s">
        <v>780</v>
      </c>
      <c r="D14976" s="51">
        <v>-1700571.21</v>
      </c>
    </row>
    <row r="14977" ht="15.75" hidden="1" customHeight="1">
      <c r="A14977" s="51" t="s">
        <v>596</v>
      </c>
      <c r="B14977" s="52">
        <v>46476.0</v>
      </c>
      <c r="C14977" s="51" t="s">
        <v>780</v>
      </c>
      <c r="D14977" s="51">
        <v>0.0</v>
      </c>
    </row>
    <row r="14978" ht="15.75" hidden="1" customHeight="1">
      <c r="A14978" s="51" t="s">
        <v>602</v>
      </c>
      <c r="B14978" s="52">
        <v>46476.0</v>
      </c>
      <c r="C14978" s="51" t="s">
        <v>780</v>
      </c>
      <c r="D14978" s="51">
        <v>0.0</v>
      </c>
    </row>
    <row r="14979" ht="15.75" hidden="1" customHeight="1">
      <c r="A14979" s="51" t="s">
        <v>607</v>
      </c>
      <c r="B14979" s="52">
        <v>46476.0</v>
      </c>
      <c r="C14979" s="51" t="s">
        <v>780</v>
      </c>
      <c r="D14979" s="51">
        <v>0.0</v>
      </c>
    </row>
    <row r="14980" ht="15.75" hidden="1" customHeight="1">
      <c r="A14980" s="51" t="s">
        <v>612</v>
      </c>
      <c r="B14980" s="52">
        <v>46476.0</v>
      </c>
      <c r="C14980" s="51" t="s">
        <v>780</v>
      </c>
      <c r="D14980" s="51">
        <v>0.0</v>
      </c>
    </row>
    <row r="14981" ht="15.75" hidden="1" customHeight="1">
      <c r="A14981" s="51" t="s">
        <v>617</v>
      </c>
      <c r="B14981" s="52">
        <v>46476.0</v>
      </c>
      <c r="C14981" s="51" t="s">
        <v>780</v>
      </c>
      <c r="D14981" s="51">
        <v>0.0</v>
      </c>
    </row>
    <row r="14982" ht="15.75" hidden="1" customHeight="1">
      <c r="A14982" s="51" t="s">
        <v>622</v>
      </c>
      <c r="B14982" s="52">
        <v>46476.0</v>
      </c>
      <c r="C14982" s="51" t="s">
        <v>780</v>
      </c>
      <c r="D14982" s="51">
        <v>0.0</v>
      </c>
    </row>
    <row r="14983" ht="15.75" hidden="1" customHeight="1">
      <c r="A14983" s="51" t="s">
        <v>627</v>
      </c>
      <c r="B14983" s="52">
        <v>46476.0</v>
      </c>
      <c r="C14983" s="51" t="s">
        <v>780</v>
      </c>
      <c r="D14983" s="51">
        <v>0.0</v>
      </c>
    </row>
    <row r="14984" ht="15.75" hidden="1" customHeight="1">
      <c r="A14984" s="51" t="s">
        <v>631</v>
      </c>
      <c r="B14984" s="52">
        <v>46476.0</v>
      </c>
      <c r="C14984" s="51" t="s">
        <v>780</v>
      </c>
      <c r="D14984" s="51">
        <v>-250000.0</v>
      </c>
    </row>
    <row r="14985" ht="15.75" hidden="1" customHeight="1">
      <c r="A14985" s="51" t="s">
        <v>636</v>
      </c>
      <c r="B14985" s="52">
        <v>46476.0</v>
      </c>
      <c r="C14985" s="51" t="s">
        <v>780</v>
      </c>
      <c r="D14985" s="51">
        <v>-100000.0</v>
      </c>
    </row>
    <row r="14986" ht="15.75" hidden="1" customHeight="1">
      <c r="A14986" s="51" t="s">
        <v>640</v>
      </c>
      <c r="B14986" s="52">
        <v>46476.0</v>
      </c>
      <c r="C14986" s="51" t="s">
        <v>780</v>
      </c>
      <c r="D14986" s="51">
        <v>-555000.0</v>
      </c>
    </row>
    <row r="14987" ht="15.75" hidden="1" customHeight="1">
      <c r="A14987" s="51" t="s">
        <v>644</v>
      </c>
      <c r="B14987" s="52">
        <v>46476.0</v>
      </c>
      <c r="C14987" s="51" t="s">
        <v>780</v>
      </c>
      <c r="D14987" s="51">
        <v>0.0</v>
      </c>
    </row>
    <row r="14988" ht="15.75" hidden="1" customHeight="1">
      <c r="A14988" s="51" t="s">
        <v>649</v>
      </c>
      <c r="B14988" s="52">
        <v>46476.0</v>
      </c>
      <c r="C14988" s="51" t="s">
        <v>780</v>
      </c>
      <c r="D14988" s="51">
        <v>0.0</v>
      </c>
    </row>
    <row r="14989" ht="15.75" hidden="1" customHeight="1">
      <c r="A14989" s="51" t="s">
        <v>654</v>
      </c>
      <c r="B14989" s="52">
        <v>46476.0</v>
      </c>
      <c r="C14989" s="51" t="s">
        <v>780</v>
      </c>
      <c r="D14989" s="51">
        <v>0.0</v>
      </c>
    </row>
    <row r="14990" ht="15.75" hidden="1" customHeight="1">
      <c r="A14990" s="51" t="s">
        <v>659</v>
      </c>
      <c r="B14990" s="52">
        <v>46476.0</v>
      </c>
      <c r="C14990" s="51" t="s">
        <v>780</v>
      </c>
      <c r="D14990" s="51">
        <v>-250000.0</v>
      </c>
    </row>
    <row r="14991" ht="15.75" hidden="1" customHeight="1">
      <c r="A14991" s="51" t="s">
        <v>664</v>
      </c>
      <c r="B14991" s="52">
        <v>46476.0</v>
      </c>
      <c r="C14991" s="51" t="s">
        <v>780</v>
      </c>
      <c r="D14991" s="51">
        <v>-500000.0</v>
      </c>
    </row>
    <row r="14992" ht="15.75" hidden="1" customHeight="1">
      <c r="A14992" s="51" t="s">
        <v>669</v>
      </c>
      <c r="B14992" s="52">
        <v>46476.0</v>
      </c>
      <c r="C14992" s="51" t="s">
        <v>780</v>
      </c>
      <c r="D14992" s="51">
        <v>0.0</v>
      </c>
    </row>
    <row r="14993" ht="15.75" hidden="1" customHeight="1">
      <c r="A14993" s="51" t="s">
        <v>674</v>
      </c>
      <c r="B14993" s="52">
        <v>46476.0</v>
      </c>
      <c r="C14993" s="51" t="s">
        <v>780</v>
      </c>
      <c r="D14993" s="51">
        <v>-150000.0</v>
      </c>
    </row>
    <row r="14994" ht="15.75" hidden="1" customHeight="1">
      <c r="A14994" s="51" t="s">
        <v>679</v>
      </c>
      <c r="B14994" s="52">
        <v>46476.0</v>
      </c>
      <c r="C14994" s="51" t="s">
        <v>780</v>
      </c>
      <c r="D14994" s="51">
        <v>-250000.0</v>
      </c>
    </row>
    <row r="14995" ht="15.75" hidden="1" customHeight="1">
      <c r="A14995" s="51" t="s">
        <v>684</v>
      </c>
      <c r="B14995" s="52">
        <v>46476.0</v>
      </c>
      <c r="C14995" s="51" t="s">
        <v>780</v>
      </c>
      <c r="D14995" s="51">
        <v>0.0</v>
      </c>
    </row>
    <row r="14996" ht="15.75" hidden="1" customHeight="1">
      <c r="A14996" s="51" t="s">
        <v>689</v>
      </c>
      <c r="B14996" s="52">
        <v>46476.0</v>
      </c>
      <c r="C14996" s="51" t="s">
        <v>780</v>
      </c>
      <c r="D14996" s="51">
        <v>0.0</v>
      </c>
    </row>
    <row r="14997" ht="15.75" hidden="1" customHeight="1">
      <c r="A14997" s="51" t="s">
        <v>694</v>
      </c>
      <c r="B14997" s="52">
        <v>46476.0</v>
      </c>
      <c r="C14997" s="51" t="s">
        <v>780</v>
      </c>
      <c r="D14997" s="51">
        <v>-250000.0</v>
      </c>
    </row>
    <row r="14998" ht="15.75" hidden="1" customHeight="1">
      <c r="A14998" s="51" t="s">
        <v>699</v>
      </c>
      <c r="B14998" s="52">
        <v>46476.0</v>
      </c>
      <c r="C14998" s="51" t="s">
        <v>780</v>
      </c>
      <c r="D14998" s="51">
        <v>-600000.0</v>
      </c>
    </row>
    <row r="14999" ht="15.75" hidden="1" customHeight="1">
      <c r="A14999" s="51" t="s">
        <v>705</v>
      </c>
      <c r="B14999" s="52">
        <v>46476.0</v>
      </c>
      <c r="C14999" s="51" t="s">
        <v>780</v>
      </c>
      <c r="D14999" s="51">
        <v>-880616.24</v>
      </c>
    </row>
    <row r="15000" ht="15.75" hidden="1" customHeight="1">
      <c r="A15000" s="51" t="s">
        <v>710</v>
      </c>
      <c r="B15000" s="52">
        <v>46476.0</v>
      </c>
      <c r="C15000" s="51" t="s">
        <v>780</v>
      </c>
      <c r="D15000" s="51">
        <v>0.0</v>
      </c>
    </row>
    <row r="15001" ht="15.75" hidden="1" customHeight="1">
      <c r="A15001" s="51" t="s">
        <v>715</v>
      </c>
      <c r="B15001" s="52">
        <v>46476.0</v>
      </c>
      <c r="C15001" s="51" t="s">
        <v>780</v>
      </c>
      <c r="D15001" s="51">
        <v>-300000.0</v>
      </c>
    </row>
    <row r="15002" ht="15.75" hidden="1" customHeight="1">
      <c r="A15002" s="51" t="s">
        <v>765</v>
      </c>
      <c r="B15002" s="52">
        <v>46476.0</v>
      </c>
      <c r="C15002" s="51" t="s">
        <v>780</v>
      </c>
      <c r="D15002" s="51">
        <v>3308467.83</v>
      </c>
    </row>
    <row r="15003" ht="15.75" hidden="1" customHeight="1">
      <c r="A15003" s="51" t="s">
        <v>720</v>
      </c>
      <c r="B15003" s="52">
        <v>46476.0</v>
      </c>
      <c r="C15003" s="51" t="s">
        <v>780</v>
      </c>
      <c r="D15003" s="51">
        <v>0.0</v>
      </c>
    </row>
    <row r="15004" ht="15.75" hidden="1" customHeight="1">
      <c r="A15004" s="51" t="s">
        <v>725</v>
      </c>
      <c r="B15004" s="52">
        <v>46476.0</v>
      </c>
      <c r="C15004" s="51" t="s">
        <v>780</v>
      </c>
      <c r="D15004" s="51">
        <v>0.0</v>
      </c>
    </row>
    <row r="15005" ht="15.75" hidden="1" customHeight="1">
      <c r="A15005" s="51" t="s">
        <v>730</v>
      </c>
      <c r="B15005" s="52">
        <v>46476.0</v>
      </c>
      <c r="C15005" s="51" t="s">
        <v>780</v>
      </c>
      <c r="D15005" s="51">
        <v>0.0</v>
      </c>
    </row>
    <row r="15006" ht="15.75" hidden="1" customHeight="1">
      <c r="A15006" s="51" t="s">
        <v>734</v>
      </c>
      <c r="B15006" s="52">
        <v>46476.0</v>
      </c>
      <c r="C15006" s="51" t="s">
        <v>780</v>
      </c>
      <c r="D15006" s="51">
        <v>0.0</v>
      </c>
    </row>
    <row r="15007" ht="15.75" hidden="1" customHeight="1">
      <c r="A15007" s="51" t="s">
        <v>739</v>
      </c>
      <c r="B15007" s="52">
        <v>46476.0</v>
      </c>
      <c r="C15007" s="51" t="s">
        <v>780</v>
      </c>
      <c r="D15007" s="51">
        <v>0.0</v>
      </c>
    </row>
    <row r="15008" ht="15.75" hidden="1" customHeight="1">
      <c r="A15008" s="51" t="s">
        <v>744</v>
      </c>
      <c r="B15008" s="52">
        <v>46476.0</v>
      </c>
      <c r="C15008" s="51" t="s">
        <v>780</v>
      </c>
      <c r="D15008" s="51">
        <v>0.0</v>
      </c>
    </row>
    <row r="15009" ht="15.75" hidden="1" customHeight="1">
      <c r="A15009" s="51" t="s">
        <v>749</v>
      </c>
      <c r="B15009" s="52">
        <v>46476.0</v>
      </c>
      <c r="C15009" s="51" t="s">
        <v>780</v>
      </c>
      <c r="D15009" s="51">
        <v>0.0</v>
      </c>
    </row>
    <row r="15010" ht="15.75" customHeight="1">
      <c r="A15010" s="51" t="s">
        <v>776</v>
      </c>
      <c r="B15010" s="52">
        <v>46568.0</v>
      </c>
      <c r="C15010" s="51" t="s">
        <v>777</v>
      </c>
      <c r="D15010" s="51">
        <v>0.0</v>
      </c>
    </row>
    <row r="15011" ht="15.75" hidden="1" customHeight="1">
      <c r="A15011" s="51" t="s">
        <v>778</v>
      </c>
      <c r="B15011" s="52">
        <v>46568.0</v>
      </c>
      <c r="C15011" s="51" t="s">
        <v>777</v>
      </c>
      <c r="D15011" s="51">
        <v>0.0</v>
      </c>
    </row>
    <row r="15012" ht="15.75" hidden="1" customHeight="1">
      <c r="A15012" s="51" t="s">
        <v>92</v>
      </c>
      <c r="B15012" s="52">
        <v>46568.0</v>
      </c>
      <c r="C15012" s="51" t="s">
        <v>777</v>
      </c>
      <c r="D15012" s="51">
        <v>0.0</v>
      </c>
    </row>
    <row r="15013" ht="15.75" hidden="1" customHeight="1">
      <c r="A15013" s="51" t="s">
        <v>97</v>
      </c>
      <c r="B15013" s="52">
        <v>46568.0</v>
      </c>
      <c r="C15013" s="51" t="s">
        <v>777</v>
      </c>
      <c r="D15013" s="51">
        <v>0.0</v>
      </c>
    </row>
    <row r="15014" ht="15.75" hidden="1" customHeight="1">
      <c r="A15014" s="51" t="s">
        <v>102</v>
      </c>
      <c r="B15014" s="52">
        <v>46568.0</v>
      </c>
      <c r="C15014" s="51" t="s">
        <v>777</v>
      </c>
      <c r="D15014" s="51">
        <v>0.0</v>
      </c>
    </row>
    <row r="15015" ht="15.75" hidden="1" customHeight="1">
      <c r="A15015" s="51" t="s">
        <v>106</v>
      </c>
      <c r="B15015" s="52">
        <v>46568.0</v>
      </c>
      <c r="C15015" s="51" t="s">
        <v>777</v>
      </c>
      <c r="D15015" s="51">
        <v>0.0</v>
      </c>
    </row>
    <row r="15016" ht="15.75" hidden="1" customHeight="1">
      <c r="A15016" s="51" t="s">
        <v>111</v>
      </c>
      <c r="B15016" s="52">
        <v>46568.0</v>
      </c>
      <c r="C15016" s="51" t="s">
        <v>777</v>
      </c>
      <c r="D15016" s="51">
        <v>0.0</v>
      </c>
    </row>
    <row r="15017" ht="15.75" hidden="1" customHeight="1">
      <c r="A15017" s="51" t="s">
        <v>116</v>
      </c>
      <c r="B15017" s="52">
        <v>46568.0</v>
      </c>
      <c r="C15017" s="51" t="s">
        <v>777</v>
      </c>
      <c r="D15017" s="51">
        <v>0.0</v>
      </c>
    </row>
    <row r="15018" ht="15.75" hidden="1" customHeight="1">
      <c r="A15018" s="51" t="s">
        <v>120</v>
      </c>
      <c r="B15018" s="52">
        <v>46568.0</v>
      </c>
      <c r="C15018" s="51" t="s">
        <v>777</v>
      </c>
      <c r="D15018" s="51">
        <v>0.0</v>
      </c>
    </row>
    <row r="15019" ht="15.75" hidden="1" customHeight="1">
      <c r="A15019" s="51" t="s">
        <v>125</v>
      </c>
      <c r="B15019" s="52">
        <v>46568.0</v>
      </c>
      <c r="C15019" s="51" t="s">
        <v>777</v>
      </c>
      <c r="D15019" s="51">
        <v>0.0</v>
      </c>
    </row>
    <row r="15020" ht="15.75" hidden="1" customHeight="1">
      <c r="A15020" s="51" t="s">
        <v>130</v>
      </c>
      <c r="B15020" s="52">
        <v>46568.0</v>
      </c>
      <c r="C15020" s="51" t="s">
        <v>777</v>
      </c>
      <c r="D15020" s="51">
        <v>0.0</v>
      </c>
    </row>
    <row r="15021" ht="15.75" hidden="1" customHeight="1">
      <c r="A15021" s="51" t="s">
        <v>137</v>
      </c>
      <c r="B15021" s="52">
        <v>46568.0</v>
      </c>
      <c r="C15021" s="51" t="s">
        <v>777</v>
      </c>
      <c r="D15021" s="51">
        <v>0.0</v>
      </c>
    </row>
    <row r="15022" ht="15.75" hidden="1" customHeight="1">
      <c r="A15022" s="51" t="s">
        <v>142</v>
      </c>
      <c r="B15022" s="52">
        <v>46568.0</v>
      </c>
      <c r="C15022" s="51" t="s">
        <v>777</v>
      </c>
      <c r="D15022" s="51">
        <v>0.0</v>
      </c>
    </row>
    <row r="15023" ht="15.75" hidden="1" customHeight="1">
      <c r="A15023" s="51" t="s">
        <v>147</v>
      </c>
      <c r="B15023" s="52">
        <v>46568.0</v>
      </c>
      <c r="C15023" s="51" t="s">
        <v>777</v>
      </c>
      <c r="D15023" s="51">
        <v>0.0</v>
      </c>
    </row>
    <row r="15024" ht="15.75" hidden="1" customHeight="1">
      <c r="A15024" s="51" t="s">
        <v>152</v>
      </c>
      <c r="B15024" s="52">
        <v>46568.0</v>
      </c>
      <c r="C15024" s="51" t="s">
        <v>777</v>
      </c>
      <c r="D15024" s="51">
        <v>0.0</v>
      </c>
    </row>
    <row r="15025" ht="15.75" hidden="1" customHeight="1">
      <c r="A15025" s="51" t="s">
        <v>157</v>
      </c>
      <c r="B15025" s="52">
        <v>46568.0</v>
      </c>
      <c r="C15025" s="51" t="s">
        <v>777</v>
      </c>
      <c r="D15025" s="51">
        <v>0.0</v>
      </c>
    </row>
    <row r="15026" ht="15.75" hidden="1" customHeight="1">
      <c r="A15026" s="51" t="s">
        <v>162</v>
      </c>
      <c r="B15026" s="52">
        <v>46568.0</v>
      </c>
      <c r="C15026" s="51" t="s">
        <v>777</v>
      </c>
      <c r="D15026" s="51">
        <v>0.0</v>
      </c>
    </row>
    <row r="15027" ht="15.75" hidden="1" customHeight="1">
      <c r="A15027" s="51" t="s">
        <v>167</v>
      </c>
      <c r="B15027" s="52">
        <v>46568.0</v>
      </c>
      <c r="C15027" s="51" t="s">
        <v>777</v>
      </c>
      <c r="D15027" s="51">
        <v>0.0</v>
      </c>
    </row>
    <row r="15028" ht="15.75" hidden="1" customHeight="1">
      <c r="A15028" s="51" t="s">
        <v>172</v>
      </c>
      <c r="B15028" s="52">
        <v>46568.0</v>
      </c>
      <c r="C15028" s="51" t="s">
        <v>777</v>
      </c>
      <c r="D15028" s="51">
        <v>0.0</v>
      </c>
    </row>
    <row r="15029" ht="15.75" hidden="1" customHeight="1">
      <c r="A15029" s="51" t="s">
        <v>177</v>
      </c>
      <c r="B15029" s="52">
        <v>46568.0</v>
      </c>
      <c r="C15029" s="51" t="s">
        <v>777</v>
      </c>
      <c r="D15029" s="51">
        <v>0.0</v>
      </c>
    </row>
    <row r="15030" ht="15.75" hidden="1" customHeight="1">
      <c r="A15030" s="51" t="s">
        <v>182</v>
      </c>
      <c r="B15030" s="52">
        <v>46568.0</v>
      </c>
      <c r="C15030" s="51" t="s">
        <v>777</v>
      </c>
      <c r="D15030" s="51">
        <v>0.0</v>
      </c>
    </row>
    <row r="15031" ht="15.75" hidden="1" customHeight="1">
      <c r="A15031" s="51" t="s">
        <v>187</v>
      </c>
      <c r="B15031" s="52">
        <v>46568.0</v>
      </c>
      <c r="C15031" s="51" t="s">
        <v>777</v>
      </c>
      <c r="D15031" s="51">
        <v>0.0</v>
      </c>
    </row>
    <row r="15032" ht="15.75" hidden="1" customHeight="1">
      <c r="A15032" s="51" t="s">
        <v>192</v>
      </c>
      <c r="B15032" s="52">
        <v>46568.0</v>
      </c>
      <c r="C15032" s="51" t="s">
        <v>777</v>
      </c>
      <c r="D15032" s="51">
        <v>0.0</v>
      </c>
    </row>
    <row r="15033" ht="15.75" hidden="1" customHeight="1">
      <c r="A15033" s="51" t="s">
        <v>197</v>
      </c>
      <c r="B15033" s="52">
        <v>46568.0</v>
      </c>
      <c r="C15033" s="51" t="s">
        <v>777</v>
      </c>
      <c r="D15033" s="51">
        <v>0.0</v>
      </c>
    </row>
    <row r="15034" ht="15.75" hidden="1" customHeight="1">
      <c r="A15034" s="51" t="s">
        <v>202</v>
      </c>
      <c r="B15034" s="52">
        <v>46568.0</v>
      </c>
      <c r="C15034" s="51" t="s">
        <v>777</v>
      </c>
      <c r="D15034" s="51">
        <v>0.0</v>
      </c>
    </row>
    <row r="15035" ht="15.75" hidden="1" customHeight="1">
      <c r="A15035" s="51" t="s">
        <v>206</v>
      </c>
      <c r="B15035" s="52">
        <v>46568.0</v>
      </c>
      <c r="C15035" s="51" t="s">
        <v>777</v>
      </c>
      <c r="D15035" s="51">
        <v>0.0</v>
      </c>
    </row>
    <row r="15036" ht="15.75" hidden="1" customHeight="1">
      <c r="A15036" s="51" t="s">
        <v>211</v>
      </c>
      <c r="B15036" s="52">
        <v>46568.0</v>
      </c>
      <c r="C15036" s="51" t="s">
        <v>777</v>
      </c>
      <c r="D15036" s="51">
        <v>0.0</v>
      </c>
    </row>
    <row r="15037" ht="15.75" hidden="1" customHeight="1">
      <c r="A15037" s="51" t="s">
        <v>779</v>
      </c>
      <c r="B15037" s="52">
        <v>46568.0</v>
      </c>
      <c r="C15037" s="51" t="s">
        <v>777</v>
      </c>
      <c r="D15037" s="51">
        <v>0.0</v>
      </c>
    </row>
    <row r="15038" ht="15.75" hidden="1" customHeight="1">
      <c r="A15038" s="51" t="s">
        <v>221</v>
      </c>
      <c r="B15038" s="52">
        <v>46568.0</v>
      </c>
      <c r="C15038" s="51" t="s">
        <v>777</v>
      </c>
      <c r="D15038" s="51">
        <v>0.0</v>
      </c>
    </row>
    <row r="15039" ht="15.75" hidden="1" customHeight="1">
      <c r="A15039" s="51" t="s">
        <v>226</v>
      </c>
      <c r="B15039" s="52">
        <v>46568.0</v>
      </c>
      <c r="C15039" s="51" t="s">
        <v>777</v>
      </c>
      <c r="D15039" s="51">
        <v>0.0</v>
      </c>
    </row>
    <row r="15040" ht="15.75" hidden="1" customHeight="1">
      <c r="A15040" s="51" t="s">
        <v>231</v>
      </c>
      <c r="B15040" s="52">
        <v>46568.0</v>
      </c>
      <c r="C15040" s="51" t="s">
        <v>777</v>
      </c>
      <c r="D15040" s="51">
        <v>0.0</v>
      </c>
    </row>
    <row r="15041" ht="15.75" hidden="1" customHeight="1">
      <c r="A15041" s="51" t="s">
        <v>236</v>
      </c>
      <c r="B15041" s="52">
        <v>46568.0</v>
      </c>
      <c r="C15041" s="51" t="s">
        <v>777</v>
      </c>
      <c r="D15041" s="51">
        <v>0.0</v>
      </c>
    </row>
    <row r="15042" ht="15.75" hidden="1" customHeight="1">
      <c r="A15042" s="51" t="s">
        <v>242</v>
      </c>
      <c r="B15042" s="52">
        <v>46568.0</v>
      </c>
      <c r="C15042" s="51" t="s">
        <v>777</v>
      </c>
      <c r="D15042" s="51">
        <v>0.0</v>
      </c>
    </row>
    <row r="15043" ht="15.75" hidden="1" customHeight="1">
      <c r="A15043" s="51" t="s">
        <v>248</v>
      </c>
      <c r="B15043" s="52">
        <v>46568.0</v>
      </c>
      <c r="C15043" s="51" t="s">
        <v>777</v>
      </c>
      <c r="D15043" s="51">
        <v>0.0</v>
      </c>
    </row>
    <row r="15044" ht="15.75" hidden="1" customHeight="1">
      <c r="A15044" s="51" t="s">
        <v>253</v>
      </c>
      <c r="B15044" s="52">
        <v>46568.0</v>
      </c>
      <c r="C15044" s="51" t="s">
        <v>777</v>
      </c>
      <c r="D15044" s="51">
        <v>0.0</v>
      </c>
    </row>
    <row r="15045" ht="15.75" hidden="1" customHeight="1">
      <c r="A15045" s="51" t="s">
        <v>258</v>
      </c>
      <c r="B15045" s="52">
        <v>46568.0</v>
      </c>
      <c r="C15045" s="51" t="s">
        <v>777</v>
      </c>
      <c r="D15045" s="51">
        <v>0.0</v>
      </c>
    </row>
    <row r="15046" ht="15.75" hidden="1" customHeight="1">
      <c r="A15046" s="51" t="s">
        <v>263</v>
      </c>
      <c r="B15046" s="52">
        <v>46568.0</v>
      </c>
      <c r="C15046" s="51" t="s">
        <v>777</v>
      </c>
      <c r="D15046" s="51">
        <v>0.0</v>
      </c>
    </row>
    <row r="15047" ht="15.75" hidden="1" customHeight="1">
      <c r="A15047" s="51" t="s">
        <v>268</v>
      </c>
      <c r="B15047" s="52">
        <v>46568.0</v>
      </c>
      <c r="C15047" s="51" t="s">
        <v>777</v>
      </c>
      <c r="D15047" s="51">
        <v>0.0</v>
      </c>
    </row>
    <row r="15048" ht="15.75" hidden="1" customHeight="1">
      <c r="A15048" s="51" t="s">
        <v>273</v>
      </c>
      <c r="B15048" s="52">
        <v>46568.0</v>
      </c>
      <c r="C15048" s="51" t="s">
        <v>777</v>
      </c>
      <c r="D15048" s="51">
        <v>0.0</v>
      </c>
    </row>
    <row r="15049" ht="15.75" hidden="1" customHeight="1">
      <c r="A15049" s="51" t="s">
        <v>278</v>
      </c>
      <c r="B15049" s="52">
        <v>46568.0</v>
      </c>
      <c r="C15049" s="51" t="s">
        <v>777</v>
      </c>
      <c r="D15049" s="51">
        <v>0.0</v>
      </c>
    </row>
    <row r="15050" ht="15.75" hidden="1" customHeight="1">
      <c r="A15050" s="51" t="s">
        <v>283</v>
      </c>
      <c r="B15050" s="52">
        <v>46568.0</v>
      </c>
      <c r="C15050" s="51" t="s">
        <v>777</v>
      </c>
      <c r="D15050" s="51">
        <v>0.0</v>
      </c>
    </row>
    <row r="15051" ht="15.75" hidden="1" customHeight="1">
      <c r="A15051" s="51" t="s">
        <v>288</v>
      </c>
      <c r="B15051" s="52">
        <v>46568.0</v>
      </c>
      <c r="C15051" s="51" t="s">
        <v>777</v>
      </c>
      <c r="D15051" s="51">
        <v>0.0</v>
      </c>
    </row>
    <row r="15052" ht="15.75" hidden="1" customHeight="1">
      <c r="A15052" s="51" t="s">
        <v>293</v>
      </c>
      <c r="B15052" s="52">
        <v>46568.0</v>
      </c>
      <c r="C15052" s="51" t="s">
        <v>777</v>
      </c>
      <c r="D15052" s="51">
        <v>0.0</v>
      </c>
    </row>
    <row r="15053" ht="15.75" hidden="1" customHeight="1">
      <c r="A15053" s="51" t="s">
        <v>298</v>
      </c>
      <c r="B15053" s="52">
        <v>46568.0</v>
      </c>
      <c r="C15053" s="51" t="s">
        <v>777</v>
      </c>
      <c r="D15053" s="51">
        <v>0.0</v>
      </c>
    </row>
    <row r="15054" ht="15.75" hidden="1" customHeight="1">
      <c r="A15054" s="51" t="s">
        <v>303</v>
      </c>
      <c r="B15054" s="52">
        <v>46568.0</v>
      </c>
      <c r="C15054" s="51" t="s">
        <v>777</v>
      </c>
      <c r="D15054" s="51">
        <v>0.0</v>
      </c>
    </row>
    <row r="15055" ht="15.75" hidden="1" customHeight="1">
      <c r="A15055" s="51" t="s">
        <v>307</v>
      </c>
      <c r="B15055" s="52">
        <v>46568.0</v>
      </c>
      <c r="C15055" s="51" t="s">
        <v>777</v>
      </c>
      <c r="D15055" s="51">
        <v>0.0</v>
      </c>
    </row>
    <row r="15056" ht="15.75" hidden="1" customHeight="1">
      <c r="A15056" s="51" t="s">
        <v>313</v>
      </c>
      <c r="B15056" s="52">
        <v>46568.0</v>
      </c>
      <c r="C15056" s="51" t="s">
        <v>777</v>
      </c>
      <c r="D15056" s="51">
        <v>0.0</v>
      </c>
    </row>
    <row r="15057" ht="15.75" hidden="1" customHeight="1">
      <c r="A15057" s="51" t="s">
        <v>318</v>
      </c>
      <c r="B15057" s="52">
        <v>46568.0</v>
      </c>
      <c r="C15057" s="51" t="s">
        <v>777</v>
      </c>
      <c r="D15057" s="51">
        <v>0.0</v>
      </c>
    </row>
    <row r="15058" ht="15.75" hidden="1" customHeight="1">
      <c r="A15058" s="51" t="s">
        <v>323</v>
      </c>
      <c r="B15058" s="52">
        <v>46568.0</v>
      </c>
      <c r="C15058" s="51" t="s">
        <v>777</v>
      </c>
      <c r="D15058" s="51">
        <v>0.0</v>
      </c>
    </row>
    <row r="15059" ht="15.75" hidden="1" customHeight="1">
      <c r="A15059" s="51" t="s">
        <v>328</v>
      </c>
      <c r="B15059" s="52">
        <v>46568.0</v>
      </c>
      <c r="C15059" s="51" t="s">
        <v>777</v>
      </c>
      <c r="D15059" s="51">
        <v>0.0</v>
      </c>
    </row>
    <row r="15060" ht="15.75" hidden="1" customHeight="1">
      <c r="A15060" s="51" t="s">
        <v>335</v>
      </c>
      <c r="B15060" s="52">
        <v>46568.0</v>
      </c>
      <c r="C15060" s="51" t="s">
        <v>777</v>
      </c>
      <c r="D15060" s="51">
        <v>0.0</v>
      </c>
    </row>
    <row r="15061" ht="15.75" hidden="1" customHeight="1">
      <c r="A15061" s="51" t="s">
        <v>340</v>
      </c>
      <c r="B15061" s="52">
        <v>46568.0</v>
      </c>
      <c r="C15061" s="51" t="s">
        <v>777</v>
      </c>
      <c r="D15061" s="51">
        <v>0.0</v>
      </c>
    </row>
    <row r="15062" ht="15.75" hidden="1" customHeight="1">
      <c r="A15062" s="51" t="s">
        <v>345</v>
      </c>
      <c r="B15062" s="52">
        <v>46568.0</v>
      </c>
      <c r="C15062" s="51" t="s">
        <v>777</v>
      </c>
      <c r="D15062" s="51">
        <v>0.0</v>
      </c>
    </row>
    <row r="15063" ht="15.75" hidden="1" customHeight="1">
      <c r="A15063" s="51" t="s">
        <v>350</v>
      </c>
      <c r="B15063" s="52">
        <v>46568.0</v>
      </c>
      <c r="C15063" s="51" t="s">
        <v>777</v>
      </c>
      <c r="D15063" s="51">
        <v>0.0</v>
      </c>
    </row>
    <row r="15064" ht="15.75" hidden="1" customHeight="1">
      <c r="A15064" s="51" t="s">
        <v>355</v>
      </c>
      <c r="B15064" s="52">
        <v>46568.0</v>
      </c>
      <c r="C15064" s="51" t="s">
        <v>777</v>
      </c>
      <c r="D15064" s="51">
        <v>0.0</v>
      </c>
    </row>
    <row r="15065" ht="15.75" hidden="1" customHeight="1">
      <c r="A15065" s="51" t="s">
        <v>360</v>
      </c>
      <c r="B15065" s="52">
        <v>46568.0</v>
      </c>
      <c r="C15065" s="51" t="s">
        <v>777</v>
      </c>
      <c r="D15065" s="51">
        <v>0.0</v>
      </c>
    </row>
    <row r="15066" ht="15.75" hidden="1" customHeight="1">
      <c r="A15066" s="51" t="s">
        <v>365</v>
      </c>
      <c r="B15066" s="52">
        <v>46568.0</v>
      </c>
      <c r="C15066" s="51" t="s">
        <v>777</v>
      </c>
      <c r="D15066" s="51">
        <v>0.0</v>
      </c>
    </row>
    <row r="15067" ht="15.75" hidden="1" customHeight="1">
      <c r="A15067" s="51" t="s">
        <v>370</v>
      </c>
      <c r="B15067" s="52">
        <v>46568.0</v>
      </c>
      <c r="C15067" s="51" t="s">
        <v>777</v>
      </c>
      <c r="D15067" s="51">
        <v>0.0</v>
      </c>
    </row>
    <row r="15068" ht="15.75" hidden="1" customHeight="1">
      <c r="A15068" s="51" t="s">
        <v>375</v>
      </c>
      <c r="B15068" s="52">
        <v>46568.0</v>
      </c>
      <c r="C15068" s="51" t="s">
        <v>777</v>
      </c>
      <c r="D15068" s="51">
        <v>0.0</v>
      </c>
    </row>
    <row r="15069" ht="15.75" hidden="1" customHeight="1">
      <c r="A15069" s="51" t="s">
        <v>380</v>
      </c>
      <c r="B15069" s="52">
        <v>46568.0</v>
      </c>
      <c r="C15069" s="51" t="s">
        <v>777</v>
      </c>
      <c r="D15069" s="51">
        <v>0.0</v>
      </c>
    </row>
    <row r="15070" ht="15.75" hidden="1" customHeight="1">
      <c r="A15070" s="51" t="s">
        <v>385</v>
      </c>
      <c r="B15070" s="52">
        <v>46568.0</v>
      </c>
      <c r="C15070" s="51" t="s">
        <v>777</v>
      </c>
      <c r="D15070" s="51">
        <v>0.0</v>
      </c>
    </row>
    <row r="15071" ht="15.75" hidden="1" customHeight="1">
      <c r="A15071" s="51" t="s">
        <v>390</v>
      </c>
      <c r="B15071" s="52">
        <v>46568.0</v>
      </c>
      <c r="C15071" s="51" t="s">
        <v>777</v>
      </c>
      <c r="D15071" s="51">
        <v>0.0</v>
      </c>
    </row>
    <row r="15072" ht="15.75" hidden="1" customHeight="1">
      <c r="A15072" s="51" t="s">
        <v>395</v>
      </c>
      <c r="B15072" s="52">
        <v>46568.0</v>
      </c>
      <c r="C15072" s="51" t="s">
        <v>777</v>
      </c>
      <c r="D15072" s="51">
        <v>0.0</v>
      </c>
    </row>
    <row r="15073" ht="15.75" hidden="1" customHeight="1">
      <c r="A15073" s="51" t="s">
        <v>400</v>
      </c>
      <c r="B15073" s="52">
        <v>46568.0</v>
      </c>
      <c r="C15073" s="51" t="s">
        <v>777</v>
      </c>
      <c r="D15073" s="51">
        <v>0.0</v>
      </c>
    </row>
    <row r="15074" ht="15.75" hidden="1" customHeight="1">
      <c r="A15074" s="51" t="s">
        <v>405</v>
      </c>
      <c r="B15074" s="52">
        <v>46568.0</v>
      </c>
      <c r="C15074" s="51" t="s">
        <v>777</v>
      </c>
      <c r="D15074" s="51">
        <v>0.0</v>
      </c>
    </row>
    <row r="15075" ht="15.75" hidden="1" customHeight="1">
      <c r="A15075" s="51" t="s">
        <v>410</v>
      </c>
      <c r="B15075" s="52">
        <v>46568.0</v>
      </c>
      <c r="C15075" s="51" t="s">
        <v>777</v>
      </c>
      <c r="D15075" s="51">
        <v>0.0</v>
      </c>
    </row>
    <row r="15076" ht="15.75" hidden="1" customHeight="1">
      <c r="A15076" s="51" t="s">
        <v>415</v>
      </c>
      <c r="B15076" s="52">
        <v>46568.0</v>
      </c>
      <c r="C15076" s="51" t="s">
        <v>777</v>
      </c>
      <c r="D15076" s="51">
        <v>0.0</v>
      </c>
    </row>
    <row r="15077" ht="15.75" hidden="1" customHeight="1">
      <c r="A15077" s="51" t="s">
        <v>420</v>
      </c>
      <c r="B15077" s="52">
        <v>46568.0</v>
      </c>
      <c r="C15077" s="51" t="s">
        <v>777</v>
      </c>
      <c r="D15077" s="51">
        <v>0.0</v>
      </c>
    </row>
    <row r="15078" ht="15.75" hidden="1" customHeight="1">
      <c r="A15078" s="51" t="s">
        <v>425</v>
      </c>
      <c r="B15078" s="52">
        <v>46568.0</v>
      </c>
      <c r="C15078" s="51" t="s">
        <v>777</v>
      </c>
      <c r="D15078" s="51">
        <v>0.0</v>
      </c>
    </row>
    <row r="15079" ht="15.75" hidden="1" customHeight="1">
      <c r="A15079" s="51" t="s">
        <v>430</v>
      </c>
      <c r="B15079" s="52">
        <v>46568.0</v>
      </c>
      <c r="C15079" s="51" t="s">
        <v>777</v>
      </c>
      <c r="D15079" s="51">
        <v>0.0</v>
      </c>
    </row>
    <row r="15080" ht="15.75" hidden="1" customHeight="1">
      <c r="A15080" s="51" t="s">
        <v>434</v>
      </c>
      <c r="B15080" s="52">
        <v>46568.0</v>
      </c>
      <c r="C15080" s="51" t="s">
        <v>777</v>
      </c>
      <c r="D15080" s="51">
        <v>0.0</v>
      </c>
    </row>
    <row r="15081" ht="15.75" hidden="1" customHeight="1">
      <c r="A15081" s="51" t="s">
        <v>439</v>
      </c>
      <c r="B15081" s="52">
        <v>46568.0</v>
      </c>
      <c r="C15081" s="51" t="s">
        <v>777</v>
      </c>
      <c r="D15081" s="51">
        <v>0.0</v>
      </c>
    </row>
    <row r="15082" ht="15.75" hidden="1" customHeight="1">
      <c r="A15082" s="51" t="s">
        <v>444</v>
      </c>
      <c r="B15082" s="52">
        <v>46568.0</v>
      </c>
      <c r="C15082" s="51" t="s">
        <v>777</v>
      </c>
      <c r="D15082" s="51">
        <v>0.0</v>
      </c>
    </row>
    <row r="15083" ht="15.75" hidden="1" customHeight="1">
      <c r="A15083" s="51" t="s">
        <v>449</v>
      </c>
      <c r="B15083" s="52">
        <v>46568.0</v>
      </c>
      <c r="C15083" s="51" t="s">
        <v>777</v>
      </c>
      <c r="D15083" s="51">
        <v>0.0</v>
      </c>
    </row>
    <row r="15084" ht="15.75" hidden="1" customHeight="1">
      <c r="A15084" s="51" t="s">
        <v>455</v>
      </c>
      <c r="B15084" s="52">
        <v>46568.0</v>
      </c>
      <c r="C15084" s="51" t="s">
        <v>777</v>
      </c>
      <c r="D15084" s="51">
        <v>0.0</v>
      </c>
    </row>
    <row r="15085" ht="15.75" hidden="1" customHeight="1">
      <c r="A15085" s="51" t="s">
        <v>470</v>
      </c>
      <c r="B15085" s="52">
        <v>46568.0</v>
      </c>
      <c r="C15085" s="51" t="s">
        <v>777</v>
      </c>
      <c r="D15085" s="51">
        <v>0.0</v>
      </c>
    </row>
    <row r="15086" ht="15.75" hidden="1" customHeight="1">
      <c r="A15086" s="51" t="s">
        <v>476</v>
      </c>
      <c r="B15086" s="52">
        <v>46568.0</v>
      </c>
      <c r="C15086" s="51" t="s">
        <v>777</v>
      </c>
      <c r="D15086" s="51">
        <v>0.0</v>
      </c>
    </row>
    <row r="15087" ht="15.75" hidden="1" customHeight="1">
      <c r="A15087" s="51" t="s">
        <v>481</v>
      </c>
      <c r="B15087" s="52">
        <v>46568.0</v>
      </c>
      <c r="C15087" s="51" t="s">
        <v>777</v>
      </c>
      <c r="D15087" s="51">
        <v>0.0</v>
      </c>
    </row>
    <row r="15088" ht="15.75" hidden="1" customHeight="1">
      <c r="A15088" s="51" t="s">
        <v>486</v>
      </c>
      <c r="B15088" s="52">
        <v>46568.0</v>
      </c>
      <c r="C15088" s="51" t="s">
        <v>777</v>
      </c>
      <c r="D15088" s="51">
        <v>0.0</v>
      </c>
    </row>
    <row r="15089" ht="15.75" hidden="1" customHeight="1">
      <c r="A15089" s="51" t="s">
        <v>491</v>
      </c>
      <c r="B15089" s="52">
        <v>46568.0</v>
      </c>
      <c r="C15089" s="51" t="s">
        <v>777</v>
      </c>
      <c r="D15089" s="51">
        <v>0.0</v>
      </c>
    </row>
    <row r="15090" ht="15.75" hidden="1" customHeight="1">
      <c r="A15090" s="51" t="s">
        <v>496</v>
      </c>
      <c r="B15090" s="52">
        <v>46568.0</v>
      </c>
      <c r="C15090" s="51" t="s">
        <v>777</v>
      </c>
      <c r="D15090" s="51">
        <v>0.0</v>
      </c>
    </row>
    <row r="15091" ht="15.75" hidden="1" customHeight="1">
      <c r="A15091" s="51" t="s">
        <v>501</v>
      </c>
      <c r="B15091" s="52">
        <v>46568.0</v>
      </c>
      <c r="C15091" s="51" t="s">
        <v>777</v>
      </c>
      <c r="D15091" s="51">
        <v>0.0</v>
      </c>
    </row>
    <row r="15092" ht="15.75" hidden="1" customHeight="1">
      <c r="A15092" s="51" t="s">
        <v>506</v>
      </c>
      <c r="B15092" s="52">
        <v>46568.0</v>
      </c>
      <c r="C15092" s="51" t="s">
        <v>777</v>
      </c>
      <c r="D15092" s="51">
        <v>0.0</v>
      </c>
    </row>
    <row r="15093" ht="15.75" hidden="1" customHeight="1">
      <c r="A15093" s="51" t="s">
        <v>512</v>
      </c>
      <c r="B15093" s="52">
        <v>46568.0</v>
      </c>
      <c r="C15093" s="51" t="s">
        <v>777</v>
      </c>
      <c r="D15093" s="51">
        <v>0.0</v>
      </c>
    </row>
    <row r="15094" ht="15.75" hidden="1" customHeight="1">
      <c r="A15094" s="51" t="s">
        <v>517</v>
      </c>
      <c r="B15094" s="52">
        <v>46568.0</v>
      </c>
      <c r="C15094" s="51" t="s">
        <v>777</v>
      </c>
      <c r="D15094" s="51">
        <v>0.0</v>
      </c>
    </row>
    <row r="15095" ht="15.75" hidden="1" customHeight="1">
      <c r="A15095" s="51" t="s">
        <v>522</v>
      </c>
      <c r="B15095" s="52">
        <v>46568.0</v>
      </c>
      <c r="C15095" s="51" t="s">
        <v>777</v>
      </c>
      <c r="D15095" s="51">
        <v>0.0</v>
      </c>
    </row>
    <row r="15096" ht="15.75" hidden="1" customHeight="1">
      <c r="A15096" s="51" t="s">
        <v>528</v>
      </c>
      <c r="B15096" s="52">
        <v>46568.0</v>
      </c>
      <c r="C15096" s="51" t="s">
        <v>777</v>
      </c>
      <c r="D15096" s="51">
        <v>0.0</v>
      </c>
    </row>
    <row r="15097" ht="15.75" hidden="1" customHeight="1">
      <c r="A15097" s="51" t="s">
        <v>533</v>
      </c>
      <c r="B15097" s="52">
        <v>46568.0</v>
      </c>
      <c r="C15097" s="51" t="s">
        <v>777</v>
      </c>
      <c r="D15097" s="51">
        <v>0.0</v>
      </c>
    </row>
    <row r="15098" ht="15.75" hidden="1" customHeight="1">
      <c r="A15098" s="51" t="s">
        <v>538</v>
      </c>
      <c r="B15098" s="52">
        <v>46568.0</v>
      </c>
      <c r="C15098" s="51" t="s">
        <v>777</v>
      </c>
      <c r="D15098" s="51">
        <v>0.0</v>
      </c>
    </row>
    <row r="15099" ht="15.75" hidden="1" customHeight="1">
      <c r="A15099" s="51" t="s">
        <v>546</v>
      </c>
      <c r="B15099" s="52">
        <v>46568.0</v>
      </c>
      <c r="C15099" s="51" t="s">
        <v>777</v>
      </c>
      <c r="D15099" s="51">
        <v>0.0</v>
      </c>
    </row>
    <row r="15100" ht="15.75" hidden="1" customHeight="1">
      <c r="A15100" s="51" t="s">
        <v>551</v>
      </c>
      <c r="B15100" s="52">
        <v>46568.0</v>
      </c>
      <c r="C15100" s="51" t="s">
        <v>777</v>
      </c>
      <c r="D15100" s="51">
        <v>0.0</v>
      </c>
    </row>
    <row r="15101" ht="15.75" hidden="1" customHeight="1">
      <c r="A15101" s="51" t="s">
        <v>556</v>
      </c>
      <c r="B15101" s="52">
        <v>46568.0</v>
      </c>
      <c r="C15101" s="51" t="s">
        <v>777</v>
      </c>
      <c r="D15101" s="51">
        <v>0.0</v>
      </c>
    </row>
    <row r="15102" ht="15.75" hidden="1" customHeight="1">
      <c r="A15102" s="51" t="s">
        <v>561</v>
      </c>
      <c r="B15102" s="52">
        <v>46568.0</v>
      </c>
      <c r="C15102" s="51" t="s">
        <v>777</v>
      </c>
      <c r="D15102" s="51">
        <v>0.0</v>
      </c>
    </row>
    <row r="15103" ht="15.75" hidden="1" customHeight="1">
      <c r="A15103" s="51" t="s">
        <v>566</v>
      </c>
      <c r="B15103" s="52">
        <v>46568.0</v>
      </c>
      <c r="C15103" s="51" t="s">
        <v>777</v>
      </c>
      <c r="D15103" s="51">
        <v>0.0</v>
      </c>
    </row>
    <row r="15104" ht="15.75" hidden="1" customHeight="1">
      <c r="A15104" s="51" t="s">
        <v>571</v>
      </c>
      <c r="B15104" s="52">
        <v>46568.0</v>
      </c>
      <c r="C15104" s="51" t="s">
        <v>777</v>
      </c>
      <c r="D15104" s="51">
        <v>0.0</v>
      </c>
    </row>
    <row r="15105" ht="15.75" hidden="1" customHeight="1">
      <c r="A15105" s="51" t="s">
        <v>576</v>
      </c>
      <c r="B15105" s="52">
        <v>46568.0</v>
      </c>
      <c r="C15105" s="51" t="s">
        <v>777</v>
      </c>
      <c r="D15105" s="51">
        <v>0.0</v>
      </c>
    </row>
    <row r="15106" ht="15.75" hidden="1" customHeight="1">
      <c r="A15106" s="51" t="s">
        <v>581</v>
      </c>
      <c r="B15106" s="52">
        <v>46568.0</v>
      </c>
      <c r="C15106" s="51" t="s">
        <v>777</v>
      </c>
      <c r="D15106" s="51">
        <v>0.0</v>
      </c>
    </row>
    <row r="15107" ht="15.75" hidden="1" customHeight="1">
      <c r="A15107" s="51" t="s">
        <v>586</v>
      </c>
      <c r="B15107" s="52">
        <v>46568.0</v>
      </c>
      <c r="C15107" s="51" t="s">
        <v>777</v>
      </c>
      <c r="D15107" s="51">
        <v>0.0</v>
      </c>
    </row>
    <row r="15108" ht="15.75" hidden="1" customHeight="1">
      <c r="A15108" s="51" t="s">
        <v>754</v>
      </c>
      <c r="B15108" s="52">
        <v>46568.0</v>
      </c>
      <c r="C15108" s="51" t="s">
        <v>777</v>
      </c>
      <c r="D15108" s="51">
        <v>0.0</v>
      </c>
    </row>
    <row r="15109" ht="15.75" hidden="1" customHeight="1">
      <c r="A15109" s="51" t="s">
        <v>591</v>
      </c>
      <c r="B15109" s="52">
        <v>46568.0</v>
      </c>
      <c r="C15109" s="51" t="s">
        <v>777</v>
      </c>
      <c r="D15109" s="51">
        <v>0.0</v>
      </c>
    </row>
    <row r="15110" ht="15.75" hidden="1" customHeight="1">
      <c r="A15110" s="51" t="s">
        <v>759</v>
      </c>
      <c r="B15110" s="52">
        <v>46568.0</v>
      </c>
      <c r="C15110" s="51" t="s">
        <v>777</v>
      </c>
      <c r="D15110" s="51">
        <v>0.0</v>
      </c>
    </row>
    <row r="15111" ht="15.75" hidden="1" customHeight="1">
      <c r="A15111" s="51" t="s">
        <v>596</v>
      </c>
      <c r="B15111" s="52">
        <v>46568.0</v>
      </c>
      <c r="C15111" s="51" t="s">
        <v>777</v>
      </c>
      <c r="D15111" s="51">
        <v>0.0</v>
      </c>
    </row>
    <row r="15112" ht="15.75" hidden="1" customHeight="1">
      <c r="A15112" s="51" t="s">
        <v>602</v>
      </c>
      <c r="B15112" s="52">
        <v>46568.0</v>
      </c>
      <c r="C15112" s="51" t="s">
        <v>777</v>
      </c>
      <c r="D15112" s="51">
        <v>0.0</v>
      </c>
    </row>
    <row r="15113" ht="15.75" hidden="1" customHeight="1">
      <c r="A15113" s="51" t="s">
        <v>607</v>
      </c>
      <c r="B15113" s="52">
        <v>46568.0</v>
      </c>
      <c r="C15113" s="51" t="s">
        <v>777</v>
      </c>
      <c r="D15113" s="51">
        <v>0.0</v>
      </c>
    </row>
    <row r="15114" ht="15.75" hidden="1" customHeight="1">
      <c r="A15114" s="51" t="s">
        <v>612</v>
      </c>
      <c r="B15114" s="52">
        <v>46568.0</v>
      </c>
      <c r="C15114" s="51" t="s">
        <v>777</v>
      </c>
      <c r="D15114" s="51">
        <v>0.0</v>
      </c>
    </row>
    <row r="15115" ht="15.75" hidden="1" customHeight="1">
      <c r="A15115" s="51" t="s">
        <v>617</v>
      </c>
      <c r="B15115" s="52">
        <v>46568.0</v>
      </c>
      <c r="C15115" s="51" t="s">
        <v>777</v>
      </c>
      <c r="D15115" s="51">
        <v>0.0</v>
      </c>
    </row>
    <row r="15116" ht="15.75" hidden="1" customHeight="1">
      <c r="A15116" s="51" t="s">
        <v>622</v>
      </c>
      <c r="B15116" s="52">
        <v>46568.0</v>
      </c>
      <c r="C15116" s="51" t="s">
        <v>777</v>
      </c>
      <c r="D15116" s="51">
        <v>0.0</v>
      </c>
    </row>
    <row r="15117" ht="15.75" hidden="1" customHeight="1">
      <c r="A15117" s="51" t="s">
        <v>627</v>
      </c>
      <c r="B15117" s="52">
        <v>46568.0</v>
      </c>
      <c r="C15117" s="51" t="s">
        <v>777</v>
      </c>
      <c r="D15117" s="51">
        <v>0.0</v>
      </c>
    </row>
    <row r="15118" ht="15.75" hidden="1" customHeight="1">
      <c r="A15118" s="51" t="s">
        <v>631</v>
      </c>
      <c r="B15118" s="52">
        <v>46568.0</v>
      </c>
      <c r="C15118" s="51" t="s">
        <v>777</v>
      </c>
      <c r="D15118" s="51">
        <v>0.0</v>
      </c>
    </row>
    <row r="15119" ht="15.75" hidden="1" customHeight="1">
      <c r="A15119" s="51" t="s">
        <v>636</v>
      </c>
      <c r="B15119" s="52">
        <v>46568.0</v>
      </c>
      <c r="C15119" s="51" t="s">
        <v>777</v>
      </c>
      <c r="D15119" s="51">
        <v>0.0</v>
      </c>
    </row>
    <row r="15120" ht="15.75" hidden="1" customHeight="1">
      <c r="A15120" s="51" t="s">
        <v>640</v>
      </c>
      <c r="B15120" s="52">
        <v>46568.0</v>
      </c>
      <c r="C15120" s="51" t="s">
        <v>777</v>
      </c>
      <c r="D15120" s="51">
        <v>0.0</v>
      </c>
    </row>
    <row r="15121" ht="15.75" hidden="1" customHeight="1">
      <c r="A15121" s="51" t="s">
        <v>644</v>
      </c>
      <c r="B15121" s="52">
        <v>46568.0</v>
      </c>
      <c r="C15121" s="51" t="s">
        <v>777</v>
      </c>
      <c r="D15121" s="51">
        <v>0.0</v>
      </c>
    </row>
    <row r="15122" ht="15.75" hidden="1" customHeight="1">
      <c r="A15122" s="51" t="s">
        <v>649</v>
      </c>
      <c r="B15122" s="52">
        <v>46568.0</v>
      </c>
      <c r="C15122" s="51" t="s">
        <v>777</v>
      </c>
      <c r="D15122" s="51">
        <v>0.0</v>
      </c>
    </row>
    <row r="15123" ht="15.75" hidden="1" customHeight="1">
      <c r="A15123" s="51" t="s">
        <v>654</v>
      </c>
      <c r="B15123" s="52">
        <v>46568.0</v>
      </c>
      <c r="C15123" s="51" t="s">
        <v>777</v>
      </c>
      <c r="D15123" s="51">
        <v>0.0</v>
      </c>
    </row>
    <row r="15124" ht="15.75" hidden="1" customHeight="1">
      <c r="A15124" s="51" t="s">
        <v>659</v>
      </c>
      <c r="B15124" s="52">
        <v>46568.0</v>
      </c>
      <c r="C15124" s="51" t="s">
        <v>777</v>
      </c>
      <c r="D15124" s="51">
        <v>0.0</v>
      </c>
    </row>
    <row r="15125" ht="15.75" hidden="1" customHeight="1">
      <c r="A15125" s="51" t="s">
        <v>664</v>
      </c>
      <c r="B15125" s="52">
        <v>46568.0</v>
      </c>
      <c r="C15125" s="51" t="s">
        <v>777</v>
      </c>
      <c r="D15125" s="51">
        <v>0.0</v>
      </c>
    </row>
    <row r="15126" ht="15.75" hidden="1" customHeight="1">
      <c r="A15126" s="51" t="s">
        <v>669</v>
      </c>
      <c r="B15126" s="52">
        <v>46568.0</v>
      </c>
      <c r="C15126" s="51" t="s">
        <v>777</v>
      </c>
      <c r="D15126" s="51">
        <v>0.0</v>
      </c>
    </row>
    <row r="15127" ht="15.75" hidden="1" customHeight="1">
      <c r="A15127" s="51" t="s">
        <v>674</v>
      </c>
      <c r="B15127" s="52">
        <v>46568.0</v>
      </c>
      <c r="C15127" s="51" t="s">
        <v>777</v>
      </c>
      <c r="D15127" s="51">
        <v>0.0</v>
      </c>
    </row>
    <row r="15128" ht="15.75" hidden="1" customHeight="1">
      <c r="A15128" s="51" t="s">
        <v>679</v>
      </c>
      <c r="B15128" s="52">
        <v>46568.0</v>
      </c>
      <c r="C15128" s="51" t="s">
        <v>777</v>
      </c>
      <c r="D15128" s="51">
        <v>0.0</v>
      </c>
    </row>
    <row r="15129" ht="15.75" hidden="1" customHeight="1">
      <c r="A15129" s="51" t="s">
        <v>684</v>
      </c>
      <c r="B15129" s="52">
        <v>46568.0</v>
      </c>
      <c r="C15129" s="51" t="s">
        <v>777</v>
      </c>
      <c r="D15129" s="51">
        <v>0.0</v>
      </c>
    </row>
    <row r="15130" ht="15.75" hidden="1" customHeight="1">
      <c r="A15130" s="51" t="s">
        <v>689</v>
      </c>
      <c r="B15130" s="52">
        <v>46568.0</v>
      </c>
      <c r="C15130" s="51" t="s">
        <v>777</v>
      </c>
      <c r="D15130" s="51">
        <v>0.0</v>
      </c>
    </row>
    <row r="15131" ht="15.75" hidden="1" customHeight="1">
      <c r="A15131" s="51" t="s">
        <v>694</v>
      </c>
      <c r="B15131" s="52">
        <v>46568.0</v>
      </c>
      <c r="C15131" s="51" t="s">
        <v>777</v>
      </c>
      <c r="D15131" s="51">
        <v>0.0</v>
      </c>
    </row>
    <row r="15132" ht="15.75" hidden="1" customHeight="1">
      <c r="A15132" s="51" t="s">
        <v>699</v>
      </c>
      <c r="B15132" s="52">
        <v>46568.0</v>
      </c>
      <c r="C15132" s="51" t="s">
        <v>777</v>
      </c>
      <c r="D15132" s="51">
        <v>0.0</v>
      </c>
    </row>
    <row r="15133" ht="15.75" hidden="1" customHeight="1">
      <c r="A15133" s="51" t="s">
        <v>705</v>
      </c>
      <c r="B15133" s="52">
        <v>46568.0</v>
      </c>
      <c r="C15133" s="51" t="s">
        <v>777</v>
      </c>
      <c r="D15133" s="51">
        <v>0.0</v>
      </c>
    </row>
    <row r="15134" ht="15.75" hidden="1" customHeight="1">
      <c r="A15134" s="51" t="s">
        <v>710</v>
      </c>
      <c r="B15134" s="52">
        <v>46568.0</v>
      </c>
      <c r="C15134" s="51" t="s">
        <v>777</v>
      </c>
      <c r="D15134" s="51">
        <v>0.0</v>
      </c>
    </row>
    <row r="15135" ht="15.75" hidden="1" customHeight="1">
      <c r="A15135" s="51" t="s">
        <v>715</v>
      </c>
      <c r="B15135" s="52">
        <v>46568.0</v>
      </c>
      <c r="C15135" s="51" t="s">
        <v>777</v>
      </c>
      <c r="D15135" s="51">
        <v>0.0</v>
      </c>
    </row>
    <row r="15136" ht="15.75" hidden="1" customHeight="1">
      <c r="A15136" s="51" t="s">
        <v>765</v>
      </c>
      <c r="B15136" s="52">
        <v>46568.0</v>
      </c>
      <c r="C15136" s="51" t="s">
        <v>777</v>
      </c>
      <c r="D15136" s="51">
        <v>0.0</v>
      </c>
    </row>
    <row r="15137" ht="15.75" hidden="1" customHeight="1">
      <c r="A15137" s="51" t="s">
        <v>720</v>
      </c>
      <c r="B15137" s="52">
        <v>46568.0</v>
      </c>
      <c r="C15137" s="51" t="s">
        <v>777</v>
      </c>
      <c r="D15137" s="51">
        <v>0.0</v>
      </c>
    </row>
    <row r="15138" ht="15.75" hidden="1" customHeight="1">
      <c r="A15138" s="51" t="s">
        <v>725</v>
      </c>
      <c r="B15138" s="52">
        <v>46568.0</v>
      </c>
      <c r="C15138" s="51" t="s">
        <v>777</v>
      </c>
      <c r="D15138" s="51">
        <v>0.0</v>
      </c>
    </row>
    <row r="15139" ht="15.75" hidden="1" customHeight="1">
      <c r="A15139" s="51" t="s">
        <v>730</v>
      </c>
      <c r="B15139" s="52">
        <v>46568.0</v>
      </c>
      <c r="C15139" s="51" t="s">
        <v>777</v>
      </c>
      <c r="D15139" s="51">
        <v>0.0</v>
      </c>
    </row>
    <row r="15140" ht="15.75" hidden="1" customHeight="1">
      <c r="A15140" s="51" t="s">
        <v>734</v>
      </c>
      <c r="B15140" s="52">
        <v>46568.0</v>
      </c>
      <c r="C15140" s="51" t="s">
        <v>777</v>
      </c>
      <c r="D15140" s="51">
        <v>0.0</v>
      </c>
    </row>
    <row r="15141" ht="15.75" hidden="1" customHeight="1">
      <c r="A15141" s="51" t="s">
        <v>739</v>
      </c>
      <c r="B15141" s="52">
        <v>46568.0</v>
      </c>
      <c r="C15141" s="51" t="s">
        <v>777</v>
      </c>
      <c r="D15141" s="51">
        <v>0.0</v>
      </c>
    </row>
    <row r="15142" ht="15.75" hidden="1" customHeight="1">
      <c r="A15142" s="51" t="s">
        <v>744</v>
      </c>
      <c r="B15142" s="52">
        <v>46568.0</v>
      </c>
      <c r="C15142" s="51" t="s">
        <v>777</v>
      </c>
      <c r="D15142" s="51">
        <v>0.0</v>
      </c>
    </row>
    <row r="15143" ht="15.75" hidden="1" customHeight="1">
      <c r="A15143" s="51" t="s">
        <v>749</v>
      </c>
      <c r="B15143" s="52">
        <v>46568.0</v>
      </c>
      <c r="C15143" s="51" t="s">
        <v>777</v>
      </c>
      <c r="D15143" s="51">
        <v>0.0</v>
      </c>
    </row>
    <row r="15144" ht="15.75" customHeight="1">
      <c r="A15144" s="51" t="s">
        <v>776</v>
      </c>
      <c r="B15144" s="52">
        <v>46568.0</v>
      </c>
      <c r="C15144" s="51" t="s">
        <v>78</v>
      </c>
      <c r="D15144" s="51">
        <v>0.0</v>
      </c>
    </row>
    <row r="15145" ht="15.75" hidden="1" customHeight="1">
      <c r="A15145" s="51" t="s">
        <v>778</v>
      </c>
      <c r="B15145" s="52">
        <v>46568.0</v>
      </c>
      <c r="C15145" s="51" t="s">
        <v>78</v>
      </c>
      <c r="D15145" s="51">
        <v>0.0</v>
      </c>
    </row>
    <row r="15146" ht="15.75" hidden="1" customHeight="1">
      <c r="A15146" s="51" t="s">
        <v>92</v>
      </c>
      <c r="B15146" s="52">
        <v>46568.0</v>
      </c>
      <c r="C15146" s="51" t="s">
        <v>78</v>
      </c>
      <c r="D15146" s="51">
        <v>0.0</v>
      </c>
    </row>
    <row r="15147" ht="15.75" hidden="1" customHeight="1">
      <c r="A15147" s="51" t="s">
        <v>97</v>
      </c>
      <c r="B15147" s="52">
        <v>46568.0</v>
      </c>
      <c r="C15147" s="51" t="s">
        <v>78</v>
      </c>
      <c r="D15147" s="51">
        <v>0.0</v>
      </c>
    </row>
    <row r="15148" ht="15.75" hidden="1" customHeight="1">
      <c r="A15148" s="51" t="s">
        <v>102</v>
      </c>
      <c r="B15148" s="52">
        <v>46568.0</v>
      </c>
      <c r="C15148" s="51" t="s">
        <v>78</v>
      </c>
      <c r="D15148" s="51">
        <v>0.0</v>
      </c>
    </row>
    <row r="15149" ht="15.75" hidden="1" customHeight="1">
      <c r="A15149" s="51" t="s">
        <v>106</v>
      </c>
      <c r="B15149" s="52">
        <v>46568.0</v>
      </c>
      <c r="C15149" s="51" t="s">
        <v>78</v>
      </c>
      <c r="D15149" s="51">
        <v>0.0</v>
      </c>
    </row>
    <row r="15150" ht="15.75" hidden="1" customHeight="1">
      <c r="A15150" s="51" t="s">
        <v>111</v>
      </c>
      <c r="B15150" s="52">
        <v>46568.0</v>
      </c>
      <c r="C15150" s="51" t="s">
        <v>78</v>
      </c>
      <c r="D15150" s="51">
        <v>0.0</v>
      </c>
    </row>
    <row r="15151" ht="15.75" hidden="1" customHeight="1">
      <c r="A15151" s="51" t="s">
        <v>116</v>
      </c>
      <c r="B15151" s="52">
        <v>46568.0</v>
      </c>
      <c r="C15151" s="51" t="s">
        <v>78</v>
      </c>
      <c r="D15151" s="51">
        <v>0.0</v>
      </c>
    </row>
    <row r="15152" ht="15.75" hidden="1" customHeight="1">
      <c r="A15152" s="51" t="s">
        <v>120</v>
      </c>
      <c r="B15152" s="52">
        <v>46568.0</v>
      </c>
      <c r="C15152" s="51" t="s">
        <v>78</v>
      </c>
      <c r="D15152" s="51">
        <v>0.0</v>
      </c>
    </row>
    <row r="15153" ht="15.75" hidden="1" customHeight="1">
      <c r="A15153" s="51" t="s">
        <v>125</v>
      </c>
      <c r="B15153" s="52">
        <v>46568.0</v>
      </c>
      <c r="C15153" s="51" t="s">
        <v>78</v>
      </c>
      <c r="D15153" s="51">
        <v>0.0</v>
      </c>
    </row>
    <row r="15154" ht="15.75" hidden="1" customHeight="1">
      <c r="A15154" s="51" t="s">
        <v>130</v>
      </c>
      <c r="B15154" s="52">
        <v>46568.0</v>
      </c>
      <c r="C15154" s="51" t="s">
        <v>78</v>
      </c>
      <c r="D15154" s="51">
        <v>0.0</v>
      </c>
    </row>
    <row r="15155" ht="15.75" hidden="1" customHeight="1">
      <c r="A15155" s="51" t="s">
        <v>137</v>
      </c>
      <c r="B15155" s="52">
        <v>46568.0</v>
      </c>
      <c r="C15155" s="51" t="s">
        <v>78</v>
      </c>
      <c r="D15155" s="51">
        <v>0.0</v>
      </c>
    </row>
    <row r="15156" ht="15.75" hidden="1" customHeight="1">
      <c r="A15156" s="51" t="s">
        <v>142</v>
      </c>
      <c r="B15156" s="52">
        <v>46568.0</v>
      </c>
      <c r="C15156" s="51" t="s">
        <v>78</v>
      </c>
      <c r="D15156" s="51">
        <v>0.0</v>
      </c>
    </row>
    <row r="15157" ht="15.75" hidden="1" customHeight="1">
      <c r="A15157" s="51" t="s">
        <v>147</v>
      </c>
      <c r="B15157" s="52">
        <v>46568.0</v>
      </c>
      <c r="C15157" s="51" t="s">
        <v>78</v>
      </c>
      <c r="D15157" s="51">
        <v>0.0</v>
      </c>
    </row>
    <row r="15158" ht="15.75" hidden="1" customHeight="1">
      <c r="A15158" s="51" t="s">
        <v>152</v>
      </c>
      <c r="B15158" s="52">
        <v>46568.0</v>
      </c>
      <c r="C15158" s="51" t="s">
        <v>78</v>
      </c>
      <c r="D15158" s="51">
        <v>0.0</v>
      </c>
    </row>
    <row r="15159" ht="15.75" hidden="1" customHeight="1">
      <c r="A15159" s="51" t="s">
        <v>157</v>
      </c>
      <c r="B15159" s="52">
        <v>46568.0</v>
      </c>
      <c r="C15159" s="51" t="s">
        <v>78</v>
      </c>
      <c r="D15159" s="51">
        <v>0.0</v>
      </c>
    </row>
    <row r="15160" ht="15.75" hidden="1" customHeight="1">
      <c r="A15160" s="51" t="s">
        <v>162</v>
      </c>
      <c r="B15160" s="52">
        <v>46568.0</v>
      </c>
      <c r="C15160" s="51" t="s">
        <v>78</v>
      </c>
      <c r="D15160" s="51">
        <v>0.0</v>
      </c>
    </row>
    <row r="15161" ht="15.75" hidden="1" customHeight="1">
      <c r="A15161" s="51" t="s">
        <v>167</v>
      </c>
      <c r="B15161" s="52">
        <v>46568.0</v>
      </c>
      <c r="C15161" s="51" t="s">
        <v>78</v>
      </c>
      <c r="D15161" s="51">
        <v>0.0</v>
      </c>
    </row>
    <row r="15162" ht="15.75" hidden="1" customHeight="1">
      <c r="A15162" s="51" t="s">
        <v>172</v>
      </c>
      <c r="B15162" s="52">
        <v>46568.0</v>
      </c>
      <c r="C15162" s="51" t="s">
        <v>78</v>
      </c>
      <c r="D15162" s="51">
        <v>0.0</v>
      </c>
    </row>
    <row r="15163" ht="15.75" hidden="1" customHeight="1">
      <c r="A15163" s="51" t="s">
        <v>177</v>
      </c>
      <c r="B15163" s="52">
        <v>46568.0</v>
      </c>
      <c r="C15163" s="51" t="s">
        <v>78</v>
      </c>
      <c r="D15163" s="51">
        <v>0.0</v>
      </c>
    </row>
    <row r="15164" ht="15.75" hidden="1" customHeight="1">
      <c r="A15164" s="51" t="s">
        <v>182</v>
      </c>
      <c r="B15164" s="52">
        <v>46568.0</v>
      </c>
      <c r="C15164" s="51" t="s">
        <v>78</v>
      </c>
      <c r="D15164" s="51">
        <v>0.0</v>
      </c>
    </row>
    <row r="15165" ht="15.75" hidden="1" customHeight="1">
      <c r="A15165" s="51" t="s">
        <v>187</v>
      </c>
      <c r="B15165" s="52">
        <v>46568.0</v>
      </c>
      <c r="C15165" s="51" t="s">
        <v>78</v>
      </c>
      <c r="D15165" s="51">
        <v>0.0</v>
      </c>
    </row>
    <row r="15166" ht="15.75" hidden="1" customHeight="1">
      <c r="A15166" s="51" t="s">
        <v>192</v>
      </c>
      <c r="B15166" s="52">
        <v>46568.0</v>
      </c>
      <c r="C15166" s="51" t="s">
        <v>78</v>
      </c>
      <c r="D15166" s="51">
        <v>0.0</v>
      </c>
    </row>
    <row r="15167" ht="15.75" hidden="1" customHeight="1">
      <c r="A15167" s="51" t="s">
        <v>197</v>
      </c>
      <c r="B15167" s="52">
        <v>46568.0</v>
      </c>
      <c r="C15167" s="51" t="s">
        <v>78</v>
      </c>
      <c r="D15167" s="51">
        <v>0.0</v>
      </c>
    </row>
    <row r="15168" ht="15.75" hidden="1" customHeight="1">
      <c r="A15168" s="51" t="s">
        <v>202</v>
      </c>
      <c r="B15168" s="52">
        <v>46568.0</v>
      </c>
      <c r="C15168" s="51" t="s">
        <v>78</v>
      </c>
      <c r="D15168" s="51">
        <v>0.0</v>
      </c>
    </row>
    <row r="15169" ht="15.75" hidden="1" customHeight="1">
      <c r="A15169" s="51" t="s">
        <v>206</v>
      </c>
      <c r="B15169" s="52">
        <v>46568.0</v>
      </c>
      <c r="C15169" s="51" t="s">
        <v>78</v>
      </c>
      <c r="D15169" s="51">
        <v>0.0</v>
      </c>
    </row>
    <row r="15170" ht="15.75" hidden="1" customHeight="1">
      <c r="A15170" s="51" t="s">
        <v>211</v>
      </c>
      <c r="B15170" s="52">
        <v>46568.0</v>
      </c>
      <c r="C15170" s="51" t="s">
        <v>78</v>
      </c>
      <c r="D15170" s="51">
        <v>0.0</v>
      </c>
    </row>
    <row r="15171" ht="15.75" hidden="1" customHeight="1">
      <c r="A15171" s="51" t="s">
        <v>779</v>
      </c>
      <c r="B15171" s="52">
        <v>46568.0</v>
      </c>
      <c r="C15171" s="51" t="s">
        <v>78</v>
      </c>
      <c r="D15171" s="51">
        <v>0.0</v>
      </c>
    </row>
    <row r="15172" ht="15.75" hidden="1" customHeight="1">
      <c r="A15172" s="51" t="s">
        <v>221</v>
      </c>
      <c r="B15172" s="52">
        <v>46568.0</v>
      </c>
      <c r="C15172" s="51" t="s">
        <v>78</v>
      </c>
      <c r="D15172" s="51">
        <v>0.0</v>
      </c>
    </row>
    <row r="15173" ht="15.75" hidden="1" customHeight="1">
      <c r="A15173" s="51" t="s">
        <v>226</v>
      </c>
      <c r="B15173" s="52">
        <v>46568.0</v>
      </c>
      <c r="C15173" s="51" t="s">
        <v>78</v>
      </c>
      <c r="D15173" s="51">
        <v>0.0</v>
      </c>
    </row>
    <row r="15174" ht="15.75" hidden="1" customHeight="1">
      <c r="A15174" s="51" t="s">
        <v>231</v>
      </c>
      <c r="B15174" s="52">
        <v>46568.0</v>
      </c>
      <c r="C15174" s="51" t="s">
        <v>78</v>
      </c>
      <c r="D15174" s="51">
        <v>0.0</v>
      </c>
    </row>
    <row r="15175" ht="15.75" hidden="1" customHeight="1">
      <c r="A15175" s="51" t="s">
        <v>236</v>
      </c>
      <c r="B15175" s="52">
        <v>46568.0</v>
      </c>
      <c r="C15175" s="51" t="s">
        <v>78</v>
      </c>
      <c r="D15175" s="51">
        <v>0.0</v>
      </c>
    </row>
    <row r="15176" ht="15.75" hidden="1" customHeight="1">
      <c r="A15176" s="51" t="s">
        <v>242</v>
      </c>
      <c r="B15176" s="52">
        <v>46568.0</v>
      </c>
      <c r="C15176" s="51" t="s">
        <v>78</v>
      </c>
      <c r="D15176" s="51">
        <v>0.0</v>
      </c>
    </row>
    <row r="15177" ht="15.75" hidden="1" customHeight="1">
      <c r="A15177" s="51" t="s">
        <v>248</v>
      </c>
      <c r="B15177" s="52">
        <v>46568.0</v>
      </c>
      <c r="C15177" s="51" t="s">
        <v>78</v>
      </c>
      <c r="D15177" s="51">
        <v>0.0</v>
      </c>
    </row>
    <row r="15178" ht="15.75" hidden="1" customHeight="1">
      <c r="A15178" s="51" t="s">
        <v>253</v>
      </c>
      <c r="B15178" s="52">
        <v>46568.0</v>
      </c>
      <c r="C15178" s="51" t="s">
        <v>78</v>
      </c>
      <c r="D15178" s="51">
        <v>0.0</v>
      </c>
    </row>
    <row r="15179" ht="15.75" hidden="1" customHeight="1">
      <c r="A15179" s="51" t="s">
        <v>258</v>
      </c>
      <c r="B15179" s="52">
        <v>46568.0</v>
      </c>
      <c r="C15179" s="51" t="s">
        <v>78</v>
      </c>
      <c r="D15179" s="51">
        <v>0.0</v>
      </c>
    </row>
    <row r="15180" ht="15.75" hidden="1" customHeight="1">
      <c r="A15180" s="51" t="s">
        <v>263</v>
      </c>
      <c r="B15180" s="52">
        <v>46568.0</v>
      </c>
      <c r="C15180" s="51" t="s">
        <v>78</v>
      </c>
      <c r="D15180" s="51">
        <v>0.0</v>
      </c>
    </row>
    <row r="15181" ht="15.75" hidden="1" customHeight="1">
      <c r="A15181" s="51" t="s">
        <v>268</v>
      </c>
      <c r="B15181" s="52">
        <v>46568.0</v>
      </c>
      <c r="C15181" s="51" t="s">
        <v>78</v>
      </c>
      <c r="D15181" s="51">
        <v>0.0</v>
      </c>
    </row>
    <row r="15182" ht="15.75" hidden="1" customHeight="1">
      <c r="A15182" s="51" t="s">
        <v>273</v>
      </c>
      <c r="B15182" s="52">
        <v>46568.0</v>
      </c>
      <c r="C15182" s="51" t="s">
        <v>78</v>
      </c>
      <c r="D15182" s="51">
        <v>0.0</v>
      </c>
    </row>
    <row r="15183" ht="15.75" hidden="1" customHeight="1">
      <c r="A15183" s="51" t="s">
        <v>278</v>
      </c>
      <c r="B15183" s="52">
        <v>46568.0</v>
      </c>
      <c r="C15183" s="51" t="s">
        <v>78</v>
      </c>
      <c r="D15183" s="51">
        <v>0.0</v>
      </c>
    </row>
    <row r="15184" ht="15.75" hidden="1" customHeight="1">
      <c r="A15184" s="51" t="s">
        <v>283</v>
      </c>
      <c r="B15184" s="52">
        <v>46568.0</v>
      </c>
      <c r="C15184" s="51" t="s">
        <v>78</v>
      </c>
      <c r="D15184" s="51">
        <v>0.0</v>
      </c>
    </row>
    <row r="15185" ht="15.75" hidden="1" customHeight="1">
      <c r="A15185" s="51" t="s">
        <v>288</v>
      </c>
      <c r="B15185" s="52">
        <v>46568.0</v>
      </c>
      <c r="C15185" s="51" t="s">
        <v>78</v>
      </c>
      <c r="D15185" s="51">
        <v>0.0</v>
      </c>
    </row>
    <row r="15186" ht="15.75" hidden="1" customHeight="1">
      <c r="A15186" s="51" t="s">
        <v>293</v>
      </c>
      <c r="B15186" s="52">
        <v>46568.0</v>
      </c>
      <c r="C15186" s="51" t="s">
        <v>78</v>
      </c>
      <c r="D15186" s="51">
        <v>0.0</v>
      </c>
    </row>
    <row r="15187" ht="15.75" hidden="1" customHeight="1">
      <c r="A15187" s="51" t="s">
        <v>298</v>
      </c>
      <c r="B15187" s="52">
        <v>46568.0</v>
      </c>
      <c r="C15187" s="51" t="s">
        <v>78</v>
      </c>
      <c r="D15187" s="51">
        <v>0.0</v>
      </c>
    </row>
    <row r="15188" ht="15.75" hidden="1" customHeight="1">
      <c r="A15188" s="51" t="s">
        <v>303</v>
      </c>
      <c r="B15188" s="52">
        <v>46568.0</v>
      </c>
      <c r="C15188" s="51" t="s">
        <v>78</v>
      </c>
      <c r="D15188" s="51">
        <v>0.0</v>
      </c>
    </row>
    <row r="15189" ht="15.75" hidden="1" customHeight="1">
      <c r="A15189" s="51" t="s">
        <v>307</v>
      </c>
      <c r="B15189" s="52">
        <v>46568.0</v>
      </c>
      <c r="C15189" s="51" t="s">
        <v>78</v>
      </c>
      <c r="D15189" s="51">
        <v>0.0</v>
      </c>
    </row>
    <row r="15190" ht="15.75" hidden="1" customHeight="1">
      <c r="A15190" s="51" t="s">
        <v>313</v>
      </c>
      <c r="B15190" s="52">
        <v>46568.0</v>
      </c>
      <c r="C15190" s="51" t="s">
        <v>78</v>
      </c>
      <c r="D15190" s="51">
        <v>0.0</v>
      </c>
    </row>
    <row r="15191" ht="15.75" hidden="1" customHeight="1">
      <c r="A15191" s="51" t="s">
        <v>318</v>
      </c>
      <c r="B15191" s="52">
        <v>46568.0</v>
      </c>
      <c r="C15191" s="51" t="s">
        <v>78</v>
      </c>
      <c r="D15191" s="51">
        <v>0.0</v>
      </c>
    </row>
    <row r="15192" ht="15.75" hidden="1" customHeight="1">
      <c r="A15192" s="51" t="s">
        <v>323</v>
      </c>
      <c r="B15192" s="52">
        <v>46568.0</v>
      </c>
      <c r="C15192" s="51" t="s">
        <v>78</v>
      </c>
      <c r="D15192" s="51">
        <v>0.0</v>
      </c>
    </row>
    <row r="15193" ht="15.75" hidden="1" customHeight="1">
      <c r="A15193" s="51" t="s">
        <v>328</v>
      </c>
      <c r="B15193" s="52">
        <v>46568.0</v>
      </c>
      <c r="C15193" s="51" t="s">
        <v>78</v>
      </c>
      <c r="D15193" s="51">
        <v>0.0</v>
      </c>
    </row>
    <row r="15194" ht="15.75" hidden="1" customHeight="1">
      <c r="A15194" s="51" t="s">
        <v>335</v>
      </c>
      <c r="B15194" s="52">
        <v>46568.0</v>
      </c>
      <c r="C15194" s="51" t="s">
        <v>78</v>
      </c>
      <c r="D15194" s="51">
        <v>0.0</v>
      </c>
    </row>
    <row r="15195" ht="15.75" hidden="1" customHeight="1">
      <c r="A15195" s="51" t="s">
        <v>340</v>
      </c>
      <c r="B15195" s="52">
        <v>46568.0</v>
      </c>
      <c r="C15195" s="51" t="s">
        <v>78</v>
      </c>
      <c r="D15195" s="51">
        <v>0.0</v>
      </c>
    </row>
    <row r="15196" ht="15.75" hidden="1" customHeight="1">
      <c r="A15196" s="51" t="s">
        <v>345</v>
      </c>
      <c r="B15196" s="52">
        <v>46568.0</v>
      </c>
      <c r="C15196" s="51" t="s">
        <v>78</v>
      </c>
      <c r="D15196" s="51">
        <v>0.0</v>
      </c>
    </row>
    <row r="15197" ht="15.75" hidden="1" customHeight="1">
      <c r="A15197" s="51" t="s">
        <v>350</v>
      </c>
      <c r="B15197" s="52">
        <v>46568.0</v>
      </c>
      <c r="C15197" s="51" t="s">
        <v>78</v>
      </c>
      <c r="D15197" s="51">
        <v>0.0</v>
      </c>
    </row>
    <row r="15198" ht="15.75" hidden="1" customHeight="1">
      <c r="A15198" s="51" t="s">
        <v>355</v>
      </c>
      <c r="B15198" s="52">
        <v>46568.0</v>
      </c>
      <c r="C15198" s="51" t="s">
        <v>78</v>
      </c>
      <c r="D15198" s="51">
        <v>0.0</v>
      </c>
    </row>
    <row r="15199" ht="15.75" hidden="1" customHeight="1">
      <c r="A15199" s="51" t="s">
        <v>360</v>
      </c>
      <c r="B15199" s="52">
        <v>46568.0</v>
      </c>
      <c r="C15199" s="51" t="s">
        <v>78</v>
      </c>
      <c r="D15199" s="51">
        <v>0.0</v>
      </c>
    </row>
    <row r="15200" ht="15.75" hidden="1" customHeight="1">
      <c r="A15200" s="51" t="s">
        <v>365</v>
      </c>
      <c r="B15200" s="52">
        <v>46568.0</v>
      </c>
      <c r="C15200" s="51" t="s">
        <v>78</v>
      </c>
      <c r="D15200" s="51">
        <v>0.0</v>
      </c>
    </row>
    <row r="15201" ht="15.75" hidden="1" customHeight="1">
      <c r="A15201" s="51" t="s">
        <v>370</v>
      </c>
      <c r="B15201" s="52">
        <v>46568.0</v>
      </c>
      <c r="C15201" s="51" t="s">
        <v>78</v>
      </c>
      <c r="D15201" s="51">
        <v>0.0</v>
      </c>
    </row>
    <row r="15202" ht="15.75" hidden="1" customHeight="1">
      <c r="A15202" s="51" t="s">
        <v>375</v>
      </c>
      <c r="B15202" s="52">
        <v>46568.0</v>
      </c>
      <c r="C15202" s="51" t="s">
        <v>78</v>
      </c>
      <c r="D15202" s="51">
        <v>0.0</v>
      </c>
    </row>
    <row r="15203" ht="15.75" hidden="1" customHeight="1">
      <c r="A15203" s="51" t="s">
        <v>380</v>
      </c>
      <c r="B15203" s="52">
        <v>46568.0</v>
      </c>
      <c r="C15203" s="51" t="s">
        <v>78</v>
      </c>
      <c r="D15203" s="51">
        <v>0.0</v>
      </c>
    </row>
    <row r="15204" ht="15.75" hidden="1" customHeight="1">
      <c r="A15204" s="51" t="s">
        <v>385</v>
      </c>
      <c r="B15204" s="52">
        <v>46568.0</v>
      </c>
      <c r="C15204" s="51" t="s">
        <v>78</v>
      </c>
      <c r="D15204" s="51">
        <v>0.0</v>
      </c>
    </row>
    <row r="15205" ht="15.75" hidden="1" customHeight="1">
      <c r="A15205" s="51" t="s">
        <v>390</v>
      </c>
      <c r="B15205" s="52">
        <v>46568.0</v>
      </c>
      <c r="C15205" s="51" t="s">
        <v>78</v>
      </c>
      <c r="D15205" s="51">
        <v>0.0</v>
      </c>
    </row>
    <row r="15206" ht="15.75" hidden="1" customHeight="1">
      <c r="A15206" s="51" t="s">
        <v>395</v>
      </c>
      <c r="B15206" s="52">
        <v>46568.0</v>
      </c>
      <c r="C15206" s="51" t="s">
        <v>78</v>
      </c>
      <c r="D15206" s="51">
        <v>0.0</v>
      </c>
    </row>
    <row r="15207" ht="15.75" hidden="1" customHeight="1">
      <c r="A15207" s="51" t="s">
        <v>400</v>
      </c>
      <c r="B15207" s="52">
        <v>46568.0</v>
      </c>
      <c r="C15207" s="51" t="s">
        <v>78</v>
      </c>
      <c r="D15207" s="51">
        <v>0.0</v>
      </c>
    </row>
    <row r="15208" ht="15.75" hidden="1" customHeight="1">
      <c r="A15208" s="51" t="s">
        <v>405</v>
      </c>
      <c r="B15208" s="52">
        <v>46568.0</v>
      </c>
      <c r="C15208" s="51" t="s">
        <v>78</v>
      </c>
      <c r="D15208" s="51">
        <v>0.0</v>
      </c>
    </row>
    <row r="15209" ht="15.75" hidden="1" customHeight="1">
      <c r="A15209" s="51" t="s">
        <v>410</v>
      </c>
      <c r="B15209" s="52">
        <v>46568.0</v>
      </c>
      <c r="C15209" s="51" t="s">
        <v>78</v>
      </c>
      <c r="D15209" s="51">
        <v>0.0</v>
      </c>
    </row>
    <row r="15210" ht="15.75" hidden="1" customHeight="1">
      <c r="A15210" s="51" t="s">
        <v>415</v>
      </c>
      <c r="B15210" s="52">
        <v>46568.0</v>
      </c>
      <c r="C15210" s="51" t="s">
        <v>78</v>
      </c>
      <c r="D15210" s="51">
        <v>0.0</v>
      </c>
    </row>
    <row r="15211" ht="15.75" hidden="1" customHeight="1">
      <c r="A15211" s="51" t="s">
        <v>420</v>
      </c>
      <c r="B15211" s="52">
        <v>46568.0</v>
      </c>
      <c r="C15211" s="51" t="s">
        <v>78</v>
      </c>
      <c r="D15211" s="51">
        <v>0.0</v>
      </c>
    </row>
    <row r="15212" ht="15.75" hidden="1" customHeight="1">
      <c r="A15212" s="51" t="s">
        <v>425</v>
      </c>
      <c r="B15212" s="52">
        <v>46568.0</v>
      </c>
      <c r="C15212" s="51" t="s">
        <v>78</v>
      </c>
      <c r="D15212" s="51">
        <v>0.0</v>
      </c>
    </row>
    <row r="15213" ht="15.75" hidden="1" customHeight="1">
      <c r="A15213" s="51" t="s">
        <v>430</v>
      </c>
      <c r="B15213" s="52">
        <v>46568.0</v>
      </c>
      <c r="C15213" s="51" t="s">
        <v>78</v>
      </c>
      <c r="D15213" s="51">
        <v>0.0</v>
      </c>
    </row>
    <row r="15214" ht="15.75" hidden="1" customHeight="1">
      <c r="A15214" s="51" t="s">
        <v>434</v>
      </c>
      <c r="B15214" s="52">
        <v>46568.0</v>
      </c>
      <c r="C15214" s="51" t="s">
        <v>78</v>
      </c>
      <c r="D15214" s="51">
        <v>0.0</v>
      </c>
    </row>
    <row r="15215" ht="15.75" hidden="1" customHeight="1">
      <c r="A15215" s="51" t="s">
        <v>439</v>
      </c>
      <c r="B15215" s="52">
        <v>46568.0</v>
      </c>
      <c r="C15215" s="51" t="s">
        <v>78</v>
      </c>
      <c r="D15215" s="51">
        <v>0.0</v>
      </c>
    </row>
    <row r="15216" ht="15.75" hidden="1" customHeight="1">
      <c r="A15216" s="51" t="s">
        <v>444</v>
      </c>
      <c r="B15216" s="52">
        <v>46568.0</v>
      </c>
      <c r="C15216" s="51" t="s">
        <v>78</v>
      </c>
      <c r="D15216" s="51">
        <v>0.0</v>
      </c>
    </row>
    <row r="15217" ht="15.75" hidden="1" customHeight="1">
      <c r="A15217" s="51" t="s">
        <v>449</v>
      </c>
      <c r="B15217" s="52">
        <v>46568.0</v>
      </c>
      <c r="C15217" s="51" t="s">
        <v>78</v>
      </c>
      <c r="D15217" s="51">
        <v>0.0</v>
      </c>
    </row>
    <row r="15218" ht="15.75" hidden="1" customHeight="1">
      <c r="A15218" s="51" t="s">
        <v>455</v>
      </c>
      <c r="B15218" s="52">
        <v>46568.0</v>
      </c>
      <c r="C15218" s="51" t="s">
        <v>78</v>
      </c>
      <c r="D15218" s="51">
        <v>0.0</v>
      </c>
    </row>
    <row r="15219" ht="15.75" hidden="1" customHeight="1">
      <c r="A15219" s="51" t="s">
        <v>470</v>
      </c>
      <c r="B15219" s="52">
        <v>46568.0</v>
      </c>
      <c r="C15219" s="51" t="s">
        <v>78</v>
      </c>
      <c r="D15219" s="51">
        <v>0.0</v>
      </c>
    </row>
    <row r="15220" ht="15.75" hidden="1" customHeight="1">
      <c r="A15220" s="51" t="s">
        <v>476</v>
      </c>
      <c r="B15220" s="52">
        <v>46568.0</v>
      </c>
      <c r="C15220" s="51" t="s">
        <v>78</v>
      </c>
      <c r="D15220" s="51">
        <v>0.0</v>
      </c>
    </row>
    <row r="15221" ht="15.75" hidden="1" customHeight="1">
      <c r="A15221" s="51" t="s">
        <v>481</v>
      </c>
      <c r="B15221" s="52">
        <v>46568.0</v>
      </c>
      <c r="C15221" s="51" t="s">
        <v>78</v>
      </c>
      <c r="D15221" s="51">
        <v>0.0</v>
      </c>
    </row>
    <row r="15222" ht="15.75" hidden="1" customHeight="1">
      <c r="A15222" s="51" t="s">
        <v>486</v>
      </c>
      <c r="B15222" s="52">
        <v>46568.0</v>
      </c>
      <c r="C15222" s="51" t="s">
        <v>78</v>
      </c>
      <c r="D15222" s="51">
        <v>0.0</v>
      </c>
    </row>
    <row r="15223" ht="15.75" hidden="1" customHeight="1">
      <c r="A15223" s="51" t="s">
        <v>491</v>
      </c>
      <c r="B15223" s="52">
        <v>46568.0</v>
      </c>
      <c r="C15223" s="51" t="s">
        <v>78</v>
      </c>
      <c r="D15223" s="51">
        <v>0.0</v>
      </c>
    </row>
    <row r="15224" ht="15.75" hidden="1" customHeight="1">
      <c r="A15224" s="51" t="s">
        <v>496</v>
      </c>
      <c r="B15224" s="52">
        <v>46568.0</v>
      </c>
      <c r="C15224" s="51" t="s">
        <v>78</v>
      </c>
      <c r="D15224" s="51">
        <v>0.0</v>
      </c>
    </row>
    <row r="15225" ht="15.75" hidden="1" customHeight="1">
      <c r="A15225" s="51" t="s">
        <v>501</v>
      </c>
      <c r="B15225" s="52">
        <v>46568.0</v>
      </c>
      <c r="C15225" s="51" t="s">
        <v>78</v>
      </c>
      <c r="D15225" s="51">
        <v>0.0</v>
      </c>
    </row>
    <row r="15226" ht="15.75" hidden="1" customHeight="1">
      <c r="A15226" s="51" t="s">
        <v>506</v>
      </c>
      <c r="B15226" s="52">
        <v>46568.0</v>
      </c>
      <c r="C15226" s="51" t="s">
        <v>78</v>
      </c>
      <c r="D15226" s="51">
        <v>0.0</v>
      </c>
    </row>
    <row r="15227" ht="15.75" hidden="1" customHeight="1">
      <c r="A15227" s="51" t="s">
        <v>512</v>
      </c>
      <c r="B15227" s="52">
        <v>46568.0</v>
      </c>
      <c r="C15227" s="51" t="s">
        <v>78</v>
      </c>
      <c r="D15227" s="51">
        <v>0.0</v>
      </c>
    </row>
    <row r="15228" ht="15.75" hidden="1" customHeight="1">
      <c r="A15228" s="51" t="s">
        <v>517</v>
      </c>
      <c r="B15228" s="52">
        <v>46568.0</v>
      </c>
      <c r="C15228" s="51" t="s">
        <v>78</v>
      </c>
      <c r="D15228" s="51">
        <v>0.0</v>
      </c>
    </row>
    <row r="15229" ht="15.75" hidden="1" customHeight="1">
      <c r="A15229" s="51" t="s">
        <v>522</v>
      </c>
      <c r="B15229" s="52">
        <v>46568.0</v>
      </c>
      <c r="C15229" s="51" t="s">
        <v>78</v>
      </c>
      <c r="D15229" s="51">
        <v>0.0</v>
      </c>
    </row>
    <row r="15230" ht="15.75" hidden="1" customHeight="1">
      <c r="A15230" s="51" t="s">
        <v>528</v>
      </c>
      <c r="B15230" s="52">
        <v>46568.0</v>
      </c>
      <c r="C15230" s="51" t="s">
        <v>78</v>
      </c>
      <c r="D15230" s="51">
        <v>0.0</v>
      </c>
    </row>
    <row r="15231" ht="15.75" hidden="1" customHeight="1">
      <c r="A15231" s="51" t="s">
        <v>533</v>
      </c>
      <c r="B15231" s="52">
        <v>46568.0</v>
      </c>
      <c r="C15231" s="51" t="s">
        <v>78</v>
      </c>
      <c r="D15231" s="51">
        <v>0.0</v>
      </c>
    </row>
    <row r="15232" ht="15.75" hidden="1" customHeight="1">
      <c r="A15232" s="51" t="s">
        <v>538</v>
      </c>
      <c r="B15232" s="52">
        <v>46568.0</v>
      </c>
      <c r="C15232" s="51" t="s">
        <v>78</v>
      </c>
      <c r="D15232" s="51">
        <v>0.0</v>
      </c>
    </row>
    <row r="15233" ht="15.75" hidden="1" customHeight="1">
      <c r="A15233" s="51" t="s">
        <v>546</v>
      </c>
      <c r="B15233" s="52">
        <v>46568.0</v>
      </c>
      <c r="C15233" s="51" t="s">
        <v>78</v>
      </c>
      <c r="D15233" s="51">
        <v>0.0</v>
      </c>
    </row>
    <row r="15234" ht="15.75" hidden="1" customHeight="1">
      <c r="A15234" s="51" t="s">
        <v>551</v>
      </c>
      <c r="B15234" s="52">
        <v>46568.0</v>
      </c>
      <c r="C15234" s="51" t="s">
        <v>78</v>
      </c>
      <c r="D15234" s="51">
        <v>0.0</v>
      </c>
    </row>
    <row r="15235" ht="15.75" hidden="1" customHeight="1">
      <c r="A15235" s="51" t="s">
        <v>556</v>
      </c>
      <c r="B15235" s="52">
        <v>46568.0</v>
      </c>
      <c r="C15235" s="51" t="s">
        <v>78</v>
      </c>
      <c r="D15235" s="51">
        <v>0.0</v>
      </c>
    </row>
    <row r="15236" ht="15.75" hidden="1" customHeight="1">
      <c r="A15236" s="51" t="s">
        <v>561</v>
      </c>
      <c r="B15236" s="52">
        <v>46568.0</v>
      </c>
      <c r="C15236" s="51" t="s">
        <v>78</v>
      </c>
      <c r="D15236" s="51">
        <v>0.0</v>
      </c>
    </row>
    <row r="15237" ht="15.75" hidden="1" customHeight="1">
      <c r="A15237" s="51" t="s">
        <v>566</v>
      </c>
      <c r="B15237" s="52">
        <v>46568.0</v>
      </c>
      <c r="C15237" s="51" t="s">
        <v>78</v>
      </c>
      <c r="D15237" s="51">
        <v>0.0</v>
      </c>
    </row>
    <row r="15238" ht="15.75" hidden="1" customHeight="1">
      <c r="A15238" s="51" t="s">
        <v>571</v>
      </c>
      <c r="B15238" s="52">
        <v>46568.0</v>
      </c>
      <c r="C15238" s="51" t="s">
        <v>78</v>
      </c>
      <c r="D15238" s="51">
        <v>0.0</v>
      </c>
    </row>
    <row r="15239" ht="15.75" hidden="1" customHeight="1">
      <c r="A15239" s="51" t="s">
        <v>576</v>
      </c>
      <c r="B15239" s="52">
        <v>46568.0</v>
      </c>
      <c r="C15239" s="51" t="s">
        <v>78</v>
      </c>
      <c r="D15239" s="51">
        <v>0.0</v>
      </c>
    </row>
    <row r="15240" ht="15.75" hidden="1" customHeight="1">
      <c r="A15240" s="51" t="s">
        <v>581</v>
      </c>
      <c r="B15240" s="52">
        <v>46568.0</v>
      </c>
      <c r="C15240" s="51" t="s">
        <v>78</v>
      </c>
      <c r="D15240" s="51">
        <v>0.0</v>
      </c>
    </row>
    <row r="15241" ht="15.75" hidden="1" customHeight="1">
      <c r="A15241" s="51" t="s">
        <v>586</v>
      </c>
      <c r="B15241" s="52">
        <v>46568.0</v>
      </c>
      <c r="C15241" s="51" t="s">
        <v>78</v>
      </c>
      <c r="D15241" s="51">
        <v>0.0</v>
      </c>
    </row>
    <row r="15242" ht="15.75" hidden="1" customHeight="1">
      <c r="A15242" s="51" t="s">
        <v>754</v>
      </c>
      <c r="B15242" s="52">
        <v>46568.0</v>
      </c>
      <c r="C15242" s="51" t="s">
        <v>78</v>
      </c>
      <c r="D15242" s="51">
        <v>0.0</v>
      </c>
    </row>
    <row r="15243" ht="15.75" hidden="1" customHeight="1">
      <c r="A15243" s="51" t="s">
        <v>591</v>
      </c>
      <c r="B15243" s="52">
        <v>46568.0</v>
      </c>
      <c r="C15243" s="51" t="s">
        <v>78</v>
      </c>
      <c r="D15243" s="51">
        <v>0.0</v>
      </c>
    </row>
    <row r="15244" ht="15.75" hidden="1" customHeight="1">
      <c r="A15244" s="51" t="s">
        <v>759</v>
      </c>
      <c r="B15244" s="52">
        <v>46568.0</v>
      </c>
      <c r="C15244" s="51" t="s">
        <v>78</v>
      </c>
      <c r="D15244" s="51">
        <v>0.0</v>
      </c>
    </row>
    <row r="15245" ht="15.75" hidden="1" customHeight="1">
      <c r="A15245" s="51" t="s">
        <v>596</v>
      </c>
      <c r="B15245" s="52">
        <v>46568.0</v>
      </c>
      <c r="C15245" s="51" t="s">
        <v>78</v>
      </c>
      <c r="D15245" s="51">
        <v>0.0</v>
      </c>
    </row>
    <row r="15246" ht="15.75" hidden="1" customHeight="1">
      <c r="A15246" s="51" t="s">
        <v>602</v>
      </c>
      <c r="B15246" s="52">
        <v>46568.0</v>
      </c>
      <c r="C15246" s="51" t="s">
        <v>78</v>
      </c>
      <c r="D15246" s="51">
        <v>0.0</v>
      </c>
    </row>
    <row r="15247" ht="15.75" hidden="1" customHeight="1">
      <c r="A15247" s="51" t="s">
        <v>607</v>
      </c>
      <c r="B15247" s="52">
        <v>46568.0</v>
      </c>
      <c r="C15247" s="51" t="s">
        <v>78</v>
      </c>
      <c r="D15247" s="51">
        <v>0.0</v>
      </c>
    </row>
    <row r="15248" ht="15.75" hidden="1" customHeight="1">
      <c r="A15248" s="51" t="s">
        <v>612</v>
      </c>
      <c r="B15248" s="52">
        <v>46568.0</v>
      </c>
      <c r="C15248" s="51" t="s">
        <v>78</v>
      </c>
      <c r="D15248" s="51">
        <v>0.0</v>
      </c>
    </row>
    <row r="15249" ht="15.75" hidden="1" customHeight="1">
      <c r="A15249" s="51" t="s">
        <v>617</v>
      </c>
      <c r="B15249" s="52">
        <v>46568.0</v>
      </c>
      <c r="C15249" s="51" t="s">
        <v>78</v>
      </c>
      <c r="D15249" s="51">
        <v>0.0</v>
      </c>
    </row>
    <row r="15250" ht="15.75" hidden="1" customHeight="1">
      <c r="A15250" s="51" t="s">
        <v>622</v>
      </c>
      <c r="B15250" s="52">
        <v>46568.0</v>
      </c>
      <c r="C15250" s="51" t="s">
        <v>78</v>
      </c>
      <c r="D15250" s="51">
        <v>0.0</v>
      </c>
    </row>
    <row r="15251" ht="15.75" hidden="1" customHeight="1">
      <c r="A15251" s="51" t="s">
        <v>627</v>
      </c>
      <c r="B15251" s="52">
        <v>46568.0</v>
      </c>
      <c r="C15251" s="51" t="s">
        <v>78</v>
      </c>
      <c r="D15251" s="51">
        <v>0.0</v>
      </c>
    </row>
    <row r="15252" ht="15.75" hidden="1" customHeight="1">
      <c r="A15252" s="51" t="s">
        <v>631</v>
      </c>
      <c r="B15252" s="52">
        <v>46568.0</v>
      </c>
      <c r="C15252" s="51" t="s">
        <v>78</v>
      </c>
      <c r="D15252" s="51">
        <v>0.0</v>
      </c>
    </row>
    <row r="15253" ht="15.75" hidden="1" customHeight="1">
      <c r="A15253" s="51" t="s">
        <v>636</v>
      </c>
      <c r="B15253" s="52">
        <v>46568.0</v>
      </c>
      <c r="C15253" s="51" t="s">
        <v>78</v>
      </c>
      <c r="D15253" s="51">
        <v>0.0</v>
      </c>
    </row>
    <row r="15254" ht="15.75" hidden="1" customHeight="1">
      <c r="A15254" s="51" t="s">
        <v>640</v>
      </c>
      <c r="B15254" s="52">
        <v>46568.0</v>
      </c>
      <c r="C15254" s="51" t="s">
        <v>78</v>
      </c>
      <c r="D15254" s="51">
        <v>0.0</v>
      </c>
    </row>
    <row r="15255" ht="15.75" hidden="1" customHeight="1">
      <c r="A15255" s="51" t="s">
        <v>644</v>
      </c>
      <c r="B15255" s="52">
        <v>46568.0</v>
      </c>
      <c r="C15255" s="51" t="s">
        <v>78</v>
      </c>
      <c r="D15255" s="51">
        <v>0.0</v>
      </c>
    </row>
    <row r="15256" ht="15.75" hidden="1" customHeight="1">
      <c r="A15256" s="51" t="s">
        <v>649</v>
      </c>
      <c r="B15256" s="52">
        <v>46568.0</v>
      </c>
      <c r="C15256" s="51" t="s">
        <v>78</v>
      </c>
      <c r="D15256" s="51">
        <v>0.0</v>
      </c>
    </row>
    <row r="15257" ht="15.75" hidden="1" customHeight="1">
      <c r="A15257" s="51" t="s">
        <v>654</v>
      </c>
      <c r="B15257" s="52">
        <v>46568.0</v>
      </c>
      <c r="C15257" s="51" t="s">
        <v>78</v>
      </c>
      <c r="D15257" s="51">
        <v>0.0</v>
      </c>
    </row>
    <row r="15258" ht="15.75" hidden="1" customHeight="1">
      <c r="A15258" s="51" t="s">
        <v>659</v>
      </c>
      <c r="B15258" s="52">
        <v>46568.0</v>
      </c>
      <c r="C15258" s="51" t="s">
        <v>78</v>
      </c>
      <c r="D15258" s="51">
        <v>0.0</v>
      </c>
    </row>
    <row r="15259" ht="15.75" hidden="1" customHeight="1">
      <c r="A15259" s="51" t="s">
        <v>664</v>
      </c>
      <c r="B15259" s="52">
        <v>46568.0</v>
      </c>
      <c r="C15259" s="51" t="s">
        <v>78</v>
      </c>
      <c r="D15259" s="51">
        <v>0.0</v>
      </c>
    </row>
    <row r="15260" ht="15.75" hidden="1" customHeight="1">
      <c r="A15260" s="51" t="s">
        <v>669</v>
      </c>
      <c r="B15260" s="52">
        <v>46568.0</v>
      </c>
      <c r="C15260" s="51" t="s">
        <v>78</v>
      </c>
      <c r="D15260" s="51">
        <v>0.0</v>
      </c>
    </row>
    <row r="15261" ht="15.75" hidden="1" customHeight="1">
      <c r="A15261" s="51" t="s">
        <v>674</v>
      </c>
      <c r="B15261" s="52">
        <v>46568.0</v>
      </c>
      <c r="C15261" s="51" t="s">
        <v>78</v>
      </c>
      <c r="D15261" s="51">
        <v>0.0</v>
      </c>
    </row>
    <row r="15262" ht="15.75" hidden="1" customHeight="1">
      <c r="A15262" s="51" t="s">
        <v>679</v>
      </c>
      <c r="B15262" s="52">
        <v>46568.0</v>
      </c>
      <c r="C15262" s="51" t="s">
        <v>78</v>
      </c>
      <c r="D15262" s="51">
        <v>0.0</v>
      </c>
    </row>
    <row r="15263" ht="15.75" hidden="1" customHeight="1">
      <c r="A15263" s="51" t="s">
        <v>684</v>
      </c>
      <c r="B15263" s="52">
        <v>46568.0</v>
      </c>
      <c r="C15263" s="51" t="s">
        <v>78</v>
      </c>
      <c r="D15263" s="51">
        <v>0.0</v>
      </c>
    </row>
    <row r="15264" ht="15.75" hidden="1" customHeight="1">
      <c r="A15264" s="51" t="s">
        <v>689</v>
      </c>
      <c r="B15264" s="52">
        <v>46568.0</v>
      </c>
      <c r="C15264" s="51" t="s">
        <v>78</v>
      </c>
      <c r="D15264" s="51">
        <v>0.0</v>
      </c>
    </row>
    <row r="15265" ht="15.75" hidden="1" customHeight="1">
      <c r="A15265" s="51" t="s">
        <v>694</v>
      </c>
      <c r="B15265" s="52">
        <v>46568.0</v>
      </c>
      <c r="C15265" s="51" t="s">
        <v>78</v>
      </c>
      <c r="D15265" s="51">
        <v>0.0</v>
      </c>
    </row>
    <row r="15266" ht="15.75" hidden="1" customHeight="1">
      <c r="A15266" s="51" t="s">
        <v>699</v>
      </c>
      <c r="B15266" s="52">
        <v>46568.0</v>
      </c>
      <c r="C15266" s="51" t="s">
        <v>78</v>
      </c>
      <c r="D15266" s="51">
        <v>0.0</v>
      </c>
    </row>
    <row r="15267" ht="15.75" hidden="1" customHeight="1">
      <c r="A15267" s="51" t="s">
        <v>705</v>
      </c>
      <c r="B15267" s="52">
        <v>46568.0</v>
      </c>
      <c r="C15267" s="51" t="s">
        <v>78</v>
      </c>
      <c r="D15267" s="51">
        <v>0.0</v>
      </c>
    </row>
    <row r="15268" ht="15.75" hidden="1" customHeight="1">
      <c r="A15268" s="51" t="s">
        <v>710</v>
      </c>
      <c r="B15268" s="52">
        <v>46568.0</v>
      </c>
      <c r="C15268" s="51" t="s">
        <v>78</v>
      </c>
      <c r="D15268" s="51">
        <v>0.0</v>
      </c>
    </row>
    <row r="15269" ht="15.75" hidden="1" customHeight="1">
      <c r="A15269" s="51" t="s">
        <v>715</v>
      </c>
      <c r="B15269" s="52">
        <v>46568.0</v>
      </c>
      <c r="C15269" s="51" t="s">
        <v>78</v>
      </c>
      <c r="D15269" s="51">
        <v>0.0</v>
      </c>
    </row>
    <row r="15270" ht="15.75" hidden="1" customHeight="1">
      <c r="A15270" s="51" t="s">
        <v>765</v>
      </c>
      <c r="B15270" s="52">
        <v>46568.0</v>
      </c>
      <c r="C15270" s="51" t="s">
        <v>78</v>
      </c>
      <c r="D15270" s="51">
        <v>0.0</v>
      </c>
    </row>
    <row r="15271" ht="15.75" hidden="1" customHeight="1">
      <c r="A15271" s="51" t="s">
        <v>720</v>
      </c>
      <c r="B15271" s="52">
        <v>46568.0</v>
      </c>
      <c r="C15271" s="51" t="s">
        <v>78</v>
      </c>
      <c r="D15271" s="51">
        <v>0.0</v>
      </c>
    </row>
    <row r="15272" ht="15.75" hidden="1" customHeight="1">
      <c r="A15272" s="51" t="s">
        <v>725</v>
      </c>
      <c r="B15272" s="52">
        <v>46568.0</v>
      </c>
      <c r="C15272" s="51" t="s">
        <v>78</v>
      </c>
      <c r="D15272" s="51">
        <v>0.0</v>
      </c>
    </row>
    <row r="15273" ht="15.75" hidden="1" customHeight="1">
      <c r="A15273" s="51" t="s">
        <v>730</v>
      </c>
      <c r="B15273" s="52">
        <v>46568.0</v>
      </c>
      <c r="C15273" s="51" t="s">
        <v>78</v>
      </c>
      <c r="D15273" s="51">
        <v>0.0</v>
      </c>
    </row>
    <row r="15274" ht="15.75" hidden="1" customHeight="1">
      <c r="A15274" s="51" t="s">
        <v>734</v>
      </c>
      <c r="B15274" s="52">
        <v>46568.0</v>
      </c>
      <c r="C15274" s="51" t="s">
        <v>78</v>
      </c>
      <c r="D15274" s="51">
        <v>0.0</v>
      </c>
    </row>
    <row r="15275" ht="15.75" hidden="1" customHeight="1">
      <c r="A15275" s="51" t="s">
        <v>739</v>
      </c>
      <c r="B15275" s="52">
        <v>46568.0</v>
      </c>
      <c r="C15275" s="51" t="s">
        <v>78</v>
      </c>
      <c r="D15275" s="51">
        <v>0.0</v>
      </c>
    </row>
    <row r="15276" ht="15.75" hidden="1" customHeight="1">
      <c r="A15276" s="51" t="s">
        <v>744</v>
      </c>
      <c r="B15276" s="52">
        <v>46568.0</v>
      </c>
      <c r="C15276" s="51" t="s">
        <v>78</v>
      </c>
      <c r="D15276" s="51">
        <v>0.0</v>
      </c>
    </row>
    <row r="15277" ht="15.75" hidden="1" customHeight="1">
      <c r="A15277" s="51" t="s">
        <v>749</v>
      </c>
      <c r="B15277" s="52">
        <v>46568.0</v>
      </c>
      <c r="C15277" s="51" t="s">
        <v>78</v>
      </c>
      <c r="D15277" s="51">
        <v>0.0</v>
      </c>
    </row>
    <row r="15278" ht="15.75" customHeight="1">
      <c r="A15278" s="51" t="s">
        <v>776</v>
      </c>
      <c r="B15278" s="52">
        <v>46568.0</v>
      </c>
      <c r="C15278" s="51" t="s">
        <v>69</v>
      </c>
      <c r="D15278" s="51">
        <v>0.0</v>
      </c>
    </row>
    <row r="15279" ht="15.75" hidden="1" customHeight="1">
      <c r="A15279" s="51" t="s">
        <v>778</v>
      </c>
      <c r="B15279" s="52">
        <v>46568.0</v>
      </c>
      <c r="C15279" s="51" t="s">
        <v>69</v>
      </c>
      <c r="D15279" s="51">
        <v>0.0</v>
      </c>
    </row>
    <row r="15280" ht="15.75" hidden="1" customHeight="1">
      <c r="A15280" s="51" t="s">
        <v>92</v>
      </c>
      <c r="B15280" s="52">
        <v>46568.0</v>
      </c>
      <c r="C15280" s="51" t="s">
        <v>69</v>
      </c>
      <c r="D15280" s="51">
        <v>0.0</v>
      </c>
    </row>
    <row r="15281" ht="15.75" hidden="1" customHeight="1">
      <c r="A15281" s="51" t="s">
        <v>97</v>
      </c>
      <c r="B15281" s="52">
        <v>46568.0</v>
      </c>
      <c r="C15281" s="51" t="s">
        <v>69</v>
      </c>
      <c r="D15281" s="51">
        <v>0.0</v>
      </c>
    </row>
    <row r="15282" ht="15.75" hidden="1" customHeight="1">
      <c r="A15282" s="51" t="s">
        <v>102</v>
      </c>
      <c r="B15282" s="52">
        <v>46568.0</v>
      </c>
      <c r="C15282" s="51" t="s">
        <v>69</v>
      </c>
      <c r="D15282" s="51">
        <v>0.0</v>
      </c>
    </row>
    <row r="15283" ht="15.75" hidden="1" customHeight="1">
      <c r="A15283" s="51" t="s">
        <v>106</v>
      </c>
      <c r="B15283" s="52">
        <v>46568.0</v>
      </c>
      <c r="C15283" s="51" t="s">
        <v>69</v>
      </c>
      <c r="D15283" s="51">
        <v>0.0</v>
      </c>
    </row>
    <row r="15284" ht="15.75" hidden="1" customHeight="1">
      <c r="A15284" s="51" t="s">
        <v>111</v>
      </c>
      <c r="B15284" s="52">
        <v>46568.0</v>
      </c>
      <c r="C15284" s="51" t="s">
        <v>69</v>
      </c>
      <c r="D15284" s="51">
        <v>0.0</v>
      </c>
    </row>
    <row r="15285" ht="15.75" hidden="1" customHeight="1">
      <c r="A15285" s="51" t="s">
        <v>116</v>
      </c>
      <c r="B15285" s="52">
        <v>46568.0</v>
      </c>
      <c r="C15285" s="51" t="s">
        <v>69</v>
      </c>
      <c r="D15285" s="51">
        <v>0.0</v>
      </c>
    </row>
    <row r="15286" ht="15.75" hidden="1" customHeight="1">
      <c r="A15286" s="51" t="s">
        <v>120</v>
      </c>
      <c r="B15286" s="52">
        <v>46568.0</v>
      </c>
      <c r="C15286" s="51" t="s">
        <v>69</v>
      </c>
      <c r="D15286" s="51">
        <v>0.0</v>
      </c>
    </row>
    <row r="15287" ht="15.75" hidden="1" customHeight="1">
      <c r="A15287" s="51" t="s">
        <v>125</v>
      </c>
      <c r="B15287" s="52">
        <v>46568.0</v>
      </c>
      <c r="C15287" s="51" t="s">
        <v>69</v>
      </c>
      <c r="D15287" s="51">
        <v>0.0</v>
      </c>
    </row>
    <row r="15288" ht="15.75" hidden="1" customHeight="1">
      <c r="A15288" s="51" t="s">
        <v>130</v>
      </c>
      <c r="B15288" s="52">
        <v>46568.0</v>
      </c>
      <c r="C15288" s="51" t="s">
        <v>69</v>
      </c>
      <c r="D15288" s="51">
        <v>0.0</v>
      </c>
    </row>
    <row r="15289" ht="15.75" hidden="1" customHeight="1">
      <c r="A15289" s="51" t="s">
        <v>137</v>
      </c>
      <c r="B15289" s="52">
        <v>46568.0</v>
      </c>
      <c r="C15289" s="51" t="s">
        <v>69</v>
      </c>
      <c r="D15289" s="51">
        <v>0.0</v>
      </c>
    </row>
    <row r="15290" ht="15.75" hidden="1" customHeight="1">
      <c r="A15290" s="51" t="s">
        <v>142</v>
      </c>
      <c r="B15290" s="52">
        <v>46568.0</v>
      </c>
      <c r="C15290" s="51" t="s">
        <v>69</v>
      </c>
      <c r="D15290" s="51">
        <v>0.0</v>
      </c>
    </row>
    <row r="15291" ht="15.75" hidden="1" customHeight="1">
      <c r="A15291" s="51" t="s">
        <v>147</v>
      </c>
      <c r="B15291" s="52">
        <v>46568.0</v>
      </c>
      <c r="C15291" s="51" t="s">
        <v>69</v>
      </c>
      <c r="D15291" s="51">
        <v>0.0</v>
      </c>
    </row>
    <row r="15292" ht="15.75" hidden="1" customHeight="1">
      <c r="A15292" s="51" t="s">
        <v>152</v>
      </c>
      <c r="B15292" s="52">
        <v>46568.0</v>
      </c>
      <c r="C15292" s="51" t="s">
        <v>69</v>
      </c>
      <c r="D15292" s="51">
        <v>0.0</v>
      </c>
    </row>
    <row r="15293" ht="15.75" hidden="1" customHeight="1">
      <c r="A15293" s="51" t="s">
        <v>157</v>
      </c>
      <c r="B15293" s="52">
        <v>46568.0</v>
      </c>
      <c r="C15293" s="51" t="s">
        <v>69</v>
      </c>
      <c r="D15293" s="51">
        <v>0.0</v>
      </c>
    </row>
    <row r="15294" ht="15.75" hidden="1" customHeight="1">
      <c r="A15294" s="51" t="s">
        <v>162</v>
      </c>
      <c r="B15294" s="52">
        <v>46568.0</v>
      </c>
      <c r="C15294" s="51" t="s">
        <v>69</v>
      </c>
      <c r="D15294" s="51">
        <v>0.0</v>
      </c>
    </row>
    <row r="15295" ht="15.75" hidden="1" customHeight="1">
      <c r="A15295" s="51" t="s">
        <v>167</v>
      </c>
      <c r="B15295" s="52">
        <v>46568.0</v>
      </c>
      <c r="C15295" s="51" t="s">
        <v>69</v>
      </c>
      <c r="D15295" s="51">
        <v>0.0</v>
      </c>
    </row>
    <row r="15296" ht="15.75" hidden="1" customHeight="1">
      <c r="A15296" s="51" t="s">
        <v>172</v>
      </c>
      <c r="B15296" s="52">
        <v>46568.0</v>
      </c>
      <c r="C15296" s="51" t="s">
        <v>69</v>
      </c>
      <c r="D15296" s="51">
        <v>0.0</v>
      </c>
    </row>
    <row r="15297" ht="15.75" hidden="1" customHeight="1">
      <c r="A15297" s="51" t="s">
        <v>177</v>
      </c>
      <c r="B15297" s="52">
        <v>46568.0</v>
      </c>
      <c r="C15297" s="51" t="s">
        <v>69</v>
      </c>
      <c r="D15297" s="51">
        <v>0.0</v>
      </c>
    </row>
    <row r="15298" ht="15.75" hidden="1" customHeight="1">
      <c r="A15298" s="51" t="s">
        <v>182</v>
      </c>
      <c r="B15298" s="52">
        <v>46568.0</v>
      </c>
      <c r="C15298" s="51" t="s">
        <v>69</v>
      </c>
      <c r="D15298" s="51">
        <v>0.0</v>
      </c>
    </row>
    <row r="15299" ht="15.75" hidden="1" customHeight="1">
      <c r="A15299" s="51" t="s">
        <v>187</v>
      </c>
      <c r="B15299" s="52">
        <v>46568.0</v>
      </c>
      <c r="C15299" s="51" t="s">
        <v>69</v>
      </c>
      <c r="D15299" s="51">
        <v>0.0</v>
      </c>
    </row>
    <row r="15300" ht="15.75" hidden="1" customHeight="1">
      <c r="A15300" s="51" t="s">
        <v>192</v>
      </c>
      <c r="B15300" s="52">
        <v>46568.0</v>
      </c>
      <c r="C15300" s="51" t="s">
        <v>69</v>
      </c>
      <c r="D15300" s="51">
        <v>0.0</v>
      </c>
    </row>
    <row r="15301" ht="15.75" hidden="1" customHeight="1">
      <c r="A15301" s="51" t="s">
        <v>197</v>
      </c>
      <c r="B15301" s="52">
        <v>46568.0</v>
      </c>
      <c r="C15301" s="51" t="s">
        <v>69</v>
      </c>
      <c r="D15301" s="51">
        <v>0.0</v>
      </c>
    </row>
    <row r="15302" ht="15.75" hidden="1" customHeight="1">
      <c r="A15302" s="51" t="s">
        <v>202</v>
      </c>
      <c r="B15302" s="52">
        <v>46568.0</v>
      </c>
      <c r="C15302" s="51" t="s">
        <v>69</v>
      </c>
      <c r="D15302" s="51">
        <v>0.0</v>
      </c>
    </row>
    <row r="15303" ht="15.75" hidden="1" customHeight="1">
      <c r="A15303" s="51" t="s">
        <v>206</v>
      </c>
      <c r="B15303" s="52">
        <v>46568.0</v>
      </c>
      <c r="C15303" s="51" t="s">
        <v>69</v>
      </c>
      <c r="D15303" s="51">
        <v>0.0</v>
      </c>
    </row>
    <row r="15304" ht="15.75" hidden="1" customHeight="1">
      <c r="A15304" s="51" t="s">
        <v>211</v>
      </c>
      <c r="B15304" s="52">
        <v>46568.0</v>
      </c>
      <c r="C15304" s="51" t="s">
        <v>69</v>
      </c>
      <c r="D15304" s="51">
        <v>0.0</v>
      </c>
    </row>
    <row r="15305" ht="15.75" hidden="1" customHeight="1">
      <c r="A15305" s="51" t="s">
        <v>779</v>
      </c>
      <c r="B15305" s="52">
        <v>46568.0</v>
      </c>
      <c r="C15305" s="51" t="s">
        <v>69</v>
      </c>
      <c r="D15305" s="51">
        <v>0.0</v>
      </c>
    </row>
    <row r="15306" ht="15.75" hidden="1" customHeight="1">
      <c r="A15306" s="51" t="s">
        <v>221</v>
      </c>
      <c r="B15306" s="52">
        <v>46568.0</v>
      </c>
      <c r="C15306" s="51" t="s">
        <v>69</v>
      </c>
      <c r="D15306" s="51">
        <v>0.0</v>
      </c>
    </row>
    <row r="15307" ht="15.75" hidden="1" customHeight="1">
      <c r="A15307" s="51" t="s">
        <v>226</v>
      </c>
      <c r="B15307" s="52">
        <v>46568.0</v>
      </c>
      <c r="C15307" s="51" t="s">
        <v>69</v>
      </c>
      <c r="D15307" s="51">
        <v>0.0</v>
      </c>
    </row>
    <row r="15308" ht="15.75" hidden="1" customHeight="1">
      <c r="A15308" s="51" t="s">
        <v>231</v>
      </c>
      <c r="B15308" s="52">
        <v>46568.0</v>
      </c>
      <c r="C15308" s="51" t="s">
        <v>69</v>
      </c>
      <c r="D15308" s="51">
        <v>0.0</v>
      </c>
    </row>
    <row r="15309" ht="15.75" hidden="1" customHeight="1">
      <c r="A15309" s="51" t="s">
        <v>236</v>
      </c>
      <c r="B15309" s="52">
        <v>46568.0</v>
      </c>
      <c r="C15309" s="51" t="s">
        <v>69</v>
      </c>
      <c r="D15309" s="51">
        <v>0.0</v>
      </c>
    </row>
    <row r="15310" ht="15.75" hidden="1" customHeight="1">
      <c r="A15310" s="51" t="s">
        <v>242</v>
      </c>
      <c r="B15310" s="52">
        <v>46568.0</v>
      </c>
      <c r="C15310" s="51" t="s">
        <v>69</v>
      </c>
      <c r="D15310" s="51">
        <v>0.0</v>
      </c>
    </row>
    <row r="15311" ht="15.75" hidden="1" customHeight="1">
      <c r="A15311" s="51" t="s">
        <v>248</v>
      </c>
      <c r="B15311" s="52">
        <v>46568.0</v>
      </c>
      <c r="C15311" s="51" t="s">
        <v>69</v>
      </c>
      <c r="D15311" s="51">
        <v>0.0</v>
      </c>
    </row>
    <row r="15312" ht="15.75" hidden="1" customHeight="1">
      <c r="A15312" s="51" t="s">
        <v>253</v>
      </c>
      <c r="B15312" s="52">
        <v>46568.0</v>
      </c>
      <c r="C15312" s="51" t="s">
        <v>69</v>
      </c>
      <c r="D15312" s="51">
        <v>0.0</v>
      </c>
    </row>
    <row r="15313" ht="15.75" hidden="1" customHeight="1">
      <c r="A15313" s="51" t="s">
        <v>258</v>
      </c>
      <c r="B15313" s="52">
        <v>46568.0</v>
      </c>
      <c r="C15313" s="51" t="s">
        <v>69</v>
      </c>
      <c r="D15313" s="51">
        <v>0.0</v>
      </c>
    </row>
    <row r="15314" ht="15.75" hidden="1" customHeight="1">
      <c r="A15314" s="51" t="s">
        <v>263</v>
      </c>
      <c r="B15314" s="52">
        <v>46568.0</v>
      </c>
      <c r="C15314" s="51" t="s">
        <v>69</v>
      </c>
      <c r="D15314" s="51">
        <v>0.0</v>
      </c>
    </row>
    <row r="15315" ht="15.75" hidden="1" customHeight="1">
      <c r="A15315" s="51" t="s">
        <v>268</v>
      </c>
      <c r="B15315" s="52">
        <v>46568.0</v>
      </c>
      <c r="C15315" s="51" t="s">
        <v>69</v>
      </c>
      <c r="D15315" s="51">
        <v>0.0</v>
      </c>
    </row>
    <row r="15316" ht="15.75" hidden="1" customHeight="1">
      <c r="A15316" s="51" t="s">
        <v>273</v>
      </c>
      <c r="B15316" s="52">
        <v>46568.0</v>
      </c>
      <c r="C15316" s="51" t="s">
        <v>69</v>
      </c>
      <c r="D15316" s="51">
        <v>0.0</v>
      </c>
    </row>
    <row r="15317" ht="15.75" hidden="1" customHeight="1">
      <c r="A15317" s="51" t="s">
        <v>278</v>
      </c>
      <c r="B15317" s="52">
        <v>46568.0</v>
      </c>
      <c r="C15317" s="51" t="s">
        <v>69</v>
      </c>
      <c r="D15317" s="51">
        <v>0.0</v>
      </c>
    </row>
    <row r="15318" ht="15.75" hidden="1" customHeight="1">
      <c r="A15318" s="51" t="s">
        <v>283</v>
      </c>
      <c r="B15318" s="52">
        <v>46568.0</v>
      </c>
      <c r="C15318" s="51" t="s">
        <v>69</v>
      </c>
      <c r="D15318" s="51">
        <v>0.0</v>
      </c>
    </row>
    <row r="15319" ht="15.75" hidden="1" customHeight="1">
      <c r="A15319" s="51" t="s">
        <v>288</v>
      </c>
      <c r="B15319" s="52">
        <v>46568.0</v>
      </c>
      <c r="C15319" s="51" t="s">
        <v>69</v>
      </c>
      <c r="D15319" s="51">
        <v>0.0</v>
      </c>
    </row>
    <row r="15320" ht="15.75" hidden="1" customHeight="1">
      <c r="A15320" s="51" t="s">
        <v>293</v>
      </c>
      <c r="B15320" s="52">
        <v>46568.0</v>
      </c>
      <c r="C15320" s="51" t="s">
        <v>69</v>
      </c>
      <c r="D15320" s="51">
        <v>0.0</v>
      </c>
    </row>
    <row r="15321" ht="15.75" hidden="1" customHeight="1">
      <c r="A15321" s="51" t="s">
        <v>298</v>
      </c>
      <c r="B15321" s="52">
        <v>46568.0</v>
      </c>
      <c r="C15321" s="51" t="s">
        <v>69</v>
      </c>
      <c r="D15321" s="51">
        <v>0.0</v>
      </c>
    </row>
    <row r="15322" ht="15.75" hidden="1" customHeight="1">
      <c r="A15322" s="51" t="s">
        <v>303</v>
      </c>
      <c r="B15322" s="52">
        <v>46568.0</v>
      </c>
      <c r="C15322" s="51" t="s">
        <v>69</v>
      </c>
      <c r="D15322" s="51">
        <v>0.0</v>
      </c>
    </row>
    <row r="15323" ht="15.75" hidden="1" customHeight="1">
      <c r="A15323" s="51" t="s">
        <v>307</v>
      </c>
      <c r="B15323" s="52">
        <v>46568.0</v>
      </c>
      <c r="C15323" s="51" t="s">
        <v>69</v>
      </c>
      <c r="D15323" s="51">
        <v>0.0</v>
      </c>
    </row>
    <row r="15324" ht="15.75" hidden="1" customHeight="1">
      <c r="A15324" s="51" t="s">
        <v>313</v>
      </c>
      <c r="B15324" s="52">
        <v>46568.0</v>
      </c>
      <c r="C15324" s="51" t="s">
        <v>69</v>
      </c>
      <c r="D15324" s="51">
        <v>0.0</v>
      </c>
    </row>
    <row r="15325" ht="15.75" hidden="1" customHeight="1">
      <c r="A15325" s="51" t="s">
        <v>318</v>
      </c>
      <c r="B15325" s="52">
        <v>46568.0</v>
      </c>
      <c r="C15325" s="51" t="s">
        <v>69</v>
      </c>
      <c r="D15325" s="51">
        <v>0.0</v>
      </c>
    </row>
    <row r="15326" ht="15.75" hidden="1" customHeight="1">
      <c r="A15326" s="51" t="s">
        <v>323</v>
      </c>
      <c r="B15326" s="52">
        <v>46568.0</v>
      </c>
      <c r="C15326" s="51" t="s">
        <v>69</v>
      </c>
      <c r="D15326" s="51">
        <v>0.0</v>
      </c>
    </row>
    <row r="15327" ht="15.75" hidden="1" customHeight="1">
      <c r="A15327" s="51" t="s">
        <v>328</v>
      </c>
      <c r="B15327" s="52">
        <v>46568.0</v>
      </c>
      <c r="C15327" s="51" t="s">
        <v>69</v>
      </c>
      <c r="D15327" s="51">
        <v>0.0</v>
      </c>
    </row>
    <row r="15328" ht="15.75" hidden="1" customHeight="1">
      <c r="A15328" s="51" t="s">
        <v>335</v>
      </c>
      <c r="B15328" s="52">
        <v>46568.0</v>
      </c>
      <c r="C15328" s="51" t="s">
        <v>69</v>
      </c>
      <c r="D15328" s="51">
        <v>0.0</v>
      </c>
    </row>
    <row r="15329" ht="15.75" hidden="1" customHeight="1">
      <c r="A15329" s="51" t="s">
        <v>340</v>
      </c>
      <c r="B15329" s="52">
        <v>46568.0</v>
      </c>
      <c r="C15329" s="51" t="s">
        <v>69</v>
      </c>
      <c r="D15329" s="51">
        <v>0.0</v>
      </c>
    </row>
    <row r="15330" ht="15.75" hidden="1" customHeight="1">
      <c r="A15330" s="51" t="s">
        <v>345</v>
      </c>
      <c r="B15330" s="52">
        <v>46568.0</v>
      </c>
      <c r="C15330" s="51" t="s">
        <v>69</v>
      </c>
      <c r="D15330" s="51">
        <v>0.0</v>
      </c>
    </row>
    <row r="15331" ht="15.75" hidden="1" customHeight="1">
      <c r="A15331" s="51" t="s">
        <v>350</v>
      </c>
      <c r="B15331" s="52">
        <v>46568.0</v>
      </c>
      <c r="C15331" s="51" t="s">
        <v>69</v>
      </c>
      <c r="D15331" s="51">
        <v>0.0</v>
      </c>
    </row>
    <row r="15332" ht="15.75" hidden="1" customHeight="1">
      <c r="A15332" s="51" t="s">
        <v>355</v>
      </c>
      <c r="B15332" s="52">
        <v>46568.0</v>
      </c>
      <c r="C15332" s="51" t="s">
        <v>69</v>
      </c>
      <c r="D15332" s="51">
        <v>0.0</v>
      </c>
    </row>
    <row r="15333" ht="15.75" hidden="1" customHeight="1">
      <c r="A15333" s="51" t="s">
        <v>360</v>
      </c>
      <c r="B15333" s="52">
        <v>46568.0</v>
      </c>
      <c r="C15333" s="51" t="s">
        <v>69</v>
      </c>
      <c r="D15333" s="51">
        <v>0.0</v>
      </c>
    </row>
    <row r="15334" ht="15.75" hidden="1" customHeight="1">
      <c r="A15334" s="51" t="s">
        <v>365</v>
      </c>
      <c r="B15334" s="52">
        <v>46568.0</v>
      </c>
      <c r="C15334" s="51" t="s">
        <v>69</v>
      </c>
      <c r="D15334" s="51">
        <v>0.0</v>
      </c>
    </row>
    <row r="15335" ht="15.75" hidden="1" customHeight="1">
      <c r="A15335" s="51" t="s">
        <v>370</v>
      </c>
      <c r="B15335" s="52">
        <v>46568.0</v>
      </c>
      <c r="C15335" s="51" t="s">
        <v>69</v>
      </c>
      <c r="D15335" s="51">
        <v>0.0</v>
      </c>
    </row>
    <row r="15336" ht="15.75" hidden="1" customHeight="1">
      <c r="A15336" s="51" t="s">
        <v>375</v>
      </c>
      <c r="B15336" s="52">
        <v>46568.0</v>
      </c>
      <c r="C15336" s="51" t="s">
        <v>69</v>
      </c>
      <c r="D15336" s="51">
        <v>0.0</v>
      </c>
    </row>
    <row r="15337" ht="15.75" hidden="1" customHeight="1">
      <c r="A15337" s="51" t="s">
        <v>380</v>
      </c>
      <c r="B15337" s="52">
        <v>46568.0</v>
      </c>
      <c r="C15337" s="51" t="s">
        <v>69</v>
      </c>
      <c r="D15337" s="51">
        <v>0.0</v>
      </c>
    </row>
    <row r="15338" ht="15.75" hidden="1" customHeight="1">
      <c r="A15338" s="51" t="s">
        <v>385</v>
      </c>
      <c r="B15338" s="52">
        <v>46568.0</v>
      </c>
      <c r="C15338" s="51" t="s">
        <v>69</v>
      </c>
      <c r="D15338" s="51">
        <v>0.0</v>
      </c>
    </row>
    <row r="15339" ht="15.75" hidden="1" customHeight="1">
      <c r="A15339" s="51" t="s">
        <v>390</v>
      </c>
      <c r="B15339" s="52">
        <v>46568.0</v>
      </c>
      <c r="C15339" s="51" t="s">
        <v>69</v>
      </c>
      <c r="D15339" s="51">
        <v>0.0</v>
      </c>
    </row>
    <row r="15340" ht="15.75" hidden="1" customHeight="1">
      <c r="A15340" s="51" t="s">
        <v>395</v>
      </c>
      <c r="B15340" s="52">
        <v>46568.0</v>
      </c>
      <c r="C15340" s="51" t="s">
        <v>69</v>
      </c>
      <c r="D15340" s="51">
        <v>0.0</v>
      </c>
    </row>
    <row r="15341" ht="15.75" hidden="1" customHeight="1">
      <c r="A15341" s="51" t="s">
        <v>400</v>
      </c>
      <c r="B15341" s="52">
        <v>46568.0</v>
      </c>
      <c r="C15341" s="51" t="s">
        <v>69</v>
      </c>
      <c r="D15341" s="51">
        <v>0.0</v>
      </c>
    </row>
    <row r="15342" ht="15.75" hidden="1" customHeight="1">
      <c r="A15342" s="51" t="s">
        <v>405</v>
      </c>
      <c r="B15342" s="52">
        <v>46568.0</v>
      </c>
      <c r="C15342" s="51" t="s">
        <v>69</v>
      </c>
      <c r="D15342" s="51">
        <v>0.0</v>
      </c>
    </row>
    <row r="15343" ht="15.75" hidden="1" customHeight="1">
      <c r="A15343" s="51" t="s">
        <v>410</v>
      </c>
      <c r="B15343" s="52">
        <v>46568.0</v>
      </c>
      <c r="C15343" s="51" t="s">
        <v>69</v>
      </c>
      <c r="D15343" s="51">
        <v>0.0</v>
      </c>
    </row>
    <row r="15344" ht="15.75" hidden="1" customHeight="1">
      <c r="A15344" s="51" t="s">
        <v>415</v>
      </c>
      <c r="B15344" s="52">
        <v>46568.0</v>
      </c>
      <c r="C15344" s="51" t="s">
        <v>69</v>
      </c>
      <c r="D15344" s="51">
        <v>0.0</v>
      </c>
    </row>
    <row r="15345" ht="15.75" hidden="1" customHeight="1">
      <c r="A15345" s="51" t="s">
        <v>420</v>
      </c>
      <c r="B15345" s="52">
        <v>46568.0</v>
      </c>
      <c r="C15345" s="51" t="s">
        <v>69</v>
      </c>
      <c r="D15345" s="51">
        <v>0.0</v>
      </c>
    </row>
    <row r="15346" ht="15.75" hidden="1" customHeight="1">
      <c r="A15346" s="51" t="s">
        <v>425</v>
      </c>
      <c r="B15346" s="52">
        <v>46568.0</v>
      </c>
      <c r="C15346" s="51" t="s">
        <v>69</v>
      </c>
      <c r="D15346" s="51">
        <v>0.0</v>
      </c>
    </row>
    <row r="15347" ht="15.75" hidden="1" customHeight="1">
      <c r="A15347" s="51" t="s">
        <v>430</v>
      </c>
      <c r="B15347" s="52">
        <v>46568.0</v>
      </c>
      <c r="C15347" s="51" t="s">
        <v>69</v>
      </c>
      <c r="D15347" s="51">
        <v>0.0</v>
      </c>
    </row>
    <row r="15348" ht="15.75" hidden="1" customHeight="1">
      <c r="A15348" s="51" t="s">
        <v>434</v>
      </c>
      <c r="B15348" s="52">
        <v>46568.0</v>
      </c>
      <c r="C15348" s="51" t="s">
        <v>69</v>
      </c>
      <c r="D15348" s="51">
        <v>0.0</v>
      </c>
    </row>
    <row r="15349" ht="15.75" hidden="1" customHeight="1">
      <c r="A15349" s="51" t="s">
        <v>439</v>
      </c>
      <c r="B15349" s="52">
        <v>46568.0</v>
      </c>
      <c r="C15349" s="51" t="s">
        <v>69</v>
      </c>
      <c r="D15349" s="51">
        <v>0.0</v>
      </c>
    </row>
    <row r="15350" ht="15.75" hidden="1" customHeight="1">
      <c r="A15350" s="51" t="s">
        <v>444</v>
      </c>
      <c r="B15350" s="52">
        <v>46568.0</v>
      </c>
      <c r="C15350" s="51" t="s">
        <v>69</v>
      </c>
      <c r="D15350" s="51">
        <v>0.0</v>
      </c>
    </row>
    <row r="15351" ht="15.75" hidden="1" customHeight="1">
      <c r="A15351" s="51" t="s">
        <v>449</v>
      </c>
      <c r="B15351" s="52">
        <v>46568.0</v>
      </c>
      <c r="C15351" s="51" t="s">
        <v>69</v>
      </c>
      <c r="D15351" s="51">
        <v>0.0</v>
      </c>
    </row>
    <row r="15352" ht="15.75" hidden="1" customHeight="1">
      <c r="A15352" s="51" t="s">
        <v>455</v>
      </c>
      <c r="B15352" s="52">
        <v>46568.0</v>
      </c>
      <c r="C15352" s="51" t="s">
        <v>69</v>
      </c>
      <c r="D15352" s="51">
        <v>0.0</v>
      </c>
    </row>
    <row r="15353" ht="15.75" hidden="1" customHeight="1">
      <c r="A15353" s="51" t="s">
        <v>470</v>
      </c>
      <c r="B15353" s="52">
        <v>46568.0</v>
      </c>
      <c r="C15353" s="51" t="s">
        <v>69</v>
      </c>
      <c r="D15353" s="51">
        <v>0.0</v>
      </c>
    </row>
    <row r="15354" ht="15.75" hidden="1" customHeight="1">
      <c r="A15354" s="51" t="s">
        <v>476</v>
      </c>
      <c r="B15354" s="52">
        <v>46568.0</v>
      </c>
      <c r="C15354" s="51" t="s">
        <v>69</v>
      </c>
      <c r="D15354" s="51">
        <v>0.0</v>
      </c>
    </row>
    <row r="15355" ht="15.75" hidden="1" customHeight="1">
      <c r="A15355" s="51" t="s">
        <v>481</v>
      </c>
      <c r="B15355" s="52">
        <v>46568.0</v>
      </c>
      <c r="C15355" s="51" t="s">
        <v>69</v>
      </c>
      <c r="D15355" s="51">
        <v>0.0</v>
      </c>
    </row>
    <row r="15356" ht="15.75" hidden="1" customHeight="1">
      <c r="A15356" s="51" t="s">
        <v>486</v>
      </c>
      <c r="B15356" s="52">
        <v>46568.0</v>
      </c>
      <c r="C15356" s="51" t="s">
        <v>69</v>
      </c>
      <c r="D15356" s="51">
        <v>0.0</v>
      </c>
    </row>
    <row r="15357" ht="15.75" hidden="1" customHeight="1">
      <c r="A15357" s="51" t="s">
        <v>491</v>
      </c>
      <c r="B15357" s="52">
        <v>46568.0</v>
      </c>
      <c r="C15357" s="51" t="s">
        <v>69</v>
      </c>
      <c r="D15357" s="51">
        <v>0.0</v>
      </c>
    </row>
    <row r="15358" ht="15.75" hidden="1" customHeight="1">
      <c r="A15358" s="51" t="s">
        <v>496</v>
      </c>
      <c r="B15358" s="52">
        <v>46568.0</v>
      </c>
      <c r="C15358" s="51" t="s">
        <v>69</v>
      </c>
      <c r="D15358" s="51">
        <v>0.0</v>
      </c>
    </row>
    <row r="15359" ht="15.75" hidden="1" customHeight="1">
      <c r="A15359" s="51" t="s">
        <v>501</v>
      </c>
      <c r="B15359" s="52">
        <v>46568.0</v>
      </c>
      <c r="C15359" s="51" t="s">
        <v>69</v>
      </c>
      <c r="D15359" s="51">
        <v>0.0</v>
      </c>
    </row>
    <row r="15360" ht="15.75" hidden="1" customHeight="1">
      <c r="A15360" s="51" t="s">
        <v>506</v>
      </c>
      <c r="B15360" s="52">
        <v>46568.0</v>
      </c>
      <c r="C15360" s="51" t="s">
        <v>69</v>
      </c>
      <c r="D15360" s="51">
        <v>0.0</v>
      </c>
    </row>
    <row r="15361" ht="15.75" hidden="1" customHeight="1">
      <c r="A15361" s="51" t="s">
        <v>512</v>
      </c>
      <c r="B15361" s="52">
        <v>46568.0</v>
      </c>
      <c r="C15361" s="51" t="s">
        <v>69</v>
      </c>
      <c r="D15361" s="51">
        <v>0.0</v>
      </c>
    </row>
    <row r="15362" ht="15.75" hidden="1" customHeight="1">
      <c r="A15362" s="51" t="s">
        <v>517</v>
      </c>
      <c r="B15362" s="52">
        <v>46568.0</v>
      </c>
      <c r="C15362" s="51" t="s">
        <v>69</v>
      </c>
      <c r="D15362" s="51">
        <v>0.0</v>
      </c>
    </row>
    <row r="15363" ht="15.75" hidden="1" customHeight="1">
      <c r="A15363" s="51" t="s">
        <v>522</v>
      </c>
      <c r="B15363" s="52">
        <v>46568.0</v>
      </c>
      <c r="C15363" s="51" t="s">
        <v>69</v>
      </c>
      <c r="D15363" s="51">
        <v>0.0</v>
      </c>
    </row>
    <row r="15364" ht="15.75" hidden="1" customHeight="1">
      <c r="A15364" s="51" t="s">
        <v>528</v>
      </c>
      <c r="B15364" s="52">
        <v>46568.0</v>
      </c>
      <c r="C15364" s="51" t="s">
        <v>69</v>
      </c>
      <c r="D15364" s="51">
        <v>0.0</v>
      </c>
    </row>
    <row r="15365" ht="15.75" hidden="1" customHeight="1">
      <c r="A15365" s="51" t="s">
        <v>533</v>
      </c>
      <c r="B15365" s="52">
        <v>46568.0</v>
      </c>
      <c r="C15365" s="51" t="s">
        <v>69</v>
      </c>
      <c r="D15365" s="51">
        <v>0.0</v>
      </c>
    </row>
    <row r="15366" ht="15.75" hidden="1" customHeight="1">
      <c r="A15366" s="51" t="s">
        <v>538</v>
      </c>
      <c r="B15366" s="52">
        <v>46568.0</v>
      </c>
      <c r="C15366" s="51" t="s">
        <v>69</v>
      </c>
      <c r="D15366" s="51">
        <v>0.0</v>
      </c>
    </row>
    <row r="15367" ht="15.75" hidden="1" customHeight="1">
      <c r="A15367" s="51" t="s">
        <v>546</v>
      </c>
      <c r="B15367" s="52">
        <v>46568.0</v>
      </c>
      <c r="C15367" s="51" t="s">
        <v>69</v>
      </c>
      <c r="D15367" s="51">
        <v>0.0</v>
      </c>
    </row>
    <row r="15368" ht="15.75" hidden="1" customHeight="1">
      <c r="A15368" s="51" t="s">
        <v>551</v>
      </c>
      <c r="B15368" s="52">
        <v>46568.0</v>
      </c>
      <c r="C15368" s="51" t="s">
        <v>69</v>
      </c>
      <c r="D15368" s="51">
        <v>0.0</v>
      </c>
    </row>
    <row r="15369" ht="15.75" hidden="1" customHeight="1">
      <c r="A15369" s="51" t="s">
        <v>556</v>
      </c>
      <c r="B15369" s="52">
        <v>46568.0</v>
      </c>
      <c r="C15369" s="51" t="s">
        <v>69</v>
      </c>
      <c r="D15369" s="51">
        <v>0.0</v>
      </c>
    </row>
    <row r="15370" ht="15.75" hidden="1" customHeight="1">
      <c r="A15370" s="51" t="s">
        <v>561</v>
      </c>
      <c r="B15370" s="52">
        <v>46568.0</v>
      </c>
      <c r="C15370" s="51" t="s">
        <v>69</v>
      </c>
      <c r="D15370" s="51">
        <v>0.0</v>
      </c>
    </row>
    <row r="15371" ht="15.75" hidden="1" customHeight="1">
      <c r="A15371" s="51" t="s">
        <v>566</v>
      </c>
      <c r="B15371" s="52">
        <v>46568.0</v>
      </c>
      <c r="C15371" s="51" t="s">
        <v>69</v>
      </c>
      <c r="D15371" s="51">
        <v>0.0</v>
      </c>
    </row>
    <row r="15372" ht="15.75" hidden="1" customHeight="1">
      <c r="A15372" s="51" t="s">
        <v>571</v>
      </c>
      <c r="B15372" s="52">
        <v>46568.0</v>
      </c>
      <c r="C15372" s="51" t="s">
        <v>69</v>
      </c>
      <c r="D15372" s="51">
        <v>0.0</v>
      </c>
    </row>
    <row r="15373" ht="15.75" hidden="1" customHeight="1">
      <c r="A15373" s="51" t="s">
        <v>576</v>
      </c>
      <c r="B15373" s="52">
        <v>46568.0</v>
      </c>
      <c r="C15373" s="51" t="s">
        <v>69</v>
      </c>
      <c r="D15373" s="51">
        <v>0.0</v>
      </c>
    </row>
    <row r="15374" ht="15.75" hidden="1" customHeight="1">
      <c r="A15374" s="51" t="s">
        <v>581</v>
      </c>
      <c r="B15374" s="52">
        <v>46568.0</v>
      </c>
      <c r="C15374" s="51" t="s">
        <v>69</v>
      </c>
      <c r="D15374" s="51">
        <v>0.0</v>
      </c>
    </row>
    <row r="15375" ht="15.75" hidden="1" customHeight="1">
      <c r="A15375" s="51" t="s">
        <v>586</v>
      </c>
      <c r="B15375" s="52">
        <v>46568.0</v>
      </c>
      <c r="C15375" s="51" t="s">
        <v>69</v>
      </c>
      <c r="D15375" s="51">
        <v>0.0</v>
      </c>
    </row>
    <row r="15376" ht="15.75" hidden="1" customHeight="1">
      <c r="A15376" s="51" t="s">
        <v>754</v>
      </c>
      <c r="B15376" s="52">
        <v>46568.0</v>
      </c>
      <c r="C15376" s="51" t="s">
        <v>69</v>
      </c>
      <c r="D15376" s="51">
        <v>0.0</v>
      </c>
    </row>
    <row r="15377" ht="15.75" hidden="1" customHeight="1">
      <c r="A15377" s="51" t="s">
        <v>591</v>
      </c>
      <c r="B15377" s="52">
        <v>46568.0</v>
      </c>
      <c r="C15377" s="51" t="s">
        <v>69</v>
      </c>
      <c r="D15377" s="51">
        <v>0.0</v>
      </c>
    </row>
    <row r="15378" ht="15.75" hidden="1" customHeight="1">
      <c r="A15378" s="51" t="s">
        <v>759</v>
      </c>
      <c r="B15378" s="52">
        <v>46568.0</v>
      </c>
      <c r="C15378" s="51" t="s">
        <v>69</v>
      </c>
      <c r="D15378" s="51">
        <v>0.0</v>
      </c>
    </row>
    <row r="15379" ht="15.75" hidden="1" customHeight="1">
      <c r="A15379" s="51" t="s">
        <v>596</v>
      </c>
      <c r="B15379" s="52">
        <v>46568.0</v>
      </c>
      <c r="C15379" s="51" t="s">
        <v>69</v>
      </c>
      <c r="D15379" s="51">
        <v>0.0</v>
      </c>
    </row>
    <row r="15380" ht="15.75" hidden="1" customHeight="1">
      <c r="A15380" s="51" t="s">
        <v>602</v>
      </c>
      <c r="B15380" s="52">
        <v>46568.0</v>
      </c>
      <c r="C15380" s="51" t="s">
        <v>69</v>
      </c>
      <c r="D15380" s="51">
        <v>0.0</v>
      </c>
    </row>
    <row r="15381" ht="15.75" hidden="1" customHeight="1">
      <c r="A15381" s="51" t="s">
        <v>607</v>
      </c>
      <c r="B15381" s="52">
        <v>46568.0</v>
      </c>
      <c r="C15381" s="51" t="s">
        <v>69</v>
      </c>
      <c r="D15381" s="51">
        <v>0.0</v>
      </c>
    </row>
    <row r="15382" ht="15.75" hidden="1" customHeight="1">
      <c r="A15382" s="51" t="s">
        <v>612</v>
      </c>
      <c r="B15382" s="52">
        <v>46568.0</v>
      </c>
      <c r="C15382" s="51" t="s">
        <v>69</v>
      </c>
      <c r="D15382" s="51">
        <v>0.0</v>
      </c>
    </row>
    <row r="15383" ht="15.75" hidden="1" customHeight="1">
      <c r="A15383" s="51" t="s">
        <v>617</v>
      </c>
      <c r="B15383" s="52">
        <v>46568.0</v>
      </c>
      <c r="C15383" s="51" t="s">
        <v>69</v>
      </c>
      <c r="D15383" s="51">
        <v>0.0</v>
      </c>
    </row>
    <row r="15384" ht="15.75" hidden="1" customHeight="1">
      <c r="A15384" s="51" t="s">
        <v>622</v>
      </c>
      <c r="B15384" s="52">
        <v>46568.0</v>
      </c>
      <c r="C15384" s="51" t="s">
        <v>69</v>
      </c>
      <c r="D15384" s="51">
        <v>0.0</v>
      </c>
    </row>
    <row r="15385" ht="15.75" hidden="1" customHeight="1">
      <c r="A15385" s="51" t="s">
        <v>627</v>
      </c>
      <c r="B15385" s="52">
        <v>46568.0</v>
      </c>
      <c r="C15385" s="51" t="s">
        <v>69</v>
      </c>
      <c r="D15385" s="51">
        <v>0.0</v>
      </c>
    </row>
    <row r="15386" ht="15.75" hidden="1" customHeight="1">
      <c r="A15386" s="51" t="s">
        <v>631</v>
      </c>
      <c r="B15386" s="52">
        <v>46568.0</v>
      </c>
      <c r="C15386" s="51" t="s">
        <v>69</v>
      </c>
      <c r="D15386" s="51">
        <v>0.0</v>
      </c>
    </row>
    <row r="15387" ht="15.75" hidden="1" customHeight="1">
      <c r="A15387" s="51" t="s">
        <v>636</v>
      </c>
      <c r="B15387" s="52">
        <v>46568.0</v>
      </c>
      <c r="C15387" s="51" t="s">
        <v>69</v>
      </c>
      <c r="D15387" s="51">
        <v>0.0</v>
      </c>
    </row>
    <row r="15388" ht="15.75" hidden="1" customHeight="1">
      <c r="A15388" s="51" t="s">
        <v>640</v>
      </c>
      <c r="B15388" s="52">
        <v>46568.0</v>
      </c>
      <c r="C15388" s="51" t="s">
        <v>69</v>
      </c>
      <c r="D15388" s="51">
        <v>0.0</v>
      </c>
    </row>
    <row r="15389" ht="15.75" hidden="1" customHeight="1">
      <c r="A15389" s="51" t="s">
        <v>644</v>
      </c>
      <c r="B15389" s="52">
        <v>46568.0</v>
      </c>
      <c r="C15389" s="51" t="s">
        <v>69</v>
      </c>
      <c r="D15389" s="51">
        <v>0.0</v>
      </c>
    </row>
    <row r="15390" ht="15.75" hidden="1" customHeight="1">
      <c r="A15390" s="51" t="s">
        <v>649</v>
      </c>
      <c r="B15390" s="52">
        <v>46568.0</v>
      </c>
      <c r="C15390" s="51" t="s">
        <v>69</v>
      </c>
      <c r="D15390" s="51">
        <v>0.0</v>
      </c>
    </row>
    <row r="15391" ht="15.75" hidden="1" customHeight="1">
      <c r="A15391" s="51" t="s">
        <v>654</v>
      </c>
      <c r="B15391" s="52">
        <v>46568.0</v>
      </c>
      <c r="C15391" s="51" t="s">
        <v>69</v>
      </c>
      <c r="D15391" s="51">
        <v>0.0</v>
      </c>
    </row>
    <row r="15392" ht="15.75" hidden="1" customHeight="1">
      <c r="A15392" s="51" t="s">
        <v>659</v>
      </c>
      <c r="B15392" s="52">
        <v>46568.0</v>
      </c>
      <c r="C15392" s="51" t="s">
        <v>69</v>
      </c>
      <c r="D15392" s="51">
        <v>0.0</v>
      </c>
    </row>
    <row r="15393" ht="15.75" hidden="1" customHeight="1">
      <c r="A15393" s="51" t="s">
        <v>664</v>
      </c>
      <c r="B15393" s="52">
        <v>46568.0</v>
      </c>
      <c r="C15393" s="51" t="s">
        <v>69</v>
      </c>
      <c r="D15393" s="51">
        <v>0.0</v>
      </c>
    </row>
    <row r="15394" ht="15.75" hidden="1" customHeight="1">
      <c r="A15394" s="51" t="s">
        <v>669</v>
      </c>
      <c r="B15394" s="52">
        <v>46568.0</v>
      </c>
      <c r="C15394" s="51" t="s">
        <v>69</v>
      </c>
      <c r="D15394" s="51">
        <v>0.0</v>
      </c>
    </row>
    <row r="15395" ht="15.75" hidden="1" customHeight="1">
      <c r="A15395" s="51" t="s">
        <v>674</v>
      </c>
      <c r="B15395" s="52">
        <v>46568.0</v>
      </c>
      <c r="C15395" s="51" t="s">
        <v>69</v>
      </c>
      <c r="D15395" s="51">
        <v>0.0</v>
      </c>
    </row>
    <row r="15396" ht="15.75" hidden="1" customHeight="1">
      <c r="A15396" s="51" t="s">
        <v>679</v>
      </c>
      <c r="B15396" s="52">
        <v>46568.0</v>
      </c>
      <c r="C15396" s="51" t="s">
        <v>69</v>
      </c>
      <c r="D15396" s="51">
        <v>0.0</v>
      </c>
    </row>
    <row r="15397" ht="15.75" hidden="1" customHeight="1">
      <c r="A15397" s="51" t="s">
        <v>684</v>
      </c>
      <c r="B15397" s="52">
        <v>46568.0</v>
      </c>
      <c r="C15397" s="51" t="s">
        <v>69</v>
      </c>
      <c r="D15397" s="51">
        <v>0.0</v>
      </c>
    </row>
    <row r="15398" ht="15.75" hidden="1" customHeight="1">
      <c r="A15398" s="51" t="s">
        <v>689</v>
      </c>
      <c r="B15398" s="52">
        <v>46568.0</v>
      </c>
      <c r="C15398" s="51" t="s">
        <v>69</v>
      </c>
      <c r="D15398" s="51">
        <v>0.0</v>
      </c>
    </row>
    <row r="15399" ht="15.75" hidden="1" customHeight="1">
      <c r="A15399" s="51" t="s">
        <v>694</v>
      </c>
      <c r="B15399" s="52">
        <v>46568.0</v>
      </c>
      <c r="C15399" s="51" t="s">
        <v>69</v>
      </c>
      <c r="D15399" s="51">
        <v>0.0</v>
      </c>
    </row>
    <row r="15400" ht="15.75" hidden="1" customHeight="1">
      <c r="A15400" s="51" t="s">
        <v>699</v>
      </c>
      <c r="B15400" s="52">
        <v>46568.0</v>
      </c>
      <c r="C15400" s="51" t="s">
        <v>69</v>
      </c>
      <c r="D15400" s="51">
        <v>0.0</v>
      </c>
    </row>
    <row r="15401" ht="15.75" hidden="1" customHeight="1">
      <c r="A15401" s="51" t="s">
        <v>705</v>
      </c>
      <c r="B15401" s="52">
        <v>46568.0</v>
      </c>
      <c r="C15401" s="51" t="s">
        <v>69</v>
      </c>
      <c r="D15401" s="51">
        <v>0.0</v>
      </c>
    </row>
    <row r="15402" ht="15.75" hidden="1" customHeight="1">
      <c r="A15402" s="51" t="s">
        <v>710</v>
      </c>
      <c r="B15402" s="52">
        <v>46568.0</v>
      </c>
      <c r="C15402" s="51" t="s">
        <v>69</v>
      </c>
      <c r="D15402" s="51">
        <v>0.0</v>
      </c>
    </row>
    <row r="15403" ht="15.75" hidden="1" customHeight="1">
      <c r="A15403" s="51" t="s">
        <v>715</v>
      </c>
      <c r="B15403" s="52">
        <v>46568.0</v>
      </c>
      <c r="C15403" s="51" t="s">
        <v>69</v>
      </c>
      <c r="D15403" s="51">
        <v>0.0</v>
      </c>
    </row>
    <row r="15404" ht="15.75" hidden="1" customHeight="1">
      <c r="A15404" s="51" t="s">
        <v>765</v>
      </c>
      <c r="B15404" s="52">
        <v>46568.0</v>
      </c>
      <c r="C15404" s="51" t="s">
        <v>69</v>
      </c>
      <c r="D15404" s="51">
        <v>0.0</v>
      </c>
    </row>
    <row r="15405" ht="15.75" hidden="1" customHeight="1">
      <c r="A15405" s="51" t="s">
        <v>720</v>
      </c>
      <c r="B15405" s="52">
        <v>46568.0</v>
      </c>
      <c r="C15405" s="51" t="s">
        <v>69</v>
      </c>
      <c r="D15405" s="51">
        <v>0.0</v>
      </c>
    </row>
    <row r="15406" ht="15.75" hidden="1" customHeight="1">
      <c r="A15406" s="51" t="s">
        <v>725</v>
      </c>
      <c r="B15406" s="52">
        <v>46568.0</v>
      </c>
      <c r="C15406" s="51" t="s">
        <v>69</v>
      </c>
      <c r="D15406" s="51">
        <v>0.0</v>
      </c>
    </row>
    <row r="15407" ht="15.75" hidden="1" customHeight="1">
      <c r="A15407" s="51" t="s">
        <v>730</v>
      </c>
      <c r="B15407" s="52">
        <v>46568.0</v>
      </c>
      <c r="C15407" s="51" t="s">
        <v>69</v>
      </c>
      <c r="D15407" s="51">
        <v>0.0</v>
      </c>
    </row>
    <row r="15408" ht="15.75" hidden="1" customHeight="1">
      <c r="A15408" s="51" t="s">
        <v>734</v>
      </c>
      <c r="B15408" s="52">
        <v>46568.0</v>
      </c>
      <c r="C15408" s="51" t="s">
        <v>69</v>
      </c>
      <c r="D15408" s="51">
        <v>0.0</v>
      </c>
    </row>
    <row r="15409" ht="15.75" hidden="1" customHeight="1">
      <c r="A15409" s="51" t="s">
        <v>739</v>
      </c>
      <c r="B15409" s="52">
        <v>46568.0</v>
      </c>
      <c r="C15409" s="51" t="s">
        <v>69</v>
      </c>
      <c r="D15409" s="51">
        <v>0.0</v>
      </c>
    </row>
    <row r="15410" ht="15.75" hidden="1" customHeight="1">
      <c r="A15410" s="51" t="s">
        <v>744</v>
      </c>
      <c r="B15410" s="52">
        <v>46568.0</v>
      </c>
      <c r="C15410" s="51" t="s">
        <v>69</v>
      </c>
      <c r="D15410" s="51">
        <v>0.0</v>
      </c>
    </row>
    <row r="15411" ht="15.75" hidden="1" customHeight="1">
      <c r="A15411" s="51" t="s">
        <v>749</v>
      </c>
      <c r="B15411" s="52">
        <v>46568.0</v>
      </c>
      <c r="C15411" s="51" t="s">
        <v>69</v>
      </c>
      <c r="D15411" s="51">
        <v>0.0</v>
      </c>
    </row>
    <row r="15412" ht="15.75" customHeight="1">
      <c r="A15412" s="51" t="s">
        <v>776</v>
      </c>
      <c r="B15412" s="52">
        <v>46568.0</v>
      </c>
      <c r="C15412" s="51" t="s">
        <v>780</v>
      </c>
      <c r="D15412" s="51">
        <v>0.0</v>
      </c>
    </row>
    <row r="15413" ht="15.75" hidden="1" customHeight="1">
      <c r="A15413" s="51" t="s">
        <v>778</v>
      </c>
      <c r="B15413" s="52">
        <v>46568.0</v>
      </c>
      <c r="C15413" s="51" t="s">
        <v>780</v>
      </c>
      <c r="D15413" s="51">
        <v>0.0</v>
      </c>
    </row>
    <row r="15414" ht="15.75" hidden="1" customHeight="1">
      <c r="A15414" s="51" t="s">
        <v>92</v>
      </c>
      <c r="B15414" s="52">
        <v>46568.0</v>
      </c>
      <c r="C15414" s="51" t="s">
        <v>780</v>
      </c>
      <c r="D15414" s="51">
        <v>0.0</v>
      </c>
    </row>
    <row r="15415" ht="15.75" hidden="1" customHeight="1">
      <c r="A15415" s="51" t="s">
        <v>97</v>
      </c>
      <c r="B15415" s="52">
        <v>46568.0</v>
      </c>
      <c r="C15415" s="51" t="s">
        <v>780</v>
      </c>
      <c r="D15415" s="51">
        <v>0.0</v>
      </c>
    </row>
    <row r="15416" ht="15.75" hidden="1" customHeight="1">
      <c r="A15416" s="51" t="s">
        <v>102</v>
      </c>
      <c r="B15416" s="52">
        <v>46568.0</v>
      </c>
      <c r="C15416" s="51" t="s">
        <v>780</v>
      </c>
      <c r="D15416" s="51">
        <v>0.0</v>
      </c>
    </row>
    <row r="15417" ht="15.75" hidden="1" customHeight="1">
      <c r="A15417" s="51" t="s">
        <v>106</v>
      </c>
      <c r="B15417" s="52">
        <v>46568.0</v>
      </c>
      <c r="C15417" s="51" t="s">
        <v>780</v>
      </c>
      <c r="D15417" s="51">
        <v>0.0</v>
      </c>
    </row>
    <row r="15418" ht="15.75" hidden="1" customHeight="1">
      <c r="A15418" s="51" t="s">
        <v>111</v>
      </c>
      <c r="B15418" s="52">
        <v>46568.0</v>
      </c>
      <c r="C15418" s="51" t="s">
        <v>780</v>
      </c>
      <c r="D15418" s="51">
        <v>0.0</v>
      </c>
    </row>
    <row r="15419" ht="15.75" hidden="1" customHeight="1">
      <c r="A15419" s="51" t="s">
        <v>116</v>
      </c>
      <c r="B15419" s="52">
        <v>46568.0</v>
      </c>
      <c r="C15419" s="51" t="s">
        <v>780</v>
      </c>
      <c r="D15419" s="51">
        <v>0.0</v>
      </c>
    </row>
    <row r="15420" ht="15.75" hidden="1" customHeight="1">
      <c r="A15420" s="51" t="s">
        <v>120</v>
      </c>
      <c r="B15420" s="52">
        <v>46568.0</v>
      </c>
      <c r="C15420" s="51" t="s">
        <v>780</v>
      </c>
      <c r="D15420" s="51">
        <v>0.0</v>
      </c>
    </row>
    <row r="15421" ht="15.75" hidden="1" customHeight="1">
      <c r="A15421" s="51" t="s">
        <v>125</v>
      </c>
      <c r="B15421" s="52">
        <v>46568.0</v>
      </c>
      <c r="C15421" s="51" t="s">
        <v>780</v>
      </c>
      <c r="D15421" s="51">
        <v>0.0</v>
      </c>
    </row>
    <row r="15422" ht="15.75" hidden="1" customHeight="1">
      <c r="A15422" s="51" t="s">
        <v>130</v>
      </c>
      <c r="B15422" s="52">
        <v>46568.0</v>
      </c>
      <c r="C15422" s="51" t="s">
        <v>780</v>
      </c>
      <c r="D15422" s="51">
        <v>0.0</v>
      </c>
    </row>
    <row r="15423" ht="15.75" hidden="1" customHeight="1">
      <c r="A15423" s="51" t="s">
        <v>137</v>
      </c>
      <c r="B15423" s="52">
        <v>46568.0</v>
      </c>
      <c r="C15423" s="51" t="s">
        <v>780</v>
      </c>
      <c r="D15423" s="51">
        <v>0.0</v>
      </c>
    </row>
    <row r="15424" ht="15.75" hidden="1" customHeight="1">
      <c r="A15424" s="51" t="s">
        <v>142</v>
      </c>
      <c r="B15424" s="52">
        <v>46568.0</v>
      </c>
      <c r="C15424" s="51" t="s">
        <v>780</v>
      </c>
      <c r="D15424" s="51">
        <v>0.0</v>
      </c>
    </row>
    <row r="15425" ht="15.75" hidden="1" customHeight="1">
      <c r="A15425" s="51" t="s">
        <v>147</v>
      </c>
      <c r="B15425" s="52">
        <v>46568.0</v>
      </c>
      <c r="C15425" s="51" t="s">
        <v>780</v>
      </c>
      <c r="D15425" s="51">
        <v>0.0</v>
      </c>
    </row>
    <row r="15426" ht="15.75" hidden="1" customHeight="1">
      <c r="A15426" s="51" t="s">
        <v>152</v>
      </c>
      <c r="B15426" s="52">
        <v>46568.0</v>
      </c>
      <c r="C15426" s="51" t="s">
        <v>780</v>
      </c>
      <c r="D15426" s="51">
        <v>0.0</v>
      </c>
    </row>
    <row r="15427" ht="15.75" hidden="1" customHeight="1">
      <c r="A15427" s="51" t="s">
        <v>157</v>
      </c>
      <c r="B15427" s="52">
        <v>46568.0</v>
      </c>
      <c r="C15427" s="51" t="s">
        <v>780</v>
      </c>
      <c r="D15427" s="51">
        <v>0.0</v>
      </c>
    </row>
    <row r="15428" ht="15.75" hidden="1" customHeight="1">
      <c r="A15428" s="51" t="s">
        <v>162</v>
      </c>
      <c r="B15428" s="52">
        <v>46568.0</v>
      </c>
      <c r="C15428" s="51" t="s">
        <v>780</v>
      </c>
      <c r="D15428" s="51">
        <v>0.0</v>
      </c>
    </row>
    <row r="15429" ht="15.75" hidden="1" customHeight="1">
      <c r="A15429" s="51" t="s">
        <v>167</v>
      </c>
      <c r="B15429" s="52">
        <v>46568.0</v>
      </c>
      <c r="C15429" s="51" t="s">
        <v>780</v>
      </c>
      <c r="D15429" s="51">
        <v>0.0</v>
      </c>
    </row>
    <row r="15430" ht="15.75" hidden="1" customHeight="1">
      <c r="A15430" s="51" t="s">
        <v>172</v>
      </c>
      <c r="B15430" s="52">
        <v>46568.0</v>
      </c>
      <c r="C15430" s="51" t="s">
        <v>780</v>
      </c>
      <c r="D15430" s="51">
        <v>0.0</v>
      </c>
    </row>
    <row r="15431" ht="15.75" hidden="1" customHeight="1">
      <c r="A15431" s="51" t="s">
        <v>177</v>
      </c>
      <c r="B15431" s="52">
        <v>46568.0</v>
      </c>
      <c r="C15431" s="51" t="s">
        <v>780</v>
      </c>
      <c r="D15431" s="51">
        <v>0.0</v>
      </c>
    </row>
    <row r="15432" ht="15.75" hidden="1" customHeight="1">
      <c r="A15432" s="51" t="s">
        <v>182</v>
      </c>
      <c r="B15432" s="52">
        <v>46568.0</v>
      </c>
      <c r="C15432" s="51" t="s">
        <v>780</v>
      </c>
      <c r="D15432" s="51">
        <v>0.0</v>
      </c>
    </row>
    <row r="15433" ht="15.75" hidden="1" customHeight="1">
      <c r="A15433" s="51" t="s">
        <v>187</v>
      </c>
      <c r="B15433" s="52">
        <v>46568.0</v>
      </c>
      <c r="C15433" s="51" t="s">
        <v>780</v>
      </c>
      <c r="D15433" s="51">
        <v>0.0</v>
      </c>
    </row>
    <row r="15434" ht="15.75" hidden="1" customHeight="1">
      <c r="A15434" s="51" t="s">
        <v>192</v>
      </c>
      <c r="B15434" s="52">
        <v>46568.0</v>
      </c>
      <c r="C15434" s="51" t="s">
        <v>780</v>
      </c>
      <c r="D15434" s="51">
        <v>0.0</v>
      </c>
    </row>
    <row r="15435" ht="15.75" hidden="1" customHeight="1">
      <c r="A15435" s="51" t="s">
        <v>197</v>
      </c>
      <c r="B15435" s="52">
        <v>46568.0</v>
      </c>
      <c r="C15435" s="51" t="s">
        <v>780</v>
      </c>
      <c r="D15435" s="51">
        <v>0.0</v>
      </c>
    </row>
    <row r="15436" ht="15.75" hidden="1" customHeight="1">
      <c r="A15436" s="51" t="s">
        <v>202</v>
      </c>
      <c r="B15436" s="52">
        <v>46568.0</v>
      </c>
      <c r="C15436" s="51" t="s">
        <v>780</v>
      </c>
      <c r="D15436" s="51">
        <v>0.0</v>
      </c>
    </row>
    <row r="15437" ht="15.75" hidden="1" customHeight="1">
      <c r="A15437" s="51" t="s">
        <v>206</v>
      </c>
      <c r="B15437" s="52">
        <v>46568.0</v>
      </c>
      <c r="C15437" s="51" t="s">
        <v>780</v>
      </c>
      <c r="D15437" s="51">
        <v>0.0</v>
      </c>
    </row>
    <row r="15438" ht="15.75" hidden="1" customHeight="1">
      <c r="A15438" s="51" t="s">
        <v>211</v>
      </c>
      <c r="B15438" s="52">
        <v>46568.0</v>
      </c>
      <c r="C15438" s="51" t="s">
        <v>780</v>
      </c>
      <c r="D15438" s="51">
        <v>0.0</v>
      </c>
    </row>
    <row r="15439" ht="15.75" hidden="1" customHeight="1">
      <c r="A15439" s="51" t="s">
        <v>779</v>
      </c>
      <c r="B15439" s="52">
        <v>46568.0</v>
      </c>
      <c r="C15439" s="51" t="s">
        <v>780</v>
      </c>
      <c r="D15439" s="51">
        <v>0.0</v>
      </c>
    </row>
    <row r="15440" ht="15.75" hidden="1" customHeight="1">
      <c r="A15440" s="51" t="s">
        <v>221</v>
      </c>
      <c r="B15440" s="52">
        <v>46568.0</v>
      </c>
      <c r="C15440" s="51" t="s">
        <v>780</v>
      </c>
      <c r="D15440" s="51">
        <v>0.0</v>
      </c>
    </row>
    <row r="15441" ht="15.75" hidden="1" customHeight="1">
      <c r="A15441" s="51" t="s">
        <v>226</v>
      </c>
      <c r="B15441" s="52">
        <v>46568.0</v>
      </c>
      <c r="C15441" s="51" t="s">
        <v>780</v>
      </c>
      <c r="D15441" s="51">
        <v>0.0</v>
      </c>
    </row>
    <row r="15442" ht="15.75" hidden="1" customHeight="1">
      <c r="A15442" s="51" t="s">
        <v>231</v>
      </c>
      <c r="B15442" s="52">
        <v>46568.0</v>
      </c>
      <c r="C15442" s="51" t="s">
        <v>780</v>
      </c>
      <c r="D15442" s="51">
        <v>0.0</v>
      </c>
    </row>
    <row r="15443" ht="15.75" hidden="1" customHeight="1">
      <c r="A15443" s="51" t="s">
        <v>236</v>
      </c>
      <c r="B15443" s="52">
        <v>46568.0</v>
      </c>
      <c r="C15443" s="51" t="s">
        <v>780</v>
      </c>
      <c r="D15443" s="51">
        <v>0.0</v>
      </c>
    </row>
    <row r="15444" ht="15.75" hidden="1" customHeight="1">
      <c r="A15444" s="51" t="s">
        <v>242</v>
      </c>
      <c r="B15444" s="52">
        <v>46568.0</v>
      </c>
      <c r="C15444" s="51" t="s">
        <v>780</v>
      </c>
      <c r="D15444" s="51">
        <v>0.0</v>
      </c>
    </row>
    <row r="15445" ht="15.75" hidden="1" customHeight="1">
      <c r="A15445" s="51" t="s">
        <v>248</v>
      </c>
      <c r="B15445" s="52">
        <v>46568.0</v>
      </c>
      <c r="C15445" s="51" t="s">
        <v>780</v>
      </c>
      <c r="D15445" s="51">
        <v>0.0</v>
      </c>
    </row>
    <row r="15446" ht="15.75" hidden="1" customHeight="1">
      <c r="A15446" s="51" t="s">
        <v>253</v>
      </c>
      <c r="B15446" s="52">
        <v>46568.0</v>
      </c>
      <c r="C15446" s="51" t="s">
        <v>780</v>
      </c>
      <c r="D15446" s="51">
        <v>0.0</v>
      </c>
    </row>
    <row r="15447" ht="15.75" hidden="1" customHeight="1">
      <c r="A15447" s="51" t="s">
        <v>258</v>
      </c>
      <c r="B15447" s="52">
        <v>46568.0</v>
      </c>
      <c r="C15447" s="51" t="s">
        <v>780</v>
      </c>
      <c r="D15447" s="51">
        <v>0.0</v>
      </c>
    </row>
    <row r="15448" ht="15.75" hidden="1" customHeight="1">
      <c r="A15448" s="51" t="s">
        <v>263</v>
      </c>
      <c r="B15448" s="52">
        <v>46568.0</v>
      </c>
      <c r="C15448" s="51" t="s">
        <v>780</v>
      </c>
      <c r="D15448" s="51">
        <v>0.0</v>
      </c>
    </row>
    <row r="15449" ht="15.75" hidden="1" customHeight="1">
      <c r="A15449" s="51" t="s">
        <v>268</v>
      </c>
      <c r="B15449" s="52">
        <v>46568.0</v>
      </c>
      <c r="C15449" s="51" t="s">
        <v>780</v>
      </c>
      <c r="D15449" s="51">
        <v>0.0</v>
      </c>
    </row>
    <row r="15450" ht="15.75" hidden="1" customHeight="1">
      <c r="A15450" s="51" t="s">
        <v>273</v>
      </c>
      <c r="B15450" s="52">
        <v>46568.0</v>
      </c>
      <c r="C15450" s="51" t="s">
        <v>780</v>
      </c>
      <c r="D15450" s="51">
        <v>0.0</v>
      </c>
    </row>
    <row r="15451" ht="15.75" hidden="1" customHeight="1">
      <c r="A15451" s="51" t="s">
        <v>278</v>
      </c>
      <c r="B15451" s="52">
        <v>46568.0</v>
      </c>
      <c r="C15451" s="51" t="s">
        <v>780</v>
      </c>
      <c r="D15451" s="51">
        <v>0.0</v>
      </c>
    </row>
    <row r="15452" ht="15.75" hidden="1" customHeight="1">
      <c r="A15452" s="51" t="s">
        <v>283</v>
      </c>
      <c r="B15452" s="52">
        <v>46568.0</v>
      </c>
      <c r="C15452" s="51" t="s">
        <v>780</v>
      </c>
      <c r="D15452" s="51">
        <v>0.0</v>
      </c>
    </row>
    <row r="15453" ht="15.75" hidden="1" customHeight="1">
      <c r="A15453" s="51" t="s">
        <v>288</v>
      </c>
      <c r="B15453" s="52">
        <v>46568.0</v>
      </c>
      <c r="C15453" s="51" t="s">
        <v>780</v>
      </c>
      <c r="D15453" s="51">
        <v>0.0</v>
      </c>
    </row>
    <row r="15454" ht="15.75" hidden="1" customHeight="1">
      <c r="A15454" s="51" t="s">
        <v>293</v>
      </c>
      <c r="B15454" s="52">
        <v>46568.0</v>
      </c>
      <c r="C15454" s="51" t="s">
        <v>780</v>
      </c>
      <c r="D15454" s="51">
        <v>0.0</v>
      </c>
    </row>
    <row r="15455" ht="15.75" hidden="1" customHeight="1">
      <c r="A15455" s="51" t="s">
        <v>298</v>
      </c>
      <c r="B15455" s="52">
        <v>46568.0</v>
      </c>
      <c r="C15455" s="51" t="s">
        <v>780</v>
      </c>
      <c r="D15455" s="51">
        <v>0.0</v>
      </c>
    </row>
    <row r="15456" ht="15.75" hidden="1" customHeight="1">
      <c r="A15456" s="51" t="s">
        <v>303</v>
      </c>
      <c r="B15456" s="52">
        <v>46568.0</v>
      </c>
      <c r="C15456" s="51" t="s">
        <v>780</v>
      </c>
      <c r="D15456" s="51">
        <v>0.0</v>
      </c>
    </row>
    <row r="15457" ht="15.75" hidden="1" customHeight="1">
      <c r="A15457" s="51" t="s">
        <v>307</v>
      </c>
      <c r="B15457" s="52">
        <v>46568.0</v>
      </c>
      <c r="C15457" s="51" t="s">
        <v>780</v>
      </c>
      <c r="D15457" s="51">
        <v>0.0</v>
      </c>
    </row>
    <row r="15458" ht="15.75" hidden="1" customHeight="1">
      <c r="A15458" s="51" t="s">
        <v>313</v>
      </c>
      <c r="B15458" s="52">
        <v>46568.0</v>
      </c>
      <c r="C15458" s="51" t="s">
        <v>780</v>
      </c>
      <c r="D15458" s="51">
        <v>0.0</v>
      </c>
    </row>
    <row r="15459" ht="15.75" hidden="1" customHeight="1">
      <c r="A15459" s="51" t="s">
        <v>318</v>
      </c>
      <c r="B15459" s="52">
        <v>46568.0</v>
      </c>
      <c r="C15459" s="51" t="s">
        <v>780</v>
      </c>
      <c r="D15459" s="51">
        <v>0.0</v>
      </c>
    </row>
    <row r="15460" ht="15.75" hidden="1" customHeight="1">
      <c r="A15460" s="51" t="s">
        <v>323</v>
      </c>
      <c r="B15460" s="52">
        <v>46568.0</v>
      </c>
      <c r="C15460" s="51" t="s">
        <v>780</v>
      </c>
      <c r="D15460" s="51">
        <v>0.0</v>
      </c>
    </row>
    <row r="15461" ht="15.75" hidden="1" customHeight="1">
      <c r="A15461" s="51" t="s">
        <v>328</v>
      </c>
      <c r="B15461" s="52">
        <v>46568.0</v>
      </c>
      <c r="C15461" s="51" t="s">
        <v>780</v>
      </c>
      <c r="D15461" s="51">
        <v>0.0</v>
      </c>
    </row>
    <row r="15462" ht="15.75" hidden="1" customHeight="1">
      <c r="A15462" s="51" t="s">
        <v>335</v>
      </c>
      <c r="B15462" s="52">
        <v>46568.0</v>
      </c>
      <c r="C15462" s="51" t="s">
        <v>780</v>
      </c>
      <c r="D15462" s="51">
        <v>0.0</v>
      </c>
    </row>
    <row r="15463" ht="15.75" hidden="1" customHeight="1">
      <c r="A15463" s="51" t="s">
        <v>340</v>
      </c>
      <c r="B15463" s="52">
        <v>46568.0</v>
      </c>
      <c r="C15463" s="51" t="s">
        <v>780</v>
      </c>
      <c r="D15463" s="51">
        <v>0.0</v>
      </c>
    </row>
    <row r="15464" ht="15.75" hidden="1" customHeight="1">
      <c r="A15464" s="51" t="s">
        <v>345</v>
      </c>
      <c r="B15464" s="52">
        <v>46568.0</v>
      </c>
      <c r="C15464" s="51" t="s">
        <v>780</v>
      </c>
      <c r="D15464" s="51">
        <v>0.0</v>
      </c>
    </row>
    <row r="15465" ht="15.75" hidden="1" customHeight="1">
      <c r="A15465" s="51" t="s">
        <v>350</v>
      </c>
      <c r="B15465" s="52">
        <v>46568.0</v>
      </c>
      <c r="C15465" s="51" t="s">
        <v>780</v>
      </c>
      <c r="D15465" s="51">
        <v>0.0</v>
      </c>
    </row>
    <row r="15466" ht="15.75" hidden="1" customHeight="1">
      <c r="A15466" s="51" t="s">
        <v>355</v>
      </c>
      <c r="B15466" s="52">
        <v>46568.0</v>
      </c>
      <c r="C15466" s="51" t="s">
        <v>780</v>
      </c>
      <c r="D15466" s="51">
        <v>0.0</v>
      </c>
    </row>
    <row r="15467" ht="15.75" hidden="1" customHeight="1">
      <c r="A15467" s="51" t="s">
        <v>360</v>
      </c>
      <c r="B15467" s="52">
        <v>46568.0</v>
      </c>
      <c r="C15467" s="51" t="s">
        <v>780</v>
      </c>
      <c r="D15467" s="51">
        <v>0.0</v>
      </c>
    </row>
    <row r="15468" ht="15.75" hidden="1" customHeight="1">
      <c r="A15468" s="51" t="s">
        <v>365</v>
      </c>
      <c r="B15468" s="52">
        <v>46568.0</v>
      </c>
      <c r="C15468" s="51" t="s">
        <v>780</v>
      </c>
      <c r="D15468" s="51">
        <v>0.0</v>
      </c>
    </row>
    <row r="15469" ht="15.75" hidden="1" customHeight="1">
      <c r="A15469" s="51" t="s">
        <v>370</v>
      </c>
      <c r="B15469" s="52">
        <v>46568.0</v>
      </c>
      <c r="C15469" s="51" t="s">
        <v>780</v>
      </c>
      <c r="D15469" s="51">
        <v>0.0</v>
      </c>
    </row>
    <row r="15470" ht="15.75" hidden="1" customHeight="1">
      <c r="A15470" s="51" t="s">
        <v>375</v>
      </c>
      <c r="B15470" s="52">
        <v>46568.0</v>
      </c>
      <c r="C15470" s="51" t="s">
        <v>780</v>
      </c>
      <c r="D15470" s="51">
        <v>0.0</v>
      </c>
    </row>
    <row r="15471" ht="15.75" hidden="1" customHeight="1">
      <c r="A15471" s="51" t="s">
        <v>380</v>
      </c>
      <c r="B15471" s="52">
        <v>46568.0</v>
      </c>
      <c r="C15471" s="51" t="s">
        <v>780</v>
      </c>
      <c r="D15471" s="51">
        <v>0.0</v>
      </c>
    </row>
    <row r="15472" ht="15.75" hidden="1" customHeight="1">
      <c r="A15472" s="51" t="s">
        <v>385</v>
      </c>
      <c r="B15472" s="52">
        <v>46568.0</v>
      </c>
      <c r="C15472" s="51" t="s">
        <v>780</v>
      </c>
      <c r="D15472" s="51">
        <v>0.0</v>
      </c>
    </row>
    <row r="15473" ht="15.75" hidden="1" customHeight="1">
      <c r="A15473" s="51" t="s">
        <v>390</v>
      </c>
      <c r="B15473" s="52">
        <v>46568.0</v>
      </c>
      <c r="C15473" s="51" t="s">
        <v>780</v>
      </c>
      <c r="D15473" s="51">
        <v>0.0</v>
      </c>
    </row>
    <row r="15474" ht="15.75" hidden="1" customHeight="1">
      <c r="A15474" s="51" t="s">
        <v>395</v>
      </c>
      <c r="B15474" s="52">
        <v>46568.0</v>
      </c>
      <c r="C15474" s="51" t="s">
        <v>780</v>
      </c>
      <c r="D15474" s="51">
        <v>0.0</v>
      </c>
    </row>
    <row r="15475" ht="15.75" hidden="1" customHeight="1">
      <c r="A15475" s="51" t="s">
        <v>400</v>
      </c>
      <c r="B15475" s="52">
        <v>46568.0</v>
      </c>
      <c r="C15475" s="51" t="s">
        <v>780</v>
      </c>
      <c r="D15475" s="51">
        <v>0.0</v>
      </c>
    </row>
    <row r="15476" ht="15.75" hidden="1" customHeight="1">
      <c r="A15476" s="51" t="s">
        <v>405</v>
      </c>
      <c r="B15476" s="52">
        <v>46568.0</v>
      </c>
      <c r="C15476" s="51" t="s">
        <v>780</v>
      </c>
      <c r="D15476" s="51">
        <v>0.0</v>
      </c>
    </row>
    <row r="15477" ht="15.75" hidden="1" customHeight="1">
      <c r="A15477" s="51" t="s">
        <v>410</v>
      </c>
      <c r="B15477" s="52">
        <v>46568.0</v>
      </c>
      <c r="C15477" s="51" t="s">
        <v>780</v>
      </c>
      <c r="D15477" s="51">
        <v>0.0</v>
      </c>
    </row>
    <row r="15478" ht="15.75" hidden="1" customHeight="1">
      <c r="A15478" s="51" t="s">
        <v>415</v>
      </c>
      <c r="B15478" s="52">
        <v>46568.0</v>
      </c>
      <c r="C15478" s="51" t="s">
        <v>780</v>
      </c>
      <c r="D15478" s="51">
        <v>0.0</v>
      </c>
    </row>
    <row r="15479" ht="15.75" hidden="1" customHeight="1">
      <c r="A15479" s="51" t="s">
        <v>420</v>
      </c>
      <c r="B15479" s="52">
        <v>46568.0</v>
      </c>
      <c r="C15479" s="51" t="s">
        <v>780</v>
      </c>
      <c r="D15479" s="51">
        <v>0.0</v>
      </c>
    </row>
    <row r="15480" ht="15.75" hidden="1" customHeight="1">
      <c r="A15480" s="51" t="s">
        <v>425</v>
      </c>
      <c r="B15480" s="52">
        <v>46568.0</v>
      </c>
      <c r="C15480" s="51" t="s">
        <v>780</v>
      </c>
      <c r="D15480" s="51">
        <v>0.0</v>
      </c>
    </row>
    <row r="15481" ht="15.75" hidden="1" customHeight="1">
      <c r="A15481" s="51" t="s">
        <v>430</v>
      </c>
      <c r="B15481" s="52">
        <v>46568.0</v>
      </c>
      <c r="C15481" s="51" t="s">
        <v>780</v>
      </c>
      <c r="D15481" s="51">
        <v>0.0</v>
      </c>
    </row>
    <row r="15482" ht="15.75" hidden="1" customHeight="1">
      <c r="A15482" s="51" t="s">
        <v>434</v>
      </c>
      <c r="B15482" s="52">
        <v>46568.0</v>
      </c>
      <c r="C15482" s="51" t="s">
        <v>780</v>
      </c>
      <c r="D15482" s="51">
        <v>0.0</v>
      </c>
    </row>
    <row r="15483" ht="15.75" hidden="1" customHeight="1">
      <c r="A15483" s="51" t="s">
        <v>439</v>
      </c>
      <c r="B15483" s="52">
        <v>46568.0</v>
      </c>
      <c r="C15483" s="51" t="s">
        <v>780</v>
      </c>
      <c r="D15483" s="51">
        <v>0.0</v>
      </c>
    </row>
    <row r="15484" ht="15.75" hidden="1" customHeight="1">
      <c r="A15484" s="51" t="s">
        <v>444</v>
      </c>
      <c r="B15484" s="52">
        <v>46568.0</v>
      </c>
      <c r="C15484" s="51" t="s">
        <v>780</v>
      </c>
      <c r="D15484" s="51">
        <v>0.0</v>
      </c>
    </row>
    <row r="15485" ht="15.75" hidden="1" customHeight="1">
      <c r="A15485" s="51" t="s">
        <v>449</v>
      </c>
      <c r="B15485" s="52">
        <v>46568.0</v>
      </c>
      <c r="C15485" s="51" t="s">
        <v>780</v>
      </c>
      <c r="D15485" s="51">
        <v>0.0</v>
      </c>
    </row>
    <row r="15486" ht="15.75" hidden="1" customHeight="1">
      <c r="A15486" s="51" t="s">
        <v>455</v>
      </c>
      <c r="B15486" s="52">
        <v>46568.0</v>
      </c>
      <c r="C15486" s="51" t="s">
        <v>780</v>
      </c>
      <c r="D15486" s="51">
        <v>0.0</v>
      </c>
    </row>
    <row r="15487" ht="15.75" hidden="1" customHeight="1">
      <c r="A15487" s="51" t="s">
        <v>470</v>
      </c>
      <c r="B15487" s="52">
        <v>46568.0</v>
      </c>
      <c r="C15487" s="51" t="s">
        <v>780</v>
      </c>
      <c r="D15487" s="51">
        <v>0.0</v>
      </c>
    </row>
    <row r="15488" ht="15.75" hidden="1" customHeight="1">
      <c r="A15488" s="51" t="s">
        <v>476</v>
      </c>
      <c r="B15488" s="52">
        <v>46568.0</v>
      </c>
      <c r="C15488" s="51" t="s">
        <v>780</v>
      </c>
      <c r="D15488" s="51">
        <v>0.0</v>
      </c>
    </row>
    <row r="15489" ht="15.75" hidden="1" customHeight="1">
      <c r="A15489" s="51" t="s">
        <v>481</v>
      </c>
      <c r="B15489" s="52">
        <v>46568.0</v>
      </c>
      <c r="C15489" s="51" t="s">
        <v>780</v>
      </c>
      <c r="D15489" s="51">
        <v>0.0</v>
      </c>
    </row>
    <row r="15490" ht="15.75" hidden="1" customHeight="1">
      <c r="A15490" s="51" t="s">
        <v>486</v>
      </c>
      <c r="B15490" s="52">
        <v>46568.0</v>
      </c>
      <c r="C15490" s="51" t="s">
        <v>780</v>
      </c>
      <c r="D15490" s="51">
        <v>0.0</v>
      </c>
    </row>
    <row r="15491" ht="15.75" hidden="1" customHeight="1">
      <c r="A15491" s="51" t="s">
        <v>491</v>
      </c>
      <c r="B15491" s="52">
        <v>46568.0</v>
      </c>
      <c r="C15491" s="51" t="s">
        <v>780</v>
      </c>
      <c r="D15491" s="51">
        <v>0.0</v>
      </c>
    </row>
    <row r="15492" ht="15.75" hidden="1" customHeight="1">
      <c r="A15492" s="51" t="s">
        <v>496</v>
      </c>
      <c r="B15492" s="52">
        <v>46568.0</v>
      </c>
      <c r="C15492" s="51" t="s">
        <v>780</v>
      </c>
      <c r="D15492" s="51">
        <v>0.0</v>
      </c>
    </row>
    <row r="15493" ht="15.75" hidden="1" customHeight="1">
      <c r="A15493" s="51" t="s">
        <v>501</v>
      </c>
      <c r="B15493" s="52">
        <v>46568.0</v>
      </c>
      <c r="C15493" s="51" t="s">
        <v>780</v>
      </c>
      <c r="D15493" s="51">
        <v>0.0</v>
      </c>
    </row>
    <row r="15494" ht="15.75" hidden="1" customHeight="1">
      <c r="A15494" s="51" t="s">
        <v>506</v>
      </c>
      <c r="B15494" s="52">
        <v>46568.0</v>
      </c>
      <c r="C15494" s="51" t="s">
        <v>780</v>
      </c>
      <c r="D15494" s="51">
        <v>0.0</v>
      </c>
    </row>
    <row r="15495" ht="15.75" hidden="1" customHeight="1">
      <c r="A15495" s="51" t="s">
        <v>512</v>
      </c>
      <c r="B15495" s="52">
        <v>46568.0</v>
      </c>
      <c r="C15495" s="51" t="s">
        <v>780</v>
      </c>
      <c r="D15495" s="51">
        <v>0.0</v>
      </c>
    </row>
    <row r="15496" ht="15.75" hidden="1" customHeight="1">
      <c r="A15496" s="51" t="s">
        <v>517</v>
      </c>
      <c r="B15496" s="52">
        <v>46568.0</v>
      </c>
      <c r="C15496" s="51" t="s">
        <v>780</v>
      </c>
      <c r="D15496" s="51">
        <v>0.0</v>
      </c>
    </row>
    <row r="15497" ht="15.75" hidden="1" customHeight="1">
      <c r="A15497" s="51" t="s">
        <v>522</v>
      </c>
      <c r="B15497" s="52">
        <v>46568.0</v>
      </c>
      <c r="C15497" s="51" t="s">
        <v>780</v>
      </c>
      <c r="D15497" s="51">
        <v>0.0</v>
      </c>
    </row>
    <row r="15498" ht="15.75" hidden="1" customHeight="1">
      <c r="A15498" s="51" t="s">
        <v>528</v>
      </c>
      <c r="B15498" s="52">
        <v>46568.0</v>
      </c>
      <c r="C15498" s="51" t="s">
        <v>780</v>
      </c>
      <c r="D15498" s="51">
        <v>0.0</v>
      </c>
    </row>
    <row r="15499" ht="15.75" hidden="1" customHeight="1">
      <c r="A15499" s="51" t="s">
        <v>533</v>
      </c>
      <c r="B15499" s="52">
        <v>46568.0</v>
      </c>
      <c r="C15499" s="51" t="s">
        <v>780</v>
      </c>
      <c r="D15499" s="51">
        <v>0.0</v>
      </c>
    </row>
    <row r="15500" ht="15.75" hidden="1" customHeight="1">
      <c r="A15500" s="51" t="s">
        <v>538</v>
      </c>
      <c r="B15500" s="52">
        <v>46568.0</v>
      </c>
      <c r="C15500" s="51" t="s">
        <v>780</v>
      </c>
      <c r="D15500" s="51">
        <v>0.0</v>
      </c>
    </row>
    <row r="15501" ht="15.75" hidden="1" customHeight="1">
      <c r="A15501" s="51" t="s">
        <v>546</v>
      </c>
      <c r="B15501" s="52">
        <v>46568.0</v>
      </c>
      <c r="C15501" s="51" t="s">
        <v>780</v>
      </c>
      <c r="D15501" s="51">
        <v>0.0</v>
      </c>
    </row>
    <row r="15502" ht="15.75" hidden="1" customHeight="1">
      <c r="A15502" s="51" t="s">
        <v>551</v>
      </c>
      <c r="B15502" s="52">
        <v>46568.0</v>
      </c>
      <c r="C15502" s="51" t="s">
        <v>780</v>
      </c>
      <c r="D15502" s="51">
        <v>0.0</v>
      </c>
    </row>
    <row r="15503" ht="15.75" hidden="1" customHeight="1">
      <c r="A15503" s="51" t="s">
        <v>556</v>
      </c>
      <c r="B15503" s="52">
        <v>46568.0</v>
      </c>
      <c r="C15503" s="51" t="s">
        <v>780</v>
      </c>
      <c r="D15503" s="51">
        <v>0.0</v>
      </c>
    </row>
    <row r="15504" ht="15.75" hidden="1" customHeight="1">
      <c r="A15504" s="51" t="s">
        <v>561</v>
      </c>
      <c r="B15504" s="52">
        <v>46568.0</v>
      </c>
      <c r="C15504" s="51" t="s">
        <v>780</v>
      </c>
      <c r="D15504" s="51">
        <v>0.0</v>
      </c>
    </row>
    <row r="15505" ht="15.75" hidden="1" customHeight="1">
      <c r="A15505" s="51" t="s">
        <v>566</v>
      </c>
      <c r="B15505" s="52">
        <v>46568.0</v>
      </c>
      <c r="C15505" s="51" t="s">
        <v>780</v>
      </c>
      <c r="D15505" s="51">
        <v>0.0</v>
      </c>
    </row>
    <row r="15506" ht="15.75" hidden="1" customHeight="1">
      <c r="A15506" s="51" t="s">
        <v>571</v>
      </c>
      <c r="B15506" s="52">
        <v>46568.0</v>
      </c>
      <c r="C15506" s="51" t="s">
        <v>780</v>
      </c>
      <c r="D15506" s="51">
        <v>0.0</v>
      </c>
    </row>
    <row r="15507" ht="15.75" hidden="1" customHeight="1">
      <c r="A15507" s="51" t="s">
        <v>576</v>
      </c>
      <c r="B15507" s="52">
        <v>46568.0</v>
      </c>
      <c r="C15507" s="51" t="s">
        <v>780</v>
      </c>
      <c r="D15507" s="51">
        <v>0.0</v>
      </c>
    </row>
    <row r="15508" ht="15.75" hidden="1" customHeight="1">
      <c r="A15508" s="51" t="s">
        <v>581</v>
      </c>
      <c r="B15508" s="52">
        <v>46568.0</v>
      </c>
      <c r="C15508" s="51" t="s">
        <v>780</v>
      </c>
      <c r="D15508" s="51">
        <v>0.0</v>
      </c>
    </row>
    <row r="15509" ht="15.75" hidden="1" customHeight="1">
      <c r="A15509" s="51" t="s">
        <v>586</v>
      </c>
      <c r="B15509" s="52">
        <v>46568.0</v>
      </c>
      <c r="C15509" s="51" t="s">
        <v>780</v>
      </c>
      <c r="D15509" s="51">
        <v>0.0</v>
      </c>
    </row>
    <row r="15510" ht="15.75" hidden="1" customHeight="1">
      <c r="A15510" s="51" t="s">
        <v>754</v>
      </c>
      <c r="B15510" s="52">
        <v>46568.0</v>
      </c>
      <c r="C15510" s="51" t="s">
        <v>780</v>
      </c>
      <c r="D15510" s="51">
        <v>0.0</v>
      </c>
    </row>
    <row r="15511" ht="15.75" hidden="1" customHeight="1">
      <c r="A15511" s="51" t="s">
        <v>591</v>
      </c>
      <c r="B15511" s="52">
        <v>46568.0</v>
      </c>
      <c r="C15511" s="51" t="s">
        <v>780</v>
      </c>
      <c r="D15511" s="51">
        <v>0.0</v>
      </c>
    </row>
    <row r="15512" ht="15.75" hidden="1" customHeight="1">
      <c r="A15512" s="51" t="s">
        <v>759</v>
      </c>
      <c r="B15512" s="52">
        <v>46568.0</v>
      </c>
      <c r="C15512" s="51" t="s">
        <v>780</v>
      </c>
      <c r="D15512" s="51">
        <v>0.0</v>
      </c>
    </row>
    <row r="15513" ht="15.75" hidden="1" customHeight="1">
      <c r="A15513" s="51" t="s">
        <v>596</v>
      </c>
      <c r="B15513" s="52">
        <v>46568.0</v>
      </c>
      <c r="C15513" s="51" t="s">
        <v>780</v>
      </c>
      <c r="D15513" s="51">
        <v>0.0</v>
      </c>
    </row>
    <row r="15514" ht="15.75" hidden="1" customHeight="1">
      <c r="A15514" s="51" t="s">
        <v>602</v>
      </c>
      <c r="B15514" s="52">
        <v>46568.0</v>
      </c>
      <c r="C15514" s="51" t="s">
        <v>780</v>
      </c>
      <c r="D15514" s="51">
        <v>0.0</v>
      </c>
    </row>
    <row r="15515" ht="15.75" hidden="1" customHeight="1">
      <c r="A15515" s="51" t="s">
        <v>607</v>
      </c>
      <c r="B15515" s="52">
        <v>46568.0</v>
      </c>
      <c r="C15515" s="51" t="s">
        <v>780</v>
      </c>
      <c r="D15515" s="51">
        <v>0.0</v>
      </c>
    </row>
    <row r="15516" ht="15.75" hidden="1" customHeight="1">
      <c r="A15516" s="51" t="s">
        <v>612</v>
      </c>
      <c r="B15516" s="52">
        <v>46568.0</v>
      </c>
      <c r="C15516" s="51" t="s">
        <v>780</v>
      </c>
      <c r="D15516" s="51">
        <v>0.0</v>
      </c>
    </row>
    <row r="15517" ht="15.75" hidden="1" customHeight="1">
      <c r="A15517" s="51" t="s">
        <v>617</v>
      </c>
      <c r="B15517" s="52">
        <v>46568.0</v>
      </c>
      <c r="C15517" s="51" t="s">
        <v>780</v>
      </c>
      <c r="D15517" s="51">
        <v>0.0</v>
      </c>
    </row>
    <row r="15518" ht="15.75" hidden="1" customHeight="1">
      <c r="A15518" s="51" t="s">
        <v>622</v>
      </c>
      <c r="B15518" s="52">
        <v>46568.0</v>
      </c>
      <c r="C15518" s="51" t="s">
        <v>780</v>
      </c>
      <c r="D15518" s="51">
        <v>0.0</v>
      </c>
    </row>
    <row r="15519" ht="15.75" hidden="1" customHeight="1">
      <c r="A15519" s="51" t="s">
        <v>627</v>
      </c>
      <c r="B15519" s="52">
        <v>46568.0</v>
      </c>
      <c r="C15519" s="51" t="s">
        <v>780</v>
      </c>
      <c r="D15519" s="51">
        <v>0.0</v>
      </c>
    </row>
    <row r="15520" ht="15.75" hidden="1" customHeight="1">
      <c r="A15520" s="51" t="s">
        <v>631</v>
      </c>
      <c r="B15520" s="52">
        <v>46568.0</v>
      </c>
      <c r="C15520" s="51" t="s">
        <v>780</v>
      </c>
      <c r="D15520" s="51">
        <v>0.0</v>
      </c>
    </row>
    <row r="15521" ht="15.75" hidden="1" customHeight="1">
      <c r="A15521" s="51" t="s">
        <v>636</v>
      </c>
      <c r="B15521" s="52">
        <v>46568.0</v>
      </c>
      <c r="C15521" s="51" t="s">
        <v>780</v>
      </c>
      <c r="D15521" s="51">
        <v>0.0</v>
      </c>
    </row>
    <row r="15522" ht="15.75" hidden="1" customHeight="1">
      <c r="A15522" s="51" t="s">
        <v>640</v>
      </c>
      <c r="B15522" s="52">
        <v>46568.0</v>
      </c>
      <c r="C15522" s="51" t="s">
        <v>780</v>
      </c>
      <c r="D15522" s="51">
        <v>0.0</v>
      </c>
    </row>
    <row r="15523" ht="15.75" hidden="1" customHeight="1">
      <c r="A15523" s="51" t="s">
        <v>644</v>
      </c>
      <c r="B15523" s="52">
        <v>46568.0</v>
      </c>
      <c r="C15523" s="51" t="s">
        <v>780</v>
      </c>
      <c r="D15523" s="51">
        <v>0.0</v>
      </c>
    </row>
    <row r="15524" ht="15.75" hidden="1" customHeight="1">
      <c r="A15524" s="51" t="s">
        <v>649</v>
      </c>
      <c r="B15524" s="52">
        <v>46568.0</v>
      </c>
      <c r="C15524" s="51" t="s">
        <v>780</v>
      </c>
      <c r="D15524" s="51">
        <v>0.0</v>
      </c>
    </row>
    <row r="15525" ht="15.75" hidden="1" customHeight="1">
      <c r="A15525" s="51" t="s">
        <v>654</v>
      </c>
      <c r="B15525" s="52">
        <v>46568.0</v>
      </c>
      <c r="C15525" s="51" t="s">
        <v>780</v>
      </c>
      <c r="D15525" s="51">
        <v>0.0</v>
      </c>
    </row>
    <row r="15526" ht="15.75" hidden="1" customHeight="1">
      <c r="A15526" s="51" t="s">
        <v>659</v>
      </c>
      <c r="B15526" s="52">
        <v>46568.0</v>
      </c>
      <c r="C15526" s="51" t="s">
        <v>780</v>
      </c>
      <c r="D15526" s="51">
        <v>0.0</v>
      </c>
    </row>
    <row r="15527" ht="15.75" hidden="1" customHeight="1">
      <c r="A15527" s="51" t="s">
        <v>664</v>
      </c>
      <c r="B15527" s="52">
        <v>46568.0</v>
      </c>
      <c r="C15527" s="51" t="s">
        <v>780</v>
      </c>
      <c r="D15527" s="51">
        <v>0.0</v>
      </c>
    </row>
    <row r="15528" ht="15.75" hidden="1" customHeight="1">
      <c r="A15528" s="51" t="s">
        <v>669</v>
      </c>
      <c r="B15528" s="52">
        <v>46568.0</v>
      </c>
      <c r="C15528" s="51" t="s">
        <v>780</v>
      </c>
      <c r="D15528" s="51">
        <v>0.0</v>
      </c>
    </row>
    <row r="15529" ht="15.75" hidden="1" customHeight="1">
      <c r="A15529" s="51" t="s">
        <v>674</v>
      </c>
      <c r="B15529" s="52">
        <v>46568.0</v>
      </c>
      <c r="C15529" s="51" t="s">
        <v>780</v>
      </c>
      <c r="D15529" s="51">
        <v>0.0</v>
      </c>
    </row>
    <row r="15530" ht="15.75" hidden="1" customHeight="1">
      <c r="A15530" s="51" t="s">
        <v>679</v>
      </c>
      <c r="B15530" s="52">
        <v>46568.0</v>
      </c>
      <c r="C15530" s="51" t="s">
        <v>780</v>
      </c>
      <c r="D15530" s="51">
        <v>0.0</v>
      </c>
    </row>
    <row r="15531" ht="15.75" hidden="1" customHeight="1">
      <c r="A15531" s="51" t="s">
        <v>684</v>
      </c>
      <c r="B15531" s="52">
        <v>46568.0</v>
      </c>
      <c r="C15531" s="51" t="s">
        <v>780</v>
      </c>
      <c r="D15531" s="51">
        <v>0.0</v>
      </c>
    </row>
    <row r="15532" ht="15.75" hidden="1" customHeight="1">
      <c r="A15532" s="51" t="s">
        <v>689</v>
      </c>
      <c r="B15532" s="52">
        <v>46568.0</v>
      </c>
      <c r="C15532" s="51" t="s">
        <v>780</v>
      </c>
      <c r="D15532" s="51">
        <v>0.0</v>
      </c>
    </row>
    <row r="15533" ht="15.75" hidden="1" customHeight="1">
      <c r="A15533" s="51" t="s">
        <v>694</v>
      </c>
      <c r="B15533" s="52">
        <v>46568.0</v>
      </c>
      <c r="C15533" s="51" t="s">
        <v>780</v>
      </c>
      <c r="D15533" s="51">
        <v>0.0</v>
      </c>
    </row>
    <row r="15534" ht="15.75" hidden="1" customHeight="1">
      <c r="A15534" s="51" t="s">
        <v>699</v>
      </c>
      <c r="B15534" s="52">
        <v>46568.0</v>
      </c>
      <c r="C15534" s="51" t="s">
        <v>780</v>
      </c>
      <c r="D15534" s="51">
        <v>0.0</v>
      </c>
    </row>
    <row r="15535" ht="15.75" hidden="1" customHeight="1">
      <c r="A15535" s="51" t="s">
        <v>705</v>
      </c>
      <c r="B15535" s="52">
        <v>46568.0</v>
      </c>
      <c r="C15535" s="51" t="s">
        <v>780</v>
      </c>
      <c r="D15535" s="51">
        <v>0.0</v>
      </c>
    </row>
    <row r="15536" ht="15.75" hidden="1" customHeight="1">
      <c r="A15536" s="51" t="s">
        <v>710</v>
      </c>
      <c r="B15536" s="52">
        <v>46568.0</v>
      </c>
      <c r="C15536" s="51" t="s">
        <v>780</v>
      </c>
      <c r="D15536" s="51">
        <v>0.0</v>
      </c>
    </row>
    <row r="15537" ht="15.75" hidden="1" customHeight="1">
      <c r="A15537" s="51" t="s">
        <v>715</v>
      </c>
      <c r="B15537" s="52">
        <v>46568.0</v>
      </c>
      <c r="C15537" s="51" t="s">
        <v>780</v>
      </c>
      <c r="D15537" s="51">
        <v>0.0</v>
      </c>
    </row>
    <row r="15538" ht="15.75" hidden="1" customHeight="1">
      <c r="A15538" s="51" t="s">
        <v>765</v>
      </c>
      <c r="B15538" s="52">
        <v>46568.0</v>
      </c>
      <c r="C15538" s="51" t="s">
        <v>780</v>
      </c>
      <c r="D15538" s="51">
        <v>0.0</v>
      </c>
    </row>
    <row r="15539" ht="15.75" hidden="1" customHeight="1">
      <c r="A15539" s="51" t="s">
        <v>720</v>
      </c>
      <c r="B15539" s="52">
        <v>46568.0</v>
      </c>
      <c r="C15539" s="51" t="s">
        <v>780</v>
      </c>
      <c r="D15539" s="51">
        <v>0.0</v>
      </c>
    </row>
    <row r="15540" ht="15.75" hidden="1" customHeight="1">
      <c r="A15540" s="51" t="s">
        <v>725</v>
      </c>
      <c r="B15540" s="52">
        <v>46568.0</v>
      </c>
      <c r="C15540" s="51" t="s">
        <v>780</v>
      </c>
      <c r="D15540" s="51">
        <v>0.0</v>
      </c>
    </row>
    <row r="15541" ht="15.75" hidden="1" customHeight="1">
      <c r="A15541" s="51" t="s">
        <v>730</v>
      </c>
      <c r="B15541" s="52">
        <v>46568.0</v>
      </c>
      <c r="C15541" s="51" t="s">
        <v>780</v>
      </c>
      <c r="D15541" s="51">
        <v>0.0</v>
      </c>
    </row>
    <row r="15542" ht="15.75" hidden="1" customHeight="1">
      <c r="A15542" s="51" t="s">
        <v>734</v>
      </c>
      <c r="B15542" s="52">
        <v>46568.0</v>
      </c>
      <c r="C15542" s="51" t="s">
        <v>780</v>
      </c>
      <c r="D15542" s="51">
        <v>0.0</v>
      </c>
    </row>
    <row r="15543" ht="15.75" hidden="1" customHeight="1">
      <c r="A15543" s="51" t="s">
        <v>739</v>
      </c>
      <c r="B15543" s="52">
        <v>46568.0</v>
      </c>
      <c r="C15543" s="51" t="s">
        <v>780</v>
      </c>
      <c r="D15543" s="51">
        <v>0.0</v>
      </c>
    </row>
    <row r="15544" ht="15.75" hidden="1" customHeight="1">
      <c r="A15544" s="51" t="s">
        <v>744</v>
      </c>
      <c r="B15544" s="52">
        <v>46568.0</v>
      </c>
      <c r="C15544" s="51" t="s">
        <v>780</v>
      </c>
      <c r="D15544" s="51">
        <v>0.0</v>
      </c>
    </row>
    <row r="15545" ht="15.75" hidden="1" customHeight="1">
      <c r="A15545" s="51" t="s">
        <v>749</v>
      </c>
      <c r="B15545" s="52">
        <v>46568.0</v>
      </c>
      <c r="C15545" s="51" t="s">
        <v>780</v>
      </c>
      <c r="D15545" s="51">
        <v>0.0</v>
      </c>
    </row>
    <row r="15546" ht="15.75" customHeight="1">
      <c r="A15546" s="51" t="s">
        <v>776</v>
      </c>
      <c r="B15546" s="52">
        <v>46660.0</v>
      </c>
      <c r="C15546" s="51" t="s">
        <v>777</v>
      </c>
      <c r="D15546" s="51">
        <v>0.0</v>
      </c>
    </row>
    <row r="15547" ht="15.75" hidden="1" customHeight="1">
      <c r="A15547" s="51" t="s">
        <v>778</v>
      </c>
      <c r="B15547" s="52">
        <v>46660.0</v>
      </c>
      <c r="C15547" s="51" t="s">
        <v>777</v>
      </c>
      <c r="D15547" s="51">
        <v>0.0</v>
      </c>
    </row>
    <row r="15548" ht="15.75" hidden="1" customHeight="1">
      <c r="A15548" s="51" t="s">
        <v>92</v>
      </c>
      <c r="B15548" s="52">
        <v>46660.0</v>
      </c>
      <c r="C15548" s="51" t="s">
        <v>777</v>
      </c>
      <c r="D15548" s="51">
        <v>0.0</v>
      </c>
    </row>
    <row r="15549" ht="15.75" hidden="1" customHeight="1">
      <c r="A15549" s="51" t="s">
        <v>97</v>
      </c>
      <c r="B15549" s="52">
        <v>46660.0</v>
      </c>
      <c r="C15549" s="51" t="s">
        <v>777</v>
      </c>
      <c r="D15549" s="51">
        <v>0.0</v>
      </c>
    </row>
    <row r="15550" ht="15.75" hidden="1" customHeight="1">
      <c r="A15550" s="51" t="s">
        <v>102</v>
      </c>
      <c r="B15550" s="52">
        <v>46660.0</v>
      </c>
      <c r="C15550" s="51" t="s">
        <v>777</v>
      </c>
      <c r="D15550" s="51">
        <v>0.0</v>
      </c>
    </row>
    <row r="15551" ht="15.75" hidden="1" customHeight="1">
      <c r="A15551" s="51" t="s">
        <v>106</v>
      </c>
      <c r="B15551" s="52">
        <v>46660.0</v>
      </c>
      <c r="C15551" s="51" t="s">
        <v>777</v>
      </c>
      <c r="D15551" s="51">
        <v>0.0</v>
      </c>
    </row>
    <row r="15552" ht="15.75" hidden="1" customHeight="1">
      <c r="A15552" s="51" t="s">
        <v>111</v>
      </c>
      <c r="B15552" s="52">
        <v>46660.0</v>
      </c>
      <c r="C15552" s="51" t="s">
        <v>777</v>
      </c>
      <c r="D15552" s="51">
        <v>0.0</v>
      </c>
    </row>
    <row r="15553" ht="15.75" hidden="1" customHeight="1">
      <c r="A15553" s="51" t="s">
        <v>116</v>
      </c>
      <c r="B15553" s="52">
        <v>46660.0</v>
      </c>
      <c r="C15553" s="51" t="s">
        <v>777</v>
      </c>
      <c r="D15553" s="51">
        <v>0.0</v>
      </c>
    </row>
    <row r="15554" ht="15.75" hidden="1" customHeight="1">
      <c r="A15554" s="51" t="s">
        <v>120</v>
      </c>
      <c r="B15554" s="52">
        <v>46660.0</v>
      </c>
      <c r="C15554" s="51" t="s">
        <v>777</v>
      </c>
      <c r="D15554" s="51">
        <v>0.0</v>
      </c>
    </row>
    <row r="15555" ht="15.75" hidden="1" customHeight="1">
      <c r="A15555" s="51" t="s">
        <v>125</v>
      </c>
      <c r="B15555" s="52">
        <v>46660.0</v>
      </c>
      <c r="C15555" s="51" t="s">
        <v>777</v>
      </c>
      <c r="D15555" s="51">
        <v>0.0</v>
      </c>
    </row>
    <row r="15556" ht="15.75" hidden="1" customHeight="1">
      <c r="A15556" s="51" t="s">
        <v>130</v>
      </c>
      <c r="B15556" s="52">
        <v>46660.0</v>
      </c>
      <c r="C15556" s="51" t="s">
        <v>777</v>
      </c>
      <c r="D15556" s="51">
        <v>0.0</v>
      </c>
    </row>
    <row r="15557" ht="15.75" hidden="1" customHeight="1">
      <c r="A15557" s="51" t="s">
        <v>137</v>
      </c>
      <c r="B15557" s="52">
        <v>46660.0</v>
      </c>
      <c r="C15557" s="51" t="s">
        <v>777</v>
      </c>
      <c r="D15557" s="51">
        <v>0.0</v>
      </c>
    </row>
    <row r="15558" ht="15.75" hidden="1" customHeight="1">
      <c r="A15558" s="51" t="s">
        <v>142</v>
      </c>
      <c r="B15558" s="52">
        <v>46660.0</v>
      </c>
      <c r="C15558" s="51" t="s">
        <v>777</v>
      </c>
      <c r="D15558" s="51">
        <v>0.0</v>
      </c>
    </row>
    <row r="15559" ht="15.75" hidden="1" customHeight="1">
      <c r="A15559" s="51" t="s">
        <v>147</v>
      </c>
      <c r="B15559" s="52">
        <v>46660.0</v>
      </c>
      <c r="C15559" s="51" t="s">
        <v>777</v>
      </c>
      <c r="D15559" s="51">
        <v>0.0</v>
      </c>
    </row>
    <row r="15560" ht="15.75" hidden="1" customHeight="1">
      <c r="A15560" s="51" t="s">
        <v>152</v>
      </c>
      <c r="B15560" s="52">
        <v>46660.0</v>
      </c>
      <c r="C15560" s="51" t="s">
        <v>777</v>
      </c>
      <c r="D15560" s="51">
        <v>0.0</v>
      </c>
    </row>
    <row r="15561" ht="15.75" hidden="1" customHeight="1">
      <c r="A15561" s="51" t="s">
        <v>157</v>
      </c>
      <c r="B15561" s="52">
        <v>46660.0</v>
      </c>
      <c r="C15561" s="51" t="s">
        <v>777</v>
      </c>
      <c r="D15561" s="51">
        <v>0.0</v>
      </c>
    </row>
    <row r="15562" ht="15.75" hidden="1" customHeight="1">
      <c r="A15562" s="51" t="s">
        <v>162</v>
      </c>
      <c r="B15562" s="52">
        <v>46660.0</v>
      </c>
      <c r="C15562" s="51" t="s">
        <v>777</v>
      </c>
      <c r="D15562" s="51">
        <v>0.0</v>
      </c>
    </row>
    <row r="15563" ht="15.75" hidden="1" customHeight="1">
      <c r="A15563" s="51" t="s">
        <v>167</v>
      </c>
      <c r="B15563" s="52">
        <v>46660.0</v>
      </c>
      <c r="C15563" s="51" t="s">
        <v>777</v>
      </c>
      <c r="D15563" s="51">
        <v>0.0</v>
      </c>
    </row>
    <row r="15564" ht="15.75" hidden="1" customHeight="1">
      <c r="A15564" s="51" t="s">
        <v>172</v>
      </c>
      <c r="B15564" s="52">
        <v>46660.0</v>
      </c>
      <c r="C15564" s="51" t="s">
        <v>777</v>
      </c>
      <c r="D15564" s="51">
        <v>0.0</v>
      </c>
    </row>
    <row r="15565" ht="15.75" hidden="1" customHeight="1">
      <c r="A15565" s="51" t="s">
        <v>177</v>
      </c>
      <c r="B15565" s="52">
        <v>46660.0</v>
      </c>
      <c r="C15565" s="51" t="s">
        <v>777</v>
      </c>
      <c r="D15565" s="51">
        <v>0.0</v>
      </c>
    </row>
    <row r="15566" ht="15.75" hidden="1" customHeight="1">
      <c r="A15566" s="51" t="s">
        <v>182</v>
      </c>
      <c r="B15566" s="52">
        <v>46660.0</v>
      </c>
      <c r="C15566" s="51" t="s">
        <v>777</v>
      </c>
      <c r="D15566" s="51">
        <v>0.0</v>
      </c>
    </row>
    <row r="15567" ht="15.75" hidden="1" customHeight="1">
      <c r="A15567" s="51" t="s">
        <v>187</v>
      </c>
      <c r="B15567" s="52">
        <v>46660.0</v>
      </c>
      <c r="C15567" s="51" t="s">
        <v>777</v>
      </c>
      <c r="D15567" s="51">
        <v>0.0</v>
      </c>
    </row>
    <row r="15568" ht="15.75" hidden="1" customHeight="1">
      <c r="A15568" s="51" t="s">
        <v>192</v>
      </c>
      <c r="B15568" s="52">
        <v>46660.0</v>
      </c>
      <c r="C15568" s="51" t="s">
        <v>777</v>
      </c>
      <c r="D15568" s="51">
        <v>0.0</v>
      </c>
    </row>
    <row r="15569" ht="15.75" hidden="1" customHeight="1">
      <c r="A15569" s="51" t="s">
        <v>197</v>
      </c>
      <c r="B15569" s="52">
        <v>46660.0</v>
      </c>
      <c r="C15569" s="51" t="s">
        <v>777</v>
      </c>
      <c r="D15569" s="51">
        <v>0.0</v>
      </c>
    </row>
    <row r="15570" ht="15.75" hidden="1" customHeight="1">
      <c r="A15570" s="51" t="s">
        <v>202</v>
      </c>
      <c r="B15570" s="52">
        <v>46660.0</v>
      </c>
      <c r="C15570" s="51" t="s">
        <v>777</v>
      </c>
      <c r="D15570" s="51">
        <v>0.0</v>
      </c>
    </row>
    <row r="15571" ht="15.75" hidden="1" customHeight="1">
      <c r="A15571" s="51" t="s">
        <v>206</v>
      </c>
      <c r="B15571" s="52">
        <v>46660.0</v>
      </c>
      <c r="C15571" s="51" t="s">
        <v>777</v>
      </c>
      <c r="D15571" s="51">
        <v>0.0</v>
      </c>
    </row>
    <row r="15572" ht="15.75" hidden="1" customHeight="1">
      <c r="A15572" s="51" t="s">
        <v>211</v>
      </c>
      <c r="B15572" s="52">
        <v>46660.0</v>
      </c>
      <c r="C15572" s="51" t="s">
        <v>777</v>
      </c>
      <c r="D15572" s="51">
        <v>0.0</v>
      </c>
    </row>
    <row r="15573" ht="15.75" hidden="1" customHeight="1">
      <c r="A15573" s="51" t="s">
        <v>779</v>
      </c>
      <c r="B15573" s="52">
        <v>46660.0</v>
      </c>
      <c r="C15573" s="51" t="s">
        <v>777</v>
      </c>
      <c r="D15573" s="51">
        <v>0.0</v>
      </c>
    </row>
    <row r="15574" ht="15.75" hidden="1" customHeight="1">
      <c r="A15574" s="51" t="s">
        <v>221</v>
      </c>
      <c r="B15574" s="52">
        <v>46660.0</v>
      </c>
      <c r="C15574" s="51" t="s">
        <v>777</v>
      </c>
      <c r="D15574" s="51">
        <v>0.0</v>
      </c>
    </row>
    <row r="15575" ht="15.75" hidden="1" customHeight="1">
      <c r="A15575" s="51" t="s">
        <v>226</v>
      </c>
      <c r="B15575" s="52">
        <v>46660.0</v>
      </c>
      <c r="C15575" s="51" t="s">
        <v>777</v>
      </c>
      <c r="D15575" s="51">
        <v>0.0</v>
      </c>
    </row>
    <row r="15576" ht="15.75" hidden="1" customHeight="1">
      <c r="A15576" s="51" t="s">
        <v>231</v>
      </c>
      <c r="B15576" s="52">
        <v>46660.0</v>
      </c>
      <c r="C15576" s="51" t="s">
        <v>777</v>
      </c>
      <c r="D15576" s="51">
        <v>0.0</v>
      </c>
    </row>
    <row r="15577" ht="15.75" hidden="1" customHeight="1">
      <c r="A15577" s="51" t="s">
        <v>236</v>
      </c>
      <c r="B15577" s="52">
        <v>46660.0</v>
      </c>
      <c r="C15577" s="51" t="s">
        <v>777</v>
      </c>
      <c r="D15577" s="51">
        <v>0.0</v>
      </c>
    </row>
    <row r="15578" ht="15.75" hidden="1" customHeight="1">
      <c r="A15578" s="51" t="s">
        <v>242</v>
      </c>
      <c r="B15578" s="52">
        <v>46660.0</v>
      </c>
      <c r="C15578" s="51" t="s">
        <v>777</v>
      </c>
      <c r="D15578" s="51">
        <v>0.0</v>
      </c>
    </row>
    <row r="15579" ht="15.75" hidden="1" customHeight="1">
      <c r="A15579" s="51" t="s">
        <v>248</v>
      </c>
      <c r="B15579" s="52">
        <v>46660.0</v>
      </c>
      <c r="C15579" s="51" t="s">
        <v>777</v>
      </c>
      <c r="D15579" s="51">
        <v>0.0</v>
      </c>
    </row>
    <row r="15580" ht="15.75" hidden="1" customHeight="1">
      <c r="A15580" s="51" t="s">
        <v>253</v>
      </c>
      <c r="B15580" s="52">
        <v>46660.0</v>
      </c>
      <c r="C15580" s="51" t="s">
        <v>777</v>
      </c>
      <c r="D15580" s="51">
        <v>0.0</v>
      </c>
    </row>
    <row r="15581" ht="15.75" hidden="1" customHeight="1">
      <c r="A15581" s="51" t="s">
        <v>258</v>
      </c>
      <c r="B15581" s="52">
        <v>46660.0</v>
      </c>
      <c r="C15581" s="51" t="s">
        <v>777</v>
      </c>
      <c r="D15581" s="51">
        <v>0.0</v>
      </c>
    </row>
    <row r="15582" ht="15.75" hidden="1" customHeight="1">
      <c r="A15582" s="51" t="s">
        <v>263</v>
      </c>
      <c r="B15582" s="52">
        <v>46660.0</v>
      </c>
      <c r="C15582" s="51" t="s">
        <v>777</v>
      </c>
      <c r="D15582" s="51">
        <v>0.0</v>
      </c>
    </row>
    <row r="15583" ht="15.75" hidden="1" customHeight="1">
      <c r="A15583" s="51" t="s">
        <v>268</v>
      </c>
      <c r="B15583" s="52">
        <v>46660.0</v>
      </c>
      <c r="C15583" s="51" t="s">
        <v>777</v>
      </c>
      <c r="D15583" s="51">
        <v>0.0</v>
      </c>
    </row>
    <row r="15584" ht="15.75" hidden="1" customHeight="1">
      <c r="A15584" s="51" t="s">
        <v>273</v>
      </c>
      <c r="B15584" s="52">
        <v>46660.0</v>
      </c>
      <c r="C15584" s="51" t="s">
        <v>777</v>
      </c>
      <c r="D15584" s="51">
        <v>0.0</v>
      </c>
    </row>
    <row r="15585" ht="15.75" hidden="1" customHeight="1">
      <c r="A15585" s="51" t="s">
        <v>278</v>
      </c>
      <c r="B15585" s="52">
        <v>46660.0</v>
      </c>
      <c r="C15585" s="51" t="s">
        <v>777</v>
      </c>
      <c r="D15585" s="51">
        <v>0.0</v>
      </c>
    </row>
    <row r="15586" ht="15.75" hidden="1" customHeight="1">
      <c r="A15586" s="51" t="s">
        <v>283</v>
      </c>
      <c r="B15586" s="52">
        <v>46660.0</v>
      </c>
      <c r="C15586" s="51" t="s">
        <v>777</v>
      </c>
      <c r="D15586" s="51">
        <v>0.0</v>
      </c>
    </row>
    <row r="15587" ht="15.75" hidden="1" customHeight="1">
      <c r="A15587" s="51" t="s">
        <v>288</v>
      </c>
      <c r="B15587" s="52">
        <v>46660.0</v>
      </c>
      <c r="C15587" s="51" t="s">
        <v>777</v>
      </c>
      <c r="D15587" s="51">
        <v>0.0</v>
      </c>
    </row>
    <row r="15588" ht="15.75" hidden="1" customHeight="1">
      <c r="A15588" s="51" t="s">
        <v>293</v>
      </c>
      <c r="B15588" s="52">
        <v>46660.0</v>
      </c>
      <c r="C15588" s="51" t="s">
        <v>777</v>
      </c>
      <c r="D15588" s="51">
        <v>0.0</v>
      </c>
    </row>
    <row r="15589" ht="15.75" hidden="1" customHeight="1">
      <c r="A15589" s="51" t="s">
        <v>298</v>
      </c>
      <c r="B15589" s="52">
        <v>46660.0</v>
      </c>
      <c r="C15589" s="51" t="s">
        <v>777</v>
      </c>
      <c r="D15589" s="51">
        <v>0.0</v>
      </c>
    </row>
    <row r="15590" ht="15.75" hidden="1" customHeight="1">
      <c r="A15590" s="51" t="s">
        <v>303</v>
      </c>
      <c r="B15590" s="52">
        <v>46660.0</v>
      </c>
      <c r="C15590" s="51" t="s">
        <v>777</v>
      </c>
      <c r="D15590" s="51">
        <v>0.0</v>
      </c>
    </row>
    <row r="15591" ht="15.75" hidden="1" customHeight="1">
      <c r="A15591" s="51" t="s">
        <v>307</v>
      </c>
      <c r="B15591" s="52">
        <v>46660.0</v>
      </c>
      <c r="C15591" s="51" t="s">
        <v>777</v>
      </c>
      <c r="D15591" s="51">
        <v>0.0</v>
      </c>
    </row>
    <row r="15592" ht="15.75" hidden="1" customHeight="1">
      <c r="A15592" s="51" t="s">
        <v>313</v>
      </c>
      <c r="B15592" s="52">
        <v>46660.0</v>
      </c>
      <c r="C15592" s="51" t="s">
        <v>777</v>
      </c>
      <c r="D15592" s="51">
        <v>0.0</v>
      </c>
    </row>
    <row r="15593" ht="15.75" hidden="1" customHeight="1">
      <c r="A15593" s="51" t="s">
        <v>318</v>
      </c>
      <c r="B15593" s="52">
        <v>46660.0</v>
      </c>
      <c r="C15593" s="51" t="s">
        <v>777</v>
      </c>
      <c r="D15593" s="51">
        <v>0.0</v>
      </c>
    </row>
    <row r="15594" ht="15.75" hidden="1" customHeight="1">
      <c r="A15594" s="51" t="s">
        <v>323</v>
      </c>
      <c r="B15594" s="52">
        <v>46660.0</v>
      </c>
      <c r="C15594" s="51" t="s">
        <v>777</v>
      </c>
      <c r="D15594" s="51">
        <v>0.0</v>
      </c>
    </row>
    <row r="15595" ht="15.75" hidden="1" customHeight="1">
      <c r="A15595" s="51" t="s">
        <v>328</v>
      </c>
      <c r="B15595" s="52">
        <v>46660.0</v>
      </c>
      <c r="C15595" s="51" t="s">
        <v>777</v>
      </c>
      <c r="D15595" s="51">
        <v>0.0</v>
      </c>
    </row>
    <row r="15596" ht="15.75" hidden="1" customHeight="1">
      <c r="A15596" s="51" t="s">
        <v>335</v>
      </c>
      <c r="B15596" s="52">
        <v>46660.0</v>
      </c>
      <c r="C15596" s="51" t="s">
        <v>777</v>
      </c>
      <c r="D15596" s="51">
        <v>0.0</v>
      </c>
    </row>
    <row r="15597" ht="15.75" hidden="1" customHeight="1">
      <c r="A15597" s="51" t="s">
        <v>340</v>
      </c>
      <c r="B15597" s="52">
        <v>46660.0</v>
      </c>
      <c r="C15597" s="51" t="s">
        <v>777</v>
      </c>
      <c r="D15597" s="51">
        <v>0.0</v>
      </c>
    </row>
    <row r="15598" ht="15.75" hidden="1" customHeight="1">
      <c r="A15598" s="51" t="s">
        <v>345</v>
      </c>
      <c r="B15598" s="52">
        <v>46660.0</v>
      </c>
      <c r="C15598" s="51" t="s">
        <v>777</v>
      </c>
      <c r="D15598" s="51">
        <v>0.0</v>
      </c>
    </row>
    <row r="15599" ht="15.75" hidden="1" customHeight="1">
      <c r="A15599" s="51" t="s">
        <v>350</v>
      </c>
      <c r="B15599" s="52">
        <v>46660.0</v>
      </c>
      <c r="C15599" s="51" t="s">
        <v>777</v>
      </c>
      <c r="D15599" s="51">
        <v>0.0</v>
      </c>
    </row>
    <row r="15600" ht="15.75" hidden="1" customHeight="1">
      <c r="A15600" s="51" t="s">
        <v>355</v>
      </c>
      <c r="B15600" s="52">
        <v>46660.0</v>
      </c>
      <c r="C15600" s="51" t="s">
        <v>777</v>
      </c>
      <c r="D15600" s="51">
        <v>0.0</v>
      </c>
    </row>
    <row r="15601" ht="15.75" hidden="1" customHeight="1">
      <c r="A15601" s="51" t="s">
        <v>360</v>
      </c>
      <c r="B15601" s="52">
        <v>46660.0</v>
      </c>
      <c r="C15601" s="51" t="s">
        <v>777</v>
      </c>
      <c r="D15601" s="51">
        <v>0.0</v>
      </c>
    </row>
    <row r="15602" ht="15.75" hidden="1" customHeight="1">
      <c r="A15602" s="51" t="s">
        <v>365</v>
      </c>
      <c r="B15602" s="52">
        <v>46660.0</v>
      </c>
      <c r="C15602" s="51" t="s">
        <v>777</v>
      </c>
      <c r="D15602" s="51">
        <v>0.0</v>
      </c>
    </row>
    <row r="15603" ht="15.75" hidden="1" customHeight="1">
      <c r="A15603" s="51" t="s">
        <v>370</v>
      </c>
      <c r="B15603" s="52">
        <v>46660.0</v>
      </c>
      <c r="C15603" s="51" t="s">
        <v>777</v>
      </c>
      <c r="D15603" s="51">
        <v>0.0</v>
      </c>
    </row>
    <row r="15604" ht="15.75" hidden="1" customHeight="1">
      <c r="A15604" s="51" t="s">
        <v>375</v>
      </c>
      <c r="B15604" s="52">
        <v>46660.0</v>
      </c>
      <c r="C15604" s="51" t="s">
        <v>777</v>
      </c>
      <c r="D15604" s="51">
        <v>0.0</v>
      </c>
    </row>
    <row r="15605" ht="15.75" hidden="1" customHeight="1">
      <c r="A15605" s="51" t="s">
        <v>380</v>
      </c>
      <c r="B15605" s="52">
        <v>46660.0</v>
      </c>
      <c r="C15605" s="51" t="s">
        <v>777</v>
      </c>
      <c r="D15605" s="51">
        <v>0.0</v>
      </c>
    </row>
    <row r="15606" ht="15.75" hidden="1" customHeight="1">
      <c r="A15606" s="51" t="s">
        <v>385</v>
      </c>
      <c r="B15606" s="52">
        <v>46660.0</v>
      </c>
      <c r="C15606" s="51" t="s">
        <v>777</v>
      </c>
      <c r="D15606" s="51">
        <v>0.0</v>
      </c>
    </row>
    <row r="15607" ht="15.75" hidden="1" customHeight="1">
      <c r="A15607" s="51" t="s">
        <v>390</v>
      </c>
      <c r="B15607" s="52">
        <v>46660.0</v>
      </c>
      <c r="C15607" s="51" t="s">
        <v>777</v>
      </c>
      <c r="D15607" s="51">
        <v>0.0</v>
      </c>
    </row>
    <row r="15608" ht="15.75" hidden="1" customHeight="1">
      <c r="A15608" s="51" t="s">
        <v>395</v>
      </c>
      <c r="B15608" s="52">
        <v>46660.0</v>
      </c>
      <c r="C15608" s="51" t="s">
        <v>777</v>
      </c>
      <c r="D15608" s="51">
        <v>0.0</v>
      </c>
    </row>
    <row r="15609" ht="15.75" hidden="1" customHeight="1">
      <c r="A15609" s="51" t="s">
        <v>400</v>
      </c>
      <c r="B15609" s="52">
        <v>46660.0</v>
      </c>
      <c r="C15609" s="51" t="s">
        <v>777</v>
      </c>
      <c r="D15609" s="51">
        <v>0.0</v>
      </c>
    </row>
    <row r="15610" ht="15.75" hidden="1" customHeight="1">
      <c r="A15610" s="51" t="s">
        <v>405</v>
      </c>
      <c r="B15610" s="52">
        <v>46660.0</v>
      </c>
      <c r="C15610" s="51" t="s">
        <v>777</v>
      </c>
      <c r="D15610" s="51">
        <v>0.0</v>
      </c>
    </row>
    <row r="15611" ht="15.75" hidden="1" customHeight="1">
      <c r="A15611" s="51" t="s">
        <v>410</v>
      </c>
      <c r="B15611" s="52">
        <v>46660.0</v>
      </c>
      <c r="C15611" s="51" t="s">
        <v>777</v>
      </c>
      <c r="D15611" s="51">
        <v>0.0</v>
      </c>
    </row>
    <row r="15612" ht="15.75" hidden="1" customHeight="1">
      <c r="A15612" s="51" t="s">
        <v>415</v>
      </c>
      <c r="B15612" s="52">
        <v>46660.0</v>
      </c>
      <c r="C15612" s="51" t="s">
        <v>777</v>
      </c>
      <c r="D15612" s="51">
        <v>0.0</v>
      </c>
    </row>
    <row r="15613" ht="15.75" hidden="1" customHeight="1">
      <c r="A15613" s="51" t="s">
        <v>420</v>
      </c>
      <c r="B15613" s="52">
        <v>46660.0</v>
      </c>
      <c r="C15613" s="51" t="s">
        <v>777</v>
      </c>
      <c r="D15613" s="51">
        <v>0.0</v>
      </c>
    </row>
    <row r="15614" ht="15.75" hidden="1" customHeight="1">
      <c r="A15614" s="51" t="s">
        <v>425</v>
      </c>
      <c r="B15614" s="52">
        <v>46660.0</v>
      </c>
      <c r="C15614" s="51" t="s">
        <v>777</v>
      </c>
      <c r="D15614" s="51">
        <v>0.0</v>
      </c>
    </row>
    <row r="15615" ht="15.75" hidden="1" customHeight="1">
      <c r="A15615" s="51" t="s">
        <v>430</v>
      </c>
      <c r="B15615" s="52">
        <v>46660.0</v>
      </c>
      <c r="C15615" s="51" t="s">
        <v>777</v>
      </c>
      <c r="D15615" s="51">
        <v>0.0</v>
      </c>
    </row>
    <row r="15616" ht="15.75" hidden="1" customHeight="1">
      <c r="A15616" s="51" t="s">
        <v>434</v>
      </c>
      <c r="B15616" s="52">
        <v>46660.0</v>
      </c>
      <c r="C15616" s="51" t="s">
        <v>777</v>
      </c>
      <c r="D15616" s="51">
        <v>0.0</v>
      </c>
    </row>
    <row r="15617" ht="15.75" hidden="1" customHeight="1">
      <c r="A15617" s="51" t="s">
        <v>439</v>
      </c>
      <c r="B15617" s="52">
        <v>46660.0</v>
      </c>
      <c r="C15617" s="51" t="s">
        <v>777</v>
      </c>
      <c r="D15617" s="51">
        <v>0.0</v>
      </c>
    </row>
    <row r="15618" ht="15.75" hidden="1" customHeight="1">
      <c r="A15618" s="51" t="s">
        <v>444</v>
      </c>
      <c r="B15618" s="52">
        <v>46660.0</v>
      </c>
      <c r="C15618" s="51" t="s">
        <v>777</v>
      </c>
      <c r="D15618" s="51">
        <v>0.0</v>
      </c>
    </row>
    <row r="15619" ht="15.75" hidden="1" customHeight="1">
      <c r="A15619" s="51" t="s">
        <v>449</v>
      </c>
      <c r="B15619" s="52">
        <v>46660.0</v>
      </c>
      <c r="C15619" s="51" t="s">
        <v>777</v>
      </c>
      <c r="D15619" s="51">
        <v>0.0</v>
      </c>
    </row>
    <row r="15620" ht="15.75" hidden="1" customHeight="1">
      <c r="A15620" s="51" t="s">
        <v>455</v>
      </c>
      <c r="B15620" s="52">
        <v>46660.0</v>
      </c>
      <c r="C15620" s="51" t="s">
        <v>777</v>
      </c>
      <c r="D15620" s="51">
        <v>0.0</v>
      </c>
    </row>
    <row r="15621" ht="15.75" hidden="1" customHeight="1">
      <c r="A15621" s="51" t="s">
        <v>470</v>
      </c>
      <c r="B15621" s="52">
        <v>46660.0</v>
      </c>
      <c r="C15621" s="51" t="s">
        <v>777</v>
      </c>
      <c r="D15621" s="51">
        <v>0.0</v>
      </c>
    </row>
    <row r="15622" ht="15.75" hidden="1" customHeight="1">
      <c r="A15622" s="51" t="s">
        <v>476</v>
      </c>
      <c r="B15622" s="52">
        <v>46660.0</v>
      </c>
      <c r="C15622" s="51" t="s">
        <v>777</v>
      </c>
      <c r="D15622" s="51">
        <v>0.0</v>
      </c>
    </row>
    <row r="15623" ht="15.75" hidden="1" customHeight="1">
      <c r="A15623" s="51" t="s">
        <v>481</v>
      </c>
      <c r="B15623" s="52">
        <v>46660.0</v>
      </c>
      <c r="C15623" s="51" t="s">
        <v>777</v>
      </c>
      <c r="D15623" s="51">
        <v>0.0</v>
      </c>
    </row>
    <row r="15624" ht="15.75" hidden="1" customHeight="1">
      <c r="A15624" s="51" t="s">
        <v>486</v>
      </c>
      <c r="B15624" s="52">
        <v>46660.0</v>
      </c>
      <c r="C15624" s="51" t="s">
        <v>777</v>
      </c>
      <c r="D15624" s="51">
        <v>0.0</v>
      </c>
    </row>
    <row r="15625" ht="15.75" hidden="1" customHeight="1">
      <c r="A15625" s="51" t="s">
        <v>491</v>
      </c>
      <c r="B15625" s="52">
        <v>46660.0</v>
      </c>
      <c r="C15625" s="51" t="s">
        <v>777</v>
      </c>
      <c r="D15625" s="51">
        <v>0.0</v>
      </c>
    </row>
    <row r="15626" ht="15.75" hidden="1" customHeight="1">
      <c r="A15626" s="51" t="s">
        <v>496</v>
      </c>
      <c r="B15626" s="52">
        <v>46660.0</v>
      </c>
      <c r="C15626" s="51" t="s">
        <v>777</v>
      </c>
      <c r="D15626" s="51">
        <v>0.0</v>
      </c>
    </row>
    <row r="15627" ht="15.75" hidden="1" customHeight="1">
      <c r="A15627" s="51" t="s">
        <v>501</v>
      </c>
      <c r="B15627" s="52">
        <v>46660.0</v>
      </c>
      <c r="C15627" s="51" t="s">
        <v>777</v>
      </c>
      <c r="D15627" s="51">
        <v>0.0</v>
      </c>
    </row>
    <row r="15628" ht="15.75" hidden="1" customHeight="1">
      <c r="A15628" s="51" t="s">
        <v>506</v>
      </c>
      <c r="B15628" s="52">
        <v>46660.0</v>
      </c>
      <c r="C15628" s="51" t="s">
        <v>777</v>
      </c>
      <c r="D15628" s="51">
        <v>0.0</v>
      </c>
    </row>
    <row r="15629" ht="15.75" hidden="1" customHeight="1">
      <c r="A15629" s="51" t="s">
        <v>512</v>
      </c>
      <c r="B15629" s="52">
        <v>46660.0</v>
      </c>
      <c r="C15629" s="51" t="s">
        <v>777</v>
      </c>
      <c r="D15629" s="51">
        <v>0.0</v>
      </c>
    </row>
    <row r="15630" ht="15.75" hidden="1" customHeight="1">
      <c r="A15630" s="51" t="s">
        <v>517</v>
      </c>
      <c r="B15630" s="52">
        <v>46660.0</v>
      </c>
      <c r="C15630" s="51" t="s">
        <v>777</v>
      </c>
      <c r="D15630" s="51">
        <v>0.0</v>
      </c>
    </row>
    <row r="15631" ht="15.75" hidden="1" customHeight="1">
      <c r="A15631" s="51" t="s">
        <v>522</v>
      </c>
      <c r="B15631" s="52">
        <v>46660.0</v>
      </c>
      <c r="C15631" s="51" t="s">
        <v>777</v>
      </c>
      <c r="D15631" s="51">
        <v>0.0</v>
      </c>
    </row>
    <row r="15632" ht="15.75" hidden="1" customHeight="1">
      <c r="A15632" s="51" t="s">
        <v>528</v>
      </c>
      <c r="B15632" s="52">
        <v>46660.0</v>
      </c>
      <c r="C15632" s="51" t="s">
        <v>777</v>
      </c>
      <c r="D15632" s="51">
        <v>0.0</v>
      </c>
    </row>
    <row r="15633" ht="15.75" hidden="1" customHeight="1">
      <c r="A15633" s="51" t="s">
        <v>533</v>
      </c>
      <c r="B15633" s="52">
        <v>46660.0</v>
      </c>
      <c r="C15633" s="51" t="s">
        <v>777</v>
      </c>
      <c r="D15633" s="51">
        <v>0.0</v>
      </c>
    </row>
    <row r="15634" ht="15.75" hidden="1" customHeight="1">
      <c r="A15634" s="51" t="s">
        <v>538</v>
      </c>
      <c r="B15634" s="52">
        <v>46660.0</v>
      </c>
      <c r="C15634" s="51" t="s">
        <v>777</v>
      </c>
      <c r="D15634" s="51">
        <v>0.0</v>
      </c>
    </row>
    <row r="15635" ht="15.75" hidden="1" customHeight="1">
      <c r="A15635" s="51" t="s">
        <v>546</v>
      </c>
      <c r="B15635" s="52">
        <v>46660.0</v>
      </c>
      <c r="C15635" s="51" t="s">
        <v>777</v>
      </c>
      <c r="D15635" s="51">
        <v>0.0</v>
      </c>
    </row>
    <row r="15636" ht="15.75" hidden="1" customHeight="1">
      <c r="A15636" s="51" t="s">
        <v>551</v>
      </c>
      <c r="B15636" s="52">
        <v>46660.0</v>
      </c>
      <c r="C15636" s="51" t="s">
        <v>777</v>
      </c>
      <c r="D15636" s="51">
        <v>0.0</v>
      </c>
    </row>
    <row r="15637" ht="15.75" hidden="1" customHeight="1">
      <c r="A15637" s="51" t="s">
        <v>556</v>
      </c>
      <c r="B15637" s="52">
        <v>46660.0</v>
      </c>
      <c r="C15637" s="51" t="s">
        <v>777</v>
      </c>
      <c r="D15637" s="51">
        <v>0.0</v>
      </c>
    </row>
    <row r="15638" ht="15.75" hidden="1" customHeight="1">
      <c r="A15638" s="51" t="s">
        <v>561</v>
      </c>
      <c r="B15638" s="52">
        <v>46660.0</v>
      </c>
      <c r="C15638" s="51" t="s">
        <v>777</v>
      </c>
      <c r="D15638" s="51">
        <v>0.0</v>
      </c>
    </row>
    <row r="15639" ht="15.75" hidden="1" customHeight="1">
      <c r="A15639" s="51" t="s">
        <v>566</v>
      </c>
      <c r="B15639" s="52">
        <v>46660.0</v>
      </c>
      <c r="C15639" s="51" t="s">
        <v>777</v>
      </c>
      <c r="D15639" s="51">
        <v>0.0</v>
      </c>
    </row>
    <row r="15640" ht="15.75" hidden="1" customHeight="1">
      <c r="A15640" s="51" t="s">
        <v>571</v>
      </c>
      <c r="B15640" s="52">
        <v>46660.0</v>
      </c>
      <c r="C15640" s="51" t="s">
        <v>777</v>
      </c>
      <c r="D15640" s="51">
        <v>0.0</v>
      </c>
    </row>
    <row r="15641" ht="15.75" hidden="1" customHeight="1">
      <c r="A15641" s="51" t="s">
        <v>576</v>
      </c>
      <c r="B15641" s="52">
        <v>46660.0</v>
      </c>
      <c r="C15641" s="51" t="s">
        <v>777</v>
      </c>
      <c r="D15641" s="51">
        <v>0.0</v>
      </c>
    </row>
    <row r="15642" ht="15.75" hidden="1" customHeight="1">
      <c r="A15642" s="51" t="s">
        <v>581</v>
      </c>
      <c r="B15642" s="52">
        <v>46660.0</v>
      </c>
      <c r="C15642" s="51" t="s">
        <v>777</v>
      </c>
      <c r="D15642" s="51">
        <v>0.0</v>
      </c>
    </row>
    <row r="15643" ht="15.75" hidden="1" customHeight="1">
      <c r="A15643" s="51" t="s">
        <v>586</v>
      </c>
      <c r="B15643" s="52">
        <v>46660.0</v>
      </c>
      <c r="C15643" s="51" t="s">
        <v>777</v>
      </c>
      <c r="D15643" s="51">
        <v>0.0</v>
      </c>
    </row>
    <row r="15644" ht="15.75" hidden="1" customHeight="1">
      <c r="A15644" s="51" t="s">
        <v>754</v>
      </c>
      <c r="B15644" s="52">
        <v>46660.0</v>
      </c>
      <c r="C15644" s="51" t="s">
        <v>777</v>
      </c>
      <c r="D15644" s="51">
        <v>0.0</v>
      </c>
    </row>
    <row r="15645" ht="15.75" hidden="1" customHeight="1">
      <c r="A15645" s="51" t="s">
        <v>591</v>
      </c>
      <c r="B15645" s="52">
        <v>46660.0</v>
      </c>
      <c r="C15645" s="51" t="s">
        <v>777</v>
      </c>
      <c r="D15645" s="51">
        <v>0.0</v>
      </c>
    </row>
    <row r="15646" ht="15.75" hidden="1" customHeight="1">
      <c r="A15646" s="51" t="s">
        <v>759</v>
      </c>
      <c r="B15646" s="52">
        <v>46660.0</v>
      </c>
      <c r="C15646" s="51" t="s">
        <v>777</v>
      </c>
      <c r="D15646" s="51">
        <v>0.0</v>
      </c>
    </row>
    <row r="15647" ht="15.75" hidden="1" customHeight="1">
      <c r="A15647" s="51" t="s">
        <v>596</v>
      </c>
      <c r="B15647" s="52">
        <v>46660.0</v>
      </c>
      <c r="C15647" s="51" t="s">
        <v>777</v>
      </c>
      <c r="D15647" s="51">
        <v>0.0</v>
      </c>
    </row>
    <row r="15648" ht="15.75" hidden="1" customHeight="1">
      <c r="A15648" s="51" t="s">
        <v>602</v>
      </c>
      <c r="B15648" s="52">
        <v>46660.0</v>
      </c>
      <c r="C15648" s="51" t="s">
        <v>777</v>
      </c>
      <c r="D15648" s="51">
        <v>0.0</v>
      </c>
    </row>
    <row r="15649" ht="15.75" hidden="1" customHeight="1">
      <c r="A15649" s="51" t="s">
        <v>607</v>
      </c>
      <c r="B15649" s="52">
        <v>46660.0</v>
      </c>
      <c r="C15649" s="51" t="s">
        <v>777</v>
      </c>
      <c r="D15649" s="51">
        <v>0.0</v>
      </c>
    </row>
    <row r="15650" ht="15.75" hidden="1" customHeight="1">
      <c r="A15650" s="51" t="s">
        <v>612</v>
      </c>
      <c r="B15650" s="52">
        <v>46660.0</v>
      </c>
      <c r="C15650" s="51" t="s">
        <v>777</v>
      </c>
      <c r="D15650" s="51">
        <v>0.0</v>
      </c>
    </row>
    <row r="15651" ht="15.75" hidden="1" customHeight="1">
      <c r="A15651" s="51" t="s">
        <v>617</v>
      </c>
      <c r="B15651" s="52">
        <v>46660.0</v>
      </c>
      <c r="C15651" s="51" t="s">
        <v>777</v>
      </c>
      <c r="D15651" s="51">
        <v>0.0</v>
      </c>
    </row>
    <row r="15652" ht="15.75" hidden="1" customHeight="1">
      <c r="A15652" s="51" t="s">
        <v>622</v>
      </c>
      <c r="B15652" s="52">
        <v>46660.0</v>
      </c>
      <c r="C15652" s="51" t="s">
        <v>777</v>
      </c>
      <c r="D15652" s="51">
        <v>0.0</v>
      </c>
    </row>
    <row r="15653" ht="15.75" hidden="1" customHeight="1">
      <c r="A15653" s="51" t="s">
        <v>627</v>
      </c>
      <c r="B15653" s="52">
        <v>46660.0</v>
      </c>
      <c r="C15653" s="51" t="s">
        <v>777</v>
      </c>
      <c r="D15653" s="51">
        <v>0.0</v>
      </c>
    </row>
    <row r="15654" ht="15.75" hidden="1" customHeight="1">
      <c r="A15654" s="51" t="s">
        <v>631</v>
      </c>
      <c r="B15654" s="52">
        <v>46660.0</v>
      </c>
      <c r="C15654" s="51" t="s">
        <v>777</v>
      </c>
      <c r="D15654" s="51">
        <v>0.0</v>
      </c>
    </row>
    <row r="15655" ht="15.75" hidden="1" customHeight="1">
      <c r="A15655" s="51" t="s">
        <v>636</v>
      </c>
      <c r="B15655" s="52">
        <v>46660.0</v>
      </c>
      <c r="C15655" s="51" t="s">
        <v>777</v>
      </c>
      <c r="D15655" s="51">
        <v>0.0</v>
      </c>
    </row>
    <row r="15656" ht="15.75" hidden="1" customHeight="1">
      <c r="A15656" s="51" t="s">
        <v>640</v>
      </c>
      <c r="B15656" s="52">
        <v>46660.0</v>
      </c>
      <c r="C15656" s="51" t="s">
        <v>777</v>
      </c>
      <c r="D15656" s="51">
        <v>0.0</v>
      </c>
    </row>
    <row r="15657" ht="15.75" hidden="1" customHeight="1">
      <c r="A15657" s="51" t="s">
        <v>644</v>
      </c>
      <c r="B15657" s="52">
        <v>46660.0</v>
      </c>
      <c r="C15657" s="51" t="s">
        <v>777</v>
      </c>
      <c r="D15657" s="51">
        <v>0.0</v>
      </c>
    </row>
    <row r="15658" ht="15.75" hidden="1" customHeight="1">
      <c r="A15658" s="51" t="s">
        <v>649</v>
      </c>
      <c r="B15658" s="52">
        <v>46660.0</v>
      </c>
      <c r="C15658" s="51" t="s">
        <v>777</v>
      </c>
      <c r="D15658" s="51">
        <v>0.0</v>
      </c>
    </row>
    <row r="15659" ht="15.75" hidden="1" customHeight="1">
      <c r="A15659" s="51" t="s">
        <v>654</v>
      </c>
      <c r="B15659" s="52">
        <v>46660.0</v>
      </c>
      <c r="C15659" s="51" t="s">
        <v>777</v>
      </c>
      <c r="D15659" s="51">
        <v>0.0</v>
      </c>
    </row>
    <row r="15660" ht="15.75" hidden="1" customHeight="1">
      <c r="A15660" s="51" t="s">
        <v>659</v>
      </c>
      <c r="B15660" s="52">
        <v>46660.0</v>
      </c>
      <c r="C15660" s="51" t="s">
        <v>777</v>
      </c>
      <c r="D15660" s="51">
        <v>0.0</v>
      </c>
    </row>
    <row r="15661" ht="15.75" hidden="1" customHeight="1">
      <c r="A15661" s="51" t="s">
        <v>664</v>
      </c>
      <c r="B15661" s="52">
        <v>46660.0</v>
      </c>
      <c r="C15661" s="51" t="s">
        <v>777</v>
      </c>
      <c r="D15661" s="51">
        <v>0.0</v>
      </c>
    </row>
    <row r="15662" ht="15.75" hidden="1" customHeight="1">
      <c r="A15662" s="51" t="s">
        <v>669</v>
      </c>
      <c r="B15662" s="52">
        <v>46660.0</v>
      </c>
      <c r="C15662" s="51" t="s">
        <v>777</v>
      </c>
      <c r="D15662" s="51">
        <v>0.0</v>
      </c>
    </row>
    <row r="15663" ht="15.75" hidden="1" customHeight="1">
      <c r="A15663" s="51" t="s">
        <v>674</v>
      </c>
      <c r="B15663" s="52">
        <v>46660.0</v>
      </c>
      <c r="C15663" s="51" t="s">
        <v>777</v>
      </c>
      <c r="D15663" s="51">
        <v>0.0</v>
      </c>
    </row>
    <row r="15664" ht="15.75" hidden="1" customHeight="1">
      <c r="A15664" s="51" t="s">
        <v>679</v>
      </c>
      <c r="B15664" s="52">
        <v>46660.0</v>
      </c>
      <c r="C15664" s="51" t="s">
        <v>777</v>
      </c>
      <c r="D15664" s="51">
        <v>0.0</v>
      </c>
    </row>
    <row r="15665" ht="15.75" hidden="1" customHeight="1">
      <c r="A15665" s="51" t="s">
        <v>684</v>
      </c>
      <c r="B15665" s="52">
        <v>46660.0</v>
      </c>
      <c r="C15665" s="51" t="s">
        <v>777</v>
      </c>
      <c r="D15665" s="51">
        <v>0.0</v>
      </c>
    </row>
    <row r="15666" ht="15.75" hidden="1" customHeight="1">
      <c r="A15666" s="51" t="s">
        <v>689</v>
      </c>
      <c r="B15666" s="52">
        <v>46660.0</v>
      </c>
      <c r="C15666" s="51" t="s">
        <v>777</v>
      </c>
      <c r="D15666" s="51">
        <v>0.0</v>
      </c>
    </row>
    <row r="15667" ht="15.75" hidden="1" customHeight="1">
      <c r="A15667" s="51" t="s">
        <v>694</v>
      </c>
      <c r="B15667" s="52">
        <v>46660.0</v>
      </c>
      <c r="C15667" s="51" t="s">
        <v>777</v>
      </c>
      <c r="D15667" s="51">
        <v>0.0</v>
      </c>
    </row>
    <row r="15668" ht="15.75" hidden="1" customHeight="1">
      <c r="A15668" s="51" t="s">
        <v>699</v>
      </c>
      <c r="B15668" s="52">
        <v>46660.0</v>
      </c>
      <c r="C15668" s="51" t="s">
        <v>777</v>
      </c>
      <c r="D15668" s="51">
        <v>0.0</v>
      </c>
    </row>
    <row r="15669" ht="15.75" hidden="1" customHeight="1">
      <c r="A15669" s="51" t="s">
        <v>705</v>
      </c>
      <c r="B15669" s="52">
        <v>46660.0</v>
      </c>
      <c r="C15669" s="51" t="s">
        <v>777</v>
      </c>
      <c r="D15669" s="51">
        <v>0.0</v>
      </c>
    </row>
    <row r="15670" ht="15.75" hidden="1" customHeight="1">
      <c r="A15670" s="51" t="s">
        <v>710</v>
      </c>
      <c r="B15670" s="52">
        <v>46660.0</v>
      </c>
      <c r="C15670" s="51" t="s">
        <v>777</v>
      </c>
      <c r="D15670" s="51">
        <v>0.0</v>
      </c>
    </row>
    <row r="15671" ht="15.75" hidden="1" customHeight="1">
      <c r="A15671" s="51" t="s">
        <v>715</v>
      </c>
      <c r="B15671" s="52">
        <v>46660.0</v>
      </c>
      <c r="C15671" s="51" t="s">
        <v>777</v>
      </c>
      <c r="D15671" s="51">
        <v>0.0</v>
      </c>
    </row>
    <row r="15672" ht="15.75" hidden="1" customHeight="1">
      <c r="A15672" s="51" t="s">
        <v>765</v>
      </c>
      <c r="B15672" s="52">
        <v>46660.0</v>
      </c>
      <c r="C15672" s="51" t="s">
        <v>777</v>
      </c>
      <c r="D15672" s="51">
        <v>0.0</v>
      </c>
    </row>
    <row r="15673" ht="15.75" hidden="1" customHeight="1">
      <c r="A15673" s="51" t="s">
        <v>720</v>
      </c>
      <c r="B15673" s="52">
        <v>46660.0</v>
      </c>
      <c r="C15673" s="51" t="s">
        <v>777</v>
      </c>
      <c r="D15673" s="51">
        <v>0.0</v>
      </c>
    </row>
    <row r="15674" ht="15.75" hidden="1" customHeight="1">
      <c r="A15674" s="51" t="s">
        <v>725</v>
      </c>
      <c r="B15674" s="52">
        <v>46660.0</v>
      </c>
      <c r="C15674" s="51" t="s">
        <v>777</v>
      </c>
      <c r="D15674" s="51">
        <v>0.0</v>
      </c>
    </row>
    <row r="15675" ht="15.75" hidden="1" customHeight="1">
      <c r="A15675" s="51" t="s">
        <v>730</v>
      </c>
      <c r="B15675" s="52">
        <v>46660.0</v>
      </c>
      <c r="C15675" s="51" t="s">
        <v>777</v>
      </c>
      <c r="D15675" s="51">
        <v>0.0</v>
      </c>
    </row>
    <row r="15676" ht="15.75" hidden="1" customHeight="1">
      <c r="A15676" s="51" t="s">
        <v>734</v>
      </c>
      <c r="B15676" s="52">
        <v>46660.0</v>
      </c>
      <c r="C15676" s="51" t="s">
        <v>777</v>
      </c>
      <c r="D15676" s="51">
        <v>0.0</v>
      </c>
    </row>
    <row r="15677" ht="15.75" hidden="1" customHeight="1">
      <c r="A15677" s="51" t="s">
        <v>739</v>
      </c>
      <c r="B15677" s="52">
        <v>46660.0</v>
      </c>
      <c r="C15677" s="51" t="s">
        <v>777</v>
      </c>
      <c r="D15677" s="51">
        <v>0.0</v>
      </c>
    </row>
    <row r="15678" ht="15.75" hidden="1" customHeight="1">
      <c r="A15678" s="51" t="s">
        <v>744</v>
      </c>
      <c r="B15678" s="52">
        <v>46660.0</v>
      </c>
      <c r="C15678" s="51" t="s">
        <v>777</v>
      </c>
      <c r="D15678" s="51">
        <v>0.0</v>
      </c>
    </row>
    <row r="15679" ht="15.75" hidden="1" customHeight="1">
      <c r="A15679" s="51" t="s">
        <v>749</v>
      </c>
      <c r="B15679" s="52">
        <v>46660.0</v>
      </c>
      <c r="C15679" s="51" t="s">
        <v>777</v>
      </c>
      <c r="D15679" s="51">
        <v>0.0</v>
      </c>
    </row>
    <row r="15680" ht="15.75" customHeight="1">
      <c r="A15680" s="51" t="s">
        <v>776</v>
      </c>
      <c r="B15680" s="52">
        <v>46660.0</v>
      </c>
      <c r="C15680" s="51" t="s">
        <v>78</v>
      </c>
      <c r="D15680" s="51">
        <v>0.0</v>
      </c>
    </row>
    <row r="15681" ht="15.75" hidden="1" customHeight="1">
      <c r="A15681" s="51" t="s">
        <v>778</v>
      </c>
      <c r="B15681" s="52">
        <v>46660.0</v>
      </c>
      <c r="C15681" s="51" t="s">
        <v>78</v>
      </c>
      <c r="D15681" s="51">
        <v>0.0</v>
      </c>
    </row>
    <row r="15682" ht="15.75" hidden="1" customHeight="1">
      <c r="A15682" s="51" t="s">
        <v>92</v>
      </c>
      <c r="B15682" s="52">
        <v>46660.0</v>
      </c>
      <c r="C15682" s="51" t="s">
        <v>78</v>
      </c>
      <c r="D15682" s="51">
        <v>0.0</v>
      </c>
    </row>
    <row r="15683" ht="15.75" hidden="1" customHeight="1">
      <c r="A15683" s="51" t="s">
        <v>97</v>
      </c>
      <c r="B15683" s="52">
        <v>46660.0</v>
      </c>
      <c r="C15683" s="51" t="s">
        <v>78</v>
      </c>
      <c r="D15683" s="51">
        <v>0.0</v>
      </c>
    </row>
    <row r="15684" ht="15.75" hidden="1" customHeight="1">
      <c r="A15684" s="51" t="s">
        <v>102</v>
      </c>
      <c r="B15684" s="52">
        <v>46660.0</v>
      </c>
      <c r="C15684" s="51" t="s">
        <v>78</v>
      </c>
      <c r="D15684" s="51">
        <v>0.0</v>
      </c>
    </row>
    <row r="15685" ht="15.75" hidden="1" customHeight="1">
      <c r="A15685" s="51" t="s">
        <v>106</v>
      </c>
      <c r="B15685" s="52">
        <v>46660.0</v>
      </c>
      <c r="C15685" s="51" t="s">
        <v>78</v>
      </c>
      <c r="D15685" s="51">
        <v>0.0</v>
      </c>
    </row>
    <row r="15686" ht="15.75" hidden="1" customHeight="1">
      <c r="A15686" s="51" t="s">
        <v>111</v>
      </c>
      <c r="B15686" s="52">
        <v>46660.0</v>
      </c>
      <c r="C15686" s="51" t="s">
        <v>78</v>
      </c>
      <c r="D15686" s="51">
        <v>0.0</v>
      </c>
    </row>
    <row r="15687" ht="15.75" hidden="1" customHeight="1">
      <c r="A15687" s="51" t="s">
        <v>116</v>
      </c>
      <c r="B15687" s="52">
        <v>46660.0</v>
      </c>
      <c r="C15687" s="51" t="s">
        <v>78</v>
      </c>
      <c r="D15687" s="51">
        <v>0.0</v>
      </c>
    </row>
    <row r="15688" ht="15.75" hidden="1" customHeight="1">
      <c r="A15688" s="51" t="s">
        <v>120</v>
      </c>
      <c r="B15688" s="52">
        <v>46660.0</v>
      </c>
      <c r="C15688" s="51" t="s">
        <v>78</v>
      </c>
      <c r="D15688" s="51">
        <v>0.0</v>
      </c>
    </row>
    <row r="15689" ht="15.75" hidden="1" customHeight="1">
      <c r="A15689" s="51" t="s">
        <v>125</v>
      </c>
      <c r="B15689" s="52">
        <v>46660.0</v>
      </c>
      <c r="C15689" s="51" t="s">
        <v>78</v>
      </c>
      <c r="D15689" s="51">
        <v>0.0</v>
      </c>
    </row>
    <row r="15690" ht="15.75" hidden="1" customHeight="1">
      <c r="A15690" s="51" t="s">
        <v>130</v>
      </c>
      <c r="B15690" s="52">
        <v>46660.0</v>
      </c>
      <c r="C15690" s="51" t="s">
        <v>78</v>
      </c>
      <c r="D15690" s="51">
        <v>0.0</v>
      </c>
    </row>
    <row r="15691" ht="15.75" hidden="1" customHeight="1">
      <c r="A15691" s="51" t="s">
        <v>137</v>
      </c>
      <c r="B15691" s="52">
        <v>46660.0</v>
      </c>
      <c r="C15691" s="51" t="s">
        <v>78</v>
      </c>
      <c r="D15691" s="51">
        <v>0.0</v>
      </c>
    </row>
    <row r="15692" ht="15.75" hidden="1" customHeight="1">
      <c r="A15692" s="51" t="s">
        <v>142</v>
      </c>
      <c r="B15692" s="52">
        <v>46660.0</v>
      </c>
      <c r="C15692" s="51" t="s">
        <v>78</v>
      </c>
      <c r="D15692" s="51">
        <v>0.0</v>
      </c>
    </row>
    <row r="15693" ht="15.75" hidden="1" customHeight="1">
      <c r="A15693" s="51" t="s">
        <v>147</v>
      </c>
      <c r="B15693" s="52">
        <v>46660.0</v>
      </c>
      <c r="C15693" s="51" t="s">
        <v>78</v>
      </c>
      <c r="D15693" s="51">
        <v>0.0</v>
      </c>
    </row>
    <row r="15694" ht="15.75" hidden="1" customHeight="1">
      <c r="A15694" s="51" t="s">
        <v>152</v>
      </c>
      <c r="B15694" s="52">
        <v>46660.0</v>
      </c>
      <c r="C15694" s="51" t="s">
        <v>78</v>
      </c>
      <c r="D15694" s="51">
        <v>0.0</v>
      </c>
    </row>
    <row r="15695" ht="15.75" hidden="1" customHeight="1">
      <c r="A15695" s="51" t="s">
        <v>157</v>
      </c>
      <c r="B15695" s="52">
        <v>46660.0</v>
      </c>
      <c r="C15695" s="51" t="s">
        <v>78</v>
      </c>
      <c r="D15695" s="51">
        <v>0.0</v>
      </c>
    </row>
    <row r="15696" ht="15.75" hidden="1" customHeight="1">
      <c r="A15696" s="51" t="s">
        <v>162</v>
      </c>
      <c r="B15696" s="52">
        <v>46660.0</v>
      </c>
      <c r="C15696" s="51" t="s">
        <v>78</v>
      </c>
      <c r="D15696" s="51">
        <v>0.0</v>
      </c>
    </row>
    <row r="15697" ht="15.75" hidden="1" customHeight="1">
      <c r="A15697" s="51" t="s">
        <v>167</v>
      </c>
      <c r="B15697" s="52">
        <v>46660.0</v>
      </c>
      <c r="C15697" s="51" t="s">
        <v>78</v>
      </c>
      <c r="D15697" s="51">
        <v>0.0</v>
      </c>
    </row>
    <row r="15698" ht="15.75" hidden="1" customHeight="1">
      <c r="A15698" s="51" t="s">
        <v>172</v>
      </c>
      <c r="B15698" s="52">
        <v>46660.0</v>
      </c>
      <c r="C15698" s="51" t="s">
        <v>78</v>
      </c>
      <c r="D15698" s="51">
        <v>0.0</v>
      </c>
    </row>
    <row r="15699" ht="15.75" hidden="1" customHeight="1">
      <c r="A15699" s="51" t="s">
        <v>177</v>
      </c>
      <c r="B15699" s="52">
        <v>46660.0</v>
      </c>
      <c r="C15699" s="51" t="s">
        <v>78</v>
      </c>
      <c r="D15699" s="51">
        <v>0.0</v>
      </c>
    </row>
    <row r="15700" ht="15.75" hidden="1" customHeight="1">
      <c r="A15700" s="51" t="s">
        <v>182</v>
      </c>
      <c r="B15700" s="52">
        <v>46660.0</v>
      </c>
      <c r="C15700" s="51" t="s">
        <v>78</v>
      </c>
      <c r="D15700" s="51">
        <v>0.0</v>
      </c>
    </row>
    <row r="15701" ht="15.75" hidden="1" customHeight="1">
      <c r="A15701" s="51" t="s">
        <v>187</v>
      </c>
      <c r="B15701" s="52">
        <v>46660.0</v>
      </c>
      <c r="C15701" s="51" t="s">
        <v>78</v>
      </c>
      <c r="D15701" s="51">
        <v>0.0</v>
      </c>
    </row>
    <row r="15702" ht="15.75" hidden="1" customHeight="1">
      <c r="A15702" s="51" t="s">
        <v>192</v>
      </c>
      <c r="B15702" s="52">
        <v>46660.0</v>
      </c>
      <c r="C15702" s="51" t="s">
        <v>78</v>
      </c>
      <c r="D15702" s="51">
        <v>0.0</v>
      </c>
    </row>
    <row r="15703" ht="15.75" hidden="1" customHeight="1">
      <c r="A15703" s="51" t="s">
        <v>197</v>
      </c>
      <c r="B15703" s="52">
        <v>46660.0</v>
      </c>
      <c r="C15703" s="51" t="s">
        <v>78</v>
      </c>
      <c r="D15703" s="51">
        <v>0.0</v>
      </c>
    </row>
    <row r="15704" ht="15.75" hidden="1" customHeight="1">
      <c r="A15704" s="51" t="s">
        <v>202</v>
      </c>
      <c r="B15704" s="52">
        <v>46660.0</v>
      </c>
      <c r="C15704" s="51" t="s">
        <v>78</v>
      </c>
      <c r="D15704" s="51">
        <v>0.0</v>
      </c>
    </row>
    <row r="15705" ht="15.75" hidden="1" customHeight="1">
      <c r="A15705" s="51" t="s">
        <v>206</v>
      </c>
      <c r="B15705" s="52">
        <v>46660.0</v>
      </c>
      <c r="C15705" s="51" t="s">
        <v>78</v>
      </c>
      <c r="D15705" s="51">
        <v>0.0</v>
      </c>
    </row>
    <row r="15706" ht="15.75" hidden="1" customHeight="1">
      <c r="A15706" s="51" t="s">
        <v>211</v>
      </c>
      <c r="B15706" s="52">
        <v>46660.0</v>
      </c>
      <c r="C15706" s="51" t="s">
        <v>78</v>
      </c>
      <c r="D15706" s="51">
        <v>0.0</v>
      </c>
    </row>
    <row r="15707" ht="15.75" hidden="1" customHeight="1">
      <c r="A15707" s="51" t="s">
        <v>779</v>
      </c>
      <c r="B15707" s="52">
        <v>46660.0</v>
      </c>
      <c r="C15707" s="51" t="s">
        <v>78</v>
      </c>
      <c r="D15707" s="51">
        <v>0.0</v>
      </c>
    </row>
    <row r="15708" ht="15.75" hidden="1" customHeight="1">
      <c r="A15708" s="51" t="s">
        <v>221</v>
      </c>
      <c r="B15708" s="52">
        <v>46660.0</v>
      </c>
      <c r="C15708" s="51" t="s">
        <v>78</v>
      </c>
      <c r="D15708" s="51">
        <v>0.0</v>
      </c>
    </row>
    <row r="15709" ht="15.75" hidden="1" customHeight="1">
      <c r="A15709" s="51" t="s">
        <v>226</v>
      </c>
      <c r="B15709" s="52">
        <v>46660.0</v>
      </c>
      <c r="C15709" s="51" t="s">
        <v>78</v>
      </c>
      <c r="D15709" s="51">
        <v>0.0</v>
      </c>
    </row>
    <row r="15710" ht="15.75" hidden="1" customHeight="1">
      <c r="A15710" s="51" t="s">
        <v>231</v>
      </c>
      <c r="B15710" s="52">
        <v>46660.0</v>
      </c>
      <c r="C15710" s="51" t="s">
        <v>78</v>
      </c>
      <c r="D15710" s="51">
        <v>0.0</v>
      </c>
    </row>
    <row r="15711" ht="15.75" hidden="1" customHeight="1">
      <c r="A15711" s="51" t="s">
        <v>236</v>
      </c>
      <c r="B15711" s="52">
        <v>46660.0</v>
      </c>
      <c r="C15711" s="51" t="s">
        <v>78</v>
      </c>
      <c r="D15711" s="51">
        <v>0.0</v>
      </c>
    </row>
    <row r="15712" ht="15.75" hidden="1" customHeight="1">
      <c r="A15712" s="51" t="s">
        <v>242</v>
      </c>
      <c r="B15712" s="52">
        <v>46660.0</v>
      </c>
      <c r="C15712" s="51" t="s">
        <v>78</v>
      </c>
      <c r="D15712" s="51">
        <v>0.0</v>
      </c>
    </row>
    <row r="15713" ht="15.75" hidden="1" customHeight="1">
      <c r="A15713" s="51" t="s">
        <v>248</v>
      </c>
      <c r="B15713" s="52">
        <v>46660.0</v>
      </c>
      <c r="C15713" s="51" t="s">
        <v>78</v>
      </c>
      <c r="D15713" s="51">
        <v>0.0</v>
      </c>
    </row>
    <row r="15714" ht="15.75" hidden="1" customHeight="1">
      <c r="A15714" s="51" t="s">
        <v>253</v>
      </c>
      <c r="B15714" s="52">
        <v>46660.0</v>
      </c>
      <c r="C15714" s="51" t="s">
        <v>78</v>
      </c>
      <c r="D15714" s="51">
        <v>0.0</v>
      </c>
    </row>
    <row r="15715" ht="15.75" hidden="1" customHeight="1">
      <c r="A15715" s="51" t="s">
        <v>258</v>
      </c>
      <c r="B15715" s="52">
        <v>46660.0</v>
      </c>
      <c r="C15715" s="51" t="s">
        <v>78</v>
      </c>
      <c r="D15715" s="51">
        <v>0.0</v>
      </c>
    </row>
    <row r="15716" ht="15.75" hidden="1" customHeight="1">
      <c r="A15716" s="51" t="s">
        <v>263</v>
      </c>
      <c r="B15716" s="52">
        <v>46660.0</v>
      </c>
      <c r="C15716" s="51" t="s">
        <v>78</v>
      </c>
      <c r="D15716" s="51">
        <v>0.0</v>
      </c>
    </row>
    <row r="15717" ht="15.75" hidden="1" customHeight="1">
      <c r="A15717" s="51" t="s">
        <v>268</v>
      </c>
      <c r="B15717" s="52">
        <v>46660.0</v>
      </c>
      <c r="C15717" s="51" t="s">
        <v>78</v>
      </c>
      <c r="D15717" s="51">
        <v>0.0</v>
      </c>
    </row>
    <row r="15718" ht="15.75" hidden="1" customHeight="1">
      <c r="A15718" s="51" t="s">
        <v>273</v>
      </c>
      <c r="B15718" s="52">
        <v>46660.0</v>
      </c>
      <c r="C15718" s="51" t="s">
        <v>78</v>
      </c>
      <c r="D15718" s="51">
        <v>0.0</v>
      </c>
    </row>
    <row r="15719" ht="15.75" hidden="1" customHeight="1">
      <c r="A15719" s="51" t="s">
        <v>278</v>
      </c>
      <c r="B15719" s="52">
        <v>46660.0</v>
      </c>
      <c r="C15719" s="51" t="s">
        <v>78</v>
      </c>
      <c r="D15719" s="51">
        <v>0.0</v>
      </c>
    </row>
    <row r="15720" ht="15.75" hidden="1" customHeight="1">
      <c r="A15720" s="51" t="s">
        <v>283</v>
      </c>
      <c r="B15720" s="52">
        <v>46660.0</v>
      </c>
      <c r="C15720" s="51" t="s">
        <v>78</v>
      </c>
      <c r="D15720" s="51">
        <v>0.0</v>
      </c>
    </row>
    <row r="15721" ht="15.75" hidden="1" customHeight="1">
      <c r="A15721" s="51" t="s">
        <v>288</v>
      </c>
      <c r="B15721" s="52">
        <v>46660.0</v>
      </c>
      <c r="C15721" s="51" t="s">
        <v>78</v>
      </c>
      <c r="D15721" s="51">
        <v>0.0</v>
      </c>
    </row>
    <row r="15722" ht="15.75" hidden="1" customHeight="1">
      <c r="A15722" s="51" t="s">
        <v>293</v>
      </c>
      <c r="B15722" s="52">
        <v>46660.0</v>
      </c>
      <c r="C15722" s="51" t="s">
        <v>78</v>
      </c>
      <c r="D15722" s="51">
        <v>0.0</v>
      </c>
    </row>
    <row r="15723" ht="15.75" hidden="1" customHeight="1">
      <c r="A15723" s="51" t="s">
        <v>298</v>
      </c>
      <c r="B15723" s="52">
        <v>46660.0</v>
      </c>
      <c r="C15723" s="51" t="s">
        <v>78</v>
      </c>
      <c r="D15723" s="51">
        <v>0.0</v>
      </c>
    </row>
    <row r="15724" ht="15.75" hidden="1" customHeight="1">
      <c r="A15724" s="51" t="s">
        <v>303</v>
      </c>
      <c r="B15724" s="52">
        <v>46660.0</v>
      </c>
      <c r="C15724" s="51" t="s">
        <v>78</v>
      </c>
      <c r="D15724" s="51">
        <v>0.0</v>
      </c>
    </row>
    <row r="15725" ht="15.75" hidden="1" customHeight="1">
      <c r="A15725" s="51" t="s">
        <v>307</v>
      </c>
      <c r="B15725" s="52">
        <v>46660.0</v>
      </c>
      <c r="C15725" s="51" t="s">
        <v>78</v>
      </c>
      <c r="D15725" s="51">
        <v>0.0</v>
      </c>
    </row>
    <row r="15726" ht="15.75" hidden="1" customHeight="1">
      <c r="A15726" s="51" t="s">
        <v>313</v>
      </c>
      <c r="B15726" s="52">
        <v>46660.0</v>
      </c>
      <c r="C15726" s="51" t="s">
        <v>78</v>
      </c>
      <c r="D15726" s="51">
        <v>0.0</v>
      </c>
    </row>
    <row r="15727" ht="15.75" hidden="1" customHeight="1">
      <c r="A15727" s="51" t="s">
        <v>318</v>
      </c>
      <c r="B15727" s="52">
        <v>46660.0</v>
      </c>
      <c r="C15727" s="51" t="s">
        <v>78</v>
      </c>
      <c r="D15727" s="51">
        <v>0.0</v>
      </c>
    </row>
    <row r="15728" ht="15.75" hidden="1" customHeight="1">
      <c r="A15728" s="51" t="s">
        <v>323</v>
      </c>
      <c r="B15728" s="52">
        <v>46660.0</v>
      </c>
      <c r="C15728" s="51" t="s">
        <v>78</v>
      </c>
      <c r="D15728" s="51">
        <v>0.0</v>
      </c>
    </row>
    <row r="15729" ht="15.75" hidden="1" customHeight="1">
      <c r="A15729" s="51" t="s">
        <v>328</v>
      </c>
      <c r="B15729" s="52">
        <v>46660.0</v>
      </c>
      <c r="C15729" s="51" t="s">
        <v>78</v>
      </c>
      <c r="D15729" s="51">
        <v>0.0</v>
      </c>
    </row>
    <row r="15730" ht="15.75" hidden="1" customHeight="1">
      <c r="A15730" s="51" t="s">
        <v>335</v>
      </c>
      <c r="B15730" s="52">
        <v>46660.0</v>
      </c>
      <c r="C15730" s="51" t="s">
        <v>78</v>
      </c>
      <c r="D15730" s="51">
        <v>0.0</v>
      </c>
    </row>
    <row r="15731" ht="15.75" hidden="1" customHeight="1">
      <c r="A15731" s="51" t="s">
        <v>340</v>
      </c>
      <c r="B15731" s="52">
        <v>46660.0</v>
      </c>
      <c r="C15731" s="51" t="s">
        <v>78</v>
      </c>
      <c r="D15731" s="51">
        <v>0.0</v>
      </c>
    </row>
    <row r="15732" ht="15.75" hidden="1" customHeight="1">
      <c r="A15732" s="51" t="s">
        <v>345</v>
      </c>
      <c r="B15732" s="52">
        <v>46660.0</v>
      </c>
      <c r="C15732" s="51" t="s">
        <v>78</v>
      </c>
      <c r="D15732" s="51">
        <v>0.0</v>
      </c>
    </row>
    <row r="15733" ht="15.75" hidden="1" customHeight="1">
      <c r="A15733" s="51" t="s">
        <v>350</v>
      </c>
      <c r="B15733" s="52">
        <v>46660.0</v>
      </c>
      <c r="C15733" s="51" t="s">
        <v>78</v>
      </c>
      <c r="D15733" s="51">
        <v>0.0</v>
      </c>
    </row>
    <row r="15734" ht="15.75" hidden="1" customHeight="1">
      <c r="A15734" s="51" t="s">
        <v>355</v>
      </c>
      <c r="B15734" s="52">
        <v>46660.0</v>
      </c>
      <c r="C15734" s="51" t="s">
        <v>78</v>
      </c>
      <c r="D15734" s="51">
        <v>0.0</v>
      </c>
    </row>
    <row r="15735" ht="15.75" hidden="1" customHeight="1">
      <c r="A15735" s="51" t="s">
        <v>360</v>
      </c>
      <c r="B15735" s="52">
        <v>46660.0</v>
      </c>
      <c r="C15735" s="51" t="s">
        <v>78</v>
      </c>
      <c r="D15735" s="51">
        <v>0.0</v>
      </c>
    </row>
    <row r="15736" ht="15.75" hidden="1" customHeight="1">
      <c r="A15736" s="51" t="s">
        <v>365</v>
      </c>
      <c r="B15736" s="52">
        <v>46660.0</v>
      </c>
      <c r="C15736" s="51" t="s">
        <v>78</v>
      </c>
      <c r="D15736" s="51">
        <v>0.0</v>
      </c>
    </row>
    <row r="15737" ht="15.75" hidden="1" customHeight="1">
      <c r="A15737" s="51" t="s">
        <v>370</v>
      </c>
      <c r="B15737" s="52">
        <v>46660.0</v>
      </c>
      <c r="C15737" s="51" t="s">
        <v>78</v>
      </c>
      <c r="D15737" s="51">
        <v>0.0</v>
      </c>
    </row>
    <row r="15738" ht="15.75" hidden="1" customHeight="1">
      <c r="A15738" s="51" t="s">
        <v>375</v>
      </c>
      <c r="B15738" s="52">
        <v>46660.0</v>
      </c>
      <c r="C15738" s="51" t="s">
        <v>78</v>
      </c>
      <c r="D15738" s="51">
        <v>0.0</v>
      </c>
    </row>
    <row r="15739" ht="15.75" hidden="1" customHeight="1">
      <c r="A15739" s="51" t="s">
        <v>380</v>
      </c>
      <c r="B15739" s="52">
        <v>46660.0</v>
      </c>
      <c r="C15739" s="51" t="s">
        <v>78</v>
      </c>
      <c r="D15739" s="51">
        <v>0.0</v>
      </c>
    </row>
    <row r="15740" ht="15.75" hidden="1" customHeight="1">
      <c r="A15740" s="51" t="s">
        <v>385</v>
      </c>
      <c r="B15740" s="52">
        <v>46660.0</v>
      </c>
      <c r="C15740" s="51" t="s">
        <v>78</v>
      </c>
      <c r="D15740" s="51">
        <v>0.0</v>
      </c>
    </row>
    <row r="15741" ht="15.75" hidden="1" customHeight="1">
      <c r="A15741" s="51" t="s">
        <v>390</v>
      </c>
      <c r="B15741" s="52">
        <v>46660.0</v>
      </c>
      <c r="C15741" s="51" t="s">
        <v>78</v>
      </c>
      <c r="D15741" s="51">
        <v>0.0</v>
      </c>
    </row>
    <row r="15742" ht="15.75" hidden="1" customHeight="1">
      <c r="A15742" s="51" t="s">
        <v>395</v>
      </c>
      <c r="B15742" s="52">
        <v>46660.0</v>
      </c>
      <c r="C15742" s="51" t="s">
        <v>78</v>
      </c>
      <c r="D15742" s="51">
        <v>0.0</v>
      </c>
    </row>
    <row r="15743" ht="15.75" hidden="1" customHeight="1">
      <c r="A15743" s="51" t="s">
        <v>400</v>
      </c>
      <c r="B15743" s="52">
        <v>46660.0</v>
      </c>
      <c r="C15743" s="51" t="s">
        <v>78</v>
      </c>
      <c r="D15743" s="51">
        <v>0.0</v>
      </c>
    </row>
    <row r="15744" ht="15.75" hidden="1" customHeight="1">
      <c r="A15744" s="51" t="s">
        <v>405</v>
      </c>
      <c r="B15744" s="52">
        <v>46660.0</v>
      </c>
      <c r="C15744" s="51" t="s">
        <v>78</v>
      </c>
      <c r="D15744" s="51">
        <v>0.0</v>
      </c>
    </row>
    <row r="15745" ht="15.75" hidden="1" customHeight="1">
      <c r="A15745" s="51" t="s">
        <v>410</v>
      </c>
      <c r="B15745" s="52">
        <v>46660.0</v>
      </c>
      <c r="C15745" s="51" t="s">
        <v>78</v>
      </c>
      <c r="D15745" s="51">
        <v>0.0</v>
      </c>
    </row>
    <row r="15746" ht="15.75" hidden="1" customHeight="1">
      <c r="A15746" s="51" t="s">
        <v>415</v>
      </c>
      <c r="B15746" s="52">
        <v>46660.0</v>
      </c>
      <c r="C15746" s="51" t="s">
        <v>78</v>
      </c>
      <c r="D15746" s="51">
        <v>0.0</v>
      </c>
    </row>
    <row r="15747" ht="15.75" hidden="1" customHeight="1">
      <c r="A15747" s="51" t="s">
        <v>420</v>
      </c>
      <c r="B15747" s="52">
        <v>46660.0</v>
      </c>
      <c r="C15747" s="51" t="s">
        <v>78</v>
      </c>
      <c r="D15747" s="51">
        <v>0.0</v>
      </c>
    </row>
    <row r="15748" ht="15.75" hidden="1" customHeight="1">
      <c r="A15748" s="51" t="s">
        <v>425</v>
      </c>
      <c r="B15748" s="52">
        <v>46660.0</v>
      </c>
      <c r="C15748" s="51" t="s">
        <v>78</v>
      </c>
      <c r="D15748" s="51">
        <v>0.0</v>
      </c>
    </row>
    <row r="15749" ht="15.75" hidden="1" customHeight="1">
      <c r="A15749" s="51" t="s">
        <v>430</v>
      </c>
      <c r="B15749" s="52">
        <v>46660.0</v>
      </c>
      <c r="C15749" s="51" t="s">
        <v>78</v>
      </c>
      <c r="D15749" s="51">
        <v>0.0</v>
      </c>
    </row>
    <row r="15750" ht="15.75" hidden="1" customHeight="1">
      <c r="A15750" s="51" t="s">
        <v>434</v>
      </c>
      <c r="B15750" s="52">
        <v>46660.0</v>
      </c>
      <c r="C15750" s="51" t="s">
        <v>78</v>
      </c>
      <c r="D15750" s="51">
        <v>0.0</v>
      </c>
    </row>
    <row r="15751" ht="15.75" hidden="1" customHeight="1">
      <c r="A15751" s="51" t="s">
        <v>439</v>
      </c>
      <c r="B15751" s="52">
        <v>46660.0</v>
      </c>
      <c r="C15751" s="51" t="s">
        <v>78</v>
      </c>
      <c r="D15751" s="51">
        <v>0.0</v>
      </c>
    </row>
    <row r="15752" ht="15.75" hidden="1" customHeight="1">
      <c r="A15752" s="51" t="s">
        <v>444</v>
      </c>
      <c r="B15752" s="52">
        <v>46660.0</v>
      </c>
      <c r="C15752" s="51" t="s">
        <v>78</v>
      </c>
      <c r="D15752" s="51">
        <v>0.0</v>
      </c>
    </row>
    <row r="15753" ht="15.75" hidden="1" customHeight="1">
      <c r="A15753" s="51" t="s">
        <v>449</v>
      </c>
      <c r="B15753" s="52">
        <v>46660.0</v>
      </c>
      <c r="C15753" s="51" t="s">
        <v>78</v>
      </c>
      <c r="D15753" s="51">
        <v>0.0</v>
      </c>
    </row>
    <row r="15754" ht="15.75" hidden="1" customHeight="1">
      <c r="A15754" s="51" t="s">
        <v>455</v>
      </c>
      <c r="B15754" s="52">
        <v>46660.0</v>
      </c>
      <c r="C15754" s="51" t="s">
        <v>78</v>
      </c>
      <c r="D15754" s="51">
        <v>0.0</v>
      </c>
    </row>
    <row r="15755" ht="15.75" hidden="1" customHeight="1">
      <c r="A15755" s="51" t="s">
        <v>470</v>
      </c>
      <c r="B15755" s="52">
        <v>46660.0</v>
      </c>
      <c r="C15755" s="51" t="s">
        <v>78</v>
      </c>
      <c r="D15755" s="51">
        <v>0.0</v>
      </c>
    </row>
    <row r="15756" ht="15.75" hidden="1" customHeight="1">
      <c r="A15756" s="51" t="s">
        <v>476</v>
      </c>
      <c r="B15756" s="52">
        <v>46660.0</v>
      </c>
      <c r="C15756" s="51" t="s">
        <v>78</v>
      </c>
      <c r="D15756" s="51">
        <v>0.0</v>
      </c>
    </row>
    <row r="15757" ht="15.75" hidden="1" customHeight="1">
      <c r="A15757" s="51" t="s">
        <v>481</v>
      </c>
      <c r="B15757" s="52">
        <v>46660.0</v>
      </c>
      <c r="C15757" s="51" t="s">
        <v>78</v>
      </c>
      <c r="D15757" s="51">
        <v>0.0</v>
      </c>
    </row>
    <row r="15758" ht="15.75" hidden="1" customHeight="1">
      <c r="A15758" s="51" t="s">
        <v>486</v>
      </c>
      <c r="B15758" s="52">
        <v>46660.0</v>
      </c>
      <c r="C15758" s="51" t="s">
        <v>78</v>
      </c>
      <c r="D15758" s="51">
        <v>0.0</v>
      </c>
    </row>
    <row r="15759" ht="15.75" hidden="1" customHeight="1">
      <c r="A15759" s="51" t="s">
        <v>491</v>
      </c>
      <c r="B15759" s="52">
        <v>46660.0</v>
      </c>
      <c r="C15759" s="51" t="s">
        <v>78</v>
      </c>
      <c r="D15759" s="51">
        <v>0.0</v>
      </c>
    </row>
    <row r="15760" ht="15.75" hidden="1" customHeight="1">
      <c r="A15760" s="51" t="s">
        <v>496</v>
      </c>
      <c r="B15760" s="52">
        <v>46660.0</v>
      </c>
      <c r="C15760" s="51" t="s">
        <v>78</v>
      </c>
      <c r="D15760" s="51">
        <v>0.0</v>
      </c>
    </row>
    <row r="15761" ht="15.75" hidden="1" customHeight="1">
      <c r="A15761" s="51" t="s">
        <v>501</v>
      </c>
      <c r="B15761" s="52">
        <v>46660.0</v>
      </c>
      <c r="C15761" s="51" t="s">
        <v>78</v>
      </c>
      <c r="D15761" s="51">
        <v>0.0</v>
      </c>
    </row>
    <row r="15762" ht="15.75" hidden="1" customHeight="1">
      <c r="A15762" s="51" t="s">
        <v>506</v>
      </c>
      <c r="B15762" s="52">
        <v>46660.0</v>
      </c>
      <c r="C15762" s="51" t="s">
        <v>78</v>
      </c>
      <c r="D15762" s="51">
        <v>0.0</v>
      </c>
    </row>
    <row r="15763" ht="15.75" hidden="1" customHeight="1">
      <c r="A15763" s="51" t="s">
        <v>512</v>
      </c>
      <c r="B15763" s="52">
        <v>46660.0</v>
      </c>
      <c r="C15763" s="51" t="s">
        <v>78</v>
      </c>
      <c r="D15763" s="51">
        <v>0.0</v>
      </c>
    </row>
    <row r="15764" ht="15.75" hidden="1" customHeight="1">
      <c r="A15764" s="51" t="s">
        <v>517</v>
      </c>
      <c r="B15764" s="52">
        <v>46660.0</v>
      </c>
      <c r="C15764" s="51" t="s">
        <v>78</v>
      </c>
      <c r="D15764" s="51">
        <v>0.0</v>
      </c>
    </row>
    <row r="15765" ht="15.75" hidden="1" customHeight="1">
      <c r="A15765" s="51" t="s">
        <v>522</v>
      </c>
      <c r="B15765" s="52">
        <v>46660.0</v>
      </c>
      <c r="C15765" s="51" t="s">
        <v>78</v>
      </c>
      <c r="D15765" s="51">
        <v>0.0</v>
      </c>
    </row>
    <row r="15766" ht="15.75" hidden="1" customHeight="1">
      <c r="A15766" s="51" t="s">
        <v>528</v>
      </c>
      <c r="B15766" s="52">
        <v>46660.0</v>
      </c>
      <c r="C15766" s="51" t="s">
        <v>78</v>
      </c>
      <c r="D15766" s="51">
        <v>0.0</v>
      </c>
    </row>
    <row r="15767" ht="15.75" hidden="1" customHeight="1">
      <c r="A15767" s="51" t="s">
        <v>533</v>
      </c>
      <c r="B15767" s="52">
        <v>46660.0</v>
      </c>
      <c r="C15767" s="51" t="s">
        <v>78</v>
      </c>
      <c r="D15767" s="51">
        <v>0.0</v>
      </c>
    </row>
    <row r="15768" ht="15.75" hidden="1" customHeight="1">
      <c r="A15768" s="51" t="s">
        <v>538</v>
      </c>
      <c r="B15768" s="52">
        <v>46660.0</v>
      </c>
      <c r="C15768" s="51" t="s">
        <v>78</v>
      </c>
      <c r="D15768" s="51">
        <v>0.0</v>
      </c>
    </row>
    <row r="15769" ht="15.75" hidden="1" customHeight="1">
      <c r="A15769" s="51" t="s">
        <v>546</v>
      </c>
      <c r="B15769" s="52">
        <v>46660.0</v>
      </c>
      <c r="C15769" s="51" t="s">
        <v>78</v>
      </c>
      <c r="D15769" s="51">
        <v>0.0</v>
      </c>
    </row>
    <row r="15770" ht="15.75" hidden="1" customHeight="1">
      <c r="A15770" s="51" t="s">
        <v>551</v>
      </c>
      <c r="B15770" s="52">
        <v>46660.0</v>
      </c>
      <c r="C15770" s="51" t="s">
        <v>78</v>
      </c>
      <c r="D15770" s="51">
        <v>0.0</v>
      </c>
    </row>
    <row r="15771" ht="15.75" hidden="1" customHeight="1">
      <c r="A15771" s="51" t="s">
        <v>556</v>
      </c>
      <c r="B15771" s="52">
        <v>46660.0</v>
      </c>
      <c r="C15771" s="51" t="s">
        <v>78</v>
      </c>
      <c r="D15771" s="51">
        <v>0.0</v>
      </c>
    </row>
    <row r="15772" ht="15.75" hidden="1" customHeight="1">
      <c r="A15772" s="51" t="s">
        <v>561</v>
      </c>
      <c r="B15772" s="52">
        <v>46660.0</v>
      </c>
      <c r="C15772" s="51" t="s">
        <v>78</v>
      </c>
      <c r="D15772" s="51">
        <v>0.0</v>
      </c>
    </row>
    <row r="15773" ht="15.75" hidden="1" customHeight="1">
      <c r="A15773" s="51" t="s">
        <v>566</v>
      </c>
      <c r="B15773" s="52">
        <v>46660.0</v>
      </c>
      <c r="C15773" s="51" t="s">
        <v>78</v>
      </c>
      <c r="D15773" s="51">
        <v>0.0</v>
      </c>
    </row>
    <row r="15774" ht="15.75" hidden="1" customHeight="1">
      <c r="A15774" s="51" t="s">
        <v>571</v>
      </c>
      <c r="B15774" s="52">
        <v>46660.0</v>
      </c>
      <c r="C15774" s="51" t="s">
        <v>78</v>
      </c>
      <c r="D15774" s="51">
        <v>0.0</v>
      </c>
    </row>
    <row r="15775" ht="15.75" hidden="1" customHeight="1">
      <c r="A15775" s="51" t="s">
        <v>576</v>
      </c>
      <c r="B15775" s="52">
        <v>46660.0</v>
      </c>
      <c r="C15775" s="51" t="s">
        <v>78</v>
      </c>
      <c r="D15775" s="51">
        <v>0.0</v>
      </c>
    </row>
    <row r="15776" ht="15.75" hidden="1" customHeight="1">
      <c r="A15776" s="51" t="s">
        <v>581</v>
      </c>
      <c r="B15776" s="52">
        <v>46660.0</v>
      </c>
      <c r="C15776" s="51" t="s">
        <v>78</v>
      </c>
      <c r="D15776" s="51">
        <v>0.0</v>
      </c>
    </row>
    <row r="15777" ht="15.75" hidden="1" customHeight="1">
      <c r="A15777" s="51" t="s">
        <v>586</v>
      </c>
      <c r="B15777" s="52">
        <v>46660.0</v>
      </c>
      <c r="C15777" s="51" t="s">
        <v>78</v>
      </c>
      <c r="D15777" s="51">
        <v>0.0</v>
      </c>
    </row>
    <row r="15778" ht="15.75" hidden="1" customHeight="1">
      <c r="A15778" s="51" t="s">
        <v>754</v>
      </c>
      <c r="B15778" s="52">
        <v>46660.0</v>
      </c>
      <c r="C15778" s="51" t="s">
        <v>78</v>
      </c>
      <c r="D15778" s="51">
        <v>0.0</v>
      </c>
    </row>
    <row r="15779" ht="15.75" hidden="1" customHeight="1">
      <c r="A15779" s="51" t="s">
        <v>591</v>
      </c>
      <c r="B15779" s="52">
        <v>46660.0</v>
      </c>
      <c r="C15779" s="51" t="s">
        <v>78</v>
      </c>
      <c r="D15779" s="51">
        <v>0.0</v>
      </c>
    </row>
    <row r="15780" ht="15.75" hidden="1" customHeight="1">
      <c r="A15780" s="51" t="s">
        <v>759</v>
      </c>
      <c r="B15780" s="52">
        <v>46660.0</v>
      </c>
      <c r="C15780" s="51" t="s">
        <v>78</v>
      </c>
      <c r="D15780" s="51">
        <v>0.0</v>
      </c>
    </row>
    <row r="15781" ht="15.75" hidden="1" customHeight="1">
      <c r="A15781" s="51" t="s">
        <v>596</v>
      </c>
      <c r="B15781" s="52">
        <v>46660.0</v>
      </c>
      <c r="C15781" s="51" t="s">
        <v>78</v>
      </c>
      <c r="D15781" s="51">
        <v>0.0</v>
      </c>
    </row>
    <row r="15782" ht="15.75" hidden="1" customHeight="1">
      <c r="A15782" s="51" t="s">
        <v>602</v>
      </c>
      <c r="B15782" s="52">
        <v>46660.0</v>
      </c>
      <c r="C15782" s="51" t="s">
        <v>78</v>
      </c>
      <c r="D15782" s="51">
        <v>0.0</v>
      </c>
    </row>
    <row r="15783" ht="15.75" hidden="1" customHeight="1">
      <c r="A15783" s="51" t="s">
        <v>607</v>
      </c>
      <c r="B15783" s="52">
        <v>46660.0</v>
      </c>
      <c r="C15783" s="51" t="s">
        <v>78</v>
      </c>
      <c r="D15783" s="51">
        <v>0.0</v>
      </c>
    </row>
    <row r="15784" ht="15.75" hidden="1" customHeight="1">
      <c r="A15784" s="51" t="s">
        <v>612</v>
      </c>
      <c r="B15784" s="52">
        <v>46660.0</v>
      </c>
      <c r="C15784" s="51" t="s">
        <v>78</v>
      </c>
      <c r="D15784" s="51">
        <v>0.0</v>
      </c>
    </row>
    <row r="15785" ht="15.75" hidden="1" customHeight="1">
      <c r="A15785" s="51" t="s">
        <v>617</v>
      </c>
      <c r="B15785" s="52">
        <v>46660.0</v>
      </c>
      <c r="C15785" s="51" t="s">
        <v>78</v>
      </c>
      <c r="D15785" s="51">
        <v>0.0</v>
      </c>
    </row>
    <row r="15786" ht="15.75" hidden="1" customHeight="1">
      <c r="A15786" s="51" t="s">
        <v>622</v>
      </c>
      <c r="B15786" s="52">
        <v>46660.0</v>
      </c>
      <c r="C15786" s="51" t="s">
        <v>78</v>
      </c>
      <c r="D15786" s="51">
        <v>0.0</v>
      </c>
    </row>
    <row r="15787" ht="15.75" hidden="1" customHeight="1">
      <c r="A15787" s="51" t="s">
        <v>627</v>
      </c>
      <c r="B15787" s="52">
        <v>46660.0</v>
      </c>
      <c r="C15787" s="51" t="s">
        <v>78</v>
      </c>
      <c r="D15787" s="51">
        <v>0.0</v>
      </c>
    </row>
    <row r="15788" ht="15.75" hidden="1" customHeight="1">
      <c r="A15788" s="51" t="s">
        <v>631</v>
      </c>
      <c r="B15788" s="52">
        <v>46660.0</v>
      </c>
      <c r="C15788" s="51" t="s">
        <v>78</v>
      </c>
      <c r="D15788" s="51">
        <v>0.0</v>
      </c>
    </row>
    <row r="15789" ht="15.75" hidden="1" customHeight="1">
      <c r="A15789" s="51" t="s">
        <v>636</v>
      </c>
      <c r="B15789" s="52">
        <v>46660.0</v>
      </c>
      <c r="C15789" s="51" t="s">
        <v>78</v>
      </c>
      <c r="D15789" s="51">
        <v>0.0</v>
      </c>
    </row>
    <row r="15790" ht="15.75" hidden="1" customHeight="1">
      <c r="A15790" s="51" t="s">
        <v>640</v>
      </c>
      <c r="B15790" s="52">
        <v>46660.0</v>
      </c>
      <c r="C15790" s="51" t="s">
        <v>78</v>
      </c>
      <c r="D15790" s="51">
        <v>0.0</v>
      </c>
    </row>
    <row r="15791" ht="15.75" hidden="1" customHeight="1">
      <c r="A15791" s="51" t="s">
        <v>644</v>
      </c>
      <c r="B15791" s="52">
        <v>46660.0</v>
      </c>
      <c r="C15791" s="51" t="s">
        <v>78</v>
      </c>
      <c r="D15791" s="51">
        <v>0.0</v>
      </c>
    </row>
    <row r="15792" ht="15.75" hidden="1" customHeight="1">
      <c r="A15792" s="51" t="s">
        <v>649</v>
      </c>
      <c r="B15792" s="52">
        <v>46660.0</v>
      </c>
      <c r="C15792" s="51" t="s">
        <v>78</v>
      </c>
      <c r="D15792" s="51">
        <v>0.0</v>
      </c>
    </row>
    <row r="15793" ht="15.75" hidden="1" customHeight="1">
      <c r="A15793" s="51" t="s">
        <v>654</v>
      </c>
      <c r="B15793" s="52">
        <v>46660.0</v>
      </c>
      <c r="C15793" s="51" t="s">
        <v>78</v>
      </c>
      <c r="D15793" s="51">
        <v>0.0</v>
      </c>
    </row>
    <row r="15794" ht="15.75" hidden="1" customHeight="1">
      <c r="A15794" s="51" t="s">
        <v>659</v>
      </c>
      <c r="B15794" s="52">
        <v>46660.0</v>
      </c>
      <c r="C15794" s="51" t="s">
        <v>78</v>
      </c>
      <c r="D15794" s="51">
        <v>0.0</v>
      </c>
    </row>
    <row r="15795" ht="15.75" hidden="1" customHeight="1">
      <c r="A15795" s="51" t="s">
        <v>664</v>
      </c>
      <c r="B15795" s="52">
        <v>46660.0</v>
      </c>
      <c r="C15795" s="51" t="s">
        <v>78</v>
      </c>
      <c r="D15795" s="51">
        <v>0.0</v>
      </c>
    </row>
    <row r="15796" ht="15.75" hidden="1" customHeight="1">
      <c r="A15796" s="51" t="s">
        <v>669</v>
      </c>
      <c r="B15796" s="52">
        <v>46660.0</v>
      </c>
      <c r="C15796" s="51" t="s">
        <v>78</v>
      </c>
      <c r="D15796" s="51">
        <v>0.0</v>
      </c>
    </row>
    <row r="15797" ht="15.75" hidden="1" customHeight="1">
      <c r="A15797" s="51" t="s">
        <v>674</v>
      </c>
      <c r="B15797" s="52">
        <v>46660.0</v>
      </c>
      <c r="C15797" s="51" t="s">
        <v>78</v>
      </c>
      <c r="D15797" s="51">
        <v>0.0</v>
      </c>
    </row>
    <row r="15798" ht="15.75" hidden="1" customHeight="1">
      <c r="A15798" s="51" t="s">
        <v>679</v>
      </c>
      <c r="B15798" s="52">
        <v>46660.0</v>
      </c>
      <c r="C15798" s="51" t="s">
        <v>78</v>
      </c>
      <c r="D15798" s="51">
        <v>0.0</v>
      </c>
    </row>
    <row r="15799" ht="15.75" hidden="1" customHeight="1">
      <c r="A15799" s="51" t="s">
        <v>684</v>
      </c>
      <c r="B15799" s="52">
        <v>46660.0</v>
      </c>
      <c r="C15799" s="51" t="s">
        <v>78</v>
      </c>
      <c r="D15799" s="51">
        <v>0.0</v>
      </c>
    </row>
    <row r="15800" ht="15.75" hidden="1" customHeight="1">
      <c r="A15800" s="51" t="s">
        <v>689</v>
      </c>
      <c r="B15800" s="52">
        <v>46660.0</v>
      </c>
      <c r="C15800" s="51" t="s">
        <v>78</v>
      </c>
      <c r="D15800" s="51">
        <v>0.0</v>
      </c>
    </row>
    <row r="15801" ht="15.75" hidden="1" customHeight="1">
      <c r="A15801" s="51" t="s">
        <v>694</v>
      </c>
      <c r="B15801" s="52">
        <v>46660.0</v>
      </c>
      <c r="C15801" s="51" t="s">
        <v>78</v>
      </c>
      <c r="D15801" s="51">
        <v>0.0</v>
      </c>
    </row>
    <row r="15802" ht="15.75" hidden="1" customHeight="1">
      <c r="A15802" s="51" t="s">
        <v>699</v>
      </c>
      <c r="B15802" s="52">
        <v>46660.0</v>
      </c>
      <c r="C15802" s="51" t="s">
        <v>78</v>
      </c>
      <c r="D15802" s="51">
        <v>0.0</v>
      </c>
    </row>
    <row r="15803" ht="15.75" hidden="1" customHeight="1">
      <c r="A15803" s="51" t="s">
        <v>705</v>
      </c>
      <c r="B15803" s="52">
        <v>46660.0</v>
      </c>
      <c r="C15803" s="51" t="s">
        <v>78</v>
      </c>
      <c r="D15803" s="51">
        <v>0.0</v>
      </c>
    </row>
    <row r="15804" ht="15.75" hidden="1" customHeight="1">
      <c r="A15804" s="51" t="s">
        <v>710</v>
      </c>
      <c r="B15804" s="52">
        <v>46660.0</v>
      </c>
      <c r="C15804" s="51" t="s">
        <v>78</v>
      </c>
      <c r="D15804" s="51">
        <v>0.0</v>
      </c>
    </row>
    <row r="15805" ht="15.75" hidden="1" customHeight="1">
      <c r="A15805" s="51" t="s">
        <v>715</v>
      </c>
      <c r="B15805" s="52">
        <v>46660.0</v>
      </c>
      <c r="C15805" s="51" t="s">
        <v>78</v>
      </c>
      <c r="D15805" s="51">
        <v>0.0</v>
      </c>
    </row>
    <row r="15806" ht="15.75" hidden="1" customHeight="1">
      <c r="A15806" s="51" t="s">
        <v>765</v>
      </c>
      <c r="B15806" s="52">
        <v>46660.0</v>
      </c>
      <c r="C15806" s="51" t="s">
        <v>78</v>
      </c>
      <c r="D15806" s="51">
        <v>0.0</v>
      </c>
    </row>
    <row r="15807" ht="15.75" hidden="1" customHeight="1">
      <c r="A15807" s="51" t="s">
        <v>720</v>
      </c>
      <c r="B15807" s="52">
        <v>46660.0</v>
      </c>
      <c r="C15807" s="51" t="s">
        <v>78</v>
      </c>
      <c r="D15807" s="51">
        <v>0.0</v>
      </c>
    </row>
    <row r="15808" ht="15.75" hidden="1" customHeight="1">
      <c r="A15808" s="51" t="s">
        <v>725</v>
      </c>
      <c r="B15808" s="52">
        <v>46660.0</v>
      </c>
      <c r="C15808" s="51" t="s">
        <v>78</v>
      </c>
      <c r="D15808" s="51">
        <v>0.0</v>
      </c>
    </row>
    <row r="15809" ht="15.75" hidden="1" customHeight="1">
      <c r="A15809" s="51" t="s">
        <v>730</v>
      </c>
      <c r="B15809" s="52">
        <v>46660.0</v>
      </c>
      <c r="C15809" s="51" t="s">
        <v>78</v>
      </c>
      <c r="D15809" s="51">
        <v>0.0</v>
      </c>
    </row>
    <row r="15810" ht="15.75" hidden="1" customHeight="1">
      <c r="A15810" s="51" t="s">
        <v>734</v>
      </c>
      <c r="B15810" s="52">
        <v>46660.0</v>
      </c>
      <c r="C15810" s="51" t="s">
        <v>78</v>
      </c>
      <c r="D15810" s="51">
        <v>0.0</v>
      </c>
    </row>
    <row r="15811" ht="15.75" hidden="1" customHeight="1">
      <c r="A15811" s="51" t="s">
        <v>739</v>
      </c>
      <c r="B15811" s="52">
        <v>46660.0</v>
      </c>
      <c r="C15811" s="51" t="s">
        <v>78</v>
      </c>
      <c r="D15811" s="51">
        <v>0.0</v>
      </c>
    </row>
    <row r="15812" ht="15.75" hidden="1" customHeight="1">
      <c r="A15812" s="51" t="s">
        <v>744</v>
      </c>
      <c r="B15812" s="52">
        <v>46660.0</v>
      </c>
      <c r="C15812" s="51" t="s">
        <v>78</v>
      </c>
      <c r="D15812" s="51">
        <v>0.0</v>
      </c>
    </row>
    <row r="15813" ht="15.75" hidden="1" customHeight="1">
      <c r="A15813" s="51" t="s">
        <v>749</v>
      </c>
      <c r="B15813" s="52">
        <v>46660.0</v>
      </c>
      <c r="C15813" s="51" t="s">
        <v>78</v>
      </c>
      <c r="D15813" s="51">
        <v>0.0</v>
      </c>
    </row>
    <row r="15814" ht="15.75" customHeight="1">
      <c r="A15814" s="51" t="s">
        <v>776</v>
      </c>
      <c r="B15814" s="52">
        <v>46660.0</v>
      </c>
      <c r="C15814" s="51" t="s">
        <v>69</v>
      </c>
      <c r="D15814" s="51">
        <v>0.0</v>
      </c>
    </row>
    <row r="15815" ht="15.75" hidden="1" customHeight="1">
      <c r="A15815" s="51" t="s">
        <v>778</v>
      </c>
      <c r="B15815" s="52">
        <v>46660.0</v>
      </c>
      <c r="C15815" s="51" t="s">
        <v>69</v>
      </c>
      <c r="D15815" s="51">
        <v>0.0</v>
      </c>
    </row>
    <row r="15816" ht="15.75" hidden="1" customHeight="1">
      <c r="A15816" s="51" t="s">
        <v>92</v>
      </c>
      <c r="B15816" s="52">
        <v>46660.0</v>
      </c>
      <c r="C15816" s="51" t="s">
        <v>69</v>
      </c>
      <c r="D15816" s="51">
        <v>0.0</v>
      </c>
    </row>
    <row r="15817" ht="15.75" hidden="1" customHeight="1">
      <c r="A15817" s="51" t="s">
        <v>97</v>
      </c>
      <c r="B15817" s="52">
        <v>46660.0</v>
      </c>
      <c r="C15817" s="51" t="s">
        <v>69</v>
      </c>
      <c r="D15817" s="51">
        <v>0.0</v>
      </c>
    </row>
    <row r="15818" ht="15.75" hidden="1" customHeight="1">
      <c r="A15818" s="51" t="s">
        <v>102</v>
      </c>
      <c r="B15818" s="52">
        <v>46660.0</v>
      </c>
      <c r="C15818" s="51" t="s">
        <v>69</v>
      </c>
      <c r="D15818" s="51">
        <v>0.0</v>
      </c>
    </row>
    <row r="15819" ht="15.75" hidden="1" customHeight="1">
      <c r="A15819" s="51" t="s">
        <v>106</v>
      </c>
      <c r="B15819" s="52">
        <v>46660.0</v>
      </c>
      <c r="C15819" s="51" t="s">
        <v>69</v>
      </c>
      <c r="D15819" s="51">
        <v>0.0</v>
      </c>
    </row>
    <row r="15820" ht="15.75" hidden="1" customHeight="1">
      <c r="A15820" s="51" t="s">
        <v>111</v>
      </c>
      <c r="B15820" s="52">
        <v>46660.0</v>
      </c>
      <c r="C15820" s="51" t="s">
        <v>69</v>
      </c>
      <c r="D15820" s="51">
        <v>0.0</v>
      </c>
    </row>
    <row r="15821" ht="15.75" hidden="1" customHeight="1">
      <c r="A15821" s="51" t="s">
        <v>116</v>
      </c>
      <c r="B15821" s="52">
        <v>46660.0</v>
      </c>
      <c r="C15821" s="51" t="s">
        <v>69</v>
      </c>
      <c r="D15821" s="51">
        <v>0.0</v>
      </c>
    </row>
    <row r="15822" ht="15.75" hidden="1" customHeight="1">
      <c r="A15822" s="51" t="s">
        <v>120</v>
      </c>
      <c r="B15822" s="52">
        <v>46660.0</v>
      </c>
      <c r="C15822" s="51" t="s">
        <v>69</v>
      </c>
      <c r="D15822" s="51">
        <v>0.0</v>
      </c>
    </row>
    <row r="15823" ht="15.75" hidden="1" customHeight="1">
      <c r="A15823" s="51" t="s">
        <v>125</v>
      </c>
      <c r="B15823" s="52">
        <v>46660.0</v>
      </c>
      <c r="C15823" s="51" t="s">
        <v>69</v>
      </c>
      <c r="D15823" s="51">
        <v>0.0</v>
      </c>
    </row>
    <row r="15824" ht="15.75" hidden="1" customHeight="1">
      <c r="A15824" s="51" t="s">
        <v>130</v>
      </c>
      <c r="B15824" s="52">
        <v>46660.0</v>
      </c>
      <c r="C15824" s="51" t="s">
        <v>69</v>
      </c>
      <c r="D15824" s="51">
        <v>0.0</v>
      </c>
    </row>
    <row r="15825" ht="15.75" hidden="1" customHeight="1">
      <c r="A15825" s="51" t="s">
        <v>137</v>
      </c>
      <c r="B15825" s="52">
        <v>46660.0</v>
      </c>
      <c r="C15825" s="51" t="s">
        <v>69</v>
      </c>
      <c r="D15825" s="51">
        <v>0.0</v>
      </c>
    </row>
    <row r="15826" ht="15.75" hidden="1" customHeight="1">
      <c r="A15826" s="51" t="s">
        <v>142</v>
      </c>
      <c r="B15826" s="52">
        <v>46660.0</v>
      </c>
      <c r="C15826" s="51" t="s">
        <v>69</v>
      </c>
      <c r="D15826" s="51">
        <v>0.0</v>
      </c>
    </row>
    <row r="15827" ht="15.75" hidden="1" customHeight="1">
      <c r="A15827" s="51" t="s">
        <v>147</v>
      </c>
      <c r="B15827" s="52">
        <v>46660.0</v>
      </c>
      <c r="C15827" s="51" t="s">
        <v>69</v>
      </c>
      <c r="D15827" s="51">
        <v>0.0</v>
      </c>
    </row>
    <row r="15828" ht="15.75" hidden="1" customHeight="1">
      <c r="A15828" s="51" t="s">
        <v>152</v>
      </c>
      <c r="B15828" s="52">
        <v>46660.0</v>
      </c>
      <c r="C15828" s="51" t="s">
        <v>69</v>
      </c>
      <c r="D15828" s="51">
        <v>0.0</v>
      </c>
    </row>
    <row r="15829" ht="15.75" hidden="1" customHeight="1">
      <c r="A15829" s="51" t="s">
        <v>157</v>
      </c>
      <c r="B15829" s="52">
        <v>46660.0</v>
      </c>
      <c r="C15829" s="51" t="s">
        <v>69</v>
      </c>
      <c r="D15829" s="51">
        <v>0.0</v>
      </c>
    </row>
    <row r="15830" ht="15.75" hidden="1" customHeight="1">
      <c r="A15830" s="51" t="s">
        <v>162</v>
      </c>
      <c r="B15830" s="52">
        <v>46660.0</v>
      </c>
      <c r="C15830" s="51" t="s">
        <v>69</v>
      </c>
      <c r="D15830" s="51">
        <v>0.0</v>
      </c>
    </row>
    <row r="15831" ht="15.75" hidden="1" customHeight="1">
      <c r="A15831" s="51" t="s">
        <v>167</v>
      </c>
      <c r="B15831" s="52">
        <v>46660.0</v>
      </c>
      <c r="C15831" s="51" t="s">
        <v>69</v>
      </c>
      <c r="D15831" s="51">
        <v>0.0</v>
      </c>
    </row>
    <row r="15832" ht="15.75" hidden="1" customHeight="1">
      <c r="A15832" s="51" t="s">
        <v>172</v>
      </c>
      <c r="B15832" s="52">
        <v>46660.0</v>
      </c>
      <c r="C15832" s="51" t="s">
        <v>69</v>
      </c>
      <c r="D15832" s="51">
        <v>0.0</v>
      </c>
    </row>
    <row r="15833" ht="15.75" hidden="1" customHeight="1">
      <c r="A15833" s="51" t="s">
        <v>177</v>
      </c>
      <c r="B15833" s="52">
        <v>46660.0</v>
      </c>
      <c r="C15833" s="51" t="s">
        <v>69</v>
      </c>
      <c r="D15833" s="51">
        <v>0.0</v>
      </c>
    </row>
    <row r="15834" ht="15.75" hidden="1" customHeight="1">
      <c r="A15834" s="51" t="s">
        <v>182</v>
      </c>
      <c r="B15834" s="52">
        <v>46660.0</v>
      </c>
      <c r="C15834" s="51" t="s">
        <v>69</v>
      </c>
      <c r="D15834" s="51">
        <v>0.0</v>
      </c>
    </row>
    <row r="15835" ht="15.75" hidden="1" customHeight="1">
      <c r="A15835" s="51" t="s">
        <v>187</v>
      </c>
      <c r="B15835" s="52">
        <v>46660.0</v>
      </c>
      <c r="C15835" s="51" t="s">
        <v>69</v>
      </c>
      <c r="D15835" s="51">
        <v>0.0</v>
      </c>
    </row>
    <row r="15836" ht="15.75" hidden="1" customHeight="1">
      <c r="A15836" s="51" t="s">
        <v>192</v>
      </c>
      <c r="B15836" s="52">
        <v>46660.0</v>
      </c>
      <c r="C15836" s="51" t="s">
        <v>69</v>
      </c>
      <c r="D15836" s="51">
        <v>0.0</v>
      </c>
    </row>
    <row r="15837" ht="15.75" hidden="1" customHeight="1">
      <c r="A15837" s="51" t="s">
        <v>197</v>
      </c>
      <c r="B15837" s="52">
        <v>46660.0</v>
      </c>
      <c r="C15837" s="51" t="s">
        <v>69</v>
      </c>
      <c r="D15837" s="51">
        <v>0.0</v>
      </c>
    </row>
    <row r="15838" ht="15.75" hidden="1" customHeight="1">
      <c r="A15838" s="51" t="s">
        <v>202</v>
      </c>
      <c r="B15838" s="52">
        <v>46660.0</v>
      </c>
      <c r="C15838" s="51" t="s">
        <v>69</v>
      </c>
      <c r="D15838" s="51">
        <v>0.0</v>
      </c>
    </row>
    <row r="15839" ht="15.75" hidden="1" customHeight="1">
      <c r="A15839" s="51" t="s">
        <v>206</v>
      </c>
      <c r="B15839" s="52">
        <v>46660.0</v>
      </c>
      <c r="C15839" s="51" t="s">
        <v>69</v>
      </c>
      <c r="D15839" s="51">
        <v>0.0</v>
      </c>
    </row>
    <row r="15840" ht="15.75" hidden="1" customHeight="1">
      <c r="A15840" s="51" t="s">
        <v>211</v>
      </c>
      <c r="B15840" s="52">
        <v>46660.0</v>
      </c>
      <c r="C15840" s="51" t="s">
        <v>69</v>
      </c>
      <c r="D15840" s="51">
        <v>0.0</v>
      </c>
    </row>
    <row r="15841" ht="15.75" hidden="1" customHeight="1">
      <c r="A15841" s="51" t="s">
        <v>779</v>
      </c>
      <c r="B15841" s="52">
        <v>46660.0</v>
      </c>
      <c r="C15841" s="51" t="s">
        <v>69</v>
      </c>
      <c r="D15841" s="51">
        <v>0.0</v>
      </c>
    </row>
    <row r="15842" ht="15.75" hidden="1" customHeight="1">
      <c r="A15842" s="51" t="s">
        <v>221</v>
      </c>
      <c r="B15842" s="52">
        <v>46660.0</v>
      </c>
      <c r="C15842" s="51" t="s">
        <v>69</v>
      </c>
      <c r="D15842" s="51">
        <v>0.0</v>
      </c>
    </row>
    <row r="15843" ht="15.75" hidden="1" customHeight="1">
      <c r="A15843" s="51" t="s">
        <v>226</v>
      </c>
      <c r="B15843" s="52">
        <v>46660.0</v>
      </c>
      <c r="C15843" s="51" t="s">
        <v>69</v>
      </c>
      <c r="D15843" s="51">
        <v>0.0</v>
      </c>
    </row>
    <row r="15844" ht="15.75" hidden="1" customHeight="1">
      <c r="A15844" s="51" t="s">
        <v>231</v>
      </c>
      <c r="B15844" s="52">
        <v>46660.0</v>
      </c>
      <c r="C15844" s="51" t="s">
        <v>69</v>
      </c>
      <c r="D15844" s="51">
        <v>0.0</v>
      </c>
    </row>
    <row r="15845" ht="15.75" hidden="1" customHeight="1">
      <c r="A15845" s="51" t="s">
        <v>236</v>
      </c>
      <c r="B15845" s="52">
        <v>46660.0</v>
      </c>
      <c r="C15845" s="51" t="s">
        <v>69</v>
      </c>
      <c r="D15845" s="51">
        <v>0.0</v>
      </c>
    </row>
    <row r="15846" ht="15.75" hidden="1" customHeight="1">
      <c r="A15846" s="51" t="s">
        <v>242</v>
      </c>
      <c r="B15846" s="52">
        <v>46660.0</v>
      </c>
      <c r="C15846" s="51" t="s">
        <v>69</v>
      </c>
      <c r="D15846" s="51">
        <v>0.0</v>
      </c>
    </row>
    <row r="15847" ht="15.75" hidden="1" customHeight="1">
      <c r="A15847" s="51" t="s">
        <v>248</v>
      </c>
      <c r="B15847" s="52">
        <v>46660.0</v>
      </c>
      <c r="C15847" s="51" t="s">
        <v>69</v>
      </c>
      <c r="D15847" s="51">
        <v>0.0</v>
      </c>
    </row>
    <row r="15848" ht="15.75" hidden="1" customHeight="1">
      <c r="A15848" s="51" t="s">
        <v>253</v>
      </c>
      <c r="B15848" s="52">
        <v>46660.0</v>
      </c>
      <c r="C15848" s="51" t="s">
        <v>69</v>
      </c>
      <c r="D15848" s="51">
        <v>0.0</v>
      </c>
    </row>
    <row r="15849" ht="15.75" hidden="1" customHeight="1">
      <c r="A15849" s="51" t="s">
        <v>258</v>
      </c>
      <c r="B15849" s="52">
        <v>46660.0</v>
      </c>
      <c r="C15849" s="51" t="s">
        <v>69</v>
      </c>
      <c r="D15849" s="51">
        <v>0.0</v>
      </c>
    </row>
    <row r="15850" ht="15.75" hidden="1" customHeight="1">
      <c r="A15850" s="51" t="s">
        <v>263</v>
      </c>
      <c r="B15850" s="52">
        <v>46660.0</v>
      </c>
      <c r="C15850" s="51" t="s">
        <v>69</v>
      </c>
      <c r="D15850" s="51">
        <v>0.0</v>
      </c>
    </row>
    <row r="15851" ht="15.75" hidden="1" customHeight="1">
      <c r="A15851" s="51" t="s">
        <v>268</v>
      </c>
      <c r="B15851" s="52">
        <v>46660.0</v>
      </c>
      <c r="C15851" s="51" t="s">
        <v>69</v>
      </c>
      <c r="D15851" s="51">
        <v>0.0</v>
      </c>
    </row>
    <row r="15852" ht="15.75" hidden="1" customHeight="1">
      <c r="A15852" s="51" t="s">
        <v>273</v>
      </c>
      <c r="B15852" s="52">
        <v>46660.0</v>
      </c>
      <c r="C15852" s="51" t="s">
        <v>69</v>
      </c>
      <c r="D15852" s="51">
        <v>0.0</v>
      </c>
    </row>
    <row r="15853" ht="15.75" hidden="1" customHeight="1">
      <c r="A15853" s="51" t="s">
        <v>278</v>
      </c>
      <c r="B15853" s="52">
        <v>46660.0</v>
      </c>
      <c r="C15853" s="51" t="s">
        <v>69</v>
      </c>
      <c r="D15853" s="51">
        <v>0.0</v>
      </c>
    </row>
    <row r="15854" ht="15.75" hidden="1" customHeight="1">
      <c r="A15854" s="51" t="s">
        <v>283</v>
      </c>
      <c r="B15854" s="52">
        <v>46660.0</v>
      </c>
      <c r="C15854" s="51" t="s">
        <v>69</v>
      </c>
      <c r="D15854" s="51">
        <v>0.0</v>
      </c>
    </row>
    <row r="15855" ht="15.75" hidden="1" customHeight="1">
      <c r="A15855" s="51" t="s">
        <v>288</v>
      </c>
      <c r="B15855" s="52">
        <v>46660.0</v>
      </c>
      <c r="C15855" s="51" t="s">
        <v>69</v>
      </c>
      <c r="D15855" s="51">
        <v>0.0</v>
      </c>
    </row>
    <row r="15856" ht="15.75" hidden="1" customHeight="1">
      <c r="A15856" s="51" t="s">
        <v>293</v>
      </c>
      <c r="B15856" s="52">
        <v>46660.0</v>
      </c>
      <c r="C15856" s="51" t="s">
        <v>69</v>
      </c>
      <c r="D15856" s="51">
        <v>0.0</v>
      </c>
    </row>
    <row r="15857" ht="15.75" hidden="1" customHeight="1">
      <c r="A15857" s="51" t="s">
        <v>298</v>
      </c>
      <c r="B15857" s="52">
        <v>46660.0</v>
      </c>
      <c r="C15857" s="51" t="s">
        <v>69</v>
      </c>
      <c r="D15857" s="51">
        <v>0.0</v>
      </c>
    </row>
    <row r="15858" ht="15.75" hidden="1" customHeight="1">
      <c r="A15858" s="51" t="s">
        <v>303</v>
      </c>
      <c r="B15858" s="52">
        <v>46660.0</v>
      </c>
      <c r="C15858" s="51" t="s">
        <v>69</v>
      </c>
      <c r="D15858" s="51">
        <v>0.0</v>
      </c>
    </row>
    <row r="15859" ht="15.75" hidden="1" customHeight="1">
      <c r="A15859" s="51" t="s">
        <v>307</v>
      </c>
      <c r="B15859" s="52">
        <v>46660.0</v>
      </c>
      <c r="C15859" s="51" t="s">
        <v>69</v>
      </c>
      <c r="D15859" s="51">
        <v>0.0</v>
      </c>
    </row>
    <row r="15860" ht="15.75" hidden="1" customHeight="1">
      <c r="A15860" s="51" t="s">
        <v>313</v>
      </c>
      <c r="B15860" s="52">
        <v>46660.0</v>
      </c>
      <c r="C15860" s="51" t="s">
        <v>69</v>
      </c>
      <c r="D15860" s="51">
        <v>0.0</v>
      </c>
    </row>
    <row r="15861" ht="15.75" hidden="1" customHeight="1">
      <c r="A15861" s="51" t="s">
        <v>318</v>
      </c>
      <c r="B15861" s="52">
        <v>46660.0</v>
      </c>
      <c r="C15861" s="51" t="s">
        <v>69</v>
      </c>
      <c r="D15861" s="51">
        <v>0.0</v>
      </c>
    </row>
    <row r="15862" ht="15.75" hidden="1" customHeight="1">
      <c r="A15862" s="51" t="s">
        <v>323</v>
      </c>
      <c r="B15862" s="52">
        <v>46660.0</v>
      </c>
      <c r="C15862" s="51" t="s">
        <v>69</v>
      </c>
      <c r="D15862" s="51">
        <v>0.0</v>
      </c>
    </row>
    <row r="15863" ht="15.75" hidden="1" customHeight="1">
      <c r="A15863" s="51" t="s">
        <v>328</v>
      </c>
      <c r="B15863" s="52">
        <v>46660.0</v>
      </c>
      <c r="C15863" s="51" t="s">
        <v>69</v>
      </c>
      <c r="D15863" s="51">
        <v>0.0</v>
      </c>
    </row>
    <row r="15864" ht="15.75" hidden="1" customHeight="1">
      <c r="A15864" s="51" t="s">
        <v>335</v>
      </c>
      <c r="B15864" s="52">
        <v>46660.0</v>
      </c>
      <c r="C15864" s="51" t="s">
        <v>69</v>
      </c>
      <c r="D15864" s="51">
        <v>0.0</v>
      </c>
    </row>
    <row r="15865" ht="15.75" hidden="1" customHeight="1">
      <c r="A15865" s="51" t="s">
        <v>340</v>
      </c>
      <c r="B15865" s="52">
        <v>46660.0</v>
      </c>
      <c r="C15865" s="51" t="s">
        <v>69</v>
      </c>
      <c r="D15865" s="51">
        <v>0.0</v>
      </c>
    </row>
    <row r="15866" ht="15.75" hidden="1" customHeight="1">
      <c r="A15866" s="51" t="s">
        <v>345</v>
      </c>
      <c r="B15866" s="52">
        <v>46660.0</v>
      </c>
      <c r="C15866" s="51" t="s">
        <v>69</v>
      </c>
      <c r="D15866" s="51">
        <v>0.0</v>
      </c>
    </row>
    <row r="15867" ht="15.75" hidden="1" customHeight="1">
      <c r="A15867" s="51" t="s">
        <v>350</v>
      </c>
      <c r="B15867" s="52">
        <v>46660.0</v>
      </c>
      <c r="C15867" s="51" t="s">
        <v>69</v>
      </c>
      <c r="D15867" s="51">
        <v>0.0</v>
      </c>
    </row>
    <row r="15868" ht="15.75" hidden="1" customHeight="1">
      <c r="A15868" s="51" t="s">
        <v>355</v>
      </c>
      <c r="B15868" s="52">
        <v>46660.0</v>
      </c>
      <c r="C15868" s="51" t="s">
        <v>69</v>
      </c>
      <c r="D15868" s="51">
        <v>0.0</v>
      </c>
    </row>
    <row r="15869" ht="15.75" hidden="1" customHeight="1">
      <c r="A15869" s="51" t="s">
        <v>360</v>
      </c>
      <c r="B15869" s="52">
        <v>46660.0</v>
      </c>
      <c r="C15869" s="51" t="s">
        <v>69</v>
      </c>
      <c r="D15869" s="51">
        <v>0.0</v>
      </c>
    </row>
    <row r="15870" ht="15.75" hidden="1" customHeight="1">
      <c r="A15870" s="51" t="s">
        <v>365</v>
      </c>
      <c r="B15870" s="52">
        <v>46660.0</v>
      </c>
      <c r="C15870" s="51" t="s">
        <v>69</v>
      </c>
      <c r="D15870" s="51">
        <v>0.0</v>
      </c>
    </row>
    <row r="15871" ht="15.75" hidden="1" customHeight="1">
      <c r="A15871" s="51" t="s">
        <v>370</v>
      </c>
      <c r="B15871" s="52">
        <v>46660.0</v>
      </c>
      <c r="C15871" s="51" t="s">
        <v>69</v>
      </c>
      <c r="D15871" s="51">
        <v>0.0</v>
      </c>
    </row>
    <row r="15872" ht="15.75" hidden="1" customHeight="1">
      <c r="A15872" s="51" t="s">
        <v>375</v>
      </c>
      <c r="B15872" s="52">
        <v>46660.0</v>
      </c>
      <c r="C15872" s="51" t="s">
        <v>69</v>
      </c>
      <c r="D15872" s="51">
        <v>0.0</v>
      </c>
    </row>
    <row r="15873" ht="15.75" hidden="1" customHeight="1">
      <c r="A15873" s="51" t="s">
        <v>380</v>
      </c>
      <c r="B15873" s="52">
        <v>46660.0</v>
      </c>
      <c r="C15873" s="51" t="s">
        <v>69</v>
      </c>
      <c r="D15873" s="51">
        <v>0.0</v>
      </c>
    </row>
    <row r="15874" ht="15.75" hidden="1" customHeight="1">
      <c r="A15874" s="51" t="s">
        <v>385</v>
      </c>
      <c r="B15874" s="52">
        <v>46660.0</v>
      </c>
      <c r="C15874" s="51" t="s">
        <v>69</v>
      </c>
      <c r="D15874" s="51">
        <v>0.0</v>
      </c>
    </row>
    <row r="15875" ht="15.75" hidden="1" customHeight="1">
      <c r="A15875" s="51" t="s">
        <v>390</v>
      </c>
      <c r="B15875" s="52">
        <v>46660.0</v>
      </c>
      <c r="C15875" s="51" t="s">
        <v>69</v>
      </c>
      <c r="D15875" s="51">
        <v>0.0</v>
      </c>
    </row>
    <row r="15876" ht="15.75" hidden="1" customHeight="1">
      <c r="A15876" s="51" t="s">
        <v>395</v>
      </c>
      <c r="B15876" s="52">
        <v>46660.0</v>
      </c>
      <c r="C15876" s="51" t="s">
        <v>69</v>
      </c>
      <c r="D15876" s="51">
        <v>0.0</v>
      </c>
    </row>
    <row r="15877" ht="15.75" hidden="1" customHeight="1">
      <c r="A15877" s="51" t="s">
        <v>400</v>
      </c>
      <c r="B15877" s="52">
        <v>46660.0</v>
      </c>
      <c r="C15877" s="51" t="s">
        <v>69</v>
      </c>
      <c r="D15877" s="51">
        <v>0.0</v>
      </c>
    </row>
    <row r="15878" ht="15.75" hidden="1" customHeight="1">
      <c r="A15878" s="51" t="s">
        <v>405</v>
      </c>
      <c r="B15878" s="52">
        <v>46660.0</v>
      </c>
      <c r="C15878" s="51" t="s">
        <v>69</v>
      </c>
      <c r="D15878" s="51">
        <v>0.0</v>
      </c>
    </row>
    <row r="15879" ht="15.75" hidden="1" customHeight="1">
      <c r="A15879" s="51" t="s">
        <v>410</v>
      </c>
      <c r="B15879" s="52">
        <v>46660.0</v>
      </c>
      <c r="C15879" s="51" t="s">
        <v>69</v>
      </c>
      <c r="D15879" s="51">
        <v>0.0</v>
      </c>
    </row>
    <row r="15880" ht="15.75" hidden="1" customHeight="1">
      <c r="A15880" s="51" t="s">
        <v>415</v>
      </c>
      <c r="B15880" s="52">
        <v>46660.0</v>
      </c>
      <c r="C15880" s="51" t="s">
        <v>69</v>
      </c>
      <c r="D15880" s="51">
        <v>0.0</v>
      </c>
    </row>
    <row r="15881" ht="15.75" hidden="1" customHeight="1">
      <c r="A15881" s="51" t="s">
        <v>420</v>
      </c>
      <c r="B15881" s="52">
        <v>46660.0</v>
      </c>
      <c r="C15881" s="51" t="s">
        <v>69</v>
      </c>
      <c r="D15881" s="51">
        <v>0.0</v>
      </c>
    </row>
    <row r="15882" ht="15.75" hidden="1" customHeight="1">
      <c r="A15882" s="51" t="s">
        <v>425</v>
      </c>
      <c r="B15882" s="52">
        <v>46660.0</v>
      </c>
      <c r="C15882" s="51" t="s">
        <v>69</v>
      </c>
      <c r="D15882" s="51">
        <v>0.0</v>
      </c>
    </row>
    <row r="15883" ht="15.75" hidden="1" customHeight="1">
      <c r="A15883" s="51" t="s">
        <v>430</v>
      </c>
      <c r="B15883" s="52">
        <v>46660.0</v>
      </c>
      <c r="C15883" s="51" t="s">
        <v>69</v>
      </c>
      <c r="D15883" s="51">
        <v>0.0</v>
      </c>
    </row>
    <row r="15884" ht="15.75" hidden="1" customHeight="1">
      <c r="A15884" s="51" t="s">
        <v>434</v>
      </c>
      <c r="B15884" s="52">
        <v>46660.0</v>
      </c>
      <c r="C15884" s="51" t="s">
        <v>69</v>
      </c>
      <c r="D15884" s="51">
        <v>0.0</v>
      </c>
    </row>
    <row r="15885" ht="15.75" hidden="1" customHeight="1">
      <c r="A15885" s="51" t="s">
        <v>439</v>
      </c>
      <c r="B15885" s="52">
        <v>46660.0</v>
      </c>
      <c r="C15885" s="51" t="s">
        <v>69</v>
      </c>
      <c r="D15885" s="51">
        <v>0.0</v>
      </c>
    </row>
    <row r="15886" ht="15.75" hidden="1" customHeight="1">
      <c r="A15886" s="51" t="s">
        <v>444</v>
      </c>
      <c r="B15886" s="52">
        <v>46660.0</v>
      </c>
      <c r="C15886" s="51" t="s">
        <v>69</v>
      </c>
      <c r="D15886" s="51">
        <v>0.0</v>
      </c>
    </row>
    <row r="15887" ht="15.75" hidden="1" customHeight="1">
      <c r="A15887" s="51" t="s">
        <v>449</v>
      </c>
      <c r="B15887" s="52">
        <v>46660.0</v>
      </c>
      <c r="C15887" s="51" t="s">
        <v>69</v>
      </c>
      <c r="D15887" s="51">
        <v>0.0</v>
      </c>
    </row>
    <row r="15888" ht="15.75" hidden="1" customHeight="1">
      <c r="A15888" s="51" t="s">
        <v>455</v>
      </c>
      <c r="B15888" s="52">
        <v>46660.0</v>
      </c>
      <c r="C15888" s="51" t="s">
        <v>69</v>
      </c>
      <c r="D15888" s="51">
        <v>0.0</v>
      </c>
    </row>
    <row r="15889" ht="15.75" hidden="1" customHeight="1">
      <c r="A15889" s="51" t="s">
        <v>470</v>
      </c>
      <c r="B15889" s="52">
        <v>46660.0</v>
      </c>
      <c r="C15889" s="51" t="s">
        <v>69</v>
      </c>
      <c r="D15889" s="51">
        <v>0.0</v>
      </c>
    </row>
    <row r="15890" ht="15.75" hidden="1" customHeight="1">
      <c r="A15890" s="51" t="s">
        <v>476</v>
      </c>
      <c r="B15890" s="52">
        <v>46660.0</v>
      </c>
      <c r="C15890" s="51" t="s">
        <v>69</v>
      </c>
      <c r="D15890" s="51">
        <v>0.0</v>
      </c>
    </row>
    <row r="15891" ht="15.75" hidden="1" customHeight="1">
      <c r="A15891" s="51" t="s">
        <v>481</v>
      </c>
      <c r="B15891" s="52">
        <v>46660.0</v>
      </c>
      <c r="C15891" s="51" t="s">
        <v>69</v>
      </c>
      <c r="D15891" s="51">
        <v>0.0</v>
      </c>
    </row>
    <row r="15892" ht="15.75" hidden="1" customHeight="1">
      <c r="A15892" s="51" t="s">
        <v>486</v>
      </c>
      <c r="B15892" s="52">
        <v>46660.0</v>
      </c>
      <c r="C15892" s="51" t="s">
        <v>69</v>
      </c>
      <c r="D15892" s="51">
        <v>0.0</v>
      </c>
    </row>
    <row r="15893" ht="15.75" hidden="1" customHeight="1">
      <c r="A15893" s="51" t="s">
        <v>491</v>
      </c>
      <c r="B15893" s="52">
        <v>46660.0</v>
      </c>
      <c r="C15893" s="51" t="s">
        <v>69</v>
      </c>
      <c r="D15893" s="51">
        <v>0.0</v>
      </c>
    </row>
    <row r="15894" ht="15.75" hidden="1" customHeight="1">
      <c r="A15894" s="51" t="s">
        <v>496</v>
      </c>
      <c r="B15894" s="52">
        <v>46660.0</v>
      </c>
      <c r="C15894" s="51" t="s">
        <v>69</v>
      </c>
      <c r="D15894" s="51">
        <v>0.0</v>
      </c>
    </row>
    <row r="15895" ht="15.75" hidden="1" customHeight="1">
      <c r="A15895" s="51" t="s">
        <v>501</v>
      </c>
      <c r="B15895" s="52">
        <v>46660.0</v>
      </c>
      <c r="C15895" s="51" t="s">
        <v>69</v>
      </c>
      <c r="D15895" s="51">
        <v>0.0</v>
      </c>
    </row>
    <row r="15896" ht="15.75" hidden="1" customHeight="1">
      <c r="A15896" s="51" t="s">
        <v>506</v>
      </c>
      <c r="B15896" s="52">
        <v>46660.0</v>
      </c>
      <c r="C15896" s="51" t="s">
        <v>69</v>
      </c>
      <c r="D15896" s="51">
        <v>0.0</v>
      </c>
    </row>
    <row r="15897" ht="15.75" hidden="1" customHeight="1">
      <c r="A15897" s="51" t="s">
        <v>512</v>
      </c>
      <c r="B15897" s="52">
        <v>46660.0</v>
      </c>
      <c r="C15897" s="51" t="s">
        <v>69</v>
      </c>
      <c r="D15897" s="51">
        <v>0.0</v>
      </c>
    </row>
    <row r="15898" ht="15.75" hidden="1" customHeight="1">
      <c r="A15898" s="51" t="s">
        <v>517</v>
      </c>
      <c r="B15898" s="52">
        <v>46660.0</v>
      </c>
      <c r="C15898" s="51" t="s">
        <v>69</v>
      </c>
      <c r="D15898" s="51">
        <v>0.0</v>
      </c>
    </row>
    <row r="15899" ht="15.75" hidden="1" customHeight="1">
      <c r="A15899" s="51" t="s">
        <v>522</v>
      </c>
      <c r="B15899" s="52">
        <v>46660.0</v>
      </c>
      <c r="C15899" s="51" t="s">
        <v>69</v>
      </c>
      <c r="D15899" s="51">
        <v>0.0</v>
      </c>
    </row>
    <row r="15900" ht="15.75" hidden="1" customHeight="1">
      <c r="A15900" s="51" t="s">
        <v>528</v>
      </c>
      <c r="B15900" s="52">
        <v>46660.0</v>
      </c>
      <c r="C15900" s="51" t="s">
        <v>69</v>
      </c>
      <c r="D15900" s="51">
        <v>0.0</v>
      </c>
    </row>
    <row r="15901" ht="15.75" hidden="1" customHeight="1">
      <c r="A15901" s="51" t="s">
        <v>533</v>
      </c>
      <c r="B15901" s="52">
        <v>46660.0</v>
      </c>
      <c r="C15901" s="51" t="s">
        <v>69</v>
      </c>
      <c r="D15901" s="51">
        <v>0.0</v>
      </c>
    </row>
    <row r="15902" ht="15.75" hidden="1" customHeight="1">
      <c r="A15902" s="51" t="s">
        <v>538</v>
      </c>
      <c r="B15902" s="52">
        <v>46660.0</v>
      </c>
      <c r="C15902" s="51" t="s">
        <v>69</v>
      </c>
      <c r="D15902" s="51">
        <v>0.0</v>
      </c>
    </row>
    <row r="15903" ht="15.75" hidden="1" customHeight="1">
      <c r="A15903" s="51" t="s">
        <v>546</v>
      </c>
      <c r="B15903" s="52">
        <v>46660.0</v>
      </c>
      <c r="C15903" s="51" t="s">
        <v>69</v>
      </c>
      <c r="D15903" s="51">
        <v>0.0</v>
      </c>
    </row>
    <row r="15904" ht="15.75" hidden="1" customHeight="1">
      <c r="A15904" s="51" t="s">
        <v>551</v>
      </c>
      <c r="B15904" s="52">
        <v>46660.0</v>
      </c>
      <c r="C15904" s="51" t="s">
        <v>69</v>
      </c>
      <c r="D15904" s="51">
        <v>0.0</v>
      </c>
    </row>
    <row r="15905" ht="15.75" hidden="1" customHeight="1">
      <c r="A15905" s="51" t="s">
        <v>556</v>
      </c>
      <c r="B15905" s="52">
        <v>46660.0</v>
      </c>
      <c r="C15905" s="51" t="s">
        <v>69</v>
      </c>
      <c r="D15905" s="51">
        <v>0.0</v>
      </c>
    </row>
    <row r="15906" ht="15.75" hidden="1" customHeight="1">
      <c r="A15906" s="51" t="s">
        <v>561</v>
      </c>
      <c r="B15906" s="52">
        <v>46660.0</v>
      </c>
      <c r="C15906" s="51" t="s">
        <v>69</v>
      </c>
      <c r="D15906" s="51">
        <v>0.0</v>
      </c>
    </row>
    <row r="15907" ht="15.75" hidden="1" customHeight="1">
      <c r="A15907" s="51" t="s">
        <v>566</v>
      </c>
      <c r="B15907" s="52">
        <v>46660.0</v>
      </c>
      <c r="C15907" s="51" t="s">
        <v>69</v>
      </c>
      <c r="D15907" s="51">
        <v>0.0</v>
      </c>
    </row>
    <row r="15908" ht="15.75" hidden="1" customHeight="1">
      <c r="A15908" s="51" t="s">
        <v>571</v>
      </c>
      <c r="B15908" s="52">
        <v>46660.0</v>
      </c>
      <c r="C15908" s="51" t="s">
        <v>69</v>
      </c>
      <c r="D15908" s="51">
        <v>0.0</v>
      </c>
    </row>
    <row r="15909" ht="15.75" hidden="1" customHeight="1">
      <c r="A15909" s="51" t="s">
        <v>576</v>
      </c>
      <c r="B15909" s="52">
        <v>46660.0</v>
      </c>
      <c r="C15909" s="51" t="s">
        <v>69</v>
      </c>
      <c r="D15909" s="51">
        <v>0.0</v>
      </c>
    </row>
    <row r="15910" ht="15.75" hidden="1" customHeight="1">
      <c r="A15910" s="51" t="s">
        <v>581</v>
      </c>
      <c r="B15910" s="52">
        <v>46660.0</v>
      </c>
      <c r="C15910" s="51" t="s">
        <v>69</v>
      </c>
      <c r="D15910" s="51">
        <v>0.0</v>
      </c>
    </row>
    <row r="15911" ht="15.75" hidden="1" customHeight="1">
      <c r="A15911" s="51" t="s">
        <v>586</v>
      </c>
      <c r="B15911" s="52">
        <v>46660.0</v>
      </c>
      <c r="C15911" s="51" t="s">
        <v>69</v>
      </c>
      <c r="D15911" s="51">
        <v>0.0</v>
      </c>
    </row>
    <row r="15912" ht="15.75" hidden="1" customHeight="1">
      <c r="A15912" s="51" t="s">
        <v>754</v>
      </c>
      <c r="B15912" s="52">
        <v>46660.0</v>
      </c>
      <c r="C15912" s="51" t="s">
        <v>69</v>
      </c>
      <c r="D15912" s="51">
        <v>0.0</v>
      </c>
    </row>
    <row r="15913" ht="15.75" hidden="1" customHeight="1">
      <c r="A15913" s="51" t="s">
        <v>591</v>
      </c>
      <c r="B15913" s="52">
        <v>46660.0</v>
      </c>
      <c r="C15913" s="51" t="s">
        <v>69</v>
      </c>
      <c r="D15913" s="51">
        <v>0.0</v>
      </c>
    </row>
    <row r="15914" ht="15.75" hidden="1" customHeight="1">
      <c r="A15914" s="51" t="s">
        <v>759</v>
      </c>
      <c r="B15914" s="52">
        <v>46660.0</v>
      </c>
      <c r="C15914" s="51" t="s">
        <v>69</v>
      </c>
      <c r="D15914" s="51">
        <v>0.0</v>
      </c>
    </row>
    <row r="15915" ht="15.75" hidden="1" customHeight="1">
      <c r="A15915" s="51" t="s">
        <v>596</v>
      </c>
      <c r="B15915" s="52">
        <v>46660.0</v>
      </c>
      <c r="C15915" s="51" t="s">
        <v>69</v>
      </c>
      <c r="D15915" s="51">
        <v>0.0</v>
      </c>
    </row>
    <row r="15916" ht="15.75" hidden="1" customHeight="1">
      <c r="A15916" s="51" t="s">
        <v>602</v>
      </c>
      <c r="B15916" s="52">
        <v>46660.0</v>
      </c>
      <c r="C15916" s="51" t="s">
        <v>69</v>
      </c>
      <c r="D15916" s="51">
        <v>0.0</v>
      </c>
    </row>
    <row r="15917" ht="15.75" hidden="1" customHeight="1">
      <c r="A15917" s="51" t="s">
        <v>607</v>
      </c>
      <c r="B15917" s="52">
        <v>46660.0</v>
      </c>
      <c r="C15917" s="51" t="s">
        <v>69</v>
      </c>
      <c r="D15917" s="51">
        <v>0.0</v>
      </c>
    </row>
    <row r="15918" ht="15.75" hidden="1" customHeight="1">
      <c r="A15918" s="51" t="s">
        <v>612</v>
      </c>
      <c r="B15918" s="52">
        <v>46660.0</v>
      </c>
      <c r="C15918" s="51" t="s">
        <v>69</v>
      </c>
      <c r="D15918" s="51">
        <v>0.0</v>
      </c>
    </row>
    <row r="15919" ht="15.75" hidden="1" customHeight="1">
      <c r="A15919" s="51" t="s">
        <v>617</v>
      </c>
      <c r="B15919" s="52">
        <v>46660.0</v>
      </c>
      <c r="C15919" s="51" t="s">
        <v>69</v>
      </c>
      <c r="D15919" s="51">
        <v>0.0</v>
      </c>
    </row>
    <row r="15920" ht="15.75" hidden="1" customHeight="1">
      <c r="A15920" s="51" t="s">
        <v>622</v>
      </c>
      <c r="B15920" s="52">
        <v>46660.0</v>
      </c>
      <c r="C15920" s="51" t="s">
        <v>69</v>
      </c>
      <c r="D15920" s="51">
        <v>0.0</v>
      </c>
    </row>
    <row r="15921" ht="15.75" hidden="1" customHeight="1">
      <c r="A15921" s="51" t="s">
        <v>627</v>
      </c>
      <c r="B15921" s="52">
        <v>46660.0</v>
      </c>
      <c r="C15921" s="51" t="s">
        <v>69</v>
      </c>
      <c r="D15921" s="51">
        <v>0.0</v>
      </c>
    </row>
    <row r="15922" ht="15.75" hidden="1" customHeight="1">
      <c r="A15922" s="51" t="s">
        <v>631</v>
      </c>
      <c r="B15922" s="52">
        <v>46660.0</v>
      </c>
      <c r="C15922" s="51" t="s">
        <v>69</v>
      </c>
      <c r="D15922" s="51">
        <v>0.0</v>
      </c>
    </row>
    <row r="15923" ht="15.75" hidden="1" customHeight="1">
      <c r="A15923" s="51" t="s">
        <v>636</v>
      </c>
      <c r="B15923" s="52">
        <v>46660.0</v>
      </c>
      <c r="C15923" s="51" t="s">
        <v>69</v>
      </c>
      <c r="D15923" s="51">
        <v>0.0</v>
      </c>
    </row>
    <row r="15924" ht="15.75" hidden="1" customHeight="1">
      <c r="A15924" s="51" t="s">
        <v>640</v>
      </c>
      <c r="B15924" s="52">
        <v>46660.0</v>
      </c>
      <c r="C15924" s="51" t="s">
        <v>69</v>
      </c>
      <c r="D15924" s="51">
        <v>0.0</v>
      </c>
    </row>
    <row r="15925" ht="15.75" hidden="1" customHeight="1">
      <c r="A15925" s="51" t="s">
        <v>644</v>
      </c>
      <c r="B15925" s="52">
        <v>46660.0</v>
      </c>
      <c r="C15925" s="51" t="s">
        <v>69</v>
      </c>
      <c r="D15925" s="51">
        <v>0.0</v>
      </c>
    </row>
    <row r="15926" ht="15.75" hidden="1" customHeight="1">
      <c r="A15926" s="51" t="s">
        <v>649</v>
      </c>
      <c r="B15926" s="52">
        <v>46660.0</v>
      </c>
      <c r="C15926" s="51" t="s">
        <v>69</v>
      </c>
      <c r="D15926" s="51">
        <v>0.0</v>
      </c>
    </row>
    <row r="15927" ht="15.75" hidden="1" customHeight="1">
      <c r="A15927" s="51" t="s">
        <v>654</v>
      </c>
      <c r="B15927" s="52">
        <v>46660.0</v>
      </c>
      <c r="C15927" s="51" t="s">
        <v>69</v>
      </c>
      <c r="D15927" s="51">
        <v>0.0</v>
      </c>
    </row>
    <row r="15928" ht="15.75" hidden="1" customHeight="1">
      <c r="A15928" s="51" t="s">
        <v>659</v>
      </c>
      <c r="B15928" s="52">
        <v>46660.0</v>
      </c>
      <c r="C15928" s="51" t="s">
        <v>69</v>
      </c>
      <c r="D15928" s="51">
        <v>0.0</v>
      </c>
    </row>
    <row r="15929" ht="15.75" hidden="1" customHeight="1">
      <c r="A15929" s="51" t="s">
        <v>664</v>
      </c>
      <c r="B15929" s="52">
        <v>46660.0</v>
      </c>
      <c r="C15929" s="51" t="s">
        <v>69</v>
      </c>
      <c r="D15929" s="51">
        <v>0.0</v>
      </c>
    </row>
    <row r="15930" ht="15.75" hidden="1" customHeight="1">
      <c r="A15930" s="51" t="s">
        <v>669</v>
      </c>
      <c r="B15930" s="52">
        <v>46660.0</v>
      </c>
      <c r="C15930" s="51" t="s">
        <v>69</v>
      </c>
      <c r="D15930" s="51">
        <v>0.0</v>
      </c>
    </row>
    <row r="15931" ht="15.75" hidden="1" customHeight="1">
      <c r="A15931" s="51" t="s">
        <v>674</v>
      </c>
      <c r="B15931" s="52">
        <v>46660.0</v>
      </c>
      <c r="C15931" s="51" t="s">
        <v>69</v>
      </c>
      <c r="D15931" s="51">
        <v>0.0</v>
      </c>
    </row>
    <row r="15932" ht="15.75" hidden="1" customHeight="1">
      <c r="A15932" s="51" t="s">
        <v>679</v>
      </c>
      <c r="B15932" s="52">
        <v>46660.0</v>
      </c>
      <c r="C15932" s="51" t="s">
        <v>69</v>
      </c>
      <c r="D15932" s="51">
        <v>0.0</v>
      </c>
    </row>
    <row r="15933" ht="15.75" hidden="1" customHeight="1">
      <c r="A15933" s="51" t="s">
        <v>684</v>
      </c>
      <c r="B15933" s="52">
        <v>46660.0</v>
      </c>
      <c r="C15933" s="51" t="s">
        <v>69</v>
      </c>
      <c r="D15933" s="51">
        <v>0.0</v>
      </c>
    </row>
    <row r="15934" ht="15.75" hidden="1" customHeight="1">
      <c r="A15934" s="51" t="s">
        <v>689</v>
      </c>
      <c r="B15934" s="52">
        <v>46660.0</v>
      </c>
      <c r="C15934" s="51" t="s">
        <v>69</v>
      </c>
      <c r="D15934" s="51">
        <v>0.0</v>
      </c>
    </row>
    <row r="15935" ht="15.75" hidden="1" customHeight="1">
      <c r="A15935" s="51" t="s">
        <v>694</v>
      </c>
      <c r="B15935" s="52">
        <v>46660.0</v>
      </c>
      <c r="C15935" s="51" t="s">
        <v>69</v>
      </c>
      <c r="D15935" s="51">
        <v>0.0</v>
      </c>
    </row>
    <row r="15936" ht="15.75" hidden="1" customHeight="1">
      <c r="A15936" s="51" t="s">
        <v>699</v>
      </c>
      <c r="B15936" s="52">
        <v>46660.0</v>
      </c>
      <c r="C15936" s="51" t="s">
        <v>69</v>
      </c>
      <c r="D15936" s="51">
        <v>0.0</v>
      </c>
    </row>
    <row r="15937" ht="15.75" hidden="1" customHeight="1">
      <c r="A15937" s="51" t="s">
        <v>705</v>
      </c>
      <c r="B15937" s="52">
        <v>46660.0</v>
      </c>
      <c r="C15937" s="51" t="s">
        <v>69</v>
      </c>
      <c r="D15937" s="51">
        <v>0.0</v>
      </c>
    </row>
    <row r="15938" ht="15.75" hidden="1" customHeight="1">
      <c r="A15938" s="51" t="s">
        <v>710</v>
      </c>
      <c r="B15938" s="52">
        <v>46660.0</v>
      </c>
      <c r="C15938" s="51" t="s">
        <v>69</v>
      </c>
      <c r="D15938" s="51">
        <v>0.0</v>
      </c>
    </row>
    <row r="15939" ht="15.75" hidden="1" customHeight="1">
      <c r="A15939" s="51" t="s">
        <v>715</v>
      </c>
      <c r="B15939" s="52">
        <v>46660.0</v>
      </c>
      <c r="C15939" s="51" t="s">
        <v>69</v>
      </c>
      <c r="D15939" s="51">
        <v>0.0</v>
      </c>
    </row>
    <row r="15940" ht="15.75" hidden="1" customHeight="1">
      <c r="A15940" s="51" t="s">
        <v>765</v>
      </c>
      <c r="B15940" s="52">
        <v>46660.0</v>
      </c>
      <c r="C15940" s="51" t="s">
        <v>69</v>
      </c>
      <c r="D15940" s="51">
        <v>0.0</v>
      </c>
    </row>
    <row r="15941" ht="15.75" hidden="1" customHeight="1">
      <c r="A15941" s="51" t="s">
        <v>720</v>
      </c>
      <c r="B15941" s="52">
        <v>46660.0</v>
      </c>
      <c r="C15941" s="51" t="s">
        <v>69</v>
      </c>
      <c r="D15941" s="51">
        <v>0.0</v>
      </c>
    </row>
    <row r="15942" ht="15.75" hidden="1" customHeight="1">
      <c r="A15942" s="51" t="s">
        <v>725</v>
      </c>
      <c r="B15942" s="52">
        <v>46660.0</v>
      </c>
      <c r="C15942" s="51" t="s">
        <v>69</v>
      </c>
      <c r="D15942" s="51">
        <v>0.0</v>
      </c>
    </row>
    <row r="15943" ht="15.75" hidden="1" customHeight="1">
      <c r="A15943" s="51" t="s">
        <v>730</v>
      </c>
      <c r="B15943" s="52">
        <v>46660.0</v>
      </c>
      <c r="C15943" s="51" t="s">
        <v>69</v>
      </c>
      <c r="D15943" s="51">
        <v>0.0</v>
      </c>
    </row>
    <row r="15944" ht="15.75" hidden="1" customHeight="1">
      <c r="A15944" s="51" t="s">
        <v>734</v>
      </c>
      <c r="B15944" s="52">
        <v>46660.0</v>
      </c>
      <c r="C15944" s="51" t="s">
        <v>69</v>
      </c>
      <c r="D15944" s="51">
        <v>0.0</v>
      </c>
    </row>
    <row r="15945" ht="15.75" hidden="1" customHeight="1">
      <c r="A15945" s="51" t="s">
        <v>739</v>
      </c>
      <c r="B15945" s="52">
        <v>46660.0</v>
      </c>
      <c r="C15945" s="51" t="s">
        <v>69</v>
      </c>
      <c r="D15945" s="51">
        <v>0.0</v>
      </c>
    </row>
    <row r="15946" ht="15.75" hidden="1" customHeight="1">
      <c r="A15946" s="51" t="s">
        <v>744</v>
      </c>
      <c r="B15946" s="52">
        <v>46660.0</v>
      </c>
      <c r="C15946" s="51" t="s">
        <v>69</v>
      </c>
      <c r="D15946" s="51">
        <v>0.0</v>
      </c>
    </row>
    <row r="15947" ht="15.75" hidden="1" customHeight="1">
      <c r="A15947" s="51" t="s">
        <v>749</v>
      </c>
      <c r="B15947" s="52">
        <v>46660.0</v>
      </c>
      <c r="C15947" s="51" t="s">
        <v>69</v>
      </c>
      <c r="D15947" s="51">
        <v>0.0</v>
      </c>
    </row>
    <row r="15948" ht="15.75" customHeight="1">
      <c r="A15948" s="51" t="s">
        <v>776</v>
      </c>
      <c r="B15948" s="52">
        <v>46660.0</v>
      </c>
      <c r="C15948" s="51" t="s">
        <v>780</v>
      </c>
      <c r="D15948" s="51">
        <v>0.0</v>
      </c>
    </row>
    <row r="15949" ht="15.75" hidden="1" customHeight="1">
      <c r="A15949" s="51" t="s">
        <v>778</v>
      </c>
      <c r="B15949" s="52">
        <v>46660.0</v>
      </c>
      <c r="C15949" s="51" t="s">
        <v>780</v>
      </c>
      <c r="D15949" s="51">
        <v>0.0</v>
      </c>
    </row>
    <row r="15950" ht="15.75" hidden="1" customHeight="1">
      <c r="A15950" s="51" t="s">
        <v>92</v>
      </c>
      <c r="B15950" s="52">
        <v>46660.0</v>
      </c>
      <c r="C15950" s="51" t="s">
        <v>780</v>
      </c>
      <c r="D15950" s="51">
        <v>0.0</v>
      </c>
    </row>
    <row r="15951" ht="15.75" hidden="1" customHeight="1">
      <c r="A15951" s="51" t="s">
        <v>97</v>
      </c>
      <c r="B15951" s="52">
        <v>46660.0</v>
      </c>
      <c r="C15951" s="51" t="s">
        <v>780</v>
      </c>
      <c r="D15951" s="51">
        <v>0.0</v>
      </c>
    </row>
    <row r="15952" ht="15.75" hidden="1" customHeight="1">
      <c r="A15952" s="51" t="s">
        <v>102</v>
      </c>
      <c r="B15952" s="52">
        <v>46660.0</v>
      </c>
      <c r="C15952" s="51" t="s">
        <v>780</v>
      </c>
      <c r="D15952" s="51">
        <v>0.0</v>
      </c>
    </row>
    <row r="15953" ht="15.75" hidden="1" customHeight="1">
      <c r="A15953" s="51" t="s">
        <v>106</v>
      </c>
      <c r="B15953" s="52">
        <v>46660.0</v>
      </c>
      <c r="C15953" s="51" t="s">
        <v>780</v>
      </c>
      <c r="D15953" s="51">
        <v>0.0</v>
      </c>
    </row>
    <row r="15954" ht="15.75" hidden="1" customHeight="1">
      <c r="A15954" s="51" t="s">
        <v>111</v>
      </c>
      <c r="B15954" s="52">
        <v>46660.0</v>
      </c>
      <c r="C15954" s="51" t="s">
        <v>780</v>
      </c>
      <c r="D15954" s="51">
        <v>0.0</v>
      </c>
    </row>
    <row r="15955" ht="15.75" hidden="1" customHeight="1">
      <c r="A15955" s="51" t="s">
        <v>116</v>
      </c>
      <c r="B15955" s="52">
        <v>46660.0</v>
      </c>
      <c r="C15955" s="51" t="s">
        <v>780</v>
      </c>
      <c r="D15955" s="51">
        <v>0.0</v>
      </c>
    </row>
    <row r="15956" ht="15.75" hidden="1" customHeight="1">
      <c r="A15956" s="51" t="s">
        <v>120</v>
      </c>
      <c r="B15956" s="52">
        <v>46660.0</v>
      </c>
      <c r="C15956" s="51" t="s">
        <v>780</v>
      </c>
      <c r="D15956" s="51">
        <v>0.0</v>
      </c>
    </row>
    <row r="15957" ht="15.75" hidden="1" customHeight="1">
      <c r="A15957" s="51" t="s">
        <v>125</v>
      </c>
      <c r="B15957" s="52">
        <v>46660.0</v>
      </c>
      <c r="C15957" s="51" t="s">
        <v>780</v>
      </c>
      <c r="D15957" s="51">
        <v>0.0</v>
      </c>
    </row>
    <row r="15958" ht="15.75" hidden="1" customHeight="1">
      <c r="A15958" s="51" t="s">
        <v>130</v>
      </c>
      <c r="B15958" s="52">
        <v>46660.0</v>
      </c>
      <c r="C15958" s="51" t="s">
        <v>780</v>
      </c>
      <c r="D15958" s="51">
        <v>0.0</v>
      </c>
    </row>
    <row r="15959" ht="15.75" hidden="1" customHeight="1">
      <c r="A15959" s="51" t="s">
        <v>137</v>
      </c>
      <c r="B15959" s="52">
        <v>46660.0</v>
      </c>
      <c r="C15959" s="51" t="s">
        <v>780</v>
      </c>
      <c r="D15959" s="51">
        <v>0.0</v>
      </c>
    </row>
    <row r="15960" ht="15.75" hidden="1" customHeight="1">
      <c r="A15960" s="51" t="s">
        <v>142</v>
      </c>
      <c r="B15960" s="52">
        <v>46660.0</v>
      </c>
      <c r="C15960" s="51" t="s">
        <v>780</v>
      </c>
      <c r="D15960" s="51">
        <v>0.0</v>
      </c>
    </row>
    <row r="15961" ht="15.75" hidden="1" customHeight="1">
      <c r="A15961" s="51" t="s">
        <v>147</v>
      </c>
      <c r="B15961" s="52">
        <v>46660.0</v>
      </c>
      <c r="C15961" s="51" t="s">
        <v>780</v>
      </c>
      <c r="D15961" s="51">
        <v>0.0</v>
      </c>
    </row>
    <row r="15962" ht="15.75" hidden="1" customHeight="1">
      <c r="A15962" s="51" t="s">
        <v>152</v>
      </c>
      <c r="B15962" s="52">
        <v>46660.0</v>
      </c>
      <c r="C15962" s="51" t="s">
        <v>780</v>
      </c>
      <c r="D15962" s="51">
        <v>0.0</v>
      </c>
    </row>
    <row r="15963" ht="15.75" hidden="1" customHeight="1">
      <c r="A15963" s="51" t="s">
        <v>157</v>
      </c>
      <c r="B15963" s="52">
        <v>46660.0</v>
      </c>
      <c r="C15963" s="51" t="s">
        <v>780</v>
      </c>
      <c r="D15963" s="51">
        <v>0.0</v>
      </c>
    </row>
    <row r="15964" ht="15.75" hidden="1" customHeight="1">
      <c r="A15964" s="51" t="s">
        <v>162</v>
      </c>
      <c r="B15964" s="52">
        <v>46660.0</v>
      </c>
      <c r="C15964" s="51" t="s">
        <v>780</v>
      </c>
      <c r="D15964" s="51">
        <v>0.0</v>
      </c>
    </row>
    <row r="15965" ht="15.75" hidden="1" customHeight="1">
      <c r="A15965" s="51" t="s">
        <v>167</v>
      </c>
      <c r="B15965" s="52">
        <v>46660.0</v>
      </c>
      <c r="C15965" s="51" t="s">
        <v>780</v>
      </c>
      <c r="D15965" s="51">
        <v>0.0</v>
      </c>
    </row>
    <row r="15966" ht="15.75" hidden="1" customHeight="1">
      <c r="A15966" s="51" t="s">
        <v>172</v>
      </c>
      <c r="B15966" s="52">
        <v>46660.0</v>
      </c>
      <c r="C15966" s="51" t="s">
        <v>780</v>
      </c>
      <c r="D15966" s="51">
        <v>0.0</v>
      </c>
    </row>
    <row r="15967" ht="15.75" hidden="1" customHeight="1">
      <c r="A15967" s="51" t="s">
        <v>177</v>
      </c>
      <c r="B15967" s="52">
        <v>46660.0</v>
      </c>
      <c r="C15967" s="51" t="s">
        <v>780</v>
      </c>
      <c r="D15967" s="51">
        <v>0.0</v>
      </c>
    </row>
    <row r="15968" ht="15.75" hidden="1" customHeight="1">
      <c r="A15968" s="51" t="s">
        <v>182</v>
      </c>
      <c r="B15968" s="52">
        <v>46660.0</v>
      </c>
      <c r="C15968" s="51" t="s">
        <v>780</v>
      </c>
      <c r="D15968" s="51">
        <v>0.0</v>
      </c>
    </row>
    <row r="15969" ht="15.75" hidden="1" customHeight="1">
      <c r="A15969" s="51" t="s">
        <v>187</v>
      </c>
      <c r="B15969" s="52">
        <v>46660.0</v>
      </c>
      <c r="C15969" s="51" t="s">
        <v>780</v>
      </c>
      <c r="D15969" s="51">
        <v>0.0</v>
      </c>
    </row>
    <row r="15970" ht="15.75" hidden="1" customHeight="1">
      <c r="A15970" s="51" t="s">
        <v>192</v>
      </c>
      <c r="B15970" s="52">
        <v>46660.0</v>
      </c>
      <c r="C15970" s="51" t="s">
        <v>780</v>
      </c>
      <c r="D15970" s="51">
        <v>0.0</v>
      </c>
    </row>
    <row r="15971" ht="15.75" hidden="1" customHeight="1">
      <c r="A15971" s="51" t="s">
        <v>197</v>
      </c>
      <c r="B15971" s="52">
        <v>46660.0</v>
      </c>
      <c r="C15971" s="51" t="s">
        <v>780</v>
      </c>
      <c r="D15971" s="51">
        <v>0.0</v>
      </c>
    </row>
    <row r="15972" ht="15.75" hidden="1" customHeight="1">
      <c r="A15972" s="51" t="s">
        <v>202</v>
      </c>
      <c r="B15972" s="52">
        <v>46660.0</v>
      </c>
      <c r="C15972" s="51" t="s">
        <v>780</v>
      </c>
      <c r="D15972" s="51">
        <v>0.0</v>
      </c>
    </row>
    <row r="15973" ht="15.75" hidden="1" customHeight="1">
      <c r="A15973" s="51" t="s">
        <v>206</v>
      </c>
      <c r="B15973" s="52">
        <v>46660.0</v>
      </c>
      <c r="C15973" s="51" t="s">
        <v>780</v>
      </c>
      <c r="D15973" s="51">
        <v>0.0</v>
      </c>
    </row>
    <row r="15974" ht="15.75" hidden="1" customHeight="1">
      <c r="A15974" s="51" t="s">
        <v>211</v>
      </c>
      <c r="B15974" s="52">
        <v>46660.0</v>
      </c>
      <c r="C15974" s="51" t="s">
        <v>780</v>
      </c>
      <c r="D15974" s="51">
        <v>0.0</v>
      </c>
    </row>
    <row r="15975" ht="15.75" hidden="1" customHeight="1">
      <c r="A15975" s="51" t="s">
        <v>779</v>
      </c>
      <c r="B15975" s="52">
        <v>46660.0</v>
      </c>
      <c r="C15975" s="51" t="s">
        <v>780</v>
      </c>
      <c r="D15975" s="51">
        <v>0.0</v>
      </c>
    </row>
    <row r="15976" ht="15.75" hidden="1" customHeight="1">
      <c r="A15976" s="51" t="s">
        <v>221</v>
      </c>
      <c r="B15976" s="52">
        <v>46660.0</v>
      </c>
      <c r="C15976" s="51" t="s">
        <v>780</v>
      </c>
      <c r="D15976" s="51">
        <v>0.0</v>
      </c>
    </row>
    <row r="15977" ht="15.75" hidden="1" customHeight="1">
      <c r="A15977" s="51" t="s">
        <v>226</v>
      </c>
      <c r="B15977" s="52">
        <v>46660.0</v>
      </c>
      <c r="C15977" s="51" t="s">
        <v>780</v>
      </c>
      <c r="D15977" s="51">
        <v>0.0</v>
      </c>
    </row>
    <row r="15978" ht="15.75" hidden="1" customHeight="1">
      <c r="A15978" s="51" t="s">
        <v>231</v>
      </c>
      <c r="B15978" s="52">
        <v>46660.0</v>
      </c>
      <c r="C15978" s="51" t="s">
        <v>780</v>
      </c>
      <c r="D15978" s="51">
        <v>0.0</v>
      </c>
    </row>
    <row r="15979" ht="15.75" hidden="1" customHeight="1">
      <c r="A15979" s="51" t="s">
        <v>236</v>
      </c>
      <c r="B15979" s="52">
        <v>46660.0</v>
      </c>
      <c r="C15979" s="51" t="s">
        <v>780</v>
      </c>
      <c r="D15979" s="51">
        <v>0.0</v>
      </c>
    </row>
    <row r="15980" ht="15.75" hidden="1" customHeight="1">
      <c r="A15980" s="51" t="s">
        <v>242</v>
      </c>
      <c r="B15980" s="52">
        <v>46660.0</v>
      </c>
      <c r="C15980" s="51" t="s">
        <v>780</v>
      </c>
      <c r="D15980" s="51">
        <v>0.0</v>
      </c>
    </row>
    <row r="15981" ht="15.75" hidden="1" customHeight="1">
      <c r="A15981" s="51" t="s">
        <v>248</v>
      </c>
      <c r="B15981" s="52">
        <v>46660.0</v>
      </c>
      <c r="C15981" s="51" t="s">
        <v>780</v>
      </c>
      <c r="D15981" s="51">
        <v>0.0</v>
      </c>
    </row>
    <row r="15982" ht="15.75" hidden="1" customHeight="1">
      <c r="A15982" s="51" t="s">
        <v>253</v>
      </c>
      <c r="B15982" s="52">
        <v>46660.0</v>
      </c>
      <c r="C15982" s="51" t="s">
        <v>780</v>
      </c>
      <c r="D15982" s="51">
        <v>0.0</v>
      </c>
    </row>
    <row r="15983" ht="15.75" hidden="1" customHeight="1">
      <c r="A15983" s="51" t="s">
        <v>258</v>
      </c>
      <c r="B15983" s="52">
        <v>46660.0</v>
      </c>
      <c r="C15983" s="51" t="s">
        <v>780</v>
      </c>
      <c r="D15983" s="51">
        <v>0.0</v>
      </c>
    </row>
    <row r="15984" ht="15.75" hidden="1" customHeight="1">
      <c r="A15984" s="51" t="s">
        <v>263</v>
      </c>
      <c r="B15984" s="52">
        <v>46660.0</v>
      </c>
      <c r="C15984" s="51" t="s">
        <v>780</v>
      </c>
      <c r="D15984" s="51">
        <v>0.0</v>
      </c>
    </row>
    <row r="15985" ht="15.75" hidden="1" customHeight="1">
      <c r="A15985" s="51" t="s">
        <v>268</v>
      </c>
      <c r="B15985" s="52">
        <v>46660.0</v>
      </c>
      <c r="C15985" s="51" t="s">
        <v>780</v>
      </c>
      <c r="D15985" s="51">
        <v>0.0</v>
      </c>
    </row>
    <row r="15986" ht="15.75" hidden="1" customHeight="1">
      <c r="A15986" s="51" t="s">
        <v>273</v>
      </c>
      <c r="B15986" s="52">
        <v>46660.0</v>
      </c>
      <c r="C15986" s="51" t="s">
        <v>780</v>
      </c>
      <c r="D15986" s="51">
        <v>0.0</v>
      </c>
    </row>
    <row r="15987" ht="15.75" hidden="1" customHeight="1">
      <c r="A15987" s="51" t="s">
        <v>278</v>
      </c>
      <c r="B15987" s="52">
        <v>46660.0</v>
      </c>
      <c r="C15987" s="51" t="s">
        <v>780</v>
      </c>
      <c r="D15987" s="51">
        <v>0.0</v>
      </c>
    </row>
    <row r="15988" ht="15.75" hidden="1" customHeight="1">
      <c r="A15988" s="51" t="s">
        <v>283</v>
      </c>
      <c r="B15988" s="52">
        <v>46660.0</v>
      </c>
      <c r="C15988" s="51" t="s">
        <v>780</v>
      </c>
      <c r="D15988" s="51">
        <v>0.0</v>
      </c>
    </row>
    <row r="15989" ht="15.75" hidden="1" customHeight="1">
      <c r="A15989" s="51" t="s">
        <v>288</v>
      </c>
      <c r="B15989" s="52">
        <v>46660.0</v>
      </c>
      <c r="C15989" s="51" t="s">
        <v>780</v>
      </c>
      <c r="D15989" s="51">
        <v>0.0</v>
      </c>
    </row>
    <row r="15990" ht="15.75" hidden="1" customHeight="1">
      <c r="A15990" s="51" t="s">
        <v>293</v>
      </c>
      <c r="B15990" s="52">
        <v>46660.0</v>
      </c>
      <c r="C15990" s="51" t="s">
        <v>780</v>
      </c>
      <c r="D15990" s="51">
        <v>0.0</v>
      </c>
    </row>
    <row r="15991" ht="15.75" hidden="1" customHeight="1">
      <c r="A15991" s="51" t="s">
        <v>298</v>
      </c>
      <c r="B15991" s="52">
        <v>46660.0</v>
      </c>
      <c r="C15991" s="51" t="s">
        <v>780</v>
      </c>
      <c r="D15991" s="51">
        <v>0.0</v>
      </c>
    </row>
    <row r="15992" ht="15.75" hidden="1" customHeight="1">
      <c r="A15992" s="51" t="s">
        <v>303</v>
      </c>
      <c r="B15992" s="52">
        <v>46660.0</v>
      </c>
      <c r="C15992" s="51" t="s">
        <v>780</v>
      </c>
      <c r="D15992" s="51">
        <v>0.0</v>
      </c>
    </row>
    <row r="15993" ht="15.75" hidden="1" customHeight="1">
      <c r="A15993" s="51" t="s">
        <v>307</v>
      </c>
      <c r="B15993" s="52">
        <v>46660.0</v>
      </c>
      <c r="C15993" s="51" t="s">
        <v>780</v>
      </c>
      <c r="D15993" s="51">
        <v>0.0</v>
      </c>
    </row>
    <row r="15994" ht="15.75" hidden="1" customHeight="1">
      <c r="A15994" s="51" t="s">
        <v>313</v>
      </c>
      <c r="B15994" s="52">
        <v>46660.0</v>
      </c>
      <c r="C15994" s="51" t="s">
        <v>780</v>
      </c>
      <c r="D15994" s="51">
        <v>0.0</v>
      </c>
    </row>
    <row r="15995" ht="15.75" hidden="1" customHeight="1">
      <c r="A15995" s="51" t="s">
        <v>318</v>
      </c>
      <c r="B15995" s="52">
        <v>46660.0</v>
      </c>
      <c r="C15995" s="51" t="s">
        <v>780</v>
      </c>
      <c r="D15995" s="51">
        <v>0.0</v>
      </c>
    </row>
    <row r="15996" ht="15.75" hidden="1" customHeight="1">
      <c r="A15996" s="51" t="s">
        <v>323</v>
      </c>
      <c r="B15996" s="52">
        <v>46660.0</v>
      </c>
      <c r="C15996" s="51" t="s">
        <v>780</v>
      </c>
      <c r="D15996" s="51">
        <v>0.0</v>
      </c>
    </row>
    <row r="15997" ht="15.75" hidden="1" customHeight="1">
      <c r="A15997" s="51" t="s">
        <v>328</v>
      </c>
      <c r="B15997" s="52">
        <v>46660.0</v>
      </c>
      <c r="C15997" s="51" t="s">
        <v>780</v>
      </c>
      <c r="D15997" s="51">
        <v>0.0</v>
      </c>
    </row>
    <row r="15998" ht="15.75" hidden="1" customHeight="1">
      <c r="A15998" s="51" t="s">
        <v>335</v>
      </c>
      <c r="B15998" s="52">
        <v>46660.0</v>
      </c>
      <c r="C15998" s="51" t="s">
        <v>780</v>
      </c>
      <c r="D15998" s="51">
        <v>0.0</v>
      </c>
    </row>
    <row r="15999" ht="15.75" hidden="1" customHeight="1">
      <c r="A15999" s="51" t="s">
        <v>340</v>
      </c>
      <c r="B15999" s="52">
        <v>46660.0</v>
      </c>
      <c r="C15999" s="51" t="s">
        <v>780</v>
      </c>
      <c r="D15999" s="51">
        <v>0.0</v>
      </c>
    </row>
    <row r="16000" ht="15.75" hidden="1" customHeight="1">
      <c r="A16000" s="51" t="s">
        <v>345</v>
      </c>
      <c r="B16000" s="52">
        <v>46660.0</v>
      </c>
      <c r="C16000" s="51" t="s">
        <v>780</v>
      </c>
      <c r="D16000" s="51">
        <v>0.0</v>
      </c>
    </row>
    <row r="16001" ht="15.75" hidden="1" customHeight="1">
      <c r="A16001" s="51" t="s">
        <v>350</v>
      </c>
      <c r="B16001" s="52">
        <v>46660.0</v>
      </c>
      <c r="C16001" s="51" t="s">
        <v>780</v>
      </c>
      <c r="D16001" s="51">
        <v>0.0</v>
      </c>
    </row>
    <row r="16002" ht="15.75" hidden="1" customHeight="1">
      <c r="A16002" s="51" t="s">
        <v>355</v>
      </c>
      <c r="B16002" s="52">
        <v>46660.0</v>
      </c>
      <c r="C16002" s="51" t="s">
        <v>780</v>
      </c>
      <c r="D16002" s="51">
        <v>0.0</v>
      </c>
    </row>
    <row r="16003" ht="15.75" hidden="1" customHeight="1">
      <c r="A16003" s="51" t="s">
        <v>360</v>
      </c>
      <c r="B16003" s="52">
        <v>46660.0</v>
      </c>
      <c r="C16003" s="51" t="s">
        <v>780</v>
      </c>
      <c r="D16003" s="51">
        <v>0.0</v>
      </c>
    </row>
    <row r="16004" ht="15.75" hidden="1" customHeight="1">
      <c r="A16004" s="51" t="s">
        <v>365</v>
      </c>
      <c r="B16004" s="52">
        <v>46660.0</v>
      </c>
      <c r="C16004" s="51" t="s">
        <v>780</v>
      </c>
      <c r="D16004" s="51">
        <v>0.0</v>
      </c>
    </row>
    <row r="16005" ht="15.75" hidden="1" customHeight="1">
      <c r="A16005" s="51" t="s">
        <v>370</v>
      </c>
      <c r="B16005" s="52">
        <v>46660.0</v>
      </c>
      <c r="C16005" s="51" t="s">
        <v>780</v>
      </c>
      <c r="D16005" s="51">
        <v>0.0</v>
      </c>
    </row>
    <row r="16006" ht="15.75" hidden="1" customHeight="1">
      <c r="A16006" s="51" t="s">
        <v>375</v>
      </c>
      <c r="B16006" s="52">
        <v>46660.0</v>
      </c>
      <c r="C16006" s="51" t="s">
        <v>780</v>
      </c>
      <c r="D16006" s="51">
        <v>0.0</v>
      </c>
    </row>
    <row r="16007" ht="15.75" hidden="1" customHeight="1">
      <c r="A16007" s="51" t="s">
        <v>380</v>
      </c>
      <c r="B16007" s="52">
        <v>46660.0</v>
      </c>
      <c r="C16007" s="51" t="s">
        <v>780</v>
      </c>
      <c r="D16007" s="51">
        <v>0.0</v>
      </c>
    </row>
    <row r="16008" ht="15.75" hidden="1" customHeight="1">
      <c r="A16008" s="51" t="s">
        <v>385</v>
      </c>
      <c r="B16008" s="52">
        <v>46660.0</v>
      </c>
      <c r="C16008" s="51" t="s">
        <v>780</v>
      </c>
      <c r="D16008" s="51">
        <v>0.0</v>
      </c>
    </row>
    <row r="16009" ht="15.75" hidden="1" customHeight="1">
      <c r="A16009" s="51" t="s">
        <v>390</v>
      </c>
      <c r="B16009" s="52">
        <v>46660.0</v>
      </c>
      <c r="C16009" s="51" t="s">
        <v>780</v>
      </c>
      <c r="D16009" s="51">
        <v>0.0</v>
      </c>
    </row>
    <row r="16010" ht="15.75" hidden="1" customHeight="1">
      <c r="A16010" s="51" t="s">
        <v>395</v>
      </c>
      <c r="B16010" s="52">
        <v>46660.0</v>
      </c>
      <c r="C16010" s="51" t="s">
        <v>780</v>
      </c>
      <c r="D16010" s="51">
        <v>0.0</v>
      </c>
    </row>
    <row r="16011" ht="15.75" hidden="1" customHeight="1">
      <c r="A16011" s="51" t="s">
        <v>400</v>
      </c>
      <c r="B16011" s="52">
        <v>46660.0</v>
      </c>
      <c r="C16011" s="51" t="s">
        <v>780</v>
      </c>
      <c r="D16011" s="51">
        <v>0.0</v>
      </c>
    </row>
    <row r="16012" ht="15.75" hidden="1" customHeight="1">
      <c r="A16012" s="51" t="s">
        <v>405</v>
      </c>
      <c r="B16012" s="52">
        <v>46660.0</v>
      </c>
      <c r="C16012" s="51" t="s">
        <v>780</v>
      </c>
      <c r="D16012" s="51">
        <v>0.0</v>
      </c>
    </row>
    <row r="16013" ht="15.75" hidden="1" customHeight="1">
      <c r="A16013" s="51" t="s">
        <v>410</v>
      </c>
      <c r="B16013" s="52">
        <v>46660.0</v>
      </c>
      <c r="C16013" s="51" t="s">
        <v>780</v>
      </c>
      <c r="D16013" s="51">
        <v>0.0</v>
      </c>
    </row>
    <row r="16014" ht="15.75" hidden="1" customHeight="1">
      <c r="A16014" s="51" t="s">
        <v>415</v>
      </c>
      <c r="B16014" s="52">
        <v>46660.0</v>
      </c>
      <c r="C16014" s="51" t="s">
        <v>780</v>
      </c>
      <c r="D16014" s="51">
        <v>0.0</v>
      </c>
    </row>
    <row r="16015" ht="15.75" hidden="1" customHeight="1">
      <c r="A16015" s="51" t="s">
        <v>420</v>
      </c>
      <c r="B16015" s="52">
        <v>46660.0</v>
      </c>
      <c r="C16015" s="51" t="s">
        <v>780</v>
      </c>
      <c r="D16015" s="51">
        <v>0.0</v>
      </c>
    </row>
    <row r="16016" ht="15.75" hidden="1" customHeight="1">
      <c r="A16016" s="51" t="s">
        <v>425</v>
      </c>
      <c r="B16016" s="52">
        <v>46660.0</v>
      </c>
      <c r="C16016" s="51" t="s">
        <v>780</v>
      </c>
      <c r="D16016" s="51">
        <v>0.0</v>
      </c>
    </row>
    <row r="16017" ht="15.75" hidden="1" customHeight="1">
      <c r="A16017" s="51" t="s">
        <v>430</v>
      </c>
      <c r="B16017" s="52">
        <v>46660.0</v>
      </c>
      <c r="C16017" s="51" t="s">
        <v>780</v>
      </c>
      <c r="D16017" s="51">
        <v>0.0</v>
      </c>
    </row>
    <row r="16018" ht="15.75" hidden="1" customHeight="1">
      <c r="A16018" s="51" t="s">
        <v>434</v>
      </c>
      <c r="B16018" s="52">
        <v>46660.0</v>
      </c>
      <c r="C16018" s="51" t="s">
        <v>780</v>
      </c>
      <c r="D16018" s="51">
        <v>0.0</v>
      </c>
    </row>
    <row r="16019" ht="15.75" hidden="1" customHeight="1">
      <c r="A16019" s="51" t="s">
        <v>439</v>
      </c>
      <c r="B16019" s="52">
        <v>46660.0</v>
      </c>
      <c r="C16019" s="51" t="s">
        <v>780</v>
      </c>
      <c r="D16019" s="51">
        <v>0.0</v>
      </c>
    </row>
    <row r="16020" ht="15.75" hidden="1" customHeight="1">
      <c r="A16020" s="51" t="s">
        <v>444</v>
      </c>
      <c r="B16020" s="52">
        <v>46660.0</v>
      </c>
      <c r="C16020" s="51" t="s">
        <v>780</v>
      </c>
      <c r="D16020" s="51">
        <v>0.0</v>
      </c>
    </row>
    <row r="16021" ht="15.75" hidden="1" customHeight="1">
      <c r="A16021" s="51" t="s">
        <v>449</v>
      </c>
      <c r="B16021" s="52">
        <v>46660.0</v>
      </c>
      <c r="C16021" s="51" t="s">
        <v>780</v>
      </c>
      <c r="D16021" s="51">
        <v>0.0</v>
      </c>
    </row>
    <row r="16022" ht="15.75" hidden="1" customHeight="1">
      <c r="A16022" s="51" t="s">
        <v>455</v>
      </c>
      <c r="B16022" s="52">
        <v>46660.0</v>
      </c>
      <c r="C16022" s="51" t="s">
        <v>780</v>
      </c>
      <c r="D16022" s="51">
        <v>0.0</v>
      </c>
    </row>
    <row r="16023" ht="15.75" hidden="1" customHeight="1">
      <c r="A16023" s="51" t="s">
        <v>470</v>
      </c>
      <c r="B16023" s="52">
        <v>46660.0</v>
      </c>
      <c r="C16023" s="51" t="s">
        <v>780</v>
      </c>
      <c r="D16023" s="51">
        <v>0.0</v>
      </c>
    </row>
    <row r="16024" ht="15.75" hidden="1" customHeight="1">
      <c r="A16024" s="51" t="s">
        <v>476</v>
      </c>
      <c r="B16024" s="52">
        <v>46660.0</v>
      </c>
      <c r="C16024" s="51" t="s">
        <v>780</v>
      </c>
      <c r="D16024" s="51">
        <v>0.0</v>
      </c>
    </row>
    <row r="16025" ht="15.75" hidden="1" customHeight="1">
      <c r="A16025" s="51" t="s">
        <v>481</v>
      </c>
      <c r="B16025" s="52">
        <v>46660.0</v>
      </c>
      <c r="C16025" s="51" t="s">
        <v>780</v>
      </c>
      <c r="D16025" s="51">
        <v>0.0</v>
      </c>
    </row>
    <row r="16026" ht="15.75" hidden="1" customHeight="1">
      <c r="A16026" s="51" t="s">
        <v>486</v>
      </c>
      <c r="B16026" s="52">
        <v>46660.0</v>
      </c>
      <c r="C16026" s="51" t="s">
        <v>780</v>
      </c>
      <c r="D16026" s="51">
        <v>0.0</v>
      </c>
    </row>
    <row r="16027" ht="15.75" hidden="1" customHeight="1">
      <c r="A16027" s="51" t="s">
        <v>491</v>
      </c>
      <c r="B16027" s="52">
        <v>46660.0</v>
      </c>
      <c r="C16027" s="51" t="s">
        <v>780</v>
      </c>
      <c r="D16027" s="51">
        <v>0.0</v>
      </c>
    </row>
    <row r="16028" ht="15.75" hidden="1" customHeight="1">
      <c r="A16028" s="51" t="s">
        <v>496</v>
      </c>
      <c r="B16028" s="52">
        <v>46660.0</v>
      </c>
      <c r="C16028" s="51" t="s">
        <v>780</v>
      </c>
      <c r="D16028" s="51">
        <v>0.0</v>
      </c>
    </row>
    <row r="16029" ht="15.75" hidden="1" customHeight="1">
      <c r="A16029" s="51" t="s">
        <v>501</v>
      </c>
      <c r="B16029" s="52">
        <v>46660.0</v>
      </c>
      <c r="C16029" s="51" t="s">
        <v>780</v>
      </c>
      <c r="D16029" s="51">
        <v>0.0</v>
      </c>
    </row>
    <row r="16030" ht="15.75" hidden="1" customHeight="1">
      <c r="A16030" s="51" t="s">
        <v>506</v>
      </c>
      <c r="B16030" s="52">
        <v>46660.0</v>
      </c>
      <c r="C16030" s="51" t="s">
        <v>780</v>
      </c>
      <c r="D16030" s="51">
        <v>0.0</v>
      </c>
    </row>
    <row r="16031" ht="15.75" hidden="1" customHeight="1">
      <c r="A16031" s="51" t="s">
        <v>512</v>
      </c>
      <c r="B16031" s="52">
        <v>46660.0</v>
      </c>
      <c r="C16031" s="51" t="s">
        <v>780</v>
      </c>
      <c r="D16031" s="51">
        <v>0.0</v>
      </c>
    </row>
    <row r="16032" ht="15.75" hidden="1" customHeight="1">
      <c r="A16032" s="51" t="s">
        <v>517</v>
      </c>
      <c r="B16032" s="52">
        <v>46660.0</v>
      </c>
      <c r="C16032" s="51" t="s">
        <v>780</v>
      </c>
      <c r="D16032" s="51">
        <v>0.0</v>
      </c>
    </row>
    <row r="16033" ht="15.75" hidden="1" customHeight="1">
      <c r="A16033" s="51" t="s">
        <v>522</v>
      </c>
      <c r="B16033" s="52">
        <v>46660.0</v>
      </c>
      <c r="C16033" s="51" t="s">
        <v>780</v>
      </c>
      <c r="D16033" s="51">
        <v>0.0</v>
      </c>
    </row>
    <row r="16034" ht="15.75" hidden="1" customHeight="1">
      <c r="A16034" s="51" t="s">
        <v>528</v>
      </c>
      <c r="B16034" s="52">
        <v>46660.0</v>
      </c>
      <c r="C16034" s="51" t="s">
        <v>780</v>
      </c>
      <c r="D16034" s="51">
        <v>0.0</v>
      </c>
    </row>
    <row r="16035" ht="15.75" hidden="1" customHeight="1">
      <c r="A16035" s="51" t="s">
        <v>533</v>
      </c>
      <c r="B16035" s="52">
        <v>46660.0</v>
      </c>
      <c r="C16035" s="51" t="s">
        <v>780</v>
      </c>
      <c r="D16035" s="51">
        <v>0.0</v>
      </c>
    </row>
    <row r="16036" ht="15.75" hidden="1" customHeight="1">
      <c r="A16036" s="51" t="s">
        <v>538</v>
      </c>
      <c r="B16036" s="52">
        <v>46660.0</v>
      </c>
      <c r="C16036" s="51" t="s">
        <v>780</v>
      </c>
      <c r="D16036" s="51">
        <v>0.0</v>
      </c>
    </row>
    <row r="16037" ht="15.75" hidden="1" customHeight="1">
      <c r="A16037" s="51" t="s">
        <v>546</v>
      </c>
      <c r="B16037" s="52">
        <v>46660.0</v>
      </c>
      <c r="C16037" s="51" t="s">
        <v>780</v>
      </c>
      <c r="D16037" s="51">
        <v>0.0</v>
      </c>
    </row>
    <row r="16038" ht="15.75" hidden="1" customHeight="1">
      <c r="A16038" s="51" t="s">
        <v>551</v>
      </c>
      <c r="B16038" s="52">
        <v>46660.0</v>
      </c>
      <c r="C16038" s="51" t="s">
        <v>780</v>
      </c>
      <c r="D16038" s="51">
        <v>0.0</v>
      </c>
    </row>
    <row r="16039" ht="15.75" hidden="1" customHeight="1">
      <c r="A16039" s="51" t="s">
        <v>556</v>
      </c>
      <c r="B16039" s="52">
        <v>46660.0</v>
      </c>
      <c r="C16039" s="51" t="s">
        <v>780</v>
      </c>
      <c r="D16039" s="51">
        <v>0.0</v>
      </c>
    </row>
    <row r="16040" ht="15.75" hidden="1" customHeight="1">
      <c r="A16040" s="51" t="s">
        <v>561</v>
      </c>
      <c r="B16040" s="52">
        <v>46660.0</v>
      </c>
      <c r="C16040" s="51" t="s">
        <v>780</v>
      </c>
      <c r="D16040" s="51">
        <v>0.0</v>
      </c>
    </row>
    <row r="16041" ht="15.75" hidden="1" customHeight="1">
      <c r="A16041" s="51" t="s">
        <v>566</v>
      </c>
      <c r="B16041" s="52">
        <v>46660.0</v>
      </c>
      <c r="C16041" s="51" t="s">
        <v>780</v>
      </c>
      <c r="D16041" s="51">
        <v>0.0</v>
      </c>
    </row>
    <row r="16042" ht="15.75" hidden="1" customHeight="1">
      <c r="A16042" s="51" t="s">
        <v>571</v>
      </c>
      <c r="B16042" s="52">
        <v>46660.0</v>
      </c>
      <c r="C16042" s="51" t="s">
        <v>780</v>
      </c>
      <c r="D16042" s="51">
        <v>0.0</v>
      </c>
    </row>
    <row r="16043" ht="15.75" hidden="1" customHeight="1">
      <c r="A16043" s="51" t="s">
        <v>576</v>
      </c>
      <c r="B16043" s="52">
        <v>46660.0</v>
      </c>
      <c r="C16043" s="51" t="s">
        <v>780</v>
      </c>
      <c r="D16043" s="51">
        <v>0.0</v>
      </c>
    </row>
    <row r="16044" ht="15.75" hidden="1" customHeight="1">
      <c r="A16044" s="51" t="s">
        <v>581</v>
      </c>
      <c r="B16044" s="52">
        <v>46660.0</v>
      </c>
      <c r="C16044" s="51" t="s">
        <v>780</v>
      </c>
      <c r="D16044" s="51">
        <v>0.0</v>
      </c>
    </row>
    <row r="16045" ht="15.75" hidden="1" customHeight="1">
      <c r="A16045" s="51" t="s">
        <v>586</v>
      </c>
      <c r="B16045" s="52">
        <v>46660.0</v>
      </c>
      <c r="C16045" s="51" t="s">
        <v>780</v>
      </c>
      <c r="D16045" s="51">
        <v>0.0</v>
      </c>
    </row>
    <row r="16046" ht="15.75" hidden="1" customHeight="1">
      <c r="A16046" s="51" t="s">
        <v>754</v>
      </c>
      <c r="B16046" s="52">
        <v>46660.0</v>
      </c>
      <c r="C16046" s="51" t="s">
        <v>780</v>
      </c>
      <c r="D16046" s="51">
        <v>0.0</v>
      </c>
    </row>
    <row r="16047" ht="15.75" hidden="1" customHeight="1">
      <c r="A16047" s="51" t="s">
        <v>591</v>
      </c>
      <c r="B16047" s="52">
        <v>46660.0</v>
      </c>
      <c r="C16047" s="51" t="s">
        <v>780</v>
      </c>
      <c r="D16047" s="51">
        <v>0.0</v>
      </c>
    </row>
    <row r="16048" ht="15.75" hidden="1" customHeight="1">
      <c r="A16048" s="51" t="s">
        <v>759</v>
      </c>
      <c r="B16048" s="52">
        <v>46660.0</v>
      </c>
      <c r="C16048" s="51" t="s">
        <v>780</v>
      </c>
      <c r="D16048" s="51">
        <v>0.0</v>
      </c>
    </row>
    <row r="16049" ht="15.75" hidden="1" customHeight="1">
      <c r="A16049" s="51" t="s">
        <v>596</v>
      </c>
      <c r="B16049" s="52">
        <v>46660.0</v>
      </c>
      <c r="C16049" s="51" t="s">
        <v>780</v>
      </c>
      <c r="D16049" s="51">
        <v>0.0</v>
      </c>
    </row>
    <row r="16050" ht="15.75" hidden="1" customHeight="1">
      <c r="A16050" s="51" t="s">
        <v>602</v>
      </c>
      <c r="B16050" s="52">
        <v>46660.0</v>
      </c>
      <c r="C16050" s="51" t="s">
        <v>780</v>
      </c>
      <c r="D16050" s="51">
        <v>0.0</v>
      </c>
    </row>
    <row r="16051" ht="15.75" hidden="1" customHeight="1">
      <c r="A16051" s="51" t="s">
        <v>607</v>
      </c>
      <c r="B16051" s="52">
        <v>46660.0</v>
      </c>
      <c r="C16051" s="51" t="s">
        <v>780</v>
      </c>
      <c r="D16051" s="51">
        <v>0.0</v>
      </c>
    </row>
    <row r="16052" ht="15.75" hidden="1" customHeight="1">
      <c r="A16052" s="51" t="s">
        <v>612</v>
      </c>
      <c r="B16052" s="52">
        <v>46660.0</v>
      </c>
      <c r="C16052" s="51" t="s">
        <v>780</v>
      </c>
      <c r="D16052" s="51">
        <v>0.0</v>
      </c>
    </row>
    <row r="16053" ht="15.75" hidden="1" customHeight="1">
      <c r="A16053" s="51" t="s">
        <v>617</v>
      </c>
      <c r="B16053" s="52">
        <v>46660.0</v>
      </c>
      <c r="C16053" s="51" t="s">
        <v>780</v>
      </c>
      <c r="D16053" s="51">
        <v>0.0</v>
      </c>
    </row>
    <row r="16054" ht="15.75" hidden="1" customHeight="1">
      <c r="A16054" s="51" t="s">
        <v>622</v>
      </c>
      <c r="B16054" s="52">
        <v>46660.0</v>
      </c>
      <c r="C16054" s="51" t="s">
        <v>780</v>
      </c>
      <c r="D16054" s="51">
        <v>0.0</v>
      </c>
    </row>
    <row r="16055" ht="15.75" hidden="1" customHeight="1">
      <c r="A16055" s="51" t="s">
        <v>627</v>
      </c>
      <c r="B16055" s="52">
        <v>46660.0</v>
      </c>
      <c r="C16055" s="51" t="s">
        <v>780</v>
      </c>
      <c r="D16055" s="51">
        <v>0.0</v>
      </c>
    </row>
    <row r="16056" ht="15.75" hidden="1" customHeight="1">
      <c r="A16056" s="51" t="s">
        <v>631</v>
      </c>
      <c r="B16056" s="52">
        <v>46660.0</v>
      </c>
      <c r="C16056" s="51" t="s">
        <v>780</v>
      </c>
      <c r="D16056" s="51">
        <v>0.0</v>
      </c>
    </row>
    <row r="16057" ht="15.75" hidden="1" customHeight="1">
      <c r="A16057" s="51" t="s">
        <v>636</v>
      </c>
      <c r="B16057" s="52">
        <v>46660.0</v>
      </c>
      <c r="C16057" s="51" t="s">
        <v>780</v>
      </c>
      <c r="D16057" s="51">
        <v>0.0</v>
      </c>
    </row>
    <row r="16058" ht="15.75" hidden="1" customHeight="1">
      <c r="A16058" s="51" t="s">
        <v>640</v>
      </c>
      <c r="B16058" s="52">
        <v>46660.0</v>
      </c>
      <c r="C16058" s="51" t="s">
        <v>780</v>
      </c>
      <c r="D16058" s="51">
        <v>0.0</v>
      </c>
    </row>
    <row r="16059" ht="15.75" hidden="1" customHeight="1">
      <c r="A16059" s="51" t="s">
        <v>644</v>
      </c>
      <c r="B16059" s="52">
        <v>46660.0</v>
      </c>
      <c r="C16059" s="51" t="s">
        <v>780</v>
      </c>
      <c r="D16059" s="51">
        <v>0.0</v>
      </c>
    </row>
    <row r="16060" ht="15.75" hidden="1" customHeight="1">
      <c r="A16060" s="51" t="s">
        <v>649</v>
      </c>
      <c r="B16060" s="52">
        <v>46660.0</v>
      </c>
      <c r="C16060" s="51" t="s">
        <v>780</v>
      </c>
      <c r="D16060" s="51">
        <v>0.0</v>
      </c>
    </row>
    <row r="16061" ht="15.75" hidden="1" customHeight="1">
      <c r="A16061" s="51" t="s">
        <v>654</v>
      </c>
      <c r="B16061" s="52">
        <v>46660.0</v>
      </c>
      <c r="C16061" s="51" t="s">
        <v>780</v>
      </c>
      <c r="D16061" s="51">
        <v>0.0</v>
      </c>
    </row>
    <row r="16062" ht="15.75" hidden="1" customHeight="1">
      <c r="A16062" s="51" t="s">
        <v>659</v>
      </c>
      <c r="B16062" s="52">
        <v>46660.0</v>
      </c>
      <c r="C16062" s="51" t="s">
        <v>780</v>
      </c>
      <c r="D16062" s="51">
        <v>0.0</v>
      </c>
    </row>
    <row r="16063" ht="15.75" hidden="1" customHeight="1">
      <c r="A16063" s="51" t="s">
        <v>664</v>
      </c>
      <c r="B16063" s="52">
        <v>46660.0</v>
      </c>
      <c r="C16063" s="51" t="s">
        <v>780</v>
      </c>
      <c r="D16063" s="51">
        <v>0.0</v>
      </c>
    </row>
    <row r="16064" ht="15.75" hidden="1" customHeight="1">
      <c r="A16064" s="51" t="s">
        <v>669</v>
      </c>
      <c r="B16064" s="52">
        <v>46660.0</v>
      </c>
      <c r="C16064" s="51" t="s">
        <v>780</v>
      </c>
      <c r="D16064" s="51">
        <v>0.0</v>
      </c>
    </row>
    <row r="16065" ht="15.75" hidden="1" customHeight="1">
      <c r="A16065" s="51" t="s">
        <v>674</v>
      </c>
      <c r="B16065" s="52">
        <v>46660.0</v>
      </c>
      <c r="C16065" s="51" t="s">
        <v>780</v>
      </c>
      <c r="D16065" s="51">
        <v>0.0</v>
      </c>
    </row>
    <row r="16066" ht="15.75" hidden="1" customHeight="1">
      <c r="A16066" s="51" t="s">
        <v>679</v>
      </c>
      <c r="B16066" s="52">
        <v>46660.0</v>
      </c>
      <c r="C16066" s="51" t="s">
        <v>780</v>
      </c>
      <c r="D16066" s="51">
        <v>0.0</v>
      </c>
    </row>
    <row r="16067" ht="15.75" hidden="1" customHeight="1">
      <c r="A16067" s="51" t="s">
        <v>684</v>
      </c>
      <c r="B16067" s="52">
        <v>46660.0</v>
      </c>
      <c r="C16067" s="51" t="s">
        <v>780</v>
      </c>
      <c r="D16067" s="51">
        <v>0.0</v>
      </c>
    </row>
    <row r="16068" ht="15.75" hidden="1" customHeight="1">
      <c r="A16068" s="51" t="s">
        <v>689</v>
      </c>
      <c r="B16068" s="52">
        <v>46660.0</v>
      </c>
      <c r="C16068" s="51" t="s">
        <v>780</v>
      </c>
      <c r="D16068" s="51">
        <v>0.0</v>
      </c>
    </row>
    <row r="16069" ht="15.75" hidden="1" customHeight="1">
      <c r="A16069" s="51" t="s">
        <v>694</v>
      </c>
      <c r="B16069" s="52">
        <v>46660.0</v>
      </c>
      <c r="C16069" s="51" t="s">
        <v>780</v>
      </c>
      <c r="D16069" s="51">
        <v>0.0</v>
      </c>
    </row>
    <row r="16070" ht="15.75" hidden="1" customHeight="1">
      <c r="A16070" s="51" t="s">
        <v>699</v>
      </c>
      <c r="B16070" s="52">
        <v>46660.0</v>
      </c>
      <c r="C16070" s="51" t="s">
        <v>780</v>
      </c>
      <c r="D16070" s="51">
        <v>0.0</v>
      </c>
    </row>
    <row r="16071" ht="15.75" hidden="1" customHeight="1">
      <c r="A16071" s="51" t="s">
        <v>705</v>
      </c>
      <c r="B16071" s="52">
        <v>46660.0</v>
      </c>
      <c r="C16071" s="51" t="s">
        <v>780</v>
      </c>
      <c r="D16071" s="51">
        <v>0.0</v>
      </c>
    </row>
    <row r="16072" ht="15.75" hidden="1" customHeight="1">
      <c r="A16072" s="51" t="s">
        <v>710</v>
      </c>
      <c r="B16072" s="52">
        <v>46660.0</v>
      </c>
      <c r="C16072" s="51" t="s">
        <v>780</v>
      </c>
      <c r="D16072" s="51">
        <v>0.0</v>
      </c>
    </row>
    <row r="16073" ht="15.75" hidden="1" customHeight="1">
      <c r="A16073" s="51" t="s">
        <v>715</v>
      </c>
      <c r="B16073" s="52">
        <v>46660.0</v>
      </c>
      <c r="C16073" s="51" t="s">
        <v>780</v>
      </c>
      <c r="D16073" s="51">
        <v>0.0</v>
      </c>
    </row>
    <row r="16074" ht="15.75" hidden="1" customHeight="1">
      <c r="A16074" s="51" t="s">
        <v>765</v>
      </c>
      <c r="B16074" s="52">
        <v>46660.0</v>
      </c>
      <c r="C16074" s="51" t="s">
        <v>780</v>
      </c>
      <c r="D16074" s="51">
        <v>0.0</v>
      </c>
    </row>
    <row r="16075" ht="15.75" hidden="1" customHeight="1">
      <c r="A16075" s="51" t="s">
        <v>720</v>
      </c>
      <c r="B16075" s="52">
        <v>46660.0</v>
      </c>
      <c r="C16075" s="51" t="s">
        <v>780</v>
      </c>
      <c r="D16075" s="51">
        <v>0.0</v>
      </c>
    </row>
    <row r="16076" ht="15.75" hidden="1" customHeight="1">
      <c r="A16076" s="51" t="s">
        <v>725</v>
      </c>
      <c r="B16076" s="52">
        <v>46660.0</v>
      </c>
      <c r="C16076" s="51" t="s">
        <v>780</v>
      </c>
      <c r="D16076" s="51">
        <v>0.0</v>
      </c>
    </row>
    <row r="16077" ht="15.75" hidden="1" customHeight="1">
      <c r="A16077" s="51" t="s">
        <v>730</v>
      </c>
      <c r="B16077" s="52">
        <v>46660.0</v>
      </c>
      <c r="C16077" s="51" t="s">
        <v>780</v>
      </c>
      <c r="D16077" s="51">
        <v>0.0</v>
      </c>
    </row>
    <row r="16078" ht="15.75" hidden="1" customHeight="1">
      <c r="A16078" s="51" t="s">
        <v>734</v>
      </c>
      <c r="B16078" s="52">
        <v>46660.0</v>
      </c>
      <c r="C16078" s="51" t="s">
        <v>780</v>
      </c>
      <c r="D16078" s="51">
        <v>0.0</v>
      </c>
    </row>
    <row r="16079" ht="15.75" hidden="1" customHeight="1">
      <c r="A16079" s="51" t="s">
        <v>739</v>
      </c>
      <c r="B16079" s="52">
        <v>46660.0</v>
      </c>
      <c r="C16079" s="51" t="s">
        <v>780</v>
      </c>
      <c r="D16079" s="51">
        <v>0.0</v>
      </c>
    </row>
    <row r="16080" ht="15.75" hidden="1" customHeight="1">
      <c r="A16080" s="51" t="s">
        <v>744</v>
      </c>
      <c r="B16080" s="52">
        <v>46660.0</v>
      </c>
      <c r="C16080" s="51" t="s">
        <v>780</v>
      </c>
      <c r="D16080" s="51">
        <v>0.0</v>
      </c>
    </row>
    <row r="16081" ht="15.75" hidden="1" customHeight="1">
      <c r="A16081" s="51" t="s">
        <v>749</v>
      </c>
      <c r="B16081" s="52">
        <v>46660.0</v>
      </c>
      <c r="C16081" s="51" t="s">
        <v>780</v>
      </c>
      <c r="D16081" s="51">
        <v>0.0</v>
      </c>
    </row>
  </sheetData>
  <autoFilter ref="$A$1:$D$16081">
    <filterColumn colId="0">
      <filters>
        <filter val="2ADP001"/>
      </filters>
    </filterColumn>
  </autoFilter>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F0D9"/>
    <pageSetUpPr/>
  </sheetPr>
  <sheetViews>
    <sheetView workbookViewId="0">
      <pane xSplit="17.0" ySplit="14.0" topLeftCell="R15" activePane="bottomRight" state="frozen"/>
      <selection activeCell="R1" sqref="R1" pane="topRight"/>
      <selection activeCell="A15" sqref="A15" pane="bottomLeft"/>
      <selection activeCell="R15" sqref="R15" pane="bottomRight"/>
    </sheetView>
  </sheetViews>
  <sheetFormatPr customHeight="1" defaultColWidth="14.43" defaultRowHeight="15.0" outlineLevelCol="2"/>
  <cols>
    <col customWidth="1" min="1" max="1" width="9.57"/>
    <col customWidth="1" min="2" max="2" width="9.86"/>
    <col customWidth="1" min="3" max="3" width="15.14"/>
    <col customWidth="1" min="4" max="4" width="8.43" outlineLevel="1"/>
    <col customWidth="1" min="5" max="5" width="21.71" outlineLevel="1"/>
    <col customWidth="1" min="6" max="6" width="11.57"/>
    <col customWidth="1" hidden="1" min="7" max="7" width="42.43" outlineLevel="1"/>
    <col customWidth="1" hidden="1" min="8" max="8" width="9.57" outlineLevel="1"/>
    <col customWidth="1" min="9" max="9" width="16.0"/>
    <col customWidth="1" min="10" max="10" width="5.57"/>
    <col customWidth="1" min="11" max="11" width="11.0" outlineLevel="1"/>
    <col customWidth="1" min="12" max="12" width="15.57"/>
    <col customWidth="1" min="13" max="13" width="13.57"/>
    <col customWidth="1" min="14" max="14" width="21.43"/>
    <col customWidth="1" min="15" max="15" width="1.57"/>
    <col customWidth="1" hidden="1" min="16" max="16" width="14.57" outlineLevel="1"/>
    <col customWidth="1" hidden="1" min="17" max="17" width="13.57" outlineLevel="1"/>
    <col customWidth="1" min="18" max="18" width="14.71"/>
    <col customWidth="1" min="19" max="19" width="12.43" outlineLevel="1"/>
    <col customWidth="1" min="20" max="21" width="13.57" outlineLevel="1"/>
    <col customWidth="1" min="22" max="22" width="12.43" outlineLevel="1"/>
    <col customWidth="1" min="23" max="23" width="13.57" outlineLevel="1"/>
    <col customWidth="1" min="24" max="24" width="13.57"/>
    <col customWidth="1" min="25" max="25" width="13.57" outlineLevel="1"/>
    <col customWidth="1" min="26" max="26" width="12.43" outlineLevel="1"/>
    <col customWidth="1" min="27" max="27" width="15.29" outlineLevel="1"/>
    <col customWidth="1" min="28" max="28" width="14.14" outlineLevel="1"/>
    <col customWidth="1" min="29" max="29" width="13.57"/>
    <col customWidth="1" min="30" max="30" width="18.0" outlineLevel="1"/>
    <col customWidth="1" min="31" max="31" width="13.57" outlineLevel="1"/>
    <col customWidth="1" min="32" max="34" width="12.43" outlineLevel="1"/>
    <col customWidth="1" min="35" max="35" width="13.57"/>
    <col customWidth="1" min="36" max="36" width="13.57" outlineLevel="1"/>
    <col customWidth="1" min="37" max="37" width="12.0" outlineLevel="1"/>
    <col customWidth="1" min="38" max="39" width="13.57" outlineLevel="1"/>
    <col customWidth="1" min="40" max="41" width="12.43" outlineLevel="1"/>
    <col customWidth="1" min="42" max="42" width="13.57"/>
    <col customWidth="1" hidden="1" min="43" max="43" width="13.57" outlineLevel="1"/>
    <col customWidth="1" hidden="1" min="44" max="45" width="12.43" outlineLevel="1"/>
    <col customWidth="1" hidden="1" min="46" max="46" width="13.57" outlineLevel="1"/>
    <col customWidth="1" hidden="1" min="47" max="48" width="12.43" outlineLevel="1"/>
    <col customWidth="1" hidden="1" min="49" max="49" width="12.43" outlineLevel="2"/>
    <col customWidth="1" min="50" max="50" width="13.57"/>
    <col customWidth="1" min="51" max="51" width="12.43"/>
    <col customWidth="1" min="52" max="54" width="4.71" outlineLevel="1"/>
    <col customWidth="1" min="55" max="55" width="4.71" outlineLevel="2"/>
    <col customWidth="1" min="56" max="56" width="12.43"/>
    <col customWidth="1" min="57" max="57" width="2.86"/>
    <col customWidth="1" min="58" max="59" width="14.57"/>
    <col customWidth="1" min="60" max="60" width="12.43"/>
    <col customWidth="1" min="61" max="61" width="28.29"/>
  </cols>
  <sheetData>
    <row r="1" ht="12.75" customHeight="1">
      <c r="A1" s="1" t="s">
        <v>0</v>
      </c>
      <c r="B1" s="1"/>
      <c r="C1" s="11"/>
      <c r="D1" s="53"/>
      <c r="E1" s="2"/>
      <c r="F1" s="2"/>
      <c r="G1" s="2"/>
      <c r="H1" s="54"/>
      <c r="I1" s="4"/>
      <c r="J1" s="2"/>
      <c r="K1" s="2"/>
      <c r="L1" s="5"/>
      <c r="M1" s="5"/>
      <c r="N1" s="55" t="s">
        <v>781</v>
      </c>
      <c r="O1" s="5"/>
      <c r="P1" s="5"/>
      <c r="Q1" s="5"/>
      <c r="R1" s="2"/>
      <c r="S1" s="2"/>
      <c r="T1" s="2"/>
      <c r="U1" s="2"/>
      <c r="V1" s="2"/>
      <c r="W1" s="2"/>
      <c r="X1" s="6"/>
      <c r="Y1" s="2"/>
      <c r="Z1" s="2"/>
      <c r="AA1" s="2"/>
      <c r="AB1" s="2"/>
      <c r="AC1" s="6"/>
      <c r="AD1" s="2"/>
      <c r="AE1" s="2"/>
      <c r="AF1" s="2"/>
      <c r="AG1" s="2"/>
      <c r="AH1" s="2"/>
      <c r="AI1" s="6"/>
      <c r="AJ1" s="2"/>
      <c r="AK1" s="56"/>
      <c r="AL1" s="2"/>
      <c r="AM1" s="2"/>
      <c r="AN1" s="2"/>
      <c r="AO1" s="2"/>
      <c r="AP1" s="6"/>
      <c r="AQ1" s="2"/>
      <c r="AR1" s="2"/>
      <c r="AS1" s="2"/>
      <c r="AT1" s="2"/>
      <c r="AU1" s="2"/>
      <c r="AV1" s="2"/>
      <c r="AW1" s="2"/>
      <c r="AX1" s="6"/>
      <c r="AY1" s="2"/>
      <c r="AZ1" s="2"/>
      <c r="BA1" s="2"/>
      <c r="BB1" s="2"/>
      <c r="BC1" s="2"/>
      <c r="BD1" s="6"/>
      <c r="BE1" s="2"/>
      <c r="BF1" s="57"/>
      <c r="BG1" s="58"/>
      <c r="BH1" s="6"/>
      <c r="BI1" s="2"/>
    </row>
    <row r="2" ht="12.75" customHeight="1">
      <c r="A2" s="1" t="s">
        <v>1</v>
      </c>
      <c r="B2" s="1"/>
      <c r="C2" s="11"/>
      <c r="D2" s="53"/>
      <c r="E2" s="2"/>
      <c r="F2" s="2"/>
      <c r="G2" s="2"/>
      <c r="H2" s="54"/>
      <c r="I2" s="4"/>
      <c r="J2" s="2"/>
      <c r="K2" s="2"/>
      <c r="L2" s="59" t="s">
        <v>782</v>
      </c>
      <c r="M2" s="60">
        <f>L108-SUM(N108:N119)</f>
        <v>135558</v>
      </c>
      <c r="N2" s="61" t="s">
        <v>783</v>
      </c>
      <c r="O2" s="62"/>
      <c r="P2" s="5"/>
      <c r="Q2" s="5"/>
      <c r="R2" s="6"/>
      <c r="S2" s="2"/>
      <c r="T2" s="2"/>
      <c r="U2" s="2"/>
      <c r="V2" s="2"/>
      <c r="W2" s="2"/>
      <c r="X2" s="6"/>
      <c r="Y2" s="2"/>
      <c r="Z2" s="2"/>
      <c r="AA2" s="2"/>
      <c r="AB2" s="2"/>
      <c r="AC2" s="6"/>
      <c r="AD2" s="2"/>
      <c r="AE2" s="2"/>
      <c r="AF2" s="2"/>
      <c r="AG2" s="2"/>
      <c r="AH2" s="2"/>
      <c r="AI2" s="6"/>
      <c r="AJ2" s="2"/>
      <c r="AK2" s="56"/>
      <c r="AL2" s="2"/>
      <c r="AM2" s="2"/>
      <c r="AN2" s="2"/>
      <c r="AO2" s="2"/>
      <c r="AP2" s="46"/>
      <c r="AQ2" s="2"/>
      <c r="AR2" s="2"/>
      <c r="AS2" s="2"/>
      <c r="AT2" s="2"/>
      <c r="AU2" s="2"/>
      <c r="AV2" s="2"/>
      <c r="AW2" s="2"/>
      <c r="AX2" s="46"/>
      <c r="AY2" s="2"/>
      <c r="AZ2" s="2"/>
      <c r="BA2" s="2"/>
      <c r="BB2" s="2"/>
      <c r="BC2" s="2"/>
      <c r="BD2" s="46"/>
      <c r="BE2" s="2"/>
      <c r="BF2" s="6"/>
      <c r="BG2" s="58"/>
      <c r="BH2" s="6"/>
      <c r="BI2" s="2"/>
    </row>
    <row r="3" ht="12.75" customHeight="1">
      <c r="A3" s="1" t="s">
        <v>2</v>
      </c>
      <c r="B3" s="1"/>
      <c r="C3" s="11"/>
      <c r="D3" s="53"/>
      <c r="E3" s="2"/>
      <c r="F3" s="2"/>
      <c r="G3" s="2"/>
      <c r="H3" s="54"/>
      <c r="I3" s="4"/>
      <c r="J3" s="2"/>
      <c r="K3" s="6"/>
      <c r="L3" s="59" t="s">
        <v>784</v>
      </c>
      <c r="M3" s="60">
        <f>L188-SUM(N188:N189)</f>
        <v>864747</v>
      </c>
      <c r="N3" s="61" t="s">
        <v>783</v>
      </c>
      <c r="O3" s="62"/>
      <c r="P3" s="5"/>
      <c r="Q3" s="5"/>
      <c r="R3" s="6"/>
      <c r="S3" s="2"/>
      <c r="T3" s="2"/>
      <c r="U3" s="2"/>
      <c r="V3" s="2"/>
      <c r="W3" s="2"/>
      <c r="X3" s="6"/>
      <c r="Y3" s="2"/>
      <c r="Z3" s="2"/>
      <c r="AA3" s="2"/>
      <c r="AB3" s="2"/>
      <c r="AC3" s="6"/>
      <c r="AD3" s="2"/>
      <c r="AE3" s="2"/>
      <c r="AF3" s="2"/>
      <c r="AG3" s="2"/>
      <c r="AH3" s="2"/>
      <c r="AI3" s="6"/>
      <c r="AJ3" s="2"/>
      <c r="AK3" s="56"/>
      <c r="AL3" s="2"/>
      <c r="AM3" s="2"/>
      <c r="AN3" s="2"/>
      <c r="AO3" s="2"/>
      <c r="AP3" s="46"/>
      <c r="AQ3" s="2"/>
      <c r="AR3" s="2"/>
      <c r="AS3" s="2"/>
      <c r="AT3" s="2"/>
      <c r="AU3" s="2"/>
      <c r="AV3" s="2"/>
      <c r="AW3" s="2"/>
      <c r="AX3" s="46"/>
      <c r="AY3" s="2"/>
      <c r="AZ3" s="2"/>
      <c r="BA3" s="2"/>
      <c r="BB3" s="2"/>
      <c r="BC3" s="2"/>
      <c r="BD3" s="46"/>
      <c r="BE3" s="2"/>
      <c r="BF3" s="63" t="s">
        <v>785</v>
      </c>
      <c r="BG3" s="64"/>
      <c r="BH3" s="6"/>
      <c r="BI3" s="2"/>
    </row>
    <row r="4" ht="12.75" customHeight="1">
      <c r="A4" s="1"/>
      <c r="B4" s="1"/>
      <c r="C4" s="11"/>
      <c r="D4" s="53"/>
      <c r="E4" s="2"/>
      <c r="F4" s="2"/>
      <c r="G4" s="2"/>
      <c r="H4" s="54"/>
      <c r="I4" s="4"/>
      <c r="J4" s="2"/>
      <c r="K4" s="6"/>
      <c r="L4" s="5"/>
      <c r="M4" s="5"/>
      <c r="N4" s="65" t="s">
        <v>786</v>
      </c>
      <c r="O4" s="62"/>
      <c r="P4" s="5"/>
      <c r="Q4" s="5"/>
      <c r="R4" s="6"/>
      <c r="S4" s="2"/>
      <c r="T4" s="2"/>
      <c r="U4" s="2"/>
      <c r="V4" s="2"/>
      <c r="W4" s="2"/>
      <c r="X4" s="6"/>
      <c r="Y4" s="2"/>
      <c r="Z4" s="2"/>
      <c r="AA4" s="2"/>
      <c r="AB4" s="2"/>
      <c r="AC4" s="6"/>
      <c r="AD4" s="2"/>
      <c r="AE4" s="2"/>
      <c r="AF4" s="2"/>
      <c r="AG4" s="2"/>
      <c r="AH4" s="2"/>
      <c r="AI4" s="6"/>
      <c r="AJ4" s="2"/>
      <c r="AK4" s="56"/>
      <c r="AL4" s="2"/>
      <c r="AM4" s="2"/>
      <c r="AN4" s="2"/>
      <c r="AO4" s="2"/>
      <c r="AP4" s="46"/>
      <c r="AQ4" s="2"/>
      <c r="AR4" s="2"/>
      <c r="AS4" s="2"/>
      <c r="AT4" s="2"/>
      <c r="AU4" s="2"/>
      <c r="AV4" s="2"/>
      <c r="AW4" s="2"/>
      <c r="AX4" s="46"/>
      <c r="AY4" s="2"/>
      <c r="AZ4" s="2"/>
      <c r="BA4" s="2"/>
      <c r="BB4" s="2"/>
      <c r="BC4" s="2"/>
      <c r="BD4" s="46"/>
      <c r="BE4" s="2"/>
      <c r="BF4" s="66">
        <f>SUM(Q210:Q219)</f>
        <v>27000000</v>
      </c>
      <c r="BG4" s="67" t="s">
        <v>787</v>
      </c>
      <c r="BH4" s="6"/>
      <c r="BI4" s="2"/>
    </row>
    <row r="5" ht="12.75" customHeight="1">
      <c r="A5" s="1"/>
      <c r="B5" s="1"/>
      <c r="C5" s="11"/>
      <c r="D5" s="53"/>
      <c r="E5" s="2"/>
      <c r="F5" s="2"/>
      <c r="G5" s="2"/>
      <c r="H5" s="54"/>
      <c r="I5" s="4"/>
      <c r="J5" s="2"/>
      <c r="K5" s="6"/>
      <c r="L5" s="5"/>
      <c r="M5" s="5"/>
      <c r="N5" s="68" t="s">
        <v>788</v>
      </c>
      <c r="O5" s="62"/>
      <c r="P5" s="5"/>
      <c r="Q5" s="5"/>
      <c r="R5" s="6"/>
      <c r="S5" s="2"/>
      <c r="T5" s="2"/>
      <c r="U5" s="2"/>
      <c r="V5" s="2"/>
      <c r="W5" s="2"/>
      <c r="X5" s="6"/>
      <c r="Y5" s="2"/>
      <c r="Z5" s="2"/>
      <c r="AA5" s="2"/>
      <c r="AB5" s="2"/>
      <c r="AC5" s="6"/>
      <c r="AD5" s="2"/>
      <c r="AE5" s="2"/>
      <c r="AF5" s="2"/>
      <c r="AG5" s="2"/>
      <c r="AH5" s="2"/>
      <c r="AI5" s="6"/>
      <c r="AJ5" s="2"/>
      <c r="AK5" s="56"/>
      <c r="AL5" s="2"/>
      <c r="AM5" s="2"/>
      <c r="AN5" s="2"/>
      <c r="AO5" s="2"/>
      <c r="AP5" s="46"/>
      <c r="AQ5" s="2"/>
      <c r="AR5" s="2"/>
      <c r="AS5" s="2"/>
      <c r="AT5" s="2"/>
      <c r="AU5" s="2"/>
      <c r="AV5" s="2"/>
      <c r="AW5" s="2"/>
      <c r="AX5" s="46"/>
      <c r="AY5" s="2"/>
      <c r="AZ5" s="2"/>
      <c r="BA5" s="2"/>
      <c r="BB5" s="2"/>
      <c r="BC5" s="2"/>
      <c r="BD5" s="46"/>
      <c r="BE5" s="2"/>
      <c r="BF5" s="69">
        <f>+BF53+BF133+P203+P205+P206</f>
        <v>8248400.27</v>
      </c>
      <c r="BG5" s="70" t="s">
        <v>789</v>
      </c>
      <c r="BH5" s="6"/>
      <c r="BI5" s="2"/>
    </row>
    <row r="6" ht="12.75" customHeight="1">
      <c r="A6" s="71"/>
      <c r="B6" s="71"/>
      <c r="C6" s="11"/>
      <c r="D6" s="53"/>
      <c r="E6" s="2"/>
      <c r="F6" s="2"/>
      <c r="G6" s="2"/>
      <c r="H6" s="54"/>
      <c r="I6" s="4"/>
      <c r="J6" s="2"/>
      <c r="K6" s="5"/>
      <c r="L6" s="5"/>
      <c r="M6" s="5"/>
      <c r="N6" s="72" t="s">
        <v>790</v>
      </c>
      <c r="O6" s="5"/>
      <c r="P6" s="5"/>
      <c r="Q6" s="73"/>
      <c r="R6" s="2"/>
      <c r="S6" s="2"/>
      <c r="T6" s="2"/>
      <c r="U6" s="2"/>
      <c r="V6" s="2"/>
      <c r="W6" s="2"/>
      <c r="X6" s="74">
        <f>SUM(X210:X212)</f>
        <v>8000000</v>
      </c>
      <c r="Y6" s="2"/>
      <c r="Z6" s="2"/>
      <c r="AA6" s="2"/>
      <c r="AB6" s="2"/>
      <c r="AC6" s="75">
        <f>SUM(AC212:AC214)</f>
        <v>7361412.12</v>
      </c>
      <c r="AD6" s="2"/>
      <c r="AE6" s="2"/>
      <c r="AF6" s="2"/>
      <c r="AG6" s="2"/>
      <c r="AH6" s="2"/>
      <c r="AI6" s="75">
        <f>SUM(AI216:AI218)</f>
        <v>7117587.88</v>
      </c>
      <c r="AJ6" s="2"/>
      <c r="AK6" s="56"/>
      <c r="AL6" s="2"/>
      <c r="AM6" s="2"/>
      <c r="AN6" s="6">
        <f>+AP219</f>
        <v>4521000</v>
      </c>
      <c r="AO6" s="2" t="s">
        <v>787</v>
      </c>
      <c r="AP6" s="74">
        <f>+AM219+AM133+AM53+AN53</f>
        <v>5780773.28</v>
      </c>
      <c r="AQ6" s="2"/>
      <c r="AR6" s="2"/>
      <c r="AS6" s="2"/>
      <c r="AT6" s="28"/>
      <c r="AU6" s="6"/>
      <c r="AV6" s="2"/>
      <c r="AW6" s="28"/>
      <c r="AX6" s="75">
        <f>+AX203+AX205</f>
        <v>5288055.78</v>
      </c>
      <c r="AY6" s="2"/>
      <c r="AZ6" s="28"/>
      <c r="BA6" s="6"/>
      <c r="BB6" s="2"/>
      <c r="BC6" s="28"/>
      <c r="BD6" s="75">
        <f>+BD206</f>
        <v>1700571.21</v>
      </c>
      <c r="BE6" s="6"/>
      <c r="BF6" s="58">
        <f>SUM(BF4:BF5)</f>
        <v>35248400.27</v>
      </c>
      <c r="BG6" s="58" t="s">
        <v>791</v>
      </c>
      <c r="BH6" s="6"/>
      <c r="BI6" s="2"/>
    </row>
    <row r="7" ht="12.75" customHeight="1">
      <c r="A7" s="1" t="s">
        <v>792</v>
      </c>
      <c r="B7" s="1"/>
      <c r="C7" s="11"/>
      <c r="D7" s="11"/>
      <c r="E7" s="6"/>
      <c r="F7" s="2"/>
      <c r="G7" s="2"/>
      <c r="H7" s="54"/>
      <c r="I7" s="4"/>
      <c r="J7" s="2"/>
      <c r="K7" s="6"/>
      <c r="L7" s="5"/>
      <c r="M7" s="5"/>
      <c r="N7" s="76" t="s">
        <v>793</v>
      </c>
      <c r="O7" s="5"/>
      <c r="P7" s="5"/>
      <c r="Q7" s="5"/>
      <c r="R7" s="6"/>
      <c r="S7" s="2"/>
      <c r="T7" s="2"/>
      <c r="U7" s="2"/>
      <c r="V7" s="2"/>
      <c r="W7" s="2"/>
      <c r="X7" s="6"/>
      <c r="Y7" s="2"/>
      <c r="Z7" s="2"/>
      <c r="AA7" s="2"/>
      <c r="AB7" s="2"/>
      <c r="AC7" s="6"/>
      <c r="AD7" s="2"/>
      <c r="AE7" s="2"/>
      <c r="AF7" s="2"/>
      <c r="AG7" s="2"/>
      <c r="AH7" s="2"/>
      <c r="AI7" s="6"/>
      <c r="AJ7" s="2"/>
      <c r="AK7" s="56"/>
      <c r="AL7" s="2"/>
      <c r="AM7" s="2"/>
      <c r="AN7" s="6">
        <f>+AP133+AP53</f>
        <v>1259773.28</v>
      </c>
      <c r="AO7" s="2" t="s">
        <v>794</v>
      </c>
      <c r="AP7" s="6"/>
      <c r="AQ7" s="2"/>
      <c r="AR7" s="2"/>
      <c r="AS7" s="2"/>
      <c r="AT7" s="2"/>
      <c r="AU7" s="6"/>
      <c r="AV7" s="2"/>
      <c r="AW7" s="2"/>
      <c r="AX7" s="6"/>
      <c r="AY7" s="2"/>
      <c r="AZ7" s="2"/>
      <c r="BA7" s="6"/>
      <c r="BB7" s="2"/>
      <c r="BC7" s="2"/>
      <c r="BD7" s="6"/>
      <c r="BE7" s="6"/>
      <c r="BF7" s="46">
        <f>+BD6+AX6+AP6+AI6+AC6+X6-BF6</f>
        <v>-0.000000007450580597</v>
      </c>
      <c r="BG7" s="58"/>
      <c r="BH7" s="6"/>
      <c r="BI7" s="2"/>
    </row>
    <row r="8" ht="12.75" customHeight="1">
      <c r="A8" s="1" t="s">
        <v>795</v>
      </c>
      <c r="B8" s="77"/>
      <c r="C8" s="11"/>
      <c r="D8" s="11"/>
      <c r="E8" s="2"/>
      <c r="F8" s="2"/>
      <c r="G8" s="2"/>
      <c r="H8" s="54"/>
      <c r="I8" s="4"/>
      <c r="J8" s="2"/>
      <c r="K8" s="6"/>
      <c r="L8" s="5"/>
      <c r="M8" s="5"/>
      <c r="N8" s="78" t="s">
        <v>796</v>
      </c>
      <c r="O8" s="5"/>
      <c r="P8" s="5"/>
      <c r="Q8" s="5"/>
      <c r="R8" s="6"/>
      <c r="S8" s="2"/>
      <c r="T8" s="2"/>
      <c r="U8" s="2"/>
      <c r="V8" s="2"/>
      <c r="W8" s="2"/>
      <c r="X8" s="6"/>
      <c r="Y8" s="2"/>
      <c r="Z8" s="2"/>
      <c r="AA8" s="2"/>
      <c r="AB8" s="2"/>
      <c r="AC8" s="6"/>
      <c r="AD8" s="2"/>
      <c r="AE8" s="2"/>
      <c r="AF8" s="2"/>
      <c r="AG8" s="2"/>
      <c r="AH8" s="2"/>
      <c r="AI8" s="6"/>
      <c r="AJ8" s="2"/>
      <c r="AK8" s="56"/>
      <c r="AL8" s="2"/>
      <c r="AM8" s="2"/>
      <c r="AN8" s="2"/>
      <c r="AO8" s="2"/>
      <c r="AP8" s="6"/>
      <c r="AQ8" s="2"/>
      <c r="AR8" s="2"/>
      <c r="AS8" s="2"/>
      <c r="AT8" s="2"/>
      <c r="AU8" s="2"/>
      <c r="AV8" s="2"/>
      <c r="AW8" s="2"/>
      <c r="AX8" s="6"/>
      <c r="AY8" s="2"/>
      <c r="AZ8" s="2"/>
      <c r="BA8" s="2"/>
      <c r="BB8" s="2"/>
      <c r="BC8" s="2"/>
      <c r="BD8" s="6"/>
      <c r="BE8" s="2"/>
      <c r="BF8" s="6"/>
      <c r="BG8" s="2"/>
      <c r="BH8" s="6"/>
      <c r="BI8" s="2"/>
    </row>
    <row r="9" ht="12.75" customHeight="1">
      <c r="A9" s="77" t="s">
        <v>797</v>
      </c>
      <c r="B9" s="77"/>
      <c r="C9" s="11"/>
      <c r="D9" s="11"/>
      <c r="E9" s="2"/>
      <c r="F9" s="2"/>
      <c r="G9" s="2"/>
      <c r="H9" s="54"/>
      <c r="I9" s="4"/>
      <c r="J9" s="2"/>
      <c r="K9" s="6"/>
      <c r="L9" s="5"/>
      <c r="M9" s="5"/>
      <c r="N9" s="2" t="s">
        <v>798</v>
      </c>
      <c r="O9" s="5"/>
      <c r="P9" s="5"/>
      <c r="Q9" s="5"/>
      <c r="R9" s="6"/>
      <c r="S9" s="2"/>
      <c r="T9" s="2"/>
      <c r="U9" s="2"/>
      <c r="V9" s="2"/>
      <c r="W9" s="2"/>
      <c r="X9" s="6"/>
      <c r="Y9" s="2"/>
      <c r="Z9" s="2"/>
      <c r="AA9" s="2"/>
      <c r="AB9" s="2"/>
      <c r="AC9" s="6"/>
      <c r="AD9" s="2"/>
      <c r="AE9" s="2"/>
      <c r="AF9" s="2"/>
      <c r="AG9" s="2"/>
      <c r="AH9" s="2"/>
      <c r="AI9" s="6"/>
      <c r="AJ9" s="2"/>
      <c r="AK9" s="56"/>
      <c r="AL9" s="2"/>
      <c r="AM9" s="2"/>
      <c r="AN9" s="2"/>
      <c r="AO9" s="2"/>
      <c r="AP9" s="6"/>
      <c r="AQ9" s="2"/>
      <c r="AR9" s="2"/>
      <c r="AS9" s="2"/>
      <c r="AT9" s="2"/>
      <c r="AU9" s="2"/>
      <c r="AV9" s="2"/>
      <c r="AW9" s="2"/>
      <c r="AX9" s="6"/>
      <c r="AY9" s="2"/>
      <c r="AZ9" s="2"/>
      <c r="BA9" s="2"/>
      <c r="BB9" s="2"/>
      <c r="BC9" s="2"/>
      <c r="BD9" s="6"/>
      <c r="BE9" s="2"/>
      <c r="BF9" s="6"/>
      <c r="BG9" s="2"/>
      <c r="BH9" s="6"/>
      <c r="BI9" s="2"/>
    </row>
    <row r="10" ht="12.75" customHeight="1">
      <c r="A10" s="77" t="s">
        <v>799</v>
      </c>
      <c r="B10" s="71"/>
      <c r="C10" s="11"/>
      <c r="D10" s="79"/>
      <c r="E10" s="80"/>
      <c r="F10" s="2"/>
      <c r="G10" s="2"/>
      <c r="H10" s="54"/>
      <c r="I10" s="4"/>
      <c r="J10" s="2"/>
      <c r="K10" s="6"/>
      <c r="L10" s="5"/>
      <c r="M10" s="5"/>
      <c r="N10" s="5"/>
      <c r="O10" s="5"/>
      <c r="P10" s="5"/>
      <c r="Q10" s="5"/>
      <c r="R10" s="2"/>
      <c r="S10" s="2"/>
      <c r="T10" s="2"/>
      <c r="U10" s="2"/>
      <c r="V10" s="2"/>
      <c r="W10" s="2"/>
      <c r="X10" s="6"/>
      <c r="Y10" s="2"/>
      <c r="Z10" s="2"/>
      <c r="AA10" s="2"/>
      <c r="AB10" s="2"/>
      <c r="AC10" s="6"/>
      <c r="AD10" s="2"/>
      <c r="AE10" s="2"/>
      <c r="AF10" s="2"/>
      <c r="AG10" s="2"/>
      <c r="AH10" s="2"/>
      <c r="AI10" s="6"/>
      <c r="AJ10" s="2"/>
      <c r="AK10" s="56"/>
      <c r="AL10" s="2"/>
      <c r="AM10" s="2"/>
      <c r="AN10" s="2"/>
      <c r="AO10" s="2"/>
      <c r="AP10" s="6"/>
      <c r="AQ10" s="2"/>
      <c r="AR10" s="2"/>
      <c r="AS10" s="2"/>
      <c r="AT10" s="2"/>
      <c r="AU10" s="2"/>
      <c r="AV10" s="2"/>
      <c r="AW10" s="2"/>
      <c r="AX10" s="6"/>
      <c r="AY10" s="2"/>
      <c r="AZ10" s="2"/>
      <c r="BA10" s="2"/>
      <c r="BB10" s="2"/>
      <c r="BC10" s="2"/>
      <c r="BD10" s="6"/>
      <c r="BE10" s="2"/>
      <c r="BF10" s="6"/>
      <c r="BG10" s="58"/>
      <c r="BH10" s="6"/>
      <c r="BI10" s="2"/>
    </row>
    <row r="11" ht="12.75" customHeight="1">
      <c r="A11" s="81"/>
      <c r="B11" s="81"/>
      <c r="C11" s="82"/>
      <c r="D11" s="82"/>
      <c r="E11" s="83"/>
      <c r="F11" s="84"/>
      <c r="G11" s="84"/>
      <c r="H11" s="85"/>
      <c r="I11" s="82"/>
      <c r="J11" s="84"/>
      <c r="K11" s="83"/>
      <c r="L11" s="86"/>
      <c r="M11" s="86"/>
      <c r="N11" s="86"/>
      <c r="O11" s="86"/>
      <c r="P11" s="86"/>
      <c r="Q11" s="86"/>
      <c r="R11" s="87" t="s">
        <v>800</v>
      </c>
      <c r="S11" s="88">
        <v>44118.0</v>
      </c>
      <c r="T11" s="88">
        <v>44235.0</v>
      </c>
      <c r="U11" s="88">
        <v>44270.0</v>
      </c>
      <c r="V11" s="88">
        <v>44298.0</v>
      </c>
      <c r="W11" s="88">
        <v>44379.0</v>
      </c>
      <c r="X11" s="89"/>
      <c r="Y11" s="88">
        <v>44474.0</v>
      </c>
      <c r="Z11" s="88">
        <v>44547.0</v>
      </c>
      <c r="AA11" s="88">
        <v>44636.0</v>
      </c>
      <c r="AB11" s="88">
        <v>44740.0</v>
      </c>
      <c r="AC11" s="89"/>
      <c r="AD11" s="88">
        <v>44820.0</v>
      </c>
      <c r="AE11" s="88">
        <v>44907.0</v>
      </c>
      <c r="AF11" s="88">
        <v>44974.0</v>
      </c>
      <c r="AG11" s="88">
        <v>45021.0</v>
      </c>
      <c r="AH11" s="88">
        <v>45092.0</v>
      </c>
      <c r="AI11" s="89"/>
      <c r="AJ11" s="88">
        <v>45190.0</v>
      </c>
      <c r="AK11" s="90"/>
      <c r="AL11" s="88">
        <v>45327.0</v>
      </c>
      <c r="AM11" s="88">
        <v>45401.0</v>
      </c>
      <c r="AN11" s="88">
        <v>45505.0</v>
      </c>
      <c r="AO11" s="88">
        <v>45547.0</v>
      </c>
      <c r="AP11" s="83"/>
      <c r="AQ11" s="88">
        <v>45590.0</v>
      </c>
      <c r="AR11" s="88">
        <v>45636.0</v>
      </c>
      <c r="AS11" s="88">
        <v>45678.0</v>
      </c>
      <c r="AT11" s="88">
        <v>45714.0</v>
      </c>
      <c r="AU11" s="88">
        <v>45782.0</v>
      </c>
      <c r="AV11" s="88">
        <v>45874.0</v>
      </c>
      <c r="AW11" s="88">
        <v>45929.0</v>
      </c>
      <c r="AX11" s="83"/>
      <c r="AY11" s="88">
        <v>46010.0</v>
      </c>
      <c r="AZ11" s="88"/>
      <c r="BA11" s="88"/>
      <c r="BB11" s="88"/>
      <c r="BC11" s="88"/>
      <c r="BD11" s="83"/>
      <c r="BE11" s="91"/>
      <c r="BF11" s="83"/>
      <c r="BG11" s="92"/>
      <c r="BH11" s="83"/>
      <c r="BI11" s="84"/>
    </row>
    <row r="12" ht="12.75" customHeight="1">
      <c r="A12" s="93"/>
      <c r="B12" s="93"/>
      <c r="C12" s="94"/>
      <c r="D12" s="95"/>
      <c r="E12" s="92"/>
      <c r="F12" s="96"/>
      <c r="G12" s="96"/>
      <c r="H12" s="97"/>
      <c r="I12" s="94"/>
      <c r="J12" s="98"/>
      <c r="K12" s="98"/>
      <c r="L12" s="99" t="s">
        <v>801</v>
      </c>
      <c r="M12" s="100"/>
      <c r="N12" s="101"/>
      <c r="O12" s="102"/>
      <c r="P12" s="102"/>
      <c r="Q12" s="102"/>
      <c r="R12" s="87" t="s">
        <v>802</v>
      </c>
      <c r="S12" s="88">
        <v>44099.0</v>
      </c>
      <c r="T12" s="103">
        <v>44183.0</v>
      </c>
      <c r="U12" s="103">
        <v>44264.0</v>
      </c>
      <c r="V12" s="103">
        <v>44298.0</v>
      </c>
      <c r="W12" s="88">
        <v>44377.0</v>
      </c>
      <c r="X12" s="89"/>
      <c r="Y12" s="88">
        <v>44474.0</v>
      </c>
      <c r="Z12" s="103">
        <v>44547.0</v>
      </c>
      <c r="AA12" s="103">
        <v>44635.0</v>
      </c>
      <c r="AB12" s="88">
        <v>44740.0</v>
      </c>
      <c r="AC12" s="89"/>
      <c r="AD12" s="88">
        <v>44818.0</v>
      </c>
      <c r="AE12" s="103">
        <v>44904.0</v>
      </c>
      <c r="AF12" s="103">
        <v>44973.0</v>
      </c>
      <c r="AG12" s="103">
        <v>45021.0</v>
      </c>
      <c r="AH12" s="88">
        <v>45092.0</v>
      </c>
      <c r="AI12" s="89"/>
      <c r="AJ12" s="88">
        <v>45189.0</v>
      </c>
      <c r="AK12" s="90"/>
      <c r="AL12" s="88">
        <v>45327.0</v>
      </c>
      <c r="AM12" s="88">
        <v>45400.0</v>
      </c>
      <c r="AN12" s="88">
        <v>45505.0</v>
      </c>
      <c r="AO12" s="88">
        <v>45548.0</v>
      </c>
      <c r="AP12" s="92"/>
      <c r="AQ12" s="88">
        <v>45581.0</v>
      </c>
      <c r="AR12" s="88">
        <v>46001.0</v>
      </c>
      <c r="AS12" s="88">
        <v>45673.0</v>
      </c>
      <c r="AT12" s="88">
        <v>46078.0</v>
      </c>
      <c r="AU12" s="88">
        <v>45775.0</v>
      </c>
      <c r="AV12" s="88">
        <v>45874.0</v>
      </c>
      <c r="AW12" s="88">
        <v>45929.0</v>
      </c>
      <c r="AX12" s="92"/>
      <c r="AY12" s="88">
        <v>46009.0</v>
      </c>
      <c r="AZ12" s="88"/>
      <c r="BA12" s="88"/>
      <c r="BB12" s="88"/>
      <c r="BC12" s="88"/>
      <c r="BD12" s="92"/>
      <c r="BE12" s="104"/>
      <c r="BF12" s="92"/>
      <c r="BG12" s="92"/>
      <c r="BH12" s="92"/>
      <c r="BI12" s="96"/>
    </row>
    <row r="13" ht="14.25" customHeight="1">
      <c r="A13" s="93"/>
      <c r="B13" s="93" t="s">
        <v>803</v>
      </c>
      <c r="C13" s="105"/>
      <c r="D13" s="105"/>
      <c r="E13" s="89"/>
      <c r="F13" s="89"/>
      <c r="G13" s="96"/>
      <c r="H13" s="97"/>
      <c r="I13" s="105"/>
      <c r="J13" s="89"/>
      <c r="K13" s="89"/>
      <c r="L13" s="102"/>
      <c r="M13" s="102"/>
      <c r="N13" s="102"/>
      <c r="O13" s="102"/>
      <c r="P13" s="102"/>
      <c r="Q13" s="102"/>
      <c r="R13" s="106" t="s">
        <v>804</v>
      </c>
      <c r="S13" s="88">
        <v>44133.0</v>
      </c>
      <c r="T13" s="88">
        <v>44250.0</v>
      </c>
      <c r="U13" s="103">
        <v>44281.0</v>
      </c>
      <c r="V13" s="103">
        <v>44336.0</v>
      </c>
      <c r="W13" s="88">
        <v>44425.0</v>
      </c>
      <c r="X13" s="89"/>
      <c r="Y13" s="88">
        <v>44509.0</v>
      </c>
      <c r="Z13" s="88">
        <v>44579.0</v>
      </c>
      <c r="AA13" s="103">
        <v>44659.0</v>
      </c>
      <c r="AB13" s="88">
        <v>44777.0</v>
      </c>
      <c r="AC13" s="89"/>
      <c r="AD13" s="88">
        <v>44882.0</v>
      </c>
      <c r="AE13" s="88">
        <v>44943.0</v>
      </c>
      <c r="AF13" s="103">
        <v>45000.0</v>
      </c>
      <c r="AG13" s="103">
        <v>45041.0</v>
      </c>
      <c r="AH13" s="88">
        <v>45112.0</v>
      </c>
      <c r="AI13" s="89"/>
      <c r="AJ13" s="88">
        <v>45226.0</v>
      </c>
      <c r="AK13" s="90"/>
      <c r="AL13" s="88">
        <v>45335.0</v>
      </c>
      <c r="AM13" s="88">
        <v>45421.0</v>
      </c>
      <c r="AN13" s="88">
        <v>45532.0</v>
      </c>
      <c r="AO13" s="88">
        <v>45576.0</v>
      </c>
      <c r="AP13" s="102"/>
      <c r="AQ13" s="88">
        <v>45611.0</v>
      </c>
      <c r="AR13" s="88">
        <v>46015.0</v>
      </c>
      <c r="AS13" s="88">
        <v>45699.0</v>
      </c>
      <c r="AT13" s="88">
        <v>45733.0</v>
      </c>
      <c r="AU13" s="88">
        <v>45799.0</v>
      </c>
      <c r="AV13" s="88">
        <v>45896.0</v>
      </c>
      <c r="AW13" s="88">
        <v>45951.0</v>
      </c>
      <c r="AX13" s="102"/>
      <c r="AY13" s="88">
        <v>46045.0</v>
      </c>
      <c r="AZ13" s="88"/>
      <c r="BA13" s="88"/>
      <c r="BB13" s="88"/>
      <c r="BC13" s="88"/>
      <c r="BD13" s="102"/>
      <c r="BE13" s="107"/>
      <c r="BF13" s="102"/>
      <c r="BG13" s="102"/>
      <c r="BH13" s="102"/>
      <c r="BI13" s="89"/>
    </row>
    <row r="14" ht="32.25" customHeight="1">
      <c r="A14" s="108"/>
      <c r="B14" s="109" t="s">
        <v>805</v>
      </c>
      <c r="C14" s="110" t="s">
        <v>70</v>
      </c>
      <c r="D14" s="111" t="s">
        <v>806</v>
      </c>
      <c r="E14" s="112" t="s">
        <v>71</v>
      </c>
      <c r="F14" s="113" t="s">
        <v>72</v>
      </c>
      <c r="G14" s="113" t="s">
        <v>807</v>
      </c>
      <c r="H14" s="112" t="s">
        <v>808</v>
      </c>
      <c r="I14" s="110" t="s">
        <v>75</v>
      </c>
      <c r="J14" s="112" t="s">
        <v>809</v>
      </c>
      <c r="K14" s="112" t="s">
        <v>810</v>
      </c>
      <c r="L14" s="114" t="s">
        <v>77</v>
      </c>
      <c r="M14" s="114" t="s">
        <v>811</v>
      </c>
      <c r="N14" s="114" t="s">
        <v>78</v>
      </c>
      <c r="O14" s="27"/>
      <c r="P14" s="114" t="s">
        <v>812</v>
      </c>
      <c r="Q14" s="114" t="s">
        <v>813</v>
      </c>
      <c r="R14" s="23"/>
      <c r="S14" s="112" t="s">
        <v>814</v>
      </c>
      <c r="T14" s="112" t="s">
        <v>815</v>
      </c>
      <c r="U14" s="112" t="s">
        <v>816</v>
      </c>
      <c r="V14" s="112" t="s">
        <v>817</v>
      </c>
      <c r="W14" s="112" t="s">
        <v>818</v>
      </c>
      <c r="X14" s="115" t="s">
        <v>819</v>
      </c>
      <c r="Y14" s="112" t="s">
        <v>820</v>
      </c>
      <c r="Z14" s="112" t="s">
        <v>821</v>
      </c>
      <c r="AA14" s="112" t="s">
        <v>822</v>
      </c>
      <c r="AB14" s="112" t="s">
        <v>823</v>
      </c>
      <c r="AC14" s="115" t="s">
        <v>824</v>
      </c>
      <c r="AD14" s="112" t="s">
        <v>825</v>
      </c>
      <c r="AE14" s="112" t="s">
        <v>826</v>
      </c>
      <c r="AF14" s="112" t="s">
        <v>827</v>
      </c>
      <c r="AG14" s="112" t="s">
        <v>828</v>
      </c>
      <c r="AH14" s="112" t="s">
        <v>829</v>
      </c>
      <c r="AI14" s="115" t="s">
        <v>830</v>
      </c>
      <c r="AJ14" s="112" t="s">
        <v>831</v>
      </c>
      <c r="AK14" s="116" t="s">
        <v>832</v>
      </c>
      <c r="AL14" s="112" t="s">
        <v>833</v>
      </c>
      <c r="AM14" s="112" t="s">
        <v>834</v>
      </c>
      <c r="AN14" s="112" t="s">
        <v>835</v>
      </c>
      <c r="AO14" s="112" t="s">
        <v>836</v>
      </c>
      <c r="AP14" s="115" t="s">
        <v>837</v>
      </c>
      <c r="AQ14" s="112" t="s">
        <v>838</v>
      </c>
      <c r="AR14" s="112" t="s">
        <v>839</v>
      </c>
      <c r="AS14" s="112" t="s">
        <v>840</v>
      </c>
      <c r="AT14" s="112" t="s">
        <v>841</v>
      </c>
      <c r="AU14" s="112" t="s">
        <v>842</v>
      </c>
      <c r="AV14" s="112" t="s">
        <v>843</v>
      </c>
      <c r="AW14" s="112" t="s">
        <v>844</v>
      </c>
      <c r="AX14" s="115" t="s">
        <v>845</v>
      </c>
      <c r="AY14" s="112" t="s">
        <v>846</v>
      </c>
      <c r="AZ14" s="112"/>
      <c r="BA14" s="112"/>
      <c r="BB14" s="112"/>
      <c r="BC14" s="112"/>
      <c r="BD14" s="115" t="s">
        <v>847</v>
      </c>
      <c r="BE14" s="117"/>
      <c r="BF14" s="114" t="s">
        <v>848</v>
      </c>
      <c r="BG14" s="118" t="s">
        <v>849</v>
      </c>
      <c r="BH14" s="119"/>
      <c r="BI14" s="120"/>
    </row>
    <row r="15" ht="18.0" customHeight="1">
      <c r="A15" s="71">
        <v>1.0</v>
      </c>
      <c r="B15" s="71" t="s">
        <v>776</v>
      </c>
      <c r="C15" s="11">
        <v>44022.0</v>
      </c>
      <c r="D15" s="11"/>
      <c r="E15" s="2" t="s">
        <v>81</v>
      </c>
      <c r="F15" s="2" t="s">
        <v>82</v>
      </c>
      <c r="G15" s="2" t="s">
        <v>84</v>
      </c>
      <c r="H15" s="54"/>
      <c r="I15" s="11" t="s">
        <v>85</v>
      </c>
      <c r="J15" s="54" t="s">
        <v>850</v>
      </c>
      <c r="K15" s="54" t="s">
        <v>851</v>
      </c>
      <c r="L15" s="40">
        <v>2.71E7</v>
      </c>
      <c r="M15" s="5">
        <v>0.0</v>
      </c>
      <c r="N15" s="5">
        <v>2.71E7</v>
      </c>
      <c r="O15" s="5"/>
      <c r="P15" s="5">
        <v>2.71E7</v>
      </c>
      <c r="Q15" s="5"/>
      <c r="R15" s="6"/>
      <c r="S15" s="6">
        <v>5500000.0</v>
      </c>
      <c r="T15" s="6">
        <v>5500000.0</v>
      </c>
      <c r="U15" s="6">
        <v>1.61E7</v>
      </c>
      <c r="V15" s="6"/>
      <c r="W15" s="6"/>
      <c r="X15" s="121">
        <f t="shared" ref="X15:X52" si="1">SUM(S15:W15)</f>
        <v>27100000</v>
      </c>
      <c r="Y15" s="6"/>
      <c r="Z15" s="6"/>
      <c r="AA15" s="6"/>
      <c r="AB15" s="6"/>
      <c r="AC15" s="121">
        <f t="shared" ref="AC15:AC52" si="2">SUM(Y15:AB15)</f>
        <v>0</v>
      </c>
      <c r="AD15" s="6"/>
      <c r="AE15" s="6"/>
      <c r="AF15" s="6"/>
      <c r="AG15" s="6"/>
      <c r="AH15" s="6"/>
      <c r="AI15" s="121">
        <f t="shared" ref="AI15:AI52" si="3">SUM(AD15:AH15)</f>
        <v>0</v>
      </c>
      <c r="AJ15" s="6"/>
      <c r="AK15" s="122"/>
      <c r="AL15" s="6"/>
      <c r="AM15" s="6"/>
      <c r="AN15" s="6"/>
      <c r="AO15" s="6"/>
      <c r="AP15" s="121">
        <f t="shared" ref="AP15:AP141" si="4">SUM(AJ15:AO15)</f>
        <v>0</v>
      </c>
      <c r="AQ15" s="6"/>
      <c r="AR15" s="6"/>
      <c r="AS15" s="6"/>
      <c r="AT15" s="6"/>
      <c r="AU15" s="6"/>
      <c r="AV15" s="6"/>
      <c r="AW15" s="6"/>
      <c r="AX15" s="121">
        <f t="shared" ref="AX15:AX141" si="5">SUM(AQ15:AW15)</f>
        <v>0</v>
      </c>
      <c r="AY15" s="6"/>
      <c r="AZ15" s="6"/>
      <c r="BA15" s="6"/>
      <c r="BB15" s="6"/>
      <c r="BC15" s="6"/>
      <c r="BD15" s="121">
        <f t="shared" ref="BD15:BD207" si="6">SUM(AY15:BC15)</f>
        <v>0</v>
      </c>
      <c r="BE15" s="123"/>
      <c r="BF15" s="6">
        <f t="shared" ref="BF15:BF207" si="7">AC15+X15+AI15+AP15+AX15+BD15</f>
        <v>27100000</v>
      </c>
      <c r="BG15" s="124">
        <f t="shared" ref="BG15:BG139" si="8">+N15-BF15</f>
        <v>0</v>
      </c>
      <c r="BH15" s="6"/>
      <c r="BI15" s="2"/>
    </row>
    <row r="16" ht="12.75" customHeight="1">
      <c r="A16" s="71">
        <v>2.0</v>
      </c>
      <c r="B16" s="71" t="s">
        <v>778</v>
      </c>
      <c r="C16" s="11">
        <v>44028.0</v>
      </c>
      <c r="D16" s="11"/>
      <c r="E16" s="2" t="s">
        <v>86</v>
      </c>
      <c r="F16" s="2" t="s">
        <v>87</v>
      </c>
      <c r="G16" s="2" t="s">
        <v>89</v>
      </c>
      <c r="H16" s="54"/>
      <c r="I16" s="11" t="s">
        <v>85</v>
      </c>
      <c r="J16" s="54" t="s">
        <v>852</v>
      </c>
      <c r="K16" s="54" t="s">
        <v>851</v>
      </c>
      <c r="L16" s="40">
        <v>900000.0</v>
      </c>
      <c r="M16" s="5">
        <v>0.0</v>
      </c>
      <c r="N16" s="5">
        <v>900000.0</v>
      </c>
      <c r="O16" s="5"/>
      <c r="P16" s="5">
        <v>900000.0</v>
      </c>
      <c r="Q16" s="5"/>
      <c r="R16" s="6"/>
      <c r="S16" s="6">
        <v>200000.0</v>
      </c>
      <c r="T16" s="6">
        <v>350000.0</v>
      </c>
      <c r="U16" s="6">
        <v>350000.0</v>
      </c>
      <c r="V16" s="6"/>
      <c r="W16" s="6"/>
      <c r="X16" s="121">
        <f t="shared" si="1"/>
        <v>900000</v>
      </c>
      <c r="Y16" s="6"/>
      <c r="Z16" s="6"/>
      <c r="AA16" s="6"/>
      <c r="AB16" s="6"/>
      <c r="AC16" s="121">
        <f t="shared" si="2"/>
        <v>0</v>
      </c>
      <c r="AD16" s="6"/>
      <c r="AE16" s="6"/>
      <c r="AF16" s="6"/>
      <c r="AG16" s="6"/>
      <c r="AH16" s="6"/>
      <c r="AI16" s="121">
        <f t="shared" si="3"/>
        <v>0</v>
      </c>
      <c r="AJ16" s="6"/>
      <c r="AK16" s="122"/>
      <c r="AL16" s="6"/>
      <c r="AM16" s="6"/>
      <c r="AN16" s="6"/>
      <c r="AO16" s="6"/>
      <c r="AP16" s="121">
        <f t="shared" si="4"/>
        <v>0</v>
      </c>
      <c r="AQ16" s="6"/>
      <c r="AR16" s="6"/>
      <c r="AS16" s="6"/>
      <c r="AT16" s="6"/>
      <c r="AU16" s="6"/>
      <c r="AV16" s="6"/>
      <c r="AW16" s="6"/>
      <c r="AX16" s="121">
        <f t="shared" si="5"/>
        <v>0</v>
      </c>
      <c r="AY16" s="6"/>
      <c r="AZ16" s="6"/>
      <c r="BA16" s="6"/>
      <c r="BB16" s="6"/>
      <c r="BC16" s="6"/>
      <c r="BD16" s="121">
        <f t="shared" si="6"/>
        <v>0</v>
      </c>
      <c r="BE16" s="123"/>
      <c r="BF16" s="6">
        <f t="shared" si="7"/>
        <v>900000</v>
      </c>
      <c r="BG16" s="124">
        <f t="shared" si="8"/>
        <v>0</v>
      </c>
      <c r="BH16" s="6"/>
      <c r="BI16" s="2"/>
    </row>
    <row r="17" ht="12.75" customHeight="1">
      <c r="A17" s="71">
        <v>3.0</v>
      </c>
      <c r="B17" s="71" t="s">
        <v>92</v>
      </c>
      <c r="C17" s="11">
        <v>44068.0</v>
      </c>
      <c r="D17" s="11"/>
      <c r="E17" s="2" t="s">
        <v>90</v>
      </c>
      <c r="F17" s="2" t="s">
        <v>91</v>
      </c>
      <c r="G17" s="2" t="s">
        <v>93</v>
      </c>
      <c r="H17" s="54"/>
      <c r="I17" s="11" t="s">
        <v>94</v>
      </c>
      <c r="J17" s="54" t="s">
        <v>853</v>
      </c>
      <c r="K17" s="54" t="s">
        <v>854</v>
      </c>
      <c r="L17" s="40">
        <v>5651000.0</v>
      </c>
      <c r="M17" s="5">
        <v>0.0</v>
      </c>
      <c r="N17" s="5">
        <f>L17</f>
        <v>5651000</v>
      </c>
      <c r="O17" s="5"/>
      <c r="P17" s="5">
        <v>5651000.0</v>
      </c>
      <c r="Q17" s="5"/>
      <c r="R17" s="6"/>
      <c r="S17" s="6">
        <v>900000.0</v>
      </c>
      <c r="T17" s="6">
        <v>900000.0</v>
      </c>
      <c r="U17" s="6">
        <v>1000000.0</v>
      </c>
      <c r="V17" s="6"/>
      <c r="W17" s="6">
        <v>1500000.0</v>
      </c>
      <c r="X17" s="121">
        <f t="shared" si="1"/>
        <v>4300000</v>
      </c>
      <c r="Y17" s="6">
        <v>1351000.0</v>
      </c>
      <c r="Z17" s="6"/>
      <c r="AA17" s="6"/>
      <c r="AB17" s="6"/>
      <c r="AC17" s="121">
        <f t="shared" si="2"/>
        <v>1351000</v>
      </c>
      <c r="AD17" s="6"/>
      <c r="AE17" s="6"/>
      <c r="AF17" s="6"/>
      <c r="AG17" s="6"/>
      <c r="AH17" s="6"/>
      <c r="AI17" s="121">
        <f t="shared" si="3"/>
        <v>0</v>
      </c>
      <c r="AJ17" s="6"/>
      <c r="AK17" s="122"/>
      <c r="AL17" s="6"/>
      <c r="AM17" s="6"/>
      <c r="AN17" s="6"/>
      <c r="AO17" s="6"/>
      <c r="AP17" s="121">
        <f t="shared" si="4"/>
        <v>0</v>
      </c>
      <c r="AQ17" s="6"/>
      <c r="AR17" s="6"/>
      <c r="AS17" s="6"/>
      <c r="AT17" s="6"/>
      <c r="AU17" s="6"/>
      <c r="AV17" s="6"/>
      <c r="AW17" s="6"/>
      <c r="AX17" s="121">
        <f t="shared" si="5"/>
        <v>0</v>
      </c>
      <c r="AY17" s="6"/>
      <c r="AZ17" s="6"/>
      <c r="BA17" s="6"/>
      <c r="BB17" s="6"/>
      <c r="BC17" s="6"/>
      <c r="BD17" s="121">
        <f t="shared" si="6"/>
        <v>0</v>
      </c>
      <c r="BE17" s="123"/>
      <c r="BF17" s="6">
        <f t="shared" si="7"/>
        <v>5651000</v>
      </c>
      <c r="BG17" s="124">
        <f t="shared" si="8"/>
        <v>0</v>
      </c>
      <c r="BH17" s="6"/>
      <c r="BI17" s="2"/>
    </row>
    <row r="18" ht="12.75" customHeight="1">
      <c r="A18" s="71">
        <v>4.0</v>
      </c>
      <c r="B18" s="71" t="s">
        <v>97</v>
      </c>
      <c r="C18" s="11">
        <v>44186.0</v>
      </c>
      <c r="D18" s="11"/>
      <c r="E18" s="2" t="s">
        <v>95</v>
      </c>
      <c r="F18" s="2" t="s">
        <v>96</v>
      </c>
      <c r="G18" s="2" t="s">
        <v>98</v>
      </c>
      <c r="H18" s="54"/>
      <c r="I18" s="30" t="s">
        <v>99</v>
      </c>
      <c r="J18" s="54" t="s">
        <v>855</v>
      </c>
      <c r="K18" s="54" t="s">
        <v>854</v>
      </c>
      <c r="L18" s="40">
        <v>1100000.0</v>
      </c>
      <c r="M18" s="5">
        <v>0.0</v>
      </c>
      <c r="N18" s="5">
        <v>1100000.0</v>
      </c>
      <c r="O18" s="5"/>
      <c r="P18" s="5">
        <v>1100000.0</v>
      </c>
      <c r="Q18" s="5"/>
      <c r="R18" s="6"/>
      <c r="S18" s="6">
        <v>0.0</v>
      </c>
      <c r="T18" s="6"/>
      <c r="U18" s="6">
        <v>500000.0</v>
      </c>
      <c r="V18" s="6"/>
      <c r="W18" s="6">
        <v>600000.0</v>
      </c>
      <c r="X18" s="121">
        <f t="shared" si="1"/>
        <v>1100000</v>
      </c>
      <c r="Y18" s="6"/>
      <c r="Z18" s="6"/>
      <c r="AA18" s="6"/>
      <c r="AB18" s="6"/>
      <c r="AC18" s="121">
        <f t="shared" si="2"/>
        <v>0</v>
      </c>
      <c r="AD18" s="6"/>
      <c r="AE18" s="6"/>
      <c r="AF18" s="6"/>
      <c r="AG18" s="6"/>
      <c r="AH18" s="6"/>
      <c r="AI18" s="121">
        <f t="shared" si="3"/>
        <v>0</v>
      </c>
      <c r="AJ18" s="6"/>
      <c r="AK18" s="122"/>
      <c r="AL18" s="6"/>
      <c r="AM18" s="6"/>
      <c r="AN18" s="6"/>
      <c r="AO18" s="6"/>
      <c r="AP18" s="121">
        <f t="shared" si="4"/>
        <v>0</v>
      </c>
      <c r="AQ18" s="6"/>
      <c r="AR18" s="6"/>
      <c r="AS18" s="6"/>
      <c r="AT18" s="6"/>
      <c r="AU18" s="6"/>
      <c r="AV18" s="6"/>
      <c r="AW18" s="6"/>
      <c r="AX18" s="121">
        <f t="shared" si="5"/>
        <v>0</v>
      </c>
      <c r="AY18" s="6"/>
      <c r="AZ18" s="6"/>
      <c r="BA18" s="6"/>
      <c r="BB18" s="6"/>
      <c r="BC18" s="6"/>
      <c r="BD18" s="121">
        <f t="shared" si="6"/>
        <v>0</v>
      </c>
      <c r="BE18" s="123"/>
      <c r="BF18" s="6">
        <f t="shared" si="7"/>
        <v>1100000</v>
      </c>
      <c r="BG18" s="124">
        <f t="shared" si="8"/>
        <v>0</v>
      </c>
      <c r="BH18" s="6"/>
      <c r="BI18" s="2"/>
    </row>
    <row r="19" ht="12.75" customHeight="1">
      <c r="A19" s="71">
        <v>5.0</v>
      </c>
      <c r="B19" s="71" t="s">
        <v>102</v>
      </c>
      <c r="C19" s="11">
        <v>44022.0</v>
      </c>
      <c r="D19" s="11"/>
      <c r="E19" s="2" t="s">
        <v>100</v>
      </c>
      <c r="F19" s="2" t="s">
        <v>101</v>
      </c>
      <c r="G19" s="2" t="s">
        <v>103</v>
      </c>
      <c r="H19" s="54"/>
      <c r="I19" s="11" t="s">
        <v>85</v>
      </c>
      <c r="J19" s="54" t="s">
        <v>856</v>
      </c>
      <c r="K19" s="54" t="s">
        <v>851</v>
      </c>
      <c r="L19" s="40">
        <v>1000000.0</v>
      </c>
      <c r="M19" s="5">
        <v>0.0</v>
      </c>
      <c r="N19" s="5">
        <v>1000000.0</v>
      </c>
      <c r="O19" s="5"/>
      <c r="P19" s="5">
        <v>1000000.0</v>
      </c>
      <c r="Q19" s="5"/>
      <c r="R19" s="6"/>
      <c r="S19" s="6">
        <v>750000.0</v>
      </c>
      <c r="T19" s="6">
        <v>250000.0</v>
      </c>
      <c r="U19" s="6"/>
      <c r="V19" s="6"/>
      <c r="W19" s="6"/>
      <c r="X19" s="121">
        <f t="shared" si="1"/>
        <v>1000000</v>
      </c>
      <c r="Y19" s="6"/>
      <c r="Z19" s="6"/>
      <c r="AA19" s="6"/>
      <c r="AB19" s="6"/>
      <c r="AC19" s="121">
        <f t="shared" si="2"/>
        <v>0</v>
      </c>
      <c r="AD19" s="6"/>
      <c r="AE19" s="6"/>
      <c r="AF19" s="6"/>
      <c r="AG19" s="6"/>
      <c r="AH19" s="6"/>
      <c r="AI19" s="121">
        <f t="shared" si="3"/>
        <v>0</v>
      </c>
      <c r="AJ19" s="6"/>
      <c r="AK19" s="122"/>
      <c r="AL19" s="6"/>
      <c r="AM19" s="6"/>
      <c r="AN19" s="6"/>
      <c r="AO19" s="6"/>
      <c r="AP19" s="121">
        <f t="shared" si="4"/>
        <v>0</v>
      </c>
      <c r="AQ19" s="6"/>
      <c r="AR19" s="6"/>
      <c r="AS19" s="6"/>
      <c r="AT19" s="6"/>
      <c r="AU19" s="6"/>
      <c r="AV19" s="6"/>
      <c r="AW19" s="6"/>
      <c r="AX19" s="121">
        <f t="shared" si="5"/>
        <v>0</v>
      </c>
      <c r="AY19" s="6"/>
      <c r="AZ19" s="6"/>
      <c r="BA19" s="6"/>
      <c r="BB19" s="6"/>
      <c r="BC19" s="6"/>
      <c r="BD19" s="121">
        <f t="shared" si="6"/>
        <v>0</v>
      </c>
      <c r="BE19" s="123"/>
      <c r="BF19" s="6">
        <f t="shared" si="7"/>
        <v>1000000</v>
      </c>
      <c r="BG19" s="124">
        <f t="shared" si="8"/>
        <v>0</v>
      </c>
      <c r="BH19" s="6"/>
      <c r="BI19" s="2"/>
    </row>
    <row r="20" ht="12.75" customHeight="1">
      <c r="A20" s="71">
        <v>6.0</v>
      </c>
      <c r="B20" s="71" t="s">
        <v>106</v>
      </c>
      <c r="C20" s="11">
        <v>44091.0</v>
      </c>
      <c r="D20" s="11"/>
      <c r="E20" s="2" t="s">
        <v>104</v>
      </c>
      <c r="F20" s="2" t="s">
        <v>105</v>
      </c>
      <c r="G20" s="2" t="s">
        <v>107</v>
      </c>
      <c r="H20" s="54"/>
      <c r="I20" s="30" t="s">
        <v>108</v>
      </c>
      <c r="J20" s="54" t="s">
        <v>857</v>
      </c>
      <c r="K20" s="54" t="s">
        <v>854</v>
      </c>
      <c r="L20" s="40">
        <v>1849000.0</v>
      </c>
      <c r="M20" s="5">
        <v>0.0</v>
      </c>
      <c r="N20" s="5">
        <f t="shared" ref="N20:N21" si="9">L20</f>
        <v>1849000</v>
      </c>
      <c r="O20" s="5"/>
      <c r="P20" s="5">
        <v>1849000.0</v>
      </c>
      <c r="Q20" s="5"/>
      <c r="R20" s="6"/>
      <c r="S20" s="6">
        <v>0.0</v>
      </c>
      <c r="T20" s="6">
        <v>25000.0</v>
      </c>
      <c r="U20" s="6">
        <v>456000.0</v>
      </c>
      <c r="V20" s="6"/>
      <c r="W20" s="6"/>
      <c r="X20" s="121">
        <f t="shared" si="1"/>
        <v>481000</v>
      </c>
      <c r="Y20" s="6"/>
      <c r="Z20" s="6">
        <v>200000.0</v>
      </c>
      <c r="AA20" s="6">
        <v>250000.0</v>
      </c>
      <c r="AB20" s="6">
        <v>918000.0</v>
      </c>
      <c r="AC20" s="121">
        <f t="shared" si="2"/>
        <v>1368000</v>
      </c>
      <c r="AD20" s="6"/>
      <c r="AE20" s="6"/>
      <c r="AF20" s="6"/>
      <c r="AG20" s="6"/>
      <c r="AH20" s="6"/>
      <c r="AI20" s="121">
        <f t="shared" si="3"/>
        <v>0</v>
      </c>
      <c r="AJ20" s="6"/>
      <c r="AK20" s="122"/>
      <c r="AL20" s="6"/>
      <c r="AM20" s="6"/>
      <c r="AN20" s="6"/>
      <c r="AO20" s="6"/>
      <c r="AP20" s="121">
        <f t="shared" si="4"/>
        <v>0</v>
      </c>
      <c r="AQ20" s="6"/>
      <c r="AR20" s="6"/>
      <c r="AS20" s="6"/>
      <c r="AT20" s="6"/>
      <c r="AU20" s="6"/>
      <c r="AV20" s="6"/>
      <c r="AW20" s="6"/>
      <c r="AX20" s="121">
        <f t="shared" si="5"/>
        <v>0</v>
      </c>
      <c r="AY20" s="6"/>
      <c r="AZ20" s="6"/>
      <c r="BA20" s="6"/>
      <c r="BB20" s="6"/>
      <c r="BC20" s="6"/>
      <c r="BD20" s="121">
        <f t="shared" si="6"/>
        <v>0</v>
      </c>
      <c r="BE20" s="123"/>
      <c r="BF20" s="6">
        <f t="shared" si="7"/>
        <v>1849000</v>
      </c>
      <c r="BG20" s="124">
        <f t="shared" si="8"/>
        <v>0</v>
      </c>
      <c r="BH20" s="6"/>
      <c r="BI20" s="2"/>
    </row>
    <row r="21" ht="12.75" customHeight="1">
      <c r="A21" s="71">
        <v>7.0</v>
      </c>
      <c r="B21" s="71" t="s">
        <v>111</v>
      </c>
      <c r="C21" s="11">
        <v>44111.0</v>
      </c>
      <c r="D21" s="11"/>
      <c r="E21" s="2" t="s">
        <v>109</v>
      </c>
      <c r="F21" s="2" t="s">
        <v>110</v>
      </c>
      <c r="G21" s="2" t="s">
        <v>112</v>
      </c>
      <c r="H21" s="54"/>
      <c r="I21" s="30" t="s">
        <v>858</v>
      </c>
      <c r="J21" s="54" t="s">
        <v>859</v>
      </c>
      <c r="K21" s="54" t="s">
        <v>860</v>
      </c>
      <c r="L21" s="40">
        <v>180000.0</v>
      </c>
      <c r="M21" s="5">
        <v>0.0</v>
      </c>
      <c r="N21" s="5">
        <f t="shared" si="9"/>
        <v>180000</v>
      </c>
      <c r="O21" s="5"/>
      <c r="P21" s="5">
        <v>180000.0</v>
      </c>
      <c r="Q21" s="5"/>
      <c r="R21" s="6"/>
      <c r="S21" s="6">
        <v>0.0</v>
      </c>
      <c r="T21" s="6">
        <v>180000.0</v>
      </c>
      <c r="U21" s="6"/>
      <c r="V21" s="6"/>
      <c r="W21" s="6"/>
      <c r="X21" s="121">
        <f t="shared" si="1"/>
        <v>180000</v>
      </c>
      <c r="Y21" s="6"/>
      <c r="Z21" s="6"/>
      <c r="AA21" s="6"/>
      <c r="AB21" s="6"/>
      <c r="AC21" s="121">
        <f t="shared" si="2"/>
        <v>0</v>
      </c>
      <c r="AD21" s="6"/>
      <c r="AE21" s="6"/>
      <c r="AF21" s="6"/>
      <c r="AG21" s="6"/>
      <c r="AH21" s="6"/>
      <c r="AI21" s="121">
        <f t="shared" si="3"/>
        <v>0</v>
      </c>
      <c r="AJ21" s="6"/>
      <c r="AK21" s="122"/>
      <c r="AL21" s="6"/>
      <c r="AM21" s="6"/>
      <c r="AN21" s="6"/>
      <c r="AO21" s="6"/>
      <c r="AP21" s="121">
        <f t="shared" si="4"/>
        <v>0</v>
      </c>
      <c r="AQ21" s="6"/>
      <c r="AR21" s="6"/>
      <c r="AS21" s="6"/>
      <c r="AT21" s="6"/>
      <c r="AU21" s="6"/>
      <c r="AV21" s="6"/>
      <c r="AW21" s="6"/>
      <c r="AX21" s="121">
        <f t="shared" si="5"/>
        <v>0</v>
      </c>
      <c r="AY21" s="6"/>
      <c r="AZ21" s="6"/>
      <c r="BA21" s="6"/>
      <c r="BB21" s="6"/>
      <c r="BC21" s="6"/>
      <c r="BD21" s="121">
        <f t="shared" si="6"/>
        <v>0</v>
      </c>
      <c r="BE21" s="123"/>
      <c r="BF21" s="6">
        <f t="shared" si="7"/>
        <v>180000</v>
      </c>
      <c r="BG21" s="124">
        <f t="shared" si="8"/>
        <v>0</v>
      </c>
      <c r="BH21" s="6"/>
      <c r="BI21" s="2"/>
    </row>
    <row r="22" ht="12.75" customHeight="1">
      <c r="A22" s="71">
        <v>8.0</v>
      </c>
      <c r="B22" s="71" t="s">
        <v>116</v>
      </c>
      <c r="C22" s="11">
        <v>44048.0</v>
      </c>
      <c r="D22" s="11"/>
      <c r="E22" s="2" t="s">
        <v>114</v>
      </c>
      <c r="F22" s="2" t="s">
        <v>115</v>
      </c>
      <c r="G22" s="2" t="s">
        <v>117</v>
      </c>
      <c r="H22" s="54"/>
      <c r="I22" s="11" t="s">
        <v>85</v>
      </c>
      <c r="J22" s="54" t="s">
        <v>852</v>
      </c>
      <c r="K22" s="54" t="s">
        <v>851</v>
      </c>
      <c r="L22" s="40">
        <v>800000.0</v>
      </c>
      <c r="M22" s="5">
        <v>0.0</v>
      </c>
      <c r="N22" s="5">
        <v>800000.0</v>
      </c>
      <c r="O22" s="5"/>
      <c r="P22" s="5">
        <v>800000.0</v>
      </c>
      <c r="Q22" s="5"/>
      <c r="R22" s="6"/>
      <c r="S22" s="6"/>
      <c r="T22" s="6">
        <v>800000.0</v>
      </c>
      <c r="U22" s="6"/>
      <c r="V22" s="6"/>
      <c r="W22" s="6"/>
      <c r="X22" s="121">
        <f t="shared" si="1"/>
        <v>800000</v>
      </c>
      <c r="Y22" s="6"/>
      <c r="Z22" s="6"/>
      <c r="AA22" s="6"/>
      <c r="AB22" s="6"/>
      <c r="AC22" s="121">
        <f t="shared" si="2"/>
        <v>0</v>
      </c>
      <c r="AD22" s="6"/>
      <c r="AE22" s="6"/>
      <c r="AF22" s="6"/>
      <c r="AG22" s="6"/>
      <c r="AH22" s="6"/>
      <c r="AI22" s="121">
        <f t="shared" si="3"/>
        <v>0</v>
      </c>
      <c r="AJ22" s="6"/>
      <c r="AK22" s="122"/>
      <c r="AL22" s="6"/>
      <c r="AM22" s="6"/>
      <c r="AN22" s="6"/>
      <c r="AO22" s="6"/>
      <c r="AP22" s="121">
        <f t="shared" si="4"/>
        <v>0</v>
      </c>
      <c r="AQ22" s="6"/>
      <c r="AR22" s="6"/>
      <c r="AS22" s="6"/>
      <c r="AT22" s="6"/>
      <c r="AU22" s="6"/>
      <c r="AV22" s="6"/>
      <c r="AW22" s="6"/>
      <c r="AX22" s="121">
        <f t="shared" si="5"/>
        <v>0</v>
      </c>
      <c r="AY22" s="6"/>
      <c r="AZ22" s="6"/>
      <c r="BA22" s="6"/>
      <c r="BB22" s="6"/>
      <c r="BC22" s="6"/>
      <c r="BD22" s="121">
        <f t="shared" si="6"/>
        <v>0</v>
      </c>
      <c r="BE22" s="123"/>
      <c r="BF22" s="6">
        <f t="shared" si="7"/>
        <v>800000</v>
      </c>
      <c r="BG22" s="124">
        <f t="shared" si="8"/>
        <v>0</v>
      </c>
      <c r="BH22" s="6"/>
      <c r="BI22" s="2"/>
    </row>
    <row r="23" ht="12.75" customHeight="1">
      <c r="A23" s="71">
        <v>9.0</v>
      </c>
      <c r="B23" s="71" t="s">
        <v>120</v>
      </c>
      <c r="C23" s="11">
        <v>44039.0</v>
      </c>
      <c r="D23" s="11"/>
      <c r="E23" s="2" t="s">
        <v>118</v>
      </c>
      <c r="F23" s="2" t="s">
        <v>119</v>
      </c>
      <c r="G23" s="2" t="s">
        <v>121</v>
      </c>
      <c r="H23" s="54"/>
      <c r="I23" s="11" t="s">
        <v>122</v>
      </c>
      <c r="J23" s="54" t="s">
        <v>861</v>
      </c>
      <c r="K23" s="54" t="s">
        <v>851</v>
      </c>
      <c r="L23" s="40">
        <v>9391000.0</v>
      </c>
      <c r="M23" s="5">
        <v>0.0</v>
      </c>
      <c r="N23" s="5">
        <v>9391000.0</v>
      </c>
      <c r="O23" s="5"/>
      <c r="P23" s="5">
        <v>9391000.0</v>
      </c>
      <c r="Q23" s="5"/>
      <c r="R23" s="6"/>
      <c r="S23" s="6">
        <v>350000.0</v>
      </c>
      <c r="T23" s="6"/>
      <c r="U23" s="6">
        <v>250000.0</v>
      </c>
      <c r="V23" s="6"/>
      <c r="W23" s="6">
        <v>1200000.0</v>
      </c>
      <c r="X23" s="121">
        <f t="shared" si="1"/>
        <v>1800000</v>
      </c>
      <c r="Y23" s="6">
        <v>1200000.0</v>
      </c>
      <c r="Z23" s="6">
        <v>1065166.67</v>
      </c>
      <c r="AA23" s="6">
        <v>3000000.0</v>
      </c>
      <c r="AB23" s="6">
        <v>590000.0</v>
      </c>
      <c r="AC23" s="121">
        <f t="shared" si="2"/>
        <v>5855166.67</v>
      </c>
      <c r="AD23" s="6">
        <v>578611.11</v>
      </c>
      <c r="AE23" s="6">
        <v>1157222.22</v>
      </c>
      <c r="AF23" s="6"/>
      <c r="AG23" s="6"/>
      <c r="AH23" s="6"/>
      <c r="AI23" s="121">
        <f t="shared" si="3"/>
        <v>1735833.33</v>
      </c>
      <c r="AJ23" s="6"/>
      <c r="AK23" s="122"/>
      <c r="AL23" s="6"/>
      <c r="AM23" s="6"/>
      <c r="AN23" s="6"/>
      <c r="AO23" s="6"/>
      <c r="AP23" s="121">
        <f t="shared" si="4"/>
        <v>0</v>
      </c>
      <c r="AQ23" s="6"/>
      <c r="AR23" s="6"/>
      <c r="AS23" s="6"/>
      <c r="AT23" s="6"/>
      <c r="AU23" s="6"/>
      <c r="AV23" s="6"/>
      <c r="AW23" s="6"/>
      <c r="AX23" s="121">
        <f t="shared" si="5"/>
        <v>0</v>
      </c>
      <c r="AY23" s="6"/>
      <c r="AZ23" s="6"/>
      <c r="BA23" s="6"/>
      <c r="BB23" s="6"/>
      <c r="BC23" s="6"/>
      <c r="BD23" s="121">
        <f t="shared" si="6"/>
        <v>0</v>
      </c>
      <c r="BE23" s="123"/>
      <c r="BF23" s="6">
        <f t="shared" si="7"/>
        <v>9391000</v>
      </c>
      <c r="BG23" s="124">
        <f t="shared" si="8"/>
        <v>0</v>
      </c>
      <c r="BH23" s="6"/>
      <c r="BI23" s="2"/>
    </row>
    <row r="24" ht="15.0" customHeight="1">
      <c r="A24" s="71">
        <v>10.0</v>
      </c>
      <c r="B24" s="71" t="s">
        <v>125</v>
      </c>
      <c r="C24" s="11">
        <v>44075.0</v>
      </c>
      <c r="D24" s="11"/>
      <c r="E24" s="2" t="s">
        <v>123</v>
      </c>
      <c r="F24" s="2" t="s">
        <v>124</v>
      </c>
      <c r="G24" s="2" t="s">
        <v>126</v>
      </c>
      <c r="H24" s="54"/>
      <c r="I24" s="11" t="s">
        <v>127</v>
      </c>
      <c r="J24" s="54" t="s">
        <v>862</v>
      </c>
      <c r="K24" s="54" t="s">
        <v>851</v>
      </c>
      <c r="L24" s="40">
        <v>695780.0</v>
      </c>
      <c r="M24" s="5">
        <v>0.0</v>
      </c>
      <c r="N24" s="5">
        <f t="shared" ref="N24:N25" si="10">L24</f>
        <v>695780</v>
      </c>
      <c r="O24" s="5"/>
      <c r="P24" s="5">
        <v>695780.0</v>
      </c>
      <c r="Q24" s="5"/>
      <c r="R24" s="6"/>
      <c r="S24" s="6">
        <v>120000.0</v>
      </c>
      <c r="T24" s="6">
        <v>100000.0</v>
      </c>
      <c r="U24" s="6">
        <v>100000.0</v>
      </c>
      <c r="V24" s="6"/>
      <c r="W24" s="6"/>
      <c r="X24" s="121">
        <f t="shared" si="1"/>
        <v>320000</v>
      </c>
      <c r="Y24" s="6">
        <v>200000.0</v>
      </c>
      <c r="Z24" s="6">
        <v>175780.0</v>
      </c>
      <c r="AA24" s="6"/>
      <c r="AB24" s="6"/>
      <c r="AC24" s="121">
        <f t="shared" si="2"/>
        <v>375780</v>
      </c>
      <c r="AD24" s="6"/>
      <c r="AE24" s="6"/>
      <c r="AF24" s="6"/>
      <c r="AG24" s="6"/>
      <c r="AH24" s="6"/>
      <c r="AI24" s="121">
        <f t="shared" si="3"/>
        <v>0</v>
      </c>
      <c r="AJ24" s="6"/>
      <c r="AK24" s="122"/>
      <c r="AL24" s="6"/>
      <c r="AM24" s="6"/>
      <c r="AN24" s="6"/>
      <c r="AO24" s="6"/>
      <c r="AP24" s="121">
        <f t="shared" si="4"/>
        <v>0</v>
      </c>
      <c r="AQ24" s="6"/>
      <c r="AR24" s="6"/>
      <c r="AS24" s="6"/>
      <c r="AT24" s="6"/>
      <c r="AU24" s="6"/>
      <c r="AV24" s="6"/>
      <c r="AW24" s="6"/>
      <c r="AX24" s="121">
        <f t="shared" si="5"/>
        <v>0</v>
      </c>
      <c r="AY24" s="6"/>
      <c r="AZ24" s="6"/>
      <c r="BA24" s="6"/>
      <c r="BB24" s="6"/>
      <c r="BC24" s="6"/>
      <c r="BD24" s="121">
        <f t="shared" si="6"/>
        <v>0</v>
      </c>
      <c r="BE24" s="123"/>
      <c r="BF24" s="6">
        <f t="shared" si="7"/>
        <v>695780</v>
      </c>
      <c r="BG24" s="124">
        <f t="shared" si="8"/>
        <v>0</v>
      </c>
      <c r="BH24" s="125"/>
      <c r="BI24" s="31"/>
    </row>
    <row r="25" ht="12.75" customHeight="1">
      <c r="A25" s="126" t="s">
        <v>863</v>
      </c>
      <c r="B25" s="71" t="s">
        <v>130</v>
      </c>
      <c r="C25" s="30">
        <v>44076.0</v>
      </c>
      <c r="D25" s="30"/>
      <c r="E25" s="31" t="s">
        <v>132</v>
      </c>
      <c r="F25" s="31" t="s">
        <v>129</v>
      </c>
      <c r="G25" s="2" t="s">
        <v>133</v>
      </c>
      <c r="H25" s="54"/>
      <c r="I25" s="30" t="s">
        <v>134</v>
      </c>
      <c r="J25" s="127" t="s">
        <v>861</v>
      </c>
      <c r="K25" s="127" t="s">
        <v>851</v>
      </c>
      <c r="L25" s="128">
        <v>3175900.0</v>
      </c>
      <c r="M25" s="129">
        <v>0.0</v>
      </c>
      <c r="N25" s="129">
        <f t="shared" si="10"/>
        <v>3175900</v>
      </c>
      <c r="O25" s="129"/>
      <c r="P25" s="129">
        <v>3175900.0</v>
      </c>
      <c r="Q25" s="129"/>
      <c r="R25" s="125"/>
      <c r="S25" s="6">
        <v>0.0</v>
      </c>
      <c r="T25" s="125">
        <v>714249.0</v>
      </c>
      <c r="U25" s="125"/>
      <c r="V25" s="125"/>
      <c r="W25" s="125">
        <v>200000.0</v>
      </c>
      <c r="X25" s="121">
        <f t="shared" si="1"/>
        <v>914249</v>
      </c>
      <c r="Y25" s="6">
        <v>700000.0</v>
      </c>
      <c r="Z25" s="125">
        <v>180919.25</v>
      </c>
      <c r="AA25" s="125"/>
      <c r="AB25" s="125">
        <v>542757.75</v>
      </c>
      <c r="AC25" s="121">
        <f t="shared" si="2"/>
        <v>1423677</v>
      </c>
      <c r="AD25" s="6"/>
      <c r="AE25" s="125"/>
      <c r="AF25" s="125"/>
      <c r="AG25" s="125"/>
      <c r="AH25" s="125"/>
      <c r="AI25" s="121">
        <f t="shared" si="3"/>
        <v>0</v>
      </c>
      <c r="AJ25" s="125"/>
      <c r="AK25" s="130"/>
      <c r="AL25" s="125"/>
      <c r="AM25" s="125"/>
      <c r="AN25" s="125"/>
      <c r="AO25" s="125"/>
      <c r="AP25" s="121">
        <f t="shared" si="4"/>
        <v>0</v>
      </c>
      <c r="AQ25" s="125"/>
      <c r="AR25" s="125"/>
      <c r="AS25" s="125"/>
      <c r="AT25" s="125"/>
      <c r="AU25" s="125"/>
      <c r="AV25" s="125"/>
      <c r="AW25" s="125"/>
      <c r="AX25" s="121">
        <f t="shared" si="5"/>
        <v>0</v>
      </c>
      <c r="AY25" s="125"/>
      <c r="AZ25" s="125"/>
      <c r="BA25" s="125"/>
      <c r="BB25" s="125"/>
      <c r="BC25" s="125"/>
      <c r="BD25" s="121">
        <f t="shared" si="6"/>
        <v>0</v>
      </c>
      <c r="BE25" s="131"/>
      <c r="BF25" s="6">
        <f t="shared" si="7"/>
        <v>2337926</v>
      </c>
      <c r="BG25" s="124">
        <f t="shared" si="8"/>
        <v>837974</v>
      </c>
      <c r="BH25" s="125"/>
      <c r="BI25" s="31"/>
    </row>
    <row r="26" ht="12.75" customHeight="1">
      <c r="A26" s="132" t="s">
        <v>864</v>
      </c>
      <c r="B26" s="71" t="s">
        <v>130</v>
      </c>
      <c r="C26" s="133">
        <v>44376.0</v>
      </c>
      <c r="D26" s="133"/>
      <c r="E26" s="134" t="s">
        <v>128</v>
      </c>
      <c r="F26" s="134" t="s">
        <v>129</v>
      </c>
      <c r="G26" s="135" t="s">
        <v>131</v>
      </c>
      <c r="H26" s="136"/>
      <c r="I26" s="133" t="s">
        <v>94</v>
      </c>
      <c r="J26" s="137" t="s">
        <v>861</v>
      </c>
      <c r="K26" s="137" t="s">
        <v>851</v>
      </c>
      <c r="L26" s="138">
        <v>-837974.0</v>
      </c>
      <c r="M26" s="139"/>
      <c r="N26" s="139">
        <v>-837974.0</v>
      </c>
      <c r="O26" s="139"/>
      <c r="P26" s="139">
        <v>-837974.0</v>
      </c>
      <c r="Q26" s="139"/>
      <c r="R26" s="140"/>
      <c r="S26" s="141"/>
      <c r="T26" s="140"/>
      <c r="U26" s="140"/>
      <c r="V26" s="140"/>
      <c r="W26" s="140"/>
      <c r="X26" s="142">
        <f t="shared" si="1"/>
        <v>0</v>
      </c>
      <c r="Y26" s="141"/>
      <c r="Z26" s="140"/>
      <c r="AA26" s="140"/>
      <c r="AB26" s="140"/>
      <c r="AC26" s="142">
        <f t="shared" si="2"/>
        <v>0</v>
      </c>
      <c r="AD26" s="141"/>
      <c r="AE26" s="140"/>
      <c r="AF26" s="140"/>
      <c r="AG26" s="140"/>
      <c r="AH26" s="140"/>
      <c r="AI26" s="142">
        <f t="shared" si="3"/>
        <v>0</v>
      </c>
      <c r="AJ26" s="140"/>
      <c r="AK26" s="140"/>
      <c r="AL26" s="140"/>
      <c r="AM26" s="140"/>
      <c r="AN26" s="140"/>
      <c r="AO26" s="140"/>
      <c r="AP26" s="142">
        <f t="shared" si="4"/>
        <v>0</v>
      </c>
      <c r="AQ26" s="140"/>
      <c r="AR26" s="140"/>
      <c r="AS26" s="140"/>
      <c r="AT26" s="140"/>
      <c r="AU26" s="140"/>
      <c r="AV26" s="140"/>
      <c r="AW26" s="140"/>
      <c r="AX26" s="142">
        <f t="shared" si="5"/>
        <v>0</v>
      </c>
      <c r="AY26" s="140"/>
      <c r="AZ26" s="140"/>
      <c r="BA26" s="140"/>
      <c r="BB26" s="140"/>
      <c r="BC26" s="140"/>
      <c r="BD26" s="121">
        <f t="shared" si="6"/>
        <v>0</v>
      </c>
      <c r="BE26" s="143"/>
      <c r="BF26" s="6">
        <f t="shared" si="7"/>
        <v>0</v>
      </c>
      <c r="BG26" s="124">
        <f t="shared" si="8"/>
        <v>-837974</v>
      </c>
      <c r="BH26" s="141"/>
      <c r="BI26" s="135"/>
    </row>
    <row r="27" ht="12.75" customHeight="1">
      <c r="A27" s="71">
        <v>12.0</v>
      </c>
      <c r="B27" s="71" t="s">
        <v>137</v>
      </c>
      <c r="C27" s="11">
        <v>44172.0</v>
      </c>
      <c r="D27" s="11"/>
      <c r="E27" s="2" t="s">
        <v>135</v>
      </c>
      <c r="F27" s="2" t="s">
        <v>136</v>
      </c>
      <c r="G27" s="2" t="s">
        <v>138</v>
      </c>
      <c r="H27" s="54"/>
      <c r="I27" s="30" t="s">
        <v>139</v>
      </c>
      <c r="J27" s="54" t="s">
        <v>865</v>
      </c>
      <c r="K27" s="54" t="s">
        <v>854</v>
      </c>
      <c r="L27" s="40">
        <v>368522.0</v>
      </c>
      <c r="M27" s="5">
        <v>0.0</v>
      </c>
      <c r="N27" s="5">
        <v>368522.0</v>
      </c>
      <c r="O27" s="5"/>
      <c r="P27" s="5">
        <v>368522.0</v>
      </c>
      <c r="Q27" s="5"/>
      <c r="R27" s="6"/>
      <c r="S27" s="6">
        <v>0.0</v>
      </c>
      <c r="T27" s="6">
        <v>227000.0</v>
      </c>
      <c r="U27" s="6">
        <v>130000.0</v>
      </c>
      <c r="V27" s="6"/>
      <c r="W27" s="6">
        <v>11522.0</v>
      </c>
      <c r="X27" s="121">
        <f t="shared" si="1"/>
        <v>368522</v>
      </c>
      <c r="Y27" s="6"/>
      <c r="Z27" s="6"/>
      <c r="AA27" s="6"/>
      <c r="AB27" s="6"/>
      <c r="AC27" s="121">
        <f t="shared" si="2"/>
        <v>0</v>
      </c>
      <c r="AD27" s="6"/>
      <c r="AE27" s="6"/>
      <c r="AF27" s="6"/>
      <c r="AG27" s="6"/>
      <c r="AH27" s="6"/>
      <c r="AI27" s="121">
        <f t="shared" si="3"/>
        <v>0</v>
      </c>
      <c r="AJ27" s="6"/>
      <c r="AK27" s="122"/>
      <c r="AL27" s="6"/>
      <c r="AM27" s="6"/>
      <c r="AN27" s="6"/>
      <c r="AO27" s="6"/>
      <c r="AP27" s="121">
        <f t="shared" si="4"/>
        <v>0</v>
      </c>
      <c r="AQ27" s="6"/>
      <c r="AR27" s="6"/>
      <c r="AS27" s="6"/>
      <c r="AT27" s="6"/>
      <c r="AU27" s="6"/>
      <c r="AV27" s="6"/>
      <c r="AW27" s="6"/>
      <c r="AX27" s="121">
        <f t="shared" si="5"/>
        <v>0</v>
      </c>
      <c r="AY27" s="6"/>
      <c r="AZ27" s="6"/>
      <c r="BA27" s="6"/>
      <c r="BB27" s="6"/>
      <c r="BC27" s="6"/>
      <c r="BD27" s="121">
        <f t="shared" si="6"/>
        <v>0</v>
      </c>
      <c r="BE27" s="123"/>
      <c r="BF27" s="6">
        <f t="shared" si="7"/>
        <v>368522</v>
      </c>
      <c r="BG27" s="124">
        <f t="shared" si="8"/>
        <v>0</v>
      </c>
      <c r="BH27" s="6"/>
      <c r="BI27" s="2"/>
    </row>
    <row r="28" ht="12.75" customHeight="1">
      <c r="A28" s="71">
        <v>13.0</v>
      </c>
      <c r="B28" s="71" t="s">
        <v>142</v>
      </c>
      <c r="C28" s="11">
        <v>44084.0</v>
      </c>
      <c r="D28" s="11"/>
      <c r="E28" s="2" t="s">
        <v>140</v>
      </c>
      <c r="F28" s="2" t="s">
        <v>141</v>
      </c>
      <c r="G28" s="2" t="s">
        <v>143</v>
      </c>
      <c r="H28" s="54"/>
      <c r="I28" s="30" t="s">
        <v>144</v>
      </c>
      <c r="J28" s="54" t="s">
        <v>866</v>
      </c>
      <c r="K28" s="54" t="s">
        <v>854</v>
      </c>
      <c r="L28" s="40">
        <v>500000.0</v>
      </c>
      <c r="M28" s="5">
        <v>0.0</v>
      </c>
      <c r="N28" s="5">
        <v>500000.0</v>
      </c>
      <c r="O28" s="5"/>
      <c r="P28" s="5">
        <v>500000.0</v>
      </c>
      <c r="Q28" s="5"/>
      <c r="R28" s="6"/>
      <c r="S28" s="6">
        <v>0.0</v>
      </c>
      <c r="T28" s="6">
        <v>425000.0</v>
      </c>
      <c r="U28" s="6">
        <v>75000.0</v>
      </c>
      <c r="V28" s="6"/>
      <c r="W28" s="6"/>
      <c r="X28" s="121">
        <f t="shared" si="1"/>
        <v>500000</v>
      </c>
      <c r="Y28" s="6"/>
      <c r="Z28" s="6"/>
      <c r="AA28" s="6"/>
      <c r="AB28" s="6"/>
      <c r="AC28" s="121">
        <f t="shared" si="2"/>
        <v>0</v>
      </c>
      <c r="AD28" s="6"/>
      <c r="AE28" s="6"/>
      <c r="AF28" s="6"/>
      <c r="AG28" s="6"/>
      <c r="AH28" s="6"/>
      <c r="AI28" s="121">
        <f t="shared" si="3"/>
        <v>0</v>
      </c>
      <c r="AJ28" s="6"/>
      <c r="AK28" s="122"/>
      <c r="AL28" s="6"/>
      <c r="AM28" s="6"/>
      <c r="AN28" s="6"/>
      <c r="AO28" s="6"/>
      <c r="AP28" s="121">
        <f t="shared" si="4"/>
        <v>0</v>
      </c>
      <c r="AQ28" s="6"/>
      <c r="AR28" s="6"/>
      <c r="AS28" s="6"/>
      <c r="AT28" s="6"/>
      <c r="AU28" s="6"/>
      <c r="AV28" s="6"/>
      <c r="AW28" s="6"/>
      <c r="AX28" s="121">
        <f t="shared" si="5"/>
        <v>0</v>
      </c>
      <c r="AY28" s="6"/>
      <c r="AZ28" s="6"/>
      <c r="BA28" s="6"/>
      <c r="BB28" s="6"/>
      <c r="BC28" s="6"/>
      <c r="BD28" s="121">
        <f t="shared" si="6"/>
        <v>0</v>
      </c>
      <c r="BE28" s="123"/>
      <c r="BF28" s="6">
        <f t="shared" si="7"/>
        <v>500000</v>
      </c>
      <c r="BG28" s="124">
        <f t="shared" si="8"/>
        <v>0</v>
      </c>
      <c r="BH28" s="6"/>
      <c r="BI28" s="2"/>
    </row>
    <row r="29" ht="12.75" customHeight="1">
      <c r="A29" s="71">
        <v>14.0</v>
      </c>
      <c r="B29" s="71" t="s">
        <v>147</v>
      </c>
      <c r="C29" s="11">
        <v>44130.0</v>
      </c>
      <c r="D29" s="11"/>
      <c r="E29" s="2" t="s">
        <v>145</v>
      </c>
      <c r="F29" s="2" t="s">
        <v>146</v>
      </c>
      <c r="G29" s="2" t="s">
        <v>148</v>
      </c>
      <c r="H29" s="54"/>
      <c r="I29" s="30" t="s">
        <v>149</v>
      </c>
      <c r="J29" s="54" t="s">
        <v>867</v>
      </c>
      <c r="K29" s="54" t="s">
        <v>860</v>
      </c>
      <c r="L29" s="40">
        <v>506000.0</v>
      </c>
      <c r="M29" s="5">
        <v>0.0</v>
      </c>
      <c r="N29" s="5">
        <f>L29</f>
        <v>506000</v>
      </c>
      <c r="O29" s="5"/>
      <c r="P29" s="5">
        <v>506000.0</v>
      </c>
      <c r="Q29" s="5"/>
      <c r="R29" s="6"/>
      <c r="S29" s="6">
        <v>0.0</v>
      </c>
      <c r="T29" s="6"/>
      <c r="U29" s="6">
        <v>50000.0</v>
      </c>
      <c r="V29" s="6"/>
      <c r="W29" s="6">
        <v>200000.0</v>
      </c>
      <c r="X29" s="121">
        <f t="shared" si="1"/>
        <v>250000</v>
      </c>
      <c r="Y29" s="6"/>
      <c r="Z29" s="6">
        <v>128000.0</v>
      </c>
      <c r="AA29" s="6">
        <v>128000.0</v>
      </c>
      <c r="AB29" s="6"/>
      <c r="AC29" s="121">
        <f t="shared" si="2"/>
        <v>256000</v>
      </c>
      <c r="AD29" s="6"/>
      <c r="AE29" s="6"/>
      <c r="AF29" s="6"/>
      <c r="AG29" s="6"/>
      <c r="AH29" s="6"/>
      <c r="AI29" s="121">
        <f t="shared" si="3"/>
        <v>0</v>
      </c>
      <c r="AJ29" s="6"/>
      <c r="AK29" s="122"/>
      <c r="AL29" s="6"/>
      <c r="AM29" s="6"/>
      <c r="AN29" s="6"/>
      <c r="AO29" s="6"/>
      <c r="AP29" s="121">
        <f t="shared" si="4"/>
        <v>0</v>
      </c>
      <c r="AQ29" s="6"/>
      <c r="AR29" s="6"/>
      <c r="AS29" s="6"/>
      <c r="AT29" s="6"/>
      <c r="AU29" s="6"/>
      <c r="AV29" s="6"/>
      <c r="AW29" s="6"/>
      <c r="AX29" s="121">
        <f t="shared" si="5"/>
        <v>0</v>
      </c>
      <c r="AY29" s="6"/>
      <c r="AZ29" s="6"/>
      <c r="BA29" s="6"/>
      <c r="BB29" s="6"/>
      <c r="BC29" s="6"/>
      <c r="BD29" s="121">
        <f t="shared" si="6"/>
        <v>0</v>
      </c>
      <c r="BE29" s="123"/>
      <c r="BF29" s="6">
        <f t="shared" si="7"/>
        <v>506000</v>
      </c>
      <c r="BG29" s="124">
        <f t="shared" si="8"/>
        <v>0</v>
      </c>
      <c r="BH29" s="6"/>
      <c r="BI29" s="2"/>
    </row>
    <row r="30" ht="12.75" customHeight="1">
      <c r="A30" s="71">
        <v>15.0</v>
      </c>
      <c r="B30" s="71" t="s">
        <v>152</v>
      </c>
      <c r="C30" s="11">
        <v>44134.0</v>
      </c>
      <c r="D30" s="11"/>
      <c r="E30" s="2" t="s">
        <v>150</v>
      </c>
      <c r="F30" s="2" t="s">
        <v>151</v>
      </c>
      <c r="G30" s="2" t="s">
        <v>153</v>
      </c>
      <c r="H30" s="54"/>
      <c r="I30" s="30" t="s">
        <v>154</v>
      </c>
      <c r="J30" s="54" t="s">
        <v>859</v>
      </c>
      <c r="K30" s="54" t="s">
        <v>860</v>
      </c>
      <c r="L30" s="40">
        <v>217425.0</v>
      </c>
      <c r="M30" s="5">
        <v>0.0</v>
      </c>
      <c r="N30" s="5">
        <v>11425.0</v>
      </c>
      <c r="O30" s="5"/>
      <c r="P30" s="5">
        <v>11425.0</v>
      </c>
      <c r="Q30" s="5"/>
      <c r="R30" s="6"/>
      <c r="S30" s="6">
        <v>0.0</v>
      </c>
      <c r="T30" s="6">
        <v>11425.0</v>
      </c>
      <c r="U30" s="6"/>
      <c r="V30" s="6"/>
      <c r="W30" s="6"/>
      <c r="X30" s="121">
        <f t="shared" si="1"/>
        <v>11425</v>
      </c>
      <c r="Y30" s="6"/>
      <c r="Z30" s="6"/>
      <c r="AA30" s="6"/>
      <c r="AB30" s="6"/>
      <c r="AC30" s="121">
        <f t="shared" si="2"/>
        <v>0</v>
      </c>
      <c r="AD30" s="6"/>
      <c r="AE30" s="6"/>
      <c r="AF30" s="6"/>
      <c r="AG30" s="6"/>
      <c r="AH30" s="6"/>
      <c r="AI30" s="121">
        <f t="shared" si="3"/>
        <v>0</v>
      </c>
      <c r="AJ30" s="6"/>
      <c r="AK30" s="122"/>
      <c r="AL30" s="6"/>
      <c r="AM30" s="6"/>
      <c r="AN30" s="6"/>
      <c r="AO30" s="6"/>
      <c r="AP30" s="121">
        <f t="shared" si="4"/>
        <v>0</v>
      </c>
      <c r="AQ30" s="6"/>
      <c r="AR30" s="6"/>
      <c r="AS30" s="6"/>
      <c r="AT30" s="6"/>
      <c r="AU30" s="6"/>
      <c r="AV30" s="6"/>
      <c r="AW30" s="6"/>
      <c r="AX30" s="121">
        <f t="shared" si="5"/>
        <v>0</v>
      </c>
      <c r="AY30" s="6"/>
      <c r="AZ30" s="6"/>
      <c r="BA30" s="6"/>
      <c r="BB30" s="6"/>
      <c r="BC30" s="6"/>
      <c r="BD30" s="121">
        <f t="shared" si="6"/>
        <v>0</v>
      </c>
      <c r="BE30" s="123"/>
      <c r="BF30" s="6">
        <f t="shared" si="7"/>
        <v>11425</v>
      </c>
      <c r="BG30" s="124">
        <f t="shared" si="8"/>
        <v>0</v>
      </c>
      <c r="BH30" s="6"/>
      <c r="BI30" s="2"/>
    </row>
    <row r="31" ht="12.75" customHeight="1">
      <c r="A31" s="71">
        <v>15.0</v>
      </c>
      <c r="B31" s="71" t="s">
        <v>152</v>
      </c>
      <c r="C31" s="11">
        <v>44134.0</v>
      </c>
      <c r="D31" s="11"/>
      <c r="E31" s="2" t="s">
        <v>150</v>
      </c>
      <c r="F31" s="2" t="s">
        <v>151</v>
      </c>
      <c r="G31" s="2" t="s">
        <v>153</v>
      </c>
      <c r="H31" s="54"/>
      <c r="I31" s="30" t="s">
        <v>154</v>
      </c>
      <c r="J31" s="54" t="s">
        <v>868</v>
      </c>
      <c r="K31" s="54" t="s">
        <v>860</v>
      </c>
      <c r="L31" s="40"/>
      <c r="M31" s="5">
        <v>0.0</v>
      </c>
      <c r="N31" s="5">
        <v>206000.0</v>
      </c>
      <c r="O31" s="5"/>
      <c r="P31" s="5">
        <v>206000.0</v>
      </c>
      <c r="Q31" s="5"/>
      <c r="R31" s="6"/>
      <c r="S31" s="6">
        <v>0.0</v>
      </c>
      <c r="T31" s="6">
        <v>178575.0</v>
      </c>
      <c r="U31" s="6">
        <v>27425.0</v>
      </c>
      <c r="V31" s="6"/>
      <c r="W31" s="6"/>
      <c r="X31" s="121">
        <f t="shared" si="1"/>
        <v>206000</v>
      </c>
      <c r="Y31" s="6"/>
      <c r="Z31" s="6"/>
      <c r="AA31" s="6"/>
      <c r="AB31" s="6"/>
      <c r="AC31" s="121">
        <f t="shared" si="2"/>
        <v>0</v>
      </c>
      <c r="AD31" s="6"/>
      <c r="AE31" s="6"/>
      <c r="AF31" s="6"/>
      <c r="AG31" s="6"/>
      <c r="AH31" s="6"/>
      <c r="AI31" s="121">
        <f t="shared" si="3"/>
        <v>0</v>
      </c>
      <c r="AJ31" s="6"/>
      <c r="AK31" s="122"/>
      <c r="AL31" s="6"/>
      <c r="AM31" s="6"/>
      <c r="AN31" s="6"/>
      <c r="AO31" s="6"/>
      <c r="AP31" s="121">
        <f t="shared" si="4"/>
        <v>0</v>
      </c>
      <c r="AQ31" s="6"/>
      <c r="AR31" s="6"/>
      <c r="AS31" s="6"/>
      <c r="AT31" s="6"/>
      <c r="AU31" s="6"/>
      <c r="AV31" s="6"/>
      <c r="AW31" s="6"/>
      <c r="AX31" s="121">
        <f t="shared" si="5"/>
        <v>0</v>
      </c>
      <c r="AY31" s="6"/>
      <c r="AZ31" s="6"/>
      <c r="BA31" s="6"/>
      <c r="BB31" s="6"/>
      <c r="BC31" s="6"/>
      <c r="BD31" s="121">
        <f t="shared" si="6"/>
        <v>0</v>
      </c>
      <c r="BE31" s="123"/>
      <c r="BF31" s="6">
        <f t="shared" si="7"/>
        <v>206000</v>
      </c>
      <c r="BG31" s="124">
        <f t="shared" si="8"/>
        <v>0</v>
      </c>
      <c r="BH31" s="6"/>
      <c r="BI31" s="2"/>
    </row>
    <row r="32" ht="12.75" customHeight="1">
      <c r="A32" s="71" t="s">
        <v>869</v>
      </c>
      <c r="B32" s="71" t="s">
        <v>157</v>
      </c>
      <c r="C32" s="11">
        <v>44235.0</v>
      </c>
      <c r="D32" s="11"/>
      <c r="E32" s="2" t="s">
        <v>155</v>
      </c>
      <c r="F32" s="2" t="s">
        <v>156</v>
      </c>
      <c r="G32" s="2" t="s">
        <v>158</v>
      </c>
      <c r="H32" s="54"/>
      <c r="I32" s="30" t="s">
        <v>159</v>
      </c>
      <c r="J32" s="54" t="s">
        <v>861</v>
      </c>
      <c r="K32" s="54" t="s">
        <v>851</v>
      </c>
      <c r="L32" s="40">
        <v>175000.0</v>
      </c>
      <c r="M32" s="5">
        <v>0.0</v>
      </c>
      <c r="N32" s="5">
        <v>175000.0</v>
      </c>
      <c r="O32" s="5"/>
      <c r="P32" s="5">
        <v>175000.0</v>
      </c>
      <c r="Q32" s="5"/>
      <c r="R32" s="6"/>
      <c r="S32" s="6">
        <v>0.0</v>
      </c>
      <c r="T32" s="6"/>
      <c r="U32" s="6">
        <v>50000.0</v>
      </c>
      <c r="V32" s="6"/>
      <c r="W32" s="6"/>
      <c r="X32" s="121">
        <f t="shared" si="1"/>
        <v>50000</v>
      </c>
      <c r="Y32" s="6"/>
      <c r="Z32" s="6">
        <v>50000.0</v>
      </c>
      <c r="AA32" s="6">
        <v>75000.0</v>
      </c>
      <c r="AB32" s="6"/>
      <c r="AC32" s="121">
        <f t="shared" si="2"/>
        <v>125000</v>
      </c>
      <c r="AD32" s="6"/>
      <c r="AE32" s="6"/>
      <c r="AF32" s="6"/>
      <c r="AG32" s="6"/>
      <c r="AH32" s="6"/>
      <c r="AI32" s="121">
        <f t="shared" si="3"/>
        <v>0</v>
      </c>
      <c r="AJ32" s="6"/>
      <c r="AK32" s="122"/>
      <c r="AL32" s="6"/>
      <c r="AM32" s="6"/>
      <c r="AN32" s="6"/>
      <c r="AO32" s="6"/>
      <c r="AP32" s="121">
        <f t="shared" si="4"/>
        <v>0</v>
      </c>
      <c r="AQ32" s="6"/>
      <c r="AR32" s="6"/>
      <c r="AS32" s="6"/>
      <c r="AT32" s="6"/>
      <c r="AU32" s="6"/>
      <c r="AV32" s="6"/>
      <c r="AW32" s="6"/>
      <c r="AX32" s="121">
        <f t="shared" si="5"/>
        <v>0</v>
      </c>
      <c r="AY32" s="6"/>
      <c r="AZ32" s="6"/>
      <c r="BA32" s="6"/>
      <c r="BB32" s="6"/>
      <c r="BC32" s="6"/>
      <c r="BD32" s="121">
        <f t="shared" si="6"/>
        <v>0</v>
      </c>
      <c r="BE32" s="123"/>
      <c r="BF32" s="6">
        <f t="shared" si="7"/>
        <v>175000</v>
      </c>
      <c r="BG32" s="124">
        <f t="shared" si="8"/>
        <v>0</v>
      </c>
      <c r="BH32" s="6"/>
      <c r="BI32" s="2"/>
    </row>
    <row r="33" ht="12.75" customHeight="1">
      <c r="A33" s="71">
        <v>17.0</v>
      </c>
      <c r="B33" s="71" t="s">
        <v>162</v>
      </c>
      <c r="C33" s="11">
        <v>44098.0</v>
      </c>
      <c r="D33" s="11"/>
      <c r="E33" s="2" t="s">
        <v>160</v>
      </c>
      <c r="F33" s="2" t="s">
        <v>161</v>
      </c>
      <c r="G33" s="2" t="s">
        <v>163</v>
      </c>
      <c r="H33" s="54"/>
      <c r="I33" s="30" t="s">
        <v>164</v>
      </c>
      <c r="J33" s="54" t="s">
        <v>870</v>
      </c>
      <c r="K33" s="54" t="s">
        <v>851</v>
      </c>
      <c r="L33" s="40">
        <v>5314000.0</v>
      </c>
      <c r="M33" s="5">
        <v>0.0</v>
      </c>
      <c r="N33" s="5">
        <f>L33</f>
        <v>5314000</v>
      </c>
      <c r="O33" s="5"/>
      <c r="P33" s="5">
        <v>5314000.0</v>
      </c>
      <c r="Q33" s="5"/>
      <c r="R33" s="6"/>
      <c r="S33" s="6">
        <v>0.0</v>
      </c>
      <c r="T33" s="6">
        <v>461000.0</v>
      </c>
      <c r="U33" s="6">
        <v>500000.0</v>
      </c>
      <c r="V33" s="6"/>
      <c r="W33" s="6">
        <v>1500000.0</v>
      </c>
      <c r="X33" s="121">
        <f t="shared" si="1"/>
        <v>2461000</v>
      </c>
      <c r="Y33" s="6"/>
      <c r="Z33" s="6">
        <v>713250.0</v>
      </c>
      <c r="AA33" s="6"/>
      <c r="AB33" s="6">
        <v>715000.0</v>
      </c>
      <c r="AC33" s="121">
        <f t="shared" si="2"/>
        <v>1428250</v>
      </c>
      <c r="AD33" s="6">
        <v>712375.0</v>
      </c>
      <c r="AE33" s="6">
        <v>712375.0</v>
      </c>
      <c r="AF33" s="6"/>
      <c r="AG33" s="6"/>
      <c r="AH33" s="6"/>
      <c r="AI33" s="121">
        <f t="shared" si="3"/>
        <v>1424750</v>
      </c>
      <c r="AJ33" s="6"/>
      <c r="AK33" s="122"/>
      <c r="AL33" s="6"/>
      <c r="AM33" s="6"/>
      <c r="AN33" s="6"/>
      <c r="AO33" s="6"/>
      <c r="AP33" s="121">
        <f t="shared" si="4"/>
        <v>0</v>
      </c>
      <c r="AQ33" s="6"/>
      <c r="AR33" s="6"/>
      <c r="AS33" s="6"/>
      <c r="AT33" s="6"/>
      <c r="AU33" s="6"/>
      <c r="AV33" s="6"/>
      <c r="AW33" s="6"/>
      <c r="AX33" s="121">
        <f t="shared" si="5"/>
        <v>0</v>
      </c>
      <c r="AY33" s="6"/>
      <c r="AZ33" s="6"/>
      <c r="BA33" s="6"/>
      <c r="BB33" s="6"/>
      <c r="BC33" s="6"/>
      <c r="BD33" s="121">
        <f t="shared" si="6"/>
        <v>0</v>
      </c>
      <c r="BE33" s="123"/>
      <c r="BF33" s="6">
        <f t="shared" si="7"/>
        <v>5314000</v>
      </c>
      <c r="BG33" s="124">
        <f t="shared" si="8"/>
        <v>0</v>
      </c>
      <c r="BH33" s="6"/>
      <c r="BI33" s="2"/>
    </row>
    <row r="34" ht="12.75" customHeight="1">
      <c r="A34" s="71">
        <v>18.0</v>
      </c>
      <c r="B34" s="71" t="s">
        <v>167</v>
      </c>
      <c r="C34" s="11">
        <v>44154.0</v>
      </c>
      <c r="D34" s="11"/>
      <c r="E34" s="2" t="s">
        <v>165</v>
      </c>
      <c r="F34" s="2" t="s">
        <v>166</v>
      </c>
      <c r="G34" s="2" t="s">
        <v>168</v>
      </c>
      <c r="H34" s="54"/>
      <c r="I34" s="30" t="s">
        <v>169</v>
      </c>
      <c r="J34" s="54" t="s">
        <v>871</v>
      </c>
      <c r="K34" s="54" t="s">
        <v>851</v>
      </c>
      <c r="L34" s="40">
        <v>1750000.0</v>
      </c>
      <c r="M34" s="5">
        <v>0.0</v>
      </c>
      <c r="N34" s="5">
        <v>875000.0</v>
      </c>
      <c r="O34" s="5"/>
      <c r="P34" s="5">
        <v>875000.0</v>
      </c>
      <c r="Q34" s="5"/>
      <c r="R34" s="6"/>
      <c r="S34" s="6">
        <v>0.0</v>
      </c>
      <c r="T34" s="6">
        <v>875000.0</v>
      </c>
      <c r="U34" s="6"/>
      <c r="V34" s="6"/>
      <c r="W34" s="6"/>
      <c r="X34" s="121">
        <f t="shared" si="1"/>
        <v>875000</v>
      </c>
      <c r="Y34" s="6"/>
      <c r="Z34" s="6"/>
      <c r="AA34" s="6"/>
      <c r="AB34" s="6"/>
      <c r="AC34" s="121">
        <f t="shared" si="2"/>
        <v>0</v>
      </c>
      <c r="AD34" s="6"/>
      <c r="AE34" s="6"/>
      <c r="AF34" s="6"/>
      <c r="AG34" s="6"/>
      <c r="AH34" s="6"/>
      <c r="AI34" s="121">
        <f t="shared" si="3"/>
        <v>0</v>
      </c>
      <c r="AJ34" s="6"/>
      <c r="AK34" s="122"/>
      <c r="AL34" s="6"/>
      <c r="AM34" s="6"/>
      <c r="AN34" s="6"/>
      <c r="AO34" s="6"/>
      <c r="AP34" s="121">
        <f t="shared" si="4"/>
        <v>0</v>
      </c>
      <c r="AQ34" s="6"/>
      <c r="AR34" s="6"/>
      <c r="AS34" s="6"/>
      <c r="AT34" s="6"/>
      <c r="AU34" s="6"/>
      <c r="AV34" s="6"/>
      <c r="AW34" s="6"/>
      <c r="AX34" s="121">
        <f t="shared" si="5"/>
        <v>0</v>
      </c>
      <c r="AY34" s="6"/>
      <c r="AZ34" s="6"/>
      <c r="BA34" s="6"/>
      <c r="BB34" s="6"/>
      <c r="BC34" s="6"/>
      <c r="BD34" s="121">
        <f t="shared" si="6"/>
        <v>0</v>
      </c>
      <c r="BE34" s="123"/>
      <c r="BF34" s="6">
        <f t="shared" si="7"/>
        <v>875000</v>
      </c>
      <c r="BG34" s="124">
        <f t="shared" si="8"/>
        <v>0</v>
      </c>
      <c r="BH34" s="6"/>
      <c r="BI34" s="2"/>
    </row>
    <row r="35" ht="12.75" customHeight="1">
      <c r="A35" s="71">
        <v>18.0</v>
      </c>
      <c r="B35" s="71"/>
      <c r="C35" s="11">
        <v>44154.0</v>
      </c>
      <c r="D35" s="11"/>
      <c r="E35" s="2" t="s">
        <v>165</v>
      </c>
      <c r="F35" s="2" t="s">
        <v>166</v>
      </c>
      <c r="G35" s="2" t="s">
        <v>168</v>
      </c>
      <c r="H35" s="54"/>
      <c r="I35" s="30" t="s">
        <v>169</v>
      </c>
      <c r="J35" s="54" t="s">
        <v>872</v>
      </c>
      <c r="K35" s="54" t="s">
        <v>851</v>
      </c>
      <c r="L35" s="40"/>
      <c r="M35" s="5">
        <v>0.0</v>
      </c>
      <c r="N35" s="5">
        <v>875000.0</v>
      </c>
      <c r="O35" s="5"/>
      <c r="P35" s="5">
        <v>875000.0</v>
      </c>
      <c r="Q35" s="5"/>
      <c r="R35" s="6"/>
      <c r="S35" s="6">
        <v>0.0</v>
      </c>
      <c r="T35" s="6">
        <v>823000.0</v>
      </c>
      <c r="U35" s="6">
        <v>52000.0</v>
      </c>
      <c r="V35" s="6"/>
      <c r="W35" s="6"/>
      <c r="X35" s="121">
        <f t="shared" si="1"/>
        <v>875000</v>
      </c>
      <c r="Y35" s="6"/>
      <c r="Z35" s="6"/>
      <c r="AA35" s="6"/>
      <c r="AB35" s="6"/>
      <c r="AC35" s="121">
        <f t="shared" si="2"/>
        <v>0</v>
      </c>
      <c r="AD35" s="6"/>
      <c r="AE35" s="6"/>
      <c r="AF35" s="6"/>
      <c r="AG35" s="6"/>
      <c r="AH35" s="6"/>
      <c r="AI35" s="121">
        <f t="shared" si="3"/>
        <v>0</v>
      </c>
      <c r="AJ35" s="6"/>
      <c r="AK35" s="122"/>
      <c r="AL35" s="6"/>
      <c r="AM35" s="6"/>
      <c r="AN35" s="6"/>
      <c r="AO35" s="6"/>
      <c r="AP35" s="121">
        <f t="shared" si="4"/>
        <v>0</v>
      </c>
      <c r="AQ35" s="6"/>
      <c r="AR35" s="6"/>
      <c r="AS35" s="6"/>
      <c r="AT35" s="6"/>
      <c r="AU35" s="6"/>
      <c r="AV35" s="6"/>
      <c r="AW35" s="6"/>
      <c r="AX35" s="121">
        <f t="shared" si="5"/>
        <v>0</v>
      </c>
      <c r="AY35" s="6"/>
      <c r="AZ35" s="6"/>
      <c r="BA35" s="6"/>
      <c r="BB35" s="6"/>
      <c r="BC35" s="6"/>
      <c r="BD35" s="121">
        <f t="shared" si="6"/>
        <v>0</v>
      </c>
      <c r="BE35" s="123"/>
      <c r="BF35" s="6">
        <f t="shared" si="7"/>
        <v>875000</v>
      </c>
      <c r="BG35" s="124">
        <f t="shared" si="8"/>
        <v>0</v>
      </c>
      <c r="BH35" s="6"/>
      <c r="BI35" s="2"/>
    </row>
    <row r="36" ht="12.75" customHeight="1">
      <c r="A36" s="71">
        <v>19.0</v>
      </c>
      <c r="B36" s="71"/>
      <c r="C36" s="11">
        <v>44187.0</v>
      </c>
      <c r="D36" s="11"/>
      <c r="E36" s="2" t="s">
        <v>170</v>
      </c>
      <c r="F36" s="2" t="s">
        <v>171</v>
      </c>
      <c r="G36" s="2" t="s">
        <v>173</v>
      </c>
      <c r="H36" s="54"/>
      <c r="I36" s="30" t="s">
        <v>174</v>
      </c>
      <c r="J36" s="54" t="s">
        <v>873</v>
      </c>
      <c r="K36" s="54" t="s">
        <v>851</v>
      </c>
      <c r="L36" s="40">
        <v>596160.0</v>
      </c>
      <c r="M36" s="5">
        <v>0.0</v>
      </c>
      <c r="N36" s="5">
        <v>596160.0</v>
      </c>
      <c r="O36" s="5"/>
      <c r="P36" s="5">
        <v>596160.0</v>
      </c>
      <c r="Q36" s="5"/>
      <c r="R36" s="6"/>
      <c r="S36" s="6">
        <v>0.0</v>
      </c>
      <c r="T36" s="6"/>
      <c r="U36" s="6">
        <v>370000.0</v>
      </c>
      <c r="V36" s="6"/>
      <c r="W36" s="6">
        <v>226160.0</v>
      </c>
      <c r="X36" s="121">
        <f t="shared" si="1"/>
        <v>596160</v>
      </c>
      <c r="Y36" s="6"/>
      <c r="Z36" s="6"/>
      <c r="AA36" s="6"/>
      <c r="AB36" s="6"/>
      <c r="AC36" s="121">
        <f t="shared" si="2"/>
        <v>0</v>
      </c>
      <c r="AD36" s="6"/>
      <c r="AE36" s="6"/>
      <c r="AF36" s="6"/>
      <c r="AG36" s="6"/>
      <c r="AH36" s="6"/>
      <c r="AI36" s="121">
        <f t="shared" si="3"/>
        <v>0</v>
      </c>
      <c r="AJ36" s="6"/>
      <c r="AK36" s="122"/>
      <c r="AL36" s="6"/>
      <c r="AM36" s="6"/>
      <c r="AN36" s="6"/>
      <c r="AO36" s="6"/>
      <c r="AP36" s="121">
        <f t="shared" si="4"/>
        <v>0</v>
      </c>
      <c r="AQ36" s="6"/>
      <c r="AR36" s="6"/>
      <c r="AS36" s="6"/>
      <c r="AT36" s="6"/>
      <c r="AU36" s="6"/>
      <c r="AV36" s="6"/>
      <c r="AW36" s="6"/>
      <c r="AX36" s="121">
        <f t="shared" si="5"/>
        <v>0</v>
      </c>
      <c r="AY36" s="6"/>
      <c r="AZ36" s="6"/>
      <c r="BA36" s="6"/>
      <c r="BB36" s="6"/>
      <c r="BC36" s="6"/>
      <c r="BD36" s="121">
        <f t="shared" si="6"/>
        <v>0</v>
      </c>
      <c r="BE36" s="123"/>
      <c r="BF36" s="6">
        <f t="shared" si="7"/>
        <v>596160</v>
      </c>
      <c r="BG36" s="124">
        <f t="shared" si="8"/>
        <v>0</v>
      </c>
      <c r="BH36" s="6"/>
      <c r="BI36" s="2"/>
    </row>
    <row r="37" ht="12.75" customHeight="1">
      <c r="A37" s="71">
        <v>20.0</v>
      </c>
      <c r="B37" s="71"/>
      <c r="C37" s="11">
        <v>44237.0</v>
      </c>
      <c r="D37" s="11"/>
      <c r="E37" s="2" t="s">
        <v>175</v>
      </c>
      <c r="F37" s="2" t="s">
        <v>176</v>
      </c>
      <c r="G37" s="2" t="s">
        <v>178</v>
      </c>
      <c r="H37" s="54"/>
      <c r="I37" s="30" t="s">
        <v>179</v>
      </c>
      <c r="J37" s="54" t="s">
        <v>874</v>
      </c>
      <c r="K37" s="54" t="s">
        <v>860</v>
      </c>
      <c r="L37" s="40">
        <v>4388400.0</v>
      </c>
      <c r="M37" s="5">
        <v>0.0</v>
      </c>
      <c r="N37" s="5">
        <v>4388400.0</v>
      </c>
      <c r="O37" s="5"/>
      <c r="P37" s="5">
        <v>4388400.0</v>
      </c>
      <c r="Q37" s="5"/>
      <c r="R37" s="6"/>
      <c r="S37" s="6">
        <v>0.0</v>
      </c>
      <c r="T37" s="6"/>
      <c r="U37" s="6">
        <v>100000.0</v>
      </c>
      <c r="V37" s="6"/>
      <c r="W37" s="6">
        <v>500000.0</v>
      </c>
      <c r="X37" s="121">
        <f t="shared" si="1"/>
        <v>600000</v>
      </c>
      <c r="Y37" s="6">
        <v>150000.0</v>
      </c>
      <c r="Z37" s="6">
        <v>600000.0</v>
      </c>
      <c r="AA37" s="6"/>
      <c r="AB37" s="6">
        <v>750000.0</v>
      </c>
      <c r="AC37" s="121">
        <f t="shared" si="2"/>
        <v>1500000</v>
      </c>
      <c r="AD37" s="144">
        <f>762800-762800</f>
        <v>0</v>
      </c>
      <c r="AE37" s="145">
        <f>762800+762800</f>
        <v>1525600</v>
      </c>
      <c r="AF37" s="6"/>
      <c r="AG37" s="6">
        <v>400000.0</v>
      </c>
      <c r="AH37" s="6">
        <v>362800.0</v>
      </c>
      <c r="AI37" s="121">
        <f t="shared" si="3"/>
        <v>2288400</v>
      </c>
      <c r="AJ37" s="6"/>
      <c r="AK37" s="122"/>
      <c r="AL37" s="6"/>
      <c r="AM37" s="6"/>
      <c r="AN37" s="6"/>
      <c r="AO37" s="6"/>
      <c r="AP37" s="121">
        <f t="shared" si="4"/>
        <v>0</v>
      </c>
      <c r="AQ37" s="6"/>
      <c r="AR37" s="6"/>
      <c r="AS37" s="6"/>
      <c r="AT37" s="6"/>
      <c r="AU37" s="6"/>
      <c r="AV37" s="6"/>
      <c r="AW37" s="6"/>
      <c r="AX37" s="121">
        <f t="shared" si="5"/>
        <v>0</v>
      </c>
      <c r="AY37" s="6"/>
      <c r="AZ37" s="6"/>
      <c r="BA37" s="6"/>
      <c r="BB37" s="6"/>
      <c r="BC37" s="6"/>
      <c r="BD37" s="121">
        <f t="shared" si="6"/>
        <v>0</v>
      </c>
      <c r="BE37" s="123"/>
      <c r="BF37" s="6">
        <f t="shared" si="7"/>
        <v>4388400</v>
      </c>
      <c r="BG37" s="124">
        <f t="shared" si="8"/>
        <v>0</v>
      </c>
      <c r="BH37" s="6"/>
      <c r="BI37" s="2"/>
    </row>
    <row r="38" ht="12.75" customHeight="1">
      <c r="A38" s="71">
        <v>21.0</v>
      </c>
      <c r="B38" s="71"/>
      <c r="C38" s="11">
        <v>44244.0</v>
      </c>
      <c r="D38" s="11"/>
      <c r="E38" s="2" t="s">
        <v>180</v>
      </c>
      <c r="F38" s="2" t="s">
        <v>181</v>
      </c>
      <c r="G38" s="2" t="s">
        <v>183</v>
      </c>
      <c r="H38" s="54"/>
      <c r="I38" s="30" t="s">
        <v>184</v>
      </c>
      <c r="J38" s="54" t="s">
        <v>875</v>
      </c>
      <c r="K38" s="54" t="s">
        <v>854</v>
      </c>
      <c r="L38" s="40">
        <v>700000.0</v>
      </c>
      <c r="M38" s="5">
        <v>0.0</v>
      </c>
      <c r="N38" s="5">
        <v>700000.0</v>
      </c>
      <c r="O38" s="5"/>
      <c r="P38" s="5">
        <v>700000.0</v>
      </c>
      <c r="Q38" s="5"/>
      <c r="R38" s="6"/>
      <c r="S38" s="6">
        <v>0.0</v>
      </c>
      <c r="T38" s="6"/>
      <c r="U38" s="6">
        <v>250000.0</v>
      </c>
      <c r="V38" s="6"/>
      <c r="W38" s="6">
        <v>100000.0</v>
      </c>
      <c r="X38" s="121">
        <f t="shared" si="1"/>
        <v>350000</v>
      </c>
      <c r="Y38" s="6">
        <v>250000.0</v>
      </c>
      <c r="Z38" s="6">
        <v>33333.33</v>
      </c>
      <c r="AA38" s="6">
        <v>66666.67</v>
      </c>
      <c r="AB38" s="6"/>
      <c r="AC38" s="121">
        <f t="shared" si="2"/>
        <v>350000</v>
      </c>
      <c r="AD38" s="6"/>
      <c r="AE38" s="6"/>
      <c r="AF38" s="6"/>
      <c r="AG38" s="6"/>
      <c r="AH38" s="6"/>
      <c r="AI38" s="121">
        <f t="shared" si="3"/>
        <v>0</v>
      </c>
      <c r="AJ38" s="6"/>
      <c r="AK38" s="122"/>
      <c r="AL38" s="6"/>
      <c r="AM38" s="6"/>
      <c r="AN38" s="6"/>
      <c r="AO38" s="6"/>
      <c r="AP38" s="121">
        <f t="shared" si="4"/>
        <v>0</v>
      </c>
      <c r="AQ38" s="6"/>
      <c r="AR38" s="6"/>
      <c r="AS38" s="6"/>
      <c r="AT38" s="6"/>
      <c r="AU38" s="6"/>
      <c r="AV38" s="6"/>
      <c r="AW38" s="6"/>
      <c r="AX38" s="121">
        <f t="shared" si="5"/>
        <v>0</v>
      </c>
      <c r="AY38" s="6"/>
      <c r="AZ38" s="6"/>
      <c r="BA38" s="6"/>
      <c r="BB38" s="6"/>
      <c r="BC38" s="6"/>
      <c r="BD38" s="121">
        <f t="shared" si="6"/>
        <v>0</v>
      </c>
      <c r="BE38" s="123"/>
      <c r="BF38" s="6">
        <f t="shared" si="7"/>
        <v>700000</v>
      </c>
      <c r="BG38" s="124">
        <f t="shared" si="8"/>
        <v>0</v>
      </c>
      <c r="BH38" s="6"/>
      <c r="BI38" s="2"/>
    </row>
    <row r="39" ht="12.75" customHeight="1">
      <c r="A39" s="71">
        <v>22.0</v>
      </c>
      <c r="B39" s="71"/>
      <c r="C39" s="11">
        <v>44264.0</v>
      </c>
      <c r="D39" s="11"/>
      <c r="E39" s="2" t="s">
        <v>185</v>
      </c>
      <c r="F39" s="2" t="s">
        <v>186</v>
      </c>
      <c r="G39" s="2" t="s">
        <v>188</v>
      </c>
      <c r="H39" s="54"/>
      <c r="I39" s="30" t="s">
        <v>189</v>
      </c>
      <c r="J39" s="54" t="s">
        <v>876</v>
      </c>
      <c r="K39" s="54" t="s">
        <v>854</v>
      </c>
      <c r="L39" s="40">
        <v>165000.0</v>
      </c>
      <c r="M39" s="5">
        <v>0.0</v>
      </c>
      <c r="N39" s="5">
        <v>165000.0</v>
      </c>
      <c r="O39" s="5"/>
      <c r="P39" s="5">
        <v>165000.0</v>
      </c>
      <c r="Q39" s="5"/>
      <c r="R39" s="6"/>
      <c r="S39" s="6">
        <v>0.0</v>
      </c>
      <c r="T39" s="6"/>
      <c r="U39" s="6"/>
      <c r="V39" s="6"/>
      <c r="W39" s="6">
        <v>165000.0</v>
      </c>
      <c r="X39" s="121">
        <f t="shared" si="1"/>
        <v>165000</v>
      </c>
      <c r="Y39" s="6"/>
      <c r="Z39" s="6"/>
      <c r="AA39" s="6"/>
      <c r="AB39" s="6"/>
      <c r="AC39" s="121">
        <f t="shared" si="2"/>
        <v>0</v>
      </c>
      <c r="AD39" s="6"/>
      <c r="AE39" s="6"/>
      <c r="AF39" s="6"/>
      <c r="AG39" s="6"/>
      <c r="AH39" s="6"/>
      <c r="AI39" s="121">
        <f t="shared" si="3"/>
        <v>0</v>
      </c>
      <c r="AJ39" s="6"/>
      <c r="AK39" s="122"/>
      <c r="AL39" s="6"/>
      <c r="AM39" s="6"/>
      <c r="AN39" s="6"/>
      <c r="AO39" s="6"/>
      <c r="AP39" s="121">
        <f t="shared" si="4"/>
        <v>0</v>
      </c>
      <c r="AQ39" s="6"/>
      <c r="AR39" s="6"/>
      <c r="AS39" s="6"/>
      <c r="AT39" s="6"/>
      <c r="AU39" s="6"/>
      <c r="AV39" s="6"/>
      <c r="AW39" s="6"/>
      <c r="AX39" s="121">
        <f t="shared" si="5"/>
        <v>0</v>
      </c>
      <c r="AY39" s="6"/>
      <c r="AZ39" s="6"/>
      <c r="BA39" s="6"/>
      <c r="BB39" s="6"/>
      <c r="BC39" s="6"/>
      <c r="BD39" s="121">
        <f t="shared" si="6"/>
        <v>0</v>
      </c>
      <c r="BE39" s="123"/>
      <c r="BF39" s="6">
        <f t="shared" si="7"/>
        <v>165000</v>
      </c>
      <c r="BG39" s="124">
        <f t="shared" si="8"/>
        <v>0</v>
      </c>
      <c r="BH39" s="6"/>
      <c r="BI39" s="2"/>
    </row>
    <row r="40" ht="12.75" customHeight="1">
      <c r="A40" s="71">
        <v>23.0</v>
      </c>
      <c r="B40" s="71"/>
      <c r="C40" s="11">
        <v>44294.0</v>
      </c>
      <c r="D40" s="11"/>
      <c r="E40" s="2" t="s">
        <v>190</v>
      </c>
      <c r="F40" s="2" t="s">
        <v>191</v>
      </c>
      <c r="G40" s="2" t="s">
        <v>193</v>
      </c>
      <c r="H40" s="54"/>
      <c r="I40" s="30" t="s">
        <v>194</v>
      </c>
      <c r="J40" s="54" t="s">
        <v>877</v>
      </c>
      <c r="K40" s="54" t="s">
        <v>854</v>
      </c>
      <c r="L40" s="40">
        <v>4125000.0</v>
      </c>
      <c r="M40" s="5">
        <v>0.0</v>
      </c>
      <c r="N40" s="5">
        <v>4125000.0</v>
      </c>
      <c r="O40" s="5"/>
      <c r="P40" s="5">
        <v>4125000.0</v>
      </c>
      <c r="Q40" s="5"/>
      <c r="R40" s="6"/>
      <c r="S40" s="6">
        <v>0.0</v>
      </c>
      <c r="T40" s="6"/>
      <c r="U40" s="6"/>
      <c r="V40" s="6"/>
      <c r="W40" s="6">
        <v>4125000.0</v>
      </c>
      <c r="X40" s="121">
        <f t="shared" si="1"/>
        <v>4125000</v>
      </c>
      <c r="Y40" s="6"/>
      <c r="Z40" s="6"/>
      <c r="AA40" s="6"/>
      <c r="AB40" s="6"/>
      <c r="AC40" s="121">
        <f t="shared" si="2"/>
        <v>0</v>
      </c>
      <c r="AD40" s="6"/>
      <c r="AE40" s="6"/>
      <c r="AF40" s="6"/>
      <c r="AG40" s="6"/>
      <c r="AH40" s="6"/>
      <c r="AI40" s="121">
        <f t="shared" si="3"/>
        <v>0</v>
      </c>
      <c r="AJ40" s="6"/>
      <c r="AK40" s="122"/>
      <c r="AL40" s="6"/>
      <c r="AM40" s="6"/>
      <c r="AN40" s="6"/>
      <c r="AO40" s="6"/>
      <c r="AP40" s="121">
        <f t="shared" si="4"/>
        <v>0</v>
      </c>
      <c r="AQ40" s="6"/>
      <c r="AR40" s="6"/>
      <c r="AS40" s="6"/>
      <c r="AT40" s="6"/>
      <c r="AU40" s="6"/>
      <c r="AV40" s="6"/>
      <c r="AW40" s="6"/>
      <c r="AX40" s="121">
        <f t="shared" si="5"/>
        <v>0</v>
      </c>
      <c r="AY40" s="6"/>
      <c r="AZ40" s="6"/>
      <c r="BA40" s="6"/>
      <c r="BB40" s="6"/>
      <c r="BC40" s="6"/>
      <c r="BD40" s="121">
        <f t="shared" si="6"/>
        <v>0</v>
      </c>
      <c r="BE40" s="123"/>
      <c r="BF40" s="6">
        <f t="shared" si="7"/>
        <v>4125000</v>
      </c>
      <c r="BG40" s="124">
        <f t="shared" si="8"/>
        <v>0</v>
      </c>
      <c r="BH40" s="6"/>
      <c r="BI40" s="2"/>
    </row>
    <row r="41" ht="12.75" customHeight="1">
      <c r="A41" s="71">
        <v>24.0</v>
      </c>
      <c r="B41" s="71"/>
      <c r="C41" s="11">
        <v>44327.0</v>
      </c>
      <c r="D41" s="11"/>
      <c r="E41" s="2" t="s">
        <v>195</v>
      </c>
      <c r="F41" s="2" t="s">
        <v>196</v>
      </c>
      <c r="G41" s="2" t="s">
        <v>198</v>
      </c>
      <c r="H41" s="54"/>
      <c r="I41" s="30" t="s">
        <v>199</v>
      </c>
      <c r="J41" s="54" t="s">
        <v>878</v>
      </c>
      <c r="K41" s="54" t="s">
        <v>854</v>
      </c>
      <c r="L41" s="40">
        <v>630924.61</v>
      </c>
      <c r="M41" s="5">
        <v>0.0</v>
      </c>
      <c r="N41" s="5">
        <v>630924.61</v>
      </c>
      <c r="O41" s="5"/>
      <c r="P41" s="5">
        <v>630924.61</v>
      </c>
      <c r="Q41" s="5"/>
      <c r="R41" s="6"/>
      <c r="S41" s="6">
        <v>0.0</v>
      </c>
      <c r="T41" s="6"/>
      <c r="U41" s="6"/>
      <c r="V41" s="6"/>
      <c r="W41" s="6">
        <v>200000.0</v>
      </c>
      <c r="X41" s="121">
        <f t="shared" si="1"/>
        <v>200000</v>
      </c>
      <c r="Y41" s="6">
        <v>100000.0</v>
      </c>
      <c r="Z41" s="6">
        <v>330924.61</v>
      </c>
      <c r="AA41" s="6"/>
      <c r="AB41" s="6"/>
      <c r="AC41" s="121">
        <f t="shared" si="2"/>
        <v>430924.61</v>
      </c>
      <c r="AD41" s="6"/>
      <c r="AE41" s="6"/>
      <c r="AF41" s="6"/>
      <c r="AG41" s="6"/>
      <c r="AH41" s="6"/>
      <c r="AI41" s="121">
        <f t="shared" si="3"/>
        <v>0</v>
      </c>
      <c r="AJ41" s="6"/>
      <c r="AK41" s="122"/>
      <c r="AL41" s="6"/>
      <c r="AM41" s="6"/>
      <c r="AN41" s="6"/>
      <c r="AO41" s="6"/>
      <c r="AP41" s="121">
        <f t="shared" si="4"/>
        <v>0</v>
      </c>
      <c r="AQ41" s="6"/>
      <c r="AR41" s="6"/>
      <c r="AS41" s="6"/>
      <c r="AT41" s="6"/>
      <c r="AU41" s="6"/>
      <c r="AV41" s="6"/>
      <c r="AW41" s="6"/>
      <c r="AX41" s="121">
        <f t="shared" si="5"/>
        <v>0</v>
      </c>
      <c r="AY41" s="6"/>
      <c r="AZ41" s="6"/>
      <c r="BA41" s="6"/>
      <c r="BB41" s="6"/>
      <c r="BC41" s="6"/>
      <c r="BD41" s="121">
        <f t="shared" si="6"/>
        <v>0</v>
      </c>
      <c r="BE41" s="123"/>
      <c r="BF41" s="6">
        <f t="shared" si="7"/>
        <v>630924.61</v>
      </c>
      <c r="BG41" s="124">
        <f t="shared" si="8"/>
        <v>0</v>
      </c>
      <c r="BH41" s="6"/>
      <c r="BI41" s="2"/>
    </row>
    <row r="42" ht="12.75" customHeight="1">
      <c r="A42" s="71">
        <v>25.0</v>
      </c>
      <c r="B42" s="71"/>
      <c r="C42" s="11">
        <v>44316.0</v>
      </c>
      <c r="D42" s="11"/>
      <c r="E42" s="2" t="s">
        <v>200</v>
      </c>
      <c r="F42" s="2" t="s">
        <v>201</v>
      </c>
      <c r="G42" s="2" t="s">
        <v>203</v>
      </c>
      <c r="H42" s="54"/>
      <c r="I42" s="30" t="s">
        <v>194</v>
      </c>
      <c r="J42" s="54" t="s">
        <v>879</v>
      </c>
      <c r="K42" s="54" t="s">
        <v>854</v>
      </c>
      <c r="L42" s="40">
        <v>3788001.31</v>
      </c>
      <c r="M42" s="5">
        <v>0.0</v>
      </c>
      <c r="N42" s="5">
        <v>3788001.31</v>
      </c>
      <c r="O42" s="5"/>
      <c r="P42" s="5">
        <v>3788001.31</v>
      </c>
      <c r="Q42" s="5"/>
      <c r="R42" s="6"/>
      <c r="S42" s="6">
        <v>0.0</v>
      </c>
      <c r="T42" s="6"/>
      <c r="U42" s="6"/>
      <c r="V42" s="6"/>
      <c r="W42" s="6">
        <v>1770000.0</v>
      </c>
      <c r="X42" s="121">
        <f t="shared" si="1"/>
        <v>1770000</v>
      </c>
      <c r="Y42" s="6">
        <v>1500000.0</v>
      </c>
      <c r="Z42" s="6">
        <v>518001.31</v>
      </c>
      <c r="AA42" s="6"/>
      <c r="AB42" s="6"/>
      <c r="AC42" s="121">
        <f t="shared" si="2"/>
        <v>2018001.31</v>
      </c>
      <c r="AD42" s="6"/>
      <c r="AE42" s="6"/>
      <c r="AF42" s="6"/>
      <c r="AG42" s="6"/>
      <c r="AH42" s="6"/>
      <c r="AI42" s="121">
        <f t="shared" si="3"/>
        <v>0</v>
      </c>
      <c r="AJ42" s="6"/>
      <c r="AK42" s="122"/>
      <c r="AL42" s="6"/>
      <c r="AM42" s="6"/>
      <c r="AN42" s="6"/>
      <c r="AO42" s="6"/>
      <c r="AP42" s="121">
        <f t="shared" si="4"/>
        <v>0</v>
      </c>
      <c r="AQ42" s="6"/>
      <c r="AR42" s="6"/>
      <c r="AS42" s="6"/>
      <c r="AT42" s="6"/>
      <c r="AU42" s="6"/>
      <c r="AV42" s="6"/>
      <c r="AW42" s="6"/>
      <c r="AX42" s="121">
        <f t="shared" si="5"/>
        <v>0</v>
      </c>
      <c r="AY42" s="6"/>
      <c r="AZ42" s="6"/>
      <c r="BA42" s="6"/>
      <c r="BB42" s="6"/>
      <c r="BC42" s="6"/>
      <c r="BD42" s="121">
        <f t="shared" si="6"/>
        <v>0</v>
      </c>
      <c r="BE42" s="123"/>
      <c r="BF42" s="6">
        <f t="shared" si="7"/>
        <v>3788001.31</v>
      </c>
      <c r="BG42" s="124">
        <f t="shared" si="8"/>
        <v>0</v>
      </c>
      <c r="BH42" s="6"/>
      <c r="BI42" s="2"/>
    </row>
    <row r="43" ht="12.0" customHeight="1">
      <c r="A43" s="71">
        <v>26.0</v>
      </c>
      <c r="B43" s="71"/>
      <c r="C43" s="11">
        <v>44335.0</v>
      </c>
      <c r="D43" s="11"/>
      <c r="E43" s="2" t="s">
        <v>204</v>
      </c>
      <c r="F43" s="2" t="s">
        <v>205</v>
      </c>
      <c r="G43" s="2" t="s">
        <v>207</v>
      </c>
      <c r="H43" s="54"/>
      <c r="I43" s="30" t="s">
        <v>208</v>
      </c>
      <c r="J43" s="54" t="s">
        <v>880</v>
      </c>
      <c r="K43" s="54" t="s">
        <v>854</v>
      </c>
      <c r="L43" s="40">
        <v>110000.0</v>
      </c>
      <c r="M43" s="5">
        <v>0.0</v>
      </c>
      <c r="N43" s="5">
        <v>110000.0</v>
      </c>
      <c r="O43" s="5"/>
      <c r="P43" s="5">
        <v>110000.0</v>
      </c>
      <c r="Q43" s="5"/>
      <c r="R43" s="6"/>
      <c r="S43" s="6">
        <v>0.0</v>
      </c>
      <c r="T43" s="6"/>
      <c r="U43" s="6"/>
      <c r="V43" s="6"/>
      <c r="W43" s="6">
        <v>90000.0</v>
      </c>
      <c r="X43" s="121">
        <f t="shared" si="1"/>
        <v>90000</v>
      </c>
      <c r="Y43" s="6">
        <v>20000.0</v>
      </c>
      <c r="Z43" s="6"/>
      <c r="AA43" s="6"/>
      <c r="AB43" s="6"/>
      <c r="AC43" s="121">
        <f t="shared" si="2"/>
        <v>20000</v>
      </c>
      <c r="AD43" s="6"/>
      <c r="AE43" s="6"/>
      <c r="AF43" s="6"/>
      <c r="AG43" s="6"/>
      <c r="AH43" s="6"/>
      <c r="AI43" s="121">
        <f t="shared" si="3"/>
        <v>0</v>
      </c>
      <c r="AJ43" s="6"/>
      <c r="AK43" s="122"/>
      <c r="AL43" s="6"/>
      <c r="AM43" s="6"/>
      <c r="AN43" s="6"/>
      <c r="AO43" s="6"/>
      <c r="AP43" s="121">
        <f t="shared" si="4"/>
        <v>0</v>
      </c>
      <c r="AQ43" s="6"/>
      <c r="AR43" s="6"/>
      <c r="AS43" s="6"/>
      <c r="AT43" s="6"/>
      <c r="AU43" s="6"/>
      <c r="AV43" s="6"/>
      <c r="AW43" s="6"/>
      <c r="AX43" s="121">
        <f t="shared" si="5"/>
        <v>0</v>
      </c>
      <c r="AY43" s="6"/>
      <c r="AZ43" s="6"/>
      <c r="BA43" s="6"/>
      <c r="BB43" s="6"/>
      <c r="BC43" s="6"/>
      <c r="BD43" s="121">
        <f t="shared" si="6"/>
        <v>0</v>
      </c>
      <c r="BE43" s="123"/>
      <c r="BF43" s="6">
        <f t="shared" si="7"/>
        <v>110000</v>
      </c>
      <c r="BG43" s="124">
        <f t="shared" si="8"/>
        <v>0</v>
      </c>
      <c r="BH43" s="6"/>
      <c r="BI43" s="2"/>
    </row>
    <row r="44" ht="12.75" customHeight="1">
      <c r="A44" s="71">
        <v>27.0</v>
      </c>
      <c r="B44" s="71"/>
      <c r="C44" s="11">
        <v>44377.0</v>
      </c>
      <c r="D44" s="11"/>
      <c r="E44" s="2" t="s">
        <v>209</v>
      </c>
      <c r="F44" s="2" t="s">
        <v>210</v>
      </c>
      <c r="G44" s="2" t="s">
        <v>212</v>
      </c>
      <c r="H44" s="54"/>
      <c r="I44" s="30" t="s">
        <v>213</v>
      </c>
      <c r="J44" s="54" t="s">
        <v>867</v>
      </c>
      <c r="K44" s="54" t="s">
        <v>854</v>
      </c>
      <c r="L44" s="40">
        <v>750000.0</v>
      </c>
      <c r="M44" s="5">
        <v>0.0</v>
      </c>
      <c r="N44" s="5">
        <v>750000.0</v>
      </c>
      <c r="O44" s="5"/>
      <c r="P44" s="5">
        <f>N44</f>
        <v>750000</v>
      </c>
      <c r="Q44" s="5"/>
      <c r="R44" s="6"/>
      <c r="S44" s="6">
        <v>0.0</v>
      </c>
      <c r="T44" s="6"/>
      <c r="U44" s="6"/>
      <c r="V44" s="6"/>
      <c r="W44" s="6"/>
      <c r="X44" s="121">
        <f t="shared" si="1"/>
        <v>0</v>
      </c>
      <c r="Y44" s="6">
        <v>600000.0</v>
      </c>
      <c r="Z44" s="6">
        <v>150000.0</v>
      </c>
      <c r="AA44" s="6"/>
      <c r="AB44" s="6"/>
      <c r="AC44" s="121">
        <f t="shared" si="2"/>
        <v>750000</v>
      </c>
      <c r="AD44" s="6"/>
      <c r="AE44" s="6"/>
      <c r="AF44" s="6"/>
      <c r="AG44" s="6"/>
      <c r="AH44" s="6"/>
      <c r="AI44" s="121">
        <f t="shared" si="3"/>
        <v>0</v>
      </c>
      <c r="AJ44" s="6"/>
      <c r="AK44" s="122"/>
      <c r="AL44" s="6"/>
      <c r="AM44" s="6"/>
      <c r="AN44" s="6"/>
      <c r="AO44" s="6"/>
      <c r="AP44" s="121">
        <f t="shared" si="4"/>
        <v>0</v>
      </c>
      <c r="AQ44" s="6"/>
      <c r="AR44" s="6"/>
      <c r="AS44" s="6"/>
      <c r="AT44" s="6"/>
      <c r="AU44" s="6"/>
      <c r="AV44" s="6"/>
      <c r="AW44" s="6"/>
      <c r="AX44" s="121">
        <f t="shared" si="5"/>
        <v>0</v>
      </c>
      <c r="AY44" s="6"/>
      <c r="AZ44" s="6"/>
      <c r="BA44" s="6"/>
      <c r="BB44" s="6"/>
      <c r="BC44" s="6"/>
      <c r="BD44" s="121">
        <f t="shared" si="6"/>
        <v>0</v>
      </c>
      <c r="BE44" s="123"/>
      <c r="BF44" s="6">
        <f t="shared" si="7"/>
        <v>750000</v>
      </c>
      <c r="BG44" s="124">
        <f t="shared" si="8"/>
        <v>0</v>
      </c>
      <c r="BH44" s="6"/>
      <c r="BI44" s="2"/>
    </row>
    <row r="45" ht="12.75" customHeight="1">
      <c r="A45" s="71">
        <v>28.0</v>
      </c>
      <c r="B45" s="71"/>
      <c r="C45" s="11">
        <v>44355.0</v>
      </c>
      <c r="D45" s="11"/>
      <c r="E45" s="2" t="s">
        <v>214</v>
      </c>
      <c r="F45" s="2" t="s">
        <v>215</v>
      </c>
      <c r="G45" s="2" t="s">
        <v>217</v>
      </c>
      <c r="H45" s="54" t="s">
        <v>181</v>
      </c>
      <c r="I45" s="30" t="s">
        <v>218</v>
      </c>
      <c r="J45" s="54" t="s">
        <v>881</v>
      </c>
      <c r="K45" s="54" t="s">
        <v>854</v>
      </c>
      <c r="L45" s="40">
        <v>100000.0</v>
      </c>
      <c r="M45" s="5">
        <v>0.0</v>
      </c>
      <c r="N45" s="5">
        <v>100000.0</v>
      </c>
      <c r="O45" s="5"/>
      <c r="P45" s="5">
        <v>100000.0</v>
      </c>
      <c r="Q45" s="5"/>
      <c r="R45" s="6"/>
      <c r="S45" s="6">
        <v>0.0</v>
      </c>
      <c r="T45" s="6"/>
      <c r="U45" s="6"/>
      <c r="V45" s="6"/>
      <c r="W45" s="6">
        <v>50000.0</v>
      </c>
      <c r="X45" s="121">
        <f t="shared" si="1"/>
        <v>50000</v>
      </c>
      <c r="Y45" s="6">
        <v>50000.0</v>
      </c>
      <c r="Z45" s="6"/>
      <c r="AA45" s="6"/>
      <c r="AB45" s="6"/>
      <c r="AC45" s="121">
        <f t="shared" si="2"/>
        <v>50000</v>
      </c>
      <c r="AD45" s="6"/>
      <c r="AE45" s="6"/>
      <c r="AF45" s="6"/>
      <c r="AG45" s="6"/>
      <c r="AH45" s="6"/>
      <c r="AI45" s="121">
        <f t="shared" si="3"/>
        <v>0</v>
      </c>
      <c r="AJ45" s="6"/>
      <c r="AK45" s="122"/>
      <c r="AL45" s="6"/>
      <c r="AM45" s="6"/>
      <c r="AN45" s="6"/>
      <c r="AO45" s="6"/>
      <c r="AP45" s="121">
        <f t="shared" si="4"/>
        <v>0</v>
      </c>
      <c r="AQ45" s="6"/>
      <c r="AR45" s="6"/>
      <c r="AS45" s="6"/>
      <c r="AT45" s="6"/>
      <c r="AU45" s="6"/>
      <c r="AV45" s="6"/>
      <c r="AW45" s="6"/>
      <c r="AX45" s="121">
        <f t="shared" si="5"/>
        <v>0</v>
      </c>
      <c r="AY45" s="6"/>
      <c r="AZ45" s="6"/>
      <c r="BA45" s="6"/>
      <c r="BB45" s="6"/>
      <c r="BC45" s="6"/>
      <c r="BD45" s="121">
        <f t="shared" si="6"/>
        <v>0</v>
      </c>
      <c r="BE45" s="123"/>
      <c r="BF45" s="6">
        <f t="shared" si="7"/>
        <v>100000</v>
      </c>
      <c r="BG45" s="124">
        <f t="shared" si="8"/>
        <v>0</v>
      </c>
      <c r="BH45" s="6"/>
      <c r="BI45" s="2"/>
    </row>
    <row r="46" ht="12.75" customHeight="1">
      <c r="A46" s="71">
        <v>29.0</v>
      </c>
      <c r="B46" s="71"/>
      <c r="C46" s="11">
        <v>44390.0</v>
      </c>
      <c r="D46" s="11"/>
      <c r="E46" s="2" t="s">
        <v>219</v>
      </c>
      <c r="F46" s="2" t="s">
        <v>220</v>
      </c>
      <c r="G46" s="2" t="s">
        <v>222</v>
      </c>
      <c r="H46" s="54"/>
      <c r="I46" s="30" t="s">
        <v>223</v>
      </c>
      <c r="J46" s="54" t="s">
        <v>882</v>
      </c>
      <c r="K46" s="54" t="s">
        <v>854</v>
      </c>
      <c r="L46" s="40">
        <v>192000.0</v>
      </c>
      <c r="M46" s="5">
        <v>0.0</v>
      </c>
      <c r="N46" s="5">
        <v>192000.0</v>
      </c>
      <c r="O46" s="5"/>
      <c r="P46" s="5">
        <v>192000.0</v>
      </c>
      <c r="Q46" s="5"/>
      <c r="R46" s="6"/>
      <c r="S46" s="6">
        <v>0.0</v>
      </c>
      <c r="T46" s="6"/>
      <c r="U46" s="6"/>
      <c r="V46" s="6"/>
      <c r="W46" s="6"/>
      <c r="X46" s="121">
        <f t="shared" si="1"/>
        <v>0</v>
      </c>
      <c r="Y46" s="6">
        <v>90000.0</v>
      </c>
      <c r="Z46" s="6">
        <v>102000.0</v>
      </c>
      <c r="AA46" s="6"/>
      <c r="AB46" s="6"/>
      <c r="AC46" s="121">
        <f t="shared" si="2"/>
        <v>192000</v>
      </c>
      <c r="AD46" s="6"/>
      <c r="AE46" s="6"/>
      <c r="AF46" s="6"/>
      <c r="AG46" s="6"/>
      <c r="AH46" s="6"/>
      <c r="AI46" s="121">
        <f t="shared" si="3"/>
        <v>0</v>
      </c>
      <c r="AJ46" s="6"/>
      <c r="AK46" s="122"/>
      <c r="AL46" s="6"/>
      <c r="AM46" s="6"/>
      <c r="AN46" s="6"/>
      <c r="AO46" s="6"/>
      <c r="AP46" s="121">
        <f t="shared" si="4"/>
        <v>0</v>
      </c>
      <c r="AQ46" s="6"/>
      <c r="AR46" s="6"/>
      <c r="AS46" s="6"/>
      <c r="AT46" s="6"/>
      <c r="AU46" s="6"/>
      <c r="AV46" s="6"/>
      <c r="AW46" s="6"/>
      <c r="AX46" s="121">
        <f t="shared" si="5"/>
        <v>0</v>
      </c>
      <c r="AY46" s="6"/>
      <c r="AZ46" s="6"/>
      <c r="BA46" s="6"/>
      <c r="BB46" s="6"/>
      <c r="BC46" s="6"/>
      <c r="BD46" s="121">
        <f t="shared" si="6"/>
        <v>0</v>
      </c>
      <c r="BE46" s="123"/>
      <c r="BF46" s="6">
        <f t="shared" si="7"/>
        <v>192000</v>
      </c>
      <c r="BG46" s="124">
        <f t="shared" si="8"/>
        <v>0</v>
      </c>
      <c r="BH46" s="6"/>
      <c r="BI46" s="2"/>
    </row>
    <row r="47" ht="12.75" customHeight="1">
      <c r="A47" s="71">
        <v>30.0</v>
      </c>
      <c r="B47" s="71"/>
      <c r="C47" s="11">
        <v>44427.0</v>
      </c>
      <c r="D47" s="11"/>
      <c r="E47" s="2" t="s">
        <v>224</v>
      </c>
      <c r="F47" s="2" t="s">
        <v>225</v>
      </c>
      <c r="G47" s="2" t="s">
        <v>227</v>
      </c>
      <c r="H47" s="54"/>
      <c r="I47" s="30" t="s">
        <v>228</v>
      </c>
      <c r="J47" s="54" t="s">
        <v>883</v>
      </c>
      <c r="K47" s="54" t="s">
        <v>860</v>
      </c>
      <c r="L47" s="40">
        <v>15000.0</v>
      </c>
      <c r="M47" s="5">
        <v>0.0</v>
      </c>
      <c r="N47" s="5">
        <v>15000.0</v>
      </c>
      <c r="O47" s="5"/>
      <c r="P47" s="5">
        <f t="shared" ref="P47:P54" si="11">N47</f>
        <v>15000</v>
      </c>
      <c r="Q47" s="5"/>
      <c r="R47" s="6"/>
      <c r="S47" s="6">
        <v>0.0</v>
      </c>
      <c r="T47" s="6"/>
      <c r="U47" s="6"/>
      <c r="V47" s="6"/>
      <c r="W47" s="6"/>
      <c r="X47" s="121">
        <f t="shared" si="1"/>
        <v>0</v>
      </c>
      <c r="Y47" s="6"/>
      <c r="Z47" s="6"/>
      <c r="AA47" s="6"/>
      <c r="AB47" s="146">
        <f t="shared" ref="AB47:AB48" si="12">100000</f>
        <v>100000</v>
      </c>
      <c r="AC47" s="121">
        <f t="shared" si="2"/>
        <v>100000</v>
      </c>
      <c r="AD47" s="146">
        <v>-85000.0</v>
      </c>
      <c r="AE47" s="6"/>
      <c r="AF47" s="6"/>
      <c r="AG47" s="6"/>
      <c r="AH47" s="6"/>
      <c r="AI47" s="121">
        <f t="shared" si="3"/>
        <v>-85000</v>
      </c>
      <c r="AJ47" s="6"/>
      <c r="AK47" s="122"/>
      <c r="AL47" s="6"/>
      <c r="AM47" s="6"/>
      <c r="AN47" s="6"/>
      <c r="AO47" s="6"/>
      <c r="AP47" s="121">
        <f t="shared" si="4"/>
        <v>0</v>
      </c>
      <c r="AQ47" s="6"/>
      <c r="AR47" s="6"/>
      <c r="AS47" s="6"/>
      <c r="AT47" s="6"/>
      <c r="AU47" s="6"/>
      <c r="AV47" s="6"/>
      <c r="AW47" s="6"/>
      <c r="AX47" s="121">
        <f t="shared" si="5"/>
        <v>0</v>
      </c>
      <c r="AY47" s="6"/>
      <c r="AZ47" s="6"/>
      <c r="BA47" s="6"/>
      <c r="BB47" s="6"/>
      <c r="BC47" s="6"/>
      <c r="BD47" s="121">
        <f t="shared" si="6"/>
        <v>0</v>
      </c>
      <c r="BE47" s="123"/>
      <c r="BF47" s="6">
        <f t="shared" si="7"/>
        <v>15000</v>
      </c>
      <c r="BG47" s="124">
        <f t="shared" si="8"/>
        <v>0</v>
      </c>
      <c r="BH47" s="6"/>
      <c r="BI47" s="2"/>
    </row>
    <row r="48" ht="12.75" customHeight="1">
      <c r="A48" s="71">
        <v>30.0</v>
      </c>
      <c r="B48" s="71"/>
      <c r="C48" s="11">
        <v>44427.0</v>
      </c>
      <c r="D48" s="11"/>
      <c r="E48" s="2" t="s">
        <v>224</v>
      </c>
      <c r="F48" s="2" t="s">
        <v>225</v>
      </c>
      <c r="G48" s="2" t="s">
        <v>227</v>
      </c>
      <c r="H48" s="54"/>
      <c r="I48" s="30" t="s">
        <v>228</v>
      </c>
      <c r="J48" s="54" t="s">
        <v>884</v>
      </c>
      <c r="K48" s="54" t="s">
        <v>860</v>
      </c>
      <c r="L48" s="40">
        <v>3500000.0</v>
      </c>
      <c r="M48" s="5">
        <v>0.0</v>
      </c>
      <c r="N48" s="5">
        <v>3500000.0</v>
      </c>
      <c r="O48" s="5"/>
      <c r="P48" s="5">
        <f t="shared" si="11"/>
        <v>3500000</v>
      </c>
      <c r="Q48" s="5"/>
      <c r="R48" s="6"/>
      <c r="S48" s="6">
        <v>0.0</v>
      </c>
      <c r="T48" s="6"/>
      <c r="U48" s="6"/>
      <c r="V48" s="6"/>
      <c r="W48" s="6"/>
      <c r="X48" s="121">
        <f t="shared" si="1"/>
        <v>0</v>
      </c>
      <c r="Y48" s="6">
        <v>2500000.0</v>
      </c>
      <c r="Z48" s="6">
        <v>200000.0</v>
      </c>
      <c r="AA48" s="6"/>
      <c r="AB48" s="146">
        <f t="shared" si="12"/>
        <v>100000</v>
      </c>
      <c r="AC48" s="121">
        <f t="shared" si="2"/>
        <v>2800000</v>
      </c>
      <c r="AD48" s="146">
        <f>85000+103750+50000</f>
        <v>238750</v>
      </c>
      <c r="AE48" s="6">
        <v>200000.0</v>
      </c>
      <c r="AF48" s="6"/>
      <c r="AG48" s="6">
        <v>261250.0</v>
      </c>
      <c r="AH48" s="6"/>
      <c r="AI48" s="121">
        <f t="shared" si="3"/>
        <v>700000</v>
      </c>
      <c r="AJ48" s="6"/>
      <c r="AK48" s="122">
        <v>-85000.0</v>
      </c>
      <c r="AL48" s="6">
        <v>85000.0</v>
      </c>
      <c r="AM48" s="6"/>
      <c r="AN48" s="6"/>
      <c r="AO48" s="6"/>
      <c r="AP48" s="121">
        <f t="shared" si="4"/>
        <v>0</v>
      </c>
      <c r="AQ48" s="6"/>
      <c r="AR48" s="6"/>
      <c r="AS48" s="6"/>
      <c r="AT48" s="6"/>
      <c r="AU48" s="6"/>
      <c r="AV48" s="6"/>
      <c r="AW48" s="6"/>
      <c r="AX48" s="121">
        <f t="shared" si="5"/>
        <v>0</v>
      </c>
      <c r="AY48" s="6"/>
      <c r="AZ48" s="6"/>
      <c r="BA48" s="6"/>
      <c r="BB48" s="6"/>
      <c r="BC48" s="6"/>
      <c r="BD48" s="121">
        <f t="shared" si="6"/>
        <v>0</v>
      </c>
      <c r="BE48" s="123"/>
      <c r="BF48" s="6">
        <f t="shared" si="7"/>
        <v>3500000</v>
      </c>
      <c r="BG48" s="124">
        <f t="shared" si="8"/>
        <v>0</v>
      </c>
      <c r="BH48" s="6"/>
      <c r="BI48" s="2"/>
    </row>
    <row r="49" ht="12.75" customHeight="1">
      <c r="A49" s="71">
        <v>31.0</v>
      </c>
      <c r="B49" s="71" t="s">
        <v>248</v>
      </c>
      <c r="C49" s="11">
        <v>44396.0</v>
      </c>
      <c r="D49" s="11"/>
      <c r="E49" s="2" t="s">
        <v>229</v>
      </c>
      <c r="F49" s="2" t="s">
        <v>230</v>
      </c>
      <c r="G49" s="2" t="s">
        <v>232</v>
      </c>
      <c r="H49" s="54"/>
      <c r="I49" s="30" t="s">
        <v>233</v>
      </c>
      <c r="J49" s="54" t="s">
        <v>885</v>
      </c>
      <c r="K49" s="54" t="s">
        <v>854</v>
      </c>
      <c r="L49" s="40">
        <v>653000.0</v>
      </c>
      <c r="M49" s="5">
        <v>0.0</v>
      </c>
      <c r="N49" s="5">
        <v>653000.0</v>
      </c>
      <c r="O49" s="5"/>
      <c r="P49" s="5">
        <f t="shared" si="11"/>
        <v>653000</v>
      </c>
      <c r="Q49" s="5"/>
      <c r="R49" s="6"/>
      <c r="S49" s="6">
        <v>0.0</v>
      </c>
      <c r="T49" s="6"/>
      <c r="U49" s="6"/>
      <c r="V49" s="6"/>
      <c r="W49" s="6"/>
      <c r="X49" s="121">
        <f t="shared" si="1"/>
        <v>0</v>
      </c>
      <c r="Y49" s="6">
        <v>325000.0</v>
      </c>
      <c r="Z49" s="6">
        <v>164000.0</v>
      </c>
      <c r="AA49" s="6">
        <v>164000.0</v>
      </c>
      <c r="AB49" s="6"/>
      <c r="AC49" s="121">
        <f t="shared" si="2"/>
        <v>653000</v>
      </c>
      <c r="AD49" s="6"/>
      <c r="AE49" s="6"/>
      <c r="AF49" s="6"/>
      <c r="AG49" s="6"/>
      <c r="AH49" s="6"/>
      <c r="AI49" s="121">
        <f t="shared" si="3"/>
        <v>0</v>
      </c>
      <c r="AJ49" s="6"/>
      <c r="AK49" s="122"/>
      <c r="AL49" s="6"/>
      <c r="AM49" s="6"/>
      <c r="AN49" s="6"/>
      <c r="AO49" s="6"/>
      <c r="AP49" s="121">
        <f t="shared" si="4"/>
        <v>0</v>
      </c>
      <c r="AQ49" s="6"/>
      <c r="AR49" s="6"/>
      <c r="AS49" s="6"/>
      <c r="AT49" s="6"/>
      <c r="AU49" s="6"/>
      <c r="AV49" s="6"/>
      <c r="AW49" s="6"/>
      <c r="AX49" s="121">
        <f t="shared" si="5"/>
        <v>0</v>
      </c>
      <c r="AY49" s="6"/>
      <c r="AZ49" s="6"/>
      <c r="BA49" s="6"/>
      <c r="BB49" s="6"/>
      <c r="BC49" s="6"/>
      <c r="BD49" s="121">
        <f t="shared" si="6"/>
        <v>0</v>
      </c>
      <c r="BE49" s="123"/>
      <c r="BF49" s="6">
        <f t="shared" si="7"/>
        <v>653000</v>
      </c>
      <c r="BG49" s="124">
        <f t="shared" si="8"/>
        <v>0</v>
      </c>
      <c r="BH49" s="6"/>
      <c r="BI49" s="2"/>
    </row>
    <row r="50" ht="12.75" customHeight="1">
      <c r="A50" s="71">
        <v>32.0</v>
      </c>
      <c r="B50" s="71" t="s">
        <v>253</v>
      </c>
      <c r="C50" s="11">
        <v>44418.0</v>
      </c>
      <c r="D50" s="11"/>
      <c r="E50" s="2" t="s">
        <v>234</v>
      </c>
      <c r="F50" s="2" t="s">
        <v>235</v>
      </c>
      <c r="G50" s="2" t="s">
        <v>237</v>
      </c>
      <c r="H50" s="54"/>
      <c r="I50" s="30" t="s">
        <v>238</v>
      </c>
      <c r="J50" s="54" t="s">
        <v>886</v>
      </c>
      <c r="K50" s="54" t="s">
        <v>860</v>
      </c>
      <c r="L50" s="40">
        <v>36400.0</v>
      </c>
      <c r="M50" s="5">
        <v>0.0</v>
      </c>
      <c r="N50" s="5">
        <v>36400.0</v>
      </c>
      <c r="O50" s="5"/>
      <c r="P50" s="5">
        <f t="shared" si="11"/>
        <v>36400</v>
      </c>
      <c r="Q50" s="5"/>
      <c r="R50" s="6"/>
      <c r="S50" s="6">
        <v>0.0</v>
      </c>
      <c r="T50" s="6"/>
      <c r="U50" s="6"/>
      <c r="V50" s="6"/>
      <c r="W50" s="6"/>
      <c r="X50" s="121">
        <f t="shared" si="1"/>
        <v>0</v>
      </c>
      <c r="Y50" s="6"/>
      <c r="Z50" s="6"/>
      <c r="AA50" s="6"/>
      <c r="AB50" s="6">
        <v>36400.0</v>
      </c>
      <c r="AC50" s="121">
        <f t="shared" si="2"/>
        <v>36400</v>
      </c>
      <c r="AD50" s="6"/>
      <c r="AE50" s="6"/>
      <c r="AF50" s="6"/>
      <c r="AG50" s="6"/>
      <c r="AH50" s="6"/>
      <c r="AI50" s="121">
        <f t="shared" si="3"/>
        <v>0</v>
      </c>
      <c r="AJ50" s="6"/>
      <c r="AK50" s="122"/>
      <c r="AL50" s="6"/>
      <c r="AM50" s="6"/>
      <c r="AN50" s="6"/>
      <c r="AO50" s="6"/>
      <c r="AP50" s="121">
        <f t="shared" si="4"/>
        <v>0</v>
      </c>
      <c r="AQ50" s="6"/>
      <c r="AR50" s="6"/>
      <c r="AS50" s="6"/>
      <c r="AT50" s="6"/>
      <c r="AU50" s="6"/>
      <c r="AV50" s="6"/>
      <c r="AW50" s="6"/>
      <c r="AX50" s="121">
        <f t="shared" si="5"/>
        <v>0</v>
      </c>
      <c r="AY50" s="6"/>
      <c r="AZ50" s="6"/>
      <c r="BA50" s="6"/>
      <c r="BB50" s="6"/>
      <c r="BC50" s="6"/>
      <c r="BD50" s="121">
        <f t="shared" si="6"/>
        <v>0</v>
      </c>
      <c r="BE50" s="123"/>
      <c r="BF50" s="6">
        <f t="shared" si="7"/>
        <v>36400</v>
      </c>
      <c r="BG50" s="124">
        <f t="shared" si="8"/>
        <v>0</v>
      </c>
      <c r="BH50" s="6"/>
      <c r="BI50" s="2"/>
    </row>
    <row r="51" ht="12.75" customHeight="1">
      <c r="A51" s="71">
        <v>32.0</v>
      </c>
      <c r="B51" s="71" t="s">
        <v>258</v>
      </c>
      <c r="C51" s="11">
        <v>44418.0</v>
      </c>
      <c r="D51" s="11"/>
      <c r="E51" s="2" t="s">
        <v>234</v>
      </c>
      <c r="F51" s="2" t="s">
        <v>235</v>
      </c>
      <c r="G51" s="2" t="s">
        <v>237</v>
      </c>
      <c r="H51" s="54"/>
      <c r="I51" s="30" t="s">
        <v>239</v>
      </c>
      <c r="J51" s="54" t="s">
        <v>887</v>
      </c>
      <c r="K51" s="54" t="s">
        <v>860</v>
      </c>
      <c r="L51" s="40">
        <v>733600.0</v>
      </c>
      <c r="M51" s="5">
        <v>0.0</v>
      </c>
      <c r="N51" s="5">
        <v>733600.0</v>
      </c>
      <c r="O51" s="5"/>
      <c r="P51" s="5">
        <f t="shared" si="11"/>
        <v>733600</v>
      </c>
      <c r="Q51" s="5"/>
      <c r="R51" s="6"/>
      <c r="S51" s="6">
        <v>0.0</v>
      </c>
      <c r="T51" s="6"/>
      <c r="U51" s="6"/>
      <c r="V51" s="6"/>
      <c r="W51" s="6"/>
      <c r="X51" s="121">
        <f t="shared" si="1"/>
        <v>0</v>
      </c>
      <c r="Y51" s="6">
        <v>225000.0</v>
      </c>
      <c r="Z51" s="6">
        <v>200000.0</v>
      </c>
      <c r="AA51" s="6"/>
      <c r="AB51" s="6">
        <v>154300.0</v>
      </c>
      <c r="AC51" s="121">
        <f t="shared" si="2"/>
        <v>579300</v>
      </c>
      <c r="AD51" s="6">
        <v>154300.0</v>
      </c>
      <c r="AE51" s="6"/>
      <c r="AF51" s="6"/>
      <c r="AG51" s="6"/>
      <c r="AH51" s="6"/>
      <c r="AI51" s="121">
        <f t="shared" si="3"/>
        <v>154300</v>
      </c>
      <c r="AJ51" s="6"/>
      <c r="AK51" s="122"/>
      <c r="AL51" s="6"/>
      <c r="AM51" s="6"/>
      <c r="AN51" s="6"/>
      <c r="AO51" s="6"/>
      <c r="AP51" s="121">
        <f t="shared" si="4"/>
        <v>0</v>
      </c>
      <c r="AQ51" s="6"/>
      <c r="AR51" s="6"/>
      <c r="AS51" s="6"/>
      <c r="AT51" s="6"/>
      <c r="AU51" s="6"/>
      <c r="AV51" s="6"/>
      <c r="AW51" s="6"/>
      <c r="AX51" s="121">
        <f t="shared" si="5"/>
        <v>0</v>
      </c>
      <c r="AY51" s="6"/>
      <c r="AZ51" s="6"/>
      <c r="BA51" s="6"/>
      <c r="BB51" s="6"/>
      <c r="BC51" s="6"/>
      <c r="BD51" s="121">
        <f t="shared" si="6"/>
        <v>0</v>
      </c>
      <c r="BE51" s="123"/>
      <c r="BF51" s="6">
        <f t="shared" si="7"/>
        <v>733600</v>
      </c>
      <c r="BG51" s="124">
        <f t="shared" si="8"/>
        <v>0</v>
      </c>
      <c r="BH51" s="6"/>
      <c r="BI51" s="2"/>
    </row>
    <row r="52" ht="12.75" customHeight="1">
      <c r="A52" s="71" t="s">
        <v>888</v>
      </c>
      <c r="B52" s="71" t="s">
        <v>263</v>
      </c>
      <c r="C52" s="11">
        <v>44455.0</v>
      </c>
      <c r="D52" s="11"/>
      <c r="E52" s="2" t="s">
        <v>240</v>
      </c>
      <c r="F52" s="2" t="s">
        <v>241</v>
      </c>
      <c r="G52" s="2" t="s">
        <v>243</v>
      </c>
      <c r="H52" s="54"/>
      <c r="I52" s="30" t="s">
        <v>245</v>
      </c>
      <c r="J52" s="54" t="s">
        <v>889</v>
      </c>
      <c r="K52" s="54" t="s">
        <v>851</v>
      </c>
      <c r="L52" s="40">
        <f>9359166-L53</f>
        <v>8874466</v>
      </c>
      <c r="M52" s="5">
        <v>0.0</v>
      </c>
      <c r="N52" s="5">
        <f>9359166-N53</f>
        <v>8874466</v>
      </c>
      <c r="O52" s="5"/>
      <c r="P52" s="5">
        <f t="shared" si="11"/>
        <v>8874466</v>
      </c>
      <c r="Q52" s="5"/>
      <c r="R52" s="6"/>
      <c r="S52" s="6">
        <v>0.0</v>
      </c>
      <c r="T52" s="6"/>
      <c r="U52" s="6"/>
      <c r="V52" s="6"/>
      <c r="W52" s="6"/>
      <c r="X52" s="121">
        <f t="shared" si="1"/>
        <v>0</v>
      </c>
      <c r="Y52" s="6">
        <v>100000.0</v>
      </c>
      <c r="Z52" s="6">
        <v>320000.0</v>
      </c>
      <c r="AA52" s="6">
        <v>250000.0</v>
      </c>
      <c r="AB52" s="6">
        <v>1000000.0</v>
      </c>
      <c r="AC52" s="121">
        <f t="shared" si="2"/>
        <v>1670000</v>
      </c>
      <c r="AD52" s="6">
        <v>1922291.5</v>
      </c>
      <c r="AE52" s="6">
        <v>2000000.0</v>
      </c>
      <c r="AF52" s="6"/>
      <c r="AG52" s="6">
        <v>750000.0</v>
      </c>
      <c r="AH52" s="6">
        <v>750000.0</v>
      </c>
      <c r="AI52" s="121">
        <f t="shared" si="3"/>
        <v>5422291.5</v>
      </c>
      <c r="AJ52" s="6"/>
      <c r="AK52" s="122"/>
      <c r="AL52" s="6">
        <v>1200000.0</v>
      </c>
      <c r="AM52" s="6">
        <f>300000-AM53</f>
        <v>115300</v>
      </c>
      <c r="AN52" s="6"/>
      <c r="AO52" s="6"/>
      <c r="AP52" s="121">
        <f t="shared" si="4"/>
        <v>1315300</v>
      </c>
      <c r="AQ52" s="6">
        <v>466874.5</v>
      </c>
      <c r="AR52" s="6"/>
      <c r="AS52" s="6"/>
      <c r="AT52" s="6"/>
      <c r="AU52" s="6"/>
      <c r="AV52" s="6"/>
      <c r="AW52" s="6"/>
      <c r="AX52" s="121">
        <f t="shared" si="5"/>
        <v>466874.5</v>
      </c>
      <c r="AY52" s="6"/>
      <c r="AZ52" s="6"/>
      <c r="BA52" s="6"/>
      <c r="BB52" s="6"/>
      <c r="BC52" s="6"/>
      <c r="BD52" s="121">
        <f t="shared" si="6"/>
        <v>0</v>
      </c>
      <c r="BE52" s="123"/>
      <c r="BF52" s="6">
        <f t="shared" si="7"/>
        <v>8874466</v>
      </c>
      <c r="BG52" s="124">
        <f t="shared" si="8"/>
        <v>0</v>
      </c>
      <c r="BH52" s="6"/>
      <c r="BI52" s="2"/>
    </row>
    <row r="53" ht="12.75" customHeight="1">
      <c r="A53" s="147" t="s">
        <v>890</v>
      </c>
      <c r="B53" s="147" t="s">
        <v>268</v>
      </c>
      <c r="C53" s="148">
        <v>44455.0</v>
      </c>
      <c r="D53" s="148"/>
      <c r="E53" s="149" t="s">
        <v>240</v>
      </c>
      <c r="F53" s="149" t="s">
        <v>241</v>
      </c>
      <c r="G53" s="149" t="s">
        <v>243</v>
      </c>
      <c r="H53" s="150"/>
      <c r="I53" s="151" t="s">
        <v>244</v>
      </c>
      <c r="J53" s="150" t="s">
        <v>889</v>
      </c>
      <c r="K53" s="150" t="s">
        <v>788</v>
      </c>
      <c r="L53" s="152">
        <v>484700.0</v>
      </c>
      <c r="M53" s="153"/>
      <c r="N53" s="153">
        <v>484700.0</v>
      </c>
      <c r="O53" s="153"/>
      <c r="P53" s="153">
        <f t="shared" si="11"/>
        <v>484700</v>
      </c>
      <c r="Q53" s="153"/>
      <c r="R53" s="154"/>
      <c r="S53" s="6"/>
      <c r="T53" s="6"/>
      <c r="U53" s="6"/>
      <c r="V53" s="6"/>
      <c r="W53" s="6"/>
      <c r="X53" s="121"/>
      <c r="Y53" s="6"/>
      <c r="Z53" s="6"/>
      <c r="AA53" s="6"/>
      <c r="AB53" s="6"/>
      <c r="AC53" s="121"/>
      <c r="AD53" s="6"/>
      <c r="AE53" s="6"/>
      <c r="AF53" s="6"/>
      <c r="AG53" s="6"/>
      <c r="AH53" s="6"/>
      <c r="AI53" s="121"/>
      <c r="AJ53" s="6"/>
      <c r="AK53" s="122"/>
      <c r="AL53" s="6"/>
      <c r="AM53" s="75">
        <v>184700.0</v>
      </c>
      <c r="AN53" s="75">
        <v>300000.0</v>
      </c>
      <c r="AO53" s="6"/>
      <c r="AP53" s="121">
        <f t="shared" si="4"/>
        <v>484700</v>
      </c>
      <c r="AQ53" s="6"/>
      <c r="AR53" s="6"/>
      <c r="AS53" s="6"/>
      <c r="AT53" s="6"/>
      <c r="AU53" s="6"/>
      <c r="AV53" s="6"/>
      <c r="AW53" s="6"/>
      <c r="AX53" s="121">
        <f t="shared" si="5"/>
        <v>0</v>
      </c>
      <c r="AY53" s="6"/>
      <c r="AZ53" s="6"/>
      <c r="BA53" s="6"/>
      <c r="BB53" s="6"/>
      <c r="BC53" s="6"/>
      <c r="BD53" s="121">
        <f t="shared" si="6"/>
        <v>0</v>
      </c>
      <c r="BE53" s="123"/>
      <c r="BF53" s="154">
        <f t="shared" si="7"/>
        <v>484700</v>
      </c>
      <c r="BG53" s="124">
        <f t="shared" si="8"/>
        <v>0</v>
      </c>
      <c r="BH53" s="6"/>
      <c r="BI53" s="2"/>
    </row>
    <row r="54" ht="12.75" customHeight="1">
      <c r="A54" s="71">
        <v>34.0</v>
      </c>
      <c r="B54" s="71" t="s">
        <v>273</v>
      </c>
      <c r="C54" s="11">
        <v>44453.0</v>
      </c>
      <c r="D54" s="11"/>
      <c r="E54" s="2" t="s">
        <v>246</v>
      </c>
      <c r="F54" s="2" t="s">
        <v>247</v>
      </c>
      <c r="G54" s="2" t="s">
        <v>249</v>
      </c>
      <c r="H54" s="54"/>
      <c r="I54" s="30" t="s">
        <v>250</v>
      </c>
      <c r="J54" s="54" t="s">
        <v>891</v>
      </c>
      <c r="K54" s="54" t="s">
        <v>851</v>
      </c>
      <c r="L54" s="40">
        <v>4128000.0</v>
      </c>
      <c r="M54" s="5">
        <v>0.0</v>
      </c>
      <c r="N54" s="5">
        <v>4128000.0</v>
      </c>
      <c r="O54" s="5"/>
      <c r="P54" s="5">
        <f t="shared" si="11"/>
        <v>4128000</v>
      </c>
      <c r="Q54" s="5"/>
      <c r="R54" s="6"/>
      <c r="S54" s="6">
        <v>0.0</v>
      </c>
      <c r="T54" s="6"/>
      <c r="U54" s="6"/>
      <c r="V54" s="6"/>
      <c r="W54" s="6"/>
      <c r="X54" s="121">
        <f t="shared" ref="X54:X141" si="13">SUM(S54:W54)</f>
        <v>0</v>
      </c>
      <c r="Y54" s="6">
        <v>100000.0</v>
      </c>
      <c r="Z54" s="6">
        <v>200000.0</v>
      </c>
      <c r="AA54" s="6"/>
      <c r="AB54" s="6">
        <v>1500000.0</v>
      </c>
      <c r="AC54" s="121">
        <f t="shared" ref="AC54:AC141" si="14">SUM(Y54:AB54)</f>
        <v>1800000</v>
      </c>
      <c r="AD54" s="6">
        <v>900000.0</v>
      </c>
      <c r="AE54" s="6">
        <v>1428000.0</v>
      </c>
      <c r="AF54" s="6"/>
      <c r="AG54" s="6"/>
      <c r="AH54" s="6"/>
      <c r="AI54" s="121">
        <f t="shared" ref="AI54:AI141" si="15">SUM(AD54:AH54)</f>
        <v>2328000</v>
      </c>
      <c r="AJ54" s="6"/>
      <c r="AK54" s="122"/>
      <c r="AL54" s="6"/>
      <c r="AM54" s="6"/>
      <c r="AN54" s="6"/>
      <c r="AO54" s="6"/>
      <c r="AP54" s="121">
        <f t="shared" si="4"/>
        <v>0</v>
      </c>
      <c r="AQ54" s="6"/>
      <c r="AR54" s="6"/>
      <c r="AS54" s="6"/>
      <c r="AT54" s="6"/>
      <c r="AU54" s="6"/>
      <c r="AV54" s="6"/>
      <c r="AW54" s="6"/>
      <c r="AX54" s="121">
        <f t="shared" si="5"/>
        <v>0</v>
      </c>
      <c r="AY54" s="6"/>
      <c r="AZ54" s="6"/>
      <c r="BA54" s="6"/>
      <c r="BB54" s="6"/>
      <c r="BC54" s="6"/>
      <c r="BD54" s="121">
        <f t="shared" si="6"/>
        <v>0</v>
      </c>
      <c r="BE54" s="123"/>
      <c r="BF54" s="6">
        <f t="shared" si="7"/>
        <v>4128000</v>
      </c>
      <c r="BG54" s="124">
        <f t="shared" si="8"/>
        <v>0</v>
      </c>
      <c r="BH54" s="6"/>
      <c r="BI54" s="2"/>
    </row>
    <row r="55" ht="12.75" customHeight="1">
      <c r="A55" s="71">
        <v>35.0</v>
      </c>
      <c r="B55" s="71" t="s">
        <v>278</v>
      </c>
      <c r="C55" s="11">
        <v>44524.0</v>
      </c>
      <c r="D55" s="11"/>
      <c r="E55" s="2" t="s">
        <v>251</v>
      </c>
      <c r="F55" s="2" t="s">
        <v>252</v>
      </c>
      <c r="G55" s="2" t="s">
        <v>254</v>
      </c>
      <c r="H55" s="54"/>
      <c r="I55" s="30" t="s">
        <v>255</v>
      </c>
      <c r="J55" s="54" t="s">
        <v>889</v>
      </c>
      <c r="K55" s="54" t="s">
        <v>851</v>
      </c>
      <c r="L55" s="40">
        <v>2715649.0</v>
      </c>
      <c r="M55" s="5">
        <v>0.0</v>
      </c>
      <c r="N55" s="5">
        <v>2715649.0</v>
      </c>
      <c r="O55" s="5"/>
      <c r="P55" s="5">
        <v>2715649.0</v>
      </c>
      <c r="Q55" s="5"/>
      <c r="R55" s="6"/>
      <c r="S55" s="6">
        <v>0.0</v>
      </c>
      <c r="T55" s="6"/>
      <c r="U55" s="6"/>
      <c r="V55" s="6"/>
      <c r="W55" s="6"/>
      <c r="X55" s="121">
        <f t="shared" si="13"/>
        <v>0</v>
      </c>
      <c r="Y55" s="6"/>
      <c r="Z55" s="6">
        <v>450000.0</v>
      </c>
      <c r="AA55" s="6">
        <v>500000.0</v>
      </c>
      <c r="AB55" s="6">
        <v>588550.0</v>
      </c>
      <c r="AC55" s="121">
        <f t="shared" si="14"/>
        <v>1538550</v>
      </c>
      <c r="AD55" s="6">
        <v>588549.5</v>
      </c>
      <c r="AE55" s="6">
        <v>588549.5</v>
      </c>
      <c r="AF55" s="6"/>
      <c r="AG55" s="6"/>
      <c r="AH55" s="6"/>
      <c r="AI55" s="121">
        <f t="shared" si="15"/>
        <v>1177099</v>
      </c>
      <c r="AJ55" s="6"/>
      <c r="AK55" s="122"/>
      <c r="AL55" s="6"/>
      <c r="AM55" s="6"/>
      <c r="AN55" s="6"/>
      <c r="AO55" s="6"/>
      <c r="AP55" s="121">
        <f t="shared" si="4"/>
        <v>0</v>
      </c>
      <c r="AQ55" s="6"/>
      <c r="AR55" s="6"/>
      <c r="AS55" s="6"/>
      <c r="AT55" s="6"/>
      <c r="AU55" s="6"/>
      <c r="AV55" s="6"/>
      <c r="AW55" s="6"/>
      <c r="AX55" s="121">
        <f t="shared" si="5"/>
        <v>0</v>
      </c>
      <c r="AY55" s="6"/>
      <c r="AZ55" s="6"/>
      <c r="BA55" s="6"/>
      <c r="BB55" s="6"/>
      <c r="BC55" s="6"/>
      <c r="BD55" s="121">
        <f t="shared" si="6"/>
        <v>0</v>
      </c>
      <c r="BE55" s="123"/>
      <c r="BF55" s="6">
        <f t="shared" si="7"/>
        <v>2715649</v>
      </c>
      <c r="BG55" s="124">
        <f t="shared" si="8"/>
        <v>0</v>
      </c>
      <c r="BH55" s="6"/>
      <c r="BI55" s="2"/>
    </row>
    <row r="56" ht="13.5" customHeight="1">
      <c r="A56" s="71">
        <v>36.0</v>
      </c>
      <c r="B56" s="71" t="s">
        <v>283</v>
      </c>
      <c r="C56" s="11">
        <v>44442.0</v>
      </c>
      <c r="D56" s="11"/>
      <c r="E56" s="2" t="s">
        <v>256</v>
      </c>
      <c r="F56" s="2" t="s">
        <v>257</v>
      </c>
      <c r="G56" s="2" t="s">
        <v>259</v>
      </c>
      <c r="H56" s="54"/>
      <c r="I56" s="30" t="s">
        <v>260</v>
      </c>
      <c r="J56" s="155" t="s">
        <v>892</v>
      </c>
      <c r="K56" s="54" t="s">
        <v>893</v>
      </c>
      <c r="L56" s="40">
        <v>100000.0</v>
      </c>
      <c r="M56" s="5">
        <v>0.0</v>
      </c>
      <c r="N56" s="5">
        <v>100000.0</v>
      </c>
      <c r="O56" s="5"/>
      <c r="P56" s="5">
        <f t="shared" ref="P56:P64" si="16">N56</f>
        <v>100000</v>
      </c>
      <c r="Q56" s="5"/>
      <c r="R56" s="6"/>
      <c r="S56" s="6">
        <v>0.0</v>
      </c>
      <c r="T56" s="6"/>
      <c r="U56" s="6"/>
      <c r="V56" s="6"/>
      <c r="W56" s="6"/>
      <c r="X56" s="121">
        <f t="shared" si="13"/>
        <v>0</v>
      </c>
      <c r="Y56" s="6">
        <v>100000.0</v>
      </c>
      <c r="Z56" s="6"/>
      <c r="AA56" s="6"/>
      <c r="AB56" s="6"/>
      <c r="AC56" s="121">
        <f t="shared" si="14"/>
        <v>100000</v>
      </c>
      <c r="AD56" s="6"/>
      <c r="AE56" s="6"/>
      <c r="AF56" s="6"/>
      <c r="AG56" s="6"/>
      <c r="AH56" s="6"/>
      <c r="AI56" s="121">
        <f t="shared" si="15"/>
        <v>0</v>
      </c>
      <c r="AJ56" s="6"/>
      <c r="AK56" s="122"/>
      <c r="AL56" s="6"/>
      <c r="AM56" s="6"/>
      <c r="AN56" s="6"/>
      <c r="AO56" s="6"/>
      <c r="AP56" s="121">
        <f t="shared" si="4"/>
        <v>0</v>
      </c>
      <c r="AQ56" s="6"/>
      <c r="AR56" s="6"/>
      <c r="AS56" s="6"/>
      <c r="AT56" s="6"/>
      <c r="AU56" s="6"/>
      <c r="AV56" s="6"/>
      <c r="AW56" s="6"/>
      <c r="AX56" s="121">
        <f t="shared" si="5"/>
        <v>0</v>
      </c>
      <c r="AY56" s="6"/>
      <c r="AZ56" s="6"/>
      <c r="BA56" s="6"/>
      <c r="BB56" s="6"/>
      <c r="BC56" s="6"/>
      <c r="BD56" s="121">
        <f t="shared" si="6"/>
        <v>0</v>
      </c>
      <c r="BE56" s="123"/>
      <c r="BF56" s="6">
        <f t="shared" si="7"/>
        <v>100000</v>
      </c>
      <c r="BG56" s="124">
        <f t="shared" si="8"/>
        <v>0</v>
      </c>
      <c r="BH56" s="6"/>
      <c r="BI56" s="2"/>
    </row>
    <row r="57" ht="15.0" customHeight="1">
      <c r="A57" s="71">
        <v>37.0</v>
      </c>
      <c r="B57" s="71" t="s">
        <v>288</v>
      </c>
      <c r="C57" s="11">
        <v>44509.0</v>
      </c>
      <c r="D57" s="11"/>
      <c r="E57" s="2" t="s">
        <v>261</v>
      </c>
      <c r="F57" s="2" t="s">
        <v>262</v>
      </c>
      <c r="G57" s="2" t="s">
        <v>264</v>
      </c>
      <c r="H57" s="54"/>
      <c r="I57" s="30" t="s">
        <v>265</v>
      </c>
      <c r="J57" s="54" t="s">
        <v>894</v>
      </c>
      <c r="K57" s="54" t="s">
        <v>854</v>
      </c>
      <c r="L57" s="40">
        <v>2160000.0</v>
      </c>
      <c r="M57" s="5">
        <v>0.0</v>
      </c>
      <c r="N57" s="5">
        <v>2160000.0</v>
      </c>
      <c r="O57" s="5"/>
      <c r="P57" s="5">
        <f t="shared" si="16"/>
        <v>2160000</v>
      </c>
      <c r="Q57" s="5"/>
      <c r="R57" s="6"/>
      <c r="S57" s="6">
        <v>0.0</v>
      </c>
      <c r="T57" s="6"/>
      <c r="U57" s="6"/>
      <c r="V57" s="6"/>
      <c r="W57" s="6"/>
      <c r="X57" s="121">
        <f t="shared" si="13"/>
        <v>0</v>
      </c>
      <c r="Y57" s="6"/>
      <c r="Z57" s="6">
        <v>1600000.0</v>
      </c>
      <c r="AA57" s="6">
        <v>560000.0</v>
      </c>
      <c r="AB57" s="6"/>
      <c r="AC57" s="121">
        <f t="shared" si="14"/>
        <v>2160000</v>
      </c>
      <c r="AD57" s="6"/>
      <c r="AE57" s="6"/>
      <c r="AF57" s="6"/>
      <c r="AG57" s="6"/>
      <c r="AH57" s="6"/>
      <c r="AI57" s="121">
        <f t="shared" si="15"/>
        <v>0</v>
      </c>
      <c r="AJ57" s="6"/>
      <c r="AK57" s="122"/>
      <c r="AL57" s="6"/>
      <c r="AM57" s="6"/>
      <c r="AN57" s="6"/>
      <c r="AO57" s="6"/>
      <c r="AP57" s="121">
        <f t="shared" si="4"/>
        <v>0</v>
      </c>
      <c r="AQ57" s="6"/>
      <c r="AR57" s="6"/>
      <c r="AS57" s="6"/>
      <c r="AT57" s="6"/>
      <c r="AU57" s="6"/>
      <c r="AV57" s="6"/>
      <c r="AW57" s="6"/>
      <c r="AX57" s="121">
        <f t="shared" si="5"/>
        <v>0</v>
      </c>
      <c r="AY57" s="6"/>
      <c r="AZ57" s="6"/>
      <c r="BA57" s="6"/>
      <c r="BB57" s="6"/>
      <c r="BC57" s="6"/>
      <c r="BD57" s="121">
        <f t="shared" si="6"/>
        <v>0</v>
      </c>
      <c r="BE57" s="123"/>
      <c r="BF57" s="6">
        <f t="shared" si="7"/>
        <v>2160000</v>
      </c>
      <c r="BG57" s="124">
        <f t="shared" si="8"/>
        <v>0</v>
      </c>
      <c r="BH57" s="6"/>
      <c r="BI57" s="2"/>
    </row>
    <row r="58" ht="15.0" customHeight="1">
      <c r="A58" s="71">
        <v>38.0</v>
      </c>
      <c r="B58" s="71" t="s">
        <v>293</v>
      </c>
      <c r="C58" s="11">
        <v>44547.0</v>
      </c>
      <c r="D58" s="11"/>
      <c r="E58" s="2" t="s">
        <v>266</v>
      </c>
      <c r="F58" s="2" t="s">
        <v>267</v>
      </c>
      <c r="G58" s="2" t="s">
        <v>269</v>
      </c>
      <c r="H58" s="54"/>
      <c r="I58" s="30" t="s">
        <v>270</v>
      </c>
      <c r="J58" s="54" t="s">
        <v>895</v>
      </c>
      <c r="K58" s="54" t="s">
        <v>860</v>
      </c>
      <c r="L58" s="40">
        <v>750000.0</v>
      </c>
      <c r="M58" s="5">
        <v>0.0</v>
      </c>
      <c r="N58" s="5">
        <v>750000.0</v>
      </c>
      <c r="O58" s="5"/>
      <c r="P58" s="5">
        <f t="shared" si="16"/>
        <v>750000</v>
      </c>
      <c r="Q58" s="5"/>
      <c r="R58" s="6"/>
      <c r="S58" s="6">
        <v>0.0</v>
      </c>
      <c r="T58" s="6"/>
      <c r="U58" s="6"/>
      <c r="V58" s="6"/>
      <c r="W58" s="6"/>
      <c r="X58" s="121">
        <f t="shared" si="13"/>
        <v>0</v>
      </c>
      <c r="Y58" s="6"/>
      <c r="Z58" s="6">
        <v>136000.0</v>
      </c>
      <c r="AA58" s="6">
        <v>60000.0</v>
      </c>
      <c r="AB58" s="6">
        <v>138500.0</v>
      </c>
      <c r="AC58" s="121">
        <f t="shared" si="14"/>
        <v>334500</v>
      </c>
      <c r="AD58" s="6">
        <v>138500.0</v>
      </c>
      <c r="AE58" s="6">
        <v>277000.0</v>
      </c>
      <c r="AF58" s="6"/>
      <c r="AG58" s="6"/>
      <c r="AH58" s="6"/>
      <c r="AI58" s="121">
        <f t="shared" si="15"/>
        <v>415500</v>
      </c>
      <c r="AJ58" s="6"/>
      <c r="AK58" s="122"/>
      <c r="AL58" s="6"/>
      <c r="AM58" s="6"/>
      <c r="AN58" s="6"/>
      <c r="AO58" s="6"/>
      <c r="AP58" s="121">
        <f t="shared" si="4"/>
        <v>0</v>
      </c>
      <c r="AQ58" s="6"/>
      <c r="AR58" s="6"/>
      <c r="AS58" s="6"/>
      <c r="AT58" s="6"/>
      <c r="AU58" s="6"/>
      <c r="AV58" s="6"/>
      <c r="AW58" s="6"/>
      <c r="AX58" s="121">
        <f t="shared" si="5"/>
        <v>0</v>
      </c>
      <c r="AY58" s="6"/>
      <c r="AZ58" s="6"/>
      <c r="BA58" s="6"/>
      <c r="BB58" s="6"/>
      <c r="BC58" s="6"/>
      <c r="BD58" s="121">
        <f t="shared" si="6"/>
        <v>0</v>
      </c>
      <c r="BE58" s="156"/>
      <c r="BF58" s="6">
        <f t="shared" si="7"/>
        <v>750000</v>
      </c>
      <c r="BG58" s="124">
        <f t="shared" si="8"/>
        <v>0</v>
      </c>
      <c r="BH58" s="6"/>
      <c r="BI58" s="2"/>
    </row>
    <row r="59" ht="15.0" customHeight="1">
      <c r="A59" s="71">
        <v>38.0</v>
      </c>
      <c r="B59" s="71" t="s">
        <v>298</v>
      </c>
      <c r="C59" s="11">
        <v>44547.0</v>
      </c>
      <c r="D59" s="11"/>
      <c r="E59" s="2" t="s">
        <v>266</v>
      </c>
      <c r="F59" s="2" t="s">
        <v>267</v>
      </c>
      <c r="G59" s="2" t="s">
        <v>269</v>
      </c>
      <c r="H59" s="54"/>
      <c r="I59" s="30" t="s">
        <v>270</v>
      </c>
      <c r="J59" s="54" t="s">
        <v>896</v>
      </c>
      <c r="K59" s="54" t="s">
        <v>860</v>
      </c>
      <c r="L59" s="40">
        <v>83000.0</v>
      </c>
      <c r="M59" s="5">
        <v>0.0</v>
      </c>
      <c r="N59" s="5">
        <v>83000.0</v>
      </c>
      <c r="O59" s="5"/>
      <c r="P59" s="5">
        <f t="shared" si="16"/>
        <v>83000</v>
      </c>
      <c r="Q59" s="5"/>
      <c r="R59" s="6"/>
      <c r="S59" s="6">
        <v>0.0</v>
      </c>
      <c r="T59" s="6"/>
      <c r="U59" s="6"/>
      <c r="V59" s="6"/>
      <c r="W59" s="6"/>
      <c r="X59" s="121">
        <f t="shared" si="13"/>
        <v>0</v>
      </c>
      <c r="Y59" s="6"/>
      <c r="Z59" s="6"/>
      <c r="AA59" s="6"/>
      <c r="AB59" s="6">
        <v>20750.0</v>
      </c>
      <c r="AC59" s="121">
        <f t="shared" si="14"/>
        <v>20750</v>
      </c>
      <c r="AD59" s="6">
        <v>20750.0</v>
      </c>
      <c r="AE59" s="6">
        <v>41500.0</v>
      </c>
      <c r="AF59" s="6"/>
      <c r="AG59" s="6"/>
      <c r="AH59" s="6"/>
      <c r="AI59" s="121">
        <f t="shared" si="15"/>
        <v>62250</v>
      </c>
      <c r="AJ59" s="6"/>
      <c r="AK59" s="122"/>
      <c r="AL59" s="6"/>
      <c r="AM59" s="6"/>
      <c r="AN59" s="6"/>
      <c r="AO59" s="6"/>
      <c r="AP59" s="121">
        <f t="shared" si="4"/>
        <v>0</v>
      </c>
      <c r="AQ59" s="6"/>
      <c r="AR59" s="6"/>
      <c r="AS59" s="6"/>
      <c r="AT59" s="6"/>
      <c r="AU59" s="6"/>
      <c r="AV59" s="6"/>
      <c r="AW59" s="6"/>
      <c r="AX59" s="121">
        <f t="shared" si="5"/>
        <v>0</v>
      </c>
      <c r="AY59" s="6"/>
      <c r="AZ59" s="6"/>
      <c r="BA59" s="6"/>
      <c r="BB59" s="6"/>
      <c r="BC59" s="6"/>
      <c r="BD59" s="121">
        <f t="shared" si="6"/>
        <v>0</v>
      </c>
      <c r="BE59" s="156"/>
      <c r="BF59" s="6">
        <f t="shared" si="7"/>
        <v>83000</v>
      </c>
      <c r="BG59" s="124">
        <f t="shared" si="8"/>
        <v>0</v>
      </c>
      <c r="BH59" s="6"/>
      <c r="BI59" s="2"/>
    </row>
    <row r="60" ht="15.0" customHeight="1">
      <c r="A60" s="71">
        <v>39.0</v>
      </c>
      <c r="B60" s="71" t="s">
        <v>303</v>
      </c>
      <c r="C60" s="11">
        <v>44631.0</v>
      </c>
      <c r="D60" s="11"/>
      <c r="E60" s="2" t="s">
        <v>271</v>
      </c>
      <c r="F60" s="2" t="s">
        <v>272</v>
      </c>
      <c r="G60" s="2" t="s">
        <v>274</v>
      </c>
      <c r="H60" s="54"/>
      <c r="I60" s="30" t="s">
        <v>275</v>
      </c>
      <c r="J60" s="54" t="s">
        <v>897</v>
      </c>
      <c r="K60" s="54" t="s">
        <v>851</v>
      </c>
      <c r="L60" s="40">
        <v>105000.0</v>
      </c>
      <c r="M60" s="5">
        <v>0.0</v>
      </c>
      <c r="N60" s="5">
        <v>105000.0</v>
      </c>
      <c r="O60" s="5"/>
      <c r="P60" s="5">
        <f t="shared" si="16"/>
        <v>105000</v>
      </c>
      <c r="Q60" s="5"/>
      <c r="R60" s="6"/>
      <c r="S60" s="6">
        <v>0.0</v>
      </c>
      <c r="T60" s="6"/>
      <c r="U60" s="6"/>
      <c r="V60" s="6"/>
      <c r="W60" s="6"/>
      <c r="X60" s="121">
        <f t="shared" si="13"/>
        <v>0</v>
      </c>
      <c r="Y60" s="6"/>
      <c r="Z60" s="6"/>
      <c r="AA60" s="6">
        <v>60000.0</v>
      </c>
      <c r="AB60" s="6">
        <v>45000.0</v>
      </c>
      <c r="AC60" s="121">
        <f t="shared" si="14"/>
        <v>105000</v>
      </c>
      <c r="AD60" s="6"/>
      <c r="AE60" s="6"/>
      <c r="AF60" s="6"/>
      <c r="AG60" s="6"/>
      <c r="AH60" s="6"/>
      <c r="AI60" s="121">
        <f t="shared" si="15"/>
        <v>0</v>
      </c>
      <c r="AJ60" s="6"/>
      <c r="AK60" s="122"/>
      <c r="AL60" s="6"/>
      <c r="AM60" s="6"/>
      <c r="AN60" s="6"/>
      <c r="AO60" s="6"/>
      <c r="AP60" s="121">
        <f t="shared" si="4"/>
        <v>0</v>
      </c>
      <c r="AQ60" s="6"/>
      <c r="AR60" s="6"/>
      <c r="AS60" s="6"/>
      <c r="AT60" s="6"/>
      <c r="AU60" s="6"/>
      <c r="AV60" s="6"/>
      <c r="AW60" s="6"/>
      <c r="AX60" s="121">
        <f t="shared" si="5"/>
        <v>0</v>
      </c>
      <c r="AY60" s="6"/>
      <c r="AZ60" s="6"/>
      <c r="BA60" s="6"/>
      <c r="BB60" s="6"/>
      <c r="BC60" s="6"/>
      <c r="BD60" s="121">
        <f t="shared" si="6"/>
        <v>0</v>
      </c>
      <c r="BE60" s="156"/>
      <c r="BF60" s="6">
        <f t="shared" si="7"/>
        <v>105000</v>
      </c>
      <c r="BG60" s="124">
        <f t="shared" si="8"/>
        <v>0</v>
      </c>
      <c r="BH60" s="6"/>
      <c r="BI60" s="2"/>
    </row>
    <row r="61" ht="15.0" customHeight="1">
      <c r="A61" s="71">
        <v>39.0</v>
      </c>
      <c r="B61" s="71" t="s">
        <v>307</v>
      </c>
      <c r="C61" s="11">
        <v>44631.0</v>
      </c>
      <c r="D61" s="11"/>
      <c r="E61" s="2" t="s">
        <v>271</v>
      </c>
      <c r="F61" s="2" t="s">
        <v>272</v>
      </c>
      <c r="G61" s="2" t="s">
        <v>274</v>
      </c>
      <c r="H61" s="54"/>
      <c r="I61" s="30" t="s">
        <v>275</v>
      </c>
      <c r="J61" s="54" t="s">
        <v>898</v>
      </c>
      <c r="K61" s="54" t="s">
        <v>851</v>
      </c>
      <c r="L61" s="40">
        <v>8400.0</v>
      </c>
      <c r="M61" s="5">
        <v>0.0</v>
      </c>
      <c r="N61" s="5">
        <v>8400.0</v>
      </c>
      <c r="O61" s="5"/>
      <c r="P61" s="5">
        <f t="shared" si="16"/>
        <v>8400</v>
      </c>
      <c r="Q61" s="5"/>
      <c r="R61" s="6"/>
      <c r="S61" s="6">
        <v>0.0</v>
      </c>
      <c r="T61" s="6"/>
      <c r="U61" s="6"/>
      <c r="V61" s="6"/>
      <c r="W61" s="6"/>
      <c r="X61" s="121">
        <f t="shared" si="13"/>
        <v>0</v>
      </c>
      <c r="Y61" s="6"/>
      <c r="Z61" s="6"/>
      <c r="AA61" s="6"/>
      <c r="AB61" s="6">
        <v>8400.0</v>
      </c>
      <c r="AC61" s="121">
        <f t="shared" si="14"/>
        <v>8400</v>
      </c>
      <c r="AD61" s="6"/>
      <c r="AE61" s="6"/>
      <c r="AF61" s="6"/>
      <c r="AG61" s="6"/>
      <c r="AH61" s="6"/>
      <c r="AI61" s="121">
        <f t="shared" si="15"/>
        <v>0</v>
      </c>
      <c r="AJ61" s="6"/>
      <c r="AK61" s="122"/>
      <c r="AL61" s="2"/>
      <c r="AM61" s="6"/>
      <c r="AN61" s="6"/>
      <c r="AO61" s="6"/>
      <c r="AP61" s="121">
        <f t="shared" si="4"/>
        <v>0</v>
      </c>
      <c r="AQ61" s="6"/>
      <c r="AR61" s="2"/>
      <c r="AS61" s="6"/>
      <c r="AT61" s="6"/>
      <c r="AU61" s="6"/>
      <c r="AV61" s="6"/>
      <c r="AW61" s="6"/>
      <c r="AX61" s="121">
        <f t="shared" si="5"/>
        <v>0</v>
      </c>
      <c r="AY61" s="6"/>
      <c r="AZ61" s="6"/>
      <c r="BA61" s="6"/>
      <c r="BB61" s="6"/>
      <c r="BC61" s="6"/>
      <c r="BD61" s="121">
        <f t="shared" si="6"/>
        <v>0</v>
      </c>
      <c r="BE61" s="156"/>
      <c r="BF61" s="6">
        <f t="shared" si="7"/>
        <v>8400</v>
      </c>
      <c r="BG61" s="124">
        <f t="shared" si="8"/>
        <v>0</v>
      </c>
      <c r="BH61" s="6"/>
      <c r="BI61" s="2"/>
    </row>
    <row r="62" ht="15.0" customHeight="1">
      <c r="A62" s="71">
        <v>40.0</v>
      </c>
      <c r="B62" s="71" t="s">
        <v>313</v>
      </c>
      <c r="C62" s="11">
        <v>44643.0</v>
      </c>
      <c r="D62" s="11"/>
      <c r="E62" s="2" t="s">
        <v>276</v>
      </c>
      <c r="F62" s="2" t="s">
        <v>277</v>
      </c>
      <c r="G62" s="2" t="s">
        <v>279</v>
      </c>
      <c r="H62" s="54"/>
      <c r="I62" s="30" t="s">
        <v>280</v>
      </c>
      <c r="J62" s="54" t="s">
        <v>899</v>
      </c>
      <c r="K62" s="54" t="s">
        <v>851</v>
      </c>
      <c r="L62" s="40">
        <v>1000000.0</v>
      </c>
      <c r="M62" s="5">
        <v>0.0</v>
      </c>
      <c r="N62" s="5">
        <v>1000000.0</v>
      </c>
      <c r="O62" s="5"/>
      <c r="P62" s="5">
        <f t="shared" si="16"/>
        <v>1000000</v>
      </c>
      <c r="Q62" s="5"/>
      <c r="R62" s="6"/>
      <c r="S62" s="6">
        <v>0.0</v>
      </c>
      <c r="T62" s="6"/>
      <c r="U62" s="6"/>
      <c r="V62" s="6"/>
      <c r="W62" s="6"/>
      <c r="X62" s="121">
        <f t="shared" si="13"/>
        <v>0</v>
      </c>
      <c r="Y62" s="6"/>
      <c r="Z62" s="6"/>
      <c r="AA62" s="6"/>
      <c r="AB62" s="6">
        <v>500000.0</v>
      </c>
      <c r="AC62" s="121">
        <f t="shared" si="14"/>
        <v>500000</v>
      </c>
      <c r="AD62" s="6">
        <v>300000.0</v>
      </c>
      <c r="AE62" s="6">
        <v>200000.0</v>
      </c>
      <c r="AF62" s="6"/>
      <c r="AG62" s="6"/>
      <c r="AH62" s="6"/>
      <c r="AI62" s="121">
        <f t="shared" si="15"/>
        <v>500000</v>
      </c>
      <c r="AJ62" s="6"/>
      <c r="AK62" s="122"/>
      <c r="AL62" s="6"/>
      <c r="AM62" s="6"/>
      <c r="AN62" s="6"/>
      <c r="AO62" s="6"/>
      <c r="AP62" s="121">
        <f t="shared" si="4"/>
        <v>0</v>
      </c>
      <c r="AQ62" s="6"/>
      <c r="AR62" s="6"/>
      <c r="AS62" s="6"/>
      <c r="AT62" s="6"/>
      <c r="AU62" s="6"/>
      <c r="AV62" s="6"/>
      <c r="AW62" s="6"/>
      <c r="AX62" s="121">
        <f t="shared" si="5"/>
        <v>0</v>
      </c>
      <c r="AY62" s="6"/>
      <c r="AZ62" s="6"/>
      <c r="BA62" s="6"/>
      <c r="BB62" s="6"/>
      <c r="BC62" s="6"/>
      <c r="BD62" s="121">
        <f t="shared" si="6"/>
        <v>0</v>
      </c>
      <c r="BE62" s="156"/>
      <c r="BF62" s="6">
        <f t="shared" si="7"/>
        <v>1000000</v>
      </c>
      <c r="BG62" s="124">
        <f t="shared" si="8"/>
        <v>0</v>
      </c>
      <c r="BH62" s="6"/>
      <c r="BI62" s="2"/>
    </row>
    <row r="63" ht="15.0" customHeight="1">
      <c r="A63" s="71">
        <v>41.0</v>
      </c>
      <c r="B63" s="71" t="s">
        <v>318</v>
      </c>
      <c r="C63" s="11">
        <v>44679.0</v>
      </c>
      <c r="D63" s="11"/>
      <c r="E63" s="2" t="s">
        <v>281</v>
      </c>
      <c r="F63" s="2" t="s">
        <v>282</v>
      </c>
      <c r="G63" s="2" t="s">
        <v>284</v>
      </c>
      <c r="H63" s="54"/>
      <c r="I63" s="30" t="s">
        <v>285</v>
      </c>
      <c r="J63" s="54" t="s">
        <v>900</v>
      </c>
      <c r="K63" s="54" t="s">
        <v>860</v>
      </c>
      <c r="L63" s="40">
        <v>903000.0</v>
      </c>
      <c r="M63" s="5">
        <v>0.0</v>
      </c>
      <c r="N63" s="5">
        <v>903000.0</v>
      </c>
      <c r="O63" s="5"/>
      <c r="P63" s="5">
        <f t="shared" si="16"/>
        <v>903000</v>
      </c>
      <c r="Q63" s="5"/>
      <c r="R63" s="6"/>
      <c r="S63" s="6">
        <v>0.0</v>
      </c>
      <c r="T63" s="6"/>
      <c r="U63" s="6"/>
      <c r="V63" s="6"/>
      <c r="W63" s="6"/>
      <c r="X63" s="121">
        <f t="shared" si="13"/>
        <v>0</v>
      </c>
      <c r="Y63" s="6"/>
      <c r="Z63" s="6"/>
      <c r="AA63" s="6"/>
      <c r="AB63" s="6">
        <v>800000.0</v>
      </c>
      <c r="AC63" s="121">
        <f t="shared" si="14"/>
        <v>800000</v>
      </c>
      <c r="AD63" s="6">
        <v>25750.0</v>
      </c>
      <c r="AE63" s="6">
        <v>35000.0</v>
      </c>
      <c r="AF63" s="6"/>
      <c r="AG63" s="6">
        <v>42250.0</v>
      </c>
      <c r="AH63" s="6"/>
      <c r="AI63" s="121">
        <f t="shared" si="15"/>
        <v>103000</v>
      </c>
      <c r="AJ63" s="6"/>
      <c r="AK63" s="122"/>
      <c r="AL63" s="6"/>
      <c r="AM63" s="6"/>
      <c r="AN63" s="6"/>
      <c r="AO63" s="6"/>
      <c r="AP63" s="121">
        <f t="shared" si="4"/>
        <v>0</v>
      </c>
      <c r="AQ63" s="6"/>
      <c r="AR63" s="6"/>
      <c r="AS63" s="6"/>
      <c r="AT63" s="6"/>
      <c r="AU63" s="6"/>
      <c r="AV63" s="6"/>
      <c r="AW63" s="6"/>
      <c r="AX63" s="121">
        <f t="shared" si="5"/>
        <v>0</v>
      </c>
      <c r="AY63" s="6"/>
      <c r="AZ63" s="6"/>
      <c r="BA63" s="6"/>
      <c r="BB63" s="6"/>
      <c r="BC63" s="6"/>
      <c r="BD63" s="121">
        <f t="shared" si="6"/>
        <v>0</v>
      </c>
      <c r="BE63" s="156"/>
      <c r="BF63" s="6">
        <f t="shared" si="7"/>
        <v>903000</v>
      </c>
      <c r="BG63" s="124">
        <f t="shared" si="8"/>
        <v>0</v>
      </c>
      <c r="BH63" s="6"/>
      <c r="BI63" s="2"/>
    </row>
    <row r="64" ht="15.0" customHeight="1">
      <c r="A64" s="71">
        <v>42.0</v>
      </c>
      <c r="B64" s="71" t="s">
        <v>323</v>
      </c>
      <c r="C64" s="11">
        <v>44680.0</v>
      </c>
      <c r="D64" s="11"/>
      <c r="E64" s="2" t="s">
        <v>286</v>
      </c>
      <c r="F64" s="2" t="s">
        <v>287</v>
      </c>
      <c r="G64" s="2" t="s">
        <v>289</v>
      </c>
      <c r="H64" s="54"/>
      <c r="I64" s="30" t="s">
        <v>290</v>
      </c>
      <c r="J64" s="54" t="s">
        <v>901</v>
      </c>
      <c r="K64" s="54" t="s">
        <v>851</v>
      </c>
      <c r="L64" s="40">
        <v>700000.0</v>
      </c>
      <c r="M64" s="5">
        <v>0.0</v>
      </c>
      <c r="N64" s="5">
        <v>700000.0</v>
      </c>
      <c r="O64" s="5"/>
      <c r="P64" s="5">
        <f t="shared" si="16"/>
        <v>700000</v>
      </c>
      <c r="Q64" s="5"/>
      <c r="R64" s="6"/>
      <c r="S64" s="6">
        <v>0.0</v>
      </c>
      <c r="T64" s="6"/>
      <c r="U64" s="6"/>
      <c r="V64" s="6"/>
      <c r="W64" s="6"/>
      <c r="X64" s="121">
        <f t="shared" si="13"/>
        <v>0</v>
      </c>
      <c r="Y64" s="6"/>
      <c r="Z64" s="6"/>
      <c r="AA64" s="6"/>
      <c r="AB64" s="6">
        <v>600000.0</v>
      </c>
      <c r="AC64" s="121">
        <f t="shared" si="14"/>
        <v>600000</v>
      </c>
      <c r="AD64" s="6">
        <v>100000.0</v>
      </c>
      <c r="AE64" s="6"/>
      <c r="AF64" s="6"/>
      <c r="AG64" s="6"/>
      <c r="AH64" s="6"/>
      <c r="AI64" s="121">
        <f t="shared" si="15"/>
        <v>100000</v>
      </c>
      <c r="AJ64" s="6"/>
      <c r="AK64" s="122"/>
      <c r="AL64" s="6"/>
      <c r="AM64" s="6"/>
      <c r="AN64" s="6"/>
      <c r="AO64" s="6"/>
      <c r="AP64" s="121">
        <f t="shared" si="4"/>
        <v>0</v>
      </c>
      <c r="AQ64" s="6"/>
      <c r="AR64" s="6"/>
      <c r="AS64" s="6"/>
      <c r="AT64" s="6"/>
      <c r="AU64" s="6"/>
      <c r="AV64" s="6"/>
      <c r="AW64" s="6"/>
      <c r="AX64" s="121">
        <f t="shared" si="5"/>
        <v>0</v>
      </c>
      <c r="AY64" s="6"/>
      <c r="AZ64" s="6"/>
      <c r="BA64" s="6"/>
      <c r="BB64" s="6"/>
      <c r="BC64" s="6"/>
      <c r="BD64" s="121">
        <f t="shared" si="6"/>
        <v>0</v>
      </c>
      <c r="BE64" s="156"/>
      <c r="BF64" s="6">
        <f t="shared" si="7"/>
        <v>700000</v>
      </c>
      <c r="BG64" s="124">
        <f t="shared" si="8"/>
        <v>0</v>
      </c>
      <c r="BH64" s="6"/>
      <c r="BI64" s="2"/>
    </row>
    <row r="65" ht="15.0" customHeight="1">
      <c r="A65" s="71">
        <v>43.0</v>
      </c>
      <c r="B65" s="71" t="s">
        <v>328</v>
      </c>
      <c r="C65" s="11">
        <v>44692.0</v>
      </c>
      <c r="D65" s="11"/>
      <c r="E65" s="2" t="s">
        <v>291</v>
      </c>
      <c r="F65" s="2" t="s">
        <v>292</v>
      </c>
      <c r="G65" s="2" t="s">
        <v>294</v>
      </c>
      <c r="H65" s="54"/>
      <c r="I65" s="30" t="s">
        <v>295</v>
      </c>
      <c r="J65" s="54" t="s">
        <v>902</v>
      </c>
      <c r="K65" s="54" t="s">
        <v>893</v>
      </c>
      <c r="L65" s="40">
        <v>650000.0</v>
      </c>
      <c r="M65" s="5">
        <v>0.0</v>
      </c>
      <c r="N65" s="5">
        <v>650000.0</v>
      </c>
      <c r="O65" s="5"/>
      <c r="P65" s="5">
        <v>650000.0</v>
      </c>
      <c r="Q65" s="5"/>
      <c r="R65" s="6"/>
      <c r="S65" s="6">
        <v>0.0</v>
      </c>
      <c r="T65" s="6"/>
      <c r="U65" s="6"/>
      <c r="V65" s="6"/>
      <c r="W65" s="6"/>
      <c r="X65" s="121">
        <f t="shared" si="13"/>
        <v>0</v>
      </c>
      <c r="Y65" s="6"/>
      <c r="Z65" s="6"/>
      <c r="AA65" s="6"/>
      <c r="AB65" s="6">
        <v>240000.0</v>
      </c>
      <c r="AC65" s="121">
        <f t="shared" si="14"/>
        <v>240000</v>
      </c>
      <c r="AD65" s="6">
        <v>300000.0</v>
      </c>
      <c r="AE65" s="6">
        <v>110000.0</v>
      </c>
      <c r="AF65" s="6"/>
      <c r="AG65" s="6"/>
      <c r="AH65" s="6"/>
      <c r="AI65" s="121">
        <f t="shared" si="15"/>
        <v>410000</v>
      </c>
      <c r="AJ65" s="6"/>
      <c r="AK65" s="122"/>
      <c r="AL65" s="6"/>
      <c r="AM65" s="6"/>
      <c r="AN65" s="6"/>
      <c r="AO65" s="6"/>
      <c r="AP65" s="121">
        <f t="shared" si="4"/>
        <v>0</v>
      </c>
      <c r="AQ65" s="6"/>
      <c r="AR65" s="6"/>
      <c r="AS65" s="6"/>
      <c r="AT65" s="6"/>
      <c r="AU65" s="6"/>
      <c r="AV65" s="6"/>
      <c r="AW65" s="6"/>
      <c r="AX65" s="121">
        <f t="shared" si="5"/>
        <v>0</v>
      </c>
      <c r="AY65" s="6"/>
      <c r="AZ65" s="6"/>
      <c r="BA65" s="6"/>
      <c r="BB65" s="6"/>
      <c r="BC65" s="6"/>
      <c r="BD65" s="121">
        <f t="shared" si="6"/>
        <v>0</v>
      </c>
      <c r="BE65" s="156"/>
      <c r="BF65" s="6">
        <f t="shared" si="7"/>
        <v>650000</v>
      </c>
      <c r="BG65" s="124">
        <f t="shared" si="8"/>
        <v>0</v>
      </c>
      <c r="BH65" s="6"/>
      <c r="BI65" s="2"/>
    </row>
    <row r="66" ht="15.0" customHeight="1">
      <c r="A66" s="71">
        <v>44.0</v>
      </c>
      <c r="B66" s="71" t="s">
        <v>335</v>
      </c>
      <c r="C66" s="11">
        <v>44713.0</v>
      </c>
      <c r="D66" s="11"/>
      <c r="E66" s="2" t="s">
        <v>296</v>
      </c>
      <c r="F66" s="2" t="s">
        <v>297</v>
      </c>
      <c r="G66" s="2" t="s">
        <v>299</v>
      </c>
      <c r="H66" s="54"/>
      <c r="I66" s="30" t="s">
        <v>300</v>
      </c>
      <c r="J66" s="54" t="s">
        <v>903</v>
      </c>
      <c r="K66" s="54" t="s">
        <v>860</v>
      </c>
      <c r="L66" s="40">
        <v>500000.0</v>
      </c>
      <c r="M66" s="5">
        <v>0.0</v>
      </c>
      <c r="N66" s="5">
        <v>500000.0</v>
      </c>
      <c r="O66" s="5"/>
      <c r="P66" s="5">
        <v>500000.0</v>
      </c>
      <c r="Q66" s="5"/>
      <c r="R66" s="6"/>
      <c r="S66" s="6">
        <v>0.0</v>
      </c>
      <c r="T66" s="6"/>
      <c r="U66" s="6"/>
      <c r="V66" s="6"/>
      <c r="W66" s="6"/>
      <c r="X66" s="121">
        <f t="shared" si="13"/>
        <v>0</v>
      </c>
      <c r="Y66" s="6"/>
      <c r="Z66" s="6"/>
      <c r="AA66" s="6"/>
      <c r="AB66" s="6">
        <v>200000.0</v>
      </c>
      <c r="AC66" s="121">
        <f t="shared" si="14"/>
        <v>200000</v>
      </c>
      <c r="AD66" s="6">
        <v>100000.0</v>
      </c>
      <c r="AE66" s="6">
        <v>200000.0</v>
      </c>
      <c r="AF66" s="6"/>
      <c r="AG66" s="6"/>
      <c r="AH66" s="6"/>
      <c r="AI66" s="121">
        <f t="shared" si="15"/>
        <v>300000</v>
      </c>
      <c r="AJ66" s="6"/>
      <c r="AK66" s="122"/>
      <c r="AL66" s="6"/>
      <c r="AM66" s="6"/>
      <c r="AN66" s="6"/>
      <c r="AO66" s="6"/>
      <c r="AP66" s="121">
        <f t="shared" si="4"/>
        <v>0</v>
      </c>
      <c r="AQ66" s="6"/>
      <c r="AR66" s="6"/>
      <c r="AS66" s="6"/>
      <c r="AT66" s="6"/>
      <c r="AU66" s="6"/>
      <c r="AV66" s="6"/>
      <c r="AW66" s="6"/>
      <c r="AX66" s="121">
        <f t="shared" si="5"/>
        <v>0</v>
      </c>
      <c r="AY66" s="6"/>
      <c r="AZ66" s="6"/>
      <c r="BA66" s="6"/>
      <c r="BB66" s="6"/>
      <c r="BC66" s="6"/>
      <c r="BD66" s="121">
        <f t="shared" si="6"/>
        <v>0</v>
      </c>
      <c r="BE66" s="156"/>
      <c r="BF66" s="6">
        <f t="shared" si="7"/>
        <v>500000</v>
      </c>
      <c r="BG66" s="124">
        <f t="shared" si="8"/>
        <v>0</v>
      </c>
      <c r="BH66" s="6"/>
      <c r="BI66" s="2"/>
    </row>
    <row r="67" ht="15.0" customHeight="1">
      <c r="A67" s="71">
        <v>45.0</v>
      </c>
      <c r="B67" s="71" t="s">
        <v>340</v>
      </c>
      <c r="C67" s="11">
        <v>44700.0</v>
      </c>
      <c r="D67" s="11"/>
      <c r="E67" s="2" t="s">
        <v>301</v>
      </c>
      <c r="F67" s="2" t="s">
        <v>302</v>
      </c>
      <c r="G67" s="2" t="s">
        <v>304</v>
      </c>
      <c r="H67" s="54"/>
      <c r="I67" s="30" t="s">
        <v>300</v>
      </c>
      <c r="J67" s="54" t="s">
        <v>904</v>
      </c>
      <c r="K67" s="54" t="s">
        <v>851</v>
      </c>
      <c r="L67" s="40">
        <v>938000.0</v>
      </c>
      <c r="M67" s="5">
        <v>0.0</v>
      </c>
      <c r="N67" s="5">
        <v>938000.0</v>
      </c>
      <c r="O67" s="5"/>
      <c r="P67" s="5">
        <v>938000.0</v>
      </c>
      <c r="Q67" s="5"/>
      <c r="R67" s="6"/>
      <c r="S67" s="6">
        <v>0.0</v>
      </c>
      <c r="T67" s="6"/>
      <c r="U67" s="6"/>
      <c r="V67" s="6"/>
      <c r="W67" s="6"/>
      <c r="X67" s="121">
        <f t="shared" si="13"/>
        <v>0</v>
      </c>
      <c r="Y67" s="6"/>
      <c r="Z67" s="6"/>
      <c r="AA67" s="6"/>
      <c r="AB67" s="6">
        <v>234500.0</v>
      </c>
      <c r="AC67" s="121">
        <f t="shared" si="14"/>
        <v>234500</v>
      </c>
      <c r="AD67" s="6">
        <v>703500.0</v>
      </c>
      <c r="AE67" s="6"/>
      <c r="AF67" s="6"/>
      <c r="AG67" s="6"/>
      <c r="AH67" s="6"/>
      <c r="AI67" s="121">
        <f t="shared" si="15"/>
        <v>703500</v>
      </c>
      <c r="AJ67" s="6"/>
      <c r="AK67" s="122"/>
      <c r="AL67" s="6"/>
      <c r="AM67" s="6"/>
      <c r="AN67" s="6"/>
      <c r="AO67" s="6"/>
      <c r="AP67" s="121">
        <f t="shared" si="4"/>
        <v>0</v>
      </c>
      <c r="AQ67" s="6"/>
      <c r="AR67" s="6"/>
      <c r="AS67" s="6"/>
      <c r="AT67" s="6"/>
      <c r="AU67" s="6"/>
      <c r="AV67" s="6"/>
      <c r="AW67" s="6"/>
      <c r="AX67" s="121">
        <f t="shared" si="5"/>
        <v>0</v>
      </c>
      <c r="AY67" s="6"/>
      <c r="AZ67" s="6"/>
      <c r="BA67" s="6"/>
      <c r="BB67" s="6"/>
      <c r="BC67" s="6"/>
      <c r="BD67" s="121">
        <f t="shared" si="6"/>
        <v>0</v>
      </c>
      <c r="BE67" s="156"/>
      <c r="BF67" s="6">
        <f t="shared" si="7"/>
        <v>938000</v>
      </c>
      <c r="BG67" s="124">
        <f t="shared" si="8"/>
        <v>0</v>
      </c>
      <c r="BH67" s="6"/>
      <c r="BI67" s="2"/>
    </row>
    <row r="68" ht="15.0" customHeight="1">
      <c r="A68" s="71">
        <v>45.0</v>
      </c>
      <c r="B68" s="71" t="s">
        <v>345</v>
      </c>
      <c r="C68" s="11">
        <v>44700.0</v>
      </c>
      <c r="D68" s="11"/>
      <c r="E68" s="2" t="s">
        <v>301</v>
      </c>
      <c r="F68" s="2" t="s">
        <v>302</v>
      </c>
      <c r="G68" s="2" t="s">
        <v>304</v>
      </c>
      <c r="H68" s="54"/>
      <c r="I68" s="30" t="s">
        <v>300</v>
      </c>
      <c r="J68" s="54" t="s">
        <v>905</v>
      </c>
      <c r="K68" s="54" t="s">
        <v>851</v>
      </c>
      <c r="L68" s="40">
        <v>712000.0</v>
      </c>
      <c r="M68" s="5">
        <v>0.0</v>
      </c>
      <c r="N68" s="5">
        <v>712000.0</v>
      </c>
      <c r="O68" s="5"/>
      <c r="P68" s="5">
        <v>712000.0</v>
      </c>
      <c r="Q68" s="5"/>
      <c r="R68" s="6"/>
      <c r="S68" s="6">
        <v>0.0</v>
      </c>
      <c r="T68" s="6"/>
      <c r="U68" s="6"/>
      <c r="V68" s="6"/>
      <c r="W68" s="6"/>
      <c r="X68" s="121">
        <f t="shared" si="13"/>
        <v>0</v>
      </c>
      <c r="Y68" s="6"/>
      <c r="Z68" s="6"/>
      <c r="AA68" s="6"/>
      <c r="AB68" s="6">
        <v>178000.0</v>
      </c>
      <c r="AC68" s="121">
        <f t="shared" si="14"/>
        <v>178000</v>
      </c>
      <c r="AD68" s="6">
        <v>534000.0</v>
      </c>
      <c r="AE68" s="6"/>
      <c r="AF68" s="6"/>
      <c r="AG68" s="6"/>
      <c r="AH68" s="6"/>
      <c r="AI68" s="121">
        <f t="shared" si="15"/>
        <v>534000</v>
      </c>
      <c r="AJ68" s="6"/>
      <c r="AK68" s="122"/>
      <c r="AL68" s="6"/>
      <c r="AM68" s="6"/>
      <c r="AN68" s="6"/>
      <c r="AO68" s="6"/>
      <c r="AP68" s="121">
        <f t="shared" si="4"/>
        <v>0</v>
      </c>
      <c r="AQ68" s="6"/>
      <c r="AR68" s="6"/>
      <c r="AS68" s="6"/>
      <c r="AT68" s="6"/>
      <c r="AU68" s="6"/>
      <c r="AV68" s="6"/>
      <c r="AW68" s="6"/>
      <c r="AX68" s="121">
        <f t="shared" si="5"/>
        <v>0</v>
      </c>
      <c r="AY68" s="6"/>
      <c r="AZ68" s="6"/>
      <c r="BA68" s="6"/>
      <c r="BB68" s="6"/>
      <c r="BC68" s="6"/>
      <c r="BD68" s="121">
        <f t="shared" si="6"/>
        <v>0</v>
      </c>
      <c r="BE68" s="156"/>
      <c r="BF68" s="6">
        <f t="shared" si="7"/>
        <v>712000</v>
      </c>
      <c r="BG68" s="124">
        <f t="shared" si="8"/>
        <v>0</v>
      </c>
      <c r="BH68" s="6"/>
      <c r="BI68" s="2"/>
    </row>
    <row r="69" ht="15.0" customHeight="1">
      <c r="A69" s="71">
        <v>46.0</v>
      </c>
      <c r="B69" s="71" t="s">
        <v>350</v>
      </c>
      <c r="C69" s="11">
        <v>44686.0</v>
      </c>
      <c r="D69" s="11"/>
      <c r="E69" s="2" t="s">
        <v>305</v>
      </c>
      <c r="F69" s="2" t="s">
        <v>306</v>
      </c>
      <c r="G69" s="2" t="s">
        <v>308</v>
      </c>
      <c r="H69" s="54"/>
      <c r="I69" s="30" t="s">
        <v>309</v>
      </c>
      <c r="J69" s="54" t="s">
        <v>897</v>
      </c>
      <c r="K69" s="54" t="s">
        <v>860</v>
      </c>
      <c r="L69" s="40">
        <v>2476201.38</v>
      </c>
      <c r="M69" s="5">
        <v>0.0</v>
      </c>
      <c r="N69" s="5">
        <v>2476201.38</v>
      </c>
      <c r="O69" s="5"/>
      <c r="P69" s="5">
        <v>2476201.38</v>
      </c>
      <c r="Q69" s="5"/>
      <c r="R69" s="6"/>
      <c r="S69" s="6">
        <v>0.0</v>
      </c>
      <c r="T69" s="6"/>
      <c r="U69" s="6"/>
      <c r="V69" s="6"/>
      <c r="W69" s="6"/>
      <c r="X69" s="121">
        <f t="shared" si="13"/>
        <v>0</v>
      </c>
      <c r="Y69" s="6"/>
      <c r="Z69" s="6"/>
      <c r="AA69" s="6"/>
      <c r="AB69" s="6">
        <v>1150000.0</v>
      </c>
      <c r="AC69" s="121">
        <f t="shared" si="14"/>
        <v>1150000</v>
      </c>
      <c r="AD69" s="6">
        <v>1030000.0</v>
      </c>
      <c r="AE69" s="6">
        <v>296201.38</v>
      </c>
      <c r="AF69" s="6"/>
      <c r="AG69" s="6"/>
      <c r="AH69" s="6"/>
      <c r="AI69" s="121">
        <f t="shared" si="15"/>
        <v>1326201.38</v>
      </c>
      <c r="AJ69" s="6"/>
      <c r="AK69" s="122"/>
      <c r="AL69" s="6"/>
      <c r="AM69" s="6"/>
      <c r="AN69" s="6"/>
      <c r="AO69" s="6"/>
      <c r="AP69" s="121">
        <f t="shared" si="4"/>
        <v>0</v>
      </c>
      <c r="AQ69" s="6"/>
      <c r="AR69" s="6"/>
      <c r="AS69" s="6"/>
      <c r="AT69" s="6"/>
      <c r="AU69" s="6"/>
      <c r="AV69" s="6"/>
      <c r="AW69" s="6"/>
      <c r="AX69" s="121">
        <f t="shared" si="5"/>
        <v>0</v>
      </c>
      <c r="AY69" s="6"/>
      <c r="AZ69" s="6"/>
      <c r="BA69" s="6"/>
      <c r="BB69" s="6"/>
      <c r="BC69" s="6"/>
      <c r="BD69" s="121">
        <f t="shared" si="6"/>
        <v>0</v>
      </c>
      <c r="BE69" s="156"/>
      <c r="BF69" s="6">
        <f t="shared" si="7"/>
        <v>2476201.38</v>
      </c>
      <c r="BG69" s="124">
        <f t="shared" si="8"/>
        <v>0</v>
      </c>
      <c r="BH69" s="6"/>
      <c r="BI69" s="2"/>
    </row>
    <row r="70" ht="15.0" customHeight="1">
      <c r="A70" s="71">
        <v>46.0</v>
      </c>
      <c r="B70" s="71" t="s">
        <v>355</v>
      </c>
      <c r="C70" s="11">
        <v>44686.0</v>
      </c>
      <c r="D70" s="11"/>
      <c r="E70" s="2" t="s">
        <v>305</v>
      </c>
      <c r="F70" s="2" t="s">
        <v>306</v>
      </c>
      <c r="G70" s="2" t="s">
        <v>308</v>
      </c>
      <c r="H70" s="54"/>
      <c r="I70" s="30" t="s">
        <v>310</v>
      </c>
      <c r="J70" s="54" t="s">
        <v>898</v>
      </c>
      <c r="K70" s="54" t="s">
        <v>860</v>
      </c>
      <c r="L70" s="40">
        <v>198096.11</v>
      </c>
      <c r="M70" s="5">
        <v>0.0</v>
      </c>
      <c r="N70" s="5">
        <v>198096.11</v>
      </c>
      <c r="O70" s="5"/>
      <c r="P70" s="5">
        <v>198096.11</v>
      </c>
      <c r="Q70" s="5"/>
      <c r="R70" s="6"/>
      <c r="S70" s="6">
        <v>0.0</v>
      </c>
      <c r="T70" s="6"/>
      <c r="U70" s="6"/>
      <c r="V70" s="6"/>
      <c r="W70" s="6"/>
      <c r="X70" s="121">
        <f t="shared" si="13"/>
        <v>0</v>
      </c>
      <c r="Y70" s="6"/>
      <c r="Z70" s="6"/>
      <c r="AA70" s="6"/>
      <c r="AB70" s="6">
        <v>50000.0</v>
      </c>
      <c r="AC70" s="121">
        <f t="shared" si="14"/>
        <v>50000</v>
      </c>
      <c r="AD70" s="6">
        <v>74048.06</v>
      </c>
      <c r="AE70" s="6">
        <v>74048.05</v>
      </c>
      <c r="AF70" s="6"/>
      <c r="AG70" s="6"/>
      <c r="AH70" s="6"/>
      <c r="AI70" s="121">
        <f t="shared" si="15"/>
        <v>148096.11</v>
      </c>
      <c r="AJ70" s="6"/>
      <c r="AK70" s="122"/>
      <c r="AL70" s="6"/>
      <c r="AM70" s="6"/>
      <c r="AN70" s="6"/>
      <c r="AO70" s="6"/>
      <c r="AP70" s="121">
        <f t="shared" si="4"/>
        <v>0</v>
      </c>
      <c r="AQ70" s="6"/>
      <c r="AR70" s="6"/>
      <c r="AS70" s="6"/>
      <c r="AT70" s="6"/>
      <c r="AU70" s="6"/>
      <c r="AV70" s="6"/>
      <c r="AW70" s="6"/>
      <c r="AX70" s="121">
        <f t="shared" si="5"/>
        <v>0</v>
      </c>
      <c r="AY70" s="6"/>
      <c r="AZ70" s="6"/>
      <c r="BA70" s="6"/>
      <c r="BB70" s="6"/>
      <c r="BC70" s="6"/>
      <c r="BD70" s="121">
        <f t="shared" si="6"/>
        <v>0</v>
      </c>
      <c r="BE70" s="156"/>
      <c r="BF70" s="6">
        <f t="shared" si="7"/>
        <v>198096.11</v>
      </c>
      <c r="BG70" s="124">
        <f t="shared" si="8"/>
        <v>0</v>
      </c>
      <c r="BH70" s="6"/>
      <c r="BI70" s="2"/>
    </row>
    <row r="71" ht="15.0" customHeight="1">
      <c r="A71" s="71">
        <v>47.0</v>
      </c>
      <c r="B71" s="71" t="s">
        <v>360</v>
      </c>
      <c r="C71" s="11">
        <v>44718.0</v>
      </c>
      <c r="D71" s="11"/>
      <c r="E71" s="2" t="s">
        <v>311</v>
      </c>
      <c r="F71" s="2" t="s">
        <v>312</v>
      </c>
      <c r="G71" s="2" t="s">
        <v>314</v>
      </c>
      <c r="H71" s="54"/>
      <c r="I71" s="30" t="s">
        <v>315</v>
      </c>
      <c r="J71" s="54" t="s">
        <v>906</v>
      </c>
      <c r="K71" s="54" t="s">
        <v>854</v>
      </c>
      <c r="L71" s="40">
        <v>3858000.0</v>
      </c>
      <c r="M71" s="5">
        <v>0.0</v>
      </c>
      <c r="N71" s="5">
        <v>3858000.0</v>
      </c>
      <c r="O71" s="5"/>
      <c r="P71" s="5">
        <v>3858000.0</v>
      </c>
      <c r="Q71" s="5"/>
      <c r="R71" s="6"/>
      <c r="S71" s="6">
        <v>0.0</v>
      </c>
      <c r="T71" s="6"/>
      <c r="U71" s="6"/>
      <c r="V71" s="6"/>
      <c r="W71" s="6"/>
      <c r="X71" s="121">
        <f t="shared" si="13"/>
        <v>0</v>
      </c>
      <c r="Y71" s="6"/>
      <c r="Z71" s="6"/>
      <c r="AA71" s="6"/>
      <c r="AB71" s="6">
        <v>643000.0</v>
      </c>
      <c r="AC71" s="121">
        <f t="shared" si="14"/>
        <v>643000</v>
      </c>
      <c r="AD71" s="6">
        <v>803750.0</v>
      </c>
      <c r="AE71" s="6">
        <v>1000000.0</v>
      </c>
      <c r="AF71" s="6"/>
      <c r="AG71" s="6">
        <v>850000.0</v>
      </c>
      <c r="AH71" s="6">
        <v>561250.0</v>
      </c>
      <c r="AI71" s="121">
        <f t="shared" si="15"/>
        <v>3215000</v>
      </c>
      <c r="AJ71" s="6"/>
      <c r="AK71" s="122"/>
      <c r="AL71" s="6"/>
      <c r="AM71" s="6"/>
      <c r="AN71" s="6"/>
      <c r="AO71" s="6"/>
      <c r="AP71" s="121">
        <f t="shared" si="4"/>
        <v>0</v>
      </c>
      <c r="AQ71" s="6"/>
      <c r="AR71" s="6"/>
      <c r="AS71" s="6"/>
      <c r="AT71" s="6"/>
      <c r="AU71" s="6"/>
      <c r="AV71" s="6"/>
      <c r="AW71" s="6"/>
      <c r="AX71" s="121">
        <f t="shared" si="5"/>
        <v>0</v>
      </c>
      <c r="AY71" s="6"/>
      <c r="AZ71" s="6"/>
      <c r="BA71" s="6"/>
      <c r="BB71" s="6"/>
      <c r="BC71" s="6"/>
      <c r="BD71" s="121">
        <f t="shared" si="6"/>
        <v>0</v>
      </c>
      <c r="BE71" s="156"/>
      <c r="BF71" s="6">
        <f t="shared" si="7"/>
        <v>3858000</v>
      </c>
      <c r="BG71" s="124">
        <f t="shared" si="8"/>
        <v>0</v>
      </c>
      <c r="BH71" s="6"/>
      <c r="BI71" s="2"/>
    </row>
    <row r="72" ht="15.0" customHeight="1">
      <c r="A72" s="71">
        <v>48.0</v>
      </c>
      <c r="B72" s="71" t="s">
        <v>365</v>
      </c>
      <c r="C72" s="11">
        <v>44797.0</v>
      </c>
      <c r="D72" s="11"/>
      <c r="E72" s="2" t="s">
        <v>316</v>
      </c>
      <c r="F72" s="2" t="s">
        <v>317</v>
      </c>
      <c r="G72" s="2" t="s">
        <v>319</v>
      </c>
      <c r="H72" s="54"/>
      <c r="I72" s="30" t="s">
        <v>320</v>
      </c>
      <c r="J72" s="54" t="s">
        <v>905</v>
      </c>
      <c r="K72" s="54" t="s">
        <v>851</v>
      </c>
      <c r="L72" s="40">
        <v>1690000.0</v>
      </c>
      <c r="M72" s="5"/>
      <c r="N72" s="5">
        <v>1690000.0</v>
      </c>
      <c r="O72" s="5"/>
      <c r="P72" s="5">
        <v>1690000.0</v>
      </c>
      <c r="Q72" s="5"/>
      <c r="R72" s="6"/>
      <c r="S72" s="6"/>
      <c r="T72" s="6"/>
      <c r="U72" s="6"/>
      <c r="V72" s="6"/>
      <c r="W72" s="6"/>
      <c r="X72" s="121">
        <f t="shared" si="13"/>
        <v>0</v>
      </c>
      <c r="Y72" s="6"/>
      <c r="Z72" s="6"/>
      <c r="AA72" s="6"/>
      <c r="AB72" s="6"/>
      <c r="AC72" s="121">
        <f t="shared" si="14"/>
        <v>0</v>
      </c>
      <c r="AD72" s="6">
        <v>1600000.0</v>
      </c>
      <c r="AE72" s="6">
        <v>90000.0</v>
      </c>
      <c r="AF72" s="6"/>
      <c r="AG72" s="6"/>
      <c r="AH72" s="6"/>
      <c r="AI72" s="121">
        <f t="shared" si="15"/>
        <v>1690000</v>
      </c>
      <c r="AJ72" s="6"/>
      <c r="AK72" s="122"/>
      <c r="AL72" s="6"/>
      <c r="AM72" s="6"/>
      <c r="AN72" s="6"/>
      <c r="AO72" s="6"/>
      <c r="AP72" s="121">
        <f t="shared" si="4"/>
        <v>0</v>
      </c>
      <c r="AQ72" s="6"/>
      <c r="AR72" s="6"/>
      <c r="AS72" s="6"/>
      <c r="AT72" s="6"/>
      <c r="AU72" s="6"/>
      <c r="AV72" s="6"/>
      <c r="AW72" s="6"/>
      <c r="AX72" s="121">
        <f t="shared" si="5"/>
        <v>0</v>
      </c>
      <c r="AY72" s="6"/>
      <c r="AZ72" s="6"/>
      <c r="BA72" s="6"/>
      <c r="BB72" s="6"/>
      <c r="BC72" s="6"/>
      <c r="BD72" s="121">
        <f t="shared" si="6"/>
        <v>0</v>
      </c>
      <c r="BE72" s="156"/>
      <c r="BF72" s="6">
        <f t="shared" si="7"/>
        <v>1690000</v>
      </c>
      <c r="BG72" s="124">
        <f t="shared" si="8"/>
        <v>0</v>
      </c>
      <c r="BH72" s="6"/>
      <c r="BI72" s="2"/>
    </row>
    <row r="73" ht="15.0" customHeight="1">
      <c r="A73" s="71" t="s">
        <v>907</v>
      </c>
      <c r="B73" s="71" t="s">
        <v>370</v>
      </c>
      <c r="C73" s="11">
        <v>44783.0</v>
      </c>
      <c r="D73" s="11"/>
      <c r="E73" s="2" t="s">
        <v>321</v>
      </c>
      <c r="F73" s="2" t="s">
        <v>322</v>
      </c>
      <c r="G73" s="2" t="s">
        <v>324</v>
      </c>
      <c r="H73" s="54"/>
      <c r="I73" s="30" t="s">
        <v>325</v>
      </c>
      <c r="J73" s="54" t="s">
        <v>908</v>
      </c>
      <c r="K73" s="54" t="s">
        <v>851</v>
      </c>
      <c r="L73" s="40">
        <v>2250000.0</v>
      </c>
      <c r="M73" s="5"/>
      <c r="N73" s="5">
        <v>2250000.0</v>
      </c>
      <c r="O73" s="5"/>
      <c r="P73" s="5">
        <v>2250000.0</v>
      </c>
      <c r="Q73" s="5"/>
      <c r="R73" s="6"/>
      <c r="S73" s="6">
        <v>0.0</v>
      </c>
      <c r="T73" s="6"/>
      <c r="U73" s="6"/>
      <c r="V73" s="6"/>
      <c r="W73" s="6"/>
      <c r="X73" s="121">
        <f t="shared" si="13"/>
        <v>0</v>
      </c>
      <c r="Y73" s="6"/>
      <c r="Z73" s="6"/>
      <c r="AA73" s="6"/>
      <c r="AB73" s="6"/>
      <c r="AC73" s="121">
        <f t="shared" si="14"/>
        <v>0</v>
      </c>
      <c r="AD73" s="6">
        <v>300000.0</v>
      </c>
      <c r="AE73" s="6">
        <v>650000.0</v>
      </c>
      <c r="AF73" s="6"/>
      <c r="AG73" s="6">
        <v>800000.0</v>
      </c>
      <c r="AH73" s="6">
        <v>200000.0</v>
      </c>
      <c r="AI73" s="121">
        <f t="shared" si="15"/>
        <v>1950000</v>
      </c>
      <c r="AJ73" s="6"/>
      <c r="AK73" s="122">
        <v>258000.0</v>
      </c>
      <c r="AL73" s="6">
        <v>42000.0</v>
      </c>
      <c r="AM73" s="6"/>
      <c r="AN73" s="6"/>
      <c r="AO73" s="6"/>
      <c r="AP73" s="121">
        <f t="shared" si="4"/>
        <v>300000</v>
      </c>
      <c r="AQ73" s="6"/>
      <c r="AR73" s="6"/>
      <c r="AS73" s="6"/>
      <c r="AT73" s="6"/>
      <c r="AU73" s="6"/>
      <c r="AV73" s="6"/>
      <c r="AW73" s="6"/>
      <c r="AX73" s="121">
        <f t="shared" si="5"/>
        <v>0</v>
      </c>
      <c r="AY73" s="6"/>
      <c r="AZ73" s="6"/>
      <c r="BA73" s="6"/>
      <c r="BB73" s="6"/>
      <c r="BC73" s="6"/>
      <c r="BD73" s="121">
        <f t="shared" si="6"/>
        <v>0</v>
      </c>
      <c r="BE73" s="156"/>
      <c r="BF73" s="6">
        <f t="shared" si="7"/>
        <v>2250000</v>
      </c>
      <c r="BG73" s="124">
        <f t="shared" si="8"/>
        <v>0</v>
      </c>
      <c r="BH73" s="6"/>
      <c r="BI73" s="2"/>
    </row>
    <row r="74" ht="15.0" customHeight="1">
      <c r="A74" s="71">
        <v>50.0</v>
      </c>
      <c r="B74" s="71" t="s">
        <v>375</v>
      </c>
      <c r="C74" s="11">
        <v>44813.0</v>
      </c>
      <c r="D74" s="11"/>
      <c r="E74" s="2" t="s">
        <v>331</v>
      </c>
      <c r="F74" s="2" t="s">
        <v>327</v>
      </c>
      <c r="G74" s="2" t="s">
        <v>329</v>
      </c>
      <c r="H74" s="54" t="s">
        <v>277</v>
      </c>
      <c r="I74" s="30" t="s">
        <v>332</v>
      </c>
      <c r="J74" s="54" t="s">
        <v>909</v>
      </c>
      <c r="K74" s="54" t="s">
        <v>860</v>
      </c>
      <c r="L74" s="40">
        <v>1000000.0</v>
      </c>
      <c r="M74" s="5"/>
      <c r="N74" s="5">
        <v>1000000.0</v>
      </c>
      <c r="O74" s="5"/>
      <c r="P74" s="5">
        <v>1000000.0</v>
      </c>
      <c r="Q74" s="5"/>
      <c r="R74" s="6"/>
      <c r="S74" s="6">
        <v>0.0</v>
      </c>
      <c r="T74" s="6"/>
      <c r="U74" s="6"/>
      <c r="V74" s="6"/>
      <c r="W74" s="6"/>
      <c r="X74" s="121">
        <f t="shared" si="13"/>
        <v>0</v>
      </c>
      <c r="Y74" s="6"/>
      <c r="Z74" s="6"/>
      <c r="AA74" s="6"/>
      <c r="AB74" s="6"/>
      <c r="AC74" s="121">
        <f t="shared" si="14"/>
        <v>0</v>
      </c>
      <c r="AD74" s="6"/>
      <c r="AE74" s="6">
        <v>500000.0</v>
      </c>
      <c r="AF74" s="6"/>
      <c r="AG74" s="6">
        <v>300000.0</v>
      </c>
      <c r="AH74" s="6"/>
      <c r="AI74" s="121">
        <f t="shared" si="15"/>
        <v>800000</v>
      </c>
      <c r="AJ74" s="6"/>
      <c r="AK74" s="122"/>
      <c r="AL74" s="6">
        <v>200000.0</v>
      </c>
      <c r="AM74" s="6"/>
      <c r="AN74" s="6"/>
      <c r="AO74" s="6"/>
      <c r="AP74" s="121">
        <f t="shared" si="4"/>
        <v>200000</v>
      </c>
      <c r="AQ74" s="6"/>
      <c r="AR74" s="6"/>
      <c r="AS74" s="6"/>
      <c r="AT74" s="6"/>
      <c r="AU74" s="6"/>
      <c r="AV74" s="6"/>
      <c r="AW74" s="6"/>
      <c r="AX74" s="121">
        <f t="shared" si="5"/>
        <v>0</v>
      </c>
      <c r="AY74" s="6"/>
      <c r="AZ74" s="6"/>
      <c r="BA74" s="6"/>
      <c r="BB74" s="6"/>
      <c r="BC74" s="6"/>
      <c r="BD74" s="121">
        <f t="shared" si="6"/>
        <v>0</v>
      </c>
      <c r="BE74" s="156"/>
      <c r="BF74" s="6">
        <f t="shared" si="7"/>
        <v>1000000</v>
      </c>
      <c r="BG74" s="124">
        <f t="shared" si="8"/>
        <v>0</v>
      </c>
      <c r="BH74" s="6"/>
      <c r="BI74" s="2"/>
    </row>
    <row r="75" ht="15.0" customHeight="1">
      <c r="A75" s="71">
        <v>50.0</v>
      </c>
      <c r="B75" s="71" t="s">
        <v>380</v>
      </c>
      <c r="C75" s="11">
        <v>44820.0</v>
      </c>
      <c r="D75" s="11"/>
      <c r="E75" s="2" t="s">
        <v>326</v>
      </c>
      <c r="F75" s="2" t="s">
        <v>327</v>
      </c>
      <c r="G75" s="2" t="s">
        <v>329</v>
      </c>
      <c r="H75" s="54" t="s">
        <v>277</v>
      </c>
      <c r="I75" s="30" t="s">
        <v>330</v>
      </c>
      <c r="J75" s="54" t="s">
        <v>910</v>
      </c>
      <c r="K75" s="54" t="s">
        <v>860</v>
      </c>
      <c r="L75" s="40">
        <v>14000.0</v>
      </c>
      <c r="M75" s="5"/>
      <c r="N75" s="5">
        <v>14000.0</v>
      </c>
      <c r="O75" s="5"/>
      <c r="P75" s="5">
        <v>14000.0</v>
      </c>
      <c r="Q75" s="5"/>
      <c r="R75" s="6"/>
      <c r="S75" s="6">
        <v>0.0</v>
      </c>
      <c r="T75" s="6"/>
      <c r="U75" s="6"/>
      <c r="V75" s="6"/>
      <c r="W75" s="6"/>
      <c r="X75" s="121">
        <f t="shared" si="13"/>
        <v>0</v>
      </c>
      <c r="Y75" s="6"/>
      <c r="Z75" s="6"/>
      <c r="AA75" s="6"/>
      <c r="AB75" s="6"/>
      <c r="AC75" s="121">
        <f t="shared" si="14"/>
        <v>0</v>
      </c>
      <c r="AD75" s="6"/>
      <c r="AE75" s="6">
        <v>14000.0</v>
      </c>
      <c r="AF75" s="6"/>
      <c r="AG75" s="6"/>
      <c r="AH75" s="6"/>
      <c r="AI75" s="121">
        <f t="shared" si="15"/>
        <v>14000</v>
      </c>
      <c r="AJ75" s="6"/>
      <c r="AK75" s="122"/>
      <c r="AL75" s="6"/>
      <c r="AM75" s="6"/>
      <c r="AN75" s="6"/>
      <c r="AO75" s="6"/>
      <c r="AP75" s="121">
        <f t="shared" si="4"/>
        <v>0</v>
      </c>
      <c r="AQ75" s="6"/>
      <c r="AR75" s="6"/>
      <c r="AS75" s="6"/>
      <c r="AT75" s="6"/>
      <c r="AU75" s="6"/>
      <c r="AV75" s="6"/>
      <c r="AW75" s="6"/>
      <c r="AX75" s="121">
        <f t="shared" si="5"/>
        <v>0</v>
      </c>
      <c r="AY75" s="6"/>
      <c r="AZ75" s="6"/>
      <c r="BA75" s="6"/>
      <c r="BB75" s="6"/>
      <c r="BC75" s="6"/>
      <c r="BD75" s="121">
        <f t="shared" si="6"/>
        <v>0</v>
      </c>
      <c r="BE75" s="156"/>
      <c r="BF75" s="6">
        <f t="shared" si="7"/>
        <v>14000</v>
      </c>
      <c r="BG75" s="124">
        <f t="shared" si="8"/>
        <v>0</v>
      </c>
      <c r="BH75" s="6"/>
      <c r="BI75" s="2"/>
    </row>
    <row r="76" ht="15.0" customHeight="1">
      <c r="A76" s="71">
        <v>51.0</v>
      </c>
      <c r="B76" s="71" t="s">
        <v>385</v>
      </c>
      <c r="C76" s="11">
        <v>44937.0</v>
      </c>
      <c r="D76" s="11"/>
      <c r="E76" s="2" t="s">
        <v>333</v>
      </c>
      <c r="F76" s="2" t="s">
        <v>334</v>
      </c>
      <c r="G76" s="2" t="s">
        <v>336</v>
      </c>
      <c r="H76" s="54"/>
      <c r="I76" s="30" t="s">
        <v>337</v>
      </c>
      <c r="J76" s="54" t="s">
        <v>911</v>
      </c>
      <c r="K76" s="54" t="s">
        <v>912</v>
      </c>
      <c r="L76" s="40">
        <v>130000.0</v>
      </c>
      <c r="M76" s="5"/>
      <c r="N76" s="5">
        <v>130000.0</v>
      </c>
      <c r="O76" s="5"/>
      <c r="P76" s="5">
        <v>130000.0</v>
      </c>
      <c r="Q76" s="5"/>
      <c r="R76" s="6"/>
      <c r="S76" s="6">
        <v>0.0</v>
      </c>
      <c r="T76" s="6"/>
      <c r="U76" s="6"/>
      <c r="V76" s="6"/>
      <c r="W76" s="6"/>
      <c r="X76" s="121">
        <f t="shared" si="13"/>
        <v>0</v>
      </c>
      <c r="Y76" s="6"/>
      <c r="Z76" s="6"/>
      <c r="AA76" s="6"/>
      <c r="AB76" s="6"/>
      <c r="AC76" s="121">
        <f t="shared" si="14"/>
        <v>0</v>
      </c>
      <c r="AD76" s="6"/>
      <c r="AE76" s="6"/>
      <c r="AF76" s="6"/>
      <c r="AG76" s="6">
        <v>130000.0</v>
      </c>
      <c r="AH76" s="6"/>
      <c r="AI76" s="121">
        <f t="shared" si="15"/>
        <v>130000</v>
      </c>
      <c r="AJ76" s="6"/>
      <c r="AK76" s="122"/>
      <c r="AL76" s="6"/>
      <c r="AM76" s="6"/>
      <c r="AN76" s="6"/>
      <c r="AO76" s="6"/>
      <c r="AP76" s="121">
        <f t="shared" si="4"/>
        <v>0</v>
      </c>
      <c r="AQ76" s="6"/>
      <c r="AR76" s="6"/>
      <c r="AS76" s="6"/>
      <c r="AT76" s="6"/>
      <c r="AU76" s="6"/>
      <c r="AV76" s="6"/>
      <c r="AW76" s="6"/>
      <c r="AX76" s="121">
        <f t="shared" si="5"/>
        <v>0</v>
      </c>
      <c r="AY76" s="6"/>
      <c r="AZ76" s="6"/>
      <c r="BA76" s="6"/>
      <c r="BB76" s="6"/>
      <c r="BC76" s="6"/>
      <c r="BD76" s="121">
        <f t="shared" si="6"/>
        <v>0</v>
      </c>
      <c r="BE76" s="156"/>
      <c r="BF76" s="6">
        <f t="shared" si="7"/>
        <v>130000</v>
      </c>
      <c r="BG76" s="124">
        <f t="shared" si="8"/>
        <v>0</v>
      </c>
      <c r="BH76" s="6"/>
      <c r="BI76" s="2"/>
    </row>
    <row r="77" ht="15.0" customHeight="1">
      <c r="A77" s="71">
        <v>52.0</v>
      </c>
      <c r="B77" s="71" t="s">
        <v>390</v>
      </c>
      <c r="C77" s="11">
        <v>44802.0</v>
      </c>
      <c r="D77" s="11"/>
      <c r="E77" s="2" t="s">
        <v>338</v>
      </c>
      <c r="F77" s="2" t="s">
        <v>339</v>
      </c>
      <c r="G77" s="2" t="s">
        <v>341</v>
      </c>
      <c r="H77" s="54"/>
      <c r="I77" s="30" t="s">
        <v>342</v>
      </c>
      <c r="J77" s="54" t="s">
        <v>913</v>
      </c>
      <c r="K77" s="54" t="s">
        <v>893</v>
      </c>
      <c r="L77" s="40">
        <v>1000000.0</v>
      </c>
      <c r="M77" s="5"/>
      <c r="N77" s="5">
        <v>1000000.0</v>
      </c>
      <c r="O77" s="5"/>
      <c r="P77" s="5">
        <v>1000000.0</v>
      </c>
      <c r="Q77" s="5"/>
      <c r="R77" s="6"/>
      <c r="S77" s="6">
        <v>0.0</v>
      </c>
      <c r="T77" s="6"/>
      <c r="U77" s="6"/>
      <c r="V77" s="6"/>
      <c r="W77" s="6"/>
      <c r="X77" s="121">
        <f t="shared" si="13"/>
        <v>0</v>
      </c>
      <c r="Y77" s="6"/>
      <c r="Z77" s="6"/>
      <c r="AA77" s="6"/>
      <c r="AB77" s="6"/>
      <c r="AC77" s="121">
        <f t="shared" si="14"/>
        <v>0</v>
      </c>
      <c r="AD77" s="6">
        <v>300000.0</v>
      </c>
      <c r="AE77" s="6">
        <v>700000.0</v>
      </c>
      <c r="AF77" s="6"/>
      <c r="AG77" s="6"/>
      <c r="AH77" s="6"/>
      <c r="AI77" s="121">
        <f t="shared" si="15"/>
        <v>1000000</v>
      </c>
      <c r="AJ77" s="6"/>
      <c r="AK77" s="122"/>
      <c r="AL77" s="6"/>
      <c r="AM77" s="6"/>
      <c r="AN77" s="6"/>
      <c r="AO77" s="6"/>
      <c r="AP77" s="121">
        <f t="shared" si="4"/>
        <v>0</v>
      </c>
      <c r="AQ77" s="6"/>
      <c r="AR77" s="6"/>
      <c r="AS77" s="6"/>
      <c r="AT77" s="6"/>
      <c r="AU77" s="6"/>
      <c r="AV77" s="6"/>
      <c r="AW77" s="6"/>
      <c r="AX77" s="121">
        <f t="shared" si="5"/>
        <v>0</v>
      </c>
      <c r="AY77" s="6"/>
      <c r="AZ77" s="6"/>
      <c r="BA77" s="6"/>
      <c r="BB77" s="6"/>
      <c r="BC77" s="6"/>
      <c r="BD77" s="121">
        <f t="shared" si="6"/>
        <v>0</v>
      </c>
      <c r="BE77" s="156"/>
      <c r="BF77" s="6">
        <f t="shared" si="7"/>
        <v>1000000</v>
      </c>
      <c r="BG77" s="124">
        <f t="shared" si="8"/>
        <v>0</v>
      </c>
      <c r="BH77" s="6"/>
      <c r="BI77" s="2"/>
    </row>
    <row r="78" ht="15.0" customHeight="1">
      <c r="A78" s="71">
        <v>53.0</v>
      </c>
      <c r="B78" s="71" t="s">
        <v>395</v>
      </c>
      <c r="C78" s="11">
        <v>44812.0</v>
      </c>
      <c r="D78" s="11"/>
      <c r="E78" s="2" t="s">
        <v>343</v>
      </c>
      <c r="F78" s="2" t="s">
        <v>344</v>
      </c>
      <c r="G78" s="2" t="s">
        <v>346</v>
      </c>
      <c r="H78" s="54"/>
      <c r="I78" s="30" t="s">
        <v>347</v>
      </c>
      <c r="J78" s="54" t="s">
        <v>914</v>
      </c>
      <c r="K78" s="54" t="s">
        <v>854</v>
      </c>
      <c r="L78" s="40">
        <v>50000.0</v>
      </c>
      <c r="M78" s="5"/>
      <c r="N78" s="5">
        <v>50000.0</v>
      </c>
      <c r="O78" s="5"/>
      <c r="P78" s="5">
        <v>50000.0</v>
      </c>
      <c r="Q78" s="5"/>
      <c r="R78" s="6"/>
      <c r="S78" s="6">
        <v>0.0</v>
      </c>
      <c r="T78" s="6"/>
      <c r="U78" s="6"/>
      <c r="V78" s="6"/>
      <c r="W78" s="6"/>
      <c r="X78" s="121">
        <f t="shared" si="13"/>
        <v>0</v>
      </c>
      <c r="Y78" s="6"/>
      <c r="Z78" s="6"/>
      <c r="AA78" s="6"/>
      <c r="AB78" s="6"/>
      <c r="AC78" s="121">
        <f t="shared" si="14"/>
        <v>0</v>
      </c>
      <c r="AD78" s="6">
        <v>50000.0</v>
      </c>
      <c r="AE78" s="6"/>
      <c r="AF78" s="6"/>
      <c r="AG78" s="6"/>
      <c r="AH78" s="6"/>
      <c r="AI78" s="121">
        <f t="shared" si="15"/>
        <v>50000</v>
      </c>
      <c r="AJ78" s="6"/>
      <c r="AK78" s="122"/>
      <c r="AL78" s="6"/>
      <c r="AM78" s="6"/>
      <c r="AN78" s="6"/>
      <c r="AO78" s="6"/>
      <c r="AP78" s="121">
        <f t="shared" si="4"/>
        <v>0</v>
      </c>
      <c r="AQ78" s="6"/>
      <c r="AR78" s="6"/>
      <c r="AS78" s="6"/>
      <c r="AT78" s="6"/>
      <c r="AU78" s="6"/>
      <c r="AV78" s="6"/>
      <c r="AW78" s="6"/>
      <c r="AX78" s="121">
        <f t="shared" si="5"/>
        <v>0</v>
      </c>
      <c r="AY78" s="6"/>
      <c r="AZ78" s="6"/>
      <c r="BA78" s="6"/>
      <c r="BB78" s="6"/>
      <c r="BC78" s="6"/>
      <c r="BD78" s="121">
        <f t="shared" si="6"/>
        <v>0</v>
      </c>
      <c r="BE78" s="156"/>
      <c r="BF78" s="6">
        <f t="shared" si="7"/>
        <v>50000</v>
      </c>
      <c r="BG78" s="124">
        <f t="shared" si="8"/>
        <v>0</v>
      </c>
      <c r="BH78" s="6"/>
      <c r="BI78" s="2"/>
    </row>
    <row r="79" ht="15.0" customHeight="1">
      <c r="A79" s="71">
        <v>54.0</v>
      </c>
      <c r="B79" s="71" t="s">
        <v>400</v>
      </c>
      <c r="C79" s="11">
        <v>44832.0</v>
      </c>
      <c r="D79" s="11"/>
      <c r="E79" s="2" t="s">
        <v>348</v>
      </c>
      <c r="F79" s="2" t="s">
        <v>349</v>
      </c>
      <c r="G79" s="2" t="s">
        <v>351</v>
      </c>
      <c r="H79" s="54"/>
      <c r="I79" s="30" t="s">
        <v>352</v>
      </c>
      <c r="J79" s="54" t="s">
        <v>915</v>
      </c>
      <c r="K79" s="54" t="s">
        <v>854</v>
      </c>
      <c r="L79" s="40">
        <v>3252000.0</v>
      </c>
      <c r="M79" s="5"/>
      <c r="N79" s="5">
        <v>3252000.0</v>
      </c>
      <c r="O79" s="5"/>
      <c r="P79" s="5">
        <v>3252000.0</v>
      </c>
      <c r="Q79" s="5"/>
      <c r="R79" s="6"/>
      <c r="S79" s="6">
        <v>0.0</v>
      </c>
      <c r="T79" s="6"/>
      <c r="U79" s="6"/>
      <c r="V79" s="6"/>
      <c r="W79" s="6"/>
      <c r="X79" s="121">
        <f t="shared" si="13"/>
        <v>0</v>
      </c>
      <c r="Y79" s="6"/>
      <c r="Z79" s="6"/>
      <c r="AA79" s="6"/>
      <c r="AB79" s="6"/>
      <c r="AC79" s="121">
        <f t="shared" si="14"/>
        <v>0</v>
      </c>
      <c r="AD79" s="6"/>
      <c r="AE79" s="6">
        <v>1084000.0</v>
      </c>
      <c r="AF79" s="6"/>
      <c r="AG79" s="6">
        <v>1500000.0</v>
      </c>
      <c r="AH79" s="6">
        <v>668000.0</v>
      </c>
      <c r="AI79" s="121">
        <f t="shared" si="15"/>
        <v>3252000</v>
      </c>
      <c r="AJ79" s="6"/>
      <c r="AK79" s="122"/>
      <c r="AL79" s="6"/>
      <c r="AM79" s="6"/>
      <c r="AN79" s="6"/>
      <c r="AO79" s="6"/>
      <c r="AP79" s="121">
        <f t="shared" si="4"/>
        <v>0</v>
      </c>
      <c r="AQ79" s="6"/>
      <c r="AR79" s="6"/>
      <c r="AS79" s="6"/>
      <c r="AT79" s="6"/>
      <c r="AU79" s="6"/>
      <c r="AV79" s="6"/>
      <c r="AW79" s="6"/>
      <c r="AX79" s="121">
        <f t="shared" si="5"/>
        <v>0</v>
      </c>
      <c r="AY79" s="6"/>
      <c r="AZ79" s="6"/>
      <c r="BA79" s="6"/>
      <c r="BB79" s="6"/>
      <c r="BC79" s="6"/>
      <c r="BD79" s="121">
        <f t="shared" si="6"/>
        <v>0</v>
      </c>
      <c r="BE79" s="156"/>
      <c r="BF79" s="6">
        <f t="shared" si="7"/>
        <v>3252000</v>
      </c>
      <c r="BG79" s="124">
        <f t="shared" si="8"/>
        <v>0</v>
      </c>
      <c r="BH79" s="6"/>
      <c r="BI79" s="2"/>
    </row>
    <row r="80" ht="15.0" customHeight="1">
      <c r="A80" s="71">
        <v>55.0</v>
      </c>
      <c r="B80" s="71" t="s">
        <v>405</v>
      </c>
      <c r="C80" s="11">
        <v>44851.0</v>
      </c>
      <c r="D80" s="11"/>
      <c r="E80" s="2" t="s">
        <v>353</v>
      </c>
      <c r="F80" s="2" t="s">
        <v>354</v>
      </c>
      <c r="G80" s="2" t="s">
        <v>356</v>
      </c>
      <c r="H80" s="54"/>
      <c r="I80" s="30" t="s">
        <v>357</v>
      </c>
      <c r="J80" s="54" t="s">
        <v>916</v>
      </c>
      <c r="K80" s="54" t="s">
        <v>860</v>
      </c>
      <c r="L80" s="40">
        <v>216206.46</v>
      </c>
      <c r="M80" s="5"/>
      <c r="N80" s="5">
        <v>216206.46</v>
      </c>
      <c r="O80" s="5"/>
      <c r="P80" s="5">
        <v>216206.46</v>
      </c>
      <c r="Q80" s="5"/>
      <c r="R80" s="6"/>
      <c r="S80" s="6">
        <v>0.0</v>
      </c>
      <c r="T80" s="6"/>
      <c r="U80" s="6"/>
      <c r="V80" s="6"/>
      <c r="W80" s="6"/>
      <c r="X80" s="121">
        <f t="shared" si="13"/>
        <v>0</v>
      </c>
      <c r="Y80" s="6"/>
      <c r="Z80" s="6"/>
      <c r="AA80" s="6"/>
      <c r="AB80" s="6"/>
      <c r="AC80" s="121">
        <f t="shared" si="14"/>
        <v>0</v>
      </c>
      <c r="AD80" s="6"/>
      <c r="AE80" s="6">
        <v>108000.0</v>
      </c>
      <c r="AF80" s="6"/>
      <c r="AG80" s="6">
        <v>108206.46</v>
      </c>
      <c r="AH80" s="6"/>
      <c r="AI80" s="121">
        <f t="shared" si="15"/>
        <v>216206.46</v>
      </c>
      <c r="AJ80" s="6"/>
      <c r="AK80" s="122">
        <v>-108000.0</v>
      </c>
      <c r="AL80" s="6">
        <v>108000.0</v>
      </c>
      <c r="AM80" s="6"/>
      <c r="AN80" s="6"/>
      <c r="AO80" s="6"/>
      <c r="AP80" s="121">
        <f t="shared" si="4"/>
        <v>0</v>
      </c>
      <c r="AQ80" s="6"/>
      <c r="AR80" s="6"/>
      <c r="AS80" s="6"/>
      <c r="AT80" s="6"/>
      <c r="AU80" s="6"/>
      <c r="AV80" s="6"/>
      <c r="AW80" s="6"/>
      <c r="AX80" s="121">
        <f t="shared" si="5"/>
        <v>0</v>
      </c>
      <c r="AY80" s="6"/>
      <c r="AZ80" s="6"/>
      <c r="BA80" s="6"/>
      <c r="BB80" s="6"/>
      <c r="BC80" s="6"/>
      <c r="BD80" s="121">
        <f t="shared" si="6"/>
        <v>0</v>
      </c>
      <c r="BE80" s="156"/>
      <c r="BF80" s="6">
        <f t="shared" si="7"/>
        <v>216206.46</v>
      </c>
      <c r="BG80" s="124">
        <f t="shared" si="8"/>
        <v>0</v>
      </c>
      <c r="BH80" s="6"/>
      <c r="BI80" s="2"/>
    </row>
    <row r="81" ht="15.0" customHeight="1">
      <c r="A81" s="71">
        <v>55.0</v>
      </c>
      <c r="B81" s="71" t="s">
        <v>410</v>
      </c>
      <c r="C81" s="11">
        <v>44851.0</v>
      </c>
      <c r="D81" s="11"/>
      <c r="E81" s="2" t="s">
        <v>353</v>
      </c>
      <c r="F81" s="2" t="s">
        <v>354</v>
      </c>
      <c r="G81" s="2" t="s">
        <v>356</v>
      </c>
      <c r="H81" s="54"/>
      <c r="I81" s="30" t="s">
        <v>357</v>
      </c>
      <c r="J81" s="54" t="s">
        <v>917</v>
      </c>
      <c r="K81" s="54" t="s">
        <v>860</v>
      </c>
      <c r="L81" s="40">
        <v>2327398.96</v>
      </c>
      <c r="M81" s="5"/>
      <c r="N81" s="5">
        <v>2327398.96</v>
      </c>
      <c r="O81" s="5"/>
      <c r="P81" s="5">
        <v>2327398.96</v>
      </c>
      <c r="Q81" s="5"/>
      <c r="R81" s="6"/>
      <c r="S81" s="6">
        <v>0.0</v>
      </c>
      <c r="T81" s="6"/>
      <c r="U81" s="6"/>
      <c r="V81" s="6"/>
      <c r="W81" s="6"/>
      <c r="X81" s="121">
        <f t="shared" si="13"/>
        <v>0</v>
      </c>
      <c r="Y81" s="6"/>
      <c r="Z81" s="6"/>
      <c r="AA81" s="6"/>
      <c r="AB81" s="6"/>
      <c r="AC81" s="121">
        <f t="shared" si="14"/>
        <v>0</v>
      </c>
      <c r="AD81" s="6"/>
      <c r="AE81" s="6">
        <v>1000000.0</v>
      </c>
      <c r="AF81" s="6"/>
      <c r="AG81" s="6">
        <v>800000.0</v>
      </c>
      <c r="AH81" s="6">
        <v>263699.48</v>
      </c>
      <c r="AI81" s="121">
        <f t="shared" si="15"/>
        <v>2063699.48</v>
      </c>
      <c r="AJ81" s="6">
        <v>263699.48</v>
      </c>
      <c r="AK81" s="122"/>
      <c r="AL81" s="6"/>
      <c r="AM81" s="6"/>
      <c r="AN81" s="6"/>
      <c r="AO81" s="6"/>
      <c r="AP81" s="121">
        <f t="shared" si="4"/>
        <v>263699.48</v>
      </c>
      <c r="AQ81" s="6"/>
      <c r="AR81" s="6"/>
      <c r="AS81" s="6"/>
      <c r="AT81" s="6"/>
      <c r="AU81" s="6"/>
      <c r="AV81" s="6"/>
      <c r="AW81" s="6"/>
      <c r="AX81" s="121">
        <f t="shared" si="5"/>
        <v>0</v>
      </c>
      <c r="AY81" s="6"/>
      <c r="AZ81" s="6"/>
      <c r="BA81" s="6"/>
      <c r="BB81" s="6"/>
      <c r="BC81" s="6"/>
      <c r="BD81" s="121">
        <f t="shared" si="6"/>
        <v>0</v>
      </c>
      <c r="BE81" s="156"/>
      <c r="BF81" s="6">
        <f t="shared" si="7"/>
        <v>2327398.96</v>
      </c>
      <c r="BG81" s="124">
        <f t="shared" si="8"/>
        <v>0</v>
      </c>
      <c r="BH81" s="6"/>
      <c r="BI81" s="2"/>
    </row>
    <row r="82" ht="15.0" customHeight="1">
      <c r="A82" s="71">
        <v>56.0</v>
      </c>
      <c r="B82" s="71" t="s">
        <v>415</v>
      </c>
      <c r="C82" s="11">
        <v>44867.0</v>
      </c>
      <c r="D82" s="11"/>
      <c r="E82" s="2" t="s">
        <v>358</v>
      </c>
      <c r="F82" s="2" t="s">
        <v>359</v>
      </c>
      <c r="G82" s="2" t="s">
        <v>361</v>
      </c>
      <c r="H82" s="54"/>
      <c r="I82" s="30" t="s">
        <v>362</v>
      </c>
      <c r="J82" s="54" t="s">
        <v>918</v>
      </c>
      <c r="K82" s="54" t="s">
        <v>854</v>
      </c>
      <c r="L82" s="40">
        <v>361000.0</v>
      </c>
      <c r="M82" s="5"/>
      <c r="N82" s="5">
        <v>361000.0</v>
      </c>
      <c r="O82" s="5"/>
      <c r="P82" s="5">
        <v>361000.0</v>
      </c>
      <c r="Q82" s="5"/>
      <c r="R82" s="6"/>
      <c r="S82" s="6">
        <v>0.0</v>
      </c>
      <c r="T82" s="6"/>
      <c r="U82" s="6"/>
      <c r="V82" s="6"/>
      <c r="W82" s="6"/>
      <c r="X82" s="121">
        <f t="shared" si="13"/>
        <v>0</v>
      </c>
      <c r="Y82" s="6"/>
      <c r="Z82" s="6"/>
      <c r="AA82" s="6"/>
      <c r="AB82" s="6"/>
      <c r="AC82" s="121">
        <f t="shared" si="14"/>
        <v>0</v>
      </c>
      <c r="AD82" s="6"/>
      <c r="AE82" s="6">
        <v>361000.0</v>
      </c>
      <c r="AF82" s="6"/>
      <c r="AG82" s="6"/>
      <c r="AH82" s="6"/>
      <c r="AI82" s="121">
        <f t="shared" si="15"/>
        <v>361000</v>
      </c>
      <c r="AJ82" s="6"/>
      <c r="AK82" s="122"/>
      <c r="AL82" s="6"/>
      <c r="AM82" s="6"/>
      <c r="AN82" s="6"/>
      <c r="AO82" s="6"/>
      <c r="AP82" s="121">
        <f t="shared" si="4"/>
        <v>0</v>
      </c>
      <c r="AQ82" s="6"/>
      <c r="AR82" s="6"/>
      <c r="AS82" s="6"/>
      <c r="AT82" s="6"/>
      <c r="AU82" s="6"/>
      <c r="AV82" s="6"/>
      <c r="AW82" s="6"/>
      <c r="AX82" s="121">
        <f t="shared" si="5"/>
        <v>0</v>
      </c>
      <c r="AY82" s="6"/>
      <c r="AZ82" s="6"/>
      <c r="BA82" s="6"/>
      <c r="BB82" s="6"/>
      <c r="BC82" s="6"/>
      <c r="BD82" s="121">
        <f t="shared" si="6"/>
        <v>0</v>
      </c>
      <c r="BE82" s="156"/>
      <c r="BF82" s="6">
        <f t="shared" si="7"/>
        <v>361000</v>
      </c>
      <c r="BG82" s="124">
        <f t="shared" si="8"/>
        <v>0</v>
      </c>
      <c r="BH82" s="6"/>
      <c r="BI82" s="2"/>
    </row>
    <row r="83" ht="15.0" customHeight="1">
      <c r="A83" s="71">
        <v>57.0</v>
      </c>
      <c r="B83" s="71" t="s">
        <v>420</v>
      </c>
      <c r="C83" s="11">
        <v>45077.0</v>
      </c>
      <c r="D83" s="11"/>
      <c r="E83" s="2" t="s">
        <v>363</v>
      </c>
      <c r="F83" s="2" t="s">
        <v>364</v>
      </c>
      <c r="G83" s="2" t="s">
        <v>366</v>
      </c>
      <c r="H83" s="54"/>
      <c r="I83" s="30" t="s">
        <v>367</v>
      </c>
      <c r="J83" s="54" t="s">
        <v>919</v>
      </c>
      <c r="K83" s="54" t="s">
        <v>851</v>
      </c>
      <c r="L83" s="40">
        <v>1644300.0</v>
      </c>
      <c r="M83" s="5"/>
      <c r="N83" s="5">
        <v>1644300.0</v>
      </c>
      <c r="O83" s="5"/>
      <c r="P83" s="5">
        <v>1644300.0</v>
      </c>
      <c r="Q83" s="5"/>
      <c r="R83" s="6"/>
      <c r="S83" s="6">
        <v>0.0</v>
      </c>
      <c r="T83" s="6"/>
      <c r="U83" s="6"/>
      <c r="V83" s="6"/>
      <c r="W83" s="6"/>
      <c r="X83" s="121">
        <f t="shared" si="13"/>
        <v>0</v>
      </c>
      <c r="Y83" s="6"/>
      <c r="Z83" s="6"/>
      <c r="AA83" s="6"/>
      <c r="AB83" s="6"/>
      <c r="AC83" s="121">
        <f t="shared" si="14"/>
        <v>0</v>
      </c>
      <c r="AD83" s="6"/>
      <c r="AE83" s="6"/>
      <c r="AF83" s="6"/>
      <c r="AG83" s="6"/>
      <c r="AH83" s="6">
        <v>325000.0</v>
      </c>
      <c r="AI83" s="121">
        <f t="shared" si="15"/>
        <v>325000</v>
      </c>
      <c r="AJ83" s="6">
        <v>175000.0</v>
      </c>
      <c r="AK83" s="122"/>
      <c r="AL83" s="6">
        <v>500000.0</v>
      </c>
      <c r="AM83" s="6">
        <v>120000.0</v>
      </c>
      <c r="AN83" s="6">
        <v>250000.0</v>
      </c>
      <c r="AO83" s="6"/>
      <c r="AP83" s="121">
        <f t="shared" si="4"/>
        <v>1045000</v>
      </c>
      <c r="AQ83" s="6">
        <v>274300.0</v>
      </c>
      <c r="AR83" s="6"/>
      <c r="AS83" s="6"/>
      <c r="AT83" s="6"/>
      <c r="AU83" s="6"/>
      <c r="AV83" s="6"/>
      <c r="AW83" s="6"/>
      <c r="AX83" s="121">
        <f t="shared" si="5"/>
        <v>274300</v>
      </c>
      <c r="AY83" s="6"/>
      <c r="AZ83" s="6"/>
      <c r="BA83" s="6"/>
      <c r="BB83" s="6"/>
      <c r="BC83" s="6"/>
      <c r="BD83" s="121">
        <f t="shared" si="6"/>
        <v>0</v>
      </c>
      <c r="BE83" s="156"/>
      <c r="BF83" s="6">
        <f t="shared" si="7"/>
        <v>1644300</v>
      </c>
      <c r="BG83" s="124">
        <f t="shared" si="8"/>
        <v>0</v>
      </c>
      <c r="BH83" s="6"/>
      <c r="BI83" s="2"/>
    </row>
    <row r="84" ht="15.0" customHeight="1">
      <c r="A84" s="71" t="s">
        <v>920</v>
      </c>
      <c r="B84" s="71" t="s">
        <v>425</v>
      </c>
      <c r="C84" s="11">
        <v>44971.0</v>
      </c>
      <c r="D84" s="11"/>
      <c r="E84" s="2" t="s">
        <v>368</v>
      </c>
      <c r="F84" s="2" t="s">
        <v>369</v>
      </c>
      <c r="G84" s="32" t="s">
        <v>371</v>
      </c>
      <c r="H84" s="54"/>
      <c r="I84" s="30" t="s">
        <v>372</v>
      </c>
      <c r="J84" s="54" t="s">
        <v>921</v>
      </c>
      <c r="K84" s="54" t="s">
        <v>851</v>
      </c>
      <c r="L84" s="40">
        <v>250776.75</v>
      </c>
      <c r="M84" s="5"/>
      <c r="N84" s="5">
        <v>250776.75</v>
      </c>
      <c r="O84" s="5"/>
      <c r="P84" s="5">
        <v>250776.75</v>
      </c>
      <c r="Q84" s="5"/>
      <c r="R84" s="6"/>
      <c r="S84" s="6">
        <v>0.0</v>
      </c>
      <c r="T84" s="6"/>
      <c r="U84" s="6"/>
      <c r="V84" s="6"/>
      <c r="W84" s="6"/>
      <c r="X84" s="121">
        <f t="shared" si="13"/>
        <v>0</v>
      </c>
      <c r="Y84" s="6"/>
      <c r="Z84" s="6"/>
      <c r="AA84" s="6"/>
      <c r="AB84" s="6"/>
      <c r="AC84" s="121">
        <f t="shared" si="14"/>
        <v>0</v>
      </c>
      <c r="AD84" s="6"/>
      <c r="AE84" s="6">
        <v>0.0</v>
      </c>
      <c r="AF84" s="6"/>
      <c r="AG84" s="6">
        <v>250776.75</v>
      </c>
      <c r="AH84" s="6"/>
      <c r="AI84" s="121">
        <f t="shared" si="15"/>
        <v>250776.75</v>
      </c>
      <c r="AJ84" s="6"/>
      <c r="AK84" s="122"/>
      <c r="AL84" s="6"/>
      <c r="AM84" s="6"/>
      <c r="AN84" s="6"/>
      <c r="AO84" s="6"/>
      <c r="AP84" s="121">
        <f t="shared" si="4"/>
        <v>0</v>
      </c>
      <c r="AQ84" s="6"/>
      <c r="AR84" s="6"/>
      <c r="AS84" s="6"/>
      <c r="AT84" s="6"/>
      <c r="AU84" s="6"/>
      <c r="AV84" s="6"/>
      <c r="AW84" s="6"/>
      <c r="AX84" s="121">
        <f t="shared" si="5"/>
        <v>0</v>
      </c>
      <c r="AY84" s="6"/>
      <c r="AZ84" s="6"/>
      <c r="BA84" s="6"/>
      <c r="BB84" s="6"/>
      <c r="BC84" s="6"/>
      <c r="BD84" s="121">
        <f t="shared" si="6"/>
        <v>0</v>
      </c>
      <c r="BE84" s="156"/>
      <c r="BF84" s="6">
        <f t="shared" si="7"/>
        <v>250776.75</v>
      </c>
      <c r="BG84" s="124">
        <f t="shared" si="8"/>
        <v>0</v>
      </c>
      <c r="BH84" s="6"/>
      <c r="BI84" s="2"/>
    </row>
    <row r="85" ht="15.0" customHeight="1">
      <c r="A85" s="71" t="s">
        <v>920</v>
      </c>
      <c r="B85" s="71" t="s">
        <v>430</v>
      </c>
      <c r="C85" s="11">
        <v>44971.0</v>
      </c>
      <c r="D85" s="11"/>
      <c r="E85" s="2" t="s">
        <v>368</v>
      </c>
      <c r="F85" s="2" t="s">
        <v>369</v>
      </c>
      <c r="G85" s="32" t="s">
        <v>371</v>
      </c>
      <c r="H85" s="54"/>
      <c r="I85" s="30" t="s">
        <v>372</v>
      </c>
      <c r="J85" s="54" t="s">
        <v>922</v>
      </c>
      <c r="K85" s="54" t="s">
        <v>851</v>
      </c>
      <c r="L85" s="40">
        <v>970445.23</v>
      </c>
      <c r="M85" s="5"/>
      <c r="N85" s="5">
        <v>970445.23</v>
      </c>
      <c r="O85" s="5"/>
      <c r="P85" s="5">
        <v>970445.23</v>
      </c>
      <c r="Q85" s="5"/>
      <c r="R85" s="6"/>
      <c r="S85" s="6">
        <v>0.0</v>
      </c>
      <c r="T85" s="6"/>
      <c r="U85" s="6"/>
      <c r="V85" s="6"/>
      <c r="W85" s="6"/>
      <c r="X85" s="121">
        <f t="shared" si="13"/>
        <v>0</v>
      </c>
      <c r="Y85" s="6"/>
      <c r="Z85" s="6"/>
      <c r="AA85" s="6"/>
      <c r="AB85" s="6"/>
      <c r="AC85" s="121">
        <f t="shared" si="14"/>
        <v>0</v>
      </c>
      <c r="AD85" s="6"/>
      <c r="AE85" s="6">
        <v>0.0</v>
      </c>
      <c r="AF85" s="6"/>
      <c r="AG85" s="6"/>
      <c r="AH85" s="6">
        <v>243000.0</v>
      </c>
      <c r="AI85" s="121">
        <f t="shared" si="15"/>
        <v>243000</v>
      </c>
      <c r="AJ85" s="6">
        <v>250000.0</v>
      </c>
      <c r="AK85" s="122"/>
      <c r="AL85" s="6">
        <v>477445.23</v>
      </c>
      <c r="AM85" s="6"/>
      <c r="AN85" s="6"/>
      <c r="AO85" s="6"/>
      <c r="AP85" s="121">
        <f t="shared" si="4"/>
        <v>727445.23</v>
      </c>
      <c r="AQ85" s="6"/>
      <c r="AR85" s="6"/>
      <c r="AS85" s="6"/>
      <c r="AT85" s="6"/>
      <c r="AU85" s="6"/>
      <c r="AV85" s="6"/>
      <c r="AW85" s="6"/>
      <c r="AX85" s="121">
        <f t="shared" si="5"/>
        <v>0</v>
      </c>
      <c r="AY85" s="6"/>
      <c r="AZ85" s="6"/>
      <c r="BA85" s="6"/>
      <c r="BB85" s="6"/>
      <c r="BC85" s="6"/>
      <c r="BD85" s="121">
        <f t="shared" si="6"/>
        <v>0</v>
      </c>
      <c r="BE85" s="156"/>
      <c r="BF85" s="6">
        <f t="shared" si="7"/>
        <v>970445.23</v>
      </c>
      <c r="BG85" s="124">
        <f t="shared" si="8"/>
        <v>0</v>
      </c>
      <c r="BH85" s="6"/>
      <c r="BI85" s="2"/>
    </row>
    <row r="86" ht="15.0" customHeight="1">
      <c r="A86" s="71" t="s">
        <v>923</v>
      </c>
      <c r="B86" s="71" t="s">
        <v>434</v>
      </c>
      <c r="C86" s="11">
        <v>45021.0</v>
      </c>
      <c r="D86" s="11"/>
      <c r="E86" s="2" t="s">
        <v>373</v>
      </c>
      <c r="F86" s="2" t="s">
        <v>374</v>
      </c>
      <c r="G86" s="33" t="s">
        <v>376</v>
      </c>
      <c r="H86" s="54"/>
      <c r="I86" s="30" t="s">
        <v>377</v>
      </c>
      <c r="J86" s="54" t="s">
        <v>924</v>
      </c>
      <c r="K86" s="157" t="s">
        <v>854</v>
      </c>
      <c r="L86" s="40">
        <v>474412.17</v>
      </c>
      <c r="M86" s="5"/>
      <c r="N86" s="5">
        <v>474412.17</v>
      </c>
      <c r="O86" s="5"/>
      <c r="P86" s="5">
        <v>474412.17</v>
      </c>
      <c r="Q86" s="5"/>
      <c r="R86" s="6"/>
      <c r="S86" s="6"/>
      <c r="T86" s="6"/>
      <c r="U86" s="6"/>
      <c r="V86" s="6"/>
      <c r="W86" s="6"/>
      <c r="X86" s="121">
        <f t="shared" si="13"/>
        <v>0</v>
      </c>
      <c r="Y86" s="6"/>
      <c r="Z86" s="6"/>
      <c r="AA86" s="6"/>
      <c r="AB86" s="6"/>
      <c r="AC86" s="121">
        <f t="shared" si="14"/>
        <v>0</v>
      </c>
      <c r="AD86" s="6"/>
      <c r="AE86" s="6"/>
      <c r="AF86" s="6"/>
      <c r="AG86" s="6"/>
      <c r="AH86" s="6">
        <v>474412.17</v>
      </c>
      <c r="AI86" s="121">
        <f t="shared" si="15"/>
        <v>474412.17</v>
      </c>
      <c r="AJ86" s="6"/>
      <c r="AK86" s="122"/>
      <c r="AL86" s="6"/>
      <c r="AM86" s="6"/>
      <c r="AN86" s="6"/>
      <c r="AO86" s="6"/>
      <c r="AP86" s="121">
        <f t="shared" si="4"/>
        <v>0</v>
      </c>
      <c r="AQ86" s="6"/>
      <c r="AR86" s="6"/>
      <c r="AS86" s="6"/>
      <c r="AT86" s="6"/>
      <c r="AU86" s="6"/>
      <c r="AV86" s="6"/>
      <c r="AW86" s="6"/>
      <c r="AX86" s="121">
        <f t="shared" si="5"/>
        <v>0</v>
      </c>
      <c r="AY86" s="6"/>
      <c r="AZ86" s="6"/>
      <c r="BA86" s="6"/>
      <c r="BB86" s="6"/>
      <c r="BC86" s="6"/>
      <c r="BD86" s="121">
        <f t="shared" si="6"/>
        <v>0</v>
      </c>
      <c r="BE86" s="156"/>
      <c r="BF86" s="6">
        <f t="shared" si="7"/>
        <v>474412.17</v>
      </c>
      <c r="BG86" s="124">
        <f t="shared" si="8"/>
        <v>0</v>
      </c>
      <c r="BH86" s="6"/>
      <c r="BI86" s="2"/>
    </row>
    <row r="87" ht="15.0" customHeight="1">
      <c r="A87" s="71" t="s">
        <v>923</v>
      </c>
      <c r="B87" s="71" t="s">
        <v>439</v>
      </c>
      <c r="C87" s="11">
        <v>45021.0</v>
      </c>
      <c r="D87" s="11"/>
      <c r="E87" s="2" t="s">
        <v>373</v>
      </c>
      <c r="F87" s="2" t="s">
        <v>374</v>
      </c>
      <c r="G87" s="33" t="s">
        <v>376</v>
      </c>
      <c r="H87" s="54"/>
      <c r="I87" s="30" t="s">
        <v>377</v>
      </c>
      <c r="J87" s="54" t="s">
        <v>925</v>
      </c>
      <c r="K87" s="157" t="s">
        <v>854</v>
      </c>
      <c r="L87" s="40">
        <v>2138330.6</v>
      </c>
      <c r="M87" s="5"/>
      <c r="N87" s="5">
        <v>2138330.6</v>
      </c>
      <c r="O87" s="5"/>
      <c r="P87" s="5">
        <v>2138330.6</v>
      </c>
      <c r="Q87" s="5"/>
      <c r="R87" s="6"/>
      <c r="S87" s="6"/>
      <c r="T87" s="6"/>
      <c r="U87" s="6"/>
      <c r="V87" s="6"/>
      <c r="W87" s="6"/>
      <c r="X87" s="121">
        <f t="shared" si="13"/>
        <v>0</v>
      </c>
      <c r="Y87" s="6"/>
      <c r="Z87" s="6"/>
      <c r="AA87" s="6"/>
      <c r="AB87" s="6"/>
      <c r="AC87" s="121">
        <f t="shared" si="14"/>
        <v>0</v>
      </c>
      <c r="AD87" s="6"/>
      <c r="AE87" s="6"/>
      <c r="AF87" s="6"/>
      <c r="AG87" s="6"/>
      <c r="AH87" s="6"/>
      <c r="AI87" s="121">
        <f t="shared" si="15"/>
        <v>0</v>
      </c>
      <c r="AJ87" s="6">
        <v>1100000.0</v>
      </c>
      <c r="AK87" s="122"/>
      <c r="AL87" s="6">
        <v>778747.95</v>
      </c>
      <c r="AM87" s="6">
        <v>100000.0</v>
      </c>
      <c r="AN87" s="6">
        <v>159582.65</v>
      </c>
      <c r="AO87" s="6"/>
      <c r="AP87" s="121">
        <f t="shared" si="4"/>
        <v>2138330.6</v>
      </c>
      <c r="AQ87" s="6"/>
      <c r="AR87" s="6"/>
      <c r="AS87" s="6"/>
      <c r="AT87" s="6"/>
      <c r="AU87" s="6"/>
      <c r="AV87" s="6"/>
      <c r="AW87" s="6"/>
      <c r="AX87" s="121">
        <f t="shared" si="5"/>
        <v>0</v>
      </c>
      <c r="AY87" s="6"/>
      <c r="AZ87" s="6"/>
      <c r="BA87" s="6"/>
      <c r="BB87" s="6"/>
      <c r="BC87" s="6"/>
      <c r="BD87" s="121">
        <f t="shared" si="6"/>
        <v>0</v>
      </c>
      <c r="BE87" s="156"/>
      <c r="BF87" s="6">
        <f t="shared" si="7"/>
        <v>2138330.6</v>
      </c>
      <c r="BG87" s="124">
        <f t="shared" si="8"/>
        <v>0</v>
      </c>
      <c r="BH87" s="6"/>
      <c r="BI87" s="2"/>
    </row>
    <row r="88" ht="15.0" customHeight="1">
      <c r="A88" s="71">
        <v>59.0</v>
      </c>
      <c r="B88" s="71" t="s">
        <v>444</v>
      </c>
      <c r="C88" s="11">
        <v>45021.0</v>
      </c>
      <c r="D88" s="11"/>
      <c r="E88" s="2" t="s">
        <v>373</v>
      </c>
      <c r="F88" s="2" t="s">
        <v>374</v>
      </c>
      <c r="G88" s="33" t="s">
        <v>376</v>
      </c>
      <c r="H88" s="54"/>
      <c r="I88" s="30" t="s">
        <v>377</v>
      </c>
      <c r="J88" s="54" t="s">
        <v>926</v>
      </c>
      <c r="K88" s="157" t="s">
        <v>854</v>
      </c>
      <c r="L88" s="40">
        <v>247809.0</v>
      </c>
      <c r="M88" s="5"/>
      <c r="N88" s="5">
        <v>247809.0</v>
      </c>
      <c r="O88" s="5"/>
      <c r="P88" s="5">
        <v>247809.0</v>
      </c>
      <c r="Q88" s="5"/>
      <c r="R88" s="6"/>
      <c r="S88" s="6"/>
      <c r="T88" s="6"/>
      <c r="U88" s="6"/>
      <c r="V88" s="6"/>
      <c r="W88" s="6"/>
      <c r="X88" s="121">
        <f t="shared" si="13"/>
        <v>0</v>
      </c>
      <c r="Y88" s="6"/>
      <c r="Z88" s="6"/>
      <c r="AA88" s="6"/>
      <c r="AB88" s="6"/>
      <c r="AC88" s="121">
        <f t="shared" si="14"/>
        <v>0</v>
      </c>
      <c r="AD88" s="6"/>
      <c r="AE88" s="6"/>
      <c r="AF88" s="6"/>
      <c r="AG88" s="6"/>
      <c r="AH88" s="6">
        <v>247809.0</v>
      </c>
      <c r="AI88" s="121">
        <f t="shared" si="15"/>
        <v>247809</v>
      </c>
      <c r="AJ88" s="6"/>
      <c r="AK88" s="122"/>
      <c r="AL88" s="6"/>
      <c r="AM88" s="6"/>
      <c r="AN88" s="6"/>
      <c r="AO88" s="6"/>
      <c r="AP88" s="121">
        <f t="shared" si="4"/>
        <v>0</v>
      </c>
      <c r="AQ88" s="6"/>
      <c r="AR88" s="6"/>
      <c r="AS88" s="6"/>
      <c r="AT88" s="6"/>
      <c r="AU88" s="6"/>
      <c r="AV88" s="6"/>
      <c r="AW88" s="6"/>
      <c r="AX88" s="121">
        <f t="shared" si="5"/>
        <v>0</v>
      </c>
      <c r="AY88" s="6"/>
      <c r="AZ88" s="6"/>
      <c r="BA88" s="6"/>
      <c r="BB88" s="6"/>
      <c r="BC88" s="6"/>
      <c r="BD88" s="121">
        <f t="shared" si="6"/>
        <v>0</v>
      </c>
      <c r="BE88" s="156"/>
      <c r="BF88" s="6">
        <f t="shared" si="7"/>
        <v>247809</v>
      </c>
      <c r="BG88" s="124">
        <f t="shared" si="8"/>
        <v>0</v>
      </c>
      <c r="BH88" s="6"/>
      <c r="BI88" s="2"/>
    </row>
    <row r="89" ht="15.0" customHeight="1">
      <c r="A89" s="71">
        <v>60.0</v>
      </c>
      <c r="B89" s="71" t="s">
        <v>449</v>
      </c>
      <c r="C89" s="11">
        <v>44964.0</v>
      </c>
      <c r="D89" s="11"/>
      <c r="E89" s="2" t="s">
        <v>378</v>
      </c>
      <c r="F89" s="2" t="s">
        <v>379</v>
      </c>
      <c r="G89" s="2" t="s">
        <v>381</v>
      </c>
      <c r="H89" s="54"/>
      <c r="I89" s="30" t="s">
        <v>382</v>
      </c>
      <c r="J89" s="54" t="s">
        <v>927</v>
      </c>
      <c r="K89" s="54" t="s">
        <v>860</v>
      </c>
      <c r="L89" s="40">
        <v>1000000.0</v>
      </c>
      <c r="M89" s="5"/>
      <c r="N89" s="5">
        <v>1000000.0</v>
      </c>
      <c r="O89" s="5"/>
      <c r="P89" s="5">
        <v>1000000.0</v>
      </c>
      <c r="Q89" s="5"/>
      <c r="R89" s="6"/>
      <c r="S89" s="6">
        <v>0.0</v>
      </c>
      <c r="T89" s="6"/>
      <c r="U89" s="6"/>
      <c r="V89" s="6"/>
      <c r="W89" s="6"/>
      <c r="X89" s="121">
        <f t="shared" si="13"/>
        <v>0</v>
      </c>
      <c r="Y89" s="6"/>
      <c r="Z89" s="6"/>
      <c r="AA89" s="6"/>
      <c r="AB89" s="6"/>
      <c r="AC89" s="121">
        <f t="shared" si="14"/>
        <v>0</v>
      </c>
      <c r="AD89" s="6"/>
      <c r="AE89" s="6">
        <v>0.0</v>
      </c>
      <c r="AF89" s="6"/>
      <c r="AG89" s="6">
        <v>250000.0</v>
      </c>
      <c r="AH89" s="6">
        <v>187500.0</v>
      </c>
      <c r="AI89" s="121">
        <f t="shared" si="15"/>
        <v>437500</v>
      </c>
      <c r="AJ89" s="6"/>
      <c r="AK89" s="122"/>
      <c r="AL89" s="6">
        <v>562500.0</v>
      </c>
      <c r="AM89" s="6"/>
      <c r="AN89" s="6"/>
      <c r="AO89" s="6"/>
      <c r="AP89" s="121">
        <f t="shared" si="4"/>
        <v>562500</v>
      </c>
      <c r="AQ89" s="6"/>
      <c r="AR89" s="6"/>
      <c r="AS89" s="6"/>
      <c r="AT89" s="6"/>
      <c r="AU89" s="6"/>
      <c r="AV89" s="6"/>
      <c r="AW89" s="6"/>
      <c r="AX89" s="121">
        <f t="shared" si="5"/>
        <v>0</v>
      </c>
      <c r="AY89" s="6"/>
      <c r="AZ89" s="6"/>
      <c r="BA89" s="6"/>
      <c r="BB89" s="6"/>
      <c r="BC89" s="6"/>
      <c r="BD89" s="121">
        <f t="shared" si="6"/>
        <v>0</v>
      </c>
      <c r="BE89" s="156"/>
      <c r="BF89" s="6">
        <f t="shared" si="7"/>
        <v>1000000</v>
      </c>
      <c r="BG89" s="124">
        <f t="shared" si="8"/>
        <v>0</v>
      </c>
      <c r="BH89" s="6"/>
      <c r="BI89" s="2"/>
    </row>
    <row r="90" ht="15.0" customHeight="1">
      <c r="A90" s="71">
        <v>61.0</v>
      </c>
      <c r="B90" s="71" t="s">
        <v>455</v>
      </c>
      <c r="C90" s="11">
        <v>45023.0</v>
      </c>
      <c r="D90" s="11"/>
      <c r="E90" s="2" t="s">
        <v>383</v>
      </c>
      <c r="F90" s="2" t="s">
        <v>384</v>
      </c>
      <c r="G90" s="2" t="s">
        <v>386</v>
      </c>
      <c r="H90" s="54"/>
      <c r="I90" s="30" t="s">
        <v>387</v>
      </c>
      <c r="J90" s="54" t="s">
        <v>928</v>
      </c>
      <c r="K90" s="54" t="s">
        <v>854</v>
      </c>
      <c r="L90" s="40">
        <v>9600000.0</v>
      </c>
      <c r="M90" s="5"/>
      <c r="N90" s="5">
        <v>9600000.0</v>
      </c>
      <c r="O90" s="5"/>
      <c r="P90" s="5">
        <v>9600000.0</v>
      </c>
      <c r="Q90" s="5"/>
      <c r="R90" s="6"/>
      <c r="S90" s="6">
        <v>0.0</v>
      </c>
      <c r="T90" s="6"/>
      <c r="U90" s="6"/>
      <c r="V90" s="6"/>
      <c r="W90" s="6"/>
      <c r="X90" s="121">
        <f t="shared" si="13"/>
        <v>0</v>
      </c>
      <c r="Y90" s="6"/>
      <c r="Z90" s="6"/>
      <c r="AA90" s="6"/>
      <c r="AB90" s="6"/>
      <c r="AC90" s="121">
        <f t="shared" si="14"/>
        <v>0</v>
      </c>
      <c r="AD90" s="6"/>
      <c r="AE90" s="6"/>
      <c r="AF90" s="6"/>
      <c r="AG90" s="6"/>
      <c r="AH90" s="6">
        <v>2625914.0997067</v>
      </c>
      <c r="AI90" s="121">
        <f t="shared" si="15"/>
        <v>2625914.1</v>
      </c>
      <c r="AJ90" s="6"/>
      <c r="AK90" s="122"/>
      <c r="AL90" s="6">
        <v>3200000.0</v>
      </c>
      <c r="AM90" s="6"/>
      <c r="AN90" s="6"/>
      <c r="AO90" s="6"/>
      <c r="AP90" s="121">
        <f t="shared" si="4"/>
        <v>3200000</v>
      </c>
      <c r="AQ90" s="6">
        <v>1000000.0</v>
      </c>
      <c r="AR90" s="6"/>
      <c r="AS90" s="6"/>
      <c r="AT90" s="6">
        <v>750000.0</v>
      </c>
      <c r="AU90" s="6">
        <v>1000000.0</v>
      </c>
      <c r="AV90" s="6"/>
      <c r="AW90" s="6">
        <v>1024085.9</v>
      </c>
      <c r="AX90" s="121">
        <f t="shared" si="5"/>
        <v>3774085.9</v>
      </c>
      <c r="AY90" s="6"/>
      <c r="AZ90" s="6"/>
      <c r="BA90" s="6"/>
      <c r="BB90" s="6"/>
      <c r="BC90" s="6"/>
      <c r="BD90" s="121">
        <f t="shared" si="6"/>
        <v>0</v>
      </c>
      <c r="BE90" s="156"/>
      <c r="BF90" s="6">
        <f t="shared" si="7"/>
        <v>9600000</v>
      </c>
      <c r="BG90" s="124">
        <f t="shared" si="8"/>
        <v>0.0002932995558</v>
      </c>
      <c r="BH90" s="6"/>
      <c r="BI90" s="2"/>
    </row>
    <row r="91" ht="15.0" customHeight="1">
      <c r="A91" s="71" t="s">
        <v>929</v>
      </c>
      <c r="B91" s="71" t="s">
        <v>470</v>
      </c>
      <c r="C91" s="11">
        <v>45092.0</v>
      </c>
      <c r="D91" s="11"/>
      <c r="E91" s="2" t="s">
        <v>388</v>
      </c>
      <c r="F91" s="2" t="s">
        <v>389</v>
      </c>
      <c r="G91" s="33" t="s">
        <v>391</v>
      </c>
      <c r="H91" s="54"/>
      <c r="I91" s="30" t="s">
        <v>392</v>
      </c>
      <c r="J91" s="54" t="s">
        <v>930</v>
      </c>
      <c r="K91" s="157" t="s">
        <v>851</v>
      </c>
      <c r="L91" s="40">
        <v>106671.22</v>
      </c>
      <c r="M91" s="5"/>
      <c r="N91" s="5">
        <v>106671.22</v>
      </c>
      <c r="O91" s="5"/>
      <c r="P91" s="5">
        <v>106671.22</v>
      </c>
      <c r="Q91" s="5"/>
      <c r="R91" s="6"/>
      <c r="S91" s="6"/>
      <c r="T91" s="6"/>
      <c r="U91" s="6"/>
      <c r="V91" s="6"/>
      <c r="W91" s="6"/>
      <c r="X91" s="121">
        <f t="shared" si="13"/>
        <v>0</v>
      </c>
      <c r="Y91" s="6"/>
      <c r="Z91" s="6"/>
      <c r="AA91" s="6"/>
      <c r="AB91" s="6"/>
      <c r="AC91" s="121">
        <f t="shared" si="14"/>
        <v>0</v>
      </c>
      <c r="AD91" s="6"/>
      <c r="AE91" s="6"/>
      <c r="AF91" s="6"/>
      <c r="AG91" s="6"/>
      <c r="AH91" s="6"/>
      <c r="AI91" s="121">
        <f t="shared" si="15"/>
        <v>0</v>
      </c>
      <c r="AJ91" s="6">
        <v>50000.0</v>
      </c>
      <c r="AK91" s="122"/>
      <c r="AL91" s="6">
        <v>56671.22</v>
      </c>
      <c r="AM91" s="6"/>
      <c r="AN91" s="6"/>
      <c r="AO91" s="6"/>
      <c r="AP91" s="121">
        <f t="shared" si="4"/>
        <v>106671.22</v>
      </c>
      <c r="AQ91" s="6"/>
      <c r="AR91" s="6"/>
      <c r="AS91" s="6"/>
      <c r="AT91" s="6"/>
      <c r="AU91" s="6"/>
      <c r="AV91" s="6"/>
      <c r="AW91" s="6">
        <v>0.0</v>
      </c>
      <c r="AX91" s="121">
        <f t="shared" si="5"/>
        <v>0</v>
      </c>
      <c r="AY91" s="6"/>
      <c r="AZ91" s="6"/>
      <c r="BA91" s="6"/>
      <c r="BB91" s="6"/>
      <c r="BC91" s="6"/>
      <c r="BD91" s="121">
        <f t="shared" si="6"/>
        <v>0</v>
      </c>
      <c r="BE91" s="156"/>
      <c r="BF91" s="6">
        <f t="shared" si="7"/>
        <v>106671.22</v>
      </c>
      <c r="BG91" s="124">
        <f t="shared" si="8"/>
        <v>0</v>
      </c>
      <c r="BH91" s="6"/>
      <c r="BI91" s="2"/>
    </row>
    <row r="92" ht="15.0" customHeight="1">
      <c r="A92" s="71" t="s">
        <v>929</v>
      </c>
      <c r="B92" s="71" t="s">
        <v>476</v>
      </c>
      <c r="C92" s="11">
        <v>45092.0</v>
      </c>
      <c r="D92" s="11"/>
      <c r="E92" s="2" t="s">
        <v>388</v>
      </c>
      <c r="F92" s="2" t="s">
        <v>389</v>
      </c>
      <c r="G92" s="33" t="s">
        <v>391</v>
      </c>
      <c r="H92" s="54"/>
      <c r="I92" s="30" t="s">
        <v>392</v>
      </c>
      <c r="J92" s="54" t="s">
        <v>931</v>
      </c>
      <c r="K92" s="157" t="s">
        <v>851</v>
      </c>
      <c r="L92" s="40">
        <v>3800000.0</v>
      </c>
      <c r="M92" s="5"/>
      <c r="N92" s="5">
        <v>3800000.0</v>
      </c>
      <c r="O92" s="5"/>
      <c r="P92" s="5">
        <v>3800000.0</v>
      </c>
      <c r="Q92" s="5"/>
      <c r="R92" s="6"/>
      <c r="S92" s="6"/>
      <c r="T92" s="6"/>
      <c r="U92" s="6"/>
      <c r="V92" s="6"/>
      <c r="W92" s="6"/>
      <c r="X92" s="121">
        <f t="shared" si="13"/>
        <v>0</v>
      </c>
      <c r="Y92" s="6"/>
      <c r="Z92" s="6"/>
      <c r="AA92" s="6"/>
      <c r="AB92" s="6"/>
      <c r="AC92" s="121">
        <f t="shared" si="14"/>
        <v>0</v>
      </c>
      <c r="AD92" s="6"/>
      <c r="AE92" s="6"/>
      <c r="AF92" s="6"/>
      <c r="AG92" s="6"/>
      <c r="AH92" s="6"/>
      <c r="AI92" s="121">
        <f t="shared" si="15"/>
        <v>0</v>
      </c>
      <c r="AJ92" s="6">
        <v>1000000.0</v>
      </c>
      <c r="AK92" s="122"/>
      <c r="AL92" s="6">
        <v>1000000.0</v>
      </c>
      <c r="AM92" s="6">
        <v>1800000.0</v>
      </c>
      <c r="AN92" s="6"/>
      <c r="AO92" s="6"/>
      <c r="AP92" s="121">
        <f t="shared" si="4"/>
        <v>3800000</v>
      </c>
      <c r="AQ92" s="6"/>
      <c r="AR92" s="6"/>
      <c r="AS92" s="6"/>
      <c r="AT92" s="6"/>
      <c r="AU92" s="6"/>
      <c r="AV92" s="6"/>
      <c r="AW92" s="6">
        <v>0.0</v>
      </c>
      <c r="AX92" s="121">
        <f t="shared" si="5"/>
        <v>0</v>
      </c>
      <c r="AY92" s="6"/>
      <c r="AZ92" s="6"/>
      <c r="BA92" s="6"/>
      <c r="BB92" s="6"/>
      <c r="BC92" s="6"/>
      <c r="BD92" s="121">
        <f t="shared" si="6"/>
        <v>0</v>
      </c>
      <c r="BE92" s="156"/>
      <c r="BF92" s="6">
        <f t="shared" si="7"/>
        <v>3800000</v>
      </c>
      <c r="BG92" s="124">
        <f t="shared" si="8"/>
        <v>0</v>
      </c>
      <c r="BH92" s="6"/>
      <c r="BI92" s="2"/>
    </row>
    <row r="93" ht="15.0" customHeight="1">
      <c r="A93" s="71" t="s">
        <v>929</v>
      </c>
      <c r="B93" s="71" t="s">
        <v>481</v>
      </c>
      <c r="C93" s="11">
        <v>45092.0</v>
      </c>
      <c r="D93" s="11"/>
      <c r="E93" s="2" t="s">
        <v>388</v>
      </c>
      <c r="F93" s="2" t="s">
        <v>389</v>
      </c>
      <c r="G93" s="33" t="s">
        <v>391</v>
      </c>
      <c r="H93" s="54"/>
      <c r="I93" s="30" t="s">
        <v>392</v>
      </c>
      <c r="J93" s="54" t="s">
        <v>932</v>
      </c>
      <c r="K93" s="157" t="s">
        <v>851</v>
      </c>
      <c r="L93" s="40">
        <v>3625340.0</v>
      </c>
      <c r="M93" s="5"/>
      <c r="N93" s="5">
        <v>3625340.0</v>
      </c>
      <c r="O93" s="5"/>
      <c r="P93" s="5">
        <v>3625340.0</v>
      </c>
      <c r="Q93" s="5"/>
      <c r="R93" s="6"/>
      <c r="S93" s="6"/>
      <c r="T93" s="6"/>
      <c r="U93" s="6"/>
      <c r="V93" s="6"/>
      <c r="W93" s="6"/>
      <c r="X93" s="121">
        <f t="shared" si="13"/>
        <v>0</v>
      </c>
      <c r="Y93" s="6"/>
      <c r="Z93" s="6"/>
      <c r="AA93" s="6"/>
      <c r="AB93" s="6"/>
      <c r="AC93" s="121">
        <f t="shared" si="14"/>
        <v>0</v>
      </c>
      <c r="AD93" s="6"/>
      <c r="AE93" s="6"/>
      <c r="AF93" s="6"/>
      <c r="AG93" s="6"/>
      <c r="AH93" s="6"/>
      <c r="AI93" s="121">
        <f t="shared" si="15"/>
        <v>0</v>
      </c>
      <c r="AJ93" s="6"/>
      <c r="AK93" s="122"/>
      <c r="AL93" s="6"/>
      <c r="AM93" s="6"/>
      <c r="AN93" s="6">
        <v>1300000.0</v>
      </c>
      <c r="AO93" s="6"/>
      <c r="AP93" s="121">
        <f t="shared" si="4"/>
        <v>1300000</v>
      </c>
      <c r="AQ93" s="6">
        <v>1000000.0</v>
      </c>
      <c r="AR93" s="6">
        <v>1000000.0</v>
      </c>
      <c r="AS93" s="6"/>
      <c r="AT93" s="6"/>
      <c r="AU93" s="6"/>
      <c r="AV93" s="6"/>
      <c r="AW93" s="6">
        <v>0.0</v>
      </c>
      <c r="AX93" s="121">
        <f t="shared" si="5"/>
        <v>2000000</v>
      </c>
      <c r="AY93" s="6"/>
      <c r="AZ93" s="6"/>
      <c r="BA93" s="6"/>
      <c r="BB93" s="6"/>
      <c r="BC93" s="6"/>
      <c r="BD93" s="121">
        <f t="shared" si="6"/>
        <v>0</v>
      </c>
      <c r="BE93" s="156"/>
      <c r="BF93" s="6">
        <f t="shared" si="7"/>
        <v>3300000</v>
      </c>
      <c r="BG93" s="124">
        <f t="shared" si="8"/>
        <v>325340</v>
      </c>
      <c r="BH93" s="6"/>
      <c r="BI93" s="2"/>
    </row>
    <row r="94" ht="15.0" customHeight="1">
      <c r="A94" s="71">
        <v>63.0</v>
      </c>
      <c r="B94" s="71" t="s">
        <v>486</v>
      </c>
      <c r="C94" s="11">
        <v>45085.0</v>
      </c>
      <c r="D94" s="11"/>
      <c r="E94" s="2" t="s">
        <v>393</v>
      </c>
      <c r="F94" s="2" t="s">
        <v>394</v>
      </c>
      <c r="G94" s="2" t="s">
        <v>396</v>
      </c>
      <c r="H94" s="54"/>
      <c r="I94" s="30" t="s">
        <v>397</v>
      </c>
      <c r="J94" s="54" t="s">
        <v>933</v>
      </c>
      <c r="K94" s="54" t="s">
        <v>851</v>
      </c>
      <c r="L94" s="40">
        <v>500000.0</v>
      </c>
      <c r="M94" s="5"/>
      <c r="N94" s="5">
        <v>500000.0</v>
      </c>
      <c r="O94" s="5"/>
      <c r="P94" s="5">
        <v>500000.0</v>
      </c>
      <c r="Q94" s="5"/>
      <c r="R94" s="6"/>
      <c r="S94" s="6"/>
      <c r="T94" s="6"/>
      <c r="U94" s="6"/>
      <c r="V94" s="6"/>
      <c r="W94" s="6"/>
      <c r="X94" s="121">
        <f t="shared" si="13"/>
        <v>0</v>
      </c>
      <c r="Y94" s="6"/>
      <c r="Z94" s="6"/>
      <c r="AA94" s="6"/>
      <c r="AB94" s="6"/>
      <c r="AC94" s="121">
        <f t="shared" si="14"/>
        <v>0</v>
      </c>
      <c r="AD94" s="6"/>
      <c r="AE94" s="6"/>
      <c r="AF94" s="6"/>
      <c r="AG94" s="6"/>
      <c r="AH94" s="6">
        <v>500000.0</v>
      </c>
      <c r="AI94" s="121">
        <f t="shared" si="15"/>
        <v>500000</v>
      </c>
      <c r="AJ94" s="6"/>
      <c r="AK94" s="122"/>
      <c r="AL94" s="6"/>
      <c r="AM94" s="6"/>
      <c r="AN94" s="6"/>
      <c r="AO94" s="6"/>
      <c r="AP94" s="121">
        <f t="shared" si="4"/>
        <v>0</v>
      </c>
      <c r="AQ94" s="6"/>
      <c r="AR94" s="6"/>
      <c r="AS94" s="6"/>
      <c r="AT94" s="6"/>
      <c r="AU94" s="6"/>
      <c r="AV94" s="6"/>
      <c r="AW94" s="6">
        <v>0.0</v>
      </c>
      <c r="AX94" s="121">
        <f t="shared" si="5"/>
        <v>0</v>
      </c>
      <c r="AY94" s="6"/>
      <c r="AZ94" s="6"/>
      <c r="BA94" s="6"/>
      <c r="BB94" s="6"/>
      <c r="BC94" s="6"/>
      <c r="BD94" s="121">
        <f t="shared" si="6"/>
        <v>0</v>
      </c>
      <c r="BE94" s="156"/>
      <c r="BF94" s="6">
        <f t="shared" si="7"/>
        <v>500000</v>
      </c>
      <c r="BG94" s="124">
        <f t="shared" si="8"/>
        <v>0</v>
      </c>
      <c r="BH94" s="6"/>
      <c r="BI94" s="2"/>
    </row>
    <row r="95" ht="15.0" customHeight="1">
      <c r="A95" s="71">
        <v>64.0</v>
      </c>
      <c r="B95" s="71" t="s">
        <v>491</v>
      </c>
      <c r="C95" s="11">
        <v>45114.0</v>
      </c>
      <c r="D95" s="11"/>
      <c r="E95" s="2" t="s">
        <v>398</v>
      </c>
      <c r="F95" s="2" t="s">
        <v>399</v>
      </c>
      <c r="G95" s="2" t="s">
        <v>401</v>
      </c>
      <c r="H95" s="54"/>
      <c r="I95" s="30" t="s">
        <v>402</v>
      </c>
      <c r="J95" s="54" t="s">
        <v>934</v>
      </c>
      <c r="K95" s="54" t="s">
        <v>851</v>
      </c>
      <c r="L95" s="40">
        <v>5520000.0</v>
      </c>
      <c r="M95" s="5"/>
      <c r="N95" s="5">
        <v>5520000.0</v>
      </c>
      <c r="O95" s="5"/>
      <c r="P95" s="5">
        <v>5520000.0</v>
      </c>
      <c r="Q95" s="5"/>
      <c r="R95" s="6"/>
      <c r="S95" s="6"/>
      <c r="T95" s="6"/>
      <c r="U95" s="6"/>
      <c r="V95" s="6"/>
      <c r="W95" s="6"/>
      <c r="X95" s="121">
        <f t="shared" si="13"/>
        <v>0</v>
      </c>
      <c r="Y95" s="6"/>
      <c r="Z95" s="6"/>
      <c r="AA95" s="6"/>
      <c r="AB95" s="6"/>
      <c r="AC95" s="121">
        <f t="shared" si="14"/>
        <v>0</v>
      </c>
      <c r="AD95" s="6"/>
      <c r="AE95" s="6"/>
      <c r="AF95" s="6"/>
      <c r="AG95" s="6"/>
      <c r="AH95" s="6"/>
      <c r="AI95" s="121">
        <f t="shared" si="15"/>
        <v>0</v>
      </c>
      <c r="AJ95" s="6">
        <v>460000.0</v>
      </c>
      <c r="AK95" s="122"/>
      <c r="AL95" s="6">
        <v>350000.0</v>
      </c>
      <c r="AM95" s="6">
        <v>100000.0</v>
      </c>
      <c r="AN95" s="6">
        <v>500000.0</v>
      </c>
      <c r="AO95" s="6"/>
      <c r="AP95" s="121">
        <f t="shared" si="4"/>
        <v>1410000</v>
      </c>
      <c r="AQ95" s="6">
        <v>1200000.0</v>
      </c>
      <c r="AR95" s="6">
        <v>400000.0</v>
      </c>
      <c r="AS95" s="6"/>
      <c r="AT95" s="6">
        <v>700000.0</v>
      </c>
      <c r="AU95" s="6"/>
      <c r="AV95" s="6"/>
      <c r="AW95" s="6">
        <v>500000.0</v>
      </c>
      <c r="AX95" s="121">
        <f t="shared" si="5"/>
        <v>2800000</v>
      </c>
      <c r="AY95" s="6"/>
      <c r="AZ95" s="6"/>
      <c r="BA95" s="6"/>
      <c r="BB95" s="6"/>
      <c r="BC95" s="6"/>
      <c r="BD95" s="121">
        <f t="shared" si="6"/>
        <v>0</v>
      </c>
      <c r="BE95" s="156"/>
      <c r="BF95" s="6">
        <f t="shared" si="7"/>
        <v>4210000</v>
      </c>
      <c r="BG95" s="124">
        <f t="shared" si="8"/>
        <v>1310000</v>
      </c>
      <c r="BH95" s="6"/>
      <c r="BI95" s="2"/>
    </row>
    <row r="96" ht="15.0" customHeight="1">
      <c r="A96" s="71">
        <v>65.0</v>
      </c>
      <c r="B96" s="71" t="s">
        <v>496</v>
      </c>
      <c r="C96" s="11">
        <v>45121.0</v>
      </c>
      <c r="D96" s="11"/>
      <c r="E96" s="2" t="s">
        <v>403</v>
      </c>
      <c r="F96" s="2" t="s">
        <v>404</v>
      </c>
      <c r="G96" s="2" t="s">
        <v>406</v>
      </c>
      <c r="H96" s="54"/>
      <c r="I96" s="30" t="s">
        <v>407</v>
      </c>
      <c r="J96" s="54" t="s">
        <v>935</v>
      </c>
      <c r="K96" s="54" t="s">
        <v>851</v>
      </c>
      <c r="L96" s="40">
        <v>3000000.0</v>
      </c>
      <c r="M96" s="5"/>
      <c r="N96" s="5">
        <v>3000000.0</v>
      </c>
      <c r="O96" s="5"/>
      <c r="P96" s="5">
        <v>3000000.0</v>
      </c>
      <c r="Q96" s="5"/>
      <c r="R96" s="6"/>
      <c r="S96" s="6"/>
      <c r="T96" s="6"/>
      <c r="U96" s="6"/>
      <c r="V96" s="6"/>
      <c r="W96" s="6"/>
      <c r="X96" s="121">
        <f t="shared" si="13"/>
        <v>0</v>
      </c>
      <c r="Y96" s="6"/>
      <c r="Z96" s="6"/>
      <c r="AA96" s="6"/>
      <c r="AB96" s="6"/>
      <c r="AC96" s="121">
        <f t="shared" si="14"/>
        <v>0</v>
      </c>
      <c r="AD96" s="6"/>
      <c r="AE96" s="6"/>
      <c r="AF96" s="6"/>
      <c r="AG96" s="6"/>
      <c r="AH96" s="6"/>
      <c r="AI96" s="121">
        <f t="shared" si="15"/>
        <v>0</v>
      </c>
      <c r="AJ96" s="6">
        <v>2000000.0</v>
      </c>
      <c r="AK96" s="122"/>
      <c r="AL96" s="6">
        <v>1000000.0</v>
      </c>
      <c r="AM96" s="6"/>
      <c r="AN96" s="6"/>
      <c r="AO96" s="6"/>
      <c r="AP96" s="121">
        <f t="shared" si="4"/>
        <v>3000000</v>
      </c>
      <c r="AQ96" s="6"/>
      <c r="AR96" s="6"/>
      <c r="AS96" s="6"/>
      <c r="AT96" s="6"/>
      <c r="AU96" s="6"/>
      <c r="AV96" s="6"/>
      <c r="AW96" s="6">
        <v>0.0</v>
      </c>
      <c r="AX96" s="121">
        <f t="shared" si="5"/>
        <v>0</v>
      </c>
      <c r="AY96" s="6"/>
      <c r="AZ96" s="6"/>
      <c r="BA96" s="6"/>
      <c r="BB96" s="6"/>
      <c r="BC96" s="6"/>
      <c r="BD96" s="121">
        <f t="shared" si="6"/>
        <v>0</v>
      </c>
      <c r="BE96" s="156"/>
      <c r="BF96" s="6">
        <f t="shared" si="7"/>
        <v>3000000</v>
      </c>
      <c r="BG96" s="124">
        <f t="shared" si="8"/>
        <v>0</v>
      </c>
      <c r="BH96" s="6"/>
      <c r="BI96" s="2"/>
    </row>
    <row r="97" ht="15.0" customHeight="1">
      <c r="A97" s="71">
        <v>66.0</v>
      </c>
      <c r="B97" s="71" t="s">
        <v>501</v>
      </c>
      <c r="C97" s="11">
        <v>45125.0</v>
      </c>
      <c r="D97" s="11"/>
      <c r="E97" s="2" t="s">
        <v>408</v>
      </c>
      <c r="F97" s="2" t="s">
        <v>409</v>
      </c>
      <c r="G97" s="2" t="s">
        <v>411</v>
      </c>
      <c r="H97" s="54"/>
      <c r="I97" s="30" t="s">
        <v>412</v>
      </c>
      <c r="J97" s="54" t="s">
        <v>936</v>
      </c>
      <c r="K97" s="54" t="s">
        <v>851</v>
      </c>
      <c r="L97" s="40">
        <v>790239.0</v>
      </c>
      <c r="M97" s="5"/>
      <c r="N97" s="5">
        <v>790239.0</v>
      </c>
      <c r="O97" s="5"/>
      <c r="P97" s="5">
        <v>790239.0</v>
      </c>
      <c r="Q97" s="5"/>
      <c r="R97" s="6"/>
      <c r="S97" s="6">
        <v>0.0</v>
      </c>
      <c r="T97" s="6"/>
      <c r="U97" s="6"/>
      <c r="V97" s="6"/>
      <c r="W97" s="6"/>
      <c r="X97" s="121">
        <f t="shared" si="13"/>
        <v>0</v>
      </c>
      <c r="Y97" s="6"/>
      <c r="Z97" s="6"/>
      <c r="AA97" s="6"/>
      <c r="AB97" s="6"/>
      <c r="AC97" s="121">
        <f t="shared" si="14"/>
        <v>0</v>
      </c>
      <c r="AD97" s="6"/>
      <c r="AE97" s="6"/>
      <c r="AF97" s="6"/>
      <c r="AG97" s="6"/>
      <c r="AH97" s="6">
        <v>0.0</v>
      </c>
      <c r="AI97" s="121">
        <f t="shared" si="15"/>
        <v>0</v>
      </c>
      <c r="AJ97" s="6">
        <v>395000.0</v>
      </c>
      <c r="AK97" s="122"/>
      <c r="AL97" s="6">
        <v>395239.0</v>
      </c>
      <c r="AM97" s="6"/>
      <c r="AN97" s="6"/>
      <c r="AO97" s="6"/>
      <c r="AP97" s="121">
        <f t="shared" si="4"/>
        <v>790239</v>
      </c>
      <c r="AQ97" s="6"/>
      <c r="AR97" s="6"/>
      <c r="AS97" s="6"/>
      <c r="AT97" s="6"/>
      <c r="AU97" s="6"/>
      <c r="AV97" s="6"/>
      <c r="AW97" s="6">
        <v>0.0</v>
      </c>
      <c r="AX97" s="121">
        <f t="shared" si="5"/>
        <v>0</v>
      </c>
      <c r="AY97" s="6"/>
      <c r="AZ97" s="6"/>
      <c r="BA97" s="6"/>
      <c r="BB97" s="6"/>
      <c r="BC97" s="6"/>
      <c r="BD97" s="121">
        <f t="shared" si="6"/>
        <v>0</v>
      </c>
      <c r="BE97" s="156"/>
      <c r="BF97" s="6">
        <f t="shared" si="7"/>
        <v>790239</v>
      </c>
      <c r="BG97" s="124">
        <f t="shared" si="8"/>
        <v>0</v>
      </c>
      <c r="BH97" s="6"/>
      <c r="BI97" s="2"/>
    </row>
    <row r="98" ht="15.0" customHeight="1">
      <c r="A98" s="71">
        <v>67.0</v>
      </c>
      <c r="B98" s="71" t="s">
        <v>506</v>
      </c>
      <c r="C98" s="11">
        <v>45082.0</v>
      </c>
      <c r="D98" s="11"/>
      <c r="E98" s="2" t="s">
        <v>413</v>
      </c>
      <c r="F98" s="2" t="s">
        <v>414</v>
      </c>
      <c r="G98" s="2" t="s">
        <v>416</v>
      </c>
      <c r="H98" s="54"/>
      <c r="I98" s="30" t="s">
        <v>417</v>
      </c>
      <c r="J98" s="54" t="s">
        <v>937</v>
      </c>
      <c r="K98" s="54" t="s">
        <v>851</v>
      </c>
      <c r="L98" s="40">
        <v>4000000.0</v>
      </c>
      <c r="M98" s="5"/>
      <c r="N98" s="5">
        <v>4000000.0</v>
      </c>
      <c r="O98" s="5"/>
      <c r="P98" s="5">
        <v>4000000.0</v>
      </c>
      <c r="Q98" s="5"/>
      <c r="R98" s="6"/>
      <c r="S98" s="6">
        <v>0.0</v>
      </c>
      <c r="T98" s="6"/>
      <c r="U98" s="6"/>
      <c r="V98" s="6"/>
      <c r="W98" s="6"/>
      <c r="X98" s="121">
        <f t="shared" si="13"/>
        <v>0</v>
      </c>
      <c r="Y98" s="6"/>
      <c r="Z98" s="6"/>
      <c r="AA98" s="6"/>
      <c r="AB98" s="6"/>
      <c r="AC98" s="121">
        <f t="shared" si="14"/>
        <v>0</v>
      </c>
      <c r="AD98" s="6"/>
      <c r="AE98" s="6"/>
      <c r="AF98" s="6"/>
      <c r="AG98" s="6"/>
      <c r="AH98" s="6">
        <v>1900000.0</v>
      </c>
      <c r="AI98" s="121">
        <f t="shared" si="15"/>
        <v>1900000</v>
      </c>
      <c r="AJ98" s="6">
        <v>1000000.0</v>
      </c>
      <c r="AK98" s="122"/>
      <c r="AL98" s="6">
        <v>700000.0</v>
      </c>
      <c r="AM98" s="6"/>
      <c r="AN98" s="6">
        <v>400000.0</v>
      </c>
      <c r="AO98" s="6"/>
      <c r="AP98" s="121">
        <f t="shared" si="4"/>
        <v>2100000</v>
      </c>
      <c r="AQ98" s="6"/>
      <c r="AR98" s="6"/>
      <c r="AS98" s="6"/>
      <c r="AT98" s="6"/>
      <c r="AU98" s="6"/>
      <c r="AV98" s="6"/>
      <c r="AW98" s="6">
        <v>0.0</v>
      </c>
      <c r="AX98" s="121">
        <f t="shared" si="5"/>
        <v>0</v>
      </c>
      <c r="AY98" s="6"/>
      <c r="AZ98" s="6"/>
      <c r="BA98" s="6"/>
      <c r="BB98" s="6"/>
      <c r="BC98" s="6"/>
      <c r="BD98" s="121">
        <f t="shared" si="6"/>
        <v>0</v>
      </c>
      <c r="BE98" s="156"/>
      <c r="BF98" s="6">
        <f t="shared" si="7"/>
        <v>4000000</v>
      </c>
      <c r="BG98" s="124">
        <f t="shared" si="8"/>
        <v>0</v>
      </c>
      <c r="BH98" s="6"/>
      <c r="BI98" s="2"/>
    </row>
    <row r="99" ht="12.75" customHeight="1">
      <c r="A99" s="71">
        <v>68.0</v>
      </c>
      <c r="B99" s="71" t="s">
        <v>512</v>
      </c>
      <c r="C99" s="11">
        <v>45135.0</v>
      </c>
      <c r="D99" s="11"/>
      <c r="E99" s="2" t="s">
        <v>418</v>
      </c>
      <c r="F99" s="2" t="s">
        <v>419</v>
      </c>
      <c r="G99" s="34" t="s">
        <v>421</v>
      </c>
      <c r="H99" s="54"/>
      <c r="I99" s="35" t="s">
        <v>422</v>
      </c>
      <c r="J99" s="54" t="s">
        <v>938</v>
      </c>
      <c r="K99" s="157" t="s">
        <v>851</v>
      </c>
      <c r="L99" s="40">
        <v>1564650.0</v>
      </c>
      <c r="M99" s="5"/>
      <c r="N99" s="5">
        <v>1564650.0</v>
      </c>
      <c r="O99" s="5"/>
      <c r="P99" s="5">
        <v>1564650.0</v>
      </c>
      <c r="Q99" s="5"/>
      <c r="R99" s="6"/>
      <c r="S99" s="6">
        <v>0.0</v>
      </c>
      <c r="T99" s="6"/>
      <c r="U99" s="6"/>
      <c r="V99" s="6"/>
      <c r="W99" s="6"/>
      <c r="X99" s="121">
        <f t="shared" si="13"/>
        <v>0</v>
      </c>
      <c r="Y99" s="6"/>
      <c r="Z99" s="6"/>
      <c r="AA99" s="6"/>
      <c r="AB99" s="6"/>
      <c r="AC99" s="121">
        <f t="shared" si="14"/>
        <v>0</v>
      </c>
      <c r="AD99" s="6"/>
      <c r="AE99" s="6"/>
      <c r="AF99" s="6"/>
      <c r="AG99" s="6"/>
      <c r="AH99" s="6"/>
      <c r="AI99" s="121">
        <f t="shared" si="15"/>
        <v>0</v>
      </c>
      <c r="AJ99" s="6">
        <v>395000.0</v>
      </c>
      <c r="AK99" s="122"/>
      <c r="AL99" s="6">
        <v>500000.0</v>
      </c>
      <c r="AM99" s="6">
        <v>669650.0</v>
      </c>
      <c r="AN99" s="6"/>
      <c r="AO99" s="6"/>
      <c r="AP99" s="121">
        <f t="shared" si="4"/>
        <v>1564650</v>
      </c>
      <c r="AQ99" s="6"/>
      <c r="AR99" s="6"/>
      <c r="AS99" s="6"/>
      <c r="AT99" s="6"/>
      <c r="AU99" s="6"/>
      <c r="AV99" s="6"/>
      <c r="AW99" s="6">
        <v>0.0</v>
      </c>
      <c r="AX99" s="121">
        <f t="shared" si="5"/>
        <v>0</v>
      </c>
      <c r="AY99" s="6"/>
      <c r="AZ99" s="6"/>
      <c r="BA99" s="6"/>
      <c r="BB99" s="6"/>
      <c r="BC99" s="6"/>
      <c r="BD99" s="121">
        <f t="shared" si="6"/>
        <v>0</v>
      </c>
      <c r="BE99" s="123"/>
      <c r="BF99" s="6">
        <f t="shared" si="7"/>
        <v>1564650</v>
      </c>
      <c r="BG99" s="124">
        <f t="shared" si="8"/>
        <v>0</v>
      </c>
      <c r="BH99" s="6"/>
      <c r="BI99" s="2"/>
    </row>
    <row r="100" ht="12.75" customHeight="1">
      <c r="A100" s="71">
        <v>68.0</v>
      </c>
      <c r="B100" s="71" t="s">
        <v>517</v>
      </c>
      <c r="C100" s="11">
        <v>45135.0</v>
      </c>
      <c r="D100" s="11"/>
      <c r="E100" s="2" t="s">
        <v>418</v>
      </c>
      <c r="F100" s="2" t="s">
        <v>419</v>
      </c>
      <c r="G100" s="34" t="s">
        <v>421</v>
      </c>
      <c r="H100" s="54"/>
      <c r="I100" s="35" t="s">
        <v>422</v>
      </c>
      <c r="J100" s="54" t="s">
        <v>939</v>
      </c>
      <c r="K100" s="157" t="s">
        <v>851</v>
      </c>
      <c r="L100" s="40">
        <v>145350.0</v>
      </c>
      <c r="M100" s="5"/>
      <c r="N100" s="5">
        <v>145350.0</v>
      </c>
      <c r="O100" s="5"/>
      <c r="P100" s="5">
        <v>145350.0</v>
      </c>
      <c r="Q100" s="5"/>
      <c r="R100" s="6"/>
      <c r="S100" s="6">
        <v>0.0</v>
      </c>
      <c r="T100" s="6"/>
      <c r="U100" s="6"/>
      <c r="V100" s="6"/>
      <c r="W100" s="6"/>
      <c r="X100" s="121">
        <f t="shared" si="13"/>
        <v>0</v>
      </c>
      <c r="Y100" s="6"/>
      <c r="Z100" s="6"/>
      <c r="AA100" s="6"/>
      <c r="AB100" s="6"/>
      <c r="AC100" s="121">
        <f t="shared" si="14"/>
        <v>0</v>
      </c>
      <c r="AD100" s="6"/>
      <c r="AE100" s="6"/>
      <c r="AF100" s="6"/>
      <c r="AG100" s="6"/>
      <c r="AH100" s="6"/>
      <c r="AI100" s="121">
        <f t="shared" si="15"/>
        <v>0</v>
      </c>
      <c r="AJ100" s="6">
        <v>40000.0</v>
      </c>
      <c r="AK100" s="122"/>
      <c r="AL100" s="6">
        <v>105350.0</v>
      </c>
      <c r="AM100" s="6"/>
      <c r="AN100" s="6"/>
      <c r="AO100" s="6"/>
      <c r="AP100" s="121">
        <f t="shared" si="4"/>
        <v>145350</v>
      </c>
      <c r="AQ100" s="6"/>
      <c r="AR100" s="6"/>
      <c r="AS100" s="6"/>
      <c r="AT100" s="6"/>
      <c r="AU100" s="6"/>
      <c r="AV100" s="6"/>
      <c r="AW100" s="6">
        <v>0.0</v>
      </c>
      <c r="AX100" s="121">
        <f t="shared" si="5"/>
        <v>0</v>
      </c>
      <c r="AY100" s="6"/>
      <c r="AZ100" s="6"/>
      <c r="BA100" s="6"/>
      <c r="BB100" s="6"/>
      <c r="BC100" s="6"/>
      <c r="BD100" s="121">
        <f t="shared" si="6"/>
        <v>0</v>
      </c>
      <c r="BE100" s="123"/>
      <c r="BF100" s="6">
        <f t="shared" si="7"/>
        <v>145350</v>
      </c>
      <c r="BG100" s="124">
        <f t="shared" si="8"/>
        <v>0</v>
      </c>
      <c r="BH100" s="6"/>
      <c r="BI100" s="2"/>
    </row>
    <row r="101" ht="15.0" customHeight="1">
      <c r="A101" s="71">
        <v>69.0</v>
      </c>
      <c r="B101" s="71" t="s">
        <v>522</v>
      </c>
      <c r="C101" s="11">
        <v>45133.0</v>
      </c>
      <c r="D101" s="11"/>
      <c r="E101" s="2" t="s">
        <v>423</v>
      </c>
      <c r="F101" s="2" t="s">
        <v>424</v>
      </c>
      <c r="G101" s="2" t="s">
        <v>426</v>
      </c>
      <c r="H101" s="54"/>
      <c r="I101" s="30" t="s">
        <v>427</v>
      </c>
      <c r="J101" s="54" t="s">
        <v>940</v>
      </c>
      <c r="K101" s="54" t="s">
        <v>851</v>
      </c>
      <c r="L101" s="40">
        <v>500000.0</v>
      </c>
      <c r="M101" s="5"/>
      <c r="N101" s="5">
        <v>500000.0</v>
      </c>
      <c r="O101" s="5"/>
      <c r="P101" s="5">
        <v>500000.0</v>
      </c>
      <c r="Q101" s="5"/>
      <c r="R101" s="6"/>
      <c r="S101" s="6">
        <v>0.0</v>
      </c>
      <c r="T101" s="6"/>
      <c r="U101" s="6"/>
      <c r="V101" s="6"/>
      <c r="W101" s="6"/>
      <c r="X101" s="121">
        <f t="shared" si="13"/>
        <v>0</v>
      </c>
      <c r="Y101" s="6"/>
      <c r="Z101" s="6"/>
      <c r="AA101" s="6"/>
      <c r="AB101" s="6"/>
      <c r="AC101" s="121">
        <f t="shared" si="14"/>
        <v>0</v>
      </c>
      <c r="AD101" s="6"/>
      <c r="AE101" s="6"/>
      <c r="AF101" s="6"/>
      <c r="AG101" s="6"/>
      <c r="AH101" s="6"/>
      <c r="AI101" s="121">
        <f t="shared" si="15"/>
        <v>0</v>
      </c>
      <c r="AJ101" s="6">
        <v>250000.0</v>
      </c>
      <c r="AK101" s="122"/>
      <c r="AL101" s="6">
        <v>250000.0</v>
      </c>
      <c r="AM101" s="6"/>
      <c r="AN101" s="6"/>
      <c r="AO101" s="6"/>
      <c r="AP101" s="121">
        <f t="shared" si="4"/>
        <v>500000</v>
      </c>
      <c r="AQ101" s="6"/>
      <c r="AR101" s="6"/>
      <c r="AS101" s="6"/>
      <c r="AT101" s="6"/>
      <c r="AU101" s="6"/>
      <c r="AV101" s="6"/>
      <c r="AW101" s="6">
        <v>0.0</v>
      </c>
      <c r="AX101" s="121">
        <f t="shared" si="5"/>
        <v>0</v>
      </c>
      <c r="AY101" s="6"/>
      <c r="AZ101" s="6"/>
      <c r="BA101" s="6"/>
      <c r="BB101" s="6"/>
      <c r="BC101" s="6"/>
      <c r="BD101" s="121">
        <f t="shared" si="6"/>
        <v>0</v>
      </c>
      <c r="BE101" s="156"/>
      <c r="BF101" s="6">
        <f t="shared" si="7"/>
        <v>500000</v>
      </c>
      <c r="BG101" s="124">
        <f t="shared" si="8"/>
        <v>0</v>
      </c>
      <c r="BH101" s="6"/>
      <c r="BI101" s="2"/>
    </row>
    <row r="102" ht="15.0" customHeight="1">
      <c r="A102" s="71">
        <v>70.0</v>
      </c>
      <c r="B102" s="71" t="s">
        <v>528</v>
      </c>
      <c r="C102" s="11">
        <v>45135.0</v>
      </c>
      <c r="D102" s="11"/>
      <c r="E102" s="2" t="s">
        <v>428</v>
      </c>
      <c r="F102" s="2" t="s">
        <v>429</v>
      </c>
      <c r="G102" s="2" t="s">
        <v>431</v>
      </c>
      <c r="H102" s="54"/>
      <c r="I102" s="30" t="s">
        <v>427</v>
      </c>
      <c r="J102" s="54" t="s">
        <v>941</v>
      </c>
      <c r="K102" s="54" t="s">
        <v>854</v>
      </c>
      <c r="L102" s="40">
        <v>4100000.0</v>
      </c>
      <c r="M102" s="5"/>
      <c r="N102" s="5">
        <v>4100000.0</v>
      </c>
      <c r="O102" s="5"/>
      <c r="P102" s="5">
        <v>4100000.0</v>
      </c>
      <c r="Q102" s="5"/>
      <c r="R102" s="6"/>
      <c r="S102" s="6">
        <v>0.0</v>
      </c>
      <c r="T102" s="6"/>
      <c r="U102" s="6"/>
      <c r="V102" s="6"/>
      <c r="W102" s="6"/>
      <c r="X102" s="121">
        <f t="shared" si="13"/>
        <v>0</v>
      </c>
      <c r="Y102" s="6"/>
      <c r="Z102" s="6"/>
      <c r="AA102" s="6"/>
      <c r="AB102" s="6"/>
      <c r="AC102" s="121">
        <f t="shared" si="14"/>
        <v>0</v>
      </c>
      <c r="AD102" s="6"/>
      <c r="AE102" s="6"/>
      <c r="AF102" s="6"/>
      <c r="AG102" s="6"/>
      <c r="AH102" s="6"/>
      <c r="AI102" s="121">
        <f t="shared" si="15"/>
        <v>0</v>
      </c>
      <c r="AJ102" s="6">
        <v>525000.0</v>
      </c>
      <c r="AK102" s="122"/>
      <c r="AL102" s="6">
        <v>500000.0</v>
      </c>
      <c r="AM102" s="6"/>
      <c r="AN102" s="6">
        <v>1500000.0</v>
      </c>
      <c r="AO102" s="6"/>
      <c r="AP102" s="121">
        <f t="shared" si="4"/>
        <v>2525000</v>
      </c>
      <c r="AQ102" s="6">
        <v>500000.0</v>
      </c>
      <c r="AR102" s="6">
        <v>500000.0</v>
      </c>
      <c r="AS102" s="6"/>
      <c r="AT102" s="6">
        <v>575000.0</v>
      </c>
      <c r="AU102" s="6"/>
      <c r="AV102" s="6"/>
      <c r="AW102" s="6">
        <v>0.0</v>
      </c>
      <c r="AX102" s="121">
        <f t="shared" si="5"/>
        <v>1575000</v>
      </c>
      <c r="AY102" s="6"/>
      <c r="AZ102" s="6"/>
      <c r="BA102" s="6"/>
      <c r="BB102" s="6"/>
      <c r="BC102" s="6"/>
      <c r="BD102" s="121">
        <f t="shared" si="6"/>
        <v>0</v>
      </c>
      <c r="BE102" s="156"/>
      <c r="BF102" s="6">
        <f t="shared" si="7"/>
        <v>4100000</v>
      </c>
      <c r="BG102" s="124">
        <f t="shared" si="8"/>
        <v>0</v>
      </c>
      <c r="BH102" s="6"/>
      <c r="BI102" s="2"/>
    </row>
    <row r="103" ht="12.75" customHeight="1">
      <c r="A103" s="71">
        <v>71.0</v>
      </c>
      <c r="B103" s="71" t="s">
        <v>533</v>
      </c>
      <c r="C103" s="11">
        <v>45142.0</v>
      </c>
      <c r="D103" s="11"/>
      <c r="E103" s="2" t="s">
        <v>432</v>
      </c>
      <c r="F103" s="2" t="s">
        <v>433</v>
      </c>
      <c r="G103" s="2" t="s">
        <v>435</v>
      </c>
      <c r="H103" s="54"/>
      <c r="I103" s="11" t="s">
        <v>436</v>
      </c>
      <c r="J103" s="54" t="s">
        <v>942</v>
      </c>
      <c r="K103" s="54" t="s">
        <v>851</v>
      </c>
      <c r="L103" s="40">
        <v>3000000.0</v>
      </c>
      <c r="M103" s="5"/>
      <c r="N103" s="5">
        <v>3000000.0</v>
      </c>
      <c r="O103" s="5"/>
      <c r="P103" s="5">
        <v>3000000.0</v>
      </c>
      <c r="Q103" s="5"/>
      <c r="R103" s="6"/>
      <c r="S103" s="6"/>
      <c r="T103" s="6"/>
      <c r="U103" s="6"/>
      <c r="V103" s="6"/>
      <c r="W103" s="6"/>
      <c r="X103" s="121">
        <f t="shared" si="13"/>
        <v>0</v>
      </c>
      <c r="Y103" s="6"/>
      <c r="Z103" s="6"/>
      <c r="AA103" s="6"/>
      <c r="AB103" s="6"/>
      <c r="AC103" s="121">
        <f t="shared" si="14"/>
        <v>0</v>
      </c>
      <c r="AD103" s="6"/>
      <c r="AE103" s="6"/>
      <c r="AF103" s="6"/>
      <c r="AG103" s="6"/>
      <c r="AH103" s="6"/>
      <c r="AI103" s="121">
        <f t="shared" si="15"/>
        <v>0</v>
      </c>
      <c r="AJ103" s="6">
        <v>500000.0</v>
      </c>
      <c r="AK103" s="122"/>
      <c r="AL103" s="6">
        <v>500000.0</v>
      </c>
      <c r="AM103" s="6">
        <v>500000.0</v>
      </c>
      <c r="AN103" s="6">
        <v>900000.0</v>
      </c>
      <c r="AO103" s="6"/>
      <c r="AP103" s="121">
        <f t="shared" si="4"/>
        <v>2400000</v>
      </c>
      <c r="AQ103" s="6">
        <v>200000.0</v>
      </c>
      <c r="AR103" s="6">
        <v>400000.0</v>
      </c>
      <c r="AS103" s="6"/>
      <c r="AT103" s="6"/>
      <c r="AU103" s="6"/>
      <c r="AV103" s="6"/>
      <c r="AW103" s="6">
        <v>0.0</v>
      </c>
      <c r="AX103" s="121">
        <f t="shared" si="5"/>
        <v>600000</v>
      </c>
      <c r="AY103" s="6"/>
      <c r="AZ103" s="6"/>
      <c r="BA103" s="6"/>
      <c r="BB103" s="6"/>
      <c r="BC103" s="6"/>
      <c r="BD103" s="121">
        <f t="shared" si="6"/>
        <v>0</v>
      </c>
      <c r="BE103" s="123"/>
      <c r="BF103" s="6">
        <f t="shared" si="7"/>
        <v>3000000</v>
      </c>
      <c r="BG103" s="124">
        <f t="shared" si="8"/>
        <v>0</v>
      </c>
      <c r="BH103" s="6"/>
      <c r="BI103" s="2"/>
    </row>
    <row r="104" ht="12.75" customHeight="1">
      <c r="A104" s="71">
        <v>72.0</v>
      </c>
      <c r="B104" s="71" t="s">
        <v>538</v>
      </c>
      <c r="C104" s="11">
        <v>45161.0</v>
      </c>
      <c r="D104" s="11"/>
      <c r="E104" s="2" t="s">
        <v>437</v>
      </c>
      <c r="F104" s="2" t="s">
        <v>438</v>
      </c>
      <c r="G104" s="33" t="s">
        <v>440</v>
      </c>
      <c r="H104" s="54"/>
      <c r="I104" s="35" t="s">
        <v>441</v>
      </c>
      <c r="J104" s="54" t="s">
        <v>943</v>
      </c>
      <c r="K104" s="157" t="s">
        <v>851</v>
      </c>
      <c r="L104" s="40">
        <v>1300000.0</v>
      </c>
      <c r="M104" s="5"/>
      <c r="N104" s="5">
        <v>1300000.0</v>
      </c>
      <c r="O104" s="5"/>
      <c r="P104" s="5">
        <v>1300000.0</v>
      </c>
      <c r="Q104" s="5"/>
      <c r="R104" s="6"/>
      <c r="S104" s="6"/>
      <c r="T104" s="6"/>
      <c r="U104" s="6"/>
      <c r="V104" s="6"/>
      <c r="W104" s="6"/>
      <c r="X104" s="121">
        <f t="shared" si="13"/>
        <v>0</v>
      </c>
      <c r="Y104" s="6"/>
      <c r="Z104" s="6"/>
      <c r="AA104" s="6"/>
      <c r="AB104" s="6"/>
      <c r="AC104" s="121">
        <f t="shared" si="14"/>
        <v>0</v>
      </c>
      <c r="AD104" s="6"/>
      <c r="AE104" s="6"/>
      <c r="AF104" s="6"/>
      <c r="AG104" s="6"/>
      <c r="AH104" s="6"/>
      <c r="AI104" s="121">
        <f t="shared" si="15"/>
        <v>0</v>
      </c>
      <c r="AJ104" s="6">
        <v>650000.0</v>
      </c>
      <c r="AK104" s="122"/>
      <c r="AL104" s="6">
        <v>300000.0</v>
      </c>
      <c r="AM104" s="6"/>
      <c r="AN104" s="6">
        <v>350000.0</v>
      </c>
      <c r="AO104" s="6"/>
      <c r="AP104" s="121">
        <f t="shared" si="4"/>
        <v>1300000</v>
      </c>
      <c r="AQ104" s="6"/>
      <c r="AR104" s="6"/>
      <c r="AS104" s="6"/>
      <c r="AT104" s="6"/>
      <c r="AU104" s="6"/>
      <c r="AV104" s="6"/>
      <c r="AW104" s="6">
        <v>0.0</v>
      </c>
      <c r="AX104" s="121">
        <f t="shared" si="5"/>
        <v>0</v>
      </c>
      <c r="AY104" s="6"/>
      <c r="AZ104" s="6"/>
      <c r="BA104" s="6"/>
      <c r="BB104" s="6"/>
      <c r="BC104" s="6"/>
      <c r="BD104" s="121">
        <f t="shared" si="6"/>
        <v>0</v>
      </c>
      <c r="BE104" s="123"/>
      <c r="BF104" s="6">
        <f t="shared" si="7"/>
        <v>1300000</v>
      </c>
      <c r="BG104" s="124">
        <f t="shared" si="8"/>
        <v>0</v>
      </c>
      <c r="BH104" s="6"/>
      <c r="BI104" s="2"/>
    </row>
    <row r="105" ht="12.75" customHeight="1">
      <c r="A105" s="71">
        <v>72.0</v>
      </c>
      <c r="B105" s="71" t="s">
        <v>546</v>
      </c>
      <c r="C105" s="11">
        <v>45161.0</v>
      </c>
      <c r="D105" s="11"/>
      <c r="E105" s="2" t="s">
        <v>437</v>
      </c>
      <c r="F105" s="2" t="s">
        <v>438</v>
      </c>
      <c r="G105" s="33" t="s">
        <v>440</v>
      </c>
      <c r="H105" s="54"/>
      <c r="I105" s="35" t="s">
        <v>441</v>
      </c>
      <c r="J105" s="54" t="s">
        <v>944</v>
      </c>
      <c r="K105" s="157" t="s">
        <v>851</v>
      </c>
      <c r="L105" s="40">
        <v>1834250.0</v>
      </c>
      <c r="M105" s="5"/>
      <c r="N105" s="5">
        <v>1834250.0</v>
      </c>
      <c r="O105" s="5"/>
      <c r="P105" s="5">
        <v>1834250.0</v>
      </c>
      <c r="Q105" s="5"/>
      <c r="R105" s="6"/>
      <c r="S105" s="6"/>
      <c r="T105" s="6"/>
      <c r="U105" s="6"/>
      <c r="V105" s="6"/>
      <c r="W105" s="6"/>
      <c r="X105" s="121">
        <f t="shared" si="13"/>
        <v>0</v>
      </c>
      <c r="Y105" s="6"/>
      <c r="Z105" s="6"/>
      <c r="AA105" s="6"/>
      <c r="AB105" s="6"/>
      <c r="AC105" s="121">
        <f t="shared" si="14"/>
        <v>0</v>
      </c>
      <c r="AD105" s="6"/>
      <c r="AE105" s="6"/>
      <c r="AF105" s="6"/>
      <c r="AG105" s="6"/>
      <c r="AH105" s="6"/>
      <c r="AI105" s="121">
        <f t="shared" si="15"/>
        <v>0</v>
      </c>
      <c r="AJ105" s="6">
        <v>900000.0</v>
      </c>
      <c r="AK105" s="122"/>
      <c r="AL105" s="6">
        <v>500000.0</v>
      </c>
      <c r="AM105" s="6">
        <v>434250.0</v>
      </c>
      <c r="AN105" s="6"/>
      <c r="AO105" s="6"/>
      <c r="AP105" s="121">
        <f t="shared" si="4"/>
        <v>1834250</v>
      </c>
      <c r="AQ105" s="6"/>
      <c r="AR105" s="6"/>
      <c r="AS105" s="6"/>
      <c r="AT105" s="6"/>
      <c r="AU105" s="6"/>
      <c r="AV105" s="6"/>
      <c r="AW105" s="6">
        <v>0.0</v>
      </c>
      <c r="AX105" s="121">
        <f t="shared" si="5"/>
        <v>0</v>
      </c>
      <c r="AY105" s="6"/>
      <c r="AZ105" s="6"/>
      <c r="BA105" s="6"/>
      <c r="BB105" s="6"/>
      <c r="BC105" s="6"/>
      <c r="BD105" s="121">
        <f t="shared" si="6"/>
        <v>0</v>
      </c>
      <c r="BE105" s="123"/>
      <c r="BF105" s="6">
        <f t="shared" si="7"/>
        <v>1834250</v>
      </c>
      <c r="BG105" s="124">
        <f t="shared" si="8"/>
        <v>0</v>
      </c>
      <c r="BH105" s="6"/>
      <c r="BI105" s="2"/>
    </row>
    <row r="106" ht="12.75" customHeight="1">
      <c r="A106" s="71">
        <v>73.0</v>
      </c>
      <c r="B106" s="71" t="s">
        <v>551</v>
      </c>
      <c r="C106" s="11">
        <v>45181.0</v>
      </c>
      <c r="D106" s="11"/>
      <c r="E106" s="2" t="s">
        <v>442</v>
      </c>
      <c r="F106" s="2" t="s">
        <v>443</v>
      </c>
      <c r="G106" s="2" t="s">
        <v>445</v>
      </c>
      <c r="H106" s="54"/>
      <c r="I106" s="11" t="s">
        <v>446</v>
      </c>
      <c r="J106" s="54" t="s">
        <v>945</v>
      </c>
      <c r="K106" s="54" t="s">
        <v>860</v>
      </c>
      <c r="L106" s="40">
        <v>385000.0</v>
      </c>
      <c r="M106" s="5"/>
      <c r="N106" s="5">
        <v>385000.0</v>
      </c>
      <c r="O106" s="5"/>
      <c r="P106" s="5">
        <v>385000.0</v>
      </c>
      <c r="Q106" s="5"/>
      <c r="R106" s="6"/>
      <c r="S106" s="6"/>
      <c r="T106" s="6"/>
      <c r="U106" s="6"/>
      <c r="V106" s="6"/>
      <c r="W106" s="6"/>
      <c r="X106" s="121">
        <f t="shared" si="13"/>
        <v>0</v>
      </c>
      <c r="Y106" s="6"/>
      <c r="Z106" s="6"/>
      <c r="AA106" s="6"/>
      <c r="AB106" s="6"/>
      <c r="AC106" s="121">
        <f t="shared" si="14"/>
        <v>0</v>
      </c>
      <c r="AD106" s="6"/>
      <c r="AE106" s="6"/>
      <c r="AF106" s="6"/>
      <c r="AG106" s="6"/>
      <c r="AH106" s="6"/>
      <c r="AI106" s="121">
        <f t="shared" si="15"/>
        <v>0</v>
      </c>
      <c r="AJ106" s="6">
        <v>150000.0</v>
      </c>
      <c r="AK106" s="122">
        <v>-150000.0</v>
      </c>
      <c r="AL106" s="6">
        <v>215000.0</v>
      </c>
      <c r="AM106" s="6"/>
      <c r="AN106" s="6">
        <v>170000.0</v>
      </c>
      <c r="AO106" s="6"/>
      <c r="AP106" s="121">
        <f t="shared" si="4"/>
        <v>385000</v>
      </c>
      <c r="AQ106" s="6"/>
      <c r="AR106" s="6"/>
      <c r="AS106" s="6"/>
      <c r="AT106" s="6"/>
      <c r="AU106" s="6"/>
      <c r="AV106" s="6"/>
      <c r="AW106" s="6">
        <v>0.0</v>
      </c>
      <c r="AX106" s="121">
        <f t="shared" si="5"/>
        <v>0</v>
      </c>
      <c r="AY106" s="6"/>
      <c r="AZ106" s="6"/>
      <c r="BA106" s="6"/>
      <c r="BB106" s="6"/>
      <c r="BC106" s="6"/>
      <c r="BD106" s="121">
        <f t="shared" si="6"/>
        <v>0</v>
      </c>
      <c r="BE106" s="123"/>
      <c r="BF106" s="6">
        <f t="shared" si="7"/>
        <v>385000</v>
      </c>
      <c r="BG106" s="124">
        <f t="shared" si="8"/>
        <v>0</v>
      </c>
      <c r="BH106" s="6"/>
      <c r="BI106" s="6"/>
    </row>
    <row r="107" ht="12.75" customHeight="1">
      <c r="A107" s="71">
        <v>74.0</v>
      </c>
      <c r="B107" s="71" t="s">
        <v>556</v>
      </c>
      <c r="C107" s="11">
        <v>45265.0</v>
      </c>
      <c r="D107" s="11"/>
      <c r="E107" s="2" t="s">
        <v>447</v>
      </c>
      <c r="F107" s="2" t="s">
        <v>448</v>
      </c>
      <c r="G107" s="2" t="s">
        <v>450</v>
      </c>
      <c r="H107" s="54"/>
      <c r="I107" s="11" t="s">
        <v>451</v>
      </c>
      <c r="J107" s="54" t="s">
        <v>946</v>
      </c>
      <c r="K107" s="54" t="s">
        <v>860</v>
      </c>
      <c r="L107" s="40">
        <v>1.2E7</v>
      </c>
      <c r="M107" s="5"/>
      <c r="N107" s="5">
        <v>1.2E7</v>
      </c>
      <c r="O107" s="5"/>
      <c r="P107" s="5">
        <v>1.2E7</v>
      </c>
      <c r="Q107" s="5"/>
      <c r="R107" s="6"/>
      <c r="S107" s="6"/>
      <c r="T107" s="6"/>
      <c r="U107" s="6"/>
      <c r="V107" s="6"/>
      <c r="W107" s="6"/>
      <c r="X107" s="121">
        <f t="shared" si="13"/>
        <v>0</v>
      </c>
      <c r="Y107" s="6"/>
      <c r="Z107" s="6"/>
      <c r="AA107" s="6"/>
      <c r="AB107" s="6"/>
      <c r="AC107" s="121">
        <f t="shared" si="14"/>
        <v>0</v>
      </c>
      <c r="AD107" s="6"/>
      <c r="AE107" s="6"/>
      <c r="AF107" s="6"/>
      <c r="AG107" s="6"/>
      <c r="AH107" s="6"/>
      <c r="AI107" s="121">
        <f t="shared" si="15"/>
        <v>0</v>
      </c>
      <c r="AJ107" s="6"/>
      <c r="AK107" s="122"/>
      <c r="AL107" s="6">
        <v>4000000.0</v>
      </c>
      <c r="AM107" s="6"/>
      <c r="AN107" s="6"/>
      <c r="AO107" s="6"/>
      <c r="AP107" s="121">
        <f t="shared" si="4"/>
        <v>4000000</v>
      </c>
      <c r="AQ107" s="6"/>
      <c r="AR107" s="6">
        <v>500000.0</v>
      </c>
      <c r="AS107" s="6"/>
      <c r="AT107" s="6">
        <v>1000000.0</v>
      </c>
      <c r="AU107" s="6">
        <v>1000000.0</v>
      </c>
      <c r="AV107" s="6"/>
      <c r="AW107" s="6">
        <v>0.0</v>
      </c>
      <c r="AX107" s="121">
        <f t="shared" si="5"/>
        <v>2500000</v>
      </c>
      <c r="AY107" s="6">
        <v>1000000.0</v>
      </c>
      <c r="AZ107" s="6"/>
      <c r="BA107" s="6"/>
      <c r="BB107" s="6"/>
      <c r="BC107" s="6"/>
      <c r="BD107" s="121">
        <f t="shared" si="6"/>
        <v>1000000</v>
      </c>
      <c r="BE107" s="123"/>
      <c r="BF107" s="6">
        <f t="shared" si="7"/>
        <v>7500000</v>
      </c>
      <c r="BG107" s="124">
        <f t="shared" si="8"/>
        <v>4500000</v>
      </c>
      <c r="BH107" s="6"/>
      <c r="BI107" s="6"/>
    </row>
    <row r="108" ht="12.75" customHeight="1">
      <c r="A108" s="71">
        <v>75.0</v>
      </c>
      <c r="B108" s="71" t="s">
        <v>561</v>
      </c>
      <c r="C108" s="11">
        <v>45226.0</v>
      </c>
      <c r="D108" s="11"/>
      <c r="E108" s="2" t="s">
        <v>453</v>
      </c>
      <c r="F108" s="2" t="s">
        <v>454</v>
      </c>
      <c r="G108" s="2" t="s">
        <v>456</v>
      </c>
      <c r="H108" s="54"/>
      <c r="I108" s="11" t="s">
        <v>457</v>
      </c>
      <c r="J108" s="54" t="s">
        <v>947</v>
      </c>
      <c r="K108" s="54" t="s">
        <v>860</v>
      </c>
      <c r="L108" s="7">
        <v>5100000.0</v>
      </c>
      <c r="M108" s="5"/>
      <c r="N108" s="59">
        <v>431800.0</v>
      </c>
      <c r="O108" s="5"/>
      <c r="P108" s="5">
        <v>431800.0</v>
      </c>
      <c r="Q108" s="5"/>
      <c r="R108" s="6"/>
      <c r="S108" s="6"/>
      <c r="T108" s="6"/>
      <c r="U108" s="6"/>
      <c r="V108" s="6"/>
      <c r="W108" s="6"/>
      <c r="X108" s="121">
        <f t="shared" si="13"/>
        <v>0</v>
      </c>
      <c r="Y108" s="6"/>
      <c r="Z108" s="6"/>
      <c r="AA108" s="6"/>
      <c r="AB108" s="6"/>
      <c r="AC108" s="121">
        <f t="shared" si="14"/>
        <v>0</v>
      </c>
      <c r="AD108" s="6"/>
      <c r="AE108" s="6"/>
      <c r="AF108" s="6"/>
      <c r="AG108" s="6"/>
      <c r="AH108" s="6"/>
      <c r="AI108" s="121">
        <f t="shared" si="15"/>
        <v>0</v>
      </c>
      <c r="AJ108" s="6"/>
      <c r="AK108" s="122"/>
      <c r="AL108" s="6">
        <v>431800.0</v>
      </c>
      <c r="AM108" s="6"/>
      <c r="AN108" s="6"/>
      <c r="AO108" s="6"/>
      <c r="AP108" s="121">
        <f t="shared" si="4"/>
        <v>431800</v>
      </c>
      <c r="AQ108" s="6"/>
      <c r="AR108" s="6"/>
      <c r="AS108" s="6"/>
      <c r="AT108" s="6"/>
      <c r="AU108" s="6"/>
      <c r="AV108" s="6"/>
      <c r="AW108" s="6">
        <v>0.0</v>
      </c>
      <c r="AX108" s="121">
        <f t="shared" si="5"/>
        <v>0</v>
      </c>
      <c r="AY108" s="6"/>
      <c r="AZ108" s="6"/>
      <c r="BA108" s="6"/>
      <c r="BB108" s="6"/>
      <c r="BC108" s="6"/>
      <c r="BD108" s="121">
        <f t="shared" si="6"/>
        <v>0</v>
      </c>
      <c r="BE108" s="123"/>
      <c r="BF108" s="6">
        <f t="shared" si="7"/>
        <v>431800</v>
      </c>
      <c r="BG108" s="124">
        <f t="shared" si="8"/>
        <v>0</v>
      </c>
      <c r="BH108" s="6"/>
      <c r="BI108" s="6"/>
    </row>
    <row r="109" ht="12.75" customHeight="1">
      <c r="A109" s="71">
        <v>75.0</v>
      </c>
      <c r="B109" s="71" t="s">
        <v>566</v>
      </c>
      <c r="C109" s="11">
        <v>45265.0</v>
      </c>
      <c r="D109" s="11"/>
      <c r="E109" s="2" t="s">
        <v>458</v>
      </c>
      <c r="F109" s="2" t="s">
        <v>454</v>
      </c>
      <c r="G109" s="2" t="s">
        <v>456</v>
      </c>
      <c r="H109" s="54"/>
      <c r="I109" s="11" t="s">
        <v>457</v>
      </c>
      <c r="J109" s="54" t="s">
        <v>948</v>
      </c>
      <c r="K109" s="54" t="s">
        <v>860</v>
      </c>
      <c r="L109" s="40"/>
      <c r="M109" s="5"/>
      <c r="N109" s="59">
        <v>300000.0</v>
      </c>
      <c r="O109" s="5"/>
      <c r="P109" s="5">
        <v>300000.0</v>
      </c>
      <c r="Q109" s="5"/>
      <c r="R109" s="6"/>
      <c r="S109" s="6"/>
      <c r="T109" s="6"/>
      <c r="U109" s="6"/>
      <c r="V109" s="6"/>
      <c r="W109" s="6"/>
      <c r="X109" s="121">
        <f t="shared" si="13"/>
        <v>0</v>
      </c>
      <c r="Y109" s="6"/>
      <c r="Z109" s="6"/>
      <c r="AA109" s="6"/>
      <c r="AB109" s="6"/>
      <c r="AC109" s="121">
        <f t="shared" si="14"/>
        <v>0</v>
      </c>
      <c r="AD109" s="6"/>
      <c r="AE109" s="6"/>
      <c r="AF109" s="6"/>
      <c r="AG109" s="6"/>
      <c r="AH109" s="6"/>
      <c r="AI109" s="121">
        <f t="shared" si="15"/>
        <v>0</v>
      </c>
      <c r="AJ109" s="6"/>
      <c r="AK109" s="122"/>
      <c r="AL109" s="6">
        <v>300000.0</v>
      </c>
      <c r="AM109" s="6"/>
      <c r="AN109" s="6"/>
      <c r="AO109" s="6"/>
      <c r="AP109" s="121">
        <f t="shared" si="4"/>
        <v>300000</v>
      </c>
      <c r="AQ109" s="6"/>
      <c r="AR109" s="6"/>
      <c r="AS109" s="6"/>
      <c r="AT109" s="6"/>
      <c r="AU109" s="6"/>
      <c r="AV109" s="6"/>
      <c r="AW109" s="6">
        <v>0.0</v>
      </c>
      <c r="AX109" s="121">
        <f t="shared" si="5"/>
        <v>0</v>
      </c>
      <c r="AY109" s="6"/>
      <c r="AZ109" s="6"/>
      <c r="BA109" s="6"/>
      <c r="BB109" s="6"/>
      <c r="BC109" s="6"/>
      <c r="BD109" s="121">
        <f t="shared" si="6"/>
        <v>0</v>
      </c>
      <c r="BE109" s="123"/>
      <c r="BF109" s="6">
        <f t="shared" si="7"/>
        <v>300000</v>
      </c>
      <c r="BG109" s="124">
        <f t="shared" si="8"/>
        <v>0</v>
      </c>
      <c r="BH109" s="6"/>
      <c r="BI109" s="2"/>
    </row>
    <row r="110" ht="12.75" customHeight="1">
      <c r="A110" s="71">
        <v>75.0</v>
      </c>
      <c r="B110" s="71" t="s">
        <v>571</v>
      </c>
      <c r="C110" s="11">
        <v>45333.0</v>
      </c>
      <c r="D110" s="11"/>
      <c r="E110" s="2" t="s">
        <v>459</v>
      </c>
      <c r="F110" s="2" t="s">
        <v>454</v>
      </c>
      <c r="G110" s="2" t="s">
        <v>456</v>
      </c>
      <c r="H110" s="54"/>
      <c r="I110" s="11" t="s">
        <v>457</v>
      </c>
      <c r="J110" s="54" t="s">
        <v>948</v>
      </c>
      <c r="K110" s="54" t="s">
        <v>860</v>
      </c>
      <c r="L110" s="40"/>
      <c r="M110" s="5"/>
      <c r="N110" s="59">
        <v>400000.0</v>
      </c>
      <c r="O110" s="5"/>
      <c r="P110" s="5">
        <v>400000.0</v>
      </c>
      <c r="Q110" s="5"/>
      <c r="R110" s="6"/>
      <c r="S110" s="6"/>
      <c r="T110" s="6"/>
      <c r="U110" s="6"/>
      <c r="V110" s="6"/>
      <c r="W110" s="6"/>
      <c r="X110" s="121">
        <f t="shared" si="13"/>
        <v>0</v>
      </c>
      <c r="Y110" s="6"/>
      <c r="Z110" s="6"/>
      <c r="AA110" s="6"/>
      <c r="AB110" s="6"/>
      <c r="AC110" s="121">
        <f t="shared" si="14"/>
        <v>0</v>
      </c>
      <c r="AD110" s="6"/>
      <c r="AE110" s="6"/>
      <c r="AF110" s="6"/>
      <c r="AG110" s="6"/>
      <c r="AH110" s="6"/>
      <c r="AI110" s="121">
        <f t="shared" si="15"/>
        <v>0</v>
      </c>
      <c r="AJ110" s="6"/>
      <c r="AK110" s="122"/>
      <c r="AL110" s="6"/>
      <c r="AM110" s="6">
        <v>400000.0</v>
      </c>
      <c r="AN110" s="6"/>
      <c r="AO110" s="6"/>
      <c r="AP110" s="121">
        <f t="shared" si="4"/>
        <v>400000</v>
      </c>
      <c r="AQ110" s="6"/>
      <c r="AR110" s="6"/>
      <c r="AS110" s="6"/>
      <c r="AT110" s="6"/>
      <c r="AU110" s="6"/>
      <c r="AV110" s="6"/>
      <c r="AW110" s="6">
        <v>0.0</v>
      </c>
      <c r="AX110" s="121">
        <f t="shared" si="5"/>
        <v>0</v>
      </c>
      <c r="AY110" s="6"/>
      <c r="AZ110" s="6"/>
      <c r="BA110" s="6"/>
      <c r="BB110" s="6"/>
      <c r="BC110" s="6"/>
      <c r="BD110" s="121">
        <f t="shared" si="6"/>
        <v>0</v>
      </c>
      <c r="BE110" s="123"/>
      <c r="BF110" s="6">
        <f t="shared" si="7"/>
        <v>400000</v>
      </c>
      <c r="BG110" s="124">
        <f t="shared" si="8"/>
        <v>0</v>
      </c>
      <c r="BH110" s="6"/>
      <c r="BI110" s="6"/>
    </row>
    <row r="111" ht="12.75" customHeight="1">
      <c r="A111" s="71">
        <v>75.0</v>
      </c>
      <c r="B111" s="71" t="s">
        <v>576</v>
      </c>
      <c r="C111" s="11">
        <v>45474.0</v>
      </c>
      <c r="D111" s="11"/>
      <c r="E111" s="2" t="s">
        <v>460</v>
      </c>
      <c r="F111" s="2" t="s">
        <v>454</v>
      </c>
      <c r="G111" s="2" t="s">
        <v>456</v>
      </c>
      <c r="H111" s="54"/>
      <c r="I111" s="11" t="s">
        <v>457</v>
      </c>
      <c r="J111" s="54" t="s">
        <v>949</v>
      </c>
      <c r="K111" s="54" t="s">
        <v>860</v>
      </c>
      <c r="L111" s="40"/>
      <c r="M111" s="5"/>
      <c r="N111" s="59">
        <v>250000.0</v>
      </c>
      <c r="O111" s="5"/>
      <c r="P111" s="5">
        <v>250000.0</v>
      </c>
      <c r="Q111" s="5"/>
      <c r="R111" s="6"/>
      <c r="S111" s="6"/>
      <c r="T111" s="6"/>
      <c r="U111" s="6"/>
      <c r="V111" s="6"/>
      <c r="W111" s="6"/>
      <c r="X111" s="121">
        <f t="shared" si="13"/>
        <v>0</v>
      </c>
      <c r="Y111" s="6"/>
      <c r="Z111" s="6"/>
      <c r="AA111" s="6"/>
      <c r="AB111" s="6"/>
      <c r="AC111" s="121">
        <f t="shared" si="14"/>
        <v>0</v>
      </c>
      <c r="AD111" s="6"/>
      <c r="AE111" s="6"/>
      <c r="AF111" s="6"/>
      <c r="AG111" s="6"/>
      <c r="AH111" s="6"/>
      <c r="AI111" s="121">
        <f t="shared" si="15"/>
        <v>0</v>
      </c>
      <c r="AJ111" s="6"/>
      <c r="AK111" s="122"/>
      <c r="AL111" s="6"/>
      <c r="AM111" s="6"/>
      <c r="AN111" s="6">
        <v>250000.0</v>
      </c>
      <c r="AO111" s="6"/>
      <c r="AP111" s="121">
        <f t="shared" si="4"/>
        <v>250000</v>
      </c>
      <c r="AQ111" s="6"/>
      <c r="AR111" s="6"/>
      <c r="AS111" s="6"/>
      <c r="AT111" s="6"/>
      <c r="AU111" s="6"/>
      <c r="AV111" s="6"/>
      <c r="AW111" s="6">
        <v>0.0</v>
      </c>
      <c r="AX111" s="121">
        <f t="shared" si="5"/>
        <v>0</v>
      </c>
      <c r="AY111" s="6"/>
      <c r="AZ111" s="6"/>
      <c r="BA111" s="6"/>
      <c r="BB111" s="6"/>
      <c r="BC111" s="6"/>
      <c r="BD111" s="121">
        <f t="shared" si="6"/>
        <v>0</v>
      </c>
      <c r="BE111" s="123"/>
      <c r="BF111" s="6">
        <f t="shared" si="7"/>
        <v>250000</v>
      </c>
      <c r="BG111" s="124">
        <f t="shared" si="8"/>
        <v>0</v>
      </c>
      <c r="BH111" s="6"/>
      <c r="BI111" s="6"/>
    </row>
    <row r="112" ht="12.75" customHeight="1">
      <c r="A112" s="71">
        <v>75.0</v>
      </c>
      <c r="B112" s="71" t="s">
        <v>581</v>
      </c>
      <c r="C112" s="11">
        <v>45541.0</v>
      </c>
      <c r="D112" s="38"/>
      <c r="E112" s="2" t="s">
        <v>461</v>
      </c>
      <c r="F112" s="2" t="s">
        <v>454</v>
      </c>
      <c r="G112" s="2" t="s">
        <v>456</v>
      </c>
      <c r="H112" s="54"/>
      <c r="I112" s="11" t="s">
        <v>457</v>
      </c>
      <c r="J112" s="54" t="s">
        <v>950</v>
      </c>
      <c r="K112" s="54" t="s">
        <v>860</v>
      </c>
      <c r="L112" s="40"/>
      <c r="M112" s="5"/>
      <c r="N112" s="59">
        <v>200000.0</v>
      </c>
      <c r="O112" s="5"/>
      <c r="P112" s="5">
        <v>200000.0</v>
      </c>
      <c r="Q112" s="5"/>
      <c r="R112" s="6"/>
      <c r="S112" s="6"/>
      <c r="T112" s="6"/>
      <c r="U112" s="6"/>
      <c r="V112" s="6"/>
      <c r="W112" s="6"/>
      <c r="X112" s="121">
        <f t="shared" si="13"/>
        <v>0</v>
      </c>
      <c r="Y112" s="6"/>
      <c r="Z112" s="6"/>
      <c r="AA112" s="6"/>
      <c r="AB112" s="6"/>
      <c r="AC112" s="121">
        <f t="shared" si="14"/>
        <v>0</v>
      </c>
      <c r="AD112" s="6"/>
      <c r="AE112" s="6"/>
      <c r="AF112" s="6"/>
      <c r="AG112" s="6"/>
      <c r="AH112" s="6"/>
      <c r="AI112" s="121">
        <f t="shared" si="15"/>
        <v>0</v>
      </c>
      <c r="AJ112" s="6"/>
      <c r="AK112" s="122"/>
      <c r="AL112" s="6"/>
      <c r="AM112" s="6"/>
      <c r="AN112" s="6"/>
      <c r="AO112" s="6"/>
      <c r="AP112" s="121">
        <f t="shared" si="4"/>
        <v>0</v>
      </c>
      <c r="AQ112" s="6">
        <v>200000.0</v>
      </c>
      <c r="AR112" s="6"/>
      <c r="AS112" s="6"/>
      <c r="AT112" s="6"/>
      <c r="AU112" s="6"/>
      <c r="AV112" s="6"/>
      <c r="AW112" s="6">
        <v>0.0</v>
      </c>
      <c r="AX112" s="121">
        <f t="shared" si="5"/>
        <v>200000</v>
      </c>
      <c r="AY112" s="6"/>
      <c r="AZ112" s="6"/>
      <c r="BA112" s="6"/>
      <c r="BB112" s="6"/>
      <c r="BC112" s="6"/>
      <c r="BD112" s="121">
        <f t="shared" si="6"/>
        <v>0</v>
      </c>
      <c r="BE112" s="123"/>
      <c r="BF112" s="6">
        <f t="shared" si="7"/>
        <v>200000</v>
      </c>
      <c r="BG112" s="124">
        <f t="shared" si="8"/>
        <v>0</v>
      </c>
      <c r="BH112" s="6"/>
      <c r="BI112" s="2"/>
    </row>
    <row r="113" ht="12.75" customHeight="1">
      <c r="A113" s="71">
        <v>75.0</v>
      </c>
      <c r="B113" s="71" t="s">
        <v>586</v>
      </c>
      <c r="C113" s="11">
        <v>45560.0</v>
      </c>
      <c r="D113" s="38"/>
      <c r="E113" s="2" t="s">
        <v>462</v>
      </c>
      <c r="F113" s="2" t="s">
        <v>454</v>
      </c>
      <c r="G113" s="2" t="s">
        <v>456</v>
      </c>
      <c r="H113" s="54"/>
      <c r="I113" s="11" t="s">
        <v>457</v>
      </c>
      <c r="J113" s="54" t="s">
        <v>951</v>
      </c>
      <c r="K113" s="54" t="s">
        <v>860</v>
      </c>
      <c r="L113" s="40"/>
      <c r="M113" s="5"/>
      <c r="N113" s="59">
        <v>124093.0</v>
      </c>
      <c r="O113" s="5"/>
      <c r="P113" s="5">
        <v>124093.0</v>
      </c>
      <c r="Q113" s="5"/>
      <c r="R113" s="6"/>
      <c r="S113" s="6"/>
      <c r="T113" s="6"/>
      <c r="U113" s="6"/>
      <c r="V113" s="6"/>
      <c r="W113" s="6"/>
      <c r="X113" s="121">
        <f t="shared" si="13"/>
        <v>0</v>
      </c>
      <c r="Y113" s="6"/>
      <c r="Z113" s="6"/>
      <c r="AA113" s="6"/>
      <c r="AB113" s="6"/>
      <c r="AC113" s="121">
        <f t="shared" si="14"/>
        <v>0</v>
      </c>
      <c r="AD113" s="6"/>
      <c r="AE113" s="6"/>
      <c r="AF113" s="6"/>
      <c r="AG113" s="6"/>
      <c r="AH113" s="6"/>
      <c r="AI113" s="121">
        <f t="shared" si="15"/>
        <v>0</v>
      </c>
      <c r="AJ113" s="6"/>
      <c r="AK113" s="122"/>
      <c r="AL113" s="6"/>
      <c r="AM113" s="6"/>
      <c r="AN113" s="6"/>
      <c r="AO113" s="6"/>
      <c r="AP113" s="121">
        <f t="shared" si="4"/>
        <v>0</v>
      </c>
      <c r="AQ113" s="6"/>
      <c r="AR113" s="6">
        <v>75000.0</v>
      </c>
      <c r="AS113" s="6"/>
      <c r="AT113" s="6">
        <v>49093.0</v>
      </c>
      <c r="AU113" s="6"/>
      <c r="AV113" s="6"/>
      <c r="AW113" s="6">
        <v>0.0</v>
      </c>
      <c r="AX113" s="121">
        <f t="shared" si="5"/>
        <v>124093</v>
      </c>
      <c r="AY113" s="6"/>
      <c r="AZ113" s="6"/>
      <c r="BA113" s="6"/>
      <c r="BB113" s="6"/>
      <c r="BC113" s="6"/>
      <c r="BD113" s="121">
        <f t="shared" si="6"/>
        <v>0</v>
      </c>
      <c r="BE113" s="123"/>
      <c r="BF113" s="6">
        <f t="shared" si="7"/>
        <v>124093</v>
      </c>
      <c r="BG113" s="124">
        <f t="shared" si="8"/>
        <v>0</v>
      </c>
      <c r="BH113" s="6"/>
      <c r="BI113" s="6"/>
    </row>
    <row r="114" ht="12.75" customHeight="1">
      <c r="A114" s="71">
        <v>75.0</v>
      </c>
      <c r="B114" s="71" t="s">
        <v>754</v>
      </c>
      <c r="C114" s="11">
        <v>45560.0</v>
      </c>
      <c r="D114" s="38"/>
      <c r="E114" s="2" t="s">
        <v>462</v>
      </c>
      <c r="F114" s="2" t="s">
        <v>454</v>
      </c>
      <c r="G114" s="2" t="s">
        <v>456</v>
      </c>
      <c r="H114" s="54"/>
      <c r="I114" s="11" t="s">
        <v>457</v>
      </c>
      <c r="J114" s="54" t="s">
        <v>952</v>
      </c>
      <c r="K114" s="54" t="s">
        <v>860</v>
      </c>
      <c r="L114" s="40"/>
      <c r="M114" s="5"/>
      <c r="N114" s="59">
        <v>3549.0</v>
      </c>
      <c r="O114" s="5"/>
      <c r="P114" s="5">
        <v>3549.0</v>
      </c>
      <c r="Q114" s="5"/>
      <c r="R114" s="6"/>
      <c r="S114" s="6"/>
      <c r="T114" s="6"/>
      <c r="U114" s="6"/>
      <c r="V114" s="6"/>
      <c r="W114" s="6"/>
      <c r="X114" s="121">
        <f t="shared" si="13"/>
        <v>0</v>
      </c>
      <c r="Y114" s="6"/>
      <c r="Z114" s="6"/>
      <c r="AA114" s="6"/>
      <c r="AB114" s="6"/>
      <c r="AC114" s="121">
        <f t="shared" si="14"/>
        <v>0</v>
      </c>
      <c r="AD114" s="6"/>
      <c r="AE114" s="6"/>
      <c r="AF114" s="6"/>
      <c r="AG114" s="6"/>
      <c r="AH114" s="6"/>
      <c r="AI114" s="121">
        <f t="shared" si="15"/>
        <v>0</v>
      </c>
      <c r="AJ114" s="6"/>
      <c r="AK114" s="122"/>
      <c r="AL114" s="6"/>
      <c r="AM114" s="6"/>
      <c r="AN114" s="6"/>
      <c r="AO114" s="6"/>
      <c r="AP114" s="121">
        <f t="shared" si="4"/>
        <v>0</v>
      </c>
      <c r="AQ114" s="6"/>
      <c r="AR114" s="6">
        <v>3549.0</v>
      </c>
      <c r="AS114" s="6"/>
      <c r="AT114" s="6"/>
      <c r="AU114" s="6"/>
      <c r="AV114" s="6"/>
      <c r="AW114" s="6">
        <v>0.0</v>
      </c>
      <c r="AX114" s="121">
        <f t="shared" si="5"/>
        <v>3549</v>
      </c>
      <c r="AY114" s="6"/>
      <c r="AZ114" s="6"/>
      <c r="BA114" s="6"/>
      <c r="BB114" s="6"/>
      <c r="BC114" s="6"/>
      <c r="BD114" s="121">
        <f t="shared" si="6"/>
        <v>0</v>
      </c>
      <c r="BE114" s="123"/>
      <c r="BF114" s="6">
        <f t="shared" si="7"/>
        <v>3549</v>
      </c>
      <c r="BG114" s="124">
        <f t="shared" si="8"/>
        <v>0</v>
      </c>
      <c r="BH114" s="6"/>
      <c r="BI114" s="2"/>
    </row>
    <row r="115" ht="12.75" customHeight="1">
      <c r="A115" s="71">
        <v>75.0</v>
      </c>
      <c r="B115" s="71" t="s">
        <v>591</v>
      </c>
      <c r="C115" s="11">
        <v>45608.0</v>
      </c>
      <c r="D115" s="38"/>
      <c r="E115" s="2" t="s">
        <v>463</v>
      </c>
      <c r="F115" s="2" t="s">
        <v>454</v>
      </c>
      <c r="G115" s="2" t="s">
        <v>456</v>
      </c>
      <c r="H115" s="54"/>
      <c r="I115" s="11" t="s">
        <v>457</v>
      </c>
      <c r="J115" s="54" t="s">
        <v>953</v>
      </c>
      <c r="K115" s="54" t="s">
        <v>860</v>
      </c>
      <c r="L115" s="40"/>
      <c r="M115" s="5"/>
      <c r="N115" s="59">
        <v>400000.0</v>
      </c>
      <c r="O115" s="5"/>
      <c r="P115" s="5">
        <v>400000.0</v>
      </c>
      <c r="Q115" s="5"/>
      <c r="R115" s="6"/>
      <c r="S115" s="6"/>
      <c r="T115" s="6"/>
      <c r="U115" s="6"/>
      <c r="V115" s="6"/>
      <c r="W115" s="6"/>
      <c r="X115" s="121">
        <f t="shared" si="13"/>
        <v>0</v>
      </c>
      <c r="Y115" s="6"/>
      <c r="Z115" s="6"/>
      <c r="AA115" s="6"/>
      <c r="AB115" s="6"/>
      <c r="AC115" s="121">
        <f t="shared" si="14"/>
        <v>0</v>
      </c>
      <c r="AD115" s="6"/>
      <c r="AE115" s="6"/>
      <c r="AF115" s="6"/>
      <c r="AG115" s="6"/>
      <c r="AH115" s="6"/>
      <c r="AI115" s="121">
        <f t="shared" si="15"/>
        <v>0</v>
      </c>
      <c r="AJ115" s="6"/>
      <c r="AK115" s="122"/>
      <c r="AL115" s="6"/>
      <c r="AM115" s="6"/>
      <c r="AN115" s="6"/>
      <c r="AO115" s="6"/>
      <c r="AP115" s="121">
        <f t="shared" si="4"/>
        <v>0</v>
      </c>
      <c r="AQ115" s="6"/>
      <c r="AR115" s="6">
        <v>400000.0</v>
      </c>
      <c r="AS115" s="6"/>
      <c r="AT115" s="6"/>
      <c r="AU115" s="6"/>
      <c r="AV115" s="6"/>
      <c r="AW115" s="6">
        <v>0.0</v>
      </c>
      <c r="AX115" s="121">
        <f t="shared" si="5"/>
        <v>400000</v>
      </c>
      <c r="AY115" s="6"/>
      <c r="AZ115" s="6"/>
      <c r="BA115" s="6"/>
      <c r="BB115" s="6"/>
      <c r="BC115" s="6"/>
      <c r="BD115" s="121">
        <f t="shared" si="6"/>
        <v>0</v>
      </c>
      <c r="BE115" s="123"/>
      <c r="BF115" s="6">
        <f t="shared" si="7"/>
        <v>400000</v>
      </c>
      <c r="BG115" s="124">
        <f t="shared" si="8"/>
        <v>0</v>
      </c>
      <c r="BH115" s="6"/>
      <c r="BI115" s="6"/>
    </row>
    <row r="116" ht="12.75" customHeight="1">
      <c r="A116" s="71">
        <v>75.0</v>
      </c>
      <c r="B116" s="71" t="s">
        <v>759</v>
      </c>
      <c r="C116" s="11">
        <v>45695.0</v>
      </c>
      <c r="D116" s="11"/>
      <c r="E116" s="2" t="s">
        <v>464</v>
      </c>
      <c r="F116" s="2" t="s">
        <v>454</v>
      </c>
      <c r="G116" s="2" t="s">
        <v>456</v>
      </c>
      <c r="H116" s="54"/>
      <c r="I116" s="11" t="s">
        <v>457</v>
      </c>
      <c r="J116" s="54" t="s">
        <v>954</v>
      </c>
      <c r="K116" s="54" t="s">
        <v>860</v>
      </c>
      <c r="L116" s="40"/>
      <c r="M116" s="5"/>
      <c r="N116" s="59">
        <v>600000.0</v>
      </c>
      <c r="O116" s="5"/>
      <c r="P116" s="5">
        <v>600000.0</v>
      </c>
      <c r="Q116" s="5"/>
      <c r="R116" s="6"/>
      <c r="S116" s="6"/>
      <c r="T116" s="6"/>
      <c r="U116" s="6"/>
      <c r="V116" s="6"/>
      <c r="W116" s="6"/>
      <c r="X116" s="121">
        <f t="shared" si="13"/>
        <v>0</v>
      </c>
      <c r="Y116" s="6"/>
      <c r="Z116" s="6"/>
      <c r="AA116" s="6"/>
      <c r="AB116" s="6"/>
      <c r="AC116" s="121">
        <f t="shared" si="14"/>
        <v>0</v>
      </c>
      <c r="AD116" s="6"/>
      <c r="AE116" s="6"/>
      <c r="AF116" s="6"/>
      <c r="AG116" s="6"/>
      <c r="AH116" s="6"/>
      <c r="AI116" s="121">
        <f t="shared" si="15"/>
        <v>0</v>
      </c>
      <c r="AJ116" s="6"/>
      <c r="AK116" s="122"/>
      <c r="AL116" s="6"/>
      <c r="AM116" s="6"/>
      <c r="AN116" s="6"/>
      <c r="AO116" s="6"/>
      <c r="AP116" s="121">
        <f t="shared" si="4"/>
        <v>0</v>
      </c>
      <c r="AQ116" s="6"/>
      <c r="AR116" s="6"/>
      <c r="AS116" s="6"/>
      <c r="AT116" s="6">
        <v>600000.0</v>
      </c>
      <c r="AU116" s="6"/>
      <c r="AV116" s="6"/>
      <c r="AW116" s="6">
        <v>0.0</v>
      </c>
      <c r="AX116" s="121">
        <f t="shared" si="5"/>
        <v>600000</v>
      </c>
      <c r="AY116" s="6"/>
      <c r="AZ116" s="6"/>
      <c r="BA116" s="6"/>
      <c r="BB116" s="6"/>
      <c r="BC116" s="6"/>
      <c r="BD116" s="121">
        <f t="shared" si="6"/>
        <v>0</v>
      </c>
      <c r="BE116" s="123"/>
      <c r="BF116" s="6">
        <f t="shared" si="7"/>
        <v>600000</v>
      </c>
      <c r="BG116" s="124">
        <f t="shared" si="8"/>
        <v>0</v>
      </c>
      <c r="BH116" s="6"/>
      <c r="BI116" s="2"/>
    </row>
    <row r="117" ht="12.75" customHeight="1">
      <c r="A117" s="71">
        <v>75.0</v>
      </c>
      <c r="B117" s="71" t="s">
        <v>596</v>
      </c>
      <c r="C117" s="11">
        <v>45812.0</v>
      </c>
      <c r="D117" s="11"/>
      <c r="E117" s="2" t="s">
        <v>465</v>
      </c>
      <c r="F117" s="2" t="s">
        <v>454</v>
      </c>
      <c r="G117" s="2" t="s">
        <v>456</v>
      </c>
      <c r="H117" s="54"/>
      <c r="I117" s="11" t="s">
        <v>457</v>
      </c>
      <c r="J117" s="54" t="s">
        <v>955</v>
      </c>
      <c r="K117" s="54" t="s">
        <v>860</v>
      </c>
      <c r="L117" s="40"/>
      <c r="M117" s="5"/>
      <c r="N117" s="59">
        <v>600000.0</v>
      </c>
      <c r="O117" s="5"/>
      <c r="P117" s="5">
        <v>600000.0</v>
      </c>
      <c r="Q117" s="5"/>
      <c r="R117" s="6"/>
      <c r="S117" s="6"/>
      <c r="T117" s="6"/>
      <c r="U117" s="6"/>
      <c r="V117" s="6"/>
      <c r="W117" s="6"/>
      <c r="X117" s="121">
        <f t="shared" si="13"/>
        <v>0</v>
      </c>
      <c r="Y117" s="6"/>
      <c r="Z117" s="6"/>
      <c r="AA117" s="6"/>
      <c r="AB117" s="6"/>
      <c r="AC117" s="121">
        <f t="shared" si="14"/>
        <v>0</v>
      </c>
      <c r="AD117" s="6"/>
      <c r="AE117" s="6"/>
      <c r="AF117" s="6"/>
      <c r="AG117" s="6"/>
      <c r="AH117" s="6"/>
      <c r="AI117" s="121">
        <f t="shared" si="15"/>
        <v>0</v>
      </c>
      <c r="AJ117" s="6"/>
      <c r="AK117" s="122"/>
      <c r="AL117" s="6"/>
      <c r="AM117" s="6"/>
      <c r="AN117" s="6"/>
      <c r="AO117" s="6"/>
      <c r="AP117" s="121">
        <f t="shared" si="4"/>
        <v>0</v>
      </c>
      <c r="AQ117" s="6"/>
      <c r="AR117" s="6"/>
      <c r="AS117" s="6"/>
      <c r="AT117" s="6"/>
      <c r="AU117" s="6"/>
      <c r="AV117" s="6">
        <v>600000.0</v>
      </c>
      <c r="AW117" s="6">
        <v>0.0</v>
      </c>
      <c r="AX117" s="121">
        <f t="shared" si="5"/>
        <v>600000</v>
      </c>
      <c r="AY117" s="6"/>
      <c r="AZ117" s="6"/>
      <c r="BA117" s="6"/>
      <c r="BB117" s="6"/>
      <c r="BC117" s="6"/>
      <c r="BD117" s="121">
        <f t="shared" si="6"/>
        <v>0</v>
      </c>
      <c r="BE117" s="123"/>
      <c r="BF117" s="6">
        <f t="shared" si="7"/>
        <v>600000</v>
      </c>
      <c r="BG117" s="124">
        <f t="shared" si="8"/>
        <v>0</v>
      </c>
      <c r="BH117" s="6"/>
      <c r="BI117" s="2"/>
    </row>
    <row r="118" ht="12.75" customHeight="1">
      <c r="A118" s="71">
        <v>75.0</v>
      </c>
      <c r="B118" s="71" t="s">
        <v>602</v>
      </c>
      <c r="C118" s="11">
        <v>45994.0</v>
      </c>
      <c r="D118" s="11"/>
      <c r="E118" s="2" t="s">
        <v>466</v>
      </c>
      <c r="F118" s="2" t="s">
        <v>454</v>
      </c>
      <c r="G118" s="2" t="s">
        <v>456</v>
      </c>
      <c r="H118" s="54"/>
      <c r="I118" s="11" t="s">
        <v>457</v>
      </c>
      <c r="J118" s="54" t="s">
        <v>956</v>
      </c>
      <c r="K118" s="54" t="s">
        <v>860</v>
      </c>
      <c r="L118" s="40"/>
      <c r="M118" s="5"/>
      <c r="N118" s="59">
        <v>1000000.0</v>
      </c>
      <c r="O118" s="5"/>
      <c r="P118" s="5">
        <v>1000000.0</v>
      </c>
      <c r="Q118" s="5"/>
      <c r="R118" s="6"/>
      <c r="S118" s="6"/>
      <c r="T118" s="6"/>
      <c r="U118" s="6"/>
      <c r="V118" s="6"/>
      <c r="W118" s="6"/>
      <c r="X118" s="121">
        <f t="shared" si="13"/>
        <v>0</v>
      </c>
      <c r="Y118" s="6"/>
      <c r="Z118" s="6"/>
      <c r="AA118" s="6"/>
      <c r="AB118" s="6"/>
      <c r="AC118" s="121">
        <f t="shared" si="14"/>
        <v>0</v>
      </c>
      <c r="AD118" s="6"/>
      <c r="AE118" s="6"/>
      <c r="AF118" s="6"/>
      <c r="AG118" s="6"/>
      <c r="AH118" s="6"/>
      <c r="AI118" s="121">
        <f t="shared" si="15"/>
        <v>0</v>
      </c>
      <c r="AJ118" s="6"/>
      <c r="AK118" s="122"/>
      <c r="AL118" s="6"/>
      <c r="AM118" s="6"/>
      <c r="AN118" s="6"/>
      <c r="AO118" s="6"/>
      <c r="AP118" s="121">
        <f t="shared" si="4"/>
        <v>0</v>
      </c>
      <c r="AQ118" s="6"/>
      <c r="AR118" s="6"/>
      <c r="AS118" s="6"/>
      <c r="AT118" s="6"/>
      <c r="AU118" s="6"/>
      <c r="AV118" s="6"/>
      <c r="AW118" s="6">
        <v>0.0</v>
      </c>
      <c r="AX118" s="121">
        <f t="shared" si="5"/>
        <v>0</v>
      </c>
      <c r="AY118" s="6">
        <v>1000000.0</v>
      </c>
      <c r="AZ118" s="6"/>
      <c r="BA118" s="6"/>
      <c r="BB118" s="6"/>
      <c r="BC118" s="6"/>
      <c r="BD118" s="121">
        <f t="shared" si="6"/>
        <v>1000000</v>
      </c>
      <c r="BE118" s="123"/>
      <c r="BF118" s="6">
        <f t="shared" si="7"/>
        <v>1000000</v>
      </c>
      <c r="BG118" s="124">
        <f t="shared" si="8"/>
        <v>0</v>
      </c>
      <c r="BH118" s="6"/>
      <c r="BI118" s="2"/>
    </row>
    <row r="119" ht="12.75" customHeight="1">
      <c r="A119" s="71">
        <v>75.0</v>
      </c>
      <c r="B119" s="71"/>
      <c r="C119" s="11">
        <v>46098.0</v>
      </c>
      <c r="D119" s="11">
        <f>C119+30</f>
        <v>46128</v>
      </c>
      <c r="E119" s="2" t="s">
        <v>467</v>
      </c>
      <c r="F119" s="2" t="s">
        <v>454</v>
      </c>
      <c r="G119" s="2" t="s">
        <v>456</v>
      </c>
      <c r="H119" s="54"/>
      <c r="I119" s="11" t="s">
        <v>457</v>
      </c>
      <c r="J119" s="54" t="s">
        <v>957</v>
      </c>
      <c r="K119" s="54"/>
      <c r="L119" s="5"/>
      <c r="M119" s="5"/>
      <c r="N119" s="59">
        <v>655000.0</v>
      </c>
      <c r="O119" s="5"/>
      <c r="P119" s="5">
        <v>655000.0</v>
      </c>
      <c r="Q119" s="5"/>
      <c r="R119" s="6"/>
      <c r="S119" s="6"/>
      <c r="T119" s="6"/>
      <c r="U119" s="6"/>
      <c r="V119" s="6"/>
      <c r="W119" s="6"/>
      <c r="X119" s="121">
        <f t="shared" si="13"/>
        <v>0</v>
      </c>
      <c r="Y119" s="6"/>
      <c r="Z119" s="6"/>
      <c r="AA119" s="6"/>
      <c r="AB119" s="6"/>
      <c r="AC119" s="121">
        <f t="shared" si="14"/>
        <v>0</v>
      </c>
      <c r="AD119" s="6"/>
      <c r="AE119" s="6"/>
      <c r="AF119" s="6"/>
      <c r="AG119" s="6"/>
      <c r="AH119" s="6"/>
      <c r="AI119" s="121">
        <f t="shared" si="15"/>
        <v>0</v>
      </c>
      <c r="AJ119" s="6"/>
      <c r="AK119" s="122"/>
      <c r="AL119" s="6"/>
      <c r="AM119" s="6"/>
      <c r="AN119" s="6"/>
      <c r="AO119" s="6"/>
      <c r="AP119" s="121">
        <f t="shared" si="4"/>
        <v>0</v>
      </c>
      <c r="AQ119" s="6"/>
      <c r="AR119" s="6"/>
      <c r="AS119" s="6"/>
      <c r="AT119" s="6"/>
      <c r="AU119" s="6"/>
      <c r="AV119" s="6"/>
      <c r="AW119" s="6"/>
      <c r="AX119" s="121">
        <f t="shared" si="5"/>
        <v>0</v>
      </c>
      <c r="AY119" s="6"/>
      <c r="AZ119" s="6"/>
      <c r="BA119" s="6"/>
      <c r="BB119" s="6"/>
      <c r="BC119" s="6"/>
      <c r="BD119" s="121">
        <f t="shared" si="6"/>
        <v>0</v>
      </c>
      <c r="BE119" s="123"/>
      <c r="BF119" s="6">
        <f t="shared" si="7"/>
        <v>0</v>
      </c>
      <c r="BG119" s="124">
        <f t="shared" si="8"/>
        <v>655000</v>
      </c>
      <c r="BH119" s="6"/>
      <c r="BI119" s="2"/>
    </row>
    <row r="120" ht="12.75" customHeight="1">
      <c r="A120" s="71">
        <v>76.0</v>
      </c>
      <c r="B120" s="71" t="s">
        <v>607</v>
      </c>
      <c r="C120" s="11">
        <v>45245.0</v>
      </c>
      <c r="D120" s="11"/>
      <c r="E120" s="2" t="s">
        <v>468</v>
      </c>
      <c r="F120" s="2" t="s">
        <v>469</v>
      </c>
      <c r="G120" s="2" t="s">
        <v>471</v>
      </c>
      <c r="H120" s="54"/>
      <c r="I120" s="11" t="s">
        <v>472</v>
      </c>
      <c r="J120" s="54" t="s">
        <v>958</v>
      </c>
      <c r="K120" s="54" t="s">
        <v>860</v>
      </c>
      <c r="L120" s="40">
        <v>250000.0</v>
      </c>
      <c r="M120" s="5"/>
      <c r="N120" s="5">
        <v>50000.0</v>
      </c>
      <c r="O120" s="5"/>
      <c r="P120" s="5">
        <v>50000.0</v>
      </c>
      <c r="Q120" s="5"/>
      <c r="R120" s="6"/>
      <c r="S120" s="6"/>
      <c r="T120" s="6"/>
      <c r="U120" s="6"/>
      <c r="V120" s="6"/>
      <c r="W120" s="6"/>
      <c r="X120" s="121">
        <f t="shared" si="13"/>
        <v>0</v>
      </c>
      <c r="Y120" s="6"/>
      <c r="Z120" s="6"/>
      <c r="AA120" s="6"/>
      <c r="AB120" s="6"/>
      <c r="AC120" s="121">
        <f t="shared" si="14"/>
        <v>0</v>
      </c>
      <c r="AD120" s="6"/>
      <c r="AE120" s="6"/>
      <c r="AF120" s="6"/>
      <c r="AG120" s="6"/>
      <c r="AH120" s="6"/>
      <c r="AI120" s="121">
        <f t="shared" si="15"/>
        <v>0</v>
      </c>
      <c r="AJ120" s="6"/>
      <c r="AK120" s="122"/>
      <c r="AL120" s="6">
        <v>50000.0</v>
      </c>
      <c r="AM120" s="6"/>
      <c r="AN120" s="6"/>
      <c r="AO120" s="6"/>
      <c r="AP120" s="121">
        <f t="shared" si="4"/>
        <v>50000</v>
      </c>
      <c r="AQ120" s="6"/>
      <c r="AR120" s="6"/>
      <c r="AS120" s="6"/>
      <c r="AT120" s="6"/>
      <c r="AU120" s="6"/>
      <c r="AV120" s="6"/>
      <c r="AW120" s="6">
        <v>0.0</v>
      </c>
      <c r="AX120" s="121">
        <f t="shared" si="5"/>
        <v>0</v>
      </c>
      <c r="AY120" s="6"/>
      <c r="AZ120" s="6"/>
      <c r="BA120" s="6"/>
      <c r="BB120" s="6"/>
      <c r="BC120" s="6"/>
      <c r="BD120" s="121">
        <f t="shared" si="6"/>
        <v>0</v>
      </c>
      <c r="BE120" s="123"/>
      <c r="BF120" s="6">
        <f t="shared" si="7"/>
        <v>50000</v>
      </c>
      <c r="BG120" s="124">
        <f t="shared" si="8"/>
        <v>0</v>
      </c>
      <c r="BH120" s="6"/>
      <c r="BI120" s="2"/>
    </row>
    <row r="121" ht="12.75" customHeight="1">
      <c r="A121" s="71">
        <v>76.0</v>
      </c>
      <c r="B121" s="71" t="s">
        <v>959</v>
      </c>
      <c r="C121" s="11">
        <v>45279.0</v>
      </c>
      <c r="D121" s="11"/>
      <c r="E121" s="2" t="s">
        <v>473</v>
      </c>
      <c r="F121" s="2" t="s">
        <v>469</v>
      </c>
      <c r="G121" s="2" t="s">
        <v>471</v>
      </c>
      <c r="H121" s="54"/>
      <c r="I121" s="11" t="s">
        <v>472</v>
      </c>
      <c r="J121" s="54" t="s">
        <v>960</v>
      </c>
      <c r="K121" s="54" t="s">
        <v>860</v>
      </c>
      <c r="L121" s="40"/>
      <c r="M121" s="5"/>
      <c r="N121" s="5">
        <v>100000.0</v>
      </c>
      <c r="O121" s="5"/>
      <c r="P121" s="5">
        <v>100000.0</v>
      </c>
      <c r="Q121" s="5"/>
      <c r="R121" s="6"/>
      <c r="S121" s="6"/>
      <c r="T121" s="6"/>
      <c r="U121" s="6"/>
      <c r="V121" s="6"/>
      <c r="W121" s="6"/>
      <c r="X121" s="121">
        <f t="shared" si="13"/>
        <v>0</v>
      </c>
      <c r="Y121" s="6"/>
      <c r="Z121" s="6"/>
      <c r="AA121" s="6"/>
      <c r="AB121" s="6"/>
      <c r="AC121" s="121">
        <f t="shared" si="14"/>
        <v>0</v>
      </c>
      <c r="AD121" s="6"/>
      <c r="AE121" s="6"/>
      <c r="AF121" s="6"/>
      <c r="AG121" s="6"/>
      <c r="AH121" s="6"/>
      <c r="AI121" s="121">
        <f t="shared" si="15"/>
        <v>0</v>
      </c>
      <c r="AJ121" s="6"/>
      <c r="AK121" s="122"/>
      <c r="AL121" s="6">
        <v>100000.0</v>
      </c>
      <c r="AM121" s="6"/>
      <c r="AN121" s="6"/>
      <c r="AO121" s="6"/>
      <c r="AP121" s="121">
        <f t="shared" si="4"/>
        <v>100000</v>
      </c>
      <c r="AQ121" s="6"/>
      <c r="AR121" s="6"/>
      <c r="AS121" s="6"/>
      <c r="AT121" s="6"/>
      <c r="AU121" s="6"/>
      <c r="AV121" s="6"/>
      <c r="AW121" s="6">
        <v>0.0</v>
      </c>
      <c r="AX121" s="121">
        <f t="shared" si="5"/>
        <v>0</v>
      </c>
      <c r="AY121" s="6"/>
      <c r="AZ121" s="6"/>
      <c r="BA121" s="6"/>
      <c r="BB121" s="6"/>
      <c r="BC121" s="6"/>
      <c r="BD121" s="121">
        <f t="shared" si="6"/>
        <v>0</v>
      </c>
      <c r="BE121" s="123"/>
      <c r="BF121" s="6">
        <f t="shared" si="7"/>
        <v>100000</v>
      </c>
      <c r="BG121" s="124">
        <f t="shared" si="8"/>
        <v>0</v>
      </c>
      <c r="BH121" s="6"/>
      <c r="BI121" s="2"/>
    </row>
    <row r="122" ht="12.75" customHeight="1">
      <c r="A122" s="71">
        <v>76.0</v>
      </c>
      <c r="B122" s="71" t="s">
        <v>612</v>
      </c>
      <c r="C122" s="11">
        <v>45333.0</v>
      </c>
      <c r="D122" s="11"/>
      <c r="E122" s="2" t="s">
        <v>459</v>
      </c>
      <c r="F122" s="2" t="s">
        <v>469</v>
      </c>
      <c r="G122" s="2" t="s">
        <v>471</v>
      </c>
      <c r="H122" s="54"/>
      <c r="I122" s="11" t="s">
        <v>472</v>
      </c>
      <c r="J122" s="54" t="s">
        <v>960</v>
      </c>
      <c r="K122" s="54" t="s">
        <v>860</v>
      </c>
      <c r="L122" s="40"/>
      <c r="M122" s="5"/>
      <c r="N122" s="5">
        <v>100000.0</v>
      </c>
      <c r="O122" s="5"/>
      <c r="P122" s="5">
        <v>100000.0</v>
      </c>
      <c r="Q122" s="5"/>
      <c r="R122" s="6"/>
      <c r="S122" s="6"/>
      <c r="T122" s="6"/>
      <c r="U122" s="6"/>
      <c r="V122" s="6"/>
      <c r="W122" s="6"/>
      <c r="X122" s="121">
        <f t="shared" si="13"/>
        <v>0</v>
      </c>
      <c r="Y122" s="6"/>
      <c r="Z122" s="6"/>
      <c r="AA122" s="6"/>
      <c r="AB122" s="6"/>
      <c r="AC122" s="121">
        <f t="shared" si="14"/>
        <v>0</v>
      </c>
      <c r="AD122" s="6"/>
      <c r="AE122" s="6"/>
      <c r="AF122" s="6"/>
      <c r="AG122" s="6"/>
      <c r="AH122" s="6"/>
      <c r="AI122" s="121">
        <f t="shared" si="15"/>
        <v>0</v>
      </c>
      <c r="AJ122" s="6"/>
      <c r="AK122" s="122"/>
      <c r="AL122" s="6"/>
      <c r="AM122" s="6">
        <v>100000.0</v>
      </c>
      <c r="AN122" s="6"/>
      <c r="AO122" s="6"/>
      <c r="AP122" s="121">
        <f t="shared" si="4"/>
        <v>100000</v>
      </c>
      <c r="AQ122" s="6"/>
      <c r="AR122" s="6"/>
      <c r="AS122" s="6"/>
      <c r="AT122" s="6"/>
      <c r="AU122" s="6"/>
      <c r="AV122" s="6"/>
      <c r="AW122" s="6">
        <v>0.0</v>
      </c>
      <c r="AX122" s="121">
        <f t="shared" si="5"/>
        <v>0</v>
      </c>
      <c r="AY122" s="6"/>
      <c r="AZ122" s="6"/>
      <c r="BA122" s="6"/>
      <c r="BB122" s="6"/>
      <c r="BC122" s="6"/>
      <c r="BD122" s="121">
        <f t="shared" si="6"/>
        <v>0</v>
      </c>
      <c r="BE122" s="123"/>
      <c r="BF122" s="6">
        <f t="shared" si="7"/>
        <v>100000</v>
      </c>
      <c r="BG122" s="124">
        <f t="shared" si="8"/>
        <v>0</v>
      </c>
      <c r="BH122" s="6"/>
      <c r="BI122" s="2"/>
    </row>
    <row r="123" ht="12.75" customHeight="1">
      <c r="A123" s="71">
        <v>77.0</v>
      </c>
      <c r="B123" s="71" t="s">
        <v>617</v>
      </c>
      <c r="C123" s="11">
        <v>45260.0</v>
      </c>
      <c r="D123" s="11"/>
      <c r="E123" s="2" t="s">
        <v>474</v>
      </c>
      <c r="F123" s="2" t="s">
        <v>475</v>
      </c>
      <c r="G123" s="2" t="s">
        <v>477</v>
      </c>
      <c r="H123" s="54"/>
      <c r="I123" s="11" t="s">
        <v>478</v>
      </c>
      <c r="J123" s="54" t="s">
        <v>961</v>
      </c>
      <c r="K123" s="54" t="s">
        <v>860</v>
      </c>
      <c r="L123" s="40">
        <v>6000000.0</v>
      </c>
      <c r="M123" s="5"/>
      <c r="N123" s="5">
        <v>6000000.0</v>
      </c>
      <c r="O123" s="5"/>
      <c r="P123" s="5">
        <v>6000000.0</v>
      </c>
      <c r="Q123" s="5"/>
      <c r="R123" s="6"/>
      <c r="S123" s="6"/>
      <c r="T123" s="6"/>
      <c r="U123" s="6"/>
      <c r="V123" s="6"/>
      <c r="W123" s="6"/>
      <c r="X123" s="121">
        <f t="shared" si="13"/>
        <v>0</v>
      </c>
      <c r="Y123" s="6"/>
      <c r="Z123" s="6"/>
      <c r="AA123" s="6"/>
      <c r="AB123" s="6"/>
      <c r="AC123" s="121">
        <f t="shared" si="14"/>
        <v>0</v>
      </c>
      <c r="AD123" s="6"/>
      <c r="AE123" s="6"/>
      <c r="AF123" s="6"/>
      <c r="AG123" s="6"/>
      <c r="AH123" s="6"/>
      <c r="AI123" s="121">
        <f t="shared" si="15"/>
        <v>0</v>
      </c>
      <c r="AJ123" s="6"/>
      <c r="AK123" s="122"/>
      <c r="AL123" s="6">
        <v>4000000.0</v>
      </c>
      <c r="AM123" s="6">
        <v>1500000.0</v>
      </c>
      <c r="AN123" s="6">
        <v>500000.0</v>
      </c>
      <c r="AO123" s="6"/>
      <c r="AP123" s="121">
        <f t="shared" si="4"/>
        <v>6000000</v>
      </c>
      <c r="AQ123" s="6"/>
      <c r="AR123" s="6"/>
      <c r="AS123" s="6"/>
      <c r="AT123" s="6"/>
      <c r="AU123" s="6"/>
      <c r="AV123" s="6"/>
      <c r="AW123" s="6">
        <v>0.0</v>
      </c>
      <c r="AX123" s="121">
        <f t="shared" si="5"/>
        <v>0</v>
      </c>
      <c r="AY123" s="6"/>
      <c r="AZ123" s="6"/>
      <c r="BA123" s="6"/>
      <c r="BB123" s="6"/>
      <c r="BC123" s="6"/>
      <c r="BD123" s="121">
        <f t="shared" si="6"/>
        <v>0</v>
      </c>
      <c r="BE123" s="123"/>
      <c r="BF123" s="6">
        <f t="shared" si="7"/>
        <v>6000000</v>
      </c>
      <c r="BG123" s="124">
        <f t="shared" si="8"/>
        <v>0</v>
      </c>
      <c r="BH123" s="6"/>
      <c r="BI123" s="2"/>
    </row>
    <row r="124" ht="12.75" customHeight="1">
      <c r="A124" s="71">
        <v>78.0</v>
      </c>
      <c r="B124" s="71" t="s">
        <v>962</v>
      </c>
      <c r="C124" s="11">
        <v>45271.0</v>
      </c>
      <c r="D124" s="11"/>
      <c r="E124" s="2" t="s">
        <v>479</v>
      </c>
      <c r="F124" s="2" t="s">
        <v>480</v>
      </c>
      <c r="G124" s="2" t="s">
        <v>482</v>
      </c>
      <c r="H124" s="54"/>
      <c r="I124" s="11" t="s">
        <v>483</v>
      </c>
      <c r="J124" s="54" t="s">
        <v>963</v>
      </c>
      <c r="K124" s="54" t="s">
        <v>860</v>
      </c>
      <c r="L124" s="40">
        <v>320000.0</v>
      </c>
      <c r="M124" s="5"/>
      <c r="N124" s="5">
        <v>320000.0</v>
      </c>
      <c r="O124" s="5"/>
      <c r="P124" s="5">
        <v>320000.0</v>
      </c>
      <c r="Q124" s="5"/>
      <c r="R124" s="6"/>
      <c r="S124" s="6"/>
      <c r="T124" s="6"/>
      <c r="U124" s="6"/>
      <c r="V124" s="6"/>
      <c r="W124" s="6"/>
      <c r="X124" s="121">
        <f t="shared" si="13"/>
        <v>0</v>
      </c>
      <c r="Y124" s="6"/>
      <c r="Z124" s="6"/>
      <c r="AA124" s="6"/>
      <c r="AB124" s="6"/>
      <c r="AC124" s="121">
        <f t="shared" si="14"/>
        <v>0</v>
      </c>
      <c r="AD124" s="6"/>
      <c r="AE124" s="6"/>
      <c r="AF124" s="6"/>
      <c r="AG124" s="6"/>
      <c r="AH124" s="6"/>
      <c r="AI124" s="121">
        <f t="shared" si="15"/>
        <v>0</v>
      </c>
      <c r="AJ124" s="6"/>
      <c r="AK124" s="122"/>
      <c r="AL124" s="6">
        <v>150000.0</v>
      </c>
      <c r="AM124" s="6">
        <v>50000.0</v>
      </c>
      <c r="AN124" s="6">
        <v>20000.0</v>
      </c>
      <c r="AO124" s="6"/>
      <c r="AP124" s="121">
        <f t="shared" si="4"/>
        <v>220000</v>
      </c>
      <c r="AQ124" s="6">
        <v>100000.0</v>
      </c>
      <c r="AR124" s="6"/>
      <c r="AS124" s="6"/>
      <c r="AT124" s="6"/>
      <c r="AU124" s="6"/>
      <c r="AV124" s="6"/>
      <c r="AW124" s="6">
        <v>0.0</v>
      </c>
      <c r="AX124" s="121">
        <f t="shared" si="5"/>
        <v>100000</v>
      </c>
      <c r="AY124" s="6"/>
      <c r="AZ124" s="6"/>
      <c r="BA124" s="6"/>
      <c r="BB124" s="6"/>
      <c r="BC124" s="6"/>
      <c r="BD124" s="121">
        <f t="shared" si="6"/>
        <v>0</v>
      </c>
      <c r="BE124" s="123"/>
      <c r="BF124" s="6">
        <f t="shared" si="7"/>
        <v>320000</v>
      </c>
      <c r="BG124" s="124">
        <f t="shared" si="8"/>
        <v>0</v>
      </c>
      <c r="BH124" s="6"/>
      <c r="BI124" s="2"/>
    </row>
    <row r="125" ht="12.75" customHeight="1">
      <c r="A125" s="71">
        <v>79.0</v>
      </c>
      <c r="B125" s="71" t="s">
        <v>622</v>
      </c>
      <c r="C125" s="11">
        <v>45323.0</v>
      </c>
      <c r="D125" s="11"/>
      <c r="E125" s="2" t="s">
        <v>484</v>
      </c>
      <c r="F125" s="2" t="s">
        <v>485</v>
      </c>
      <c r="G125" s="2" t="s">
        <v>487</v>
      </c>
      <c r="H125" s="54"/>
      <c r="I125" s="11" t="s">
        <v>488</v>
      </c>
      <c r="J125" s="54" t="s">
        <v>963</v>
      </c>
      <c r="K125" s="54" t="s">
        <v>860</v>
      </c>
      <c r="L125" s="40">
        <v>2550.37</v>
      </c>
      <c r="M125" s="5"/>
      <c r="N125" s="5">
        <v>2550.37</v>
      </c>
      <c r="O125" s="5"/>
      <c r="P125" s="5">
        <v>2550.37</v>
      </c>
      <c r="Q125" s="5"/>
      <c r="R125" s="6"/>
      <c r="S125" s="6"/>
      <c r="T125" s="6"/>
      <c r="U125" s="6"/>
      <c r="V125" s="6"/>
      <c r="W125" s="6"/>
      <c r="X125" s="121">
        <f t="shared" si="13"/>
        <v>0</v>
      </c>
      <c r="Y125" s="6"/>
      <c r="Z125" s="6"/>
      <c r="AA125" s="6"/>
      <c r="AB125" s="6"/>
      <c r="AC125" s="121">
        <f t="shared" si="14"/>
        <v>0</v>
      </c>
      <c r="AD125" s="6"/>
      <c r="AE125" s="6"/>
      <c r="AF125" s="6"/>
      <c r="AG125" s="6"/>
      <c r="AH125" s="6"/>
      <c r="AI125" s="121">
        <f t="shared" si="15"/>
        <v>0</v>
      </c>
      <c r="AJ125" s="6"/>
      <c r="AK125" s="122"/>
      <c r="AL125" s="6"/>
      <c r="AM125" s="6">
        <v>2550.37</v>
      </c>
      <c r="AN125" s="6"/>
      <c r="AO125" s="6"/>
      <c r="AP125" s="121">
        <f t="shared" si="4"/>
        <v>2550.37</v>
      </c>
      <c r="AQ125" s="6"/>
      <c r="AR125" s="6"/>
      <c r="AS125" s="6"/>
      <c r="AT125" s="6"/>
      <c r="AU125" s="6"/>
      <c r="AV125" s="6"/>
      <c r="AW125" s="6">
        <v>0.0</v>
      </c>
      <c r="AX125" s="121">
        <f t="shared" si="5"/>
        <v>0</v>
      </c>
      <c r="AY125" s="6"/>
      <c r="AZ125" s="6"/>
      <c r="BA125" s="6"/>
      <c r="BB125" s="6"/>
      <c r="BC125" s="6"/>
      <c r="BD125" s="121">
        <f t="shared" si="6"/>
        <v>0</v>
      </c>
      <c r="BE125" s="123"/>
      <c r="BF125" s="6">
        <f t="shared" si="7"/>
        <v>2550.37</v>
      </c>
      <c r="BG125" s="124">
        <f t="shared" si="8"/>
        <v>0</v>
      </c>
      <c r="BH125" s="6"/>
      <c r="BI125" s="2"/>
    </row>
    <row r="126" ht="12.75" customHeight="1">
      <c r="A126" s="71">
        <v>79.0</v>
      </c>
      <c r="B126" s="71" t="s">
        <v>627</v>
      </c>
      <c r="C126" s="11">
        <v>45323.0</v>
      </c>
      <c r="D126" s="11"/>
      <c r="E126" s="2" t="s">
        <v>484</v>
      </c>
      <c r="F126" s="2" t="s">
        <v>485</v>
      </c>
      <c r="G126" s="2" t="s">
        <v>487</v>
      </c>
      <c r="H126" s="54"/>
      <c r="I126" s="11" t="s">
        <v>488</v>
      </c>
      <c r="J126" s="54" t="s">
        <v>964</v>
      </c>
      <c r="K126" s="54" t="s">
        <v>860</v>
      </c>
      <c r="L126" s="40">
        <v>272449.63</v>
      </c>
      <c r="M126" s="5"/>
      <c r="N126" s="5">
        <v>272449.63</v>
      </c>
      <c r="O126" s="5"/>
      <c r="P126" s="5">
        <v>272449.63</v>
      </c>
      <c r="Q126" s="5"/>
      <c r="R126" s="6"/>
      <c r="S126" s="6"/>
      <c r="T126" s="6"/>
      <c r="U126" s="6"/>
      <c r="V126" s="6"/>
      <c r="W126" s="6"/>
      <c r="X126" s="121">
        <f t="shared" si="13"/>
        <v>0</v>
      </c>
      <c r="Y126" s="6"/>
      <c r="Z126" s="6"/>
      <c r="AA126" s="6"/>
      <c r="AB126" s="6"/>
      <c r="AC126" s="121">
        <f t="shared" si="14"/>
        <v>0</v>
      </c>
      <c r="AD126" s="6"/>
      <c r="AE126" s="6"/>
      <c r="AF126" s="6"/>
      <c r="AG126" s="6"/>
      <c r="AH126" s="6"/>
      <c r="AI126" s="121">
        <f t="shared" si="15"/>
        <v>0</v>
      </c>
      <c r="AJ126" s="6"/>
      <c r="AK126" s="122"/>
      <c r="AL126" s="6"/>
      <c r="AM126" s="6">
        <v>100000.0</v>
      </c>
      <c r="AN126" s="6"/>
      <c r="AO126" s="6"/>
      <c r="AP126" s="121">
        <f t="shared" si="4"/>
        <v>100000</v>
      </c>
      <c r="AQ126" s="6">
        <v>172449.63</v>
      </c>
      <c r="AR126" s="6"/>
      <c r="AS126" s="6"/>
      <c r="AT126" s="6"/>
      <c r="AU126" s="6"/>
      <c r="AV126" s="6"/>
      <c r="AW126" s="6">
        <v>0.0</v>
      </c>
      <c r="AX126" s="121">
        <f t="shared" si="5"/>
        <v>172449.63</v>
      </c>
      <c r="AY126" s="6"/>
      <c r="AZ126" s="6"/>
      <c r="BA126" s="6"/>
      <c r="BB126" s="6"/>
      <c r="BC126" s="6"/>
      <c r="BD126" s="121">
        <f t="shared" si="6"/>
        <v>0</v>
      </c>
      <c r="BE126" s="123"/>
      <c r="BF126" s="6">
        <f t="shared" si="7"/>
        <v>272449.63</v>
      </c>
      <c r="BG126" s="124">
        <f t="shared" si="8"/>
        <v>0</v>
      </c>
      <c r="BH126" s="6"/>
      <c r="BI126" s="2"/>
    </row>
    <row r="127" ht="12.75" customHeight="1">
      <c r="A127" s="71">
        <v>80.0</v>
      </c>
      <c r="B127" s="71" t="s">
        <v>965</v>
      </c>
      <c r="C127" s="11">
        <v>45323.0</v>
      </c>
      <c r="D127" s="11"/>
      <c r="E127" s="2" t="s">
        <v>489</v>
      </c>
      <c r="F127" s="2" t="s">
        <v>490</v>
      </c>
      <c r="G127" s="2" t="s">
        <v>492</v>
      </c>
      <c r="H127" s="54"/>
      <c r="I127" s="11" t="s">
        <v>493</v>
      </c>
      <c r="J127" s="54" t="s">
        <v>966</v>
      </c>
      <c r="K127" s="54" t="s">
        <v>851</v>
      </c>
      <c r="L127" s="40">
        <v>581338.85</v>
      </c>
      <c r="M127" s="5"/>
      <c r="N127" s="5">
        <v>581338.85</v>
      </c>
      <c r="O127" s="5"/>
      <c r="P127" s="5">
        <v>581338.85</v>
      </c>
      <c r="Q127" s="5"/>
      <c r="R127" s="6"/>
      <c r="S127" s="6"/>
      <c r="T127" s="6"/>
      <c r="U127" s="6"/>
      <c r="V127" s="6"/>
      <c r="W127" s="6"/>
      <c r="X127" s="121">
        <f t="shared" si="13"/>
        <v>0</v>
      </c>
      <c r="Y127" s="6"/>
      <c r="Z127" s="6"/>
      <c r="AA127" s="6"/>
      <c r="AB127" s="6"/>
      <c r="AC127" s="121">
        <f t="shared" si="14"/>
        <v>0</v>
      </c>
      <c r="AD127" s="6"/>
      <c r="AE127" s="6"/>
      <c r="AF127" s="6"/>
      <c r="AG127" s="6"/>
      <c r="AH127" s="6"/>
      <c r="AI127" s="121">
        <f t="shared" si="15"/>
        <v>0</v>
      </c>
      <c r="AJ127" s="6"/>
      <c r="AK127" s="122"/>
      <c r="AL127" s="6"/>
      <c r="AM127" s="6">
        <v>100000.0</v>
      </c>
      <c r="AN127" s="6">
        <v>150000.0</v>
      </c>
      <c r="AO127" s="6"/>
      <c r="AP127" s="121">
        <f t="shared" si="4"/>
        <v>250000</v>
      </c>
      <c r="AQ127" s="6">
        <v>331338.85</v>
      </c>
      <c r="AR127" s="6"/>
      <c r="AS127" s="6"/>
      <c r="AT127" s="6"/>
      <c r="AU127" s="6"/>
      <c r="AV127" s="6"/>
      <c r="AW127" s="6">
        <v>0.0</v>
      </c>
      <c r="AX127" s="121">
        <f t="shared" si="5"/>
        <v>331338.85</v>
      </c>
      <c r="AY127" s="6"/>
      <c r="AZ127" s="6"/>
      <c r="BA127" s="6"/>
      <c r="BB127" s="6"/>
      <c r="BC127" s="6"/>
      <c r="BD127" s="121">
        <f t="shared" si="6"/>
        <v>0</v>
      </c>
      <c r="BE127" s="123"/>
      <c r="BF127" s="6">
        <f t="shared" si="7"/>
        <v>581338.85</v>
      </c>
      <c r="BG127" s="124">
        <f t="shared" si="8"/>
        <v>0</v>
      </c>
      <c r="BH127" s="6"/>
      <c r="BI127" s="2"/>
    </row>
    <row r="128" ht="12.75" customHeight="1">
      <c r="A128" s="71">
        <v>80.0</v>
      </c>
      <c r="B128" s="71" t="s">
        <v>631</v>
      </c>
      <c r="C128" s="11">
        <v>45323.0</v>
      </c>
      <c r="D128" s="11"/>
      <c r="E128" s="2" t="s">
        <v>489</v>
      </c>
      <c r="F128" s="2" t="s">
        <v>490</v>
      </c>
      <c r="G128" s="2" t="s">
        <v>492</v>
      </c>
      <c r="H128" s="54"/>
      <c r="I128" s="11" t="s">
        <v>493</v>
      </c>
      <c r="J128" s="54" t="s">
        <v>967</v>
      </c>
      <c r="K128" s="54" t="s">
        <v>851</v>
      </c>
      <c r="L128" s="40">
        <v>54004.15</v>
      </c>
      <c r="M128" s="5"/>
      <c r="N128" s="5">
        <v>54004.15</v>
      </c>
      <c r="O128" s="5"/>
      <c r="P128" s="5">
        <v>54004.15</v>
      </c>
      <c r="Q128" s="5"/>
      <c r="R128" s="6"/>
      <c r="S128" s="6"/>
      <c r="T128" s="6"/>
      <c r="U128" s="6"/>
      <c r="V128" s="6"/>
      <c r="W128" s="6"/>
      <c r="X128" s="121">
        <f t="shared" si="13"/>
        <v>0</v>
      </c>
      <c r="Y128" s="6"/>
      <c r="Z128" s="6"/>
      <c r="AA128" s="6"/>
      <c r="AB128" s="6"/>
      <c r="AC128" s="121">
        <f t="shared" si="14"/>
        <v>0</v>
      </c>
      <c r="AD128" s="6"/>
      <c r="AE128" s="6"/>
      <c r="AF128" s="6"/>
      <c r="AG128" s="6"/>
      <c r="AH128" s="6"/>
      <c r="AI128" s="121">
        <f t="shared" si="15"/>
        <v>0</v>
      </c>
      <c r="AJ128" s="6"/>
      <c r="AK128" s="122"/>
      <c r="AL128" s="6"/>
      <c r="AM128" s="6">
        <v>54004.15</v>
      </c>
      <c r="AN128" s="6"/>
      <c r="AO128" s="6"/>
      <c r="AP128" s="121">
        <f t="shared" si="4"/>
        <v>54004.15</v>
      </c>
      <c r="AQ128" s="6"/>
      <c r="AR128" s="6"/>
      <c r="AS128" s="6"/>
      <c r="AT128" s="6"/>
      <c r="AU128" s="6"/>
      <c r="AV128" s="6"/>
      <c r="AW128" s="6">
        <v>0.0</v>
      </c>
      <c r="AX128" s="121">
        <f t="shared" si="5"/>
        <v>0</v>
      </c>
      <c r="AY128" s="6"/>
      <c r="AZ128" s="6"/>
      <c r="BA128" s="6"/>
      <c r="BB128" s="6"/>
      <c r="BC128" s="6"/>
      <c r="BD128" s="121">
        <f t="shared" si="6"/>
        <v>0</v>
      </c>
      <c r="BE128" s="123"/>
      <c r="BF128" s="6">
        <f t="shared" si="7"/>
        <v>54004.15</v>
      </c>
      <c r="BG128" s="124">
        <f t="shared" si="8"/>
        <v>0</v>
      </c>
      <c r="BH128" s="6"/>
      <c r="BI128" s="2"/>
    </row>
    <row r="129" ht="12.75" customHeight="1">
      <c r="A129" s="71">
        <v>81.0</v>
      </c>
      <c r="B129" s="71" t="s">
        <v>636</v>
      </c>
      <c r="C129" s="11">
        <v>45391.0</v>
      </c>
      <c r="D129" s="11"/>
      <c r="E129" s="2" t="s">
        <v>494</v>
      </c>
      <c r="F129" s="2" t="s">
        <v>495</v>
      </c>
      <c r="G129" s="2" t="s">
        <v>497</v>
      </c>
      <c r="H129" s="54"/>
      <c r="I129" s="11" t="s">
        <v>498</v>
      </c>
      <c r="J129" s="54" t="s">
        <v>968</v>
      </c>
      <c r="K129" s="54" t="s">
        <v>860</v>
      </c>
      <c r="L129" s="40">
        <v>225310.0</v>
      </c>
      <c r="M129" s="5"/>
      <c r="N129" s="5">
        <v>225310.0</v>
      </c>
      <c r="O129" s="5"/>
      <c r="P129" s="5">
        <v>225310.0</v>
      </c>
      <c r="Q129" s="5"/>
      <c r="R129" s="6"/>
      <c r="S129" s="6"/>
      <c r="T129" s="6"/>
      <c r="U129" s="6"/>
      <c r="V129" s="6"/>
      <c r="W129" s="6"/>
      <c r="X129" s="121">
        <f t="shared" si="13"/>
        <v>0</v>
      </c>
      <c r="Y129" s="6"/>
      <c r="Z129" s="6"/>
      <c r="AA129" s="6"/>
      <c r="AB129" s="6"/>
      <c r="AC129" s="121">
        <f t="shared" si="14"/>
        <v>0</v>
      </c>
      <c r="AD129" s="6"/>
      <c r="AE129" s="6"/>
      <c r="AF129" s="6"/>
      <c r="AG129" s="6"/>
      <c r="AH129" s="6"/>
      <c r="AI129" s="121">
        <f t="shared" si="15"/>
        <v>0</v>
      </c>
      <c r="AJ129" s="6"/>
      <c r="AK129" s="122"/>
      <c r="AL129" s="6"/>
      <c r="AM129" s="6"/>
      <c r="AN129" s="6">
        <v>225310.0</v>
      </c>
      <c r="AO129" s="6"/>
      <c r="AP129" s="121">
        <f t="shared" si="4"/>
        <v>225310</v>
      </c>
      <c r="AQ129" s="6"/>
      <c r="AR129" s="6"/>
      <c r="AS129" s="6"/>
      <c r="AT129" s="6"/>
      <c r="AU129" s="6"/>
      <c r="AV129" s="6"/>
      <c r="AW129" s="6">
        <v>0.0</v>
      </c>
      <c r="AX129" s="121">
        <f t="shared" si="5"/>
        <v>0</v>
      </c>
      <c r="AY129" s="6"/>
      <c r="AZ129" s="6"/>
      <c r="BA129" s="6"/>
      <c r="BB129" s="6"/>
      <c r="BC129" s="6"/>
      <c r="BD129" s="121">
        <f t="shared" si="6"/>
        <v>0</v>
      </c>
      <c r="BE129" s="123"/>
      <c r="BF129" s="6">
        <f t="shared" si="7"/>
        <v>225310</v>
      </c>
      <c r="BG129" s="124">
        <f t="shared" si="8"/>
        <v>0</v>
      </c>
      <c r="BH129" s="6"/>
      <c r="BI129" s="2"/>
    </row>
    <row r="130" ht="12.75" customHeight="1">
      <c r="A130" s="71">
        <v>81.0</v>
      </c>
      <c r="B130" s="71" t="s">
        <v>640</v>
      </c>
      <c r="C130" s="11">
        <v>45391.0</v>
      </c>
      <c r="D130" s="11"/>
      <c r="E130" s="2" t="s">
        <v>494</v>
      </c>
      <c r="F130" s="2" t="s">
        <v>495</v>
      </c>
      <c r="G130" s="2" t="s">
        <v>497</v>
      </c>
      <c r="H130" s="54"/>
      <c r="I130" s="11" t="s">
        <v>498</v>
      </c>
      <c r="J130" s="54" t="s">
        <v>969</v>
      </c>
      <c r="K130" s="54" t="s">
        <v>860</v>
      </c>
      <c r="L130" s="40">
        <v>615000.0</v>
      </c>
      <c r="M130" s="5"/>
      <c r="N130" s="5">
        <v>615000.0</v>
      </c>
      <c r="O130" s="5"/>
      <c r="P130" s="5">
        <v>615000.0</v>
      </c>
      <c r="Q130" s="5"/>
      <c r="R130" s="6"/>
      <c r="S130" s="6"/>
      <c r="T130" s="6"/>
      <c r="U130" s="6"/>
      <c r="V130" s="6"/>
      <c r="W130" s="6"/>
      <c r="X130" s="121">
        <f t="shared" si="13"/>
        <v>0</v>
      </c>
      <c r="Y130" s="6"/>
      <c r="Z130" s="6"/>
      <c r="AA130" s="6"/>
      <c r="AB130" s="6"/>
      <c r="AC130" s="121">
        <f t="shared" si="14"/>
        <v>0</v>
      </c>
      <c r="AD130" s="6"/>
      <c r="AE130" s="6"/>
      <c r="AF130" s="6"/>
      <c r="AG130" s="6"/>
      <c r="AH130" s="6"/>
      <c r="AI130" s="121">
        <f t="shared" si="15"/>
        <v>0</v>
      </c>
      <c r="AJ130" s="6"/>
      <c r="AK130" s="122"/>
      <c r="AL130" s="6"/>
      <c r="AM130" s="6"/>
      <c r="AN130" s="6">
        <v>615000.0</v>
      </c>
      <c r="AO130" s="6"/>
      <c r="AP130" s="121">
        <f t="shared" si="4"/>
        <v>615000</v>
      </c>
      <c r="AQ130" s="6"/>
      <c r="AR130" s="6"/>
      <c r="AS130" s="6"/>
      <c r="AT130" s="6"/>
      <c r="AU130" s="6"/>
      <c r="AV130" s="6"/>
      <c r="AW130" s="6">
        <v>0.0</v>
      </c>
      <c r="AX130" s="121">
        <f t="shared" si="5"/>
        <v>0</v>
      </c>
      <c r="AY130" s="6"/>
      <c r="AZ130" s="6"/>
      <c r="BA130" s="6"/>
      <c r="BB130" s="6"/>
      <c r="BC130" s="6"/>
      <c r="BD130" s="121">
        <f t="shared" si="6"/>
        <v>0</v>
      </c>
      <c r="BE130" s="123"/>
      <c r="BF130" s="6">
        <f t="shared" si="7"/>
        <v>615000</v>
      </c>
      <c r="BG130" s="124">
        <f t="shared" si="8"/>
        <v>0</v>
      </c>
      <c r="BH130" s="6"/>
      <c r="BI130" s="2"/>
    </row>
    <row r="131" ht="12.75" customHeight="1">
      <c r="A131" s="71">
        <v>82.0</v>
      </c>
      <c r="B131" s="71" t="s">
        <v>644</v>
      </c>
      <c r="C131" s="11">
        <v>45352.0</v>
      </c>
      <c r="D131" s="11"/>
      <c r="E131" s="2" t="s">
        <v>499</v>
      </c>
      <c r="F131" s="2" t="s">
        <v>500</v>
      </c>
      <c r="G131" s="2" t="s">
        <v>502</v>
      </c>
      <c r="H131" s="54"/>
      <c r="I131" s="11" t="s">
        <v>503</v>
      </c>
      <c r="J131" s="54" t="s">
        <v>964</v>
      </c>
      <c r="K131" s="54" t="s">
        <v>860</v>
      </c>
      <c r="L131" s="40">
        <v>425000.0</v>
      </c>
      <c r="M131" s="5"/>
      <c r="N131" s="5">
        <v>425000.0</v>
      </c>
      <c r="O131" s="5"/>
      <c r="P131" s="5">
        <v>425000.0</v>
      </c>
      <c r="Q131" s="5"/>
      <c r="R131" s="6"/>
      <c r="S131" s="6"/>
      <c r="T131" s="6"/>
      <c r="U131" s="6"/>
      <c r="V131" s="6"/>
      <c r="W131" s="6"/>
      <c r="X131" s="121">
        <f t="shared" si="13"/>
        <v>0</v>
      </c>
      <c r="Y131" s="6"/>
      <c r="Z131" s="6"/>
      <c r="AA131" s="6"/>
      <c r="AB131" s="6"/>
      <c r="AC131" s="121">
        <f t="shared" si="14"/>
        <v>0</v>
      </c>
      <c r="AD131" s="6"/>
      <c r="AE131" s="6"/>
      <c r="AF131" s="6"/>
      <c r="AG131" s="6"/>
      <c r="AH131" s="6"/>
      <c r="AI131" s="121">
        <f t="shared" si="15"/>
        <v>0</v>
      </c>
      <c r="AJ131" s="6"/>
      <c r="AK131" s="122"/>
      <c r="AL131" s="6"/>
      <c r="AM131" s="6">
        <v>400000.0</v>
      </c>
      <c r="AN131" s="6">
        <v>25000.0</v>
      </c>
      <c r="AO131" s="6"/>
      <c r="AP131" s="121">
        <f t="shared" si="4"/>
        <v>425000</v>
      </c>
      <c r="AQ131" s="6"/>
      <c r="AR131" s="6"/>
      <c r="AS131" s="6"/>
      <c r="AT131" s="6"/>
      <c r="AU131" s="6"/>
      <c r="AV131" s="6"/>
      <c r="AW131" s="6">
        <v>0.0</v>
      </c>
      <c r="AX131" s="121">
        <f t="shared" si="5"/>
        <v>0</v>
      </c>
      <c r="AY131" s="6"/>
      <c r="AZ131" s="6"/>
      <c r="BA131" s="6"/>
      <c r="BB131" s="6"/>
      <c r="BC131" s="6"/>
      <c r="BD131" s="121">
        <f t="shared" si="6"/>
        <v>0</v>
      </c>
      <c r="BE131" s="123"/>
      <c r="BF131" s="6">
        <f t="shared" si="7"/>
        <v>425000</v>
      </c>
      <c r="BG131" s="124">
        <f t="shared" si="8"/>
        <v>0</v>
      </c>
      <c r="BH131" s="6"/>
      <c r="BI131" s="2"/>
    </row>
    <row r="132" ht="12.75" customHeight="1">
      <c r="A132" s="71">
        <v>83.0</v>
      </c>
      <c r="B132" s="71" t="s">
        <v>649</v>
      </c>
      <c r="C132" s="11">
        <v>45348.0</v>
      </c>
      <c r="D132" s="11"/>
      <c r="E132" s="2" t="s">
        <v>504</v>
      </c>
      <c r="F132" s="2" t="s">
        <v>505</v>
      </c>
      <c r="G132" s="2" t="s">
        <v>507</v>
      </c>
      <c r="H132" s="54"/>
      <c r="I132" s="11" t="s">
        <v>508</v>
      </c>
      <c r="J132" s="54" t="s">
        <v>970</v>
      </c>
      <c r="K132" s="54" t="s">
        <v>851</v>
      </c>
      <c r="L132" s="40">
        <f>1290373.28-775073.28</f>
        <v>515300</v>
      </c>
      <c r="M132" s="5"/>
      <c r="N132" s="5">
        <f>1290373.28-775073.28</f>
        <v>515300</v>
      </c>
      <c r="O132" s="5"/>
      <c r="P132" s="5">
        <f>1290373.28-775073.28</f>
        <v>515300</v>
      </c>
      <c r="Q132" s="5"/>
      <c r="R132" s="6"/>
      <c r="S132" s="6"/>
      <c r="T132" s="6"/>
      <c r="U132" s="6"/>
      <c r="V132" s="6"/>
      <c r="W132" s="6"/>
      <c r="X132" s="121">
        <f t="shared" si="13"/>
        <v>0</v>
      </c>
      <c r="Y132" s="6"/>
      <c r="Z132" s="6"/>
      <c r="AA132" s="6"/>
      <c r="AB132" s="6"/>
      <c r="AC132" s="121">
        <f t="shared" si="14"/>
        <v>0</v>
      </c>
      <c r="AD132" s="6"/>
      <c r="AE132" s="6"/>
      <c r="AF132" s="6"/>
      <c r="AG132" s="6"/>
      <c r="AH132" s="6"/>
      <c r="AI132" s="121">
        <f t="shared" si="15"/>
        <v>0</v>
      </c>
      <c r="AJ132" s="6"/>
      <c r="AK132" s="122"/>
      <c r="AL132" s="6"/>
      <c r="AM132" s="6"/>
      <c r="AN132" s="6">
        <v>75000.0</v>
      </c>
      <c r="AO132" s="6"/>
      <c r="AP132" s="121">
        <f t="shared" si="4"/>
        <v>75000</v>
      </c>
      <c r="AQ132" s="6">
        <f>220150-220150</f>
        <v>0</v>
      </c>
      <c r="AR132" s="6">
        <v>440300.0</v>
      </c>
      <c r="AS132" s="6"/>
      <c r="AT132" s="6"/>
      <c r="AU132" s="6"/>
      <c r="AV132" s="6"/>
      <c r="AW132" s="6">
        <v>0.0</v>
      </c>
      <c r="AX132" s="121">
        <f t="shared" si="5"/>
        <v>440300</v>
      </c>
      <c r="AY132" s="6"/>
      <c r="AZ132" s="6"/>
      <c r="BA132" s="6"/>
      <c r="BB132" s="6"/>
      <c r="BC132" s="6"/>
      <c r="BD132" s="121">
        <f t="shared" si="6"/>
        <v>0</v>
      </c>
      <c r="BE132" s="156"/>
      <c r="BF132" s="6">
        <f t="shared" si="7"/>
        <v>515300</v>
      </c>
      <c r="BG132" s="124">
        <f t="shared" si="8"/>
        <v>0</v>
      </c>
      <c r="BH132" s="6"/>
      <c r="BI132" s="2"/>
    </row>
    <row r="133" ht="12.75" customHeight="1">
      <c r="A133" s="147" t="s">
        <v>971</v>
      </c>
      <c r="B133" s="71" t="s">
        <v>654</v>
      </c>
      <c r="C133" s="148">
        <v>45348.0</v>
      </c>
      <c r="D133" s="148"/>
      <c r="E133" s="149" t="s">
        <v>504</v>
      </c>
      <c r="F133" s="149" t="s">
        <v>505</v>
      </c>
      <c r="G133" s="149" t="s">
        <v>507</v>
      </c>
      <c r="H133" s="150"/>
      <c r="I133" s="148" t="s">
        <v>509</v>
      </c>
      <c r="J133" s="150" t="s">
        <v>970</v>
      </c>
      <c r="K133" s="150" t="s">
        <v>788</v>
      </c>
      <c r="L133" s="152">
        <v>775073.28</v>
      </c>
      <c r="M133" s="153"/>
      <c r="N133" s="153">
        <v>775073.28</v>
      </c>
      <c r="O133" s="153"/>
      <c r="P133" s="153">
        <v>775073.28</v>
      </c>
      <c r="Q133" s="5"/>
      <c r="R133" s="6"/>
      <c r="S133" s="6"/>
      <c r="T133" s="6"/>
      <c r="U133" s="6"/>
      <c r="V133" s="6"/>
      <c r="W133" s="6"/>
      <c r="X133" s="121">
        <f t="shared" si="13"/>
        <v>0</v>
      </c>
      <c r="Y133" s="6"/>
      <c r="Z133" s="6"/>
      <c r="AA133" s="6"/>
      <c r="AB133" s="6"/>
      <c r="AC133" s="121">
        <f t="shared" si="14"/>
        <v>0</v>
      </c>
      <c r="AD133" s="6"/>
      <c r="AE133" s="6"/>
      <c r="AF133" s="6"/>
      <c r="AG133" s="6"/>
      <c r="AH133" s="6"/>
      <c r="AI133" s="121">
        <f t="shared" si="15"/>
        <v>0</v>
      </c>
      <c r="AJ133" s="6"/>
      <c r="AK133" s="122"/>
      <c r="AL133" s="6"/>
      <c r="AM133" s="75">
        <v>775073.28</v>
      </c>
      <c r="AN133" s="6"/>
      <c r="AO133" s="6"/>
      <c r="AP133" s="121">
        <f t="shared" si="4"/>
        <v>775073.28</v>
      </c>
      <c r="AQ133" s="6"/>
      <c r="AR133" s="6"/>
      <c r="AS133" s="6"/>
      <c r="AT133" s="6"/>
      <c r="AU133" s="6"/>
      <c r="AV133" s="6"/>
      <c r="AW133" s="6">
        <v>0.0</v>
      </c>
      <c r="AX133" s="121">
        <f t="shared" si="5"/>
        <v>0</v>
      </c>
      <c r="AY133" s="6"/>
      <c r="AZ133" s="6"/>
      <c r="BA133" s="6"/>
      <c r="BB133" s="6"/>
      <c r="BC133" s="6"/>
      <c r="BD133" s="121">
        <f t="shared" si="6"/>
        <v>0</v>
      </c>
      <c r="BE133" s="156"/>
      <c r="BF133" s="154">
        <f t="shared" si="7"/>
        <v>775073.28</v>
      </c>
      <c r="BG133" s="124">
        <f t="shared" si="8"/>
        <v>0</v>
      </c>
      <c r="BH133" s="6"/>
      <c r="BI133" s="2"/>
    </row>
    <row r="134" ht="12.75" customHeight="1">
      <c r="A134" s="71">
        <v>84.0</v>
      </c>
      <c r="B134" s="71" t="s">
        <v>659</v>
      </c>
      <c r="C134" s="11">
        <v>45364.0</v>
      </c>
      <c r="D134" s="11"/>
      <c r="E134" s="2" t="s">
        <v>510</v>
      </c>
      <c r="F134" s="2" t="s">
        <v>511</v>
      </c>
      <c r="G134" s="2" t="s">
        <v>513</v>
      </c>
      <c r="H134" s="54"/>
      <c r="I134" s="11" t="s">
        <v>514</v>
      </c>
      <c r="J134" s="54" t="s">
        <v>970</v>
      </c>
      <c r="K134" s="54" t="s">
        <v>851</v>
      </c>
      <c r="L134" s="40">
        <v>1644300.0</v>
      </c>
      <c r="M134" s="5"/>
      <c r="N134" s="5">
        <v>1644300.0</v>
      </c>
      <c r="O134" s="5"/>
      <c r="P134" s="5">
        <v>1644300.0</v>
      </c>
      <c r="Q134" s="5"/>
      <c r="R134" s="6"/>
      <c r="S134" s="6"/>
      <c r="T134" s="6"/>
      <c r="U134" s="6"/>
      <c r="V134" s="6"/>
      <c r="W134" s="6"/>
      <c r="X134" s="121">
        <f t="shared" si="13"/>
        <v>0</v>
      </c>
      <c r="Y134" s="6"/>
      <c r="Z134" s="6"/>
      <c r="AA134" s="6"/>
      <c r="AB134" s="6"/>
      <c r="AC134" s="121">
        <f t="shared" si="14"/>
        <v>0</v>
      </c>
      <c r="AD134" s="6"/>
      <c r="AE134" s="6"/>
      <c r="AF134" s="6"/>
      <c r="AG134" s="6"/>
      <c r="AH134" s="6"/>
      <c r="AI134" s="121">
        <f t="shared" si="15"/>
        <v>0</v>
      </c>
      <c r="AJ134" s="6"/>
      <c r="AK134" s="122"/>
      <c r="AL134" s="6"/>
      <c r="AM134" s="6">
        <v>30000.0</v>
      </c>
      <c r="AN134" s="6">
        <v>100000.0</v>
      </c>
      <c r="AO134" s="6"/>
      <c r="AP134" s="121">
        <f t="shared" si="4"/>
        <v>130000</v>
      </c>
      <c r="AQ134" s="6">
        <v>664226.72</v>
      </c>
      <c r="AR134" s="6">
        <v>550000.0</v>
      </c>
      <c r="AS134" s="6"/>
      <c r="AT134" s="6">
        <v>300073.28</v>
      </c>
      <c r="AU134" s="6"/>
      <c r="AV134" s="6"/>
      <c r="AW134" s="6">
        <v>0.0</v>
      </c>
      <c r="AX134" s="121">
        <f t="shared" si="5"/>
        <v>1514300</v>
      </c>
      <c r="AY134" s="6"/>
      <c r="AZ134" s="6"/>
      <c r="BA134" s="6"/>
      <c r="BB134" s="6"/>
      <c r="BC134" s="6"/>
      <c r="BD134" s="121">
        <f t="shared" si="6"/>
        <v>0</v>
      </c>
      <c r="BE134" s="123"/>
      <c r="BF134" s="6">
        <f t="shared" si="7"/>
        <v>1644300</v>
      </c>
      <c r="BG134" s="124">
        <f t="shared" si="8"/>
        <v>0</v>
      </c>
      <c r="BH134" s="6"/>
      <c r="BI134" s="2"/>
    </row>
    <row r="135" ht="12.75" customHeight="1">
      <c r="A135" s="71">
        <v>85.0</v>
      </c>
      <c r="B135" s="71" t="s">
        <v>664</v>
      </c>
      <c r="C135" s="11">
        <v>45372.0</v>
      </c>
      <c r="D135" s="11"/>
      <c r="E135" s="2" t="s">
        <v>515</v>
      </c>
      <c r="F135" s="2" t="s">
        <v>516</v>
      </c>
      <c r="G135" s="2" t="s">
        <v>518</v>
      </c>
      <c r="H135" s="54"/>
      <c r="I135" s="11" t="s">
        <v>519</v>
      </c>
      <c r="J135" s="54" t="s">
        <v>972</v>
      </c>
      <c r="K135" s="54" t="s">
        <v>860</v>
      </c>
      <c r="L135" s="40">
        <v>1000000.0</v>
      </c>
      <c r="M135" s="5"/>
      <c r="N135" s="5">
        <v>1000000.0</v>
      </c>
      <c r="O135" s="5"/>
      <c r="P135" s="5">
        <v>1000000.0</v>
      </c>
      <c r="Q135" s="5"/>
      <c r="R135" s="6"/>
      <c r="S135" s="6"/>
      <c r="T135" s="6"/>
      <c r="U135" s="6"/>
      <c r="V135" s="6"/>
      <c r="W135" s="6"/>
      <c r="X135" s="121">
        <f t="shared" si="13"/>
        <v>0</v>
      </c>
      <c r="Y135" s="6"/>
      <c r="Z135" s="6"/>
      <c r="AA135" s="6"/>
      <c r="AB135" s="6"/>
      <c r="AC135" s="121">
        <f t="shared" si="14"/>
        <v>0</v>
      </c>
      <c r="AD135" s="6"/>
      <c r="AE135" s="6"/>
      <c r="AF135" s="6"/>
      <c r="AG135" s="6"/>
      <c r="AH135" s="6"/>
      <c r="AI135" s="121">
        <f t="shared" si="15"/>
        <v>0</v>
      </c>
      <c r="AJ135" s="6"/>
      <c r="AK135" s="122"/>
      <c r="AL135" s="6"/>
      <c r="AM135" s="6"/>
      <c r="AN135" s="6">
        <v>300000.0</v>
      </c>
      <c r="AO135" s="6"/>
      <c r="AP135" s="121">
        <f t="shared" si="4"/>
        <v>300000</v>
      </c>
      <c r="AQ135" s="6">
        <v>200000.0</v>
      </c>
      <c r="AR135" s="6">
        <v>500000.0</v>
      </c>
      <c r="AS135" s="6"/>
      <c r="AT135" s="6"/>
      <c r="AU135" s="6"/>
      <c r="AV135" s="6"/>
      <c r="AW135" s="6">
        <v>0.0</v>
      </c>
      <c r="AX135" s="121">
        <f t="shared" si="5"/>
        <v>700000</v>
      </c>
      <c r="AY135" s="6"/>
      <c r="AZ135" s="6"/>
      <c r="BA135" s="6"/>
      <c r="BB135" s="6"/>
      <c r="BC135" s="6"/>
      <c r="BD135" s="121">
        <f t="shared" si="6"/>
        <v>0</v>
      </c>
      <c r="BE135" s="123"/>
      <c r="BF135" s="6">
        <f t="shared" si="7"/>
        <v>1000000</v>
      </c>
      <c r="BG135" s="124">
        <f t="shared" si="8"/>
        <v>0</v>
      </c>
      <c r="BH135" s="6"/>
      <c r="BI135" s="2"/>
    </row>
    <row r="136" ht="12.75" customHeight="1">
      <c r="A136" s="71">
        <v>86.0</v>
      </c>
      <c r="B136" s="71" t="s">
        <v>669</v>
      </c>
      <c r="C136" s="11">
        <v>45436.0</v>
      </c>
      <c r="D136" s="11"/>
      <c r="E136" s="2" t="s">
        <v>520</v>
      </c>
      <c r="F136" s="2" t="s">
        <v>521</v>
      </c>
      <c r="G136" s="2" t="s">
        <v>523</v>
      </c>
      <c r="H136" s="54"/>
      <c r="I136" s="11" t="s">
        <v>524</v>
      </c>
      <c r="J136" s="54" t="s">
        <v>973</v>
      </c>
      <c r="K136" s="54" t="s">
        <v>860</v>
      </c>
      <c r="L136" s="40">
        <v>1500000.0</v>
      </c>
      <c r="M136" s="5"/>
      <c r="N136" s="5">
        <v>500000.0</v>
      </c>
      <c r="O136" s="5"/>
      <c r="P136" s="5">
        <v>500000.0</v>
      </c>
      <c r="Q136" s="5"/>
      <c r="R136" s="6"/>
      <c r="S136" s="6"/>
      <c r="T136" s="6"/>
      <c r="U136" s="6"/>
      <c r="V136" s="6"/>
      <c r="W136" s="6"/>
      <c r="X136" s="121">
        <f t="shared" si="13"/>
        <v>0</v>
      </c>
      <c r="Y136" s="6"/>
      <c r="Z136" s="6"/>
      <c r="AA136" s="6"/>
      <c r="AB136" s="6"/>
      <c r="AC136" s="121">
        <f t="shared" si="14"/>
        <v>0</v>
      </c>
      <c r="AD136" s="6"/>
      <c r="AE136" s="6"/>
      <c r="AF136" s="6"/>
      <c r="AG136" s="6"/>
      <c r="AH136" s="6"/>
      <c r="AI136" s="121">
        <f t="shared" si="15"/>
        <v>0</v>
      </c>
      <c r="AJ136" s="6"/>
      <c r="AK136" s="122"/>
      <c r="AL136" s="6"/>
      <c r="AM136" s="6"/>
      <c r="AN136" s="6">
        <v>100000.0</v>
      </c>
      <c r="AO136" s="6"/>
      <c r="AP136" s="121">
        <f t="shared" si="4"/>
        <v>100000</v>
      </c>
      <c r="AQ136" s="6">
        <v>100000.0</v>
      </c>
      <c r="AR136" s="6">
        <v>200000.0</v>
      </c>
      <c r="AS136" s="6"/>
      <c r="AT136" s="6">
        <v>100000.0</v>
      </c>
      <c r="AU136" s="6"/>
      <c r="AV136" s="6"/>
      <c r="AW136" s="6">
        <v>0.0</v>
      </c>
      <c r="AX136" s="121">
        <f t="shared" si="5"/>
        <v>400000</v>
      </c>
      <c r="AY136" s="6"/>
      <c r="AZ136" s="6"/>
      <c r="BA136" s="6"/>
      <c r="BB136" s="6"/>
      <c r="BC136" s="6"/>
      <c r="BD136" s="121">
        <f t="shared" si="6"/>
        <v>0</v>
      </c>
      <c r="BE136" s="123"/>
      <c r="BF136" s="6">
        <f t="shared" si="7"/>
        <v>500000</v>
      </c>
      <c r="BG136" s="124">
        <f t="shared" si="8"/>
        <v>0</v>
      </c>
      <c r="BH136" s="6"/>
      <c r="BI136" s="2"/>
    </row>
    <row r="137" ht="12.75" customHeight="1">
      <c r="A137" s="158" t="s">
        <v>974</v>
      </c>
      <c r="B137" s="71" t="s">
        <v>674</v>
      </c>
      <c r="C137" s="159"/>
      <c r="D137" s="160"/>
      <c r="E137" s="161" t="s">
        <v>525</v>
      </c>
      <c r="F137" s="135" t="s">
        <v>521</v>
      </c>
      <c r="G137" s="135" t="s">
        <v>523</v>
      </c>
      <c r="H137" s="136"/>
      <c r="I137" s="159" t="s">
        <v>524</v>
      </c>
      <c r="J137" s="136" t="s">
        <v>975</v>
      </c>
      <c r="K137" s="136" t="s">
        <v>860</v>
      </c>
      <c r="L137" s="162">
        <v>-1000000.0</v>
      </c>
      <c r="M137" s="5"/>
      <c r="N137" s="163">
        <v>0.0</v>
      </c>
      <c r="O137" s="163"/>
      <c r="P137" s="163">
        <v>0.0</v>
      </c>
      <c r="Q137" s="163"/>
      <c r="R137" s="141"/>
      <c r="S137" s="141"/>
      <c r="T137" s="141"/>
      <c r="U137" s="141"/>
      <c r="V137" s="141"/>
      <c r="W137" s="141"/>
      <c r="X137" s="142">
        <f t="shared" si="13"/>
        <v>0</v>
      </c>
      <c r="Y137" s="141"/>
      <c r="Z137" s="141"/>
      <c r="AA137" s="141"/>
      <c r="AB137" s="141"/>
      <c r="AC137" s="142">
        <f t="shared" si="14"/>
        <v>0</v>
      </c>
      <c r="AD137" s="141"/>
      <c r="AE137" s="141"/>
      <c r="AF137" s="141"/>
      <c r="AG137" s="141"/>
      <c r="AH137" s="141"/>
      <c r="AI137" s="142">
        <f t="shared" si="15"/>
        <v>0</v>
      </c>
      <c r="AJ137" s="141"/>
      <c r="AK137" s="141"/>
      <c r="AL137" s="141"/>
      <c r="AM137" s="141"/>
      <c r="AN137" s="141"/>
      <c r="AO137" s="141"/>
      <c r="AP137" s="142">
        <f t="shared" si="4"/>
        <v>0</v>
      </c>
      <c r="AQ137" s="141"/>
      <c r="AR137" s="141"/>
      <c r="AS137" s="141"/>
      <c r="AT137" s="141"/>
      <c r="AU137" s="141"/>
      <c r="AV137" s="141"/>
      <c r="AW137" s="141">
        <v>0.0</v>
      </c>
      <c r="AX137" s="142">
        <f t="shared" si="5"/>
        <v>0</v>
      </c>
      <c r="AY137" s="141"/>
      <c r="AZ137" s="141"/>
      <c r="BA137" s="141"/>
      <c r="BB137" s="141"/>
      <c r="BC137" s="141"/>
      <c r="BD137" s="121">
        <f t="shared" si="6"/>
        <v>0</v>
      </c>
      <c r="BE137" s="164"/>
      <c r="BF137" s="6">
        <f t="shared" si="7"/>
        <v>0</v>
      </c>
      <c r="BG137" s="124">
        <f t="shared" si="8"/>
        <v>0</v>
      </c>
      <c r="BH137" s="6"/>
      <c r="BI137" s="135"/>
    </row>
    <row r="138" ht="12.75" customHeight="1">
      <c r="A138" s="71">
        <v>87.0</v>
      </c>
      <c r="B138" s="71"/>
      <c r="C138" s="11">
        <v>45392.0</v>
      </c>
      <c r="D138" s="11"/>
      <c r="E138" s="2" t="s">
        <v>526</v>
      </c>
      <c r="F138" s="2" t="s">
        <v>527</v>
      </c>
      <c r="G138" s="2" t="s">
        <v>529</v>
      </c>
      <c r="H138" s="54"/>
      <c r="I138" s="11" t="s">
        <v>530</v>
      </c>
      <c r="J138" s="54" t="s">
        <v>976</v>
      </c>
      <c r="K138" s="54" t="s">
        <v>851</v>
      </c>
      <c r="L138" s="40">
        <v>1000000.0</v>
      </c>
      <c r="M138" s="5"/>
      <c r="N138" s="5">
        <v>1000000.0</v>
      </c>
      <c r="O138" s="5"/>
      <c r="P138" s="5">
        <v>1000000.0</v>
      </c>
      <c r="Q138" s="5"/>
      <c r="R138" s="6"/>
      <c r="S138" s="6"/>
      <c r="T138" s="6"/>
      <c r="U138" s="6"/>
      <c r="V138" s="6"/>
      <c r="W138" s="6"/>
      <c r="X138" s="121">
        <f t="shared" si="13"/>
        <v>0</v>
      </c>
      <c r="Y138" s="6"/>
      <c r="Z138" s="6"/>
      <c r="AA138" s="6"/>
      <c r="AB138" s="6"/>
      <c r="AC138" s="121">
        <f t="shared" si="14"/>
        <v>0</v>
      </c>
      <c r="AD138" s="6"/>
      <c r="AE138" s="6"/>
      <c r="AF138" s="6"/>
      <c r="AG138" s="6"/>
      <c r="AH138" s="6"/>
      <c r="AI138" s="121">
        <f t="shared" si="15"/>
        <v>0</v>
      </c>
      <c r="AJ138" s="6"/>
      <c r="AK138" s="122"/>
      <c r="AL138" s="6"/>
      <c r="AM138" s="6"/>
      <c r="AN138" s="6">
        <v>200000.0</v>
      </c>
      <c r="AO138" s="6"/>
      <c r="AP138" s="121">
        <f t="shared" si="4"/>
        <v>200000</v>
      </c>
      <c r="AQ138" s="6">
        <v>300000.0</v>
      </c>
      <c r="AR138" s="6">
        <v>500000.0</v>
      </c>
      <c r="AS138" s="6"/>
      <c r="AT138" s="6"/>
      <c r="AU138" s="6"/>
      <c r="AV138" s="6"/>
      <c r="AW138" s="6">
        <v>0.0</v>
      </c>
      <c r="AX138" s="121">
        <f t="shared" si="5"/>
        <v>800000</v>
      </c>
      <c r="AY138" s="6"/>
      <c r="AZ138" s="6"/>
      <c r="BA138" s="6"/>
      <c r="BB138" s="6"/>
      <c r="BC138" s="6"/>
      <c r="BD138" s="121">
        <f t="shared" si="6"/>
        <v>0</v>
      </c>
      <c r="BE138" s="123"/>
      <c r="BF138" s="6">
        <f t="shared" si="7"/>
        <v>1000000</v>
      </c>
      <c r="BG138" s="124">
        <f t="shared" si="8"/>
        <v>0</v>
      </c>
      <c r="BH138" s="6"/>
      <c r="BI138" s="2"/>
    </row>
    <row r="139" ht="12.75" customHeight="1">
      <c r="A139" s="71">
        <v>88.0</v>
      </c>
      <c r="B139" s="71"/>
      <c r="C139" s="11">
        <v>45392.0</v>
      </c>
      <c r="D139" s="11"/>
      <c r="E139" s="2" t="s">
        <v>531</v>
      </c>
      <c r="F139" s="2" t="s">
        <v>532</v>
      </c>
      <c r="G139" s="2" t="s">
        <v>534</v>
      </c>
      <c r="H139" s="54"/>
      <c r="I139" s="11" t="s">
        <v>535</v>
      </c>
      <c r="J139" s="54" t="s">
        <v>977</v>
      </c>
      <c r="K139" s="54" t="s">
        <v>860</v>
      </c>
      <c r="L139" s="40">
        <v>500000.0</v>
      </c>
      <c r="M139" s="5"/>
      <c r="N139" s="5">
        <v>500000.0</v>
      </c>
      <c r="O139" s="5"/>
      <c r="P139" s="5">
        <v>500000.0</v>
      </c>
      <c r="Q139" s="5"/>
      <c r="R139" s="6"/>
      <c r="S139" s="6"/>
      <c r="T139" s="6"/>
      <c r="U139" s="6"/>
      <c r="V139" s="6"/>
      <c r="W139" s="6"/>
      <c r="X139" s="121">
        <f t="shared" si="13"/>
        <v>0</v>
      </c>
      <c r="Y139" s="6"/>
      <c r="Z139" s="6"/>
      <c r="AA139" s="6"/>
      <c r="AB139" s="6"/>
      <c r="AC139" s="121">
        <f t="shared" si="14"/>
        <v>0</v>
      </c>
      <c r="AD139" s="6"/>
      <c r="AE139" s="6"/>
      <c r="AF139" s="6"/>
      <c r="AG139" s="6"/>
      <c r="AH139" s="6"/>
      <c r="AI139" s="121">
        <f t="shared" si="15"/>
        <v>0</v>
      </c>
      <c r="AJ139" s="6"/>
      <c r="AK139" s="122"/>
      <c r="AL139" s="6"/>
      <c r="AM139" s="6"/>
      <c r="AN139" s="6">
        <v>250000.0</v>
      </c>
      <c r="AO139" s="6"/>
      <c r="AP139" s="121">
        <f t="shared" si="4"/>
        <v>250000</v>
      </c>
      <c r="AQ139" s="6">
        <v>250000.0</v>
      </c>
      <c r="AR139" s="6"/>
      <c r="AS139" s="6"/>
      <c r="AT139" s="6"/>
      <c r="AU139" s="6"/>
      <c r="AV139" s="6"/>
      <c r="AW139" s="6">
        <v>0.0</v>
      </c>
      <c r="AX139" s="121">
        <f t="shared" si="5"/>
        <v>250000</v>
      </c>
      <c r="AY139" s="6"/>
      <c r="AZ139" s="6"/>
      <c r="BA139" s="6"/>
      <c r="BB139" s="6"/>
      <c r="BC139" s="6"/>
      <c r="BD139" s="121">
        <f t="shared" si="6"/>
        <v>0</v>
      </c>
      <c r="BE139" s="123"/>
      <c r="BF139" s="6">
        <f t="shared" si="7"/>
        <v>500000</v>
      </c>
      <c r="BG139" s="124">
        <f t="shared" si="8"/>
        <v>0</v>
      </c>
      <c r="BH139" s="6"/>
      <c r="BI139" s="2"/>
    </row>
    <row r="140" ht="12.75" customHeight="1">
      <c r="A140" s="165" t="s">
        <v>978</v>
      </c>
      <c r="B140" s="165"/>
      <c r="C140" s="11">
        <v>45399.0</v>
      </c>
      <c r="D140" s="11"/>
      <c r="E140" s="2" t="s">
        <v>536</v>
      </c>
      <c r="F140" s="2" t="s">
        <v>537</v>
      </c>
      <c r="G140" s="2" t="s">
        <v>539</v>
      </c>
      <c r="H140" s="54"/>
      <c r="I140" s="11" t="s">
        <v>540</v>
      </c>
      <c r="J140" s="54" t="s">
        <v>979</v>
      </c>
      <c r="K140" s="54" t="s">
        <v>851</v>
      </c>
      <c r="L140" s="166">
        <v>1500000.0</v>
      </c>
      <c r="M140" s="5"/>
      <c r="N140" s="5">
        <v>1500000.0</v>
      </c>
      <c r="O140" s="5"/>
      <c r="P140" s="5">
        <v>1500000.0</v>
      </c>
      <c r="Q140" s="5"/>
      <c r="R140" s="6"/>
      <c r="S140" s="6"/>
      <c r="T140" s="6"/>
      <c r="U140" s="6"/>
      <c r="V140" s="6"/>
      <c r="W140" s="6"/>
      <c r="X140" s="121">
        <f t="shared" si="13"/>
        <v>0</v>
      </c>
      <c r="Y140" s="6"/>
      <c r="Z140" s="6"/>
      <c r="AA140" s="6"/>
      <c r="AB140" s="6"/>
      <c r="AC140" s="121">
        <f t="shared" si="14"/>
        <v>0</v>
      </c>
      <c r="AD140" s="6"/>
      <c r="AE140" s="6"/>
      <c r="AF140" s="6"/>
      <c r="AG140" s="6"/>
      <c r="AH140" s="6"/>
      <c r="AI140" s="121">
        <f t="shared" si="15"/>
        <v>0</v>
      </c>
      <c r="AJ140" s="6"/>
      <c r="AK140" s="122"/>
      <c r="AL140" s="6"/>
      <c r="AM140" s="6"/>
      <c r="AN140" s="6"/>
      <c r="AO140" s="6"/>
      <c r="AP140" s="121">
        <f t="shared" si="4"/>
        <v>0</v>
      </c>
      <c r="AQ140" s="6">
        <v>500000.0</v>
      </c>
      <c r="AR140" s="6">
        <v>200000.0</v>
      </c>
      <c r="AS140" s="6"/>
      <c r="AT140" s="6"/>
      <c r="AU140" s="6"/>
      <c r="AV140" s="6"/>
      <c r="AW140" s="6">
        <v>0.0</v>
      </c>
      <c r="AX140" s="121">
        <f t="shared" si="5"/>
        <v>700000</v>
      </c>
      <c r="AY140" s="6">
        <v>87844.0</v>
      </c>
      <c r="AZ140" s="6"/>
      <c r="BA140" s="6"/>
      <c r="BB140" s="6"/>
      <c r="BC140" s="6"/>
      <c r="BD140" s="121">
        <f t="shared" si="6"/>
        <v>87844</v>
      </c>
      <c r="BE140" s="123"/>
      <c r="BF140" s="6">
        <f t="shared" si="7"/>
        <v>787844</v>
      </c>
      <c r="BG140" s="124">
        <v>0.0</v>
      </c>
      <c r="BH140" s="6"/>
      <c r="BI140" s="2"/>
    </row>
    <row r="141" ht="12.75" customHeight="1">
      <c r="A141" s="167" t="s">
        <v>980</v>
      </c>
      <c r="B141" s="167"/>
      <c r="C141" s="159">
        <v>45727.0</v>
      </c>
      <c r="D141" s="159"/>
      <c r="E141" s="135" t="s">
        <v>541</v>
      </c>
      <c r="F141" s="135" t="s">
        <v>537</v>
      </c>
      <c r="G141" s="135" t="s">
        <v>539</v>
      </c>
      <c r="H141" s="136"/>
      <c r="I141" s="159" t="s">
        <v>540</v>
      </c>
      <c r="J141" s="136" t="s">
        <v>979</v>
      </c>
      <c r="K141" s="136" t="s">
        <v>851</v>
      </c>
      <c r="L141" s="168">
        <v>-1500000.0</v>
      </c>
      <c r="M141" s="163"/>
      <c r="N141" s="163">
        <v>-1500000.0</v>
      </c>
      <c r="O141" s="163"/>
      <c r="P141" s="163">
        <v>-1500000.0</v>
      </c>
      <c r="Q141" s="163"/>
      <c r="R141" s="141"/>
      <c r="S141" s="141"/>
      <c r="T141" s="141"/>
      <c r="U141" s="141"/>
      <c r="V141" s="141"/>
      <c r="W141" s="141"/>
      <c r="X141" s="142">
        <f t="shared" si="13"/>
        <v>0</v>
      </c>
      <c r="Y141" s="141"/>
      <c r="Z141" s="141"/>
      <c r="AA141" s="141"/>
      <c r="AB141" s="141"/>
      <c r="AC141" s="142">
        <f t="shared" si="14"/>
        <v>0</v>
      </c>
      <c r="AD141" s="141"/>
      <c r="AE141" s="141"/>
      <c r="AF141" s="141"/>
      <c r="AG141" s="141"/>
      <c r="AH141" s="141"/>
      <c r="AI141" s="142">
        <f t="shared" si="15"/>
        <v>0</v>
      </c>
      <c r="AJ141" s="141"/>
      <c r="AK141" s="141"/>
      <c r="AL141" s="141"/>
      <c r="AM141" s="141"/>
      <c r="AN141" s="141"/>
      <c r="AO141" s="141"/>
      <c r="AP141" s="142">
        <f t="shared" si="4"/>
        <v>0</v>
      </c>
      <c r="AQ141" s="141"/>
      <c r="AR141" s="141"/>
      <c r="AS141" s="141"/>
      <c r="AT141" s="141"/>
      <c r="AU141" s="141"/>
      <c r="AV141" s="141"/>
      <c r="AW141" s="141">
        <v>0.0</v>
      </c>
      <c r="AX141" s="142">
        <f t="shared" si="5"/>
        <v>0</v>
      </c>
      <c r="AY141" s="141"/>
      <c r="AZ141" s="141"/>
      <c r="BA141" s="141"/>
      <c r="BB141" s="141"/>
      <c r="BC141" s="141"/>
      <c r="BD141" s="121">
        <f t="shared" si="6"/>
        <v>0</v>
      </c>
      <c r="BE141" s="164"/>
      <c r="BF141" s="6">
        <f t="shared" si="7"/>
        <v>0</v>
      </c>
      <c r="BG141" s="124">
        <v>0.0</v>
      </c>
      <c r="BH141" s="6"/>
      <c r="BI141" s="135"/>
    </row>
    <row r="142" ht="12.75" customHeight="1">
      <c r="A142" s="165" t="s">
        <v>981</v>
      </c>
      <c r="B142" s="165"/>
      <c r="C142" s="11">
        <v>45729.0</v>
      </c>
      <c r="D142" s="11"/>
      <c r="E142" s="2" t="s">
        <v>542</v>
      </c>
      <c r="F142" s="2" t="s">
        <v>537</v>
      </c>
      <c r="G142" s="2" t="s">
        <v>539</v>
      </c>
      <c r="H142" s="54"/>
      <c r="I142" s="11" t="s">
        <v>540</v>
      </c>
      <c r="J142" s="54" t="s">
        <v>979</v>
      </c>
      <c r="K142" s="54" t="s">
        <v>851</v>
      </c>
      <c r="L142" s="166">
        <v>1260076.0</v>
      </c>
      <c r="M142" s="5"/>
      <c r="N142" s="5">
        <v>1260076.0</v>
      </c>
      <c r="O142" s="5"/>
      <c r="P142" s="5">
        <v>1260076.0</v>
      </c>
      <c r="Q142" s="5"/>
      <c r="R142" s="6"/>
      <c r="S142" s="6"/>
      <c r="T142" s="6"/>
      <c r="U142" s="6"/>
      <c r="V142" s="6"/>
      <c r="W142" s="6"/>
      <c r="X142" s="121"/>
      <c r="Y142" s="6"/>
      <c r="Z142" s="6"/>
      <c r="AA142" s="6"/>
      <c r="AB142" s="6"/>
      <c r="AC142" s="121"/>
      <c r="AD142" s="6"/>
      <c r="AE142" s="6"/>
      <c r="AF142" s="6"/>
      <c r="AG142" s="6"/>
      <c r="AH142" s="6"/>
      <c r="AI142" s="121"/>
      <c r="AJ142" s="6"/>
      <c r="AK142" s="6"/>
      <c r="AL142" s="6"/>
      <c r="AM142" s="6"/>
      <c r="AN142" s="6"/>
      <c r="AO142" s="6"/>
      <c r="AP142" s="121"/>
      <c r="AQ142" s="6"/>
      <c r="AR142" s="6"/>
      <c r="AS142" s="6"/>
      <c r="AT142" s="6"/>
      <c r="AU142" s="6"/>
      <c r="AV142" s="6"/>
      <c r="AW142" s="6">
        <v>0.0</v>
      </c>
      <c r="AX142" s="121"/>
      <c r="AY142" s="6"/>
      <c r="AZ142" s="6"/>
      <c r="BA142" s="6"/>
      <c r="BB142" s="6"/>
      <c r="BC142" s="6"/>
      <c r="BD142" s="121">
        <f t="shared" si="6"/>
        <v>0</v>
      </c>
      <c r="BE142" s="123"/>
      <c r="BF142" s="6">
        <f t="shared" si="7"/>
        <v>0</v>
      </c>
      <c r="BG142" s="124">
        <f>+N142-BF140-BF144</f>
        <v>0</v>
      </c>
      <c r="BH142" s="6"/>
      <c r="BI142" s="2"/>
    </row>
    <row r="143" ht="12.75" customHeight="1">
      <c r="A143" s="165" t="s">
        <v>981</v>
      </c>
      <c r="B143" s="165"/>
      <c r="C143" s="159">
        <v>45741.0</v>
      </c>
      <c r="D143" s="159"/>
      <c r="E143" s="135" t="s">
        <v>543</v>
      </c>
      <c r="F143" s="135" t="s">
        <v>537</v>
      </c>
      <c r="G143" s="135" t="s">
        <v>539</v>
      </c>
      <c r="H143" s="136"/>
      <c r="I143" s="159" t="s">
        <v>540</v>
      </c>
      <c r="J143" s="136" t="s">
        <v>979</v>
      </c>
      <c r="K143" s="136" t="s">
        <v>851</v>
      </c>
      <c r="L143" s="168">
        <v>-472232.0</v>
      </c>
      <c r="M143" s="163"/>
      <c r="N143" s="163">
        <v>-472232.0</v>
      </c>
      <c r="O143" s="163"/>
      <c r="P143" s="163">
        <v>-472232.0</v>
      </c>
      <c r="Q143" s="163"/>
      <c r="R143" s="141"/>
      <c r="S143" s="141"/>
      <c r="T143" s="141"/>
      <c r="U143" s="141"/>
      <c r="V143" s="141"/>
      <c r="W143" s="141"/>
      <c r="X143" s="142"/>
      <c r="Y143" s="141"/>
      <c r="Z143" s="141"/>
      <c r="AA143" s="141"/>
      <c r="AB143" s="141"/>
      <c r="AC143" s="142"/>
      <c r="AD143" s="141"/>
      <c r="AE143" s="141"/>
      <c r="AF143" s="141"/>
      <c r="AG143" s="141"/>
      <c r="AH143" s="141"/>
      <c r="AI143" s="142"/>
      <c r="AJ143" s="141"/>
      <c r="AK143" s="141"/>
      <c r="AL143" s="141"/>
      <c r="AM143" s="141"/>
      <c r="AN143" s="141"/>
      <c r="AO143" s="141"/>
      <c r="AP143" s="142"/>
      <c r="AQ143" s="141"/>
      <c r="AR143" s="141"/>
      <c r="AS143" s="141"/>
      <c r="AT143" s="141"/>
      <c r="AU143" s="141"/>
      <c r="AV143" s="141"/>
      <c r="AW143" s="141">
        <v>0.0</v>
      </c>
      <c r="AX143" s="142"/>
      <c r="AY143" s="141"/>
      <c r="AZ143" s="141"/>
      <c r="BA143" s="141"/>
      <c r="BB143" s="141"/>
      <c r="BC143" s="141"/>
      <c r="BD143" s="121">
        <f t="shared" si="6"/>
        <v>0</v>
      </c>
      <c r="BE143" s="164"/>
      <c r="BF143" s="6">
        <f t="shared" si="7"/>
        <v>0</v>
      </c>
      <c r="BG143" s="124">
        <v>0.0</v>
      </c>
      <c r="BH143" s="6"/>
      <c r="BI143" s="135"/>
    </row>
    <row r="144" ht="12.75" customHeight="1">
      <c r="A144" s="165" t="s">
        <v>978</v>
      </c>
      <c r="B144" s="165"/>
      <c r="C144" s="11">
        <v>45399.0</v>
      </c>
      <c r="D144" s="11"/>
      <c r="E144" s="2" t="s">
        <v>536</v>
      </c>
      <c r="F144" s="2" t="s">
        <v>537</v>
      </c>
      <c r="G144" s="2" t="s">
        <v>539</v>
      </c>
      <c r="H144" s="54"/>
      <c r="I144" s="11" t="s">
        <v>540</v>
      </c>
      <c r="J144" s="54" t="s">
        <v>982</v>
      </c>
      <c r="K144" s="54" t="s">
        <v>851</v>
      </c>
      <c r="L144" s="166">
        <v>472232.0</v>
      </c>
      <c r="M144" s="5"/>
      <c r="N144" s="5">
        <v>472232.0</v>
      </c>
      <c r="O144" s="5"/>
      <c r="P144" s="5">
        <v>472232.0</v>
      </c>
      <c r="Q144" s="5"/>
      <c r="R144" s="6"/>
      <c r="S144" s="6"/>
      <c r="T144" s="6"/>
      <c r="U144" s="6"/>
      <c r="V144" s="6"/>
      <c r="W144" s="6"/>
      <c r="X144" s="121">
        <f t="shared" ref="X144:X145" si="17">SUM(S144:W144)</f>
        <v>0</v>
      </c>
      <c r="Y144" s="6"/>
      <c r="Z144" s="6"/>
      <c r="AA144" s="6"/>
      <c r="AB144" s="6"/>
      <c r="AC144" s="121">
        <f t="shared" ref="AC144:AC145" si="18">SUM(Y144:AB144)</f>
        <v>0</v>
      </c>
      <c r="AD144" s="6"/>
      <c r="AE144" s="6"/>
      <c r="AF144" s="6"/>
      <c r="AG144" s="6"/>
      <c r="AH144" s="6"/>
      <c r="AI144" s="121">
        <f t="shared" ref="AI144:AI145" si="19">SUM(AD144:AH144)</f>
        <v>0</v>
      </c>
      <c r="AJ144" s="6"/>
      <c r="AK144" s="122"/>
      <c r="AL144" s="6"/>
      <c r="AM144" s="6"/>
      <c r="AN144" s="6">
        <v>472232.0</v>
      </c>
      <c r="AO144" s="6"/>
      <c r="AP144" s="121">
        <f t="shared" ref="AP144:AP145" si="20">SUM(AJ144:AO144)</f>
        <v>472232</v>
      </c>
      <c r="AQ144" s="6"/>
      <c r="AR144" s="6"/>
      <c r="AS144" s="6"/>
      <c r="AT144" s="6"/>
      <c r="AU144" s="6"/>
      <c r="AV144" s="6"/>
      <c r="AW144" s="6">
        <v>0.0</v>
      </c>
      <c r="AX144" s="121">
        <f t="shared" ref="AX144:AX145" si="21">SUM(AQ144:AW144)</f>
        <v>0</v>
      </c>
      <c r="AY144" s="6"/>
      <c r="AZ144" s="6"/>
      <c r="BA144" s="6"/>
      <c r="BB144" s="6"/>
      <c r="BC144" s="6"/>
      <c r="BD144" s="121">
        <f t="shared" si="6"/>
        <v>0</v>
      </c>
      <c r="BE144" s="123"/>
      <c r="BF144" s="6">
        <f t="shared" si="7"/>
        <v>472232</v>
      </c>
      <c r="BG144" s="124">
        <f>+N144-BF144</f>
        <v>0</v>
      </c>
      <c r="BH144" s="6"/>
      <c r="BI144" s="2"/>
    </row>
    <row r="145" ht="12.75" customHeight="1">
      <c r="A145" s="167" t="s">
        <v>980</v>
      </c>
      <c r="B145" s="167"/>
      <c r="C145" s="159">
        <v>45727.0</v>
      </c>
      <c r="D145" s="159"/>
      <c r="E145" s="135" t="s">
        <v>541</v>
      </c>
      <c r="F145" s="135" t="s">
        <v>537</v>
      </c>
      <c r="G145" s="135" t="s">
        <v>539</v>
      </c>
      <c r="H145" s="136"/>
      <c r="I145" s="159" t="s">
        <v>540</v>
      </c>
      <c r="J145" s="136" t="s">
        <v>982</v>
      </c>
      <c r="K145" s="136" t="s">
        <v>851</v>
      </c>
      <c r="L145" s="168">
        <v>-472232.0</v>
      </c>
      <c r="M145" s="163"/>
      <c r="N145" s="163">
        <v>-472232.0</v>
      </c>
      <c r="O145" s="163"/>
      <c r="P145" s="163">
        <v>-472232.0</v>
      </c>
      <c r="Q145" s="163"/>
      <c r="R145" s="141"/>
      <c r="S145" s="141"/>
      <c r="T145" s="141"/>
      <c r="U145" s="141"/>
      <c r="V145" s="141"/>
      <c r="W145" s="141"/>
      <c r="X145" s="142">
        <f t="shared" si="17"/>
        <v>0</v>
      </c>
      <c r="Y145" s="141"/>
      <c r="Z145" s="141"/>
      <c r="AA145" s="141"/>
      <c r="AB145" s="141"/>
      <c r="AC145" s="142">
        <f t="shared" si="18"/>
        <v>0</v>
      </c>
      <c r="AD145" s="141"/>
      <c r="AE145" s="141"/>
      <c r="AF145" s="141"/>
      <c r="AG145" s="141"/>
      <c r="AH145" s="141"/>
      <c r="AI145" s="142">
        <f t="shared" si="19"/>
        <v>0</v>
      </c>
      <c r="AJ145" s="141"/>
      <c r="AK145" s="141"/>
      <c r="AL145" s="141"/>
      <c r="AM145" s="141"/>
      <c r="AN145" s="141"/>
      <c r="AO145" s="141"/>
      <c r="AP145" s="142">
        <f t="shared" si="20"/>
        <v>0</v>
      </c>
      <c r="AQ145" s="141"/>
      <c r="AR145" s="141"/>
      <c r="AS145" s="141"/>
      <c r="AT145" s="141"/>
      <c r="AU145" s="141"/>
      <c r="AV145" s="141"/>
      <c r="AW145" s="141">
        <v>0.0</v>
      </c>
      <c r="AX145" s="142">
        <f t="shared" si="21"/>
        <v>0</v>
      </c>
      <c r="AY145" s="141"/>
      <c r="AZ145" s="141"/>
      <c r="BA145" s="141"/>
      <c r="BB145" s="141"/>
      <c r="BC145" s="141"/>
      <c r="BD145" s="121">
        <f t="shared" si="6"/>
        <v>0</v>
      </c>
      <c r="BE145" s="164"/>
      <c r="BF145" s="6">
        <f t="shared" si="7"/>
        <v>0</v>
      </c>
      <c r="BG145" s="124">
        <v>0.0</v>
      </c>
      <c r="BH145" s="6"/>
      <c r="BI145" s="135"/>
    </row>
    <row r="146" ht="12.75" customHeight="1">
      <c r="A146" s="165" t="s">
        <v>981</v>
      </c>
      <c r="B146" s="165"/>
      <c r="C146" s="11">
        <v>45741.0</v>
      </c>
      <c r="D146" s="11"/>
      <c r="E146" s="2" t="s">
        <v>543</v>
      </c>
      <c r="F146" s="2" t="s">
        <v>537</v>
      </c>
      <c r="G146" s="2" t="s">
        <v>539</v>
      </c>
      <c r="H146" s="54"/>
      <c r="I146" s="11" t="s">
        <v>540</v>
      </c>
      <c r="J146" s="54" t="s">
        <v>982</v>
      </c>
      <c r="K146" s="54" t="s">
        <v>851</v>
      </c>
      <c r="L146" s="166">
        <v>472232.0</v>
      </c>
      <c r="M146" s="5"/>
      <c r="N146" s="5">
        <v>472232.0</v>
      </c>
      <c r="O146" s="5"/>
      <c r="P146" s="5">
        <v>472232.0</v>
      </c>
      <c r="Q146" s="5"/>
      <c r="R146" s="6"/>
      <c r="S146" s="6"/>
      <c r="T146" s="6"/>
      <c r="U146" s="6"/>
      <c r="V146" s="6"/>
      <c r="W146" s="6"/>
      <c r="X146" s="121"/>
      <c r="Y146" s="6"/>
      <c r="Z146" s="6"/>
      <c r="AA146" s="6"/>
      <c r="AB146" s="6"/>
      <c r="AC146" s="121"/>
      <c r="AD146" s="6"/>
      <c r="AE146" s="6"/>
      <c r="AF146" s="6"/>
      <c r="AG146" s="6"/>
      <c r="AH146" s="6"/>
      <c r="AI146" s="121"/>
      <c r="AJ146" s="6"/>
      <c r="AK146" s="6"/>
      <c r="AL146" s="6"/>
      <c r="AM146" s="6"/>
      <c r="AN146" s="6"/>
      <c r="AO146" s="6"/>
      <c r="AP146" s="121"/>
      <c r="AQ146" s="6"/>
      <c r="AR146" s="6"/>
      <c r="AS146" s="6"/>
      <c r="AT146" s="6"/>
      <c r="AU146" s="6"/>
      <c r="AV146" s="6"/>
      <c r="AW146" s="6">
        <v>0.0</v>
      </c>
      <c r="AX146" s="121"/>
      <c r="AY146" s="6"/>
      <c r="AZ146" s="6"/>
      <c r="BA146" s="6"/>
      <c r="BB146" s="6"/>
      <c r="BC146" s="6"/>
      <c r="BD146" s="121">
        <f t="shared" si="6"/>
        <v>0</v>
      </c>
      <c r="BE146" s="123"/>
      <c r="BF146" s="6">
        <f t="shared" si="7"/>
        <v>0</v>
      </c>
      <c r="BG146" s="124">
        <v>0.0</v>
      </c>
      <c r="BH146" s="6"/>
      <c r="BI146" s="2"/>
    </row>
    <row r="147" ht="12.75" customHeight="1">
      <c r="A147" s="71">
        <v>90.0</v>
      </c>
      <c r="B147" s="71"/>
      <c r="C147" s="11">
        <v>45470.0</v>
      </c>
      <c r="D147" s="11"/>
      <c r="E147" s="2" t="s">
        <v>544</v>
      </c>
      <c r="F147" s="2" t="s">
        <v>545</v>
      </c>
      <c r="G147" s="2" t="s">
        <v>547</v>
      </c>
      <c r="H147" s="54"/>
      <c r="I147" s="11" t="s">
        <v>548</v>
      </c>
      <c r="J147" s="54" t="s">
        <v>983</v>
      </c>
      <c r="K147" s="54" t="s">
        <v>860</v>
      </c>
      <c r="L147" s="40">
        <v>2025256.87</v>
      </c>
      <c r="M147" s="5"/>
      <c r="N147" s="5">
        <v>2025256.87</v>
      </c>
      <c r="O147" s="5"/>
      <c r="P147" s="5">
        <v>2025256.87</v>
      </c>
      <c r="Q147" s="5"/>
      <c r="R147" s="6"/>
      <c r="S147" s="6"/>
      <c r="T147" s="6"/>
      <c r="U147" s="6"/>
      <c r="V147" s="6"/>
      <c r="W147" s="6"/>
      <c r="X147" s="121">
        <f t="shared" ref="X147:X192" si="22">SUM(S147:W147)</f>
        <v>0</v>
      </c>
      <c r="Y147" s="6"/>
      <c r="Z147" s="6"/>
      <c r="AA147" s="6"/>
      <c r="AB147" s="6"/>
      <c r="AC147" s="121">
        <f t="shared" ref="AC147:AC192" si="23">SUM(Y147:AB147)</f>
        <v>0</v>
      </c>
      <c r="AD147" s="6"/>
      <c r="AE147" s="6"/>
      <c r="AF147" s="6"/>
      <c r="AG147" s="6"/>
      <c r="AH147" s="6"/>
      <c r="AI147" s="121">
        <f t="shared" ref="AI147:AI192" si="24">SUM(AD147:AH147)</f>
        <v>0</v>
      </c>
      <c r="AJ147" s="6"/>
      <c r="AK147" s="122"/>
      <c r="AL147" s="6"/>
      <c r="AM147" s="6"/>
      <c r="AN147" s="6"/>
      <c r="AO147" s="6"/>
      <c r="AP147" s="121">
        <f t="shared" ref="AP147:AP192" si="25">SUM(AJ147:AO147)</f>
        <v>0</v>
      </c>
      <c r="AQ147" s="6"/>
      <c r="AR147" s="6">
        <v>1000000.0</v>
      </c>
      <c r="AS147" s="6"/>
      <c r="AT147" s="6">
        <v>1025256.87</v>
      </c>
      <c r="AU147" s="6"/>
      <c r="AV147" s="6"/>
      <c r="AW147" s="6">
        <v>0.0</v>
      </c>
      <c r="AX147" s="121">
        <f t="shared" ref="AX147:AX192" si="26">SUM(AQ147:AW147)</f>
        <v>2025256.87</v>
      </c>
      <c r="AY147" s="6"/>
      <c r="AZ147" s="6"/>
      <c r="BA147" s="6"/>
      <c r="BB147" s="6"/>
      <c r="BC147" s="6"/>
      <c r="BD147" s="121">
        <f t="shared" si="6"/>
        <v>0</v>
      </c>
      <c r="BE147" s="123"/>
      <c r="BF147" s="6">
        <f t="shared" si="7"/>
        <v>2025256.87</v>
      </c>
      <c r="BG147" s="124">
        <f t="shared" ref="BG147:BG207" si="27">+N147-BF147</f>
        <v>0</v>
      </c>
      <c r="BH147" s="6"/>
      <c r="BI147" s="2"/>
    </row>
    <row r="148" ht="12.75" customHeight="1">
      <c r="A148" s="71">
        <v>90.0</v>
      </c>
      <c r="B148" s="71"/>
      <c r="C148" s="11">
        <v>45470.0</v>
      </c>
      <c r="D148" s="11"/>
      <c r="E148" s="2" t="s">
        <v>544</v>
      </c>
      <c r="F148" s="2" t="s">
        <v>545</v>
      </c>
      <c r="G148" s="2" t="s">
        <v>547</v>
      </c>
      <c r="H148" s="54"/>
      <c r="I148" s="11" t="s">
        <v>548</v>
      </c>
      <c r="J148" s="54" t="s">
        <v>984</v>
      </c>
      <c r="K148" s="54" t="s">
        <v>860</v>
      </c>
      <c r="L148" s="40">
        <v>188138.62</v>
      </c>
      <c r="M148" s="5"/>
      <c r="N148" s="5">
        <v>188138.62</v>
      </c>
      <c r="O148" s="5"/>
      <c r="P148" s="5">
        <v>188138.62</v>
      </c>
      <c r="Q148" s="5"/>
      <c r="R148" s="6"/>
      <c r="S148" s="6"/>
      <c r="T148" s="6"/>
      <c r="U148" s="6"/>
      <c r="V148" s="6"/>
      <c r="W148" s="6"/>
      <c r="X148" s="121">
        <f t="shared" si="22"/>
        <v>0</v>
      </c>
      <c r="Y148" s="6"/>
      <c r="Z148" s="6"/>
      <c r="AA148" s="6"/>
      <c r="AB148" s="6"/>
      <c r="AC148" s="121">
        <f t="shared" si="23"/>
        <v>0</v>
      </c>
      <c r="AD148" s="6"/>
      <c r="AE148" s="6"/>
      <c r="AF148" s="6"/>
      <c r="AG148" s="6"/>
      <c r="AH148" s="6"/>
      <c r="AI148" s="121">
        <f t="shared" si="24"/>
        <v>0</v>
      </c>
      <c r="AJ148" s="6"/>
      <c r="AK148" s="122"/>
      <c r="AL148" s="6"/>
      <c r="AM148" s="6"/>
      <c r="AN148" s="6"/>
      <c r="AO148" s="6"/>
      <c r="AP148" s="121">
        <f t="shared" si="25"/>
        <v>0</v>
      </c>
      <c r="AQ148" s="6"/>
      <c r="AR148" s="6">
        <v>188138.62</v>
      </c>
      <c r="AS148" s="6"/>
      <c r="AT148" s="6"/>
      <c r="AU148" s="6"/>
      <c r="AV148" s="6"/>
      <c r="AW148" s="6">
        <v>0.0</v>
      </c>
      <c r="AX148" s="121">
        <f t="shared" si="26"/>
        <v>188138.62</v>
      </c>
      <c r="AY148" s="6"/>
      <c r="AZ148" s="6"/>
      <c r="BA148" s="6"/>
      <c r="BB148" s="6"/>
      <c r="BC148" s="6"/>
      <c r="BD148" s="121">
        <f t="shared" si="6"/>
        <v>0</v>
      </c>
      <c r="BE148" s="123"/>
      <c r="BF148" s="6">
        <f t="shared" si="7"/>
        <v>188138.62</v>
      </c>
      <c r="BG148" s="124">
        <f t="shared" si="27"/>
        <v>0</v>
      </c>
      <c r="BH148" s="6"/>
      <c r="BI148" s="2"/>
    </row>
    <row r="149" ht="12.75" customHeight="1">
      <c r="A149" s="71">
        <v>90.0</v>
      </c>
      <c r="B149" s="71"/>
      <c r="C149" s="11">
        <v>45470.0</v>
      </c>
      <c r="D149" s="11"/>
      <c r="E149" s="2" t="s">
        <v>544</v>
      </c>
      <c r="F149" s="2" t="s">
        <v>545</v>
      </c>
      <c r="G149" s="2" t="s">
        <v>547</v>
      </c>
      <c r="H149" s="54"/>
      <c r="I149" s="11" t="s">
        <v>548</v>
      </c>
      <c r="J149" s="54" t="s">
        <v>985</v>
      </c>
      <c r="K149" s="54" t="s">
        <v>860</v>
      </c>
      <c r="L149" s="40">
        <v>622945.71</v>
      </c>
      <c r="M149" s="5"/>
      <c r="N149" s="5">
        <v>622945.71</v>
      </c>
      <c r="O149" s="5"/>
      <c r="P149" s="5">
        <v>622945.71</v>
      </c>
      <c r="Q149" s="5"/>
      <c r="R149" s="6"/>
      <c r="S149" s="6"/>
      <c r="T149" s="6"/>
      <c r="U149" s="6"/>
      <c r="V149" s="6"/>
      <c r="W149" s="6"/>
      <c r="X149" s="121">
        <f t="shared" si="22"/>
        <v>0</v>
      </c>
      <c r="Y149" s="6"/>
      <c r="Z149" s="6"/>
      <c r="AA149" s="6"/>
      <c r="AB149" s="6"/>
      <c r="AC149" s="121">
        <f t="shared" si="23"/>
        <v>0</v>
      </c>
      <c r="AD149" s="6"/>
      <c r="AE149" s="6"/>
      <c r="AF149" s="6"/>
      <c r="AG149" s="6"/>
      <c r="AH149" s="6"/>
      <c r="AI149" s="121">
        <f t="shared" si="24"/>
        <v>0</v>
      </c>
      <c r="AJ149" s="6"/>
      <c r="AK149" s="122"/>
      <c r="AL149" s="6"/>
      <c r="AM149" s="6"/>
      <c r="AN149" s="6"/>
      <c r="AO149" s="6"/>
      <c r="AP149" s="121">
        <f t="shared" si="25"/>
        <v>0</v>
      </c>
      <c r="AQ149" s="6">
        <v>300000.0</v>
      </c>
      <c r="AR149" s="6">
        <v>322945.71</v>
      </c>
      <c r="AS149" s="6"/>
      <c r="AT149" s="6"/>
      <c r="AU149" s="6"/>
      <c r="AV149" s="6"/>
      <c r="AW149" s="6">
        <v>0.0</v>
      </c>
      <c r="AX149" s="121">
        <f t="shared" si="26"/>
        <v>622945.71</v>
      </c>
      <c r="AY149" s="6"/>
      <c r="AZ149" s="6"/>
      <c r="BA149" s="6"/>
      <c r="BB149" s="6"/>
      <c r="BC149" s="6"/>
      <c r="BD149" s="121">
        <f t="shared" si="6"/>
        <v>0</v>
      </c>
      <c r="BE149" s="123"/>
      <c r="BF149" s="6">
        <f t="shared" si="7"/>
        <v>622945.71</v>
      </c>
      <c r="BG149" s="124">
        <f t="shared" si="27"/>
        <v>0</v>
      </c>
      <c r="BH149" s="6"/>
      <c r="BI149" s="2"/>
    </row>
    <row r="150" ht="12.75" customHeight="1">
      <c r="A150" s="71">
        <v>90.0</v>
      </c>
      <c r="B150" s="71"/>
      <c r="C150" s="11">
        <v>45470.0</v>
      </c>
      <c r="D150" s="11"/>
      <c r="E150" s="2" t="s">
        <v>544</v>
      </c>
      <c r="F150" s="2" t="s">
        <v>545</v>
      </c>
      <c r="G150" s="2" t="s">
        <v>547</v>
      </c>
      <c r="H150" s="54"/>
      <c r="I150" s="11" t="s">
        <v>548</v>
      </c>
      <c r="J150" s="54" t="s">
        <v>986</v>
      </c>
      <c r="K150" s="54" t="s">
        <v>860</v>
      </c>
      <c r="L150" s="40">
        <v>57869.27</v>
      </c>
      <c r="M150" s="5"/>
      <c r="N150" s="5">
        <v>57869.27</v>
      </c>
      <c r="O150" s="5"/>
      <c r="P150" s="5">
        <v>57869.27</v>
      </c>
      <c r="Q150" s="5"/>
      <c r="R150" s="6"/>
      <c r="S150" s="6"/>
      <c r="T150" s="6"/>
      <c r="U150" s="6"/>
      <c r="V150" s="6"/>
      <c r="W150" s="6"/>
      <c r="X150" s="121">
        <f t="shared" si="22"/>
        <v>0</v>
      </c>
      <c r="Y150" s="6"/>
      <c r="Z150" s="6"/>
      <c r="AA150" s="6"/>
      <c r="AB150" s="6"/>
      <c r="AC150" s="121">
        <f t="shared" si="23"/>
        <v>0</v>
      </c>
      <c r="AD150" s="6"/>
      <c r="AE150" s="6"/>
      <c r="AF150" s="6"/>
      <c r="AG150" s="6"/>
      <c r="AH150" s="6"/>
      <c r="AI150" s="121">
        <f t="shared" si="24"/>
        <v>0</v>
      </c>
      <c r="AJ150" s="6"/>
      <c r="AK150" s="122"/>
      <c r="AL150" s="6"/>
      <c r="AM150" s="6"/>
      <c r="AN150" s="6"/>
      <c r="AO150" s="6"/>
      <c r="AP150" s="121">
        <f t="shared" si="25"/>
        <v>0</v>
      </c>
      <c r="AQ150" s="6">
        <v>57869.27</v>
      </c>
      <c r="AR150" s="6"/>
      <c r="AS150" s="6"/>
      <c r="AT150" s="6"/>
      <c r="AU150" s="6"/>
      <c r="AV150" s="6"/>
      <c r="AW150" s="6">
        <v>0.0</v>
      </c>
      <c r="AX150" s="121">
        <f t="shared" si="26"/>
        <v>57869.27</v>
      </c>
      <c r="AY150" s="6"/>
      <c r="AZ150" s="6"/>
      <c r="BA150" s="6"/>
      <c r="BB150" s="6"/>
      <c r="BC150" s="6"/>
      <c r="BD150" s="121">
        <f t="shared" si="6"/>
        <v>0</v>
      </c>
      <c r="BE150" s="123"/>
      <c r="BF150" s="6">
        <f t="shared" si="7"/>
        <v>57869.27</v>
      </c>
      <c r="BG150" s="124">
        <f t="shared" si="27"/>
        <v>0</v>
      </c>
      <c r="BH150" s="6"/>
      <c r="BI150" s="2"/>
    </row>
    <row r="151" ht="12.75" customHeight="1">
      <c r="A151" s="71">
        <v>91.0</v>
      </c>
      <c r="B151" s="71"/>
      <c r="C151" s="11">
        <v>45454.0</v>
      </c>
      <c r="D151" s="11"/>
      <c r="E151" s="2" t="s">
        <v>549</v>
      </c>
      <c r="F151" s="2" t="s">
        <v>550</v>
      </c>
      <c r="G151" s="2" t="s">
        <v>552</v>
      </c>
      <c r="H151" s="54"/>
      <c r="I151" s="11" t="s">
        <v>553</v>
      </c>
      <c r="J151" s="54" t="s">
        <v>987</v>
      </c>
      <c r="K151" s="54" t="s">
        <v>851</v>
      </c>
      <c r="L151" s="40">
        <v>1357305.89</v>
      </c>
      <c r="M151" s="5"/>
      <c r="N151" s="5">
        <v>1357305.89</v>
      </c>
      <c r="O151" s="5"/>
      <c r="P151" s="5">
        <v>1357305.89</v>
      </c>
      <c r="Q151" s="5"/>
      <c r="R151" s="6"/>
      <c r="S151" s="6"/>
      <c r="T151" s="6"/>
      <c r="U151" s="6"/>
      <c r="V151" s="6"/>
      <c r="W151" s="6"/>
      <c r="X151" s="121">
        <f t="shared" si="22"/>
        <v>0</v>
      </c>
      <c r="Y151" s="6"/>
      <c r="Z151" s="6"/>
      <c r="AA151" s="6"/>
      <c r="AB151" s="6"/>
      <c r="AC151" s="121">
        <f t="shared" si="23"/>
        <v>0</v>
      </c>
      <c r="AD151" s="6"/>
      <c r="AE151" s="6"/>
      <c r="AF151" s="6"/>
      <c r="AG151" s="6"/>
      <c r="AH151" s="6"/>
      <c r="AI151" s="121">
        <f t="shared" si="24"/>
        <v>0</v>
      </c>
      <c r="AJ151" s="6"/>
      <c r="AK151" s="122"/>
      <c r="AL151" s="6"/>
      <c r="AM151" s="6"/>
      <c r="AN151" s="6"/>
      <c r="AO151" s="6">
        <v>1357305.89</v>
      </c>
      <c r="AP151" s="121">
        <f t="shared" si="25"/>
        <v>1357305.89</v>
      </c>
      <c r="AQ151" s="6"/>
      <c r="AR151" s="6"/>
      <c r="AS151" s="6"/>
      <c r="AT151" s="6"/>
      <c r="AU151" s="6"/>
      <c r="AV151" s="6"/>
      <c r="AW151" s="6">
        <v>0.0</v>
      </c>
      <c r="AX151" s="121">
        <f t="shared" si="26"/>
        <v>0</v>
      </c>
      <c r="AY151" s="6"/>
      <c r="AZ151" s="6"/>
      <c r="BA151" s="6"/>
      <c r="BB151" s="6"/>
      <c r="BC151" s="6"/>
      <c r="BD151" s="121">
        <f t="shared" si="6"/>
        <v>0</v>
      </c>
      <c r="BE151" s="123"/>
      <c r="BF151" s="6">
        <f t="shared" si="7"/>
        <v>1357305.89</v>
      </c>
      <c r="BG151" s="124">
        <f t="shared" si="27"/>
        <v>0</v>
      </c>
      <c r="BH151" s="6"/>
      <c r="BI151" s="2"/>
    </row>
    <row r="152" ht="12.75" customHeight="1">
      <c r="A152" s="71">
        <v>91.0</v>
      </c>
      <c r="B152" s="71"/>
      <c r="C152" s="11">
        <v>45454.0</v>
      </c>
      <c r="D152" s="11"/>
      <c r="E152" s="2" t="s">
        <v>549</v>
      </c>
      <c r="F152" s="2" t="s">
        <v>550</v>
      </c>
      <c r="G152" s="2" t="s">
        <v>552</v>
      </c>
      <c r="H152" s="54"/>
      <c r="I152" s="11" t="s">
        <v>553</v>
      </c>
      <c r="J152" s="54" t="s">
        <v>988</v>
      </c>
      <c r="K152" s="54" t="s">
        <v>851</v>
      </c>
      <c r="L152" s="40">
        <v>263495.86</v>
      </c>
      <c r="M152" s="5"/>
      <c r="N152" s="5">
        <v>263495.86</v>
      </c>
      <c r="O152" s="5"/>
      <c r="P152" s="5">
        <v>263495.86</v>
      </c>
      <c r="Q152" s="5"/>
      <c r="R152" s="6"/>
      <c r="S152" s="6"/>
      <c r="T152" s="6"/>
      <c r="U152" s="6"/>
      <c r="V152" s="6"/>
      <c r="W152" s="6"/>
      <c r="X152" s="121">
        <f t="shared" si="22"/>
        <v>0</v>
      </c>
      <c r="Y152" s="6"/>
      <c r="Z152" s="6"/>
      <c r="AA152" s="6"/>
      <c r="AB152" s="6"/>
      <c r="AC152" s="121">
        <f t="shared" si="23"/>
        <v>0</v>
      </c>
      <c r="AD152" s="6"/>
      <c r="AE152" s="6"/>
      <c r="AF152" s="6"/>
      <c r="AG152" s="6"/>
      <c r="AH152" s="6"/>
      <c r="AI152" s="121">
        <f t="shared" si="24"/>
        <v>0</v>
      </c>
      <c r="AJ152" s="6"/>
      <c r="AK152" s="122"/>
      <c r="AL152" s="6"/>
      <c r="AM152" s="6"/>
      <c r="AN152" s="6"/>
      <c r="AO152" s="6">
        <v>263495.86</v>
      </c>
      <c r="AP152" s="121">
        <f t="shared" si="25"/>
        <v>263495.86</v>
      </c>
      <c r="AQ152" s="6"/>
      <c r="AR152" s="6"/>
      <c r="AS152" s="6"/>
      <c r="AT152" s="6"/>
      <c r="AU152" s="6"/>
      <c r="AV152" s="6"/>
      <c r="AW152" s="6">
        <v>0.0</v>
      </c>
      <c r="AX152" s="121">
        <f t="shared" si="26"/>
        <v>0</v>
      </c>
      <c r="AY152" s="6"/>
      <c r="AZ152" s="6"/>
      <c r="BA152" s="6"/>
      <c r="BB152" s="6"/>
      <c r="BC152" s="6"/>
      <c r="BD152" s="121">
        <f t="shared" si="6"/>
        <v>0</v>
      </c>
      <c r="BE152" s="123"/>
      <c r="BF152" s="6">
        <f t="shared" si="7"/>
        <v>263495.86</v>
      </c>
      <c r="BG152" s="124">
        <f t="shared" si="27"/>
        <v>0</v>
      </c>
      <c r="BH152" s="6"/>
      <c r="BI152" s="2"/>
    </row>
    <row r="153" ht="12.75" customHeight="1">
      <c r="A153" s="71">
        <v>92.0</v>
      </c>
      <c r="B153" s="71"/>
      <c r="C153" s="11">
        <v>45509.0</v>
      </c>
      <c r="D153" s="11"/>
      <c r="E153" s="2" t="s">
        <v>554</v>
      </c>
      <c r="F153" s="2" t="s">
        <v>555</v>
      </c>
      <c r="G153" s="2" t="s">
        <v>557</v>
      </c>
      <c r="H153" s="54"/>
      <c r="I153" s="11" t="s">
        <v>558</v>
      </c>
      <c r="J153" s="54" t="s">
        <v>989</v>
      </c>
      <c r="K153" s="54" t="s">
        <v>851</v>
      </c>
      <c r="L153" s="40">
        <v>500000.0</v>
      </c>
      <c r="M153" s="5"/>
      <c r="N153" s="5">
        <v>500000.0</v>
      </c>
      <c r="O153" s="5"/>
      <c r="P153" s="5">
        <v>500000.0</v>
      </c>
      <c r="Q153" s="5"/>
      <c r="R153" s="6"/>
      <c r="S153" s="6"/>
      <c r="T153" s="6"/>
      <c r="U153" s="6"/>
      <c r="V153" s="6"/>
      <c r="W153" s="6"/>
      <c r="X153" s="121">
        <f t="shared" si="22"/>
        <v>0</v>
      </c>
      <c r="Y153" s="6"/>
      <c r="Z153" s="6"/>
      <c r="AA153" s="6"/>
      <c r="AB153" s="6"/>
      <c r="AC153" s="121">
        <f t="shared" si="23"/>
        <v>0</v>
      </c>
      <c r="AD153" s="6"/>
      <c r="AE153" s="6"/>
      <c r="AF153" s="6"/>
      <c r="AG153" s="6"/>
      <c r="AH153" s="6"/>
      <c r="AI153" s="121">
        <f t="shared" si="24"/>
        <v>0</v>
      </c>
      <c r="AJ153" s="6"/>
      <c r="AK153" s="122"/>
      <c r="AL153" s="6"/>
      <c r="AM153" s="6"/>
      <c r="AN153" s="6"/>
      <c r="AO153" s="6"/>
      <c r="AP153" s="121">
        <f t="shared" si="25"/>
        <v>0</v>
      </c>
      <c r="AQ153" s="6">
        <v>500000.0</v>
      </c>
      <c r="AR153" s="6"/>
      <c r="AS153" s="6"/>
      <c r="AT153" s="6"/>
      <c r="AU153" s="6"/>
      <c r="AV153" s="6"/>
      <c r="AW153" s="6">
        <v>0.0</v>
      </c>
      <c r="AX153" s="121">
        <f t="shared" si="26"/>
        <v>500000</v>
      </c>
      <c r="AY153" s="6"/>
      <c r="AZ153" s="6"/>
      <c r="BA153" s="6"/>
      <c r="BB153" s="6"/>
      <c r="BC153" s="6"/>
      <c r="BD153" s="121">
        <f t="shared" si="6"/>
        <v>0</v>
      </c>
      <c r="BE153" s="123"/>
      <c r="BF153" s="6">
        <f t="shared" si="7"/>
        <v>500000</v>
      </c>
      <c r="BG153" s="124">
        <f t="shared" si="27"/>
        <v>0</v>
      </c>
      <c r="BH153" s="6"/>
      <c r="BI153" s="2"/>
    </row>
    <row r="154" ht="12.75" customHeight="1">
      <c r="A154" s="71">
        <v>93.0</v>
      </c>
      <c r="B154" s="71"/>
      <c r="C154" s="11">
        <v>45541.0</v>
      </c>
      <c r="D154" s="11"/>
      <c r="E154" s="2" t="s">
        <v>559</v>
      </c>
      <c r="F154" s="2" t="s">
        <v>560</v>
      </c>
      <c r="G154" s="2" t="s">
        <v>562</v>
      </c>
      <c r="H154" s="54"/>
      <c r="I154" s="11" t="s">
        <v>563</v>
      </c>
      <c r="J154" s="54" t="s">
        <v>990</v>
      </c>
      <c r="K154" s="54" t="s">
        <v>854</v>
      </c>
      <c r="L154" s="40">
        <v>250000.0</v>
      </c>
      <c r="M154" s="5"/>
      <c r="N154" s="5">
        <v>250000.0</v>
      </c>
      <c r="O154" s="5"/>
      <c r="P154" s="5">
        <v>250000.0</v>
      </c>
      <c r="Q154" s="5"/>
      <c r="R154" s="6"/>
      <c r="S154" s="6"/>
      <c r="T154" s="6"/>
      <c r="U154" s="6"/>
      <c r="V154" s="6"/>
      <c r="W154" s="6"/>
      <c r="X154" s="121">
        <f t="shared" si="22"/>
        <v>0</v>
      </c>
      <c r="Y154" s="6"/>
      <c r="Z154" s="6"/>
      <c r="AA154" s="6"/>
      <c r="AB154" s="6"/>
      <c r="AC154" s="121">
        <f t="shared" si="23"/>
        <v>0</v>
      </c>
      <c r="AD154" s="6"/>
      <c r="AE154" s="6"/>
      <c r="AF154" s="6"/>
      <c r="AG154" s="6"/>
      <c r="AH154" s="6"/>
      <c r="AI154" s="121">
        <f t="shared" si="24"/>
        <v>0</v>
      </c>
      <c r="AJ154" s="6"/>
      <c r="AK154" s="122"/>
      <c r="AL154" s="6"/>
      <c r="AM154" s="6"/>
      <c r="AN154" s="6"/>
      <c r="AO154" s="6"/>
      <c r="AP154" s="121">
        <f t="shared" si="25"/>
        <v>0</v>
      </c>
      <c r="AQ154" s="6">
        <v>250000.0</v>
      </c>
      <c r="AR154" s="6"/>
      <c r="AS154" s="6"/>
      <c r="AT154" s="6"/>
      <c r="AU154" s="6"/>
      <c r="AV154" s="6"/>
      <c r="AW154" s="6">
        <v>0.0</v>
      </c>
      <c r="AX154" s="121">
        <f t="shared" si="26"/>
        <v>250000</v>
      </c>
      <c r="AY154" s="6"/>
      <c r="AZ154" s="6"/>
      <c r="BA154" s="6"/>
      <c r="BB154" s="6"/>
      <c r="BC154" s="6"/>
      <c r="BD154" s="121">
        <f t="shared" si="6"/>
        <v>0</v>
      </c>
      <c r="BE154" s="123"/>
      <c r="BF154" s="6">
        <f t="shared" si="7"/>
        <v>250000</v>
      </c>
      <c r="BG154" s="124">
        <f t="shared" si="27"/>
        <v>0</v>
      </c>
      <c r="BH154" s="6"/>
      <c r="BI154" s="2"/>
    </row>
    <row r="155" ht="12.75" customHeight="1">
      <c r="A155" s="71">
        <v>93.0</v>
      </c>
      <c r="B155" s="71"/>
      <c r="C155" s="11">
        <v>45541.0</v>
      </c>
      <c r="D155" s="11"/>
      <c r="E155" s="2" t="s">
        <v>559</v>
      </c>
      <c r="F155" s="2" t="s">
        <v>560</v>
      </c>
      <c r="G155" s="2" t="s">
        <v>562</v>
      </c>
      <c r="H155" s="54"/>
      <c r="I155" s="11" t="s">
        <v>563</v>
      </c>
      <c r="J155" s="54" t="s">
        <v>991</v>
      </c>
      <c r="K155" s="54" t="s">
        <v>854</v>
      </c>
      <c r="L155" s="40">
        <v>350000.0</v>
      </c>
      <c r="M155" s="5"/>
      <c r="N155" s="5">
        <v>350000.0</v>
      </c>
      <c r="O155" s="5"/>
      <c r="P155" s="5">
        <v>350000.0</v>
      </c>
      <c r="Q155" s="5"/>
      <c r="R155" s="6"/>
      <c r="S155" s="6"/>
      <c r="T155" s="6"/>
      <c r="U155" s="6"/>
      <c r="V155" s="6"/>
      <c r="W155" s="6"/>
      <c r="X155" s="121">
        <f t="shared" si="22"/>
        <v>0</v>
      </c>
      <c r="Y155" s="6"/>
      <c r="Z155" s="6"/>
      <c r="AA155" s="6"/>
      <c r="AB155" s="6"/>
      <c r="AC155" s="121">
        <f t="shared" si="23"/>
        <v>0</v>
      </c>
      <c r="AD155" s="6"/>
      <c r="AE155" s="6"/>
      <c r="AF155" s="6"/>
      <c r="AG155" s="6"/>
      <c r="AH155" s="6"/>
      <c r="AI155" s="121">
        <f t="shared" si="24"/>
        <v>0</v>
      </c>
      <c r="AJ155" s="6"/>
      <c r="AK155" s="122"/>
      <c r="AL155" s="6"/>
      <c r="AM155" s="6"/>
      <c r="AN155" s="6"/>
      <c r="AO155" s="6"/>
      <c r="AP155" s="121">
        <f t="shared" si="25"/>
        <v>0</v>
      </c>
      <c r="AQ155" s="6"/>
      <c r="AR155" s="6"/>
      <c r="AS155" s="6"/>
      <c r="AT155" s="6">
        <v>100000.0</v>
      </c>
      <c r="AU155" s="6">
        <v>100000.0</v>
      </c>
      <c r="AV155" s="6"/>
      <c r="AW155" s="6">
        <v>0.0</v>
      </c>
      <c r="AX155" s="121">
        <f t="shared" si="26"/>
        <v>200000</v>
      </c>
      <c r="AY155" s="6"/>
      <c r="AZ155" s="6"/>
      <c r="BA155" s="6"/>
      <c r="BB155" s="6"/>
      <c r="BC155" s="6"/>
      <c r="BD155" s="121">
        <f t="shared" si="6"/>
        <v>0</v>
      </c>
      <c r="BE155" s="123"/>
      <c r="BF155" s="6">
        <f t="shared" si="7"/>
        <v>200000</v>
      </c>
      <c r="BG155" s="124">
        <f t="shared" si="27"/>
        <v>150000</v>
      </c>
      <c r="BH155" s="6"/>
      <c r="BI155" s="2"/>
    </row>
    <row r="156" ht="12.75" customHeight="1">
      <c r="A156" s="71">
        <v>94.0</v>
      </c>
      <c r="B156" s="71"/>
      <c r="C156" s="11">
        <v>45790.0</v>
      </c>
      <c r="D156" s="11"/>
      <c r="E156" s="2" t="s">
        <v>564</v>
      </c>
      <c r="F156" s="2" t="s">
        <v>565</v>
      </c>
      <c r="G156" s="2" t="s">
        <v>567</v>
      </c>
      <c r="H156" s="54"/>
      <c r="I156" s="11" t="s">
        <v>568</v>
      </c>
      <c r="J156" s="54" t="s">
        <v>992</v>
      </c>
      <c r="K156" s="54" t="s">
        <v>912</v>
      </c>
      <c r="L156" s="40">
        <v>250000.0</v>
      </c>
      <c r="M156" s="5"/>
      <c r="N156" s="5">
        <v>250000.0</v>
      </c>
      <c r="O156" s="5"/>
      <c r="P156" s="5">
        <v>250000.0</v>
      </c>
      <c r="Q156" s="5"/>
      <c r="R156" s="6"/>
      <c r="S156" s="6"/>
      <c r="T156" s="6"/>
      <c r="U156" s="6"/>
      <c r="V156" s="6"/>
      <c r="W156" s="6"/>
      <c r="X156" s="121">
        <f t="shared" si="22"/>
        <v>0</v>
      </c>
      <c r="Y156" s="6"/>
      <c r="Z156" s="6"/>
      <c r="AA156" s="6"/>
      <c r="AB156" s="6"/>
      <c r="AC156" s="121">
        <f t="shared" si="23"/>
        <v>0</v>
      </c>
      <c r="AD156" s="6"/>
      <c r="AE156" s="6"/>
      <c r="AF156" s="6"/>
      <c r="AG156" s="6"/>
      <c r="AH156" s="6"/>
      <c r="AI156" s="121">
        <f t="shared" si="24"/>
        <v>0</v>
      </c>
      <c r="AJ156" s="6"/>
      <c r="AK156" s="122"/>
      <c r="AL156" s="6"/>
      <c r="AM156" s="6"/>
      <c r="AN156" s="6"/>
      <c r="AO156" s="6"/>
      <c r="AP156" s="121">
        <f t="shared" si="25"/>
        <v>0</v>
      </c>
      <c r="AQ156" s="6"/>
      <c r="AR156" s="6"/>
      <c r="AS156" s="6"/>
      <c r="AT156" s="6"/>
      <c r="AU156" s="6"/>
      <c r="AV156" s="6">
        <v>100000.0</v>
      </c>
      <c r="AW156" s="6">
        <v>100000.0</v>
      </c>
      <c r="AX156" s="121">
        <f t="shared" si="26"/>
        <v>200000</v>
      </c>
      <c r="AY156" s="6">
        <v>50000.0</v>
      </c>
      <c r="AZ156" s="6"/>
      <c r="BA156" s="6"/>
      <c r="BB156" s="6"/>
      <c r="BC156" s="6"/>
      <c r="BD156" s="121">
        <f t="shared" si="6"/>
        <v>50000</v>
      </c>
      <c r="BE156" s="123"/>
      <c r="BF156" s="6">
        <f t="shared" si="7"/>
        <v>250000</v>
      </c>
      <c r="BG156" s="124">
        <f t="shared" si="27"/>
        <v>0</v>
      </c>
      <c r="BH156" s="6"/>
      <c r="BI156" s="2"/>
    </row>
    <row r="157" ht="12.75" customHeight="1">
      <c r="A157" s="71">
        <v>95.0</v>
      </c>
      <c r="B157" s="71"/>
      <c r="C157" s="11">
        <v>45540.0</v>
      </c>
      <c r="D157" s="11"/>
      <c r="E157" s="2" t="s">
        <v>569</v>
      </c>
      <c r="F157" s="2" t="s">
        <v>570</v>
      </c>
      <c r="G157" s="2" t="s">
        <v>572</v>
      </c>
      <c r="H157" s="54"/>
      <c r="I157" s="11" t="s">
        <v>573</v>
      </c>
      <c r="J157" s="54" t="s">
        <v>993</v>
      </c>
      <c r="K157" s="54" t="s">
        <v>860</v>
      </c>
      <c r="L157" s="40">
        <v>3500000.0</v>
      </c>
      <c r="M157" s="5"/>
      <c r="N157" s="5">
        <v>3500000.0</v>
      </c>
      <c r="O157" s="5"/>
      <c r="P157" s="5">
        <v>3500000.0</v>
      </c>
      <c r="Q157" s="5"/>
      <c r="R157" s="6"/>
      <c r="S157" s="6"/>
      <c r="T157" s="6"/>
      <c r="U157" s="6"/>
      <c r="V157" s="6"/>
      <c r="W157" s="6"/>
      <c r="X157" s="121">
        <f t="shared" si="22"/>
        <v>0</v>
      </c>
      <c r="Y157" s="6"/>
      <c r="Z157" s="6"/>
      <c r="AA157" s="6"/>
      <c r="AB157" s="6"/>
      <c r="AC157" s="121">
        <f t="shared" si="23"/>
        <v>0</v>
      </c>
      <c r="AD157" s="6"/>
      <c r="AE157" s="6"/>
      <c r="AF157" s="6"/>
      <c r="AG157" s="6"/>
      <c r="AH157" s="6"/>
      <c r="AI157" s="121">
        <f t="shared" si="24"/>
        <v>0</v>
      </c>
      <c r="AJ157" s="6"/>
      <c r="AK157" s="122"/>
      <c r="AL157" s="6"/>
      <c r="AM157" s="6"/>
      <c r="AN157" s="6"/>
      <c r="AO157" s="6"/>
      <c r="AP157" s="121">
        <f t="shared" si="25"/>
        <v>0</v>
      </c>
      <c r="AQ157" s="6">
        <v>1500000.0</v>
      </c>
      <c r="AR157" s="6">
        <v>1000000.0</v>
      </c>
      <c r="AS157" s="6"/>
      <c r="AT157" s="6">
        <v>1000000.0</v>
      </c>
      <c r="AU157" s="6"/>
      <c r="AV157" s="6"/>
      <c r="AW157" s="6">
        <v>0.0</v>
      </c>
      <c r="AX157" s="121">
        <f t="shared" si="26"/>
        <v>3500000</v>
      </c>
      <c r="AY157" s="6"/>
      <c r="AZ157" s="6"/>
      <c r="BA157" s="6"/>
      <c r="BB157" s="6"/>
      <c r="BC157" s="6"/>
      <c r="BD157" s="121">
        <f t="shared" si="6"/>
        <v>0</v>
      </c>
      <c r="BE157" s="123"/>
      <c r="BF157" s="6">
        <f t="shared" si="7"/>
        <v>3500000</v>
      </c>
      <c r="BG157" s="124">
        <f t="shared" si="27"/>
        <v>0</v>
      </c>
      <c r="BH157" s="6"/>
      <c r="BI157" s="2"/>
    </row>
    <row r="158" ht="12.75" customHeight="1">
      <c r="A158" s="71">
        <v>96.0</v>
      </c>
      <c r="B158" s="71"/>
      <c r="C158" s="11">
        <v>45553.0</v>
      </c>
      <c r="D158" s="38"/>
      <c r="E158" s="2" t="s">
        <v>574</v>
      </c>
      <c r="F158" s="2" t="s">
        <v>575</v>
      </c>
      <c r="G158" s="2" t="s">
        <v>577</v>
      </c>
      <c r="H158" s="54"/>
      <c r="I158" s="11" t="s">
        <v>578</v>
      </c>
      <c r="J158" s="54" t="s">
        <v>994</v>
      </c>
      <c r="K158" s="54" t="s">
        <v>912</v>
      </c>
      <c r="L158" s="40">
        <v>480000.0</v>
      </c>
      <c r="M158" s="5"/>
      <c r="N158" s="5">
        <v>480000.0</v>
      </c>
      <c r="O158" s="5"/>
      <c r="P158" s="5">
        <v>480000.0</v>
      </c>
      <c r="Q158" s="5"/>
      <c r="R158" s="6"/>
      <c r="S158" s="6"/>
      <c r="T158" s="6"/>
      <c r="U158" s="6"/>
      <c r="V158" s="6"/>
      <c r="W158" s="6"/>
      <c r="X158" s="121">
        <f t="shared" si="22"/>
        <v>0</v>
      </c>
      <c r="Y158" s="6"/>
      <c r="Z158" s="6"/>
      <c r="AA158" s="6"/>
      <c r="AB158" s="6"/>
      <c r="AC158" s="121">
        <f t="shared" si="23"/>
        <v>0</v>
      </c>
      <c r="AD158" s="6"/>
      <c r="AE158" s="6"/>
      <c r="AF158" s="6"/>
      <c r="AG158" s="6"/>
      <c r="AH158" s="6"/>
      <c r="AI158" s="121">
        <f t="shared" si="24"/>
        <v>0</v>
      </c>
      <c r="AJ158" s="6"/>
      <c r="AK158" s="122"/>
      <c r="AL158" s="6"/>
      <c r="AM158" s="6"/>
      <c r="AN158" s="6"/>
      <c r="AO158" s="6"/>
      <c r="AP158" s="121">
        <f t="shared" si="25"/>
        <v>0</v>
      </c>
      <c r="AQ158" s="6">
        <v>200000.0</v>
      </c>
      <c r="AR158" s="6">
        <v>100000.0</v>
      </c>
      <c r="AS158" s="6"/>
      <c r="AT158" s="6">
        <v>180000.0</v>
      </c>
      <c r="AU158" s="6"/>
      <c r="AV158" s="6"/>
      <c r="AW158" s="6">
        <v>0.0</v>
      </c>
      <c r="AX158" s="121">
        <f t="shared" si="26"/>
        <v>480000</v>
      </c>
      <c r="AY158" s="6"/>
      <c r="AZ158" s="6"/>
      <c r="BA158" s="6"/>
      <c r="BB158" s="6"/>
      <c r="BC158" s="6"/>
      <c r="BD158" s="121">
        <f t="shared" si="6"/>
        <v>0</v>
      </c>
      <c r="BE158" s="123"/>
      <c r="BF158" s="6">
        <f t="shared" si="7"/>
        <v>480000</v>
      </c>
      <c r="BG158" s="124">
        <f t="shared" si="27"/>
        <v>0</v>
      </c>
      <c r="BH158" s="6"/>
      <c r="BI158" s="2"/>
    </row>
    <row r="159" ht="12.75" customHeight="1">
      <c r="A159" s="71">
        <v>97.0</v>
      </c>
      <c r="B159" s="71"/>
      <c r="C159" s="11">
        <v>45532.0</v>
      </c>
      <c r="D159" s="11"/>
      <c r="E159" s="2" t="s">
        <v>579</v>
      </c>
      <c r="F159" s="2" t="s">
        <v>580</v>
      </c>
      <c r="G159" s="2" t="s">
        <v>582</v>
      </c>
      <c r="H159" s="54"/>
      <c r="I159" s="11" t="s">
        <v>583</v>
      </c>
      <c r="J159" s="54" t="s">
        <v>995</v>
      </c>
      <c r="K159" s="54" t="s">
        <v>851</v>
      </c>
      <c r="L159" s="40">
        <v>180000.0</v>
      </c>
      <c r="M159" s="5"/>
      <c r="N159" s="5">
        <v>180000.0</v>
      </c>
      <c r="O159" s="5"/>
      <c r="P159" s="5">
        <v>180000.0</v>
      </c>
      <c r="Q159" s="5"/>
      <c r="R159" s="6"/>
      <c r="S159" s="6"/>
      <c r="T159" s="6"/>
      <c r="U159" s="6"/>
      <c r="V159" s="6"/>
      <c r="W159" s="6"/>
      <c r="X159" s="121">
        <f t="shared" si="22"/>
        <v>0</v>
      </c>
      <c r="Y159" s="6"/>
      <c r="Z159" s="6"/>
      <c r="AA159" s="6"/>
      <c r="AB159" s="6"/>
      <c r="AC159" s="121">
        <f t="shared" si="23"/>
        <v>0</v>
      </c>
      <c r="AD159" s="6"/>
      <c r="AE159" s="6"/>
      <c r="AF159" s="6"/>
      <c r="AG159" s="6"/>
      <c r="AH159" s="6"/>
      <c r="AI159" s="121">
        <f t="shared" si="24"/>
        <v>0</v>
      </c>
      <c r="AJ159" s="6"/>
      <c r="AK159" s="122"/>
      <c r="AL159" s="6"/>
      <c r="AM159" s="6"/>
      <c r="AN159" s="6"/>
      <c r="AO159" s="6"/>
      <c r="AP159" s="121">
        <f t="shared" si="25"/>
        <v>0</v>
      </c>
      <c r="AQ159" s="6">
        <v>180000.0</v>
      </c>
      <c r="AR159" s="6"/>
      <c r="AS159" s="6"/>
      <c r="AT159" s="6"/>
      <c r="AU159" s="6"/>
      <c r="AV159" s="6"/>
      <c r="AW159" s="6">
        <v>0.0</v>
      </c>
      <c r="AX159" s="121">
        <f t="shared" si="26"/>
        <v>180000</v>
      </c>
      <c r="AY159" s="6"/>
      <c r="AZ159" s="6"/>
      <c r="BA159" s="6"/>
      <c r="BB159" s="6"/>
      <c r="BC159" s="6"/>
      <c r="BD159" s="121">
        <f t="shared" si="6"/>
        <v>0</v>
      </c>
      <c r="BE159" s="123"/>
      <c r="BF159" s="6">
        <f t="shared" si="7"/>
        <v>180000</v>
      </c>
      <c r="BG159" s="124">
        <f t="shared" si="27"/>
        <v>0</v>
      </c>
      <c r="BH159" s="6"/>
      <c r="BI159" s="2"/>
    </row>
    <row r="160" ht="12.75" customHeight="1">
      <c r="A160" s="71">
        <v>98.0</v>
      </c>
      <c r="B160" s="71"/>
      <c r="C160" s="11">
        <v>45532.0</v>
      </c>
      <c r="D160" s="11"/>
      <c r="E160" s="2" t="s">
        <v>584</v>
      </c>
      <c r="F160" s="2" t="s">
        <v>585</v>
      </c>
      <c r="G160" s="2" t="s">
        <v>587</v>
      </c>
      <c r="H160" s="54"/>
      <c r="I160" s="11" t="s">
        <v>588</v>
      </c>
      <c r="J160" s="54" t="s">
        <v>996</v>
      </c>
      <c r="K160" s="54" t="s">
        <v>851</v>
      </c>
      <c r="L160" s="40">
        <v>9068273.0</v>
      </c>
      <c r="M160" s="5"/>
      <c r="N160" s="5">
        <v>9068273.0</v>
      </c>
      <c r="O160" s="5"/>
      <c r="P160" s="5">
        <v>9068273.0</v>
      </c>
      <c r="Q160" s="5"/>
      <c r="R160" s="6"/>
      <c r="S160" s="6"/>
      <c r="T160" s="6"/>
      <c r="U160" s="6"/>
      <c r="V160" s="6"/>
      <c r="W160" s="6"/>
      <c r="X160" s="121">
        <f t="shared" si="22"/>
        <v>0</v>
      </c>
      <c r="Y160" s="6"/>
      <c r="Z160" s="6"/>
      <c r="AA160" s="6"/>
      <c r="AB160" s="6"/>
      <c r="AC160" s="121">
        <f t="shared" si="23"/>
        <v>0</v>
      </c>
      <c r="AD160" s="6"/>
      <c r="AE160" s="6"/>
      <c r="AF160" s="6"/>
      <c r="AG160" s="6"/>
      <c r="AH160" s="6"/>
      <c r="AI160" s="121">
        <f t="shared" si="24"/>
        <v>0</v>
      </c>
      <c r="AJ160" s="6"/>
      <c r="AK160" s="122"/>
      <c r="AL160" s="6"/>
      <c r="AM160" s="6"/>
      <c r="AN160" s="6"/>
      <c r="AO160" s="6"/>
      <c r="AP160" s="121">
        <f t="shared" si="25"/>
        <v>0</v>
      </c>
      <c r="AQ160" s="6">
        <v>1200000.0</v>
      </c>
      <c r="AR160" s="6">
        <v>1000000.0</v>
      </c>
      <c r="AS160" s="6"/>
      <c r="AT160" s="6">
        <v>500000.0</v>
      </c>
      <c r="AU160" s="6">
        <v>700000.0</v>
      </c>
      <c r="AV160" s="6"/>
      <c r="AW160" s="6">
        <v>0.0</v>
      </c>
      <c r="AX160" s="121">
        <f t="shared" si="26"/>
        <v>3400000</v>
      </c>
      <c r="AY160" s="6">
        <v>800000.0</v>
      </c>
      <c r="AZ160" s="6"/>
      <c r="BA160" s="6"/>
      <c r="BB160" s="6"/>
      <c r="BC160" s="6"/>
      <c r="BD160" s="121">
        <f t="shared" si="6"/>
        <v>800000</v>
      </c>
      <c r="BE160" s="123"/>
      <c r="BF160" s="6">
        <f t="shared" si="7"/>
        <v>4200000</v>
      </c>
      <c r="BG160" s="124">
        <f t="shared" si="27"/>
        <v>4868273</v>
      </c>
      <c r="BH160" s="6"/>
      <c r="BI160" s="2"/>
    </row>
    <row r="161" ht="12.75" customHeight="1">
      <c r="A161" s="71">
        <v>100.0</v>
      </c>
      <c r="B161" s="71"/>
      <c r="C161" s="11">
        <v>45615.0</v>
      </c>
      <c r="D161" s="11"/>
      <c r="E161" s="2" t="s">
        <v>589</v>
      </c>
      <c r="F161" s="2" t="s">
        <v>590</v>
      </c>
      <c r="G161" s="2" t="s">
        <v>592</v>
      </c>
      <c r="H161" s="54"/>
      <c r="I161" s="11" t="s">
        <v>593</v>
      </c>
      <c r="J161" s="54" t="s">
        <v>997</v>
      </c>
      <c r="K161" s="54" t="s">
        <v>851</v>
      </c>
      <c r="L161" s="40">
        <v>98000.0</v>
      </c>
      <c r="M161" s="5"/>
      <c r="N161" s="5">
        <v>98000.0</v>
      </c>
      <c r="O161" s="5"/>
      <c r="P161" s="5">
        <v>98000.0</v>
      </c>
      <c r="Q161" s="5"/>
      <c r="R161" s="6"/>
      <c r="S161" s="6"/>
      <c r="T161" s="6"/>
      <c r="U161" s="6"/>
      <c r="V161" s="6"/>
      <c r="W161" s="6"/>
      <c r="X161" s="121">
        <f t="shared" si="22"/>
        <v>0</v>
      </c>
      <c r="Y161" s="6"/>
      <c r="Z161" s="6"/>
      <c r="AA161" s="6"/>
      <c r="AB161" s="6"/>
      <c r="AC161" s="121">
        <f t="shared" si="23"/>
        <v>0</v>
      </c>
      <c r="AD161" s="6"/>
      <c r="AE161" s="6"/>
      <c r="AF161" s="6"/>
      <c r="AG161" s="6"/>
      <c r="AH161" s="6"/>
      <c r="AI161" s="121">
        <f t="shared" si="24"/>
        <v>0</v>
      </c>
      <c r="AJ161" s="6"/>
      <c r="AK161" s="122"/>
      <c r="AL161" s="6"/>
      <c r="AM161" s="6"/>
      <c r="AN161" s="6"/>
      <c r="AO161" s="6"/>
      <c r="AP161" s="121">
        <f t="shared" si="25"/>
        <v>0</v>
      </c>
      <c r="AQ161" s="6"/>
      <c r="AR161" s="6">
        <v>98000.0</v>
      </c>
      <c r="AS161" s="6"/>
      <c r="AT161" s="6"/>
      <c r="AU161" s="6"/>
      <c r="AV161" s="6"/>
      <c r="AW161" s="6">
        <v>0.0</v>
      </c>
      <c r="AX161" s="121">
        <f t="shared" si="26"/>
        <v>98000</v>
      </c>
      <c r="AY161" s="6"/>
      <c r="AZ161" s="6"/>
      <c r="BA161" s="6"/>
      <c r="BB161" s="6"/>
      <c r="BC161" s="6"/>
      <c r="BD161" s="121">
        <f t="shared" si="6"/>
        <v>0</v>
      </c>
      <c r="BE161" s="123"/>
      <c r="BF161" s="6">
        <f t="shared" si="7"/>
        <v>98000</v>
      </c>
      <c r="BG161" s="124">
        <f t="shared" si="27"/>
        <v>0</v>
      </c>
      <c r="BH161" s="6"/>
      <c r="BI161" s="2"/>
    </row>
    <row r="162" ht="12.75" customHeight="1">
      <c r="A162" s="71">
        <v>100.0</v>
      </c>
      <c r="B162" s="71"/>
      <c r="C162" s="11">
        <v>45615.0</v>
      </c>
      <c r="D162" s="11"/>
      <c r="E162" s="2" t="s">
        <v>589</v>
      </c>
      <c r="F162" s="2" t="s">
        <v>590</v>
      </c>
      <c r="G162" s="2" t="s">
        <v>592</v>
      </c>
      <c r="H162" s="54"/>
      <c r="I162" s="11" t="s">
        <v>593</v>
      </c>
      <c r="J162" s="54" t="s">
        <v>998</v>
      </c>
      <c r="K162" s="54" t="s">
        <v>851</v>
      </c>
      <c r="L162" s="40">
        <v>90000.0</v>
      </c>
      <c r="M162" s="5"/>
      <c r="N162" s="5">
        <v>90000.0</v>
      </c>
      <c r="O162" s="5"/>
      <c r="P162" s="5">
        <v>90000.0</v>
      </c>
      <c r="Q162" s="5"/>
      <c r="R162" s="6"/>
      <c r="S162" s="6"/>
      <c r="T162" s="6"/>
      <c r="U162" s="6"/>
      <c r="V162" s="6"/>
      <c r="W162" s="6"/>
      <c r="X162" s="121">
        <f t="shared" si="22"/>
        <v>0</v>
      </c>
      <c r="Y162" s="6"/>
      <c r="Z162" s="6"/>
      <c r="AA162" s="6"/>
      <c r="AB162" s="6"/>
      <c r="AC162" s="121">
        <f t="shared" si="23"/>
        <v>0</v>
      </c>
      <c r="AD162" s="6"/>
      <c r="AE162" s="6"/>
      <c r="AF162" s="6"/>
      <c r="AG162" s="6"/>
      <c r="AH162" s="6"/>
      <c r="AI162" s="121">
        <f t="shared" si="24"/>
        <v>0</v>
      </c>
      <c r="AJ162" s="6"/>
      <c r="AK162" s="122"/>
      <c r="AL162" s="6"/>
      <c r="AM162" s="6"/>
      <c r="AN162" s="6"/>
      <c r="AO162" s="6"/>
      <c r="AP162" s="121">
        <f t="shared" si="25"/>
        <v>0</v>
      </c>
      <c r="AQ162" s="6"/>
      <c r="AR162" s="6">
        <v>90000.0</v>
      </c>
      <c r="AS162" s="6"/>
      <c r="AT162" s="6"/>
      <c r="AU162" s="6"/>
      <c r="AV162" s="6"/>
      <c r="AW162" s="6">
        <v>0.0</v>
      </c>
      <c r="AX162" s="121">
        <f t="shared" si="26"/>
        <v>90000</v>
      </c>
      <c r="AY162" s="6"/>
      <c r="AZ162" s="6"/>
      <c r="BA162" s="6"/>
      <c r="BB162" s="6"/>
      <c r="BC162" s="6"/>
      <c r="BD162" s="121">
        <f t="shared" si="6"/>
        <v>0</v>
      </c>
      <c r="BE162" s="123"/>
      <c r="BF162" s="6">
        <f t="shared" si="7"/>
        <v>90000</v>
      </c>
      <c r="BG162" s="124">
        <f t="shared" si="27"/>
        <v>0</v>
      </c>
      <c r="BH162" s="6"/>
      <c r="BI162" s="2"/>
    </row>
    <row r="163" ht="12.75" customHeight="1">
      <c r="A163" s="71">
        <v>102.0</v>
      </c>
      <c r="B163" s="71"/>
      <c r="C163" s="11">
        <v>45722.0</v>
      </c>
      <c r="D163" s="11"/>
      <c r="E163" s="2" t="s">
        <v>594</v>
      </c>
      <c r="F163" s="2" t="s">
        <v>595</v>
      </c>
      <c r="G163" s="2" t="s">
        <v>597</v>
      </c>
      <c r="H163" s="54"/>
      <c r="I163" s="11" t="s">
        <v>598</v>
      </c>
      <c r="J163" s="54" t="s">
        <v>999</v>
      </c>
      <c r="K163" s="54" t="s">
        <v>860</v>
      </c>
      <c r="L163" s="40">
        <v>2250000.0</v>
      </c>
      <c r="M163" s="5"/>
      <c r="N163" s="5">
        <v>2250000.0</v>
      </c>
      <c r="O163" s="5"/>
      <c r="P163" s="5">
        <v>2250000.0</v>
      </c>
      <c r="Q163" s="5"/>
      <c r="R163" s="6"/>
      <c r="S163" s="6"/>
      <c r="T163" s="6"/>
      <c r="U163" s="6"/>
      <c r="V163" s="6"/>
      <c r="W163" s="6"/>
      <c r="X163" s="121">
        <f t="shared" si="22"/>
        <v>0</v>
      </c>
      <c r="Y163" s="6"/>
      <c r="Z163" s="6"/>
      <c r="AA163" s="6"/>
      <c r="AB163" s="6"/>
      <c r="AC163" s="121">
        <f t="shared" si="23"/>
        <v>0</v>
      </c>
      <c r="AD163" s="6"/>
      <c r="AE163" s="6"/>
      <c r="AF163" s="6"/>
      <c r="AG163" s="6"/>
      <c r="AH163" s="6"/>
      <c r="AI163" s="121">
        <f t="shared" si="24"/>
        <v>0</v>
      </c>
      <c r="AJ163" s="6"/>
      <c r="AK163" s="122"/>
      <c r="AL163" s="6"/>
      <c r="AM163" s="6"/>
      <c r="AN163" s="6"/>
      <c r="AO163" s="6"/>
      <c r="AP163" s="121">
        <f t="shared" si="25"/>
        <v>0</v>
      </c>
      <c r="AQ163" s="6"/>
      <c r="AR163" s="6"/>
      <c r="AS163" s="6"/>
      <c r="AT163" s="6"/>
      <c r="AU163" s="6">
        <v>600000.0</v>
      </c>
      <c r="AV163" s="6"/>
      <c r="AW163" s="6">
        <v>500000.0</v>
      </c>
      <c r="AX163" s="121">
        <f t="shared" si="26"/>
        <v>1100000</v>
      </c>
      <c r="AY163" s="6"/>
      <c r="AZ163" s="6"/>
      <c r="BA163" s="6"/>
      <c r="BB163" s="6"/>
      <c r="BC163" s="6"/>
      <c r="BD163" s="121">
        <f t="shared" si="6"/>
        <v>0</v>
      </c>
      <c r="BE163" s="123"/>
      <c r="BF163" s="6">
        <f t="shared" si="7"/>
        <v>1100000</v>
      </c>
      <c r="BG163" s="124">
        <f t="shared" si="27"/>
        <v>1150000</v>
      </c>
      <c r="BH163" s="6"/>
      <c r="BI163" s="2"/>
    </row>
    <row r="164" ht="12.75" customHeight="1">
      <c r="A164" s="71">
        <v>103.0</v>
      </c>
      <c r="B164" s="71"/>
      <c r="C164" s="11">
        <v>45667.0</v>
      </c>
      <c r="D164" s="11"/>
      <c r="E164" s="2" t="s">
        <v>600</v>
      </c>
      <c r="F164" s="2" t="s">
        <v>601</v>
      </c>
      <c r="G164" s="2" t="s">
        <v>603</v>
      </c>
      <c r="H164" s="54"/>
      <c r="I164" s="11" t="s">
        <v>604</v>
      </c>
      <c r="J164" s="54" t="s">
        <v>1000</v>
      </c>
      <c r="K164" s="54" t="s">
        <v>1001</v>
      </c>
      <c r="L164" s="40">
        <v>1450000.0</v>
      </c>
      <c r="M164" s="5"/>
      <c r="N164" s="5">
        <v>1450000.0</v>
      </c>
      <c r="O164" s="5"/>
      <c r="P164" s="5">
        <v>1450000.0</v>
      </c>
      <c r="Q164" s="5"/>
      <c r="R164" s="6"/>
      <c r="S164" s="6"/>
      <c r="T164" s="6"/>
      <c r="U164" s="6"/>
      <c r="V164" s="6"/>
      <c r="W164" s="6"/>
      <c r="X164" s="121">
        <f t="shared" si="22"/>
        <v>0</v>
      </c>
      <c r="Y164" s="6"/>
      <c r="Z164" s="6"/>
      <c r="AA164" s="6"/>
      <c r="AB164" s="6"/>
      <c r="AC164" s="121">
        <f t="shared" si="23"/>
        <v>0</v>
      </c>
      <c r="AD164" s="6"/>
      <c r="AE164" s="6"/>
      <c r="AF164" s="6"/>
      <c r="AG164" s="6"/>
      <c r="AH164" s="6"/>
      <c r="AI164" s="121">
        <f t="shared" si="24"/>
        <v>0</v>
      </c>
      <c r="AJ164" s="6"/>
      <c r="AK164" s="122"/>
      <c r="AL164" s="6"/>
      <c r="AM164" s="6"/>
      <c r="AN164" s="6"/>
      <c r="AO164" s="6"/>
      <c r="AP164" s="121">
        <f t="shared" si="25"/>
        <v>0</v>
      </c>
      <c r="AQ164" s="6"/>
      <c r="AR164" s="6"/>
      <c r="AS164" s="6"/>
      <c r="AT164" s="6">
        <v>20000.0</v>
      </c>
      <c r="AU164" s="6">
        <v>500000.0</v>
      </c>
      <c r="AV164" s="6">
        <v>930000.0</v>
      </c>
      <c r="AW164" s="6">
        <v>0.0</v>
      </c>
      <c r="AX164" s="121">
        <f t="shared" si="26"/>
        <v>1450000</v>
      </c>
      <c r="AY164" s="6"/>
      <c r="AZ164" s="6"/>
      <c r="BA164" s="6"/>
      <c r="BB164" s="6"/>
      <c r="BC164" s="6"/>
      <c r="BD164" s="121">
        <f t="shared" si="6"/>
        <v>0</v>
      </c>
      <c r="BE164" s="123"/>
      <c r="BF164" s="6">
        <f t="shared" si="7"/>
        <v>1450000</v>
      </c>
      <c r="BG164" s="124">
        <f t="shared" si="27"/>
        <v>0</v>
      </c>
      <c r="BH164" s="6"/>
      <c r="BI164" s="2"/>
    </row>
    <row r="165" ht="12.75" customHeight="1">
      <c r="A165" s="71">
        <v>104.0</v>
      </c>
      <c r="B165" s="71"/>
      <c r="C165" s="11">
        <v>45691.0</v>
      </c>
      <c r="D165" s="11"/>
      <c r="E165" s="2" t="s">
        <v>605</v>
      </c>
      <c r="F165" s="2" t="s">
        <v>606</v>
      </c>
      <c r="G165" s="2" t="s">
        <v>608</v>
      </c>
      <c r="H165" s="54"/>
      <c r="I165" s="11" t="s">
        <v>609</v>
      </c>
      <c r="J165" s="54" t="s">
        <v>1002</v>
      </c>
      <c r="K165" s="54" t="s">
        <v>860</v>
      </c>
      <c r="L165" s="40">
        <v>150000.0</v>
      </c>
      <c r="M165" s="5"/>
      <c r="N165" s="5">
        <v>150000.0</v>
      </c>
      <c r="O165" s="5"/>
      <c r="P165" s="5">
        <v>150000.0</v>
      </c>
      <c r="Q165" s="5"/>
      <c r="R165" s="6"/>
      <c r="S165" s="6"/>
      <c r="T165" s="6"/>
      <c r="U165" s="6"/>
      <c r="V165" s="6"/>
      <c r="W165" s="6"/>
      <c r="X165" s="121">
        <f t="shared" si="22"/>
        <v>0</v>
      </c>
      <c r="Y165" s="6"/>
      <c r="Z165" s="6"/>
      <c r="AA165" s="6"/>
      <c r="AB165" s="6"/>
      <c r="AC165" s="121">
        <f t="shared" si="23"/>
        <v>0</v>
      </c>
      <c r="AD165" s="6"/>
      <c r="AE165" s="6"/>
      <c r="AF165" s="6"/>
      <c r="AG165" s="6"/>
      <c r="AH165" s="6"/>
      <c r="AI165" s="121">
        <f t="shared" si="24"/>
        <v>0</v>
      </c>
      <c r="AJ165" s="6"/>
      <c r="AK165" s="122"/>
      <c r="AL165" s="6"/>
      <c r="AM165" s="6"/>
      <c r="AN165" s="6"/>
      <c r="AO165" s="6"/>
      <c r="AP165" s="121">
        <f t="shared" si="25"/>
        <v>0</v>
      </c>
      <c r="AQ165" s="6"/>
      <c r="AR165" s="6"/>
      <c r="AS165" s="6"/>
      <c r="AT165" s="6">
        <v>150000.0</v>
      </c>
      <c r="AU165" s="6"/>
      <c r="AV165" s="6"/>
      <c r="AW165" s="6">
        <v>0.0</v>
      </c>
      <c r="AX165" s="121">
        <f t="shared" si="26"/>
        <v>150000</v>
      </c>
      <c r="AY165" s="6"/>
      <c r="AZ165" s="6"/>
      <c r="BA165" s="6"/>
      <c r="BB165" s="6"/>
      <c r="BC165" s="6"/>
      <c r="BD165" s="121">
        <f t="shared" si="6"/>
        <v>0</v>
      </c>
      <c r="BE165" s="123"/>
      <c r="BF165" s="6">
        <f t="shared" si="7"/>
        <v>150000</v>
      </c>
      <c r="BG165" s="124">
        <f t="shared" si="27"/>
        <v>0</v>
      </c>
      <c r="BH165" s="6"/>
      <c r="BI165" s="2"/>
    </row>
    <row r="166" ht="12.75" customHeight="1">
      <c r="A166" s="71">
        <v>106.0</v>
      </c>
      <c r="B166" s="71"/>
      <c r="C166" s="11">
        <v>45684.0</v>
      </c>
      <c r="D166" s="11"/>
      <c r="E166" s="2" t="s">
        <v>610</v>
      </c>
      <c r="F166" s="2" t="s">
        <v>611</v>
      </c>
      <c r="G166" s="2" t="s">
        <v>613</v>
      </c>
      <c r="H166" s="54"/>
      <c r="I166" s="11" t="s">
        <v>614</v>
      </c>
      <c r="J166" s="54" t="s">
        <v>1003</v>
      </c>
      <c r="K166" s="54" t="s">
        <v>860</v>
      </c>
      <c r="L166" s="40">
        <v>4800000.0</v>
      </c>
      <c r="M166" s="5"/>
      <c r="N166" s="5">
        <v>4800000.0</v>
      </c>
      <c r="O166" s="5"/>
      <c r="P166" s="5">
        <v>4800000.0</v>
      </c>
      <c r="Q166" s="5"/>
      <c r="R166" s="6"/>
      <c r="S166" s="6"/>
      <c r="T166" s="6"/>
      <c r="U166" s="6"/>
      <c r="V166" s="6"/>
      <c r="W166" s="6"/>
      <c r="X166" s="121">
        <f t="shared" si="22"/>
        <v>0</v>
      </c>
      <c r="Y166" s="6"/>
      <c r="Z166" s="6"/>
      <c r="AA166" s="6"/>
      <c r="AB166" s="6"/>
      <c r="AC166" s="121">
        <f t="shared" si="23"/>
        <v>0</v>
      </c>
      <c r="AD166" s="6"/>
      <c r="AE166" s="6"/>
      <c r="AF166" s="6"/>
      <c r="AG166" s="6"/>
      <c r="AH166" s="6"/>
      <c r="AI166" s="121">
        <f t="shared" si="24"/>
        <v>0</v>
      </c>
      <c r="AJ166" s="6"/>
      <c r="AK166" s="122"/>
      <c r="AL166" s="6"/>
      <c r="AM166" s="6"/>
      <c r="AN166" s="6"/>
      <c r="AO166" s="6"/>
      <c r="AP166" s="121">
        <f t="shared" si="25"/>
        <v>0</v>
      </c>
      <c r="AQ166" s="6"/>
      <c r="AR166" s="6"/>
      <c r="AS166" s="6"/>
      <c r="AT166" s="6">
        <v>3800000.0</v>
      </c>
      <c r="AU166" s="6"/>
      <c r="AV166" s="6"/>
      <c r="AW166" s="6">
        <v>250000.0</v>
      </c>
      <c r="AX166" s="121">
        <f t="shared" si="26"/>
        <v>4050000</v>
      </c>
      <c r="AY166" s="6"/>
      <c r="AZ166" s="6"/>
      <c r="BA166" s="6"/>
      <c r="BB166" s="6"/>
      <c r="BC166" s="6"/>
      <c r="BD166" s="121">
        <f t="shared" si="6"/>
        <v>0</v>
      </c>
      <c r="BE166" s="123"/>
      <c r="BF166" s="6">
        <f t="shared" si="7"/>
        <v>4050000</v>
      </c>
      <c r="BG166" s="124">
        <f t="shared" si="27"/>
        <v>750000</v>
      </c>
      <c r="BH166" s="6"/>
      <c r="BI166" s="2"/>
    </row>
    <row r="167" ht="12.75" customHeight="1">
      <c r="A167" s="71">
        <v>107.0</v>
      </c>
      <c r="B167" s="71"/>
      <c r="C167" s="11">
        <v>45686.0</v>
      </c>
      <c r="D167" s="11"/>
      <c r="E167" s="2" t="s">
        <v>615</v>
      </c>
      <c r="F167" s="2" t="s">
        <v>616</v>
      </c>
      <c r="G167" s="2" t="s">
        <v>618</v>
      </c>
      <c r="H167" s="54"/>
      <c r="I167" s="11" t="s">
        <v>619</v>
      </c>
      <c r="J167" s="54" t="s">
        <v>1004</v>
      </c>
      <c r="K167" s="54" t="s">
        <v>912</v>
      </c>
      <c r="L167" s="40">
        <v>162000.0</v>
      </c>
      <c r="M167" s="5"/>
      <c r="N167" s="5">
        <v>162000.0</v>
      </c>
      <c r="O167" s="5"/>
      <c r="P167" s="5">
        <v>162000.0</v>
      </c>
      <c r="Q167" s="5"/>
      <c r="R167" s="6"/>
      <c r="S167" s="6"/>
      <c r="T167" s="6"/>
      <c r="U167" s="6"/>
      <c r="V167" s="6"/>
      <c r="W167" s="6"/>
      <c r="X167" s="121">
        <f t="shared" si="22"/>
        <v>0</v>
      </c>
      <c r="Y167" s="6"/>
      <c r="Z167" s="6"/>
      <c r="AA167" s="6"/>
      <c r="AB167" s="6"/>
      <c r="AC167" s="121">
        <f t="shared" si="23"/>
        <v>0</v>
      </c>
      <c r="AD167" s="6"/>
      <c r="AE167" s="6"/>
      <c r="AF167" s="6"/>
      <c r="AG167" s="6"/>
      <c r="AH167" s="6"/>
      <c r="AI167" s="121">
        <f t="shared" si="24"/>
        <v>0</v>
      </c>
      <c r="AJ167" s="6"/>
      <c r="AK167" s="122"/>
      <c r="AL167" s="6"/>
      <c r="AM167" s="6"/>
      <c r="AN167" s="6"/>
      <c r="AO167" s="6"/>
      <c r="AP167" s="121">
        <f t="shared" si="25"/>
        <v>0</v>
      </c>
      <c r="AQ167" s="6"/>
      <c r="AR167" s="6"/>
      <c r="AS167" s="6"/>
      <c r="AT167" s="6">
        <v>162000.0</v>
      </c>
      <c r="AU167" s="6"/>
      <c r="AV167" s="6"/>
      <c r="AW167" s="6"/>
      <c r="AX167" s="121">
        <f t="shared" si="26"/>
        <v>162000</v>
      </c>
      <c r="AY167" s="6"/>
      <c r="AZ167" s="6"/>
      <c r="BA167" s="6"/>
      <c r="BB167" s="6"/>
      <c r="BC167" s="6"/>
      <c r="BD167" s="121">
        <f t="shared" si="6"/>
        <v>0</v>
      </c>
      <c r="BE167" s="123"/>
      <c r="BF167" s="6">
        <f t="shared" si="7"/>
        <v>162000</v>
      </c>
      <c r="BG167" s="124">
        <f t="shared" si="27"/>
        <v>0</v>
      </c>
      <c r="BH167" s="6"/>
      <c r="BI167" s="2"/>
    </row>
    <row r="168" ht="12.75" customHeight="1">
      <c r="A168" s="71">
        <v>109.0</v>
      </c>
      <c r="B168" s="71"/>
      <c r="C168" s="11">
        <v>45687.0</v>
      </c>
      <c r="D168" s="11"/>
      <c r="E168" s="2" t="s">
        <v>620</v>
      </c>
      <c r="F168" s="2" t="s">
        <v>621</v>
      </c>
      <c r="G168" s="2" t="s">
        <v>623</v>
      </c>
      <c r="H168" s="54"/>
      <c r="I168" s="11" t="s">
        <v>624</v>
      </c>
      <c r="J168" s="54" t="s">
        <v>1005</v>
      </c>
      <c r="K168" s="54" t="s">
        <v>860</v>
      </c>
      <c r="L168" s="40">
        <v>350000.0</v>
      </c>
      <c r="M168" s="5"/>
      <c r="N168" s="5">
        <v>350000.0</v>
      </c>
      <c r="O168" s="5"/>
      <c r="P168" s="5">
        <v>350000.0</v>
      </c>
      <c r="Q168" s="5"/>
      <c r="R168" s="6"/>
      <c r="S168" s="6"/>
      <c r="T168" s="6"/>
      <c r="U168" s="6"/>
      <c r="V168" s="6"/>
      <c r="W168" s="6"/>
      <c r="X168" s="121">
        <f t="shared" si="22"/>
        <v>0</v>
      </c>
      <c r="Y168" s="6"/>
      <c r="Z168" s="6"/>
      <c r="AA168" s="6"/>
      <c r="AB168" s="6"/>
      <c r="AC168" s="121">
        <f t="shared" si="23"/>
        <v>0</v>
      </c>
      <c r="AD168" s="6"/>
      <c r="AE168" s="6"/>
      <c r="AF168" s="6"/>
      <c r="AG168" s="6"/>
      <c r="AH168" s="6"/>
      <c r="AI168" s="121">
        <f t="shared" si="24"/>
        <v>0</v>
      </c>
      <c r="AJ168" s="6"/>
      <c r="AK168" s="122"/>
      <c r="AL168" s="6"/>
      <c r="AM168" s="6"/>
      <c r="AN168" s="6"/>
      <c r="AO168" s="6"/>
      <c r="AP168" s="121">
        <f t="shared" si="25"/>
        <v>0</v>
      </c>
      <c r="AQ168" s="6"/>
      <c r="AR168" s="6"/>
      <c r="AS168" s="6"/>
      <c r="AT168" s="6">
        <v>175000.0</v>
      </c>
      <c r="AU168" s="6"/>
      <c r="AV168" s="6">
        <v>175000.0</v>
      </c>
      <c r="AW168" s="6"/>
      <c r="AX168" s="121">
        <f t="shared" si="26"/>
        <v>350000</v>
      </c>
      <c r="AY168" s="6"/>
      <c r="AZ168" s="6"/>
      <c r="BA168" s="6"/>
      <c r="BB168" s="6"/>
      <c r="BC168" s="6"/>
      <c r="BD168" s="121">
        <f t="shared" si="6"/>
        <v>0</v>
      </c>
      <c r="BE168" s="123"/>
      <c r="BF168" s="6">
        <f t="shared" si="7"/>
        <v>350000</v>
      </c>
      <c r="BG168" s="124">
        <f t="shared" si="27"/>
        <v>0</v>
      </c>
      <c r="BH168" s="6"/>
      <c r="BI168" s="2"/>
    </row>
    <row r="169" ht="12.75" customHeight="1">
      <c r="A169" s="71">
        <v>110.0</v>
      </c>
      <c r="B169" s="71"/>
      <c r="C169" s="11">
        <v>45671.0</v>
      </c>
      <c r="D169" s="11"/>
      <c r="E169" s="2" t="s">
        <v>625</v>
      </c>
      <c r="F169" s="2" t="s">
        <v>626</v>
      </c>
      <c r="G169" s="2" t="s">
        <v>628</v>
      </c>
      <c r="H169" s="54"/>
      <c r="I169" s="11" t="s">
        <v>624</v>
      </c>
      <c r="J169" s="54" t="s">
        <v>1006</v>
      </c>
      <c r="K169" s="54" t="s">
        <v>860</v>
      </c>
      <c r="L169" s="40">
        <v>62500.0</v>
      </c>
      <c r="M169" s="5"/>
      <c r="N169" s="5">
        <v>62500.0</v>
      </c>
      <c r="O169" s="5"/>
      <c r="P169" s="5">
        <v>62500.0</v>
      </c>
      <c r="Q169" s="5"/>
      <c r="R169" s="6"/>
      <c r="S169" s="6"/>
      <c r="T169" s="6"/>
      <c r="U169" s="6"/>
      <c r="V169" s="6"/>
      <c r="W169" s="6"/>
      <c r="X169" s="121">
        <f t="shared" si="22"/>
        <v>0</v>
      </c>
      <c r="Y169" s="6"/>
      <c r="Z169" s="6"/>
      <c r="AA169" s="6"/>
      <c r="AB169" s="6"/>
      <c r="AC169" s="121">
        <f t="shared" si="23"/>
        <v>0</v>
      </c>
      <c r="AD169" s="6"/>
      <c r="AE169" s="6"/>
      <c r="AF169" s="6"/>
      <c r="AG169" s="6"/>
      <c r="AH169" s="6"/>
      <c r="AI169" s="121">
        <f t="shared" si="24"/>
        <v>0</v>
      </c>
      <c r="AJ169" s="6"/>
      <c r="AK169" s="122"/>
      <c r="AL169" s="6"/>
      <c r="AM169" s="6"/>
      <c r="AN169" s="6"/>
      <c r="AO169" s="6"/>
      <c r="AP169" s="121">
        <f t="shared" si="25"/>
        <v>0</v>
      </c>
      <c r="AQ169" s="6"/>
      <c r="AR169" s="6"/>
      <c r="AS169" s="6"/>
      <c r="AT169" s="6">
        <v>62500.0</v>
      </c>
      <c r="AU169" s="6"/>
      <c r="AV169" s="6"/>
      <c r="AW169" s="6"/>
      <c r="AX169" s="121">
        <f t="shared" si="26"/>
        <v>62500</v>
      </c>
      <c r="AY169" s="6"/>
      <c r="AZ169" s="6"/>
      <c r="BA169" s="6"/>
      <c r="BB169" s="6"/>
      <c r="BC169" s="6"/>
      <c r="BD169" s="121">
        <f t="shared" si="6"/>
        <v>0</v>
      </c>
      <c r="BE169" s="123"/>
      <c r="BF169" s="6">
        <f t="shared" si="7"/>
        <v>62500</v>
      </c>
      <c r="BG169" s="124">
        <f t="shared" si="27"/>
        <v>0</v>
      </c>
      <c r="BH169" s="6"/>
      <c r="BI169" s="2"/>
    </row>
    <row r="170" ht="12.75" customHeight="1">
      <c r="A170" s="71">
        <v>110.0</v>
      </c>
      <c r="B170" s="71"/>
      <c r="C170" s="11">
        <v>45671.0</v>
      </c>
      <c r="D170" s="11"/>
      <c r="E170" s="2" t="s">
        <v>625</v>
      </c>
      <c r="F170" s="2" t="s">
        <v>626</v>
      </c>
      <c r="G170" s="2" t="s">
        <v>628</v>
      </c>
      <c r="H170" s="54"/>
      <c r="I170" s="11" t="s">
        <v>624</v>
      </c>
      <c r="J170" s="54" t="s">
        <v>1007</v>
      </c>
      <c r="K170" s="54" t="s">
        <v>860</v>
      </c>
      <c r="L170" s="40">
        <v>187500.0</v>
      </c>
      <c r="M170" s="5"/>
      <c r="N170" s="5">
        <v>187500.0</v>
      </c>
      <c r="O170" s="5"/>
      <c r="P170" s="5">
        <v>187500.0</v>
      </c>
      <c r="Q170" s="5"/>
      <c r="R170" s="6"/>
      <c r="S170" s="6"/>
      <c r="T170" s="6"/>
      <c r="U170" s="6"/>
      <c r="V170" s="6"/>
      <c r="W170" s="6"/>
      <c r="X170" s="121">
        <f t="shared" si="22"/>
        <v>0</v>
      </c>
      <c r="Y170" s="6"/>
      <c r="Z170" s="6"/>
      <c r="AA170" s="6"/>
      <c r="AB170" s="6"/>
      <c r="AC170" s="121">
        <f t="shared" si="23"/>
        <v>0</v>
      </c>
      <c r="AD170" s="6"/>
      <c r="AE170" s="6"/>
      <c r="AF170" s="6"/>
      <c r="AG170" s="6"/>
      <c r="AH170" s="6"/>
      <c r="AI170" s="121">
        <f t="shared" si="24"/>
        <v>0</v>
      </c>
      <c r="AJ170" s="6"/>
      <c r="AK170" s="122"/>
      <c r="AL170" s="6"/>
      <c r="AM170" s="6"/>
      <c r="AN170" s="6"/>
      <c r="AO170" s="6"/>
      <c r="AP170" s="121">
        <f t="shared" si="25"/>
        <v>0</v>
      </c>
      <c r="AQ170" s="6"/>
      <c r="AR170" s="6"/>
      <c r="AS170" s="6"/>
      <c r="AT170" s="6">
        <v>93750.0</v>
      </c>
      <c r="AU170" s="6"/>
      <c r="AV170" s="6">
        <v>93750.0</v>
      </c>
      <c r="AW170" s="6"/>
      <c r="AX170" s="121">
        <f t="shared" si="26"/>
        <v>187500</v>
      </c>
      <c r="AY170" s="6"/>
      <c r="AZ170" s="6"/>
      <c r="BA170" s="6"/>
      <c r="BB170" s="6"/>
      <c r="BC170" s="6"/>
      <c r="BD170" s="121">
        <f t="shared" si="6"/>
        <v>0</v>
      </c>
      <c r="BE170" s="123"/>
      <c r="BF170" s="6">
        <f t="shared" si="7"/>
        <v>187500</v>
      </c>
      <c r="BG170" s="124">
        <f t="shared" si="27"/>
        <v>0</v>
      </c>
      <c r="BH170" s="6"/>
      <c r="BI170" s="2"/>
    </row>
    <row r="171" ht="12.75" customHeight="1">
      <c r="A171" s="71">
        <v>112.0</v>
      </c>
      <c r="B171" s="71"/>
      <c r="C171" s="11">
        <v>45748.0</v>
      </c>
      <c r="D171" s="11"/>
      <c r="E171" s="2" t="s">
        <v>629</v>
      </c>
      <c r="F171" s="2" t="s">
        <v>630</v>
      </c>
      <c r="G171" s="2" t="s">
        <v>632</v>
      </c>
      <c r="H171" s="54"/>
      <c r="I171" s="11" t="s">
        <v>633</v>
      </c>
      <c r="J171" s="54" t="s">
        <v>1008</v>
      </c>
      <c r="K171" s="54" t="s">
        <v>860</v>
      </c>
      <c r="L171" s="40">
        <v>800000.0</v>
      </c>
      <c r="M171" s="5"/>
      <c r="N171" s="5">
        <v>800000.0</v>
      </c>
      <c r="O171" s="5"/>
      <c r="P171" s="5">
        <v>800000.0</v>
      </c>
      <c r="Q171" s="5"/>
      <c r="R171" s="6"/>
      <c r="S171" s="6"/>
      <c r="T171" s="6"/>
      <c r="U171" s="6"/>
      <c r="V171" s="6"/>
      <c r="W171" s="6"/>
      <c r="X171" s="121">
        <f t="shared" si="22"/>
        <v>0</v>
      </c>
      <c r="Y171" s="6"/>
      <c r="Z171" s="6"/>
      <c r="AA171" s="6"/>
      <c r="AB171" s="6"/>
      <c r="AC171" s="121">
        <f t="shared" si="23"/>
        <v>0</v>
      </c>
      <c r="AD171" s="6"/>
      <c r="AE171" s="6"/>
      <c r="AF171" s="6"/>
      <c r="AG171" s="6"/>
      <c r="AH171" s="6"/>
      <c r="AI171" s="121">
        <f t="shared" si="24"/>
        <v>0</v>
      </c>
      <c r="AJ171" s="6"/>
      <c r="AK171" s="122"/>
      <c r="AL171" s="6"/>
      <c r="AM171" s="6"/>
      <c r="AN171" s="6"/>
      <c r="AO171" s="6"/>
      <c r="AP171" s="121">
        <f t="shared" si="25"/>
        <v>0</v>
      </c>
      <c r="AQ171" s="6"/>
      <c r="AR171" s="6"/>
      <c r="AS171" s="6"/>
      <c r="AT171" s="6"/>
      <c r="AU171" s="6"/>
      <c r="AV171" s="6">
        <v>400000.0</v>
      </c>
      <c r="AW171" s="6">
        <v>150000.0</v>
      </c>
      <c r="AX171" s="121">
        <f t="shared" si="26"/>
        <v>550000</v>
      </c>
      <c r="AY171" s="6">
        <v>250000.0</v>
      </c>
      <c r="AZ171" s="6"/>
      <c r="BA171" s="6"/>
      <c r="BB171" s="6"/>
      <c r="BC171" s="6"/>
      <c r="BD171" s="121">
        <f t="shared" si="6"/>
        <v>250000</v>
      </c>
      <c r="BE171" s="123"/>
      <c r="BF171" s="6">
        <f t="shared" si="7"/>
        <v>800000</v>
      </c>
      <c r="BG171" s="124">
        <f t="shared" si="27"/>
        <v>0</v>
      </c>
      <c r="BH171" s="6"/>
      <c r="BI171" s="2"/>
    </row>
    <row r="172" ht="12.75" customHeight="1">
      <c r="A172" s="71">
        <v>112.0</v>
      </c>
      <c r="B172" s="71"/>
      <c r="C172" s="11">
        <v>45748.0</v>
      </c>
      <c r="D172" s="11"/>
      <c r="E172" s="2" t="s">
        <v>629</v>
      </c>
      <c r="F172" s="2" t="s">
        <v>630</v>
      </c>
      <c r="G172" s="2" t="s">
        <v>632</v>
      </c>
      <c r="H172" s="54"/>
      <c r="I172" s="11" t="s">
        <v>633</v>
      </c>
      <c r="J172" s="54" t="s">
        <v>1009</v>
      </c>
      <c r="K172" s="54" t="s">
        <v>860</v>
      </c>
      <c r="L172" s="40">
        <v>470000.0</v>
      </c>
      <c r="M172" s="5"/>
      <c r="N172" s="5">
        <v>470000.0</v>
      </c>
      <c r="O172" s="5"/>
      <c r="P172" s="5">
        <v>470000.0</v>
      </c>
      <c r="Q172" s="5"/>
      <c r="R172" s="6"/>
      <c r="S172" s="6"/>
      <c r="T172" s="6"/>
      <c r="U172" s="6"/>
      <c r="V172" s="6"/>
      <c r="W172" s="6"/>
      <c r="X172" s="121">
        <f t="shared" si="22"/>
        <v>0</v>
      </c>
      <c r="Y172" s="6"/>
      <c r="Z172" s="6"/>
      <c r="AA172" s="6"/>
      <c r="AB172" s="6"/>
      <c r="AC172" s="121">
        <f t="shared" si="23"/>
        <v>0</v>
      </c>
      <c r="AD172" s="6"/>
      <c r="AE172" s="6"/>
      <c r="AF172" s="6"/>
      <c r="AG172" s="6"/>
      <c r="AH172" s="6"/>
      <c r="AI172" s="121">
        <f t="shared" si="24"/>
        <v>0</v>
      </c>
      <c r="AJ172" s="6"/>
      <c r="AK172" s="122"/>
      <c r="AL172" s="6"/>
      <c r="AM172" s="6"/>
      <c r="AN172" s="6"/>
      <c r="AO172" s="6"/>
      <c r="AP172" s="121">
        <f t="shared" si="25"/>
        <v>0</v>
      </c>
      <c r="AQ172" s="6"/>
      <c r="AR172" s="6"/>
      <c r="AS172" s="6"/>
      <c r="AT172" s="6"/>
      <c r="AU172" s="6">
        <v>470000.0</v>
      </c>
      <c r="AV172" s="6"/>
      <c r="AW172" s="6"/>
      <c r="AX172" s="121">
        <f t="shared" si="26"/>
        <v>470000</v>
      </c>
      <c r="AY172" s="6"/>
      <c r="AZ172" s="6"/>
      <c r="BA172" s="6"/>
      <c r="BB172" s="6"/>
      <c r="BC172" s="6"/>
      <c r="BD172" s="121">
        <f t="shared" si="6"/>
        <v>0</v>
      </c>
      <c r="BE172" s="123"/>
      <c r="BF172" s="6">
        <f t="shared" si="7"/>
        <v>470000</v>
      </c>
      <c r="BG172" s="124">
        <f t="shared" si="27"/>
        <v>0</v>
      </c>
      <c r="BH172" s="6"/>
      <c r="BI172" s="2"/>
    </row>
    <row r="173" ht="12.75" customHeight="1">
      <c r="A173" s="71">
        <v>113.0</v>
      </c>
      <c r="B173" s="71"/>
      <c r="C173" s="11">
        <v>45770.0</v>
      </c>
      <c r="D173" s="11"/>
      <c r="E173" s="2" t="s">
        <v>634</v>
      </c>
      <c r="F173" s="2" t="s">
        <v>635</v>
      </c>
      <c r="G173" s="2" t="s">
        <v>637</v>
      </c>
      <c r="H173" s="54"/>
      <c r="I173" s="11" t="s">
        <v>633</v>
      </c>
      <c r="J173" s="54" t="s">
        <v>1010</v>
      </c>
      <c r="K173" s="54" t="s">
        <v>860</v>
      </c>
      <c r="L173" s="40">
        <v>500000.0</v>
      </c>
      <c r="M173" s="5"/>
      <c r="N173" s="5">
        <v>500000.0</v>
      </c>
      <c r="O173" s="5"/>
      <c r="P173" s="5">
        <v>500000.0</v>
      </c>
      <c r="Q173" s="5"/>
      <c r="R173" s="6"/>
      <c r="S173" s="6"/>
      <c r="T173" s="6"/>
      <c r="U173" s="6"/>
      <c r="V173" s="6"/>
      <c r="W173" s="6"/>
      <c r="X173" s="121">
        <f t="shared" si="22"/>
        <v>0</v>
      </c>
      <c r="Y173" s="6"/>
      <c r="Z173" s="6"/>
      <c r="AA173" s="6"/>
      <c r="AB173" s="6"/>
      <c r="AC173" s="121">
        <f t="shared" si="23"/>
        <v>0</v>
      </c>
      <c r="AD173" s="6"/>
      <c r="AE173" s="6"/>
      <c r="AF173" s="6"/>
      <c r="AG173" s="6"/>
      <c r="AH173" s="6"/>
      <c r="AI173" s="121">
        <f t="shared" si="24"/>
        <v>0</v>
      </c>
      <c r="AJ173" s="6"/>
      <c r="AK173" s="122"/>
      <c r="AL173" s="6"/>
      <c r="AM173" s="6"/>
      <c r="AN173" s="6"/>
      <c r="AO173" s="6"/>
      <c r="AP173" s="121">
        <f t="shared" si="25"/>
        <v>0</v>
      </c>
      <c r="AQ173" s="6"/>
      <c r="AR173" s="6"/>
      <c r="AS173" s="6"/>
      <c r="AT173" s="6"/>
      <c r="AU173" s="6"/>
      <c r="AV173" s="6">
        <v>250000.0</v>
      </c>
      <c r="AW173" s="6">
        <v>150000.0</v>
      </c>
      <c r="AX173" s="121">
        <f t="shared" si="26"/>
        <v>400000</v>
      </c>
      <c r="AY173" s="6">
        <v>100000.0</v>
      </c>
      <c r="AZ173" s="6"/>
      <c r="BA173" s="6"/>
      <c r="BB173" s="6"/>
      <c r="BC173" s="6"/>
      <c r="BD173" s="121">
        <f t="shared" si="6"/>
        <v>100000</v>
      </c>
      <c r="BE173" s="123"/>
      <c r="BF173" s="6">
        <f t="shared" si="7"/>
        <v>500000</v>
      </c>
      <c r="BG173" s="124">
        <f t="shared" si="27"/>
        <v>0</v>
      </c>
      <c r="BH173" s="6"/>
      <c r="BI173" s="2"/>
    </row>
    <row r="174" ht="12.75" customHeight="1">
      <c r="A174" s="71">
        <v>114.0</v>
      </c>
      <c r="B174" s="71"/>
      <c r="C174" s="11">
        <v>45785.0</v>
      </c>
      <c r="D174" s="11"/>
      <c r="E174" s="2" t="s">
        <v>638</v>
      </c>
      <c r="F174" s="2" t="s">
        <v>639</v>
      </c>
      <c r="G174" s="2" t="s">
        <v>641</v>
      </c>
      <c r="H174" s="54"/>
      <c r="I174" s="11" t="s">
        <v>633</v>
      </c>
      <c r="J174" s="54" t="s">
        <v>1011</v>
      </c>
      <c r="K174" s="54" t="s">
        <v>912</v>
      </c>
      <c r="L174" s="40">
        <v>2255000.0</v>
      </c>
      <c r="M174" s="5"/>
      <c r="N174" s="5">
        <v>2255000.0</v>
      </c>
      <c r="O174" s="5"/>
      <c r="P174" s="5">
        <v>2255000.0</v>
      </c>
      <c r="Q174" s="5"/>
      <c r="R174" s="6"/>
      <c r="S174" s="6"/>
      <c r="T174" s="6"/>
      <c r="U174" s="6"/>
      <c r="V174" s="6"/>
      <c r="W174" s="6"/>
      <c r="X174" s="121">
        <f t="shared" si="22"/>
        <v>0</v>
      </c>
      <c r="Y174" s="6"/>
      <c r="Z174" s="6"/>
      <c r="AA174" s="6"/>
      <c r="AB174" s="6"/>
      <c r="AC174" s="121">
        <f t="shared" si="23"/>
        <v>0</v>
      </c>
      <c r="AD174" s="6"/>
      <c r="AE174" s="6"/>
      <c r="AF174" s="6"/>
      <c r="AG174" s="6"/>
      <c r="AH174" s="6"/>
      <c r="AI174" s="121">
        <f t="shared" si="24"/>
        <v>0</v>
      </c>
      <c r="AJ174" s="6"/>
      <c r="AK174" s="122"/>
      <c r="AL174" s="6"/>
      <c r="AM174" s="6"/>
      <c r="AN174" s="6"/>
      <c r="AO174" s="6"/>
      <c r="AP174" s="121">
        <f t="shared" si="25"/>
        <v>0</v>
      </c>
      <c r="AQ174" s="6"/>
      <c r="AR174" s="6"/>
      <c r="AS174" s="6"/>
      <c r="AT174" s="6"/>
      <c r="AU174" s="6"/>
      <c r="AV174" s="6">
        <v>1200000.0</v>
      </c>
      <c r="AW174" s="6">
        <v>500000.0</v>
      </c>
      <c r="AX174" s="121">
        <f t="shared" si="26"/>
        <v>1700000</v>
      </c>
      <c r="AY174" s="6">
        <v>555000.0</v>
      </c>
      <c r="AZ174" s="6"/>
      <c r="BA174" s="6"/>
      <c r="BB174" s="6"/>
      <c r="BC174" s="6"/>
      <c r="BD174" s="121">
        <f t="shared" si="6"/>
        <v>555000</v>
      </c>
      <c r="BE174" s="123"/>
      <c r="BF174" s="6">
        <f t="shared" si="7"/>
        <v>2255000</v>
      </c>
      <c r="BG174" s="124">
        <f t="shared" si="27"/>
        <v>0</v>
      </c>
      <c r="BH174" s="6"/>
      <c r="BI174" s="2"/>
    </row>
    <row r="175" ht="12.75" customHeight="1">
      <c r="A175" s="71">
        <v>115.0</v>
      </c>
      <c r="B175" s="71"/>
      <c r="C175" s="11">
        <v>45747.0</v>
      </c>
      <c r="D175" s="11"/>
      <c r="E175" s="2" t="s">
        <v>642</v>
      </c>
      <c r="F175" s="2" t="s">
        <v>643</v>
      </c>
      <c r="G175" s="2" t="s">
        <v>645</v>
      </c>
      <c r="H175" s="54"/>
      <c r="I175" s="11" t="s">
        <v>646</v>
      </c>
      <c r="J175" s="54" t="s">
        <v>1012</v>
      </c>
      <c r="K175" s="54" t="s">
        <v>860</v>
      </c>
      <c r="L175" s="40">
        <v>175000.0</v>
      </c>
      <c r="M175" s="5"/>
      <c r="N175" s="5">
        <v>175000.0</v>
      </c>
      <c r="O175" s="5"/>
      <c r="P175" s="5">
        <v>175000.0</v>
      </c>
      <c r="Q175" s="5"/>
      <c r="R175" s="6"/>
      <c r="S175" s="6"/>
      <c r="T175" s="6"/>
      <c r="U175" s="6"/>
      <c r="V175" s="6"/>
      <c r="W175" s="6"/>
      <c r="X175" s="121">
        <f t="shared" si="22"/>
        <v>0</v>
      </c>
      <c r="Y175" s="6"/>
      <c r="Z175" s="6"/>
      <c r="AA175" s="6"/>
      <c r="AB175" s="6"/>
      <c r="AC175" s="121">
        <f t="shared" si="23"/>
        <v>0</v>
      </c>
      <c r="AD175" s="6"/>
      <c r="AE175" s="6"/>
      <c r="AF175" s="6"/>
      <c r="AG175" s="6"/>
      <c r="AH175" s="6"/>
      <c r="AI175" s="121">
        <f t="shared" si="24"/>
        <v>0</v>
      </c>
      <c r="AJ175" s="6"/>
      <c r="AK175" s="122"/>
      <c r="AL175" s="6"/>
      <c r="AM175" s="6"/>
      <c r="AN175" s="6"/>
      <c r="AO175" s="6"/>
      <c r="AP175" s="121">
        <f t="shared" si="25"/>
        <v>0</v>
      </c>
      <c r="AQ175" s="6"/>
      <c r="AR175" s="6"/>
      <c r="AS175" s="6"/>
      <c r="AT175" s="6"/>
      <c r="AU175" s="6">
        <v>100000.0</v>
      </c>
      <c r="AV175" s="6">
        <v>75000.0</v>
      </c>
      <c r="AW175" s="6"/>
      <c r="AX175" s="121">
        <f t="shared" si="26"/>
        <v>175000</v>
      </c>
      <c r="AY175" s="6"/>
      <c r="AZ175" s="6"/>
      <c r="BA175" s="6"/>
      <c r="BB175" s="6"/>
      <c r="BC175" s="6"/>
      <c r="BD175" s="121">
        <f t="shared" si="6"/>
        <v>0</v>
      </c>
      <c r="BE175" s="123"/>
      <c r="BF175" s="6">
        <f t="shared" si="7"/>
        <v>175000</v>
      </c>
      <c r="BG175" s="124">
        <f t="shared" si="27"/>
        <v>0</v>
      </c>
      <c r="BH175" s="6"/>
      <c r="BI175" s="2"/>
    </row>
    <row r="176" ht="12.75" customHeight="1">
      <c r="A176" s="71">
        <v>116.0</v>
      </c>
      <c r="B176" s="71"/>
      <c r="C176" s="11">
        <v>45792.0</v>
      </c>
      <c r="D176" s="11"/>
      <c r="E176" s="2" t="s">
        <v>647</v>
      </c>
      <c r="F176" s="2" t="s">
        <v>648</v>
      </c>
      <c r="G176" s="2" t="s">
        <v>650</v>
      </c>
      <c r="H176" s="54"/>
      <c r="I176" s="11" t="s">
        <v>651</v>
      </c>
      <c r="J176" s="54" t="s">
        <v>1013</v>
      </c>
      <c r="K176" s="54" t="s">
        <v>860</v>
      </c>
      <c r="L176" s="5">
        <v>250000.0</v>
      </c>
      <c r="M176" s="5"/>
      <c r="N176" s="5">
        <v>250000.0</v>
      </c>
      <c r="O176" s="5"/>
      <c r="P176" s="5">
        <v>250000.0</v>
      </c>
      <c r="Q176" s="5"/>
      <c r="R176" s="6"/>
      <c r="S176" s="6"/>
      <c r="T176" s="6"/>
      <c r="U176" s="6"/>
      <c r="V176" s="6"/>
      <c r="W176" s="6"/>
      <c r="X176" s="121">
        <f t="shared" si="22"/>
        <v>0</v>
      </c>
      <c r="Y176" s="6"/>
      <c r="Z176" s="6"/>
      <c r="AA176" s="6"/>
      <c r="AB176" s="6"/>
      <c r="AC176" s="121">
        <f t="shared" si="23"/>
        <v>0</v>
      </c>
      <c r="AD176" s="6"/>
      <c r="AE176" s="6"/>
      <c r="AF176" s="6"/>
      <c r="AG176" s="6"/>
      <c r="AH176" s="6"/>
      <c r="AI176" s="121">
        <f t="shared" si="24"/>
        <v>0</v>
      </c>
      <c r="AJ176" s="6"/>
      <c r="AK176" s="122"/>
      <c r="AL176" s="6"/>
      <c r="AM176" s="6"/>
      <c r="AN176" s="6"/>
      <c r="AO176" s="6"/>
      <c r="AP176" s="121">
        <f t="shared" si="25"/>
        <v>0</v>
      </c>
      <c r="AQ176" s="6"/>
      <c r="AR176" s="6"/>
      <c r="AS176" s="6"/>
      <c r="AT176" s="6"/>
      <c r="AU176" s="6"/>
      <c r="AV176" s="6">
        <v>250000.0</v>
      </c>
      <c r="AW176" s="6"/>
      <c r="AX176" s="121">
        <f t="shared" si="26"/>
        <v>250000</v>
      </c>
      <c r="AY176" s="6"/>
      <c r="AZ176" s="6"/>
      <c r="BA176" s="6"/>
      <c r="BB176" s="6"/>
      <c r="BC176" s="6"/>
      <c r="BD176" s="121">
        <f t="shared" si="6"/>
        <v>0</v>
      </c>
      <c r="BE176" s="123"/>
      <c r="BF176" s="6">
        <f t="shared" si="7"/>
        <v>250000</v>
      </c>
      <c r="BG176" s="124">
        <f t="shared" si="27"/>
        <v>0</v>
      </c>
      <c r="BH176" s="6"/>
      <c r="BI176" s="2"/>
    </row>
    <row r="177" ht="12.75" customHeight="1">
      <c r="A177" s="71">
        <v>117.0</v>
      </c>
      <c r="B177" s="71"/>
      <c r="C177" s="11">
        <v>45789.0</v>
      </c>
      <c r="D177" s="11"/>
      <c r="E177" s="2" t="s">
        <v>652</v>
      </c>
      <c r="F177" s="2" t="s">
        <v>653</v>
      </c>
      <c r="G177" s="2" t="s">
        <v>655</v>
      </c>
      <c r="H177" s="54"/>
      <c r="I177" s="11" t="s">
        <v>656</v>
      </c>
      <c r="J177" s="54" t="s">
        <v>1014</v>
      </c>
      <c r="K177" s="54" t="s">
        <v>912</v>
      </c>
      <c r="L177" s="5">
        <v>263736.0</v>
      </c>
      <c r="M177" s="5"/>
      <c r="N177" s="5">
        <v>263736.0</v>
      </c>
      <c r="O177" s="5"/>
      <c r="P177" s="5">
        <v>263736.0</v>
      </c>
      <c r="Q177" s="5"/>
      <c r="R177" s="6"/>
      <c r="S177" s="6"/>
      <c r="T177" s="6"/>
      <c r="U177" s="6"/>
      <c r="V177" s="6"/>
      <c r="W177" s="6"/>
      <c r="X177" s="121">
        <f t="shared" si="22"/>
        <v>0</v>
      </c>
      <c r="Y177" s="6"/>
      <c r="Z177" s="6"/>
      <c r="AA177" s="6"/>
      <c r="AB177" s="6"/>
      <c r="AC177" s="121">
        <f t="shared" si="23"/>
        <v>0</v>
      </c>
      <c r="AD177" s="6"/>
      <c r="AE177" s="6"/>
      <c r="AF177" s="6"/>
      <c r="AG177" s="6"/>
      <c r="AH177" s="6"/>
      <c r="AI177" s="121">
        <f t="shared" si="24"/>
        <v>0</v>
      </c>
      <c r="AJ177" s="6"/>
      <c r="AK177" s="122"/>
      <c r="AL177" s="6"/>
      <c r="AM177" s="6"/>
      <c r="AN177" s="6"/>
      <c r="AO177" s="6"/>
      <c r="AP177" s="121">
        <f t="shared" si="25"/>
        <v>0</v>
      </c>
      <c r="AQ177" s="6"/>
      <c r="AR177" s="6"/>
      <c r="AS177" s="6"/>
      <c r="AT177" s="6"/>
      <c r="AU177" s="6"/>
      <c r="AV177" s="6">
        <v>263736.0</v>
      </c>
      <c r="AW177" s="6"/>
      <c r="AX177" s="121">
        <f t="shared" si="26"/>
        <v>263736</v>
      </c>
      <c r="AY177" s="6"/>
      <c r="AZ177" s="6"/>
      <c r="BA177" s="6"/>
      <c r="BB177" s="6"/>
      <c r="BC177" s="6"/>
      <c r="BD177" s="121">
        <f t="shared" si="6"/>
        <v>0</v>
      </c>
      <c r="BE177" s="123"/>
      <c r="BF177" s="6">
        <f t="shared" si="7"/>
        <v>263736</v>
      </c>
      <c r="BG177" s="124">
        <f t="shared" si="27"/>
        <v>0</v>
      </c>
      <c r="BH177" s="6"/>
      <c r="BI177" s="2"/>
    </row>
    <row r="178" ht="12.75" customHeight="1">
      <c r="A178" s="71">
        <v>118.0</v>
      </c>
      <c r="B178" s="71"/>
      <c r="C178" s="11">
        <v>45824.0</v>
      </c>
      <c r="D178" s="51"/>
      <c r="E178" s="2" t="s">
        <v>657</v>
      </c>
      <c r="F178" s="2" t="s">
        <v>658</v>
      </c>
      <c r="G178" s="2" t="s">
        <v>660</v>
      </c>
      <c r="H178" s="54"/>
      <c r="I178" s="11" t="s">
        <v>568</v>
      </c>
      <c r="J178" s="54" t="s">
        <v>1015</v>
      </c>
      <c r="K178" s="54" t="s">
        <v>860</v>
      </c>
      <c r="L178" s="5">
        <v>1658828.79</v>
      </c>
      <c r="M178" s="5"/>
      <c r="N178" s="5">
        <v>1658828.79</v>
      </c>
      <c r="O178" s="5"/>
      <c r="P178" s="5">
        <v>1658828.79</v>
      </c>
      <c r="Q178" s="5"/>
      <c r="R178" s="6"/>
      <c r="S178" s="6"/>
      <c r="T178" s="6"/>
      <c r="U178" s="6"/>
      <c r="V178" s="6"/>
      <c r="W178" s="6"/>
      <c r="X178" s="121">
        <f t="shared" si="22"/>
        <v>0</v>
      </c>
      <c r="Y178" s="6"/>
      <c r="Z178" s="6"/>
      <c r="AA178" s="6"/>
      <c r="AB178" s="6"/>
      <c r="AC178" s="121">
        <f t="shared" si="23"/>
        <v>0</v>
      </c>
      <c r="AD178" s="6"/>
      <c r="AE178" s="6"/>
      <c r="AF178" s="6"/>
      <c r="AG178" s="6"/>
      <c r="AH178" s="6"/>
      <c r="AI178" s="121">
        <f t="shared" si="24"/>
        <v>0</v>
      </c>
      <c r="AJ178" s="6"/>
      <c r="AK178" s="122"/>
      <c r="AL178" s="6"/>
      <c r="AM178" s="6"/>
      <c r="AN178" s="6"/>
      <c r="AO178" s="6"/>
      <c r="AP178" s="121">
        <f t="shared" si="25"/>
        <v>0</v>
      </c>
      <c r="AQ178" s="6"/>
      <c r="AR178" s="6"/>
      <c r="AS178" s="6"/>
      <c r="AT178" s="6"/>
      <c r="AU178" s="6"/>
      <c r="AV178" s="6">
        <v>60000.0</v>
      </c>
      <c r="AW178" s="6">
        <v>600000.0</v>
      </c>
      <c r="AX178" s="121">
        <f t="shared" si="26"/>
        <v>660000</v>
      </c>
      <c r="AY178" s="6">
        <v>250000.0</v>
      </c>
      <c r="AZ178" s="6"/>
      <c r="BA178" s="6"/>
      <c r="BB178" s="6"/>
      <c r="BC178" s="6"/>
      <c r="BD178" s="121">
        <f t="shared" si="6"/>
        <v>250000</v>
      </c>
      <c r="BE178" s="123"/>
      <c r="BF178" s="6">
        <f t="shared" si="7"/>
        <v>910000</v>
      </c>
      <c r="BG178" s="124">
        <f t="shared" si="27"/>
        <v>748828.79</v>
      </c>
      <c r="BH178" s="6"/>
      <c r="BI178" s="2"/>
    </row>
    <row r="179" ht="12.75" customHeight="1">
      <c r="A179" s="71">
        <v>118.0</v>
      </c>
      <c r="B179" s="71"/>
      <c r="C179" s="11">
        <v>45791.0</v>
      </c>
      <c r="D179" s="11"/>
      <c r="E179" s="2" t="s">
        <v>661</v>
      </c>
      <c r="F179" s="2" t="s">
        <v>658</v>
      </c>
      <c r="G179" s="2" t="s">
        <v>660</v>
      </c>
      <c r="H179" s="54"/>
      <c r="I179" s="11" t="s">
        <v>568</v>
      </c>
      <c r="J179" s="54" t="s">
        <v>1016</v>
      </c>
      <c r="K179" s="54" t="s">
        <v>860</v>
      </c>
      <c r="L179" s="5">
        <v>141000.45</v>
      </c>
      <c r="M179" s="5"/>
      <c r="N179" s="5">
        <v>141000.45</v>
      </c>
      <c r="O179" s="5"/>
      <c r="P179" s="5">
        <v>141000.45</v>
      </c>
      <c r="Q179" s="5"/>
      <c r="R179" s="6"/>
      <c r="S179" s="6"/>
      <c r="T179" s="6"/>
      <c r="U179" s="6"/>
      <c r="V179" s="6"/>
      <c r="W179" s="6"/>
      <c r="X179" s="121">
        <f t="shared" si="22"/>
        <v>0</v>
      </c>
      <c r="Y179" s="6"/>
      <c r="Z179" s="6"/>
      <c r="AA179" s="6"/>
      <c r="AB179" s="6"/>
      <c r="AC179" s="121">
        <f t="shared" si="23"/>
        <v>0</v>
      </c>
      <c r="AD179" s="6"/>
      <c r="AE179" s="6"/>
      <c r="AF179" s="6"/>
      <c r="AG179" s="6"/>
      <c r="AH179" s="6"/>
      <c r="AI179" s="121">
        <f t="shared" si="24"/>
        <v>0</v>
      </c>
      <c r="AJ179" s="6"/>
      <c r="AK179" s="122"/>
      <c r="AL179" s="6"/>
      <c r="AM179" s="6"/>
      <c r="AN179" s="6"/>
      <c r="AO179" s="6"/>
      <c r="AP179" s="121">
        <f t="shared" si="25"/>
        <v>0</v>
      </c>
      <c r="AQ179" s="6"/>
      <c r="AR179" s="6"/>
      <c r="AS179" s="6"/>
      <c r="AT179" s="6"/>
      <c r="AU179" s="6"/>
      <c r="AV179" s="6">
        <v>141000.45</v>
      </c>
      <c r="AW179" s="6"/>
      <c r="AX179" s="121">
        <f t="shared" si="26"/>
        <v>141000.45</v>
      </c>
      <c r="AY179" s="6"/>
      <c r="AZ179" s="6"/>
      <c r="BA179" s="6"/>
      <c r="BB179" s="6"/>
      <c r="BC179" s="6"/>
      <c r="BD179" s="121">
        <f t="shared" si="6"/>
        <v>0</v>
      </c>
      <c r="BE179" s="123"/>
      <c r="BF179" s="6">
        <f t="shared" si="7"/>
        <v>141000.45</v>
      </c>
      <c r="BG179" s="124">
        <f t="shared" si="27"/>
        <v>0</v>
      </c>
      <c r="BH179" s="6"/>
      <c r="BI179" s="2"/>
    </row>
    <row r="180" ht="12.75" customHeight="1">
      <c r="A180" s="71">
        <v>119.0</v>
      </c>
      <c r="B180" s="71"/>
      <c r="C180" s="11">
        <v>45916.0</v>
      </c>
      <c r="D180" s="11"/>
      <c r="E180" s="2" t="s">
        <v>662</v>
      </c>
      <c r="F180" s="2" t="s">
        <v>663</v>
      </c>
      <c r="G180" s="2" t="s">
        <v>665</v>
      </c>
      <c r="H180" s="54"/>
      <c r="I180" s="11" t="s">
        <v>666</v>
      </c>
      <c r="J180" s="54" t="s">
        <v>1017</v>
      </c>
      <c r="K180" s="54" t="s">
        <v>854</v>
      </c>
      <c r="L180" s="5">
        <v>8200000.0</v>
      </c>
      <c r="M180" s="5"/>
      <c r="N180" s="5">
        <v>8200000.0</v>
      </c>
      <c r="O180" s="5"/>
      <c r="P180" s="5">
        <v>8200000.0</v>
      </c>
      <c r="Q180" s="5"/>
      <c r="R180" s="6"/>
      <c r="S180" s="6"/>
      <c r="T180" s="6"/>
      <c r="U180" s="6"/>
      <c r="V180" s="6"/>
      <c r="W180" s="6"/>
      <c r="X180" s="121">
        <f t="shared" si="22"/>
        <v>0</v>
      </c>
      <c r="Y180" s="6"/>
      <c r="Z180" s="6"/>
      <c r="AA180" s="6"/>
      <c r="AB180" s="6"/>
      <c r="AC180" s="121">
        <f t="shared" si="23"/>
        <v>0</v>
      </c>
      <c r="AD180" s="6"/>
      <c r="AE180" s="6"/>
      <c r="AF180" s="6"/>
      <c r="AG180" s="6"/>
      <c r="AH180" s="6"/>
      <c r="AI180" s="121">
        <f t="shared" si="24"/>
        <v>0</v>
      </c>
      <c r="AJ180" s="6"/>
      <c r="AK180" s="122"/>
      <c r="AL180" s="6"/>
      <c r="AM180" s="6"/>
      <c r="AN180" s="6"/>
      <c r="AO180" s="6"/>
      <c r="AP180" s="121">
        <f t="shared" si="25"/>
        <v>0</v>
      </c>
      <c r="AQ180" s="6"/>
      <c r="AR180" s="6"/>
      <c r="AS180" s="6"/>
      <c r="AT180" s="6"/>
      <c r="AU180" s="6"/>
      <c r="AV180" s="6"/>
      <c r="AW180" s="6">
        <v>200000.0</v>
      </c>
      <c r="AX180" s="121">
        <f t="shared" si="26"/>
        <v>200000</v>
      </c>
      <c r="AY180" s="6">
        <v>500000.0</v>
      </c>
      <c r="AZ180" s="6"/>
      <c r="BA180" s="6"/>
      <c r="BB180" s="6"/>
      <c r="BC180" s="6"/>
      <c r="BD180" s="121">
        <f t="shared" si="6"/>
        <v>500000</v>
      </c>
      <c r="BE180" s="123"/>
      <c r="BF180" s="6">
        <f t="shared" si="7"/>
        <v>700000</v>
      </c>
      <c r="BG180" s="124">
        <f t="shared" si="27"/>
        <v>7500000</v>
      </c>
      <c r="BH180" s="6"/>
      <c r="BI180" s="2"/>
    </row>
    <row r="181" ht="12.75" customHeight="1">
      <c r="A181" s="71">
        <v>120.0</v>
      </c>
      <c r="B181" s="71"/>
      <c r="C181" s="11">
        <v>45791.0</v>
      </c>
      <c r="D181" s="11"/>
      <c r="E181" s="2" t="s">
        <v>667</v>
      </c>
      <c r="F181" s="2" t="s">
        <v>668</v>
      </c>
      <c r="G181" s="2" t="s">
        <v>670</v>
      </c>
      <c r="H181" s="54"/>
      <c r="I181" s="11" t="s">
        <v>671</v>
      </c>
      <c r="J181" s="54" t="s">
        <v>1018</v>
      </c>
      <c r="K181" s="54" t="s">
        <v>860</v>
      </c>
      <c r="L181" s="5">
        <v>1540000.0</v>
      </c>
      <c r="M181" s="5"/>
      <c r="N181" s="5">
        <v>1540000.0</v>
      </c>
      <c r="O181" s="5"/>
      <c r="P181" s="5">
        <v>1540000.0</v>
      </c>
      <c r="Q181" s="5"/>
      <c r="R181" s="6"/>
      <c r="S181" s="6"/>
      <c r="T181" s="6"/>
      <c r="U181" s="6"/>
      <c r="V181" s="6"/>
      <c r="W181" s="6"/>
      <c r="X181" s="121">
        <f t="shared" si="22"/>
        <v>0</v>
      </c>
      <c r="Y181" s="6"/>
      <c r="Z181" s="6"/>
      <c r="AA181" s="6"/>
      <c r="AB181" s="6"/>
      <c r="AC181" s="121">
        <f t="shared" si="23"/>
        <v>0</v>
      </c>
      <c r="AD181" s="6"/>
      <c r="AE181" s="6"/>
      <c r="AF181" s="6"/>
      <c r="AG181" s="6"/>
      <c r="AH181" s="6"/>
      <c r="AI181" s="121">
        <f t="shared" si="24"/>
        <v>0</v>
      </c>
      <c r="AJ181" s="6"/>
      <c r="AK181" s="122"/>
      <c r="AL181" s="6"/>
      <c r="AM181" s="6"/>
      <c r="AN181" s="6"/>
      <c r="AO181" s="6"/>
      <c r="AP181" s="121">
        <f t="shared" si="25"/>
        <v>0</v>
      </c>
      <c r="AQ181" s="6"/>
      <c r="AR181" s="6"/>
      <c r="AS181" s="6"/>
      <c r="AT181" s="6"/>
      <c r="AU181" s="6"/>
      <c r="AV181" s="6">
        <v>1540000.0</v>
      </c>
      <c r="AW181" s="6"/>
      <c r="AX181" s="121">
        <f t="shared" si="26"/>
        <v>1540000</v>
      </c>
      <c r="AY181" s="6"/>
      <c r="AZ181" s="6"/>
      <c r="BA181" s="6"/>
      <c r="BB181" s="6"/>
      <c r="BC181" s="6"/>
      <c r="BD181" s="121">
        <f t="shared" si="6"/>
        <v>0</v>
      </c>
      <c r="BE181" s="123"/>
      <c r="BF181" s="6">
        <f t="shared" si="7"/>
        <v>1540000</v>
      </c>
      <c r="BG181" s="124">
        <f t="shared" si="27"/>
        <v>0</v>
      </c>
      <c r="BH181" s="6"/>
      <c r="BI181" s="2"/>
    </row>
    <row r="182" ht="12.75" customHeight="1">
      <c r="A182" s="71">
        <v>121.0</v>
      </c>
      <c r="B182" s="71"/>
      <c r="C182" s="11">
        <v>45811.0</v>
      </c>
      <c r="D182" s="11"/>
      <c r="E182" s="2" t="s">
        <v>672</v>
      </c>
      <c r="F182" s="2" t="s">
        <v>673</v>
      </c>
      <c r="G182" s="2" t="s">
        <v>675</v>
      </c>
      <c r="H182" s="54"/>
      <c r="I182" s="11" t="s">
        <v>676</v>
      </c>
      <c r="J182" s="54" t="s">
        <v>1019</v>
      </c>
      <c r="K182" s="54" t="s">
        <v>860</v>
      </c>
      <c r="L182" s="5">
        <v>1000000.0</v>
      </c>
      <c r="M182" s="5"/>
      <c r="N182" s="5">
        <v>1000000.0</v>
      </c>
      <c r="O182" s="5"/>
      <c r="P182" s="5">
        <v>1000000.0</v>
      </c>
      <c r="Q182" s="5"/>
      <c r="R182" s="6"/>
      <c r="S182" s="6"/>
      <c r="T182" s="6"/>
      <c r="U182" s="6"/>
      <c r="V182" s="6"/>
      <c r="W182" s="6"/>
      <c r="X182" s="121">
        <f t="shared" si="22"/>
        <v>0</v>
      </c>
      <c r="Y182" s="6"/>
      <c r="Z182" s="6"/>
      <c r="AA182" s="6"/>
      <c r="AB182" s="6"/>
      <c r="AC182" s="121">
        <f t="shared" si="23"/>
        <v>0</v>
      </c>
      <c r="AD182" s="6"/>
      <c r="AE182" s="6"/>
      <c r="AF182" s="6"/>
      <c r="AG182" s="6"/>
      <c r="AH182" s="6"/>
      <c r="AI182" s="121">
        <f t="shared" si="24"/>
        <v>0</v>
      </c>
      <c r="AJ182" s="6"/>
      <c r="AK182" s="122"/>
      <c r="AL182" s="6"/>
      <c r="AM182" s="6"/>
      <c r="AN182" s="6"/>
      <c r="AO182" s="6"/>
      <c r="AP182" s="121">
        <f t="shared" si="25"/>
        <v>0</v>
      </c>
      <c r="AQ182" s="6"/>
      <c r="AR182" s="6"/>
      <c r="AS182" s="6"/>
      <c r="AT182" s="6"/>
      <c r="AU182" s="6"/>
      <c r="AV182" s="6">
        <v>300000.0</v>
      </c>
      <c r="AW182" s="6">
        <v>50000.0</v>
      </c>
      <c r="AX182" s="121">
        <f t="shared" si="26"/>
        <v>350000</v>
      </c>
      <c r="AY182" s="6">
        <v>150000.0</v>
      </c>
      <c r="AZ182" s="6"/>
      <c r="BA182" s="6"/>
      <c r="BB182" s="6"/>
      <c r="BC182" s="6"/>
      <c r="BD182" s="121">
        <f t="shared" si="6"/>
        <v>150000</v>
      </c>
      <c r="BE182" s="123"/>
      <c r="BF182" s="6">
        <f t="shared" si="7"/>
        <v>500000</v>
      </c>
      <c r="BG182" s="124">
        <f t="shared" si="27"/>
        <v>500000</v>
      </c>
      <c r="BH182" s="6"/>
      <c r="BI182" s="2"/>
    </row>
    <row r="183" ht="12.75" customHeight="1">
      <c r="A183" s="71">
        <v>122.0</v>
      </c>
      <c r="B183" s="71"/>
      <c r="C183" s="11">
        <v>45833.0</v>
      </c>
      <c r="D183" s="11"/>
      <c r="E183" s="2" t="s">
        <v>677</v>
      </c>
      <c r="F183" s="2" t="s">
        <v>678</v>
      </c>
      <c r="G183" s="2" t="s">
        <v>680</v>
      </c>
      <c r="H183" s="54"/>
      <c r="I183" s="11" t="s">
        <v>681</v>
      </c>
      <c r="J183" s="54" t="s">
        <v>1020</v>
      </c>
      <c r="K183" s="54" t="s">
        <v>860</v>
      </c>
      <c r="L183" s="5">
        <v>1000000.0</v>
      </c>
      <c r="M183" s="5"/>
      <c r="N183" s="5">
        <v>1000000.0</v>
      </c>
      <c r="O183" s="5"/>
      <c r="P183" s="5">
        <v>1000000.0</v>
      </c>
      <c r="Q183" s="5"/>
      <c r="R183" s="6"/>
      <c r="S183" s="6"/>
      <c r="T183" s="6"/>
      <c r="U183" s="6"/>
      <c r="V183" s="6"/>
      <c r="W183" s="6"/>
      <c r="X183" s="121">
        <f t="shared" si="22"/>
        <v>0</v>
      </c>
      <c r="Y183" s="6"/>
      <c r="Z183" s="6"/>
      <c r="AA183" s="6"/>
      <c r="AB183" s="6"/>
      <c r="AC183" s="121">
        <f t="shared" si="23"/>
        <v>0</v>
      </c>
      <c r="AD183" s="6"/>
      <c r="AE183" s="6"/>
      <c r="AF183" s="6"/>
      <c r="AG183" s="6"/>
      <c r="AH183" s="6"/>
      <c r="AI183" s="121">
        <f t="shared" si="24"/>
        <v>0</v>
      </c>
      <c r="AJ183" s="6"/>
      <c r="AK183" s="122"/>
      <c r="AL183" s="6"/>
      <c r="AM183" s="6"/>
      <c r="AN183" s="6"/>
      <c r="AO183" s="6"/>
      <c r="AP183" s="121">
        <f t="shared" si="25"/>
        <v>0</v>
      </c>
      <c r="AQ183" s="6"/>
      <c r="AR183" s="6"/>
      <c r="AS183" s="6"/>
      <c r="AT183" s="6"/>
      <c r="AU183" s="6"/>
      <c r="AV183" s="6">
        <v>300000.0</v>
      </c>
      <c r="AW183" s="6"/>
      <c r="AX183" s="121">
        <f t="shared" si="26"/>
        <v>300000</v>
      </c>
      <c r="AY183" s="6">
        <v>250000.0</v>
      </c>
      <c r="AZ183" s="6"/>
      <c r="BA183" s="6"/>
      <c r="BB183" s="6"/>
      <c r="BC183" s="6"/>
      <c r="BD183" s="121">
        <f t="shared" si="6"/>
        <v>250000</v>
      </c>
      <c r="BE183" s="123"/>
      <c r="BF183" s="6">
        <f t="shared" si="7"/>
        <v>550000</v>
      </c>
      <c r="BG183" s="124">
        <f t="shared" si="27"/>
        <v>450000</v>
      </c>
      <c r="BH183" s="6"/>
      <c r="BI183" s="2"/>
    </row>
    <row r="184" ht="12.75" customHeight="1">
      <c r="A184" s="71">
        <v>123.0</v>
      </c>
      <c r="B184" s="71"/>
      <c r="C184" s="11">
        <v>45852.0</v>
      </c>
      <c r="D184" s="11"/>
      <c r="E184" s="2" t="s">
        <v>682</v>
      </c>
      <c r="F184" s="2" t="s">
        <v>683</v>
      </c>
      <c r="G184" s="2" t="s">
        <v>685</v>
      </c>
      <c r="H184" s="54"/>
      <c r="I184" s="11" t="s">
        <v>686</v>
      </c>
      <c r="J184" s="54" t="s">
        <v>1021</v>
      </c>
      <c r="K184" s="54" t="s">
        <v>912</v>
      </c>
      <c r="L184" s="5">
        <v>233280.0</v>
      </c>
      <c r="M184" s="5"/>
      <c r="N184" s="5">
        <v>233280.0</v>
      </c>
      <c r="O184" s="5"/>
      <c r="P184" s="5">
        <v>233280.0</v>
      </c>
      <c r="Q184" s="5"/>
      <c r="R184" s="6"/>
      <c r="S184" s="6"/>
      <c r="T184" s="6"/>
      <c r="U184" s="6"/>
      <c r="V184" s="6"/>
      <c r="W184" s="6"/>
      <c r="X184" s="121">
        <f t="shared" si="22"/>
        <v>0</v>
      </c>
      <c r="Y184" s="6"/>
      <c r="Z184" s="6"/>
      <c r="AA184" s="6"/>
      <c r="AB184" s="6"/>
      <c r="AC184" s="121">
        <f t="shared" si="23"/>
        <v>0</v>
      </c>
      <c r="AD184" s="6"/>
      <c r="AE184" s="6"/>
      <c r="AF184" s="6"/>
      <c r="AG184" s="6"/>
      <c r="AH184" s="6"/>
      <c r="AI184" s="121">
        <f t="shared" si="24"/>
        <v>0</v>
      </c>
      <c r="AJ184" s="6"/>
      <c r="AK184" s="122"/>
      <c r="AL184" s="6"/>
      <c r="AM184" s="6"/>
      <c r="AN184" s="6"/>
      <c r="AO184" s="6"/>
      <c r="AP184" s="121">
        <f t="shared" si="25"/>
        <v>0</v>
      </c>
      <c r="AQ184" s="6"/>
      <c r="AR184" s="6"/>
      <c r="AS184" s="6"/>
      <c r="AT184" s="6"/>
      <c r="AU184" s="6"/>
      <c r="AV184" s="6">
        <v>233280.0</v>
      </c>
      <c r="AW184" s="6"/>
      <c r="AX184" s="121">
        <f t="shared" si="26"/>
        <v>233280</v>
      </c>
      <c r="AY184" s="6"/>
      <c r="AZ184" s="6"/>
      <c r="BA184" s="6"/>
      <c r="BB184" s="6"/>
      <c r="BC184" s="6"/>
      <c r="BD184" s="121">
        <f t="shared" si="6"/>
        <v>0</v>
      </c>
      <c r="BE184" s="123"/>
      <c r="BF184" s="6">
        <f t="shared" si="7"/>
        <v>233280</v>
      </c>
      <c r="BG184" s="124">
        <f t="shared" si="27"/>
        <v>0</v>
      </c>
      <c r="BH184" s="6"/>
      <c r="BI184" s="2"/>
    </row>
    <row r="185" ht="12.75" customHeight="1">
      <c r="A185" s="71">
        <v>124.0</v>
      </c>
      <c r="B185" s="71"/>
      <c r="C185" s="11">
        <v>45882.0</v>
      </c>
      <c r="D185" s="11"/>
      <c r="E185" s="2" t="s">
        <v>687</v>
      </c>
      <c r="F185" s="2" t="s">
        <v>688</v>
      </c>
      <c r="G185" s="2" t="s">
        <v>690</v>
      </c>
      <c r="H185" s="54"/>
      <c r="I185" s="11" t="s">
        <v>691</v>
      </c>
      <c r="J185" s="54" t="s">
        <v>1022</v>
      </c>
      <c r="K185" s="54" t="s">
        <v>854</v>
      </c>
      <c r="L185" s="5">
        <v>13237.86</v>
      </c>
      <c r="M185" s="5"/>
      <c r="N185" s="5">
        <v>13237.86</v>
      </c>
      <c r="O185" s="5"/>
      <c r="P185" s="5">
        <v>13237.86</v>
      </c>
      <c r="Q185" s="5"/>
      <c r="R185" s="6"/>
      <c r="S185" s="6"/>
      <c r="T185" s="6"/>
      <c r="U185" s="6"/>
      <c r="V185" s="6"/>
      <c r="W185" s="6"/>
      <c r="X185" s="121">
        <f t="shared" si="22"/>
        <v>0</v>
      </c>
      <c r="Y185" s="6"/>
      <c r="Z185" s="6"/>
      <c r="AA185" s="6"/>
      <c r="AB185" s="6"/>
      <c r="AC185" s="121">
        <f t="shared" si="23"/>
        <v>0</v>
      </c>
      <c r="AD185" s="6"/>
      <c r="AE185" s="6"/>
      <c r="AF185" s="6"/>
      <c r="AG185" s="6"/>
      <c r="AH185" s="6"/>
      <c r="AI185" s="121">
        <f t="shared" si="24"/>
        <v>0</v>
      </c>
      <c r="AJ185" s="6"/>
      <c r="AK185" s="122"/>
      <c r="AL185" s="6"/>
      <c r="AM185" s="6"/>
      <c r="AN185" s="6"/>
      <c r="AO185" s="6"/>
      <c r="AP185" s="121">
        <f t="shared" si="25"/>
        <v>0</v>
      </c>
      <c r="AQ185" s="6"/>
      <c r="AR185" s="6"/>
      <c r="AS185" s="6"/>
      <c r="AT185" s="6"/>
      <c r="AU185" s="6"/>
      <c r="AV185" s="6"/>
      <c r="AW185" s="6">
        <v>13237.86</v>
      </c>
      <c r="AX185" s="121">
        <f t="shared" si="26"/>
        <v>13237.86</v>
      </c>
      <c r="AY185" s="6"/>
      <c r="AZ185" s="6"/>
      <c r="BA185" s="6"/>
      <c r="BB185" s="6"/>
      <c r="BC185" s="6"/>
      <c r="BD185" s="121">
        <f t="shared" si="6"/>
        <v>0</v>
      </c>
      <c r="BE185" s="123"/>
      <c r="BF185" s="6">
        <f t="shared" si="7"/>
        <v>13237.86</v>
      </c>
      <c r="BG185" s="124">
        <f t="shared" si="27"/>
        <v>0</v>
      </c>
      <c r="BH185" s="6"/>
      <c r="BI185" s="2"/>
    </row>
    <row r="186" ht="12.75" customHeight="1">
      <c r="A186" s="71">
        <v>124.0</v>
      </c>
      <c r="B186" s="71"/>
      <c r="C186" s="11">
        <v>45882.0</v>
      </c>
      <c r="D186" s="11"/>
      <c r="E186" s="2" t="s">
        <v>687</v>
      </c>
      <c r="F186" s="2" t="s">
        <v>688</v>
      </c>
      <c r="G186" s="2" t="s">
        <v>690</v>
      </c>
      <c r="H186" s="54"/>
      <c r="I186" s="11" t="s">
        <v>691</v>
      </c>
      <c r="J186" s="54" t="s">
        <v>1023</v>
      </c>
      <c r="K186" s="54" t="s">
        <v>854</v>
      </c>
      <c r="L186" s="5">
        <v>36762.14</v>
      </c>
      <c r="M186" s="5"/>
      <c r="N186" s="5">
        <v>36762.14</v>
      </c>
      <c r="O186" s="5"/>
      <c r="P186" s="5">
        <v>36762.14</v>
      </c>
      <c r="Q186" s="5"/>
      <c r="R186" s="6"/>
      <c r="S186" s="6"/>
      <c r="T186" s="6"/>
      <c r="U186" s="6"/>
      <c r="V186" s="6"/>
      <c r="W186" s="6"/>
      <c r="X186" s="121">
        <f t="shared" si="22"/>
        <v>0</v>
      </c>
      <c r="Y186" s="6"/>
      <c r="Z186" s="6"/>
      <c r="AA186" s="6"/>
      <c r="AB186" s="6"/>
      <c r="AC186" s="121">
        <f t="shared" si="23"/>
        <v>0</v>
      </c>
      <c r="AD186" s="6"/>
      <c r="AE186" s="6"/>
      <c r="AF186" s="6"/>
      <c r="AG186" s="6"/>
      <c r="AH186" s="6"/>
      <c r="AI186" s="121">
        <f t="shared" si="24"/>
        <v>0</v>
      </c>
      <c r="AJ186" s="6"/>
      <c r="AK186" s="122"/>
      <c r="AL186" s="6"/>
      <c r="AM186" s="6"/>
      <c r="AN186" s="6"/>
      <c r="AO186" s="6"/>
      <c r="AP186" s="121">
        <f t="shared" si="25"/>
        <v>0</v>
      </c>
      <c r="AQ186" s="6"/>
      <c r="AR186" s="6"/>
      <c r="AS186" s="6"/>
      <c r="AT186" s="6"/>
      <c r="AU186" s="6"/>
      <c r="AV186" s="6"/>
      <c r="AW186" s="6">
        <v>36762.14</v>
      </c>
      <c r="AX186" s="121">
        <f t="shared" si="26"/>
        <v>36762.14</v>
      </c>
      <c r="AY186" s="6"/>
      <c r="AZ186" s="6"/>
      <c r="BA186" s="6"/>
      <c r="BB186" s="6"/>
      <c r="BC186" s="6"/>
      <c r="BD186" s="121">
        <f t="shared" si="6"/>
        <v>0</v>
      </c>
      <c r="BE186" s="123"/>
      <c r="BF186" s="6">
        <f t="shared" si="7"/>
        <v>36762.14</v>
      </c>
      <c r="BG186" s="124">
        <f t="shared" si="27"/>
        <v>0</v>
      </c>
      <c r="BH186" s="6"/>
      <c r="BI186" s="2"/>
    </row>
    <row r="187" ht="12.75" customHeight="1">
      <c r="A187" s="71">
        <v>125.0</v>
      </c>
      <c r="B187" s="71"/>
      <c r="C187" s="11">
        <v>45883.0</v>
      </c>
      <c r="D187" s="11"/>
      <c r="E187" s="2" t="s">
        <v>692</v>
      </c>
      <c r="F187" s="2" t="s">
        <v>693</v>
      </c>
      <c r="G187" s="2" t="s">
        <v>695</v>
      </c>
      <c r="H187" s="54"/>
      <c r="I187" s="11" t="s">
        <v>696</v>
      </c>
      <c r="J187" s="54" t="s">
        <v>1024</v>
      </c>
      <c r="K187" s="54" t="s">
        <v>851</v>
      </c>
      <c r="L187" s="5">
        <v>1479870.0</v>
      </c>
      <c r="M187" s="5"/>
      <c r="N187" s="5">
        <v>1479870.0</v>
      </c>
      <c r="O187" s="5"/>
      <c r="P187" s="5">
        <v>1479870.0</v>
      </c>
      <c r="Q187" s="5"/>
      <c r="R187" s="6"/>
      <c r="S187" s="6"/>
      <c r="T187" s="6"/>
      <c r="U187" s="6"/>
      <c r="V187" s="6"/>
      <c r="W187" s="6"/>
      <c r="X187" s="121">
        <f t="shared" si="22"/>
        <v>0</v>
      </c>
      <c r="Y187" s="6"/>
      <c r="Z187" s="6"/>
      <c r="AA187" s="6"/>
      <c r="AB187" s="6"/>
      <c r="AC187" s="121">
        <f t="shared" si="23"/>
        <v>0</v>
      </c>
      <c r="AD187" s="6"/>
      <c r="AE187" s="6"/>
      <c r="AF187" s="6"/>
      <c r="AG187" s="6"/>
      <c r="AH187" s="6"/>
      <c r="AI187" s="121">
        <f t="shared" si="24"/>
        <v>0</v>
      </c>
      <c r="AJ187" s="6"/>
      <c r="AK187" s="122"/>
      <c r="AL187" s="6"/>
      <c r="AM187" s="6"/>
      <c r="AN187" s="6"/>
      <c r="AO187" s="6"/>
      <c r="AP187" s="121">
        <f t="shared" si="25"/>
        <v>0</v>
      </c>
      <c r="AQ187" s="6"/>
      <c r="AR187" s="6"/>
      <c r="AS187" s="6"/>
      <c r="AT187" s="6"/>
      <c r="AU187" s="6"/>
      <c r="AV187" s="6"/>
      <c r="AW187" s="6">
        <v>325000.0</v>
      </c>
      <c r="AX187" s="121">
        <f t="shared" si="26"/>
        <v>325000</v>
      </c>
      <c r="AY187" s="6">
        <v>250000.0</v>
      </c>
      <c r="AZ187" s="6"/>
      <c r="BA187" s="6"/>
      <c r="BB187" s="6"/>
      <c r="BC187" s="6"/>
      <c r="BD187" s="121">
        <f t="shared" si="6"/>
        <v>250000</v>
      </c>
      <c r="BE187" s="123"/>
      <c r="BF187" s="6">
        <f t="shared" si="7"/>
        <v>575000</v>
      </c>
      <c r="BG187" s="124">
        <f t="shared" si="27"/>
        <v>904870</v>
      </c>
      <c r="BH187" s="6"/>
      <c r="BI187" s="2"/>
    </row>
    <row r="188" ht="12.75" customHeight="1">
      <c r="A188" s="71">
        <v>126.0</v>
      </c>
      <c r="B188" s="71"/>
      <c r="C188" s="11">
        <v>45894.0</v>
      </c>
      <c r="D188" s="11"/>
      <c r="E188" s="2" t="s">
        <v>697</v>
      </c>
      <c r="F188" s="2" t="s">
        <v>698</v>
      </c>
      <c r="G188" s="2" t="s">
        <v>700</v>
      </c>
      <c r="H188" s="54"/>
      <c r="I188" s="11" t="s">
        <v>701</v>
      </c>
      <c r="J188" s="54" t="s">
        <v>1025</v>
      </c>
      <c r="K188" s="54" t="s">
        <v>860</v>
      </c>
      <c r="L188" s="5">
        <v>1600000.0</v>
      </c>
      <c r="M188" s="5"/>
      <c r="N188" s="169">
        <v>135253.0</v>
      </c>
      <c r="O188" s="5"/>
      <c r="P188" s="5">
        <v>135253.0</v>
      </c>
      <c r="Q188" s="5"/>
      <c r="R188" s="6"/>
      <c r="S188" s="6"/>
      <c r="T188" s="6"/>
      <c r="U188" s="6"/>
      <c r="V188" s="6"/>
      <c r="W188" s="6"/>
      <c r="X188" s="121">
        <f t="shared" si="22"/>
        <v>0</v>
      </c>
      <c r="Y188" s="6"/>
      <c r="Z188" s="6"/>
      <c r="AA188" s="6"/>
      <c r="AB188" s="6"/>
      <c r="AC188" s="121">
        <f t="shared" si="23"/>
        <v>0</v>
      </c>
      <c r="AD188" s="6"/>
      <c r="AE188" s="6"/>
      <c r="AF188" s="6"/>
      <c r="AG188" s="6"/>
      <c r="AH188" s="6"/>
      <c r="AI188" s="121">
        <f t="shared" si="24"/>
        <v>0</v>
      </c>
      <c r="AJ188" s="6"/>
      <c r="AK188" s="122"/>
      <c r="AL188" s="6"/>
      <c r="AM188" s="6"/>
      <c r="AN188" s="6"/>
      <c r="AO188" s="6"/>
      <c r="AP188" s="121">
        <f t="shared" si="25"/>
        <v>0</v>
      </c>
      <c r="AQ188" s="6"/>
      <c r="AR188" s="6"/>
      <c r="AS188" s="6"/>
      <c r="AT188" s="6"/>
      <c r="AU188" s="6"/>
      <c r="AV188" s="6"/>
      <c r="AW188" s="6">
        <v>135253.0</v>
      </c>
      <c r="AX188" s="121">
        <f t="shared" si="26"/>
        <v>135253</v>
      </c>
      <c r="AY188" s="6"/>
      <c r="AZ188" s="6"/>
      <c r="BA188" s="6"/>
      <c r="BB188" s="6"/>
      <c r="BC188" s="6"/>
      <c r="BD188" s="121">
        <f t="shared" si="6"/>
        <v>0</v>
      </c>
      <c r="BE188" s="123"/>
      <c r="BF188" s="6">
        <f t="shared" si="7"/>
        <v>135253</v>
      </c>
      <c r="BG188" s="124">
        <f t="shared" si="27"/>
        <v>0</v>
      </c>
      <c r="BH188" s="6"/>
      <c r="BI188" s="2"/>
    </row>
    <row r="189" ht="12.75" customHeight="1">
      <c r="A189" s="71">
        <v>126.0</v>
      </c>
      <c r="B189" s="71"/>
      <c r="C189" s="11">
        <v>45992.0</v>
      </c>
      <c r="D189" s="11"/>
      <c r="E189" s="2" t="s">
        <v>702</v>
      </c>
      <c r="F189" s="2" t="s">
        <v>698</v>
      </c>
      <c r="G189" s="2" t="s">
        <v>700</v>
      </c>
      <c r="H189" s="54"/>
      <c r="I189" s="11" t="s">
        <v>701</v>
      </c>
      <c r="J189" s="54" t="s">
        <v>1026</v>
      </c>
      <c r="K189" s="54" t="s">
        <v>860</v>
      </c>
      <c r="L189" s="5"/>
      <c r="M189" s="5"/>
      <c r="N189" s="169">
        <v>600000.0</v>
      </c>
      <c r="O189" s="5"/>
      <c r="P189" s="5">
        <v>600000.0</v>
      </c>
      <c r="Q189" s="5"/>
      <c r="R189" s="6"/>
      <c r="S189" s="6"/>
      <c r="T189" s="6"/>
      <c r="U189" s="6"/>
      <c r="V189" s="6"/>
      <c r="W189" s="6"/>
      <c r="X189" s="121">
        <f t="shared" si="22"/>
        <v>0</v>
      </c>
      <c r="Y189" s="6"/>
      <c r="Z189" s="6"/>
      <c r="AA189" s="6"/>
      <c r="AB189" s="6"/>
      <c r="AC189" s="121">
        <f t="shared" si="23"/>
        <v>0</v>
      </c>
      <c r="AD189" s="6"/>
      <c r="AE189" s="6"/>
      <c r="AF189" s="6"/>
      <c r="AG189" s="6"/>
      <c r="AH189" s="6"/>
      <c r="AI189" s="121">
        <f t="shared" si="24"/>
        <v>0</v>
      </c>
      <c r="AJ189" s="6"/>
      <c r="AK189" s="122"/>
      <c r="AL189" s="6"/>
      <c r="AM189" s="6"/>
      <c r="AN189" s="6"/>
      <c r="AO189" s="6"/>
      <c r="AP189" s="121">
        <f t="shared" si="25"/>
        <v>0</v>
      </c>
      <c r="AQ189" s="6"/>
      <c r="AR189" s="6"/>
      <c r="AS189" s="6"/>
      <c r="AT189" s="6"/>
      <c r="AU189" s="6"/>
      <c r="AV189" s="6"/>
      <c r="AW189" s="6"/>
      <c r="AX189" s="121">
        <f t="shared" si="26"/>
        <v>0</v>
      </c>
      <c r="AY189" s="6">
        <v>600000.0</v>
      </c>
      <c r="AZ189" s="6"/>
      <c r="BA189" s="6"/>
      <c r="BB189" s="6"/>
      <c r="BC189" s="6"/>
      <c r="BD189" s="121">
        <f t="shared" si="6"/>
        <v>600000</v>
      </c>
      <c r="BE189" s="123"/>
      <c r="BF189" s="6">
        <f t="shared" si="7"/>
        <v>600000</v>
      </c>
      <c r="BG189" s="124">
        <f t="shared" si="27"/>
        <v>0</v>
      </c>
      <c r="BH189" s="6"/>
      <c r="BI189" s="2"/>
    </row>
    <row r="190" ht="12.75" customHeight="1">
      <c r="A190" s="71">
        <v>127.0</v>
      </c>
      <c r="B190" s="71"/>
      <c r="C190" s="11">
        <v>45916.0</v>
      </c>
      <c r="D190" s="11"/>
      <c r="E190" s="2" t="s">
        <v>703</v>
      </c>
      <c r="F190" s="2" t="s">
        <v>704</v>
      </c>
      <c r="G190" s="2" t="s">
        <v>706</v>
      </c>
      <c r="H190" s="54"/>
      <c r="I190" s="11" t="s">
        <v>707</v>
      </c>
      <c r="J190" s="54" t="s">
        <v>1027</v>
      </c>
      <c r="K190" s="54" t="s">
        <v>851</v>
      </c>
      <c r="L190" s="5">
        <v>1780616.24</v>
      </c>
      <c r="M190" s="5"/>
      <c r="N190" s="5">
        <v>1780616.24</v>
      </c>
      <c r="O190" s="5"/>
      <c r="P190" s="5">
        <v>1780616.24</v>
      </c>
      <c r="Q190" s="5"/>
      <c r="R190" s="6"/>
      <c r="S190" s="6"/>
      <c r="T190" s="6"/>
      <c r="U190" s="6"/>
      <c r="V190" s="6"/>
      <c r="W190" s="6"/>
      <c r="X190" s="121">
        <f t="shared" si="22"/>
        <v>0</v>
      </c>
      <c r="Y190" s="6"/>
      <c r="Z190" s="6"/>
      <c r="AA190" s="6"/>
      <c r="AB190" s="6"/>
      <c r="AC190" s="121">
        <f t="shared" si="23"/>
        <v>0</v>
      </c>
      <c r="AD190" s="6"/>
      <c r="AE190" s="6"/>
      <c r="AF190" s="6"/>
      <c r="AG190" s="6"/>
      <c r="AH190" s="6"/>
      <c r="AI190" s="121">
        <f t="shared" si="24"/>
        <v>0</v>
      </c>
      <c r="AJ190" s="6"/>
      <c r="AK190" s="122"/>
      <c r="AL190" s="6"/>
      <c r="AM190" s="6"/>
      <c r="AN190" s="6"/>
      <c r="AO190" s="6"/>
      <c r="AP190" s="121">
        <f t="shared" si="25"/>
        <v>0</v>
      </c>
      <c r="AQ190" s="6"/>
      <c r="AR190" s="6"/>
      <c r="AS190" s="6"/>
      <c r="AT190" s="6"/>
      <c r="AU190" s="6"/>
      <c r="AV190" s="6"/>
      <c r="AW190" s="6">
        <v>1500000.0</v>
      </c>
      <c r="AX190" s="121">
        <f t="shared" si="26"/>
        <v>1500000</v>
      </c>
      <c r="AY190" s="6">
        <v>280616.24</v>
      </c>
      <c r="AZ190" s="6"/>
      <c r="BA190" s="6"/>
      <c r="BB190" s="6"/>
      <c r="BC190" s="6"/>
      <c r="BD190" s="121">
        <f t="shared" si="6"/>
        <v>280616.24</v>
      </c>
      <c r="BE190" s="123"/>
      <c r="BF190" s="6">
        <f t="shared" si="7"/>
        <v>1780616.24</v>
      </c>
      <c r="BG190" s="124">
        <f t="shared" si="27"/>
        <v>0</v>
      </c>
      <c r="BH190" s="6"/>
      <c r="BI190" s="2"/>
    </row>
    <row r="191" ht="12.75" customHeight="1">
      <c r="A191" s="71">
        <v>127.0</v>
      </c>
      <c r="B191" s="71"/>
      <c r="C191" s="11">
        <v>45916.0</v>
      </c>
      <c r="D191" s="11"/>
      <c r="E191" s="2" t="s">
        <v>703</v>
      </c>
      <c r="F191" s="2" t="s">
        <v>704</v>
      </c>
      <c r="G191" s="2" t="s">
        <v>706</v>
      </c>
      <c r="H191" s="54"/>
      <c r="I191" s="11" t="s">
        <v>707</v>
      </c>
      <c r="J191" s="54" t="s">
        <v>1028</v>
      </c>
      <c r="K191" s="54" t="s">
        <v>851</v>
      </c>
      <c r="L191" s="5">
        <v>2194233.76</v>
      </c>
      <c r="M191" s="5"/>
      <c r="N191" s="5">
        <v>2194233.76</v>
      </c>
      <c r="O191" s="5"/>
      <c r="P191" s="5">
        <v>2194233.76</v>
      </c>
      <c r="Q191" s="5"/>
      <c r="R191" s="6"/>
      <c r="S191" s="6"/>
      <c r="T191" s="6"/>
      <c r="U191" s="6"/>
      <c r="V191" s="6"/>
      <c r="W191" s="6"/>
      <c r="X191" s="121">
        <f t="shared" si="22"/>
        <v>0</v>
      </c>
      <c r="Y191" s="6"/>
      <c r="Z191" s="6"/>
      <c r="AA191" s="6"/>
      <c r="AB191" s="6"/>
      <c r="AC191" s="121">
        <f t="shared" si="23"/>
        <v>0</v>
      </c>
      <c r="AD191" s="6"/>
      <c r="AE191" s="6"/>
      <c r="AF191" s="6"/>
      <c r="AG191" s="6"/>
      <c r="AH191" s="6"/>
      <c r="AI191" s="121">
        <f t="shared" si="24"/>
        <v>0</v>
      </c>
      <c r="AJ191" s="6"/>
      <c r="AK191" s="122"/>
      <c r="AL191" s="6"/>
      <c r="AM191" s="6"/>
      <c r="AN191" s="6"/>
      <c r="AO191" s="6"/>
      <c r="AP191" s="121">
        <f t="shared" si="25"/>
        <v>0</v>
      </c>
      <c r="AQ191" s="6"/>
      <c r="AR191" s="6"/>
      <c r="AS191" s="6"/>
      <c r="AT191" s="6"/>
      <c r="AU191" s="6"/>
      <c r="AV191" s="6"/>
      <c r="AW191" s="6"/>
      <c r="AX191" s="121">
        <f t="shared" si="26"/>
        <v>0</v>
      </c>
      <c r="AY191" s="6">
        <v>600000.0</v>
      </c>
      <c r="AZ191" s="6"/>
      <c r="BA191" s="6"/>
      <c r="BB191" s="6"/>
      <c r="BC191" s="6"/>
      <c r="BD191" s="121">
        <f t="shared" si="6"/>
        <v>600000</v>
      </c>
      <c r="BE191" s="123"/>
      <c r="BF191" s="6">
        <f t="shared" si="7"/>
        <v>600000</v>
      </c>
      <c r="BG191" s="124">
        <f t="shared" si="27"/>
        <v>1594233.76</v>
      </c>
      <c r="BH191" s="6"/>
      <c r="BI191" s="2"/>
    </row>
    <row r="192" ht="12.75" customHeight="1">
      <c r="A192" s="71">
        <v>128.0</v>
      </c>
      <c r="B192" s="71"/>
      <c r="C192" s="11">
        <v>46003.0</v>
      </c>
      <c r="D192" s="11"/>
      <c r="E192" s="2" t="s">
        <v>708</v>
      </c>
      <c r="F192" s="2" t="s">
        <v>709</v>
      </c>
      <c r="G192" s="2" t="s">
        <v>711</v>
      </c>
      <c r="H192" s="54"/>
      <c r="I192" s="11" t="s">
        <v>712</v>
      </c>
      <c r="J192" s="54" t="s">
        <v>1029</v>
      </c>
      <c r="K192" s="54" t="s">
        <v>912</v>
      </c>
      <c r="L192" s="5">
        <v>2805000.0</v>
      </c>
      <c r="M192" s="5"/>
      <c r="N192" s="5">
        <v>2805000.0</v>
      </c>
      <c r="O192" s="5"/>
      <c r="P192" s="5">
        <v>2805000.0</v>
      </c>
      <c r="Q192" s="5"/>
      <c r="R192" s="6"/>
      <c r="S192" s="6"/>
      <c r="T192" s="6"/>
      <c r="U192" s="6"/>
      <c r="V192" s="6"/>
      <c r="W192" s="6"/>
      <c r="X192" s="121">
        <f t="shared" si="22"/>
        <v>0</v>
      </c>
      <c r="Y192" s="6"/>
      <c r="Z192" s="6"/>
      <c r="AA192" s="6"/>
      <c r="AB192" s="6"/>
      <c r="AC192" s="121">
        <f t="shared" si="23"/>
        <v>0</v>
      </c>
      <c r="AD192" s="6"/>
      <c r="AE192" s="6"/>
      <c r="AF192" s="6"/>
      <c r="AG192" s="6"/>
      <c r="AH192" s="6"/>
      <c r="AI192" s="121">
        <f t="shared" si="24"/>
        <v>0</v>
      </c>
      <c r="AJ192" s="6"/>
      <c r="AK192" s="122"/>
      <c r="AL192" s="6"/>
      <c r="AM192" s="6"/>
      <c r="AN192" s="6"/>
      <c r="AO192" s="6"/>
      <c r="AP192" s="121">
        <f t="shared" si="25"/>
        <v>0</v>
      </c>
      <c r="AQ192" s="6"/>
      <c r="AR192" s="6"/>
      <c r="AS192" s="6"/>
      <c r="AT192" s="6"/>
      <c r="AU192" s="6"/>
      <c r="AV192" s="6"/>
      <c r="AW192" s="6"/>
      <c r="AX192" s="121">
        <f t="shared" si="26"/>
        <v>0</v>
      </c>
      <c r="AY192" s="6"/>
      <c r="AZ192" s="6"/>
      <c r="BA192" s="6"/>
      <c r="BB192" s="6"/>
      <c r="BC192" s="6"/>
      <c r="BD192" s="121">
        <f t="shared" si="6"/>
        <v>0</v>
      </c>
      <c r="BE192" s="123"/>
      <c r="BF192" s="6">
        <f t="shared" si="7"/>
        <v>0</v>
      </c>
      <c r="BG192" s="124">
        <f t="shared" si="27"/>
        <v>2805000</v>
      </c>
      <c r="BH192" s="6"/>
      <c r="BI192" s="2"/>
    </row>
    <row r="193" ht="12.75" customHeight="1">
      <c r="A193" s="71">
        <v>129.0</v>
      </c>
      <c r="B193" s="71"/>
      <c r="C193" s="11">
        <v>45924.0</v>
      </c>
      <c r="D193" s="11"/>
      <c r="E193" s="2" t="s">
        <v>713</v>
      </c>
      <c r="F193" s="2" t="s">
        <v>714</v>
      </c>
      <c r="G193" s="2" t="s">
        <v>716</v>
      </c>
      <c r="H193" s="54"/>
      <c r="I193" s="11" t="s">
        <v>717</v>
      </c>
      <c r="J193" s="54" t="s">
        <v>1030</v>
      </c>
      <c r="K193" s="54" t="s">
        <v>860</v>
      </c>
      <c r="L193" s="5">
        <v>1664288.27</v>
      </c>
      <c r="M193" s="5"/>
      <c r="N193" s="5">
        <v>1664288.27</v>
      </c>
      <c r="O193" s="5"/>
      <c r="P193" s="5">
        <v>1664288.27</v>
      </c>
      <c r="Q193" s="5"/>
      <c r="R193" s="6"/>
      <c r="S193" s="6"/>
      <c r="T193" s="6"/>
      <c r="U193" s="6"/>
      <c r="V193" s="6"/>
      <c r="W193" s="6"/>
      <c r="X193" s="121"/>
      <c r="Y193" s="6"/>
      <c r="Z193" s="6"/>
      <c r="AA193" s="6"/>
      <c r="AB193" s="6"/>
      <c r="AC193" s="121"/>
      <c r="AD193" s="6"/>
      <c r="AE193" s="6"/>
      <c r="AF193" s="6"/>
      <c r="AG193" s="6"/>
      <c r="AH193" s="6"/>
      <c r="AI193" s="121"/>
      <c r="AJ193" s="6"/>
      <c r="AK193" s="122"/>
      <c r="AL193" s="6"/>
      <c r="AM193" s="6"/>
      <c r="AN193" s="6"/>
      <c r="AO193" s="6"/>
      <c r="AP193" s="121"/>
      <c r="AQ193" s="6"/>
      <c r="AR193" s="6"/>
      <c r="AS193" s="6"/>
      <c r="AT193" s="6"/>
      <c r="AU193" s="6"/>
      <c r="AV193" s="6"/>
      <c r="AW193" s="6"/>
      <c r="AX193" s="121"/>
      <c r="AY193" s="6">
        <v>300000.0</v>
      </c>
      <c r="AZ193" s="6"/>
      <c r="BA193" s="6"/>
      <c r="BB193" s="6"/>
      <c r="BC193" s="6"/>
      <c r="BD193" s="121">
        <f t="shared" si="6"/>
        <v>300000</v>
      </c>
      <c r="BE193" s="123"/>
      <c r="BF193" s="6">
        <f t="shared" si="7"/>
        <v>300000</v>
      </c>
      <c r="BG193" s="124">
        <f t="shared" si="27"/>
        <v>1364288.27</v>
      </c>
      <c r="BH193" s="6"/>
      <c r="BI193" s="2"/>
    </row>
    <row r="194" ht="12.75" customHeight="1">
      <c r="A194" s="71">
        <v>129.0</v>
      </c>
      <c r="B194" s="71"/>
      <c r="C194" s="11">
        <v>45924.0</v>
      </c>
      <c r="D194" s="11"/>
      <c r="E194" s="2" t="s">
        <v>713</v>
      </c>
      <c r="F194" s="2" t="s">
        <v>714</v>
      </c>
      <c r="G194" s="2" t="s">
        <v>716</v>
      </c>
      <c r="H194" s="54"/>
      <c r="I194" s="11" t="s">
        <v>717</v>
      </c>
      <c r="J194" s="54" t="s">
        <v>1031</v>
      </c>
      <c r="K194" s="54" t="s">
        <v>860</v>
      </c>
      <c r="L194" s="5">
        <v>65046.88</v>
      </c>
      <c r="M194" s="5"/>
      <c r="N194" s="5">
        <v>65046.88</v>
      </c>
      <c r="O194" s="5"/>
      <c r="P194" s="5">
        <v>65046.88</v>
      </c>
      <c r="Q194" s="5"/>
      <c r="R194" s="6"/>
      <c r="S194" s="6"/>
      <c r="T194" s="6"/>
      <c r="U194" s="6"/>
      <c r="V194" s="6"/>
      <c r="W194" s="6"/>
      <c r="X194" s="121"/>
      <c r="Y194" s="6"/>
      <c r="Z194" s="6"/>
      <c r="AA194" s="6"/>
      <c r="AB194" s="6"/>
      <c r="AC194" s="121"/>
      <c r="AD194" s="6"/>
      <c r="AE194" s="6"/>
      <c r="AF194" s="6"/>
      <c r="AG194" s="6"/>
      <c r="AH194" s="6"/>
      <c r="AI194" s="121"/>
      <c r="AJ194" s="6"/>
      <c r="AK194" s="122"/>
      <c r="AL194" s="6"/>
      <c r="AM194" s="6"/>
      <c r="AN194" s="6"/>
      <c r="AO194" s="6"/>
      <c r="AP194" s="121"/>
      <c r="AQ194" s="6"/>
      <c r="AR194" s="6"/>
      <c r="AS194" s="6"/>
      <c r="AT194" s="6"/>
      <c r="AU194" s="6"/>
      <c r="AV194" s="6"/>
      <c r="AW194" s="6"/>
      <c r="AX194" s="121"/>
      <c r="AY194" s="6"/>
      <c r="AZ194" s="6"/>
      <c r="BA194" s="6"/>
      <c r="BB194" s="6"/>
      <c r="BC194" s="6"/>
      <c r="BD194" s="121">
        <f t="shared" si="6"/>
        <v>0</v>
      </c>
      <c r="BE194" s="123"/>
      <c r="BF194" s="6">
        <f t="shared" si="7"/>
        <v>0</v>
      </c>
      <c r="BG194" s="124">
        <f t="shared" si="27"/>
        <v>65046.88</v>
      </c>
      <c r="BH194" s="6"/>
      <c r="BI194" s="2"/>
    </row>
    <row r="195" ht="12.75" customHeight="1">
      <c r="A195" s="71">
        <v>131.0</v>
      </c>
      <c r="B195" s="71"/>
      <c r="C195" s="11">
        <v>46029.0</v>
      </c>
      <c r="D195" s="11"/>
      <c r="E195" s="2" t="s">
        <v>718</v>
      </c>
      <c r="F195" s="2" t="s">
        <v>719</v>
      </c>
      <c r="G195" s="2" t="s">
        <v>721</v>
      </c>
      <c r="H195" s="54"/>
      <c r="I195" s="11" t="s">
        <v>722</v>
      </c>
      <c r="J195" s="54" t="s">
        <v>1032</v>
      </c>
      <c r="K195" s="54" t="s">
        <v>851</v>
      </c>
      <c r="L195" s="5">
        <v>822150.0</v>
      </c>
      <c r="M195" s="5"/>
      <c r="N195" s="5">
        <v>822150.0</v>
      </c>
      <c r="O195" s="5"/>
      <c r="P195" s="5">
        <v>822150.0</v>
      </c>
      <c r="Q195" s="5"/>
      <c r="R195" s="6"/>
      <c r="S195" s="6"/>
      <c r="T195" s="6"/>
      <c r="U195" s="6"/>
      <c r="V195" s="6"/>
      <c r="W195" s="6"/>
      <c r="X195" s="121">
        <f t="shared" ref="X195:X203" si="28">SUM(S195:W195)</f>
        <v>0</v>
      </c>
      <c r="Y195" s="6"/>
      <c r="Z195" s="6"/>
      <c r="AA195" s="6"/>
      <c r="AB195" s="6"/>
      <c r="AC195" s="121">
        <f t="shared" ref="AC195:AC203" si="29">SUM(Y195:AB195)</f>
        <v>0</v>
      </c>
      <c r="AD195" s="6"/>
      <c r="AE195" s="6"/>
      <c r="AF195" s="6"/>
      <c r="AG195" s="6"/>
      <c r="AH195" s="6"/>
      <c r="AI195" s="121">
        <f t="shared" ref="AI195:AI203" si="30">SUM(AD195:AH195)</f>
        <v>0</v>
      </c>
      <c r="AJ195" s="6"/>
      <c r="AK195" s="122"/>
      <c r="AL195" s="6"/>
      <c r="AM195" s="6"/>
      <c r="AN195" s="6"/>
      <c r="AO195" s="6"/>
      <c r="AP195" s="121">
        <f t="shared" ref="AP195:AP203" si="31">SUM(AJ195:AO195)</f>
        <v>0</v>
      </c>
      <c r="AQ195" s="6"/>
      <c r="AR195" s="6"/>
      <c r="AS195" s="6"/>
      <c r="AT195" s="6"/>
      <c r="AU195" s="6"/>
      <c r="AV195" s="6"/>
      <c r="AW195" s="6"/>
      <c r="AX195" s="121">
        <f t="shared" ref="AX195:AX206" si="32">SUM(AQ195:AW195)</f>
        <v>0</v>
      </c>
      <c r="AY195" s="6"/>
      <c r="AZ195" s="6"/>
      <c r="BA195" s="6"/>
      <c r="BB195" s="6"/>
      <c r="BC195" s="6"/>
      <c r="BD195" s="121">
        <f t="shared" si="6"/>
        <v>0</v>
      </c>
      <c r="BE195" s="123"/>
      <c r="BF195" s="6">
        <f t="shared" si="7"/>
        <v>0</v>
      </c>
      <c r="BG195" s="124">
        <f t="shared" si="27"/>
        <v>822150</v>
      </c>
      <c r="BH195" s="6"/>
      <c r="BI195" s="2"/>
    </row>
    <row r="196" ht="12.75" customHeight="1">
      <c r="A196" s="71">
        <v>132.0</v>
      </c>
      <c r="B196" s="71"/>
      <c r="C196" s="11">
        <v>46031.0</v>
      </c>
      <c r="D196" s="11"/>
      <c r="E196" s="2" t="s">
        <v>723</v>
      </c>
      <c r="F196" s="2" t="s">
        <v>724</v>
      </c>
      <c r="G196" s="2" t="s">
        <v>726</v>
      </c>
      <c r="H196" s="54"/>
      <c r="I196" s="11" t="s">
        <v>727</v>
      </c>
      <c r="J196" s="54" t="s">
        <v>1033</v>
      </c>
      <c r="K196" s="54" t="s">
        <v>851</v>
      </c>
      <c r="L196" s="5">
        <v>1479870.0</v>
      </c>
      <c r="M196" s="5"/>
      <c r="N196" s="5">
        <v>1479870.0</v>
      </c>
      <c r="O196" s="5"/>
      <c r="P196" s="5">
        <v>1479870.0</v>
      </c>
      <c r="Q196" s="5"/>
      <c r="R196" s="6"/>
      <c r="S196" s="6"/>
      <c r="T196" s="6"/>
      <c r="U196" s="6"/>
      <c r="V196" s="6"/>
      <c r="W196" s="6"/>
      <c r="X196" s="121">
        <f t="shared" si="28"/>
        <v>0</v>
      </c>
      <c r="Y196" s="6"/>
      <c r="Z196" s="6"/>
      <c r="AA196" s="6"/>
      <c r="AB196" s="6"/>
      <c r="AC196" s="121">
        <f t="shared" si="29"/>
        <v>0</v>
      </c>
      <c r="AD196" s="6"/>
      <c r="AE196" s="6"/>
      <c r="AF196" s="6"/>
      <c r="AG196" s="6"/>
      <c r="AH196" s="6"/>
      <c r="AI196" s="121">
        <f t="shared" si="30"/>
        <v>0</v>
      </c>
      <c r="AJ196" s="6"/>
      <c r="AK196" s="122"/>
      <c r="AL196" s="6"/>
      <c r="AM196" s="6"/>
      <c r="AN196" s="6"/>
      <c r="AO196" s="6"/>
      <c r="AP196" s="121">
        <f t="shared" si="31"/>
        <v>0</v>
      </c>
      <c r="AQ196" s="6"/>
      <c r="AR196" s="6"/>
      <c r="AS196" s="6"/>
      <c r="AT196" s="6"/>
      <c r="AU196" s="6"/>
      <c r="AV196" s="6"/>
      <c r="AW196" s="6"/>
      <c r="AX196" s="121">
        <f t="shared" si="32"/>
        <v>0</v>
      </c>
      <c r="AY196" s="6"/>
      <c r="AZ196" s="6"/>
      <c r="BA196" s="6"/>
      <c r="BB196" s="6"/>
      <c r="BC196" s="6"/>
      <c r="BD196" s="121">
        <f t="shared" si="6"/>
        <v>0</v>
      </c>
      <c r="BE196" s="123"/>
      <c r="BF196" s="6">
        <f t="shared" si="7"/>
        <v>0</v>
      </c>
      <c r="BG196" s="124">
        <f t="shared" si="27"/>
        <v>1479870</v>
      </c>
      <c r="BH196" s="6"/>
      <c r="BI196" s="2"/>
    </row>
    <row r="197" ht="12.75" customHeight="1">
      <c r="A197" s="71">
        <v>133.0</v>
      </c>
      <c r="B197" s="71"/>
      <c r="C197" s="11">
        <v>46083.0</v>
      </c>
      <c r="D197" s="11"/>
      <c r="E197" s="2" t="s">
        <v>728</v>
      </c>
      <c r="F197" s="2" t="s">
        <v>729</v>
      </c>
      <c r="G197" s="2" t="s">
        <v>731</v>
      </c>
      <c r="H197" s="54"/>
      <c r="I197" s="11" t="s">
        <v>722</v>
      </c>
      <c r="J197" s="54" t="s">
        <v>1034</v>
      </c>
      <c r="K197" s="54"/>
      <c r="L197" s="5">
        <v>250000.0</v>
      </c>
      <c r="M197" s="5"/>
      <c r="N197" s="5">
        <v>250000.0</v>
      </c>
      <c r="O197" s="5"/>
      <c r="P197" s="5">
        <v>250000.0</v>
      </c>
      <c r="Q197" s="5"/>
      <c r="R197" s="6"/>
      <c r="S197" s="6"/>
      <c r="T197" s="6"/>
      <c r="U197" s="6"/>
      <c r="V197" s="6"/>
      <c r="W197" s="6"/>
      <c r="X197" s="121">
        <f t="shared" si="28"/>
        <v>0</v>
      </c>
      <c r="Y197" s="6"/>
      <c r="Z197" s="6"/>
      <c r="AA197" s="6"/>
      <c r="AB197" s="6"/>
      <c r="AC197" s="121">
        <f t="shared" si="29"/>
        <v>0</v>
      </c>
      <c r="AD197" s="6"/>
      <c r="AE197" s="6"/>
      <c r="AF197" s="6"/>
      <c r="AG197" s="6"/>
      <c r="AH197" s="6"/>
      <c r="AI197" s="121">
        <f t="shared" si="30"/>
        <v>0</v>
      </c>
      <c r="AJ197" s="6"/>
      <c r="AK197" s="122"/>
      <c r="AL197" s="6"/>
      <c r="AM197" s="6"/>
      <c r="AN197" s="6"/>
      <c r="AO197" s="6"/>
      <c r="AP197" s="121">
        <f t="shared" si="31"/>
        <v>0</v>
      </c>
      <c r="AQ197" s="6"/>
      <c r="AR197" s="6"/>
      <c r="AS197" s="6"/>
      <c r="AT197" s="6"/>
      <c r="AU197" s="6"/>
      <c r="AV197" s="6"/>
      <c r="AW197" s="6"/>
      <c r="AX197" s="121">
        <f t="shared" si="32"/>
        <v>0</v>
      </c>
      <c r="AY197" s="6"/>
      <c r="AZ197" s="6"/>
      <c r="BA197" s="6"/>
      <c r="BB197" s="6"/>
      <c r="BC197" s="6"/>
      <c r="BD197" s="121">
        <f t="shared" si="6"/>
        <v>0</v>
      </c>
      <c r="BE197" s="123"/>
      <c r="BF197" s="6">
        <f t="shared" si="7"/>
        <v>0</v>
      </c>
      <c r="BG197" s="124">
        <f t="shared" si="27"/>
        <v>250000</v>
      </c>
      <c r="BH197" s="6"/>
      <c r="BI197" s="2"/>
    </row>
    <row r="198" ht="12.75" customHeight="1">
      <c r="A198" s="71">
        <v>134.0</v>
      </c>
      <c r="B198" s="71"/>
      <c r="C198" s="11">
        <v>46084.0</v>
      </c>
      <c r="D198" s="11"/>
      <c r="E198" s="2" t="s">
        <v>732</v>
      </c>
      <c r="F198" s="2" t="s">
        <v>733</v>
      </c>
      <c r="G198" s="2" t="s">
        <v>735</v>
      </c>
      <c r="H198" s="54"/>
      <c r="I198" s="11" t="s">
        <v>736</v>
      </c>
      <c r="J198" s="54" t="s">
        <v>1035</v>
      </c>
      <c r="K198" s="54"/>
      <c r="L198" s="5">
        <v>1000000.0</v>
      </c>
      <c r="M198" s="5"/>
      <c r="N198" s="5">
        <v>1000000.0</v>
      </c>
      <c r="O198" s="5"/>
      <c r="P198" s="5">
        <v>1000000.0</v>
      </c>
      <c r="Q198" s="5"/>
      <c r="R198" s="6"/>
      <c r="S198" s="6"/>
      <c r="T198" s="6"/>
      <c r="U198" s="6"/>
      <c r="V198" s="6"/>
      <c r="W198" s="6"/>
      <c r="X198" s="121">
        <f t="shared" si="28"/>
        <v>0</v>
      </c>
      <c r="Y198" s="6"/>
      <c r="Z198" s="6"/>
      <c r="AA198" s="6"/>
      <c r="AB198" s="6"/>
      <c r="AC198" s="121">
        <f t="shared" si="29"/>
        <v>0</v>
      </c>
      <c r="AD198" s="6"/>
      <c r="AE198" s="6"/>
      <c r="AF198" s="6"/>
      <c r="AG198" s="6"/>
      <c r="AH198" s="6"/>
      <c r="AI198" s="121">
        <f t="shared" si="30"/>
        <v>0</v>
      </c>
      <c r="AJ198" s="6"/>
      <c r="AK198" s="122"/>
      <c r="AL198" s="6"/>
      <c r="AM198" s="6"/>
      <c r="AN198" s="6"/>
      <c r="AO198" s="6"/>
      <c r="AP198" s="121">
        <f t="shared" si="31"/>
        <v>0</v>
      </c>
      <c r="AQ198" s="6"/>
      <c r="AR198" s="6"/>
      <c r="AS198" s="6"/>
      <c r="AT198" s="6"/>
      <c r="AU198" s="6"/>
      <c r="AV198" s="6"/>
      <c r="AW198" s="6"/>
      <c r="AX198" s="121">
        <f t="shared" si="32"/>
        <v>0</v>
      </c>
      <c r="AY198" s="6"/>
      <c r="AZ198" s="6"/>
      <c r="BA198" s="6"/>
      <c r="BB198" s="6"/>
      <c r="BC198" s="6"/>
      <c r="BD198" s="121">
        <f t="shared" si="6"/>
        <v>0</v>
      </c>
      <c r="BE198" s="123"/>
      <c r="BF198" s="6">
        <f t="shared" si="7"/>
        <v>0</v>
      </c>
      <c r="BG198" s="124">
        <f t="shared" si="27"/>
        <v>1000000</v>
      </c>
      <c r="BH198" s="6"/>
      <c r="BI198" s="2"/>
    </row>
    <row r="199" ht="12.75" customHeight="1">
      <c r="A199" s="71">
        <v>137.0</v>
      </c>
      <c r="B199" s="71"/>
      <c r="C199" s="11">
        <v>46084.0</v>
      </c>
      <c r="D199" s="11"/>
      <c r="E199" s="2" t="s">
        <v>737</v>
      </c>
      <c r="F199" s="2" t="s">
        <v>738</v>
      </c>
      <c r="G199" s="2" t="s">
        <v>740</v>
      </c>
      <c r="H199" s="54"/>
      <c r="I199" s="11" t="s">
        <v>741</v>
      </c>
      <c r="J199" s="54" t="s">
        <v>1036</v>
      </c>
      <c r="K199" s="54"/>
      <c r="L199" s="5">
        <v>800000.0</v>
      </c>
      <c r="M199" s="5"/>
      <c r="N199" s="5">
        <v>800000.0</v>
      </c>
      <c r="O199" s="5"/>
      <c r="P199" s="5">
        <v>800000.0</v>
      </c>
      <c r="Q199" s="5"/>
      <c r="R199" s="6"/>
      <c r="S199" s="6"/>
      <c r="T199" s="6"/>
      <c r="U199" s="6"/>
      <c r="V199" s="6"/>
      <c r="W199" s="6"/>
      <c r="X199" s="121">
        <f t="shared" si="28"/>
        <v>0</v>
      </c>
      <c r="Y199" s="6"/>
      <c r="Z199" s="6"/>
      <c r="AA199" s="6"/>
      <c r="AB199" s="6"/>
      <c r="AC199" s="121">
        <f t="shared" si="29"/>
        <v>0</v>
      </c>
      <c r="AD199" s="6"/>
      <c r="AE199" s="6"/>
      <c r="AF199" s="6"/>
      <c r="AG199" s="6"/>
      <c r="AH199" s="6"/>
      <c r="AI199" s="121">
        <f t="shared" si="30"/>
        <v>0</v>
      </c>
      <c r="AJ199" s="6"/>
      <c r="AK199" s="122"/>
      <c r="AL199" s="6"/>
      <c r="AM199" s="6"/>
      <c r="AN199" s="6"/>
      <c r="AO199" s="6"/>
      <c r="AP199" s="121">
        <f t="shared" si="31"/>
        <v>0</v>
      </c>
      <c r="AQ199" s="6"/>
      <c r="AR199" s="6"/>
      <c r="AS199" s="6"/>
      <c r="AT199" s="6"/>
      <c r="AU199" s="6"/>
      <c r="AV199" s="6"/>
      <c r="AW199" s="6"/>
      <c r="AX199" s="121">
        <f t="shared" si="32"/>
        <v>0</v>
      </c>
      <c r="AY199" s="6"/>
      <c r="AZ199" s="6"/>
      <c r="BA199" s="6"/>
      <c r="BB199" s="6"/>
      <c r="BC199" s="6"/>
      <c r="BD199" s="121">
        <f t="shared" si="6"/>
        <v>0</v>
      </c>
      <c r="BE199" s="123"/>
      <c r="BF199" s="6">
        <f t="shared" si="7"/>
        <v>0</v>
      </c>
      <c r="BG199" s="124">
        <f t="shared" si="27"/>
        <v>800000</v>
      </c>
      <c r="BH199" s="6"/>
      <c r="BI199" s="2"/>
    </row>
    <row r="200" ht="12.75" customHeight="1">
      <c r="A200" s="71">
        <v>138.0</v>
      </c>
      <c r="B200" s="71"/>
      <c r="C200" s="11">
        <v>46083.0</v>
      </c>
      <c r="D200" s="11"/>
      <c r="E200" s="2" t="s">
        <v>742</v>
      </c>
      <c r="F200" s="2" t="s">
        <v>743</v>
      </c>
      <c r="G200" s="2" t="s">
        <v>745</v>
      </c>
      <c r="H200" s="54"/>
      <c r="I200" s="11" t="s">
        <v>746</v>
      </c>
      <c r="J200" s="54" t="s">
        <v>1037</v>
      </c>
      <c r="K200" s="54"/>
      <c r="L200" s="5">
        <v>265000.0</v>
      </c>
      <c r="M200" s="5"/>
      <c r="N200" s="5">
        <v>265000.0</v>
      </c>
      <c r="O200" s="5"/>
      <c r="P200" s="5">
        <v>265000.0</v>
      </c>
      <c r="Q200" s="5"/>
      <c r="R200" s="6"/>
      <c r="S200" s="6"/>
      <c r="T200" s="6"/>
      <c r="U200" s="6"/>
      <c r="V200" s="6"/>
      <c r="W200" s="6"/>
      <c r="X200" s="121">
        <f t="shared" si="28"/>
        <v>0</v>
      </c>
      <c r="Y200" s="6"/>
      <c r="Z200" s="6"/>
      <c r="AA200" s="6"/>
      <c r="AB200" s="6"/>
      <c r="AC200" s="121">
        <f t="shared" si="29"/>
        <v>0</v>
      </c>
      <c r="AD200" s="6"/>
      <c r="AE200" s="6"/>
      <c r="AF200" s="6"/>
      <c r="AG200" s="6"/>
      <c r="AH200" s="6"/>
      <c r="AI200" s="121">
        <f t="shared" si="30"/>
        <v>0</v>
      </c>
      <c r="AJ200" s="6"/>
      <c r="AK200" s="122"/>
      <c r="AL200" s="6"/>
      <c r="AM200" s="6"/>
      <c r="AN200" s="6"/>
      <c r="AO200" s="6"/>
      <c r="AP200" s="121">
        <f t="shared" si="31"/>
        <v>0</v>
      </c>
      <c r="AQ200" s="6"/>
      <c r="AR200" s="6"/>
      <c r="AS200" s="6"/>
      <c r="AT200" s="6"/>
      <c r="AU200" s="6"/>
      <c r="AV200" s="6"/>
      <c r="AW200" s="6"/>
      <c r="AX200" s="121">
        <f t="shared" si="32"/>
        <v>0</v>
      </c>
      <c r="AY200" s="6"/>
      <c r="AZ200" s="6"/>
      <c r="BA200" s="6"/>
      <c r="BB200" s="6"/>
      <c r="BC200" s="6"/>
      <c r="BD200" s="121">
        <f t="shared" si="6"/>
        <v>0</v>
      </c>
      <c r="BE200" s="123"/>
      <c r="BF200" s="6">
        <f t="shared" si="7"/>
        <v>0</v>
      </c>
      <c r="BG200" s="124">
        <f t="shared" si="27"/>
        <v>265000</v>
      </c>
      <c r="BH200" s="6"/>
      <c r="BI200" s="2"/>
    </row>
    <row r="201" ht="12.75" customHeight="1">
      <c r="A201" s="71">
        <v>140.0</v>
      </c>
      <c r="B201" s="71"/>
      <c r="C201" s="11">
        <v>46085.0</v>
      </c>
      <c r="D201" s="11"/>
      <c r="E201" s="2" t="s">
        <v>747</v>
      </c>
      <c r="F201" s="2" t="s">
        <v>748</v>
      </c>
      <c r="G201" s="2" t="s">
        <v>750</v>
      </c>
      <c r="H201" s="54"/>
      <c r="I201" s="11" t="s">
        <v>751</v>
      </c>
      <c r="J201" s="54" t="s">
        <v>1038</v>
      </c>
      <c r="K201" s="54"/>
      <c r="L201" s="5">
        <v>750000.0</v>
      </c>
      <c r="M201" s="5"/>
      <c r="N201" s="5">
        <v>750000.0</v>
      </c>
      <c r="O201" s="5"/>
      <c r="P201" s="5">
        <v>750000.0</v>
      </c>
      <c r="Q201" s="5"/>
      <c r="R201" s="6"/>
      <c r="S201" s="6"/>
      <c r="T201" s="6"/>
      <c r="U201" s="6"/>
      <c r="V201" s="6"/>
      <c r="W201" s="6"/>
      <c r="X201" s="121">
        <f t="shared" si="28"/>
        <v>0</v>
      </c>
      <c r="Y201" s="6"/>
      <c r="Z201" s="6"/>
      <c r="AA201" s="6"/>
      <c r="AB201" s="6"/>
      <c r="AC201" s="121">
        <f t="shared" si="29"/>
        <v>0</v>
      </c>
      <c r="AD201" s="6"/>
      <c r="AE201" s="6"/>
      <c r="AF201" s="6"/>
      <c r="AG201" s="6"/>
      <c r="AH201" s="6"/>
      <c r="AI201" s="121">
        <f t="shared" si="30"/>
        <v>0</v>
      </c>
      <c r="AJ201" s="6"/>
      <c r="AK201" s="122"/>
      <c r="AL201" s="6"/>
      <c r="AM201" s="6"/>
      <c r="AN201" s="6"/>
      <c r="AO201" s="6"/>
      <c r="AP201" s="121">
        <f t="shared" si="31"/>
        <v>0</v>
      </c>
      <c r="AQ201" s="6"/>
      <c r="AR201" s="6"/>
      <c r="AS201" s="6"/>
      <c r="AT201" s="6"/>
      <c r="AU201" s="6"/>
      <c r="AV201" s="6"/>
      <c r="AW201" s="6"/>
      <c r="AX201" s="121">
        <f t="shared" si="32"/>
        <v>0</v>
      </c>
      <c r="AY201" s="6"/>
      <c r="AZ201" s="6"/>
      <c r="BA201" s="6"/>
      <c r="BB201" s="6"/>
      <c r="BC201" s="6"/>
      <c r="BD201" s="121">
        <f t="shared" si="6"/>
        <v>0</v>
      </c>
      <c r="BE201" s="123"/>
      <c r="BF201" s="6">
        <f t="shared" si="7"/>
        <v>0</v>
      </c>
      <c r="BG201" s="124">
        <f t="shared" si="27"/>
        <v>750000</v>
      </c>
      <c r="BH201" s="6"/>
      <c r="BI201" s="2"/>
    </row>
    <row r="202" ht="12.75" customHeight="1">
      <c r="A202" s="71"/>
      <c r="B202" s="71"/>
      <c r="C202" s="11"/>
      <c r="D202" s="11"/>
      <c r="E202" s="2"/>
      <c r="F202" s="2"/>
      <c r="G202" s="2"/>
      <c r="H202" s="54"/>
      <c r="I202" s="11"/>
      <c r="J202" s="54"/>
      <c r="K202" s="54"/>
      <c r="L202" s="5"/>
      <c r="M202" s="5"/>
      <c r="N202" s="5"/>
      <c r="O202" s="5"/>
      <c r="P202" s="5"/>
      <c r="Q202" s="5"/>
      <c r="R202" s="6"/>
      <c r="S202" s="6"/>
      <c r="T202" s="6"/>
      <c r="U202" s="6"/>
      <c r="V202" s="6"/>
      <c r="W202" s="6"/>
      <c r="X202" s="121">
        <f t="shared" si="28"/>
        <v>0</v>
      </c>
      <c r="Y202" s="6"/>
      <c r="Z202" s="6"/>
      <c r="AA202" s="6"/>
      <c r="AB202" s="6"/>
      <c r="AC202" s="121">
        <f t="shared" si="29"/>
        <v>0</v>
      </c>
      <c r="AD202" s="6"/>
      <c r="AE202" s="6"/>
      <c r="AF202" s="6"/>
      <c r="AG202" s="6"/>
      <c r="AH202" s="6"/>
      <c r="AI202" s="121">
        <f t="shared" si="30"/>
        <v>0</v>
      </c>
      <c r="AJ202" s="6"/>
      <c r="AK202" s="122"/>
      <c r="AL202" s="6"/>
      <c r="AM202" s="6"/>
      <c r="AN202" s="6"/>
      <c r="AO202" s="6"/>
      <c r="AP202" s="121">
        <f t="shared" si="31"/>
        <v>0</v>
      </c>
      <c r="AQ202" s="6"/>
      <c r="AR202" s="6"/>
      <c r="AS202" s="6"/>
      <c r="AT202" s="6"/>
      <c r="AU202" s="6"/>
      <c r="AV202" s="6"/>
      <c r="AW202" s="6"/>
      <c r="AX202" s="121">
        <f t="shared" si="32"/>
        <v>0</v>
      </c>
      <c r="AY202" s="6"/>
      <c r="AZ202" s="6"/>
      <c r="BA202" s="6"/>
      <c r="BB202" s="6"/>
      <c r="BC202" s="6"/>
      <c r="BD202" s="121">
        <f t="shared" si="6"/>
        <v>0</v>
      </c>
      <c r="BE202" s="123"/>
      <c r="BF202" s="6">
        <f t="shared" si="7"/>
        <v>0</v>
      </c>
      <c r="BG202" s="124">
        <f t="shared" si="27"/>
        <v>0</v>
      </c>
      <c r="BH202" s="6"/>
      <c r="BI202" s="2"/>
    </row>
    <row r="203" ht="12.75" customHeight="1">
      <c r="A203" s="147" t="s">
        <v>1039</v>
      </c>
      <c r="B203" s="147"/>
      <c r="C203" s="148">
        <v>45540.0</v>
      </c>
      <c r="D203" s="148"/>
      <c r="E203" s="149" t="s">
        <v>752</v>
      </c>
      <c r="F203" s="149" t="s">
        <v>753</v>
      </c>
      <c r="G203" s="149" t="s">
        <v>755</v>
      </c>
      <c r="H203" s="150"/>
      <c r="I203" s="148" t="s">
        <v>756</v>
      </c>
      <c r="J203" s="150" t="s">
        <v>1040</v>
      </c>
      <c r="K203" s="150" t="s">
        <v>788</v>
      </c>
      <c r="L203" s="153">
        <v>588627.0</v>
      </c>
      <c r="M203" s="153"/>
      <c r="N203" s="153">
        <v>588627.0</v>
      </c>
      <c r="O203" s="5"/>
      <c r="P203" s="153">
        <v>588627.0</v>
      </c>
      <c r="Q203" s="5"/>
      <c r="R203" s="6"/>
      <c r="S203" s="75"/>
      <c r="T203" s="75"/>
      <c r="U203" s="75"/>
      <c r="V203" s="75"/>
      <c r="W203" s="75"/>
      <c r="X203" s="121">
        <f t="shared" si="28"/>
        <v>0</v>
      </c>
      <c r="Y203" s="75"/>
      <c r="Z203" s="75"/>
      <c r="AA203" s="75"/>
      <c r="AB203" s="75"/>
      <c r="AC203" s="121">
        <f t="shared" si="29"/>
        <v>0</v>
      </c>
      <c r="AD203" s="75"/>
      <c r="AE203" s="75"/>
      <c r="AF203" s="75"/>
      <c r="AG203" s="75"/>
      <c r="AH203" s="75"/>
      <c r="AI203" s="121">
        <f t="shared" si="30"/>
        <v>0</v>
      </c>
      <c r="AJ203" s="75"/>
      <c r="AK203" s="170"/>
      <c r="AL203" s="75"/>
      <c r="AM203" s="75"/>
      <c r="AN203" s="75"/>
      <c r="AO203" s="75"/>
      <c r="AP203" s="121">
        <f t="shared" si="31"/>
        <v>0</v>
      </c>
      <c r="AQ203" s="75">
        <v>588627.0</v>
      </c>
      <c r="AR203" s="75"/>
      <c r="AS203" s="75"/>
      <c r="AT203" s="75"/>
      <c r="AU203" s="75"/>
      <c r="AV203" s="75"/>
      <c r="AW203" s="75"/>
      <c r="AX203" s="121">
        <f t="shared" si="32"/>
        <v>588627</v>
      </c>
      <c r="AY203" s="75"/>
      <c r="AZ203" s="75"/>
      <c r="BA203" s="75"/>
      <c r="BB203" s="75"/>
      <c r="BC203" s="75"/>
      <c r="BD203" s="121">
        <f t="shared" si="6"/>
        <v>0</v>
      </c>
      <c r="BE203" s="123"/>
      <c r="BF203" s="154">
        <f t="shared" si="7"/>
        <v>588627</v>
      </c>
      <c r="BG203" s="124">
        <f t="shared" si="27"/>
        <v>0</v>
      </c>
      <c r="BH203" s="6"/>
      <c r="BI203" s="2"/>
    </row>
    <row r="204" ht="12.75" customHeight="1">
      <c r="A204" s="171" t="s">
        <v>1041</v>
      </c>
      <c r="B204" s="171"/>
      <c r="C204" s="172">
        <v>45637.0</v>
      </c>
      <c r="D204" s="172"/>
      <c r="E204" s="173" t="s">
        <v>757</v>
      </c>
      <c r="F204" s="173" t="s">
        <v>758</v>
      </c>
      <c r="G204" s="173" t="s">
        <v>760</v>
      </c>
      <c r="H204" s="174"/>
      <c r="I204" s="175" t="s">
        <v>761</v>
      </c>
      <c r="J204" s="174" t="s">
        <v>1042</v>
      </c>
      <c r="K204" s="174" t="s">
        <v>851</v>
      </c>
      <c r="L204" s="55">
        <v>50000.0</v>
      </c>
      <c r="M204" s="55"/>
      <c r="N204" s="55">
        <v>50000.0</v>
      </c>
      <c r="O204" s="5"/>
      <c r="P204" s="55">
        <v>50000.0</v>
      </c>
      <c r="Q204" s="5"/>
      <c r="R204" s="6"/>
      <c r="S204" s="75"/>
      <c r="T204" s="75"/>
      <c r="U204" s="75"/>
      <c r="V204" s="75"/>
      <c r="W204" s="75"/>
      <c r="X204" s="121"/>
      <c r="Y204" s="75"/>
      <c r="Z204" s="75"/>
      <c r="AA204" s="75"/>
      <c r="AB204" s="75"/>
      <c r="AC204" s="121"/>
      <c r="AD204" s="75"/>
      <c r="AE204" s="75"/>
      <c r="AF204" s="75"/>
      <c r="AG204" s="75"/>
      <c r="AH204" s="75"/>
      <c r="AI204" s="121"/>
      <c r="AJ204" s="75"/>
      <c r="AK204" s="170"/>
      <c r="AL204" s="75"/>
      <c r="AM204" s="75"/>
      <c r="AN204" s="75"/>
      <c r="AO204" s="75"/>
      <c r="AP204" s="121"/>
      <c r="AQ204" s="176"/>
      <c r="AR204" s="176"/>
      <c r="AS204" s="176">
        <v>50000.0</v>
      </c>
      <c r="AT204" s="176"/>
      <c r="AU204" s="176"/>
      <c r="AV204" s="176"/>
      <c r="AW204" s="176"/>
      <c r="AX204" s="177">
        <f t="shared" si="32"/>
        <v>50000</v>
      </c>
      <c r="AY204" s="178"/>
      <c r="AZ204" s="176"/>
      <c r="BA204" s="176"/>
      <c r="BB204" s="176"/>
      <c r="BC204" s="179"/>
      <c r="BD204" s="121">
        <f t="shared" si="6"/>
        <v>0</v>
      </c>
      <c r="BE204" s="123"/>
      <c r="BF204" s="176">
        <f t="shared" si="7"/>
        <v>50000</v>
      </c>
      <c r="BG204" s="124">
        <f t="shared" si="27"/>
        <v>0</v>
      </c>
      <c r="BH204" s="6"/>
      <c r="BI204" s="2"/>
    </row>
    <row r="205" ht="12.75" customHeight="1">
      <c r="A205" s="147" t="s">
        <v>1043</v>
      </c>
      <c r="B205" s="147"/>
      <c r="C205" s="148">
        <v>45637.0</v>
      </c>
      <c r="D205" s="148"/>
      <c r="E205" s="149" t="s">
        <v>757</v>
      </c>
      <c r="F205" s="149" t="s">
        <v>758</v>
      </c>
      <c r="G205" s="149" t="s">
        <v>760</v>
      </c>
      <c r="H205" s="150"/>
      <c r="I205" s="151" t="s">
        <v>761</v>
      </c>
      <c r="J205" s="150" t="s">
        <v>1044</v>
      </c>
      <c r="K205" s="150" t="s">
        <v>788</v>
      </c>
      <c r="L205" s="153">
        <v>6400000.0</v>
      </c>
      <c r="M205" s="153"/>
      <c r="N205" s="153">
        <v>4699428.78</v>
      </c>
      <c r="O205" s="5"/>
      <c r="P205" s="153">
        <v>4699428.78</v>
      </c>
      <c r="Q205" s="5"/>
      <c r="R205" s="6"/>
      <c r="S205" s="75"/>
      <c r="T205" s="75"/>
      <c r="U205" s="75"/>
      <c r="V205" s="75"/>
      <c r="W205" s="75"/>
      <c r="X205" s="121"/>
      <c r="Y205" s="75"/>
      <c r="Z205" s="75"/>
      <c r="AA205" s="75"/>
      <c r="AB205" s="75"/>
      <c r="AC205" s="121"/>
      <c r="AD205" s="75"/>
      <c r="AE205" s="75"/>
      <c r="AF205" s="75"/>
      <c r="AG205" s="75"/>
      <c r="AH205" s="75"/>
      <c r="AI205" s="121"/>
      <c r="AJ205" s="75"/>
      <c r="AK205" s="170"/>
      <c r="AL205" s="75"/>
      <c r="AM205" s="75"/>
      <c r="AN205" s="75"/>
      <c r="AO205" s="75"/>
      <c r="AP205" s="121"/>
      <c r="AQ205" s="75"/>
      <c r="AR205" s="75"/>
      <c r="AS205" s="75">
        <v>4699428.78</v>
      </c>
      <c r="AT205" s="75"/>
      <c r="AU205" s="75"/>
      <c r="AV205" s="75"/>
      <c r="AW205" s="75"/>
      <c r="AX205" s="121">
        <f t="shared" si="32"/>
        <v>4699428.78</v>
      </c>
      <c r="AY205" s="75"/>
      <c r="AZ205" s="75"/>
      <c r="BA205" s="75"/>
      <c r="BB205" s="75"/>
      <c r="BC205" s="75"/>
      <c r="BD205" s="121">
        <f t="shared" si="6"/>
        <v>0</v>
      </c>
      <c r="BE205" s="123"/>
      <c r="BF205" s="154">
        <f t="shared" si="7"/>
        <v>4699428.78</v>
      </c>
      <c r="BG205" s="124">
        <f t="shared" si="27"/>
        <v>0</v>
      </c>
      <c r="BH205" s="6"/>
      <c r="BI205" s="2"/>
    </row>
    <row r="206" ht="12.75" customHeight="1">
      <c r="A206" s="147" t="s">
        <v>1043</v>
      </c>
      <c r="B206" s="147"/>
      <c r="C206" s="148">
        <v>45994.0</v>
      </c>
      <c r="D206" s="148"/>
      <c r="E206" s="149" t="s">
        <v>762</v>
      </c>
      <c r="F206" s="149" t="s">
        <v>758</v>
      </c>
      <c r="G206" s="149" t="s">
        <v>760</v>
      </c>
      <c r="H206" s="150"/>
      <c r="I206" s="151" t="s">
        <v>761</v>
      </c>
      <c r="J206" s="150" t="s">
        <v>1045</v>
      </c>
      <c r="K206" s="150" t="s">
        <v>788</v>
      </c>
      <c r="L206" s="180"/>
      <c r="M206" s="153"/>
      <c r="N206" s="153">
        <v>1700571.21</v>
      </c>
      <c r="O206" s="5"/>
      <c r="P206" s="153">
        <v>1700571.21</v>
      </c>
      <c r="Q206" s="5"/>
      <c r="R206" s="6"/>
      <c r="S206" s="75"/>
      <c r="T206" s="75"/>
      <c r="U206" s="75"/>
      <c r="V206" s="75"/>
      <c r="W206" s="75"/>
      <c r="X206" s="121"/>
      <c r="Y206" s="75"/>
      <c r="Z206" s="75"/>
      <c r="AA206" s="75"/>
      <c r="AB206" s="75"/>
      <c r="AC206" s="121"/>
      <c r="AD206" s="75"/>
      <c r="AE206" s="75"/>
      <c r="AF206" s="75"/>
      <c r="AG206" s="75"/>
      <c r="AH206" s="75"/>
      <c r="AI206" s="121"/>
      <c r="AJ206" s="75"/>
      <c r="AK206" s="170"/>
      <c r="AL206" s="75"/>
      <c r="AM206" s="75"/>
      <c r="AN206" s="75"/>
      <c r="AO206" s="75"/>
      <c r="AP206" s="121"/>
      <c r="AQ206" s="75"/>
      <c r="AR206" s="75"/>
      <c r="AS206" s="75"/>
      <c r="AT206" s="75"/>
      <c r="AU206" s="75"/>
      <c r="AV206" s="75"/>
      <c r="AW206" s="75"/>
      <c r="AX206" s="121">
        <f t="shared" si="32"/>
        <v>0</v>
      </c>
      <c r="AY206" s="75">
        <v>1700571.21</v>
      </c>
      <c r="AZ206" s="75"/>
      <c r="BA206" s="75"/>
      <c r="BB206" s="75"/>
      <c r="BC206" s="75"/>
      <c r="BD206" s="121">
        <f t="shared" si="6"/>
        <v>1700571.21</v>
      </c>
      <c r="BE206" s="123"/>
      <c r="BF206" s="154">
        <f t="shared" si="7"/>
        <v>1700571.21</v>
      </c>
      <c r="BG206" s="124">
        <f t="shared" si="27"/>
        <v>0</v>
      </c>
      <c r="BH206" s="6"/>
      <c r="BI206" s="2"/>
    </row>
    <row r="207" ht="12.75" customHeight="1">
      <c r="A207" s="147" t="s">
        <v>1046</v>
      </c>
      <c r="B207" s="147"/>
      <c r="C207" s="148">
        <v>46027.0</v>
      </c>
      <c r="D207" s="148"/>
      <c r="E207" s="149" t="s">
        <v>763</v>
      </c>
      <c r="F207" s="149" t="s">
        <v>764</v>
      </c>
      <c r="G207" s="149" t="s">
        <v>766</v>
      </c>
      <c r="H207" s="150"/>
      <c r="I207" s="151" t="s">
        <v>767</v>
      </c>
      <c r="J207" s="150" t="s">
        <v>1047</v>
      </c>
      <c r="K207" s="150" t="s">
        <v>788</v>
      </c>
      <c r="L207" s="153">
        <v>3308467.83</v>
      </c>
      <c r="M207" s="153"/>
      <c r="N207" s="153">
        <v>3308467.83</v>
      </c>
      <c r="O207" s="5"/>
      <c r="P207" s="153">
        <v>3308467.83</v>
      </c>
      <c r="Q207" s="5"/>
      <c r="R207" s="6"/>
      <c r="S207" s="75"/>
      <c r="T207" s="75"/>
      <c r="U207" s="75"/>
      <c r="V207" s="75"/>
      <c r="W207" s="75"/>
      <c r="X207" s="121"/>
      <c r="Y207" s="75"/>
      <c r="Z207" s="75"/>
      <c r="AA207" s="75"/>
      <c r="AB207" s="75"/>
      <c r="AC207" s="121"/>
      <c r="AD207" s="75"/>
      <c r="AE207" s="75"/>
      <c r="AF207" s="75"/>
      <c r="AG207" s="75"/>
      <c r="AH207" s="75"/>
      <c r="AI207" s="121"/>
      <c r="AJ207" s="75"/>
      <c r="AK207" s="170"/>
      <c r="AL207" s="75"/>
      <c r="AM207" s="75"/>
      <c r="AN207" s="75"/>
      <c r="AO207" s="75"/>
      <c r="AP207" s="121"/>
      <c r="AQ207" s="75"/>
      <c r="AR207" s="75"/>
      <c r="AS207" s="75"/>
      <c r="AT207" s="75"/>
      <c r="AU207" s="75"/>
      <c r="AV207" s="75"/>
      <c r="AW207" s="75"/>
      <c r="AX207" s="121"/>
      <c r="AY207" s="75"/>
      <c r="AZ207" s="75"/>
      <c r="BA207" s="75"/>
      <c r="BB207" s="75"/>
      <c r="BC207" s="75"/>
      <c r="BD207" s="121">
        <f t="shared" si="6"/>
        <v>0</v>
      </c>
      <c r="BE207" s="123"/>
      <c r="BF207" s="6">
        <f t="shared" si="7"/>
        <v>0</v>
      </c>
      <c r="BG207" s="124">
        <f t="shared" si="27"/>
        <v>3308467.83</v>
      </c>
      <c r="BH207" s="6"/>
      <c r="BI207" s="2"/>
    </row>
    <row r="208" ht="12.75" customHeight="1">
      <c r="A208" s="71"/>
      <c r="B208" s="71"/>
      <c r="C208" s="11"/>
      <c r="D208" s="11"/>
      <c r="E208" s="2"/>
      <c r="F208" s="2"/>
      <c r="G208" s="2"/>
      <c r="H208" s="54"/>
      <c r="I208" s="30"/>
      <c r="J208" s="54"/>
      <c r="K208" s="54"/>
      <c r="L208" s="5"/>
      <c r="M208" s="5"/>
      <c r="N208" s="5"/>
      <c r="O208" s="5"/>
      <c r="P208" s="5"/>
      <c r="Q208" s="5"/>
      <c r="R208" s="6"/>
      <c r="S208" s="6"/>
      <c r="T208" s="6"/>
      <c r="U208" s="6"/>
      <c r="V208" s="6"/>
      <c r="W208" s="6"/>
      <c r="X208" s="121"/>
      <c r="Y208" s="75"/>
      <c r="Z208" s="75"/>
      <c r="AA208" s="75"/>
      <c r="AB208" s="75"/>
      <c r="AC208" s="121"/>
      <c r="AD208" s="75"/>
      <c r="AE208" s="75"/>
      <c r="AF208" s="75"/>
      <c r="AG208" s="75"/>
      <c r="AH208" s="75"/>
      <c r="AI208" s="121"/>
      <c r="AJ208" s="75"/>
      <c r="AK208" s="170"/>
      <c r="AL208" s="75"/>
      <c r="AM208" s="75"/>
      <c r="AN208" s="75"/>
      <c r="AO208" s="75"/>
      <c r="AP208" s="121"/>
      <c r="AQ208" s="75"/>
      <c r="AR208" s="75"/>
      <c r="AS208" s="75"/>
      <c r="AT208" s="75"/>
      <c r="AU208" s="75"/>
      <c r="AV208" s="75"/>
      <c r="AW208" s="75"/>
      <c r="AX208" s="121"/>
      <c r="AY208" s="75"/>
      <c r="AZ208" s="75"/>
      <c r="BA208" s="75"/>
      <c r="BB208" s="75"/>
      <c r="BC208" s="75"/>
      <c r="BD208" s="121"/>
      <c r="BE208" s="123"/>
      <c r="BF208" s="6"/>
      <c r="BG208" s="124"/>
      <c r="BH208" s="6"/>
      <c r="BI208" s="2"/>
    </row>
    <row r="209" ht="12.75" customHeight="1">
      <c r="A209" s="71"/>
      <c r="B209" s="71"/>
      <c r="C209" s="11"/>
      <c r="D209" s="11"/>
      <c r="E209" s="2"/>
      <c r="F209" s="2"/>
      <c r="G209" s="2"/>
      <c r="H209" s="54"/>
      <c r="I209" s="30"/>
      <c r="J209" s="54"/>
      <c r="K209" s="54"/>
      <c r="L209" s="5"/>
      <c r="M209" s="5"/>
      <c r="N209" s="5"/>
      <c r="O209" s="5"/>
      <c r="P209" s="5"/>
      <c r="Q209" s="5"/>
      <c r="R209" s="6"/>
      <c r="S209" s="6"/>
      <c r="T209" s="6"/>
      <c r="U209" s="6"/>
      <c r="V209" s="6"/>
      <c r="W209" s="6"/>
      <c r="X209" s="121"/>
      <c r="Y209" s="75"/>
      <c r="Z209" s="75"/>
      <c r="AA209" s="75"/>
      <c r="AB209" s="75"/>
      <c r="AC209" s="121"/>
      <c r="AD209" s="75"/>
      <c r="AE209" s="75"/>
      <c r="AF209" s="75"/>
      <c r="AG209" s="75"/>
      <c r="AH209" s="75"/>
      <c r="AI209" s="121"/>
      <c r="AJ209" s="75"/>
      <c r="AK209" s="170"/>
      <c r="AL209" s="75"/>
      <c r="AM209" s="75"/>
      <c r="AN209" s="75"/>
      <c r="AO209" s="75"/>
      <c r="AP209" s="121"/>
      <c r="AQ209" s="75"/>
      <c r="AR209" s="75"/>
      <c r="AS209" s="75"/>
      <c r="AT209" s="75"/>
      <c r="AU209" s="75"/>
      <c r="AV209" s="75"/>
      <c r="AW209" s="75"/>
      <c r="AX209" s="121"/>
      <c r="AY209" s="75"/>
      <c r="AZ209" s="75"/>
      <c r="BA209" s="75"/>
      <c r="BB209" s="75"/>
      <c r="BC209" s="75"/>
      <c r="BD209" s="121"/>
      <c r="BE209" s="123"/>
      <c r="BF209" s="6"/>
      <c r="BG209" s="124"/>
      <c r="BH209" s="6"/>
      <c r="BI209" s="2"/>
    </row>
    <row r="210" ht="12.75" customHeight="1">
      <c r="A210" s="181" t="s">
        <v>1048</v>
      </c>
      <c r="B210" s="181"/>
      <c r="C210" s="182">
        <v>44022.0</v>
      </c>
      <c r="D210" s="182"/>
      <c r="E210" s="183" t="s">
        <v>81</v>
      </c>
      <c r="F210" s="183" t="s">
        <v>1049</v>
      </c>
      <c r="G210" s="183" t="s">
        <v>1050</v>
      </c>
      <c r="H210" s="184"/>
      <c r="I210" s="182" t="s">
        <v>1051</v>
      </c>
      <c r="J210" s="184" t="s">
        <v>870</v>
      </c>
      <c r="K210" s="184" t="s">
        <v>787</v>
      </c>
      <c r="L210" s="185">
        <v>2.7E7</v>
      </c>
      <c r="M210" s="185">
        <v>2.7E7</v>
      </c>
      <c r="N210" s="185">
        <v>3000000.0</v>
      </c>
      <c r="O210" s="5"/>
      <c r="P210" s="185"/>
      <c r="Q210" s="185">
        <v>3000000.0</v>
      </c>
      <c r="R210" s="75"/>
      <c r="S210" s="75">
        <v>450000.0</v>
      </c>
      <c r="T210" s="75">
        <f>1850000+229000</f>
        <v>2079000</v>
      </c>
      <c r="U210" s="75">
        <v>471000.0</v>
      </c>
      <c r="V210" s="75"/>
      <c r="W210" s="75"/>
      <c r="X210" s="121">
        <f t="shared" ref="X210:X219" si="33">SUM(S210:W210)</f>
        <v>3000000</v>
      </c>
      <c r="Y210" s="75"/>
      <c r="Z210" s="75"/>
      <c r="AA210" s="75"/>
      <c r="AB210" s="75"/>
      <c r="AC210" s="121">
        <f t="shared" ref="AC210:AC219" si="34">SUM(Y210:AB210)</f>
        <v>0</v>
      </c>
      <c r="AD210" s="75"/>
      <c r="AE210" s="75"/>
      <c r="AF210" s="75"/>
      <c r="AG210" s="75"/>
      <c r="AH210" s="75"/>
      <c r="AI210" s="121">
        <f t="shared" ref="AI210:AI219" si="35">SUM(AD210:AH210)</f>
        <v>0</v>
      </c>
      <c r="AJ210" s="75"/>
      <c r="AK210" s="170"/>
      <c r="AL210" s="75"/>
      <c r="AM210" s="75"/>
      <c r="AN210" s="75"/>
      <c r="AO210" s="75"/>
      <c r="AP210" s="121">
        <f t="shared" ref="AP210:AP219" si="36">SUM(AJ210:AO210)</f>
        <v>0</v>
      </c>
      <c r="AQ210" s="75"/>
      <c r="AR210" s="75"/>
      <c r="AS210" s="75"/>
      <c r="AT210" s="75"/>
      <c r="AU210" s="75"/>
      <c r="AV210" s="75"/>
      <c r="AW210" s="75"/>
      <c r="AX210" s="121">
        <f t="shared" ref="AX210:AX219" si="37">SUM(AQ210:AW210)</f>
        <v>0</v>
      </c>
      <c r="AY210" s="75"/>
      <c r="AZ210" s="75"/>
      <c r="BA210" s="75"/>
      <c r="BB210" s="75"/>
      <c r="BC210" s="75"/>
      <c r="BD210" s="121">
        <f t="shared" ref="BD210:BD221" si="38">SUM(AY210:BC210)</f>
        <v>0</v>
      </c>
      <c r="BE210" s="123"/>
      <c r="BF210" s="6">
        <f t="shared" ref="BF210:BF221" si="39">AC210+X210+AI210+AP210+AX210+BD210</f>
        <v>3000000</v>
      </c>
      <c r="BG210" s="124">
        <f t="shared" ref="BG210:BG221" si="40">+N210-BF210</f>
        <v>0</v>
      </c>
      <c r="BH210" s="6"/>
      <c r="BI210" s="2"/>
    </row>
    <row r="211" ht="12.75" customHeight="1">
      <c r="A211" s="181" t="s">
        <v>1048</v>
      </c>
      <c r="B211" s="181"/>
      <c r="C211" s="182">
        <v>44022.0</v>
      </c>
      <c r="D211" s="182"/>
      <c r="E211" s="183" t="s">
        <v>81</v>
      </c>
      <c r="F211" s="183" t="s">
        <v>1049</v>
      </c>
      <c r="G211" s="183" t="s">
        <v>1052</v>
      </c>
      <c r="H211" s="184"/>
      <c r="I211" s="182"/>
      <c r="J211" s="184" t="s">
        <v>861</v>
      </c>
      <c r="K211" s="184" t="s">
        <v>787</v>
      </c>
      <c r="L211" s="185"/>
      <c r="M211" s="185">
        <v>0.0</v>
      </c>
      <c r="N211" s="185">
        <v>279000.0</v>
      </c>
      <c r="O211" s="5"/>
      <c r="P211" s="185"/>
      <c r="Q211" s="185">
        <v>279000.0</v>
      </c>
      <c r="R211" s="75"/>
      <c r="S211" s="75">
        <v>50000.0</v>
      </c>
      <c r="T211" s="75"/>
      <c r="U211" s="75">
        <v>229000.0</v>
      </c>
      <c r="V211" s="75"/>
      <c r="W211" s="75"/>
      <c r="X211" s="121">
        <f t="shared" si="33"/>
        <v>279000</v>
      </c>
      <c r="Y211" s="75"/>
      <c r="Z211" s="75"/>
      <c r="AA211" s="75"/>
      <c r="AB211" s="75"/>
      <c r="AC211" s="121">
        <f t="shared" si="34"/>
        <v>0</v>
      </c>
      <c r="AD211" s="75"/>
      <c r="AE211" s="75"/>
      <c r="AF211" s="75"/>
      <c r="AG211" s="75"/>
      <c r="AH211" s="75"/>
      <c r="AI211" s="121">
        <f t="shared" si="35"/>
        <v>0</v>
      </c>
      <c r="AJ211" s="75"/>
      <c r="AK211" s="170"/>
      <c r="AL211" s="75"/>
      <c r="AM211" s="75"/>
      <c r="AN211" s="75"/>
      <c r="AO211" s="75"/>
      <c r="AP211" s="121">
        <f t="shared" si="36"/>
        <v>0</v>
      </c>
      <c r="AQ211" s="75"/>
      <c r="AR211" s="75"/>
      <c r="AS211" s="75"/>
      <c r="AT211" s="75"/>
      <c r="AU211" s="75"/>
      <c r="AV211" s="75"/>
      <c r="AW211" s="75"/>
      <c r="AX211" s="121">
        <f t="shared" si="37"/>
        <v>0</v>
      </c>
      <c r="AY211" s="75"/>
      <c r="AZ211" s="75"/>
      <c r="BA211" s="75"/>
      <c r="BB211" s="75"/>
      <c r="BC211" s="75"/>
      <c r="BD211" s="121">
        <f t="shared" si="38"/>
        <v>0</v>
      </c>
      <c r="BE211" s="123"/>
      <c r="BF211" s="6">
        <f t="shared" si="39"/>
        <v>279000</v>
      </c>
      <c r="BG211" s="124">
        <f t="shared" si="40"/>
        <v>0</v>
      </c>
      <c r="BH211" s="6"/>
      <c r="BI211" s="2"/>
    </row>
    <row r="212" ht="12.75" customHeight="1">
      <c r="A212" s="181" t="s">
        <v>1048</v>
      </c>
      <c r="B212" s="181"/>
      <c r="C212" s="182">
        <v>44294.0</v>
      </c>
      <c r="D212" s="182"/>
      <c r="E212" s="183" t="s">
        <v>190</v>
      </c>
      <c r="F212" s="183" t="s">
        <v>1049</v>
      </c>
      <c r="G212" s="183" t="s">
        <v>1052</v>
      </c>
      <c r="H212" s="184"/>
      <c r="I212" s="186"/>
      <c r="J212" s="184" t="s">
        <v>889</v>
      </c>
      <c r="K212" s="184" t="s">
        <v>787</v>
      </c>
      <c r="L212" s="185"/>
      <c r="M212" s="185">
        <v>0.0</v>
      </c>
      <c r="N212" s="185">
        <v>5190400.0</v>
      </c>
      <c r="O212" s="5"/>
      <c r="P212" s="185"/>
      <c r="Q212" s="185">
        <v>5190400.0</v>
      </c>
      <c r="R212" s="75"/>
      <c r="S212" s="75">
        <v>0.0</v>
      </c>
      <c r="T212" s="75"/>
      <c r="U212" s="75"/>
      <c r="V212" s="75">
        <v>4171000.0</v>
      </c>
      <c r="W212" s="75">
        <v>550000.0</v>
      </c>
      <c r="X212" s="121">
        <f t="shared" si="33"/>
        <v>4721000</v>
      </c>
      <c r="Y212" s="75">
        <v>469400.0</v>
      </c>
      <c r="Z212" s="75"/>
      <c r="AA212" s="75"/>
      <c r="AB212" s="75"/>
      <c r="AC212" s="121">
        <f t="shared" si="34"/>
        <v>469400</v>
      </c>
      <c r="AD212" s="75"/>
      <c r="AE212" s="75"/>
      <c r="AF212" s="75"/>
      <c r="AG212" s="75"/>
      <c r="AH212" s="75"/>
      <c r="AI212" s="121">
        <f t="shared" si="35"/>
        <v>0</v>
      </c>
      <c r="AJ212" s="75"/>
      <c r="AK212" s="170"/>
      <c r="AL212" s="75"/>
      <c r="AM212" s="75"/>
      <c r="AN212" s="75"/>
      <c r="AO212" s="75"/>
      <c r="AP212" s="121">
        <f t="shared" si="36"/>
        <v>0</v>
      </c>
      <c r="AQ212" s="75"/>
      <c r="AR212" s="75"/>
      <c r="AS212" s="75"/>
      <c r="AT212" s="75"/>
      <c r="AU212" s="75"/>
      <c r="AV212" s="75"/>
      <c r="AW212" s="75"/>
      <c r="AX212" s="121">
        <f t="shared" si="37"/>
        <v>0</v>
      </c>
      <c r="AY212" s="75"/>
      <c r="AZ212" s="75"/>
      <c r="BA212" s="75"/>
      <c r="BB212" s="75"/>
      <c r="BC212" s="75"/>
      <c r="BD212" s="121">
        <f t="shared" si="38"/>
        <v>0</v>
      </c>
      <c r="BE212" s="123"/>
      <c r="BF212" s="6">
        <f t="shared" si="39"/>
        <v>5190400</v>
      </c>
      <c r="BG212" s="124">
        <f t="shared" si="40"/>
        <v>0</v>
      </c>
      <c r="BH212" s="6"/>
      <c r="BI212" s="2"/>
    </row>
    <row r="213" ht="12.75" customHeight="1">
      <c r="A213" s="181" t="s">
        <v>1048</v>
      </c>
      <c r="B213" s="181"/>
      <c r="C213" s="182">
        <v>44390.0</v>
      </c>
      <c r="D213" s="182"/>
      <c r="E213" s="183" t="s">
        <v>219</v>
      </c>
      <c r="F213" s="183" t="s">
        <v>1049</v>
      </c>
      <c r="G213" s="183" t="s">
        <v>1052</v>
      </c>
      <c r="H213" s="184"/>
      <c r="I213" s="186"/>
      <c r="J213" s="184" t="s">
        <v>889</v>
      </c>
      <c r="K213" s="184" t="s">
        <v>787</v>
      </c>
      <c r="L213" s="185"/>
      <c r="M213" s="185">
        <v>0.0</v>
      </c>
      <c r="N213" s="185">
        <v>1209600.0</v>
      </c>
      <c r="O213" s="5"/>
      <c r="P213" s="185"/>
      <c r="Q213" s="185">
        <v>1209600.0</v>
      </c>
      <c r="R213" s="75"/>
      <c r="S213" s="75">
        <v>0.0</v>
      </c>
      <c r="T213" s="75"/>
      <c r="U213" s="75"/>
      <c r="V213" s="75"/>
      <c r="W213" s="75"/>
      <c r="X213" s="121">
        <f t="shared" si="33"/>
        <v>0</v>
      </c>
      <c r="Y213" s="75">
        <v>1209600.0</v>
      </c>
      <c r="Z213" s="75"/>
      <c r="AA213" s="75"/>
      <c r="AB213" s="75"/>
      <c r="AC213" s="121">
        <f t="shared" si="34"/>
        <v>1209600</v>
      </c>
      <c r="AD213" s="75"/>
      <c r="AE213" s="75"/>
      <c r="AF213" s="75"/>
      <c r="AG213" s="75"/>
      <c r="AH213" s="75"/>
      <c r="AI213" s="121">
        <f t="shared" si="35"/>
        <v>0</v>
      </c>
      <c r="AJ213" s="75"/>
      <c r="AK213" s="170"/>
      <c r="AL213" s="75"/>
      <c r="AM213" s="75"/>
      <c r="AN213" s="75"/>
      <c r="AO213" s="75"/>
      <c r="AP213" s="121">
        <f t="shared" si="36"/>
        <v>0</v>
      </c>
      <c r="AQ213" s="75"/>
      <c r="AR213" s="75"/>
      <c r="AS213" s="75"/>
      <c r="AT213" s="75"/>
      <c r="AU213" s="75"/>
      <c r="AV213" s="75"/>
      <c r="AW213" s="75"/>
      <c r="AX213" s="121">
        <f t="shared" si="37"/>
        <v>0</v>
      </c>
      <c r="AY213" s="75"/>
      <c r="AZ213" s="75"/>
      <c r="BA213" s="75"/>
      <c r="BB213" s="75"/>
      <c r="BC213" s="75"/>
      <c r="BD213" s="121">
        <f t="shared" si="38"/>
        <v>0</v>
      </c>
      <c r="BE213" s="123"/>
      <c r="BF213" s="6">
        <f t="shared" si="39"/>
        <v>1209600</v>
      </c>
      <c r="BG213" s="124">
        <f t="shared" si="40"/>
        <v>0</v>
      </c>
      <c r="BH213" s="6"/>
      <c r="BI213" s="2"/>
    </row>
    <row r="214" ht="12.75" customHeight="1">
      <c r="A214" s="181" t="s">
        <v>1048</v>
      </c>
      <c r="B214" s="181"/>
      <c r="C214" s="182">
        <v>44509.0</v>
      </c>
      <c r="D214" s="182"/>
      <c r="E214" s="183" t="s">
        <v>261</v>
      </c>
      <c r="F214" s="183" t="s">
        <v>1049</v>
      </c>
      <c r="G214" s="183" t="s">
        <v>1052</v>
      </c>
      <c r="H214" s="184"/>
      <c r="I214" s="186"/>
      <c r="J214" s="184" t="s">
        <v>1053</v>
      </c>
      <c r="K214" s="184" t="s">
        <v>787</v>
      </c>
      <c r="L214" s="185"/>
      <c r="M214" s="185">
        <v>0.0</v>
      </c>
      <c r="N214" s="185">
        <v>5682412.12</v>
      </c>
      <c r="O214" s="5"/>
      <c r="P214" s="185"/>
      <c r="Q214" s="185">
        <v>5682412.12</v>
      </c>
      <c r="R214" s="75"/>
      <c r="S214" s="75">
        <v>0.0</v>
      </c>
      <c r="T214" s="75"/>
      <c r="U214" s="75"/>
      <c r="V214" s="75"/>
      <c r="W214" s="75"/>
      <c r="X214" s="121">
        <f t="shared" si="33"/>
        <v>0</v>
      </c>
      <c r="Y214" s="75"/>
      <c r="Z214" s="75">
        <v>1420603.03</v>
      </c>
      <c r="AA214" s="75">
        <v>2130904.55</v>
      </c>
      <c r="AB214" s="75">
        <v>2130904.54</v>
      </c>
      <c r="AC214" s="121">
        <f t="shared" si="34"/>
        <v>5682412.12</v>
      </c>
      <c r="AD214" s="75"/>
      <c r="AE214" s="75"/>
      <c r="AF214" s="75"/>
      <c r="AG214" s="75"/>
      <c r="AH214" s="75"/>
      <c r="AI214" s="121">
        <f t="shared" si="35"/>
        <v>0</v>
      </c>
      <c r="AJ214" s="75"/>
      <c r="AK214" s="170"/>
      <c r="AL214" s="75"/>
      <c r="AM214" s="75"/>
      <c r="AN214" s="75"/>
      <c r="AO214" s="75"/>
      <c r="AP214" s="121">
        <f t="shared" si="36"/>
        <v>0</v>
      </c>
      <c r="AQ214" s="75"/>
      <c r="AR214" s="75"/>
      <c r="AS214" s="75"/>
      <c r="AT214" s="75"/>
      <c r="AU214" s="75"/>
      <c r="AV214" s="75"/>
      <c r="AW214" s="75"/>
      <c r="AX214" s="121">
        <f t="shared" si="37"/>
        <v>0</v>
      </c>
      <c r="AY214" s="75"/>
      <c r="AZ214" s="75"/>
      <c r="BA214" s="75"/>
      <c r="BB214" s="75"/>
      <c r="BC214" s="75"/>
      <c r="BD214" s="121">
        <f t="shared" si="38"/>
        <v>0</v>
      </c>
      <c r="BE214" s="123"/>
      <c r="BF214" s="6">
        <f t="shared" si="39"/>
        <v>5682412.12</v>
      </c>
      <c r="BG214" s="124">
        <f t="shared" si="40"/>
        <v>0</v>
      </c>
      <c r="BH214" s="6"/>
      <c r="BI214" s="2"/>
    </row>
    <row r="215" ht="12.75" customHeight="1">
      <c r="A215" s="181" t="s">
        <v>1048</v>
      </c>
      <c r="B215" s="181"/>
      <c r="C215" s="182">
        <v>44596.0</v>
      </c>
      <c r="D215" s="182"/>
      <c r="E215" s="183" t="s">
        <v>1054</v>
      </c>
      <c r="F215" s="183" t="s">
        <v>1049</v>
      </c>
      <c r="G215" s="183" t="s">
        <v>1055</v>
      </c>
      <c r="H215" s="184"/>
      <c r="I215" s="186"/>
      <c r="J215" s="184" t="s">
        <v>975</v>
      </c>
      <c r="K215" s="184" t="s">
        <v>1056</v>
      </c>
      <c r="L215" s="185"/>
      <c r="M215" s="185">
        <v>5000000.0</v>
      </c>
      <c r="N215" s="185">
        <v>0.0</v>
      </c>
      <c r="O215" s="5"/>
      <c r="P215" s="185"/>
      <c r="Q215" s="185">
        <v>0.0</v>
      </c>
      <c r="R215" s="75"/>
      <c r="S215" s="75">
        <v>0.0</v>
      </c>
      <c r="T215" s="75"/>
      <c r="U215" s="75"/>
      <c r="V215" s="75"/>
      <c r="W215" s="75"/>
      <c r="X215" s="121">
        <f t="shared" si="33"/>
        <v>0</v>
      </c>
      <c r="Y215" s="75"/>
      <c r="Z215" s="75"/>
      <c r="AA215" s="75"/>
      <c r="AB215" s="75"/>
      <c r="AC215" s="121">
        <f t="shared" si="34"/>
        <v>0</v>
      </c>
      <c r="AD215" s="75"/>
      <c r="AE215" s="75"/>
      <c r="AF215" s="75"/>
      <c r="AG215" s="75"/>
      <c r="AH215" s="75"/>
      <c r="AI215" s="121">
        <f t="shared" si="35"/>
        <v>0</v>
      </c>
      <c r="AJ215" s="75"/>
      <c r="AK215" s="170"/>
      <c r="AL215" s="75"/>
      <c r="AM215" s="75"/>
      <c r="AN215" s="75"/>
      <c r="AO215" s="75"/>
      <c r="AP215" s="121">
        <f t="shared" si="36"/>
        <v>0</v>
      </c>
      <c r="AQ215" s="75"/>
      <c r="AR215" s="75"/>
      <c r="AS215" s="75"/>
      <c r="AT215" s="75"/>
      <c r="AU215" s="75"/>
      <c r="AV215" s="75"/>
      <c r="AW215" s="75"/>
      <c r="AX215" s="121">
        <f t="shared" si="37"/>
        <v>0</v>
      </c>
      <c r="AY215" s="75"/>
      <c r="AZ215" s="75"/>
      <c r="BA215" s="75"/>
      <c r="BB215" s="75"/>
      <c r="BC215" s="75"/>
      <c r="BD215" s="121">
        <f t="shared" si="38"/>
        <v>0</v>
      </c>
      <c r="BE215" s="123"/>
      <c r="BF215" s="6">
        <f t="shared" si="39"/>
        <v>0</v>
      </c>
      <c r="BG215" s="124">
        <f t="shared" si="40"/>
        <v>0</v>
      </c>
      <c r="BH215" s="6"/>
      <c r="BI215" s="2"/>
    </row>
    <row r="216" ht="12.75" customHeight="1">
      <c r="A216" s="181" t="s">
        <v>1048</v>
      </c>
      <c r="B216" s="181"/>
      <c r="C216" s="182">
        <v>44769.0</v>
      </c>
      <c r="D216" s="182"/>
      <c r="E216" s="183" t="s">
        <v>1057</v>
      </c>
      <c r="F216" s="183" t="s">
        <v>1049</v>
      </c>
      <c r="G216" s="183" t="s">
        <v>1052</v>
      </c>
      <c r="H216" s="184"/>
      <c r="I216" s="186"/>
      <c r="J216" s="184" t="s">
        <v>1053</v>
      </c>
      <c r="K216" s="184" t="s">
        <v>787</v>
      </c>
      <c r="L216" s="185"/>
      <c r="M216" s="185">
        <v>0.0</v>
      </c>
      <c r="N216" s="185">
        <v>717578.88</v>
      </c>
      <c r="O216" s="5"/>
      <c r="P216" s="185"/>
      <c r="Q216" s="185">
        <v>717578.88</v>
      </c>
      <c r="R216" s="75"/>
      <c r="S216" s="75">
        <v>0.0</v>
      </c>
      <c r="T216" s="75"/>
      <c r="U216" s="75"/>
      <c r="V216" s="75"/>
      <c r="W216" s="75"/>
      <c r="X216" s="121">
        <f t="shared" si="33"/>
        <v>0</v>
      </c>
      <c r="Y216" s="75"/>
      <c r="Z216" s="75"/>
      <c r="AA216" s="75"/>
      <c r="AB216" s="75"/>
      <c r="AC216" s="121">
        <f t="shared" si="34"/>
        <v>0</v>
      </c>
      <c r="AD216" s="75">
        <v>717578.88</v>
      </c>
      <c r="AE216" s="75"/>
      <c r="AF216" s="75"/>
      <c r="AG216" s="75"/>
      <c r="AH216" s="75"/>
      <c r="AI216" s="121">
        <f t="shared" si="35"/>
        <v>717578.88</v>
      </c>
      <c r="AJ216" s="75"/>
      <c r="AK216" s="170"/>
      <c r="AL216" s="75"/>
      <c r="AM216" s="75"/>
      <c r="AN216" s="75"/>
      <c r="AO216" s="75"/>
      <c r="AP216" s="121">
        <f t="shared" si="36"/>
        <v>0</v>
      </c>
      <c r="AQ216" s="75"/>
      <c r="AR216" s="75"/>
      <c r="AS216" s="75"/>
      <c r="AT216" s="75"/>
      <c r="AU216" s="75"/>
      <c r="AV216" s="75"/>
      <c r="AW216" s="75"/>
      <c r="AX216" s="121">
        <f t="shared" si="37"/>
        <v>0</v>
      </c>
      <c r="AY216" s="75"/>
      <c r="AZ216" s="75"/>
      <c r="BA216" s="75"/>
      <c r="BB216" s="75"/>
      <c r="BC216" s="75"/>
      <c r="BD216" s="121">
        <f t="shared" si="38"/>
        <v>0</v>
      </c>
      <c r="BE216" s="123"/>
      <c r="BF216" s="6">
        <f t="shared" si="39"/>
        <v>717578.88</v>
      </c>
      <c r="BG216" s="124">
        <f t="shared" si="40"/>
        <v>0</v>
      </c>
      <c r="BH216" s="6"/>
      <c r="BI216" s="2"/>
    </row>
    <row r="217" ht="12.75" customHeight="1">
      <c r="A217" s="181" t="s">
        <v>1048</v>
      </c>
      <c r="B217" s="181"/>
      <c r="C217" s="182">
        <v>44783.0</v>
      </c>
      <c r="D217" s="182"/>
      <c r="E217" s="183" t="s">
        <v>321</v>
      </c>
      <c r="F217" s="183" t="s">
        <v>1049</v>
      </c>
      <c r="G217" s="183" t="s">
        <v>1052</v>
      </c>
      <c r="H217" s="184"/>
      <c r="I217" s="186"/>
      <c r="J217" s="184" t="s">
        <v>1053</v>
      </c>
      <c r="K217" s="184" t="s">
        <v>787</v>
      </c>
      <c r="L217" s="185"/>
      <c r="M217" s="185">
        <v>0.0</v>
      </c>
      <c r="N217" s="185">
        <v>9.0</v>
      </c>
      <c r="O217" s="5"/>
      <c r="P217" s="185"/>
      <c r="Q217" s="185">
        <v>9.0</v>
      </c>
      <c r="R217" s="75"/>
      <c r="S217" s="75">
        <v>0.0</v>
      </c>
      <c r="T217" s="75"/>
      <c r="U217" s="75"/>
      <c r="V217" s="75"/>
      <c r="W217" s="75"/>
      <c r="X217" s="121">
        <f t="shared" si="33"/>
        <v>0</v>
      </c>
      <c r="Y217" s="75"/>
      <c r="Z217" s="75"/>
      <c r="AA217" s="75"/>
      <c r="AB217" s="75"/>
      <c r="AC217" s="121">
        <f t="shared" si="34"/>
        <v>0</v>
      </c>
      <c r="AD217" s="75">
        <v>9.0</v>
      </c>
      <c r="AE217" s="75"/>
      <c r="AF217" s="75"/>
      <c r="AG217" s="75"/>
      <c r="AH217" s="75"/>
      <c r="AI217" s="121">
        <f t="shared" si="35"/>
        <v>9</v>
      </c>
      <c r="AJ217" s="75"/>
      <c r="AK217" s="170"/>
      <c r="AL217" s="75"/>
      <c r="AM217" s="75"/>
      <c r="AN217" s="75"/>
      <c r="AO217" s="75"/>
      <c r="AP217" s="121">
        <f t="shared" si="36"/>
        <v>0</v>
      </c>
      <c r="AQ217" s="75"/>
      <c r="AR217" s="75"/>
      <c r="AS217" s="75"/>
      <c r="AT217" s="75"/>
      <c r="AU217" s="75"/>
      <c r="AV217" s="75"/>
      <c r="AW217" s="75"/>
      <c r="AX217" s="121">
        <f t="shared" si="37"/>
        <v>0</v>
      </c>
      <c r="AY217" s="75"/>
      <c r="AZ217" s="75"/>
      <c r="BA217" s="75"/>
      <c r="BB217" s="75"/>
      <c r="BC217" s="75"/>
      <c r="BD217" s="121">
        <f t="shared" si="38"/>
        <v>0</v>
      </c>
      <c r="BE217" s="123"/>
      <c r="BF217" s="6">
        <f t="shared" si="39"/>
        <v>9</v>
      </c>
      <c r="BG217" s="124">
        <f t="shared" si="40"/>
        <v>0</v>
      </c>
      <c r="BH217" s="6"/>
      <c r="BI217" s="2"/>
    </row>
    <row r="218" ht="12.75" customHeight="1">
      <c r="A218" s="181" t="s">
        <v>1048</v>
      </c>
      <c r="B218" s="181"/>
      <c r="C218" s="182">
        <v>44973.0</v>
      </c>
      <c r="D218" s="182"/>
      <c r="E218" s="183" t="s">
        <v>1058</v>
      </c>
      <c r="F218" s="183" t="s">
        <v>1049</v>
      </c>
      <c r="G218" s="183" t="s">
        <v>1052</v>
      </c>
      <c r="H218" s="184"/>
      <c r="I218" s="186"/>
      <c r="J218" s="184" t="s">
        <v>1059</v>
      </c>
      <c r="K218" s="184" t="s">
        <v>787</v>
      </c>
      <c r="L218" s="185"/>
      <c r="M218" s="185"/>
      <c r="N218" s="185">
        <v>6400000.0</v>
      </c>
      <c r="O218" s="5"/>
      <c r="P218" s="185"/>
      <c r="Q218" s="185">
        <v>6400000.0</v>
      </c>
      <c r="R218" s="75"/>
      <c r="S218" s="75">
        <v>0.0</v>
      </c>
      <c r="T218" s="75"/>
      <c r="U218" s="75"/>
      <c r="V218" s="75"/>
      <c r="W218" s="75"/>
      <c r="X218" s="121">
        <f t="shared" si="33"/>
        <v>0</v>
      </c>
      <c r="Y218" s="75"/>
      <c r="Z218" s="75"/>
      <c r="AA218" s="75"/>
      <c r="AB218" s="75"/>
      <c r="AC218" s="121">
        <f t="shared" si="34"/>
        <v>0</v>
      </c>
      <c r="AD218" s="75"/>
      <c r="AE218" s="75"/>
      <c r="AF218" s="75">
        <v>6400000.0</v>
      </c>
      <c r="AG218" s="75"/>
      <c r="AH218" s="75"/>
      <c r="AI218" s="121">
        <f t="shared" si="35"/>
        <v>6400000</v>
      </c>
      <c r="AJ218" s="75"/>
      <c r="AK218" s="170"/>
      <c r="AL218" s="75"/>
      <c r="AM218" s="75"/>
      <c r="AN218" s="75"/>
      <c r="AO218" s="75"/>
      <c r="AP218" s="121">
        <f t="shared" si="36"/>
        <v>0</v>
      </c>
      <c r="AQ218" s="75"/>
      <c r="AR218" s="75"/>
      <c r="AS218" s="75"/>
      <c r="AT218" s="75"/>
      <c r="AU218" s="75"/>
      <c r="AV218" s="75"/>
      <c r="AW218" s="75"/>
      <c r="AX218" s="121">
        <f t="shared" si="37"/>
        <v>0</v>
      </c>
      <c r="AY218" s="75"/>
      <c r="AZ218" s="75"/>
      <c r="BA218" s="75"/>
      <c r="BB218" s="75"/>
      <c r="BC218" s="75"/>
      <c r="BD218" s="121">
        <f t="shared" si="38"/>
        <v>0</v>
      </c>
      <c r="BE218" s="123"/>
      <c r="BF218" s="6">
        <f t="shared" si="39"/>
        <v>6400000</v>
      </c>
      <c r="BG218" s="124">
        <f t="shared" si="40"/>
        <v>0</v>
      </c>
      <c r="BH218" s="6"/>
      <c r="BI218" s="2"/>
    </row>
    <row r="219" ht="12.75" customHeight="1">
      <c r="A219" s="181" t="s">
        <v>1048</v>
      </c>
      <c r="B219" s="181"/>
      <c r="C219" s="182">
        <v>45307.0</v>
      </c>
      <c r="D219" s="182"/>
      <c r="E219" s="183" t="s">
        <v>1060</v>
      </c>
      <c r="F219" s="183" t="s">
        <v>1049</v>
      </c>
      <c r="G219" s="183" t="s">
        <v>1052</v>
      </c>
      <c r="H219" s="184"/>
      <c r="I219" s="186"/>
      <c r="J219" s="184" t="s">
        <v>970</v>
      </c>
      <c r="K219" s="184" t="s">
        <v>787</v>
      </c>
      <c r="L219" s="185"/>
      <c r="M219" s="185"/>
      <c r="N219" s="185">
        <v>4521000.0</v>
      </c>
      <c r="O219" s="5"/>
      <c r="P219" s="185"/>
      <c r="Q219" s="185">
        <v>4521000.0</v>
      </c>
      <c r="R219" s="75"/>
      <c r="S219" s="75">
        <v>0.0</v>
      </c>
      <c r="T219" s="75"/>
      <c r="U219" s="75"/>
      <c r="V219" s="75"/>
      <c r="W219" s="75"/>
      <c r="X219" s="121">
        <f t="shared" si="33"/>
        <v>0</v>
      </c>
      <c r="Y219" s="75"/>
      <c r="Z219" s="75"/>
      <c r="AA219" s="75"/>
      <c r="AB219" s="75"/>
      <c r="AC219" s="121">
        <f t="shared" si="34"/>
        <v>0</v>
      </c>
      <c r="AD219" s="75"/>
      <c r="AE219" s="75"/>
      <c r="AF219" s="75"/>
      <c r="AG219" s="75"/>
      <c r="AH219" s="75"/>
      <c r="AI219" s="121">
        <f t="shared" si="35"/>
        <v>0</v>
      </c>
      <c r="AJ219" s="75"/>
      <c r="AK219" s="170"/>
      <c r="AL219" s="75"/>
      <c r="AM219" s="75">
        <v>4521000.0</v>
      </c>
      <c r="AN219" s="75"/>
      <c r="AO219" s="75"/>
      <c r="AP219" s="121">
        <f t="shared" si="36"/>
        <v>4521000</v>
      </c>
      <c r="AQ219" s="75"/>
      <c r="AR219" s="75"/>
      <c r="AS219" s="75"/>
      <c r="AT219" s="75"/>
      <c r="AU219" s="75"/>
      <c r="AV219" s="75"/>
      <c r="AW219" s="75"/>
      <c r="AX219" s="121">
        <f t="shared" si="37"/>
        <v>0</v>
      </c>
      <c r="AY219" s="75"/>
      <c r="AZ219" s="75"/>
      <c r="BA219" s="75"/>
      <c r="BB219" s="75"/>
      <c r="BC219" s="75"/>
      <c r="BD219" s="121">
        <f t="shared" si="38"/>
        <v>0</v>
      </c>
      <c r="BE219" s="123"/>
      <c r="BF219" s="6">
        <f t="shared" si="39"/>
        <v>4521000</v>
      </c>
      <c r="BG219" s="124">
        <f t="shared" si="40"/>
        <v>0</v>
      </c>
      <c r="BH219" s="6"/>
      <c r="BI219" s="2"/>
    </row>
    <row r="220" ht="12.75" customHeight="1">
      <c r="A220" s="181"/>
      <c r="B220" s="181"/>
      <c r="C220" s="182"/>
      <c r="D220" s="182"/>
      <c r="E220" s="183"/>
      <c r="F220" s="183"/>
      <c r="G220" s="183"/>
      <c r="H220" s="184"/>
      <c r="I220" s="186"/>
      <c r="J220" s="184"/>
      <c r="K220" s="184"/>
      <c r="L220" s="185"/>
      <c r="M220" s="185"/>
      <c r="N220" s="185"/>
      <c r="O220" s="5"/>
      <c r="P220" s="185"/>
      <c r="Q220" s="185"/>
      <c r="R220" s="75"/>
      <c r="S220" s="75"/>
      <c r="T220" s="75"/>
      <c r="U220" s="75"/>
      <c r="V220" s="75"/>
      <c r="W220" s="75"/>
      <c r="X220" s="121"/>
      <c r="Y220" s="75"/>
      <c r="Z220" s="75"/>
      <c r="AA220" s="75"/>
      <c r="AB220" s="75"/>
      <c r="AC220" s="121"/>
      <c r="AD220" s="75"/>
      <c r="AE220" s="75"/>
      <c r="AF220" s="75"/>
      <c r="AG220" s="75"/>
      <c r="AH220" s="75"/>
      <c r="AI220" s="121"/>
      <c r="AJ220" s="75"/>
      <c r="AK220" s="170"/>
      <c r="AL220" s="75"/>
      <c r="AM220" s="75"/>
      <c r="AN220" s="75"/>
      <c r="AO220" s="75"/>
      <c r="AP220" s="121"/>
      <c r="AQ220" s="75"/>
      <c r="AR220" s="75"/>
      <c r="AS220" s="75"/>
      <c r="AT220" s="75"/>
      <c r="AU220" s="75"/>
      <c r="AV220" s="75"/>
      <c r="AW220" s="75"/>
      <c r="AX220" s="121"/>
      <c r="AY220" s="75"/>
      <c r="AZ220" s="75"/>
      <c r="BA220" s="75"/>
      <c r="BB220" s="75"/>
      <c r="BC220" s="75"/>
      <c r="BD220" s="121">
        <f t="shared" si="38"/>
        <v>0</v>
      </c>
      <c r="BE220" s="123"/>
      <c r="BF220" s="6">
        <f t="shared" si="39"/>
        <v>0</v>
      </c>
      <c r="BG220" s="124">
        <f t="shared" si="40"/>
        <v>0</v>
      </c>
      <c r="BH220" s="6"/>
      <c r="BI220" s="2"/>
    </row>
    <row r="221" ht="12.75" customHeight="1">
      <c r="A221" s="71"/>
      <c r="B221" s="71"/>
      <c r="C221" s="11"/>
      <c r="D221" s="11"/>
      <c r="E221" s="2"/>
      <c r="F221" s="2"/>
      <c r="G221" s="2"/>
      <c r="H221" s="54"/>
      <c r="I221" s="11"/>
      <c r="J221" s="54"/>
      <c r="K221" s="54"/>
      <c r="L221" s="5"/>
      <c r="M221" s="5"/>
      <c r="N221" s="5"/>
      <c r="O221" s="5"/>
      <c r="P221" s="5"/>
      <c r="Q221" s="5"/>
      <c r="R221" s="6"/>
      <c r="S221" s="6"/>
      <c r="T221" s="6"/>
      <c r="U221" s="6"/>
      <c r="V221" s="6"/>
      <c r="W221" s="6"/>
      <c r="X221" s="121">
        <f>SUM(S221:W221)</f>
        <v>0</v>
      </c>
      <c r="Y221" s="6"/>
      <c r="Z221" s="6"/>
      <c r="AA221" s="6"/>
      <c r="AB221" s="6"/>
      <c r="AC221" s="121">
        <f>SUM(Y221:AB221)</f>
        <v>0</v>
      </c>
      <c r="AD221" s="6"/>
      <c r="AE221" s="6"/>
      <c r="AF221" s="6"/>
      <c r="AG221" s="6"/>
      <c r="AH221" s="6"/>
      <c r="AI221" s="121">
        <f>SUM(AD221:AH221)</f>
        <v>0</v>
      </c>
      <c r="AJ221" s="6"/>
      <c r="AK221" s="122"/>
      <c r="AL221" s="6"/>
      <c r="AM221" s="6"/>
      <c r="AN221" s="6"/>
      <c r="AO221" s="6"/>
      <c r="AP221" s="121">
        <f>SUM(AJ221:AO221)</f>
        <v>0</v>
      </c>
      <c r="AQ221" s="6"/>
      <c r="AR221" s="6"/>
      <c r="AS221" s="6"/>
      <c r="AT221" s="6"/>
      <c r="AU221" s="6"/>
      <c r="AV221" s="6"/>
      <c r="AW221" s="6"/>
      <c r="AX221" s="121">
        <f>SUM(AQ221:AW221)</f>
        <v>0</v>
      </c>
      <c r="AY221" s="6"/>
      <c r="AZ221" s="6"/>
      <c r="BA221" s="6"/>
      <c r="BB221" s="6"/>
      <c r="BC221" s="6"/>
      <c r="BD221" s="121">
        <f t="shared" si="38"/>
        <v>0</v>
      </c>
      <c r="BE221" s="123"/>
      <c r="BF221" s="6">
        <f t="shared" si="39"/>
        <v>0</v>
      </c>
      <c r="BG221" s="124">
        <f t="shared" si="40"/>
        <v>0</v>
      </c>
      <c r="BH221" s="6"/>
      <c r="BI221" s="2"/>
    </row>
    <row r="222" ht="12.75" customHeight="1">
      <c r="A222" s="1" t="s">
        <v>1061</v>
      </c>
      <c r="B222" s="1"/>
      <c r="C222" s="11"/>
      <c r="D222" s="11"/>
      <c r="E222" s="2"/>
      <c r="F222" s="2"/>
      <c r="G222" s="2"/>
      <c r="H222" s="54"/>
      <c r="I222" s="11"/>
      <c r="J222" s="54"/>
      <c r="K222" s="54"/>
      <c r="L222" s="187">
        <f t="shared" ref="L222:N222" si="41">SUM(L15:L221)</f>
        <v>309025533.5</v>
      </c>
      <c r="M222" s="187">
        <f t="shared" si="41"/>
        <v>32000000</v>
      </c>
      <c r="N222" s="187">
        <f t="shared" si="41"/>
        <v>308025228.5</v>
      </c>
      <c r="O222" s="5"/>
      <c r="P222" s="188">
        <f t="shared" ref="P222:Q222" si="42">SUM(P15:P221)</f>
        <v>281025228.5</v>
      </c>
      <c r="Q222" s="188">
        <f t="shared" si="42"/>
        <v>27000000</v>
      </c>
      <c r="R222" s="40" t="s">
        <v>1062</v>
      </c>
      <c r="S222" s="189">
        <f t="shared" ref="S222:BD222" si="43">SUM(S15:S221)</f>
        <v>8320000</v>
      </c>
      <c r="T222" s="189">
        <f t="shared" si="43"/>
        <v>13899249</v>
      </c>
      <c r="U222" s="189">
        <f t="shared" si="43"/>
        <v>21060425</v>
      </c>
      <c r="V222" s="189">
        <f t="shared" si="43"/>
        <v>4171000</v>
      </c>
      <c r="W222" s="189">
        <f t="shared" si="43"/>
        <v>12987682</v>
      </c>
      <c r="X222" s="190">
        <f t="shared" si="43"/>
        <v>60438356</v>
      </c>
      <c r="Y222" s="191">
        <f t="shared" si="43"/>
        <v>11240000</v>
      </c>
      <c r="Z222" s="189">
        <f t="shared" si="43"/>
        <v>8937978.2</v>
      </c>
      <c r="AA222" s="189">
        <f t="shared" si="43"/>
        <v>7244571.22</v>
      </c>
      <c r="AB222" s="192">
        <f t="shared" si="43"/>
        <v>13934062.29</v>
      </c>
      <c r="AC222" s="190">
        <f t="shared" si="43"/>
        <v>41356611.71</v>
      </c>
      <c r="AD222" s="191">
        <f t="shared" si="43"/>
        <v>12107763.05</v>
      </c>
      <c r="AE222" s="189">
        <f t="shared" si="43"/>
        <v>14352496.15</v>
      </c>
      <c r="AF222" s="189">
        <f t="shared" si="43"/>
        <v>6400000</v>
      </c>
      <c r="AG222" s="189">
        <f t="shared" si="43"/>
        <v>6442483.21</v>
      </c>
      <c r="AH222" s="192">
        <f t="shared" si="43"/>
        <v>9309384.75</v>
      </c>
      <c r="AI222" s="190">
        <f t="shared" si="43"/>
        <v>48612127.16</v>
      </c>
      <c r="AJ222" s="189">
        <f t="shared" si="43"/>
        <v>10103699.48</v>
      </c>
      <c r="AK222" s="193">
        <f t="shared" si="43"/>
        <v>-85000</v>
      </c>
      <c r="AL222" s="192">
        <f t="shared" si="43"/>
        <v>22557753.4</v>
      </c>
      <c r="AM222" s="192">
        <f t="shared" si="43"/>
        <v>12056527.8</v>
      </c>
      <c r="AN222" s="192">
        <f t="shared" si="43"/>
        <v>9112124.65</v>
      </c>
      <c r="AO222" s="192">
        <f t="shared" si="43"/>
        <v>1620801.75</v>
      </c>
      <c r="AP222" s="190">
        <f t="shared" si="43"/>
        <v>55365907.08</v>
      </c>
      <c r="AQ222" s="189">
        <f t="shared" si="43"/>
        <v>12235685.97</v>
      </c>
      <c r="AR222" s="192">
        <f t="shared" si="43"/>
        <v>9467933.33</v>
      </c>
      <c r="AS222" s="192">
        <f t="shared" si="43"/>
        <v>4749428.78</v>
      </c>
      <c r="AT222" s="192">
        <f t="shared" si="43"/>
        <v>11342673.15</v>
      </c>
      <c r="AU222" s="192">
        <f t="shared" si="43"/>
        <v>4470000</v>
      </c>
      <c r="AV222" s="192">
        <f t="shared" si="43"/>
        <v>6911766.45</v>
      </c>
      <c r="AW222" s="192">
        <f t="shared" si="43"/>
        <v>6034338.9</v>
      </c>
      <c r="AX222" s="190">
        <f t="shared" si="43"/>
        <v>55211826.58</v>
      </c>
      <c r="AY222" s="192">
        <f t="shared" si="43"/>
        <v>8724031.45</v>
      </c>
      <c r="AZ222" s="192">
        <f t="shared" si="43"/>
        <v>0</v>
      </c>
      <c r="BA222" s="192">
        <f t="shared" si="43"/>
        <v>0</v>
      </c>
      <c r="BB222" s="192">
        <f t="shared" si="43"/>
        <v>0</v>
      </c>
      <c r="BC222" s="192">
        <f t="shared" si="43"/>
        <v>0</v>
      </c>
      <c r="BD222" s="190">
        <f t="shared" si="43"/>
        <v>8724031.45</v>
      </c>
      <c r="BE222" s="123"/>
      <c r="BF222" s="189">
        <f t="shared" ref="BF222:BG222" si="44">SUM(BF15:BF221)</f>
        <v>269708860</v>
      </c>
      <c r="BG222" s="194">
        <f t="shared" si="44"/>
        <v>38316368.53</v>
      </c>
      <c r="BH222" s="6"/>
      <c r="BI222" s="2"/>
    </row>
    <row r="223" ht="12.75" customHeight="1">
      <c r="A223" s="71"/>
      <c r="B223" s="71"/>
      <c r="C223" s="11"/>
      <c r="D223" s="11"/>
      <c r="E223" s="2"/>
      <c r="F223" s="2"/>
      <c r="G223" s="2"/>
      <c r="H223" s="54"/>
      <c r="I223" s="11"/>
      <c r="J223" s="54"/>
      <c r="K223" s="2"/>
      <c r="L223" s="5"/>
      <c r="M223" s="36" t="s">
        <v>1063</v>
      </c>
      <c r="N223" s="36" t="str">
        <f>N222-SUM('[1]CA2 ADP'!E145+'[1]CA2 HQ '!C19)</f>
        <v>#REF!</v>
      </c>
      <c r="O223" s="5"/>
      <c r="P223" s="36" t="str">
        <f>P222-'[1]CA2 ADP'!E145</f>
        <v>#REF!</v>
      </c>
      <c r="Q223" s="5" t="str">
        <f>Q222-'[1]CA2 HQ '!C19</f>
        <v>#REF!</v>
      </c>
      <c r="R223" s="6"/>
      <c r="S223" s="6"/>
      <c r="T223" s="6"/>
      <c r="U223" s="195"/>
      <c r="V223" s="5"/>
      <c r="W223" s="195"/>
      <c r="X223" s="196"/>
      <c r="Y223" s="6"/>
      <c r="Z223" s="6"/>
      <c r="AA223" s="197" t="s">
        <v>1064</v>
      </c>
      <c r="AB223" s="46">
        <v>1.384906229E7</v>
      </c>
      <c r="AC223" s="196"/>
      <c r="AD223" s="6">
        <f>2297098.06+9810664.99</f>
        <v>12107763.05</v>
      </c>
      <c r="AE223" s="6"/>
      <c r="AF223" s="195"/>
      <c r="AG223" s="195"/>
      <c r="AH223" s="5"/>
      <c r="AI223" s="196"/>
      <c r="AJ223" s="5"/>
      <c r="AK223" s="198"/>
      <c r="AL223" s="5"/>
      <c r="AM223" s="5"/>
      <c r="AN223" s="5"/>
      <c r="AO223" s="5"/>
      <c r="AP223" s="196"/>
      <c r="AQ223" s="5"/>
      <c r="AR223" s="5"/>
      <c r="AS223" s="5"/>
      <c r="AT223" s="5"/>
      <c r="AU223" s="5"/>
      <c r="AV223" s="5"/>
      <c r="AW223" s="5"/>
      <c r="AX223" s="196"/>
      <c r="AY223" s="5"/>
      <c r="AZ223" s="5"/>
      <c r="BA223" s="5"/>
      <c r="BB223" s="5"/>
      <c r="BC223" s="5"/>
      <c r="BD223" s="196"/>
      <c r="BE223" s="6"/>
      <c r="BF223" s="6"/>
      <c r="BG223" s="58">
        <f>BF222+BG222</f>
        <v>308025228.5</v>
      </c>
      <c r="BH223" s="6"/>
      <c r="BI223" s="2"/>
    </row>
    <row r="224" ht="12.75" customHeight="1">
      <c r="A224" s="1" t="s">
        <v>1065</v>
      </c>
      <c r="B224" s="1"/>
      <c r="C224" s="11"/>
      <c r="D224" s="11"/>
      <c r="E224" s="2"/>
      <c r="F224" s="199"/>
      <c r="G224" s="135"/>
      <c r="H224" s="136"/>
      <c r="I224" s="11"/>
      <c r="J224" s="54"/>
      <c r="K224" s="200"/>
      <c r="L224" s="5">
        <v>-2.7E7</v>
      </c>
      <c r="M224" s="5"/>
      <c r="N224" s="5"/>
      <c r="O224" s="5"/>
      <c r="P224" s="5"/>
      <c r="Q224" s="5"/>
      <c r="R224" s="2"/>
      <c r="S224" s="6"/>
      <c r="T224" s="6"/>
      <c r="U224" s="6"/>
      <c r="V224" s="6"/>
      <c r="W224" s="6"/>
      <c r="X224" s="121"/>
      <c r="Y224" s="5"/>
      <c r="Z224" s="6"/>
      <c r="AA224" s="201" t="s">
        <v>1066</v>
      </c>
      <c r="AB224" s="202">
        <f>AB222-AB223</f>
        <v>85000</v>
      </c>
      <c r="AC224" s="121"/>
      <c r="AD224" s="201" t="s">
        <v>1067</v>
      </c>
      <c r="AE224" s="7"/>
      <c r="AF224" s="6"/>
      <c r="AG224" s="6"/>
      <c r="AH224" s="6"/>
      <c r="AI224" s="121"/>
      <c r="AJ224" s="6"/>
      <c r="AK224" s="122"/>
      <c r="AL224" s="6"/>
      <c r="AM224" s="6"/>
      <c r="AN224" s="6"/>
      <c r="AO224" s="6"/>
      <c r="AP224" s="121"/>
      <c r="AQ224" s="6"/>
      <c r="AR224" s="6"/>
      <c r="AS224" s="6"/>
      <c r="AT224" s="6"/>
      <c r="AU224" s="6"/>
      <c r="AV224" s="6"/>
      <c r="AW224" s="6"/>
      <c r="AX224" s="121"/>
      <c r="AY224" s="6"/>
      <c r="AZ224" s="6"/>
      <c r="BA224" s="6"/>
      <c r="BB224" s="6"/>
      <c r="BC224" s="6"/>
      <c r="BD224" s="121"/>
      <c r="BE224" s="6"/>
      <c r="BF224" s="36" t="s">
        <v>1063</v>
      </c>
      <c r="BG224" s="145">
        <f>BG223-N222</f>
        <v>0.00000005960464478</v>
      </c>
      <c r="BH224" s="6"/>
      <c r="BI224" s="2"/>
    </row>
    <row r="225" ht="12.75" customHeight="1">
      <c r="A225" s="71"/>
      <c r="B225" s="71"/>
      <c r="C225" s="11"/>
      <c r="D225" s="11"/>
      <c r="E225" s="2"/>
      <c r="F225" s="2"/>
      <c r="G225" s="2"/>
      <c r="H225" s="54"/>
      <c r="I225" s="11"/>
      <c r="J225" s="203"/>
      <c r="K225" s="200"/>
      <c r="L225" s="5"/>
      <c r="M225" s="204"/>
      <c r="N225" s="40" t="s">
        <v>1068</v>
      </c>
      <c r="O225" s="5"/>
      <c r="P225" s="6"/>
      <c r="Q225" s="6"/>
      <c r="R225" s="205" t="s">
        <v>794</v>
      </c>
      <c r="S225" s="6"/>
      <c r="T225" s="6"/>
      <c r="U225" s="6"/>
      <c r="V225" s="6"/>
      <c r="W225" s="6"/>
      <c r="X225" s="121" t="str">
        <f>+'[1]CA2 ADP'!L147</f>
        <v>#REF!</v>
      </c>
      <c r="Y225" s="5"/>
      <c r="Z225" s="6"/>
      <c r="AA225" s="83"/>
      <c r="AB225" s="206" t="s">
        <v>1069</v>
      </c>
      <c r="AC225" s="121" t="str">
        <f>+'[1]CA2 ADP'!Q147</f>
        <v>#REF!</v>
      </c>
      <c r="AD225" s="207" t="s">
        <v>1070</v>
      </c>
      <c r="AE225" s="36"/>
      <c r="AF225" s="6"/>
      <c r="AG225" s="6"/>
      <c r="AH225" s="6"/>
      <c r="AI225" s="121" t="str">
        <f>+'[1]CA2 ADP'!V147</f>
        <v>#REF!</v>
      </c>
      <c r="AJ225" s="6"/>
      <c r="AK225" s="122"/>
      <c r="AL225" s="6"/>
      <c r="AM225" s="2"/>
      <c r="AN225" s="6"/>
      <c r="AO225" s="205" t="s">
        <v>794</v>
      </c>
      <c r="AP225" s="121" t="str">
        <f>+'[1]CA2 ADP'!AC147-AP53-AP133</f>
        <v>#REF!</v>
      </c>
      <c r="AQ225" s="6"/>
      <c r="AR225" s="6"/>
      <c r="AS225" s="2"/>
      <c r="AT225" s="6"/>
      <c r="AU225" s="205"/>
      <c r="AV225" s="205"/>
      <c r="AW225" s="205"/>
      <c r="AX225" s="121" t="str">
        <f>+'[1]CA2 ADP'!AK147-AX226</f>
        <v>#REF!</v>
      </c>
      <c r="AY225" s="2"/>
      <c r="AZ225" s="6"/>
      <c r="BA225" s="205"/>
      <c r="BB225" s="205"/>
      <c r="BC225" s="205"/>
      <c r="BD225" s="121" t="str">
        <f>+'[1]CA2 ADP'!AQ147-BD226</f>
        <v>#REF!</v>
      </c>
      <c r="BE225" s="6"/>
      <c r="BF225" s="6"/>
      <c r="BG225" s="6"/>
      <c r="BH225" s="6"/>
      <c r="BI225" s="2"/>
    </row>
    <row r="226" ht="12.75" customHeight="1">
      <c r="A226" s="1" t="s">
        <v>1071</v>
      </c>
      <c r="B226" s="1"/>
      <c r="C226" s="208"/>
      <c r="D226" s="208"/>
      <c r="E226" s="43"/>
      <c r="F226" s="2"/>
      <c r="G226" s="2"/>
      <c r="H226" s="54"/>
      <c r="I226" s="195"/>
      <c r="J226" s="209"/>
      <c r="K226" s="200"/>
      <c r="L226" s="5">
        <f>+L222+L224</f>
        <v>282025533.5</v>
      </c>
      <c r="M226" s="5"/>
      <c r="N226" s="5">
        <f>L222-N222-0.01</f>
        <v>1000305</v>
      </c>
      <c r="O226" s="5"/>
      <c r="P226" s="195"/>
      <c r="Q226" s="5"/>
      <c r="R226" s="205" t="s">
        <v>1072</v>
      </c>
      <c r="S226" s="6"/>
      <c r="T226" s="6"/>
      <c r="U226" s="6"/>
      <c r="V226" s="6"/>
      <c r="W226" s="6"/>
      <c r="X226" s="121" t="str">
        <f>+'[1]CA2 HQ '!J21</f>
        <v>#REF!</v>
      </c>
      <c r="Y226" s="5"/>
      <c r="Z226" s="6"/>
      <c r="AA226" s="6"/>
      <c r="AB226" s="6"/>
      <c r="AC226" s="121" t="str">
        <f>+'[1]CA2 HQ '!O21</f>
        <v>#REF!</v>
      </c>
      <c r="AD226" s="5"/>
      <c r="AE226" s="6"/>
      <c r="AF226" s="6"/>
      <c r="AG226" s="6"/>
      <c r="AH226" s="6"/>
      <c r="AI226" s="121" t="str">
        <f>+'[1]CA2 HQ '!R21</f>
        <v>#REF!</v>
      </c>
      <c r="AJ226" s="6"/>
      <c r="AK226" s="122"/>
      <c r="AL226" s="6"/>
      <c r="AM226" s="2"/>
      <c r="AN226" s="6"/>
      <c r="AO226" s="205" t="s">
        <v>1073</v>
      </c>
      <c r="AP226" s="121" t="str">
        <f>+'[1]CA2 HQ '!T21+AP53+AP133</f>
        <v>#REF!</v>
      </c>
      <c r="AQ226" s="6"/>
      <c r="AR226" s="6"/>
      <c r="AS226" s="2"/>
      <c r="AT226" s="6"/>
      <c r="AU226" s="205"/>
      <c r="AV226" s="205"/>
      <c r="AW226" s="205"/>
      <c r="AX226" s="121">
        <f>+AX6</f>
        <v>5288055.78</v>
      </c>
      <c r="AY226" s="2"/>
      <c r="AZ226" s="6"/>
      <c r="BA226" s="205"/>
      <c r="BB226" s="205"/>
      <c r="BC226" s="205"/>
      <c r="BD226" s="121" t="str">
        <f>+BD6+'[1]CA2 HQ '!Z21</f>
        <v>#REF!</v>
      </c>
      <c r="BE226" s="6"/>
      <c r="BF226" s="6"/>
      <c r="BG226" s="58"/>
      <c r="BH226" s="6"/>
      <c r="BI226" s="2"/>
    </row>
    <row r="227" ht="12.75" customHeight="1">
      <c r="A227" s="71"/>
      <c r="B227" s="71"/>
      <c r="C227" s="11"/>
      <c r="D227" s="11"/>
      <c r="E227" s="2"/>
      <c r="F227" s="2"/>
      <c r="G227" s="2"/>
      <c r="H227" s="195"/>
      <c r="I227" s="11"/>
      <c r="J227" s="209"/>
      <c r="K227" s="200"/>
      <c r="L227" s="5"/>
      <c r="M227" s="5"/>
      <c r="N227" s="5">
        <f>+M2+M3</f>
        <v>1000305</v>
      </c>
      <c r="O227" s="62"/>
      <c r="P227" s="5"/>
      <c r="Q227" s="5"/>
      <c r="R227" s="2"/>
      <c r="S227" s="6"/>
      <c r="T227" s="6"/>
      <c r="U227" s="6"/>
      <c r="V227" s="6"/>
      <c r="W227" s="6"/>
      <c r="X227" s="210" t="str">
        <f>SUM(X225:X226)</f>
        <v>#REF!</v>
      </c>
      <c r="Y227" s="5"/>
      <c r="Z227" s="6"/>
      <c r="AA227" s="6"/>
      <c r="AB227" s="6"/>
      <c r="AC227" s="210" t="str">
        <f>SUM(AC225:AC226)</f>
        <v>#REF!</v>
      </c>
      <c r="AD227" s="5"/>
      <c r="AE227" s="6"/>
      <c r="AF227" s="6"/>
      <c r="AG227" s="6"/>
      <c r="AH227" s="6"/>
      <c r="AI227" s="210" t="str">
        <f>SUM(AI225:AI226)</f>
        <v>#REF!</v>
      </c>
      <c r="AJ227" s="6"/>
      <c r="AK227" s="122"/>
      <c r="AL227" s="6"/>
      <c r="AM227" s="6"/>
      <c r="AN227" s="6"/>
      <c r="AO227" s="6"/>
      <c r="AP227" s="210" t="str">
        <f>SUM(AP225:AP226)</f>
        <v>#REF!</v>
      </c>
      <c r="AQ227" s="6"/>
      <c r="AR227" s="6"/>
      <c r="AS227" s="6"/>
      <c r="AT227" s="6"/>
      <c r="AU227" s="6"/>
      <c r="AV227" s="6"/>
      <c r="AW227" s="6"/>
      <c r="AX227" s="210" t="str">
        <f>SUM(AX225:AX226)</f>
        <v>#REF!</v>
      </c>
      <c r="AY227" s="6"/>
      <c r="AZ227" s="6"/>
      <c r="BA227" s="6"/>
      <c r="BB227" s="6"/>
      <c r="BC227" s="6"/>
      <c r="BD227" s="210" t="str">
        <f>SUM(BD225:BD226)</f>
        <v>#REF!</v>
      </c>
      <c r="BE227" s="6"/>
      <c r="BF227" s="6"/>
      <c r="BG227" s="58"/>
      <c r="BH227" s="6"/>
      <c r="BI227" s="2"/>
    </row>
    <row r="228" ht="12.75" customHeight="1">
      <c r="A228" s="71" t="s">
        <v>1074</v>
      </c>
      <c r="B228" s="71"/>
      <c r="C228" s="4"/>
      <c r="D228" s="4"/>
      <c r="E228" s="2"/>
      <c r="F228" s="2"/>
      <c r="G228" s="2"/>
      <c r="H228" s="195"/>
      <c r="I228" s="11"/>
      <c r="J228" s="200"/>
      <c r="K228" s="200"/>
      <c r="L228" s="211">
        <v>2.8202553334E8</v>
      </c>
      <c r="M228" s="62"/>
      <c r="N228" s="40">
        <f>+N226-N227</f>
        <v>0.00000005005858839</v>
      </c>
      <c r="O228" s="5"/>
      <c r="P228" s="5"/>
      <c r="Q228" s="5"/>
      <c r="R228" s="2"/>
      <c r="S228" s="212"/>
      <c r="T228" s="212"/>
      <c r="U228" s="212"/>
      <c r="V228" s="212"/>
      <c r="W228" s="36" t="s">
        <v>1063</v>
      </c>
      <c r="X228" s="46" t="str">
        <f>X222-X227</f>
        <v>#REF!</v>
      </c>
      <c r="Y228" s="212"/>
      <c r="Z228" s="212"/>
      <c r="AA228" s="212"/>
      <c r="AB228" s="212"/>
      <c r="AC228" s="46" t="str">
        <f>AC222-AC227</f>
        <v>#REF!</v>
      </c>
      <c r="AD228" s="212"/>
      <c r="AE228" s="212"/>
      <c r="AF228" s="212"/>
      <c r="AG228" s="212"/>
      <c r="AH228" s="212"/>
      <c r="AI228" s="46" t="str">
        <f>AI222-AI227</f>
        <v>#REF!</v>
      </c>
      <c r="AJ228" s="212"/>
      <c r="AK228" s="213"/>
      <c r="AL228" s="212"/>
      <c r="AM228" s="212"/>
      <c r="AN228" s="212"/>
      <c r="AO228" s="212"/>
      <c r="AP228" s="46" t="str">
        <f>AP222-AP227</f>
        <v>#REF!</v>
      </c>
      <c r="AQ228" s="212"/>
      <c r="AR228" s="212"/>
      <c r="AS228" s="212"/>
      <c r="AT228" s="212"/>
      <c r="AU228" s="212"/>
      <c r="AV228" s="212"/>
      <c r="AW228" s="212"/>
      <c r="AX228" s="46" t="str">
        <f>AX222-AX227</f>
        <v>#REF!</v>
      </c>
      <c r="AY228" s="212"/>
      <c r="AZ228" s="212"/>
      <c r="BA228" s="212"/>
      <c r="BB228" s="212"/>
      <c r="BC228" s="212"/>
      <c r="BD228" s="46" t="str">
        <f>BD222-BD227</f>
        <v>#REF!</v>
      </c>
      <c r="BE228" s="212"/>
      <c r="BF228" s="6"/>
      <c r="BG228" s="58"/>
      <c r="BH228" s="6"/>
      <c r="BI228" s="2"/>
    </row>
    <row r="229" ht="12.75" customHeight="1">
      <c r="A229" s="71"/>
      <c r="B229" s="71"/>
      <c r="C229" s="4"/>
      <c r="D229" s="4"/>
      <c r="E229" s="2"/>
      <c r="F229" s="2"/>
      <c r="G229" s="2"/>
      <c r="H229" s="195"/>
      <c r="I229" s="11"/>
      <c r="J229" s="200"/>
      <c r="K229" s="205"/>
      <c r="L229" s="40"/>
      <c r="M229" s="5"/>
      <c r="N229" s="40"/>
      <c r="O229" s="5"/>
      <c r="P229" s="5"/>
      <c r="Q229" s="5"/>
      <c r="R229" s="2"/>
      <c r="S229" s="212"/>
      <c r="T229" s="212"/>
      <c r="U229" s="212"/>
      <c r="V229" s="212"/>
      <c r="W229" s="36"/>
      <c r="X229" s="46"/>
      <c r="Y229" s="212"/>
      <c r="Z229" s="212"/>
      <c r="AA229" s="212"/>
      <c r="AB229" s="212"/>
      <c r="AC229" s="46"/>
      <c r="AD229" s="212"/>
      <c r="AE229" s="212"/>
      <c r="AF229" s="212"/>
      <c r="AG229" s="212"/>
      <c r="AH229" s="212"/>
      <c r="AI229" s="46"/>
      <c r="AJ229" s="212"/>
      <c r="AK229" s="213"/>
      <c r="AL229" s="212"/>
      <c r="AM229" s="212"/>
      <c r="AN229" s="212"/>
      <c r="AO229" s="212"/>
      <c r="AP229" s="46"/>
      <c r="AQ229" s="212"/>
      <c r="AR229" s="212"/>
      <c r="AS229" s="212"/>
      <c r="AT229" s="212"/>
      <c r="AU229" s="212"/>
      <c r="AV229" s="212"/>
      <c r="AW229" s="212"/>
      <c r="AX229" s="46"/>
      <c r="AY229" s="212"/>
      <c r="AZ229" s="212"/>
      <c r="BA229" s="212"/>
      <c r="BB229" s="212"/>
      <c r="BC229" s="212"/>
      <c r="BD229" s="46"/>
      <c r="BE229" s="212"/>
      <c r="BF229" s="6"/>
      <c r="BG229" s="58"/>
      <c r="BH229" s="6"/>
      <c r="BI229" s="2"/>
    </row>
    <row r="230" ht="12.75" customHeight="1">
      <c r="A230" s="42" t="s">
        <v>1075</v>
      </c>
      <c r="B230" s="42"/>
      <c r="C230" s="208"/>
      <c r="D230" s="208"/>
      <c r="E230" s="43"/>
      <c r="F230" s="43"/>
      <c r="G230" s="43"/>
      <c r="H230" s="214"/>
      <c r="I230" s="45"/>
      <c r="J230" s="215"/>
      <c r="K230" s="214"/>
      <c r="L230" s="36">
        <f>+L226-L228</f>
        <v>0.1800000072</v>
      </c>
      <c r="M230" s="5"/>
      <c r="N230" s="5"/>
      <c r="O230" s="5"/>
      <c r="P230" s="5"/>
      <c r="Q230" s="5"/>
      <c r="R230" s="2"/>
      <c r="S230" s="212"/>
      <c r="T230" s="212"/>
      <c r="U230" s="212"/>
      <c r="V230" s="212"/>
      <c r="W230" s="36"/>
      <c r="X230" s="46"/>
      <c r="Y230" s="212"/>
      <c r="Z230" s="212"/>
      <c r="AA230" s="212"/>
      <c r="AB230" s="212"/>
      <c r="AC230" s="46"/>
      <c r="AD230" s="212"/>
      <c r="AE230" s="212"/>
      <c r="AF230" s="212"/>
      <c r="AG230" s="212"/>
      <c r="AH230" s="212"/>
      <c r="AI230" s="46"/>
      <c r="AJ230" s="212"/>
      <c r="AK230" s="213"/>
      <c r="AL230" s="212"/>
      <c r="AM230" s="212"/>
      <c r="AN230" s="212"/>
      <c r="AO230" s="212"/>
      <c r="AP230" s="46"/>
      <c r="AQ230" s="212"/>
      <c r="AR230" s="212"/>
      <c r="AS230" s="212"/>
      <c r="AT230" s="212"/>
      <c r="AU230" s="212"/>
      <c r="AV230" s="212"/>
      <c r="AW230" s="212"/>
      <c r="AX230" s="46"/>
      <c r="AY230" s="212"/>
      <c r="AZ230" s="212"/>
      <c r="BA230" s="212"/>
      <c r="BB230" s="212"/>
      <c r="BC230" s="212"/>
      <c r="BD230" s="46"/>
      <c r="BE230" s="212"/>
      <c r="BF230" s="6"/>
      <c r="BG230" s="58"/>
      <c r="BH230" s="6"/>
      <c r="BI230" s="2"/>
    </row>
    <row r="231" ht="12.75" customHeight="1">
      <c r="A231" s="42"/>
      <c r="B231" s="42"/>
      <c r="C231" s="208"/>
      <c r="D231" s="208"/>
      <c r="E231" s="43"/>
      <c r="F231" s="43"/>
      <c r="G231" s="43"/>
      <c r="H231" s="214"/>
      <c r="I231" s="45"/>
      <c r="J231" s="215"/>
      <c r="K231" s="214"/>
      <c r="L231" s="36"/>
      <c r="M231" s="5"/>
      <c r="N231" s="5"/>
      <c r="O231" s="5"/>
      <c r="P231" s="5"/>
      <c r="Q231" s="5"/>
      <c r="R231" s="2"/>
      <c r="S231" s="212"/>
      <c r="T231" s="212"/>
      <c r="U231" s="212"/>
      <c r="V231" s="212"/>
      <c r="W231" s="36"/>
      <c r="X231" s="46"/>
      <c r="Y231" s="212"/>
      <c r="Z231" s="212"/>
      <c r="AA231" s="212"/>
      <c r="AB231" s="212"/>
      <c r="AC231" s="46"/>
      <c r="AD231" s="212"/>
      <c r="AE231" s="212"/>
      <c r="AF231" s="212"/>
      <c r="AG231" s="212"/>
      <c r="AH231" s="212"/>
      <c r="AI231" s="46"/>
      <c r="AJ231" s="212"/>
      <c r="AK231" s="213"/>
      <c r="AL231" s="212"/>
      <c r="AM231" s="212"/>
      <c r="AN231" s="212"/>
      <c r="AO231" s="212"/>
      <c r="AP231" s="46"/>
      <c r="AQ231" s="212"/>
      <c r="AR231" s="212"/>
      <c r="AS231" s="212"/>
      <c r="AT231" s="212"/>
      <c r="AU231" s="212"/>
      <c r="AV231" s="212"/>
      <c r="AW231" s="212"/>
      <c r="AX231" s="46"/>
      <c r="AY231" s="212"/>
      <c r="AZ231" s="212"/>
      <c r="BA231" s="212"/>
      <c r="BB231" s="212"/>
      <c r="BC231" s="212"/>
      <c r="BD231" s="46"/>
      <c r="BE231" s="212"/>
      <c r="BF231" s="6"/>
      <c r="BG231" s="58"/>
      <c r="BH231" s="6"/>
      <c r="BI231" s="2"/>
    </row>
    <row r="232" ht="12.75" customHeight="1">
      <c r="A232" s="71"/>
      <c r="B232" s="71"/>
      <c r="C232" s="11"/>
      <c r="D232" s="11"/>
      <c r="E232" s="2"/>
      <c r="F232" s="2"/>
      <c r="G232" s="43"/>
      <c r="H232" s="214"/>
      <c r="I232" s="45"/>
      <c r="J232" s="215"/>
      <c r="K232" s="214"/>
      <c r="L232" s="36"/>
      <c r="M232" s="5"/>
      <c r="N232" s="5"/>
      <c r="O232" s="5"/>
      <c r="P232" s="5"/>
      <c r="Q232" s="5"/>
      <c r="R232" s="2"/>
      <c r="S232" s="212"/>
      <c r="T232" s="212"/>
      <c r="U232" s="212"/>
      <c r="V232" s="212"/>
      <c r="W232" s="36"/>
      <c r="X232" s="46"/>
      <c r="Y232" s="212"/>
      <c r="Z232" s="212"/>
      <c r="AA232" s="212"/>
      <c r="AB232" s="212"/>
      <c r="AC232" s="46"/>
      <c r="AD232" s="212"/>
      <c r="AE232" s="212"/>
      <c r="AF232" s="212"/>
      <c r="AG232" s="212"/>
      <c r="AH232" s="212"/>
      <c r="AI232" s="46"/>
      <c r="AJ232" s="212"/>
      <c r="AK232" s="213"/>
      <c r="AL232" s="212"/>
      <c r="AM232" s="212"/>
      <c r="AN232" s="212"/>
      <c r="AO232" s="212"/>
      <c r="AP232" s="46"/>
      <c r="AQ232" s="212"/>
      <c r="AR232" s="212"/>
      <c r="AS232" s="212"/>
      <c r="AT232" s="212"/>
      <c r="AU232" s="212"/>
      <c r="AV232" s="212"/>
      <c r="AW232" s="212"/>
      <c r="AX232" s="46"/>
      <c r="AY232" s="212"/>
      <c r="AZ232" s="212"/>
      <c r="BA232" s="212"/>
      <c r="BB232" s="212"/>
      <c r="BC232" s="212"/>
      <c r="BD232" s="46"/>
      <c r="BE232" s="212"/>
      <c r="BF232" s="6"/>
      <c r="BG232" s="58"/>
      <c r="BH232" s="6"/>
      <c r="BI232" s="2"/>
    </row>
    <row r="233" ht="12.75" customHeight="1">
      <c r="A233" s="71"/>
      <c r="B233" s="71"/>
      <c r="C233" s="45" t="s">
        <v>1076</v>
      </c>
      <c r="D233" s="45"/>
      <c r="E233" s="216"/>
      <c r="F233" s="216" t="s">
        <v>925</v>
      </c>
      <c r="G233" s="43"/>
      <c r="H233" s="214"/>
      <c r="I233" s="45"/>
      <c r="J233" s="215"/>
      <c r="K233" s="214"/>
      <c r="L233" s="36"/>
      <c r="M233" s="198"/>
      <c r="N233" s="198"/>
      <c r="O233" s="5"/>
      <c r="P233" s="5"/>
      <c r="Q233" s="5"/>
      <c r="R233" s="2"/>
      <c r="S233" s="212"/>
      <c r="T233" s="212"/>
      <c r="U233" s="212"/>
      <c r="V233" s="212"/>
      <c r="W233" s="36"/>
      <c r="X233" s="46"/>
      <c r="Y233" s="212"/>
      <c r="Z233" s="212"/>
      <c r="AA233" s="212"/>
      <c r="AB233" s="212"/>
      <c r="AC233" s="46"/>
      <c r="AD233" s="212"/>
      <c r="AE233" s="212"/>
      <c r="AF233" s="212"/>
      <c r="AG233" s="212"/>
      <c r="AH233" s="212"/>
      <c r="AI233" s="46"/>
      <c r="AJ233" s="212"/>
      <c r="AK233" s="213"/>
      <c r="AL233" s="212"/>
      <c r="AM233" s="212"/>
      <c r="AN233" s="212"/>
      <c r="AO233" s="212"/>
      <c r="AP233" s="46"/>
      <c r="AQ233" s="212"/>
      <c r="AR233" s="212"/>
      <c r="AS233" s="212"/>
      <c r="AT233" s="212"/>
      <c r="AU233" s="212"/>
      <c r="AV233" s="212"/>
      <c r="AW233" s="212"/>
      <c r="AX233" s="46"/>
      <c r="AY233" s="212"/>
      <c r="AZ233" s="212"/>
      <c r="BA233" s="212"/>
      <c r="BB233" s="212"/>
      <c r="BC233" s="212"/>
      <c r="BD233" s="46"/>
      <c r="BE233" s="212"/>
      <c r="BF233" s="6"/>
      <c r="BG233" s="58"/>
      <c r="BH233" s="6"/>
      <c r="BI233" s="2"/>
    </row>
    <row r="234" ht="12.75" customHeight="1">
      <c r="A234" s="42" t="s">
        <v>1077</v>
      </c>
      <c r="B234" s="42"/>
      <c r="C234" s="46">
        <v>1.27E8</v>
      </c>
      <c r="D234" s="208"/>
      <c r="E234" s="217"/>
      <c r="F234" s="217">
        <v>2.7E7</v>
      </c>
      <c r="G234" s="43"/>
      <c r="H234" s="214"/>
      <c r="I234" s="45"/>
      <c r="J234" s="215">
        <v>2020.0</v>
      </c>
      <c r="K234" s="214"/>
      <c r="L234" s="36"/>
      <c r="M234" s="198"/>
      <c r="N234" s="198"/>
      <c r="O234" s="5"/>
      <c r="P234" s="5"/>
      <c r="Q234" s="5"/>
      <c r="R234" s="2"/>
      <c r="S234" s="212"/>
      <c r="T234" s="212"/>
      <c r="U234" s="212"/>
      <c r="V234" s="212"/>
      <c r="W234" s="36"/>
      <c r="X234" s="46"/>
      <c r="Y234" s="212"/>
      <c r="Z234" s="212"/>
      <c r="AA234" s="212"/>
      <c r="AB234" s="212"/>
      <c r="AC234" s="46"/>
      <c r="AD234" s="212"/>
      <c r="AE234" s="212"/>
      <c r="AF234" s="212"/>
      <c r="AG234" s="212"/>
      <c r="AH234" s="212"/>
      <c r="AI234" s="46"/>
      <c r="AJ234" s="212"/>
      <c r="AK234" s="213"/>
      <c r="AL234" s="212"/>
      <c r="AM234" s="212"/>
      <c r="AN234" s="212"/>
      <c r="AO234" s="212"/>
      <c r="AP234" s="46"/>
      <c r="AQ234" s="212"/>
      <c r="AR234" s="212"/>
      <c r="AS234" s="212"/>
      <c r="AT234" s="212"/>
      <c r="AU234" s="212"/>
      <c r="AV234" s="212"/>
      <c r="AW234" s="212"/>
      <c r="AX234" s="46"/>
      <c r="AY234" s="212"/>
      <c r="AZ234" s="212"/>
      <c r="BA234" s="212"/>
      <c r="BB234" s="212"/>
      <c r="BC234" s="212"/>
      <c r="BD234" s="46"/>
      <c r="BE234" s="212"/>
      <c r="BF234" s="6"/>
      <c r="BG234" s="58"/>
      <c r="BH234" s="6"/>
      <c r="BI234" s="2"/>
    </row>
    <row r="235" ht="12.75" customHeight="1">
      <c r="A235" s="42" t="s">
        <v>1078</v>
      </c>
      <c r="B235" s="42"/>
      <c r="C235" s="46">
        <v>1.45E8</v>
      </c>
      <c r="D235" s="208"/>
      <c r="E235" s="217"/>
      <c r="F235" s="217">
        <v>5000000.0</v>
      </c>
      <c r="G235" s="43"/>
      <c r="H235" s="214"/>
      <c r="I235" s="45"/>
      <c r="J235" s="215">
        <v>2022.0</v>
      </c>
      <c r="K235" s="214"/>
      <c r="L235" s="218" t="s">
        <v>1054</v>
      </c>
      <c r="M235" s="219"/>
      <c r="N235" s="220"/>
      <c r="O235" s="5"/>
      <c r="P235" s="5"/>
      <c r="Q235" s="5"/>
      <c r="R235" s="2"/>
      <c r="S235" s="212"/>
      <c r="T235" s="212"/>
      <c r="U235" s="212"/>
      <c r="V235" s="212"/>
      <c r="W235" s="36"/>
      <c r="X235" s="46"/>
      <c r="Y235" s="212"/>
      <c r="Z235" s="212"/>
      <c r="AA235" s="212"/>
      <c r="AB235" s="212"/>
      <c r="AC235" s="46"/>
      <c r="AD235" s="212"/>
      <c r="AE235" s="212"/>
      <c r="AF235" s="212"/>
      <c r="AG235" s="212"/>
      <c r="AH235" s="212"/>
      <c r="AI235" s="46"/>
      <c r="AJ235" s="212"/>
      <c r="AK235" s="213"/>
      <c r="AL235" s="212"/>
      <c r="AM235" s="212"/>
      <c r="AN235" s="212"/>
      <c r="AO235" s="212"/>
      <c r="AP235" s="46"/>
      <c r="AQ235" s="212"/>
      <c r="AR235" s="212"/>
      <c r="AS235" s="212"/>
      <c r="AT235" s="212"/>
      <c r="AU235" s="212"/>
      <c r="AV235" s="212"/>
      <c r="AW235" s="212"/>
      <c r="AX235" s="46"/>
      <c r="AY235" s="212"/>
      <c r="AZ235" s="212"/>
      <c r="BA235" s="212"/>
      <c r="BB235" s="212"/>
      <c r="BC235" s="212"/>
      <c r="BD235" s="46"/>
      <c r="BE235" s="212"/>
      <c r="BF235" s="6"/>
      <c r="BG235" s="58"/>
      <c r="BH235" s="6"/>
      <c r="BI235" s="2"/>
    </row>
    <row r="236" ht="12.75" customHeight="1">
      <c r="A236" s="42" t="s">
        <v>1078</v>
      </c>
      <c r="B236" s="42"/>
      <c r="C236" s="221">
        <v>1.0E8</v>
      </c>
      <c r="D236" s="222"/>
      <c r="E236" s="223"/>
      <c r="F236" s="223"/>
      <c r="G236" s="43"/>
      <c r="H236" s="214"/>
      <c r="I236" s="45"/>
      <c r="J236" s="215">
        <v>2024.0</v>
      </c>
      <c r="K236" s="214"/>
      <c r="L236" s="218" t="s">
        <v>1079</v>
      </c>
      <c r="M236" s="5"/>
      <c r="N236" s="5"/>
      <c r="O236" s="5"/>
      <c r="P236" s="5"/>
      <c r="Q236" s="5"/>
      <c r="R236" s="2"/>
      <c r="S236" s="212"/>
      <c r="T236" s="212"/>
      <c r="U236" s="212"/>
      <c r="V236" s="212"/>
      <c r="W236" s="36"/>
      <c r="X236" s="46"/>
      <c r="Y236" s="212"/>
      <c r="Z236" s="212"/>
      <c r="AA236" s="212"/>
      <c r="AB236" s="212"/>
      <c r="AC236" s="46"/>
      <c r="AD236" s="212"/>
      <c r="AE236" s="212"/>
      <c r="AF236" s="212"/>
      <c r="AG236" s="212"/>
      <c r="AH236" s="212"/>
      <c r="AI236" s="46"/>
      <c r="AJ236" s="212"/>
      <c r="AK236" s="213"/>
      <c r="AL236" s="212"/>
      <c r="AM236" s="212"/>
      <c r="AN236" s="212"/>
      <c r="AO236" s="212"/>
      <c r="AP236" s="46"/>
      <c r="AQ236" s="212"/>
      <c r="AR236" s="212"/>
      <c r="AS236" s="212"/>
      <c r="AT236" s="212"/>
      <c r="AU236" s="212"/>
      <c r="AV236" s="212"/>
      <c r="AW236" s="212"/>
      <c r="AX236" s="46"/>
      <c r="AY236" s="212"/>
      <c r="AZ236" s="212"/>
      <c r="BA236" s="212"/>
      <c r="BB236" s="212"/>
      <c r="BC236" s="212"/>
      <c r="BD236" s="46"/>
      <c r="BE236" s="212"/>
      <c r="BF236" s="6"/>
      <c r="BG236" s="58"/>
      <c r="BH236" s="6"/>
      <c r="BI236" s="2"/>
    </row>
    <row r="237" ht="12.75" customHeight="1">
      <c r="A237" s="77"/>
      <c r="B237" s="77"/>
      <c r="C237" s="145">
        <f>SUM(C234:C236)</f>
        <v>372000000</v>
      </c>
      <c r="D237" s="224"/>
      <c r="E237" s="225"/>
      <c r="F237" s="225">
        <f>SUM(F234:F235)</f>
        <v>32000000</v>
      </c>
      <c r="G237" s="226"/>
      <c r="H237" s="227"/>
      <c r="I237" s="228"/>
      <c r="J237" s="229"/>
      <c r="K237" s="227"/>
      <c r="L237" s="7"/>
      <c r="M237" s="7"/>
      <c r="N237" s="7"/>
      <c r="O237" s="7"/>
      <c r="P237" s="7"/>
      <c r="Q237" s="7"/>
      <c r="R237" s="226"/>
      <c r="S237" s="230"/>
      <c r="T237" s="230"/>
      <c r="U237" s="230"/>
      <c r="V237" s="230"/>
      <c r="W237" s="7"/>
      <c r="X237" s="145"/>
      <c r="Y237" s="230"/>
      <c r="Z237" s="230"/>
      <c r="AA237" s="230"/>
      <c r="AB237" s="230"/>
      <c r="AC237" s="145"/>
      <c r="AD237" s="230"/>
      <c r="AE237" s="230"/>
      <c r="AF237" s="230"/>
      <c r="AG237" s="230"/>
      <c r="AH237" s="230"/>
      <c r="AI237" s="145"/>
      <c r="AJ237" s="230"/>
      <c r="AK237" s="231"/>
      <c r="AL237" s="230"/>
      <c r="AM237" s="230"/>
      <c r="AN237" s="230"/>
      <c r="AO237" s="230"/>
      <c r="AP237" s="145"/>
      <c r="AQ237" s="230"/>
      <c r="AR237" s="230"/>
      <c r="AS237" s="230"/>
      <c r="AT237" s="230"/>
      <c r="AU237" s="230"/>
      <c r="AV237" s="230"/>
      <c r="AW237" s="230"/>
      <c r="AX237" s="145"/>
      <c r="AY237" s="230"/>
      <c r="AZ237" s="230"/>
      <c r="BA237" s="230"/>
      <c r="BB237" s="230"/>
      <c r="BC237" s="230"/>
      <c r="BD237" s="145"/>
      <c r="BE237" s="230"/>
      <c r="BF237" s="145"/>
      <c r="BG237" s="145"/>
      <c r="BH237" s="145"/>
      <c r="BI237" s="226"/>
    </row>
    <row r="238" ht="12.75" customHeight="1">
      <c r="A238" s="71"/>
      <c r="B238" s="71"/>
      <c r="C238" s="6"/>
      <c r="D238" s="4"/>
      <c r="E238" s="2"/>
      <c r="F238" s="2"/>
      <c r="G238" s="2"/>
      <c r="H238" s="195"/>
      <c r="I238" s="11"/>
      <c r="J238" s="200"/>
      <c r="K238" s="195"/>
      <c r="L238" s="5"/>
      <c r="M238" s="5"/>
      <c r="N238" s="62"/>
      <c r="O238" s="5"/>
      <c r="P238" s="5"/>
      <c r="Q238" s="5"/>
      <c r="R238" s="2" t="s">
        <v>1080</v>
      </c>
      <c r="S238" s="212"/>
      <c r="T238" s="212"/>
      <c r="U238" s="212"/>
      <c r="V238" s="212"/>
      <c r="W238" s="36"/>
      <c r="X238" s="46"/>
      <c r="Y238" s="212"/>
      <c r="Z238" s="212"/>
      <c r="AA238" s="212"/>
      <c r="AB238" s="212"/>
      <c r="AC238" s="46"/>
      <c r="AD238" s="212"/>
      <c r="AE238" s="212"/>
      <c r="AF238" s="212"/>
      <c r="AG238" s="212"/>
      <c r="AH238" s="212"/>
      <c r="AI238" s="46"/>
      <c r="AJ238" s="212"/>
      <c r="AK238" s="213"/>
      <c r="AL238" s="212"/>
      <c r="AM238" s="212"/>
      <c r="AN238" s="212"/>
      <c r="AO238" s="212"/>
      <c r="AP238" s="46"/>
      <c r="AQ238" s="212"/>
      <c r="AR238" s="212"/>
      <c r="AS238" s="212"/>
      <c r="AT238" s="212"/>
      <c r="AU238" s="212"/>
      <c r="AV238" s="212"/>
      <c r="AW238" s="212"/>
      <c r="AX238" s="46"/>
      <c r="AY238" s="212"/>
      <c r="AZ238" s="212"/>
      <c r="BA238" s="212"/>
      <c r="BB238" s="212"/>
      <c r="BC238" s="212"/>
      <c r="BD238" s="46"/>
      <c r="BE238" s="212"/>
      <c r="BF238" s="6"/>
      <c r="BG238" s="58"/>
      <c r="BH238" s="6"/>
      <c r="BI238" s="2"/>
    </row>
    <row r="239" ht="12.75" customHeight="1">
      <c r="A239" s="77" t="s">
        <v>1081</v>
      </c>
      <c r="B239" s="77"/>
      <c r="C239" s="145">
        <f>+C237-L222</f>
        <v>62974466.48</v>
      </c>
      <c r="D239" s="145"/>
      <c r="E239" s="226"/>
      <c r="F239" s="226"/>
      <c r="G239" s="226"/>
      <c r="H239" s="227"/>
      <c r="I239" s="228"/>
      <c r="J239" s="229"/>
      <c r="K239" s="5"/>
      <c r="L239" s="5"/>
      <c r="M239" s="7"/>
      <c r="N239" s="8"/>
      <c r="O239" s="7"/>
      <c r="P239" s="7"/>
      <c r="Q239" s="7"/>
      <c r="R239" s="2" t="s">
        <v>1082</v>
      </c>
      <c r="S239" s="230"/>
      <c r="T239" s="230"/>
      <c r="U239" s="230"/>
      <c r="V239" s="230"/>
      <c r="W239" s="7"/>
      <c r="X239" s="145"/>
      <c r="Y239" s="230"/>
      <c r="Z239" s="230"/>
      <c r="AA239" s="230"/>
      <c r="AB239" s="230"/>
      <c r="AC239" s="145"/>
      <c r="AD239" s="230"/>
      <c r="AE239" s="230"/>
      <c r="AF239" s="230"/>
      <c r="AG239" s="230"/>
      <c r="AH239" s="230"/>
      <c r="AI239" s="145"/>
      <c r="AJ239" s="230"/>
      <c r="AK239" s="231"/>
      <c r="AL239" s="230"/>
      <c r="AM239" s="230"/>
      <c r="AN239" s="230"/>
      <c r="AO239" s="230"/>
      <c r="AP239" s="145"/>
      <c r="AQ239" s="230"/>
      <c r="AR239" s="230"/>
      <c r="AS239" s="230"/>
      <c r="AT239" s="230"/>
      <c r="AU239" s="230"/>
      <c r="AV239" s="230"/>
      <c r="AW239" s="230"/>
      <c r="AX239" s="145"/>
      <c r="AY239" s="230"/>
      <c r="AZ239" s="230"/>
      <c r="BA239" s="230"/>
      <c r="BB239" s="230"/>
      <c r="BC239" s="230"/>
      <c r="BD239" s="145"/>
      <c r="BE239" s="230"/>
      <c r="BF239" s="145"/>
      <c r="BG239" s="145"/>
      <c r="BH239" s="145"/>
      <c r="BI239" s="226"/>
    </row>
    <row r="240" ht="12.75" customHeight="1">
      <c r="A240" s="71"/>
      <c r="B240" s="71"/>
      <c r="C240" s="4"/>
      <c r="D240" s="6"/>
      <c r="E240" s="2"/>
      <c r="F240" s="2"/>
      <c r="G240" s="2"/>
      <c r="H240" s="195"/>
      <c r="I240" s="11"/>
      <c r="J240" s="200"/>
      <c r="K240" s="5"/>
      <c r="L240" s="73"/>
      <c r="M240" s="5"/>
      <c r="N240" s="62"/>
      <c r="O240" s="5"/>
      <c r="P240" s="5"/>
      <c r="Q240" s="5"/>
      <c r="R240" s="2" t="s">
        <v>1083</v>
      </c>
      <c r="S240" s="212"/>
      <c r="T240" s="212"/>
      <c r="U240" s="212"/>
      <c r="V240" s="212"/>
      <c r="W240" s="36"/>
      <c r="X240" s="46"/>
      <c r="Y240" s="212"/>
      <c r="Z240" s="212"/>
      <c r="AA240" s="212"/>
      <c r="AB240" s="212"/>
      <c r="AC240" s="46"/>
      <c r="AD240" s="212"/>
      <c r="AE240" s="212"/>
      <c r="AF240" s="212"/>
      <c r="AG240" s="212"/>
      <c r="AH240" s="212"/>
      <c r="AI240" s="46"/>
      <c r="AJ240" s="212"/>
      <c r="AK240" s="213"/>
      <c r="AL240" s="212"/>
      <c r="AM240" s="212"/>
      <c r="AN240" s="212"/>
      <c r="AO240" s="212"/>
      <c r="AP240" s="46"/>
      <c r="AQ240" s="212"/>
      <c r="AR240" s="212"/>
      <c r="AS240" s="212"/>
      <c r="AT240" s="212"/>
      <c r="AU240" s="212"/>
      <c r="AV240" s="212"/>
      <c r="AW240" s="212"/>
      <c r="AX240" s="46"/>
      <c r="AY240" s="212"/>
      <c r="AZ240" s="212"/>
      <c r="BA240" s="212"/>
      <c r="BB240" s="212"/>
      <c r="BC240" s="212"/>
      <c r="BD240" s="46"/>
      <c r="BE240" s="212"/>
      <c r="BF240" s="6"/>
      <c r="BG240" s="58"/>
      <c r="BH240" s="6"/>
      <c r="BI240" s="2"/>
    </row>
    <row r="241" ht="12.75" customHeight="1">
      <c r="A241" s="71"/>
      <c r="B241" s="71"/>
      <c r="C241" s="4"/>
      <c r="D241" s="4"/>
      <c r="E241" s="6"/>
      <c r="F241" s="2"/>
      <c r="G241" s="2"/>
      <c r="H241" s="195"/>
      <c r="I241" s="11"/>
      <c r="J241" s="209"/>
      <c r="K241" s="40"/>
      <c r="L241" s="40"/>
      <c r="M241" s="5"/>
      <c r="N241" s="62"/>
      <c r="O241" s="5"/>
      <c r="P241" s="5"/>
      <c r="Q241" s="5"/>
      <c r="R241" s="2" t="s">
        <v>1084</v>
      </c>
      <c r="S241" s="212"/>
      <c r="T241" s="212"/>
      <c r="U241" s="212"/>
      <c r="V241" s="212"/>
      <c r="W241" s="212"/>
      <c r="X241" s="6"/>
      <c r="Y241" s="212"/>
      <c r="Z241" s="212"/>
      <c r="AA241" s="212"/>
      <c r="AB241" s="212"/>
      <c r="AC241" s="6"/>
      <c r="AD241" s="212"/>
      <c r="AE241" s="212"/>
      <c r="AF241" s="212"/>
      <c r="AG241" s="212"/>
      <c r="AH241" s="212"/>
      <c r="AI241" s="6"/>
      <c r="AJ241" s="212"/>
      <c r="AK241" s="213"/>
      <c r="AL241" s="212"/>
      <c r="AM241" s="212"/>
      <c r="AN241" s="212"/>
      <c r="AO241" s="212"/>
      <c r="AP241" s="6"/>
      <c r="AQ241" s="212"/>
      <c r="AR241" s="212"/>
      <c r="AS241" s="212"/>
      <c r="AT241" s="212"/>
      <c r="AU241" s="212"/>
      <c r="AV241" s="212"/>
      <c r="AW241" s="212"/>
      <c r="AX241" s="6"/>
      <c r="AY241" s="212"/>
      <c r="AZ241" s="212"/>
      <c r="BA241" s="212"/>
      <c r="BB241" s="212"/>
      <c r="BC241" s="212"/>
      <c r="BD241" s="6"/>
      <c r="BE241" s="212"/>
      <c r="BF241" s="6"/>
      <c r="BG241" s="58"/>
      <c r="BH241" s="6"/>
      <c r="BI241" s="2"/>
    </row>
    <row r="242" ht="12.75" customHeight="1">
      <c r="A242" s="71"/>
      <c r="B242" s="71"/>
      <c r="C242" s="232" t="s">
        <v>1085</v>
      </c>
      <c r="D242" s="232"/>
      <c r="E242" s="5"/>
      <c r="F242" s="2"/>
      <c r="G242" s="2"/>
      <c r="H242" s="54"/>
      <c r="I242" s="11"/>
      <c r="J242" s="2"/>
      <c r="K242" s="2"/>
      <c r="L242" s="232" t="s">
        <v>1085</v>
      </c>
      <c r="M242" s="6"/>
      <c r="N242" s="232" t="s">
        <v>1085</v>
      </c>
      <c r="O242" s="5"/>
      <c r="P242" s="5"/>
      <c r="Q242" s="5"/>
      <c r="R242" s="2"/>
      <c r="S242" s="212"/>
      <c r="T242" s="212"/>
      <c r="U242" s="212"/>
      <c r="V242" s="212"/>
      <c r="W242" s="212"/>
      <c r="X242" s="6"/>
      <c r="Y242" s="212"/>
      <c r="Z242" s="212"/>
      <c r="AA242" s="212"/>
      <c r="AB242" s="212"/>
      <c r="AC242" s="6"/>
      <c r="AD242" s="212"/>
      <c r="AE242" s="212"/>
      <c r="AF242" s="212"/>
      <c r="AG242" s="212"/>
      <c r="AH242" s="212"/>
      <c r="AI242" s="6"/>
      <c r="AJ242" s="212"/>
      <c r="AK242" s="213"/>
      <c r="AL242" s="212"/>
      <c r="AM242" s="212"/>
      <c r="AN242" s="212"/>
      <c r="AO242" s="212"/>
      <c r="AP242" s="6"/>
      <c r="AQ242" s="212"/>
      <c r="AR242" s="212"/>
      <c r="AS242" s="212"/>
      <c r="AT242" s="212"/>
      <c r="AU242" s="212"/>
      <c r="AV242" s="212"/>
      <c r="AW242" s="212"/>
      <c r="AX242" s="6"/>
      <c r="AY242" s="212"/>
      <c r="AZ242" s="212"/>
      <c r="BA242" s="212"/>
      <c r="BB242" s="212"/>
      <c r="BC242" s="212"/>
      <c r="BD242" s="6"/>
      <c r="BE242" s="212"/>
      <c r="BF242" s="6"/>
      <c r="BG242" s="58"/>
      <c r="BH242" s="6"/>
      <c r="BI242" s="2"/>
    </row>
    <row r="243" ht="12.75" customHeight="1">
      <c r="A243" s="71"/>
      <c r="B243" s="71"/>
      <c r="C243" s="11" t="s">
        <v>1086</v>
      </c>
      <c r="D243" s="11"/>
      <c r="E243" s="2"/>
      <c r="F243" s="2"/>
      <c r="G243" s="2"/>
      <c r="H243" s="54"/>
      <c r="I243" s="11"/>
      <c r="J243" s="195"/>
      <c r="K243" s="7"/>
      <c r="L243" s="6">
        <f>SUMIF($K15:$K221,"Other Gov",L15:L221)</f>
        <v>1750000</v>
      </c>
      <c r="M243" s="5"/>
      <c r="N243" s="6">
        <f>SUMIF($K15:$K221,"Other Gov",N15:N221)</f>
        <v>1750000</v>
      </c>
      <c r="O243" s="5"/>
      <c r="P243" s="5"/>
      <c r="Q243" s="5"/>
      <c r="R243" s="2" t="s">
        <v>1087</v>
      </c>
      <c r="S243" s="212"/>
      <c r="T243" s="212"/>
      <c r="U243" s="212"/>
      <c r="V243" s="212"/>
      <c r="W243" s="212"/>
      <c r="X243" s="6"/>
      <c r="Y243" s="212"/>
      <c r="Z243" s="212"/>
      <c r="AA243" s="212"/>
      <c r="AB243" s="212"/>
      <c r="AC243" s="6"/>
      <c r="AD243" s="212"/>
      <c r="AE243" s="212"/>
      <c r="AF243" s="212"/>
      <c r="AG243" s="212"/>
      <c r="AH243" s="212"/>
      <c r="AI243" s="6"/>
      <c r="AJ243" s="212"/>
      <c r="AK243" s="213"/>
      <c r="AL243" s="212"/>
      <c r="AM243" s="212"/>
      <c r="AN243" s="212"/>
      <c r="AO243" s="212"/>
      <c r="AP243" s="6"/>
      <c r="AQ243" s="212"/>
      <c r="AR243" s="212"/>
      <c r="AS243" s="212"/>
      <c r="AT243" s="212"/>
      <c r="AU243" s="212"/>
      <c r="AV243" s="212"/>
      <c r="AW243" s="212"/>
      <c r="AX243" s="6"/>
      <c r="AY243" s="212"/>
      <c r="AZ243" s="212"/>
      <c r="BA243" s="212"/>
      <c r="BB243" s="212"/>
      <c r="BC243" s="212"/>
      <c r="BD243" s="6"/>
      <c r="BE243" s="212"/>
      <c r="BF243" s="6"/>
      <c r="BG243" s="58"/>
      <c r="BH243" s="6"/>
      <c r="BI243" s="2"/>
    </row>
    <row r="244" ht="12.75" customHeight="1">
      <c r="A244" s="71"/>
      <c r="B244" s="71"/>
      <c r="C244" s="11" t="s">
        <v>1088</v>
      </c>
      <c r="D244" s="11"/>
      <c r="E244" s="2"/>
      <c r="F244" s="2"/>
      <c r="G244" s="2"/>
      <c r="H244" s="54"/>
      <c r="I244" s="11"/>
      <c r="J244" s="54"/>
      <c r="K244" s="54"/>
      <c r="L244" s="6">
        <f>SUMIF($K15:$K221,"Other DOD",L15:L221)</f>
        <v>130152237</v>
      </c>
      <c r="M244" s="5"/>
      <c r="N244" s="6">
        <f>SUMIF($K15:$K221,"Other DOD",N15:N221)</f>
        <v>130152237</v>
      </c>
      <c r="O244" s="5"/>
      <c r="P244" s="5"/>
      <c r="Q244" s="5"/>
      <c r="R244" s="2" t="s">
        <v>1089</v>
      </c>
      <c r="S244" s="212"/>
      <c r="T244" s="212"/>
      <c r="U244" s="212"/>
      <c r="V244" s="212"/>
      <c r="W244" s="212"/>
      <c r="X244" s="6"/>
      <c r="Y244" s="212"/>
      <c r="Z244" s="212"/>
      <c r="AA244" s="212"/>
      <c r="AB244" s="212"/>
      <c r="AC244" s="6"/>
      <c r="AD244" s="212"/>
      <c r="AE244" s="212"/>
      <c r="AF244" s="212"/>
      <c r="AG244" s="212"/>
      <c r="AH244" s="212"/>
      <c r="AI244" s="6"/>
      <c r="AJ244" s="212"/>
      <c r="AK244" s="213"/>
      <c r="AL244" s="212"/>
      <c r="AM244" s="212"/>
      <c r="AN244" s="212"/>
      <c r="AO244" s="212"/>
      <c r="AP244" s="6"/>
      <c r="AQ244" s="212"/>
      <c r="AR244" s="212"/>
      <c r="AS244" s="212"/>
      <c r="AT244" s="212"/>
      <c r="AU244" s="212"/>
      <c r="AV244" s="212"/>
      <c r="AW244" s="212"/>
      <c r="AX244" s="6"/>
      <c r="AY244" s="212"/>
      <c r="AZ244" s="212"/>
      <c r="BA244" s="212"/>
      <c r="BB244" s="212"/>
      <c r="BC244" s="212"/>
      <c r="BD244" s="6"/>
      <c r="BE244" s="212"/>
      <c r="BF244" s="6"/>
      <c r="BG244" s="58"/>
      <c r="BH244" s="6"/>
      <c r="BI244" s="2"/>
    </row>
    <row r="245" ht="12.75" customHeight="1">
      <c r="A245" s="71"/>
      <c r="B245" s="71"/>
      <c r="C245" s="11" t="s">
        <v>912</v>
      </c>
      <c r="D245" s="11"/>
      <c r="E245" s="2"/>
      <c r="F245" s="2"/>
      <c r="G245" s="2"/>
      <c r="H245" s="54"/>
      <c r="I245" s="11"/>
      <c r="J245" s="54"/>
      <c r="K245" s="2"/>
      <c r="L245" s="6">
        <f>SUMIF($K15:$K221,"Navy",L15:L221)</f>
        <v>6579016</v>
      </c>
      <c r="M245" s="5"/>
      <c r="N245" s="6">
        <f>SUMIF($K15:$K221,"Navy",N15:N221)</f>
        <v>6579016</v>
      </c>
      <c r="O245" s="5"/>
      <c r="P245" s="5"/>
      <c r="Q245" s="5"/>
      <c r="R245" s="2"/>
      <c r="S245" s="212"/>
      <c r="T245" s="212"/>
      <c r="U245" s="212"/>
      <c r="V245" s="212"/>
      <c r="W245" s="212"/>
      <c r="X245" s="6"/>
      <c r="Y245" s="212"/>
      <c r="Z245" s="212"/>
      <c r="AA245" s="212"/>
      <c r="AB245" s="212"/>
      <c r="AC245" s="6"/>
      <c r="AD245" s="212"/>
      <c r="AE245" s="212"/>
      <c r="AF245" s="212"/>
      <c r="AG245" s="212"/>
      <c r="AH245" s="212"/>
      <c r="AI245" s="6"/>
      <c r="AJ245" s="212"/>
      <c r="AK245" s="213"/>
      <c r="AL245" s="212"/>
      <c r="AM245" s="212"/>
      <c r="AN245" s="212"/>
      <c r="AO245" s="212"/>
      <c r="AP245" s="6"/>
      <c r="AQ245" s="212"/>
      <c r="AR245" s="212"/>
      <c r="AS245" s="212"/>
      <c r="AT245" s="212"/>
      <c r="AU245" s="212"/>
      <c r="AV245" s="212"/>
      <c r="AW245" s="212"/>
      <c r="AX245" s="6"/>
      <c r="AY245" s="212"/>
      <c r="AZ245" s="212"/>
      <c r="BA245" s="212"/>
      <c r="BB245" s="212"/>
      <c r="BC245" s="212"/>
      <c r="BD245" s="6"/>
      <c r="BE245" s="212"/>
      <c r="BF245" s="6"/>
      <c r="BG245" s="58"/>
      <c r="BH245" s="6"/>
      <c r="BI245" s="2"/>
    </row>
    <row r="246" ht="12.75" customHeight="1">
      <c r="A246" s="71"/>
      <c r="B246" s="71"/>
      <c r="C246" s="11" t="s">
        <v>1001</v>
      </c>
      <c r="D246" s="11"/>
      <c r="E246" s="2"/>
      <c r="F246" s="2"/>
      <c r="G246" s="2"/>
      <c r="H246" s="54"/>
      <c r="I246" s="11"/>
      <c r="J246" s="54"/>
      <c r="K246" s="54"/>
      <c r="L246" s="6">
        <f>SUMIF($K15:$K221,"Army",L15:L221)</f>
        <v>57223999.69</v>
      </c>
      <c r="M246" s="5"/>
      <c r="N246" s="6">
        <f>SUMIF($K15:$K221,"Army",N15:N221)</f>
        <v>57223999.69</v>
      </c>
      <c r="O246" s="5"/>
      <c r="P246" s="5"/>
      <c r="Q246" s="5"/>
      <c r="R246" s="2" t="s">
        <v>1090</v>
      </c>
      <c r="S246" s="212"/>
      <c r="T246" s="212"/>
      <c r="U246" s="212"/>
      <c r="V246" s="212"/>
      <c r="W246" s="212"/>
      <c r="X246" s="6"/>
      <c r="Y246" s="212"/>
      <c r="Z246" s="212"/>
      <c r="AA246" s="212"/>
      <c r="AB246" s="212"/>
      <c r="AC246" s="6"/>
      <c r="AD246" s="212"/>
      <c r="AE246" s="212"/>
      <c r="AF246" s="212"/>
      <c r="AG246" s="212"/>
      <c r="AH246" s="212"/>
      <c r="AI246" s="6"/>
      <c r="AJ246" s="212"/>
      <c r="AK246" s="213"/>
      <c r="AL246" s="212"/>
      <c r="AM246" s="212"/>
      <c r="AN246" s="212"/>
      <c r="AO246" s="212"/>
      <c r="AP246" s="6"/>
      <c r="AQ246" s="212"/>
      <c r="AR246" s="212"/>
      <c r="AS246" s="212"/>
      <c r="AT246" s="212"/>
      <c r="AU246" s="212"/>
      <c r="AV246" s="212"/>
      <c r="AW246" s="212"/>
      <c r="AX246" s="6"/>
      <c r="AY246" s="212"/>
      <c r="AZ246" s="212"/>
      <c r="BA246" s="212"/>
      <c r="BB246" s="212"/>
      <c r="BC246" s="212"/>
      <c r="BD246" s="6"/>
      <c r="BE246" s="212"/>
      <c r="BF246" s="6"/>
      <c r="BG246" s="58"/>
      <c r="BH246" s="6"/>
      <c r="BI246" s="2"/>
    </row>
    <row r="247" ht="12.75" customHeight="1">
      <c r="A247" s="71"/>
      <c r="B247" s="71"/>
      <c r="C247" s="11" t="s">
        <v>860</v>
      </c>
      <c r="D247" s="11"/>
      <c r="E247" s="2"/>
      <c r="F247" s="2"/>
      <c r="G247" s="2"/>
      <c r="H247" s="54"/>
      <c r="I247" s="11"/>
      <c r="J247" s="54"/>
      <c r="K247" s="54"/>
      <c r="L247" s="6">
        <f>SUMIF($K15:$K221,"Air Force",L15:L221)</f>
        <v>71698412.77</v>
      </c>
      <c r="M247" s="5"/>
      <c r="N247" s="6">
        <f>SUMIF($K15:$K221,"Air Force",N15:N221)</f>
        <v>70043107.77</v>
      </c>
      <c r="O247" s="5"/>
      <c r="P247" s="5"/>
      <c r="Q247" s="5"/>
      <c r="R247" s="2" t="s">
        <v>1091</v>
      </c>
      <c r="S247" s="212"/>
      <c r="T247" s="212"/>
      <c r="U247" s="212"/>
      <c r="V247" s="212"/>
      <c r="W247" s="212"/>
      <c r="X247" s="6"/>
      <c r="Y247" s="212"/>
      <c r="Z247" s="212"/>
      <c r="AA247" s="212"/>
      <c r="AB247" s="212"/>
      <c r="AC247" s="6"/>
      <c r="AD247" s="212"/>
      <c r="AE247" s="212"/>
      <c r="AF247" s="212"/>
      <c r="AG247" s="212"/>
      <c r="AH247" s="212"/>
      <c r="AI247" s="6"/>
      <c r="AJ247" s="212"/>
      <c r="AK247" s="213"/>
      <c r="AL247" s="212"/>
      <c r="AM247" s="212"/>
      <c r="AN247" s="212"/>
      <c r="AO247" s="212"/>
      <c r="AP247" s="6"/>
      <c r="AQ247" s="212"/>
      <c r="AR247" s="212"/>
      <c r="AS247" s="212"/>
      <c r="AT247" s="212"/>
      <c r="AU247" s="212"/>
      <c r="AV247" s="212"/>
      <c r="AW247" s="212"/>
      <c r="AX247" s="6"/>
      <c r="AY247" s="212"/>
      <c r="AZ247" s="212"/>
      <c r="BA247" s="212"/>
      <c r="BB247" s="212"/>
      <c r="BC247" s="212"/>
      <c r="BD247" s="6"/>
      <c r="BE247" s="212"/>
      <c r="BF247" s="6"/>
      <c r="BG247" s="58"/>
      <c r="BH247" s="6"/>
      <c r="BI247" s="2"/>
    </row>
    <row r="248" ht="12.75" customHeight="1">
      <c r="A248" s="71"/>
      <c r="B248" s="71"/>
      <c r="C248" s="11" t="s">
        <v>788</v>
      </c>
      <c r="D248" s="4"/>
      <c r="E248" s="2"/>
      <c r="F248" s="2"/>
      <c r="G248" s="2"/>
      <c r="H248" s="2"/>
      <c r="I248" s="4"/>
      <c r="J248" s="2"/>
      <c r="K248" s="54"/>
      <c r="L248" s="6">
        <f>SUMIF($K15:$K221,"ADP Core",L15:L221)</f>
        <v>11556868.11</v>
      </c>
      <c r="M248" s="5"/>
      <c r="N248" s="6">
        <f>SUMIF($K15:$K221,"ADP Core",N15:N221)</f>
        <v>11556868.1</v>
      </c>
      <c r="O248" s="5"/>
      <c r="P248" s="5"/>
      <c r="Q248" s="5"/>
      <c r="R248" s="2" t="s">
        <v>1092</v>
      </c>
      <c r="S248" s="212"/>
      <c r="T248" s="212"/>
      <c r="U248" s="212"/>
      <c r="V248" s="212"/>
      <c r="W248" s="212"/>
      <c r="X248" s="6"/>
      <c r="Y248" s="212"/>
      <c r="Z248" s="212"/>
      <c r="AA248" s="212"/>
      <c r="AB248" s="212"/>
      <c r="AC248" s="6"/>
      <c r="AD248" s="212"/>
      <c r="AE248" s="212"/>
      <c r="AF248" s="212"/>
      <c r="AG248" s="212"/>
      <c r="AH248" s="212"/>
      <c r="AI248" s="6"/>
      <c r="AJ248" s="212"/>
      <c r="AK248" s="213"/>
      <c r="AL248" s="212"/>
      <c r="AM248" s="212"/>
      <c r="AN248" s="212"/>
      <c r="AO248" s="212"/>
      <c r="AP248" s="6"/>
      <c r="AQ248" s="212"/>
      <c r="AR248" s="212"/>
      <c r="AS248" s="212"/>
      <c r="AT248" s="212"/>
      <c r="AU248" s="212"/>
      <c r="AV248" s="212"/>
      <c r="AW248" s="212"/>
      <c r="AX248" s="6"/>
      <c r="AY248" s="212"/>
      <c r="AZ248" s="212"/>
      <c r="BA248" s="212"/>
      <c r="BB248" s="212"/>
      <c r="BC248" s="212"/>
      <c r="BD248" s="6"/>
      <c r="BE248" s="212"/>
      <c r="BF248" s="6"/>
      <c r="BG248" s="58"/>
      <c r="BH248" s="6"/>
      <c r="BI248" s="2"/>
    </row>
    <row r="249" ht="12.75" customHeight="1">
      <c r="A249" s="71"/>
      <c r="B249" s="71"/>
      <c r="C249" s="11" t="s">
        <v>787</v>
      </c>
      <c r="D249" s="208" t="s">
        <v>1093</v>
      </c>
      <c r="E249" s="2"/>
      <c r="F249" s="2"/>
      <c r="G249" s="2"/>
      <c r="H249" s="2"/>
      <c r="I249" s="4"/>
      <c r="J249" s="2"/>
      <c r="K249" s="54"/>
      <c r="L249" s="233">
        <f>SUMIF($K15:$K221,"Core",L15:L221)</f>
        <v>27000000</v>
      </c>
      <c r="M249" s="5"/>
      <c r="N249" s="233">
        <f>SUMIF($K15:$K221,"Core",N15:N221)</f>
        <v>27000000</v>
      </c>
      <c r="O249" s="5"/>
      <c r="P249" s="5"/>
      <c r="Q249" s="5"/>
      <c r="R249" s="2"/>
      <c r="S249" s="212"/>
      <c r="T249" s="212"/>
      <c r="U249" s="212"/>
      <c r="V249" s="212"/>
      <c r="W249" s="212"/>
      <c r="X249" s="6"/>
      <c r="Y249" s="212"/>
      <c r="Z249" s="212"/>
      <c r="AA249" s="212"/>
      <c r="AB249" s="212"/>
      <c r="AC249" s="6"/>
      <c r="AD249" s="212"/>
      <c r="AE249" s="212"/>
      <c r="AF249" s="212"/>
      <c r="AG249" s="212"/>
      <c r="AH249" s="212"/>
      <c r="AI249" s="6"/>
      <c r="AJ249" s="212"/>
      <c r="AK249" s="213"/>
      <c r="AL249" s="212"/>
      <c r="AM249" s="212"/>
      <c r="AN249" s="212"/>
      <c r="AO249" s="212"/>
      <c r="AP249" s="6"/>
      <c r="AQ249" s="212"/>
      <c r="AR249" s="212"/>
      <c r="AS249" s="212"/>
      <c r="AT249" s="212"/>
      <c r="AU249" s="212"/>
      <c r="AV249" s="212"/>
      <c r="AW249" s="212"/>
      <c r="AX249" s="6"/>
      <c r="AY249" s="212"/>
      <c r="AZ249" s="212"/>
      <c r="BA249" s="212"/>
      <c r="BB249" s="212"/>
      <c r="BC249" s="212"/>
      <c r="BD249" s="6"/>
      <c r="BE249" s="212"/>
      <c r="BF249" s="6"/>
      <c r="BG249" s="58"/>
      <c r="BH249" s="6"/>
      <c r="BI249" s="2"/>
    </row>
    <row r="250" ht="12.75" customHeight="1">
      <c r="A250" s="71"/>
      <c r="B250" s="71"/>
      <c r="C250" s="38"/>
      <c r="D250" s="38"/>
      <c r="E250" s="2"/>
      <c r="F250" s="2"/>
      <c r="G250" s="2"/>
      <c r="H250" s="54"/>
      <c r="I250" s="11"/>
      <c r="J250" s="54"/>
      <c r="K250" s="54"/>
      <c r="L250" s="234"/>
      <c r="M250" s="5"/>
      <c r="N250" s="5"/>
      <c r="O250" s="5"/>
      <c r="P250" s="5"/>
      <c r="Q250" s="5"/>
      <c r="R250" s="2"/>
      <c r="S250" s="212"/>
      <c r="T250" s="212"/>
      <c r="U250" s="212"/>
      <c r="V250" s="212"/>
      <c r="W250" s="212"/>
      <c r="X250" s="6"/>
      <c r="Y250" s="212"/>
      <c r="Z250" s="212"/>
      <c r="AA250" s="212"/>
      <c r="AB250" s="212"/>
      <c r="AC250" s="6"/>
      <c r="AD250" s="212"/>
      <c r="AE250" s="212"/>
      <c r="AF250" s="212"/>
      <c r="AG250" s="212"/>
      <c r="AH250" s="212"/>
      <c r="AI250" s="6"/>
      <c r="AJ250" s="212"/>
      <c r="AK250" s="213"/>
      <c r="AL250" s="212"/>
      <c r="AM250" s="212"/>
      <c r="AN250" s="212"/>
      <c r="AO250" s="212"/>
      <c r="AP250" s="6"/>
      <c r="AQ250" s="212"/>
      <c r="AR250" s="212"/>
      <c r="AS250" s="212"/>
      <c r="AT250" s="212"/>
      <c r="AU250" s="212"/>
      <c r="AV250" s="212"/>
      <c r="AW250" s="212"/>
      <c r="AX250" s="6"/>
      <c r="AY250" s="212"/>
      <c r="AZ250" s="212"/>
      <c r="BA250" s="212"/>
      <c r="BB250" s="212"/>
      <c r="BC250" s="212"/>
      <c r="BD250" s="6"/>
      <c r="BE250" s="212"/>
      <c r="BF250" s="6"/>
      <c r="BG250" s="58"/>
      <c r="BH250" s="6"/>
      <c r="BI250" s="2"/>
    </row>
    <row r="251" ht="12.75" customHeight="1">
      <c r="A251" s="71"/>
      <c r="B251" s="71"/>
      <c r="C251" s="11" t="s">
        <v>66</v>
      </c>
      <c r="D251" s="11"/>
      <c r="E251" s="2"/>
      <c r="F251" s="2"/>
      <c r="G251" s="2"/>
      <c r="H251" s="54"/>
      <c r="I251" s="11"/>
      <c r="J251" s="54"/>
      <c r="K251" s="54"/>
      <c r="L251" s="6">
        <f>SUM(L243:L250)</f>
        <v>305960533.5</v>
      </c>
      <c r="M251" s="5"/>
      <c r="N251" s="5">
        <f>SUM(N243:N250)</f>
        <v>304305228.5</v>
      </c>
      <c r="O251" s="5"/>
      <c r="P251" s="5"/>
      <c r="Q251" s="5"/>
      <c r="R251" s="2" t="s">
        <v>1094</v>
      </c>
      <c r="S251" s="212"/>
      <c r="T251" s="212"/>
      <c r="U251" s="212"/>
      <c r="V251" s="212"/>
      <c r="W251" s="212"/>
      <c r="X251" s="6"/>
      <c r="Y251" s="212"/>
      <c r="Z251" s="212"/>
      <c r="AA251" s="212"/>
      <c r="AB251" s="212"/>
      <c r="AC251" s="6"/>
      <c r="AD251" s="212"/>
      <c r="AE251" s="212"/>
      <c r="AF251" s="212"/>
      <c r="AG251" s="212"/>
      <c r="AH251" s="212"/>
      <c r="AI251" s="6"/>
      <c r="AJ251" s="212"/>
      <c r="AK251" s="213"/>
      <c r="AL251" s="212"/>
      <c r="AM251" s="212"/>
      <c r="AN251" s="212"/>
      <c r="AO251" s="212"/>
      <c r="AP251" s="6"/>
      <c r="AQ251" s="212"/>
      <c r="AR251" s="212"/>
      <c r="AS251" s="212"/>
      <c r="AT251" s="212"/>
      <c r="AU251" s="212"/>
      <c r="AV251" s="212"/>
      <c r="AW251" s="212"/>
      <c r="AX251" s="6"/>
      <c r="AY251" s="212"/>
      <c r="AZ251" s="212"/>
      <c r="BA251" s="212"/>
      <c r="BB251" s="212"/>
      <c r="BC251" s="212"/>
      <c r="BD251" s="6"/>
      <c r="BE251" s="212"/>
      <c r="BF251" s="6"/>
      <c r="BG251" s="58"/>
      <c r="BH251" s="6"/>
      <c r="BI251" s="2"/>
    </row>
    <row r="252" ht="12.75" customHeight="1">
      <c r="A252" s="71"/>
      <c r="B252" s="71"/>
      <c r="C252" s="235" t="s">
        <v>1063</v>
      </c>
      <c r="D252" s="235"/>
      <c r="E252" s="2"/>
      <c r="F252" s="2"/>
      <c r="G252" s="2"/>
      <c r="H252" s="54"/>
      <c r="I252" s="11"/>
      <c r="J252" s="54"/>
      <c r="K252" s="54"/>
      <c r="L252" s="46">
        <f>+L222</f>
        <v>309025533.5</v>
      </c>
      <c r="M252" s="5"/>
      <c r="N252" s="36">
        <f>+N222</f>
        <v>308025228.5</v>
      </c>
      <c r="O252" s="5"/>
      <c r="P252" s="5"/>
      <c r="Q252" s="5"/>
      <c r="R252" s="2" t="s">
        <v>1095</v>
      </c>
      <c r="S252" s="212"/>
      <c r="T252" s="212"/>
      <c r="U252" s="212"/>
      <c r="V252" s="212"/>
      <c r="W252" s="212"/>
      <c r="X252" s="6"/>
      <c r="Y252" s="212"/>
      <c r="Z252" s="212"/>
      <c r="AA252" s="212"/>
      <c r="AB252" s="212"/>
      <c r="AC252" s="6"/>
      <c r="AD252" s="212"/>
      <c r="AE252" s="212"/>
      <c r="AF252" s="212"/>
      <c r="AG252" s="212"/>
      <c r="AH252" s="212"/>
      <c r="AI252" s="6"/>
      <c r="AJ252" s="212"/>
      <c r="AK252" s="213"/>
      <c r="AL252" s="212"/>
      <c r="AM252" s="212"/>
      <c r="AN252" s="212"/>
      <c r="AO252" s="212"/>
      <c r="AP252" s="6"/>
      <c r="AQ252" s="212"/>
      <c r="AR252" s="212"/>
      <c r="AS252" s="212"/>
      <c r="AT252" s="212"/>
      <c r="AU252" s="212"/>
      <c r="AV252" s="212"/>
      <c r="AW252" s="212"/>
      <c r="AX252" s="6"/>
      <c r="AY252" s="212"/>
      <c r="AZ252" s="212"/>
      <c r="BA252" s="212"/>
      <c r="BB252" s="212"/>
      <c r="BC252" s="212"/>
      <c r="BD252" s="6"/>
      <c r="BE252" s="212"/>
      <c r="BF252" s="6"/>
      <c r="BG252" s="58"/>
      <c r="BH252" s="6"/>
      <c r="BI252" s="2"/>
    </row>
    <row r="253" ht="12.75" customHeight="1">
      <c r="A253" s="71"/>
      <c r="B253" s="71"/>
      <c r="C253" s="11"/>
      <c r="D253" s="11"/>
      <c r="E253" s="2"/>
      <c r="F253" s="2"/>
      <c r="G253" s="2"/>
      <c r="H253" s="54"/>
      <c r="I253" s="11"/>
      <c r="J253" s="54"/>
      <c r="K253" s="54"/>
      <c r="L253" s="6">
        <f>+L251-L252</f>
        <v>-3065000</v>
      </c>
      <c r="M253" s="5"/>
      <c r="N253" s="5">
        <f>+N251-N252</f>
        <v>-3720000</v>
      </c>
      <c r="O253" s="5"/>
      <c r="P253" s="5"/>
      <c r="Q253" s="5"/>
      <c r="R253" s="2"/>
      <c r="S253" s="212"/>
      <c r="T253" s="212"/>
      <c r="U253" s="212"/>
      <c r="V253" s="212"/>
      <c r="W253" s="212"/>
      <c r="X253" s="6"/>
      <c r="Y253" s="212"/>
      <c r="Z253" s="212"/>
      <c r="AA253" s="212"/>
      <c r="AB253" s="212"/>
      <c r="AC253" s="6"/>
      <c r="AD253" s="212"/>
      <c r="AE253" s="212"/>
      <c r="AF253" s="212"/>
      <c r="AG253" s="212"/>
      <c r="AH253" s="212"/>
      <c r="AI253" s="6"/>
      <c r="AJ253" s="212"/>
      <c r="AK253" s="213"/>
      <c r="AL253" s="212"/>
      <c r="AM253" s="212"/>
      <c r="AN253" s="212"/>
      <c r="AO253" s="212"/>
      <c r="AP253" s="6"/>
      <c r="AQ253" s="212"/>
      <c r="AR253" s="212"/>
      <c r="AS253" s="212"/>
      <c r="AT253" s="212"/>
      <c r="AU253" s="212"/>
      <c r="AV253" s="212"/>
      <c r="AW253" s="212"/>
      <c r="AX253" s="6"/>
      <c r="AY253" s="212"/>
      <c r="AZ253" s="212"/>
      <c r="BA253" s="212"/>
      <c r="BB253" s="212"/>
      <c r="BC253" s="212"/>
      <c r="BD253" s="6"/>
      <c r="BE253" s="212"/>
      <c r="BF253" s="6"/>
      <c r="BG253" s="58"/>
      <c r="BH253" s="6"/>
      <c r="BI253" s="2"/>
    </row>
    <row r="254" ht="12.75" customHeight="1">
      <c r="A254" s="71"/>
      <c r="B254" s="71"/>
      <c r="C254" s="11"/>
      <c r="D254" s="11"/>
      <c r="E254" s="2"/>
      <c r="F254" s="2"/>
      <c r="G254" s="2"/>
      <c r="H254" s="54"/>
      <c r="I254" s="11"/>
      <c r="J254" s="54"/>
      <c r="K254" s="54"/>
      <c r="L254" s="5"/>
      <c r="M254" s="5"/>
      <c r="N254" s="5"/>
      <c r="O254" s="5"/>
      <c r="P254" s="5"/>
      <c r="Q254" s="5"/>
      <c r="R254" s="2"/>
      <c r="S254" s="212"/>
      <c r="T254" s="212"/>
      <c r="U254" s="212"/>
      <c r="V254" s="212"/>
      <c r="W254" s="212"/>
      <c r="X254" s="6"/>
      <c r="Y254" s="212"/>
      <c r="Z254" s="212"/>
      <c r="AA254" s="212"/>
      <c r="AB254" s="212"/>
      <c r="AC254" s="6"/>
      <c r="AD254" s="212"/>
      <c r="AE254" s="212"/>
      <c r="AF254" s="212"/>
      <c r="AG254" s="212"/>
      <c r="AH254" s="212"/>
      <c r="AI254" s="6"/>
      <c r="AJ254" s="212"/>
      <c r="AK254" s="213"/>
      <c r="AL254" s="212"/>
      <c r="AM254" s="212"/>
      <c r="AN254" s="212"/>
      <c r="AO254" s="212"/>
      <c r="AP254" s="6"/>
      <c r="AQ254" s="212"/>
      <c r="AR254" s="212"/>
      <c r="AS254" s="212"/>
      <c r="AT254" s="212"/>
      <c r="AU254" s="212"/>
      <c r="AV254" s="212"/>
      <c r="AW254" s="212"/>
      <c r="AX254" s="6"/>
      <c r="AY254" s="212"/>
      <c r="AZ254" s="212"/>
      <c r="BA254" s="212"/>
      <c r="BB254" s="212"/>
      <c r="BC254" s="212"/>
      <c r="BD254" s="6"/>
      <c r="BE254" s="212"/>
      <c r="BF254" s="6"/>
      <c r="BG254" s="58"/>
      <c r="BH254" s="6"/>
      <c r="BI254" s="2"/>
    </row>
    <row r="255" ht="12.75" customHeight="1">
      <c r="A255" s="71"/>
      <c r="B255" s="71"/>
      <c r="C255" s="11"/>
      <c r="D255" s="11"/>
      <c r="E255" s="2"/>
      <c r="F255" s="2"/>
      <c r="G255" s="2"/>
      <c r="H255" s="54"/>
      <c r="I255" s="11"/>
      <c r="J255" s="54"/>
      <c r="K255" s="54"/>
      <c r="L255" s="5"/>
      <c r="M255" s="5"/>
      <c r="N255" s="5"/>
      <c r="O255" s="5"/>
      <c r="P255" s="5"/>
      <c r="Q255" s="5"/>
      <c r="R255" s="2"/>
      <c r="S255" s="212"/>
      <c r="T255" s="212"/>
      <c r="U255" s="212"/>
      <c r="V255" s="212"/>
      <c r="W255" s="212"/>
      <c r="X255" s="6"/>
      <c r="Y255" s="212"/>
      <c r="Z255" s="212"/>
      <c r="AA255" s="212"/>
      <c r="AB255" s="212"/>
      <c r="AC255" s="6"/>
      <c r="AD255" s="212"/>
      <c r="AE255" s="212"/>
      <c r="AF255" s="212"/>
      <c r="AG255" s="212"/>
      <c r="AH255" s="212"/>
      <c r="AI255" s="6"/>
      <c r="AJ255" s="212"/>
      <c r="AK255" s="213"/>
      <c r="AL255" s="212"/>
      <c r="AM255" s="212"/>
      <c r="AN255" s="212"/>
      <c r="AO255" s="212"/>
      <c r="AP255" s="6"/>
      <c r="AQ255" s="212"/>
      <c r="AR255" s="212"/>
      <c r="AS255" s="212"/>
      <c r="AT255" s="212"/>
      <c r="AU255" s="212"/>
      <c r="AV255" s="212"/>
      <c r="AW255" s="212"/>
      <c r="AX255" s="6"/>
      <c r="AY255" s="212"/>
      <c r="AZ255" s="212"/>
      <c r="BA255" s="212"/>
      <c r="BB255" s="212"/>
      <c r="BC255" s="212"/>
      <c r="BD255" s="6"/>
      <c r="BE255" s="212"/>
      <c r="BF255" s="6"/>
      <c r="BG255" s="58"/>
      <c r="BH255" s="6"/>
      <c r="BI255" s="2"/>
    </row>
    <row r="256" ht="12.75" customHeight="1">
      <c r="A256" s="71"/>
      <c r="B256" s="71"/>
      <c r="C256" s="11"/>
      <c r="D256" s="11"/>
      <c r="E256" s="2"/>
      <c r="F256" s="2"/>
      <c r="G256" s="2"/>
      <c r="H256" s="54"/>
      <c r="I256" s="11"/>
      <c r="J256" s="54"/>
      <c r="K256" s="54"/>
      <c r="L256" s="5"/>
      <c r="M256" s="5"/>
      <c r="N256" s="5"/>
      <c r="O256" s="5"/>
      <c r="P256" s="5"/>
      <c r="Q256" s="5"/>
      <c r="R256" s="2"/>
      <c r="S256" s="212"/>
      <c r="T256" s="212"/>
      <c r="U256" s="212"/>
      <c r="V256" s="212"/>
      <c r="W256" s="212"/>
      <c r="X256" s="6"/>
      <c r="Y256" s="212"/>
      <c r="Z256" s="212"/>
      <c r="AA256" s="212"/>
      <c r="AB256" s="212"/>
      <c r="AC256" s="6"/>
      <c r="AD256" s="212"/>
      <c r="AE256" s="212"/>
      <c r="AF256" s="212"/>
      <c r="AG256" s="212"/>
      <c r="AH256" s="212"/>
      <c r="AI256" s="6"/>
      <c r="AJ256" s="212"/>
      <c r="AK256" s="213"/>
      <c r="AL256" s="212"/>
      <c r="AM256" s="212"/>
      <c r="AN256" s="212"/>
      <c r="AO256" s="212"/>
      <c r="AP256" s="6"/>
      <c r="AQ256" s="212"/>
      <c r="AR256" s="212"/>
      <c r="AS256" s="212"/>
      <c r="AT256" s="212"/>
      <c r="AU256" s="212"/>
      <c r="AV256" s="212"/>
      <c r="AW256" s="212"/>
      <c r="AX256" s="6"/>
      <c r="AY256" s="212"/>
      <c r="AZ256" s="212"/>
      <c r="BA256" s="212"/>
      <c r="BB256" s="212"/>
      <c r="BC256" s="212"/>
      <c r="BD256" s="6"/>
      <c r="BE256" s="212"/>
      <c r="BF256" s="6"/>
      <c r="BG256" s="58"/>
      <c r="BH256" s="6"/>
      <c r="BI256" s="2"/>
    </row>
    <row r="257" ht="12.75" customHeight="1">
      <c r="A257" s="71"/>
      <c r="B257" s="71"/>
      <c r="C257" s="11"/>
      <c r="D257" s="11"/>
      <c r="E257" s="2"/>
      <c r="F257" s="2"/>
      <c r="G257" s="2"/>
      <c r="H257" s="54"/>
      <c r="I257" s="11"/>
      <c r="J257" s="54"/>
      <c r="K257" s="54"/>
      <c r="L257" s="5"/>
      <c r="M257" s="5"/>
      <c r="N257" s="5"/>
      <c r="O257" s="5"/>
      <c r="P257" s="5"/>
      <c r="Q257" s="5"/>
      <c r="R257" s="2"/>
      <c r="S257" s="212"/>
      <c r="T257" s="212"/>
      <c r="U257" s="212"/>
      <c r="V257" s="212"/>
      <c r="W257" s="212"/>
      <c r="X257" s="6"/>
      <c r="Y257" s="212"/>
      <c r="Z257" s="212"/>
      <c r="AA257" s="212"/>
      <c r="AB257" s="212"/>
      <c r="AC257" s="6"/>
      <c r="AD257" s="212"/>
      <c r="AE257" s="212"/>
      <c r="AF257" s="212"/>
      <c r="AG257" s="212"/>
      <c r="AH257" s="212"/>
      <c r="AI257" s="6"/>
      <c r="AJ257" s="212"/>
      <c r="AK257" s="213"/>
      <c r="AL257" s="212"/>
      <c r="AM257" s="212"/>
      <c r="AN257" s="212"/>
      <c r="AO257" s="212"/>
      <c r="AP257" s="6"/>
      <c r="AQ257" s="212"/>
      <c r="AR257" s="212"/>
      <c r="AS257" s="212"/>
      <c r="AT257" s="212"/>
      <c r="AU257" s="212"/>
      <c r="AV257" s="212"/>
      <c r="AW257" s="212"/>
      <c r="AX257" s="6"/>
      <c r="AY257" s="212"/>
      <c r="AZ257" s="212"/>
      <c r="BA257" s="212"/>
      <c r="BB257" s="212"/>
      <c r="BC257" s="212"/>
      <c r="BD257" s="6"/>
      <c r="BE257" s="212"/>
      <c r="BF257" s="6"/>
      <c r="BG257" s="58"/>
      <c r="BH257" s="6"/>
      <c r="BI257" s="2"/>
    </row>
    <row r="258" ht="12.75" customHeight="1">
      <c r="A258" s="71"/>
      <c r="B258" s="71"/>
      <c r="C258" s="11"/>
      <c r="D258" s="11"/>
      <c r="E258" s="2"/>
      <c r="F258" s="2"/>
      <c r="G258" s="2"/>
      <c r="H258" s="54"/>
      <c r="I258" s="11"/>
      <c r="J258" s="54"/>
      <c r="K258" s="54"/>
      <c r="L258" s="5"/>
      <c r="M258" s="5"/>
      <c r="N258" s="5"/>
      <c r="O258" s="5"/>
      <c r="P258" s="5"/>
      <c r="Q258" s="5"/>
      <c r="R258" s="2"/>
      <c r="S258" s="212"/>
      <c r="T258" s="212"/>
      <c r="U258" s="212"/>
      <c r="V258" s="212"/>
      <c r="W258" s="212"/>
      <c r="X258" s="6"/>
      <c r="Y258" s="212"/>
      <c r="Z258" s="212"/>
      <c r="AA258" s="212"/>
      <c r="AB258" s="212"/>
      <c r="AC258" s="6"/>
      <c r="AD258" s="212"/>
      <c r="AE258" s="212"/>
      <c r="AF258" s="212"/>
      <c r="AG258" s="212"/>
      <c r="AH258" s="212"/>
      <c r="AI258" s="6"/>
      <c r="AJ258" s="212"/>
      <c r="AK258" s="213"/>
      <c r="AL258" s="212"/>
      <c r="AM258" s="212"/>
      <c r="AN258" s="212"/>
      <c r="AO258" s="212"/>
      <c r="AP258" s="6"/>
      <c r="AQ258" s="212"/>
      <c r="AR258" s="212"/>
      <c r="AS258" s="212"/>
      <c r="AT258" s="212"/>
      <c r="AU258" s="212"/>
      <c r="AV258" s="212"/>
      <c r="AW258" s="212"/>
      <c r="AX258" s="6"/>
      <c r="AY258" s="212"/>
      <c r="AZ258" s="212"/>
      <c r="BA258" s="212"/>
      <c r="BB258" s="212"/>
      <c r="BC258" s="212"/>
      <c r="BD258" s="6"/>
      <c r="BE258" s="212"/>
      <c r="BF258" s="6"/>
      <c r="BG258" s="58"/>
      <c r="BH258" s="6"/>
      <c r="BI258" s="2"/>
    </row>
    <row r="259" ht="12.75" customHeight="1">
      <c r="A259" s="71"/>
      <c r="B259" s="71"/>
      <c r="C259" s="11"/>
      <c r="D259" s="11"/>
      <c r="E259" s="2"/>
      <c r="F259" s="2"/>
      <c r="G259" s="2"/>
      <c r="H259" s="54"/>
      <c r="I259" s="11"/>
      <c r="J259" s="54"/>
      <c r="K259" s="54"/>
      <c r="L259" s="5"/>
      <c r="M259" s="5"/>
      <c r="N259" s="5"/>
      <c r="O259" s="5"/>
      <c r="P259" s="5"/>
      <c r="Q259" s="5"/>
      <c r="R259" s="2"/>
      <c r="S259" s="212"/>
      <c r="T259" s="212"/>
      <c r="U259" s="212"/>
      <c r="V259" s="212"/>
      <c r="W259" s="212"/>
      <c r="X259" s="6"/>
      <c r="Y259" s="212"/>
      <c r="Z259" s="212"/>
      <c r="AA259" s="212"/>
      <c r="AB259" s="212"/>
      <c r="AC259" s="6"/>
      <c r="AD259" s="212"/>
      <c r="AE259" s="212"/>
      <c r="AF259" s="212"/>
      <c r="AG259" s="212"/>
      <c r="AH259" s="212"/>
      <c r="AI259" s="6"/>
      <c r="AJ259" s="212"/>
      <c r="AK259" s="213"/>
      <c r="AL259" s="212"/>
      <c r="AM259" s="212"/>
      <c r="AN259" s="212"/>
      <c r="AO259" s="212"/>
      <c r="AP259" s="6"/>
      <c r="AQ259" s="212"/>
      <c r="AR259" s="212"/>
      <c r="AS259" s="212"/>
      <c r="AT259" s="212"/>
      <c r="AU259" s="212"/>
      <c r="AV259" s="212"/>
      <c r="AW259" s="212"/>
      <c r="AX259" s="6"/>
      <c r="AY259" s="212"/>
      <c r="AZ259" s="212"/>
      <c r="BA259" s="212"/>
      <c r="BB259" s="212"/>
      <c r="BC259" s="212"/>
      <c r="BD259" s="6"/>
      <c r="BE259" s="212"/>
      <c r="BF259" s="6"/>
      <c r="BG259" s="58"/>
      <c r="BH259" s="6"/>
      <c r="BI259" s="2"/>
    </row>
    <row r="260" ht="12.75" customHeight="1">
      <c r="A260" s="71"/>
      <c r="B260" s="71"/>
      <c r="C260" s="11"/>
      <c r="D260" s="11"/>
      <c r="E260" s="2"/>
      <c r="F260" s="2"/>
      <c r="G260" s="2"/>
      <c r="H260" s="54"/>
      <c r="I260" s="11"/>
      <c r="J260" s="54"/>
      <c r="K260" s="54"/>
      <c r="L260" s="5"/>
      <c r="M260" s="5"/>
      <c r="N260" s="5"/>
      <c r="O260" s="5"/>
      <c r="P260" s="5"/>
      <c r="Q260" s="5"/>
      <c r="R260" s="2"/>
      <c r="S260" s="212"/>
      <c r="T260" s="212"/>
      <c r="U260" s="212"/>
      <c r="V260" s="212"/>
      <c r="W260" s="212"/>
      <c r="X260" s="6"/>
      <c r="Y260" s="212"/>
      <c r="Z260" s="212"/>
      <c r="AA260" s="212"/>
      <c r="AB260" s="212"/>
      <c r="AC260" s="6"/>
      <c r="AD260" s="212"/>
      <c r="AE260" s="212"/>
      <c r="AF260" s="212"/>
      <c r="AG260" s="212"/>
      <c r="AH260" s="212"/>
      <c r="AI260" s="6"/>
      <c r="AJ260" s="212"/>
      <c r="AK260" s="213"/>
      <c r="AL260" s="212"/>
      <c r="AM260" s="212"/>
      <c r="AN260" s="212"/>
      <c r="AO260" s="212"/>
      <c r="AP260" s="6"/>
      <c r="AQ260" s="212"/>
      <c r="AR260" s="212"/>
      <c r="AS260" s="212"/>
      <c r="AT260" s="212"/>
      <c r="AU260" s="212"/>
      <c r="AV260" s="212"/>
      <c r="AW260" s="212"/>
      <c r="AX260" s="6"/>
      <c r="AY260" s="212"/>
      <c r="AZ260" s="212"/>
      <c r="BA260" s="212"/>
      <c r="BB260" s="212"/>
      <c r="BC260" s="212"/>
      <c r="BD260" s="6"/>
      <c r="BE260" s="212"/>
      <c r="BF260" s="6"/>
      <c r="BG260" s="58"/>
      <c r="BH260" s="6"/>
      <c r="BI260" s="2"/>
    </row>
    <row r="261" ht="12.75" customHeight="1">
      <c r="A261" s="71"/>
      <c r="B261" s="71"/>
      <c r="C261" s="11"/>
      <c r="D261" s="11"/>
      <c r="E261" s="2"/>
      <c r="F261" s="2"/>
      <c r="G261" s="2"/>
      <c r="H261" s="54"/>
      <c r="I261" s="11"/>
      <c r="J261" s="54"/>
      <c r="K261" s="54"/>
      <c r="L261" s="5"/>
      <c r="M261" s="5"/>
      <c r="N261" s="5"/>
      <c r="O261" s="5"/>
      <c r="P261" s="5"/>
      <c r="Q261" s="5"/>
      <c r="R261" s="2"/>
      <c r="S261" s="212"/>
      <c r="T261" s="212"/>
      <c r="U261" s="212"/>
      <c r="V261" s="212"/>
      <c r="W261" s="212"/>
      <c r="X261" s="6"/>
      <c r="Y261" s="212"/>
      <c r="Z261" s="212"/>
      <c r="AA261" s="212"/>
      <c r="AB261" s="212"/>
      <c r="AC261" s="6"/>
      <c r="AD261" s="212"/>
      <c r="AE261" s="212"/>
      <c r="AF261" s="212"/>
      <c r="AG261" s="212"/>
      <c r="AH261" s="212"/>
      <c r="AI261" s="6"/>
      <c r="AJ261" s="212"/>
      <c r="AK261" s="213"/>
      <c r="AL261" s="212"/>
      <c r="AM261" s="212"/>
      <c r="AN261" s="212"/>
      <c r="AO261" s="212"/>
      <c r="AP261" s="6"/>
      <c r="AQ261" s="212"/>
      <c r="AR261" s="212"/>
      <c r="AS261" s="212"/>
      <c r="AT261" s="212"/>
      <c r="AU261" s="212"/>
      <c r="AV261" s="212"/>
      <c r="AW261" s="212"/>
      <c r="AX261" s="6"/>
      <c r="AY261" s="212"/>
      <c r="AZ261" s="212"/>
      <c r="BA261" s="212"/>
      <c r="BB261" s="212"/>
      <c r="BC261" s="212"/>
      <c r="BD261" s="6"/>
      <c r="BE261" s="212"/>
      <c r="BF261" s="6"/>
      <c r="BG261" s="58"/>
      <c r="BH261" s="6"/>
      <c r="BI261" s="2"/>
    </row>
    <row r="262" ht="12.75" customHeight="1">
      <c r="A262" s="71"/>
      <c r="B262" s="71"/>
      <c r="C262" s="11"/>
      <c r="D262" s="11"/>
      <c r="E262" s="2"/>
      <c r="F262" s="2"/>
      <c r="G262" s="2"/>
      <c r="H262" s="54"/>
      <c r="I262" s="11"/>
      <c r="J262" s="54"/>
      <c r="K262" s="54"/>
      <c r="L262" s="5"/>
      <c r="M262" s="5"/>
      <c r="N262" s="5"/>
      <c r="O262" s="5"/>
      <c r="P262" s="5"/>
      <c r="Q262" s="5"/>
      <c r="R262" s="2"/>
      <c r="S262" s="212"/>
      <c r="T262" s="212"/>
      <c r="U262" s="212"/>
      <c r="V262" s="212"/>
      <c r="W262" s="212"/>
      <c r="X262" s="6"/>
      <c r="Y262" s="212"/>
      <c r="Z262" s="212"/>
      <c r="AA262" s="212"/>
      <c r="AB262" s="212"/>
      <c r="AC262" s="6"/>
      <c r="AD262" s="212"/>
      <c r="AE262" s="212"/>
      <c r="AF262" s="212"/>
      <c r="AG262" s="212"/>
      <c r="AH262" s="212"/>
      <c r="AI262" s="6"/>
      <c r="AJ262" s="212"/>
      <c r="AK262" s="213"/>
      <c r="AL262" s="212"/>
      <c r="AM262" s="212"/>
      <c r="AN262" s="212"/>
      <c r="AO262" s="212"/>
      <c r="AP262" s="6"/>
      <c r="AQ262" s="212"/>
      <c r="AR262" s="212"/>
      <c r="AS262" s="212"/>
      <c r="AT262" s="212"/>
      <c r="AU262" s="212"/>
      <c r="AV262" s="212"/>
      <c r="AW262" s="212"/>
      <c r="AX262" s="6"/>
      <c r="AY262" s="212"/>
      <c r="AZ262" s="212"/>
      <c r="BA262" s="212"/>
      <c r="BB262" s="212"/>
      <c r="BC262" s="212"/>
      <c r="BD262" s="6"/>
      <c r="BE262" s="212"/>
      <c r="BF262" s="6"/>
      <c r="BG262" s="58"/>
      <c r="BH262" s="6"/>
      <c r="BI262" s="2"/>
    </row>
    <row r="263" ht="12.75" customHeight="1">
      <c r="A263" s="71"/>
      <c r="B263" s="71"/>
      <c r="C263" s="11"/>
      <c r="D263" s="11"/>
      <c r="E263" s="2"/>
      <c r="F263" s="2"/>
      <c r="G263" s="2"/>
      <c r="H263" s="54"/>
      <c r="I263" s="11"/>
      <c r="J263" s="54"/>
      <c r="K263" s="54"/>
      <c r="L263" s="5"/>
      <c r="M263" s="5"/>
      <c r="N263" s="5"/>
      <c r="O263" s="5"/>
      <c r="P263" s="5"/>
      <c r="Q263" s="5"/>
      <c r="R263" s="2"/>
      <c r="S263" s="212"/>
      <c r="T263" s="212"/>
      <c r="U263" s="212"/>
      <c r="V263" s="212"/>
      <c r="W263" s="212"/>
      <c r="X263" s="6"/>
      <c r="Y263" s="212"/>
      <c r="Z263" s="212"/>
      <c r="AA263" s="212"/>
      <c r="AB263" s="212"/>
      <c r="AC263" s="6"/>
      <c r="AD263" s="212"/>
      <c r="AE263" s="212"/>
      <c r="AF263" s="212"/>
      <c r="AG263" s="212"/>
      <c r="AH263" s="212"/>
      <c r="AI263" s="6"/>
      <c r="AJ263" s="212"/>
      <c r="AK263" s="213"/>
      <c r="AL263" s="212"/>
      <c r="AM263" s="212"/>
      <c r="AN263" s="212"/>
      <c r="AO263" s="212"/>
      <c r="AP263" s="6"/>
      <c r="AQ263" s="212"/>
      <c r="AR263" s="212"/>
      <c r="AS263" s="212"/>
      <c r="AT263" s="212"/>
      <c r="AU263" s="212"/>
      <c r="AV263" s="212"/>
      <c r="AW263" s="212"/>
      <c r="AX263" s="6"/>
      <c r="AY263" s="212"/>
      <c r="AZ263" s="212"/>
      <c r="BA263" s="212"/>
      <c r="BB263" s="212"/>
      <c r="BC263" s="212"/>
      <c r="BD263" s="6"/>
      <c r="BE263" s="212"/>
      <c r="BF263" s="6"/>
      <c r="BG263" s="58"/>
      <c r="BH263" s="6"/>
      <c r="BI263" s="2"/>
    </row>
    <row r="264" ht="12.75" customHeight="1">
      <c r="A264" s="71"/>
      <c r="B264" s="71"/>
      <c r="C264" s="11"/>
      <c r="D264" s="11"/>
      <c r="E264" s="2"/>
      <c r="F264" s="2"/>
      <c r="G264" s="2"/>
      <c r="H264" s="54"/>
      <c r="I264" s="11"/>
      <c r="J264" s="54"/>
      <c r="K264" s="54"/>
      <c r="L264" s="5"/>
      <c r="M264" s="5"/>
      <c r="N264" s="5"/>
      <c r="O264" s="5"/>
      <c r="P264" s="5"/>
      <c r="Q264" s="5"/>
      <c r="R264" s="2"/>
      <c r="S264" s="212"/>
      <c r="T264" s="212"/>
      <c r="U264" s="212"/>
      <c r="V264" s="212"/>
      <c r="W264" s="212"/>
      <c r="X264" s="6"/>
      <c r="Y264" s="212"/>
      <c r="Z264" s="212"/>
      <c r="AA264" s="212"/>
      <c r="AB264" s="212"/>
      <c r="AC264" s="6"/>
      <c r="AD264" s="212"/>
      <c r="AE264" s="212"/>
      <c r="AF264" s="212"/>
      <c r="AG264" s="212"/>
      <c r="AH264" s="212"/>
      <c r="AI264" s="6"/>
      <c r="AJ264" s="212"/>
      <c r="AK264" s="213"/>
      <c r="AL264" s="212"/>
      <c r="AM264" s="212"/>
      <c r="AN264" s="212"/>
      <c r="AO264" s="212"/>
      <c r="AP264" s="6"/>
      <c r="AQ264" s="212"/>
      <c r="AR264" s="212"/>
      <c r="AS264" s="212"/>
      <c r="AT264" s="212"/>
      <c r="AU264" s="212"/>
      <c r="AV264" s="212"/>
      <c r="AW264" s="212"/>
      <c r="AX264" s="6"/>
      <c r="AY264" s="212"/>
      <c r="AZ264" s="212"/>
      <c r="BA264" s="212"/>
      <c r="BB264" s="212"/>
      <c r="BC264" s="212"/>
      <c r="BD264" s="6"/>
      <c r="BE264" s="212"/>
      <c r="BF264" s="6"/>
      <c r="BG264" s="58"/>
      <c r="BH264" s="6"/>
      <c r="BI264" s="2"/>
    </row>
    <row r="265" ht="12.75" customHeight="1">
      <c r="A265" s="71"/>
      <c r="B265" s="71"/>
      <c r="C265" s="11"/>
      <c r="D265" s="11"/>
      <c r="E265" s="2"/>
      <c r="F265" s="2"/>
      <c r="G265" s="2"/>
      <c r="H265" s="54"/>
      <c r="I265" s="11"/>
      <c r="J265" s="54"/>
      <c r="K265" s="54"/>
      <c r="L265" s="5"/>
      <c r="M265" s="5"/>
      <c r="N265" s="5"/>
      <c r="O265" s="5"/>
      <c r="P265" s="5"/>
      <c r="Q265" s="5"/>
      <c r="R265" s="2"/>
      <c r="S265" s="212"/>
      <c r="T265" s="212"/>
      <c r="U265" s="212"/>
      <c r="V265" s="212"/>
      <c r="W265" s="212"/>
      <c r="X265" s="6"/>
      <c r="Y265" s="212"/>
      <c r="Z265" s="212"/>
      <c r="AA265" s="212"/>
      <c r="AB265" s="212"/>
      <c r="AC265" s="6"/>
      <c r="AD265" s="212"/>
      <c r="AE265" s="212"/>
      <c r="AF265" s="212"/>
      <c r="AG265" s="212"/>
      <c r="AH265" s="212"/>
      <c r="AI265" s="6"/>
      <c r="AJ265" s="212"/>
      <c r="AK265" s="213"/>
      <c r="AL265" s="212"/>
      <c r="AM265" s="212"/>
      <c r="AN265" s="212"/>
      <c r="AO265" s="212"/>
      <c r="AP265" s="6"/>
      <c r="AQ265" s="212"/>
      <c r="AR265" s="212"/>
      <c r="AS265" s="212"/>
      <c r="AT265" s="212"/>
      <c r="AU265" s="212"/>
      <c r="AV265" s="212"/>
      <c r="AW265" s="212"/>
      <c r="AX265" s="6"/>
      <c r="AY265" s="212"/>
      <c r="AZ265" s="212"/>
      <c r="BA265" s="212"/>
      <c r="BB265" s="212"/>
      <c r="BC265" s="212"/>
      <c r="BD265" s="6"/>
      <c r="BE265" s="212"/>
      <c r="BF265" s="6"/>
      <c r="BG265" s="58"/>
      <c r="BH265" s="6"/>
      <c r="BI265" s="2"/>
    </row>
    <row r="266" ht="12.75" customHeight="1">
      <c r="A266" s="71"/>
      <c r="B266" s="71"/>
      <c r="C266" s="11"/>
      <c r="D266" s="11"/>
      <c r="E266" s="2"/>
      <c r="F266" s="2"/>
      <c r="G266" s="2"/>
      <c r="H266" s="54"/>
      <c r="I266" s="11"/>
      <c r="J266" s="54"/>
      <c r="K266" s="54"/>
      <c r="L266" s="5"/>
      <c r="M266" s="5"/>
      <c r="N266" s="5"/>
      <c r="O266" s="5"/>
      <c r="P266" s="5"/>
      <c r="Q266" s="5"/>
      <c r="R266" s="2"/>
      <c r="S266" s="212"/>
      <c r="T266" s="212"/>
      <c r="U266" s="212"/>
      <c r="V266" s="212"/>
      <c r="W266" s="212"/>
      <c r="X266" s="6"/>
      <c r="Y266" s="212"/>
      <c r="Z266" s="212"/>
      <c r="AA266" s="212"/>
      <c r="AB266" s="212"/>
      <c r="AC266" s="6"/>
      <c r="AD266" s="212"/>
      <c r="AE266" s="212"/>
      <c r="AF266" s="212"/>
      <c r="AG266" s="212"/>
      <c r="AH266" s="212"/>
      <c r="AI266" s="6"/>
      <c r="AJ266" s="212"/>
      <c r="AK266" s="213"/>
      <c r="AL266" s="212"/>
      <c r="AM266" s="212"/>
      <c r="AN266" s="212"/>
      <c r="AO266" s="212"/>
      <c r="AP266" s="6"/>
      <c r="AQ266" s="212"/>
      <c r="AR266" s="212"/>
      <c r="AS266" s="212"/>
      <c r="AT266" s="212"/>
      <c r="AU266" s="212"/>
      <c r="AV266" s="212"/>
      <c r="AW266" s="212"/>
      <c r="AX266" s="6"/>
      <c r="AY266" s="212"/>
      <c r="AZ266" s="212"/>
      <c r="BA266" s="212"/>
      <c r="BB266" s="212"/>
      <c r="BC266" s="212"/>
      <c r="BD266" s="6"/>
      <c r="BE266" s="212"/>
      <c r="BF266" s="6"/>
      <c r="BG266" s="58"/>
      <c r="BH266" s="6"/>
      <c r="BI266" s="2"/>
    </row>
    <row r="267" ht="12.75" customHeight="1">
      <c r="A267" s="71"/>
      <c r="B267" s="71"/>
      <c r="C267" s="11"/>
      <c r="D267" s="11"/>
      <c r="E267" s="2"/>
      <c r="F267" s="2"/>
      <c r="G267" s="2"/>
      <c r="H267" s="54"/>
      <c r="I267" s="11"/>
      <c r="J267" s="54"/>
      <c r="K267" s="54"/>
      <c r="L267" s="5"/>
      <c r="M267" s="5"/>
      <c r="N267" s="5"/>
      <c r="O267" s="5"/>
      <c r="P267" s="5"/>
      <c r="Q267" s="5"/>
      <c r="R267" s="2"/>
      <c r="S267" s="212"/>
      <c r="T267" s="212"/>
      <c r="U267" s="212"/>
      <c r="V267" s="212"/>
      <c r="W267" s="212"/>
      <c r="X267" s="6"/>
      <c r="Y267" s="212"/>
      <c r="Z267" s="212"/>
      <c r="AA267" s="212"/>
      <c r="AB267" s="212"/>
      <c r="AC267" s="6"/>
      <c r="AD267" s="212"/>
      <c r="AE267" s="212"/>
      <c r="AF267" s="212"/>
      <c r="AG267" s="212"/>
      <c r="AH267" s="212"/>
      <c r="AI267" s="6"/>
      <c r="AJ267" s="212"/>
      <c r="AK267" s="213"/>
      <c r="AL267" s="212"/>
      <c r="AM267" s="212"/>
      <c r="AN267" s="212"/>
      <c r="AO267" s="212"/>
      <c r="AP267" s="6"/>
      <c r="AQ267" s="212"/>
      <c r="AR267" s="212"/>
      <c r="AS267" s="212"/>
      <c r="AT267" s="212"/>
      <c r="AU267" s="212"/>
      <c r="AV267" s="212"/>
      <c r="AW267" s="212"/>
      <c r="AX267" s="6"/>
      <c r="AY267" s="212"/>
      <c r="AZ267" s="212"/>
      <c r="BA267" s="212"/>
      <c r="BB267" s="212"/>
      <c r="BC267" s="212"/>
      <c r="BD267" s="6"/>
      <c r="BE267" s="212"/>
      <c r="BF267" s="6"/>
      <c r="BG267" s="58"/>
      <c r="BH267" s="6"/>
      <c r="BI267" s="2"/>
    </row>
    <row r="268" ht="12.75" customHeight="1">
      <c r="A268" s="71"/>
      <c r="B268" s="71"/>
      <c r="C268" s="11"/>
      <c r="D268" s="11"/>
      <c r="E268" s="2"/>
      <c r="F268" s="2"/>
      <c r="G268" s="2"/>
      <c r="H268" s="54"/>
      <c r="I268" s="11"/>
      <c r="J268" s="54"/>
      <c r="K268" s="54"/>
      <c r="L268" s="5"/>
      <c r="M268" s="5"/>
      <c r="N268" s="5"/>
      <c r="O268" s="5"/>
      <c r="P268" s="5"/>
      <c r="Q268" s="5"/>
      <c r="R268" s="2"/>
      <c r="S268" s="212"/>
      <c r="T268" s="212"/>
      <c r="U268" s="212"/>
      <c r="V268" s="212"/>
      <c r="W268" s="212"/>
      <c r="X268" s="6"/>
      <c r="Y268" s="212"/>
      <c r="Z268" s="212"/>
      <c r="AA268" s="212"/>
      <c r="AB268" s="212"/>
      <c r="AC268" s="6"/>
      <c r="AD268" s="212"/>
      <c r="AE268" s="212"/>
      <c r="AF268" s="212"/>
      <c r="AG268" s="212"/>
      <c r="AH268" s="212"/>
      <c r="AI268" s="6"/>
      <c r="AJ268" s="212"/>
      <c r="AK268" s="213"/>
      <c r="AL268" s="212"/>
      <c r="AM268" s="212"/>
      <c r="AN268" s="212"/>
      <c r="AO268" s="212"/>
      <c r="AP268" s="6"/>
      <c r="AQ268" s="212"/>
      <c r="AR268" s="212"/>
      <c r="AS268" s="212"/>
      <c r="AT268" s="212"/>
      <c r="AU268" s="212"/>
      <c r="AV268" s="212"/>
      <c r="AW268" s="212"/>
      <c r="AX268" s="6"/>
      <c r="AY268" s="212"/>
      <c r="AZ268" s="212"/>
      <c r="BA268" s="212"/>
      <c r="BB268" s="212"/>
      <c r="BC268" s="212"/>
      <c r="BD268" s="6"/>
      <c r="BE268" s="212"/>
      <c r="BF268" s="6"/>
      <c r="BG268" s="58"/>
      <c r="BH268" s="6"/>
      <c r="BI268" s="2"/>
    </row>
    <row r="269" ht="12.75" customHeight="1">
      <c r="A269" s="71"/>
      <c r="B269" s="71"/>
      <c r="C269" s="11"/>
      <c r="D269" s="11"/>
      <c r="E269" s="2"/>
      <c r="F269" s="2"/>
      <c r="G269" s="2"/>
      <c r="H269" s="54"/>
      <c r="I269" s="11"/>
      <c r="J269" s="54"/>
      <c r="K269" s="54"/>
      <c r="L269" s="5"/>
      <c r="M269" s="5"/>
      <c r="N269" s="5"/>
      <c r="O269" s="5"/>
      <c r="P269" s="5"/>
      <c r="Q269" s="5"/>
      <c r="R269" s="2"/>
      <c r="S269" s="212"/>
      <c r="T269" s="212"/>
      <c r="U269" s="212"/>
      <c r="V269" s="212"/>
      <c r="W269" s="212"/>
      <c r="X269" s="6"/>
      <c r="Y269" s="212"/>
      <c r="Z269" s="212"/>
      <c r="AA269" s="212"/>
      <c r="AB269" s="212"/>
      <c r="AC269" s="6"/>
      <c r="AD269" s="212"/>
      <c r="AE269" s="212"/>
      <c r="AF269" s="212"/>
      <c r="AG269" s="212"/>
      <c r="AH269" s="212"/>
      <c r="AI269" s="6"/>
      <c r="AJ269" s="212"/>
      <c r="AK269" s="213"/>
      <c r="AL269" s="212"/>
      <c r="AM269" s="212"/>
      <c r="AN269" s="212"/>
      <c r="AO269" s="212"/>
      <c r="AP269" s="6"/>
      <c r="AQ269" s="212"/>
      <c r="AR269" s="212"/>
      <c r="AS269" s="212"/>
      <c r="AT269" s="212"/>
      <c r="AU269" s="212"/>
      <c r="AV269" s="212"/>
      <c r="AW269" s="212"/>
      <c r="AX269" s="6"/>
      <c r="AY269" s="212"/>
      <c r="AZ269" s="212"/>
      <c r="BA269" s="212"/>
      <c r="BB269" s="212"/>
      <c r="BC269" s="212"/>
      <c r="BD269" s="6"/>
      <c r="BE269" s="212"/>
      <c r="BF269" s="6"/>
      <c r="BG269" s="58"/>
      <c r="BH269" s="6"/>
      <c r="BI269" s="2"/>
    </row>
    <row r="270" ht="12.75" customHeight="1">
      <c r="A270" s="71"/>
      <c r="B270" s="71"/>
      <c r="C270" s="11"/>
      <c r="D270" s="11"/>
      <c r="E270" s="2"/>
      <c r="F270" s="2"/>
      <c r="G270" s="2"/>
      <c r="H270" s="54"/>
      <c r="I270" s="11"/>
      <c r="J270" s="54"/>
      <c r="K270" s="54"/>
      <c r="L270" s="5"/>
      <c r="M270" s="5"/>
      <c r="N270" s="5"/>
      <c r="O270" s="5"/>
      <c r="P270" s="5"/>
      <c r="Q270" s="5"/>
      <c r="R270" s="2"/>
      <c r="S270" s="212"/>
      <c r="T270" s="212"/>
      <c r="U270" s="212"/>
      <c r="V270" s="212"/>
      <c r="W270" s="212"/>
      <c r="X270" s="6"/>
      <c r="Y270" s="212"/>
      <c r="Z270" s="212"/>
      <c r="AA270" s="212"/>
      <c r="AB270" s="212"/>
      <c r="AC270" s="6"/>
      <c r="AD270" s="212"/>
      <c r="AE270" s="212"/>
      <c r="AF270" s="212"/>
      <c r="AG270" s="212"/>
      <c r="AH270" s="212"/>
      <c r="AI270" s="6"/>
      <c r="AJ270" s="212"/>
      <c r="AK270" s="213"/>
      <c r="AL270" s="212"/>
      <c r="AM270" s="212"/>
      <c r="AN270" s="212"/>
      <c r="AO270" s="212"/>
      <c r="AP270" s="6"/>
      <c r="AQ270" s="212"/>
      <c r="AR270" s="212"/>
      <c r="AS270" s="212"/>
      <c r="AT270" s="212"/>
      <c r="AU270" s="212"/>
      <c r="AV270" s="212"/>
      <c r="AW270" s="212"/>
      <c r="AX270" s="6"/>
      <c r="AY270" s="212"/>
      <c r="AZ270" s="212"/>
      <c r="BA270" s="212"/>
      <c r="BB270" s="212"/>
      <c r="BC270" s="212"/>
      <c r="BD270" s="6"/>
      <c r="BE270" s="212"/>
      <c r="BF270" s="6"/>
      <c r="BG270" s="58"/>
      <c r="BH270" s="6"/>
      <c r="BI270" s="2"/>
    </row>
    <row r="271" ht="12.75" customHeight="1">
      <c r="A271" s="71"/>
      <c r="B271" s="71"/>
      <c r="C271" s="11"/>
      <c r="D271" s="11"/>
      <c r="E271" s="2"/>
      <c r="F271" s="2"/>
      <c r="G271" s="2"/>
      <c r="H271" s="54"/>
      <c r="I271" s="11"/>
      <c r="J271" s="54"/>
      <c r="K271" s="54"/>
      <c r="L271" s="5"/>
      <c r="M271" s="5"/>
      <c r="N271" s="5"/>
      <c r="O271" s="5"/>
      <c r="P271" s="5"/>
      <c r="Q271" s="5"/>
      <c r="R271" s="2"/>
      <c r="S271" s="212"/>
      <c r="T271" s="212"/>
      <c r="U271" s="212"/>
      <c r="V271" s="212"/>
      <c r="W271" s="212"/>
      <c r="X271" s="6"/>
      <c r="Y271" s="212"/>
      <c r="Z271" s="212"/>
      <c r="AA271" s="212"/>
      <c r="AB271" s="212"/>
      <c r="AC271" s="6"/>
      <c r="AD271" s="212"/>
      <c r="AE271" s="212"/>
      <c r="AF271" s="212"/>
      <c r="AG271" s="212"/>
      <c r="AH271" s="212"/>
      <c r="AI271" s="6"/>
      <c r="AJ271" s="212"/>
      <c r="AK271" s="213"/>
      <c r="AL271" s="212"/>
      <c r="AM271" s="212"/>
      <c r="AN271" s="212"/>
      <c r="AO271" s="212"/>
      <c r="AP271" s="6"/>
      <c r="AQ271" s="212"/>
      <c r="AR271" s="212"/>
      <c r="AS271" s="212"/>
      <c r="AT271" s="212"/>
      <c r="AU271" s="212"/>
      <c r="AV271" s="212"/>
      <c r="AW271" s="212"/>
      <c r="AX271" s="6"/>
      <c r="AY271" s="212"/>
      <c r="AZ271" s="212"/>
      <c r="BA271" s="212"/>
      <c r="BB271" s="212"/>
      <c r="BC271" s="212"/>
      <c r="BD271" s="6"/>
      <c r="BE271" s="212"/>
      <c r="BF271" s="6"/>
      <c r="BG271" s="58"/>
      <c r="BH271" s="6"/>
      <c r="BI271" s="2"/>
    </row>
    <row r="272" ht="12.75" customHeight="1">
      <c r="A272" s="71"/>
      <c r="B272" s="71"/>
      <c r="C272" s="11"/>
      <c r="D272" s="11"/>
      <c r="E272" s="2"/>
      <c r="F272" s="2"/>
      <c r="G272" s="2"/>
      <c r="H272" s="54"/>
      <c r="I272" s="11"/>
      <c r="J272" s="54"/>
      <c r="K272" s="54"/>
      <c r="L272" s="5"/>
      <c r="M272" s="5"/>
      <c r="N272" s="5"/>
      <c r="O272" s="5"/>
      <c r="P272" s="5"/>
      <c r="Q272" s="5"/>
      <c r="R272" s="2"/>
      <c r="S272" s="212"/>
      <c r="T272" s="212"/>
      <c r="U272" s="212"/>
      <c r="V272" s="212"/>
      <c r="W272" s="212"/>
      <c r="X272" s="6"/>
      <c r="Y272" s="212"/>
      <c r="Z272" s="212"/>
      <c r="AA272" s="212"/>
      <c r="AB272" s="212"/>
      <c r="AC272" s="6"/>
      <c r="AD272" s="212"/>
      <c r="AE272" s="212"/>
      <c r="AF272" s="212"/>
      <c r="AG272" s="212"/>
      <c r="AH272" s="212"/>
      <c r="AI272" s="6"/>
      <c r="AJ272" s="212"/>
      <c r="AK272" s="213"/>
      <c r="AL272" s="212"/>
      <c r="AM272" s="212"/>
      <c r="AN272" s="212"/>
      <c r="AO272" s="212"/>
      <c r="AP272" s="6"/>
      <c r="AQ272" s="212"/>
      <c r="AR272" s="212"/>
      <c r="AS272" s="212"/>
      <c r="AT272" s="212"/>
      <c r="AU272" s="212"/>
      <c r="AV272" s="212"/>
      <c r="AW272" s="212"/>
      <c r="AX272" s="6"/>
      <c r="AY272" s="212"/>
      <c r="AZ272" s="212"/>
      <c r="BA272" s="212"/>
      <c r="BB272" s="212"/>
      <c r="BC272" s="212"/>
      <c r="BD272" s="6"/>
      <c r="BE272" s="212"/>
      <c r="BF272" s="6"/>
      <c r="BG272" s="58"/>
      <c r="BH272" s="6"/>
      <c r="BI272" s="2"/>
    </row>
    <row r="273" ht="12.75" customHeight="1">
      <c r="A273" s="71"/>
      <c r="B273" s="71"/>
      <c r="C273" s="11"/>
      <c r="D273" s="11"/>
      <c r="E273" s="2"/>
      <c r="F273" s="2"/>
      <c r="G273" s="2"/>
      <c r="H273" s="54"/>
      <c r="I273" s="11"/>
      <c r="J273" s="54"/>
      <c r="K273" s="54"/>
      <c r="L273" s="5"/>
      <c r="M273" s="5"/>
      <c r="N273" s="5"/>
      <c r="O273" s="5"/>
      <c r="P273" s="5"/>
      <c r="Q273" s="5"/>
      <c r="R273" s="2"/>
      <c r="S273" s="212"/>
      <c r="T273" s="212"/>
      <c r="U273" s="212"/>
      <c r="V273" s="212"/>
      <c r="W273" s="212"/>
      <c r="X273" s="6"/>
      <c r="Y273" s="212"/>
      <c r="Z273" s="212"/>
      <c r="AA273" s="212"/>
      <c r="AB273" s="212"/>
      <c r="AC273" s="6"/>
      <c r="AD273" s="212"/>
      <c r="AE273" s="212"/>
      <c r="AF273" s="212"/>
      <c r="AG273" s="212"/>
      <c r="AH273" s="212"/>
      <c r="AI273" s="6"/>
      <c r="AJ273" s="212"/>
      <c r="AK273" s="213"/>
      <c r="AL273" s="212"/>
      <c r="AM273" s="212"/>
      <c r="AN273" s="212"/>
      <c r="AO273" s="212"/>
      <c r="AP273" s="6"/>
      <c r="AQ273" s="212"/>
      <c r="AR273" s="212"/>
      <c r="AS273" s="212"/>
      <c r="AT273" s="212"/>
      <c r="AU273" s="212"/>
      <c r="AV273" s="212"/>
      <c r="AW273" s="212"/>
      <c r="AX273" s="6"/>
      <c r="AY273" s="212"/>
      <c r="AZ273" s="212"/>
      <c r="BA273" s="212"/>
      <c r="BB273" s="212"/>
      <c r="BC273" s="212"/>
      <c r="BD273" s="6"/>
      <c r="BE273" s="212"/>
      <c r="BF273" s="6"/>
      <c r="BG273" s="58"/>
      <c r="BH273" s="6"/>
      <c r="BI273" s="2"/>
    </row>
    <row r="274" ht="12.75" customHeight="1">
      <c r="A274" s="71"/>
      <c r="B274" s="71"/>
      <c r="C274" s="11"/>
      <c r="D274" s="11"/>
      <c r="E274" s="2"/>
      <c r="F274" s="2"/>
      <c r="G274" s="2"/>
      <c r="H274" s="54"/>
      <c r="I274" s="11"/>
      <c r="J274" s="54"/>
      <c r="K274" s="54"/>
      <c r="L274" s="5"/>
      <c r="M274" s="5"/>
      <c r="N274" s="5"/>
      <c r="O274" s="5"/>
      <c r="P274" s="5"/>
      <c r="Q274" s="5"/>
      <c r="R274" s="2"/>
      <c r="S274" s="212"/>
      <c r="T274" s="212"/>
      <c r="U274" s="212"/>
      <c r="V274" s="212"/>
      <c r="W274" s="212"/>
      <c r="X274" s="6"/>
      <c r="Y274" s="212"/>
      <c r="Z274" s="212"/>
      <c r="AA274" s="212"/>
      <c r="AB274" s="212"/>
      <c r="AC274" s="6"/>
      <c r="AD274" s="212"/>
      <c r="AE274" s="212"/>
      <c r="AF274" s="212"/>
      <c r="AG274" s="212"/>
      <c r="AH274" s="212"/>
      <c r="AI274" s="6"/>
      <c r="AJ274" s="212"/>
      <c r="AK274" s="213"/>
      <c r="AL274" s="212"/>
      <c r="AM274" s="212"/>
      <c r="AN274" s="212"/>
      <c r="AO274" s="212"/>
      <c r="AP274" s="6"/>
      <c r="AQ274" s="212"/>
      <c r="AR274" s="212"/>
      <c r="AS274" s="212"/>
      <c r="AT274" s="212"/>
      <c r="AU274" s="212"/>
      <c r="AV274" s="212"/>
      <c r="AW274" s="212"/>
      <c r="AX274" s="6"/>
      <c r="AY274" s="212"/>
      <c r="AZ274" s="212"/>
      <c r="BA274" s="212"/>
      <c r="BB274" s="212"/>
      <c r="BC274" s="212"/>
      <c r="BD274" s="6"/>
      <c r="BE274" s="212"/>
      <c r="BF274" s="6"/>
      <c r="BG274" s="58"/>
      <c r="BH274" s="6"/>
      <c r="BI274" s="2"/>
    </row>
    <row r="275" ht="12.75" customHeight="1">
      <c r="A275" s="71"/>
      <c r="B275" s="71"/>
      <c r="C275" s="11"/>
      <c r="D275" s="11"/>
      <c r="E275" s="2"/>
      <c r="F275" s="2"/>
      <c r="G275" s="2"/>
      <c r="H275" s="54"/>
      <c r="I275" s="11"/>
      <c r="J275" s="54"/>
      <c r="K275" s="54"/>
      <c r="L275" s="5"/>
      <c r="M275" s="5"/>
      <c r="N275" s="5"/>
      <c r="O275" s="5"/>
      <c r="P275" s="5"/>
      <c r="Q275" s="5"/>
      <c r="R275" s="2"/>
      <c r="S275" s="212"/>
      <c r="T275" s="212"/>
      <c r="U275" s="212"/>
      <c r="V275" s="212"/>
      <c r="W275" s="212"/>
      <c r="X275" s="6"/>
      <c r="Y275" s="212"/>
      <c r="Z275" s="212"/>
      <c r="AA275" s="212"/>
      <c r="AB275" s="212"/>
      <c r="AC275" s="6"/>
      <c r="AD275" s="212"/>
      <c r="AE275" s="212"/>
      <c r="AF275" s="212"/>
      <c r="AG275" s="212"/>
      <c r="AH275" s="212"/>
      <c r="AI275" s="6"/>
      <c r="AJ275" s="212"/>
      <c r="AK275" s="213"/>
      <c r="AL275" s="212"/>
      <c r="AM275" s="212"/>
      <c r="AN275" s="212"/>
      <c r="AO275" s="212"/>
      <c r="AP275" s="6"/>
      <c r="AQ275" s="212"/>
      <c r="AR275" s="212"/>
      <c r="AS275" s="212"/>
      <c r="AT275" s="212"/>
      <c r="AU275" s="212"/>
      <c r="AV275" s="212"/>
      <c r="AW275" s="212"/>
      <c r="AX275" s="6"/>
      <c r="AY275" s="212"/>
      <c r="AZ275" s="212"/>
      <c r="BA275" s="212"/>
      <c r="BB275" s="212"/>
      <c r="BC275" s="212"/>
      <c r="BD275" s="6"/>
      <c r="BE275" s="212"/>
      <c r="BF275" s="6"/>
      <c r="BG275" s="58"/>
      <c r="BH275" s="6"/>
      <c r="BI275" s="2"/>
    </row>
    <row r="276" ht="12.75" customHeight="1">
      <c r="A276" s="71"/>
      <c r="B276" s="71"/>
      <c r="C276" s="11"/>
      <c r="D276" s="11"/>
      <c r="E276" s="2"/>
      <c r="F276" s="2"/>
      <c r="G276" s="2"/>
      <c r="H276" s="54"/>
      <c r="I276" s="11"/>
      <c r="J276" s="54"/>
      <c r="K276" s="54"/>
      <c r="L276" s="5"/>
      <c r="M276" s="5"/>
      <c r="N276" s="5"/>
      <c r="O276" s="5"/>
      <c r="P276" s="5"/>
      <c r="Q276" s="5"/>
      <c r="R276" s="2"/>
      <c r="S276" s="212"/>
      <c r="T276" s="212"/>
      <c r="U276" s="212"/>
      <c r="V276" s="212"/>
      <c r="W276" s="212"/>
      <c r="X276" s="6"/>
      <c r="Y276" s="212"/>
      <c r="Z276" s="212"/>
      <c r="AA276" s="212"/>
      <c r="AB276" s="212"/>
      <c r="AC276" s="6"/>
      <c r="AD276" s="212"/>
      <c r="AE276" s="212"/>
      <c r="AF276" s="212"/>
      <c r="AG276" s="212"/>
      <c r="AH276" s="212"/>
      <c r="AI276" s="6"/>
      <c r="AJ276" s="212"/>
      <c r="AK276" s="213"/>
      <c r="AL276" s="212"/>
      <c r="AM276" s="212"/>
      <c r="AN276" s="212"/>
      <c r="AO276" s="212"/>
      <c r="AP276" s="6"/>
      <c r="AQ276" s="212"/>
      <c r="AR276" s="212"/>
      <c r="AS276" s="212"/>
      <c r="AT276" s="212"/>
      <c r="AU276" s="212"/>
      <c r="AV276" s="212"/>
      <c r="AW276" s="212"/>
      <c r="AX276" s="6"/>
      <c r="AY276" s="212"/>
      <c r="AZ276" s="212"/>
      <c r="BA276" s="212"/>
      <c r="BB276" s="212"/>
      <c r="BC276" s="212"/>
      <c r="BD276" s="6"/>
      <c r="BE276" s="212"/>
      <c r="BF276" s="6"/>
      <c r="BG276" s="58"/>
      <c r="BH276" s="6"/>
      <c r="BI276" s="2"/>
    </row>
    <row r="277" ht="12.75" customHeight="1">
      <c r="A277" s="71"/>
      <c r="B277" s="71"/>
      <c r="C277" s="11"/>
      <c r="D277" s="11"/>
      <c r="E277" s="2"/>
      <c r="F277" s="2"/>
      <c r="G277" s="2"/>
      <c r="H277" s="54"/>
      <c r="I277" s="11"/>
      <c r="J277" s="54"/>
      <c r="K277" s="54"/>
      <c r="L277" s="5"/>
      <c r="M277" s="5"/>
      <c r="N277" s="5"/>
      <c r="O277" s="5"/>
      <c r="P277" s="5"/>
      <c r="Q277" s="5"/>
      <c r="R277" s="2"/>
      <c r="S277" s="212"/>
      <c r="T277" s="212"/>
      <c r="U277" s="212"/>
      <c r="V277" s="212"/>
      <c r="W277" s="212"/>
      <c r="X277" s="6"/>
      <c r="Y277" s="212"/>
      <c r="Z277" s="212"/>
      <c r="AA277" s="212"/>
      <c r="AB277" s="212"/>
      <c r="AC277" s="6"/>
      <c r="AD277" s="212"/>
      <c r="AE277" s="212"/>
      <c r="AF277" s="212"/>
      <c r="AG277" s="212"/>
      <c r="AH277" s="212"/>
      <c r="AI277" s="6"/>
      <c r="AJ277" s="212"/>
      <c r="AK277" s="213"/>
      <c r="AL277" s="212"/>
      <c r="AM277" s="212"/>
      <c r="AN277" s="212"/>
      <c r="AO277" s="212"/>
      <c r="AP277" s="6"/>
      <c r="AQ277" s="212"/>
      <c r="AR277" s="212"/>
      <c r="AS277" s="212"/>
      <c r="AT277" s="212"/>
      <c r="AU277" s="212"/>
      <c r="AV277" s="212"/>
      <c r="AW277" s="212"/>
      <c r="AX277" s="6"/>
      <c r="AY277" s="212"/>
      <c r="AZ277" s="212"/>
      <c r="BA277" s="212"/>
      <c r="BB277" s="212"/>
      <c r="BC277" s="212"/>
      <c r="BD277" s="6"/>
      <c r="BE277" s="212"/>
      <c r="BF277" s="6"/>
      <c r="BG277" s="58"/>
      <c r="BH277" s="6"/>
      <c r="BI277" s="2"/>
    </row>
    <row r="278" ht="12.75" customHeight="1">
      <c r="A278" s="71"/>
      <c r="B278" s="71"/>
      <c r="C278" s="11"/>
      <c r="D278" s="11"/>
      <c r="E278" s="2"/>
      <c r="F278" s="2"/>
      <c r="G278" s="2"/>
      <c r="H278" s="54"/>
      <c r="I278" s="11"/>
      <c r="J278" s="54"/>
      <c r="K278" s="54"/>
      <c r="L278" s="5"/>
      <c r="M278" s="5"/>
      <c r="N278" s="5"/>
      <c r="O278" s="5"/>
      <c r="P278" s="5"/>
      <c r="Q278" s="5"/>
      <c r="R278" s="2"/>
      <c r="S278" s="212"/>
      <c r="T278" s="212"/>
      <c r="U278" s="212"/>
      <c r="V278" s="212"/>
      <c r="W278" s="212"/>
      <c r="X278" s="6"/>
      <c r="Y278" s="212"/>
      <c r="Z278" s="212"/>
      <c r="AA278" s="212"/>
      <c r="AB278" s="212"/>
      <c r="AC278" s="6"/>
      <c r="AD278" s="212"/>
      <c r="AE278" s="212"/>
      <c r="AF278" s="212"/>
      <c r="AG278" s="212"/>
      <c r="AH278" s="212"/>
      <c r="AI278" s="6"/>
      <c r="AJ278" s="212"/>
      <c r="AK278" s="213"/>
      <c r="AL278" s="212"/>
      <c r="AM278" s="212"/>
      <c r="AN278" s="212"/>
      <c r="AO278" s="212"/>
      <c r="AP278" s="6"/>
      <c r="AQ278" s="212"/>
      <c r="AR278" s="212"/>
      <c r="AS278" s="212"/>
      <c r="AT278" s="212"/>
      <c r="AU278" s="212"/>
      <c r="AV278" s="212"/>
      <c r="AW278" s="212"/>
      <c r="AX278" s="6"/>
      <c r="AY278" s="212"/>
      <c r="AZ278" s="212"/>
      <c r="BA278" s="212"/>
      <c r="BB278" s="212"/>
      <c r="BC278" s="212"/>
      <c r="BD278" s="6"/>
      <c r="BE278" s="212"/>
      <c r="BF278" s="6"/>
      <c r="BG278" s="58"/>
      <c r="BH278" s="6"/>
      <c r="BI278" s="2"/>
    </row>
    <row r="279" ht="12.75" customHeight="1">
      <c r="A279" s="71"/>
      <c r="B279" s="71"/>
      <c r="C279" s="11"/>
      <c r="D279" s="11"/>
      <c r="E279" s="2"/>
      <c r="F279" s="2"/>
      <c r="G279" s="2"/>
      <c r="H279" s="54"/>
      <c r="I279" s="11"/>
      <c r="J279" s="54"/>
      <c r="K279" s="54"/>
      <c r="L279" s="5"/>
      <c r="M279" s="5"/>
      <c r="N279" s="5"/>
      <c r="O279" s="5"/>
      <c r="P279" s="5"/>
      <c r="Q279" s="5"/>
      <c r="R279" s="2"/>
      <c r="S279" s="212"/>
      <c r="T279" s="212"/>
      <c r="U279" s="212"/>
      <c r="V279" s="212"/>
      <c r="W279" s="212"/>
      <c r="X279" s="6"/>
      <c r="Y279" s="212"/>
      <c r="Z279" s="212"/>
      <c r="AA279" s="212"/>
      <c r="AB279" s="212"/>
      <c r="AC279" s="6"/>
      <c r="AD279" s="212"/>
      <c r="AE279" s="212"/>
      <c r="AF279" s="212"/>
      <c r="AG279" s="212"/>
      <c r="AH279" s="212"/>
      <c r="AI279" s="6"/>
      <c r="AJ279" s="212"/>
      <c r="AK279" s="213"/>
      <c r="AL279" s="212"/>
      <c r="AM279" s="212"/>
      <c r="AN279" s="212"/>
      <c r="AO279" s="212"/>
      <c r="AP279" s="6"/>
      <c r="AQ279" s="212"/>
      <c r="AR279" s="212"/>
      <c r="AS279" s="212"/>
      <c r="AT279" s="212"/>
      <c r="AU279" s="212"/>
      <c r="AV279" s="212"/>
      <c r="AW279" s="212"/>
      <c r="AX279" s="6"/>
      <c r="AY279" s="212"/>
      <c r="AZ279" s="212"/>
      <c r="BA279" s="212"/>
      <c r="BB279" s="212"/>
      <c r="BC279" s="212"/>
      <c r="BD279" s="6"/>
      <c r="BE279" s="212"/>
      <c r="BF279" s="6"/>
      <c r="BG279" s="58"/>
      <c r="BH279" s="6"/>
      <c r="BI279" s="2"/>
    </row>
    <row r="280" ht="12.75" customHeight="1">
      <c r="A280" s="71"/>
      <c r="B280" s="71"/>
      <c r="C280" s="11"/>
      <c r="D280" s="11"/>
      <c r="E280" s="2"/>
      <c r="F280" s="2"/>
      <c r="G280" s="2"/>
      <c r="H280" s="54"/>
      <c r="I280" s="11"/>
      <c r="J280" s="54"/>
      <c r="K280" s="54"/>
      <c r="L280" s="5"/>
      <c r="M280" s="5"/>
      <c r="N280" s="5"/>
      <c r="O280" s="5"/>
      <c r="P280" s="5"/>
      <c r="Q280" s="5"/>
      <c r="R280" s="2"/>
      <c r="S280" s="2"/>
      <c r="T280" s="2"/>
      <c r="U280" s="2"/>
      <c r="V280" s="2"/>
      <c r="W280" s="2"/>
      <c r="X280" s="6"/>
      <c r="Y280" s="2"/>
      <c r="Z280" s="2"/>
      <c r="AA280" s="2"/>
      <c r="AB280" s="2"/>
      <c r="AC280" s="6"/>
      <c r="AD280" s="2"/>
      <c r="AE280" s="2"/>
      <c r="AF280" s="2"/>
      <c r="AG280" s="2"/>
      <c r="AH280" s="2"/>
      <c r="AI280" s="6"/>
      <c r="AJ280" s="2"/>
      <c r="AK280" s="56"/>
      <c r="AL280" s="2"/>
      <c r="AM280" s="2"/>
      <c r="AN280" s="2"/>
      <c r="AO280" s="2"/>
      <c r="AP280" s="6"/>
      <c r="AQ280" s="2"/>
      <c r="AR280" s="2"/>
      <c r="AS280" s="2"/>
      <c r="AT280" s="2"/>
      <c r="AU280" s="2"/>
      <c r="AV280" s="2"/>
      <c r="AW280" s="2"/>
      <c r="AX280" s="6"/>
      <c r="AY280" s="2"/>
      <c r="AZ280" s="2"/>
      <c r="BA280" s="2"/>
      <c r="BB280" s="2"/>
      <c r="BC280" s="2"/>
      <c r="BD280" s="6"/>
      <c r="BE280" s="2"/>
      <c r="BF280" s="6"/>
      <c r="BG280" s="58"/>
      <c r="BH280" s="6"/>
      <c r="BI280" s="2"/>
    </row>
    <row r="281" ht="12.75" customHeight="1">
      <c r="A281" s="71"/>
      <c r="B281" s="71"/>
      <c r="C281" s="11"/>
      <c r="D281" s="11"/>
      <c r="E281" s="2"/>
      <c r="F281" s="2"/>
      <c r="G281" s="2"/>
      <c r="H281" s="54"/>
      <c r="I281" s="11"/>
      <c r="J281" s="54"/>
      <c r="K281" s="54"/>
      <c r="L281" s="5"/>
      <c r="M281" s="5"/>
      <c r="N281" s="5"/>
      <c r="O281" s="5"/>
      <c r="P281" s="5"/>
      <c r="Q281" s="5"/>
      <c r="R281" s="2"/>
      <c r="S281" s="2"/>
      <c r="T281" s="2"/>
      <c r="U281" s="2"/>
      <c r="V281" s="2"/>
      <c r="W281" s="2"/>
      <c r="X281" s="6"/>
      <c r="Y281" s="2"/>
      <c r="Z281" s="2"/>
      <c r="AA281" s="2"/>
      <c r="AB281" s="2"/>
      <c r="AC281" s="6"/>
      <c r="AD281" s="2"/>
      <c r="AE281" s="2"/>
      <c r="AF281" s="2"/>
      <c r="AG281" s="2"/>
      <c r="AH281" s="2"/>
      <c r="AI281" s="6"/>
      <c r="AJ281" s="2"/>
      <c r="AK281" s="56"/>
      <c r="AL281" s="2"/>
      <c r="AM281" s="2"/>
      <c r="AN281" s="2"/>
      <c r="AO281" s="2"/>
      <c r="AP281" s="6"/>
      <c r="AQ281" s="2"/>
      <c r="AR281" s="2"/>
      <c r="AS281" s="2"/>
      <c r="AT281" s="2"/>
      <c r="AU281" s="2"/>
      <c r="AV281" s="2"/>
      <c r="AW281" s="2"/>
      <c r="AX281" s="6"/>
      <c r="AY281" s="2"/>
      <c r="AZ281" s="2"/>
      <c r="BA281" s="2"/>
      <c r="BB281" s="2"/>
      <c r="BC281" s="2"/>
      <c r="BD281" s="6"/>
      <c r="BE281" s="2"/>
      <c r="BF281" s="6"/>
      <c r="BG281" s="58"/>
      <c r="BH281" s="6"/>
      <c r="BI281" s="2"/>
    </row>
    <row r="282" ht="12.75" customHeight="1">
      <c r="A282" s="71"/>
      <c r="B282" s="71"/>
      <c r="C282" s="11"/>
      <c r="D282" s="11"/>
      <c r="E282" s="2"/>
      <c r="F282" s="2"/>
      <c r="G282" s="2"/>
      <c r="H282" s="54"/>
      <c r="I282" s="11"/>
      <c r="J282" s="54"/>
      <c r="K282" s="54"/>
      <c r="L282" s="5"/>
      <c r="M282" s="5"/>
      <c r="N282" s="5"/>
      <c r="O282" s="5"/>
      <c r="P282" s="5"/>
      <c r="Q282" s="5"/>
      <c r="R282" s="2"/>
      <c r="S282" s="2"/>
      <c r="T282" s="2"/>
      <c r="U282" s="2"/>
      <c r="V282" s="2"/>
      <c r="W282" s="2"/>
      <c r="X282" s="6"/>
      <c r="Y282" s="2"/>
      <c r="Z282" s="2"/>
      <c r="AA282" s="2"/>
      <c r="AB282" s="2"/>
      <c r="AC282" s="6"/>
      <c r="AD282" s="2"/>
      <c r="AE282" s="2"/>
      <c r="AF282" s="2"/>
      <c r="AG282" s="2"/>
      <c r="AH282" s="2"/>
      <c r="AI282" s="6"/>
      <c r="AJ282" s="2"/>
      <c r="AK282" s="56"/>
      <c r="AL282" s="2"/>
      <c r="AM282" s="2"/>
      <c r="AN282" s="2"/>
      <c r="AO282" s="2"/>
      <c r="AP282" s="6"/>
      <c r="AQ282" s="2"/>
      <c r="AR282" s="2"/>
      <c r="AS282" s="2"/>
      <c r="AT282" s="2"/>
      <c r="AU282" s="2"/>
      <c r="AV282" s="2"/>
      <c r="AW282" s="2"/>
      <c r="AX282" s="6"/>
      <c r="AY282" s="2"/>
      <c r="AZ282" s="2"/>
      <c r="BA282" s="2"/>
      <c r="BB282" s="2"/>
      <c r="BC282" s="2"/>
      <c r="BD282" s="6"/>
      <c r="BE282" s="2"/>
      <c r="BF282" s="6"/>
      <c r="BG282" s="58"/>
      <c r="BH282" s="6"/>
      <c r="BI282" s="2"/>
    </row>
    <row r="283" ht="12.75" customHeight="1">
      <c r="A283" s="71"/>
      <c r="B283" s="71"/>
      <c r="C283" s="11"/>
      <c r="D283" s="11"/>
      <c r="E283" s="2"/>
      <c r="F283" s="2"/>
      <c r="G283" s="2"/>
      <c r="H283" s="54"/>
      <c r="I283" s="11"/>
      <c r="J283" s="54"/>
      <c r="K283" s="54"/>
      <c r="L283" s="5"/>
      <c r="M283" s="5"/>
      <c r="N283" s="5"/>
      <c r="O283" s="5"/>
      <c r="P283" s="5"/>
      <c r="Q283" s="5"/>
      <c r="R283" s="2"/>
      <c r="S283" s="2"/>
      <c r="T283" s="2"/>
      <c r="U283" s="2"/>
      <c r="V283" s="2"/>
      <c r="W283" s="2"/>
      <c r="X283" s="6"/>
      <c r="Y283" s="2"/>
      <c r="Z283" s="2"/>
      <c r="AA283" s="2"/>
      <c r="AB283" s="2"/>
      <c r="AC283" s="6"/>
      <c r="AD283" s="2"/>
      <c r="AE283" s="2"/>
      <c r="AF283" s="2"/>
      <c r="AG283" s="2"/>
      <c r="AH283" s="2"/>
      <c r="AI283" s="6"/>
      <c r="AJ283" s="2"/>
      <c r="AK283" s="56"/>
      <c r="AL283" s="2"/>
      <c r="AM283" s="2"/>
      <c r="AN283" s="2"/>
      <c r="AO283" s="2"/>
      <c r="AP283" s="6"/>
      <c r="AQ283" s="2"/>
      <c r="AR283" s="2"/>
      <c r="AS283" s="2"/>
      <c r="AT283" s="2"/>
      <c r="AU283" s="2"/>
      <c r="AV283" s="2"/>
      <c r="AW283" s="2"/>
      <c r="AX283" s="6"/>
      <c r="AY283" s="2"/>
      <c r="AZ283" s="2"/>
      <c r="BA283" s="2"/>
      <c r="BB283" s="2"/>
      <c r="BC283" s="2"/>
      <c r="BD283" s="6"/>
      <c r="BE283" s="2"/>
      <c r="BF283" s="6"/>
      <c r="BG283" s="58"/>
      <c r="BH283" s="6"/>
      <c r="BI283" s="2"/>
    </row>
    <row r="284" ht="12.75" customHeight="1">
      <c r="A284" s="71"/>
      <c r="B284" s="71"/>
      <c r="C284" s="11"/>
      <c r="D284" s="11"/>
      <c r="E284" s="2"/>
      <c r="F284" s="2"/>
      <c r="G284" s="2"/>
      <c r="H284" s="54"/>
      <c r="I284" s="11"/>
      <c r="J284" s="54"/>
      <c r="K284" s="54"/>
      <c r="L284" s="5"/>
      <c r="M284" s="5"/>
      <c r="N284" s="5"/>
      <c r="O284" s="5"/>
      <c r="P284" s="5"/>
      <c r="Q284" s="5"/>
      <c r="R284" s="2"/>
      <c r="S284" s="2"/>
      <c r="T284" s="2"/>
      <c r="U284" s="2"/>
      <c r="V284" s="2"/>
      <c r="W284" s="2"/>
      <c r="X284" s="6"/>
      <c r="Y284" s="2"/>
      <c r="Z284" s="2"/>
      <c r="AA284" s="2"/>
      <c r="AB284" s="2"/>
      <c r="AC284" s="6"/>
      <c r="AD284" s="2"/>
      <c r="AE284" s="2"/>
      <c r="AF284" s="2"/>
      <c r="AG284" s="2"/>
      <c r="AH284" s="2"/>
      <c r="AI284" s="6"/>
      <c r="AJ284" s="2"/>
      <c r="AK284" s="56"/>
      <c r="AL284" s="2"/>
      <c r="AM284" s="2"/>
      <c r="AN284" s="2"/>
      <c r="AO284" s="2"/>
      <c r="AP284" s="6"/>
      <c r="AQ284" s="2"/>
      <c r="AR284" s="2"/>
      <c r="AS284" s="2"/>
      <c r="AT284" s="2"/>
      <c r="AU284" s="2"/>
      <c r="AV284" s="2"/>
      <c r="AW284" s="2"/>
      <c r="AX284" s="6"/>
      <c r="AY284" s="2"/>
      <c r="AZ284" s="2"/>
      <c r="BA284" s="2"/>
      <c r="BB284" s="2"/>
      <c r="BC284" s="2"/>
      <c r="BD284" s="6"/>
      <c r="BE284" s="2"/>
      <c r="BF284" s="6"/>
      <c r="BG284" s="58"/>
      <c r="BH284" s="6"/>
      <c r="BI284" s="2"/>
    </row>
    <row r="285" ht="12.75" customHeight="1">
      <c r="A285" s="71"/>
      <c r="B285" s="71"/>
      <c r="C285" s="11"/>
      <c r="D285" s="11"/>
      <c r="E285" s="2"/>
      <c r="F285" s="2"/>
      <c r="G285" s="2"/>
      <c r="H285" s="54"/>
      <c r="I285" s="11"/>
      <c r="J285" s="54"/>
      <c r="K285" s="54"/>
      <c r="L285" s="5"/>
      <c r="M285" s="5"/>
      <c r="N285" s="5"/>
      <c r="O285" s="5"/>
      <c r="P285" s="5"/>
      <c r="Q285" s="5"/>
      <c r="R285" s="2"/>
      <c r="S285" s="2"/>
      <c r="T285" s="2"/>
      <c r="U285" s="2"/>
      <c r="V285" s="2"/>
      <c r="W285" s="2"/>
      <c r="X285" s="6"/>
      <c r="Y285" s="2"/>
      <c r="Z285" s="2"/>
      <c r="AA285" s="2"/>
      <c r="AB285" s="2"/>
      <c r="AC285" s="6"/>
      <c r="AD285" s="2"/>
      <c r="AE285" s="2"/>
      <c r="AF285" s="2"/>
      <c r="AG285" s="2"/>
      <c r="AH285" s="2"/>
      <c r="AI285" s="6"/>
      <c r="AJ285" s="2"/>
      <c r="AK285" s="56"/>
      <c r="AL285" s="2"/>
      <c r="AM285" s="2"/>
      <c r="AN285" s="2"/>
      <c r="AO285" s="2"/>
      <c r="AP285" s="6"/>
      <c r="AQ285" s="2"/>
      <c r="AR285" s="2"/>
      <c r="AS285" s="2"/>
      <c r="AT285" s="2"/>
      <c r="AU285" s="2"/>
      <c r="AV285" s="2"/>
      <c r="AW285" s="2"/>
      <c r="AX285" s="6"/>
      <c r="AY285" s="2"/>
      <c r="AZ285" s="2"/>
      <c r="BA285" s="2"/>
      <c r="BB285" s="2"/>
      <c r="BC285" s="2"/>
      <c r="BD285" s="6"/>
      <c r="BE285" s="2"/>
      <c r="BF285" s="6"/>
      <c r="BG285" s="58"/>
      <c r="BH285" s="6"/>
      <c r="BI285" s="2"/>
    </row>
    <row r="286" ht="12.75" customHeight="1">
      <c r="A286" s="71"/>
      <c r="B286" s="71"/>
      <c r="C286" s="11"/>
      <c r="D286" s="11"/>
      <c r="E286" s="2"/>
      <c r="F286" s="2"/>
      <c r="G286" s="2"/>
      <c r="H286" s="54"/>
      <c r="I286" s="11"/>
      <c r="J286" s="54"/>
      <c r="K286" s="54"/>
      <c r="L286" s="5"/>
      <c r="M286" s="5"/>
      <c r="N286" s="5"/>
      <c r="O286" s="5"/>
      <c r="P286" s="5"/>
      <c r="Q286" s="5"/>
      <c r="R286" s="2"/>
      <c r="S286" s="2"/>
      <c r="T286" s="2"/>
      <c r="U286" s="2"/>
      <c r="V286" s="2"/>
      <c r="W286" s="2"/>
      <c r="X286" s="6"/>
      <c r="Y286" s="2"/>
      <c r="Z286" s="2"/>
      <c r="AA286" s="2"/>
      <c r="AB286" s="2"/>
      <c r="AC286" s="6"/>
      <c r="AD286" s="2"/>
      <c r="AE286" s="2"/>
      <c r="AF286" s="2"/>
      <c r="AG286" s="2"/>
      <c r="AH286" s="2"/>
      <c r="AI286" s="6"/>
      <c r="AJ286" s="2"/>
      <c r="AK286" s="56"/>
      <c r="AL286" s="2"/>
      <c r="AM286" s="2"/>
      <c r="AN286" s="2"/>
      <c r="AO286" s="2"/>
      <c r="AP286" s="6"/>
      <c r="AQ286" s="2"/>
      <c r="AR286" s="2"/>
      <c r="AS286" s="2"/>
      <c r="AT286" s="2"/>
      <c r="AU286" s="2"/>
      <c r="AV286" s="2"/>
      <c r="AW286" s="2"/>
      <c r="AX286" s="6"/>
      <c r="AY286" s="2"/>
      <c r="AZ286" s="2"/>
      <c r="BA286" s="2"/>
      <c r="BB286" s="2"/>
      <c r="BC286" s="2"/>
      <c r="BD286" s="6"/>
      <c r="BE286" s="2"/>
      <c r="BF286" s="6"/>
      <c r="BG286" s="58"/>
      <c r="BH286" s="6"/>
      <c r="BI286" s="2"/>
    </row>
    <row r="287" ht="12.75" customHeight="1">
      <c r="A287" s="71"/>
      <c r="B287" s="71"/>
      <c r="C287" s="11"/>
      <c r="D287" s="11"/>
      <c r="E287" s="2"/>
      <c r="F287" s="2"/>
      <c r="G287" s="2"/>
      <c r="H287" s="54"/>
      <c r="I287" s="11"/>
      <c r="J287" s="54"/>
      <c r="K287" s="54"/>
      <c r="L287" s="5"/>
      <c r="M287" s="5"/>
      <c r="N287" s="5"/>
      <c r="O287" s="5"/>
      <c r="P287" s="5"/>
      <c r="Q287" s="5"/>
      <c r="R287" s="2"/>
      <c r="S287" s="2"/>
      <c r="T287" s="2"/>
      <c r="U287" s="2"/>
      <c r="V287" s="2"/>
      <c r="W287" s="2"/>
      <c r="X287" s="6"/>
      <c r="Y287" s="2"/>
      <c r="Z287" s="2"/>
      <c r="AA287" s="2"/>
      <c r="AB287" s="2"/>
      <c r="AC287" s="6"/>
      <c r="AD287" s="2"/>
      <c r="AE287" s="2"/>
      <c r="AF287" s="2"/>
      <c r="AG287" s="2"/>
      <c r="AH287" s="2"/>
      <c r="AI287" s="6"/>
      <c r="AJ287" s="2"/>
      <c r="AK287" s="56"/>
      <c r="AL287" s="2"/>
      <c r="AM287" s="2"/>
      <c r="AN287" s="2"/>
      <c r="AO287" s="2"/>
      <c r="AP287" s="6"/>
      <c r="AQ287" s="2"/>
      <c r="AR287" s="2"/>
      <c r="AS287" s="2"/>
      <c r="AT287" s="2"/>
      <c r="AU287" s="2"/>
      <c r="AV287" s="2"/>
      <c r="AW287" s="2"/>
      <c r="AX287" s="6"/>
      <c r="AY287" s="2"/>
      <c r="AZ287" s="2"/>
      <c r="BA287" s="2"/>
      <c r="BB287" s="2"/>
      <c r="BC287" s="2"/>
      <c r="BD287" s="6"/>
      <c r="BE287" s="2"/>
      <c r="BF287" s="6"/>
      <c r="BG287" s="58"/>
      <c r="BH287" s="6"/>
      <c r="BI287" s="2"/>
    </row>
    <row r="288" ht="12.75" customHeight="1">
      <c r="A288" s="71"/>
      <c r="B288" s="71"/>
      <c r="C288" s="11"/>
      <c r="D288" s="11"/>
      <c r="E288" s="2"/>
      <c r="F288" s="2"/>
      <c r="G288" s="2"/>
      <c r="H288" s="54"/>
      <c r="I288" s="11"/>
      <c r="J288" s="54"/>
      <c r="K288" s="54"/>
      <c r="L288" s="5"/>
      <c r="M288" s="5"/>
      <c r="N288" s="5"/>
      <c r="O288" s="5"/>
      <c r="P288" s="5"/>
      <c r="Q288" s="5"/>
      <c r="R288" s="2"/>
      <c r="S288" s="2"/>
      <c r="T288" s="2"/>
      <c r="U288" s="2"/>
      <c r="V288" s="2"/>
      <c r="W288" s="2"/>
      <c r="X288" s="6"/>
      <c r="Y288" s="2"/>
      <c r="Z288" s="2"/>
      <c r="AA288" s="2"/>
      <c r="AB288" s="2"/>
      <c r="AC288" s="6"/>
      <c r="AD288" s="2"/>
      <c r="AE288" s="2"/>
      <c r="AF288" s="2"/>
      <c r="AG288" s="2"/>
      <c r="AH288" s="2"/>
      <c r="AI288" s="6"/>
      <c r="AJ288" s="2"/>
      <c r="AK288" s="56"/>
      <c r="AL288" s="2"/>
      <c r="AM288" s="2"/>
      <c r="AN288" s="2"/>
      <c r="AO288" s="2"/>
      <c r="AP288" s="6"/>
      <c r="AQ288" s="2"/>
      <c r="AR288" s="2"/>
      <c r="AS288" s="2"/>
      <c r="AT288" s="2"/>
      <c r="AU288" s="2"/>
      <c r="AV288" s="2"/>
      <c r="AW288" s="2"/>
      <c r="AX288" s="6"/>
      <c r="AY288" s="2"/>
      <c r="AZ288" s="2"/>
      <c r="BA288" s="2"/>
      <c r="BB288" s="2"/>
      <c r="BC288" s="2"/>
      <c r="BD288" s="6"/>
      <c r="BE288" s="2"/>
      <c r="BF288" s="6"/>
      <c r="BG288" s="58"/>
      <c r="BH288" s="6"/>
      <c r="BI288" s="2"/>
    </row>
    <row r="289" ht="12.75" customHeight="1">
      <c r="A289" s="71"/>
      <c r="B289" s="71"/>
      <c r="C289" s="11"/>
      <c r="D289" s="11"/>
      <c r="E289" s="2"/>
      <c r="F289" s="2"/>
      <c r="G289" s="2"/>
      <c r="H289" s="54"/>
      <c r="I289" s="11"/>
      <c r="J289" s="54"/>
      <c r="K289" s="54"/>
      <c r="L289" s="5"/>
      <c r="M289" s="5"/>
      <c r="N289" s="5"/>
      <c r="O289" s="5"/>
      <c r="P289" s="5"/>
      <c r="Q289" s="5"/>
      <c r="R289" s="2"/>
      <c r="S289" s="2"/>
      <c r="T289" s="2"/>
      <c r="U289" s="2"/>
      <c r="V289" s="2"/>
      <c r="W289" s="2"/>
      <c r="X289" s="6"/>
      <c r="Y289" s="2"/>
      <c r="Z289" s="2"/>
      <c r="AA289" s="2"/>
      <c r="AB289" s="2"/>
      <c r="AC289" s="6"/>
      <c r="AD289" s="2"/>
      <c r="AE289" s="2"/>
      <c r="AF289" s="2"/>
      <c r="AG289" s="2"/>
      <c r="AH289" s="2"/>
      <c r="AI289" s="6"/>
      <c r="AJ289" s="2"/>
      <c r="AK289" s="56"/>
      <c r="AL289" s="2"/>
      <c r="AM289" s="2"/>
      <c r="AN289" s="2"/>
      <c r="AO289" s="2"/>
      <c r="AP289" s="6"/>
      <c r="AQ289" s="2"/>
      <c r="AR289" s="2"/>
      <c r="AS289" s="2"/>
      <c r="AT289" s="2"/>
      <c r="AU289" s="2"/>
      <c r="AV289" s="2"/>
      <c r="AW289" s="2"/>
      <c r="AX289" s="6"/>
      <c r="AY289" s="2"/>
      <c r="AZ289" s="2"/>
      <c r="BA289" s="2"/>
      <c r="BB289" s="2"/>
      <c r="BC289" s="2"/>
      <c r="BD289" s="6"/>
      <c r="BE289" s="2"/>
      <c r="BF289" s="6"/>
      <c r="BG289" s="58"/>
      <c r="BH289" s="6"/>
      <c r="BI289" s="2"/>
    </row>
    <row r="290" ht="12.75" customHeight="1">
      <c r="A290" s="71"/>
      <c r="B290" s="71"/>
      <c r="C290" s="11"/>
      <c r="D290" s="11"/>
      <c r="E290" s="2"/>
      <c r="F290" s="2"/>
      <c r="G290" s="2"/>
      <c r="H290" s="54"/>
      <c r="I290" s="11"/>
      <c r="J290" s="54"/>
      <c r="K290" s="54"/>
      <c r="L290" s="5"/>
      <c r="M290" s="5"/>
      <c r="N290" s="5"/>
      <c r="O290" s="5"/>
      <c r="P290" s="5"/>
      <c r="Q290" s="5"/>
      <c r="R290" s="2"/>
      <c r="S290" s="2"/>
      <c r="T290" s="2"/>
      <c r="U290" s="2"/>
      <c r="V290" s="2"/>
      <c r="W290" s="2"/>
      <c r="X290" s="6"/>
      <c r="Y290" s="2"/>
      <c r="Z290" s="2"/>
      <c r="AA290" s="2"/>
      <c r="AB290" s="2"/>
      <c r="AC290" s="6"/>
      <c r="AD290" s="2"/>
      <c r="AE290" s="2"/>
      <c r="AF290" s="2"/>
      <c r="AG290" s="2"/>
      <c r="AH290" s="2"/>
      <c r="AI290" s="6"/>
      <c r="AJ290" s="2"/>
      <c r="AK290" s="56"/>
      <c r="AL290" s="2"/>
      <c r="AM290" s="2"/>
      <c r="AN290" s="2"/>
      <c r="AO290" s="2"/>
      <c r="AP290" s="6"/>
      <c r="AQ290" s="2"/>
      <c r="AR290" s="2"/>
      <c r="AS290" s="2"/>
      <c r="AT290" s="2"/>
      <c r="AU290" s="2"/>
      <c r="AV290" s="2"/>
      <c r="AW290" s="2"/>
      <c r="AX290" s="6"/>
      <c r="AY290" s="2"/>
      <c r="AZ290" s="2"/>
      <c r="BA290" s="2"/>
      <c r="BB290" s="2"/>
      <c r="BC290" s="2"/>
      <c r="BD290" s="6"/>
      <c r="BE290" s="2"/>
      <c r="BF290" s="6"/>
      <c r="BG290" s="58"/>
      <c r="BH290" s="6"/>
      <c r="BI290" s="2"/>
    </row>
    <row r="291" ht="12.75" customHeight="1">
      <c r="A291" s="71"/>
      <c r="B291" s="71"/>
      <c r="C291" s="11"/>
      <c r="D291" s="11"/>
      <c r="E291" s="2"/>
      <c r="F291" s="2"/>
      <c r="G291" s="2"/>
      <c r="H291" s="54"/>
      <c r="I291" s="11"/>
      <c r="J291" s="54"/>
      <c r="K291" s="54"/>
      <c r="L291" s="5"/>
      <c r="M291" s="5"/>
      <c r="N291" s="5"/>
      <c r="O291" s="5"/>
      <c r="P291" s="5"/>
      <c r="Q291" s="5"/>
      <c r="R291" s="2"/>
      <c r="S291" s="2"/>
      <c r="T291" s="2"/>
      <c r="U291" s="2"/>
      <c r="V291" s="2"/>
      <c r="W291" s="2"/>
      <c r="X291" s="6"/>
      <c r="Y291" s="2"/>
      <c r="Z291" s="2"/>
      <c r="AA291" s="2"/>
      <c r="AB291" s="2"/>
      <c r="AC291" s="6"/>
      <c r="AD291" s="2"/>
      <c r="AE291" s="2"/>
      <c r="AF291" s="2"/>
      <c r="AG291" s="2"/>
      <c r="AH291" s="2"/>
      <c r="AI291" s="6"/>
      <c r="AJ291" s="2"/>
      <c r="AK291" s="56"/>
      <c r="AL291" s="2"/>
      <c r="AM291" s="2"/>
      <c r="AN291" s="2"/>
      <c r="AO291" s="2"/>
      <c r="AP291" s="6"/>
      <c r="AQ291" s="2"/>
      <c r="AR291" s="2"/>
      <c r="AS291" s="2"/>
      <c r="AT291" s="2"/>
      <c r="AU291" s="2"/>
      <c r="AV291" s="2"/>
      <c r="AW291" s="2"/>
      <c r="AX291" s="6"/>
      <c r="AY291" s="2"/>
      <c r="AZ291" s="2"/>
      <c r="BA291" s="2"/>
      <c r="BB291" s="2"/>
      <c r="BC291" s="2"/>
      <c r="BD291" s="6"/>
      <c r="BE291" s="2"/>
      <c r="BF291" s="6"/>
      <c r="BG291" s="58"/>
      <c r="BH291" s="6"/>
      <c r="BI291" s="2"/>
    </row>
    <row r="292" ht="12.75" customHeight="1">
      <c r="A292" s="71"/>
      <c r="B292" s="71"/>
      <c r="C292" s="11"/>
      <c r="D292" s="11"/>
      <c r="E292" s="2"/>
      <c r="F292" s="2"/>
      <c r="G292" s="2"/>
      <c r="H292" s="54"/>
      <c r="I292" s="11"/>
      <c r="J292" s="54"/>
      <c r="K292" s="54"/>
      <c r="L292" s="5"/>
      <c r="M292" s="5"/>
      <c r="N292" s="5"/>
      <c r="O292" s="5"/>
      <c r="P292" s="5"/>
      <c r="Q292" s="5"/>
      <c r="R292" s="2"/>
      <c r="S292" s="2"/>
      <c r="T292" s="2"/>
      <c r="U292" s="2"/>
      <c r="V292" s="2"/>
      <c r="W292" s="2"/>
      <c r="X292" s="6"/>
      <c r="Y292" s="2"/>
      <c r="Z292" s="2"/>
      <c r="AA292" s="2"/>
      <c r="AB292" s="2"/>
      <c r="AC292" s="6"/>
      <c r="AD292" s="2"/>
      <c r="AE292" s="2"/>
      <c r="AF292" s="2"/>
      <c r="AG292" s="2"/>
      <c r="AH292" s="2"/>
      <c r="AI292" s="6"/>
      <c r="AJ292" s="2"/>
      <c r="AK292" s="56"/>
      <c r="AL292" s="2"/>
      <c r="AM292" s="2"/>
      <c r="AN292" s="2"/>
      <c r="AO292" s="2"/>
      <c r="AP292" s="6"/>
      <c r="AQ292" s="2"/>
      <c r="AR292" s="2"/>
      <c r="AS292" s="2"/>
      <c r="AT292" s="2"/>
      <c r="AU292" s="2"/>
      <c r="AV292" s="2"/>
      <c r="AW292" s="2"/>
      <c r="AX292" s="6"/>
      <c r="AY292" s="2"/>
      <c r="AZ292" s="2"/>
      <c r="BA292" s="2"/>
      <c r="BB292" s="2"/>
      <c r="BC292" s="2"/>
      <c r="BD292" s="6"/>
      <c r="BE292" s="2"/>
      <c r="BF292" s="6"/>
      <c r="BG292" s="58"/>
      <c r="BH292" s="6"/>
      <c r="BI292" s="2"/>
    </row>
    <row r="293" ht="12.75" customHeight="1">
      <c r="A293" s="71"/>
      <c r="B293" s="71"/>
      <c r="C293" s="11"/>
      <c r="D293" s="11"/>
      <c r="E293" s="2"/>
      <c r="F293" s="2"/>
      <c r="G293" s="2"/>
      <c r="H293" s="54"/>
      <c r="I293" s="11"/>
      <c r="J293" s="54"/>
      <c r="K293" s="54"/>
      <c r="L293" s="5"/>
      <c r="M293" s="5"/>
      <c r="N293" s="5"/>
      <c r="O293" s="5"/>
      <c r="P293" s="5"/>
      <c r="Q293" s="5"/>
      <c r="R293" s="2"/>
      <c r="S293" s="2"/>
      <c r="T293" s="2"/>
      <c r="U293" s="2"/>
      <c r="V293" s="2"/>
      <c r="W293" s="2"/>
      <c r="X293" s="6"/>
      <c r="Y293" s="2"/>
      <c r="Z293" s="2"/>
      <c r="AA293" s="2"/>
      <c r="AB293" s="2"/>
      <c r="AC293" s="6"/>
      <c r="AD293" s="2"/>
      <c r="AE293" s="2"/>
      <c r="AF293" s="2"/>
      <c r="AG293" s="2"/>
      <c r="AH293" s="2"/>
      <c r="AI293" s="6"/>
      <c r="AJ293" s="2"/>
      <c r="AK293" s="56"/>
      <c r="AL293" s="2"/>
      <c r="AM293" s="2"/>
      <c r="AN293" s="2"/>
      <c r="AO293" s="2"/>
      <c r="AP293" s="6"/>
      <c r="AQ293" s="2"/>
      <c r="AR293" s="2"/>
      <c r="AS293" s="2"/>
      <c r="AT293" s="2"/>
      <c r="AU293" s="2"/>
      <c r="AV293" s="2"/>
      <c r="AW293" s="2"/>
      <c r="AX293" s="6"/>
      <c r="AY293" s="2"/>
      <c r="AZ293" s="2"/>
      <c r="BA293" s="2"/>
      <c r="BB293" s="2"/>
      <c r="BC293" s="2"/>
      <c r="BD293" s="6"/>
      <c r="BE293" s="2"/>
      <c r="BF293" s="6"/>
      <c r="BG293" s="58"/>
      <c r="BH293" s="6"/>
      <c r="BI293" s="2"/>
    </row>
    <row r="294" ht="12.75" customHeight="1">
      <c r="A294" s="71"/>
      <c r="B294" s="71"/>
      <c r="C294" s="11"/>
      <c r="D294" s="11"/>
      <c r="E294" s="2"/>
      <c r="F294" s="2"/>
      <c r="G294" s="2"/>
      <c r="H294" s="54"/>
      <c r="I294" s="11"/>
      <c r="J294" s="54"/>
      <c r="K294" s="54"/>
      <c r="L294" s="5"/>
      <c r="M294" s="5"/>
      <c r="N294" s="5"/>
      <c r="O294" s="5"/>
      <c r="P294" s="5"/>
      <c r="Q294" s="5"/>
      <c r="R294" s="2"/>
      <c r="S294" s="2"/>
      <c r="T294" s="2"/>
      <c r="U294" s="2"/>
      <c r="V294" s="2"/>
      <c r="W294" s="2"/>
      <c r="X294" s="6"/>
      <c r="Y294" s="2"/>
      <c r="Z294" s="2"/>
      <c r="AA294" s="2"/>
      <c r="AB294" s="2"/>
      <c r="AC294" s="6"/>
      <c r="AD294" s="2"/>
      <c r="AE294" s="2"/>
      <c r="AF294" s="2"/>
      <c r="AG294" s="2"/>
      <c r="AH294" s="2"/>
      <c r="AI294" s="6"/>
      <c r="AJ294" s="2"/>
      <c r="AK294" s="56"/>
      <c r="AL294" s="2"/>
      <c r="AM294" s="2"/>
      <c r="AN294" s="2"/>
      <c r="AO294" s="2"/>
      <c r="AP294" s="6"/>
      <c r="AQ294" s="2"/>
      <c r="AR294" s="2"/>
      <c r="AS294" s="2"/>
      <c r="AT294" s="2"/>
      <c r="AU294" s="2"/>
      <c r="AV294" s="2"/>
      <c r="AW294" s="2"/>
      <c r="AX294" s="6"/>
      <c r="AY294" s="2"/>
      <c r="AZ294" s="2"/>
      <c r="BA294" s="2"/>
      <c r="BB294" s="2"/>
      <c r="BC294" s="2"/>
      <c r="BD294" s="6"/>
      <c r="BE294" s="2"/>
      <c r="BF294" s="6"/>
      <c r="BG294" s="58"/>
      <c r="BH294" s="6"/>
      <c r="BI294" s="2"/>
    </row>
    <row r="295" ht="12.75" customHeight="1">
      <c r="A295" s="71"/>
      <c r="B295" s="71"/>
      <c r="C295" s="11"/>
      <c r="D295" s="11"/>
      <c r="E295" s="2"/>
      <c r="F295" s="2"/>
      <c r="G295" s="2"/>
      <c r="H295" s="54"/>
      <c r="I295" s="11"/>
      <c r="J295" s="54"/>
      <c r="K295" s="54"/>
      <c r="L295" s="5"/>
      <c r="M295" s="5"/>
      <c r="N295" s="5"/>
      <c r="O295" s="5"/>
      <c r="P295" s="5"/>
      <c r="Q295" s="5"/>
      <c r="R295" s="2"/>
      <c r="S295" s="2"/>
      <c r="T295" s="2"/>
      <c r="U295" s="2"/>
      <c r="V295" s="2"/>
      <c r="W295" s="2"/>
      <c r="X295" s="6"/>
      <c r="Y295" s="2"/>
      <c r="Z295" s="2"/>
      <c r="AA295" s="2"/>
      <c r="AB295" s="2"/>
      <c r="AC295" s="6"/>
      <c r="AD295" s="2"/>
      <c r="AE295" s="2"/>
      <c r="AF295" s="2"/>
      <c r="AG295" s="2"/>
      <c r="AH295" s="2"/>
      <c r="AI295" s="6"/>
      <c r="AJ295" s="2"/>
      <c r="AK295" s="56"/>
      <c r="AL295" s="2"/>
      <c r="AM295" s="2"/>
      <c r="AN295" s="2"/>
      <c r="AO295" s="2"/>
      <c r="AP295" s="6"/>
      <c r="AQ295" s="2"/>
      <c r="AR295" s="2"/>
      <c r="AS295" s="2"/>
      <c r="AT295" s="2"/>
      <c r="AU295" s="2"/>
      <c r="AV295" s="2"/>
      <c r="AW295" s="2"/>
      <c r="AX295" s="6"/>
      <c r="AY295" s="2"/>
      <c r="AZ295" s="2"/>
      <c r="BA295" s="2"/>
      <c r="BB295" s="2"/>
      <c r="BC295" s="2"/>
      <c r="BD295" s="6"/>
      <c r="BE295" s="2"/>
      <c r="BF295" s="6"/>
      <c r="BG295" s="58"/>
      <c r="BH295" s="6"/>
      <c r="BI295" s="2"/>
    </row>
    <row r="296" ht="12.75" customHeight="1">
      <c r="A296" s="71"/>
      <c r="B296" s="71"/>
      <c r="C296" s="11"/>
      <c r="D296" s="11"/>
      <c r="E296" s="2"/>
      <c r="F296" s="2"/>
      <c r="G296" s="2"/>
      <c r="H296" s="54"/>
      <c r="I296" s="11"/>
      <c r="J296" s="54"/>
      <c r="K296" s="54"/>
      <c r="L296" s="5"/>
      <c r="M296" s="5"/>
      <c r="N296" s="5"/>
      <c r="O296" s="5"/>
      <c r="P296" s="5"/>
      <c r="Q296" s="5"/>
      <c r="R296" s="2"/>
      <c r="S296" s="2"/>
      <c r="T296" s="2"/>
      <c r="U296" s="2"/>
      <c r="V296" s="2"/>
      <c r="W296" s="2"/>
      <c r="X296" s="6"/>
      <c r="Y296" s="2"/>
      <c r="Z296" s="2"/>
      <c r="AA296" s="2"/>
      <c r="AB296" s="2"/>
      <c r="AC296" s="6"/>
      <c r="AD296" s="2"/>
      <c r="AE296" s="2"/>
      <c r="AF296" s="2"/>
      <c r="AG296" s="2"/>
      <c r="AH296" s="2"/>
      <c r="AI296" s="6"/>
      <c r="AJ296" s="2"/>
      <c r="AK296" s="56"/>
      <c r="AL296" s="2"/>
      <c r="AM296" s="2"/>
      <c r="AN296" s="2"/>
      <c r="AO296" s="2"/>
      <c r="AP296" s="6"/>
      <c r="AQ296" s="2"/>
      <c r="AR296" s="2"/>
      <c r="AS296" s="2"/>
      <c r="AT296" s="2"/>
      <c r="AU296" s="2"/>
      <c r="AV296" s="2"/>
      <c r="AW296" s="2"/>
      <c r="AX296" s="6"/>
      <c r="AY296" s="2"/>
      <c r="AZ296" s="2"/>
      <c r="BA296" s="2"/>
      <c r="BB296" s="2"/>
      <c r="BC296" s="2"/>
      <c r="BD296" s="6"/>
      <c r="BE296" s="2"/>
      <c r="BF296" s="6"/>
      <c r="BG296" s="58"/>
      <c r="BH296" s="6"/>
      <c r="BI296" s="2"/>
    </row>
    <row r="297" ht="12.75" customHeight="1">
      <c r="A297" s="71"/>
      <c r="B297" s="71"/>
      <c r="C297" s="11"/>
      <c r="D297" s="11"/>
      <c r="E297" s="2"/>
      <c r="F297" s="2"/>
      <c r="G297" s="2"/>
      <c r="H297" s="54"/>
      <c r="I297" s="11"/>
      <c r="J297" s="54"/>
      <c r="K297" s="54"/>
      <c r="L297" s="5"/>
      <c r="M297" s="5"/>
      <c r="N297" s="5"/>
      <c r="O297" s="5"/>
      <c r="P297" s="5"/>
      <c r="Q297" s="5"/>
      <c r="R297" s="2"/>
      <c r="S297" s="2"/>
      <c r="T297" s="2"/>
      <c r="U297" s="2"/>
      <c r="V297" s="2"/>
      <c r="W297" s="2"/>
      <c r="X297" s="6"/>
      <c r="Y297" s="2"/>
      <c r="Z297" s="2"/>
      <c r="AA297" s="2"/>
      <c r="AB297" s="2"/>
      <c r="AC297" s="6"/>
      <c r="AD297" s="2"/>
      <c r="AE297" s="2"/>
      <c r="AF297" s="2"/>
      <c r="AG297" s="2"/>
      <c r="AH297" s="2"/>
      <c r="AI297" s="6"/>
      <c r="AJ297" s="2"/>
      <c r="AK297" s="56"/>
      <c r="AL297" s="2"/>
      <c r="AM297" s="2"/>
      <c r="AN297" s="2"/>
      <c r="AO297" s="2"/>
      <c r="AP297" s="6"/>
      <c r="AQ297" s="2"/>
      <c r="AR297" s="2"/>
      <c r="AS297" s="2"/>
      <c r="AT297" s="2"/>
      <c r="AU297" s="2"/>
      <c r="AV297" s="2"/>
      <c r="AW297" s="2"/>
      <c r="AX297" s="6"/>
      <c r="AY297" s="2"/>
      <c r="AZ297" s="2"/>
      <c r="BA297" s="2"/>
      <c r="BB297" s="2"/>
      <c r="BC297" s="2"/>
      <c r="BD297" s="6"/>
      <c r="BE297" s="2"/>
      <c r="BF297" s="6"/>
      <c r="BG297" s="58"/>
      <c r="BH297" s="6"/>
      <c r="BI297" s="2"/>
    </row>
    <row r="298" ht="12.75" customHeight="1">
      <c r="A298" s="71"/>
      <c r="B298" s="71"/>
      <c r="C298" s="11"/>
      <c r="D298" s="11"/>
      <c r="E298" s="2"/>
      <c r="F298" s="2"/>
      <c r="G298" s="2"/>
      <c r="H298" s="54"/>
      <c r="I298" s="11"/>
      <c r="J298" s="54"/>
      <c r="K298" s="54"/>
      <c r="L298" s="5"/>
      <c r="M298" s="5"/>
      <c r="N298" s="5"/>
      <c r="O298" s="5"/>
      <c r="P298" s="5"/>
      <c r="Q298" s="5"/>
      <c r="R298" s="2"/>
      <c r="S298" s="2"/>
      <c r="T298" s="2"/>
      <c r="U298" s="2"/>
      <c r="V298" s="2"/>
      <c r="W298" s="2"/>
      <c r="X298" s="6"/>
      <c r="Y298" s="2"/>
      <c r="Z298" s="2"/>
      <c r="AA298" s="2"/>
      <c r="AB298" s="2"/>
      <c r="AC298" s="6"/>
      <c r="AD298" s="2"/>
      <c r="AE298" s="2"/>
      <c r="AF298" s="2"/>
      <c r="AG298" s="2"/>
      <c r="AH298" s="2"/>
      <c r="AI298" s="6"/>
      <c r="AJ298" s="2"/>
      <c r="AK298" s="56"/>
      <c r="AL298" s="2"/>
      <c r="AM298" s="2"/>
      <c r="AN298" s="2"/>
      <c r="AO298" s="2"/>
      <c r="AP298" s="6"/>
      <c r="AQ298" s="2"/>
      <c r="AR298" s="2"/>
      <c r="AS298" s="2"/>
      <c r="AT298" s="2"/>
      <c r="AU298" s="2"/>
      <c r="AV298" s="2"/>
      <c r="AW298" s="2"/>
      <c r="AX298" s="6"/>
      <c r="AY298" s="2"/>
      <c r="AZ298" s="2"/>
      <c r="BA298" s="2"/>
      <c r="BB298" s="2"/>
      <c r="BC298" s="2"/>
      <c r="BD298" s="6"/>
      <c r="BE298" s="2"/>
      <c r="BF298" s="6"/>
      <c r="BG298" s="58"/>
      <c r="BH298" s="6"/>
      <c r="BI298" s="2"/>
    </row>
    <row r="299" ht="12.75" customHeight="1">
      <c r="A299" s="71"/>
      <c r="B299" s="71"/>
      <c r="C299" s="11"/>
      <c r="D299" s="11"/>
      <c r="E299" s="2"/>
      <c r="F299" s="2"/>
      <c r="G299" s="2"/>
      <c r="H299" s="54"/>
      <c r="I299" s="11"/>
      <c r="J299" s="54"/>
      <c r="K299" s="54"/>
      <c r="L299" s="5"/>
      <c r="M299" s="5"/>
      <c r="N299" s="5"/>
      <c r="O299" s="5"/>
      <c r="P299" s="5"/>
      <c r="Q299" s="5"/>
      <c r="R299" s="2"/>
      <c r="S299" s="2"/>
      <c r="T299" s="2"/>
      <c r="U299" s="2"/>
      <c r="V299" s="2"/>
      <c r="W299" s="2"/>
      <c r="X299" s="6"/>
      <c r="Y299" s="2"/>
      <c r="Z299" s="2"/>
      <c r="AA299" s="2"/>
      <c r="AB299" s="2"/>
      <c r="AC299" s="6"/>
      <c r="AD299" s="2"/>
      <c r="AE299" s="2"/>
      <c r="AF299" s="2"/>
      <c r="AG299" s="2"/>
      <c r="AH299" s="2"/>
      <c r="AI299" s="6"/>
      <c r="AJ299" s="2"/>
      <c r="AK299" s="56"/>
      <c r="AL299" s="2"/>
      <c r="AM299" s="2"/>
      <c r="AN299" s="2"/>
      <c r="AO299" s="2"/>
      <c r="AP299" s="6"/>
      <c r="AQ299" s="2"/>
      <c r="AR299" s="2"/>
      <c r="AS299" s="2"/>
      <c r="AT299" s="2"/>
      <c r="AU299" s="2"/>
      <c r="AV299" s="2"/>
      <c r="AW299" s="2"/>
      <c r="AX299" s="6"/>
      <c r="AY299" s="2"/>
      <c r="AZ299" s="2"/>
      <c r="BA299" s="2"/>
      <c r="BB299" s="2"/>
      <c r="BC299" s="2"/>
      <c r="BD299" s="6"/>
      <c r="BE299" s="2"/>
      <c r="BF299" s="6"/>
      <c r="BG299" s="58"/>
      <c r="BH299" s="6"/>
      <c r="BI299" s="2"/>
    </row>
    <row r="300" ht="12.75" customHeight="1">
      <c r="A300" s="71"/>
      <c r="B300" s="71"/>
      <c r="C300" s="11"/>
      <c r="D300" s="11"/>
      <c r="E300" s="2"/>
      <c r="F300" s="2"/>
      <c r="G300" s="2"/>
      <c r="H300" s="54"/>
      <c r="I300" s="11"/>
      <c r="J300" s="54"/>
      <c r="K300" s="54"/>
      <c r="L300" s="5"/>
      <c r="M300" s="5"/>
      <c r="N300" s="5"/>
      <c r="O300" s="5"/>
      <c r="P300" s="5"/>
      <c r="Q300" s="5"/>
      <c r="R300" s="2"/>
      <c r="S300" s="2"/>
      <c r="T300" s="2"/>
      <c r="U300" s="2"/>
      <c r="V300" s="2"/>
      <c r="W300" s="2"/>
      <c r="X300" s="6"/>
      <c r="Y300" s="2"/>
      <c r="Z300" s="2"/>
      <c r="AA300" s="2"/>
      <c r="AB300" s="2"/>
      <c r="AC300" s="6"/>
      <c r="AD300" s="2"/>
      <c r="AE300" s="2"/>
      <c r="AF300" s="2"/>
      <c r="AG300" s="2"/>
      <c r="AH300" s="2"/>
      <c r="AI300" s="6"/>
      <c r="AJ300" s="2"/>
      <c r="AK300" s="56"/>
      <c r="AL300" s="2"/>
      <c r="AM300" s="2"/>
      <c r="AN300" s="2"/>
      <c r="AO300" s="2"/>
      <c r="AP300" s="6"/>
      <c r="AQ300" s="2"/>
      <c r="AR300" s="2"/>
      <c r="AS300" s="2"/>
      <c r="AT300" s="2"/>
      <c r="AU300" s="2"/>
      <c r="AV300" s="2"/>
      <c r="AW300" s="2"/>
      <c r="AX300" s="6"/>
      <c r="AY300" s="2"/>
      <c r="AZ300" s="2"/>
      <c r="BA300" s="2"/>
      <c r="BB300" s="2"/>
      <c r="BC300" s="2"/>
      <c r="BD300" s="6"/>
      <c r="BE300" s="2"/>
      <c r="BF300" s="6"/>
      <c r="BG300" s="58"/>
      <c r="BH300" s="6"/>
      <c r="BI300" s="2"/>
    </row>
    <row r="301" ht="12.75" customHeight="1">
      <c r="A301" s="71"/>
      <c r="B301" s="71"/>
      <c r="C301" s="11"/>
      <c r="D301" s="11"/>
      <c r="E301" s="2"/>
      <c r="F301" s="2"/>
      <c r="G301" s="2"/>
      <c r="H301" s="54"/>
      <c r="I301" s="11"/>
      <c r="J301" s="54"/>
      <c r="K301" s="54"/>
      <c r="L301" s="5"/>
      <c r="M301" s="5"/>
      <c r="N301" s="5"/>
      <c r="O301" s="5"/>
      <c r="P301" s="5"/>
      <c r="Q301" s="5"/>
      <c r="R301" s="2"/>
      <c r="S301" s="2"/>
      <c r="T301" s="2"/>
      <c r="U301" s="2"/>
      <c r="V301" s="2"/>
      <c r="W301" s="2"/>
      <c r="X301" s="6"/>
      <c r="Y301" s="2"/>
      <c r="Z301" s="2"/>
      <c r="AA301" s="2"/>
      <c r="AB301" s="2"/>
      <c r="AC301" s="6"/>
      <c r="AD301" s="2"/>
      <c r="AE301" s="2"/>
      <c r="AF301" s="2"/>
      <c r="AG301" s="2"/>
      <c r="AH301" s="2"/>
      <c r="AI301" s="6"/>
      <c r="AJ301" s="2"/>
      <c r="AK301" s="56"/>
      <c r="AL301" s="2"/>
      <c r="AM301" s="2"/>
      <c r="AN301" s="2"/>
      <c r="AO301" s="2"/>
      <c r="AP301" s="6"/>
      <c r="AQ301" s="2"/>
      <c r="AR301" s="2"/>
      <c r="AS301" s="2"/>
      <c r="AT301" s="2"/>
      <c r="AU301" s="2"/>
      <c r="AV301" s="2"/>
      <c r="AW301" s="2"/>
      <c r="AX301" s="6"/>
      <c r="AY301" s="2"/>
      <c r="AZ301" s="2"/>
      <c r="BA301" s="2"/>
      <c r="BB301" s="2"/>
      <c r="BC301" s="2"/>
      <c r="BD301" s="6"/>
      <c r="BE301" s="2"/>
      <c r="BF301" s="6"/>
      <c r="BG301" s="58"/>
      <c r="BH301" s="6"/>
      <c r="BI301" s="2"/>
    </row>
    <row r="302" ht="12.75" customHeight="1">
      <c r="A302" s="71"/>
      <c r="B302" s="71"/>
      <c r="C302" s="11"/>
      <c r="D302" s="11"/>
      <c r="E302" s="2"/>
      <c r="F302" s="2"/>
      <c r="G302" s="2"/>
      <c r="H302" s="54"/>
      <c r="I302" s="11"/>
      <c r="J302" s="54"/>
      <c r="K302" s="54"/>
      <c r="L302" s="5"/>
      <c r="M302" s="5"/>
      <c r="N302" s="5"/>
      <c r="O302" s="5"/>
      <c r="P302" s="5"/>
      <c r="Q302" s="5"/>
      <c r="R302" s="2"/>
      <c r="S302" s="2"/>
      <c r="T302" s="2"/>
      <c r="U302" s="2"/>
      <c r="V302" s="2"/>
      <c r="W302" s="2"/>
      <c r="X302" s="6"/>
      <c r="Y302" s="2"/>
      <c r="Z302" s="2"/>
      <c r="AA302" s="2"/>
      <c r="AB302" s="2"/>
      <c r="AC302" s="6"/>
      <c r="AD302" s="2"/>
      <c r="AE302" s="2"/>
      <c r="AF302" s="2"/>
      <c r="AG302" s="2"/>
      <c r="AH302" s="2"/>
      <c r="AI302" s="6"/>
      <c r="AJ302" s="2"/>
      <c r="AK302" s="56"/>
      <c r="AL302" s="2"/>
      <c r="AM302" s="2"/>
      <c r="AN302" s="2"/>
      <c r="AO302" s="2"/>
      <c r="AP302" s="6"/>
      <c r="AQ302" s="2"/>
      <c r="AR302" s="2"/>
      <c r="AS302" s="2"/>
      <c r="AT302" s="2"/>
      <c r="AU302" s="2"/>
      <c r="AV302" s="2"/>
      <c r="AW302" s="2"/>
      <c r="AX302" s="6"/>
      <c r="AY302" s="2"/>
      <c r="AZ302" s="2"/>
      <c r="BA302" s="2"/>
      <c r="BB302" s="2"/>
      <c r="BC302" s="2"/>
      <c r="BD302" s="6"/>
      <c r="BE302" s="2"/>
      <c r="BF302" s="6"/>
      <c r="BG302" s="58"/>
      <c r="BH302" s="6"/>
      <c r="BI302" s="2"/>
    </row>
    <row r="303" ht="12.75" customHeight="1">
      <c r="A303" s="71"/>
      <c r="B303" s="71"/>
      <c r="C303" s="11"/>
      <c r="D303" s="11"/>
      <c r="E303" s="2"/>
      <c r="F303" s="2"/>
      <c r="G303" s="2"/>
      <c r="H303" s="54"/>
      <c r="I303" s="11"/>
      <c r="J303" s="54"/>
      <c r="K303" s="54"/>
      <c r="L303" s="5"/>
      <c r="M303" s="5"/>
      <c r="N303" s="5"/>
      <c r="O303" s="5"/>
      <c r="P303" s="5"/>
      <c r="Q303" s="5"/>
      <c r="R303" s="2"/>
      <c r="S303" s="2"/>
      <c r="T303" s="2"/>
      <c r="U303" s="2"/>
      <c r="V303" s="2"/>
      <c r="W303" s="2"/>
      <c r="X303" s="6"/>
      <c r="Y303" s="2"/>
      <c r="Z303" s="2"/>
      <c r="AA303" s="2"/>
      <c r="AB303" s="2"/>
      <c r="AC303" s="6"/>
      <c r="AD303" s="2"/>
      <c r="AE303" s="2"/>
      <c r="AF303" s="2"/>
      <c r="AG303" s="2"/>
      <c r="AH303" s="2"/>
      <c r="AI303" s="6"/>
      <c r="AJ303" s="2"/>
      <c r="AK303" s="56"/>
      <c r="AL303" s="2"/>
      <c r="AM303" s="2"/>
      <c r="AN303" s="2"/>
      <c r="AO303" s="2"/>
      <c r="AP303" s="6"/>
      <c r="AQ303" s="2"/>
      <c r="AR303" s="2"/>
      <c r="AS303" s="2"/>
      <c r="AT303" s="2"/>
      <c r="AU303" s="2"/>
      <c r="AV303" s="2"/>
      <c r="AW303" s="2"/>
      <c r="AX303" s="6"/>
      <c r="AY303" s="2"/>
      <c r="AZ303" s="2"/>
      <c r="BA303" s="2"/>
      <c r="BB303" s="2"/>
      <c r="BC303" s="2"/>
      <c r="BD303" s="6"/>
      <c r="BE303" s="2"/>
      <c r="BF303" s="6"/>
      <c r="BG303" s="58"/>
      <c r="BH303" s="6"/>
      <c r="BI303" s="2"/>
    </row>
    <row r="304" ht="12.75" customHeight="1">
      <c r="A304" s="71"/>
      <c r="B304" s="71"/>
      <c r="C304" s="11"/>
      <c r="D304" s="11"/>
      <c r="E304" s="2"/>
      <c r="F304" s="2"/>
      <c r="G304" s="2"/>
      <c r="H304" s="54"/>
      <c r="I304" s="11"/>
      <c r="J304" s="54"/>
      <c r="K304" s="54"/>
      <c r="L304" s="5"/>
      <c r="M304" s="5"/>
      <c r="N304" s="5"/>
      <c r="O304" s="5"/>
      <c r="P304" s="5"/>
      <c r="Q304" s="5"/>
      <c r="R304" s="2"/>
      <c r="S304" s="2"/>
      <c r="T304" s="2"/>
      <c r="U304" s="2"/>
      <c r="V304" s="2"/>
      <c r="W304" s="2"/>
      <c r="X304" s="6"/>
      <c r="Y304" s="2"/>
      <c r="Z304" s="2"/>
      <c r="AA304" s="2"/>
      <c r="AB304" s="2"/>
      <c r="AC304" s="6"/>
      <c r="AD304" s="2"/>
      <c r="AE304" s="2"/>
      <c r="AF304" s="2"/>
      <c r="AG304" s="2"/>
      <c r="AH304" s="2"/>
      <c r="AI304" s="6"/>
      <c r="AJ304" s="2"/>
      <c r="AK304" s="56"/>
      <c r="AL304" s="2"/>
      <c r="AM304" s="2"/>
      <c r="AN304" s="2"/>
      <c r="AO304" s="2"/>
      <c r="AP304" s="6"/>
      <c r="AQ304" s="2"/>
      <c r="AR304" s="2"/>
      <c r="AS304" s="2"/>
      <c r="AT304" s="2"/>
      <c r="AU304" s="2"/>
      <c r="AV304" s="2"/>
      <c r="AW304" s="2"/>
      <c r="AX304" s="6"/>
      <c r="AY304" s="2"/>
      <c r="AZ304" s="2"/>
      <c r="BA304" s="2"/>
      <c r="BB304" s="2"/>
      <c r="BC304" s="2"/>
      <c r="BD304" s="6"/>
      <c r="BE304" s="2"/>
      <c r="BF304" s="6"/>
      <c r="BG304" s="58"/>
      <c r="BH304" s="6"/>
      <c r="BI304" s="2"/>
    </row>
    <row r="305" ht="12.75" customHeight="1">
      <c r="A305" s="71"/>
      <c r="B305" s="71"/>
      <c r="C305" s="11"/>
      <c r="D305" s="11"/>
      <c r="E305" s="2"/>
      <c r="F305" s="2"/>
      <c r="G305" s="2"/>
      <c r="H305" s="54"/>
      <c r="I305" s="11"/>
      <c r="J305" s="54"/>
      <c r="K305" s="54"/>
      <c r="L305" s="5"/>
      <c r="M305" s="5"/>
      <c r="N305" s="5"/>
      <c r="O305" s="5"/>
      <c r="P305" s="5"/>
      <c r="Q305" s="5"/>
      <c r="R305" s="2"/>
      <c r="S305" s="2"/>
      <c r="T305" s="2"/>
      <c r="U305" s="2"/>
      <c r="V305" s="2"/>
      <c r="W305" s="2"/>
      <c r="X305" s="6"/>
      <c r="Y305" s="2"/>
      <c r="Z305" s="2"/>
      <c r="AA305" s="2"/>
      <c r="AB305" s="2"/>
      <c r="AC305" s="6"/>
      <c r="AD305" s="2"/>
      <c r="AE305" s="2"/>
      <c r="AF305" s="2"/>
      <c r="AG305" s="2"/>
      <c r="AH305" s="2"/>
      <c r="AI305" s="6"/>
      <c r="AJ305" s="2"/>
      <c r="AK305" s="56"/>
      <c r="AL305" s="2"/>
      <c r="AM305" s="2"/>
      <c r="AN305" s="2"/>
      <c r="AO305" s="2"/>
      <c r="AP305" s="6"/>
      <c r="AQ305" s="2"/>
      <c r="AR305" s="2"/>
      <c r="AS305" s="2"/>
      <c r="AT305" s="2"/>
      <c r="AU305" s="2"/>
      <c r="AV305" s="2"/>
      <c r="AW305" s="2"/>
      <c r="AX305" s="6"/>
      <c r="AY305" s="2"/>
      <c r="AZ305" s="2"/>
      <c r="BA305" s="2"/>
      <c r="BB305" s="2"/>
      <c r="BC305" s="2"/>
      <c r="BD305" s="6"/>
      <c r="BE305" s="2"/>
      <c r="BF305" s="6"/>
      <c r="BG305" s="58"/>
      <c r="BH305" s="6"/>
      <c r="BI305" s="2"/>
    </row>
    <row r="306" ht="12.75" customHeight="1">
      <c r="A306" s="71"/>
      <c r="B306" s="71"/>
      <c r="C306" s="11"/>
      <c r="D306" s="11"/>
      <c r="E306" s="2"/>
      <c r="F306" s="2"/>
      <c r="G306" s="2"/>
      <c r="H306" s="54"/>
      <c r="I306" s="11"/>
      <c r="J306" s="54"/>
      <c r="K306" s="54"/>
      <c r="L306" s="5"/>
      <c r="M306" s="5"/>
      <c r="N306" s="5"/>
      <c r="O306" s="5"/>
      <c r="P306" s="5"/>
      <c r="Q306" s="5"/>
      <c r="R306" s="2"/>
      <c r="S306" s="2"/>
      <c r="T306" s="2"/>
      <c r="U306" s="2"/>
      <c r="V306" s="2"/>
      <c r="W306" s="2"/>
      <c r="X306" s="6"/>
      <c r="Y306" s="2"/>
      <c r="Z306" s="2"/>
      <c r="AA306" s="2"/>
      <c r="AB306" s="2"/>
      <c r="AC306" s="6"/>
      <c r="AD306" s="2"/>
      <c r="AE306" s="2"/>
      <c r="AF306" s="2"/>
      <c r="AG306" s="2"/>
      <c r="AH306" s="2"/>
      <c r="AI306" s="6"/>
      <c r="AJ306" s="2"/>
      <c r="AK306" s="56"/>
      <c r="AL306" s="2"/>
      <c r="AM306" s="2"/>
      <c r="AN306" s="2"/>
      <c r="AO306" s="2"/>
      <c r="AP306" s="6"/>
      <c r="AQ306" s="2"/>
      <c r="AR306" s="2"/>
      <c r="AS306" s="2"/>
      <c r="AT306" s="2"/>
      <c r="AU306" s="2"/>
      <c r="AV306" s="2"/>
      <c r="AW306" s="2"/>
      <c r="AX306" s="6"/>
      <c r="AY306" s="2"/>
      <c r="AZ306" s="2"/>
      <c r="BA306" s="2"/>
      <c r="BB306" s="2"/>
      <c r="BC306" s="2"/>
      <c r="BD306" s="6"/>
      <c r="BE306" s="2"/>
      <c r="BF306" s="6"/>
      <c r="BG306" s="58"/>
      <c r="BH306" s="6"/>
      <c r="BI306" s="2"/>
    </row>
    <row r="307" ht="12.75" customHeight="1">
      <c r="A307" s="71"/>
      <c r="B307" s="71"/>
      <c r="C307" s="11"/>
      <c r="D307" s="11"/>
      <c r="E307" s="2"/>
      <c r="F307" s="2"/>
      <c r="G307" s="2"/>
      <c r="H307" s="54"/>
      <c r="I307" s="11"/>
      <c r="J307" s="54"/>
      <c r="K307" s="54"/>
      <c r="L307" s="5"/>
      <c r="M307" s="5"/>
      <c r="N307" s="5"/>
      <c r="O307" s="5"/>
      <c r="P307" s="5"/>
      <c r="Q307" s="5"/>
      <c r="R307" s="2"/>
      <c r="S307" s="2"/>
      <c r="T307" s="2"/>
      <c r="U307" s="2"/>
      <c r="V307" s="2"/>
      <c r="W307" s="2"/>
      <c r="X307" s="6"/>
      <c r="Y307" s="2"/>
      <c r="Z307" s="2"/>
      <c r="AA307" s="2"/>
      <c r="AB307" s="2"/>
      <c r="AC307" s="6"/>
      <c r="AD307" s="2"/>
      <c r="AE307" s="2"/>
      <c r="AF307" s="2"/>
      <c r="AG307" s="2"/>
      <c r="AH307" s="2"/>
      <c r="AI307" s="6"/>
      <c r="AJ307" s="2"/>
      <c r="AK307" s="56"/>
      <c r="AL307" s="2"/>
      <c r="AM307" s="2"/>
      <c r="AN307" s="2"/>
      <c r="AO307" s="2"/>
      <c r="AP307" s="6"/>
      <c r="AQ307" s="2"/>
      <c r="AR307" s="2"/>
      <c r="AS307" s="2"/>
      <c r="AT307" s="2"/>
      <c r="AU307" s="2"/>
      <c r="AV307" s="2"/>
      <c r="AW307" s="2"/>
      <c r="AX307" s="6"/>
      <c r="AY307" s="2"/>
      <c r="AZ307" s="2"/>
      <c r="BA307" s="2"/>
      <c r="BB307" s="2"/>
      <c r="BC307" s="2"/>
      <c r="BD307" s="6"/>
      <c r="BE307" s="2"/>
      <c r="BF307" s="6"/>
      <c r="BG307" s="58"/>
      <c r="BH307" s="6"/>
      <c r="BI307" s="2"/>
    </row>
    <row r="308" ht="12.75" customHeight="1">
      <c r="A308" s="71"/>
      <c r="B308" s="71"/>
      <c r="C308" s="11"/>
      <c r="D308" s="11"/>
      <c r="E308" s="2"/>
      <c r="F308" s="2"/>
      <c r="G308" s="2"/>
      <c r="H308" s="54"/>
      <c r="I308" s="11"/>
      <c r="J308" s="54"/>
      <c r="K308" s="54"/>
      <c r="L308" s="5"/>
      <c r="M308" s="5"/>
      <c r="N308" s="5"/>
      <c r="O308" s="5"/>
      <c r="P308" s="5"/>
      <c r="Q308" s="5"/>
      <c r="R308" s="2"/>
      <c r="S308" s="2"/>
      <c r="T308" s="2"/>
      <c r="U308" s="2"/>
      <c r="V308" s="2"/>
      <c r="W308" s="2"/>
      <c r="X308" s="6"/>
      <c r="Y308" s="2"/>
      <c r="Z308" s="2"/>
      <c r="AA308" s="2"/>
      <c r="AB308" s="2"/>
      <c r="AC308" s="6"/>
      <c r="AD308" s="2"/>
      <c r="AE308" s="2"/>
      <c r="AF308" s="2"/>
      <c r="AG308" s="2"/>
      <c r="AH308" s="2"/>
      <c r="AI308" s="6"/>
      <c r="AJ308" s="2"/>
      <c r="AK308" s="56"/>
      <c r="AL308" s="2"/>
      <c r="AM308" s="2"/>
      <c r="AN308" s="2"/>
      <c r="AO308" s="2"/>
      <c r="AP308" s="6"/>
      <c r="AQ308" s="2"/>
      <c r="AR308" s="2"/>
      <c r="AS308" s="2"/>
      <c r="AT308" s="2"/>
      <c r="AU308" s="2"/>
      <c r="AV308" s="2"/>
      <c r="AW308" s="2"/>
      <c r="AX308" s="6"/>
      <c r="AY308" s="2"/>
      <c r="AZ308" s="2"/>
      <c r="BA308" s="2"/>
      <c r="BB308" s="2"/>
      <c r="BC308" s="2"/>
      <c r="BD308" s="6"/>
      <c r="BE308" s="2"/>
      <c r="BF308" s="6"/>
      <c r="BG308" s="58"/>
      <c r="BH308" s="6"/>
      <c r="BI308" s="2"/>
    </row>
    <row r="309" ht="12.75" customHeight="1">
      <c r="A309" s="71"/>
      <c r="B309" s="71"/>
      <c r="C309" s="11"/>
      <c r="D309" s="11"/>
      <c r="E309" s="2"/>
      <c r="F309" s="2"/>
      <c r="G309" s="2"/>
      <c r="H309" s="54"/>
      <c r="I309" s="11"/>
      <c r="J309" s="54"/>
      <c r="K309" s="54"/>
      <c r="L309" s="5"/>
      <c r="M309" s="5"/>
      <c r="N309" s="5"/>
      <c r="O309" s="5"/>
      <c r="P309" s="5"/>
      <c r="Q309" s="5"/>
      <c r="R309" s="2"/>
      <c r="S309" s="2"/>
      <c r="T309" s="2"/>
      <c r="U309" s="2"/>
      <c r="V309" s="2"/>
      <c r="W309" s="2"/>
      <c r="X309" s="6"/>
      <c r="Y309" s="2"/>
      <c r="Z309" s="2"/>
      <c r="AA309" s="2"/>
      <c r="AB309" s="2"/>
      <c r="AC309" s="6"/>
      <c r="AD309" s="2"/>
      <c r="AE309" s="2"/>
      <c r="AF309" s="2"/>
      <c r="AG309" s="2"/>
      <c r="AH309" s="2"/>
      <c r="AI309" s="6"/>
      <c r="AJ309" s="2"/>
      <c r="AK309" s="56"/>
      <c r="AL309" s="2"/>
      <c r="AM309" s="2"/>
      <c r="AN309" s="2"/>
      <c r="AO309" s="2"/>
      <c r="AP309" s="6"/>
      <c r="AQ309" s="2"/>
      <c r="AR309" s="2"/>
      <c r="AS309" s="2"/>
      <c r="AT309" s="2"/>
      <c r="AU309" s="2"/>
      <c r="AV309" s="2"/>
      <c r="AW309" s="2"/>
      <c r="AX309" s="6"/>
      <c r="AY309" s="2"/>
      <c r="AZ309" s="2"/>
      <c r="BA309" s="2"/>
      <c r="BB309" s="2"/>
      <c r="BC309" s="2"/>
      <c r="BD309" s="6"/>
      <c r="BE309" s="2"/>
      <c r="BF309" s="6"/>
      <c r="BG309" s="58"/>
      <c r="BH309" s="6"/>
      <c r="BI309" s="2"/>
    </row>
    <row r="310" ht="12.75" customHeight="1">
      <c r="A310" s="71"/>
      <c r="B310" s="71"/>
      <c r="C310" s="11"/>
      <c r="D310" s="11"/>
      <c r="E310" s="2"/>
      <c r="F310" s="2"/>
      <c r="G310" s="2"/>
      <c r="H310" s="54"/>
      <c r="I310" s="11"/>
      <c r="J310" s="54"/>
      <c r="K310" s="54"/>
      <c r="L310" s="5"/>
      <c r="M310" s="5"/>
      <c r="N310" s="5"/>
      <c r="O310" s="5"/>
      <c r="P310" s="5"/>
      <c r="Q310" s="5"/>
      <c r="R310" s="2"/>
      <c r="S310" s="2"/>
      <c r="T310" s="2"/>
      <c r="U310" s="2"/>
      <c r="V310" s="2"/>
      <c r="W310" s="2"/>
      <c r="X310" s="6"/>
      <c r="Y310" s="2"/>
      <c r="Z310" s="2"/>
      <c r="AA310" s="2"/>
      <c r="AB310" s="2"/>
      <c r="AC310" s="6"/>
      <c r="AD310" s="2"/>
      <c r="AE310" s="2"/>
      <c r="AF310" s="2"/>
      <c r="AG310" s="2"/>
      <c r="AH310" s="2"/>
      <c r="AI310" s="6"/>
      <c r="AJ310" s="2"/>
      <c r="AK310" s="56"/>
      <c r="AL310" s="2"/>
      <c r="AM310" s="2"/>
      <c r="AN310" s="2"/>
      <c r="AO310" s="2"/>
      <c r="AP310" s="6"/>
      <c r="AQ310" s="2"/>
      <c r="AR310" s="2"/>
      <c r="AS310" s="2"/>
      <c r="AT310" s="2"/>
      <c r="AU310" s="2"/>
      <c r="AV310" s="2"/>
      <c r="AW310" s="2"/>
      <c r="AX310" s="6"/>
      <c r="AY310" s="2"/>
      <c r="AZ310" s="2"/>
      <c r="BA310" s="2"/>
      <c r="BB310" s="2"/>
      <c r="BC310" s="2"/>
      <c r="BD310" s="6"/>
      <c r="BE310" s="2"/>
      <c r="BF310" s="6"/>
      <c r="BG310" s="58"/>
      <c r="BH310" s="6"/>
      <c r="BI310" s="2"/>
    </row>
    <row r="311" ht="12.75" customHeight="1">
      <c r="A311" s="71"/>
      <c r="B311" s="71"/>
      <c r="C311" s="11"/>
      <c r="D311" s="11"/>
      <c r="E311" s="2"/>
      <c r="F311" s="2"/>
      <c r="G311" s="2"/>
      <c r="H311" s="54"/>
      <c r="I311" s="11"/>
      <c r="J311" s="54"/>
      <c r="K311" s="54"/>
      <c r="L311" s="5"/>
      <c r="M311" s="5"/>
      <c r="N311" s="5"/>
      <c r="O311" s="5"/>
      <c r="P311" s="5"/>
      <c r="Q311" s="5"/>
      <c r="R311" s="2"/>
      <c r="S311" s="2"/>
      <c r="T311" s="2"/>
      <c r="U311" s="2"/>
      <c r="V311" s="2"/>
      <c r="W311" s="2"/>
      <c r="X311" s="6"/>
      <c r="Y311" s="2"/>
      <c r="Z311" s="2"/>
      <c r="AA311" s="2"/>
      <c r="AB311" s="2"/>
      <c r="AC311" s="6"/>
      <c r="AD311" s="2"/>
      <c r="AE311" s="2"/>
      <c r="AF311" s="2"/>
      <c r="AG311" s="2"/>
      <c r="AH311" s="2"/>
      <c r="AI311" s="6"/>
      <c r="AJ311" s="2"/>
      <c r="AK311" s="56"/>
      <c r="AL311" s="2"/>
      <c r="AM311" s="2"/>
      <c r="AN311" s="2"/>
      <c r="AO311" s="2"/>
      <c r="AP311" s="6"/>
      <c r="AQ311" s="2"/>
      <c r="AR311" s="2"/>
      <c r="AS311" s="2"/>
      <c r="AT311" s="2"/>
      <c r="AU311" s="2"/>
      <c r="AV311" s="2"/>
      <c r="AW311" s="2"/>
      <c r="AX311" s="6"/>
      <c r="AY311" s="2"/>
      <c r="AZ311" s="2"/>
      <c r="BA311" s="2"/>
      <c r="BB311" s="2"/>
      <c r="BC311" s="2"/>
      <c r="BD311" s="6"/>
      <c r="BE311" s="2"/>
      <c r="BF311" s="6"/>
      <c r="BG311" s="58"/>
      <c r="BH311" s="6"/>
      <c r="BI311" s="2"/>
    </row>
    <row r="312" ht="12.75" customHeight="1">
      <c r="A312" s="71"/>
      <c r="B312" s="71"/>
      <c r="C312" s="11"/>
      <c r="D312" s="11"/>
      <c r="E312" s="2"/>
      <c r="F312" s="2"/>
      <c r="G312" s="2"/>
      <c r="H312" s="54"/>
      <c r="I312" s="11"/>
      <c r="J312" s="54"/>
      <c r="K312" s="54"/>
      <c r="L312" s="5"/>
      <c r="M312" s="5"/>
      <c r="N312" s="5"/>
      <c r="O312" s="5"/>
      <c r="P312" s="5"/>
      <c r="Q312" s="5"/>
      <c r="R312" s="2"/>
      <c r="S312" s="2"/>
      <c r="T312" s="2"/>
      <c r="U312" s="2"/>
      <c r="V312" s="2"/>
      <c r="W312" s="2"/>
      <c r="X312" s="6"/>
      <c r="Y312" s="2"/>
      <c r="Z312" s="2"/>
      <c r="AA312" s="2"/>
      <c r="AB312" s="2"/>
      <c r="AC312" s="6"/>
      <c r="AD312" s="2"/>
      <c r="AE312" s="2"/>
      <c r="AF312" s="2"/>
      <c r="AG312" s="2"/>
      <c r="AH312" s="2"/>
      <c r="AI312" s="6"/>
      <c r="AJ312" s="2"/>
      <c r="AK312" s="56"/>
      <c r="AL312" s="2"/>
      <c r="AM312" s="2"/>
      <c r="AN312" s="2"/>
      <c r="AO312" s="2"/>
      <c r="AP312" s="6"/>
      <c r="AQ312" s="2"/>
      <c r="AR312" s="2"/>
      <c r="AS312" s="2"/>
      <c r="AT312" s="2"/>
      <c r="AU312" s="2"/>
      <c r="AV312" s="2"/>
      <c r="AW312" s="2"/>
      <c r="AX312" s="6"/>
      <c r="AY312" s="2"/>
      <c r="AZ312" s="2"/>
      <c r="BA312" s="2"/>
      <c r="BB312" s="2"/>
      <c r="BC312" s="2"/>
      <c r="BD312" s="6"/>
      <c r="BE312" s="2"/>
      <c r="BF312" s="6"/>
      <c r="BG312" s="58"/>
      <c r="BH312" s="6"/>
      <c r="BI312" s="2"/>
    </row>
    <row r="313" ht="12.75" customHeight="1">
      <c r="A313" s="71"/>
      <c r="B313" s="71"/>
      <c r="C313" s="11"/>
      <c r="D313" s="11"/>
      <c r="E313" s="2"/>
      <c r="F313" s="2"/>
      <c r="G313" s="2"/>
      <c r="H313" s="54"/>
      <c r="I313" s="11"/>
      <c r="J313" s="54"/>
      <c r="K313" s="54"/>
      <c r="L313" s="5"/>
      <c r="M313" s="5"/>
      <c r="N313" s="5"/>
      <c r="O313" s="5"/>
      <c r="P313" s="5"/>
      <c r="Q313" s="5"/>
      <c r="R313" s="2"/>
      <c r="S313" s="2"/>
      <c r="T313" s="2"/>
      <c r="U313" s="2"/>
      <c r="V313" s="2"/>
      <c r="W313" s="2"/>
      <c r="X313" s="6"/>
      <c r="Y313" s="2"/>
      <c r="Z313" s="2"/>
      <c r="AA313" s="2"/>
      <c r="AB313" s="2"/>
      <c r="AC313" s="6"/>
      <c r="AD313" s="2"/>
      <c r="AE313" s="2"/>
      <c r="AF313" s="2"/>
      <c r="AG313" s="2"/>
      <c r="AH313" s="2"/>
      <c r="AI313" s="6"/>
      <c r="AJ313" s="2"/>
      <c r="AK313" s="56"/>
      <c r="AL313" s="2"/>
      <c r="AM313" s="2"/>
      <c r="AN313" s="2"/>
      <c r="AO313" s="2"/>
      <c r="AP313" s="6"/>
      <c r="AQ313" s="2"/>
      <c r="AR313" s="2"/>
      <c r="AS313" s="2"/>
      <c r="AT313" s="2"/>
      <c r="AU313" s="2"/>
      <c r="AV313" s="2"/>
      <c r="AW313" s="2"/>
      <c r="AX313" s="6"/>
      <c r="AY313" s="2"/>
      <c r="AZ313" s="2"/>
      <c r="BA313" s="2"/>
      <c r="BB313" s="2"/>
      <c r="BC313" s="2"/>
      <c r="BD313" s="6"/>
      <c r="BE313" s="2"/>
      <c r="BF313" s="6"/>
      <c r="BG313" s="58"/>
      <c r="BH313" s="6"/>
      <c r="BI313" s="2"/>
    </row>
    <row r="314" ht="12.75" customHeight="1">
      <c r="A314" s="71"/>
      <c r="B314" s="71"/>
      <c r="C314" s="11"/>
      <c r="D314" s="11"/>
      <c r="E314" s="2"/>
      <c r="F314" s="2"/>
      <c r="G314" s="2"/>
      <c r="H314" s="54"/>
      <c r="I314" s="11"/>
      <c r="J314" s="54"/>
      <c r="K314" s="54"/>
      <c r="L314" s="5"/>
      <c r="M314" s="5"/>
      <c r="N314" s="5"/>
      <c r="O314" s="5"/>
      <c r="P314" s="5"/>
      <c r="Q314" s="5"/>
      <c r="R314" s="2"/>
      <c r="S314" s="2"/>
      <c r="T314" s="2"/>
      <c r="U314" s="2"/>
      <c r="V314" s="2"/>
      <c r="W314" s="2"/>
      <c r="X314" s="6"/>
      <c r="Y314" s="2"/>
      <c r="Z314" s="2"/>
      <c r="AA314" s="2"/>
      <c r="AB314" s="2"/>
      <c r="AC314" s="6"/>
      <c r="AD314" s="2"/>
      <c r="AE314" s="2"/>
      <c r="AF314" s="2"/>
      <c r="AG314" s="2"/>
      <c r="AH314" s="2"/>
      <c r="AI314" s="6"/>
      <c r="AJ314" s="2"/>
      <c r="AK314" s="56"/>
      <c r="AL314" s="2"/>
      <c r="AM314" s="2"/>
      <c r="AN314" s="2"/>
      <c r="AO314" s="2"/>
      <c r="AP314" s="6"/>
      <c r="AQ314" s="2"/>
      <c r="AR314" s="2"/>
      <c r="AS314" s="2"/>
      <c r="AT314" s="2"/>
      <c r="AU314" s="2"/>
      <c r="AV314" s="2"/>
      <c r="AW314" s="2"/>
      <c r="AX314" s="6"/>
      <c r="AY314" s="2"/>
      <c r="AZ314" s="2"/>
      <c r="BA314" s="2"/>
      <c r="BB314" s="2"/>
      <c r="BC314" s="2"/>
      <c r="BD314" s="6"/>
      <c r="BE314" s="2"/>
      <c r="BF314" s="6"/>
      <c r="BG314" s="58"/>
      <c r="BH314" s="6"/>
      <c r="BI314" s="2"/>
    </row>
    <row r="315" ht="12.75" customHeight="1">
      <c r="A315" s="71"/>
      <c r="B315" s="71"/>
      <c r="C315" s="11"/>
      <c r="D315" s="11"/>
      <c r="E315" s="2"/>
      <c r="F315" s="2"/>
      <c r="G315" s="2"/>
      <c r="H315" s="54"/>
      <c r="I315" s="11"/>
      <c r="J315" s="54"/>
      <c r="K315" s="54"/>
      <c r="L315" s="5"/>
      <c r="M315" s="5"/>
      <c r="N315" s="5"/>
      <c r="O315" s="5"/>
      <c r="P315" s="5"/>
      <c r="Q315" s="5"/>
      <c r="R315" s="2"/>
      <c r="S315" s="2"/>
      <c r="T315" s="2"/>
      <c r="U315" s="2"/>
      <c r="V315" s="2"/>
      <c r="W315" s="2"/>
      <c r="X315" s="6"/>
      <c r="Y315" s="2"/>
      <c r="Z315" s="2"/>
      <c r="AA315" s="2"/>
      <c r="AB315" s="2"/>
      <c r="AC315" s="6"/>
      <c r="AD315" s="2"/>
      <c r="AE315" s="2"/>
      <c r="AF315" s="2"/>
      <c r="AG315" s="2"/>
      <c r="AH315" s="2"/>
      <c r="AI315" s="6"/>
      <c r="AJ315" s="2"/>
      <c r="AK315" s="56"/>
      <c r="AL315" s="2"/>
      <c r="AM315" s="2"/>
      <c r="AN315" s="2"/>
      <c r="AO315" s="2"/>
      <c r="AP315" s="6"/>
      <c r="AQ315" s="2"/>
      <c r="AR315" s="2"/>
      <c r="AS315" s="2"/>
      <c r="AT315" s="2"/>
      <c r="AU315" s="2"/>
      <c r="AV315" s="2"/>
      <c r="AW315" s="2"/>
      <c r="AX315" s="6"/>
      <c r="AY315" s="2"/>
      <c r="AZ315" s="2"/>
      <c r="BA315" s="2"/>
      <c r="BB315" s="2"/>
      <c r="BC315" s="2"/>
      <c r="BD315" s="6"/>
      <c r="BE315" s="2"/>
      <c r="BF315" s="6"/>
      <c r="BG315" s="58"/>
      <c r="BH315" s="6"/>
      <c r="BI315" s="2"/>
    </row>
    <row r="316" ht="12.75" customHeight="1">
      <c r="A316" s="71"/>
      <c r="B316" s="71"/>
      <c r="C316" s="11"/>
      <c r="D316" s="11"/>
      <c r="E316" s="2"/>
      <c r="F316" s="2"/>
      <c r="G316" s="2"/>
      <c r="H316" s="54"/>
      <c r="I316" s="11"/>
      <c r="J316" s="54"/>
      <c r="K316" s="54"/>
      <c r="L316" s="5"/>
      <c r="M316" s="5"/>
      <c r="N316" s="5"/>
      <c r="O316" s="5"/>
      <c r="P316" s="5"/>
      <c r="Q316" s="5"/>
      <c r="R316" s="2"/>
      <c r="S316" s="2"/>
      <c r="T316" s="2"/>
      <c r="U316" s="2"/>
      <c r="V316" s="2"/>
      <c r="W316" s="2"/>
      <c r="X316" s="6"/>
      <c r="Y316" s="2"/>
      <c r="Z316" s="2"/>
      <c r="AA316" s="2"/>
      <c r="AB316" s="2"/>
      <c r="AC316" s="6"/>
      <c r="AD316" s="2"/>
      <c r="AE316" s="2"/>
      <c r="AF316" s="2"/>
      <c r="AG316" s="2"/>
      <c r="AH316" s="2"/>
      <c r="AI316" s="6"/>
      <c r="AJ316" s="2"/>
      <c r="AK316" s="56"/>
      <c r="AL316" s="2"/>
      <c r="AM316" s="2"/>
      <c r="AN316" s="2"/>
      <c r="AO316" s="2"/>
      <c r="AP316" s="6"/>
      <c r="AQ316" s="2"/>
      <c r="AR316" s="2"/>
      <c r="AS316" s="2"/>
      <c r="AT316" s="2"/>
      <c r="AU316" s="2"/>
      <c r="AV316" s="2"/>
      <c r="AW316" s="2"/>
      <c r="AX316" s="6"/>
      <c r="AY316" s="2"/>
      <c r="AZ316" s="2"/>
      <c r="BA316" s="2"/>
      <c r="BB316" s="2"/>
      <c r="BC316" s="2"/>
      <c r="BD316" s="6"/>
      <c r="BE316" s="2"/>
      <c r="BF316" s="6"/>
      <c r="BG316" s="58"/>
      <c r="BH316" s="6"/>
      <c r="BI316" s="2"/>
    </row>
    <row r="317" ht="12.75" customHeight="1">
      <c r="A317" s="71"/>
      <c r="B317" s="71"/>
      <c r="C317" s="11"/>
      <c r="D317" s="11"/>
      <c r="E317" s="2"/>
      <c r="F317" s="2"/>
      <c r="G317" s="2"/>
      <c r="H317" s="54"/>
      <c r="I317" s="11"/>
      <c r="J317" s="54"/>
      <c r="K317" s="54"/>
      <c r="L317" s="5"/>
      <c r="M317" s="5"/>
      <c r="N317" s="5"/>
      <c r="O317" s="5"/>
      <c r="P317" s="5"/>
      <c r="Q317" s="5"/>
      <c r="R317" s="2"/>
      <c r="S317" s="2"/>
      <c r="T317" s="2"/>
      <c r="U317" s="2"/>
      <c r="V317" s="2"/>
      <c r="W317" s="2"/>
      <c r="X317" s="6"/>
      <c r="Y317" s="2"/>
      <c r="Z317" s="2"/>
      <c r="AA317" s="2"/>
      <c r="AB317" s="2"/>
      <c r="AC317" s="6"/>
      <c r="AD317" s="2"/>
      <c r="AE317" s="2"/>
      <c r="AF317" s="2"/>
      <c r="AG317" s="2"/>
      <c r="AH317" s="2"/>
      <c r="AI317" s="6"/>
      <c r="AJ317" s="2"/>
      <c r="AK317" s="56"/>
      <c r="AL317" s="2"/>
      <c r="AM317" s="2"/>
      <c r="AN317" s="2"/>
      <c r="AO317" s="2"/>
      <c r="AP317" s="6"/>
      <c r="AQ317" s="2"/>
      <c r="AR317" s="2"/>
      <c r="AS317" s="2"/>
      <c r="AT317" s="2"/>
      <c r="AU317" s="2"/>
      <c r="AV317" s="2"/>
      <c r="AW317" s="2"/>
      <c r="AX317" s="6"/>
      <c r="AY317" s="2"/>
      <c r="AZ317" s="2"/>
      <c r="BA317" s="2"/>
      <c r="BB317" s="2"/>
      <c r="BC317" s="2"/>
      <c r="BD317" s="6"/>
      <c r="BE317" s="2"/>
      <c r="BF317" s="6"/>
      <c r="BG317" s="58"/>
      <c r="BH317" s="6"/>
      <c r="BI317" s="2"/>
    </row>
    <row r="318" ht="12.75" customHeight="1">
      <c r="A318" s="71"/>
      <c r="B318" s="71"/>
      <c r="C318" s="11"/>
      <c r="D318" s="11"/>
      <c r="E318" s="2"/>
      <c r="F318" s="2"/>
      <c r="G318" s="2"/>
      <c r="H318" s="54"/>
      <c r="I318" s="11"/>
      <c r="J318" s="54"/>
      <c r="K318" s="54"/>
      <c r="L318" s="5"/>
      <c r="M318" s="5"/>
      <c r="N318" s="5"/>
      <c r="O318" s="5"/>
      <c r="P318" s="5"/>
      <c r="Q318" s="5"/>
      <c r="R318" s="2"/>
      <c r="S318" s="2"/>
      <c r="T318" s="2"/>
      <c r="U318" s="2"/>
      <c r="V318" s="2"/>
      <c r="W318" s="2"/>
      <c r="X318" s="6"/>
      <c r="Y318" s="2"/>
      <c r="Z318" s="2"/>
      <c r="AA318" s="2"/>
      <c r="AB318" s="2"/>
      <c r="AC318" s="6"/>
      <c r="AD318" s="2"/>
      <c r="AE318" s="2"/>
      <c r="AF318" s="2"/>
      <c r="AG318" s="2"/>
      <c r="AH318" s="2"/>
      <c r="AI318" s="6"/>
      <c r="AJ318" s="2"/>
      <c r="AK318" s="56"/>
      <c r="AL318" s="2"/>
      <c r="AM318" s="2"/>
      <c r="AN318" s="2"/>
      <c r="AO318" s="2"/>
      <c r="AP318" s="6"/>
      <c r="AQ318" s="2"/>
      <c r="AR318" s="2"/>
      <c r="AS318" s="2"/>
      <c r="AT318" s="2"/>
      <c r="AU318" s="2"/>
      <c r="AV318" s="2"/>
      <c r="AW318" s="2"/>
      <c r="AX318" s="6"/>
      <c r="AY318" s="2"/>
      <c r="AZ318" s="2"/>
      <c r="BA318" s="2"/>
      <c r="BB318" s="2"/>
      <c r="BC318" s="2"/>
      <c r="BD318" s="6"/>
      <c r="BE318" s="2"/>
      <c r="BF318" s="6"/>
      <c r="BG318" s="58"/>
      <c r="BH318" s="6"/>
      <c r="BI318" s="2"/>
    </row>
    <row r="319" ht="12.75" customHeight="1">
      <c r="A319" s="71"/>
      <c r="B319" s="71"/>
      <c r="C319" s="11"/>
      <c r="D319" s="11"/>
      <c r="E319" s="2"/>
      <c r="F319" s="2"/>
      <c r="G319" s="2"/>
      <c r="H319" s="54"/>
      <c r="I319" s="11"/>
      <c r="J319" s="54"/>
      <c r="K319" s="54"/>
      <c r="L319" s="5"/>
      <c r="M319" s="5"/>
      <c r="N319" s="5"/>
      <c r="O319" s="5"/>
      <c r="P319" s="5"/>
      <c r="Q319" s="5"/>
      <c r="R319" s="2"/>
      <c r="S319" s="2"/>
      <c r="T319" s="2"/>
      <c r="U319" s="2"/>
      <c r="V319" s="2"/>
      <c r="W319" s="2"/>
      <c r="X319" s="6"/>
      <c r="Y319" s="2"/>
      <c r="Z319" s="2"/>
      <c r="AA319" s="2"/>
      <c r="AB319" s="2"/>
      <c r="AC319" s="6"/>
      <c r="AD319" s="2"/>
      <c r="AE319" s="2"/>
      <c r="AF319" s="2"/>
      <c r="AG319" s="2"/>
      <c r="AH319" s="2"/>
      <c r="AI319" s="6"/>
      <c r="AJ319" s="2"/>
      <c r="AK319" s="56"/>
      <c r="AL319" s="2"/>
      <c r="AM319" s="2"/>
      <c r="AN319" s="2"/>
      <c r="AO319" s="2"/>
      <c r="AP319" s="6"/>
      <c r="AQ319" s="2"/>
      <c r="AR319" s="2"/>
      <c r="AS319" s="2"/>
      <c r="AT319" s="2"/>
      <c r="AU319" s="2"/>
      <c r="AV319" s="2"/>
      <c r="AW319" s="2"/>
      <c r="AX319" s="6"/>
      <c r="AY319" s="2"/>
      <c r="AZ319" s="2"/>
      <c r="BA319" s="2"/>
      <c r="BB319" s="2"/>
      <c r="BC319" s="2"/>
      <c r="BD319" s="6"/>
      <c r="BE319" s="2"/>
      <c r="BF319" s="6"/>
      <c r="BG319" s="58"/>
      <c r="BH319" s="6"/>
      <c r="BI319" s="2"/>
    </row>
    <row r="320" ht="12.75" customHeight="1">
      <c r="A320" s="71"/>
      <c r="B320" s="71"/>
      <c r="C320" s="11"/>
      <c r="D320" s="11"/>
      <c r="E320" s="2"/>
      <c r="F320" s="2"/>
      <c r="G320" s="2"/>
      <c r="H320" s="54"/>
      <c r="I320" s="11"/>
      <c r="J320" s="54"/>
      <c r="K320" s="54"/>
      <c r="L320" s="5"/>
      <c r="M320" s="5"/>
      <c r="N320" s="5"/>
      <c r="O320" s="5"/>
      <c r="P320" s="5"/>
      <c r="Q320" s="5"/>
      <c r="R320" s="2"/>
      <c r="S320" s="2"/>
      <c r="T320" s="2"/>
      <c r="U320" s="2"/>
      <c r="V320" s="2"/>
      <c r="W320" s="2"/>
      <c r="X320" s="6"/>
      <c r="Y320" s="2"/>
      <c r="Z320" s="2"/>
      <c r="AA320" s="2"/>
      <c r="AB320" s="2"/>
      <c r="AC320" s="6"/>
      <c r="AD320" s="2"/>
      <c r="AE320" s="2"/>
      <c r="AF320" s="2"/>
      <c r="AG320" s="2"/>
      <c r="AH320" s="2"/>
      <c r="AI320" s="6"/>
      <c r="AJ320" s="2"/>
      <c r="AK320" s="56"/>
      <c r="AL320" s="2"/>
      <c r="AM320" s="2"/>
      <c r="AN320" s="2"/>
      <c r="AO320" s="2"/>
      <c r="AP320" s="6"/>
      <c r="AQ320" s="2"/>
      <c r="AR320" s="2"/>
      <c r="AS320" s="2"/>
      <c r="AT320" s="2"/>
      <c r="AU320" s="2"/>
      <c r="AV320" s="2"/>
      <c r="AW320" s="2"/>
      <c r="AX320" s="6"/>
      <c r="AY320" s="2"/>
      <c r="AZ320" s="2"/>
      <c r="BA320" s="2"/>
      <c r="BB320" s="2"/>
      <c r="BC320" s="2"/>
      <c r="BD320" s="6"/>
      <c r="BE320" s="2"/>
      <c r="BF320" s="6"/>
      <c r="BG320" s="58"/>
      <c r="BH320" s="6"/>
      <c r="BI320" s="2"/>
    </row>
    <row r="321" ht="12.75" customHeight="1">
      <c r="A321" s="71"/>
      <c r="B321" s="71"/>
      <c r="C321" s="11"/>
      <c r="D321" s="11"/>
      <c r="E321" s="2"/>
      <c r="F321" s="2"/>
      <c r="G321" s="2"/>
      <c r="H321" s="54"/>
      <c r="I321" s="11"/>
      <c r="J321" s="54"/>
      <c r="K321" s="54"/>
      <c r="L321" s="5"/>
      <c r="M321" s="5"/>
      <c r="N321" s="5"/>
      <c r="O321" s="5"/>
      <c r="P321" s="5"/>
      <c r="Q321" s="5"/>
      <c r="R321" s="2"/>
      <c r="S321" s="2"/>
      <c r="T321" s="2"/>
      <c r="U321" s="2"/>
      <c r="V321" s="2"/>
      <c r="W321" s="2"/>
      <c r="X321" s="6"/>
      <c r="Y321" s="2"/>
      <c r="Z321" s="2"/>
      <c r="AA321" s="2"/>
      <c r="AB321" s="2"/>
      <c r="AC321" s="6"/>
      <c r="AD321" s="2"/>
      <c r="AE321" s="2"/>
      <c r="AF321" s="2"/>
      <c r="AG321" s="2"/>
      <c r="AH321" s="2"/>
      <c r="AI321" s="6"/>
      <c r="AJ321" s="2"/>
      <c r="AK321" s="56"/>
      <c r="AL321" s="2"/>
      <c r="AM321" s="2"/>
      <c r="AN321" s="2"/>
      <c r="AO321" s="2"/>
      <c r="AP321" s="6"/>
      <c r="AQ321" s="2"/>
      <c r="AR321" s="2"/>
      <c r="AS321" s="2"/>
      <c r="AT321" s="2"/>
      <c r="AU321" s="2"/>
      <c r="AV321" s="2"/>
      <c r="AW321" s="2"/>
      <c r="AX321" s="6"/>
      <c r="AY321" s="2"/>
      <c r="AZ321" s="2"/>
      <c r="BA321" s="2"/>
      <c r="BB321" s="2"/>
      <c r="BC321" s="2"/>
      <c r="BD321" s="6"/>
      <c r="BE321" s="2"/>
      <c r="BF321" s="6"/>
      <c r="BG321" s="58"/>
      <c r="BH321" s="6"/>
      <c r="BI321" s="2"/>
    </row>
    <row r="322" ht="12.75" customHeight="1">
      <c r="A322" s="71"/>
      <c r="B322" s="71"/>
      <c r="C322" s="11"/>
      <c r="D322" s="11"/>
      <c r="E322" s="2"/>
      <c r="F322" s="2"/>
      <c r="G322" s="2"/>
      <c r="H322" s="54"/>
      <c r="I322" s="11"/>
      <c r="J322" s="54"/>
      <c r="K322" s="54"/>
      <c r="L322" s="5"/>
      <c r="M322" s="5"/>
      <c r="N322" s="5"/>
      <c r="O322" s="5"/>
      <c r="P322" s="5"/>
      <c r="Q322" s="5"/>
      <c r="R322" s="2"/>
      <c r="S322" s="2"/>
      <c r="T322" s="2"/>
      <c r="U322" s="2"/>
      <c r="V322" s="2"/>
      <c r="W322" s="2"/>
      <c r="X322" s="6"/>
      <c r="Y322" s="2"/>
      <c r="Z322" s="2"/>
      <c r="AA322" s="2"/>
      <c r="AB322" s="2"/>
      <c r="AC322" s="6"/>
      <c r="AD322" s="2"/>
      <c r="AE322" s="2"/>
      <c r="AF322" s="2"/>
      <c r="AG322" s="2"/>
      <c r="AH322" s="2"/>
      <c r="AI322" s="6"/>
      <c r="AJ322" s="2"/>
      <c r="AK322" s="56"/>
      <c r="AL322" s="2"/>
      <c r="AM322" s="2"/>
      <c r="AN322" s="2"/>
      <c r="AO322" s="2"/>
      <c r="AP322" s="6"/>
      <c r="AQ322" s="2"/>
      <c r="AR322" s="2"/>
      <c r="AS322" s="2"/>
      <c r="AT322" s="2"/>
      <c r="AU322" s="2"/>
      <c r="AV322" s="2"/>
      <c r="AW322" s="2"/>
      <c r="AX322" s="6"/>
      <c r="AY322" s="2"/>
      <c r="AZ322" s="2"/>
      <c r="BA322" s="2"/>
      <c r="BB322" s="2"/>
      <c r="BC322" s="2"/>
      <c r="BD322" s="6"/>
      <c r="BE322" s="2"/>
      <c r="BF322" s="6"/>
      <c r="BG322" s="58"/>
      <c r="BH322" s="6"/>
      <c r="BI322" s="2"/>
    </row>
    <row r="323" ht="12.75" customHeight="1">
      <c r="A323" s="71"/>
      <c r="B323" s="71"/>
      <c r="C323" s="11"/>
      <c r="D323" s="11"/>
      <c r="E323" s="2"/>
      <c r="F323" s="2"/>
      <c r="G323" s="2"/>
      <c r="H323" s="54"/>
      <c r="I323" s="11"/>
      <c r="J323" s="54"/>
      <c r="K323" s="54"/>
      <c r="L323" s="5"/>
      <c r="M323" s="5"/>
      <c r="N323" s="5"/>
      <c r="O323" s="5"/>
      <c r="P323" s="5"/>
      <c r="Q323" s="5"/>
      <c r="R323" s="2"/>
      <c r="S323" s="2"/>
      <c r="T323" s="2"/>
      <c r="U323" s="2"/>
      <c r="V323" s="2"/>
      <c r="W323" s="2"/>
      <c r="X323" s="6"/>
      <c r="Y323" s="2"/>
      <c r="Z323" s="2"/>
      <c r="AA323" s="2"/>
      <c r="AB323" s="2"/>
      <c r="AC323" s="6"/>
      <c r="AD323" s="2"/>
      <c r="AE323" s="2"/>
      <c r="AF323" s="2"/>
      <c r="AG323" s="2"/>
      <c r="AH323" s="2"/>
      <c r="AI323" s="6"/>
      <c r="AJ323" s="2"/>
      <c r="AK323" s="56"/>
      <c r="AL323" s="2"/>
      <c r="AM323" s="2"/>
      <c r="AN323" s="2"/>
      <c r="AO323" s="2"/>
      <c r="AP323" s="6"/>
      <c r="AQ323" s="2"/>
      <c r="AR323" s="2"/>
      <c r="AS323" s="2"/>
      <c r="AT323" s="2"/>
      <c r="AU323" s="2"/>
      <c r="AV323" s="2"/>
      <c r="AW323" s="2"/>
      <c r="AX323" s="6"/>
      <c r="AY323" s="2"/>
      <c r="AZ323" s="2"/>
      <c r="BA323" s="2"/>
      <c r="BB323" s="2"/>
      <c r="BC323" s="2"/>
      <c r="BD323" s="6"/>
      <c r="BE323" s="2"/>
      <c r="BF323" s="6"/>
      <c r="BG323" s="58"/>
      <c r="BH323" s="6"/>
      <c r="BI323" s="2"/>
    </row>
    <row r="324" ht="12.75" customHeight="1">
      <c r="A324" s="71"/>
      <c r="B324" s="71"/>
      <c r="C324" s="11"/>
      <c r="D324" s="11"/>
      <c r="E324" s="2"/>
      <c r="F324" s="2"/>
      <c r="G324" s="2"/>
      <c r="H324" s="54"/>
      <c r="I324" s="11"/>
      <c r="J324" s="54"/>
      <c r="K324" s="54"/>
      <c r="L324" s="5"/>
      <c r="M324" s="5"/>
      <c r="N324" s="5"/>
      <c r="O324" s="5"/>
      <c r="P324" s="5"/>
      <c r="Q324" s="5"/>
      <c r="R324" s="2"/>
      <c r="S324" s="2"/>
      <c r="T324" s="2"/>
      <c r="U324" s="2"/>
      <c r="V324" s="2"/>
      <c r="W324" s="2"/>
      <c r="X324" s="6"/>
      <c r="Y324" s="2"/>
      <c r="Z324" s="2"/>
      <c r="AA324" s="2"/>
      <c r="AB324" s="2"/>
      <c r="AC324" s="6"/>
      <c r="AD324" s="2"/>
      <c r="AE324" s="2"/>
      <c r="AF324" s="2"/>
      <c r="AG324" s="2"/>
      <c r="AH324" s="2"/>
      <c r="AI324" s="6"/>
      <c r="AJ324" s="2"/>
      <c r="AK324" s="56"/>
      <c r="AL324" s="2"/>
      <c r="AM324" s="2"/>
      <c r="AN324" s="2"/>
      <c r="AO324" s="2"/>
      <c r="AP324" s="6"/>
      <c r="AQ324" s="2"/>
      <c r="AR324" s="2"/>
      <c r="AS324" s="2"/>
      <c r="AT324" s="2"/>
      <c r="AU324" s="2"/>
      <c r="AV324" s="2"/>
      <c r="AW324" s="2"/>
      <c r="AX324" s="6"/>
      <c r="AY324" s="2"/>
      <c r="AZ324" s="2"/>
      <c r="BA324" s="2"/>
      <c r="BB324" s="2"/>
      <c r="BC324" s="2"/>
      <c r="BD324" s="6"/>
      <c r="BE324" s="2"/>
      <c r="BF324" s="6"/>
      <c r="BG324" s="58"/>
      <c r="BH324" s="6"/>
      <c r="BI324" s="2"/>
    </row>
    <row r="325" ht="12.75" customHeight="1">
      <c r="A325" s="71"/>
      <c r="B325" s="71"/>
      <c r="C325" s="11"/>
      <c r="D325" s="11"/>
      <c r="E325" s="2"/>
      <c r="F325" s="2"/>
      <c r="G325" s="2"/>
      <c r="H325" s="54"/>
      <c r="I325" s="11"/>
      <c r="J325" s="54"/>
      <c r="K325" s="54"/>
      <c r="L325" s="5"/>
      <c r="M325" s="5"/>
      <c r="N325" s="5"/>
      <c r="O325" s="5"/>
      <c r="P325" s="5"/>
      <c r="Q325" s="5"/>
      <c r="R325" s="2"/>
      <c r="S325" s="2"/>
      <c r="T325" s="2"/>
      <c r="U325" s="2"/>
      <c r="V325" s="2"/>
      <c r="W325" s="2"/>
      <c r="X325" s="6"/>
      <c r="Y325" s="2"/>
      <c r="Z325" s="2"/>
      <c r="AA325" s="2"/>
      <c r="AB325" s="2"/>
      <c r="AC325" s="6"/>
      <c r="AD325" s="2"/>
      <c r="AE325" s="2"/>
      <c r="AF325" s="2"/>
      <c r="AG325" s="2"/>
      <c r="AH325" s="2"/>
      <c r="AI325" s="6"/>
      <c r="AJ325" s="2"/>
      <c r="AK325" s="56"/>
      <c r="AL325" s="2"/>
      <c r="AM325" s="2"/>
      <c r="AN325" s="2"/>
      <c r="AO325" s="2"/>
      <c r="AP325" s="6"/>
      <c r="AQ325" s="2"/>
      <c r="AR325" s="2"/>
      <c r="AS325" s="2"/>
      <c r="AT325" s="2"/>
      <c r="AU325" s="2"/>
      <c r="AV325" s="2"/>
      <c r="AW325" s="2"/>
      <c r="AX325" s="6"/>
      <c r="AY325" s="2"/>
      <c r="AZ325" s="2"/>
      <c r="BA325" s="2"/>
      <c r="BB325" s="2"/>
      <c r="BC325" s="2"/>
      <c r="BD325" s="6"/>
      <c r="BE325" s="2"/>
      <c r="BF325" s="6"/>
      <c r="BG325" s="58"/>
      <c r="BH325" s="6"/>
      <c r="BI325" s="2"/>
    </row>
    <row r="326" ht="12.75" customHeight="1">
      <c r="A326" s="71"/>
      <c r="B326" s="71"/>
      <c r="C326" s="11"/>
      <c r="D326" s="11"/>
      <c r="E326" s="2"/>
      <c r="F326" s="2"/>
      <c r="G326" s="2"/>
      <c r="H326" s="54"/>
      <c r="I326" s="11"/>
      <c r="J326" s="54"/>
      <c r="K326" s="54"/>
      <c r="L326" s="5"/>
      <c r="M326" s="5"/>
      <c r="N326" s="5"/>
      <c r="O326" s="5"/>
      <c r="P326" s="5"/>
      <c r="Q326" s="5"/>
      <c r="R326" s="2"/>
      <c r="S326" s="2"/>
      <c r="T326" s="2"/>
      <c r="U326" s="2"/>
      <c r="V326" s="2"/>
      <c r="W326" s="2"/>
      <c r="X326" s="6"/>
      <c r="Y326" s="2"/>
      <c r="Z326" s="2"/>
      <c r="AA326" s="2"/>
      <c r="AB326" s="2"/>
      <c r="AC326" s="6"/>
      <c r="AD326" s="2"/>
      <c r="AE326" s="2"/>
      <c r="AF326" s="2"/>
      <c r="AG326" s="2"/>
      <c r="AH326" s="2"/>
      <c r="AI326" s="6"/>
      <c r="AJ326" s="2"/>
      <c r="AK326" s="56"/>
      <c r="AL326" s="2"/>
      <c r="AM326" s="2"/>
      <c r="AN326" s="2"/>
      <c r="AO326" s="2"/>
      <c r="AP326" s="6"/>
      <c r="AQ326" s="2"/>
      <c r="AR326" s="2"/>
      <c r="AS326" s="2"/>
      <c r="AT326" s="2"/>
      <c r="AU326" s="2"/>
      <c r="AV326" s="2"/>
      <c r="AW326" s="2"/>
      <c r="AX326" s="6"/>
      <c r="AY326" s="2"/>
      <c r="AZ326" s="2"/>
      <c r="BA326" s="2"/>
      <c r="BB326" s="2"/>
      <c r="BC326" s="2"/>
      <c r="BD326" s="6"/>
      <c r="BE326" s="2"/>
      <c r="BF326" s="6"/>
      <c r="BG326" s="58"/>
      <c r="BH326" s="6"/>
      <c r="BI326" s="2"/>
    </row>
    <row r="327" ht="12.75" customHeight="1">
      <c r="A327" s="71"/>
      <c r="B327" s="71"/>
      <c r="C327" s="11"/>
      <c r="D327" s="11"/>
      <c r="E327" s="2"/>
      <c r="F327" s="2"/>
      <c r="G327" s="2"/>
      <c r="H327" s="54"/>
      <c r="I327" s="11"/>
      <c r="J327" s="54"/>
      <c r="K327" s="54"/>
      <c r="L327" s="5"/>
      <c r="M327" s="5"/>
      <c r="N327" s="5"/>
      <c r="O327" s="5"/>
      <c r="P327" s="5"/>
      <c r="Q327" s="5"/>
      <c r="R327" s="2"/>
      <c r="S327" s="2"/>
      <c r="T327" s="2"/>
      <c r="U327" s="2"/>
      <c r="V327" s="2"/>
      <c r="W327" s="2"/>
      <c r="X327" s="6"/>
      <c r="Y327" s="2"/>
      <c r="Z327" s="2"/>
      <c r="AA327" s="2"/>
      <c r="AB327" s="2"/>
      <c r="AC327" s="6"/>
      <c r="AD327" s="2"/>
      <c r="AE327" s="2"/>
      <c r="AF327" s="2"/>
      <c r="AG327" s="2"/>
      <c r="AH327" s="2"/>
      <c r="AI327" s="6"/>
      <c r="AJ327" s="2"/>
      <c r="AK327" s="56"/>
      <c r="AL327" s="2"/>
      <c r="AM327" s="2"/>
      <c r="AN327" s="2"/>
      <c r="AO327" s="2"/>
      <c r="AP327" s="6"/>
      <c r="AQ327" s="2"/>
      <c r="AR327" s="2"/>
      <c r="AS327" s="2"/>
      <c r="AT327" s="2"/>
      <c r="AU327" s="2"/>
      <c r="AV327" s="2"/>
      <c r="AW327" s="2"/>
      <c r="AX327" s="6"/>
      <c r="AY327" s="2"/>
      <c r="AZ327" s="2"/>
      <c r="BA327" s="2"/>
      <c r="BB327" s="2"/>
      <c r="BC327" s="2"/>
      <c r="BD327" s="6"/>
      <c r="BE327" s="2"/>
      <c r="BF327" s="6"/>
      <c r="BG327" s="58"/>
      <c r="BH327" s="6"/>
      <c r="BI327" s="2"/>
    </row>
    <row r="328" ht="12.75" customHeight="1">
      <c r="A328" s="71"/>
      <c r="B328" s="71"/>
      <c r="C328" s="11"/>
      <c r="D328" s="11"/>
      <c r="E328" s="2"/>
      <c r="F328" s="2"/>
      <c r="G328" s="2"/>
      <c r="H328" s="54"/>
      <c r="I328" s="11"/>
      <c r="J328" s="54"/>
      <c r="K328" s="54"/>
      <c r="L328" s="5"/>
      <c r="M328" s="5"/>
      <c r="N328" s="5"/>
      <c r="O328" s="5"/>
      <c r="P328" s="5"/>
      <c r="Q328" s="5"/>
      <c r="R328" s="2"/>
      <c r="S328" s="2"/>
      <c r="T328" s="2"/>
      <c r="U328" s="2"/>
      <c r="V328" s="2"/>
      <c r="W328" s="2"/>
      <c r="X328" s="6"/>
      <c r="Y328" s="2"/>
      <c r="Z328" s="2"/>
      <c r="AA328" s="2"/>
      <c r="AB328" s="2"/>
      <c r="AC328" s="6"/>
      <c r="AD328" s="2"/>
      <c r="AE328" s="2"/>
      <c r="AF328" s="2"/>
      <c r="AG328" s="2"/>
      <c r="AH328" s="2"/>
      <c r="AI328" s="6"/>
      <c r="AJ328" s="2"/>
      <c r="AK328" s="56"/>
      <c r="AL328" s="2"/>
      <c r="AM328" s="2"/>
      <c r="AN328" s="2"/>
      <c r="AO328" s="2"/>
      <c r="AP328" s="6"/>
      <c r="AQ328" s="2"/>
      <c r="AR328" s="2"/>
      <c r="AS328" s="2"/>
      <c r="AT328" s="2"/>
      <c r="AU328" s="2"/>
      <c r="AV328" s="2"/>
      <c r="AW328" s="2"/>
      <c r="AX328" s="6"/>
      <c r="AY328" s="2"/>
      <c r="AZ328" s="2"/>
      <c r="BA328" s="2"/>
      <c r="BB328" s="2"/>
      <c r="BC328" s="2"/>
      <c r="BD328" s="6"/>
      <c r="BE328" s="2"/>
      <c r="BF328" s="6"/>
      <c r="BG328" s="58"/>
      <c r="BH328" s="6"/>
      <c r="BI328" s="2"/>
    </row>
    <row r="329" ht="12.75" customHeight="1">
      <c r="A329" s="71"/>
      <c r="B329" s="71"/>
      <c r="C329" s="11"/>
      <c r="D329" s="11"/>
      <c r="E329" s="2"/>
      <c r="F329" s="2"/>
      <c r="G329" s="2"/>
      <c r="H329" s="54"/>
      <c r="I329" s="11"/>
      <c r="J329" s="54"/>
      <c r="K329" s="54"/>
      <c r="L329" s="5"/>
      <c r="M329" s="5"/>
      <c r="N329" s="5"/>
      <c r="O329" s="5"/>
      <c r="P329" s="5"/>
      <c r="Q329" s="5"/>
      <c r="R329" s="2"/>
      <c r="S329" s="2"/>
      <c r="T329" s="2"/>
      <c r="U329" s="2"/>
      <c r="V329" s="2"/>
      <c r="W329" s="2"/>
      <c r="X329" s="6"/>
      <c r="Y329" s="2"/>
      <c r="Z329" s="2"/>
      <c r="AA329" s="2"/>
      <c r="AB329" s="2"/>
      <c r="AC329" s="6"/>
      <c r="AD329" s="2"/>
      <c r="AE329" s="2"/>
      <c r="AF329" s="2"/>
      <c r="AG329" s="2"/>
      <c r="AH329" s="2"/>
      <c r="AI329" s="6"/>
      <c r="AJ329" s="2"/>
      <c r="AK329" s="56"/>
      <c r="AL329" s="2"/>
      <c r="AM329" s="2"/>
      <c r="AN329" s="2"/>
      <c r="AO329" s="2"/>
      <c r="AP329" s="6"/>
      <c r="AQ329" s="2"/>
      <c r="AR329" s="2"/>
      <c r="AS329" s="2"/>
      <c r="AT329" s="2"/>
      <c r="AU329" s="2"/>
      <c r="AV329" s="2"/>
      <c r="AW329" s="2"/>
      <c r="AX329" s="6"/>
      <c r="AY329" s="2"/>
      <c r="AZ329" s="2"/>
      <c r="BA329" s="2"/>
      <c r="BB329" s="2"/>
      <c r="BC329" s="2"/>
      <c r="BD329" s="6"/>
      <c r="BE329" s="2"/>
      <c r="BF329" s="6"/>
      <c r="BG329" s="58"/>
      <c r="BH329" s="6"/>
      <c r="BI329" s="2"/>
    </row>
    <row r="330" ht="12.75" customHeight="1">
      <c r="A330" s="71"/>
      <c r="B330" s="71"/>
      <c r="C330" s="11"/>
      <c r="D330" s="11"/>
      <c r="E330" s="2"/>
      <c r="F330" s="2"/>
      <c r="G330" s="2"/>
      <c r="H330" s="54"/>
      <c r="I330" s="11"/>
      <c r="J330" s="54"/>
      <c r="K330" s="54"/>
      <c r="L330" s="5"/>
      <c r="M330" s="5"/>
      <c r="N330" s="5"/>
      <c r="O330" s="5"/>
      <c r="P330" s="5"/>
      <c r="Q330" s="5"/>
      <c r="R330" s="2"/>
      <c r="S330" s="2"/>
      <c r="T330" s="2"/>
      <c r="U330" s="2"/>
      <c r="V330" s="2"/>
      <c r="W330" s="2"/>
      <c r="X330" s="6"/>
      <c r="Y330" s="2"/>
      <c r="Z330" s="2"/>
      <c r="AA330" s="2"/>
      <c r="AB330" s="2"/>
      <c r="AC330" s="6"/>
      <c r="AD330" s="2"/>
      <c r="AE330" s="2"/>
      <c r="AF330" s="2"/>
      <c r="AG330" s="2"/>
      <c r="AH330" s="2"/>
      <c r="AI330" s="6"/>
      <c r="AJ330" s="2"/>
      <c r="AK330" s="56"/>
      <c r="AL330" s="2"/>
      <c r="AM330" s="2"/>
      <c r="AN330" s="2"/>
      <c r="AO330" s="2"/>
      <c r="AP330" s="6"/>
      <c r="AQ330" s="2"/>
      <c r="AR330" s="2"/>
      <c r="AS330" s="2"/>
      <c r="AT330" s="2"/>
      <c r="AU330" s="2"/>
      <c r="AV330" s="2"/>
      <c r="AW330" s="2"/>
      <c r="AX330" s="6"/>
      <c r="AY330" s="2"/>
      <c r="AZ330" s="2"/>
      <c r="BA330" s="2"/>
      <c r="BB330" s="2"/>
      <c r="BC330" s="2"/>
      <c r="BD330" s="6"/>
      <c r="BE330" s="2"/>
      <c r="BF330" s="6"/>
      <c r="BG330" s="58"/>
      <c r="BH330" s="6"/>
      <c r="BI330" s="2"/>
    </row>
    <row r="331" ht="12.75" customHeight="1">
      <c r="A331" s="71"/>
      <c r="B331" s="71"/>
      <c r="C331" s="11"/>
      <c r="D331" s="11"/>
      <c r="E331" s="2"/>
      <c r="F331" s="2"/>
      <c r="G331" s="2"/>
      <c r="H331" s="54"/>
      <c r="I331" s="11"/>
      <c r="J331" s="54"/>
      <c r="K331" s="54"/>
      <c r="L331" s="5"/>
      <c r="M331" s="5"/>
      <c r="N331" s="5"/>
      <c r="O331" s="5"/>
      <c r="P331" s="5"/>
      <c r="Q331" s="5"/>
      <c r="R331" s="2"/>
      <c r="S331" s="2"/>
      <c r="T331" s="2"/>
      <c r="U331" s="2"/>
      <c r="V331" s="2"/>
      <c r="W331" s="2"/>
      <c r="X331" s="6"/>
      <c r="Y331" s="2"/>
      <c r="Z331" s="2"/>
      <c r="AA331" s="2"/>
      <c r="AB331" s="2"/>
      <c r="AC331" s="6"/>
      <c r="AD331" s="2"/>
      <c r="AE331" s="2"/>
      <c r="AF331" s="2"/>
      <c r="AG331" s="2"/>
      <c r="AH331" s="2"/>
      <c r="AI331" s="6"/>
      <c r="AJ331" s="2"/>
      <c r="AK331" s="56"/>
      <c r="AL331" s="2"/>
      <c r="AM331" s="2"/>
      <c r="AN331" s="2"/>
      <c r="AO331" s="2"/>
      <c r="AP331" s="6"/>
      <c r="AQ331" s="2"/>
      <c r="AR331" s="2"/>
      <c r="AS331" s="2"/>
      <c r="AT331" s="2"/>
      <c r="AU331" s="2"/>
      <c r="AV331" s="2"/>
      <c r="AW331" s="2"/>
      <c r="AX331" s="6"/>
      <c r="AY331" s="2"/>
      <c r="AZ331" s="2"/>
      <c r="BA331" s="2"/>
      <c r="BB331" s="2"/>
      <c r="BC331" s="2"/>
      <c r="BD331" s="6"/>
      <c r="BE331" s="2"/>
      <c r="BF331" s="6"/>
      <c r="BG331" s="58"/>
      <c r="BH331" s="6"/>
      <c r="BI331" s="2"/>
    </row>
    <row r="332" ht="12.75" customHeight="1">
      <c r="A332" s="71"/>
      <c r="B332" s="71"/>
      <c r="C332" s="11"/>
      <c r="D332" s="11"/>
      <c r="E332" s="2"/>
      <c r="F332" s="2"/>
      <c r="G332" s="2"/>
      <c r="H332" s="54"/>
      <c r="I332" s="11"/>
      <c r="J332" s="54"/>
      <c r="K332" s="54"/>
      <c r="L332" s="5"/>
      <c r="M332" s="5"/>
      <c r="N332" s="5"/>
      <c r="O332" s="5"/>
      <c r="P332" s="5"/>
      <c r="Q332" s="5"/>
      <c r="R332" s="2"/>
      <c r="S332" s="2"/>
      <c r="T332" s="2"/>
      <c r="U332" s="2"/>
      <c r="V332" s="2"/>
      <c r="W332" s="2"/>
      <c r="X332" s="6"/>
      <c r="Y332" s="2"/>
      <c r="Z332" s="2"/>
      <c r="AA332" s="2"/>
      <c r="AB332" s="2"/>
      <c r="AC332" s="6"/>
      <c r="AD332" s="2"/>
      <c r="AE332" s="2"/>
      <c r="AF332" s="2"/>
      <c r="AG332" s="2"/>
      <c r="AH332" s="2"/>
      <c r="AI332" s="6"/>
      <c r="AJ332" s="2"/>
      <c r="AK332" s="56"/>
      <c r="AL332" s="2"/>
      <c r="AM332" s="2"/>
      <c r="AN332" s="2"/>
      <c r="AO332" s="2"/>
      <c r="AP332" s="6"/>
      <c r="AQ332" s="2"/>
      <c r="AR332" s="2"/>
      <c r="AS332" s="2"/>
      <c r="AT332" s="2"/>
      <c r="AU332" s="2"/>
      <c r="AV332" s="2"/>
      <c r="AW332" s="2"/>
      <c r="AX332" s="6"/>
      <c r="AY332" s="2"/>
      <c r="AZ332" s="2"/>
      <c r="BA332" s="2"/>
      <c r="BB332" s="2"/>
      <c r="BC332" s="2"/>
      <c r="BD332" s="6"/>
      <c r="BE332" s="2"/>
      <c r="BF332" s="6"/>
      <c r="BG332" s="58"/>
      <c r="BH332" s="6"/>
      <c r="BI332" s="2"/>
    </row>
    <row r="333" ht="12.75" customHeight="1">
      <c r="A333" s="71"/>
      <c r="B333" s="71"/>
      <c r="C333" s="11"/>
      <c r="D333" s="11"/>
      <c r="E333" s="2"/>
      <c r="F333" s="2"/>
      <c r="G333" s="2"/>
      <c r="H333" s="54"/>
      <c r="I333" s="11"/>
      <c r="J333" s="54"/>
      <c r="K333" s="54"/>
      <c r="L333" s="5"/>
      <c r="M333" s="5"/>
      <c r="N333" s="5"/>
      <c r="O333" s="5"/>
      <c r="P333" s="5"/>
      <c r="Q333" s="5"/>
      <c r="R333" s="2"/>
      <c r="S333" s="2"/>
      <c r="T333" s="2"/>
      <c r="U333" s="2"/>
      <c r="V333" s="2"/>
      <c r="W333" s="2"/>
      <c r="X333" s="6"/>
      <c r="Y333" s="2"/>
      <c r="Z333" s="2"/>
      <c r="AA333" s="2"/>
      <c r="AB333" s="2"/>
      <c r="AC333" s="6"/>
      <c r="AD333" s="2"/>
      <c r="AE333" s="2"/>
      <c r="AF333" s="2"/>
      <c r="AG333" s="2"/>
      <c r="AH333" s="2"/>
      <c r="AI333" s="6"/>
      <c r="AJ333" s="2"/>
      <c r="AK333" s="56"/>
      <c r="AL333" s="2"/>
      <c r="AM333" s="2"/>
      <c r="AN333" s="2"/>
      <c r="AO333" s="2"/>
      <c r="AP333" s="6"/>
      <c r="AQ333" s="2"/>
      <c r="AR333" s="2"/>
      <c r="AS333" s="2"/>
      <c r="AT333" s="2"/>
      <c r="AU333" s="2"/>
      <c r="AV333" s="2"/>
      <c r="AW333" s="2"/>
      <c r="AX333" s="6"/>
      <c r="AY333" s="2"/>
      <c r="AZ333" s="2"/>
      <c r="BA333" s="2"/>
      <c r="BB333" s="2"/>
      <c r="BC333" s="2"/>
      <c r="BD333" s="6"/>
      <c r="BE333" s="2"/>
      <c r="BF333" s="6"/>
      <c r="BG333" s="58"/>
      <c r="BH333" s="6"/>
      <c r="BI333" s="2"/>
    </row>
    <row r="334" ht="12.75" customHeight="1">
      <c r="A334" s="71"/>
      <c r="B334" s="71"/>
      <c r="C334" s="11"/>
      <c r="D334" s="11"/>
      <c r="E334" s="2"/>
      <c r="F334" s="2"/>
      <c r="G334" s="2"/>
      <c r="H334" s="54"/>
      <c r="I334" s="11"/>
      <c r="J334" s="54"/>
      <c r="K334" s="54"/>
      <c r="L334" s="5"/>
      <c r="M334" s="5"/>
      <c r="N334" s="5"/>
      <c r="O334" s="5"/>
      <c r="P334" s="5"/>
      <c r="Q334" s="5"/>
      <c r="R334" s="2"/>
      <c r="S334" s="2"/>
      <c r="T334" s="2"/>
      <c r="U334" s="2"/>
      <c r="V334" s="2"/>
      <c r="W334" s="2"/>
      <c r="X334" s="6"/>
      <c r="Y334" s="2"/>
      <c r="Z334" s="2"/>
      <c r="AA334" s="2"/>
      <c r="AB334" s="2"/>
      <c r="AC334" s="6"/>
      <c r="AD334" s="2"/>
      <c r="AE334" s="2"/>
      <c r="AF334" s="2"/>
      <c r="AG334" s="2"/>
      <c r="AH334" s="2"/>
      <c r="AI334" s="6"/>
      <c r="AJ334" s="2"/>
      <c r="AK334" s="56"/>
      <c r="AL334" s="2"/>
      <c r="AM334" s="2"/>
      <c r="AN334" s="2"/>
      <c r="AO334" s="2"/>
      <c r="AP334" s="6"/>
      <c r="AQ334" s="2"/>
      <c r="AR334" s="2"/>
      <c r="AS334" s="2"/>
      <c r="AT334" s="2"/>
      <c r="AU334" s="2"/>
      <c r="AV334" s="2"/>
      <c r="AW334" s="2"/>
      <c r="AX334" s="6"/>
      <c r="AY334" s="2"/>
      <c r="AZ334" s="2"/>
      <c r="BA334" s="2"/>
      <c r="BB334" s="2"/>
      <c r="BC334" s="2"/>
      <c r="BD334" s="6"/>
      <c r="BE334" s="2"/>
      <c r="BF334" s="6"/>
      <c r="BG334" s="58"/>
      <c r="BH334" s="6"/>
      <c r="BI334" s="2"/>
    </row>
    <row r="335" ht="12.75" customHeight="1">
      <c r="A335" s="71"/>
      <c r="B335" s="71"/>
      <c r="C335" s="11"/>
      <c r="D335" s="11"/>
      <c r="E335" s="2"/>
      <c r="F335" s="2"/>
      <c r="G335" s="2"/>
      <c r="H335" s="54"/>
      <c r="I335" s="11"/>
      <c r="J335" s="54"/>
      <c r="K335" s="54"/>
      <c r="L335" s="5"/>
      <c r="M335" s="5"/>
      <c r="N335" s="5"/>
      <c r="O335" s="5"/>
      <c r="P335" s="5"/>
      <c r="Q335" s="5"/>
      <c r="R335" s="2"/>
      <c r="S335" s="2"/>
      <c r="T335" s="2"/>
      <c r="U335" s="2"/>
      <c r="V335" s="2"/>
      <c r="W335" s="2"/>
      <c r="X335" s="6"/>
      <c r="Y335" s="2"/>
      <c r="Z335" s="2"/>
      <c r="AA335" s="2"/>
      <c r="AB335" s="2"/>
      <c r="AC335" s="6"/>
      <c r="AD335" s="2"/>
      <c r="AE335" s="2"/>
      <c r="AF335" s="2"/>
      <c r="AG335" s="2"/>
      <c r="AH335" s="2"/>
      <c r="AI335" s="6"/>
      <c r="AJ335" s="2"/>
      <c r="AK335" s="56"/>
      <c r="AL335" s="2"/>
      <c r="AM335" s="2"/>
      <c r="AN335" s="2"/>
      <c r="AO335" s="2"/>
      <c r="AP335" s="6"/>
      <c r="AQ335" s="2"/>
      <c r="AR335" s="2"/>
      <c r="AS335" s="2"/>
      <c r="AT335" s="2"/>
      <c r="AU335" s="2"/>
      <c r="AV335" s="2"/>
      <c r="AW335" s="2"/>
      <c r="AX335" s="6"/>
      <c r="AY335" s="2"/>
      <c r="AZ335" s="2"/>
      <c r="BA335" s="2"/>
      <c r="BB335" s="2"/>
      <c r="BC335" s="2"/>
      <c r="BD335" s="6"/>
      <c r="BE335" s="2"/>
      <c r="BF335" s="6"/>
      <c r="BG335" s="58"/>
      <c r="BH335" s="6"/>
      <c r="BI335" s="2"/>
    </row>
    <row r="336" ht="12.75" customHeight="1">
      <c r="A336" s="71"/>
      <c r="B336" s="71"/>
      <c r="C336" s="11"/>
      <c r="D336" s="11"/>
      <c r="E336" s="2"/>
      <c r="F336" s="2"/>
      <c r="G336" s="2"/>
      <c r="H336" s="54"/>
      <c r="I336" s="11"/>
      <c r="J336" s="54"/>
      <c r="K336" s="54"/>
      <c r="L336" s="5"/>
      <c r="M336" s="5"/>
      <c r="N336" s="5"/>
      <c r="O336" s="5"/>
      <c r="P336" s="5"/>
      <c r="Q336" s="5"/>
      <c r="R336" s="2"/>
      <c r="S336" s="2"/>
      <c r="T336" s="2"/>
      <c r="U336" s="2"/>
      <c r="V336" s="2"/>
      <c r="W336" s="2"/>
      <c r="X336" s="6"/>
      <c r="Y336" s="2"/>
      <c r="Z336" s="2"/>
      <c r="AA336" s="2"/>
      <c r="AB336" s="2"/>
      <c r="AC336" s="6"/>
      <c r="AD336" s="2"/>
      <c r="AE336" s="2"/>
      <c r="AF336" s="2"/>
      <c r="AG336" s="2"/>
      <c r="AH336" s="2"/>
      <c r="AI336" s="6"/>
      <c r="AJ336" s="2"/>
      <c r="AK336" s="56"/>
      <c r="AL336" s="2"/>
      <c r="AM336" s="2"/>
      <c r="AN336" s="2"/>
      <c r="AO336" s="2"/>
      <c r="AP336" s="6"/>
      <c r="AQ336" s="2"/>
      <c r="AR336" s="2"/>
      <c r="AS336" s="2"/>
      <c r="AT336" s="2"/>
      <c r="AU336" s="2"/>
      <c r="AV336" s="2"/>
      <c r="AW336" s="2"/>
      <c r="AX336" s="6"/>
      <c r="AY336" s="2"/>
      <c r="AZ336" s="2"/>
      <c r="BA336" s="2"/>
      <c r="BB336" s="2"/>
      <c r="BC336" s="2"/>
      <c r="BD336" s="6"/>
      <c r="BE336" s="2"/>
      <c r="BF336" s="6"/>
      <c r="BG336" s="58"/>
      <c r="BH336" s="6"/>
      <c r="BI336" s="2"/>
    </row>
    <row r="337" ht="12.75" customHeight="1">
      <c r="A337" s="71"/>
      <c r="B337" s="71"/>
      <c r="C337" s="11"/>
      <c r="D337" s="11"/>
      <c r="E337" s="2"/>
      <c r="F337" s="2"/>
      <c r="G337" s="2"/>
      <c r="H337" s="54"/>
      <c r="I337" s="11"/>
      <c r="J337" s="54"/>
      <c r="K337" s="54"/>
      <c r="L337" s="5"/>
      <c r="M337" s="5"/>
      <c r="N337" s="5"/>
      <c r="O337" s="5"/>
      <c r="P337" s="5"/>
      <c r="Q337" s="5"/>
      <c r="R337" s="2"/>
      <c r="S337" s="2"/>
      <c r="T337" s="2"/>
      <c r="U337" s="2"/>
      <c r="V337" s="2"/>
      <c r="W337" s="2"/>
      <c r="X337" s="6"/>
      <c r="Y337" s="2"/>
      <c r="Z337" s="2"/>
      <c r="AA337" s="2"/>
      <c r="AB337" s="2"/>
      <c r="AC337" s="6"/>
      <c r="AD337" s="2"/>
      <c r="AE337" s="2"/>
      <c r="AF337" s="2"/>
      <c r="AG337" s="2"/>
      <c r="AH337" s="2"/>
      <c r="AI337" s="6"/>
      <c r="AJ337" s="2"/>
      <c r="AK337" s="56"/>
      <c r="AL337" s="2"/>
      <c r="AM337" s="2"/>
      <c r="AN337" s="2"/>
      <c r="AO337" s="2"/>
      <c r="AP337" s="6"/>
      <c r="AQ337" s="2"/>
      <c r="AR337" s="2"/>
      <c r="AS337" s="2"/>
      <c r="AT337" s="2"/>
      <c r="AU337" s="2"/>
      <c r="AV337" s="2"/>
      <c r="AW337" s="2"/>
      <c r="AX337" s="6"/>
      <c r="AY337" s="2"/>
      <c r="AZ337" s="2"/>
      <c r="BA337" s="2"/>
      <c r="BB337" s="2"/>
      <c r="BC337" s="2"/>
      <c r="BD337" s="6"/>
      <c r="BE337" s="2"/>
      <c r="BF337" s="6"/>
      <c r="BG337" s="58"/>
      <c r="BH337" s="6"/>
      <c r="BI337" s="2"/>
    </row>
    <row r="338" ht="12.75" customHeight="1">
      <c r="A338" s="71"/>
      <c r="B338" s="71"/>
      <c r="C338" s="11"/>
      <c r="D338" s="11"/>
      <c r="E338" s="2"/>
      <c r="F338" s="2"/>
      <c r="G338" s="2"/>
      <c r="H338" s="54"/>
      <c r="I338" s="11"/>
      <c r="J338" s="54"/>
      <c r="K338" s="54"/>
      <c r="L338" s="5"/>
      <c r="M338" s="5"/>
      <c r="N338" s="5"/>
      <c r="O338" s="5"/>
      <c r="P338" s="5"/>
      <c r="Q338" s="5"/>
      <c r="R338" s="2"/>
      <c r="S338" s="2"/>
      <c r="T338" s="2"/>
      <c r="U338" s="2"/>
      <c r="V338" s="2"/>
      <c r="W338" s="2"/>
      <c r="X338" s="6"/>
      <c r="Y338" s="2"/>
      <c r="Z338" s="2"/>
      <c r="AA338" s="2"/>
      <c r="AB338" s="2"/>
      <c r="AC338" s="6"/>
      <c r="AD338" s="2"/>
      <c r="AE338" s="2"/>
      <c r="AF338" s="2"/>
      <c r="AG338" s="2"/>
      <c r="AH338" s="2"/>
      <c r="AI338" s="6"/>
      <c r="AJ338" s="2"/>
      <c r="AK338" s="56"/>
      <c r="AL338" s="2"/>
      <c r="AM338" s="2"/>
      <c r="AN338" s="2"/>
      <c r="AO338" s="2"/>
      <c r="AP338" s="6"/>
      <c r="AQ338" s="2"/>
      <c r="AR338" s="2"/>
      <c r="AS338" s="2"/>
      <c r="AT338" s="2"/>
      <c r="AU338" s="2"/>
      <c r="AV338" s="2"/>
      <c r="AW338" s="2"/>
      <c r="AX338" s="6"/>
      <c r="AY338" s="2"/>
      <c r="AZ338" s="2"/>
      <c r="BA338" s="2"/>
      <c r="BB338" s="2"/>
      <c r="BC338" s="2"/>
      <c r="BD338" s="6"/>
      <c r="BE338" s="2"/>
      <c r="BF338" s="6"/>
      <c r="BG338" s="58"/>
      <c r="BH338" s="6"/>
      <c r="BI338" s="2"/>
    </row>
    <row r="339" ht="12.75" customHeight="1">
      <c r="A339" s="71"/>
      <c r="B339" s="71"/>
      <c r="C339" s="11"/>
      <c r="D339" s="11"/>
      <c r="E339" s="2"/>
      <c r="F339" s="2"/>
      <c r="G339" s="2"/>
      <c r="H339" s="54"/>
      <c r="I339" s="11"/>
      <c r="J339" s="54"/>
      <c r="K339" s="54"/>
      <c r="L339" s="5"/>
      <c r="M339" s="5"/>
      <c r="N339" s="5"/>
      <c r="O339" s="5"/>
      <c r="P339" s="5"/>
      <c r="Q339" s="5"/>
      <c r="R339" s="2"/>
      <c r="S339" s="2"/>
      <c r="T339" s="2"/>
      <c r="U339" s="2"/>
      <c r="V339" s="2"/>
      <c r="W339" s="2"/>
      <c r="X339" s="6"/>
      <c r="Y339" s="2"/>
      <c r="Z339" s="2"/>
      <c r="AA339" s="2"/>
      <c r="AB339" s="2"/>
      <c r="AC339" s="6"/>
      <c r="AD339" s="2"/>
      <c r="AE339" s="2"/>
      <c r="AF339" s="2"/>
      <c r="AG339" s="2"/>
      <c r="AH339" s="2"/>
      <c r="AI339" s="6"/>
      <c r="AJ339" s="2"/>
      <c r="AK339" s="56"/>
      <c r="AL339" s="2"/>
      <c r="AM339" s="2"/>
      <c r="AN339" s="2"/>
      <c r="AO339" s="2"/>
      <c r="AP339" s="6"/>
      <c r="AQ339" s="2"/>
      <c r="AR339" s="2"/>
      <c r="AS339" s="2"/>
      <c r="AT339" s="2"/>
      <c r="AU339" s="2"/>
      <c r="AV339" s="2"/>
      <c r="AW339" s="2"/>
      <c r="AX339" s="6"/>
      <c r="AY339" s="2"/>
      <c r="AZ339" s="2"/>
      <c r="BA339" s="2"/>
      <c r="BB339" s="2"/>
      <c r="BC339" s="2"/>
      <c r="BD339" s="6"/>
      <c r="BE339" s="2"/>
      <c r="BF339" s="6"/>
      <c r="BG339" s="58"/>
      <c r="BH339" s="6"/>
      <c r="BI339" s="2"/>
    </row>
    <row r="340" ht="12.75" customHeight="1">
      <c r="A340" s="71"/>
      <c r="B340" s="71"/>
      <c r="C340" s="11"/>
      <c r="D340" s="11"/>
      <c r="E340" s="2"/>
      <c r="F340" s="2"/>
      <c r="G340" s="2"/>
      <c r="H340" s="54"/>
      <c r="I340" s="11"/>
      <c r="J340" s="54"/>
      <c r="K340" s="54"/>
      <c r="L340" s="5"/>
      <c r="M340" s="5"/>
      <c r="N340" s="5"/>
      <c r="O340" s="5"/>
      <c r="P340" s="5"/>
      <c r="Q340" s="5"/>
      <c r="R340" s="2"/>
      <c r="S340" s="2"/>
      <c r="T340" s="2"/>
      <c r="U340" s="2"/>
      <c r="V340" s="2"/>
      <c r="W340" s="2"/>
      <c r="X340" s="6"/>
      <c r="Y340" s="2"/>
      <c r="Z340" s="2"/>
      <c r="AA340" s="2"/>
      <c r="AB340" s="2"/>
      <c r="AC340" s="6"/>
      <c r="AD340" s="2"/>
      <c r="AE340" s="2"/>
      <c r="AF340" s="2"/>
      <c r="AG340" s="2"/>
      <c r="AH340" s="2"/>
      <c r="AI340" s="6"/>
      <c r="AJ340" s="2"/>
      <c r="AK340" s="56"/>
      <c r="AL340" s="2"/>
      <c r="AM340" s="2"/>
      <c r="AN340" s="2"/>
      <c r="AO340" s="2"/>
      <c r="AP340" s="6"/>
      <c r="AQ340" s="2"/>
      <c r="AR340" s="2"/>
      <c r="AS340" s="2"/>
      <c r="AT340" s="2"/>
      <c r="AU340" s="2"/>
      <c r="AV340" s="2"/>
      <c r="AW340" s="2"/>
      <c r="AX340" s="6"/>
      <c r="AY340" s="2"/>
      <c r="AZ340" s="2"/>
      <c r="BA340" s="2"/>
      <c r="BB340" s="2"/>
      <c r="BC340" s="2"/>
      <c r="BD340" s="6"/>
      <c r="BE340" s="2"/>
      <c r="BF340" s="6"/>
      <c r="BG340" s="58"/>
      <c r="BH340" s="6"/>
      <c r="BI340" s="2"/>
    </row>
    <row r="341" ht="12.75" customHeight="1">
      <c r="A341" s="71"/>
      <c r="B341" s="71"/>
      <c r="C341" s="11"/>
      <c r="D341" s="11"/>
      <c r="E341" s="2"/>
      <c r="F341" s="2"/>
      <c r="G341" s="2"/>
      <c r="H341" s="54"/>
      <c r="I341" s="11"/>
      <c r="J341" s="54"/>
      <c r="K341" s="54"/>
      <c r="L341" s="5"/>
      <c r="M341" s="5"/>
      <c r="N341" s="5"/>
      <c r="O341" s="5"/>
      <c r="P341" s="5"/>
      <c r="Q341" s="5"/>
      <c r="R341" s="2"/>
      <c r="S341" s="2"/>
      <c r="T341" s="2"/>
      <c r="U341" s="2"/>
      <c r="V341" s="2"/>
      <c r="W341" s="2"/>
      <c r="X341" s="6"/>
      <c r="Y341" s="2"/>
      <c r="Z341" s="2"/>
      <c r="AA341" s="2"/>
      <c r="AB341" s="2"/>
      <c r="AC341" s="6"/>
      <c r="AD341" s="2"/>
      <c r="AE341" s="2"/>
      <c r="AF341" s="2"/>
      <c r="AG341" s="2"/>
      <c r="AH341" s="2"/>
      <c r="AI341" s="6"/>
      <c r="AJ341" s="2"/>
      <c r="AK341" s="56"/>
      <c r="AL341" s="2"/>
      <c r="AM341" s="2"/>
      <c r="AN341" s="2"/>
      <c r="AO341" s="2"/>
      <c r="AP341" s="6"/>
      <c r="AQ341" s="2"/>
      <c r="AR341" s="2"/>
      <c r="AS341" s="2"/>
      <c r="AT341" s="2"/>
      <c r="AU341" s="2"/>
      <c r="AV341" s="2"/>
      <c r="AW341" s="2"/>
      <c r="AX341" s="6"/>
      <c r="AY341" s="2"/>
      <c r="AZ341" s="2"/>
      <c r="BA341" s="2"/>
      <c r="BB341" s="2"/>
      <c r="BC341" s="2"/>
      <c r="BD341" s="6"/>
      <c r="BE341" s="2"/>
      <c r="BF341" s="6"/>
      <c r="BG341" s="58"/>
      <c r="BH341" s="6"/>
      <c r="BI341" s="2"/>
    </row>
    <row r="342" ht="12.75" customHeight="1">
      <c r="A342" s="71"/>
      <c r="B342" s="71"/>
      <c r="C342" s="11"/>
      <c r="D342" s="11"/>
      <c r="E342" s="2"/>
      <c r="F342" s="2"/>
      <c r="G342" s="2"/>
      <c r="H342" s="54"/>
      <c r="I342" s="11"/>
      <c r="J342" s="54"/>
      <c r="K342" s="54"/>
      <c r="L342" s="5"/>
      <c r="M342" s="5"/>
      <c r="N342" s="5"/>
      <c r="O342" s="5"/>
      <c r="P342" s="5"/>
      <c r="Q342" s="5"/>
      <c r="R342" s="2"/>
      <c r="S342" s="2"/>
      <c r="T342" s="2"/>
      <c r="U342" s="2"/>
      <c r="V342" s="2"/>
      <c r="W342" s="2"/>
      <c r="X342" s="6"/>
      <c r="Y342" s="2"/>
      <c r="Z342" s="2"/>
      <c r="AA342" s="2"/>
      <c r="AB342" s="2"/>
      <c r="AC342" s="6"/>
      <c r="AD342" s="2"/>
      <c r="AE342" s="2"/>
      <c r="AF342" s="2"/>
      <c r="AG342" s="2"/>
      <c r="AH342" s="2"/>
      <c r="AI342" s="6"/>
      <c r="AJ342" s="2"/>
      <c r="AK342" s="56"/>
      <c r="AL342" s="2"/>
      <c r="AM342" s="2"/>
      <c r="AN342" s="2"/>
      <c r="AO342" s="2"/>
      <c r="AP342" s="6"/>
      <c r="AQ342" s="2"/>
      <c r="AR342" s="2"/>
      <c r="AS342" s="2"/>
      <c r="AT342" s="2"/>
      <c r="AU342" s="2"/>
      <c r="AV342" s="2"/>
      <c r="AW342" s="2"/>
      <c r="AX342" s="6"/>
      <c r="AY342" s="2"/>
      <c r="AZ342" s="2"/>
      <c r="BA342" s="2"/>
      <c r="BB342" s="2"/>
      <c r="BC342" s="2"/>
      <c r="BD342" s="6"/>
      <c r="BE342" s="2"/>
      <c r="BF342" s="6"/>
      <c r="BG342" s="58"/>
      <c r="BH342" s="6"/>
      <c r="BI342" s="2"/>
    </row>
    <row r="343" ht="12.75" customHeight="1">
      <c r="A343" s="71"/>
      <c r="B343" s="71"/>
      <c r="C343" s="11"/>
      <c r="D343" s="11"/>
      <c r="E343" s="2"/>
      <c r="F343" s="2"/>
      <c r="G343" s="2"/>
      <c r="H343" s="54"/>
      <c r="I343" s="11"/>
      <c r="J343" s="54"/>
      <c r="K343" s="54"/>
      <c r="L343" s="5"/>
      <c r="M343" s="5"/>
      <c r="N343" s="5"/>
      <c r="O343" s="5"/>
      <c r="P343" s="5"/>
      <c r="Q343" s="5"/>
      <c r="R343" s="2"/>
      <c r="S343" s="2"/>
      <c r="T343" s="2"/>
      <c r="U343" s="2"/>
      <c r="V343" s="2"/>
      <c r="W343" s="2"/>
      <c r="X343" s="6"/>
      <c r="Y343" s="2"/>
      <c r="Z343" s="2"/>
      <c r="AA343" s="2"/>
      <c r="AB343" s="2"/>
      <c r="AC343" s="6"/>
      <c r="AD343" s="2"/>
      <c r="AE343" s="2"/>
      <c r="AF343" s="2"/>
      <c r="AG343" s="2"/>
      <c r="AH343" s="2"/>
      <c r="AI343" s="6"/>
      <c r="AJ343" s="2"/>
      <c r="AK343" s="56"/>
      <c r="AL343" s="2"/>
      <c r="AM343" s="2"/>
      <c r="AN343" s="2"/>
      <c r="AO343" s="2"/>
      <c r="AP343" s="6"/>
      <c r="AQ343" s="2"/>
      <c r="AR343" s="2"/>
      <c r="AS343" s="2"/>
      <c r="AT343" s="2"/>
      <c r="AU343" s="2"/>
      <c r="AV343" s="2"/>
      <c r="AW343" s="2"/>
      <c r="AX343" s="6"/>
      <c r="AY343" s="2"/>
      <c r="AZ343" s="2"/>
      <c r="BA343" s="2"/>
      <c r="BB343" s="2"/>
      <c r="BC343" s="2"/>
      <c r="BD343" s="6"/>
      <c r="BE343" s="2"/>
      <c r="BF343" s="6"/>
      <c r="BG343" s="58"/>
      <c r="BH343" s="6"/>
      <c r="BI343" s="2"/>
    </row>
    <row r="344" ht="12.75" customHeight="1">
      <c r="A344" s="71"/>
      <c r="B344" s="71"/>
      <c r="C344" s="11"/>
      <c r="D344" s="11"/>
      <c r="E344" s="2"/>
      <c r="F344" s="2"/>
      <c r="G344" s="2"/>
      <c r="H344" s="54"/>
      <c r="I344" s="11"/>
      <c r="J344" s="54"/>
      <c r="K344" s="54"/>
      <c r="L344" s="5"/>
      <c r="M344" s="5"/>
      <c r="N344" s="5"/>
      <c r="O344" s="5"/>
      <c r="P344" s="5"/>
      <c r="Q344" s="5"/>
      <c r="R344" s="2"/>
      <c r="S344" s="2"/>
      <c r="T344" s="2"/>
      <c r="U344" s="2"/>
      <c r="V344" s="2"/>
      <c r="W344" s="2"/>
      <c r="X344" s="6"/>
      <c r="Y344" s="2"/>
      <c r="Z344" s="2"/>
      <c r="AA344" s="2"/>
      <c r="AB344" s="2"/>
      <c r="AC344" s="6"/>
      <c r="AD344" s="2"/>
      <c r="AE344" s="2"/>
      <c r="AF344" s="2"/>
      <c r="AG344" s="2"/>
      <c r="AH344" s="2"/>
      <c r="AI344" s="6"/>
      <c r="AJ344" s="2"/>
      <c r="AK344" s="56"/>
      <c r="AL344" s="2"/>
      <c r="AM344" s="2"/>
      <c r="AN344" s="2"/>
      <c r="AO344" s="2"/>
      <c r="AP344" s="6"/>
      <c r="AQ344" s="2"/>
      <c r="AR344" s="2"/>
      <c r="AS344" s="2"/>
      <c r="AT344" s="2"/>
      <c r="AU344" s="2"/>
      <c r="AV344" s="2"/>
      <c r="AW344" s="2"/>
      <c r="AX344" s="6"/>
      <c r="AY344" s="2"/>
      <c r="AZ344" s="2"/>
      <c r="BA344" s="2"/>
      <c r="BB344" s="2"/>
      <c r="BC344" s="2"/>
      <c r="BD344" s="6"/>
      <c r="BE344" s="2"/>
      <c r="BF344" s="6"/>
      <c r="BG344" s="58"/>
      <c r="BH344" s="6"/>
      <c r="BI344" s="2"/>
    </row>
    <row r="345" ht="12.75" customHeight="1">
      <c r="A345" s="71"/>
      <c r="B345" s="71"/>
      <c r="C345" s="11"/>
      <c r="D345" s="11"/>
      <c r="E345" s="2"/>
      <c r="F345" s="2"/>
      <c r="G345" s="2"/>
      <c r="H345" s="54"/>
      <c r="I345" s="11"/>
      <c r="J345" s="54"/>
      <c r="K345" s="54"/>
      <c r="L345" s="5"/>
      <c r="M345" s="5"/>
      <c r="N345" s="5"/>
      <c r="O345" s="5"/>
      <c r="P345" s="5"/>
      <c r="Q345" s="5"/>
      <c r="R345" s="2"/>
      <c r="S345" s="2"/>
      <c r="T345" s="2"/>
      <c r="U345" s="2"/>
      <c r="V345" s="2"/>
      <c r="W345" s="2"/>
      <c r="X345" s="6"/>
      <c r="Y345" s="2"/>
      <c r="Z345" s="2"/>
      <c r="AA345" s="2"/>
      <c r="AB345" s="2"/>
      <c r="AC345" s="6"/>
      <c r="AD345" s="2"/>
      <c r="AE345" s="2"/>
      <c r="AF345" s="2"/>
      <c r="AG345" s="2"/>
      <c r="AH345" s="2"/>
      <c r="AI345" s="6"/>
      <c r="AJ345" s="2"/>
      <c r="AK345" s="56"/>
      <c r="AL345" s="2"/>
      <c r="AM345" s="2"/>
      <c r="AN345" s="2"/>
      <c r="AO345" s="2"/>
      <c r="AP345" s="6"/>
      <c r="AQ345" s="2"/>
      <c r="AR345" s="2"/>
      <c r="AS345" s="2"/>
      <c r="AT345" s="2"/>
      <c r="AU345" s="2"/>
      <c r="AV345" s="2"/>
      <c r="AW345" s="2"/>
      <c r="AX345" s="6"/>
      <c r="AY345" s="2"/>
      <c r="AZ345" s="2"/>
      <c r="BA345" s="2"/>
      <c r="BB345" s="2"/>
      <c r="BC345" s="2"/>
      <c r="BD345" s="6"/>
      <c r="BE345" s="2"/>
      <c r="BF345" s="6"/>
      <c r="BG345" s="58"/>
      <c r="BH345" s="6"/>
      <c r="BI345" s="2"/>
    </row>
    <row r="346" ht="12.75" customHeight="1">
      <c r="A346" s="71"/>
      <c r="B346" s="71"/>
      <c r="C346" s="11"/>
      <c r="D346" s="11"/>
      <c r="E346" s="2"/>
      <c r="F346" s="2"/>
      <c r="G346" s="2"/>
      <c r="H346" s="54"/>
      <c r="I346" s="11"/>
      <c r="J346" s="54"/>
      <c r="K346" s="54"/>
      <c r="L346" s="5"/>
      <c r="M346" s="5"/>
      <c r="N346" s="5"/>
      <c r="O346" s="5"/>
      <c r="P346" s="5"/>
      <c r="Q346" s="5"/>
      <c r="R346" s="2"/>
      <c r="S346" s="2"/>
      <c r="T346" s="2"/>
      <c r="U346" s="2"/>
      <c r="V346" s="2"/>
      <c r="W346" s="2"/>
      <c r="X346" s="6"/>
      <c r="Y346" s="2"/>
      <c r="Z346" s="2"/>
      <c r="AA346" s="2"/>
      <c r="AB346" s="2"/>
      <c r="AC346" s="6"/>
      <c r="AD346" s="2"/>
      <c r="AE346" s="2"/>
      <c r="AF346" s="2"/>
      <c r="AG346" s="2"/>
      <c r="AH346" s="2"/>
      <c r="AI346" s="6"/>
      <c r="AJ346" s="2"/>
      <c r="AK346" s="56"/>
      <c r="AL346" s="2"/>
      <c r="AM346" s="2"/>
      <c r="AN346" s="2"/>
      <c r="AO346" s="2"/>
      <c r="AP346" s="6"/>
      <c r="AQ346" s="2"/>
      <c r="AR346" s="2"/>
      <c r="AS346" s="2"/>
      <c r="AT346" s="2"/>
      <c r="AU346" s="2"/>
      <c r="AV346" s="2"/>
      <c r="AW346" s="2"/>
      <c r="AX346" s="6"/>
      <c r="AY346" s="2"/>
      <c r="AZ346" s="2"/>
      <c r="BA346" s="2"/>
      <c r="BB346" s="2"/>
      <c r="BC346" s="2"/>
      <c r="BD346" s="6"/>
      <c r="BE346" s="2"/>
      <c r="BF346" s="6"/>
      <c r="BG346" s="58"/>
      <c r="BH346" s="6"/>
      <c r="BI346" s="2"/>
    </row>
    <row r="347" ht="12.75" customHeight="1">
      <c r="A347" s="71"/>
      <c r="B347" s="71"/>
      <c r="C347" s="11"/>
      <c r="D347" s="11"/>
      <c r="E347" s="2"/>
      <c r="F347" s="2"/>
      <c r="G347" s="2"/>
      <c r="H347" s="54"/>
      <c r="I347" s="11"/>
      <c r="J347" s="54"/>
      <c r="K347" s="54"/>
      <c r="L347" s="5"/>
      <c r="M347" s="5"/>
      <c r="N347" s="5"/>
      <c r="O347" s="5"/>
      <c r="P347" s="5"/>
      <c r="Q347" s="5"/>
      <c r="R347" s="2"/>
      <c r="S347" s="2"/>
      <c r="T347" s="2"/>
      <c r="U347" s="2"/>
      <c r="V347" s="2"/>
      <c r="W347" s="2"/>
      <c r="X347" s="6"/>
      <c r="Y347" s="2"/>
      <c r="Z347" s="2"/>
      <c r="AA347" s="2"/>
      <c r="AB347" s="2"/>
      <c r="AC347" s="6"/>
      <c r="AD347" s="2"/>
      <c r="AE347" s="2"/>
      <c r="AF347" s="2"/>
      <c r="AG347" s="2"/>
      <c r="AH347" s="2"/>
      <c r="AI347" s="6"/>
      <c r="AJ347" s="2"/>
      <c r="AK347" s="56"/>
      <c r="AL347" s="2"/>
      <c r="AM347" s="2"/>
      <c r="AN347" s="2"/>
      <c r="AO347" s="2"/>
      <c r="AP347" s="6"/>
      <c r="AQ347" s="2"/>
      <c r="AR347" s="2"/>
      <c r="AS347" s="2"/>
      <c r="AT347" s="2"/>
      <c r="AU347" s="2"/>
      <c r="AV347" s="2"/>
      <c r="AW347" s="2"/>
      <c r="AX347" s="6"/>
      <c r="AY347" s="2"/>
      <c r="AZ347" s="2"/>
      <c r="BA347" s="2"/>
      <c r="BB347" s="2"/>
      <c r="BC347" s="2"/>
      <c r="BD347" s="6"/>
      <c r="BE347" s="2"/>
      <c r="BF347" s="6"/>
      <c r="BG347" s="58"/>
      <c r="BH347" s="6"/>
      <c r="BI347" s="2"/>
    </row>
    <row r="348" ht="12.75" customHeight="1">
      <c r="A348" s="71"/>
      <c r="B348" s="71"/>
      <c r="C348" s="11"/>
      <c r="D348" s="11"/>
      <c r="E348" s="2"/>
      <c r="F348" s="2"/>
      <c r="G348" s="2"/>
      <c r="H348" s="54"/>
      <c r="I348" s="11"/>
      <c r="J348" s="54"/>
      <c r="K348" s="54"/>
      <c r="L348" s="5"/>
      <c r="M348" s="5"/>
      <c r="N348" s="5"/>
      <c r="O348" s="5"/>
      <c r="P348" s="5"/>
      <c r="Q348" s="5"/>
      <c r="R348" s="2"/>
      <c r="S348" s="2"/>
      <c r="T348" s="2"/>
      <c r="U348" s="2"/>
      <c r="V348" s="2"/>
      <c r="W348" s="2"/>
      <c r="X348" s="6"/>
      <c r="Y348" s="2"/>
      <c r="Z348" s="2"/>
      <c r="AA348" s="2"/>
      <c r="AB348" s="2"/>
      <c r="AC348" s="6"/>
      <c r="AD348" s="2"/>
      <c r="AE348" s="2"/>
      <c r="AF348" s="2"/>
      <c r="AG348" s="2"/>
      <c r="AH348" s="2"/>
      <c r="AI348" s="6"/>
      <c r="AJ348" s="2"/>
      <c r="AK348" s="56"/>
      <c r="AL348" s="2"/>
      <c r="AM348" s="2"/>
      <c r="AN348" s="2"/>
      <c r="AO348" s="2"/>
      <c r="AP348" s="6"/>
      <c r="AQ348" s="2"/>
      <c r="AR348" s="2"/>
      <c r="AS348" s="2"/>
      <c r="AT348" s="2"/>
      <c r="AU348" s="2"/>
      <c r="AV348" s="2"/>
      <c r="AW348" s="2"/>
      <c r="AX348" s="6"/>
      <c r="AY348" s="2"/>
      <c r="AZ348" s="2"/>
      <c r="BA348" s="2"/>
      <c r="BB348" s="2"/>
      <c r="BC348" s="2"/>
      <c r="BD348" s="6"/>
      <c r="BE348" s="2"/>
      <c r="BF348" s="6"/>
      <c r="BG348" s="58"/>
      <c r="BH348" s="6"/>
      <c r="BI348" s="2"/>
    </row>
    <row r="349" ht="12.75" customHeight="1">
      <c r="A349" s="71"/>
      <c r="B349" s="71"/>
      <c r="C349" s="11"/>
      <c r="D349" s="11"/>
      <c r="E349" s="2"/>
      <c r="F349" s="2"/>
      <c r="G349" s="2"/>
      <c r="H349" s="54"/>
      <c r="I349" s="11"/>
      <c r="J349" s="54"/>
      <c r="K349" s="54"/>
      <c r="L349" s="5"/>
      <c r="M349" s="5"/>
      <c r="N349" s="5"/>
      <c r="O349" s="5"/>
      <c r="P349" s="5"/>
      <c r="Q349" s="5"/>
      <c r="R349" s="2"/>
      <c r="S349" s="2"/>
      <c r="T349" s="2"/>
      <c r="U349" s="2"/>
      <c r="V349" s="2"/>
      <c r="W349" s="2"/>
      <c r="X349" s="6"/>
      <c r="Y349" s="2"/>
      <c r="Z349" s="2"/>
      <c r="AA349" s="2"/>
      <c r="AB349" s="2"/>
      <c r="AC349" s="6"/>
      <c r="AD349" s="2"/>
      <c r="AE349" s="2"/>
      <c r="AF349" s="2"/>
      <c r="AG349" s="2"/>
      <c r="AH349" s="2"/>
      <c r="AI349" s="6"/>
      <c r="AJ349" s="2"/>
      <c r="AK349" s="56"/>
      <c r="AL349" s="2"/>
      <c r="AM349" s="2"/>
      <c r="AN349" s="2"/>
      <c r="AO349" s="2"/>
      <c r="AP349" s="6"/>
      <c r="AQ349" s="2"/>
      <c r="AR349" s="2"/>
      <c r="AS349" s="2"/>
      <c r="AT349" s="2"/>
      <c r="AU349" s="2"/>
      <c r="AV349" s="2"/>
      <c r="AW349" s="2"/>
      <c r="AX349" s="6"/>
      <c r="AY349" s="2"/>
      <c r="AZ349" s="2"/>
      <c r="BA349" s="2"/>
      <c r="BB349" s="2"/>
      <c r="BC349" s="2"/>
      <c r="BD349" s="6"/>
      <c r="BE349" s="2"/>
      <c r="BF349" s="6"/>
      <c r="BG349" s="58"/>
      <c r="BH349" s="6"/>
      <c r="BI349" s="2"/>
    </row>
    <row r="350" ht="12.75" customHeight="1">
      <c r="A350" s="71"/>
      <c r="B350" s="71"/>
      <c r="C350" s="11"/>
      <c r="D350" s="11"/>
      <c r="E350" s="2"/>
      <c r="F350" s="2"/>
      <c r="G350" s="2"/>
      <c r="H350" s="54"/>
      <c r="I350" s="11"/>
      <c r="J350" s="54"/>
      <c r="K350" s="54"/>
      <c r="L350" s="5"/>
      <c r="M350" s="5"/>
      <c r="N350" s="5"/>
      <c r="O350" s="5"/>
      <c r="P350" s="5"/>
      <c r="Q350" s="5"/>
      <c r="R350" s="2"/>
      <c r="S350" s="2"/>
      <c r="T350" s="2"/>
      <c r="U350" s="2"/>
      <c r="V350" s="2"/>
      <c r="W350" s="2"/>
      <c r="X350" s="6"/>
      <c r="Y350" s="2"/>
      <c r="Z350" s="2"/>
      <c r="AA350" s="2"/>
      <c r="AB350" s="2"/>
      <c r="AC350" s="6"/>
      <c r="AD350" s="2"/>
      <c r="AE350" s="2"/>
      <c r="AF350" s="2"/>
      <c r="AG350" s="2"/>
      <c r="AH350" s="2"/>
      <c r="AI350" s="6"/>
      <c r="AJ350" s="2"/>
      <c r="AK350" s="56"/>
      <c r="AL350" s="2"/>
      <c r="AM350" s="2"/>
      <c r="AN350" s="2"/>
      <c r="AO350" s="2"/>
      <c r="AP350" s="6"/>
      <c r="AQ350" s="2"/>
      <c r="AR350" s="2"/>
      <c r="AS350" s="2"/>
      <c r="AT350" s="2"/>
      <c r="AU350" s="2"/>
      <c r="AV350" s="2"/>
      <c r="AW350" s="2"/>
      <c r="AX350" s="6"/>
      <c r="AY350" s="2"/>
      <c r="AZ350" s="2"/>
      <c r="BA350" s="2"/>
      <c r="BB350" s="2"/>
      <c r="BC350" s="2"/>
      <c r="BD350" s="6"/>
      <c r="BE350" s="2"/>
      <c r="BF350" s="6"/>
      <c r="BG350" s="58"/>
      <c r="BH350" s="6"/>
      <c r="BI350" s="2"/>
    </row>
    <row r="351" ht="12.75" customHeight="1">
      <c r="A351" s="71"/>
      <c r="B351" s="71"/>
      <c r="C351" s="11"/>
      <c r="D351" s="11"/>
      <c r="E351" s="2"/>
      <c r="F351" s="2"/>
      <c r="G351" s="2"/>
      <c r="H351" s="54"/>
      <c r="I351" s="11"/>
      <c r="J351" s="54"/>
      <c r="K351" s="54"/>
      <c r="L351" s="5"/>
      <c r="M351" s="5"/>
      <c r="N351" s="5"/>
      <c r="O351" s="5"/>
      <c r="P351" s="5"/>
      <c r="Q351" s="5"/>
      <c r="R351" s="2"/>
      <c r="S351" s="2"/>
      <c r="T351" s="2"/>
      <c r="U351" s="2"/>
      <c r="V351" s="2"/>
      <c r="W351" s="2"/>
      <c r="X351" s="6"/>
      <c r="Y351" s="2"/>
      <c r="Z351" s="2"/>
      <c r="AA351" s="2"/>
      <c r="AB351" s="2"/>
      <c r="AC351" s="6"/>
      <c r="AD351" s="2"/>
      <c r="AE351" s="2"/>
      <c r="AF351" s="2"/>
      <c r="AG351" s="2"/>
      <c r="AH351" s="2"/>
      <c r="AI351" s="6"/>
      <c r="AJ351" s="2"/>
      <c r="AK351" s="56"/>
      <c r="AL351" s="2"/>
      <c r="AM351" s="2"/>
      <c r="AN351" s="2"/>
      <c r="AO351" s="2"/>
      <c r="AP351" s="6"/>
      <c r="AQ351" s="2"/>
      <c r="AR351" s="2"/>
      <c r="AS351" s="2"/>
      <c r="AT351" s="2"/>
      <c r="AU351" s="2"/>
      <c r="AV351" s="2"/>
      <c r="AW351" s="2"/>
      <c r="AX351" s="6"/>
      <c r="AY351" s="2"/>
      <c r="AZ351" s="2"/>
      <c r="BA351" s="2"/>
      <c r="BB351" s="2"/>
      <c r="BC351" s="2"/>
      <c r="BD351" s="6"/>
      <c r="BE351" s="2"/>
      <c r="BF351" s="6"/>
      <c r="BG351" s="58"/>
      <c r="BH351" s="6"/>
      <c r="BI351" s="2"/>
    </row>
    <row r="352" ht="12.75" customHeight="1">
      <c r="A352" s="71"/>
      <c r="B352" s="71"/>
      <c r="C352" s="11"/>
      <c r="D352" s="11"/>
      <c r="E352" s="2"/>
      <c r="F352" s="2"/>
      <c r="G352" s="2"/>
      <c r="H352" s="54"/>
      <c r="I352" s="11"/>
      <c r="J352" s="54"/>
      <c r="K352" s="54"/>
      <c r="L352" s="5"/>
      <c r="M352" s="5"/>
      <c r="N352" s="5"/>
      <c r="O352" s="5"/>
      <c r="P352" s="5"/>
      <c r="Q352" s="5"/>
      <c r="R352" s="2"/>
      <c r="S352" s="2"/>
      <c r="T352" s="2"/>
      <c r="U352" s="2"/>
      <c r="V352" s="2"/>
      <c r="W352" s="2"/>
      <c r="X352" s="6"/>
      <c r="Y352" s="2"/>
      <c r="Z352" s="2"/>
      <c r="AA352" s="2"/>
      <c r="AB352" s="2"/>
      <c r="AC352" s="6"/>
      <c r="AD352" s="2"/>
      <c r="AE352" s="2"/>
      <c r="AF352" s="2"/>
      <c r="AG352" s="2"/>
      <c r="AH352" s="2"/>
      <c r="AI352" s="6"/>
      <c r="AJ352" s="2"/>
      <c r="AK352" s="56"/>
      <c r="AL352" s="2"/>
      <c r="AM352" s="2"/>
      <c r="AN352" s="2"/>
      <c r="AO352" s="2"/>
      <c r="AP352" s="6"/>
      <c r="AQ352" s="2"/>
      <c r="AR352" s="2"/>
      <c r="AS352" s="2"/>
      <c r="AT352" s="2"/>
      <c r="AU352" s="2"/>
      <c r="AV352" s="2"/>
      <c r="AW352" s="2"/>
      <c r="AX352" s="6"/>
      <c r="AY352" s="2"/>
      <c r="AZ352" s="2"/>
      <c r="BA352" s="2"/>
      <c r="BB352" s="2"/>
      <c r="BC352" s="2"/>
      <c r="BD352" s="6"/>
      <c r="BE352" s="2"/>
      <c r="BF352" s="6"/>
      <c r="BG352" s="58"/>
      <c r="BH352" s="6"/>
      <c r="BI352" s="2"/>
    </row>
    <row r="353" ht="12.75" customHeight="1">
      <c r="A353" s="71"/>
      <c r="B353" s="71"/>
      <c r="C353" s="11"/>
      <c r="D353" s="11"/>
      <c r="E353" s="2"/>
      <c r="F353" s="2"/>
      <c r="G353" s="2"/>
      <c r="H353" s="54"/>
      <c r="I353" s="11"/>
      <c r="J353" s="54"/>
      <c r="K353" s="54"/>
      <c r="L353" s="5"/>
      <c r="M353" s="5"/>
      <c r="N353" s="5"/>
      <c r="O353" s="5"/>
      <c r="P353" s="5"/>
      <c r="Q353" s="5"/>
      <c r="R353" s="2"/>
      <c r="S353" s="2"/>
      <c r="T353" s="2"/>
      <c r="U353" s="2"/>
      <c r="V353" s="2"/>
      <c r="W353" s="2"/>
      <c r="X353" s="6"/>
      <c r="Y353" s="2"/>
      <c r="Z353" s="2"/>
      <c r="AA353" s="2"/>
      <c r="AB353" s="2"/>
      <c r="AC353" s="6"/>
      <c r="AD353" s="2"/>
      <c r="AE353" s="2"/>
      <c r="AF353" s="2"/>
      <c r="AG353" s="2"/>
      <c r="AH353" s="2"/>
      <c r="AI353" s="6"/>
      <c r="AJ353" s="2"/>
      <c r="AK353" s="56"/>
      <c r="AL353" s="2"/>
      <c r="AM353" s="2"/>
      <c r="AN353" s="2"/>
      <c r="AO353" s="2"/>
      <c r="AP353" s="6"/>
      <c r="AQ353" s="2"/>
      <c r="AR353" s="2"/>
      <c r="AS353" s="2"/>
      <c r="AT353" s="2"/>
      <c r="AU353" s="2"/>
      <c r="AV353" s="2"/>
      <c r="AW353" s="2"/>
      <c r="AX353" s="6"/>
      <c r="AY353" s="2"/>
      <c r="AZ353" s="2"/>
      <c r="BA353" s="2"/>
      <c r="BB353" s="2"/>
      <c r="BC353" s="2"/>
      <c r="BD353" s="6"/>
      <c r="BE353" s="2"/>
      <c r="BF353" s="6"/>
      <c r="BG353" s="58"/>
      <c r="BH353" s="6"/>
      <c r="BI353" s="2"/>
    </row>
    <row r="354" ht="12.75" customHeight="1">
      <c r="A354" s="71"/>
      <c r="B354" s="71"/>
      <c r="C354" s="11"/>
      <c r="D354" s="11"/>
      <c r="E354" s="2"/>
      <c r="F354" s="2"/>
      <c r="G354" s="2"/>
      <c r="H354" s="54"/>
      <c r="I354" s="11"/>
      <c r="J354" s="54"/>
      <c r="K354" s="54"/>
      <c r="L354" s="5"/>
      <c r="M354" s="5"/>
      <c r="N354" s="5"/>
      <c r="O354" s="5"/>
      <c r="P354" s="5"/>
      <c r="Q354" s="5"/>
      <c r="R354" s="2"/>
      <c r="S354" s="2"/>
      <c r="T354" s="2"/>
      <c r="U354" s="2"/>
      <c r="V354" s="2"/>
      <c r="W354" s="2"/>
      <c r="X354" s="6"/>
      <c r="Y354" s="2"/>
      <c r="Z354" s="2"/>
      <c r="AA354" s="2"/>
      <c r="AB354" s="2"/>
      <c r="AC354" s="6"/>
      <c r="AD354" s="2"/>
      <c r="AE354" s="2"/>
      <c r="AF354" s="2"/>
      <c r="AG354" s="2"/>
      <c r="AH354" s="2"/>
      <c r="AI354" s="6"/>
      <c r="AJ354" s="2"/>
      <c r="AK354" s="56"/>
      <c r="AL354" s="2"/>
      <c r="AM354" s="2"/>
      <c r="AN354" s="2"/>
      <c r="AO354" s="2"/>
      <c r="AP354" s="6"/>
      <c r="AQ354" s="2"/>
      <c r="AR354" s="2"/>
      <c r="AS354" s="2"/>
      <c r="AT354" s="2"/>
      <c r="AU354" s="2"/>
      <c r="AV354" s="2"/>
      <c r="AW354" s="2"/>
      <c r="AX354" s="6"/>
      <c r="AY354" s="2"/>
      <c r="AZ354" s="2"/>
      <c r="BA354" s="2"/>
      <c r="BB354" s="2"/>
      <c r="BC354" s="2"/>
      <c r="BD354" s="6"/>
      <c r="BE354" s="2"/>
      <c r="BF354" s="6"/>
      <c r="BG354" s="58"/>
      <c r="BH354" s="6"/>
      <c r="BI354" s="2"/>
    </row>
    <row r="355" ht="12.75" customHeight="1">
      <c r="A355" s="71"/>
      <c r="B355" s="71"/>
      <c r="C355" s="11"/>
      <c r="D355" s="11"/>
      <c r="E355" s="2"/>
      <c r="F355" s="2"/>
      <c r="G355" s="2"/>
      <c r="H355" s="54"/>
      <c r="I355" s="11"/>
      <c r="J355" s="54"/>
      <c r="K355" s="54"/>
      <c r="L355" s="5"/>
      <c r="M355" s="5"/>
      <c r="N355" s="5"/>
      <c r="O355" s="5"/>
      <c r="P355" s="5"/>
      <c r="Q355" s="5"/>
      <c r="R355" s="2"/>
      <c r="S355" s="2"/>
      <c r="T355" s="2"/>
      <c r="U355" s="2"/>
      <c r="V355" s="2"/>
      <c r="W355" s="2"/>
      <c r="X355" s="6"/>
      <c r="Y355" s="2"/>
      <c r="Z355" s="2"/>
      <c r="AA355" s="2"/>
      <c r="AB355" s="2"/>
      <c r="AC355" s="6"/>
      <c r="AD355" s="2"/>
      <c r="AE355" s="2"/>
      <c r="AF355" s="2"/>
      <c r="AG355" s="2"/>
      <c r="AH355" s="2"/>
      <c r="AI355" s="6"/>
      <c r="AJ355" s="2"/>
      <c r="AK355" s="56"/>
      <c r="AL355" s="2"/>
      <c r="AM355" s="2"/>
      <c r="AN355" s="2"/>
      <c r="AO355" s="2"/>
      <c r="AP355" s="6"/>
      <c r="AQ355" s="2"/>
      <c r="AR355" s="2"/>
      <c r="AS355" s="2"/>
      <c r="AT355" s="2"/>
      <c r="AU355" s="2"/>
      <c r="AV355" s="2"/>
      <c r="AW355" s="2"/>
      <c r="AX355" s="6"/>
      <c r="AY355" s="2"/>
      <c r="AZ355" s="2"/>
      <c r="BA355" s="2"/>
      <c r="BB355" s="2"/>
      <c r="BC355" s="2"/>
      <c r="BD355" s="6"/>
      <c r="BE355" s="2"/>
      <c r="BF355" s="6"/>
      <c r="BG355" s="58"/>
      <c r="BH355" s="6"/>
      <c r="BI355" s="2"/>
    </row>
    <row r="356" ht="12.75" customHeight="1">
      <c r="A356" s="71"/>
      <c r="B356" s="71"/>
      <c r="C356" s="11"/>
      <c r="D356" s="11"/>
      <c r="E356" s="2"/>
      <c r="F356" s="2"/>
      <c r="G356" s="2"/>
      <c r="H356" s="54"/>
      <c r="I356" s="11"/>
      <c r="J356" s="54"/>
      <c r="K356" s="54"/>
      <c r="L356" s="5"/>
      <c r="M356" s="5"/>
      <c r="N356" s="5"/>
      <c r="O356" s="5"/>
      <c r="P356" s="5"/>
      <c r="Q356" s="5"/>
      <c r="R356" s="2"/>
      <c r="S356" s="2"/>
      <c r="T356" s="2"/>
      <c r="U356" s="2"/>
      <c r="V356" s="2"/>
      <c r="W356" s="2"/>
      <c r="X356" s="6"/>
      <c r="Y356" s="2"/>
      <c r="Z356" s="2"/>
      <c r="AA356" s="2"/>
      <c r="AB356" s="2"/>
      <c r="AC356" s="6"/>
      <c r="AD356" s="2"/>
      <c r="AE356" s="2"/>
      <c r="AF356" s="2"/>
      <c r="AG356" s="2"/>
      <c r="AH356" s="2"/>
      <c r="AI356" s="6"/>
      <c r="AJ356" s="2"/>
      <c r="AK356" s="56"/>
      <c r="AL356" s="2"/>
      <c r="AM356" s="2"/>
      <c r="AN356" s="2"/>
      <c r="AO356" s="2"/>
      <c r="AP356" s="6"/>
      <c r="AQ356" s="2"/>
      <c r="AR356" s="2"/>
      <c r="AS356" s="2"/>
      <c r="AT356" s="2"/>
      <c r="AU356" s="2"/>
      <c r="AV356" s="2"/>
      <c r="AW356" s="2"/>
      <c r="AX356" s="6"/>
      <c r="AY356" s="2"/>
      <c r="AZ356" s="2"/>
      <c r="BA356" s="2"/>
      <c r="BB356" s="2"/>
      <c r="BC356" s="2"/>
      <c r="BD356" s="6"/>
      <c r="BE356" s="2"/>
      <c r="BF356" s="6"/>
      <c r="BG356" s="58"/>
      <c r="BH356" s="6"/>
      <c r="BI356" s="2"/>
    </row>
    <row r="357" ht="12.75" customHeight="1">
      <c r="A357" s="71"/>
      <c r="B357" s="71"/>
      <c r="C357" s="11"/>
      <c r="D357" s="11"/>
      <c r="E357" s="2"/>
      <c r="F357" s="2"/>
      <c r="G357" s="2"/>
      <c r="H357" s="54"/>
      <c r="I357" s="11"/>
      <c r="J357" s="54"/>
      <c r="K357" s="54"/>
      <c r="L357" s="5"/>
      <c r="M357" s="5"/>
      <c r="N357" s="5"/>
      <c r="O357" s="5"/>
      <c r="P357" s="5"/>
      <c r="Q357" s="5"/>
      <c r="R357" s="2"/>
      <c r="S357" s="2"/>
      <c r="T357" s="2"/>
      <c r="U357" s="2"/>
      <c r="V357" s="2"/>
      <c r="W357" s="2"/>
      <c r="X357" s="6"/>
      <c r="Y357" s="2"/>
      <c r="Z357" s="2"/>
      <c r="AA357" s="2"/>
      <c r="AB357" s="2"/>
      <c r="AC357" s="6"/>
      <c r="AD357" s="2"/>
      <c r="AE357" s="2"/>
      <c r="AF357" s="2"/>
      <c r="AG357" s="2"/>
      <c r="AH357" s="2"/>
      <c r="AI357" s="6"/>
      <c r="AJ357" s="2"/>
      <c r="AK357" s="56"/>
      <c r="AL357" s="2"/>
      <c r="AM357" s="2"/>
      <c r="AN357" s="2"/>
      <c r="AO357" s="2"/>
      <c r="AP357" s="6"/>
      <c r="AQ357" s="2"/>
      <c r="AR357" s="2"/>
      <c r="AS357" s="2"/>
      <c r="AT357" s="2"/>
      <c r="AU357" s="2"/>
      <c r="AV357" s="2"/>
      <c r="AW357" s="2"/>
      <c r="AX357" s="6"/>
      <c r="AY357" s="2"/>
      <c r="AZ357" s="2"/>
      <c r="BA357" s="2"/>
      <c r="BB357" s="2"/>
      <c r="BC357" s="2"/>
      <c r="BD357" s="6"/>
      <c r="BE357" s="2"/>
      <c r="BF357" s="6"/>
      <c r="BG357" s="58"/>
      <c r="BH357" s="6"/>
      <c r="BI357" s="2"/>
    </row>
    <row r="358" ht="12.75" customHeight="1">
      <c r="A358" s="71"/>
      <c r="B358" s="71"/>
      <c r="C358" s="11"/>
      <c r="D358" s="11"/>
      <c r="E358" s="2"/>
      <c r="F358" s="2"/>
      <c r="G358" s="2"/>
      <c r="H358" s="54"/>
      <c r="I358" s="11"/>
      <c r="J358" s="54"/>
      <c r="K358" s="54"/>
      <c r="L358" s="5"/>
      <c r="M358" s="5"/>
      <c r="N358" s="5"/>
      <c r="O358" s="5"/>
      <c r="P358" s="5"/>
      <c r="Q358" s="5"/>
      <c r="R358" s="2"/>
      <c r="S358" s="2"/>
      <c r="T358" s="2"/>
      <c r="U358" s="2"/>
      <c r="V358" s="2"/>
      <c r="W358" s="2"/>
      <c r="X358" s="6"/>
      <c r="Y358" s="2"/>
      <c r="Z358" s="2"/>
      <c r="AA358" s="2"/>
      <c r="AB358" s="2"/>
      <c r="AC358" s="6"/>
      <c r="AD358" s="2"/>
      <c r="AE358" s="2"/>
      <c r="AF358" s="2"/>
      <c r="AG358" s="2"/>
      <c r="AH358" s="2"/>
      <c r="AI358" s="6"/>
      <c r="AJ358" s="2"/>
      <c r="AK358" s="56"/>
      <c r="AL358" s="2"/>
      <c r="AM358" s="2"/>
      <c r="AN358" s="2"/>
      <c r="AO358" s="2"/>
      <c r="AP358" s="6"/>
      <c r="AQ358" s="2"/>
      <c r="AR358" s="2"/>
      <c r="AS358" s="2"/>
      <c r="AT358" s="2"/>
      <c r="AU358" s="2"/>
      <c r="AV358" s="2"/>
      <c r="AW358" s="2"/>
      <c r="AX358" s="6"/>
      <c r="AY358" s="2"/>
      <c r="AZ358" s="2"/>
      <c r="BA358" s="2"/>
      <c r="BB358" s="2"/>
      <c r="BC358" s="2"/>
      <c r="BD358" s="6"/>
      <c r="BE358" s="2"/>
      <c r="BF358" s="6"/>
      <c r="BG358" s="58"/>
      <c r="BH358" s="6"/>
      <c r="BI358" s="2"/>
    </row>
    <row r="359" ht="12.75" customHeight="1">
      <c r="A359" s="71"/>
      <c r="B359" s="71"/>
      <c r="C359" s="11"/>
      <c r="D359" s="11"/>
      <c r="E359" s="2"/>
      <c r="F359" s="2"/>
      <c r="G359" s="2"/>
      <c r="H359" s="54"/>
      <c r="I359" s="11"/>
      <c r="J359" s="54"/>
      <c r="K359" s="54"/>
      <c r="L359" s="5"/>
      <c r="M359" s="5"/>
      <c r="N359" s="5"/>
      <c r="O359" s="5"/>
      <c r="P359" s="5"/>
      <c r="Q359" s="5"/>
      <c r="R359" s="2"/>
      <c r="S359" s="2"/>
      <c r="T359" s="2"/>
      <c r="U359" s="2"/>
      <c r="V359" s="2"/>
      <c r="W359" s="2"/>
      <c r="X359" s="6"/>
      <c r="Y359" s="2"/>
      <c r="Z359" s="2"/>
      <c r="AA359" s="2"/>
      <c r="AB359" s="2"/>
      <c r="AC359" s="6"/>
      <c r="AD359" s="2"/>
      <c r="AE359" s="2"/>
      <c r="AF359" s="2"/>
      <c r="AG359" s="2"/>
      <c r="AH359" s="2"/>
      <c r="AI359" s="6"/>
      <c r="AJ359" s="2"/>
      <c r="AK359" s="56"/>
      <c r="AL359" s="2"/>
      <c r="AM359" s="2"/>
      <c r="AN359" s="2"/>
      <c r="AO359" s="2"/>
      <c r="AP359" s="6"/>
      <c r="AQ359" s="2"/>
      <c r="AR359" s="2"/>
      <c r="AS359" s="2"/>
      <c r="AT359" s="2"/>
      <c r="AU359" s="2"/>
      <c r="AV359" s="2"/>
      <c r="AW359" s="2"/>
      <c r="AX359" s="6"/>
      <c r="AY359" s="2"/>
      <c r="AZ359" s="2"/>
      <c r="BA359" s="2"/>
      <c r="BB359" s="2"/>
      <c r="BC359" s="2"/>
      <c r="BD359" s="6"/>
      <c r="BE359" s="2"/>
      <c r="BF359" s="6"/>
      <c r="BG359" s="58"/>
      <c r="BH359" s="6"/>
      <c r="BI359" s="2"/>
    </row>
    <row r="360" ht="12.75" customHeight="1">
      <c r="A360" s="71"/>
      <c r="B360" s="71"/>
      <c r="C360" s="11"/>
      <c r="D360" s="11"/>
      <c r="E360" s="2"/>
      <c r="F360" s="2"/>
      <c r="G360" s="2"/>
      <c r="H360" s="54"/>
      <c r="I360" s="11"/>
      <c r="J360" s="54"/>
      <c r="K360" s="54"/>
      <c r="L360" s="5"/>
      <c r="M360" s="5"/>
      <c r="N360" s="5"/>
      <c r="O360" s="5"/>
      <c r="P360" s="5"/>
      <c r="Q360" s="5"/>
      <c r="R360" s="2"/>
      <c r="S360" s="2"/>
      <c r="T360" s="2"/>
      <c r="U360" s="2"/>
      <c r="V360" s="2"/>
      <c r="W360" s="2"/>
      <c r="X360" s="6"/>
      <c r="Y360" s="2"/>
      <c r="Z360" s="2"/>
      <c r="AA360" s="2"/>
      <c r="AB360" s="2"/>
      <c r="AC360" s="6"/>
      <c r="AD360" s="2"/>
      <c r="AE360" s="2"/>
      <c r="AF360" s="2"/>
      <c r="AG360" s="2"/>
      <c r="AH360" s="2"/>
      <c r="AI360" s="6"/>
      <c r="AJ360" s="2"/>
      <c r="AK360" s="56"/>
      <c r="AL360" s="2"/>
      <c r="AM360" s="2"/>
      <c r="AN360" s="2"/>
      <c r="AO360" s="2"/>
      <c r="AP360" s="6"/>
      <c r="AQ360" s="2"/>
      <c r="AR360" s="2"/>
      <c r="AS360" s="2"/>
      <c r="AT360" s="2"/>
      <c r="AU360" s="2"/>
      <c r="AV360" s="2"/>
      <c r="AW360" s="2"/>
      <c r="AX360" s="6"/>
      <c r="AY360" s="2"/>
      <c r="AZ360" s="2"/>
      <c r="BA360" s="2"/>
      <c r="BB360" s="2"/>
      <c r="BC360" s="2"/>
      <c r="BD360" s="6"/>
      <c r="BE360" s="2"/>
      <c r="BF360" s="6"/>
      <c r="BG360" s="58"/>
      <c r="BH360" s="6"/>
      <c r="BI360" s="2"/>
    </row>
    <row r="361" ht="12.75" customHeight="1">
      <c r="A361" s="71"/>
      <c r="B361" s="71"/>
      <c r="C361" s="11"/>
      <c r="D361" s="11"/>
      <c r="E361" s="2"/>
      <c r="F361" s="2"/>
      <c r="G361" s="2"/>
      <c r="H361" s="54"/>
      <c r="I361" s="11"/>
      <c r="J361" s="54"/>
      <c r="K361" s="54"/>
      <c r="L361" s="5"/>
      <c r="M361" s="5"/>
      <c r="N361" s="5"/>
      <c r="O361" s="5"/>
      <c r="P361" s="5"/>
      <c r="Q361" s="5"/>
      <c r="R361" s="2"/>
      <c r="S361" s="2"/>
      <c r="T361" s="2"/>
      <c r="U361" s="2"/>
      <c r="V361" s="2"/>
      <c r="W361" s="2"/>
      <c r="X361" s="6"/>
      <c r="Y361" s="2"/>
      <c r="Z361" s="2"/>
      <c r="AA361" s="2"/>
      <c r="AB361" s="2"/>
      <c r="AC361" s="6"/>
      <c r="AD361" s="2"/>
      <c r="AE361" s="2"/>
      <c r="AF361" s="2"/>
      <c r="AG361" s="2"/>
      <c r="AH361" s="2"/>
      <c r="AI361" s="6"/>
      <c r="AJ361" s="2"/>
      <c r="AK361" s="56"/>
      <c r="AL361" s="2"/>
      <c r="AM361" s="2"/>
      <c r="AN361" s="2"/>
      <c r="AO361" s="2"/>
      <c r="AP361" s="6"/>
      <c r="AQ361" s="2"/>
      <c r="AR361" s="2"/>
      <c r="AS361" s="2"/>
      <c r="AT361" s="2"/>
      <c r="AU361" s="2"/>
      <c r="AV361" s="2"/>
      <c r="AW361" s="2"/>
      <c r="AX361" s="6"/>
      <c r="AY361" s="2"/>
      <c r="AZ361" s="2"/>
      <c r="BA361" s="2"/>
      <c r="BB361" s="2"/>
      <c r="BC361" s="2"/>
      <c r="BD361" s="6"/>
      <c r="BE361" s="2"/>
      <c r="BF361" s="6"/>
      <c r="BG361" s="58"/>
      <c r="BH361" s="6"/>
      <c r="BI361" s="2"/>
    </row>
    <row r="362" ht="12.75" customHeight="1">
      <c r="A362" s="71"/>
      <c r="B362" s="71"/>
      <c r="C362" s="11"/>
      <c r="D362" s="11"/>
      <c r="E362" s="2"/>
      <c r="F362" s="2"/>
      <c r="G362" s="2"/>
      <c r="H362" s="54"/>
      <c r="I362" s="11"/>
      <c r="J362" s="54"/>
      <c r="K362" s="54"/>
      <c r="L362" s="5"/>
      <c r="M362" s="5"/>
      <c r="N362" s="5"/>
      <c r="O362" s="5"/>
      <c r="P362" s="5"/>
      <c r="Q362" s="5"/>
      <c r="R362" s="2"/>
      <c r="S362" s="2"/>
      <c r="T362" s="2"/>
      <c r="U362" s="2"/>
      <c r="V362" s="2"/>
      <c r="W362" s="2"/>
      <c r="X362" s="6"/>
      <c r="Y362" s="2"/>
      <c r="Z362" s="2"/>
      <c r="AA362" s="2"/>
      <c r="AB362" s="2"/>
      <c r="AC362" s="6"/>
      <c r="AD362" s="2"/>
      <c r="AE362" s="2"/>
      <c r="AF362" s="2"/>
      <c r="AG362" s="2"/>
      <c r="AH362" s="2"/>
      <c r="AI362" s="6"/>
      <c r="AJ362" s="2"/>
      <c r="AK362" s="56"/>
      <c r="AL362" s="2"/>
      <c r="AM362" s="2"/>
      <c r="AN362" s="2"/>
      <c r="AO362" s="2"/>
      <c r="AP362" s="6"/>
      <c r="AQ362" s="2"/>
      <c r="AR362" s="2"/>
      <c r="AS362" s="2"/>
      <c r="AT362" s="2"/>
      <c r="AU362" s="2"/>
      <c r="AV362" s="2"/>
      <c r="AW362" s="2"/>
      <c r="AX362" s="6"/>
      <c r="AY362" s="2"/>
      <c r="AZ362" s="2"/>
      <c r="BA362" s="2"/>
      <c r="BB362" s="2"/>
      <c r="BC362" s="2"/>
      <c r="BD362" s="6"/>
      <c r="BE362" s="2"/>
      <c r="BF362" s="6"/>
      <c r="BG362" s="58"/>
      <c r="BH362" s="6"/>
      <c r="BI362" s="2"/>
    </row>
    <row r="363" ht="12.75" customHeight="1">
      <c r="A363" s="71"/>
      <c r="B363" s="71"/>
      <c r="C363" s="11"/>
      <c r="D363" s="11"/>
      <c r="E363" s="2"/>
      <c r="F363" s="2"/>
      <c r="G363" s="2"/>
      <c r="H363" s="54"/>
      <c r="I363" s="11"/>
      <c r="J363" s="54"/>
      <c r="K363" s="54"/>
      <c r="L363" s="5"/>
      <c r="M363" s="5"/>
      <c r="N363" s="5"/>
      <c r="O363" s="5"/>
      <c r="P363" s="5"/>
      <c r="Q363" s="5"/>
      <c r="R363" s="2"/>
      <c r="S363" s="2"/>
      <c r="T363" s="2"/>
      <c r="U363" s="2"/>
      <c r="V363" s="2"/>
      <c r="W363" s="2"/>
      <c r="X363" s="6"/>
      <c r="Y363" s="2"/>
      <c r="Z363" s="2"/>
      <c r="AA363" s="2"/>
      <c r="AB363" s="2"/>
      <c r="AC363" s="6"/>
      <c r="AD363" s="2"/>
      <c r="AE363" s="2"/>
      <c r="AF363" s="2"/>
      <c r="AG363" s="2"/>
      <c r="AH363" s="2"/>
      <c r="AI363" s="6"/>
      <c r="AJ363" s="2"/>
      <c r="AK363" s="56"/>
      <c r="AL363" s="2"/>
      <c r="AM363" s="2"/>
      <c r="AN363" s="2"/>
      <c r="AO363" s="2"/>
      <c r="AP363" s="6"/>
      <c r="AQ363" s="2"/>
      <c r="AR363" s="2"/>
      <c r="AS363" s="2"/>
      <c r="AT363" s="2"/>
      <c r="AU363" s="2"/>
      <c r="AV363" s="2"/>
      <c r="AW363" s="2"/>
      <c r="AX363" s="6"/>
      <c r="AY363" s="2"/>
      <c r="AZ363" s="2"/>
      <c r="BA363" s="2"/>
      <c r="BB363" s="2"/>
      <c r="BC363" s="2"/>
      <c r="BD363" s="6"/>
      <c r="BE363" s="2"/>
      <c r="BF363" s="6"/>
      <c r="BG363" s="58"/>
      <c r="BH363" s="6"/>
      <c r="BI363" s="2"/>
    </row>
    <row r="364" ht="12.75" customHeight="1">
      <c r="A364" s="71"/>
      <c r="B364" s="71"/>
      <c r="C364" s="11"/>
      <c r="D364" s="11"/>
      <c r="E364" s="2"/>
      <c r="F364" s="2"/>
      <c r="G364" s="2"/>
      <c r="H364" s="54"/>
      <c r="I364" s="11"/>
      <c r="J364" s="54"/>
      <c r="K364" s="54"/>
      <c r="L364" s="5"/>
      <c r="M364" s="5"/>
      <c r="N364" s="5"/>
      <c r="O364" s="5"/>
      <c r="P364" s="5"/>
      <c r="Q364" s="5"/>
      <c r="R364" s="2"/>
      <c r="S364" s="2"/>
      <c r="T364" s="2"/>
      <c r="U364" s="2"/>
      <c r="V364" s="2"/>
      <c r="W364" s="2"/>
      <c r="X364" s="6"/>
      <c r="Y364" s="2"/>
      <c r="Z364" s="2"/>
      <c r="AA364" s="2"/>
      <c r="AB364" s="2"/>
      <c r="AC364" s="6"/>
      <c r="AD364" s="2"/>
      <c r="AE364" s="2"/>
      <c r="AF364" s="2"/>
      <c r="AG364" s="2"/>
      <c r="AH364" s="2"/>
      <c r="AI364" s="6"/>
      <c r="AJ364" s="2"/>
      <c r="AK364" s="56"/>
      <c r="AL364" s="2"/>
      <c r="AM364" s="2"/>
      <c r="AN364" s="2"/>
      <c r="AO364" s="2"/>
      <c r="AP364" s="6"/>
      <c r="AQ364" s="2"/>
      <c r="AR364" s="2"/>
      <c r="AS364" s="2"/>
      <c r="AT364" s="2"/>
      <c r="AU364" s="2"/>
      <c r="AV364" s="2"/>
      <c r="AW364" s="2"/>
      <c r="AX364" s="6"/>
      <c r="AY364" s="2"/>
      <c r="AZ364" s="2"/>
      <c r="BA364" s="2"/>
      <c r="BB364" s="2"/>
      <c r="BC364" s="2"/>
      <c r="BD364" s="6"/>
      <c r="BE364" s="2"/>
      <c r="BF364" s="6"/>
      <c r="BG364" s="58"/>
      <c r="BH364" s="6"/>
      <c r="BI364" s="2"/>
    </row>
    <row r="365" ht="12.75" customHeight="1">
      <c r="A365" s="71"/>
      <c r="B365" s="71"/>
      <c r="C365" s="11"/>
      <c r="D365" s="11"/>
      <c r="E365" s="2"/>
      <c r="F365" s="2"/>
      <c r="G365" s="2"/>
      <c r="H365" s="54"/>
      <c r="I365" s="11"/>
      <c r="J365" s="54"/>
      <c r="K365" s="54"/>
      <c r="L365" s="5"/>
      <c r="M365" s="5"/>
      <c r="N365" s="5"/>
      <c r="O365" s="5"/>
      <c r="P365" s="5"/>
      <c r="Q365" s="5"/>
      <c r="R365" s="2"/>
      <c r="S365" s="2"/>
      <c r="T365" s="2"/>
      <c r="U365" s="2"/>
      <c r="V365" s="2"/>
      <c r="W365" s="2"/>
      <c r="X365" s="6"/>
      <c r="Y365" s="2"/>
      <c r="Z365" s="2"/>
      <c r="AA365" s="2"/>
      <c r="AB365" s="2"/>
      <c r="AC365" s="6"/>
      <c r="AD365" s="2"/>
      <c r="AE365" s="2"/>
      <c r="AF365" s="2"/>
      <c r="AG365" s="2"/>
      <c r="AH365" s="2"/>
      <c r="AI365" s="6"/>
      <c r="AJ365" s="2"/>
      <c r="AK365" s="56"/>
      <c r="AL365" s="2"/>
      <c r="AM365" s="2"/>
      <c r="AN365" s="2"/>
      <c r="AO365" s="2"/>
      <c r="AP365" s="6"/>
      <c r="AQ365" s="2"/>
      <c r="AR365" s="2"/>
      <c r="AS365" s="2"/>
      <c r="AT365" s="2"/>
      <c r="AU365" s="2"/>
      <c r="AV365" s="2"/>
      <c r="AW365" s="2"/>
      <c r="AX365" s="6"/>
      <c r="AY365" s="2"/>
      <c r="AZ365" s="2"/>
      <c r="BA365" s="2"/>
      <c r="BB365" s="2"/>
      <c r="BC365" s="2"/>
      <c r="BD365" s="6"/>
      <c r="BE365" s="2"/>
      <c r="BF365" s="6"/>
      <c r="BG365" s="58"/>
      <c r="BH365" s="6"/>
      <c r="BI365" s="2"/>
    </row>
    <row r="366" ht="12.75" customHeight="1">
      <c r="A366" s="71"/>
      <c r="B366" s="71"/>
      <c r="C366" s="11"/>
      <c r="D366" s="11"/>
      <c r="E366" s="2"/>
      <c r="F366" s="2"/>
      <c r="G366" s="2"/>
      <c r="H366" s="54"/>
      <c r="I366" s="4"/>
      <c r="J366" s="2"/>
      <c r="K366" s="2"/>
      <c r="L366" s="5"/>
      <c r="M366" s="5"/>
      <c r="N366" s="5"/>
      <c r="O366" s="5"/>
      <c r="P366" s="5"/>
      <c r="Q366" s="5"/>
      <c r="R366" s="2"/>
      <c r="S366" s="2"/>
      <c r="T366" s="2"/>
      <c r="U366" s="2"/>
      <c r="V366" s="2"/>
      <c r="W366" s="2"/>
      <c r="X366" s="6"/>
      <c r="Y366" s="2"/>
      <c r="Z366" s="2"/>
      <c r="AA366" s="2"/>
      <c r="AB366" s="2"/>
      <c r="AC366" s="6"/>
      <c r="AD366" s="2"/>
      <c r="AE366" s="2"/>
      <c r="AF366" s="2"/>
      <c r="AG366" s="2"/>
      <c r="AH366" s="2"/>
      <c r="AI366" s="6"/>
      <c r="AJ366" s="2"/>
      <c r="AK366" s="56"/>
      <c r="AL366" s="2"/>
      <c r="AM366" s="2"/>
      <c r="AN366" s="2"/>
      <c r="AO366" s="2"/>
      <c r="AP366" s="6"/>
      <c r="AQ366" s="2"/>
      <c r="AR366" s="2"/>
      <c r="AS366" s="2"/>
      <c r="AT366" s="2"/>
      <c r="AU366" s="2"/>
      <c r="AV366" s="2"/>
      <c r="AW366" s="2"/>
      <c r="AX366" s="6"/>
      <c r="AY366" s="2"/>
      <c r="AZ366" s="2"/>
      <c r="BA366" s="2"/>
      <c r="BB366" s="2"/>
      <c r="BC366" s="2"/>
      <c r="BD366" s="6"/>
      <c r="BE366" s="2"/>
      <c r="BF366" s="6"/>
      <c r="BG366" s="58"/>
      <c r="BH366" s="6"/>
      <c r="BI366" s="2"/>
    </row>
    <row r="367" ht="12.75" customHeight="1">
      <c r="A367" s="71"/>
      <c r="B367" s="71"/>
      <c r="C367" s="11"/>
      <c r="D367" s="11"/>
      <c r="E367" s="2"/>
      <c r="F367" s="2"/>
      <c r="G367" s="2"/>
      <c r="H367" s="54"/>
      <c r="I367" s="4"/>
      <c r="J367" s="2"/>
      <c r="K367" s="2"/>
      <c r="L367" s="5"/>
      <c r="M367" s="5"/>
      <c r="N367" s="5"/>
      <c r="O367" s="5"/>
      <c r="P367" s="5"/>
      <c r="Q367" s="5"/>
      <c r="R367" s="2"/>
      <c r="S367" s="2"/>
      <c r="T367" s="2"/>
      <c r="U367" s="2"/>
      <c r="V367" s="2"/>
      <c r="W367" s="2"/>
      <c r="X367" s="6"/>
      <c r="Y367" s="2"/>
      <c r="Z367" s="2"/>
      <c r="AA367" s="2"/>
      <c r="AB367" s="2"/>
      <c r="AC367" s="6"/>
      <c r="AD367" s="2"/>
      <c r="AE367" s="2"/>
      <c r="AF367" s="2"/>
      <c r="AG367" s="2"/>
      <c r="AH367" s="2"/>
      <c r="AI367" s="6"/>
      <c r="AJ367" s="2"/>
      <c r="AK367" s="56"/>
      <c r="AL367" s="2"/>
      <c r="AM367" s="2"/>
      <c r="AN367" s="2"/>
      <c r="AO367" s="2"/>
      <c r="AP367" s="6"/>
      <c r="AQ367" s="2"/>
      <c r="AR367" s="2"/>
      <c r="AS367" s="2"/>
      <c r="AT367" s="2"/>
      <c r="AU367" s="2"/>
      <c r="AV367" s="2"/>
      <c r="AW367" s="2"/>
      <c r="AX367" s="6"/>
      <c r="AY367" s="2"/>
      <c r="AZ367" s="2"/>
      <c r="BA367" s="2"/>
      <c r="BB367" s="2"/>
      <c r="BC367" s="2"/>
      <c r="BD367" s="6"/>
      <c r="BE367" s="2"/>
      <c r="BF367" s="6"/>
      <c r="BG367" s="58"/>
      <c r="BH367" s="6"/>
      <c r="BI367" s="2"/>
    </row>
    <row r="368" ht="12.75" customHeight="1">
      <c r="A368" s="71"/>
      <c r="B368" s="71"/>
      <c r="C368" s="11"/>
      <c r="D368" s="11"/>
      <c r="E368" s="2"/>
      <c r="F368" s="2"/>
      <c r="G368" s="2"/>
      <c r="H368" s="54"/>
      <c r="I368" s="4"/>
      <c r="J368" s="2"/>
      <c r="K368" s="2"/>
      <c r="L368" s="5"/>
      <c r="M368" s="5"/>
      <c r="N368" s="5"/>
      <c r="O368" s="5"/>
      <c r="P368" s="5"/>
      <c r="Q368" s="5"/>
      <c r="R368" s="2"/>
      <c r="S368" s="2"/>
      <c r="T368" s="2"/>
      <c r="U368" s="2"/>
      <c r="V368" s="2"/>
      <c r="W368" s="2"/>
      <c r="X368" s="6"/>
      <c r="Y368" s="2"/>
      <c r="Z368" s="2"/>
      <c r="AA368" s="2"/>
      <c r="AB368" s="2"/>
      <c r="AC368" s="6"/>
      <c r="AD368" s="2"/>
      <c r="AE368" s="2"/>
      <c r="AF368" s="2"/>
      <c r="AG368" s="2"/>
      <c r="AH368" s="2"/>
      <c r="AI368" s="6"/>
      <c r="AJ368" s="2"/>
      <c r="AK368" s="56"/>
      <c r="AL368" s="2"/>
      <c r="AM368" s="2"/>
      <c r="AN368" s="2"/>
      <c r="AO368" s="2"/>
      <c r="AP368" s="6"/>
      <c r="AQ368" s="2"/>
      <c r="AR368" s="2"/>
      <c r="AS368" s="2"/>
      <c r="AT368" s="2"/>
      <c r="AU368" s="2"/>
      <c r="AV368" s="2"/>
      <c r="AW368" s="2"/>
      <c r="AX368" s="6"/>
      <c r="AY368" s="2"/>
      <c r="AZ368" s="2"/>
      <c r="BA368" s="2"/>
      <c r="BB368" s="2"/>
      <c r="BC368" s="2"/>
      <c r="BD368" s="6"/>
      <c r="BE368" s="2"/>
      <c r="BF368" s="6"/>
      <c r="BG368" s="58"/>
      <c r="BH368" s="6"/>
      <c r="BI368" s="2"/>
    </row>
    <row r="369" ht="12.75" customHeight="1">
      <c r="A369" s="71"/>
      <c r="B369" s="71"/>
      <c r="C369" s="11"/>
      <c r="D369" s="11"/>
      <c r="E369" s="2"/>
      <c r="F369" s="2"/>
      <c r="G369" s="2"/>
      <c r="H369" s="54"/>
      <c r="I369" s="4"/>
      <c r="J369" s="2"/>
      <c r="K369" s="2"/>
      <c r="L369" s="5"/>
      <c r="M369" s="5"/>
      <c r="N369" s="5"/>
      <c r="O369" s="5"/>
      <c r="P369" s="5"/>
      <c r="Q369" s="5"/>
      <c r="R369" s="2"/>
      <c r="S369" s="2"/>
      <c r="T369" s="2"/>
      <c r="U369" s="2"/>
      <c r="V369" s="2"/>
      <c r="W369" s="2"/>
      <c r="X369" s="6"/>
      <c r="Y369" s="2"/>
      <c r="Z369" s="2"/>
      <c r="AA369" s="2"/>
      <c r="AB369" s="2"/>
      <c r="AC369" s="6"/>
      <c r="AD369" s="2"/>
      <c r="AE369" s="2"/>
      <c r="AF369" s="2"/>
      <c r="AG369" s="2"/>
      <c r="AH369" s="2"/>
      <c r="AI369" s="6"/>
      <c r="AJ369" s="2"/>
      <c r="AK369" s="56"/>
      <c r="AL369" s="2"/>
      <c r="AM369" s="2"/>
      <c r="AN369" s="2"/>
      <c r="AO369" s="2"/>
      <c r="AP369" s="6"/>
      <c r="AQ369" s="2"/>
      <c r="AR369" s="2"/>
      <c r="AS369" s="2"/>
      <c r="AT369" s="2"/>
      <c r="AU369" s="2"/>
      <c r="AV369" s="2"/>
      <c r="AW369" s="2"/>
      <c r="AX369" s="6"/>
      <c r="AY369" s="2"/>
      <c r="AZ369" s="2"/>
      <c r="BA369" s="2"/>
      <c r="BB369" s="2"/>
      <c r="BC369" s="2"/>
      <c r="BD369" s="6"/>
      <c r="BE369" s="2"/>
      <c r="BF369" s="6"/>
      <c r="BG369" s="58"/>
      <c r="BH369" s="6"/>
      <c r="BI369" s="2"/>
    </row>
    <row r="370" ht="12.75" customHeight="1">
      <c r="A370" s="71"/>
      <c r="B370" s="71"/>
      <c r="C370" s="11"/>
      <c r="D370" s="11"/>
      <c r="E370" s="2"/>
      <c r="F370" s="2"/>
      <c r="G370" s="2"/>
      <c r="H370" s="54"/>
      <c r="I370" s="4"/>
      <c r="J370" s="2"/>
      <c r="K370" s="2"/>
      <c r="L370" s="5"/>
      <c r="M370" s="5"/>
      <c r="N370" s="5"/>
      <c r="O370" s="5"/>
      <c r="P370" s="5"/>
      <c r="Q370" s="5"/>
      <c r="R370" s="2"/>
      <c r="S370" s="2"/>
      <c r="T370" s="2"/>
      <c r="U370" s="2"/>
      <c r="V370" s="2"/>
      <c r="W370" s="2"/>
      <c r="X370" s="6"/>
      <c r="Y370" s="2"/>
      <c r="Z370" s="2"/>
      <c r="AA370" s="2"/>
      <c r="AB370" s="2"/>
      <c r="AC370" s="6"/>
      <c r="AD370" s="2"/>
      <c r="AE370" s="2"/>
      <c r="AF370" s="2"/>
      <c r="AG370" s="2"/>
      <c r="AH370" s="2"/>
      <c r="AI370" s="6"/>
      <c r="AJ370" s="2"/>
      <c r="AK370" s="56"/>
      <c r="AL370" s="2"/>
      <c r="AM370" s="2"/>
      <c r="AN370" s="2"/>
      <c r="AO370" s="2"/>
      <c r="AP370" s="6"/>
      <c r="AQ370" s="2"/>
      <c r="AR370" s="2"/>
      <c r="AS370" s="2"/>
      <c r="AT370" s="2"/>
      <c r="AU370" s="2"/>
      <c r="AV370" s="2"/>
      <c r="AW370" s="2"/>
      <c r="AX370" s="6"/>
      <c r="AY370" s="2"/>
      <c r="AZ370" s="2"/>
      <c r="BA370" s="2"/>
      <c r="BB370" s="2"/>
      <c r="BC370" s="2"/>
      <c r="BD370" s="6"/>
      <c r="BE370" s="2"/>
      <c r="BF370" s="6"/>
      <c r="BG370" s="58"/>
      <c r="BH370" s="6"/>
      <c r="BI370" s="2"/>
    </row>
    <row r="371" ht="12.75" customHeight="1">
      <c r="A371" s="71"/>
      <c r="B371" s="71"/>
      <c r="C371" s="11"/>
      <c r="D371" s="11"/>
      <c r="E371" s="2"/>
      <c r="F371" s="2"/>
      <c r="G371" s="2"/>
      <c r="H371" s="54"/>
      <c r="I371" s="4"/>
      <c r="J371" s="2"/>
      <c r="K371" s="2"/>
      <c r="L371" s="5"/>
      <c r="M371" s="5"/>
      <c r="N371" s="5"/>
      <c r="O371" s="5"/>
      <c r="P371" s="5"/>
      <c r="Q371" s="5"/>
      <c r="R371" s="2"/>
      <c r="S371" s="2"/>
      <c r="T371" s="2"/>
      <c r="U371" s="2"/>
      <c r="V371" s="2"/>
      <c r="W371" s="2"/>
      <c r="X371" s="6"/>
      <c r="Y371" s="2"/>
      <c r="Z371" s="2"/>
      <c r="AA371" s="2"/>
      <c r="AB371" s="2"/>
      <c r="AC371" s="6"/>
      <c r="AD371" s="2"/>
      <c r="AE371" s="2"/>
      <c r="AF371" s="2"/>
      <c r="AG371" s="2"/>
      <c r="AH371" s="2"/>
      <c r="AI371" s="6"/>
      <c r="AJ371" s="2"/>
      <c r="AK371" s="56"/>
      <c r="AL371" s="2"/>
      <c r="AM371" s="2"/>
      <c r="AN371" s="2"/>
      <c r="AO371" s="2"/>
      <c r="AP371" s="6"/>
      <c r="AQ371" s="2"/>
      <c r="AR371" s="2"/>
      <c r="AS371" s="2"/>
      <c r="AT371" s="2"/>
      <c r="AU371" s="2"/>
      <c r="AV371" s="2"/>
      <c r="AW371" s="2"/>
      <c r="AX371" s="6"/>
      <c r="AY371" s="2"/>
      <c r="AZ371" s="2"/>
      <c r="BA371" s="2"/>
      <c r="BB371" s="2"/>
      <c r="BC371" s="2"/>
      <c r="BD371" s="6"/>
      <c r="BE371" s="2"/>
      <c r="BF371" s="6"/>
      <c r="BG371" s="58"/>
      <c r="BH371" s="6"/>
      <c r="BI371" s="2"/>
    </row>
    <row r="372" ht="12.75" customHeight="1">
      <c r="A372" s="71"/>
      <c r="B372" s="71"/>
      <c r="C372" s="11"/>
      <c r="D372" s="11"/>
      <c r="E372" s="2"/>
      <c r="F372" s="2"/>
      <c r="G372" s="2"/>
      <c r="H372" s="54"/>
      <c r="I372" s="4"/>
      <c r="J372" s="2"/>
      <c r="K372" s="2"/>
      <c r="L372" s="5"/>
      <c r="M372" s="5"/>
      <c r="N372" s="5"/>
      <c r="O372" s="5"/>
      <c r="P372" s="5"/>
      <c r="Q372" s="5"/>
      <c r="R372" s="2"/>
      <c r="S372" s="2"/>
      <c r="T372" s="2"/>
      <c r="U372" s="2"/>
      <c r="V372" s="2"/>
      <c r="W372" s="2"/>
      <c r="X372" s="6"/>
      <c r="Y372" s="2"/>
      <c r="Z372" s="2"/>
      <c r="AA372" s="2"/>
      <c r="AB372" s="2"/>
      <c r="AC372" s="6"/>
      <c r="AD372" s="2"/>
      <c r="AE372" s="2"/>
      <c r="AF372" s="2"/>
      <c r="AG372" s="2"/>
      <c r="AH372" s="2"/>
      <c r="AI372" s="6"/>
      <c r="AJ372" s="2"/>
      <c r="AK372" s="56"/>
      <c r="AL372" s="2"/>
      <c r="AM372" s="2"/>
      <c r="AN372" s="2"/>
      <c r="AO372" s="2"/>
      <c r="AP372" s="6"/>
      <c r="AQ372" s="2"/>
      <c r="AR372" s="2"/>
      <c r="AS372" s="2"/>
      <c r="AT372" s="2"/>
      <c r="AU372" s="2"/>
      <c r="AV372" s="2"/>
      <c r="AW372" s="2"/>
      <c r="AX372" s="6"/>
      <c r="AY372" s="2"/>
      <c r="AZ372" s="2"/>
      <c r="BA372" s="2"/>
      <c r="BB372" s="2"/>
      <c r="BC372" s="2"/>
      <c r="BD372" s="6"/>
      <c r="BE372" s="2"/>
      <c r="BF372" s="6"/>
      <c r="BG372" s="58"/>
      <c r="BH372" s="6"/>
      <c r="BI372" s="2"/>
    </row>
    <row r="373" ht="12.75" customHeight="1">
      <c r="A373" s="71"/>
      <c r="B373" s="71"/>
      <c r="C373" s="11"/>
      <c r="D373" s="11"/>
      <c r="E373" s="2"/>
      <c r="F373" s="2"/>
      <c r="G373" s="2"/>
      <c r="H373" s="54"/>
      <c r="I373" s="4"/>
      <c r="J373" s="2"/>
      <c r="K373" s="2"/>
      <c r="L373" s="5"/>
      <c r="M373" s="5"/>
      <c r="N373" s="5"/>
      <c r="O373" s="5"/>
      <c r="P373" s="5"/>
      <c r="Q373" s="5"/>
      <c r="R373" s="2"/>
      <c r="S373" s="2"/>
      <c r="T373" s="2"/>
      <c r="U373" s="2"/>
      <c r="V373" s="2"/>
      <c r="W373" s="2"/>
      <c r="X373" s="6"/>
      <c r="Y373" s="2"/>
      <c r="Z373" s="2"/>
      <c r="AA373" s="2"/>
      <c r="AB373" s="2"/>
      <c r="AC373" s="6"/>
      <c r="AD373" s="2"/>
      <c r="AE373" s="2"/>
      <c r="AF373" s="2"/>
      <c r="AG373" s="2"/>
      <c r="AH373" s="2"/>
      <c r="AI373" s="6"/>
      <c r="AJ373" s="2"/>
      <c r="AK373" s="56"/>
      <c r="AL373" s="2"/>
      <c r="AM373" s="2"/>
      <c r="AN373" s="2"/>
      <c r="AO373" s="2"/>
      <c r="AP373" s="6"/>
      <c r="AQ373" s="2"/>
      <c r="AR373" s="2"/>
      <c r="AS373" s="2"/>
      <c r="AT373" s="2"/>
      <c r="AU373" s="2"/>
      <c r="AV373" s="2"/>
      <c r="AW373" s="2"/>
      <c r="AX373" s="6"/>
      <c r="AY373" s="2"/>
      <c r="AZ373" s="2"/>
      <c r="BA373" s="2"/>
      <c r="BB373" s="2"/>
      <c r="BC373" s="2"/>
      <c r="BD373" s="6"/>
      <c r="BE373" s="2"/>
      <c r="BF373" s="6"/>
      <c r="BG373" s="58"/>
      <c r="BH373" s="6"/>
      <c r="BI373" s="2"/>
    </row>
    <row r="374" ht="12.75" customHeight="1">
      <c r="A374" s="71"/>
      <c r="B374" s="71"/>
      <c r="C374" s="11"/>
      <c r="D374" s="11"/>
      <c r="E374" s="2"/>
      <c r="F374" s="2"/>
      <c r="G374" s="2"/>
      <c r="H374" s="54"/>
      <c r="I374" s="4"/>
      <c r="J374" s="2"/>
      <c r="K374" s="2"/>
      <c r="L374" s="5"/>
      <c r="M374" s="5"/>
      <c r="N374" s="5"/>
      <c r="O374" s="5"/>
      <c r="P374" s="5"/>
      <c r="Q374" s="5"/>
      <c r="R374" s="2"/>
      <c r="S374" s="2"/>
      <c r="T374" s="2"/>
      <c r="U374" s="2"/>
      <c r="V374" s="2"/>
      <c r="W374" s="2"/>
      <c r="X374" s="6"/>
      <c r="Y374" s="2"/>
      <c r="Z374" s="2"/>
      <c r="AA374" s="2"/>
      <c r="AB374" s="2"/>
      <c r="AC374" s="6"/>
      <c r="AD374" s="2"/>
      <c r="AE374" s="2"/>
      <c r="AF374" s="2"/>
      <c r="AG374" s="2"/>
      <c r="AH374" s="2"/>
      <c r="AI374" s="6"/>
      <c r="AJ374" s="2"/>
      <c r="AK374" s="56"/>
      <c r="AL374" s="2"/>
      <c r="AM374" s="2"/>
      <c r="AN374" s="2"/>
      <c r="AO374" s="2"/>
      <c r="AP374" s="6"/>
      <c r="AQ374" s="2"/>
      <c r="AR374" s="2"/>
      <c r="AS374" s="2"/>
      <c r="AT374" s="2"/>
      <c r="AU374" s="2"/>
      <c r="AV374" s="2"/>
      <c r="AW374" s="2"/>
      <c r="AX374" s="6"/>
      <c r="AY374" s="2"/>
      <c r="AZ374" s="2"/>
      <c r="BA374" s="2"/>
      <c r="BB374" s="2"/>
      <c r="BC374" s="2"/>
      <c r="BD374" s="6"/>
      <c r="BE374" s="2"/>
      <c r="BF374" s="6"/>
      <c r="BG374" s="58"/>
      <c r="BH374" s="6"/>
      <c r="BI374" s="2"/>
    </row>
    <row r="375" ht="12.75" customHeight="1">
      <c r="A375" s="71"/>
      <c r="B375" s="71"/>
      <c r="C375" s="11"/>
      <c r="D375" s="11"/>
      <c r="E375" s="2"/>
      <c r="F375" s="2"/>
      <c r="G375" s="2"/>
      <c r="H375" s="54"/>
      <c r="I375" s="4"/>
      <c r="J375" s="2"/>
      <c r="K375" s="2"/>
      <c r="L375" s="5"/>
      <c r="M375" s="5"/>
      <c r="N375" s="5"/>
      <c r="O375" s="5"/>
      <c r="P375" s="5"/>
      <c r="Q375" s="5"/>
      <c r="R375" s="2"/>
      <c r="S375" s="2"/>
      <c r="T375" s="2"/>
      <c r="U375" s="2"/>
      <c r="V375" s="2"/>
      <c r="W375" s="2"/>
      <c r="X375" s="6"/>
      <c r="Y375" s="2"/>
      <c r="Z375" s="2"/>
      <c r="AA375" s="2"/>
      <c r="AB375" s="2"/>
      <c r="AC375" s="6"/>
      <c r="AD375" s="2"/>
      <c r="AE375" s="2"/>
      <c r="AF375" s="2"/>
      <c r="AG375" s="2"/>
      <c r="AH375" s="2"/>
      <c r="AI375" s="6"/>
      <c r="AJ375" s="2"/>
      <c r="AK375" s="56"/>
      <c r="AL375" s="2"/>
      <c r="AM375" s="2"/>
      <c r="AN375" s="2"/>
      <c r="AO375" s="2"/>
      <c r="AP375" s="6"/>
      <c r="AQ375" s="2"/>
      <c r="AR375" s="2"/>
      <c r="AS375" s="2"/>
      <c r="AT375" s="2"/>
      <c r="AU375" s="2"/>
      <c r="AV375" s="2"/>
      <c r="AW375" s="2"/>
      <c r="AX375" s="6"/>
      <c r="AY375" s="2"/>
      <c r="AZ375" s="2"/>
      <c r="BA375" s="2"/>
      <c r="BB375" s="2"/>
      <c r="BC375" s="2"/>
      <c r="BD375" s="6"/>
      <c r="BE375" s="2"/>
      <c r="BF375" s="6"/>
      <c r="BG375" s="58"/>
      <c r="BH375" s="6"/>
      <c r="BI375" s="2"/>
    </row>
    <row r="376" ht="12.75" customHeight="1">
      <c r="A376" s="71"/>
      <c r="B376" s="71"/>
      <c r="C376" s="11"/>
      <c r="D376" s="11"/>
      <c r="E376" s="2"/>
      <c r="F376" s="2"/>
      <c r="G376" s="2"/>
      <c r="H376" s="54"/>
      <c r="I376" s="4"/>
      <c r="J376" s="2"/>
      <c r="K376" s="2"/>
      <c r="L376" s="5"/>
      <c r="M376" s="5"/>
      <c r="N376" s="5"/>
      <c r="O376" s="5"/>
      <c r="P376" s="5"/>
      <c r="Q376" s="5"/>
      <c r="R376" s="2"/>
      <c r="S376" s="2"/>
      <c r="T376" s="2"/>
      <c r="U376" s="2"/>
      <c r="V376" s="2"/>
      <c r="W376" s="2"/>
      <c r="X376" s="6"/>
      <c r="Y376" s="2"/>
      <c r="Z376" s="2"/>
      <c r="AA376" s="2"/>
      <c r="AB376" s="2"/>
      <c r="AC376" s="6"/>
      <c r="AD376" s="2"/>
      <c r="AE376" s="2"/>
      <c r="AF376" s="2"/>
      <c r="AG376" s="2"/>
      <c r="AH376" s="2"/>
      <c r="AI376" s="6"/>
      <c r="AJ376" s="2"/>
      <c r="AK376" s="56"/>
      <c r="AL376" s="2"/>
      <c r="AM376" s="2"/>
      <c r="AN376" s="2"/>
      <c r="AO376" s="2"/>
      <c r="AP376" s="6"/>
      <c r="AQ376" s="2"/>
      <c r="AR376" s="2"/>
      <c r="AS376" s="2"/>
      <c r="AT376" s="2"/>
      <c r="AU376" s="2"/>
      <c r="AV376" s="2"/>
      <c r="AW376" s="2"/>
      <c r="AX376" s="6"/>
      <c r="AY376" s="2"/>
      <c r="AZ376" s="2"/>
      <c r="BA376" s="2"/>
      <c r="BB376" s="2"/>
      <c r="BC376" s="2"/>
      <c r="BD376" s="6"/>
      <c r="BE376" s="2"/>
      <c r="BF376" s="6"/>
      <c r="BG376" s="58"/>
      <c r="BH376" s="6"/>
      <c r="BI376" s="2"/>
    </row>
    <row r="377" ht="12.75" customHeight="1">
      <c r="A377" s="71"/>
      <c r="B377" s="71"/>
      <c r="C377" s="11"/>
      <c r="D377" s="11"/>
      <c r="E377" s="2"/>
      <c r="F377" s="2"/>
      <c r="G377" s="2"/>
      <c r="H377" s="54"/>
      <c r="I377" s="4"/>
      <c r="J377" s="2"/>
      <c r="K377" s="2"/>
      <c r="L377" s="5"/>
      <c r="M377" s="5"/>
      <c r="N377" s="5"/>
      <c r="O377" s="5"/>
      <c r="P377" s="5"/>
      <c r="Q377" s="5"/>
      <c r="R377" s="2"/>
      <c r="S377" s="2"/>
      <c r="T377" s="2"/>
      <c r="U377" s="2"/>
      <c r="V377" s="2"/>
      <c r="W377" s="2"/>
      <c r="X377" s="6"/>
      <c r="Y377" s="2"/>
      <c r="Z377" s="2"/>
      <c r="AA377" s="2"/>
      <c r="AB377" s="2"/>
      <c r="AC377" s="6"/>
      <c r="AD377" s="2"/>
      <c r="AE377" s="2"/>
      <c r="AF377" s="2"/>
      <c r="AG377" s="2"/>
      <c r="AH377" s="2"/>
      <c r="AI377" s="6"/>
      <c r="AJ377" s="2"/>
      <c r="AK377" s="56"/>
      <c r="AL377" s="2"/>
      <c r="AM377" s="2"/>
      <c r="AN377" s="2"/>
      <c r="AO377" s="2"/>
      <c r="AP377" s="6"/>
      <c r="AQ377" s="2"/>
      <c r="AR377" s="2"/>
      <c r="AS377" s="2"/>
      <c r="AT377" s="2"/>
      <c r="AU377" s="2"/>
      <c r="AV377" s="2"/>
      <c r="AW377" s="2"/>
      <c r="AX377" s="6"/>
      <c r="AY377" s="2"/>
      <c r="AZ377" s="2"/>
      <c r="BA377" s="2"/>
      <c r="BB377" s="2"/>
      <c r="BC377" s="2"/>
      <c r="BD377" s="6"/>
      <c r="BE377" s="2"/>
      <c r="BF377" s="6"/>
      <c r="BG377" s="58"/>
      <c r="BH377" s="6"/>
      <c r="BI377" s="2"/>
    </row>
    <row r="378" ht="12.75" customHeight="1">
      <c r="A378" s="71"/>
      <c r="B378" s="71"/>
      <c r="C378" s="11"/>
      <c r="D378" s="11"/>
      <c r="E378" s="2"/>
      <c r="F378" s="2"/>
      <c r="G378" s="2"/>
      <c r="H378" s="54"/>
      <c r="I378" s="4"/>
      <c r="J378" s="2"/>
      <c r="K378" s="2"/>
      <c r="L378" s="5"/>
      <c r="M378" s="5"/>
      <c r="N378" s="5"/>
      <c r="O378" s="5"/>
      <c r="P378" s="5"/>
      <c r="Q378" s="5"/>
      <c r="R378" s="2"/>
      <c r="S378" s="2"/>
      <c r="T378" s="2"/>
      <c r="U378" s="2"/>
      <c r="V378" s="2"/>
      <c r="W378" s="2"/>
      <c r="X378" s="6"/>
      <c r="Y378" s="2"/>
      <c r="Z378" s="2"/>
      <c r="AA378" s="2"/>
      <c r="AB378" s="2"/>
      <c r="AC378" s="6"/>
      <c r="AD378" s="2"/>
      <c r="AE378" s="2"/>
      <c r="AF378" s="2"/>
      <c r="AG378" s="2"/>
      <c r="AH378" s="2"/>
      <c r="AI378" s="6"/>
      <c r="AJ378" s="2"/>
      <c r="AK378" s="56"/>
      <c r="AL378" s="2"/>
      <c r="AM378" s="2"/>
      <c r="AN378" s="2"/>
      <c r="AO378" s="2"/>
      <c r="AP378" s="6"/>
      <c r="AQ378" s="2"/>
      <c r="AR378" s="2"/>
      <c r="AS378" s="2"/>
      <c r="AT378" s="2"/>
      <c r="AU378" s="2"/>
      <c r="AV378" s="2"/>
      <c r="AW378" s="2"/>
      <c r="AX378" s="6"/>
      <c r="AY378" s="2"/>
      <c r="AZ378" s="2"/>
      <c r="BA378" s="2"/>
      <c r="BB378" s="2"/>
      <c r="BC378" s="2"/>
      <c r="BD378" s="6"/>
      <c r="BE378" s="2"/>
      <c r="BF378" s="6"/>
      <c r="BG378" s="58"/>
      <c r="BH378" s="6"/>
      <c r="BI378" s="2"/>
    </row>
    <row r="379" ht="12.75" customHeight="1">
      <c r="A379" s="71"/>
      <c r="B379" s="71"/>
      <c r="C379" s="11"/>
      <c r="D379" s="11"/>
      <c r="E379" s="2"/>
      <c r="F379" s="2"/>
      <c r="G379" s="2"/>
      <c r="H379" s="54"/>
      <c r="I379" s="4"/>
      <c r="J379" s="2"/>
      <c r="K379" s="2"/>
      <c r="L379" s="5"/>
      <c r="M379" s="5"/>
      <c r="N379" s="5"/>
      <c r="O379" s="5"/>
      <c r="P379" s="5"/>
      <c r="Q379" s="5"/>
      <c r="R379" s="2"/>
      <c r="S379" s="2"/>
      <c r="T379" s="2"/>
      <c r="U379" s="2"/>
      <c r="V379" s="2"/>
      <c r="W379" s="2"/>
      <c r="X379" s="6"/>
      <c r="Y379" s="2"/>
      <c r="Z379" s="2"/>
      <c r="AA379" s="2"/>
      <c r="AB379" s="2"/>
      <c r="AC379" s="6"/>
      <c r="AD379" s="2"/>
      <c r="AE379" s="2"/>
      <c r="AF379" s="2"/>
      <c r="AG379" s="2"/>
      <c r="AH379" s="2"/>
      <c r="AI379" s="6"/>
      <c r="AJ379" s="2"/>
      <c r="AK379" s="56"/>
      <c r="AL379" s="2"/>
      <c r="AM379" s="2"/>
      <c r="AN379" s="2"/>
      <c r="AO379" s="2"/>
      <c r="AP379" s="6"/>
      <c r="AQ379" s="2"/>
      <c r="AR379" s="2"/>
      <c r="AS379" s="2"/>
      <c r="AT379" s="2"/>
      <c r="AU379" s="2"/>
      <c r="AV379" s="2"/>
      <c r="AW379" s="2"/>
      <c r="AX379" s="6"/>
      <c r="AY379" s="2"/>
      <c r="AZ379" s="2"/>
      <c r="BA379" s="2"/>
      <c r="BB379" s="2"/>
      <c r="BC379" s="2"/>
      <c r="BD379" s="6"/>
      <c r="BE379" s="2"/>
      <c r="BF379" s="6"/>
      <c r="BG379" s="58"/>
      <c r="BH379" s="6"/>
      <c r="BI379" s="2"/>
    </row>
    <row r="380" ht="12.75" customHeight="1">
      <c r="A380" s="71"/>
      <c r="B380" s="71"/>
      <c r="C380" s="11"/>
      <c r="D380" s="11"/>
      <c r="E380" s="2"/>
      <c r="F380" s="2"/>
      <c r="G380" s="2"/>
      <c r="H380" s="54"/>
      <c r="I380" s="4"/>
      <c r="J380" s="2"/>
      <c r="K380" s="2"/>
      <c r="L380" s="5"/>
      <c r="M380" s="5"/>
      <c r="N380" s="5"/>
      <c r="O380" s="5"/>
      <c r="P380" s="5"/>
      <c r="Q380" s="5"/>
      <c r="R380" s="2"/>
      <c r="S380" s="2"/>
      <c r="T380" s="2"/>
      <c r="U380" s="2"/>
      <c r="V380" s="2"/>
      <c r="W380" s="2"/>
      <c r="X380" s="6"/>
      <c r="Y380" s="2"/>
      <c r="Z380" s="2"/>
      <c r="AA380" s="2"/>
      <c r="AB380" s="2"/>
      <c r="AC380" s="6"/>
      <c r="AD380" s="2"/>
      <c r="AE380" s="2"/>
      <c r="AF380" s="2"/>
      <c r="AG380" s="2"/>
      <c r="AH380" s="2"/>
      <c r="AI380" s="6"/>
      <c r="AJ380" s="2"/>
      <c r="AK380" s="56"/>
      <c r="AL380" s="2"/>
      <c r="AM380" s="2"/>
      <c r="AN380" s="2"/>
      <c r="AO380" s="2"/>
      <c r="AP380" s="6"/>
      <c r="AQ380" s="2"/>
      <c r="AR380" s="2"/>
      <c r="AS380" s="2"/>
      <c r="AT380" s="2"/>
      <c r="AU380" s="2"/>
      <c r="AV380" s="2"/>
      <c r="AW380" s="2"/>
      <c r="AX380" s="6"/>
      <c r="AY380" s="2"/>
      <c r="AZ380" s="2"/>
      <c r="BA380" s="2"/>
      <c r="BB380" s="2"/>
      <c r="BC380" s="2"/>
      <c r="BD380" s="6"/>
      <c r="BE380" s="2"/>
      <c r="BF380" s="6"/>
      <c r="BG380" s="58"/>
      <c r="BH380" s="6"/>
      <c r="BI380" s="2"/>
    </row>
    <row r="381" ht="12.75" customHeight="1">
      <c r="A381" s="71"/>
      <c r="B381" s="71"/>
      <c r="C381" s="11"/>
      <c r="D381" s="11"/>
      <c r="E381" s="2"/>
      <c r="F381" s="2"/>
      <c r="G381" s="2"/>
      <c r="H381" s="54"/>
      <c r="I381" s="4"/>
      <c r="J381" s="2"/>
      <c r="K381" s="2"/>
      <c r="L381" s="5"/>
      <c r="M381" s="5"/>
      <c r="N381" s="5"/>
      <c r="O381" s="5"/>
      <c r="P381" s="5"/>
      <c r="Q381" s="5"/>
      <c r="R381" s="2"/>
      <c r="S381" s="2"/>
      <c r="T381" s="2"/>
      <c r="U381" s="2"/>
      <c r="V381" s="2"/>
      <c r="W381" s="2"/>
      <c r="X381" s="6"/>
      <c r="Y381" s="2"/>
      <c r="Z381" s="2"/>
      <c r="AA381" s="2"/>
      <c r="AB381" s="2"/>
      <c r="AC381" s="6"/>
      <c r="AD381" s="2"/>
      <c r="AE381" s="2"/>
      <c r="AF381" s="2"/>
      <c r="AG381" s="2"/>
      <c r="AH381" s="2"/>
      <c r="AI381" s="6"/>
      <c r="AJ381" s="2"/>
      <c r="AK381" s="56"/>
      <c r="AL381" s="2"/>
      <c r="AM381" s="2"/>
      <c r="AN381" s="2"/>
      <c r="AO381" s="2"/>
      <c r="AP381" s="6"/>
      <c r="AQ381" s="2"/>
      <c r="AR381" s="2"/>
      <c r="AS381" s="2"/>
      <c r="AT381" s="2"/>
      <c r="AU381" s="2"/>
      <c r="AV381" s="2"/>
      <c r="AW381" s="2"/>
      <c r="AX381" s="6"/>
      <c r="AY381" s="2"/>
      <c r="AZ381" s="2"/>
      <c r="BA381" s="2"/>
      <c r="BB381" s="2"/>
      <c r="BC381" s="2"/>
      <c r="BD381" s="6"/>
      <c r="BE381" s="2"/>
      <c r="BF381" s="6"/>
      <c r="BG381" s="58"/>
      <c r="BH381" s="6"/>
      <c r="BI381" s="2"/>
    </row>
    <row r="382" ht="12.75" customHeight="1">
      <c r="A382" s="71"/>
      <c r="B382" s="71"/>
      <c r="C382" s="11"/>
      <c r="D382" s="11"/>
      <c r="E382" s="2"/>
      <c r="F382" s="2"/>
      <c r="G382" s="2"/>
      <c r="H382" s="54"/>
      <c r="I382" s="4"/>
      <c r="J382" s="2"/>
      <c r="K382" s="2"/>
      <c r="L382" s="5"/>
      <c r="M382" s="5"/>
      <c r="N382" s="5"/>
      <c r="O382" s="5"/>
      <c r="P382" s="5"/>
      <c r="Q382" s="5"/>
      <c r="R382" s="2"/>
      <c r="S382" s="2"/>
      <c r="T382" s="2"/>
      <c r="U382" s="2"/>
      <c r="V382" s="2"/>
      <c r="W382" s="2"/>
      <c r="X382" s="6"/>
      <c r="Y382" s="2"/>
      <c r="Z382" s="2"/>
      <c r="AA382" s="2"/>
      <c r="AB382" s="2"/>
      <c r="AC382" s="6"/>
      <c r="AD382" s="2"/>
      <c r="AE382" s="2"/>
      <c r="AF382" s="2"/>
      <c r="AG382" s="2"/>
      <c r="AH382" s="2"/>
      <c r="AI382" s="6"/>
      <c r="AJ382" s="2"/>
      <c r="AK382" s="56"/>
      <c r="AL382" s="2"/>
      <c r="AM382" s="2"/>
      <c r="AN382" s="2"/>
      <c r="AO382" s="2"/>
      <c r="AP382" s="6"/>
      <c r="AQ382" s="2"/>
      <c r="AR382" s="2"/>
      <c r="AS382" s="2"/>
      <c r="AT382" s="2"/>
      <c r="AU382" s="2"/>
      <c r="AV382" s="2"/>
      <c r="AW382" s="2"/>
      <c r="AX382" s="6"/>
      <c r="AY382" s="2"/>
      <c r="AZ382" s="2"/>
      <c r="BA382" s="2"/>
      <c r="BB382" s="2"/>
      <c r="BC382" s="2"/>
      <c r="BD382" s="6"/>
      <c r="BE382" s="2"/>
      <c r="BF382" s="6"/>
      <c r="BG382" s="58"/>
      <c r="BH382" s="6"/>
      <c r="BI382" s="2"/>
    </row>
    <row r="383" ht="12.75" customHeight="1">
      <c r="A383" s="71"/>
      <c r="B383" s="71"/>
      <c r="C383" s="11"/>
      <c r="D383" s="11"/>
      <c r="E383" s="2"/>
      <c r="F383" s="2"/>
      <c r="G383" s="2"/>
      <c r="H383" s="54"/>
      <c r="I383" s="4"/>
      <c r="J383" s="2"/>
      <c r="K383" s="2"/>
      <c r="L383" s="5"/>
      <c r="M383" s="5"/>
      <c r="N383" s="5"/>
      <c r="O383" s="5"/>
      <c r="P383" s="5"/>
      <c r="Q383" s="5"/>
      <c r="R383" s="2"/>
      <c r="S383" s="2"/>
      <c r="T383" s="2"/>
      <c r="U383" s="2"/>
      <c r="V383" s="2"/>
      <c r="W383" s="2"/>
      <c r="X383" s="6"/>
      <c r="Y383" s="2"/>
      <c r="Z383" s="2"/>
      <c r="AA383" s="2"/>
      <c r="AB383" s="2"/>
      <c r="AC383" s="6"/>
      <c r="AD383" s="2"/>
      <c r="AE383" s="2"/>
      <c r="AF383" s="2"/>
      <c r="AG383" s="2"/>
      <c r="AH383" s="2"/>
      <c r="AI383" s="6"/>
      <c r="AJ383" s="2"/>
      <c r="AK383" s="56"/>
      <c r="AL383" s="2"/>
      <c r="AM383" s="2"/>
      <c r="AN383" s="2"/>
      <c r="AO383" s="2"/>
      <c r="AP383" s="6"/>
      <c r="AQ383" s="2"/>
      <c r="AR383" s="2"/>
      <c r="AS383" s="2"/>
      <c r="AT383" s="2"/>
      <c r="AU383" s="2"/>
      <c r="AV383" s="2"/>
      <c r="AW383" s="2"/>
      <c r="AX383" s="6"/>
      <c r="AY383" s="2"/>
      <c r="AZ383" s="2"/>
      <c r="BA383" s="2"/>
      <c r="BB383" s="2"/>
      <c r="BC383" s="2"/>
      <c r="BD383" s="6"/>
      <c r="BE383" s="2"/>
      <c r="BF383" s="6"/>
      <c r="BG383" s="58"/>
      <c r="BH383" s="6"/>
      <c r="BI383" s="2"/>
    </row>
    <row r="384" ht="12.75" customHeight="1">
      <c r="A384" s="71"/>
      <c r="B384" s="71"/>
      <c r="C384" s="11"/>
      <c r="D384" s="11"/>
      <c r="E384" s="2"/>
      <c r="F384" s="2"/>
      <c r="G384" s="2"/>
      <c r="H384" s="54"/>
      <c r="I384" s="4"/>
      <c r="J384" s="2"/>
      <c r="K384" s="2"/>
      <c r="L384" s="5"/>
      <c r="M384" s="5"/>
      <c r="N384" s="5"/>
      <c r="O384" s="5"/>
      <c r="P384" s="5"/>
      <c r="Q384" s="5"/>
      <c r="R384" s="2"/>
      <c r="S384" s="2"/>
      <c r="T384" s="2"/>
      <c r="U384" s="2"/>
      <c r="V384" s="2"/>
      <c r="W384" s="2"/>
      <c r="X384" s="6"/>
      <c r="Y384" s="2"/>
      <c r="Z384" s="2"/>
      <c r="AA384" s="2"/>
      <c r="AB384" s="2"/>
      <c r="AC384" s="6"/>
      <c r="AD384" s="2"/>
      <c r="AE384" s="2"/>
      <c r="AF384" s="2"/>
      <c r="AG384" s="2"/>
      <c r="AH384" s="2"/>
      <c r="AI384" s="6"/>
      <c r="AJ384" s="2"/>
      <c r="AK384" s="56"/>
      <c r="AL384" s="2"/>
      <c r="AM384" s="2"/>
      <c r="AN384" s="2"/>
      <c r="AO384" s="2"/>
      <c r="AP384" s="6"/>
      <c r="AQ384" s="2"/>
      <c r="AR384" s="2"/>
      <c r="AS384" s="2"/>
      <c r="AT384" s="2"/>
      <c r="AU384" s="2"/>
      <c r="AV384" s="2"/>
      <c r="AW384" s="2"/>
      <c r="AX384" s="6"/>
      <c r="AY384" s="2"/>
      <c r="AZ384" s="2"/>
      <c r="BA384" s="2"/>
      <c r="BB384" s="2"/>
      <c r="BC384" s="2"/>
      <c r="BD384" s="6"/>
      <c r="BE384" s="2"/>
      <c r="BF384" s="6"/>
      <c r="BG384" s="58"/>
      <c r="BH384" s="6"/>
      <c r="BI384" s="2"/>
    </row>
    <row r="385" ht="12.75" customHeight="1">
      <c r="A385" s="71"/>
      <c r="B385" s="71"/>
      <c r="C385" s="11"/>
      <c r="D385" s="11"/>
      <c r="E385" s="2"/>
      <c r="F385" s="2"/>
      <c r="G385" s="2"/>
      <c r="H385" s="54"/>
      <c r="I385" s="4"/>
      <c r="J385" s="2"/>
      <c r="K385" s="2"/>
      <c r="L385" s="5"/>
      <c r="M385" s="5"/>
      <c r="N385" s="5"/>
      <c r="O385" s="5"/>
      <c r="P385" s="5"/>
      <c r="Q385" s="5"/>
      <c r="R385" s="2"/>
      <c r="S385" s="2"/>
      <c r="T385" s="2"/>
      <c r="U385" s="2"/>
      <c r="V385" s="2"/>
      <c r="W385" s="2"/>
      <c r="X385" s="6"/>
      <c r="Y385" s="2"/>
      <c r="Z385" s="2"/>
      <c r="AA385" s="2"/>
      <c r="AB385" s="2"/>
      <c r="AC385" s="6"/>
      <c r="AD385" s="2"/>
      <c r="AE385" s="2"/>
      <c r="AF385" s="2"/>
      <c r="AG385" s="2"/>
      <c r="AH385" s="2"/>
      <c r="AI385" s="6"/>
      <c r="AJ385" s="2"/>
      <c r="AK385" s="56"/>
      <c r="AL385" s="2"/>
      <c r="AM385" s="2"/>
      <c r="AN385" s="2"/>
      <c r="AO385" s="2"/>
      <c r="AP385" s="6"/>
      <c r="AQ385" s="2"/>
      <c r="AR385" s="2"/>
      <c r="AS385" s="2"/>
      <c r="AT385" s="2"/>
      <c r="AU385" s="2"/>
      <c r="AV385" s="2"/>
      <c r="AW385" s="2"/>
      <c r="AX385" s="6"/>
      <c r="AY385" s="2"/>
      <c r="AZ385" s="2"/>
      <c r="BA385" s="2"/>
      <c r="BB385" s="2"/>
      <c r="BC385" s="2"/>
      <c r="BD385" s="6"/>
      <c r="BE385" s="2"/>
      <c r="BF385" s="6"/>
      <c r="BG385" s="58"/>
      <c r="BH385" s="6"/>
      <c r="BI385" s="2"/>
    </row>
    <row r="386" ht="12.75" customHeight="1">
      <c r="A386" s="71"/>
      <c r="B386" s="71"/>
      <c r="C386" s="11"/>
      <c r="D386" s="11"/>
      <c r="E386" s="2"/>
      <c r="F386" s="2"/>
      <c r="G386" s="2"/>
      <c r="H386" s="54"/>
      <c r="I386" s="4"/>
      <c r="J386" s="2"/>
      <c r="K386" s="2"/>
      <c r="L386" s="5"/>
      <c r="M386" s="5"/>
      <c r="N386" s="5"/>
      <c r="O386" s="5"/>
      <c r="P386" s="5"/>
      <c r="Q386" s="5"/>
      <c r="R386" s="2"/>
      <c r="S386" s="2"/>
      <c r="T386" s="2"/>
      <c r="U386" s="2"/>
      <c r="V386" s="2"/>
      <c r="W386" s="2"/>
      <c r="X386" s="6"/>
      <c r="Y386" s="2"/>
      <c r="Z386" s="2"/>
      <c r="AA386" s="2"/>
      <c r="AB386" s="2"/>
      <c r="AC386" s="6"/>
      <c r="AD386" s="2"/>
      <c r="AE386" s="2"/>
      <c r="AF386" s="2"/>
      <c r="AG386" s="2"/>
      <c r="AH386" s="2"/>
      <c r="AI386" s="6"/>
      <c r="AJ386" s="2"/>
      <c r="AK386" s="56"/>
      <c r="AL386" s="2"/>
      <c r="AM386" s="2"/>
      <c r="AN386" s="2"/>
      <c r="AO386" s="2"/>
      <c r="AP386" s="6"/>
      <c r="AQ386" s="2"/>
      <c r="AR386" s="2"/>
      <c r="AS386" s="2"/>
      <c r="AT386" s="2"/>
      <c r="AU386" s="2"/>
      <c r="AV386" s="2"/>
      <c r="AW386" s="2"/>
      <c r="AX386" s="6"/>
      <c r="AY386" s="2"/>
      <c r="AZ386" s="2"/>
      <c r="BA386" s="2"/>
      <c r="BB386" s="2"/>
      <c r="BC386" s="2"/>
      <c r="BD386" s="6"/>
      <c r="BE386" s="2"/>
      <c r="BF386" s="6"/>
      <c r="BG386" s="58"/>
      <c r="BH386" s="6"/>
      <c r="BI386" s="2"/>
    </row>
    <row r="387" ht="12.75" customHeight="1">
      <c r="A387" s="71"/>
      <c r="B387" s="71"/>
      <c r="C387" s="11"/>
      <c r="D387" s="11"/>
      <c r="E387" s="2"/>
      <c r="F387" s="2"/>
      <c r="G387" s="2"/>
      <c r="H387" s="54"/>
      <c r="I387" s="4"/>
      <c r="J387" s="2"/>
      <c r="K387" s="2"/>
      <c r="L387" s="5"/>
      <c r="M387" s="5"/>
      <c r="N387" s="5"/>
      <c r="O387" s="5"/>
      <c r="P387" s="5"/>
      <c r="Q387" s="5"/>
      <c r="R387" s="2"/>
      <c r="S387" s="2"/>
      <c r="T387" s="2"/>
      <c r="U387" s="2"/>
      <c r="V387" s="2"/>
      <c r="W387" s="2"/>
      <c r="X387" s="6"/>
      <c r="Y387" s="2"/>
      <c r="Z387" s="2"/>
      <c r="AA387" s="2"/>
      <c r="AB387" s="2"/>
      <c r="AC387" s="6"/>
      <c r="AD387" s="2"/>
      <c r="AE387" s="2"/>
      <c r="AF387" s="2"/>
      <c r="AG387" s="2"/>
      <c r="AH387" s="2"/>
      <c r="AI387" s="6"/>
      <c r="AJ387" s="2"/>
      <c r="AK387" s="56"/>
      <c r="AL387" s="2"/>
      <c r="AM387" s="2"/>
      <c r="AN387" s="2"/>
      <c r="AO387" s="2"/>
      <c r="AP387" s="6"/>
      <c r="AQ387" s="2"/>
      <c r="AR387" s="2"/>
      <c r="AS387" s="2"/>
      <c r="AT387" s="2"/>
      <c r="AU387" s="2"/>
      <c r="AV387" s="2"/>
      <c r="AW387" s="2"/>
      <c r="AX387" s="6"/>
      <c r="AY387" s="2"/>
      <c r="AZ387" s="2"/>
      <c r="BA387" s="2"/>
      <c r="BB387" s="2"/>
      <c r="BC387" s="2"/>
      <c r="BD387" s="6"/>
      <c r="BE387" s="2"/>
      <c r="BF387" s="6"/>
      <c r="BG387" s="58"/>
      <c r="BH387" s="6"/>
      <c r="BI387" s="2"/>
    </row>
    <row r="388" ht="12.75" customHeight="1">
      <c r="A388" s="71"/>
      <c r="B388" s="71"/>
      <c r="C388" s="11"/>
      <c r="D388" s="11"/>
      <c r="E388" s="2"/>
      <c r="F388" s="2"/>
      <c r="G388" s="2"/>
      <c r="H388" s="54"/>
      <c r="I388" s="4"/>
      <c r="J388" s="2"/>
      <c r="K388" s="2"/>
      <c r="L388" s="5"/>
      <c r="M388" s="5"/>
      <c r="N388" s="5"/>
      <c r="O388" s="5"/>
      <c r="P388" s="5"/>
      <c r="Q388" s="5"/>
      <c r="R388" s="2"/>
      <c r="S388" s="2"/>
      <c r="T388" s="2"/>
      <c r="U388" s="2"/>
      <c r="V388" s="2"/>
      <c r="W388" s="2"/>
      <c r="X388" s="6"/>
      <c r="Y388" s="2"/>
      <c r="Z388" s="2"/>
      <c r="AA388" s="2"/>
      <c r="AB388" s="2"/>
      <c r="AC388" s="6"/>
      <c r="AD388" s="2"/>
      <c r="AE388" s="2"/>
      <c r="AF388" s="2"/>
      <c r="AG388" s="2"/>
      <c r="AH388" s="2"/>
      <c r="AI388" s="6"/>
      <c r="AJ388" s="2"/>
      <c r="AK388" s="56"/>
      <c r="AL388" s="2"/>
      <c r="AM388" s="2"/>
      <c r="AN388" s="2"/>
      <c r="AO388" s="2"/>
      <c r="AP388" s="6"/>
      <c r="AQ388" s="2"/>
      <c r="AR388" s="2"/>
      <c r="AS388" s="2"/>
      <c r="AT388" s="2"/>
      <c r="AU388" s="2"/>
      <c r="AV388" s="2"/>
      <c r="AW388" s="2"/>
      <c r="AX388" s="6"/>
      <c r="AY388" s="2"/>
      <c r="AZ388" s="2"/>
      <c r="BA388" s="2"/>
      <c r="BB388" s="2"/>
      <c r="BC388" s="2"/>
      <c r="BD388" s="6"/>
      <c r="BE388" s="2"/>
      <c r="BF388" s="6"/>
      <c r="BG388" s="58"/>
      <c r="BH388" s="6"/>
      <c r="BI388" s="2"/>
    </row>
    <row r="389" ht="12.75" customHeight="1">
      <c r="A389" s="71"/>
      <c r="B389" s="71"/>
      <c r="C389" s="11"/>
      <c r="D389" s="11"/>
      <c r="E389" s="2"/>
      <c r="F389" s="2"/>
      <c r="G389" s="2"/>
      <c r="H389" s="54"/>
      <c r="I389" s="4"/>
      <c r="J389" s="2"/>
      <c r="K389" s="2"/>
      <c r="L389" s="5"/>
      <c r="M389" s="5"/>
      <c r="N389" s="5"/>
      <c r="O389" s="5"/>
      <c r="P389" s="5"/>
      <c r="Q389" s="5"/>
      <c r="R389" s="2"/>
      <c r="S389" s="2"/>
      <c r="T389" s="2"/>
      <c r="U389" s="2"/>
      <c r="V389" s="2"/>
      <c r="W389" s="2"/>
      <c r="X389" s="6"/>
      <c r="Y389" s="2"/>
      <c r="Z389" s="2"/>
      <c r="AA389" s="2"/>
      <c r="AB389" s="2"/>
      <c r="AC389" s="6"/>
      <c r="AD389" s="2"/>
      <c r="AE389" s="2"/>
      <c r="AF389" s="2"/>
      <c r="AG389" s="2"/>
      <c r="AH389" s="2"/>
      <c r="AI389" s="6"/>
      <c r="AJ389" s="2"/>
      <c r="AK389" s="56"/>
      <c r="AL389" s="2"/>
      <c r="AM389" s="2"/>
      <c r="AN389" s="2"/>
      <c r="AO389" s="2"/>
      <c r="AP389" s="6"/>
      <c r="AQ389" s="2"/>
      <c r="AR389" s="2"/>
      <c r="AS389" s="2"/>
      <c r="AT389" s="2"/>
      <c r="AU389" s="2"/>
      <c r="AV389" s="2"/>
      <c r="AW389" s="2"/>
      <c r="AX389" s="6"/>
      <c r="AY389" s="2"/>
      <c r="AZ389" s="2"/>
      <c r="BA389" s="2"/>
      <c r="BB389" s="2"/>
      <c r="BC389" s="2"/>
      <c r="BD389" s="6"/>
      <c r="BE389" s="2"/>
      <c r="BF389" s="6"/>
      <c r="BG389" s="58"/>
      <c r="BH389" s="6"/>
      <c r="BI389" s="2"/>
    </row>
    <row r="390" ht="12.75" customHeight="1">
      <c r="A390" s="71"/>
      <c r="B390" s="71"/>
      <c r="C390" s="11"/>
      <c r="D390" s="11"/>
      <c r="E390" s="2"/>
      <c r="F390" s="2"/>
      <c r="G390" s="2"/>
      <c r="H390" s="54"/>
      <c r="I390" s="4"/>
      <c r="J390" s="2"/>
      <c r="K390" s="2"/>
      <c r="L390" s="5"/>
      <c r="M390" s="5"/>
      <c r="N390" s="5"/>
      <c r="O390" s="5"/>
      <c r="P390" s="5"/>
      <c r="Q390" s="5"/>
      <c r="R390" s="2"/>
      <c r="S390" s="2"/>
      <c r="T390" s="2"/>
      <c r="U390" s="2"/>
      <c r="V390" s="2"/>
      <c r="W390" s="2"/>
      <c r="X390" s="6"/>
      <c r="Y390" s="2"/>
      <c r="Z390" s="2"/>
      <c r="AA390" s="2"/>
      <c r="AB390" s="2"/>
      <c r="AC390" s="6"/>
      <c r="AD390" s="2"/>
      <c r="AE390" s="2"/>
      <c r="AF390" s="2"/>
      <c r="AG390" s="2"/>
      <c r="AH390" s="2"/>
      <c r="AI390" s="6"/>
      <c r="AJ390" s="2"/>
      <c r="AK390" s="56"/>
      <c r="AL390" s="2"/>
      <c r="AM390" s="2"/>
      <c r="AN390" s="2"/>
      <c r="AO390" s="2"/>
      <c r="AP390" s="6"/>
      <c r="AQ390" s="2"/>
      <c r="AR390" s="2"/>
      <c r="AS390" s="2"/>
      <c r="AT390" s="2"/>
      <c r="AU390" s="2"/>
      <c r="AV390" s="2"/>
      <c r="AW390" s="2"/>
      <c r="AX390" s="6"/>
      <c r="AY390" s="2"/>
      <c r="AZ390" s="2"/>
      <c r="BA390" s="2"/>
      <c r="BB390" s="2"/>
      <c r="BC390" s="2"/>
      <c r="BD390" s="6"/>
      <c r="BE390" s="2"/>
      <c r="BF390" s="6"/>
      <c r="BG390" s="58"/>
      <c r="BH390" s="6"/>
      <c r="BI390" s="2"/>
    </row>
    <row r="391" ht="12.75" customHeight="1">
      <c r="A391" s="71"/>
      <c r="B391" s="71"/>
      <c r="C391" s="11"/>
      <c r="D391" s="11"/>
      <c r="E391" s="2"/>
      <c r="F391" s="2"/>
      <c r="G391" s="2"/>
      <c r="H391" s="54"/>
      <c r="I391" s="4"/>
      <c r="J391" s="2"/>
      <c r="K391" s="2"/>
      <c r="L391" s="5"/>
      <c r="M391" s="5"/>
      <c r="N391" s="5"/>
      <c r="O391" s="5"/>
      <c r="P391" s="5"/>
      <c r="Q391" s="5"/>
      <c r="R391" s="2"/>
      <c r="S391" s="2"/>
      <c r="T391" s="2"/>
      <c r="U391" s="2"/>
      <c r="V391" s="2"/>
      <c r="W391" s="2"/>
      <c r="X391" s="6"/>
      <c r="Y391" s="2"/>
      <c r="Z391" s="2"/>
      <c r="AA391" s="2"/>
      <c r="AB391" s="2"/>
      <c r="AC391" s="6"/>
      <c r="AD391" s="2"/>
      <c r="AE391" s="2"/>
      <c r="AF391" s="2"/>
      <c r="AG391" s="2"/>
      <c r="AH391" s="2"/>
      <c r="AI391" s="6"/>
      <c r="AJ391" s="2"/>
      <c r="AK391" s="56"/>
      <c r="AL391" s="2"/>
      <c r="AM391" s="2"/>
      <c r="AN391" s="2"/>
      <c r="AO391" s="2"/>
      <c r="AP391" s="6"/>
      <c r="AQ391" s="2"/>
      <c r="AR391" s="2"/>
      <c r="AS391" s="2"/>
      <c r="AT391" s="2"/>
      <c r="AU391" s="2"/>
      <c r="AV391" s="2"/>
      <c r="AW391" s="2"/>
      <c r="AX391" s="6"/>
      <c r="AY391" s="2"/>
      <c r="AZ391" s="2"/>
      <c r="BA391" s="2"/>
      <c r="BB391" s="2"/>
      <c r="BC391" s="2"/>
      <c r="BD391" s="6"/>
      <c r="BE391" s="2"/>
      <c r="BF391" s="6"/>
      <c r="BG391" s="58"/>
      <c r="BH391" s="6"/>
      <c r="BI391" s="2"/>
    </row>
    <row r="392" ht="12.75" customHeight="1">
      <c r="A392" s="71"/>
      <c r="B392" s="71"/>
      <c r="C392" s="11"/>
      <c r="D392" s="11"/>
      <c r="E392" s="2"/>
      <c r="F392" s="2"/>
      <c r="G392" s="2"/>
      <c r="H392" s="54"/>
      <c r="I392" s="4"/>
      <c r="J392" s="2"/>
      <c r="K392" s="2"/>
      <c r="L392" s="5"/>
      <c r="M392" s="5"/>
      <c r="N392" s="5"/>
      <c r="O392" s="5"/>
      <c r="P392" s="5"/>
      <c r="Q392" s="5"/>
      <c r="R392" s="2"/>
      <c r="S392" s="2"/>
      <c r="T392" s="2"/>
      <c r="U392" s="2"/>
      <c r="V392" s="2"/>
      <c r="W392" s="2"/>
      <c r="X392" s="6"/>
      <c r="Y392" s="2"/>
      <c r="Z392" s="2"/>
      <c r="AA392" s="2"/>
      <c r="AB392" s="2"/>
      <c r="AC392" s="6"/>
      <c r="AD392" s="2"/>
      <c r="AE392" s="2"/>
      <c r="AF392" s="2"/>
      <c r="AG392" s="2"/>
      <c r="AH392" s="2"/>
      <c r="AI392" s="6"/>
      <c r="AJ392" s="2"/>
      <c r="AK392" s="56"/>
      <c r="AL392" s="2"/>
      <c r="AM392" s="2"/>
      <c r="AN392" s="2"/>
      <c r="AO392" s="2"/>
      <c r="AP392" s="6"/>
      <c r="AQ392" s="2"/>
      <c r="AR392" s="2"/>
      <c r="AS392" s="2"/>
      <c r="AT392" s="2"/>
      <c r="AU392" s="2"/>
      <c r="AV392" s="2"/>
      <c r="AW392" s="2"/>
      <c r="AX392" s="6"/>
      <c r="AY392" s="2"/>
      <c r="AZ392" s="2"/>
      <c r="BA392" s="2"/>
      <c r="BB392" s="2"/>
      <c r="BC392" s="2"/>
      <c r="BD392" s="6"/>
      <c r="BE392" s="2"/>
      <c r="BF392" s="6"/>
      <c r="BG392" s="58"/>
      <c r="BH392" s="6"/>
      <c r="BI392" s="2"/>
    </row>
    <row r="393" ht="12.75" customHeight="1">
      <c r="A393" s="71"/>
      <c r="B393" s="71"/>
      <c r="C393" s="11"/>
      <c r="D393" s="11"/>
      <c r="E393" s="2"/>
      <c r="F393" s="2"/>
      <c r="G393" s="2"/>
      <c r="H393" s="54"/>
      <c r="I393" s="4"/>
      <c r="J393" s="2"/>
      <c r="K393" s="2"/>
      <c r="L393" s="5"/>
      <c r="M393" s="5"/>
      <c r="N393" s="5"/>
      <c r="O393" s="5"/>
      <c r="P393" s="5"/>
      <c r="Q393" s="5"/>
      <c r="R393" s="2"/>
      <c r="S393" s="2"/>
      <c r="T393" s="2"/>
      <c r="U393" s="2"/>
      <c r="V393" s="2"/>
      <c r="W393" s="2"/>
      <c r="X393" s="6"/>
      <c r="Y393" s="2"/>
      <c r="Z393" s="2"/>
      <c r="AA393" s="2"/>
      <c r="AB393" s="2"/>
      <c r="AC393" s="6"/>
      <c r="AD393" s="2"/>
      <c r="AE393" s="2"/>
      <c r="AF393" s="2"/>
      <c r="AG393" s="2"/>
      <c r="AH393" s="2"/>
      <c r="AI393" s="6"/>
      <c r="AJ393" s="2"/>
      <c r="AK393" s="56"/>
      <c r="AL393" s="2"/>
      <c r="AM393" s="2"/>
      <c r="AN393" s="2"/>
      <c r="AO393" s="2"/>
      <c r="AP393" s="6"/>
      <c r="AQ393" s="2"/>
      <c r="AR393" s="2"/>
      <c r="AS393" s="2"/>
      <c r="AT393" s="2"/>
      <c r="AU393" s="2"/>
      <c r="AV393" s="2"/>
      <c r="AW393" s="2"/>
      <c r="AX393" s="6"/>
      <c r="AY393" s="2"/>
      <c r="AZ393" s="2"/>
      <c r="BA393" s="2"/>
      <c r="BB393" s="2"/>
      <c r="BC393" s="2"/>
      <c r="BD393" s="6"/>
      <c r="BE393" s="2"/>
      <c r="BF393" s="6"/>
      <c r="BG393" s="58"/>
      <c r="BH393" s="6"/>
      <c r="BI393" s="2"/>
    </row>
    <row r="394" ht="12.75" customHeight="1">
      <c r="A394" s="71"/>
      <c r="B394" s="71"/>
      <c r="C394" s="11"/>
      <c r="D394" s="11"/>
      <c r="E394" s="2"/>
      <c r="F394" s="2"/>
      <c r="G394" s="2"/>
      <c r="H394" s="54"/>
      <c r="I394" s="4"/>
      <c r="J394" s="2"/>
      <c r="K394" s="2"/>
      <c r="L394" s="5"/>
      <c r="M394" s="5"/>
      <c r="N394" s="5"/>
      <c r="O394" s="5"/>
      <c r="P394" s="5"/>
      <c r="Q394" s="5"/>
      <c r="R394" s="2"/>
      <c r="S394" s="2"/>
      <c r="T394" s="2"/>
      <c r="U394" s="2"/>
      <c r="V394" s="2"/>
      <c r="W394" s="2"/>
      <c r="X394" s="6"/>
      <c r="Y394" s="2"/>
      <c r="Z394" s="2"/>
      <c r="AA394" s="2"/>
      <c r="AB394" s="2"/>
      <c r="AC394" s="6"/>
      <c r="AD394" s="2"/>
      <c r="AE394" s="2"/>
      <c r="AF394" s="2"/>
      <c r="AG394" s="2"/>
      <c r="AH394" s="2"/>
      <c r="AI394" s="6"/>
      <c r="AJ394" s="2"/>
      <c r="AK394" s="56"/>
      <c r="AL394" s="2"/>
      <c r="AM394" s="2"/>
      <c r="AN394" s="2"/>
      <c r="AO394" s="2"/>
      <c r="AP394" s="6"/>
      <c r="AQ394" s="2"/>
      <c r="AR394" s="2"/>
      <c r="AS394" s="2"/>
      <c r="AT394" s="2"/>
      <c r="AU394" s="2"/>
      <c r="AV394" s="2"/>
      <c r="AW394" s="2"/>
      <c r="AX394" s="6"/>
      <c r="AY394" s="2"/>
      <c r="AZ394" s="2"/>
      <c r="BA394" s="2"/>
      <c r="BB394" s="2"/>
      <c r="BC394" s="2"/>
      <c r="BD394" s="6"/>
      <c r="BE394" s="2"/>
      <c r="BF394" s="6"/>
      <c r="BG394" s="58"/>
      <c r="BH394" s="6"/>
      <c r="BI394" s="2"/>
    </row>
    <row r="395" ht="12.75" customHeight="1">
      <c r="A395" s="71"/>
      <c r="B395" s="71"/>
      <c r="C395" s="11"/>
      <c r="D395" s="11"/>
      <c r="E395" s="2"/>
      <c r="F395" s="2"/>
      <c r="G395" s="2"/>
      <c r="H395" s="54"/>
      <c r="I395" s="4"/>
      <c r="J395" s="2"/>
      <c r="K395" s="2"/>
      <c r="L395" s="5"/>
      <c r="M395" s="5"/>
      <c r="N395" s="5"/>
      <c r="O395" s="5"/>
      <c r="P395" s="5"/>
      <c r="Q395" s="5"/>
      <c r="R395" s="2"/>
      <c r="S395" s="2"/>
      <c r="T395" s="2"/>
      <c r="U395" s="2"/>
      <c r="V395" s="2"/>
      <c r="W395" s="2"/>
      <c r="X395" s="6"/>
      <c r="Y395" s="2"/>
      <c r="Z395" s="2"/>
      <c r="AA395" s="2"/>
      <c r="AB395" s="2"/>
      <c r="AC395" s="6"/>
      <c r="AD395" s="2"/>
      <c r="AE395" s="2"/>
      <c r="AF395" s="2"/>
      <c r="AG395" s="2"/>
      <c r="AH395" s="2"/>
      <c r="AI395" s="6"/>
      <c r="AJ395" s="2"/>
      <c r="AK395" s="56"/>
      <c r="AL395" s="2"/>
      <c r="AM395" s="2"/>
      <c r="AN395" s="2"/>
      <c r="AO395" s="2"/>
      <c r="AP395" s="6"/>
      <c r="AQ395" s="2"/>
      <c r="AR395" s="2"/>
      <c r="AS395" s="2"/>
      <c r="AT395" s="2"/>
      <c r="AU395" s="2"/>
      <c r="AV395" s="2"/>
      <c r="AW395" s="2"/>
      <c r="AX395" s="6"/>
      <c r="AY395" s="2"/>
      <c r="AZ395" s="2"/>
      <c r="BA395" s="2"/>
      <c r="BB395" s="2"/>
      <c r="BC395" s="2"/>
      <c r="BD395" s="6"/>
      <c r="BE395" s="2"/>
      <c r="BF395" s="6"/>
      <c r="BG395" s="58"/>
      <c r="BH395" s="6"/>
      <c r="BI395" s="2"/>
    </row>
    <row r="396" ht="12.75" customHeight="1">
      <c r="A396" s="71"/>
      <c r="B396" s="71"/>
      <c r="C396" s="11"/>
      <c r="D396" s="11"/>
      <c r="E396" s="2"/>
      <c r="F396" s="2"/>
      <c r="G396" s="2"/>
      <c r="H396" s="54"/>
      <c r="I396" s="4"/>
      <c r="J396" s="2"/>
      <c r="K396" s="2"/>
      <c r="L396" s="5"/>
      <c r="M396" s="5"/>
      <c r="N396" s="5"/>
      <c r="O396" s="5"/>
      <c r="P396" s="5"/>
      <c r="Q396" s="5"/>
      <c r="R396" s="2"/>
      <c r="S396" s="2"/>
      <c r="T396" s="2"/>
      <c r="U396" s="2"/>
      <c r="V396" s="2"/>
      <c r="W396" s="2"/>
      <c r="X396" s="6"/>
      <c r="Y396" s="2"/>
      <c r="Z396" s="2"/>
      <c r="AA396" s="2"/>
      <c r="AB396" s="2"/>
      <c r="AC396" s="6"/>
      <c r="AD396" s="2"/>
      <c r="AE396" s="2"/>
      <c r="AF396" s="2"/>
      <c r="AG396" s="2"/>
      <c r="AH396" s="2"/>
      <c r="AI396" s="6"/>
      <c r="AJ396" s="2"/>
      <c r="AK396" s="56"/>
      <c r="AL396" s="2"/>
      <c r="AM396" s="2"/>
      <c r="AN396" s="2"/>
      <c r="AO396" s="2"/>
      <c r="AP396" s="6"/>
      <c r="AQ396" s="2"/>
      <c r="AR396" s="2"/>
      <c r="AS396" s="2"/>
      <c r="AT396" s="2"/>
      <c r="AU396" s="2"/>
      <c r="AV396" s="2"/>
      <c r="AW396" s="2"/>
      <c r="AX396" s="6"/>
      <c r="AY396" s="2"/>
      <c r="AZ396" s="2"/>
      <c r="BA396" s="2"/>
      <c r="BB396" s="2"/>
      <c r="BC396" s="2"/>
      <c r="BD396" s="6"/>
      <c r="BE396" s="2"/>
      <c r="BF396" s="6"/>
      <c r="BG396" s="58"/>
      <c r="BH396" s="6"/>
      <c r="BI396" s="2"/>
    </row>
    <row r="397" ht="12.75" customHeight="1">
      <c r="A397" s="71"/>
      <c r="B397" s="71"/>
      <c r="C397" s="11"/>
      <c r="D397" s="11"/>
      <c r="E397" s="2"/>
      <c r="F397" s="2"/>
      <c r="G397" s="2"/>
      <c r="H397" s="54"/>
      <c r="I397" s="4"/>
      <c r="J397" s="2"/>
      <c r="K397" s="2"/>
      <c r="L397" s="5"/>
      <c r="M397" s="5"/>
      <c r="N397" s="5"/>
      <c r="O397" s="5"/>
      <c r="P397" s="5"/>
      <c r="Q397" s="5"/>
      <c r="R397" s="2"/>
      <c r="S397" s="2"/>
      <c r="T397" s="2"/>
      <c r="U397" s="2"/>
      <c r="V397" s="2"/>
      <c r="W397" s="2"/>
      <c r="X397" s="6"/>
      <c r="Y397" s="2"/>
      <c r="Z397" s="2"/>
      <c r="AA397" s="2"/>
      <c r="AB397" s="2"/>
      <c r="AC397" s="6"/>
      <c r="AD397" s="2"/>
      <c r="AE397" s="2"/>
      <c r="AF397" s="2"/>
      <c r="AG397" s="2"/>
      <c r="AH397" s="2"/>
      <c r="AI397" s="6"/>
      <c r="AJ397" s="2"/>
      <c r="AK397" s="56"/>
      <c r="AL397" s="2"/>
      <c r="AM397" s="2"/>
      <c r="AN397" s="2"/>
      <c r="AO397" s="2"/>
      <c r="AP397" s="6"/>
      <c r="AQ397" s="2"/>
      <c r="AR397" s="2"/>
      <c r="AS397" s="2"/>
      <c r="AT397" s="2"/>
      <c r="AU397" s="2"/>
      <c r="AV397" s="2"/>
      <c r="AW397" s="2"/>
      <c r="AX397" s="6"/>
      <c r="AY397" s="2"/>
      <c r="AZ397" s="2"/>
      <c r="BA397" s="2"/>
      <c r="BB397" s="2"/>
      <c r="BC397" s="2"/>
      <c r="BD397" s="6"/>
      <c r="BE397" s="2"/>
      <c r="BF397" s="6"/>
      <c r="BG397" s="58"/>
      <c r="BH397" s="6"/>
      <c r="BI397" s="2"/>
    </row>
    <row r="398" ht="12.75" customHeight="1">
      <c r="A398" s="71"/>
      <c r="B398" s="71"/>
      <c r="C398" s="11"/>
      <c r="D398" s="11"/>
      <c r="E398" s="2"/>
      <c r="F398" s="2"/>
      <c r="G398" s="2"/>
      <c r="H398" s="54"/>
      <c r="I398" s="4"/>
      <c r="J398" s="2"/>
      <c r="K398" s="2"/>
      <c r="L398" s="5"/>
      <c r="M398" s="5"/>
      <c r="N398" s="5"/>
      <c r="O398" s="5"/>
      <c r="P398" s="5"/>
      <c r="Q398" s="5"/>
      <c r="R398" s="2"/>
      <c r="S398" s="2"/>
      <c r="T398" s="2"/>
      <c r="U398" s="2"/>
      <c r="V398" s="2"/>
      <c r="W398" s="2"/>
      <c r="X398" s="6"/>
      <c r="Y398" s="2"/>
      <c r="Z398" s="2"/>
      <c r="AA398" s="2"/>
      <c r="AB398" s="2"/>
      <c r="AC398" s="6"/>
      <c r="AD398" s="2"/>
      <c r="AE398" s="2"/>
      <c r="AF398" s="2"/>
      <c r="AG398" s="2"/>
      <c r="AH398" s="2"/>
      <c r="AI398" s="6"/>
      <c r="AJ398" s="2"/>
      <c r="AK398" s="56"/>
      <c r="AL398" s="2"/>
      <c r="AM398" s="2"/>
      <c r="AN398" s="2"/>
      <c r="AO398" s="2"/>
      <c r="AP398" s="6"/>
      <c r="AQ398" s="2"/>
      <c r="AR398" s="2"/>
      <c r="AS398" s="2"/>
      <c r="AT398" s="2"/>
      <c r="AU398" s="2"/>
      <c r="AV398" s="2"/>
      <c r="AW398" s="2"/>
      <c r="AX398" s="6"/>
      <c r="AY398" s="2"/>
      <c r="AZ398" s="2"/>
      <c r="BA398" s="2"/>
      <c r="BB398" s="2"/>
      <c r="BC398" s="2"/>
      <c r="BD398" s="6"/>
      <c r="BE398" s="2"/>
      <c r="BF398" s="6"/>
      <c r="BG398" s="58"/>
      <c r="BH398" s="6"/>
      <c r="BI398" s="2"/>
    </row>
    <row r="399" ht="12.75" customHeight="1">
      <c r="A399" s="71"/>
      <c r="B399" s="71"/>
      <c r="C399" s="11"/>
      <c r="D399" s="11"/>
      <c r="E399" s="2"/>
      <c r="F399" s="2"/>
      <c r="G399" s="2"/>
      <c r="H399" s="54"/>
      <c r="I399" s="4"/>
      <c r="J399" s="2"/>
      <c r="K399" s="2"/>
      <c r="L399" s="5"/>
      <c r="M399" s="5"/>
      <c r="N399" s="5"/>
      <c r="O399" s="5"/>
      <c r="P399" s="5"/>
      <c r="Q399" s="5"/>
      <c r="R399" s="2"/>
      <c r="S399" s="2"/>
      <c r="T399" s="2"/>
      <c r="U399" s="2"/>
      <c r="V399" s="2"/>
      <c r="W399" s="2"/>
      <c r="X399" s="6"/>
      <c r="Y399" s="2"/>
      <c r="Z399" s="2"/>
      <c r="AA399" s="2"/>
      <c r="AB399" s="2"/>
      <c r="AC399" s="6"/>
      <c r="AD399" s="2"/>
      <c r="AE399" s="2"/>
      <c r="AF399" s="2"/>
      <c r="AG399" s="2"/>
      <c r="AH399" s="2"/>
      <c r="AI399" s="6"/>
      <c r="AJ399" s="2"/>
      <c r="AK399" s="56"/>
      <c r="AL399" s="2"/>
      <c r="AM399" s="2"/>
      <c r="AN399" s="2"/>
      <c r="AO399" s="2"/>
      <c r="AP399" s="6"/>
      <c r="AQ399" s="2"/>
      <c r="AR399" s="2"/>
      <c r="AS399" s="2"/>
      <c r="AT399" s="2"/>
      <c r="AU399" s="2"/>
      <c r="AV399" s="2"/>
      <c r="AW399" s="2"/>
      <c r="AX399" s="6"/>
      <c r="AY399" s="2"/>
      <c r="AZ399" s="2"/>
      <c r="BA399" s="2"/>
      <c r="BB399" s="2"/>
      <c r="BC399" s="2"/>
      <c r="BD399" s="6"/>
      <c r="BE399" s="2"/>
      <c r="BF399" s="6"/>
      <c r="BG399" s="58"/>
      <c r="BH399" s="6"/>
      <c r="BI399" s="2"/>
    </row>
    <row r="400" ht="12.75" customHeight="1">
      <c r="A400" s="71"/>
      <c r="B400" s="71"/>
      <c r="C400" s="11"/>
      <c r="D400" s="11"/>
      <c r="E400" s="2"/>
      <c r="F400" s="2"/>
      <c r="G400" s="2"/>
      <c r="H400" s="54"/>
      <c r="I400" s="4"/>
      <c r="J400" s="2"/>
      <c r="K400" s="2"/>
      <c r="L400" s="5"/>
      <c r="M400" s="5"/>
      <c r="N400" s="5"/>
      <c r="O400" s="5"/>
      <c r="P400" s="5"/>
      <c r="Q400" s="5"/>
      <c r="R400" s="2"/>
      <c r="S400" s="2"/>
      <c r="T400" s="2"/>
      <c r="U400" s="2"/>
      <c r="V400" s="2"/>
      <c r="W400" s="2"/>
      <c r="X400" s="6"/>
      <c r="Y400" s="2"/>
      <c r="Z400" s="2"/>
      <c r="AA400" s="2"/>
      <c r="AB400" s="2"/>
      <c r="AC400" s="6"/>
      <c r="AD400" s="2"/>
      <c r="AE400" s="2"/>
      <c r="AF400" s="2"/>
      <c r="AG400" s="2"/>
      <c r="AH400" s="2"/>
      <c r="AI400" s="6"/>
      <c r="AJ400" s="2"/>
      <c r="AK400" s="56"/>
      <c r="AL400" s="2"/>
      <c r="AM400" s="2"/>
      <c r="AN400" s="2"/>
      <c r="AO400" s="2"/>
      <c r="AP400" s="6"/>
      <c r="AQ400" s="2"/>
      <c r="AR400" s="2"/>
      <c r="AS400" s="2"/>
      <c r="AT400" s="2"/>
      <c r="AU400" s="2"/>
      <c r="AV400" s="2"/>
      <c r="AW400" s="2"/>
      <c r="AX400" s="6"/>
      <c r="AY400" s="2"/>
      <c r="AZ400" s="2"/>
      <c r="BA400" s="2"/>
      <c r="BB400" s="2"/>
      <c r="BC400" s="2"/>
      <c r="BD400" s="6"/>
      <c r="BE400" s="2"/>
      <c r="BF400" s="6"/>
      <c r="BG400" s="58"/>
      <c r="BH400" s="6"/>
      <c r="BI400" s="2"/>
    </row>
    <row r="401" ht="12.75" customHeight="1">
      <c r="A401" s="71"/>
      <c r="B401" s="71"/>
      <c r="C401" s="11"/>
      <c r="D401" s="11"/>
      <c r="E401" s="2"/>
      <c r="F401" s="2"/>
      <c r="G401" s="2"/>
      <c r="H401" s="54"/>
      <c r="I401" s="4"/>
      <c r="J401" s="2"/>
      <c r="K401" s="2"/>
      <c r="L401" s="5"/>
      <c r="M401" s="5"/>
      <c r="N401" s="5"/>
      <c r="O401" s="5"/>
      <c r="P401" s="5"/>
      <c r="Q401" s="5"/>
      <c r="R401" s="2"/>
      <c r="S401" s="2"/>
      <c r="T401" s="2"/>
      <c r="U401" s="2"/>
      <c r="V401" s="2"/>
      <c r="W401" s="2"/>
      <c r="X401" s="6"/>
      <c r="Y401" s="2"/>
      <c r="Z401" s="2"/>
      <c r="AA401" s="2"/>
      <c r="AB401" s="2"/>
      <c r="AC401" s="6"/>
      <c r="AD401" s="2"/>
      <c r="AE401" s="2"/>
      <c r="AF401" s="2"/>
      <c r="AG401" s="2"/>
      <c r="AH401" s="2"/>
      <c r="AI401" s="6"/>
      <c r="AJ401" s="2"/>
      <c r="AK401" s="56"/>
      <c r="AL401" s="2"/>
      <c r="AM401" s="2"/>
      <c r="AN401" s="2"/>
      <c r="AO401" s="2"/>
      <c r="AP401" s="6"/>
      <c r="AQ401" s="2"/>
      <c r="AR401" s="2"/>
      <c r="AS401" s="2"/>
      <c r="AT401" s="2"/>
      <c r="AU401" s="2"/>
      <c r="AV401" s="2"/>
      <c r="AW401" s="2"/>
      <c r="AX401" s="6"/>
      <c r="AY401" s="2"/>
      <c r="AZ401" s="2"/>
      <c r="BA401" s="2"/>
      <c r="BB401" s="2"/>
      <c r="BC401" s="2"/>
      <c r="BD401" s="6"/>
      <c r="BE401" s="2"/>
      <c r="BF401" s="6"/>
      <c r="BG401" s="58"/>
      <c r="BH401" s="6"/>
      <c r="BI401" s="2"/>
    </row>
    <row r="402" ht="12.75" customHeight="1">
      <c r="A402" s="71"/>
      <c r="B402" s="71"/>
      <c r="C402" s="11"/>
      <c r="D402" s="11"/>
      <c r="E402" s="2"/>
      <c r="F402" s="2"/>
      <c r="G402" s="2"/>
      <c r="H402" s="54"/>
      <c r="I402" s="4"/>
      <c r="J402" s="2"/>
      <c r="K402" s="2"/>
      <c r="L402" s="5"/>
      <c r="M402" s="5"/>
      <c r="N402" s="5"/>
      <c r="O402" s="5"/>
      <c r="P402" s="5"/>
      <c r="Q402" s="5"/>
      <c r="R402" s="2"/>
      <c r="S402" s="2"/>
      <c r="T402" s="2"/>
      <c r="U402" s="2"/>
      <c r="V402" s="2"/>
      <c r="W402" s="2"/>
      <c r="X402" s="6"/>
      <c r="Y402" s="2"/>
      <c r="Z402" s="2"/>
      <c r="AA402" s="2"/>
      <c r="AB402" s="2"/>
      <c r="AC402" s="6"/>
      <c r="AD402" s="2"/>
      <c r="AE402" s="2"/>
      <c r="AF402" s="2"/>
      <c r="AG402" s="2"/>
      <c r="AH402" s="2"/>
      <c r="AI402" s="6"/>
      <c r="AJ402" s="2"/>
      <c r="AK402" s="56"/>
      <c r="AL402" s="2"/>
      <c r="AM402" s="2"/>
      <c r="AN402" s="2"/>
      <c r="AO402" s="2"/>
      <c r="AP402" s="6"/>
      <c r="AQ402" s="2"/>
      <c r="AR402" s="2"/>
      <c r="AS402" s="2"/>
      <c r="AT402" s="2"/>
      <c r="AU402" s="2"/>
      <c r="AV402" s="2"/>
      <c r="AW402" s="2"/>
      <c r="AX402" s="6"/>
      <c r="AY402" s="2"/>
      <c r="AZ402" s="2"/>
      <c r="BA402" s="2"/>
      <c r="BB402" s="2"/>
      <c r="BC402" s="2"/>
      <c r="BD402" s="6"/>
      <c r="BE402" s="2"/>
      <c r="BF402" s="6"/>
      <c r="BG402" s="58"/>
      <c r="BH402" s="6"/>
      <c r="BI402" s="2"/>
    </row>
    <row r="403" ht="12.75" customHeight="1">
      <c r="A403" s="71"/>
      <c r="B403" s="71"/>
      <c r="C403" s="11"/>
      <c r="D403" s="11"/>
      <c r="E403" s="2"/>
      <c r="F403" s="2"/>
      <c r="G403" s="2"/>
      <c r="H403" s="54"/>
      <c r="I403" s="4"/>
      <c r="J403" s="2"/>
      <c r="K403" s="2"/>
      <c r="L403" s="5"/>
      <c r="M403" s="5"/>
      <c r="N403" s="5"/>
      <c r="O403" s="5"/>
      <c r="P403" s="5"/>
      <c r="Q403" s="5"/>
      <c r="R403" s="2"/>
      <c r="S403" s="2"/>
      <c r="T403" s="2"/>
      <c r="U403" s="2"/>
      <c r="V403" s="2"/>
      <c r="W403" s="2"/>
      <c r="X403" s="6"/>
      <c r="Y403" s="2"/>
      <c r="Z403" s="2"/>
      <c r="AA403" s="2"/>
      <c r="AB403" s="2"/>
      <c r="AC403" s="6"/>
      <c r="AD403" s="2"/>
      <c r="AE403" s="2"/>
      <c r="AF403" s="2"/>
      <c r="AG403" s="2"/>
      <c r="AH403" s="2"/>
      <c r="AI403" s="6"/>
      <c r="AJ403" s="2"/>
      <c r="AK403" s="56"/>
      <c r="AL403" s="2"/>
      <c r="AM403" s="2"/>
      <c r="AN403" s="2"/>
      <c r="AO403" s="2"/>
      <c r="AP403" s="6"/>
      <c r="AQ403" s="2"/>
      <c r="AR403" s="2"/>
      <c r="AS403" s="2"/>
      <c r="AT403" s="2"/>
      <c r="AU403" s="2"/>
      <c r="AV403" s="2"/>
      <c r="AW403" s="2"/>
      <c r="AX403" s="6"/>
      <c r="AY403" s="2"/>
      <c r="AZ403" s="2"/>
      <c r="BA403" s="2"/>
      <c r="BB403" s="2"/>
      <c r="BC403" s="2"/>
      <c r="BD403" s="6"/>
      <c r="BE403" s="2"/>
      <c r="BF403" s="6"/>
      <c r="BG403" s="58"/>
      <c r="BH403" s="6"/>
      <c r="BI403" s="2"/>
    </row>
    <row r="404" ht="12.75" customHeight="1">
      <c r="A404" s="71"/>
      <c r="B404" s="71"/>
      <c r="C404" s="11"/>
      <c r="D404" s="11"/>
      <c r="E404" s="2"/>
      <c r="F404" s="2"/>
      <c r="G404" s="2"/>
      <c r="H404" s="54"/>
      <c r="I404" s="4"/>
      <c r="J404" s="2"/>
      <c r="K404" s="2"/>
      <c r="L404" s="5"/>
      <c r="M404" s="5"/>
      <c r="N404" s="5"/>
      <c r="O404" s="5"/>
      <c r="P404" s="5"/>
      <c r="Q404" s="5"/>
      <c r="R404" s="2"/>
      <c r="S404" s="2"/>
      <c r="T404" s="2"/>
      <c r="U404" s="2"/>
      <c r="V404" s="2"/>
      <c r="W404" s="2"/>
      <c r="X404" s="6"/>
      <c r="Y404" s="2"/>
      <c r="Z404" s="2"/>
      <c r="AA404" s="2"/>
      <c r="AB404" s="2"/>
      <c r="AC404" s="6"/>
      <c r="AD404" s="2"/>
      <c r="AE404" s="2"/>
      <c r="AF404" s="2"/>
      <c r="AG404" s="2"/>
      <c r="AH404" s="2"/>
      <c r="AI404" s="6"/>
      <c r="AJ404" s="2"/>
      <c r="AK404" s="56"/>
      <c r="AL404" s="2"/>
      <c r="AM404" s="2"/>
      <c r="AN404" s="2"/>
      <c r="AO404" s="2"/>
      <c r="AP404" s="6"/>
      <c r="AQ404" s="2"/>
      <c r="AR404" s="2"/>
      <c r="AS404" s="2"/>
      <c r="AT404" s="2"/>
      <c r="AU404" s="2"/>
      <c r="AV404" s="2"/>
      <c r="AW404" s="2"/>
      <c r="AX404" s="6"/>
      <c r="AY404" s="2"/>
      <c r="AZ404" s="2"/>
      <c r="BA404" s="2"/>
      <c r="BB404" s="2"/>
      <c r="BC404" s="2"/>
      <c r="BD404" s="6"/>
      <c r="BE404" s="2"/>
      <c r="BF404" s="6"/>
      <c r="BG404" s="58"/>
      <c r="BH404" s="6"/>
      <c r="BI404" s="2"/>
    </row>
    <row r="405" ht="12.75" customHeight="1">
      <c r="A405" s="71"/>
      <c r="B405" s="71"/>
      <c r="C405" s="11"/>
      <c r="D405" s="11"/>
      <c r="E405" s="2"/>
      <c r="F405" s="2"/>
      <c r="G405" s="2"/>
      <c r="H405" s="54"/>
      <c r="I405" s="4"/>
      <c r="J405" s="2"/>
      <c r="K405" s="2"/>
      <c r="L405" s="5"/>
      <c r="M405" s="5"/>
      <c r="N405" s="5"/>
      <c r="O405" s="5"/>
      <c r="P405" s="5"/>
      <c r="Q405" s="5"/>
      <c r="R405" s="2"/>
      <c r="S405" s="2"/>
      <c r="T405" s="2"/>
      <c r="U405" s="2"/>
      <c r="V405" s="2"/>
      <c r="W405" s="2"/>
      <c r="X405" s="6"/>
      <c r="Y405" s="2"/>
      <c r="Z405" s="2"/>
      <c r="AA405" s="2"/>
      <c r="AB405" s="2"/>
      <c r="AC405" s="6"/>
      <c r="AD405" s="2"/>
      <c r="AE405" s="2"/>
      <c r="AF405" s="2"/>
      <c r="AG405" s="2"/>
      <c r="AH405" s="2"/>
      <c r="AI405" s="6"/>
      <c r="AJ405" s="2"/>
      <c r="AK405" s="56"/>
      <c r="AL405" s="2"/>
      <c r="AM405" s="2"/>
      <c r="AN405" s="2"/>
      <c r="AO405" s="2"/>
      <c r="AP405" s="6"/>
      <c r="AQ405" s="2"/>
      <c r="AR405" s="2"/>
      <c r="AS405" s="2"/>
      <c r="AT405" s="2"/>
      <c r="AU405" s="2"/>
      <c r="AV405" s="2"/>
      <c r="AW405" s="2"/>
      <c r="AX405" s="6"/>
      <c r="AY405" s="2"/>
      <c r="AZ405" s="2"/>
      <c r="BA405" s="2"/>
      <c r="BB405" s="2"/>
      <c r="BC405" s="2"/>
      <c r="BD405" s="6"/>
      <c r="BE405" s="2"/>
      <c r="BF405" s="6"/>
      <c r="BG405" s="58"/>
      <c r="BH405" s="6"/>
      <c r="BI405" s="2"/>
    </row>
    <row r="406" ht="12.75" customHeight="1">
      <c r="A406" s="71"/>
      <c r="B406" s="71"/>
      <c r="C406" s="11"/>
      <c r="D406" s="11"/>
      <c r="E406" s="2"/>
      <c r="F406" s="2"/>
      <c r="G406" s="2"/>
      <c r="H406" s="54"/>
      <c r="I406" s="4"/>
      <c r="J406" s="2"/>
      <c r="K406" s="2"/>
      <c r="L406" s="5"/>
      <c r="M406" s="5"/>
      <c r="N406" s="5"/>
      <c r="O406" s="5"/>
      <c r="P406" s="5"/>
      <c r="Q406" s="5"/>
      <c r="R406" s="2"/>
      <c r="S406" s="2"/>
      <c r="T406" s="2"/>
      <c r="U406" s="2"/>
      <c r="V406" s="2"/>
      <c r="W406" s="2"/>
      <c r="X406" s="6"/>
      <c r="Y406" s="2"/>
      <c r="Z406" s="2"/>
      <c r="AA406" s="2"/>
      <c r="AB406" s="2"/>
      <c r="AC406" s="6"/>
      <c r="AD406" s="2"/>
      <c r="AE406" s="2"/>
      <c r="AF406" s="2"/>
      <c r="AG406" s="2"/>
      <c r="AH406" s="2"/>
      <c r="AI406" s="6"/>
      <c r="AJ406" s="2"/>
      <c r="AK406" s="56"/>
      <c r="AL406" s="2"/>
      <c r="AM406" s="2"/>
      <c r="AN406" s="2"/>
      <c r="AO406" s="2"/>
      <c r="AP406" s="6"/>
      <c r="AQ406" s="2"/>
      <c r="AR406" s="2"/>
      <c r="AS406" s="2"/>
      <c r="AT406" s="2"/>
      <c r="AU406" s="2"/>
      <c r="AV406" s="2"/>
      <c r="AW406" s="2"/>
      <c r="AX406" s="6"/>
      <c r="AY406" s="2"/>
      <c r="AZ406" s="2"/>
      <c r="BA406" s="2"/>
      <c r="BB406" s="2"/>
      <c r="BC406" s="2"/>
      <c r="BD406" s="6"/>
      <c r="BE406" s="2"/>
      <c r="BF406" s="6"/>
      <c r="BG406" s="58"/>
      <c r="BH406" s="6"/>
      <c r="BI406" s="2"/>
    </row>
    <row r="407" ht="12.75" customHeight="1">
      <c r="A407" s="71"/>
      <c r="B407" s="71"/>
      <c r="C407" s="11"/>
      <c r="D407" s="11"/>
      <c r="E407" s="2"/>
      <c r="F407" s="2"/>
      <c r="G407" s="2"/>
      <c r="H407" s="54"/>
      <c r="I407" s="4"/>
      <c r="J407" s="2"/>
      <c r="K407" s="2"/>
      <c r="L407" s="5"/>
      <c r="M407" s="5"/>
      <c r="N407" s="5"/>
      <c r="O407" s="5"/>
      <c r="P407" s="5"/>
      <c r="Q407" s="5"/>
      <c r="R407" s="2"/>
      <c r="S407" s="2"/>
      <c r="T407" s="2"/>
      <c r="U407" s="2"/>
      <c r="V407" s="2"/>
      <c r="W407" s="2"/>
      <c r="X407" s="6"/>
      <c r="Y407" s="2"/>
      <c r="Z407" s="2"/>
      <c r="AA407" s="2"/>
      <c r="AB407" s="2"/>
      <c r="AC407" s="6"/>
      <c r="AD407" s="2"/>
      <c r="AE407" s="2"/>
      <c r="AF407" s="2"/>
      <c r="AG407" s="2"/>
      <c r="AH407" s="2"/>
      <c r="AI407" s="6"/>
      <c r="AJ407" s="2"/>
      <c r="AK407" s="56"/>
      <c r="AL407" s="2"/>
      <c r="AM407" s="2"/>
      <c r="AN407" s="2"/>
      <c r="AO407" s="2"/>
      <c r="AP407" s="6"/>
      <c r="AQ407" s="2"/>
      <c r="AR407" s="2"/>
      <c r="AS407" s="2"/>
      <c r="AT407" s="2"/>
      <c r="AU407" s="2"/>
      <c r="AV407" s="2"/>
      <c r="AW407" s="2"/>
      <c r="AX407" s="6"/>
      <c r="AY407" s="2"/>
      <c r="AZ407" s="2"/>
      <c r="BA407" s="2"/>
      <c r="BB407" s="2"/>
      <c r="BC407" s="2"/>
      <c r="BD407" s="6"/>
      <c r="BE407" s="2"/>
      <c r="BF407" s="6"/>
      <c r="BG407" s="58"/>
      <c r="BH407" s="6"/>
      <c r="BI407" s="2"/>
    </row>
    <row r="408" ht="12.75" customHeight="1">
      <c r="A408" s="71"/>
      <c r="B408" s="71"/>
      <c r="C408" s="11"/>
      <c r="D408" s="11"/>
      <c r="E408" s="2"/>
      <c r="F408" s="2"/>
      <c r="G408" s="2"/>
      <c r="H408" s="54"/>
      <c r="I408" s="4"/>
      <c r="J408" s="2"/>
      <c r="K408" s="2"/>
      <c r="L408" s="5"/>
      <c r="M408" s="5"/>
      <c r="N408" s="5"/>
      <c r="O408" s="5"/>
      <c r="P408" s="5"/>
      <c r="Q408" s="5"/>
      <c r="R408" s="2"/>
      <c r="S408" s="2"/>
      <c r="T408" s="2"/>
      <c r="U408" s="2"/>
      <c r="V408" s="2"/>
      <c r="W408" s="2"/>
      <c r="X408" s="6"/>
      <c r="Y408" s="2"/>
      <c r="Z408" s="2"/>
      <c r="AA408" s="2"/>
      <c r="AB408" s="2"/>
      <c r="AC408" s="6"/>
      <c r="AD408" s="2"/>
      <c r="AE408" s="2"/>
      <c r="AF408" s="2"/>
      <c r="AG408" s="2"/>
      <c r="AH408" s="2"/>
      <c r="AI408" s="6"/>
      <c r="AJ408" s="2"/>
      <c r="AK408" s="56"/>
      <c r="AL408" s="2"/>
      <c r="AM408" s="2"/>
      <c r="AN408" s="2"/>
      <c r="AO408" s="2"/>
      <c r="AP408" s="6"/>
      <c r="AQ408" s="2"/>
      <c r="AR408" s="2"/>
      <c r="AS408" s="2"/>
      <c r="AT408" s="2"/>
      <c r="AU408" s="2"/>
      <c r="AV408" s="2"/>
      <c r="AW408" s="2"/>
      <c r="AX408" s="6"/>
      <c r="AY408" s="2"/>
      <c r="AZ408" s="2"/>
      <c r="BA408" s="2"/>
      <c r="BB408" s="2"/>
      <c r="BC408" s="2"/>
      <c r="BD408" s="6"/>
      <c r="BE408" s="2"/>
      <c r="BF408" s="6"/>
      <c r="BG408" s="58"/>
      <c r="BH408" s="6"/>
      <c r="BI408" s="2"/>
    </row>
    <row r="409" ht="12.75" customHeight="1">
      <c r="A409" s="71"/>
      <c r="B409" s="71"/>
      <c r="C409" s="11"/>
      <c r="D409" s="11"/>
      <c r="E409" s="2"/>
      <c r="F409" s="2"/>
      <c r="G409" s="2"/>
      <c r="H409" s="54"/>
      <c r="I409" s="4"/>
      <c r="J409" s="2"/>
      <c r="K409" s="2"/>
      <c r="L409" s="5"/>
      <c r="M409" s="5"/>
      <c r="N409" s="5"/>
      <c r="O409" s="5"/>
      <c r="P409" s="5"/>
      <c r="Q409" s="5"/>
      <c r="R409" s="2"/>
      <c r="S409" s="2"/>
      <c r="T409" s="2"/>
      <c r="U409" s="2"/>
      <c r="V409" s="2"/>
      <c r="W409" s="2"/>
      <c r="X409" s="6"/>
      <c r="Y409" s="2"/>
      <c r="Z409" s="2"/>
      <c r="AA409" s="2"/>
      <c r="AB409" s="2"/>
      <c r="AC409" s="6"/>
      <c r="AD409" s="2"/>
      <c r="AE409" s="2"/>
      <c r="AF409" s="2"/>
      <c r="AG409" s="2"/>
      <c r="AH409" s="2"/>
      <c r="AI409" s="6"/>
      <c r="AJ409" s="2"/>
      <c r="AK409" s="56"/>
      <c r="AL409" s="2"/>
      <c r="AM409" s="2"/>
      <c r="AN409" s="2"/>
      <c r="AO409" s="2"/>
      <c r="AP409" s="6"/>
      <c r="AQ409" s="2"/>
      <c r="AR409" s="2"/>
      <c r="AS409" s="2"/>
      <c r="AT409" s="2"/>
      <c r="AU409" s="2"/>
      <c r="AV409" s="2"/>
      <c r="AW409" s="2"/>
      <c r="AX409" s="6"/>
      <c r="AY409" s="2"/>
      <c r="AZ409" s="2"/>
      <c r="BA409" s="2"/>
      <c r="BB409" s="2"/>
      <c r="BC409" s="2"/>
      <c r="BD409" s="6"/>
      <c r="BE409" s="2"/>
      <c r="BF409" s="6"/>
      <c r="BG409" s="58"/>
      <c r="BH409" s="6"/>
      <c r="BI409" s="2"/>
    </row>
    <row r="410" ht="12.75" customHeight="1">
      <c r="A410" s="71"/>
      <c r="B410" s="71"/>
      <c r="C410" s="11"/>
      <c r="D410" s="11"/>
      <c r="E410" s="2"/>
      <c r="F410" s="2"/>
      <c r="G410" s="2"/>
      <c r="H410" s="54"/>
      <c r="I410" s="4"/>
      <c r="J410" s="2"/>
      <c r="K410" s="2"/>
      <c r="L410" s="5"/>
      <c r="M410" s="5"/>
      <c r="N410" s="5"/>
      <c r="O410" s="5"/>
      <c r="P410" s="5"/>
      <c r="Q410" s="5"/>
      <c r="R410" s="2"/>
      <c r="S410" s="2"/>
      <c r="T410" s="2"/>
      <c r="U410" s="2"/>
      <c r="V410" s="2"/>
      <c r="W410" s="2"/>
      <c r="X410" s="6"/>
      <c r="Y410" s="2"/>
      <c r="Z410" s="2"/>
      <c r="AA410" s="2"/>
      <c r="AB410" s="2"/>
      <c r="AC410" s="6"/>
      <c r="AD410" s="2"/>
      <c r="AE410" s="2"/>
      <c r="AF410" s="2"/>
      <c r="AG410" s="2"/>
      <c r="AH410" s="2"/>
      <c r="AI410" s="6"/>
      <c r="AJ410" s="2"/>
      <c r="AK410" s="56"/>
      <c r="AL410" s="2"/>
      <c r="AM410" s="2"/>
      <c r="AN410" s="2"/>
      <c r="AO410" s="2"/>
      <c r="AP410" s="6"/>
      <c r="AQ410" s="2"/>
      <c r="AR410" s="2"/>
      <c r="AS410" s="2"/>
      <c r="AT410" s="2"/>
      <c r="AU410" s="2"/>
      <c r="AV410" s="2"/>
      <c r="AW410" s="2"/>
      <c r="AX410" s="6"/>
      <c r="AY410" s="2"/>
      <c r="AZ410" s="2"/>
      <c r="BA410" s="2"/>
      <c r="BB410" s="2"/>
      <c r="BC410" s="2"/>
      <c r="BD410" s="6"/>
      <c r="BE410" s="2"/>
      <c r="BF410" s="6"/>
      <c r="BG410" s="58"/>
      <c r="BH410" s="6"/>
      <c r="BI410" s="2"/>
    </row>
    <row r="411" ht="12.75" customHeight="1">
      <c r="A411" s="71"/>
      <c r="B411" s="71"/>
      <c r="C411" s="11"/>
      <c r="D411" s="11"/>
      <c r="E411" s="2"/>
      <c r="F411" s="2"/>
      <c r="G411" s="2"/>
      <c r="H411" s="54"/>
      <c r="I411" s="4"/>
      <c r="J411" s="2"/>
      <c r="K411" s="2"/>
      <c r="L411" s="5"/>
      <c r="M411" s="5"/>
      <c r="N411" s="5"/>
      <c r="O411" s="5"/>
      <c r="P411" s="5"/>
      <c r="Q411" s="5"/>
      <c r="R411" s="2"/>
      <c r="S411" s="2"/>
      <c r="T411" s="2"/>
      <c r="U411" s="2"/>
      <c r="V411" s="2"/>
      <c r="W411" s="2"/>
      <c r="X411" s="6"/>
      <c r="Y411" s="2"/>
      <c r="Z411" s="2"/>
      <c r="AA411" s="2"/>
      <c r="AB411" s="2"/>
      <c r="AC411" s="6"/>
      <c r="AD411" s="2"/>
      <c r="AE411" s="2"/>
      <c r="AF411" s="2"/>
      <c r="AG411" s="2"/>
      <c r="AH411" s="2"/>
      <c r="AI411" s="6"/>
      <c r="AJ411" s="2"/>
      <c r="AK411" s="56"/>
      <c r="AL411" s="2"/>
      <c r="AM411" s="2"/>
      <c r="AN411" s="2"/>
      <c r="AO411" s="2"/>
      <c r="AP411" s="6"/>
      <c r="AQ411" s="2"/>
      <c r="AR411" s="2"/>
      <c r="AS411" s="2"/>
      <c r="AT411" s="2"/>
      <c r="AU411" s="2"/>
      <c r="AV411" s="2"/>
      <c r="AW411" s="2"/>
      <c r="AX411" s="6"/>
      <c r="AY411" s="2"/>
      <c r="AZ411" s="2"/>
      <c r="BA411" s="2"/>
      <c r="BB411" s="2"/>
      <c r="BC411" s="2"/>
      <c r="BD411" s="6"/>
      <c r="BE411" s="2"/>
      <c r="BF411" s="6"/>
      <c r="BG411" s="58"/>
      <c r="BH411" s="6"/>
      <c r="BI411" s="2"/>
    </row>
    <row r="412" ht="12.75" customHeight="1">
      <c r="A412" s="71"/>
      <c r="B412" s="71"/>
      <c r="C412" s="11"/>
      <c r="D412" s="11"/>
      <c r="E412" s="2"/>
      <c r="F412" s="2"/>
      <c r="G412" s="2"/>
      <c r="H412" s="54"/>
      <c r="I412" s="4"/>
      <c r="J412" s="2"/>
      <c r="K412" s="2"/>
      <c r="L412" s="5"/>
      <c r="M412" s="5"/>
      <c r="N412" s="5"/>
      <c r="O412" s="5"/>
      <c r="P412" s="5"/>
      <c r="Q412" s="5"/>
      <c r="R412" s="2"/>
      <c r="S412" s="2"/>
      <c r="T412" s="2"/>
      <c r="U412" s="2"/>
      <c r="V412" s="2"/>
      <c r="W412" s="2"/>
      <c r="X412" s="6"/>
      <c r="Y412" s="2"/>
      <c r="Z412" s="2"/>
      <c r="AA412" s="2"/>
      <c r="AB412" s="2"/>
      <c r="AC412" s="6"/>
      <c r="AD412" s="2"/>
      <c r="AE412" s="2"/>
      <c r="AF412" s="2"/>
      <c r="AG412" s="2"/>
      <c r="AH412" s="2"/>
      <c r="AI412" s="6"/>
      <c r="AJ412" s="2"/>
      <c r="AK412" s="56"/>
      <c r="AL412" s="2"/>
      <c r="AM412" s="2"/>
      <c r="AN412" s="2"/>
      <c r="AO412" s="2"/>
      <c r="AP412" s="6"/>
      <c r="AQ412" s="2"/>
      <c r="AR412" s="2"/>
      <c r="AS412" s="2"/>
      <c r="AT412" s="2"/>
      <c r="AU412" s="2"/>
      <c r="AV412" s="2"/>
      <c r="AW412" s="2"/>
      <c r="AX412" s="6"/>
      <c r="AY412" s="2"/>
      <c r="AZ412" s="2"/>
      <c r="BA412" s="2"/>
      <c r="BB412" s="2"/>
      <c r="BC412" s="2"/>
      <c r="BD412" s="6"/>
      <c r="BE412" s="2"/>
      <c r="BF412" s="6"/>
      <c r="BG412" s="58"/>
      <c r="BH412" s="6"/>
      <c r="BI412" s="2"/>
    </row>
    <row r="413" ht="12.75" customHeight="1">
      <c r="A413" s="71"/>
      <c r="B413" s="71"/>
      <c r="C413" s="11"/>
      <c r="D413" s="11"/>
      <c r="E413" s="2"/>
      <c r="F413" s="2"/>
      <c r="G413" s="2"/>
      <c r="H413" s="54"/>
      <c r="I413" s="4"/>
      <c r="J413" s="2"/>
      <c r="K413" s="2"/>
      <c r="L413" s="5"/>
      <c r="M413" s="5"/>
      <c r="N413" s="5"/>
      <c r="O413" s="5"/>
      <c r="P413" s="5"/>
      <c r="Q413" s="5"/>
      <c r="R413" s="2"/>
      <c r="S413" s="2"/>
      <c r="T413" s="2"/>
      <c r="U413" s="2"/>
      <c r="V413" s="2"/>
      <c r="W413" s="2"/>
      <c r="X413" s="6"/>
      <c r="Y413" s="2"/>
      <c r="Z413" s="2"/>
      <c r="AA413" s="2"/>
      <c r="AB413" s="2"/>
      <c r="AC413" s="6"/>
      <c r="AD413" s="2"/>
      <c r="AE413" s="2"/>
      <c r="AF413" s="2"/>
      <c r="AG413" s="2"/>
      <c r="AH413" s="2"/>
      <c r="AI413" s="6"/>
      <c r="AJ413" s="2"/>
      <c r="AK413" s="56"/>
      <c r="AL413" s="2"/>
      <c r="AM413" s="2"/>
      <c r="AN413" s="2"/>
      <c r="AO413" s="2"/>
      <c r="AP413" s="6"/>
      <c r="AQ413" s="2"/>
      <c r="AR413" s="2"/>
      <c r="AS413" s="2"/>
      <c r="AT413" s="2"/>
      <c r="AU413" s="2"/>
      <c r="AV413" s="2"/>
      <c r="AW413" s="2"/>
      <c r="AX413" s="6"/>
      <c r="AY413" s="2"/>
      <c r="AZ413" s="2"/>
      <c r="BA413" s="2"/>
      <c r="BB413" s="2"/>
      <c r="BC413" s="2"/>
      <c r="BD413" s="6"/>
      <c r="BE413" s="2"/>
      <c r="BF413" s="6"/>
      <c r="BG413" s="58"/>
      <c r="BH413" s="6"/>
      <c r="BI413" s="2"/>
    </row>
    <row r="414" ht="12.75" customHeight="1">
      <c r="A414" s="71"/>
      <c r="B414" s="71"/>
      <c r="C414" s="11"/>
      <c r="D414" s="11"/>
      <c r="E414" s="2"/>
      <c r="F414" s="2"/>
      <c r="G414" s="2"/>
      <c r="H414" s="54"/>
      <c r="I414" s="4"/>
      <c r="J414" s="2"/>
      <c r="K414" s="2"/>
      <c r="L414" s="5"/>
      <c r="M414" s="5"/>
      <c r="N414" s="5"/>
      <c r="O414" s="5"/>
      <c r="P414" s="5"/>
      <c r="Q414" s="5"/>
      <c r="R414" s="2"/>
      <c r="S414" s="2"/>
      <c r="T414" s="2"/>
      <c r="U414" s="2"/>
      <c r="V414" s="2"/>
      <c r="W414" s="2"/>
      <c r="X414" s="6"/>
      <c r="Y414" s="2"/>
      <c r="Z414" s="2"/>
      <c r="AA414" s="2"/>
      <c r="AB414" s="2"/>
      <c r="AC414" s="6"/>
      <c r="AD414" s="2"/>
      <c r="AE414" s="2"/>
      <c r="AF414" s="2"/>
      <c r="AG414" s="2"/>
      <c r="AH414" s="2"/>
      <c r="AI414" s="6"/>
      <c r="AJ414" s="2"/>
      <c r="AK414" s="56"/>
      <c r="AL414" s="2"/>
      <c r="AM414" s="2"/>
      <c r="AN414" s="2"/>
      <c r="AO414" s="2"/>
      <c r="AP414" s="6"/>
      <c r="AQ414" s="2"/>
      <c r="AR414" s="2"/>
      <c r="AS414" s="2"/>
      <c r="AT414" s="2"/>
      <c r="AU414" s="2"/>
      <c r="AV414" s="2"/>
      <c r="AW414" s="2"/>
      <c r="AX414" s="6"/>
      <c r="AY414" s="2"/>
      <c r="AZ414" s="2"/>
      <c r="BA414" s="2"/>
      <c r="BB414" s="2"/>
      <c r="BC414" s="2"/>
      <c r="BD414" s="6"/>
      <c r="BE414" s="2"/>
      <c r="BF414" s="6"/>
      <c r="BG414" s="58"/>
      <c r="BH414" s="6"/>
      <c r="BI414" s="2"/>
    </row>
    <row r="415" ht="12.75" customHeight="1">
      <c r="A415" s="71"/>
      <c r="B415" s="71"/>
      <c r="C415" s="11"/>
      <c r="D415" s="11"/>
      <c r="E415" s="2"/>
      <c r="F415" s="2"/>
      <c r="G415" s="2"/>
      <c r="H415" s="54"/>
      <c r="I415" s="4"/>
      <c r="J415" s="2"/>
      <c r="K415" s="2"/>
      <c r="L415" s="5"/>
      <c r="M415" s="5"/>
      <c r="N415" s="5"/>
      <c r="O415" s="5"/>
      <c r="P415" s="5"/>
      <c r="Q415" s="5"/>
      <c r="R415" s="2"/>
      <c r="S415" s="2"/>
      <c r="T415" s="2"/>
      <c r="U415" s="2"/>
      <c r="V415" s="2"/>
      <c r="W415" s="2"/>
      <c r="X415" s="6"/>
      <c r="Y415" s="2"/>
      <c r="Z415" s="2"/>
      <c r="AA415" s="2"/>
      <c r="AB415" s="2"/>
      <c r="AC415" s="6"/>
      <c r="AD415" s="2"/>
      <c r="AE415" s="2"/>
      <c r="AF415" s="2"/>
      <c r="AG415" s="2"/>
      <c r="AH415" s="2"/>
      <c r="AI415" s="6"/>
      <c r="AJ415" s="2"/>
      <c r="AK415" s="56"/>
      <c r="AL415" s="2"/>
      <c r="AM415" s="2"/>
      <c r="AN415" s="2"/>
      <c r="AO415" s="2"/>
      <c r="AP415" s="6"/>
      <c r="AQ415" s="2"/>
      <c r="AR415" s="2"/>
      <c r="AS415" s="2"/>
      <c r="AT415" s="2"/>
      <c r="AU415" s="2"/>
      <c r="AV415" s="2"/>
      <c r="AW415" s="2"/>
      <c r="AX415" s="6"/>
      <c r="AY415" s="2"/>
      <c r="AZ415" s="2"/>
      <c r="BA415" s="2"/>
      <c r="BB415" s="2"/>
      <c r="BC415" s="2"/>
      <c r="BD415" s="6"/>
      <c r="BE415" s="2"/>
      <c r="BF415" s="6"/>
      <c r="BG415" s="58"/>
      <c r="BH415" s="6"/>
      <c r="BI415" s="2"/>
    </row>
    <row r="416" ht="12.75" customHeight="1">
      <c r="A416" s="71"/>
      <c r="B416" s="71"/>
      <c r="C416" s="11"/>
      <c r="D416" s="11"/>
      <c r="E416" s="2"/>
      <c r="F416" s="2"/>
      <c r="G416" s="2"/>
      <c r="H416" s="54"/>
      <c r="I416" s="4"/>
      <c r="J416" s="2"/>
      <c r="K416" s="2"/>
      <c r="L416" s="5"/>
      <c r="M416" s="5"/>
      <c r="N416" s="5"/>
      <c r="O416" s="5"/>
      <c r="P416" s="5"/>
      <c r="Q416" s="5"/>
      <c r="R416" s="2"/>
      <c r="S416" s="2"/>
      <c r="T416" s="2"/>
      <c r="U416" s="2"/>
      <c r="V416" s="2"/>
      <c r="W416" s="2"/>
      <c r="X416" s="6"/>
      <c r="Y416" s="2"/>
      <c r="Z416" s="2"/>
      <c r="AA416" s="2"/>
      <c r="AB416" s="2"/>
      <c r="AC416" s="6"/>
      <c r="AD416" s="2"/>
      <c r="AE416" s="2"/>
      <c r="AF416" s="2"/>
      <c r="AG416" s="2"/>
      <c r="AH416" s="2"/>
      <c r="AI416" s="6"/>
      <c r="AJ416" s="2"/>
      <c r="AK416" s="56"/>
      <c r="AL416" s="2"/>
      <c r="AM416" s="2"/>
      <c r="AN416" s="2"/>
      <c r="AO416" s="2"/>
      <c r="AP416" s="6"/>
      <c r="AQ416" s="2"/>
      <c r="AR416" s="2"/>
      <c r="AS416" s="2"/>
      <c r="AT416" s="2"/>
      <c r="AU416" s="2"/>
      <c r="AV416" s="2"/>
      <c r="AW416" s="2"/>
      <c r="AX416" s="6"/>
      <c r="AY416" s="2"/>
      <c r="AZ416" s="2"/>
      <c r="BA416" s="2"/>
      <c r="BB416" s="2"/>
      <c r="BC416" s="2"/>
      <c r="BD416" s="6"/>
      <c r="BE416" s="2"/>
      <c r="BF416" s="6"/>
      <c r="BG416" s="58"/>
      <c r="BH416" s="6"/>
      <c r="BI416" s="2"/>
    </row>
    <row r="417" ht="12.75" customHeight="1">
      <c r="A417" s="71"/>
      <c r="B417" s="71"/>
      <c r="C417" s="11"/>
      <c r="D417" s="11"/>
      <c r="E417" s="2"/>
      <c r="F417" s="2"/>
      <c r="G417" s="2"/>
      <c r="H417" s="54"/>
      <c r="I417" s="4"/>
      <c r="J417" s="2"/>
      <c r="K417" s="2"/>
      <c r="L417" s="5"/>
      <c r="M417" s="5"/>
      <c r="N417" s="5"/>
      <c r="O417" s="5"/>
      <c r="P417" s="5"/>
      <c r="Q417" s="5"/>
      <c r="R417" s="2"/>
      <c r="S417" s="2"/>
      <c r="T417" s="2"/>
      <c r="U417" s="2"/>
      <c r="V417" s="2"/>
      <c r="W417" s="2"/>
      <c r="X417" s="6"/>
      <c r="Y417" s="2"/>
      <c r="Z417" s="2"/>
      <c r="AA417" s="2"/>
      <c r="AB417" s="2"/>
      <c r="AC417" s="6"/>
      <c r="AD417" s="2"/>
      <c r="AE417" s="2"/>
      <c r="AF417" s="2"/>
      <c r="AG417" s="2"/>
      <c r="AH417" s="2"/>
      <c r="AI417" s="6"/>
      <c r="AJ417" s="2"/>
      <c r="AK417" s="56"/>
      <c r="AL417" s="2"/>
      <c r="AM417" s="2"/>
      <c r="AN417" s="2"/>
      <c r="AO417" s="2"/>
      <c r="AP417" s="6"/>
      <c r="AQ417" s="2"/>
      <c r="AR417" s="2"/>
      <c r="AS417" s="2"/>
      <c r="AT417" s="2"/>
      <c r="AU417" s="2"/>
      <c r="AV417" s="2"/>
      <c r="AW417" s="2"/>
      <c r="AX417" s="6"/>
      <c r="AY417" s="2"/>
      <c r="AZ417" s="2"/>
      <c r="BA417" s="2"/>
      <c r="BB417" s="2"/>
      <c r="BC417" s="2"/>
      <c r="BD417" s="6"/>
      <c r="BE417" s="2"/>
      <c r="BF417" s="6"/>
      <c r="BG417" s="58"/>
      <c r="BH417" s="6"/>
      <c r="BI417" s="2"/>
    </row>
    <row r="418" ht="12.75" customHeight="1">
      <c r="A418" s="71"/>
      <c r="B418" s="71"/>
      <c r="C418" s="11"/>
      <c r="D418" s="11"/>
      <c r="E418" s="2"/>
      <c r="F418" s="2"/>
      <c r="G418" s="2"/>
      <c r="H418" s="54"/>
      <c r="I418" s="4"/>
      <c r="J418" s="2"/>
      <c r="K418" s="2"/>
      <c r="L418" s="5"/>
      <c r="M418" s="5"/>
      <c r="N418" s="5"/>
      <c r="O418" s="5"/>
      <c r="P418" s="5"/>
      <c r="Q418" s="5"/>
      <c r="R418" s="2"/>
      <c r="S418" s="2"/>
      <c r="T418" s="2"/>
      <c r="U418" s="2"/>
      <c r="V418" s="2"/>
      <c r="W418" s="2"/>
      <c r="X418" s="6"/>
      <c r="Y418" s="2"/>
      <c r="Z418" s="2"/>
      <c r="AA418" s="2"/>
      <c r="AB418" s="2"/>
      <c r="AC418" s="6"/>
      <c r="AD418" s="2"/>
      <c r="AE418" s="2"/>
      <c r="AF418" s="2"/>
      <c r="AG418" s="2"/>
      <c r="AH418" s="2"/>
      <c r="AI418" s="6"/>
      <c r="AJ418" s="2"/>
      <c r="AK418" s="56"/>
      <c r="AL418" s="2"/>
      <c r="AM418" s="2"/>
      <c r="AN418" s="2"/>
      <c r="AO418" s="2"/>
      <c r="AP418" s="6"/>
      <c r="AQ418" s="2"/>
      <c r="AR418" s="2"/>
      <c r="AS418" s="2"/>
      <c r="AT418" s="2"/>
      <c r="AU418" s="2"/>
      <c r="AV418" s="2"/>
      <c r="AW418" s="2"/>
      <c r="AX418" s="6"/>
      <c r="AY418" s="2"/>
      <c r="AZ418" s="2"/>
      <c r="BA418" s="2"/>
      <c r="BB418" s="2"/>
      <c r="BC418" s="2"/>
      <c r="BD418" s="6"/>
      <c r="BE418" s="2"/>
      <c r="BF418" s="6"/>
      <c r="BG418" s="58"/>
      <c r="BH418" s="6"/>
      <c r="BI418" s="2"/>
    </row>
    <row r="419" ht="12.75" customHeight="1">
      <c r="A419" s="71"/>
      <c r="B419" s="71"/>
      <c r="C419" s="11"/>
      <c r="D419" s="11"/>
      <c r="E419" s="2"/>
      <c r="F419" s="2"/>
      <c r="G419" s="2"/>
      <c r="H419" s="54"/>
      <c r="I419" s="4"/>
      <c r="J419" s="2"/>
      <c r="K419" s="2"/>
      <c r="L419" s="5"/>
      <c r="M419" s="5"/>
      <c r="N419" s="5"/>
      <c r="O419" s="5"/>
      <c r="P419" s="5"/>
      <c r="Q419" s="5"/>
      <c r="R419" s="2"/>
      <c r="S419" s="2"/>
      <c r="T419" s="2"/>
      <c r="U419" s="2"/>
      <c r="V419" s="2"/>
      <c r="W419" s="2"/>
      <c r="X419" s="6"/>
      <c r="Y419" s="2"/>
      <c r="Z419" s="2"/>
      <c r="AA419" s="2"/>
      <c r="AB419" s="2"/>
      <c r="AC419" s="6"/>
      <c r="AD419" s="2"/>
      <c r="AE419" s="2"/>
      <c r="AF419" s="2"/>
      <c r="AG419" s="2"/>
      <c r="AH419" s="2"/>
      <c r="AI419" s="6"/>
      <c r="AJ419" s="2"/>
      <c r="AK419" s="56"/>
      <c r="AL419" s="2"/>
      <c r="AM419" s="2"/>
      <c r="AN419" s="2"/>
      <c r="AO419" s="2"/>
      <c r="AP419" s="6"/>
      <c r="AQ419" s="2"/>
      <c r="AR419" s="2"/>
      <c r="AS419" s="2"/>
      <c r="AT419" s="2"/>
      <c r="AU419" s="2"/>
      <c r="AV419" s="2"/>
      <c r="AW419" s="2"/>
      <c r="AX419" s="6"/>
      <c r="AY419" s="2"/>
      <c r="AZ419" s="2"/>
      <c r="BA419" s="2"/>
      <c r="BB419" s="2"/>
      <c r="BC419" s="2"/>
      <c r="BD419" s="6"/>
      <c r="BE419" s="2"/>
      <c r="BF419" s="6"/>
      <c r="BG419" s="58"/>
      <c r="BH419" s="6"/>
      <c r="BI419" s="2"/>
    </row>
    <row r="420" ht="12.75" customHeight="1">
      <c r="A420" s="71"/>
      <c r="B420" s="71"/>
      <c r="C420" s="11"/>
      <c r="D420" s="11"/>
      <c r="E420" s="2"/>
      <c r="F420" s="2"/>
      <c r="G420" s="2"/>
      <c r="H420" s="54"/>
      <c r="I420" s="4"/>
      <c r="J420" s="2"/>
      <c r="K420" s="2"/>
      <c r="L420" s="5"/>
      <c r="M420" s="5"/>
      <c r="N420" s="5"/>
      <c r="O420" s="5"/>
      <c r="P420" s="5"/>
      <c r="Q420" s="5"/>
      <c r="R420" s="2"/>
      <c r="S420" s="2"/>
      <c r="T420" s="2"/>
      <c r="U420" s="2"/>
      <c r="V420" s="2"/>
      <c r="W420" s="2"/>
      <c r="X420" s="6"/>
      <c r="Y420" s="2"/>
      <c r="Z420" s="2"/>
      <c r="AA420" s="2"/>
      <c r="AB420" s="2"/>
      <c r="AC420" s="6"/>
      <c r="AD420" s="2"/>
      <c r="AE420" s="2"/>
      <c r="AF420" s="2"/>
      <c r="AG420" s="2"/>
      <c r="AH420" s="2"/>
      <c r="AI420" s="6"/>
      <c r="AJ420" s="2"/>
      <c r="AK420" s="56"/>
      <c r="AL420" s="2"/>
      <c r="AM420" s="2"/>
      <c r="AN420" s="2"/>
      <c r="AO420" s="2"/>
      <c r="AP420" s="6"/>
      <c r="AQ420" s="2"/>
      <c r="AR420" s="2"/>
      <c r="AS420" s="2"/>
      <c r="AT420" s="2"/>
      <c r="AU420" s="2"/>
      <c r="AV420" s="2"/>
      <c r="AW420" s="2"/>
      <c r="AX420" s="6"/>
      <c r="AY420" s="2"/>
      <c r="AZ420" s="2"/>
      <c r="BA420" s="2"/>
      <c r="BB420" s="2"/>
      <c r="BC420" s="2"/>
      <c r="BD420" s="6"/>
      <c r="BE420" s="2"/>
      <c r="BF420" s="6"/>
      <c r="BG420" s="58"/>
      <c r="BH420" s="6"/>
      <c r="BI420" s="2"/>
    </row>
    <row r="421" ht="12.75" customHeight="1">
      <c r="A421" s="71"/>
      <c r="B421" s="71"/>
      <c r="C421" s="11"/>
      <c r="D421" s="11"/>
      <c r="E421" s="2"/>
      <c r="F421" s="2"/>
      <c r="G421" s="2"/>
      <c r="H421" s="54"/>
      <c r="I421" s="4"/>
      <c r="J421" s="2"/>
      <c r="K421" s="2"/>
      <c r="L421" s="5"/>
      <c r="M421" s="5"/>
      <c r="N421" s="5"/>
      <c r="O421" s="5"/>
      <c r="P421" s="5"/>
      <c r="Q421" s="5"/>
      <c r="R421" s="2"/>
      <c r="S421" s="2"/>
      <c r="T421" s="2"/>
      <c r="U421" s="2"/>
      <c r="V421" s="2"/>
      <c r="W421" s="2"/>
      <c r="X421" s="6"/>
      <c r="Y421" s="2"/>
      <c r="Z421" s="2"/>
      <c r="AA421" s="2"/>
      <c r="AB421" s="2"/>
      <c r="AC421" s="6"/>
      <c r="AD421" s="2"/>
      <c r="AE421" s="2"/>
      <c r="AF421" s="2"/>
      <c r="AG421" s="2"/>
      <c r="AH421" s="2"/>
      <c r="AI421" s="6"/>
      <c r="AJ421" s="2"/>
      <c r="AK421" s="56"/>
      <c r="AL421" s="2"/>
      <c r="AM421" s="2"/>
      <c r="AN421" s="2"/>
      <c r="AO421" s="2"/>
      <c r="AP421" s="6"/>
      <c r="AQ421" s="2"/>
      <c r="AR421" s="2"/>
      <c r="AS421" s="2"/>
      <c r="AT421" s="2"/>
      <c r="AU421" s="2"/>
      <c r="AV421" s="2"/>
      <c r="AW421" s="2"/>
      <c r="AX421" s="6"/>
      <c r="AY421" s="2"/>
      <c r="AZ421" s="2"/>
      <c r="BA421" s="2"/>
      <c r="BB421" s="2"/>
      <c r="BC421" s="2"/>
      <c r="BD421" s="6"/>
      <c r="BE421" s="2"/>
      <c r="BF421" s="6"/>
      <c r="BG421" s="58"/>
      <c r="BH421" s="6"/>
      <c r="BI421" s="2"/>
    </row>
    <row r="422" ht="12.75" customHeight="1">
      <c r="A422" s="71"/>
      <c r="B422" s="71"/>
      <c r="C422" s="11"/>
      <c r="D422" s="11"/>
      <c r="E422" s="2"/>
      <c r="F422" s="2"/>
      <c r="G422" s="2"/>
      <c r="H422" s="54"/>
      <c r="I422" s="4"/>
      <c r="J422" s="2"/>
      <c r="K422" s="2"/>
      <c r="L422" s="5"/>
      <c r="M422" s="5"/>
      <c r="N422" s="5"/>
      <c r="O422" s="5"/>
      <c r="P422" s="5"/>
      <c r="Q422" s="5"/>
      <c r="R422" s="2"/>
      <c r="S422" s="2"/>
      <c r="T422" s="2"/>
      <c r="U422" s="2"/>
      <c r="V422" s="2"/>
      <c r="W422" s="2"/>
      <c r="X422" s="6"/>
      <c r="Y422" s="2"/>
      <c r="Z422" s="2"/>
      <c r="AA422" s="2"/>
      <c r="AB422" s="2"/>
      <c r="AC422" s="6"/>
      <c r="AD422" s="2"/>
      <c r="AE422" s="2"/>
      <c r="AF422" s="2"/>
      <c r="AG422" s="2"/>
      <c r="AH422" s="2"/>
      <c r="AI422" s="6"/>
      <c r="AJ422" s="2"/>
      <c r="AK422" s="56"/>
      <c r="AL422" s="2"/>
      <c r="AM422" s="2"/>
      <c r="AN422" s="2"/>
      <c r="AO422" s="2"/>
      <c r="AP422" s="6"/>
      <c r="AQ422" s="2"/>
      <c r="AR422" s="2"/>
      <c r="AS422" s="2"/>
      <c r="AT422" s="2"/>
      <c r="AU422" s="2"/>
      <c r="AV422" s="2"/>
      <c r="AW422" s="2"/>
      <c r="AX422" s="6"/>
      <c r="AY422" s="2"/>
      <c r="AZ422" s="2"/>
      <c r="BA422" s="2"/>
      <c r="BB422" s="2"/>
      <c r="BC422" s="2"/>
      <c r="BD422" s="6"/>
      <c r="BE422" s="2"/>
      <c r="BF422" s="6"/>
      <c r="BG422" s="58"/>
      <c r="BH422" s="6"/>
      <c r="BI422" s="2"/>
    </row>
    <row r="423" ht="12.75" customHeight="1">
      <c r="A423" s="71"/>
      <c r="B423" s="71"/>
      <c r="C423" s="11"/>
      <c r="D423" s="11"/>
      <c r="E423" s="2"/>
      <c r="F423" s="2"/>
      <c r="G423" s="2"/>
      <c r="H423" s="54"/>
      <c r="I423" s="4"/>
      <c r="J423" s="2"/>
      <c r="K423" s="2"/>
      <c r="L423" s="5"/>
      <c r="M423" s="5"/>
      <c r="N423" s="5"/>
      <c r="O423" s="5"/>
      <c r="P423" s="5"/>
      <c r="Q423" s="5"/>
      <c r="R423" s="2"/>
      <c r="S423" s="2"/>
      <c r="T423" s="2"/>
      <c r="U423" s="2"/>
      <c r="V423" s="2"/>
      <c r="W423" s="2"/>
      <c r="X423" s="6"/>
      <c r="Y423" s="2"/>
      <c r="Z423" s="2"/>
      <c r="AA423" s="2"/>
      <c r="AB423" s="2"/>
      <c r="AC423" s="6"/>
      <c r="AD423" s="2"/>
      <c r="AE423" s="2"/>
      <c r="AF423" s="2"/>
      <c r="AG423" s="2"/>
      <c r="AH423" s="2"/>
      <c r="AI423" s="6"/>
      <c r="AJ423" s="2"/>
      <c r="AK423" s="56"/>
      <c r="AL423" s="2"/>
      <c r="AM423" s="2"/>
      <c r="AN423" s="2"/>
      <c r="AO423" s="2"/>
      <c r="AP423" s="6"/>
      <c r="AQ423" s="2"/>
      <c r="AR423" s="2"/>
      <c r="AS423" s="2"/>
      <c r="AT423" s="2"/>
      <c r="AU423" s="2"/>
      <c r="AV423" s="2"/>
      <c r="AW423" s="2"/>
      <c r="AX423" s="6"/>
      <c r="AY423" s="2"/>
      <c r="AZ423" s="2"/>
      <c r="BA423" s="2"/>
      <c r="BB423" s="2"/>
      <c r="BC423" s="2"/>
      <c r="BD423" s="6"/>
      <c r="BE423" s="2"/>
      <c r="BF423" s="6"/>
      <c r="BG423" s="58"/>
      <c r="BH423" s="6"/>
      <c r="BI423" s="2"/>
    </row>
    <row r="424" ht="12.75" customHeight="1">
      <c r="A424" s="71"/>
      <c r="B424" s="71"/>
      <c r="C424" s="11"/>
      <c r="D424" s="11"/>
      <c r="E424" s="2"/>
      <c r="F424" s="2"/>
      <c r="G424" s="2"/>
      <c r="H424" s="54"/>
      <c r="I424" s="4"/>
      <c r="J424" s="2"/>
      <c r="K424" s="2"/>
      <c r="L424" s="5"/>
      <c r="M424" s="5"/>
      <c r="N424" s="5"/>
      <c r="O424" s="5"/>
      <c r="P424" s="5"/>
      <c r="Q424" s="5"/>
      <c r="R424" s="2"/>
      <c r="S424" s="2"/>
      <c r="T424" s="2"/>
      <c r="U424" s="2"/>
      <c r="V424" s="2"/>
      <c r="W424" s="2"/>
      <c r="X424" s="6"/>
      <c r="Y424" s="2"/>
      <c r="Z424" s="2"/>
      <c r="AA424" s="2"/>
      <c r="AB424" s="2"/>
      <c r="AC424" s="6"/>
      <c r="AD424" s="2"/>
      <c r="AE424" s="2"/>
      <c r="AF424" s="2"/>
      <c r="AG424" s="2"/>
      <c r="AH424" s="2"/>
      <c r="AI424" s="6"/>
      <c r="AJ424" s="2"/>
      <c r="AK424" s="56"/>
      <c r="AL424" s="2"/>
      <c r="AM424" s="2"/>
      <c r="AN424" s="2"/>
      <c r="AO424" s="2"/>
      <c r="AP424" s="6"/>
      <c r="AQ424" s="2"/>
      <c r="AR424" s="2"/>
      <c r="AS424" s="2"/>
      <c r="AT424" s="2"/>
      <c r="AU424" s="2"/>
      <c r="AV424" s="2"/>
      <c r="AW424" s="2"/>
      <c r="AX424" s="6"/>
      <c r="AY424" s="2"/>
      <c r="AZ424" s="2"/>
      <c r="BA424" s="2"/>
      <c r="BB424" s="2"/>
      <c r="BC424" s="2"/>
      <c r="BD424" s="6"/>
      <c r="BE424" s="2"/>
      <c r="BF424" s="6"/>
      <c r="BG424" s="58"/>
      <c r="BH424" s="6"/>
      <c r="BI424" s="2"/>
    </row>
    <row r="425" ht="12.75" customHeight="1">
      <c r="A425" s="71"/>
      <c r="B425" s="71"/>
      <c r="C425" s="11"/>
      <c r="D425" s="11"/>
      <c r="E425" s="2"/>
      <c r="F425" s="2"/>
      <c r="G425" s="2"/>
      <c r="H425" s="54"/>
      <c r="I425" s="4"/>
      <c r="J425" s="2"/>
      <c r="K425" s="2"/>
      <c r="L425" s="5"/>
      <c r="M425" s="5"/>
      <c r="N425" s="5"/>
      <c r="O425" s="5"/>
      <c r="P425" s="5"/>
      <c r="Q425" s="5"/>
      <c r="R425" s="2"/>
      <c r="S425" s="2"/>
      <c r="T425" s="2"/>
      <c r="U425" s="2"/>
      <c r="V425" s="2"/>
      <c r="W425" s="2"/>
      <c r="X425" s="6"/>
      <c r="Y425" s="2"/>
      <c r="Z425" s="2"/>
      <c r="AA425" s="2"/>
      <c r="AB425" s="2"/>
      <c r="AC425" s="6"/>
      <c r="AD425" s="2"/>
      <c r="AE425" s="2"/>
      <c r="AF425" s="2"/>
      <c r="AG425" s="2"/>
      <c r="AH425" s="2"/>
      <c r="AI425" s="6"/>
      <c r="AJ425" s="2"/>
      <c r="AK425" s="56"/>
      <c r="AL425" s="2"/>
      <c r="AM425" s="2"/>
      <c r="AN425" s="2"/>
      <c r="AO425" s="2"/>
      <c r="AP425" s="6"/>
      <c r="AQ425" s="2"/>
      <c r="AR425" s="2"/>
      <c r="AS425" s="2"/>
      <c r="AT425" s="2"/>
      <c r="AU425" s="2"/>
      <c r="AV425" s="2"/>
      <c r="AW425" s="2"/>
      <c r="AX425" s="6"/>
      <c r="AY425" s="2"/>
      <c r="AZ425" s="2"/>
      <c r="BA425" s="2"/>
      <c r="BB425" s="2"/>
      <c r="BC425" s="2"/>
      <c r="BD425" s="6"/>
      <c r="BE425" s="2"/>
      <c r="BF425" s="6"/>
      <c r="BG425" s="58"/>
      <c r="BH425" s="6"/>
      <c r="BI425" s="2"/>
    </row>
    <row r="426" ht="12.75" customHeight="1">
      <c r="A426" s="71"/>
      <c r="B426" s="71"/>
      <c r="C426" s="11"/>
      <c r="D426" s="11"/>
      <c r="E426" s="2"/>
      <c r="F426" s="2"/>
      <c r="G426" s="2"/>
      <c r="H426" s="54"/>
      <c r="I426" s="4"/>
      <c r="J426" s="2"/>
      <c r="K426" s="2"/>
      <c r="L426" s="5"/>
      <c r="M426" s="5"/>
      <c r="N426" s="5"/>
      <c r="O426" s="5"/>
      <c r="P426" s="5"/>
      <c r="Q426" s="5"/>
      <c r="R426" s="2"/>
      <c r="S426" s="2"/>
      <c r="T426" s="2"/>
      <c r="U426" s="2"/>
      <c r="V426" s="2"/>
      <c r="W426" s="2"/>
      <c r="X426" s="6"/>
      <c r="Y426" s="2"/>
      <c r="Z426" s="2"/>
      <c r="AA426" s="2"/>
      <c r="AB426" s="2"/>
      <c r="AC426" s="6"/>
      <c r="AD426" s="2"/>
      <c r="AE426" s="2"/>
      <c r="AF426" s="2"/>
      <c r="AG426" s="2"/>
      <c r="AH426" s="2"/>
      <c r="AI426" s="6"/>
      <c r="AJ426" s="2"/>
      <c r="AK426" s="56"/>
      <c r="AL426" s="2"/>
      <c r="AM426" s="2"/>
      <c r="AN426" s="2"/>
      <c r="AO426" s="2"/>
      <c r="AP426" s="6"/>
      <c r="AQ426" s="2"/>
      <c r="AR426" s="2"/>
      <c r="AS426" s="2"/>
      <c r="AT426" s="2"/>
      <c r="AU426" s="2"/>
      <c r="AV426" s="2"/>
      <c r="AW426" s="2"/>
      <c r="AX426" s="6"/>
      <c r="AY426" s="2"/>
      <c r="AZ426" s="2"/>
      <c r="BA426" s="2"/>
      <c r="BB426" s="2"/>
      <c r="BC426" s="2"/>
      <c r="BD426" s="6"/>
      <c r="BE426" s="2"/>
      <c r="BF426" s="6"/>
      <c r="BG426" s="58"/>
      <c r="BH426" s="6"/>
      <c r="BI426" s="2"/>
    </row>
    <row r="427" ht="12.75" customHeight="1">
      <c r="A427" s="71"/>
      <c r="B427" s="71"/>
      <c r="C427" s="11"/>
      <c r="D427" s="11"/>
      <c r="E427" s="2"/>
      <c r="F427" s="2"/>
      <c r="G427" s="2"/>
      <c r="H427" s="54"/>
      <c r="I427" s="4"/>
      <c r="J427" s="2"/>
      <c r="K427" s="2"/>
      <c r="L427" s="5"/>
      <c r="M427" s="5"/>
      <c r="N427" s="5"/>
      <c r="O427" s="5"/>
      <c r="P427" s="5"/>
      <c r="Q427" s="5"/>
      <c r="R427" s="2"/>
      <c r="S427" s="2"/>
      <c r="T427" s="2"/>
      <c r="U427" s="2"/>
      <c r="V427" s="2"/>
      <c r="W427" s="2"/>
      <c r="X427" s="6"/>
      <c r="Y427" s="2"/>
      <c r="Z427" s="2"/>
      <c r="AA427" s="2"/>
      <c r="AB427" s="2"/>
      <c r="AC427" s="6"/>
      <c r="AD427" s="2"/>
      <c r="AE427" s="2"/>
      <c r="AF427" s="2"/>
      <c r="AG427" s="2"/>
      <c r="AH427" s="2"/>
      <c r="AI427" s="6"/>
      <c r="AJ427" s="2"/>
      <c r="AK427" s="56"/>
      <c r="AL427" s="2"/>
      <c r="AM427" s="2"/>
      <c r="AN427" s="2"/>
      <c r="AO427" s="2"/>
      <c r="AP427" s="6"/>
      <c r="AQ427" s="2"/>
      <c r="AR427" s="2"/>
      <c r="AS427" s="2"/>
      <c r="AT427" s="2"/>
      <c r="AU427" s="2"/>
      <c r="AV427" s="2"/>
      <c r="AW427" s="2"/>
      <c r="AX427" s="6"/>
      <c r="AY427" s="2"/>
      <c r="AZ427" s="2"/>
      <c r="BA427" s="2"/>
      <c r="BB427" s="2"/>
      <c r="BC427" s="2"/>
      <c r="BD427" s="6"/>
      <c r="BE427" s="2"/>
      <c r="BF427" s="6"/>
      <c r="BG427" s="58"/>
      <c r="BH427" s="6"/>
      <c r="BI427" s="2"/>
    </row>
    <row r="428" ht="12.75" customHeight="1">
      <c r="A428" s="71"/>
      <c r="B428" s="71"/>
      <c r="C428" s="11"/>
      <c r="D428" s="11"/>
      <c r="E428" s="2"/>
      <c r="F428" s="2"/>
      <c r="G428" s="2"/>
      <c r="H428" s="54"/>
      <c r="I428" s="4"/>
      <c r="J428" s="2"/>
      <c r="K428" s="2"/>
      <c r="L428" s="5"/>
      <c r="M428" s="5"/>
      <c r="N428" s="5"/>
      <c r="O428" s="5"/>
      <c r="P428" s="5"/>
      <c r="Q428" s="5"/>
      <c r="R428" s="2"/>
      <c r="S428" s="2"/>
      <c r="T428" s="2"/>
      <c r="U428" s="2"/>
      <c r="V428" s="2"/>
      <c r="W428" s="2"/>
      <c r="X428" s="6"/>
      <c r="Y428" s="2"/>
      <c r="Z428" s="2"/>
      <c r="AA428" s="2"/>
      <c r="AB428" s="2"/>
      <c r="AC428" s="6"/>
      <c r="AD428" s="2"/>
      <c r="AE428" s="2"/>
      <c r="AF428" s="2"/>
      <c r="AG428" s="2"/>
      <c r="AH428" s="2"/>
      <c r="AI428" s="6"/>
      <c r="AJ428" s="2"/>
      <c r="AK428" s="56"/>
      <c r="AL428" s="2"/>
      <c r="AM428" s="2"/>
      <c r="AN428" s="2"/>
      <c r="AO428" s="2"/>
      <c r="AP428" s="6"/>
      <c r="AQ428" s="2"/>
      <c r="AR428" s="2"/>
      <c r="AS428" s="2"/>
      <c r="AT428" s="2"/>
      <c r="AU428" s="2"/>
      <c r="AV428" s="2"/>
      <c r="AW428" s="2"/>
      <c r="AX428" s="6"/>
      <c r="AY428" s="2"/>
      <c r="AZ428" s="2"/>
      <c r="BA428" s="2"/>
      <c r="BB428" s="2"/>
      <c r="BC428" s="2"/>
      <c r="BD428" s="6"/>
      <c r="BE428" s="2"/>
      <c r="BF428" s="6"/>
      <c r="BG428" s="58"/>
      <c r="BH428" s="6"/>
      <c r="BI428" s="2"/>
    </row>
    <row r="429" ht="12.75" customHeight="1">
      <c r="A429" s="71"/>
      <c r="B429" s="71"/>
      <c r="C429" s="11"/>
      <c r="D429" s="11"/>
      <c r="E429" s="2"/>
      <c r="F429" s="2"/>
      <c r="G429" s="2"/>
      <c r="H429" s="54"/>
      <c r="I429" s="4"/>
      <c r="J429" s="2"/>
      <c r="K429" s="2"/>
      <c r="L429" s="5"/>
      <c r="M429" s="5"/>
      <c r="N429" s="5"/>
      <c r="O429" s="5"/>
      <c r="P429" s="5"/>
      <c r="Q429" s="5"/>
      <c r="R429" s="2"/>
      <c r="S429" s="2"/>
      <c r="T429" s="2"/>
      <c r="U429" s="2"/>
      <c r="V429" s="2"/>
      <c r="W429" s="2"/>
      <c r="X429" s="6"/>
      <c r="Y429" s="2"/>
      <c r="Z429" s="2"/>
      <c r="AA429" s="2"/>
      <c r="AB429" s="2"/>
      <c r="AC429" s="6"/>
      <c r="AD429" s="2"/>
      <c r="AE429" s="2"/>
      <c r="AF429" s="2"/>
      <c r="AG429" s="2"/>
      <c r="AH429" s="2"/>
      <c r="AI429" s="6"/>
      <c r="AJ429" s="2"/>
      <c r="AK429" s="56"/>
      <c r="AL429" s="2"/>
      <c r="AM429" s="2"/>
      <c r="AN429" s="2"/>
      <c r="AO429" s="2"/>
      <c r="AP429" s="6"/>
      <c r="AQ429" s="2"/>
      <c r="AR429" s="2"/>
      <c r="AS429" s="2"/>
      <c r="AT429" s="2"/>
      <c r="AU429" s="2"/>
      <c r="AV429" s="2"/>
      <c r="AW429" s="2"/>
      <c r="AX429" s="6"/>
      <c r="AY429" s="2"/>
      <c r="AZ429" s="2"/>
      <c r="BA429" s="2"/>
      <c r="BB429" s="2"/>
      <c r="BC429" s="2"/>
      <c r="BD429" s="6"/>
      <c r="BE429" s="2"/>
      <c r="BF429" s="6"/>
      <c r="BG429" s="58"/>
      <c r="BH429" s="6"/>
      <c r="BI429" s="2"/>
    </row>
    <row r="430" ht="12.75" customHeight="1">
      <c r="A430" s="71"/>
      <c r="B430" s="71"/>
      <c r="C430" s="11"/>
      <c r="D430" s="11"/>
      <c r="E430" s="2"/>
      <c r="F430" s="2"/>
      <c r="G430" s="2"/>
      <c r="H430" s="54"/>
      <c r="I430" s="4"/>
      <c r="J430" s="2"/>
      <c r="K430" s="2"/>
      <c r="L430" s="5"/>
      <c r="M430" s="5"/>
      <c r="N430" s="5"/>
      <c r="O430" s="5"/>
      <c r="P430" s="5"/>
      <c r="Q430" s="5"/>
      <c r="R430" s="2"/>
      <c r="S430" s="2"/>
      <c r="T430" s="2"/>
      <c r="U430" s="2"/>
      <c r="V430" s="2"/>
      <c r="W430" s="2"/>
      <c r="X430" s="6"/>
      <c r="Y430" s="2"/>
      <c r="Z430" s="2"/>
      <c r="AA430" s="2"/>
      <c r="AB430" s="2"/>
      <c r="AC430" s="6"/>
      <c r="AD430" s="2"/>
      <c r="AE430" s="2"/>
      <c r="AF430" s="2"/>
      <c r="AG430" s="2"/>
      <c r="AH430" s="2"/>
      <c r="AI430" s="6"/>
      <c r="AJ430" s="2"/>
      <c r="AK430" s="56"/>
      <c r="AL430" s="2"/>
      <c r="AM430" s="2"/>
      <c r="AN430" s="2"/>
      <c r="AO430" s="2"/>
      <c r="AP430" s="6"/>
      <c r="AQ430" s="2"/>
      <c r="AR430" s="2"/>
      <c r="AS430" s="2"/>
      <c r="AT430" s="2"/>
      <c r="AU430" s="2"/>
      <c r="AV430" s="2"/>
      <c r="AW430" s="2"/>
      <c r="AX430" s="6"/>
      <c r="AY430" s="2"/>
      <c r="AZ430" s="2"/>
      <c r="BA430" s="2"/>
      <c r="BB430" s="2"/>
      <c r="BC430" s="2"/>
      <c r="BD430" s="6"/>
      <c r="BE430" s="2"/>
      <c r="BF430" s="6"/>
      <c r="BG430" s="58"/>
      <c r="BH430" s="6"/>
      <c r="BI430" s="2"/>
    </row>
    <row r="431" ht="12.75" customHeight="1">
      <c r="A431" s="71"/>
      <c r="B431" s="71"/>
      <c r="C431" s="11"/>
      <c r="D431" s="11"/>
      <c r="E431" s="2"/>
      <c r="F431" s="2"/>
      <c r="G431" s="2"/>
      <c r="H431" s="54"/>
      <c r="I431" s="4"/>
      <c r="J431" s="2"/>
      <c r="K431" s="2"/>
      <c r="L431" s="5"/>
      <c r="M431" s="5"/>
      <c r="N431" s="5"/>
      <c r="O431" s="5"/>
      <c r="P431" s="5"/>
      <c r="Q431" s="5"/>
      <c r="R431" s="2"/>
      <c r="S431" s="2"/>
      <c r="T431" s="2"/>
      <c r="U431" s="2"/>
      <c r="V431" s="2"/>
      <c r="W431" s="2"/>
      <c r="X431" s="6"/>
      <c r="Y431" s="2"/>
      <c r="Z431" s="2"/>
      <c r="AA431" s="2"/>
      <c r="AB431" s="2"/>
      <c r="AC431" s="6"/>
      <c r="AD431" s="2"/>
      <c r="AE431" s="2"/>
      <c r="AF431" s="2"/>
      <c r="AG431" s="2"/>
      <c r="AH431" s="2"/>
      <c r="AI431" s="6"/>
      <c r="AJ431" s="2"/>
      <c r="AK431" s="56"/>
      <c r="AL431" s="2"/>
      <c r="AM431" s="2"/>
      <c r="AN431" s="2"/>
      <c r="AO431" s="2"/>
      <c r="AP431" s="6"/>
      <c r="AQ431" s="2"/>
      <c r="AR431" s="2"/>
      <c r="AS431" s="2"/>
      <c r="AT431" s="2"/>
      <c r="AU431" s="2"/>
      <c r="AV431" s="2"/>
      <c r="AW431" s="2"/>
      <c r="AX431" s="6"/>
      <c r="AY431" s="2"/>
      <c r="AZ431" s="2"/>
      <c r="BA431" s="2"/>
      <c r="BB431" s="2"/>
      <c r="BC431" s="2"/>
      <c r="BD431" s="6"/>
      <c r="BE431" s="2"/>
      <c r="BF431" s="6"/>
      <c r="BG431" s="58"/>
      <c r="BH431" s="6"/>
      <c r="BI431" s="2"/>
    </row>
    <row r="432" ht="12.75" customHeight="1">
      <c r="A432" s="71"/>
      <c r="B432" s="71"/>
      <c r="C432" s="11"/>
      <c r="D432" s="11"/>
      <c r="E432" s="2"/>
      <c r="F432" s="2"/>
      <c r="G432" s="2"/>
      <c r="H432" s="54"/>
      <c r="I432" s="4"/>
      <c r="J432" s="2"/>
      <c r="K432" s="2"/>
      <c r="L432" s="5"/>
      <c r="M432" s="5"/>
      <c r="N432" s="5"/>
      <c r="O432" s="5"/>
      <c r="P432" s="5"/>
      <c r="Q432" s="5"/>
      <c r="R432" s="2"/>
      <c r="S432" s="2"/>
      <c r="T432" s="2"/>
      <c r="U432" s="2"/>
      <c r="V432" s="2"/>
      <c r="W432" s="2"/>
      <c r="X432" s="6"/>
      <c r="Y432" s="2"/>
      <c r="Z432" s="2"/>
      <c r="AA432" s="2"/>
      <c r="AB432" s="2"/>
      <c r="AC432" s="6"/>
      <c r="AD432" s="2"/>
      <c r="AE432" s="2"/>
      <c r="AF432" s="2"/>
      <c r="AG432" s="2"/>
      <c r="AH432" s="2"/>
      <c r="AI432" s="6"/>
      <c r="AJ432" s="2"/>
      <c r="AK432" s="56"/>
      <c r="AL432" s="2"/>
      <c r="AM432" s="2"/>
      <c r="AN432" s="2"/>
      <c r="AO432" s="2"/>
      <c r="AP432" s="6"/>
      <c r="AQ432" s="2"/>
      <c r="AR432" s="2"/>
      <c r="AS432" s="2"/>
      <c r="AT432" s="2"/>
      <c r="AU432" s="2"/>
      <c r="AV432" s="2"/>
      <c r="AW432" s="2"/>
      <c r="AX432" s="6"/>
      <c r="AY432" s="2"/>
      <c r="AZ432" s="2"/>
      <c r="BA432" s="2"/>
      <c r="BB432" s="2"/>
      <c r="BC432" s="2"/>
      <c r="BD432" s="6"/>
      <c r="BE432" s="2"/>
      <c r="BF432" s="6"/>
      <c r="BG432" s="58"/>
      <c r="BH432" s="6"/>
      <c r="BI432" s="2"/>
    </row>
    <row r="433" ht="12.75" customHeight="1">
      <c r="A433" s="71"/>
      <c r="B433" s="71"/>
      <c r="C433" s="11"/>
      <c r="D433" s="11"/>
      <c r="E433" s="2"/>
      <c r="F433" s="2"/>
      <c r="G433" s="2"/>
      <c r="H433" s="54"/>
      <c r="I433" s="4"/>
      <c r="J433" s="2"/>
      <c r="K433" s="2"/>
      <c r="L433" s="5"/>
      <c r="M433" s="5"/>
      <c r="N433" s="5"/>
      <c r="O433" s="5"/>
      <c r="P433" s="5"/>
      <c r="Q433" s="5"/>
      <c r="R433" s="2"/>
      <c r="S433" s="2"/>
      <c r="T433" s="2"/>
      <c r="U433" s="2"/>
      <c r="V433" s="2"/>
      <c r="W433" s="2"/>
      <c r="X433" s="6"/>
      <c r="Y433" s="2"/>
      <c r="Z433" s="2"/>
      <c r="AA433" s="2"/>
      <c r="AB433" s="2"/>
      <c r="AC433" s="6"/>
      <c r="AD433" s="2"/>
      <c r="AE433" s="2"/>
      <c r="AF433" s="2"/>
      <c r="AG433" s="2"/>
      <c r="AH433" s="2"/>
      <c r="AI433" s="6"/>
      <c r="AJ433" s="2"/>
      <c r="AK433" s="56"/>
      <c r="AL433" s="2"/>
      <c r="AM433" s="2"/>
      <c r="AN433" s="2"/>
      <c r="AO433" s="2"/>
      <c r="AP433" s="6"/>
      <c r="AQ433" s="2"/>
      <c r="AR433" s="2"/>
      <c r="AS433" s="2"/>
      <c r="AT433" s="2"/>
      <c r="AU433" s="2"/>
      <c r="AV433" s="2"/>
      <c r="AW433" s="2"/>
      <c r="AX433" s="6"/>
      <c r="AY433" s="2"/>
      <c r="AZ433" s="2"/>
      <c r="BA433" s="2"/>
      <c r="BB433" s="2"/>
      <c r="BC433" s="2"/>
      <c r="BD433" s="6"/>
      <c r="BE433" s="2"/>
      <c r="BF433" s="6"/>
      <c r="BG433" s="58"/>
      <c r="BH433" s="6"/>
      <c r="BI433" s="2"/>
    </row>
    <row r="434" ht="12.75" customHeight="1">
      <c r="A434" s="71"/>
      <c r="B434" s="71"/>
      <c r="C434" s="11"/>
      <c r="D434" s="11"/>
      <c r="E434" s="2"/>
      <c r="F434" s="2"/>
      <c r="G434" s="2"/>
      <c r="H434" s="54"/>
      <c r="I434" s="4"/>
      <c r="J434" s="2"/>
      <c r="K434" s="2"/>
      <c r="L434" s="5"/>
      <c r="M434" s="5"/>
      <c r="N434" s="5"/>
      <c r="O434" s="5"/>
      <c r="P434" s="5"/>
      <c r="Q434" s="5"/>
      <c r="R434" s="2"/>
      <c r="S434" s="2"/>
      <c r="T434" s="2"/>
      <c r="U434" s="2"/>
      <c r="V434" s="2"/>
      <c r="W434" s="2"/>
      <c r="X434" s="6"/>
      <c r="Y434" s="2"/>
      <c r="Z434" s="2"/>
      <c r="AA434" s="2"/>
      <c r="AB434" s="2"/>
      <c r="AC434" s="6"/>
      <c r="AD434" s="2"/>
      <c r="AE434" s="2"/>
      <c r="AF434" s="2"/>
      <c r="AG434" s="2"/>
      <c r="AH434" s="2"/>
      <c r="AI434" s="6"/>
      <c r="AJ434" s="2"/>
      <c r="AK434" s="56"/>
      <c r="AL434" s="2"/>
      <c r="AM434" s="2"/>
      <c r="AN434" s="2"/>
      <c r="AO434" s="2"/>
      <c r="AP434" s="6"/>
      <c r="AQ434" s="2"/>
      <c r="AR434" s="2"/>
      <c r="AS434" s="2"/>
      <c r="AT434" s="2"/>
      <c r="AU434" s="2"/>
      <c r="AV434" s="2"/>
      <c r="AW434" s="2"/>
      <c r="AX434" s="6"/>
      <c r="AY434" s="2"/>
      <c r="AZ434" s="2"/>
      <c r="BA434" s="2"/>
      <c r="BB434" s="2"/>
      <c r="BC434" s="2"/>
      <c r="BD434" s="6"/>
      <c r="BE434" s="2"/>
      <c r="BF434" s="6"/>
      <c r="BG434" s="58"/>
      <c r="BH434" s="6"/>
      <c r="BI434" s="2"/>
    </row>
    <row r="435" ht="12.75" customHeight="1">
      <c r="A435" s="71"/>
      <c r="B435" s="71"/>
      <c r="C435" s="11"/>
      <c r="D435" s="11"/>
      <c r="E435" s="2"/>
      <c r="F435" s="2"/>
      <c r="G435" s="2"/>
      <c r="H435" s="54"/>
      <c r="I435" s="4"/>
      <c r="J435" s="2"/>
      <c r="K435" s="2"/>
      <c r="L435" s="5"/>
      <c r="M435" s="5"/>
      <c r="N435" s="5"/>
      <c r="O435" s="5"/>
      <c r="P435" s="5"/>
      <c r="Q435" s="5"/>
      <c r="R435" s="2"/>
      <c r="S435" s="2"/>
      <c r="T435" s="2"/>
      <c r="U435" s="2"/>
      <c r="V435" s="2"/>
      <c r="W435" s="2"/>
      <c r="X435" s="6"/>
      <c r="Y435" s="2"/>
      <c r="Z435" s="2"/>
      <c r="AA435" s="2"/>
      <c r="AB435" s="2"/>
      <c r="AC435" s="6"/>
      <c r="AD435" s="2"/>
      <c r="AE435" s="2"/>
      <c r="AF435" s="2"/>
      <c r="AG435" s="2"/>
      <c r="AH435" s="2"/>
      <c r="AI435" s="6"/>
      <c r="AJ435" s="2"/>
      <c r="AK435" s="56"/>
      <c r="AL435" s="2"/>
      <c r="AM435" s="2"/>
      <c r="AN435" s="2"/>
      <c r="AO435" s="2"/>
      <c r="AP435" s="6"/>
      <c r="AQ435" s="2"/>
      <c r="AR435" s="2"/>
      <c r="AS435" s="2"/>
      <c r="AT435" s="2"/>
      <c r="AU435" s="2"/>
      <c r="AV435" s="2"/>
      <c r="AW435" s="2"/>
      <c r="AX435" s="6"/>
      <c r="AY435" s="2"/>
      <c r="AZ435" s="2"/>
      <c r="BA435" s="2"/>
      <c r="BB435" s="2"/>
      <c r="BC435" s="2"/>
      <c r="BD435" s="6"/>
      <c r="BE435" s="2"/>
      <c r="BF435" s="6"/>
      <c r="BG435" s="58"/>
      <c r="BH435" s="6"/>
      <c r="BI435" s="2"/>
    </row>
    <row r="436" ht="12.75" customHeight="1">
      <c r="A436" s="71"/>
      <c r="B436" s="71"/>
      <c r="C436" s="11"/>
      <c r="D436" s="11"/>
      <c r="E436" s="2"/>
      <c r="F436" s="2"/>
      <c r="G436" s="2"/>
      <c r="H436" s="54"/>
      <c r="I436" s="4"/>
      <c r="J436" s="2"/>
      <c r="K436" s="2"/>
      <c r="L436" s="5"/>
      <c r="M436" s="5"/>
      <c r="N436" s="5"/>
      <c r="O436" s="5"/>
      <c r="P436" s="5"/>
      <c r="Q436" s="5"/>
      <c r="R436" s="2"/>
      <c r="S436" s="2"/>
      <c r="T436" s="2"/>
      <c r="U436" s="2"/>
      <c r="V436" s="2"/>
      <c r="W436" s="2"/>
      <c r="X436" s="6"/>
      <c r="Y436" s="2"/>
      <c r="Z436" s="2"/>
      <c r="AA436" s="2"/>
      <c r="AB436" s="2"/>
      <c r="AC436" s="6"/>
      <c r="AD436" s="2"/>
      <c r="AE436" s="2"/>
      <c r="AF436" s="2"/>
      <c r="AG436" s="2"/>
      <c r="AH436" s="2"/>
      <c r="AI436" s="6"/>
      <c r="AJ436" s="2"/>
      <c r="AK436" s="56"/>
      <c r="AL436" s="2"/>
      <c r="AM436" s="2"/>
      <c r="AN436" s="2"/>
      <c r="AO436" s="2"/>
      <c r="AP436" s="6"/>
      <c r="AQ436" s="2"/>
      <c r="AR436" s="2"/>
      <c r="AS436" s="2"/>
      <c r="AT436" s="2"/>
      <c r="AU436" s="2"/>
      <c r="AV436" s="2"/>
      <c r="AW436" s="2"/>
      <c r="AX436" s="6"/>
      <c r="AY436" s="2"/>
      <c r="AZ436" s="2"/>
      <c r="BA436" s="2"/>
      <c r="BB436" s="2"/>
      <c r="BC436" s="2"/>
      <c r="BD436" s="6"/>
      <c r="BE436" s="2"/>
      <c r="BF436" s="6"/>
      <c r="BG436" s="58"/>
      <c r="BH436" s="6"/>
      <c r="BI436" s="2"/>
    </row>
    <row r="437" ht="12.75" customHeight="1">
      <c r="A437" s="71"/>
      <c r="B437" s="71"/>
      <c r="C437" s="11"/>
      <c r="D437" s="11"/>
      <c r="E437" s="2"/>
      <c r="F437" s="2"/>
      <c r="G437" s="2"/>
      <c r="H437" s="54"/>
      <c r="I437" s="4"/>
      <c r="J437" s="2"/>
      <c r="K437" s="2"/>
      <c r="L437" s="5"/>
      <c r="M437" s="5"/>
      <c r="N437" s="5"/>
      <c r="O437" s="5"/>
      <c r="P437" s="5"/>
      <c r="Q437" s="5"/>
      <c r="R437" s="2"/>
      <c r="S437" s="2"/>
      <c r="T437" s="2"/>
      <c r="U437" s="2"/>
      <c r="V437" s="2"/>
      <c r="W437" s="2"/>
      <c r="X437" s="6"/>
      <c r="Y437" s="2"/>
      <c r="Z437" s="2"/>
      <c r="AA437" s="2"/>
      <c r="AB437" s="2"/>
      <c r="AC437" s="6"/>
      <c r="AD437" s="2"/>
      <c r="AE437" s="2"/>
      <c r="AF437" s="2"/>
      <c r="AG437" s="2"/>
      <c r="AH437" s="2"/>
      <c r="AI437" s="6"/>
      <c r="AJ437" s="2"/>
      <c r="AK437" s="56"/>
      <c r="AL437" s="2"/>
      <c r="AM437" s="2"/>
      <c r="AN437" s="2"/>
      <c r="AO437" s="2"/>
      <c r="AP437" s="6"/>
      <c r="AQ437" s="2"/>
      <c r="AR437" s="2"/>
      <c r="AS437" s="2"/>
      <c r="AT437" s="2"/>
      <c r="AU437" s="2"/>
      <c r="AV437" s="2"/>
      <c r="AW437" s="2"/>
      <c r="AX437" s="6"/>
      <c r="AY437" s="2"/>
      <c r="AZ437" s="2"/>
      <c r="BA437" s="2"/>
      <c r="BB437" s="2"/>
      <c r="BC437" s="2"/>
      <c r="BD437" s="6"/>
      <c r="BE437" s="2"/>
      <c r="BF437" s="6"/>
      <c r="BG437" s="58"/>
      <c r="BH437" s="6"/>
      <c r="BI437" s="2"/>
    </row>
    <row r="438" ht="12.75" customHeight="1">
      <c r="A438" s="71"/>
      <c r="B438" s="71"/>
      <c r="C438" s="11"/>
      <c r="D438" s="11"/>
      <c r="E438" s="2"/>
      <c r="F438" s="2"/>
      <c r="G438" s="2"/>
      <c r="H438" s="54"/>
      <c r="I438" s="4"/>
      <c r="J438" s="2"/>
      <c r="K438" s="2"/>
      <c r="L438" s="5"/>
      <c r="M438" s="5"/>
      <c r="N438" s="5"/>
      <c r="O438" s="5"/>
      <c r="P438" s="5"/>
      <c r="Q438" s="5"/>
      <c r="R438" s="2"/>
      <c r="S438" s="2"/>
      <c r="T438" s="2"/>
      <c r="U438" s="2"/>
      <c r="V438" s="2"/>
      <c r="W438" s="2"/>
      <c r="X438" s="6"/>
      <c r="Y438" s="2"/>
      <c r="Z438" s="2"/>
      <c r="AA438" s="2"/>
      <c r="AB438" s="2"/>
      <c r="AC438" s="6"/>
      <c r="AD438" s="2"/>
      <c r="AE438" s="2"/>
      <c r="AF438" s="2"/>
      <c r="AG438" s="2"/>
      <c r="AH438" s="2"/>
      <c r="AI438" s="6"/>
      <c r="AJ438" s="2"/>
      <c r="AK438" s="56"/>
      <c r="AL438" s="2"/>
      <c r="AM438" s="2"/>
      <c r="AN438" s="2"/>
      <c r="AO438" s="2"/>
      <c r="AP438" s="6"/>
      <c r="AQ438" s="2"/>
      <c r="AR438" s="2"/>
      <c r="AS438" s="2"/>
      <c r="AT438" s="2"/>
      <c r="AU438" s="2"/>
      <c r="AV438" s="2"/>
      <c r="AW438" s="2"/>
      <c r="AX438" s="6"/>
      <c r="AY438" s="2"/>
      <c r="AZ438" s="2"/>
      <c r="BA438" s="2"/>
      <c r="BB438" s="2"/>
      <c r="BC438" s="2"/>
      <c r="BD438" s="6"/>
      <c r="BE438" s="2"/>
      <c r="BF438" s="6"/>
      <c r="BG438" s="58"/>
      <c r="BH438" s="6"/>
      <c r="BI438" s="2"/>
    </row>
    <row r="439" ht="12.75" customHeight="1">
      <c r="A439" s="71"/>
      <c r="B439" s="71"/>
      <c r="C439" s="11"/>
      <c r="D439" s="11"/>
      <c r="E439" s="2"/>
      <c r="F439" s="2"/>
      <c r="G439" s="2"/>
      <c r="H439" s="54"/>
      <c r="I439" s="4"/>
      <c r="J439" s="2"/>
      <c r="K439" s="2"/>
      <c r="L439" s="5"/>
      <c r="M439" s="5"/>
      <c r="N439" s="5"/>
      <c r="O439" s="5"/>
      <c r="P439" s="5"/>
      <c r="Q439" s="5"/>
      <c r="R439" s="2"/>
      <c r="S439" s="2"/>
      <c r="T439" s="2"/>
      <c r="U439" s="2"/>
      <c r="V439" s="2"/>
      <c r="W439" s="2"/>
      <c r="X439" s="6"/>
      <c r="Y439" s="2"/>
      <c r="Z439" s="2"/>
      <c r="AA439" s="2"/>
      <c r="AB439" s="2"/>
      <c r="AC439" s="6"/>
      <c r="AD439" s="2"/>
      <c r="AE439" s="2"/>
      <c r="AF439" s="2"/>
      <c r="AG439" s="2"/>
      <c r="AH439" s="2"/>
      <c r="AI439" s="6"/>
      <c r="AJ439" s="2"/>
      <c r="AK439" s="56"/>
      <c r="AL439" s="2"/>
      <c r="AM439" s="2"/>
      <c r="AN439" s="2"/>
      <c r="AO439" s="2"/>
      <c r="AP439" s="6"/>
      <c r="AQ439" s="2"/>
      <c r="AR439" s="2"/>
      <c r="AS439" s="2"/>
      <c r="AT439" s="2"/>
      <c r="AU439" s="2"/>
      <c r="AV439" s="2"/>
      <c r="AW439" s="2"/>
      <c r="AX439" s="6"/>
      <c r="AY439" s="2"/>
      <c r="AZ439" s="2"/>
      <c r="BA439" s="2"/>
      <c r="BB439" s="2"/>
      <c r="BC439" s="2"/>
      <c r="BD439" s="6"/>
      <c r="BE439" s="2"/>
      <c r="BF439" s="6"/>
      <c r="BG439" s="58"/>
      <c r="BH439" s="6"/>
      <c r="BI439" s="2"/>
    </row>
    <row r="440" ht="12.75" customHeight="1">
      <c r="A440" s="71"/>
      <c r="B440" s="71"/>
      <c r="C440" s="11"/>
      <c r="D440" s="11"/>
      <c r="E440" s="2"/>
      <c r="F440" s="2"/>
      <c r="G440" s="2"/>
      <c r="H440" s="54"/>
      <c r="I440" s="4"/>
      <c r="J440" s="2"/>
      <c r="K440" s="2"/>
      <c r="L440" s="5"/>
      <c r="M440" s="5"/>
      <c r="N440" s="5"/>
      <c r="O440" s="5"/>
      <c r="P440" s="5"/>
      <c r="Q440" s="5"/>
      <c r="R440" s="2"/>
      <c r="S440" s="2"/>
      <c r="T440" s="2"/>
      <c r="U440" s="2"/>
      <c r="V440" s="2"/>
      <c r="W440" s="2"/>
      <c r="X440" s="6"/>
      <c r="Y440" s="2"/>
      <c r="Z440" s="2"/>
      <c r="AA440" s="2"/>
      <c r="AB440" s="2"/>
      <c r="AC440" s="6"/>
      <c r="AD440" s="2"/>
      <c r="AE440" s="2"/>
      <c r="AF440" s="2"/>
      <c r="AG440" s="2"/>
      <c r="AH440" s="2"/>
      <c r="AI440" s="6"/>
      <c r="AJ440" s="2"/>
      <c r="AK440" s="56"/>
      <c r="AL440" s="2"/>
      <c r="AM440" s="2"/>
      <c r="AN440" s="2"/>
      <c r="AO440" s="2"/>
      <c r="AP440" s="6"/>
      <c r="AQ440" s="2"/>
      <c r="AR440" s="2"/>
      <c r="AS440" s="2"/>
      <c r="AT440" s="2"/>
      <c r="AU440" s="2"/>
      <c r="AV440" s="2"/>
      <c r="AW440" s="2"/>
      <c r="AX440" s="6"/>
      <c r="AY440" s="2"/>
      <c r="AZ440" s="2"/>
      <c r="BA440" s="2"/>
      <c r="BB440" s="2"/>
      <c r="BC440" s="2"/>
      <c r="BD440" s="6"/>
      <c r="BE440" s="2"/>
      <c r="BF440" s="6"/>
      <c r="BG440" s="58"/>
      <c r="BH440" s="6"/>
      <c r="BI440" s="2"/>
    </row>
    <row r="441" ht="12.75" customHeight="1">
      <c r="A441" s="71"/>
      <c r="B441" s="71"/>
      <c r="C441" s="11"/>
      <c r="D441" s="11"/>
      <c r="E441" s="2"/>
      <c r="F441" s="2"/>
      <c r="G441" s="2"/>
      <c r="H441" s="54"/>
      <c r="I441" s="4"/>
      <c r="J441" s="2"/>
      <c r="K441" s="2"/>
      <c r="L441" s="5"/>
      <c r="M441" s="5"/>
      <c r="N441" s="5"/>
      <c r="O441" s="5"/>
      <c r="P441" s="5"/>
      <c r="Q441" s="5"/>
      <c r="R441" s="2"/>
      <c r="S441" s="2"/>
      <c r="T441" s="2"/>
      <c r="U441" s="2"/>
      <c r="V441" s="2"/>
      <c r="W441" s="2"/>
      <c r="X441" s="6"/>
      <c r="Y441" s="2"/>
      <c r="Z441" s="2"/>
      <c r="AA441" s="2"/>
      <c r="AB441" s="2"/>
      <c r="AC441" s="6"/>
      <c r="AD441" s="2"/>
      <c r="AE441" s="2"/>
      <c r="AF441" s="2"/>
      <c r="AG441" s="2"/>
      <c r="AH441" s="2"/>
      <c r="AI441" s="6"/>
      <c r="AJ441" s="2"/>
      <c r="AK441" s="56"/>
      <c r="AL441" s="2"/>
      <c r="AM441" s="2"/>
      <c r="AN441" s="2"/>
      <c r="AO441" s="2"/>
      <c r="AP441" s="6"/>
      <c r="AQ441" s="2"/>
      <c r="AR441" s="2"/>
      <c r="AS441" s="2"/>
      <c r="AT441" s="2"/>
      <c r="AU441" s="2"/>
      <c r="AV441" s="2"/>
      <c r="AW441" s="2"/>
      <c r="AX441" s="6"/>
      <c r="AY441" s="2"/>
      <c r="AZ441" s="2"/>
      <c r="BA441" s="2"/>
      <c r="BB441" s="2"/>
      <c r="BC441" s="2"/>
      <c r="BD441" s="6"/>
      <c r="BE441" s="2"/>
      <c r="BF441" s="6"/>
      <c r="BG441" s="58"/>
      <c r="BH441" s="6"/>
      <c r="BI441" s="2"/>
    </row>
    <row r="442" ht="12.75" customHeight="1">
      <c r="A442" s="71"/>
      <c r="B442" s="71"/>
      <c r="C442" s="11"/>
      <c r="D442" s="11"/>
      <c r="E442" s="2"/>
      <c r="F442" s="2"/>
      <c r="G442" s="2"/>
      <c r="H442" s="54"/>
      <c r="I442" s="4"/>
      <c r="J442" s="2"/>
      <c r="K442" s="2"/>
      <c r="L442" s="5"/>
      <c r="M442" s="5"/>
      <c r="N442" s="5"/>
      <c r="O442" s="5"/>
      <c r="P442" s="5"/>
      <c r="Q442" s="5"/>
      <c r="R442" s="2"/>
      <c r="S442" s="2"/>
      <c r="T442" s="2"/>
      <c r="U442" s="2"/>
      <c r="V442" s="2"/>
      <c r="W442" s="2"/>
      <c r="X442" s="6"/>
      <c r="Y442" s="2"/>
      <c r="Z442" s="2"/>
      <c r="AA442" s="2"/>
      <c r="AB442" s="2"/>
      <c r="AC442" s="6"/>
      <c r="AD442" s="2"/>
      <c r="AE442" s="2"/>
      <c r="AF442" s="2"/>
      <c r="AG442" s="2"/>
      <c r="AH442" s="2"/>
      <c r="AI442" s="6"/>
      <c r="AJ442" s="2"/>
      <c r="AK442" s="56"/>
      <c r="AL442" s="2"/>
      <c r="AM442" s="2"/>
      <c r="AN442" s="2"/>
      <c r="AO442" s="2"/>
      <c r="AP442" s="6"/>
      <c r="AQ442" s="2"/>
      <c r="AR442" s="2"/>
      <c r="AS442" s="2"/>
      <c r="AT442" s="2"/>
      <c r="AU442" s="2"/>
      <c r="AV442" s="2"/>
      <c r="AW442" s="2"/>
      <c r="AX442" s="6"/>
      <c r="AY442" s="2"/>
      <c r="AZ442" s="2"/>
      <c r="BA442" s="2"/>
      <c r="BB442" s="2"/>
      <c r="BC442" s="2"/>
      <c r="BD442" s="6"/>
      <c r="BE442" s="2"/>
      <c r="BF442" s="6"/>
      <c r="BG442" s="58"/>
      <c r="BH442" s="6"/>
      <c r="BI442" s="2"/>
    </row>
    <row r="443" ht="12.75" customHeight="1">
      <c r="A443" s="71"/>
      <c r="B443" s="71"/>
      <c r="C443" s="11"/>
      <c r="D443" s="11"/>
      <c r="E443" s="2"/>
      <c r="F443" s="2"/>
      <c r="G443" s="2"/>
      <c r="H443" s="54"/>
      <c r="I443" s="4"/>
      <c r="J443" s="2"/>
      <c r="K443" s="2"/>
      <c r="L443" s="5"/>
      <c r="M443" s="5"/>
      <c r="N443" s="5"/>
      <c r="O443" s="5"/>
      <c r="P443" s="5"/>
      <c r="Q443" s="5"/>
      <c r="R443" s="2"/>
      <c r="S443" s="2"/>
      <c r="T443" s="2"/>
      <c r="U443" s="2"/>
      <c r="V443" s="2"/>
      <c r="W443" s="2"/>
      <c r="X443" s="6"/>
      <c r="Y443" s="2"/>
      <c r="Z443" s="2"/>
      <c r="AA443" s="2"/>
      <c r="AB443" s="2"/>
      <c r="AC443" s="6"/>
      <c r="AD443" s="2"/>
      <c r="AE443" s="2"/>
      <c r="AF443" s="2"/>
      <c r="AG443" s="2"/>
      <c r="AH443" s="2"/>
      <c r="AI443" s="6"/>
      <c r="AJ443" s="2"/>
      <c r="AK443" s="56"/>
      <c r="AL443" s="2"/>
      <c r="AM443" s="2"/>
      <c r="AN443" s="2"/>
      <c r="AO443" s="2"/>
      <c r="AP443" s="6"/>
      <c r="AQ443" s="2"/>
      <c r="AR443" s="2"/>
      <c r="AS443" s="2"/>
      <c r="AT443" s="2"/>
      <c r="AU443" s="2"/>
      <c r="AV443" s="2"/>
      <c r="AW443" s="2"/>
      <c r="AX443" s="6"/>
      <c r="AY443" s="2"/>
      <c r="AZ443" s="2"/>
      <c r="BA443" s="2"/>
      <c r="BB443" s="2"/>
      <c r="BC443" s="2"/>
      <c r="BD443" s="6"/>
      <c r="BE443" s="2"/>
      <c r="BF443" s="6"/>
      <c r="BG443" s="58"/>
      <c r="BH443" s="6"/>
      <c r="BI443" s="2"/>
    </row>
    <row r="444" ht="12.75" customHeight="1">
      <c r="A444" s="71"/>
      <c r="B444" s="71"/>
      <c r="C444" s="11"/>
      <c r="D444" s="11"/>
      <c r="E444" s="2"/>
      <c r="F444" s="2"/>
      <c r="G444" s="2"/>
      <c r="H444" s="54"/>
      <c r="I444" s="4"/>
      <c r="J444" s="2"/>
      <c r="K444" s="2"/>
      <c r="L444" s="5"/>
      <c r="M444" s="5"/>
      <c r="N444" s="5"/>
      <c r="O444" s="5"/>
      <c r="P444" s="5"/>
      <c r="Q444" s="5"/>
      <c r="R444" s="2"/>
      <c r="S444" s="2"/>
      <c r="T444" s="2"/>
      <c r="U444" s="2"/>
      <c r="V444" s="2"/>
      <c r="W444" s="2"/>
      <c r="X444" s="6"/>
      <c r="Y444" s="2"/>
      <c r="Z444" s="2"/>
      <c r="AA444" s="2"/>
      <c r="AB444" s="2"/>
      <c r="AC444" s="6"/>
      <c r="AD444" s="2"/>
      <c r="AE444" s="2"/>
      <c r="AF444" s="2"/>
      <c r="AG444" s="2"/>
      <c r="AH444" s="2"/>
      <c r="AI444" s="6"/>
      <c r="AJ444" s="2"/>
      <c r="AK444" s="56"/>
      <c r="AL444" s="2"/>
      <c r="AM444" s="2"/>
      <c r="AN444" s="2"/>
      <c r="AO444" s="2"/>
      <c r="AP444" s="6"/>
      <c r="AQ444" s="2"/>
      <c r="AR444" s="2"/>
      <c r="AS444" s="2"/>
      <c r="AT444" s="2"/>
      <c r="AU444" s="2"/>
      <c r="AV444" s="2"/>
      <c r="AW444" s="2"/>
      <c r="AX444" s="6"/>
      <c r="AY444" s="2"/>
      <c r="AZ444" s="2"/>
      <c r="BA444" s="2"/>
      <c r="BB444" s="2"/>
      <c r="BC444" s="2"/>
      <c r="BD444" s="6"/>
      <c r="BE444" s="2"/>
      <c r="BF444" s="6"/>
      <c r="BG444" s="58"/>
      <c r="BH444" s="6"/>
      <c r="BI444" s="2"/>
    </row>
    <row r="445" ht="12.75" customHeight="1">
      <c r="A445" s="71"/>
      <c r="B445" s="71"/>
      <c r="C445" s="11"/>
      <c r="D445" s="11"/>
      <c r="E445" s="2"/>
      <c r="F445" s="2"/>
      <c r="G445" s="2"/>
      <c r="H445" s="54"/>
      <c r="I445" s="4"/>
      <c r="J445" s="2"/>
      <c r="K445" s="2"/>
      <c r="L445" s="5"/>
      <c r="M445" s="5"/>
      <c r="N445" s="5"/>
      <c r="O445" s="5"/>
      <c r="P445" s="5"/>
      <c r="Q445" s="5"/>
      <c r="R445" s="2"/>
      <c r="S445" s="2"/>
      <c r="T445" s="2"/>
      <c r="U445" s="2"/>
      <c r="V445" s="2"/>
      <c r="W445" s="2"/>
      <c r="X445" s="6"/>
      <c r="Y445" s="2"/>
      <c r="Z445" s="2"/>
      <c r="AA445" s="2"/>
      <c r="AB445" s="2"/>
      <c r="AC445" s="6"/>
      <c r="AD445" s="2"/>
      <c r="AE445" s="2"/>
      <c r="AF445" s="2"/>
      <c r="AG445" s="2"/>
      <c r="AH445" s="2"/>
      <c r="AI445" s="6"/>
      <c r="AJ445" s="2"/>
      <c r="AK445" s="56"/>
      <c r="AL445" s="2"/>
      <c r="AM445" s="2"/>
      <c r="AN445" s="2"/>
      <c r="AO445" s="2"/>
      <c r="AP445" s="6"/>
      <c r="AQ445" s="2"/>
      <c r="AR445" s="2"/>
      <c r="AS445" s="2"/>
      <c r="AT445" s="2"/>
      <c r="AU445" s="2"/>
      <c r="AV445" s="2"/>
      <c r="AW445" s="2"/>
      <c r="AX445" s="6"/>
      <c r="AY445" s="2"/>
      <c r="AZ445" s="2"/>
      <c r="BA445" s="2"/>
      <c r="BB445" s="2"/>
      <c r="BC445" s="2"/>
      <c r="BD445" s="6"/>
      <c r="BE445" s="2"/>
      <c r="BF445" s="6"/>
      <c r="BG445" s="58"/>
      <c r="BH445" s="6"/>
      <c r="BI445" s="2"/>
    </row>
    <row r="446" ht="12.75" customHeight="1">
      <c r="A446" s="71"/>
      <c r="B446" s="71"/>
      <c r="C446" s="11"/>
      <c r="D446" s="11"/>
      <c r="E446" s="2"/>
      <c r="F446" s="2"/>
      <c r="G446" s="2"/>
      <c r="H446" s="54"/>
      <c r="I446" s="4"/>
      <c r="J446" s="2"/>
      <c r="K446" s="2"/>
      <c r="L446" s="5"/>
      <c r="M446" s="5"/>
      <c r="N446" s="5"/>
      <c r="O446" s="5"/>
      <c r="P446" s="5"/>
      <c r="Q446" s="5"/>
      <c r="R446" s="2"/>
      <c r="S446" s="2"/>
      <c r="T446" s="2"/>
      <c r="U446" s="2"/>
      <c r="V446" s="2"/>
      <c r="W446" s="2"/>
      <c r="X446" s="6"/>
      <c r="Y446" s="2"/>
      <c r="Z446" s="2"/>
      <c r="AA446" s="2"/>
      <c r="AB446" s="2"/>
      <c r="AC446" s="6"/>
      <c r="AD446" s="2"/>
      <c r="AE446" s="2"/>
      <c r="AF446" s="2"/>
      <c r="AG446" s="2"/>
      <c r="AH446" s="2"/>
      <c r="AI446" s="6"/>
      <c r="AJ446" s="2"/>
      <c r="AK446" s="56"/>
      <c r="AL446" s="2"/>
      <c r="AM446" s="2"/>
      <c r="AN446" s="2"/>
      <c r="AO446" s="2"/>
      <c r="AP446" s="6"/>
      <c r="AQ446" s="2"/>
      <c r="AR446" s="2"/>
      <c r="AS446" s="2"/>
      <c r="AT446" s="2"/>
      <c r="AU446" s="2"/>
      <c r="AV446" s="2"/>
      <c r="AW446" s="2"/>
      <c r="AX446" s="6"/>
      <c r="AY446" s="2"/>
      <c r="AZ446" s="2"/>
      <c r="BA446" s="2"/>
      <c r="BB446" s="2"/>
      <c r="BC446" s="2"/>
      <c r="BD446" s="6"/>
      <c r="BE446" s="2"/>
      <c r="BF446" s="6"/>
      <c r="BG446" s="58"/>
      <c r="BH446" s="6"/>
      <c r="BI446" s="2"/>
    </row>
    <row r="447" ht="12.75" customHeight="1">
      <c r="A447" s="71"/>
      <c r="B447" s="71"/>
      <c r="C447" s="11"/>
      <c r="D447" s="11"/>
      <c r="E447" s="2"/>
      <c r="F447" s="2"/>
      <c r="G447" s="2"/>
      <c r="H447" s="54"/>
      <c r="I447" s="4"/>
      <c r="J447" s="2"/>
      <c r="K447" s="2"/>
      <c r="L447" s="5"/>
      <c r="M447" s="5"/>
      <c r="N447" s="5"/>
      <c r="O447" s="5"/>
      <c r="P447" s="5"/>
      <c r="Q447" s="5"/>
      <c r="R447" s="2"/>
      <c r="S447" s="2"/>
      <c r="T447" s="2"/>
      <c r="U447" s="2"/>
      <c r="V447" s="2"/>
      <c r="W447" s="2"/>
      <c r="X447" s="6"/>
      <c r="Y447" s="2"/>
      <c r="Z447" s="2"/>
      <c r="AA447" s="2"/>
      <c r="AB447" s="2"/>
      <c r="AC447" s="6"/>
      <c r="AD447" s="2"/>
      <c r="AE447" s="2"/>
      <c r="AF447" s="2"/>
      <c r="AG447" s="2"/>
      <c r="AH447" s="2"/>
      <c r="AI447" s="6"/>
      <c r="AJ447" s="2"/>
      <c r="AK447" s="56"/>
      <c r="AL447" s="2"/>
      <c r="AM447" s="2"/>
      <c r="AN447" s="2"/>
      <c r="AO447" s="2"/>
      <c r="AP447" s="6"/>
      <c r="AQ447" s="2"/>
      <c r="AR447" s="2"/>
      <c r="AS447" s="2"/>
      <c r="AT447" s="2"/>
      <c r="AU447" s="2"/>
      <c r="AV447" s="2"/>
      <c r="AW447" s="2"/>
      <c r="AX447" s="6"/>
      <c r="AY447" s="2"/>
      <c r="AZ447" s="2"/>
      <c r="BA447" s="2"/>
      <c r="BB447" s="2"/>
      <c r="BC447" s="2"/>
      <c r="BD447" s="6"/>
      <c r="BE447" s="2"/>
      <c r="BF447" s="6"/>
      <c r="BG447" s="58"/>
      <c r="BH447" s="6"/>
      <c r="BI447" s="2"/>
    </row>
    <row r="448" ht="12.75" customHeight="1">
      <c r="A448" s="71"/>
      <c r="B448" s="71"/>
      <c r="C448" s="11"/>
      <c r="D448" s="11"/>
      <c r="E448" s="2"/>
      <c r="F448" s="2"/>
      <c r="G448" s="2"/>
      <c r="H448" s="54"/>
      <c r="I448" s="4"/>
      <c r="J448" s="2"/>
      <c r="K448" s="2"/>
      <c r="L448" s="5"/>
      <c r="M448" s="5"/>
      <c r="N448" s="5"/>
      <c r="O448" s="5"/>
      <c r="P448" s="5"/>
      <c r="Q448" s="5"/>
      <c r="R448" s="2"/>
      <c r="S448" s="2"/>
      <c r="T448" s="2"/>
      <c r="U448" s="2"/>
      <c r="V448" s="2"/>
      <c r="W448" s="2"/>
      <c r="X448" s="6"/>
      <c r="Y448" s="2"/>
      <c r="Z448" s="2"/>
      <c r="AA448" s="2"/>
      <c r="AB448" s="2"/>
      <c r="AC448" s="6"/>
      <c r="AD448" s="2"/>
      <c r="AE448" s="2"/>
      <c r="AF448" s="2"/>
      <c r="AG448" s="2"/>
      <c r="AH448" s="2"/>
      <c r="AI448" s="6"/>
      <c r="AJ448" s="2"/>
      <c r="AK448" s="56"/>
      <c r="AL448" s="2"/>
      <c r="AM448" s="2"/>
      <c r="AN448" s="2"/>
      <c r="AO448" s="2"/>
      <c r="AP448" s="6"/>
      <c r="AQ448" s="2"/>
      <c r="AR448" s="2"/>
      <c r="AS448" s="2"/>
      <c r="AT448" s="2"/>
      <c r="AU448" s="2"/>
      <c r="AV448" s="2"/>
      <c r="AW448" s="2"/>
      <c r="AX448" s="6"/>
      <c r="AY448" s="2"/>
      <c r="AZ448" s="2"/>
      <c r="BA448" s="2"/>
      <c r="BB448" s="2"/>
      <c r="BC448" s="2"/>
      <c r="BD448" s="6"/>
      <c r="BE448" s="2"/>
      <c r="BF448" s="6"/>
      <c r="BG448" s="58"/>
      <c r="BH448" s="6"/>
      <c r="BI448" s="2"/>
    </row>
    <row r="449" ht="12.75" customHeight="1">
      <c r="A449" s="71"/>
      <c r="B449" s="71"/>
      <c r="C449" s="11"/>
      <c r="D449" s="11"/>
      <c r="E449" s="2"/>
      <c r="F449" s="2"/>
      <c r="G449" s="2"/>
      <c r="H449" s="54"/>
      <c r="I449" s="4"/>
      <c r="J449" s="2"/>
      <c r="K449" s="2"/>
      <c r="L449" s="5"/>
      <c r="M449" s="5"/>
      <c r="N449" s="5"/>
      <c r="O449" s="5"/>
      <c r="P449" s="5"/>
      <c r="Q449" s="5"/>
      <c r="R449" s="2"/>
      <c r="S449" s="2"/>
      <c r="T449" s="2"/>
      <c r="U449" s="2"/>
      <c r="V449" s="2"/>
      <c r="W449" s="2"/>
      <c r="X449" s="6"/>
      <c r="Y449" s="2"/>
      <c r="Z449" s="2"/>
      <c r="AA449" s="2"/>
      <c r="AB449" s="2"/>
      <c r="AC449" s="6"/>
      <c r="AD449" s="2"/>
      <c r="AE449" s="2"/>
      <c r="AF449" s="2"/>
      <c r="AG449" s="2"/>
      <c r="AH449" s="2"/>
      <c r="AI449" s="6"/>
      <c r="AJ449" s="2"/>
      <c r="AK449" s="56"/>
      <c r="AL449" s="2"/>
      <c r="AM449" s="2"/>
      <c r="AN449" s="2"/>
      <c r="AO449" s="2"/>
      <c r="AP449" s="6"/>
      <c r="AQ449" s="2"/>
      <c r="AR449" s="2"/>
      <c r="AS449" s="2"/>
      <c r="AT449" s="2"/>
      <c r="AU449" s="2"/>
      <c r="AV449" s="2"/>
      <c r="AW449" s="2"/>
      <c r="AX449" s="6"/>
      <c r="AY449" s="2"/>
      <c r="AZ449" s="2"/>
      <c r="BA449" s="2"/>
      <c r="BB449" s="2"/>
      <c r="BC449" s="2"/>
      <c r="BD449" s="6"/>
      <c r="BE449" s="2"/>
      <c r="BF449" s="6"/>
      <c r="BG449" s="58"/>
      <c r="BH449" s="6"/>
      <c r="BI449" s="2"/>
    </row>
    <row r="450" ht="12.75" customHeight="1">
      <c r="A450" s="71"/>
      <c r="B450" s="71"/>
      <c r="C450" s="11"/>
      <c r="D450" s="11"/>
      <c r="E450" s="2"/>
      <c r="F450" s="2"/>
      <c r="G450" s="2"/>
      <c r="H450" s="54"/>
      <c r="I450" s="4"/>
      <c r="J450" s="2"/>
      <c r="K450" s="2"/>
      <c r="L450" s="5"/>
      <c r="M450" s="5"/>
      <c r="N450" s="5"/>
      <c r="O450" s="5"/>
      <c r="P450" s="5"/>
      <c r="Q450" s="5"/>
      <c r="R450" s="2"/>
      <c r="S450" s="2"/>
      <c r="T450" s="2"/>
      <c r="U450" s="2"/>
      <c r="V450" s="2"/>
      <c r="W450" s="2"/>
      <c r="X450" s="6"/>
      <c r="Y450" s="2"/>
      <c r="Z450" s="2"/>
      <c r="AA450" s="2"/>
      <c r="AB450" s="2"/>
      <c r="AC450" s="6"/>
      <c r="AD450" s="2"/>
      <c r="AE450" s="2"/>
      <c r="AF450" s="2"/>
      <c r="AG450" s="2"/>
      <c r="AH450" s="2"/>
      <c r="AI450" s="6"/>
      <c r="AJ450" s="2"/>
      <c r="AK450" s="56"/>
      <c r="AL450" s="2"/>
      <c r="AM450" s="2"/>
      <c r="AN450" s="2"/>
      <c r="AO450" s="2"/>
      <c r="AP450" s="6"/>
      <c r="AQ450" s="2"/>
      <c r="AR450" s="2"/>
      <c r="AS450" s="2"/>
      <c r="AT450" s="2"/>
      <c r="AU450" s="2"/>
      <c r="AV450" s="2"/>
      <c r="AW450" s="2"/>
      <c r="AX450" s="6"/>
      <c r="AY450" s="2"/>
      <c r="AZ450" s="2"/>
      <c r="BA450" s="2"/>
      <c r="BB450" s="2"/>
      <c r="BC450" s="2"/>
      <c r="BD450" s="6"/>
      <c r="BE450" s="2"/>
      <c r="BF450" s="6"/>
      <c r="BG450" s="58"/>
      <c r="BH450" s="6"/>
      <c r="BI450" s="2"/>
    </row>
    <row r="451" ht="12.75" customHeight="1">
      <c r="A451" s="71"/>
      <c r="B451" s="71"/>
      <c r="C451" s="11"/>
      <c r="D451" s="11"/>
      <c r="E451" s="2"/>
      <c r="F451" s="2"/>
      <c r="G451" s="2"/>
      <c r="H451" s="54"/>
      <c r="I451" s="4"/>
      <c r="J451" s="2"/>
      <c r="K451" s="2"/>
      <c r="L451" s="5"/>
      <c r="M451" s="5"/>
      <c r="N451" s="5"/>
      <c r="O451" s="5"/>
      <c r="P451" s="5"/>
      <c r="Q451" s="5"/>
      <c r="R451" s="2"/>
      <c r="S451" s="2"/>
      <c r="T451" s="2"/>
      <c r="U451" s="2"/>
      <c r="V451" s="2"/>
      <c r="W451" s="2"/>
      <c r="X451" s="6"/>
      <c r="Y451" s="2"/>
      <c r="Z451" s="2"/>
      <c r="AA451" s="2"/>
      <c r="AB451" s="2"/>
      <c r="AC451" s="6"/>
      <c r="AD451" s="2"/>
      <c r="AE451" s="2"/>
      <c r="AF451" s="2"/>
      <c r="AG451" s="2"/>
      <c r="AH451" s="2"/>
      <c r="AI451" s="6"/>
      <c r="AJ451" s="2"/>
      <c r="AK451" s="56"/>
      <c r="AL451" s="2"/>
      <c r="AM451" s="2"/>
      <c r="AN451" s="2"/>
      <c r="AO451" s="2"/>
      <c r="AP451" s="6"/>
      <c r="AQ451" s="2"/>
      <c r="AR451" s="2"/>
      <c r="AS451" s="2"/>
      <c r="AT451" s="2"/>
      <c r="AU451" s="2"/>
      <c r="AV451" s="2"/>
      <c r="AW451" s="2"/>
      <c r="AX451" s="6"/>
      <c r="AY451" s="2"/>
      <c r="AZ451" s="2"/>
      <c r="BA451" s="2"/>
      <c r="BB451" s="2"/>
      <c r="BC451" s="2"/>
      <c r="BD451" s="6"/>
      <c r="BE451" s="2"/>
      <c r="BF451" s="6"/>
      <c r="BG451" s="58"/>
      <c r="BH451" s="6"/>
      <c r="BI451" s="2"/>
    </row>
    <row r="452" ht="12.75" customHeight="1">
      <c r="A452" s="71"/>
      <c r="B452" s="71"/>
      <c r="C452" s="11"/>
      <c r="D452" s="11"/>
      <c r="E452" s="2"/>
      <c r="F452" s="2"/>
      <c r="G452" s="2"/>
      <c r="H452" s="54"/>
      <c r="I452" s="4"/>
      <c r="J452" s="2"/>
      <c r="K452" s="2"/>
      <c r="L452" s="5"/>
      <c r="M452" s="5"/>
      <c r="N452" s="5"/>
      <c r="O452" s="5"/>
      <c r="P452" s="5"/>
      <c r="Q452" s="5"/>
      <c r="R452" s="2"/>
      <c r="S452" s="2"/>
      <c r="T452" s="2"/>
      <c r="U452" s="2"/>
      <c r="V452" s="2"/>
      <c r="W452" s="2"/>
      <c r="X452" s="6"/>
      <c r="Y452" s="2"/>
      <c r="Z452" s="2"/>
      <c r="AA452" s="2"/>
      <c r="AB452" s="2"/>
      <c r="AC452" s="6"/>
      <c r="AD452" s="2"/>
      <c r="AE452" s="2"/>
      <c r="AF452" s="2"/>
      <c r="AG452" s="2"/>
      <c r="AH452" s="2"/>
      <c r="AI452" s="6"/>
      <c r="AJ452" s="2"/>
      <c r="AK452" s="56"/>
      <c r="AL452" s="2"/>
      <c r="AM452" s="2"/>
      <c r="AN452" s="2"/>
      <c r="AO452" s="2"/>
      <c r="AP452" s="6"/>
      <c r="AQ452" s="2"/>
      <c r="AR452" s="2"/>
      <c r="AS452" s="2"/>
      <c r="AT452" s="2"/>
      <c r="AU452" s="2"/>
      <c r="AV452" s="2"/>
      <c r="AW452" s="2"/>
      <c r="AX452" s="6"/>
      <c r="AY452" s="2"/>
      <c r="AZ452" s="2"/>
      <c r="BA452" s="2"/>
      <c r="BB452" s="2"/>
      <c r="BC452" s="2"/>
      <c r="BD452" s="6"/>
      <c r="BE452" s="2"/>
      <c r="BF452" s="6"/>
      <c r="BG452" s="58"/>
      <c r="BH452" s="6"/>
      <c r="BI452" s="2"/>
    </row>
    <row r="453" ht="12.75" customHeight="1">
      <c r="A453" s="71"/>
      <c r="B453" s="71"/>
      <c r="C453" s="11"/>
      <c r="D453" s="11"/>
      <c r="E453" s="2"/>
      <c r="F453" s="2"/>
      <c r="G453" s="2"/>
      <c r="H453" s="54"/>
      <c r="I453" s="4"/>
      <c r="J453" s="2"/>
      <c r="K453" s="2"/>
      <c r="L453" s="5"/>
      <c r="M453" s="5"/>
      <c r="N453" s="5"/>
      <c r="O453" s="5"/>
      <c r="P453" s="5"/>
      <c r="Q453" s="5"/>
      <c r="R453" s="2"/>
      <c r="S453" s="2"/>
      <c r="T453" s="2"/>
      <c r="U453" s="2"/>
      <c r="V453" s="2"/>
      <c r="W453" s="2"/>
      <c r="X453" s="6"/>
      <c r="Y453" s="2"/>
      <c r="Z453" s="2"/>
      <c r="AA453" s="2"/>
      <c r="AB453" s="2"/>
      <c r="AC453" s="6"/>
      <c r="AD453" s="2"/>
      <c r="AE453" s="2"/>
      <c r="AF453" s="2"/>
      <c r="AG453" s="2"/>
      <c r="AH453" s="2"/>
      <c r="AI453" s="6"/>
      <c r="AJ453" s="2"/>
      <c r="AK453" s="56"/>
      <c r="AL453" s="2"/>
      <c r="AM453" s="2"/>
      <c r="AN453" s="2"/>
      <c r="AO453" s="2"/>
      <c r="AP453" s="6"/>
      <c r="AQ453" s="2"/>
      <c r="AR453" s="2"/>
      <c r="AS453" s="2"/>
      <c r="AT453" s="2"/>
      <c r="AU453" s="2"/>
      <c r="AV453" s="2"/>
      <c r="AW453" s="2"/>
      <c r="AX453" s="6"/>
      <c r="AY453" s="2"/>
      <c r="AZ453" s="2"/>
      <c r="BA453" s="2"/>
      <c r="BB453" s="2"/>
      <c r="BC453" s="2"/>
      <c r="BD453" s="6"/>
      <c r="BE453" s="2"/>
      <c r="BF453" s="6"/>
      <c r="BG453" s="58"/>
      <c r="BH453" s="6"/>
      <c r="BI453" s="2"/>
    </row>
    <row r="454" ht="12.75" customHeight="1">
      <c r="A454" s="71"/>
      <c r="B454" s="71"/>
      <c r="C454" s="11"/>
      <c r="D454" s="11"/>
      <c r="E454" s="2"/>
      <c r="F454" s="2"/>
      <c r="G454" s="2"/>
      <c r="H454" s="54"/>
      <c r="I454" s="4"/>
      <c r="J454" s="2"/>
      <c r="K454" s="2"/>
      <c r="L454" s="5"/>
      <c r="M454" s="5"/>
      <c r="N454" s="5"/>
      <c r="O454" s="5"/>
      <c r="P454" s="5"/>
      <c r="Q454" s="5"/>
      <c r="R454" s="2"/>
      <c r="S454" s="2"/>
      <c r="T454" s="2"/>
      <c r="U454" s="2"/>
      <c r="V454" s="2"/>
      <c r="W454" s="2"/>
      <c r="X454" s="6"/>
      <c r="Y454" s="2"/>
      <c r="Z454" s="2"/>
      <c r="AA454" s="2"/>
      <c r="AB454" s="2"/>
      <c r="AC454" s="6"/>
      <c r="AD454" s="2"/>
      <c r="AE454" s="2"/>
      <c r="AF454" s="2"/>
      <c r="AG454" s="2"/>
      <c r="AH454" s="2"/>
      <c r="AI454" s="6"/>
      <c r="AJ454" s="2"/>
      <c r="AK454" s="56"/>
      <c r="AL454" s="2"/>
      <c r="AM454" s="2"/>
      <c r="AN454" s="2"/>
      <c r="AO454" s="2"/>
      <c r="AP454" s="6"/>
      <c r="AQ454" s="2"/>
      <c r="AR454" s="2"/>
      <c r="AS454" s="2"/>
      <c r="AT454" s="2"/>
      <c r="AU454" s="2"/>
      <c r="AV454" s="2"/>
      <c r="AW454" s="2"/>
      <c r="AX454" s="6"/>
      <c r="AY454" s="2"/>
      <c r="AZ454" s="2"/>
      <c r="BA454" s="2"/>
      <c r="BB454" s="2"/>
      <c r="BC454" s="2"/>
      <c r="BD454" s="6"/>
      <c r="BE454" s="2"/>
      <c r="BF454" s="6"/>
      <c r="BG454" s="58"/>
      <c r="BH454" s="6"/>
      <c r="BI454" s="2"/>
    </row>
    <row r="455" ht="12.75" customHeight="1">
      <c r="A455" s="71"/>
      <c r="B455" s="71"/>
      <c r="C455" s="11"/>
      <c r="D455" s="11"/>
      <c r="E455" s="2"/>
      <c r="F455" s="2"/>
      <c r="G455" s="2"/>
      <c r="H455" s="54"/>
      <c r="I455" s="4"/>
      <c r="J455" s="2"/>
      <c r="K455" s="2"/>
      <c r="L455" s="5"/>
      <c r="M455" s="5"/>
      <c r="N455" s="5"/>
      <c r="O455" s="5"/>
      <c r="P455" s="5"/>
      <c r="Q455" s="5"/>
      <c r="R455" s="2"/>
      <c r="S455" s="2"/>
      <c r="T455" s="2"/>
      <c r="U455" s="2"/>
      <c r="V455" s="2"/>
      <c r="W455" s="2"/>
      <c r="X455" s="6"/>
      <c r="Y455" s="2"/>
      <c r="Z455" s="2"/>
      <c r="AA455" s="2"/>
      <c r="AB455" s="2"/>
      <c r="AC455" s="6"/>
      <c r="AD455" s="2"/>
      <c r="AE455" s="2"/>
      <c r="AF455" s="2"/>
      <c r="AG455" s="2"/>
      <c r="AH455" s="2"/>
      <c r="AI455" s="6"/>
      <c r="AJ455" s="2"/>
      <c r="AK455" s="56"/>
      <c r="AL455" s="2"/>
      <c r="AM455" s="2"/>
      <c r="AN455" s="2"/>
      <c r="AO455" s="2"/>
      <c r="AP455" s="6"/>
      <c r="AQ455" s="2"/>
      <c r="AR455" s="2"/>
      <c r="AS455" s="2"/>
      <c r="AT455" s="2"/>
      <c r="AU455" s="2"/>
      <c r="AV455" s="2"/>
      <c r="AW455" s="2"/>
      <c r="AX455" s="6"/>
      <c r="AY455" s="2"/>
      <c r="AZ455" s="2"/>
      <c r="BA455" s="2"/>
      <c r="BB455" s="2"/>
      <c r="BC455" s="2"/>
      <c r="BD455" s="6"/>
      <c r="BE455" s="2"/>
      <c r="BF455" s="6"/>
      <c r="BG455" s="58"/>
      <c r="BH455" s="6"/>
      <c r="BI455" s="2"/>
    </row>
    <row r="456" ht="12.75" customHeight="1">
      <c r="A456" s="71"/>
      <c r="B456" s="71"/>
      <c r="C456" s="11"/>
      <c r="D456" s="11"/>
      <c r="E456" s="2"/>
      <c r="F456" s="2"/>
      <c r="G456" s="2"/>
      <c r="H456" s="54"/>
      <c r="I456" s="4"/>
      <c r="J456" s="2"/>
      <c r="K456" s="2"/>
      <c r="L456" s="5"/>
      <c r="M456" s="5"/>
      <c r="N456" s="5"/>
      <c r="O456" s="5"/>
      <c r="P456" s="5"/>
      <c r="Q456" s="5"/>
      <c r="R456" s="2"/>
      <c r="S456" s="2"/>
      <c r="T456" s="2"/>
      <c r="U456" s="2"/>
      <c r="V456" s="2"/>
      <c r="W456" s="2"/>
      <c r="X456" s="6"/>
      <c r="Y456" s="2"/>
      <c r="Z456" s="2"/>
      <c r="AA456" s="2"/>
      <c r="AB456" s="2"/>
      <c r="AC456" s="6"/>
      <c r="AD456" s="2"/>
      <c r="AE456" s="2"/>
      <c r="AF456" s="2"/>
      <c r="AG456" s="2"/>
      <c r="AH456" s="2"/>
      <c r="AI456" s="6"/>
      <c r="AJ456" s="2"/>
      <c r="AK456" s="56"/>
      <c r="AL456" s="2"/>
      <c r="AM456" s="2"/>
      <c r="AN456" s="2"/>
      <c r="AO456" s="2"/>
      <c r="AP456" s="6"/>
      <c r="AQ456" s="2"/>
      <c r="AR456" s="2"/>
      <c r="AS456" s="2"/>
      <c r="AT456" s="2"/>
      <c r="AU456" s="2"/>
      <c r="AV456" s="2"/>
      <c r="AW456" s="2"/>
      <c r="AX456" s="6"/>
      <c r="AY456" s="2"/>
      <c r="AZ456" s="2"/>
      <c r="BA456" s="2"/>
      <c r="BB456" s="2"/>
      <c r="BC456" s="2"/>
      <c r="BD456" s="6"/>
      <c r="BE456" s="2"/>
      <c r="BF456" s="6"/>
      <c r="BG456" s="58"/>
      <c r="BH456" s="6"/>
      <c r="BI456" s="2"/>
    </row>
    <row r="457" ht="12.75" customHeight="1">
      <c r="A457" s="71"/>
      <c r="B457" s="71"/>
      <c r="C457" s="11"/>
      <c r="D457" s="11"/>
      <c r="E457" s="2"/>
      <c r="F457" s="2"/>
      <c r="G457" s="2"/>
      <c r="H457" s="54"/>
      <c r="I457" s="4"/>
      <c r="J457" s="2"/>
      <c r="K457" s="2"/>
      <c r="L457" s="5"/>
      <c r="M457" s="5"/>
      <c r="N457" s="5"/>
      <c r="O457" s="5"/>
      <c r="P457" s="5"/>
      <c r="Q457" s="5"/>
      <c r="R457" s="2"/>
      <c r="S457" s="2"/>
      <c r="T457" s="2"/>
      <c r="U457" s="2"/>
      <c r="V457" s="2"/>
      <c r="W457" s="2"/>
      <c r="X457" s="6"/>
      <c r="Y457" s="2"/>
      <c r="Z457" s="2"/>
      <c r="AA457" s="2"/>
      <c r="AB457" s="2"/>
      <c r="AC457" s="6"/>
      <c r="AD457" s="2"/>
      <c r="AE457" s="2"/>
      <c r="AF457" s="2"/>
      <c r="AG457" s="2"/>
      <c r="AH457" s="2"/>
      <c r="AI457" s="6"/>
      <c r="AJ457" s="2"/>
      <c r="AK457" s="56"/>
      <c r="AL457" s="2"/>
      <c r="AM457" s="2"/>
      <c r="AN457" s="2"/>
      <c r="AO457" s="2"/>
      <c r="AP457" s="6"/>
      <c r="AQ457" s="2"/>
      <c r="AR457" s="2"/>
      <c r="AS457" s="2"/>
      <c r="AT457" s="2"/>
      <c r="AU457" s="2"/>
      <c r="AV457" s="2"/>
      <c r="AW457" s="2"/>
      <c r="AX457" s="6"/>
      <c r="AY457" s="2"/>
      <c r="AZ457" s="2"/>
      <c r="BA457" s="2"/>
      <c r="BB457" s="2"/>
      <c r="BC457" s="2"/>
      <c r="BD457" s="6"/>
      <c r="BE457" s="2"/>
      <c r="BF457" s="6"/>
      <c r="BG457" s="58"/>
      <c r="BH457" s="6"/>
      <c r="BI457" s="2"/>
    </row>
    <row r="458" ht="12.75" customHeight="1">
      <c r="A458" s="71"/>
      <c r="B458" s="71"/>
      <c r="C458" s="11"/>
      <c r="D458" s="11"/>
      <c r="E458" s="2"/>
      <c r="F458" s="2"/>
      <c r="G458" s="2"/>
      <c r="H458" s="54"/>
      <c r="I458" s="4"/>
      <c r="J458" s="2"/>
      <c r="K458" s="2"/>
      <c r="L458" s="5"/>
      <c r="M458" s="5"/>
      <c r="N458" s="5"/>
      <c r="O458" s="5"/>
      <c r="P458" s="5"/>
      <c r="Q458" s="5"/>
      <c r="R458" s="2"/>
      <c r="S458" s="2"/>
      <c r="T458" s="2"/>
      <c r="U458" s="2"/>
      <c r="V458" s="2"/>
      <c r="W458" s="2"/>
      <c r="X458" s="6"/>
      <c r="Y458" s="2"/>
      <c r="Z458" s="2"/>
      <c r="AA458" s="2"/>
      <c r="AB458" s="2"/>
      <c r="AC458" s="6"/>
      <c r="AD458" s="2"/>
      <c r="AE458" s="2"/>
      <c r="AF458" s="2"/>
      <c r="AG458" s="2"/>
      <c r="AH458" s="2"/>
      <c r="AI458" s="6"/>
      <c r="AJ458" s="2"/>
      <c r="AK458" s="56"/>
      <c r="AL458" s="2"/>
      <c r="AM458" s="2"/>
      <c r="AN458" s="2"/>
      <c r="AO458" s="2"/>
      <c r="AP458" s="6"/>
      <c r="AQ458" s="2"/>
      <c r="AR458" s="2"/>
      <c r="AS458" s="2"/>
      <c r="AT458" s="2"/>
      <c r="AU458" s="2"/>
      <c r="AV458" s="2"/>
      <c r="AW458" s="2"/>
      <c r="AX458" s="6"/>
      <c r="AY458" s="2"/>
      <c r="AZ458" s="2"/>
      <c r="BA458" s="2"/>
      <c r="BB458" s="2"/>
      <c r="BC458" s="2"/>
      <c r="BD458" s="6"/>
      <c r="BE458" s="2"/>
      <c r="BF458" s="6"/>
      <c r="BG458" s="58"/>
      <c r="BH458" s="6"/>
      <c r="BI458" s="2"/>
    </row>
    <row r="459" ht="12.75" customHeight="1">
      <c r="A459" s="71"/>
      <c r="B459" s="71"/>
      <c r="C459" s="11"/>
      <c r="D459" s="11"/>
      <c r="E459" s="2"/>
      <c r="F459" s="2"/>
      <c r="G459" s="2"/>
      <c r="H459" s="54"/>
      <c r="I459" s="4"/>
      <c r="J459" s="2"/>
      <c r="K459" s="2"/>
      <c r="L459" s="5"/>
      <c r="M459" s="5"/>
      <c r="N459" s="5"/>
      <c r="O459" s="5"/>
      <c r="P459" s="5"/>
      <c r="Q459" s="5"/>
      <c r="R459" s="2"/>
      <c r="S459" s="2"/>
      <c r="T459" s="2"/>
      <c r="U459" s="2"/>
      <c r="V459" s="2"/>
      <c r="W459" s="2"/>
      <c r="X459" s="6"/>
      <c r="Y459" s="2"/>
      <c r="Z459" s="2"/>
      <c r="AA459" s="2"/>
      <c r="AB459" s="2"/>
      <c r="AC459" s="6"/>
      <c r="AD459" s="2"/>
      <c r="AE459" s="2"/>
      <c r="AF459" s="2"/>
      <c r="AG459" s="2"/>
      <c r="AH459" s="2"/>
      <c r="AI459" s="6"/>
      <c r="AJ459" s="2"/>
      <c r="AK459" s="56"/>
      <c r="AL459" s="2"/>
      <c r="AM459" s="2"/>
      <c r="AN459" s="2"/>
      <c r="AO459" s="2"/>
      <c r="AP459" s="6"/>
      <c r="AQ459" s="2"/>
      <c r="AR459" s="2"/>
      <c r="AS459" s="2"/>
      <c r="AT459" s="2"/>
      <c r="AU459" s="2"/>
      <c r="AV459" s="2"/>
      <c r="AW459" s="2"/>
      <c r="AX459" s="6"/>
      <c r="AY459" s="2"/>
      <c r="AZ459" s="2"/>
      <c r="BA459" s="2"/>
      <c r="BB459" s="2"/>
      <c r="BC459" s="2"/>
      <c r="BD459" s="6"/>
      <c r="BE459" s="2"/>
      <c r="BF459" s="6"/>
      <c r="BG459" s="58"/>
      <c r="BH459" s="6"/>
      <c r="BI459" s="2"/>
    </row>
    <row r="460" ht="12.75" customHeight="1">
      <c r="A460" s="71"/>
      <c r="B460" s="71"/>
      <c r="C460" s="11"/>
      <c r="D460" s="11"/>
      <c r="E460" s="2"/>
      <c r="F460" s="2"/>
      <c r="G460" s="2"/>
      <c r="H460" s="54"/>
      <c r="I460" s="4"/>
      <c r="J460" s="2"/>
      <c r="K460" s="2"/>
      <c r="L460" s="5"/>
      <c r="M460" s="5"/>
      <c r="N460" s="5"/>
      <c r="O460" s="5"/>
      <c r="P460" s="5"/>
      <c r="Q460" s="5"/>
      <c r="R460" s="2"/>
      <c r="S460" s="2"/>
      <c r="T460" s="2"/>
      <c r="U460" s="2"/>
      <c r="V460" s="2"/>
      <c r="W460" s="2"/>
      <c r="X460" s="6"/>
      <c r="Y460" s="2"/>
      <c r="Z460" s="2"/>
      <c r="AA460" s="2"/>
      <c r="AB460" s="2"/>
      <c r="AC460" s="6"/>
      <c r="AD460" s="2"/>
      <c r="AE460" s="2"/>
      <c r="AF460" s="2"/>
      <c r="AG460" s="2"/>
      <c r="AH460" s="2"/>
      <c r="AI460" s="6"/>
      <c r="AJ460" s="2"/>
      <c r="AK460" s="56"/>
      <c r="AL460" s="2"/>
      <c r="AM460" s="2"/>
      <c r="AN460" s="2"/>
      <c r="AO460" s="2"/>
      <c r="AP460" s="6"/>
      <c r="AQ460" s="2"/>
      <c r="AR460" s="2"/>
      <c r="AS460" s="2"/>
      <c r="AT460" s="2"/>
      <c r="AU460" s="2"/>
      <c r="AV460" s="2"/>
      <c r="AW460" s="2"/>
      <c r="AX460" s="6"/>
      <c r="AY460" s="2"/>
      <c r="AZ460" s="2"/>
      <c r="BA460" s="2"/>
      <c r="BB460" s="2"/>
      <c r="BC460" s="2"/>
      <c r="BD460" s="6"/>
      <c r="BE460" s="2"/>
      <c r="BF460" s="6"/>
      <c r="BG460" s="58"/>
      <c r="BH460" s="6"/>
      <c r="BI460" s="2"/>
    </row>
    <row r="461" ht="12.75" customHeight="1">
      <c r="A461" s="71"/>
      <c r="B461" s="71"/>
      <c r="C461" s="11"/>
      <c r="D461" s="11"/>
      <c r="E461" s="2"/>
      <c r="F461" s="2"/>
      <c r="G461" s="2"/>
      <c r="H461" s="54"/>
      <c r="I461" s="4"/>
      <c r="J461" s="2"/>
      <c r="K461" s="2"/>
      <c r="L461" s="5"/>
      <c r="M461" s="5"/>
      <c r="N461" s="5"/>
      <c r="O461" s="5"/>
      <c r="P461" s="5"/>
      <c r="Q461" s="5"/>
      <c r="R461" s="2"/>
      <c r="S461" s="2"/>
      <c r="T461" s="2"/>
      <c r="U461" s="2"/>
      <c r="V461" s="2"/>
      <c r="W461" s="2"/>
      <c r="X461" s="6"/>
      <c r="Y461" s="2"/>
      <c r="Z461" s="2"/>
      <c r="AA461" s="2"/>
      <c r="AB461" s="2"/>
      <c r="AC461" s="6"/>
      <c r="AD461" s="2"/>
      <c r="AE461" s="2"/>
      <c r="AF461" s="2"/>
      <c r="AG461" s="2"/>
      <c r="AH461" s="2"/>
      <c r="AI461" s="6"/>
      <c r="AJ461" s="2"/>
      <c r="AK461" s="56"/>
      <c r="AL461" s="2"/>
      <c r="AM461" s="2"/>
      <c r="AN461" s="2"/>
      <c r="AO461" s="2"/>
      <c r="AP461" s="6"/>
      <c r="AQ461" s="2"/>
      <c r="AR461" s="2"/>
      <c r="AS461" s="2"/>
      <c r="AT461" s="2"/>
      <c r="AU461" s="2"/>
      <c r="AV461" s="2"/>
      <c r="AW461" s="2"/>
      <c r="AX461" s="6"/>
      <c r="AY461" s="2"/>
      <c r="AZ461" s="2"/>
      <c r="BA461" s="2"/>
      <c r="BB461" s="2"/>
      <c r="BC461" s="2"/>
      <c r="BD461" s="6"/>
      <c r="BE461" s="2"/>
      <c r="BF461" s="6"/>
      <c r="BG461" s="58"/>
      <c r="BH461" s="6"/>
      <c r="BI461" s="2"/>
    </row>
    <row r="462" ht="12.75" customHeight="1">
      <c r="A462" s="71"/>
      <c r="B462" s="71"/>
      <c r="C462" s="11"/>
      <c r="D462" s="11"/>
      <c r="E462" s="2"/>
      <c r="F462" s="2"/>
      <c r="G462" s="2"/>
      <c r="H462" s="54"/>
      <c r="I462" s="4"/>
      <c r="J462" s="2"/>
      <c r="K462" s="2"/>
      <c r="L462" s="5"/>
      <c r="M462" s="5"/>
      <c r="N462" s="5"/>
      <c r="O462" s="5"/>
      <c r="P462" s="5"/>
      <c r="Q462" s="5"/>
      <c r="R462" s="2"/>
      <c r="S462" s="2"/>
      <c r="T462" s="2"/>
      <c r="U462" s="2"/>
      <c r="V462" s="2"/>
      <c r="W462" s="2"/>
      <c r="X462" s="6"/>
      <c r="Y462" s="2"/>
      <c r="Z462" s="2"/>
      <c r="AA462" s="2"/>
      <c r="AB462" s="2"/>
      <c r="AC462" s="6"/>
      <c r="AD462" s="2"/>
      <c r="AE462" s="2"/>
      <c r="AF462" s="2"/>
      <c r="AG462" s="2"/>
      <c r="AH462" s="2"/>
      <c r="AI462" s="6"/>
      <c r="AJ462" s="2"/>
      <c r="AK462" s="56"/>
      <c r="AL462" s="2"/>
      <c r="AM462" s="2"/>
      <c r="AN462" s="2"/>
      <c r="AO462" s="2"/>
      <c r="AP462" s="6"/>
      <c r="AQ462" s="2"/>
      <c r="AR462" s="2"/>
      <c r="AS462" s="2"/>
      <c r="AT462" s="2"/>
      <c r="AU462" s="2"/>
      <c r="AV462" s="2"/>
      <c r="AW462" s="2"/>
      <c r="AX462" s="6"/>
      <c r="AY462" s="2"/>
      <c r="AZ462" s="2"/>
      <c r="BA462" s="2"/>
      <c r="BB462" s="2"/>
      <c r="BC462" s="2"/>
      <c r="BD462" s="6"/>
      <c r="BE462" s="2"/>
      <c r="BF462" s="6"/>
      <c r="BG462" s="58"/>
      <c r="BH462" s="6"/>
      <c r="BI462" s="2"/>
    </row>
    <row r="463" ht="12.75" customHeight="1">
      <c r="A463" s="71"/>
      <c r="B463" s="71"/>
      <c r="C463" s="11"/>
      <c r="D463" s="11"/>
      <c r="E463" s="2"/>
      <c r="F463" s="2"/>
      <c r="G463" s="2"/>
      <c r="H463" s="54"/>
      <c r="I463" s="4"/>
      <c r="J463" s="2"/>
      <c r="K463" s="2"/>
      <c r="L463" s="5"/>
      <c r="M463" s="5"/>
      <c r="N463" s="5"/>
      <c r="O463" s="5"/>
      <c r="P463" s="5"/>
      <c r="Q463" s="5"/>
      <c r="R463" s="2"/>
      <c r="S463" s="2"/>
      <c r="T463" s="2"/>
      <c r="U463" s="2"/>
      <c r="V463" s="2"/>
      <c r="W463" s="2"/>
      <c r="X463" s="6"/>
      <c r="Y463" s="2"/>
      <c r="Z463" s="2"/>
      <c r="AA463" s="2"/>
      <c r="AB463" s="2"/>
      <c r="AC463" s="6"/>
      <c r="AD463" s="2"/>
      <c r="AE463" s="2"/>
      <c r="AF463" s="2"/>
      <c r="AG463" s="2"/>
      <c r="AH463" s="2"/>
      <c r="AI463" s="6"/>
      <c r="AJ463" s="2"/>
      <c r="AK463" s="56"/>
      <c r="AL463" s="2"/>
      <c r="AM463" s="2"/>
      <c r="AN463" s="2"/>
      <c r="AO463" s="2"/>
      <c r="AP463" s="6"/>
      <c r="AQ463" s="2"/>
      <c r="AR463" s="2"/>
      <c r="AS463" s="2"/>
      <c r="AT463" s="2"/>
      <c r="AU463" s="2"/>
      <c r="AV463" s="2"/>
      <c r="AW463" s="2"/>
      <c r="AX463" s="6"/>
      <c r="AY463" s="2"/>
      <c r="AZ463" s="2"/>
      <c r="BA463" s="2"/>
      <c r="BB463" s="2"/>
      <c r="BC463" s="2"/>
      <c r="BD463" s="6"/>
      <c r="BE463" s="2"/>
      <c r="BF463" s="6"/>
      <c r="BG463" s="58"/>
      <c r="BH463" s="6"/>
      <c r="BI463" s="2"/>
    </row>
    <row r="464" ht="12.75" customHeight="1">
      <c r="A464" s="71"/>
      <c r="B464" s="71"/>
      <c r="C464" s="11"/>
      <c r="D464" s="11"/>
      <c r="E464" s="2"/>
      <c r="F464" s="2"/>
      <c r="G464" s="2"/>
      <c r="H464" s="54"/>
      <c r="I464" s="4"/>
      <c r="J464" s="2"/>
      <c r="K464" s="2"/>
      <c r="L464" s="5"/>
      <c r="M464" s="5"/>
      <c r="N464" s="5"/>
      <c r="O464" s="5"/>
      <c r="P464" s="5"/>
      <c r="Q464" s="5"/>
      <c r="R464" s="2"/>
      <c r="S464" s="2"/>
      <c r="T464" s="2"/>
      <c r="U464" s="2"/>
      <c r="V464" s="2"/>
      <c r="W464" s="2"/>
      <c r="X464" s="6"/>
      <c r="Y464" s="2"/>
      <c r="Z464" s="2"/>
      <c r="AA464" s="2"/>
      <c r="AB464" s="2"/>
      <c r="AC464" s="6"/>
      <c r="AD464" s="2"/>
      <c r="AE464" s="2"/>
      <c r="AF464" s="2"/>
      <c r="AG464" s="2"/>
      <c r="AH464" s="2"/>
      <c r="AI464" s="6"/>
      <c r="AJ464" s="2"/>
      <c r="AK464" s="56"/>
      <c r="AL464" s="2"/>
      <c r="AM464" s="2"/>
      <c r="AN464" s="2"/>
      <c r="AO464" s="2"/>
      <c r="AP464" s="6"/>
      <c r="AQ464" s="2"/>
      <c r="AR464" s="2"/>
      <c r="AS464" s="2"/>
      <c r="AT464" s="2"/>
      <c r="AU464" s="2"/>
      <c r="AV464" s="2"/>
      <c r="AW464" s="2"/>
      <c r="AX464" s="6"/>
      <c r="AY464" s="2"/>
      <c r="AZ464" s="2"/>
      <c r="BA464" s="2"/>
      <c r="BB464" s="2"/>
      <c r="BC464" s="2"/>
      <c r="BD464" s="6"/>
      <c r="BE464" s="2"/>
      <c r="BF464" s="6"/>
      <c r="BG464" s="58"/>
      <c r="BH464" s="6"/>
      <c r="BI464" s="2"/>
    </row>
    <row r="465" ht="12.75" customHeight="1">
      <c r="A465" s="71"/>
      <c r="B465" s="71"/>
      <c r="C465" s="11"/>
      <c r="D465" s="11"/>
      <c r="E465" s="2"/>
      <c r="F465" s="2"/>
      <c r="G465" s="2"/>
      <c r="H465" s="54"/>
      <c r="I465" s="4"/>
      <c r="J465" s="2"/>
      <c r="K465" s="2"/>
      <c r="L465" s="5"/>
      <c r="M465" s="5"/>
      <c r="N465" s="5"/>
      <c r="O465" s="5"/>
      <c r="P465" s="5"/>
      <c r="Q465" s="5"/>
      <c r="R465" s="2"/>
      <c r="S465" s="2"/>
      <c r="T465" s="2"/>
      <c r="U465" s="2"/>
      <c r="V465" s="2"/>
      <c r="W465" s="2"/>
      <c r="X465" s="6"/>
      <c r="Y465" s="2"/>
      <c r="Z465" s="2"/>
      <c r="AA465" s="2"/>
      <c r="AB465" s="2"/>
      <c r="AC465" s="6"/>
      <c r="AD465" s="2"/>
      <c r="AE465" s="2"/>
      <c r="AF465" s="2"/>
      <c r="AG465" s="2"/>
      <c r="AH465" s="2"/>
      <c r="AI465" s="6"/>
      <c r="AJ465" s="2"/>
      <c r="AK465" s="56"/>
      <c r="AL465" s="2"/>
      <c r="AM465" s="2"/>
      <c r="AN465" s="2"/>
      <c r="AO465" s="2"/>
      <c r="AP465" s="6"/>
      <c r="AQ465" s="2"/>
      <c r="AR465" s="2"/>
      <c r="AS465" s="2"/>
      <c r="AT465" s="2"/>
      <c r="AU465" s="2"/>
      <c r="AV465" s="2"/>
      <c r="AW465" s="2"/>
      <c r="AX465" s="6"/>
      <c r="AY465" s="2"/>
      <c r="AZ465" s="2"/>
      <c r="BA465" s="2"/>
      <c r="BB465" s="2"/>
      <c r="BC465" s="2"/>
      <c r="BD465" s="6"/>
      <c r="BE465" s="2"/>
      <c r="BF465" s="6"/>
      <c r="BG465" s="58"/>
      <c r="BH465" s="6"/>
      <c r="BI465" s="2"/>
    </row>
    <row r="466" ht="12.75" customHeight="1">
      <c r="A466" s="71"/>
      <c r="B466" s="71"/>
      <c r="C466" s="11"/>
      <c r="D466" s="11"/>
      <c r="E466" s="2"/>
      <c r="F466" s="2"/>
      <c r="G466" s="2"/>
      <c r="H466" s="54"/>
      <c r="I466" s="4"/>
      <c r="J466" s="2"/>
      <c r="K466" s="2"/>
      <c r="L466" s="5"/>
      <c r="M466" s="5"/>
      <c r="N466" s="5"/>
      <c r="O466" s="5"/>
      <c r="P466" s="5"/>
      <c r="Q466" s="5"/>
      <c r="R466" s="2"/>
      <c r="S466" s="2"/>
      <c r="T466" s="2"/>
      <c r="U466" s="2"/>
      <c r="V466" s="2"/>
      <c r="W466" s="2"/>
      <c r="X466" s="6"/>
      <c r="Y466" s="2"/>
      <c r="Z466" s="2"/>
      <c r="AA466" s="2"/>
      <c r="AB466" s="2"/>
      <c r="AC466" s="6"/>
      <c r="AD466" s="2"/>
      <c r="AE466" s="2"/>
      <c r="AF466" s="2"/>
      <c r="AG466" s="2"/>
      <c r="AH466" s="2"/>
      <c r="AI466" s="6"/>
      <c r="AJ466" s="2"/>
      <c r="AK466" s="56"/>
      <c r="AL466" s="2"/>
      <c r="AM466" s="2"/>
      <c r="AN466" s="2"/>
      <c r="AO466" s="2"/>
      <c r="AP466" s="6"/>
      <c r="AQ466" s="2"/>
      <c r="AR466" s="2"/>
      <c r="AS466" s="2"/>
      <c r="AT466" s="2"/>
      <c r="AU466" s="2"/>
      <c r="AV466" s="2"/>
      <c r="AW466" s="2"/>
      <c r="AX466" s="6"/>
      <c r="AY466" s="2"/>
      <c r="AZ466" s="2"/>
      <c r="BA466" s="2"/>
      <c r="BB466" s="2"/>
      <c r="BC466" s="2"/>
      <c r="BD466" s="6"/>
      <c r="BE466" s="2"/>
      <c r="BF466" s="6"/>
      <c r="BG466" s="58"/>
      <c r="BH466" s="6"/>
      <c r="BI466" s="2"/>
    </row>
    <row r="467" ht="12.75" customHeight="1">
      <c r="A467" s="71"/>
      <c r="B467" s="71"/>
      <c r="C467" s="11"/>
      <c r="D467" s="11"/>
      <c r="E467" s="2"/>
      <c r="F467" s="2"/>
      <c r="G467" s="2"/>
      <c r="H467" s="54"/>
      <c r="I467" s="4"/>
      <c r="J467" s="2"/>
      <c r="K467" s="2"/>
      <c r="L467" s="5"/>
      <c r="M467" s="5"/>
      <c r="N467" s="5"/>
      <c r="O467" s="5"/>
      <c r="P467" s="5"/>
      <c r="Q467" s="5"/>
      <c r="R467" s="2"/>
      <c r="S467" s="2"/>
      <c r="T467" s="2"/>
      <c r="U467" s="2"/>
      <c r="V467" s="2"/>
      <c r="W467" s="2"/>
      <c r="X467" s="6"/>
      <c r="Y467" s="2"/>
      <c r="Z467" s="2"/>
      <c r="AA467" s="2"/>
      <c r="AB467" s="2"/>
      <c r="AC467" s="6"/>
      <c r="AD467" s="2"/>
      <c r="AE467" s="2"/>
      <c r="AF467" s="2"/>
      <c r="AG467" s="2"/>
      <c r="AH467" s="2"/>
      <c r="AI467" s="6"/>
      <c r="AJ467" s="2"/>
      <c r="AK467" s="56"/>
      <c r="AL467" s="2"/>
      <c r="AM467" s="2"/>
      <c r="AN467" s="2"/>
      <c r="AO467" s="2"/>
      <c r="AP467" s="6"/>
      <c r="AQ467" s="2"/>
      <c r="AR467" s="2"/>
      <c r="AS467" s="2"/>
      <c r="AT467" s="2"/>
      <c r="AU467" s="2"/>
      <c r="AV467" s="2"/>
      <c r="AW467" s="2"/>
      <c r="AX467" s="6"/>
      <c r="AY467" s="2"/>
      <c r="AZ467" s="2"/>
      <c r="BA467" s="2"/>
      <c r="BB467" s="2"/>
      <c r="BC467" s="2"/>
      <c r="BD467" s="6"/>
      <c r="BE467" s="2"/>
      <c r="BF467" s="6"/>
      <c r="BG467" s="58"/>
      <c r="BH467" s="6"/>
      <c r="BI467" s="2"/>
    </row>
    <row r="468" ht="12.75" customHeight="1">
      <c r="A468" s="71"/>
      <c r="B468" s="71"/>
      <c r="C468" s="11"/>
      <c r="D468" s="11"/>
      <c r="E468" s="2"/>
      <c r="F468" s="2"/>
      <c r="G468" s="2"/>
      <c r="H468" s="54"/>
      <c r="I468" s="4"/>
      <c r="J468" s="2"/>
      <c r="K468" s="2"/>
      <c r="L468" s="5"/>
      <c r="M468" s="5"/>
      <c r="N468" s="5"/>
      <c r="O468" s="5"/>
      <c r="P468" s="5"/>
      <c r="Q468" s="5"/>
      <c r="R468" s="2"/>
      <c r="S468" s="2"/>
      <c r="T468" s="2"/>
      <c r="U468" s="2"/>
      <c r="V468" s="2"/>
      <c r="W468" s="2"/>
      <c r="X468" s="6"/>
      <c r="Y468" s="2"/>
      <c r="Z468" s="2"/>
      <c r="AA468" s="2"/>
      <c r="AB468" s="2"/>
      <c r="AC468" s="6"/>
      <c r="AD468" s="2"/>
      <c r="AE468" s="2"/>
      <c r="AF468" s="2"/>
      <c r="AG468" s="2"/>
      <c r="AH468" s="2"/>
      <c r="AI468" s="6"/>
      <c r="AJ468" s="2"/>
      <c r="AK468" s="56"/>
      <c r="AL468" s="2"/>
      <c r="AM468" s="2"/>
      <c r="AN468" s="2"/>
      <c r="AO468" s="2"/>
      <c r="AP468" s="6"/>
      <c r="AQ468" s="2"/>
      <c r="AR468" s="2"/>
      <c r="AS468" s="2"/>
      <c r="AT468" s="2"/>
      <c r="AU468" s="2"/>
      <c r="AV468" s="2"/>
      <c r="AW468" s="2"/>
      <c r="AX468" s="6"/>
      <c r="AY468" s="2"/>
      <c r="AZ468" s="2"/>
      <c r="BA468" s="2"/>
      <c r="BB468" s="2"/>
      <c r="BC468" s="2"/>
      <c r="BD468" s="6"/>
      <c r="BE468" s="2"/>
      <c r="BF468" s="6"/>
      <c r="BG468" s="58"/>
      <c r="BH468" s="6"/>
      <c r="BI468" s="2"/>
    </row>
    <row r="469" ht="12.75" customHeight="1">
      <c r="A469" s="71"/>
      <c r="B469" s="71"/>
      <c r="C469" s="11"/>
      <c r="D469" s="11"/>
      <c r="E469" s="2"/>
      <c r="F469" s="2"/>
      <c r="G469" s="2"/>
      <c r="H469" s="54"/>
      <c r="I469" s="4"/>
      <c r="J469" s="2"/>
      <c r="K469" s="2"/>
      <c r="L469" s="5"/>
      <c r="M469" s="5"/>
      <c r="N469" s="5"/>
      <c r="O469" s="5"/>
      <c r="P469" s="5"/>
      <c r="Q469" s="5"/>
      <c r="R469" s="2"/>
      <c r="S469" s="2"/>
      <c r="T469" s="2"/>
      <c r="U469" s="2"/>
      <c r="V469" s="2"/>
      <c r="W469" s="2"/>
      <c r="X469" s="6"/>
      <c r="Y469" s="2"/>
      <c r="Z469" s="2"/>
      <c r="AA469" s="2"/>
      <c r="AB469" s="2"/>
      <c r="AC469" s="6"/>
      <c r="AD469" s="2"/>
      <c r="AE469" s="2"/>
      <c r="AF469" s="2"/>
      <c r="AG469" s="2"/>
      <c r="AH469" s="2"/>
      <c r="AI469" s="6"/>
      <c r="AJ469" s="2"/>
      <c r="AK469" s="56"/>
      <c r="AL469" s="2"/>
      <c r="AM469" s="2"/>
      <c r="AN469" s="2"/>
      <c r="AO469" s="2"/>
      <c r="AP469" s="6"/>
      <c r="AQ469" s="2"/>
      <c r="AR469" s="2"/>
      <c r="AS469" s="2"/>
      <c r="AT469" s="2"/>
      <c r="AU469" s="2"/>
      <c r="AV469" s="2"/>
      <c r="AW469" s="2"/>
      <c r="AX469" s="6"/>
      <c r="AY469" s="2"/>
      <c r="AZ469" s="2"/>
      <c r="BA469" s="2"/>
      <c r="BB469" s="2"/>
      <c r="BC469" s="2"/>
      <c r="BD469" s="6"/>
      <c r="BE469" s="2"/>
      <c r="BF469" s="6"/>
      <c r="BG469" s="58"/>
      <c r="BH469" s="6"/>
      <c r="BI469" s="2"/>
    </row>
    <row r="470" ht="12.75" customHeight="1">
      <c r="A470" s="71"/>
      <c r="B470" s="71"/>
      <c r="C470" s="11"/>
      <c r="D470" s="11"/>
      <c r="E470" s="2"/>
      <c r="F470" s="2"/>
      <c r="G470" s="2"/>
      <c r="H470" s="54"/>
      <c r="I470" s="4"/>
      <c r="J470" s="2"/>
      <c r="K470" s="2"/>
      <c r="L470" s="5"/>
      <c r="M470" s="5"/>
      <c r="N470" s="5"/>
      <c r="O470" s="5"/>
      <c r="P470" s="5"/>
      <c r="Q470" s="5"/>
      <c r="R470" s="2"/>
      <c r="S470" s="2"/>
      <c r="T470" s="2"/>
      <c r="U470" s="2"/>
      <c r="V470" s="2"/>
      <c r="W470" s="2"/>
      <c r="X470" s="6"/>
      <c r="Y470" s="2"/>
      <c r="Z470" s="2"/>
      <c r="AA470" s="2"/>
      <c r="AB470" s="2"/>
      <c r="AC470" s="6"/>
      <c r="AD470" s="2"/>
      <c r="AE470" s="2"/>
      <c r="AF470" s="2"/>
      <c r="AG470" s="2"/>
      <c r="AH470" s="2"/>
      <c r="AI470" s="6"/>
      <c r="AJ470" s="2"/>
      <c r="AK470" s="56"/>
      <c r="AL470" s="2"/>
      <c r="AM470" s="2"/>
      <c r="AN470" s="2"/>
      <c r="AO470" s="2"/>
      <c r="AP470" s="6"/>
      <c r="AQ470" s="2"/>
      <c r="AR470" s="2"/>
      <c r="AS470" s="2"/>
      <c r="AT470" s="2"/>
      <c r="AU470" s="2"/>
      <c r="AV470" s="2"/>
      <c r="AW470" s="2"/>
      <c r="AX470" s="6"/>
      <c r="AY470" s="2"/>
      <c r="AZ470" s="2"/>
      <c r="BA470" s="2"/>
      <c r="BB470" s="2"/>
      <c r="BC470" s="2"/>
      <c r="BD470" s="6"/>
      <c r="BE470" s="2"/>
      <c r="BF470" s="6"/>
      <c r="BG470" s="58"/>
      <c r="BH470" s="6"/>
      <c r="BI470" s="2"/>
    </row>
    <row r="471" ht="12.75" customHeight="1">
      <c r="A471" s="71"/>
      <c r="B471" s="71"/>
      <c r="C471" s="11"/>
      <c r="D471" s="11"/>
      <c r="E471" s="2"/>
      <c r="F471" s="2"/>
      <c r="G471" s="2"/>
      <c r="H471" s="54"/>
      <c r="I471" s="4"/>
      <c r="J471" s="2"/>
      <c r="K471" s="2"/>
      <c r="L471" s="5"/>
      <c r="M471" s="5"/>
      <c r="N471" s="5"/>
      <c r="O471" s="5"/>
      <c r="P471" s="5"/>
      <c r="Q471" s="5"/>
      <c r="R471" s="2"/>
      <c r="S471" s="2"/>
      <c r="T471" s="2"/>
      <c r="U471" s="2"/>
      <c r="V471" s="2"/>
      <c r="W471" s="2"/>
      <c r="X471" s="6"/>
      <c r="Y471" s="2"/>
      <c r="Z471" s="2"/>
      <c r="AA471" s="2"/>
      <c r="AB471" s="2"/>
      <c r="AC471" s="6"/>
      <c r="AD471" s="2"/>
      <c r="AE471" s="2"/>
      <c r="AF471" s="2"/>
      <c r="AG471" s="2"/>
      <c r="AH471" s="2"/>
      <c r="AI471" s="6"/>
      <c r="AJ471" s="2"/>
      <c r="AK471" s="56"/>
      <c r="AL471" s="2"/>
      <c r="AM471" s="2"/>
      <c r="AN471" s="2"/>
      <c r="AO471" s="2"/>
      <c r="AP471" s="6"/>
      <c r="AQ471" s="2"/>
      <c r="AR471" s="2"/>
      <c r="AS471" s="2"/>
      <c r="AT471" s="2"/>
      <c r="AU471" s="2"/>
      <c r="AV471" s="2"/>
      <c r="AW471" s="2"/>
      <c r="AX471" s="6"/>
      <c r="AY471" s="2"/>
      <c r="AZ471" s="2"/>
      <c r="BA471" s="2"/>
      <c r="BB471" s="2"/>
      <c r="BC471" s="2"/>
      <c r="BD471" s="6"/>
      <c r="BE471" s="2"/>
      <c r="BF471" s="6"/>
      <c r="BG471" s="58"/>
      <c r="BH471" s="6"/>
      <c r="BI471" s="2"/>
    </row>
    <row r="472" ht="12.75" customHeight="1">
      <c r="A472" s="71"/>
      <c r="B472" s="71"/>
      <c r="C472" s="11"/>
      <c r="D472" s="11"/>
      <c r="E472" s="2"/>
      <c r="F472" s="2"/>
      <c r="G472" s="2"/>
      <c r="H472" s="54"/>
      <c r="I472" s="4"/>
      <c r="J472" s="2"/>
      <c r="K472" s="2"/>
      <c r="L472" s="5"/>
      <c r="M472" s="5"/>
      <c r="N472" s="5"/>
      <c r="O472" s="5"/>
      <c r="P472" s="5"/>
      <c r="Q472" s="5"/>
      <c r="R472" s="2"/>
      <c r="S472" s="2"/>
      <c r="T472" s="2"/>
      <c r="U472" s="2"/>
      <c r="V472" s="2"/>
      <c r="W472" s="2"/>
      <c r="X472" s="6"/>
      <c r="Y472" s="2"/>
      <c r="Z472" s="2"/>
      <c r="AA472" s="2"/>
      <c r="AB472" s="2"/>
      <c r="AC472" s="6"/>
      <c r="AD472" s="2"/>
      <c r="AE472" s="2"/>
      <c r="AF472" s="2"/>
      <c r="AG472" s="2"/>
      <c r="AH472" s="2"/>
      <c r="AI472" s="6"/>
      <c r="AJ472" s="2"/>
      <c r="AK472" s="56"/>
      <c r="AL472" s="2"/>
      <c r="AM472" s="2"/>
      <c r="AN472" s="2"/>
      <c r="AO472" s="2"/>
      <c r="AP472" s="6"/>
      <c r="AQ472" s="2"/>
      <c r="AR472" s="2"/>
      <c r="AS472" s="2"/>
      <c r="AT472" s="2"/>
      <c r="AU472" s="2"/>
      <c r="AV472" s="2"/>
      <c r="AW472" s="2"/>
      <c r="AX472" s="6"/>
      <c r="AY472" s="2"/>
      <c r="AZ472" s="2"/>
      <c r="BA472" s="2"/>
      <c r="BB472" s="2"/>
      <c r="BC472" s="2"/>
      <c r="BD472" s="6"/>
      <c r="BE472" s="2"/>
      <c r="BF472" s="6"/>
      <c r="BG472" s="58"/>
      <c r="BH472" s="6"/>
      <c r="BI472" s="2"/>
    </row>
    <row r="473" ht="12.75" customHeight="1">
      <c r="A473" s="71"/>
      <c r="B473" s="71"/>
      <c r="C473" s="11"/>
      <c r="D473" s="11"/>
      <c r="E473" s="2"/>
      <c r="F473" s="2"/>
      <c r="G473" s="2"/>
      <c r="H473" s="54"/>
      <c r="I473" s="4"/>
      <c r="J473" s="2"/>
      <c r="K473" s="2"/>
      <c r="L473" s="5"/>
      <c r="M473" s="5"/>
      <c r="N473" s="5"/>
      <c r="O473" s="5"/>
      <c r="P473" s="5"/>
      <c r="Q473" s="5"/>
      <c r="R473" s="2"/>
      <c r="S473" s="2"/>
      <c r="T473" s="2"/>
      <c r="U473" s="2"/>
      <c r="V473" s="2"/>
      <c r="W473" s="2"/>
      <c r="X473" s="6"/>
      <c r="Y473" s="2"/>
      <c r="Z473" s="2"/>
      <c r="AA473" s="2"/>
      <c r="AB473" s="2"/>
      <c r="AC473" s="6"/>
      <c r="AD473" s="2"/>
      <c r="AE473" s="2"/>
      <c r="AF473" s="2"/>
      <c r="AG473" s="2"/>
      <c r="AH473" s="2"/>
      <c r="AI473" s="6"/>
      <c r="AJ473" s="2"/>
      <c r="AK473" s="56"/>
      <c r="AL473" s="2"/>
      <c r="AM473" s="2"/>
      <c r="AN473" s="2"/>
      <c r="AO473" s="2"/>
      <c r="AP473" s="6"/>
      <c r="AQ473" s="2"/>
      <c r="AR473" s="2"/>
      <c r="AS473" s="2"/>
      <c r="AT473" s="2"/>
      <c r="AU473" s="2"/>
      <c r="AV473" s="2"/>
      <c r="AW473" s="2"/>
      <c r="AX473" s="6"/>
      <c r="AY473" s="2"/>
      <c r="AZ473" s="2"/>
      <c r="BA473" s="2"/>
      <c r="BB473" s="2"/>
      <c r="BC473" s="2"/>
      <c r="BD473" s="6"/>
      <c r="BE473" s="2"/>
      <c r="BF473" s="6"/>
      <c r="BG473" s="58"/>
      <c r="BH473" s="6"/>
      <c r="BI473" s="2"/>
    </row>
    <row r="474" ht="12.75" customHeight="1">
      <c r="A474" s="71"/>
      <c r="B474" s="71"/>
      <c r="C474" s="11"/>
      <c r="D474" s="11"/>
      <c r="E474" s="2"/>
      <c r="F474" s="2"/>
      <c r="G474" s="2"/>
      <c r="H474" s="54"/>
      <c r="I474" s="4"/>
      <c r="J474" s="2"/>
      <c r="K474" s="2"/>
      <c r="L474" s="5"/>
      <c r="M474" s="5"/>
      <c r="N474" s="5"/>
      <c r="O474" s="5"/>
      <c r="P474" s="5"/>
      <c r="Q474" s="5"/>
      <c r="R474" s="2"/>
      <c r="S474" s="2"/>
      <c r="T474" s="2"/>
      <c r="U474" s="2"/>
      <c r="V474" s="2"/>
      <c r="W474" s="2"/>
      <c r="X474" s="6"/>
      <c r="Y474" s="2"/>
      <c r="Z474" s="2"/>
      <c r="AA474" s="2"/>
      <c r="AB474" s="2"/>
      <c r="AC474" s="6"/>
      <c r="AD474" s="2"/>
      <c r="AE474" s="2"/>
      <c r="AF474" s="2"/>
      <c r="AG474" s="2"/>
      <c r="AH474" s="2"/>
      <c r="AI474" s="6"/>
      <c r="AJ474" s="2"/>
      <c r="AK474" s="56"/>
      <c r="AL474" s="2"/>
      <c r="AM474" s="2"/>
      <c r="AN474" s="2"/>
      <c r="AO474" s="2"/>
      <c r="AP474" s="6"/>
      <c r="AQ474" s="2"/>
      <c r="AR474" s="2"/>
      <c r="AS474" s="2"/>
      <c r="AT474" s="2"/>
      <c r="AU474" s="2"/>
      <c r="AV474" s="2"/>
      <c r="AW474" s="2"/>
      <c r="AX474" s="6"/>
      <c r="AY474" s="2"/>
      <c r="AZ474" s="2"/>
      <c r="BA474" s="2"/>
      <c r="BB474" s="2"/>
      <c r="BC474" s="2"/>
      <c r="BD474" s="6"/>
      <c r="BE474" s="2"/>
      <c r="BF474" s="6"/>
      <c r="BG474" s="58"/>
      <c r="BH474" s="6"/>
      <c r="BI474" s="2"/>
    </row>
    <row r="475" ht="12.75" customHeight="1">
      <c r="A475" s="71"/>
      <c r="B475" s="71"/>
      <c r="C475" s="11"/>
      <c r="D475" s="11"/>
      <c r="E475" s="2"/>
      <c r="F475" s="2"/>
      <c r="G475" s="2"/>
      <c r="H475" s="54"/>
      <c r="I475" s="4"/>
      <c r="J475" s="2"/>
      <c r="K475" s="2"/>
      <c r="L475" s="5"/>
      <c r="M475" s="5"/>
      <c r="N475" s="5"/>
      <c r="O475" s="5"/>
      <c r="P475" s="5"/>
      <c r="Q475" s="5"/>
      <c r="R475" s="2"/>
      <c r="S475" s="2"/>
      <c r="T475" s="2"/>
      <c r="U475" s="2"/>
      <c r="V475" s="2"/>
      <c r="W475" s="2"/>
      <c r="X475" s="6"/>
      <c r="Y475" s="2"/>
      <c r="Z475" s="2"/>
      <c r="AA475" s="2"/>
      <c r="AB475" s="2"/>
      <c r="AC475" s="6"/>
      <c r="AD475" s="2"/>
      <c r="AE475" s="2"/>
      <c r="AF475" s="2"/>
      <c r="AG475" s="2"/>
      <c r="AH475" s="2"/>
      <c r="AI475" s="6"/>
      <c r="AJ475" s="2"/>
      <c r="AK475" s="56"/>
      <c r="AL475" s="2"/>
      <c r="AM475" s="2"/>
      <c r="AN475" s="2"/>
      <c r="AO475" s="2"/>
      <c r="AP475" s="6"/>
      <c r="AQ475" s="2"/>
      <c r="AR475" s="2"/>
      <c r="AS475" s="2"/>
      <c r="AT475" s="2"/>
      <c r="AU475" s="2"/>
      <c r="AV475" s="2"/>
      <c r="AW475" s="2"/>
      <c r="AX475" s="6"/>
      <c r="AY475" s="2"/>
      <c r="AZ475" s="2"/>
      <c r="BA475" s="2"/>
      <c r="BB475" s="2"/>
      <c r="BC475" s="2"/>
      <c r="BD475" s="6"/>
      <c r="BE475" s="2"/>
      <c r="BF475" s="6"/>
      <c r="BG475" s="58"/>
      <c r="BH475" s="6"/>
      <c r="BI475" s="2"/>
    </row>
    <row r="476" ht="12.75" customHeight="1">
      <c r="A476" s="71"/>
      <c r="B476" s="71"/>
      <c r="C476" s="11"/>
      <c r="D476" s="11"/>
      <c r="E476" s="2"/>
      <c r="F476" s="2"/>
      <c r="G476" s="2"/>
      <c r="H476" s="54"/>
      <c r="I476" s="4"/>
      <c r="J476" s="2"/>
      <c r="K476" s="2"/>
      <c r="L476" s="5"/>
      <c r="M476" s="5"/>
      <c r="N476" s="5"/>
      <c r="O476" s="5"/>
      <c r="P476" s="5"/>
      <c r="Q476" s="5"/>
      <c r="R476" s="2"/>
      <c r="S476" s="2"/>
      <c r="T476" s="2"/>
      <c r="U476" s="2"/>
      <c r="V476" s="2"/>
      <c r="W476" s="2"/>
      <c r="X476" s="6"/>
      <c r="Y476" s="2"/>
      <c r="Z476" s="2"/>
      <c r="AA476" s="2"/>
      <c r="AB476" s="2"/>
      <c r="AC476" s="6"/>
      <c r="AD476" s="2"/>
      <c r="AE476" s="2"/>
      <c r="AF476" s="2"/>
      <c r="AG476" s="2"/>
      <c r="AH476" s="2"/>
      <c r="AI476" s="6"/>
      <c r="AJ476" s="2"/>
      <c r="AK476" s="56"/>
      <c r="AL476" s="2"/>
      <c r="AM476" s="2"/>
      <c r="AN476" s="2"/>
      <c r="AO476" s="2"/>
      <c r="AP476" s="6"/>
      <c r="AQ476" s="2"/>
      <c r="AR476" s="2"/>
      <c r="AS476" s="2"/>
      <c r="AT476" s="2"/>
      <c r="AU476" s="2"/>
      <c r="AV476" s="2"/>
      <c r="AW476" s="2"/>
      <c r="AX476" s="6"/>
      <c r="AY476" s="2"/>
      <c r="AZ476" s="2"/>
      <c r="BA476" s="2"/>
      <c r="BB476" s="2"/>
      <c r="BC476" s="2"/>
      <c r="BD476" s="6"/>
      <c r="BE476" s="2"/>
      <c r="BF476" s="6"/>
      <c r="BG476" s="58"/>
      <c r="BH476" s="6"/>
      <c r="BI476" s="2"/>
    </row>
    <row r="477" ht="12.75" customHeight="1">
      <c r="A477" s="71"/>
      <c r="B477" s="71"/>
      <c r="C477" s="11"/>
      <c r="D477" s="11"/>
      <c r="E477" s="2"/>
      <c r="F477" s="2"/>
      <c r="G477" s="2"/>
      <c r="H477" s="54"/>
      <c r="I477" s="4"/>
      <c r="J477" s="2"/>
      <c r="K477" s="2"/>
      <c r="L477" s="5"/>
      <c r="M477" s="5"/>
      <c r="N477" s="5"/>
      <c r="O477" s="5"/>
      <c r="P477" s="5"/>
      <c r="Q477" s="5"/>
      <c r="R477" s="2"/>
      <c r="S477" s="2"/>
      <c r="T477" s="2"/>
      <c r="U477" s="2"/>
      <c r="V477" s="2"/>
      <c r="W477" s="2"/>
      <c r="X477" s="6"/>
      <c r="Y477" s="2"/>
      <c r="Z477" s="2"/>
      <c r="AA477" s="2"/>
      <c r="AB477" s="2"/>
      <c r="AC477" s="6"/>
      <c r="AD477" s="2"/>
      <c r="AE477" s="2"/>
      <c r="AF477" s="2"/>
      <c r="AG477" s="2"/>
      <c r="AH477" s="2"/>
      <c r="AI477" s="6"/>
      <c r="AJ477" s="2"/>
      <c r="AK477" s="56"/>
      <c r="AL477" s="2"/>
      <c r="AM477" s="2"/>
      <c r="AN477" s="2"/>
      <c r="AO477" s="2"/>
      <c r="AP477" s="6"/>
      <c r="AQ477" s="2"/>
      <c r="AR477" s="2"/>
      <c r="AS477" s="2"/>
      <c r="AT477" s="2"/>
      <c r="AU477" s="2"/>
      <c r="AV477" s="2"/>
      <c r="AW477" s="2"/>
      <c r="AX477" s="6"/>
      <c r="AY477" s="2"/>
      <c r="AZ477" s="2"/>
      <c r="BA477" s="2"/>
      <c r="BB477" s="2"/>
      <c r="BC477" s="2"/>
      <c r="BD477" s="6"/>
      <c r="BE477" s="2"/>
      <c r="BF477" s="6"/>
      <c r="BG477" s="58"/>
      <c r="BH477" s="6"/>
      <c r="BI477" s="2"/>
    </row>
    <row r="478" ht="12.75" customHeight="1">
      <c r="A478" s="71"/>
      <c r="B478" s="71"/>
      <c r="C478" s="11"/>
      <c r="D478" s="11"/>
      <c r="E478" s="2"/>
      <c r="F478" s="2"/>
      <c r="G478" s="2"/>
      <c r="H478" s="54"/>
      <c r="I478" s="4"/>
      <c r="J478" s="2"/>
      <c r="K478" s="2"/>
      <c r="L478" s="5"/>
      <c r="M478" s="5"/>
      <c r="N478" s="5"/>
      <c r="O478" s="5"/>
      <c r="P478" s="5"/>
      <c r="Q478" s="5"/>
      <c r="R478" s="2"/>
      <c r="S478" s="2"/>
      <c r="T478" s="2"/>
      <c r="U478" s="2"/>
      <c r="V478" s="2"/>
      <c r="W478" s="2"/>
      <c r="X478" s="6"/>
      <c r="Y478" s="2"/>
      <c r="Z478" s="2"/>
      <c r="AA478" s="2"/>
      <c r="AB478" s="2"/>
      <c r="AC478" s="6"/>
      <c r="AD478" s="2"/>
      <c r="AE478" s="2"/>
      <c r="AF478" s="2"/>
      <c r="AG478" s="2"/>
      <c r="AH478" s="2"/>
      <c r="AI478" s="6"/>
      <c r="AJ478" s="2"/>
      <c r="AK478" s="56"/>
      <c r="AL478" s="2"/>
      <c r="AM478" s="2"/>
      <c r="AN478" s="2"/>
      <c r="AO478" s="2"/>
      <c r="AP478" s="6"/>
      <c r="AQ478" s="2"/>
      <c r="AR478" s="2"/>
      <c r="AS478" s="2"/>
      <c r="AT478" s="2"/>
      <c r="AU478" s="2"/>
      <c r="AV478" s="2"/>
      <c r="AW478" s="2"/>
      <c r="AX478" s="6"/>
      <c r="AY478" s="2"/>
      <c r="AZ478" s="2"/>
      <c r="BA478" s="2"/>
      <c r="BB478" s="2"/>
      <c r="BC478" s="2"/>
      <c r="BD478" s="6"/>
      <c r="BE478" s="2"/>
      <c r="BF478" s="6"/>
      <c r="BG478" s="58"/>
      <c r="BH478" s="6"/>
      <c r="BI478" s="2"/>
    </row>
    <row r="479" ht="12.75" customHeight="1">
      <c r="A479" s="71"/>
      <c r="B479" s="71"/>
      <c r="C479" s="11"/>
      <c r="D479" s="11"/>
      <c r="E479" s="2"/>
      <c r="F479" s="2"/>
      <c r="G479" s="2"/>
      <c r="H479" s="54"/>
      <c r="I479" s="4"/>
      <c r="J479" s="2"/>
      <c r="K479" s="2"/>
      <c r="L479" s="5"/>
      <c r="M479" s="5"/>
      <c r="N479" s="5"/>
      <c r="O479" s="5"/>
      <c r="P479" s="5"/>
      <c r="Q479" s="5"/>
      <c r="R479" s="2"/>
      <c r="S479" s="2"/>
      <c r="T479" s="2"/>
      <c r="U479" s="2"/>
      <c r="V479" s="2"/>
      <c r="W479" s="2"/>
      <c r="X479" s="6"/>
      <c r="Y479" s="2"/>
      <c r="Z479" s="2"/>
      <c r="AA479" s="2"/>
      <c r="AB479" s="2"/>
      <c r="AC479" s="6"/>
      <c r="AD479" s="2"/>
      <c r="AE479" s="2"/>
      <c r="AF479" s="2"/>
      <c r="AG479" s="2"/>
      <c r="AH479" s="2"/>
      <c r="AI479" s="6"/>
      <c r="AJ479" s="2"/>
      <c r="AK479" s="56"/>
      <c r="AL479" s="2"/>
      <c r="AM479" s="2"/>
      <c r="AN479" s="2"/>
      <c r="AO479" s="2"/>
      <c r="AP479" s="6"/>
      <c r="AQ479" s="2"/>
      <c r="AR479" s="2"/>
      <c r="AS479" s="2"/>
      <c r="AT479" s="2"/>
      <c r="AU479" s="2"/>
      <c r="AV479" s="2"/>
      <c r="AW479" s="2"/>
      <c r="AX479" s="6"/>
      <c r="AY479" s="2"/>
      <c r="AZ479" s="2"/>
      <c r="BA479" s="2"/>
      <c r="BB479" s="2"/>
      <c r="BC479" s="2"/>
      <c r="BD479" s="6"/>
      <c r="BE479" s="2"/>
      <c r="BF479" s="6"/>
      <c r="BG479" s="58"/>
      <c r="BH479" s="6"/>
      <c r="BI479" s="2"/>
    </row>
    <row r="480" ht="12.75" customHeight="1">
      <c r="A480" s="71"/>
      <c r="B480" s="71"/>
      <c r="C480" s="11"/>
      <c r="D480" s="11"/>
      <c r="E480" s="2"/>
      <c r="F480" s="2"/>
      <c r="G480" s="2"/>
      <c r="H480" s="54"/>
      <c r="I480" s="4"/>
      <c r="J480" s="2"/>
      <c r="K480" s="2"/>
      <c r="L480" s="5"/>
      <c r="M480" s="5"/>
      <c r="N480" s="5"/>
      <c r="O480" s="5"/>
      <c r="P480" s="5"/>
      <c r="Q480" s="5"/>
      <c r="R480" s="2"/>
      <c r="S480" s="2"/>
      <c r="T480" s="2"/>
      <c r="U480" s="2"/>
      <c r="V480" s="2"/>
      <c r="W480" s="2"/>
      <c r="X480" s="6"/>
      <c r="Y480" s="2"/>
      <c r="Z480" s="2"/>
      <c r="AA480" s="2"/>
      <c r="AB480" s="2"/>
      <c r="AC480" s="6"/>
      <c r="AD480" s="2"/>
      <c r="AE480" s="2"/>
      <c r="AF480" s="2"/>
      <c r="AG480" s="2"/>
      <c r="AH480" s="2"/>
      <c r="AI480" s="6"/>
      <c r="AJ480" s="2"/>
      <c r="AK480" s="56"/>
      <c r="AL480" s="2"/>
      <c r="AM480" s="2"/>
      <c r="AN480" s="2"/>
      <c r="AO480" s="2"/>
      <c r="AP480" s="6"/>
      <c r="AQ480" s="2"/>
      <c r="AR480" s="2"/>
      <c r="AS480" s="2"/>
      <c r="AT480" s="2"/>
      <c r="AU480" s="2"/>
      <c r="AV480" s="2"/>
      <c r="AW480" s="2"/>
      <c r="AX480" s="6"/>
      <c r="AY480" s="2"/>
      <c r="AZ480" s="2"/>
      <c r="BA480" s="2"/>
      <c r="BB480" s="2"/>
      <c r="BC480" s="2"/>
      <c r="BD480" s="6"/>
      <c r="BE480" s="2"/>
      <c r="BF480" s="6"/>
      <c r="BG480" s="58"/>
      <c r="BH480" s="6"/>
      <c r="BI480" s="2"/>
    </row>
    <row r="481" ht="12.75" customHeight="1">
      <c r="A481" s="71"/>
      <c r="B481" s="71"/>
      <c r="C481" s="11"/>
      <c r="D481" s="11"/>
      <c r="E481" s="2"/>
      <c r="F481" s="2"/>
      <c r="G481" s="2"/>
      <c r="H481" s="54"/>
      <c r="I481" s="4"/>
      <c r="J481" s="2"/>
      <c r="K481" s="2"/>
      <c r="L481" s="5"/>
      <c r="M481" s="5"/>
      <c r="N481" s="5"/>
      <c r="O481" s="5"/>
      <c r="P481" s="5"/>
      <c r="Q481" s="5"/>
      <c r="R481" s="2"/>
      <c r="S481" s="2"/>
      <c r="T481" s="2"/>
      <c r="U481" s="2"/>
      <c r="V481" s="2"/>
      <c r="W481" s="2"/>
      <c r="X481" s="6"/>
      <c r="Y481" s="2"/>
      <c r="Z481" s="2"/>
      <c r="AA481" s="2"/>
      <c r="AB481" s="2"/>
      <c r="AC481" s="6"/>
      <c r="AD481" s="2"/>
      <c r="AE481" s="2"/>
      <c r="AF481" s="2"/>
      <c r="AG481" s="2"/>
      <c r="AH481" s="2"/>
      <c r="AI481" s="6"/>
      <c r="AJ481" s="2"/>
      <c r="AK481" s="56"/>
      <c r="AL481" s="2"/>
      <c r="AM481" s="2"/>
      <c r="AN481" s="2"/>
      <c r="AO481" s="2"/>
      <c r="AP481" s="6"/>
      <c r="AQ481" s="2"/>
      <c r="AR481" s="2"/>
      <c r="AS481" s="2"/>
      <c r="AT481" s="2"/>
      <c r="AU481" s="2"/>
      <c r="AV481" s="2"/>
      <c r="AW481" s="2"/>
      <c r="AX481" s="6"/>
      <c r="AY481" s="2"/>
      <c r="AZ481" s="2"/>
      <c r="BA481" s="2"/>
      <c r="BB481" s="2"/>
      <c r="BC481" s="2"/>
      <c r="BD481" s="6"/>
      <c r="BE481" s="2"/>
      <c r="BF481" s="6"/>
      <c r="BG481" s="58"/>
      <c r="BH481" s="6"/>
      <c r="BI481" s="2"/>
    </row>
    <row r="482" ht="12.75" customHeight="1">
      <c r="A482" s="71"/>
      <c r="B482" s="71"/>
      <c r="C482" s="11"/>
      <c r="D482" s="11"/>
      <c r="E482" s="2"/>
      <c r="F482" s="2"/>
      <c r="G482" s="2"/>
      <c r="H482" s="54"/>
      <c r="I482" s="4"/>
      <c r="J482" s="2"/>
      <c r="K482" s="2"/>
      <c r="L482" s="5"/>
      <c r="M482" s="5"/>
      <c r="N482" s="5"/>
      <c r="O482" s="5"/>
      <c r="P482" s="5"/>
      <c r="Q482" s="5"/>
      <c r="R482" s="2"/>
      <c r="S482" s="2"/>
      <c r="T482" s="2"/>
      <c r="U482" s="2"/>
      <c r="V482" s="2"/>
      <c r="W482" s="2"/>
      <c r="X482" s="6"/>
      <c r="Y482" s="2"/>
      <c r="Z482" s="2"/>
      <c r="AA482" s="2"/>
      <c r="AB482" s="2"/>
      <c r="AC482" s="6"/>
      <c r="AD482" s="2"/>
      <c r="AE482" s="2"/>
      <c r="AF482" s="2"/>
      <c r="AG482" s="2"/>
      <c r="AH482" s="2"/>
      <c r="AI482" s="6"/>
      <c r="AJ482" s="2"/>
      <c r="AK482" s="56"/>
      <c r="AL482" s="2"/>
      <c r="AM482" s="2"/>
      <c r="AN482" s="2"/>
      <c r="AO482" s="2"/>
      <c r="AP482" s="6"/>
      <c r="AQ482" s="2"/>
      <c r="AR482" s="2"/>
      <c r="AS482" s="2"/>
      <c r="AT482" s="2"/>
      <c r="AU482" s="2"/>
      <c r="AV482" s="2"/>
      <c r="AW482" s="2"/>
      <c r="AX482" s="6"/>
      <c r="AY482" s="2"/>
      <c r="AZ482" s="2"/>
      <c r="BA482" s="2"/>
      <c r="BB482" s="2"/>
      <c r="BC482" s="2"/>
      <c r="BD482" s="6"/>
      <c r="BE482" s="2"/>
      <c r="BF482" s="6"/>
      <c r="BG482" s="58"/>
      <c r="BH482" s="6"/>
      <c r="BI482" s="2"/>
    </row>
    <row r="483" ht="12.75" customHeight="1">
      <c r="A483" s="71"/>
      <c r="B483" s="71"/>
      <c r="C483" s="11"/>
      <c r="D483" s="11"/>
      <c r="E483" s="2"/>
      <c r="F483" s="2"/>
      <c r="G483" s="2"/>
      <c r="H483" s="54"/>
      <c r="I483" s="4"/>
      <c r="J483" s="2"/>
      <c r="K483" s="2"/>
      <c r="L483" s="5"/>
      <c r="M483" s="5"/>
      <c r="N483" s="5"/>
      <c r="O483" s="5"/>
      <c r="P483" s="5"/>
      <c r="Q483" s="5"/>
      <c r="R483" s="2"/>
      <c r="S483" s="2"/>
      <c r="T483" s="2"/>
      <c r="U483" s="2"/>
      <c r="V483" s="2"/>
      <c r="W483" s="2"/>
      <c r="X483" s="6"/>
      <c r="Y483" s="2"/>
      <c r="Z483" s="2"/>
      <c r="AA483" s="2"/>
      <c r="AB483" s="2"/>
      <c r="AC483" s="6"/>
      <c r="AD483" s="2"/>
      <c r="AE483" s="2"/>
      <c r="AF483" s="2"/>
      <c r="AG483" s="2"/>
      <c r="AH483" s="2"/>
      <c r="AI483" s="6"/>
      <c r="AJ483" s="2"/>
      <c r="AK483" s="56"/>
      <c r="AL483" s="2"/>
      <c r="AM483" s="2"/>
      <c r="AN483" s="2"/>
      <c r="AO483" s="2"/>
      <c r="AP483" s="6"/>
      <c r="AQ483" s="2"/>
      <c r="AR483" s="2"/>
      <c r="AS483" s="2"/>
      <c r="AT483" s="2"/>
      <c r="AU483" s="2"/>
      <c r="AV483" s="2"/>
      <c r="AW483" s="2"/>
      <c r="AX483" s="6"/>
      <c r="AY483" s="2"/>
      <c r="AZ483" s="2"/>
      <c r="BA483" s="2"/>
      <c r="BB483" s="2"/>
      <c r="BC483" s="2"/>
      <c r="BD483" s="6"/>
      <c r="BE483" s="2"/>
      <c r="BF483" s="6"/>
      <c r="BG483" s="58"/>
      <c r="BH483" s="6"/>
      <c r="BI483" s="2"/>
    </row>
    <row r="484" ht="12.75" customHeight="1">
      <c r="A484" s="71"/>
      <c r="B484" s="71"/>
      <c r="C484" s="11"/>
      <c r="D484" s="11"/>
      <c r="E484" s="2"/>
      <c r="F484" s="2"/>
      <c r="G484" s="2"/>
      <c r="H484" s="54"/>
      <c r="I484" s="4"/>
      <c r="J484" s="2"/>
      <c r="K484" s="2"/>
      <c r="L484" s="5"/>
      <c r="M484" s="5"/>
      <c r="N484" s="5"/>
      <c r="O484" s="5"/>
      <c r="P484" s="5"/>
      <c r="Q484" s="5"/>
      <c r="R484" s="2"/>
      <c r="S484" s="2"/>
      <c r="T484" s="2"/>
      <c r="U484" s="2"/>
      <c r="V484" s="2"/>
      <c r="W484" s="2"/>
      <c r="X484" s="6"/>
      <c r="Y484" s="2"/>
      <c r="Z484" s="2"/>
      <c r="AA484" s="2"/>
      <c r="AB484" s="2"/>
      <c r="AC484" s="6"/>
      <c r="AD484" s="2"/>
      <c r="AE484" s="2"/>
      <c r="AF484" s="2"/>
      <c r="AG484" s="2"/>
      <c r="AH484" s="2"/>
      <c r="AI484" s="6"/>
      <c r="AJ484" s="2"/>
      <c r="AK484" s="56"/>
      <c r="AL484" s="2"/>
      <c r="AM484" s="2"/>
      <c r="AN484" s="2"/>
      <c r="AO484" s="2"/>
      <c r="AP484" s="6"/>
      <c r="AQ484" s="2"/>
      <c r="AR484" s="2"/>
      <c r="AS484" s="2"/>
      <c r="AT484" s="2"/>
      <c r="AU484" s="2"/>
      <c r="AV484" s="2"/>
      <c r="AW484" s="2"/>
      <c r="AX484" s="6"/>
      <c r="AY484" s="2"/>
      <c r="AZ484" s="2"/>
      <c r="BA484" s="2"/>
      <c r="BB484" s="2"/>
      <c r="BC484" s="2"/>
      <c r="BD484" s="6"/>
      <c r="BE484" s="2"/>
      <c r="BF484" s="6"/>
      <c r="BG484" s="58"/>
      <c r="BH484" s="6"/>
      <c r="BI484" s="2"/>
    </row>
    <row r="485" ht="12.75" customHeight="1">
      <c r="A485" s="71"/>
      <c r="B485" s="71"/>
      <c r="C485" s="11"/>
      <c r="D485" s="11"/>
      <c r="E485" s="2"/>
      <c r="F485" s="2"/>
      <c r="G485" s="2"/>
      <c r="H485" s="54"/>
      <c r="I485" s="4"/>
      <c r="J485" s="2"/>
      <c r="K485" s="2"/>
      <c r="L485" s="5"/>
      <c r="M485" s="5"/>
      <c r="N485" s="5"/>
      <c r="O485" s="5"/>
      <c r="P485" s="5"/>
      <c r="Q485" s="5"/>
      <c r="R485" s="2"/>
      <c r="S485" s="2"/>
      <c r="T485" s="2"/>
      <c r="U485" s="2"/>
      <c r="V485" s="2"/>
      <c r="W485" s="2"/>
      <c r="X485" s="6"/>
      <c r="Y485" s="2"/>
      <c r="Z485" s="2"/>
      <c r="AA485" s="2"/>
      <c r="AB485" s="2"/>
      <c r="AC485" s="6"/>
      <c r="AD485" s="2"/>
      <c r="AE485" s="2"/>
      <c r="AF485" s="2"/>
      <c r="AG485" s="2"/>
      <c r="AH485" s="2"/>
      <c r="AI485" s="6"/>
      <c r="AJ485" s="2"/>
      <c r="AK485" s="56"/>
      <c r="AL485" s="2"/>
      <c r="AM485" s="2"/>
      <c r="AN485" s="2"/>
      <c r="AO485" s="2"/>
      <c r="AP485" s="6"/>
      <c r="AQ485" s="2"/>
      <c r="AR485" s="2"/>
      <c r="AS485" s="2"/>
      <c r="AT485" s="2"/>
      <c r="AU485" s="2"/>
      <c r="AV485" s="2"/>
      <c r="AW485" s="2"/>
      <c r="AX485" s="6"/>
      <c r="AY485" s="2"/>
      <c r="AZ485" s="2"/>
      <c r="BA485" s="2"/>
      <c r="BB485" s="2"/>
      <c r="BC485" s="2"/>
      <c r="BD485" s="6"/>
      <c r="BE485" s="2"/>
      <c r="BF485" s="6"/>
      <c r="BG485" s="58"/>
      <c r="BH485" s="6"/>
      <c r="BI485" s="2"/>
    </row>
    <row r="486" ht="12.75" customHeight="1">
      <c r="A486" s="71"/>
      <c r="B486" s="71"/>
      <c r="C486" s="11"/>
      <c r="D486" s="11"/>
      <c r="E486" s="2"/>
      <c r="F486" s="2"/>
      <c r="G486" s="2"/>
      <c r="H486" s="54"/>
      <c r="I486" s="4"/>
      <c r="J486" s="2"/>
      <c r="K486" s="2"/>
      <c r="L486" s="5"/>
      <c r="M486" s="5"/>
      <c r="N486" s="5"/>
      <c r="O486" s="5"/>
      <c r="P486" s="5"/>
      <c r="Q486" s="5"/>
      <c r="R486" s="2"/>
      <c r="S486" s="2"/>
      <c r="T486" s="2"/>
      <c r="U486" s="2"/>
      <c r="V486" s="2"/>
      <c r="W486" s="2"/>
      <c r="X486" s="6"/>
      <c r="Y486" s="2"/>
      <c r="Z486" s="2"/>
      <c r="AA486" s="2"/>
      <c r="AB486" s="2"/>
      <c r="AC486" s="6"/>
      <c r="AD486" s="2"/>
      <c r="AE486" s="2"/>
      <c r="AF486" s="2"/>
      <c r="AG486" s="2"/>
      <c r="AH486" s="2"/>
      <c r="AI486" s="6"/>
      <c r="AJ486" s="2"/>
      <c r="AK486" s="56"/>
      <c r="AL486" s="2"/>
      <c r="AM486" s="2"/>
      <c r="AN486" s="2"/>
      <c r="AO486" s="2"/>
      <c r="AP486" s="6"/>
      <c r="AQ486" s="2"/>
      <c r="AR486" s="2"/>
      <c r="AS486" s="2"/>
      <c r="AT486" s="2"/>
      <c r="AU486" s="2"/>
      <c r="AV486" s="2"/>
      <c r="AW486" s="2"/>
      <c r="AX486" s="6"/>
      <c r="AY486" s="2"/>
      <c r="AZ486" s="2"/>
      <c r="BA486" s="2"/>
      <c r="BB486" s="2"/>
      <c r="BC486" s="2"/>
      <c r="BD486" s="6"/>
      <c r="BE486" s="2"/>
      <c r="BF486" s="6"/>
      <c r="BG486" s="58"/>
      <c r="BH486" s="6"/>
      <c r="BI486" s="2"/>
    </row>
    <row r="487" ht="12.75" customHeight="1">
      <c r="A487" s="71"/>
      <c r="B487" s="71"/>
      <c r="C487" s="11"/>
      <c r="D487" s="11"/>
      <c r="E487" s="2"/>
      <c r="F487" s="2"/>
      <c r="G487" s="2"/>
      <c r="H487" s="54"/>
      <c r="I487" s="4"/>
      <c r="J487" s="2"/>
      <c r="K487" s="2"/>
      <c r="L487" s="5"/>
      <c r="M487" s="5"/>
      <c r="N487" s="5"/>
      <c r="O487" s="5"/>
      <c r="P487" s="5"/>
      <c r="Q487" s="5"/>
      <c r="R487" s="2"/>
      <c r="S487" s="2"/>
      <c r="T487" s="2"/>
      <c r="U487" s="2"/>
      <c r="V487" s="2"/>
      <c r="W487" s="2"/>
      <c r="X487" s="6"/>
      <c r="Y487" s="2"/>
      <c r="Z487" s="2"/>
      <c r="AA487" s="2"/>
      <c r="AB487" s="2"/>
      <c r="AC487" s="6"/>
      <c r="AD487" s="2"/>
      <c r="AE487" s="2"/>
      <c r="AF487" s="2"/>
      <c r="AG487" s="2"/>
      <c r="AH487" s="2"/>
      <c r="AI487" s="6"/>
      <c r="AJ487" s="2"/>
      <c r="AK487" s="56"/>
      <c r="AL487" s="2"/>
      <c r="AM487" s="2"/>
      <c r="AN487" s="2"/>
      <c r="AO487" s="2"/>
      <c r="AP487" s="6"/>
      <c r="AQ487" s="2"/>
      <c r="AR487" s="2"/>
      <c r="AS487" s="2"/>
      <c r="AT487" s="2"/>
      <c r="AU487" s="2"/>
      <c r="AV487" s="2"/>
      <c r="AW487" s="2"/>
      <c r="AX487" s="6"/>
      <c r="AY487" s="2"/>
      <c r="AZ487" s="2"/>
      <c r="BA487" s="2"/>
      <c r="BB487" s="2"/>
      <c r="BC487" s="2"/>
      <c r="BD487" s="6"/>
      <c r="BE487" s="2"/>
      <c r="BF487" s="6"/>
      <c r="BG487" s="58"/>
      <c r="BH487" s="6"/>
      <c r="BI487" s="2"/>
    </row>
    <row r="488" ht="12.75" customHeight="1">
      <c r="A488" s="71"/>
      <c r="B488" s="71"/>
      <c r="C488" s="11"/>
      <c r="D488" s="11"/>
      <c r="E488" s="2"/>
      <c r="F488" s="2"/>
      <c r="G488" s="2"/>
      <c r="H488" s="54"/>
      <c r="I488" s="4"/>
      <c r="J488" s="2"/>
      <c r="K488" s="2"/>
      <c r="L488" s="5"/>
      <c r="M488" s="5"/>
      <c r="N488" s="5"/>
      <c r="O488" s="5"/>
      <c r="P488" s="5"/>
      <c r="Q488" s="5"/>
      <c r="R488" s="2"/>
      <c r="S488" s="2"/>
      <c r="T488" s="2"/>
      <c r="U488" s="2"/>
      <c r="V488" s="2"/>
      <c r="W488" s="2"/>
      <c r="X488" s="6"/>
      <c r="Y488" s="2"/>
      <c r="Z488" s="2"/>
      <c r="AA488" s="2"/>
      <c r="AB488" s="2"/>
      <c r="AC488" s="6"/>
      <c r="AD488" s="2"/>
      <c r="AE488" s="2"/>
      <c r="AF488" s="2"/>
      <c r="AG488" s="2"/>
      <c r="AH488" s="2"/>
      <c r="AI488" s="6"/>
      <c r="AJ488" s="2"/>
      <c r="AK488" s="56"/>
      <c r="AL488" s="2"/>
      <c r="AM488" s="2"/>
      <c r="AN488" s="2"/>
      <c r="AO488" s="2"/>
      <c r="AP488" s="6"/>
      <c r="AQ488" s="2"/>
      <c r="AR488" s="2"/>
      <c r="AS488" s="2"/>
      <c r="AT488" s="2"/>
      <c r="AU488" s="2"/>
      <c r="AV488" s="2"/>
      <c r="AW488" s="2"/>
      <c r="AX488" s="6"/>
      <c r="AY488" s="2"/>
      <c r="AZ488" s="2"/>
      <c r="BA488" s="2"/>
      <c r="BB488" s="2"/>
      <c r="BC488" s="2"/>
      <c r="BD488" s="6"/>
      <c r="BE488" s="2"/>
      <c r="BF488" s="6"/>
      <c r="BG488" s="58"/>
      <c r="BH488" s="6"/>
      <c r="BI488" s="2"/>
    </row>
    <row r="489" ht="12.75" customHeight="1">
      <c r="A489" s="71"/>
      <c r="B489" s="71"/>
      <c r="C489" s="11"/>
      <c r="D489" s="11"/>
      <c r="E489" s="2"/>
      <c r="F489" s="2"/>
      <c r="G489" s="2"/>
      <c r="H489" s="54"/>
      <c r="I489" s="4"/>
      <c r="J489" s="2"/>
      <c r="K489" s="2"/>
      <c r="L489" s="5"/>
      <c r="M489" s="5"/>
      <c r="N489" s="5"/>
      <c r="O489" s="5"/>
      <c r="P489" s="5"/>
      <c r="Q489" s="5"/>
      <c r="R489" s="2"/>
      <c r="S489" s="2"/>
      <c r="T489" s="2"/>
      <c r="U489" s="2"/>
      <c r="V489" s="2"/>
      <c r="W489" s="2"/>
      <c r="X489" s="6"/>
      <c r="Y489" s="2"/>
      <c r="Z489" s="2"/>
      <c r="AA489" s="2"/>
      <c r="AB489" s="2"/>
      <c r="AC489" s="6"/>
      <c r="AD489" s="2"/>
      <c r="AE489" s="2"/>
      <c r="AF489" s="2"/>
      <c r="AG489" s="2"/>
      <c r="AH489" s="2"/>
      <c r="AI489" s="6"/>
      <c r="AJ489" s="2"/>
      <c r="AK489" s="56"/>
      <c r="AL489" s="2"/>
      <c r="AM489" s="2"/>
      <c r="AN489" s="2"/>
      <c r="AO489" s="2"/>
      <c r="AP489" s="6"/>
      <c r="AQ489" s="2"/>
      <c r="AR489" s="2"/>
      <c r="AS489" s="2"/>
      <c r="AT489" s="2"/>
      <c r="AU489" s="2"/>
      <c r="AV489" s="2"/>
      <c r="AW489" s="2"/>
      <c r="AX489" s="6"/>
      <c r="AY489" s="2"/>
      <c r="AZ489" s="2"/>
      <c r="BA489" s="2"/>
      <c r="BB489" s="2"/>
      <c r="BC489" s="2"/>
      <c r="BD489" s="6"/>
      <c r="BE489" s="2"/>
      <c r="BF489" s="6"/>
      <c r="BG489" s="58"/>
      <c r="BH489" s="6"/>
      <c r="BI489" s="2"/>
    </row>
    <row r="490" ht="12.75" customHeight="1">
      <c r="A490" s="71"/>
      <c r="B490" s="71"/>
      <c r="C490" s="11"/>
      <c r="D490" s="11"/>
      <c r="E490" s="2"/>
      <c r="F490" s="2"/>
      <c r="G490" s="2"/>
      <c r="H490" s="54"/>
      <c r="I490" s="4"/>
      <c r="J490" s="2"/>
      <c r="K490" s="2"/>
      <c r="L490" s="5"/>
      <c r="M490" s="5"/>
      <c r="N490" s="5"/>
      <c r="O490" s="5"/>
      <c r="P490" s="5"/>
      <c r="Q490" s="5"/>
      <c r="R490" s="2"/>
      <c r="S490" s="2"/>
      <c r="T490" s="2"/>
      <c r="U490" s="2"/>
      <c r="V490" s="2"/>
      <c r="W490" s="2"/>
      <c r="X490" s="6"/>
      <c r="Y490" s="2"/>
      <c r="Z490" s="2"/>
      <c r="AA490" s="2"/>
      <c r="AB490" s="2"/>
      <c r="AC490" s="6"/>
      <c r="AD490" s="2"/>
      <c r="AE490" s="2"/>
      <c r="AF490" s="2"/>
      <c r="AG490" s="2"/>
      <c r="AH490" s="2"/>
      <c r="AI490" s="6"/>
      <c r="AJ490" s="2"/>
      <c r="AK490" s="56"/>
      <c r="AL490" s="2"/>
      <c r="AM490" s="2"/>
      <c r="AN490" s="2"/>
      <c r="AO490" s="2"/>
      <c r="AP490" s="6"/>
      <c r="AQ490" s="2"/>
      <c r="AR490" s="2"/>
      <c r="AS490" s="2"/>
      <c r="AT490" s="2"/>
      <c r="AU490" s="2"/>
      <c r="AV490" s="2"/>
      <c r="AW490" s="2"/>
      <c r="AX490" s="6"/>
      <c r="AY490" s="2"/>
      <c r="AZ490" s="2"/>
      <c r="BA490" s="2"/>
      <c r="BB490" s="2"/>
      <c r="BC490" s="2"/>
      <c r="BD490" s="6"/>
      <c r="BE490" s="2"/>
      <c r="BF490" s="6"/>
      <c r="BG490" s="58"/>
      <c r="BH490" s="6"/>
      <c r="BI490" s="2"/>
    </row>
    <row r="491" ht="12.75" customHeight="1">
      <c r="A491" s="71"/>
      <c r="B491" s="71"/>
      <c r="C491" s="11"/>
      <c r="D491" s="11"/>
      <c r="E491" s="2"/>
      <c r="F491" s="2"/>
      <c r="G491" s="2"/>
      <c r="H491" s="54"/>
      <c r="I491" s="4"/>
      <c r="J491" s="2"/>
      <c r="K491" s="2"/>
      <c r="L491" s="5"/>
      <c r="M491" s="5"/>
      <c r="N491" s="5"/>
      <c r="O491" s="5"/>
      <c r="P491" s="5"/>
      <c r="Q491" s="5"/>
      <c r="R491" s="2"/>
      <c r="S491" s="2"/>
      <c r="T491" s="2"/>
      <c r="U491" s="2"/>
      <c r="V491" s="2"/>
      <c r="W491" s="2"/>
      <c r="X491" s="6"/>
      <c r="Y491" s="2"/>
      <c r="Z491" s="2"/>
      <c r="AA491" s="2"/>
      <c r="AB491" s="2"/>
      <c r="AC491" s="6"/>
      <c r="AD491" s="2"/>
      <c r="AE491" s="2"/>
      <c r="AF491" s="2"/>
      <c r="AG491" s="2"/>
      <c r="AH491" s="2"/>
      <c r="AI491" s="6"/>
      <c r="AJ491" s="2"/>
      <c r="AK491" s="56"/>
      <c r="AL491" s="2"/>
      <c r="AM491" s="2"/>
      <c r="AN491" s="2"/>
      <c r="AO491" s="2"/>
      <c r="AP491" s="6"/>
      <c r="AQ491" s="2"/>
      <c r="AR491" s="2"/>
      <c r="AS491" s="2"/>
      <c r="AT491" s="2"/>
      <c r="AU491" s="2"/>
      <c r="AV491" s="2"/>
      <c r="AW491" s="2"/>
      <c r="AX491" s="6"/>
      <c r="AY491" s="2"/>
      <c r="AZ491" s="2"/>
      <c r="BA491" s="2"/>
      <c r="BB491" s="2"/>
      <c r="BC491" s="2"/>
      <c r="BD491" s="6"/>
      <c r="BE491" s="2"/>
      <c r="BF491" s="6"/>
      <c r="BG491" s="58"/>
      <c r="BH491" s="6"/>
      <c r="BI491" s="2"/>
    </row>
    <row r="492" ht="12.75" customHeight="1">
      <c r="A492" s="71"/>
      <c r="B492" s="71"/>
      <c r="C492" s="11"/>
      <c r="D492" s="11"/>
      <c r="E492" s="2"/>
      <c r="F492" s="2"/>
      <c r="G492" s="2"/>
      <c r="H492" s="54"/>
      <c r="I492" s="4"/>
      <c r="J492" s="2"/>
      <c r="K492" s="2"/>
      <c r="L492" s="5"/>
      <c r="M492" s="5"/>
      <c r="N492" s="5"/>
      <c r="O492" s="5"/>
      <c r="P492" s="5"/>
      <c r="Q492" s="5"/>
      <c r="R492" s="2"/>
      <c r="S492" s="2"/>
      <c r="T492" s="2"/>
      <c r="U492" s="2"/>
      <c r="V492" s="2"/>
      <c r="W492" s="2"/>
      <c r="X492" s="6"/>
      <c r="Y492" s="2"/>
      <c r="Z492" s="2"/>
      <c r="AA492" s="2"/>
      <c r="AB492" s="2"/>
      <c r="AC492" s="6"/>
      <c r="AD492" s="2"/>
      <c r="AE492" s="2"/>
      <c r="AF492" s="2"/>
      <c r="AG492" s="2"/>
      <c r="AH492" s="2"/>
      <c r="AI492" s="6"/>
      <c r="AJ492" s="2"/>
      <c r="AK492" s="56"/>
      <c r="AL492" s="2"/>
      <c r="AM492" s="2"/>
      <c r="AN492" s="2"/>
      <c r="AO492" s="2"/>
      <c r="AP492" s="6"/>
      <c r="AQ492" s="2"/>
      <c r="AR492" s="2"/>
      <c r="AS492" s="2"/>
      <c r="AT492" s="2"/>
      <c r="AU492" s="2"/>
      <c r="AV492" s="2"/>
      <c r="AW492" s="2"/>
      <c r="AX492" s="6"/>
      <c r="AY492" s="2"/>
      <c r="AZ492" s="2"/>
      <c r="BA492" s="2"/>
      <c r="BB492" s="2"/>
      <c r="BC492" s="2"/>
      <c r="BD492" s="6"/>
      <c r="BE492" s="2"/>
      <c r="BF492" s="6"/>
      <c r="BG492" s="58"/>
      <c r="BH492" s="6"/>
      <c r="BI492" s="2"/>
    </row>
    <row r="493" ht="12.75" customHeight="1">
      <c r="A493" s="71"/>
      <c r="B493" s="71"/>
      <c r="C493" s="11"/>
      <c r="D493" s="11"/>
      <c r="E493" s="2"/>
      <c r="F493" s="2"/>
      <c r="G493" s="2"/>
      <c r="H493" s="54"/>
      <c r="I493" s="4"/>
      <c r="J493" s="2"/>
      <c r="K493" s="2"/>
      <c r="L493" s="5"/>
      <c r="M493" s="5"/>
      <c r="N493" s="5"/>
      <c r="O493" s="5"/>
      <c r="P493" s="5"/>
      <c r="Q493" s="5"/>
      <c r="R493" s="2"/>
      <c r="S493" s="2"/>
      <c r="T493" s="2"/>
      <c r="U493" s="2"/>
      <c r="V493" s="2"/>
      <c r="W493" s="2"/>
      <c r="X493" s="6"/>
      <c r="Y493" s="2"/>
      <c r="Z493" s="2"/>
      <c r="AA493" s="2"/>
      <c r="AB493" s="2"/>
      <c r="AC493" s="6"/>
      <c r="AD493" s="2"/>
      <c r="AE493" s="2"/>
      <c r="AF493" s="2"/>
      <c r="AG493" s="2"/>
      <c r="AH493" s="2"/>
      <c r="AI493" s="6"/>
      <c r="AJ493" s="2"/>
      <c r="AK493" s="56"/>
      <c r="AL493" s="2"/>
      <c r="AM493" s="2"/>
      <c r="AN493" s="2"/>
      <c r="AO493" s="2"/>
      <c r="AP493" s="6"/>
      <c r="AQ493" s="2"/>
      <c r="AR493" s="2"/>
      <c r="AS493" s="2"/>
      <c r="AT493" s="2"/>
      <c r="AU493" s="2"/>
      <c r="AV493" s="2"/>
      <c r="AW493" s="2"/>
      <c r="AX493" s="6"/>
      <c r="AY493" s="2"/>
      <c r="AZ493" s="2"/>
      <c r="BA493" s="2"/>
      <c r="BB493" s="2"/>
      <c r="BC493" s="2"/>
      <c r="BD493" s="6"/>
      <c r="BE493" s="2"/>
      <c r="BF493" s="6"/>
      <c r="BG493" s="58"/>
      <c r="BH493" s="6"/>
      <c r="BI493" s="2"/>
    </row>
    <row r="494" ht="12.75" customHeight="1">
      <c r="A494" s="71"/>
      <c r="B494" s="71"/>
      <c r="C494" s="11"/>
      <c r="D494" s="11"/>
      <c r="E494" s="2"/>
      <c r="F494" s="2"/>
      <c r="G494" s="2"/>
      <c r="H494" s="54"/>
      <c r="I494" s="4"/>
      <c r="J494" s="2"/>
      <c r="K494" s="2"/>
      <c r="L494" s="5"/>
      <c r="M494" s="5"/>
      <c r="N494" s="5"/>
      <c r="O494" s="5"/>
      <c r="P494" s="5"/>
      <c r="Q494" s="5"/>
      <c r="R494" s="2"/>
      <c r="S494" s="2"/>
      <c r="T494" s="2"/>
      <c r="U494" s="2"/>
      <c r="V494" s="2"/>
      <c r="W494" s="2"/>
      <c r="X494" s="6"/>
      <c r="Y494" s="2"/>
      <c r="Z494" s="2"/>
      <c r="AA494" s="2"/>
      <c r="AB494" s="2"/>
      <c r="AC494" s="6"/>
      <c r="AD494" s="2"/>
      <c r="AE494" s="2"/>
      <c r="AF494" s="2"/>
      <c r="AG494" s="2"/>
      <c r="AH494" s="2"/>
      <c r="AI494" s="6"/>
      <c r="AJ494" s="2"/>
      <c r="AK494" s="56"/>
      <c r="AL494" s="2"/>
      <c r="AM494" s="2"/>
      <c r="AN494" s="2"/>
      <c r="AO494" s="2"/>
      <c r="AP494" s="6"/>
      <c r="AQ494" s="2"/>
      <c r="AR494" s="2"/>
      <c r="AS494" s="2"/>
      <c r="AT494" s="2"/>
      <c r="AU494" s="2"/>
      <c r="AV494" s="2"/>
      <c r="AW494" s="2"/>
      <c r="AX494" s="6"/>
      <c r="AY494" s="2"/>
      <c r="AZ494" s="2"/>
      <c r="BA494" s="2"/>
      <c r="BB494" s="2"/>
      <c r="BC494" s="2"/>
      <c r="BD494" s="6"/>
      <c r="BE494" s="2"/>
      <c r="BF494" s="6"/>
      <c r="BG494" s="58"/>
      <c r="BH494" s="6"/>
      <c r="BI494" s="2"/>
    </row>
    <row r="495" ht="12.75" customHeight="1">
      <c r="A495" s="71"/>
      <c r="B495" s="71"/>
      <c r="C495" s="11"/>
      <c r="D495" s="11"/>
      <c r="E495" s="2"/>
      <c r="F495" s="2"/>
      <c r="G495" s="2"/>
      <c r="H495" s="54"/>
      <c r="I495" s="4"/>
      <c r="J495" s="2"/>
      <c r="K495" s="2"/>
      <c r="L495" s="5"/>
      <c r="M495" s="5"/>
      <c r="N495" s="5"/>
      <c r="O495" s="5"/>
      <c r="P495" s="5"/>
      <c r="Q495" s="5"/>
      <c r="R495" s="2"/>
      <c r="S495" s="2"/>
      <c r="T495" s="2"/>
      <c r="U495" s="2"/>
      <c r="V495" s="2"/>
      <c r="W495" s="2"/>
      <c r="X495" s="6"/>
      <c r="Y495" s="2"/>
      <c r="Z495" s="2"/>
      <c r="AA495" s="2"/>
      <c r="AB495" s="2"/>
      <c r="AC495" s="6"/>
      <c r="AD495" s="2"/>
      <c r="AE495" s="2"/>
      <c r="AF495" s="2"/>
      <c r="AG495" s="2"/>
      <c r="AH495" s="2"/>
      <c r="AI495" s="6"/>
      <c r="AJ495" s="2"/>
      <c r="AK495" s="56"/>
      <c r="AL495" s="2"/>
      <c r="AM495" s="2"/>
      <c r="AN495" s="2"/>
      <c r="AO495" s="2"/>
      <c r="AP495" s="6"/>
      <c r="AQ495" s="2"/>
      <c r="AR495" s="2"/>
      <c r="AS495" s="2"/>
      <c r="AT495" s="2"/>
      <c r="AU495" s="2"/>
      <c r="AV495" s="2"/>
      <c r="AW495" s="2"/>
      <c r="AX495" s="6"/>
      <c r="AY495" s="2"/>
      <c r="AZ495" s="2"/>
      <c r="BA495" s="2"/>
      <c r="BB495" s="2"/>
      <c r="BC495" s="2"/>
      <c r="BD495" s="6"/>
      <c r="BE495" s="2"/>
      <c r="BF495" s="6"/>
      <c r="BG495" s="58"/>
      <c r="BH495" s="6"/>
      <c r="BI495" s="2"/>
    </row>
    <row r="496" ht="12.75" customHeight="1">
      <c r="A496" s="71"/>
      <c r="B496" s="71"/>
      <c r="C496" s="11"/>
      <c r="D496" s="11"/>
      <c r="E496" s="2"/>
      <c r="F496" s="2"/>
      <c r="G496" s="2"/>
      <c r="H496" s="54"/>
      <c r="I496" s="4"/>
      <c r="J496" s="2"/>
      <c r="K496" s="2"/>
      <c r="L496" s="5"/>
      <c r="M496" s="5"/>
      <c r="N496" s="5"/>
      <c r="O496" s="5"/>
      <c r="P496" s="5"/>
      <c r="Q496" s="5"/>
      <c r="R496" s="2"/>
      <c r="S496" s="2"/>
      <c r="T496" s="2"/>
      <c r="U496" s="2"/>
      <c r="V496" s="2"/>
      <c r="W496" s="2"/>
      <c r="X496" s="6"/>
      <c r="Y496" s="2"/>
      <c r="Z496" s="2"/>
      <c r="AA496" s="2"/>
      <c r="AB496" s="2"/>
      <c r="AC496" s="6"/>
      <c r="AD496" s="2"/>
      <c r="AE496" s="2"/>
      <c r="AF496" s="2"/>
      <c r="AG496" s="2"/>
      <c r="AH496" s="2"/>
      <c r="AI496" s="6"/>
      <c r="AJ496" s="2"/>
      <c r="AK496" s="56"/>
      <c r="AL496" s="2"/>
      <c r="AM496" s="2"/>
      <c r="AN496" s="2"/>
      <c r="AO496" s="2"/>
      <c r="AP496" s="6"/>
      <c r="AQ496" s="2"/>
      <c r="AR496" s="2"/>
      <c r="AS496" s="2"/>
      <c r="AT496" s="2"/>
      <c r="AU496" s="2"/>
      <c r="AV496" s="2"/>
      <c r="AW496" s="2"/>
      <c r="AX496" s="6"/>
      <c r="AY496" s="2"/>
      <c r="AZ496" s="2"/>
      <c r="BA496" s="2"/>
      <c r="BB496" s="2"/>
      <c r="BC496" s="2"/>
      <c r="BD496" s="6"/>
      <c r="BE496" s="2"/>
      <c r="BF496" s="6"/>
      <c r="BG496" s="58"/>
      <c r="BH496" s="6"/>
      <c r="BI496" s="2"/>
    </row>
    <row r="497" ht="12.75" customHeight="1">
      <c r="A497" s="71"/>
      <c r="B497" s="71"/>
      <c r="C497" s="11"/>
      <c r="D497" s="11"/>
      <c r="E497" s="2"/>
      <c r="F497" s="2"/>
      <c r="G497" s="2"/>
      <c r="H497" s="54"/>
      <c r="I497" s="4"/>
      <c r="J497" s="2"/>
      <c r="K497" s="2"/>
      <c r="L497" s="5"/>
      <c r="M497" s="5"/>
      <c r="N497" s="5"/>
      <c r="O497" s="5"/>
      <c r="P497" s="5"/>
      <c r="Q497" s="5"/>
      <c r="R497" s="2"/>
      <c r="S497" s="2"/>
      <c r="T497" s="2"/>
      <c r="U497" s="2"/>
      <c r="V497" s="2"/>
      <c r="W497" s="2"/>
      <c r="X497" s="6"/>
      <c r="Y497" s="2"/>
      <c r="Z497" s="2"/>
      <c r="AA497" s="2"/>
      <c r="AB497" s="2"/>
      <c r="AC497" s="6"/>
      <c r="AD497" s="2"/>
      <c r="AE497" s="2"/>
      <c r="AF497" s="2"/>
      <c r="AG497" s="2"/>
      <c r="AH497" s="2"/>
      <c r="AI497" s="6"/>
      <c r="AJ497" s="2"/>
      <c r="AK497" s="56"/>
      <c r="AL497" s="2"/>
      <c r="AM497" s="2"/>
      <c r="AN497" s="2"/>
      <c r="AO497" s="2"/>
      <c r="AP497" s="6"/>
      <c r="AQ497" s="2"/>
      <c r="AR497" s="2"/>
      <c r="AS497" s="2"/>
      <c r="AT497" s="2"/>
      <c r="AU497" s="2"/>
      <c r="AV497" s="2"/>
      <c r="AW497" s="2"/>
      <c r="AX497" s="6"/>
      <c r="AY497" s="2"/>
      <c r="AZ497" s="2"/>
      <c r="BA497" s="2"/>
      <c r="BB497" s="2"/>
      <c r="BC497" s="2"/>
      <c r="BD497" s="6"/>
      <c r="BE497" s="2"/>
      <c r="BF497" s="6"/>
      <c r="BG497" s="58"/>
      <c r="BH497" s="6"/>
      <c r="BI497" s="2"/>
    </row>
    <row r="498" ht="12.75" customHeight="1">
      <c r="A498" s="71"/>
      <c r="B498" s="71"/>
      <c r="C498" s="11"/>
      <c r="D498" s="11"/>
      <c r="E498" s="2"/>
      <c r="F498" s="2"/>
      <c r="G498" s="2"/>
      <c r="H498" s="54"/>
      <c r="I498" s="4"/>
      <c r="J498" s="2"/>
      <c r="K498" s="2"/>
      <c r="L498" s="5"/>
      <c r="M498" s="5"/>
      <c r="N498" s="5"/>
      <c r="O498" s="5"/>
      <c r="P498" s="5"/>
      <c r="Q498" s="5"/>
      <c r="R498" s="2"/>
      <c r="S498" s="2"/>
      <c r="T498" s="2"/>
      <c r="U498" s="2"/>
      <c r="V498" s="2"/>
      <c r="W498" s="2"/>
      <c r="X498" s="6"/>
      <c r="Y498" s="2"/>
      <c r="Z498" s="2"/>
      <c r="AA498" s="2"/>
      <c r="AB498" s="2"/>
      <c r="AC498" s="6"/>
      <c r="AD498" s="2"/>
      <c r="AE498" s="2"/>
      <c r="AF498" s="2"/>
      <c r="AG498" s="2"/>
      <c r="AH498" s="2"/>
      <c r="AI498" s="6"/>
      <c r="AJ498" s="2"/>
      <c r="AK498" s="56"/>
      <c r="AL498" s="2"/>
      <c r="AM498" s="2"/>
      <c r="AN498" s="2"/>
      <c r="AO498" s="2"/>
      <c r="AP498" s="6"/>
      <c r="AQ498" s="2"/>
      <c r="AR498" s="2"/>
      <c r="AS498" s="2"/>
      <c r="AT498" s="2"/>
      <c r="AU498" s="2"/>
      <c r="AV498" s="2"/>
      <c r="AW498" s="2"/>
      <c r="AX498" s="6"/>
      <c r="AY498" s="2"/>
      <c r="AZ498" s="2"/>
      <c r="BA498" s="2"/>
      <c r="BB498" s="2"/>
      <c r="BC498" s="2"/>
      <c r="BD498" s="6"/>
      <c r="BE498" s="2"/>
      <c r="BF498" s="6"/>
      <c r="BG498" s="58"/>
      <c r="BH498" s="6"/>
      <c r="BI498" s="2"/>
    </row>
    <row r="499" ht="12.75" customHeight="1">
      <c r="A499" s="71"/>
      <c r="B499" s="71"/>
      <c r="C499" s="11"/>
      <c r="D499" s="11"/>
      <c r="E499" s="2"/>
      <c r="F499" s="2"/>
      <c r="G499" s="2"/>
      <c r="H499" s="54"/>
      <c r="I499" s="4"/>
      <c r="J499" s="2"/>
      <c r="K499" s="2"/>
      <c r="L499" s="5"/>
      <c r="M499" s="5"/>
      <c r="N499" s="5"/>
      <c r="O499" s="5"/>
      <c r="P499" s="5"/>
      <c r="Q499" s="5"/>
      <c r="R499" s="2"/>
      <c r="S499" s="2"/>
      <c r="T499" s="2"/>
      <c r="U499" s="2"/>
      <c r="V499" s="2"/>
      <c r="W499" s="2"/>
      <c r="X499" s="6"/>
      <c r="Y499" s="2"/>
      <c r="Z499" s="2"/>
      <c r="AA499" s="2"/>
      <c r="AB499" s="2"/>
      <c r="AC499" s="6"/>
      <c r="AD499" s="2"/>
      <c r="AE499" s="2"/>
      <c r="AF499" s="2"/>
      <c r="AG499" s="2"/>
      <c r="AH499" s="2"/>
      <c r="AI499" s="6"/>
      <c r="AJ499" s="2"/>
      <c r="AK499" s="56"/>
      <c r="AL499" s="2"/>
      <c r="AM499" s="2"/>
      <c r="AN499" s="2"/>
      <c r="AO499" s="2"/>
      <c r="AP499" s="6"/>
      <c r="AQ499" s="2"/>
      <c r="AR499" s="2"/>
      <c r="AS499" s="2"/>
      <c r="AT499" s="2"/>
      <c r="AU499" s="2"/>
      <c r="AV499" s="2"/>
      <c r="AW499" s="2"/>
      <c r="AX499" s="6"/>
      <c r="AY499" s="2"/>
      <c r="AZ499" s="2"/>
      <c r="BA499" s="2"/>
      <c r="BB499" s="2"/>
      <c r="BC499" s="2"/>
      <c r="BD499" s="6"/>
      <c r="BE499" s="2"/>
      <c r="BF499" s="6"/>
      <c r="BG499" s="58"/>
      <c r="BH499" s="6"/>
      <c r="BI499" s="2"/>
    </row>
    <row r="500" ht="12.75" customHeight="1">
      <c r="A500" s="71"/>
      <c r="B500" s="71"/>
      <c r="C500" s="11"/>
      <c r="D500" s="11"/>
      <c r="E500" s="2"/>
      <c r="F500" s="2"/>
      <c r="G500" s="2"/>
      <c r="H500" s="54"/>
      <c r="I500" s="4"/>
      <c r="J500" s="2"/>
      <c r="K500" s="2"/>
      <c r="L500" s="5"/>
      <c r="M500" s="5"/>
      <c r="N500" s="5"/>
      <c r="O500" s="5"/>
      <c r="P500" s="5"/>
      <c r="Q500" s="5"/>
      <c r="R500" s="2"/>
      <c r="S500" s="2"/>
      <c r="T500" s="2"/>
      <c r="U500" s="2"/>
      <c r="V500" s="2"/>
      <c r="W500" s="2"/>
      <c r="X500" s="6"/>
      <c r="Y500" s="2"/>
      <c r="Z500" s="2"/>
      <c r="AA500" s="2"/>
      <c r="AB500" s="2"/>
      <c r="AC500" s="6"/>
      <c r="AD500" s="2"/>
      <c r="AE500" s="2"/>
      <c r="AF500" s="2"/>
      <c r="AG500" s="2"/>
      <c r="AH500" s="2"/>
      <c r="AI500" s="6"/>
      <c r="AJ500" s="2"/>
      <c r="AK500" s="56"/>
      <c r="AL500" s="2"/>
      <c r="AM500" s="2"/>
      <c r="AN500" s="2"/>
      <c r="AO500" s="2"/>
      <c r="AP500" s="6"/>
      <c r="AQ500" s="2"/>
      <c r="AR500" s="2"/>
      <c r="AS500" s="2"/>
      <c r="AT500" s="2"/>
      <c r="AU500" s="2"/>
      <c r="AV500" s="2"/>
      <c r="AW500" s="2"/>
      <c r="AX500" s="6"/>
      <c r="AY500" s="2"/>
      <c r="AZ500" s="2"/>
      <c r="BA500" s="2"/>
      <c r="BB500" s="2"/>
      <c r="BC500" s="2"/>
      <c r="BD500" s="6"/>
      <c r="BE500" s="2"/>
      <c r="BF500" s="6"/>
      <c r="BG500" s="58"/>
      <c r="BH500" s="6"/>
      <c r="BI500" s="2"/>
    </row>
    <row r="501" ht="12.75" customHeight="1">
      <c r="A501" s="71"/>
      <c r="B501" s="71"/>
      <c r="C501" s="11"/>
      <c r="D501" s="11"/>
      <c r="E501" s="2"/>
      <c r="F501" s="2"/>
      <c r="G501" s="2"/>
      <c r="H501" s="54"/>
      <c r="I501" s="4"/>
      <c r="J501" s="2"/>
      <c r="K501" s="2"/>
      <c r="L501" s="5"/>
      <c r="M501" s="5"/>
      <c r="N501" s="5"/>
      <c r="O501" s="5"/>
      <c r="P501" s="5"/>
      <c r="Q501" s="5"/>
      <c r="R501" s="2"/>
      <c r="S501" s="2"/>
      <c r="T501" s="2"/>
      <c r="U501" s="2"/>
      <c r="V501" s="2"/>
      <c r="W501" s="2"/>
      <c r="X501" s="6"/>
      <c r="Y501" s="2"/>
      <c r="Z501" s="2"/>
      <c r="AA501" s="2"/>
      <c r="AB501" s="2"/>
      <c r="AC501" s="6"/>
      <c r="AD501" s="2"/>
      <c r="AE501" s="2"/>
      <c r="AF501" s="2"/>
      <c r="AG501" s="2"/>
      <c r="AH501" s="2"/>
      <c r="AI501" s="6"/>
      <c r="AJ501" s="2"/>
      <c r="AK501" s="56"/>
      <c r="AL501" s="2"/>
      <c r="AM501" s="2"/>
      <c r="AN501" s="2"/>
      <c r="AO501" s="2"/>
      <c r="AP501" s="6"/>
      <c r="AQ501" s="2"/>
      <c r="AR501" s="2"/>
      <c r="AS501" s="2"/>
      <c r="AT501" s="2"/>
      <c r="AU501" s="2"/>
      <c r="AV501" s="2"/>
      <c r="AW501" s="2"/>
      <c r="AX501" s="6"/>
      <c r="AY501" s="2"/>
      <c r="AZ501" s="2"/>
      <c r="BA501" s="2"/>
      <c r="BB501" s="2"/>
      <c r="BC501" s="2"/>
      <c r="BD501" s="6"/>
      <c r="BE501" s="2"/>
      <c r="BF501" s="6"/>
      <c r="BG501" s="58"/>
      <c r="BH501" s="6"/>
      <c r="BI501" s="2"/>
    </row>
    <row r="502" ht="12.75" customHeight="1">
      <c r="A502" s="71"/>
      <c r="B502" s="71"/>
      <c r="C502" s="11"/>
      <c r="D502" s="11"/>
      <c r="E502" s="2"/>
      <c r="F502" s="2"/>
      <c r="G502" s="2"/>
      <c r="H502" s="54"/>
      <c r="I502" s="4"/>
      <c r="J502" s="2"/>
      <c r="K502" s="2"/>
      <c r="L502" s="5"/>
      <c r="M502" s="5"/>
      <c r="N502" s="5"/>
      <c r="O502" s="5"/>
      <c r="P502" s="5"/>
      <c r="Q502" s="5"/>
      <c r="R502" s="2"/>
      <c r="S502" s="2"/>
      <c r="T502" s="2"/>
      <c r="U502" s="2"/>
      <c r="V502" s="2"/>
      <c r="W502" s="2"/>
      <c r="X502" s="6"/>
      <c r="Y502" s="2"/>
      <c r="Z502" s="2"/>
      <c r="AA502" s="2"/>
      <c r="AB502" s="2"/>
      <c r="AC502" s="6"/>
      <c r="AD502" s="2"/>
      <c r="AE502" s="2"/>
      <c r="AF502" s="2"/>
      <c r="AG502" s="2"/>
      <c r="AH502" s="2"/>
      <c r="AI502" s="6"/>
      <c r="AJ502" s="2"/>
      <c r="AK502" s="56"/>
      <c r="AL502" s="2"/>
      <c r="AM502" s="2"/>
      <c r="AN502" s="2"/>
      <c r="AO502" s="2"/>
      <c r="AP502" s="6"/>
      <c r="AQ502" s="2"/>
      <c r="AR502" s="2"/>
      <c r="AS502" s="2"/>
      <c r="AT502" s="2"/>
      <c r="AU502" s="2"/>
      <c r="AV502" s="2"/>
      <c r="AW502" s="2"/>
      <c r="AX502" s="6"/>
      <c r="AY502" s="2"/>
      <c r="AZ502" s="2"/>
      <c r="BA502" s="2"/>
      <c r="BB502" s="2"/>
      <c r="BC502" s="2"/>
      <c r="BD502" s="6"/>
      <c r="BE502" s="2"/>
      <c r="BF502" s="6"/>
      <c r="BG502" s="58"/>
      <c r="BH502" s="6"/>
      <c r="BI502" s="2"/>
    </row>
    <row r="503" ht="12.75" customHeight="1">
      <c r="A503" s="71"/>
      <c r="B503" s="71"/>
      <c r="C503" s="11"/>
      <c r="D503" s="11"/>
      <c r="E503" s="2"/>
      <c r="F503" s="2"/>
      <c r="G503" s="2"/>
      <c r="H503" s="54"/>
      <c r="I503" s="4"/>
      <c r="J503" s="2"/>
      <c r="K503" s="2"/>
      <c r="L503" s="5"/>
      <c r="M503" s="5"/>
      <c r="N503" s="5"/>
      <c r="O503" s="5"/>
      <c r="P503" s="5"/>
      <c r="Q503" s="5"/>
      <c r="R503" s="2"/>
      <c r="S503" s="2"/>
      <c r="T503" s="2"/>
      <c r="U503" s="2"/>
      <c r="V503" s="2"/>
      <c r="W503" s="2"/>
      <c r="X503" s="6"/>
      <c r="Y503" s="2"/>
      <c r="Z503" s="2"/>
      <c r="AA503" s="2"/>
      <c r="AB503" s="2"/>
      <c r="AC503" s="6"/>
      <c r="AD503" s="2"/>
      <c r="AE503" s="2"/>
      <c r="AF503" s="2"/>
      <c r="AG503" s="2"/>
      <c r="AH503" s="2"/>
      <c r="AI503" s="6"/>
      <c r="AJ503" s="2"/>
      <c r="AK503" s="56"/>
      <c r="AL503" s="2"/>
      <c r="AM503" s="2"/>
      <c r="AN503" s="2"/>
      <c r="AO503" s="2"/>
      <c r="AP503" s="6"/>
      <c r="AQ503" s="2"/>
      <c r="AR503" s="2"/>
      <c r="AS503" s="2"/>
      <c r="AT503" s="2"/>
      <c r="AU503" s="2"/>
      <c r="AV503" s="2"/>
      <c r="AW503" s="2"/>
      <c r="AX503" s="6"/>
      <c r="AY503" s="2"/>
      <c r="AZ503" s="2"/>
      <c r="BA503" s="2"/>
      <c r="BB503" s="2"/>
      <c r="BC503" s="2"/>
      <c r="BD503" s="6"/>
      <c r="BE503" s="2"/>
      <c r="BF503" s="6"/>
      <c r="BG503" s="58"/>
      <c r="BH503" s="6"/>
      <c r="BI503" s="2"/>
    </row>
    <row r="504" ht="12.75" customHeight="1">
      <c r="A504" s="71"/>
      <c r="B504" s="71"/>
      <c r="C504" s="11"/>
      <c r="D504" s="11"/>
      <c r="E504" s="2"/>
      <c r="F504" s="2"/>
      <c r="G504" s="2"/>
      <c r="H504" s="54"/>
      <c r="I504" s="4"/>
      <c r="J504" s="2"/>
      <c r="K504" s="2"/>
      <c r="L504" s="5"/>
      <c r="M504" s="5"/>
      <c r="N504" s="5"/>
      <c r="O504" s="5"/>
      <c r="P504" s="5"/>
      <c r="Q504" s="5"/>
      <c r="R504" s="2"/>
      <c r="S504" s="2"/>
      <c r="T504" s="2"/>
      <c r="U504" s="2"/>
      <c r="V504" s="2"/>
      <c r="W504" s="2"/>
      <c r="X504" s="6"/>
      <c r="Y504" s="2"/>
      <c r="Z504" s="2"/>
      <c r="AA504" s="2"/>
      <c r="AB504" s="2"/>
      <c r="AC504" s="6"/>
      <c r="AD504" s="2"/>
      <c r="AE504" s="2"/>
      <c r="AF504" s="2"/>
      <c r="AG504" s="2"/>
      <c r="AH504" s="2"/>
      <c r="AI504" s="6"/>
      <c r="AJ504" s="2"/>
      <c r="AK504" s="56"/>
      <c r="AL504" s="2"/>
      <c r="AM504" s="2"/>
      <c r="AN504" s="2"/>
      <c r="AO504" s="2"/>
      <c r="AP504" s="6"/>
      <c r="AQ504" s="2"/>
      <c r="AR504" s="2"/>
      <c r="AS504" s="2"/>
      <c r="AT504" s="2"/>
      <c r="AU504" s="2"/>
      <c r="AV504" s="2"/>
      <c r="AW504" s="2"/>
      <c r="AX504" s="6"/>
      <c r="AY504" s="2"/>
      <c r="AZ504" s="2"/>
      <c r="BA504" s="2"/>
      <c r="BB504" s="2"/>
      <c r="BC504" s="2"/>
      <c r="BD504" s="6"/>
      <c r="BE504" s="2"/>
      <c r="BF504" s="6"/>
      <c r="BG504" s="58"/>
      <c r="BH504" s="6"/>
      <c r="BI504" s="2"/>
    </row>
    <row r="505" ht="12.75" customHeight="1">
      <c r="A505" s="71"/>
      <c r="B505" s="71"/>
      <c r="C505" s="11"/>
      <c r="D505" s="11"/>
      <c r="E505" s="2"/>
      <c r="F505" s="2"/>
      <c r="G505" s="2"/>
      <c r="H505" s="54"/>
      <c r="I505" s="4"/>
      <c r="J505" s="2"/>
      <c r="K505" s="2"/>
      <c r="L505" s="5"/>
      <c r="M505" s="5"/>
      <c r="N505" s="5"/>
      <c r="O505" s="5"/>
      <c r="P505" s="5"/>
      <c r="Q505" s="5"/>
      <c r="R505" s="2"/>
      <c r="S505" s="2"/>
      <c r="T505" s="2"/>
      <c r="U505" s="2"/>
      <c r="V505" s="2"/>
      <c r="W505" s="2"/>
      <c r="X505" s="6"/>
      <c r="Y505" s="2"/>
      <c r="Z505" s="2"/>
      <c r="AA505" s="2"/>
      <c r="AB505" s="2"/>
      <c r="AC505" s="6"/>
      <c r="AD505" s="2"/>
      <c r="AE505" s="2"/>
      <c r="AF505" s="2"/>
      <c r="AG505" s="2"/>
      <c r="AH505" s="2"/>
      <c r="AI505" s="6"/>
      <c r="AJ505" s="2"/>
      <c r="AK505" s="56"/>
      <c r="AL505" s="2"/>
      <c r="AM505" s="2"/>
      <c r="AN505" s="2"/>
      <c r="AO505" s="2"/>
      <c r="AP505" s="6"/>
      <c r="AQ505" s="2"/>
      <c r="AR505" s="2"/>
      <c r="AS505" s="2"/>
      <c r="AT505" s="2"/>
      <c r="AU505" s="2"/>
      <c r="AV505" s="2"/>
      <c r="AW505" s="2"/>
      <c r="AX505" s="6"/>
      <c r="AY505" s="2"/>
      <c r="AZ505" s="2"/>
      <c r="BA505" s="2"/>
      <c r="BB505" s="2"/>
      <c r="BC505" s="2"/>
      <c r="BD505" s="6"/>
      <c r="BE505" s="2"/>
      <c r="BF505" s="6"/>
      <c r="BG505" s="58"/>
      <c r="BH505" s="6"/>
      <c r="BI505" s="2"/>
    </row>
    <row r="506" ht="12.75" customHeight="1">
      <c r="A506" s="71"/>
      <c r="B506" s="71"/>
      <c r="C506" s="11"/>
      <c r="D506" s="11"/>
      <c r="E506" s="2"/>
      <c r="F506" s="2"/>
      <c r="G506" s="2"/>
      <c r="H506" s="54"/>
      <c r="I506" s="4"/>
      <c r="J506" s="2"/>
      <c r="K506" s="2"/>
      <c r="L506" s="5"/>
      <c r="M506" s="5"/>
      <c r="N506" s="5"/>
      <c r="O506" s="5"/>
      <c r="P506" s="5"/>
      <c r="Q506" s="5"/>
      <c r="R506" s="2"/>
      <c r="S506" s="2"/>
      <c r="T506" s="2"/>
      <c r="U506" s="2"/>
      <c r="V506" s="2"/>
      <c r="W506" s="2"/>
      <c r="X506" s="6"/>
      <c r="Y506" s="2"/>
      <c r="Z506" s="2"/>
      <c r="AA506" s="2"/>
      <c r="AB506" s="2"/>
      <c r="AC506" s="6"/>
      <c r="AD506" s="2"/>
      <c r="AE506" s="2"/>
      <c r="AF506" s="2"/>
      <c r="AG506" s="2"/>
      <c r="AH506" s="2"/>
      <c r="AI506" s="6"/>
      <c r="AJ506" s="2"/>
      <c r="AK506" s="56"/>
      <c r="AL506" s="2"/>
      <c r="AM506" s="2"/>
      <c r="AN506" s="2"/>
      <c r="AO506" s="2"/>
      <c r="AP506" s="6"/>
      <c r="AQ506" s="2"/>
      <c r="AR506" s="2"/>
      <c r="AS506" s="2"/>
      <c r="AT506" s="2"/>
      <c r="AU506" s="2"/>
      <c r="AV506" s="2"/>
      <c r="AW506" s="2"/>
      <c r="AX506" s="6"/>
      <c r="AY506" s="2"/>
      <c r="AZ506" s="2"/>
      <c r="BA506" s="2"/>
      <c r="BB506" s="2"/>
      <c r="BC506" s="2"/>
      <c r="BD506" s="6"/>
      <c r="BE506" s="2"/>
      <c r="BF506" s="6"/>
      <c r="BG506" s="58"/>
      <c r="BH506" s="6"/>
      <c r="BI506" s="2"/>
    </row>
    <row r="507" ht="12.75" customHeight="1">
      <c r="A507" s="71"/>
      <c r="B507" s="71"/>
      <c r="C507" s="11"/>
      <c r="D507" s="11"/>
      <c r="E507" s="2"/>
      <c r="F507" s="2"/>
      <c r="G507" s="2"/>
      <c r="H507" s="54"/>
      <c r="I507" s="4"/>
      <c r="J507" s="2"/>
      <c r="K507" s="2"/>
      <c r="L507" s="5"/>
      <c r="M507" s="5"/>
      <c r="N507" s="5"/>
      <c r="O507" s="5"/>
      <c r="P507" s="5"/>
      <c r="Q507" s="5"/>
      <c r="R507" s="2"/>
      <c r="S507" s="2"/>
      <c r="T507" s="2"/>
      <c r="U507" s="2"/>
      <c r="V507" s="2"/>
      <c r="W507" s="2"/>
      <c r="X507" s="6"/>
      <c r="Y507" s="2"/>
      <c r="Z507" s="2"/>
      <c r="AA507" s="2"/>
      <c r="AB507" s="2"/>
      <c r="AC507" s="6"/>
      <c r="AD507" s="2"/>
      <c r="AE507" s="2"/>
      <c r="AF507" s="2"/>
      <c r="AG507" s="2"/>
      <c r="AH507" s="2"/>
      <c r="AI507" s="6"/>
      <c r="AJ507" s="2"/>
      <c r="AK507" s="56"/>
      <c r="AL507" s="2"/>
      <c r="AM507" s="2"/>
      <c r="AN507" s="2"/>
      <c r="AO507" s="2"/>
      <c r="AP507" s="6"/>
      <c r="AQ507" s="2"/>
      <c r="AR507" s="2"/>
      <c r="AS507" s="2"/>
      <c r="AT507" s="2"/>
      <c r="AU507" s="2"/>
      <c r="AV507" s="2"/>
      <c r="AW507" s="2"/>
      <c r="AX507" s="6"/>
      <c r="AY507" s="2"/>
      <c r="AZ507" s="2"/>
      <c r="BA507" s="2"/>
      <c r="BB507" s="2"/>
      <c r="BC507" s="2"/>
      <c r="BD507" s="6"/>
      <c r="BE507" s="2"/>
      <c r="BF507" s="6"/>
      <c r="BG507" s="58"/>
      <c r="BH507" s="6"/>
      <c r="BI507" s="2"/>
    </row>
    <row r="508" ht="12.75" customHeight="1">
      <c r="A508" s="71"/>
      <c r="B508" s="71"/>
      <c r="C508" s="11"/>
      <c r="D508" s="11"/>
      <c r="E508" s="2"/>
      <c r="F508" s="2"/>
      <c r="G508" s="2"/>
      <c r="H508" s="54"/>
      <c r="I508" s="4"/>
      <c r="J508" s="2"/>
      <c r="K508" s="2"/>
      <c r="L508" s="5"/>
      <c r="M508" s="5"/>
      <c r="N508" s="5"/>
      <c r="O508" s="5"/>
      <c r="P508" s="5"/>
      <c r="Q508" s="5"/>
      <c r="R508" s="2"/>
      <c r="S508" s="2"/>
      <c r="T508" s="2"/>
      <c r="U508" s="2"/>
      <c r="V508" s="2"/>
      <c r="W508" s="2"/>
      <c r="X508" s="6"/>
      <c r="Y508" s="2"/>
      <c r="Z508" s="2"/>
      <c r="AA508" s="2"/>
      <c r="AB508" s="2"/>
      <c r="AC508" s="6"/>
      <c r="AD508" s="2"/>
      <c r="AE508" s="2"/>
      <c r="AF508" s="2"/>
      <c r="AG508" s="2"/>
      <c r="AH508" s="2"/>
      <c r="AI508" s="6"/>
      <c r="AJ508" s="2"/>
      <c r="AK508" s="56"/>
      <c r="AL508" s="2"/>
      <c r="AM508" s="2"/>
      <c r="AN508" s="2"/>
      <c r="AO508" s="2"/>
      <c r="AP508" s="6"/>
      <c r="AQ508" s="2"/>
      <c r="AR508" s="2"/>
      <c r="AS508" s="2"/>
      <c r="AT508" s="2"/>
      <c r="AU508" s="2"/>
      <c r="AV508" s="2"/>
      <c r="AW508" s="2"/>
      <c r="AX508" s="6"/>
      <c r="AY508" s="2"/>
      <c r="AZ508" s="2"/>
      <c r="BA508" s="2"/>
      <c r="BB508" s="2"/>
      <c r="BC508" s="2"/>
      <c r="BD508" s="6"/>
      <c r="BE508" s="2"/>
      <c r="BF508" s="6"/>
      <c r="BG508" s="58"/>
      <c r="BH508" s="6"/>
      <c r="BI508" s="2"/>
    </row>
    <row r="509" ht="12.75" customHeight="1">
      <c r="A509" s="71"/>
      <c r="B509" s="71"/>
      <c r="C509" s="11"/>
      <c r="D509" s="11"/>
      <c r="E509" s="2"/>
      <c r="F509" s="2"/>
      <c r="G509" s="2"/>
      <c r="H509" s="54"/>
      <c r="I509" s="4"/>
      <c r="J509" s="2"/>
      <c r="K509" s="2"/>
      <c r="L509" s="5"/>
      <c r="M509" s="5"/>
      <c r="N509" s="5"/>
      <c r="O509" s="5"/>
      <c r="P509" s="5"/>
      <c r="Q509" s="5"/>
      <c r="R509" s="2"/>
      <c r="S509" s="2"/>
      <c r="T509" s="2"/>
      <c r="U509" s="2"/>
      <c r="V509" s="2"/>
      <c r="W509" s="2"/>
      <c r="X509" s="6"/>
      <c r="Y509" s="2"/>
      <c r="Z509" s="2"/>
      <c r="AA509" s="2"/>
      <c r="AB509" s="2"/>
      <c r="AC509" s="6"/>
      <c r="AD509" s="2"/>
      <c r="AE509" s="2"/>
      <c r="AF509" s="2"/>
      <c r="AG509" s="2"/>
      <c r="AH509" s="2"/>
      <c r="AI509" s="6"/>
      <c r="AJ509" s="2"/>
      <c r="AK509" s="56"/>
      <c r="AL509" s="2"/>
      <c r="AM509" s="2"/>
      <c r="AN509" s="2"/>
      <c r="AO509" s="2"/>
      <c r="AP509" s="6"/>
      <c r="AQ509" s="2"/>
      <c r="AR509" s="2"/>
      <c r="AS509" s="2"/>
      <c r="AT509" s="2"/>
      <c r="AU509" s="2"/>
      <c r="AV509" s="2"/>
      <c r="AW509" s="2"/>
      <c r="AX509" s="6"/>
      <c r="AY509" s="2"/>
      <c r="AZ509" s="2"/>
      <c r="BA509" s="2"/>
      <c r="BB509" s="2"/>
      <c r="BC509" s="2"/>
      <c r="BD509" s="6"/>
      <c r="BE509" s="2"/>
      <c r="BF509" s="6"/>
      <c r="BG509" s="58"/>
      <c r="BH509" s="6"/>
      <c r="BI509" s="2"/>
    </row>
    <row r="510" ht="12.75" customHeight="1">
      <c r="A510" s="71"/>
      <c r="B510" s="71"/>
      <c r="C510" s="11"/>
      <c r="D510" s="11"/>
      <c r="E510" s="2"/>
      <c r="F510" s="2"/>
      <c r="G510" s="2"/>
      <c r="H510" s="54"/>
      <c r="I510" s="4"/>
      <c r="J510" s="2"/>
      <c r="K510" s="2"/>
      <c r="L510" s="5"/>
      <c r="M510" s="5"/>
      <c r="N510" s="5"/>
      <c r="O510" s="5"/>
      <c r="P510" s="5"/>
      <c r="Q510" s="5"/>
      <c r="R510" s="2"/>
      <c r="S510" s="2"/>
      <c r="T510" s="2"/>
      <c r="U510" s="2"/>
      <c r="V510" s="2"/>
      <c r="W510" s="2"/>
      <c r="X510" s="6"/>
      <c r="Y510" s="2"/>
      <c r="Z510" s="2"/>
      <c r="AA510" s="2"/>
      <c r="AB510" s="2"/>
      <c r="AC510" s="6"/>
      <c r="AD510" s="2"/>
      <c r="AE510" s="2"/>
      <c r="AF510" s="2"/>
      <c r="AG510" s="2"/>
      <c r="AH510" s="2"/>
      <c r="AI510" s="6"/>
      <c r="AJ510" s="2"/>
      <c r="AK510" s="56"/>
      <c r="AL510" s="2"/>
      <c r="AM510" s="2"/>
      <c r="AN510" s="2"/>
      <c r="AO510" s="2"/>
      <c r="AP510" s="6"/>
      <c r="AQ510" s="2"/>
      <c r="AR510" s="2"/>
      <c r="AS510" s="2"/>
      <c r="AT510" s="2"/>
      <c r="AU510" s="2"/>
      <c r="AV510" s="2"/>
      <c r="AW510" s="2"/>
      <c r="AX510" s="6"/>
      <c r="AY510" s="2"/>
      <c r="AZ510" s="2"/>
      <c r="BA510" s="2"/>
      <c r="BB510" s="2"/>
      <c r="BC510" s="2"/>
      <c r="BD510" s="6"/>
      <c r="BE510" s="2"/>
      <c r="BF510" s="6"/>
      <c r="BG510" s="58"/>
      <c r="BH510" s="6"/>
      <c r="BI510" s="2"/>
    </row>
    <row r="511" ht="12.75" customHeight="1">
      <c r="A511" s="71"/>
      <c r="B511" s="71"/>
      <c r="C511" s="11"/>
      <c r="D511" s="11"/>
      <c r="E511" s="2"/>
      <c r="F511" s="2"/>
      <c r="G511" s="2"/>
      <c r="H511" s="54"/>
      <c r="I511" s="4"/>
      <c r="J511" s="2"/>
      <c r="K511" s="2"/>
      <c r="L511" s="5"/>
      <c r="M511" s="5"/>
      <c r="N511" s="5"/>
      <c r="O511" s="5"/>
      <c r="P511" s="5"/>
      <c r="Q511" s="5"/>
      <c r="R511" s="2"/>
      <c r="S511" s="2"/>
      <c r="T511" s="2"/>
      <c r="U511" s="2"/>
      <c r="V511" s="2"/>
      <c r="W511" s="2"/>
      <c r="X511" s="6"/>
      <c r="Y511" s="2"/>
      <c r="Z511" s="2"/>
      <c r="AA511" s="2"/>
      <c r="AB511" s="2"/>
      <c r="AC511" s="6"/>
      <c r="AD511" s="2"/>
      <c r="AE511" s="2"/>
      <c r="AF511" s="2"/>
      <c r="AG511" s="2"/>
      <c r="AH511" s="2"/>
      <c r="AI511" s="6"/>
      <c r="AJ511" s="2"/>
      <c r="AK511" s="56"/>
      <c r="AL511" s="2"/>
      <c r="AM511" s="2"/>
      <c r="AN511" s="2"/>
      <c r="AO511" s="2"/>
      <c r="AP511" s="6"/>
      <c r="AQ511" s="2"/>
      <c r="AR511" s="2"/>
      <c r="AS511" s="2"/>
      <c r="AT511" s="2"/>
      <c r="AU511" s="2"/>
      <c r="AV511" s="2"/>
      <c r="AW511" s="2"/>
      <c r="AX511" s="6"/>
      <c r="AY511" s="2"/>
      <c r="AZ511" s="2"/>
      <c r="BA511" s="2"/>
      <c r="BB511" s="2"/>
      <c r="BC511" s="2"/>
      <c r="BD511" s="6"/>
      <c r="BE511" s="2"/>
      <c r="BF511" s="6"/>
      <c r="BG511" s="58"/>
      <c r="BH511" s="6"/>
      <c r="BI511" s="2"/>
    </row>
    <row r="512" ht="12.75" customHeight="1">
      <c r="A512" s="71"/>
      <c r="B512" s="71"/>
      <c r="C512" s="11"/>
      <c r="D512" s="11"/>
      <c r="E512" s="2"/>
      <c r="F512" s="2"/>
      <c r="G512" s="2"/>
      <c r="H512" s="54"/>
      <c r="I512" s="4"/>
      <c r="J512" s="2"/>
      <c r="K512" s="2"/>
      <c r="L512" s="5"/>
      <c r="M512" s="5"/>
      <c r="N512" s="5"/>
      <c r="O512" s="5"/>
      <c r="P512" s="5"/>
      <c r="Q512" s="5"/>
      <c r="R512" s="2"/>
      <c r="S512" s="2"/>
      <c r="T512" s="2"/>
      <c r="U512" s="2"/>
      <c r="V512" s="2"/>
      <c r="W512" s="2"/>
      <c r="X512" s="6"/>
      <c r="Y512" s="2"/>
      <c r="Z512" s="2"/>
      <c r="AA512" s="2"/>
      <c r="AB512" s="2"/>
      <c r="AC512" s="6"/>
      <c r="AD512" s="2"/>
      <c r="AE512" s="2"/>
      <c r="AF512" s="2"/>
      <c r="AG512" s="2"/>
      <c r="AH512" s="2"/>
      <c r="AI512" s="6"/>
      <c r="AJ512" s="2"/>
      <c r="AK512" s="56"/>
      <c r="AL512" s="2"/>
      <c r="AM512" s="2"/>
      <c r="AN512" s="2"/>
      <c r="AO512" s="2"/>
      <c r="AP512" s="6"/>
      <c r="AQ512" s="2"/>
      <c r="AR512" s="2"/>
      <c r="AS512" s="2"/>
      <c r="AT512" s="2"/>
      <c r="AU512" s="2"/>
      <c r="AV512" s="2"/>
      <c r="AW512" s="2"/>
      <c r="AX512" s="6"/>
      <c r="AY512" s="2"/>
      <c r="AZ512" s="2"/>
      <c r="BA512" s="2"/>
      <c r="BB512" s="2"/>
      <c r="BC512" s="2"/>
      <c r="BD512" s="6"/>
      <c r="BE512" s="2"/>
      <c r="BF512" s="6"/>
      <c r="BG512" s="58"/>
      <c r="BH512" s="6"/>
      <c r="BI512" s="2"/>
    </row>
    <row r="513" ht="12.75" customHeight="1">
      <c r="A513" s="71"/>
      <c r="B513" s="71"/>
      <c r="C513" s="11"/>
      <c r="D513" s="11"/>
      <c r="E513" s="2"/>
      <c r="F513" s="2"/>
      <c r="G513" s="2"/>
      <c r="H513" s="54"/>
      <c r="I513" s="4"/>
      <c r="J513" s="2"/>
      <c r="K513" s="2"/>
      <c r="L513" s="5"/>
      <c r="M513" s="5"/>
      <c r="N513" s="5"/>
      <c r="O513" s="5"/>
      <c r="P513" s="5"/>
      <c r="Q513" s="5"/>
      <c r="R513" s="2"/>
      <c r="S513" s="2"/>
      <c r="T513" s="2"/>
      <c r="U513" s="2"/>
      <c r="V513" s="2"/>
      <c r="W513" s="2"/>
      <c r="X513" s="6"/>
      <c r="Y513" s="2"/>
      <c r="Z513" s="2"/>
      <c r="AA513" s="2"/>
      <c r="AB513" s="2"/>
      <c r="AC513" s="6"/>
      <c r="AD513" s="2"/>
      <c r="AE513" s="2"/>
      <c r="AF513" s="2"/>
      <c r="AG513" s="2"/>
      <c r="AH513" s="2"/>
      <c r="AI513" s="6"/>
      <c r="AJ513" s="2"/>
      <c r="AK513" s="56"/>
      <c r="AL513" s="2"/>
      <c r="AM513" s="2"/>
      <c r="AN513" s="2"/>
      <c r="AO513" s="2"/>
      <c r="AP513" s="6"/>
      <c r="AQ513" s="2"/>
      <c r="AR513" s="2"/>
      <c r="AS513" s="2"/>
      <c r="AT513" s="2"/>
      <c r="AU513" s="2"/>
      <c r="AV513" s="2"/>
      <c r="AW513" s="2"/>
      <c r="AX513" s="6"/>
      <c r="AY513" s="2"/>
      <c r="AZ513" s="2"/>
      <c r="BA513" s="2"/>
      <c r="BB513" s="2"/>
      <c r="BC513" s="2"/>
      <c r="BD513" s="6"/>
      <c r="BE513" s="2"/>
      <c r="BF513" s="6"/>
      <c r="BG513" s="58"/>
      <c r="BH513" s="6"/>
      <c r="BI513" s="2"/>
    </row>
    <row r="514" ht="12.75" customHeight="1">
      <c r="A514" s="71"/>
      <c r="B514" s="71"/>
      <c r="C514" s="11"/>
      <c r="D514" s="11"/>
      <c r="E514" s="2"/>
      <c r="F514" s="2"/>
      <c r="G514" s="2"/>
      <c r="H514" s="54"/>
      <c r="I514" s="4"/>
      <c r="J514" s="2"/>
      <c r="K514" s="2"/>
      <c r="L514" s="5"/>
      <c r="M514" s="5"/>
      <c r="N514" s="5"/>
      <c r="O514" s="5"/>
      <c r="P514" s="5"/>
      <c r="Q514" s="5"/>
      <c r="R514" s="2"/>
      <c r="S514" s="2"/>
      <c r="T514" s="2"/>
      <c r="U514" s="2"/>
      <c r="V514" s="2"/>
      <c r="W514" s="2"/>
      <c r="X514" s="6"/>
      <c r="Y514" s="2"/>
      <c r="Z514" s="2"/>
      <c r="AA514" s="2"/>
      <c r="AB514" s="2"/>
      <c r="AC514" s="6"/>
      <c r="AD514" s="2"/>
      <c r="AE514" s="2"/>
      <c r="AF514" s="2"/>
      <c r="AG514" s="2"/>
      <c r="AH514" s="2"/>
      <c r="AI514" s="6"/>
      <c r="AJ514" s="2"/>
      <c r="AK514" s="56"/>
      <c r="AL514" s="2"/>
      <c r="AM514" s="2"/>
      <c r="AN514" s="2"/>
      <c r="AO514" s="2"/>
      <c r="AP514" s="6"/>
      <c r="AQ514" s="2"/>
      <c r="AR514" s="2"/>
      <c r="AS514" s="2"/>
      <c r="AT514" s="2"/>
      <c r="AU514" s="2"/>
      <c r="AV514" s="2"/>
      <c r="AW514" s="2"/>
      <c r="AX514" s="6"/>
      <c r="AY514" s="2"/>
      <c r="AZ514" s="2"/>
      <c r="BA514" s="2"/>
      <c r="BB514" s="2"/>
      <c r="BC514" s="2"/>
      <c r="BD514" s="6"/>
      <c r="BE514" s="2"/>
      <c r="BF514" s="6"/>
      <c r="BG514" s="58"/>
      <c r="BH514" s="6"/>
      <c r="BI514" s="2"/>
    </row>
    <row r="515" ht="12.75" customHeight="1">
      <c r="A515" s="71"/>
      <c r="B515" s="71"/>
      <c r="C515" s="11"/>
      <c r="D515" s="11"/>
      <c r="E515" s="2"/>
      <c r="F515" s="2"/>
      <c r="G515" s="2"/>
      <c r="H515" s="54"/>
      <c r="I515" s="4"/>
      <c r="J515" s="2"/>
      <c r="K515" s="2"/>
      <c r="L515" s="5"/>
      <c r="M515" s="5"/>
      <c r="N515" s="5"/>
      <c r="O515" s="5"/>
      <c r="P515" s="5"/>
      <c r="Q515" s="5"/>
      <c r="R515" s="2"/>
      <c r="S515" s="2"/>
      <c r="T515" s="2"/>
      <c r="U515" s="2"/>
      <c r="V515" s="2"/>
      <c r="W515" s="2"/>
      <c r="X515" s="6"/>
      <c r="Y515" s="2"/>
      <c r="Z515" s="2"/>
      <c r="AA515" s="2"/>
      <c r="AB515" s="2"/>
      <c r="AC515" s="6"/>
      <c r="AD515" s="2"/>
      <c r="AE515" s="2"/>
      <c r="AF515" s="2"/>
      <c r="AG515" s="2"/>
      <c r="AH515" s="2"/>
      <c r="AI515" s="6"/>
      <c r="AJ515" s="2"/>
      <c r="AK515" s="56"/>
      <c r="AL515" s="2"/>
      <c r="AM515" s="2"/>
      <c r="AN515" s="2"/>
      <c r="AO515" s="2"/>
      <c r="AP515" s="6"/>
      <c r="AQ515" s="2"/>
      <c r="AR515" s="2"/>
      <c r="AS515" s="2"/>
      <c r="AT515" s="2"/>
      <c r="AU515" s="2"/>
      <c r="AV515" s="2"/>
      <c r="AW515" s="2"/>
      <c r="AX515" s="6"/>
      <c r="AY515" s="2"/>
      <c r="AZ515" s="2"/>
      <c r="BA515" s="2"/>
      <c r="BB515" s="2"/>
      <c r="BC515" s="2"/>
      <c r="BD515" s="6"/>
      <c r="BE515" s="2"/>
      <c r="BF515" s="6"/>
      <c r="BG515" s="58"/>
      <c r="BH515" s="6"/>
      <c r="BI515" s="2"/>
    </row>
    <row r="516" ht="12.75" customHeight="1">
      <c r="A516" s="71"/>
      <c r="B516" s="71"/>
      <c r="C516" s="11"/>
      <c r="D516" s="11"/>
      <c r="E516" s="2"/>
      <c r="F516" s="2"/>
      <c r="G516" s="2"/>
      <c r="H516" s="54"/>
      <c r="I516" s="4"/>
      <c r="J516" s="2"/>
      <c r="K516" s="2"/>
      <c r="L516" s="5"/>
      <c r="M516" s="5"/>
      <c r="N516" s="5"/>
      <c r="O516" s="5"/>
      <c r="P516" s="5"/>
      <c r="Q516" s="5"/>
      <c r="R516" s="2"/>
      <c r="S516" s="2"/>
      <c r="T516" s="2"/>
      <c r="U516" s="2"/>
      <c r="V516" s="2"/>
      <c r="W516" s="2"/>
      <c r="X516" s="6"/>
      <c r="Y516" s="2"/>
      <c r="Z516" s="2"/>
      <c r="AA516" s="2"/>
      <c r="AB516" s="2"/>
      <c r="AC516" s="6"/>
      <c r="AD516" s="2"/>
      <c r="AE516" s="2"/>
      <c r="AF516" s="2"/>
      <c r="AG516" s="2"/>
      <c r="AH516" s="2"/>
      <c r="AI516" s="6"/>
      <c r="AJ516" s="2"/>
      <c r="AK516" s="56"/>
      <c r="AL516" s="2"/>
      <c r="AM516" s="2"/>
      <c r="AN516" s="2"/>
      <c r="AO516" s="2"/>
      <c r="AP516" s="6"/>
      <c r="AQ516" s="2"/>
      <c r="AR516" s="2"/>
      <c r="AS516" s="2"/>
      <c r="AT516" s="2"/>
      <c r="AU516" s="2"/>
      <c r="AV516" s="2"/>
      <c r="AW516" s="2"/>
      <c r="AX516" s="6"/>
      <c r="AY516" s="2"/>
      <c r="AZ516" s="2"/>
      <c r="BA516" s="2"/>
      <c r="BB516" s="2"/>
      <c r="BC516" s="2"/>
      <c r="BD516" s="6"/>
      <c r="BE516" s="2"/>
      <c r="BF516" s="6"/>
      <c r="BG516" s="58"/>
      <c r="BH516" s="6"/>
      <c r="BI516" s="2"/>
    </row>
    <row r="517" ht="12.75" customHeight="1">
      <c r="A517" s="71"/>
      <c r="B517" s="71"/>
      <c r="C517" s="11"/>
      <c r="D517" s="11"/>
      <c r="E517" s="2"/>
      <c r="F517" s="2"/>
      <c r="G517" s="2"/>
      <c r="H517" s="54"/>
      <c r="I517" s="4"/>
      <c r="J517" s="2"/>
      <c r="K517" s="2"/>
      <c r="L517" s="5"/>
      <c r="M517" s="5"/>
      <c r="N517" s="5"/>
      <c r="O517" s="5"/>
      <c r="P517" s="5"/>
      <c r="Q517" s="5"/>
      <c r="R517" s="2"/>
      <c r="S517" s="2"/>
      <c r="T517" s="2"/>
      <c r="U517" s="2"/>
      <c r="V517" s="2"/>
      <c r="W517" s="2"/>
      <c r="X517" s="6"/>
      <c r="Y517" s="2"/>
      <c r="Z517" s="2"/>
      <c r="AA517" s="2"/>
      <c r="AB517" s="2"/>
      <c r="AC517" s="6"/>
      <c r="AD517" s="2"/>
      <c r="AE517" s="2"/>
      <c r="AF517" s="2"/>
      <c r="AG517" s="2"/>
      <c r="AH517" s="2"/>
      <c r="AI517" s="6"/>
      <c r="AJ517" s="2"/>
      <c r="AK517" s="56"/>
      <c r="AL517" s="2"/>
      <c r="AM517" s="2"/>
      <c r="AN517" s="2"/>
      <c r="AO517" s="2"/>
      <c r="AP517" s="6"/>
      <c r="AQ517" s="2"/>
      <c r="AR517" s="2"/>
      <c r="AS517" s="2"/>
      <c r="AT517" s="2"/>
      <c r="AU517" s="2"/>
      <c r="AV517" s="2"/>
      <c r="AW517" s="2"/>
      <c r="AX517" s="6"/>
      <c r="AY517" s="2"/>
      <c r="AZ517" s="2"/>
      <c r="BA517" s="2"/>
      <c r="BB517" s="2"/>
      <c r="BC517" s="2"/>
      <c r="BD517" s="6"/>
      <c r="BE517" s="2"/>
      <c r="BF517" s="6"/>
      <c r="BG517" s="58"/>
      <c r="BH517" s="6"/>
      <c r="BI517" s="2"/>
    </row>
    <row r="518" ht="12.75" customHeight="1">
      <c r="A518" s="71"/>
      <c r="B518" s="71"/>
      <c r="C518" s="11"/>
      <c r="D518" s="11"/>
      <c r="E518" s="2"/>
      <c r="F518" s="2"/>
      <c r="G518" s="2"/>
      <c r="H518" s="54"/>
      <c r="I518" s="4"/>
      <c r="J518" s="2"/>
      <c r="K518" s="2"/>
      <c r="L518" s="5"/>
      <c r="M518" s="5"/>
      <c r="N518" s="5"/>
      <c r="O518" s="5"/>
      <c r="P518" s="5"/>
      <c r="Q518" s="5"/>
      <c r="R518" s="2"/>
      <c r="S518" s="2"/>
      <c r="T518" s="2"/>
      <c r="U518" s="2"/>
      <c r="V518" s="2"/>
      <c r="W518" s="2"/>
      <c r="X518" s="6"/>
      <c r="Y518" s="2"/>
      <c r="Z518" s="2"/>
      <c r="AA518" s="2"/>
      <c r="AB518" s="2"/>
      <c r="AC518" s="6"/>
      <c r="AD518" s="2"/>
      <c r="AE518" s="2"/>
      <c r="AF518" s="2"/>
      <c r="AG518" s="2"/>
      <c r="AH518" s="2"/>
      <c r="AI518" s="6"/>
      <c r="AJ518" s="2"/>
      <c r="AK518" s="56"/>
      <c r="AL518" s="2"/>
      <c r="AM518" s="2"/>
      <c r="AN518" s="2"/>
      <c r="AO518" s="2"/>
      <c r="AP518" s="6"/>
      <c r="AQ518" s="2"/>
      <c r="AR518" s="2"/>
      <c r="AS518" s="2"/>
      <c r="AT518" s="2"/>
      <c r="AU518" s="2"/>
      <c r="AV518" s="2"/>
      <c r="AW518" s="2"/>
      <c r="AX518" s="6"/>
      <c r="AY518" s="2"/>
      <c r="AZ518" s="2"/>
      <c r="BA518" s="2"/>
      <c r="BB518" s="2"/>
      <c r="BC518" s="2"/>
      <c r="BD518" s="6"/>
      <c r="BE518" s="2"/>
      <c r="BF518" s="6"/>
      <c r="BG518" s="58"/>
      <c r="BH518" s="6"/>
      <c r="BI518" s="2"/>
    </row>
    <row r="519" ht="12.75" customHeight="1">
      <c r="A519" s="71"/>
      <c r="B519" s="71"/>
      <c r="C519" s="11"/>
      <c r="D519" s="11"/>
      <c r="E519" s="2"/>
      <c r="F519" s="2"/>
      <c r="G519" s="2"/>
      <c r="H519" s="54"/>
      <c r="I519" s="4"/>
      <c r="J519" s="2"/>
      <c r="K519" s="2"/>
      <c r="L519" s="5"/>
      <c r="M519" s="5"/>
      <c r="N519" s="5"/>
      <c r="O519" s="5"/>
      <c r="P519" s="5"/>
      <c r="Q519" s="5"/>
      <c r="R519" s="2"/>
      <c r="S519" s="2"/>
      <c r="T519" s="2"/>
      <c r="U519" s="2"/>
      <c r="V519" s="2"/>
      <c r="W519" s="2"/>
      <c r="X519" s="6"/>
      <c r="Y519" s="2"/>
      <c r="Z519" s="2"/>
      <c r="AA519" s="2"/>
      <c r="AB519" s="2"/>
      <c r="AC519" s="6"/>
      <c r="AD519" s="2"/>
      <c r="AE519" s="2"/>
      <c r="AF519" s="2"/>
      <c r="AG519" s="2"/>
      <c r="AH519" s="2"/>
      <c r="AI519" s="6"/>
      <c r="AJ519" s="2"/>
      <c r="AK519" s="56"/>
      <c r="AL519" s="2"/>
      <c r="AM519" s="2"/>
      <c r="AN519" s="2"/>
      <c r="AO519" s="2"/>
      <c r="AP519" s="6"/>
      <c r="AQ519" s="2"/>
      <c r="AR519" s="2"/>
      <c r="AS519" s="2"/>
      <c r="AT519" s="2"/>
      <c r="AU519" s="2"/>
      <c r="AV519" s="2"/>
      <c r="AW519" s="2"/>
      <c r="AX519" s="6"/>
      <c r="AY519" s="2"/>
      <c r="AZ519" s="2"/>
      <c r="BA519" s="2"/>
      <c r="BB519" s="2"/>
      <c r="BC519" s="2"/>
      <c r="BD519" s="6"/>
      <c r="BE519" s="2"/>
      <c r="BF519" s="6"/>
      <c r="BG519" s="58"/>
      <c r="BH519" s="6"/>
      <c r="BI519" s="2"/>
    </row>
    <row r="520" ht="12.75" customHeight="1">
      <c r="A520" s="71"/>
      <c r="B520" s="71"/>
      <c r="C520" s="11"/>
      <c r="D520" s="11"/>
      <c r="E520" s="2"/>
      <c r="F520" s="2"/>
      <c r="G520" s="2"/>
      <c r="H520" s="54"/>
      <c r="I520" s="4"/>
      <c r="J520" s="2"/>
      <c r="K520" s="2"/>
      <c r="L520" s="5"/>
      <c r="M520" s="5"/>
      <c r="N520" s="5"/>
      <c r="O520" s="5"/>
      <c r="P520" s="5"/>
      <c r="Q520" s="5"/>
      <c r="R520" s="2"/>
      <c r="S520" s="2"/>
      <c r="T520" s="2"/>
      <c r="U520" s="2"/>
      <c r="V520" s="2"/>
      <c r="W520" s="2"/>
      <c r="X520" s="6"/>
      <c r="Y520" s="2"/>
      <c r="Z520" s="2"/>
      <c r="AA520" s="2"/>
      <c r="AB520" s="2"/>
      <c r="AC520" s="6"/>
      <c r="AD520" s="2"/>
      <c r="AE520" s="2"/>
      <c r="AF520" s="2"/>
      <c r="AG520" s="2"/>
      <c r="AH520" s="2"/>
      <c r="AI520" s="6"/>
      <c r="AJ520" s="2"/>
      <c r="AK520" s="56"/>
      <c r="AL520" s="2"/>
      <c r="AM520" s="2"/>
      <c r="AN520" s="2"/>
      <c r="AO520" s="2"/>
      <c r="AP520" s="6"/>
      <c r="AQ520" s="2"/>
      <c r="AR520" s="2"/>
      <c r="AS520" s="2"/>
      <c r="AT520" s="2"/>
      <c r="AU520" s="2"/>
      <c r="AV520" s="2"/>
      <c r="AW520" s="2"/>
      <c r="AX520" s="6"/>
      <c r="AY520" s="2"/>
      <c r="AZ520" s="2"/>
      <c r="BA520" s="2"/>
      <c r="BB520" s="2"/>
      <c r="BC520" s="2"/>
      <c r="BD520" s="6"/>
      <c r="BE520" s="2"/>
      <c r="BF520" s="6"/>
      <c r="BG520" s="58"/>
      <c r="BH520" s="6"/>
      <c r="BI520" s="2"/>
    </row>
    <row r="521" ht="12.75" customHeight="1">
      <c r="A521" s="71"/>
      <c r="B521" s="71"/>
      <c r="C521" s="11"/>
      <c r="D521" s="11"/>
      <c r="E521" s="2"/>
      <c r="F521" s="2"/>
      <c r="G521" s="2"/>
      <c r="H521" s="54"/>
      <c r="I521" s="4"/>
      <c r="J521" s="2"/>
      <c r="K521" s="2"/>
      <c r="L521" s="5"/>
      <c r="M521" s="5"/>
      <c r="N521" s="5"/>
      <c r="O521" s="5"/>
      <c r="P521" s="5"/>
      <c r="Q521" s="5"/>
      <c r="R521" s="2"/>
      <c r="S521" s="2"/>
      <c r="T521" s="2"/>
      <c r="U521" s="2"/>
      <c r="V521" s="2"/>
      <c r="W521" s="2"/>
      <c r="X521" s="6"/>
      <c r="Y521" s="2"/>
      <c r="Z521" s="2"/>
      <c r="AA521" s="2"/>
      <c r="AB521" s="2"/>
      <c r="AC521" s="6"/>
      <c r="AD521" s="2"/>
      <c r="AE521" s="2"/>
      <c r="AF521" s="2"/>
      <c r="AG521" s="2"/>
      <c r="AH521" s="2"/>
      <c r="AI521" s="6"/>
      <c r="AJ521" s="2"/>
      <c r="AK521" s="56"/>
      <c r="AL521" s="2"/>
      <c r="AM521" s="2"/>
      <c r="AN521" s="2"/>
      <c r="AO521" s="2"/>
      <c r="AP521" s="6"/>
      <c r="AQ521" s="2"/>
      <c r="AR521" s="2"/>
      <c r="AS521" s="2"/>
      <c r="AT521" s="2"/>
      <c r="AU521" s="2"/>
      <c r="AV521" s="2"/>
      <c r="AW521" s="2"/>
      <c r="AX521" s="6"/>
      <c r="AY521" s="2"/>
      <c r="AZ521" s="2"/>
      <c r="BA521" s="2"/>
      <c r="BB521" s="2"/>
      <c r="BC521" s="2"/>
      <c r="BD521" s="6"/>
      <c r="BE521" s="2"/>
      <c r="BF521" s="6"/>
      <c r="BG521" s="58"/>
      <c r="BH521" s="6"/>
      <c r="BI521" s="2"/>
    </row>
    <row r="522" ht="12.75" customHeight="1">
      <c r="A522" s="71"/>
      <c r="B522" s="71"/>
      <c r="C522" s="11"/>
      <c r="D522" s="11"/>
      <c r="E522" s="2"/>
      <c r="F522" s="2"/>
      <c r="G522" s="2"/>
      <c r="H522" s="54"/>
      <c r="I522" s="4"/>
      <c r="J522" s="2"/>
      <c r="K522" s="2"/>
      <c r="L522" s="5"/>
      <c r="M522" s="5"/>
      <c r="N522" s="5"/>
      <c r="O522" s="5"/>
      <c r="P522" s="5"/>
      <c r="Q522" s="5"/>
      <c r="R522" s="2"/>
      <c r="S522" s="2"/>
      <c r="T522" s="2"/>
      <c r="U522" s="2"/>
      <c r="V522" s="2"/>
      <c r="W522" s="2"/>
      <c r="X522" s="6"/>
      <c r="Y522" s="2"/>
      <c r="Z522" s="2"/>
      <c r="AA522" s="2"/>
      <c r="AB522" s="2"/>
      <c r="AC522" s="6"/>
      <c r="AD522" s="2"/>
      <c r="AE522" s="2"/>
      <c r="AF522" s="2"/>
      <c r="AG522" s="2"/>
      <c r="AH522" s="2"/>
      <c r="AI522" s="6"/>
      <c r="AJ522" s="2"/>
      <c r="AK522" s="56"/>
      <c r="AL522" s="2"/>
      <c r="AM522" s="2"/>
      <c r="AN522" s="2"/>
      <c r="AO522" s="2"/>
      <c r="AP522" s="6"/>
      <c r="AQ522" s="2"/>
      <c r="AR522" s="2"/>
      <c r="AS522" s="2"/>
      <c r="AT522" s="2"/>
      <c r="AU522" s="2"/>
      <c r="AV522" s="2"/>
      <c r="AW522" s="2"/>
      <c r="AX522" s="6"/>
      <c r="AY522" s="2"/>
      <c r="AZ522" s="2"/>
      <c r="BA522" s="2"/>
      <c r="BB522" s="2"/>
      <c r="BC522" s="2"/>
      <c r="BD522" s="6"/>
      <c r="BE522" s="2"/>
      <c r="BF522" s="6"/>
      <c r="BG522" s="58"/>
      <c r="BH522" s="6"/>
      <c r="BI522" s="2"/>
    </row>
    <row r="523" ht="12.75" customHeight="1">
      <c r="A523" s="71"/>
      <c r="B523" s="71"/>
      <c r="C523" s="11"/>
      <c r="D523" s="11"/>
      <c r="E523" s="2"/>
      <c r="F523" s="2"/>
      <c r="G523" s="2"/>
      <c r="H523" s="54"/>
      <c r="I523" s="4"/>
      <c r="J523" s="2"/>
      <c r="K523" s="2"/>
      <c r="L523" s="5"/>
      <c r="M523" s="5"/>
      <c r="N523" s="5"/>
      <c r="O523" s="5"/>
      <c r="P523" s="5"/>
      <c r="Q523" s="5"/>
      <c r="R523" s="2"/>
      <c r="S523" s="2"/>
      <c r="T523" s="2"/>
      <c r="U523" s="2"/>
      <c r="V523" s="2"/>
      <c r="W523" s="2"/>
      <c r="X523" s="6"/>
      <c r="Y523" s="2"/>
      <c r="Z523" s="2"/>
      <c r="AA523" s="2"/>
      <c r="AB523" s="2"/>
      <c r="AC523" s="6"/>
      <c r="AD523" s="2"/>
      <c r="AE523" s="2"/>
      <c r="AF523" s="2"/>
      <c r="AG523" s="2"/>
      <c r="AH523" s="2"/>
      <c r="AI523" s="6"/>
      <c r="AJ523" s="2"/>
      <c r="AK523" s="56"/>
      <c r="AL523" s="2"/>
      <c r="AM523" s="2"/>
      <c r="AN523" s="2"/>
      <c r="AO523" s="2"/>
      <c r="AP523" s="6"/>
      <c r="AQ523" s="2"/>
      <c r="AR523" s="2"/>
      <c r="AS523" s="2"/>
      <c r="AT523" s="2"/>
      <c r="AU523" s="2"/>
      <c r="AV523" s="2"/>
      <c r="AW523" s="2"/>
      <c r="AX523" s="6"/>
      <c r="AY523" s="2"/>
      <c r="AZ523" s="2"/>
      <c r="BA523" s="2"/>
      <c r="BB523" s="2"/>
      <c r="BC523" s="2"/>
      <c r="BD523" s="6"/>
      <c r="BE523" s="2"/>
      <c r="BF523" s="6"/>
      <c r="BG523" s="58"/>
      <c r="BH523" s="6"/>
      <c r="BI523" s="2"/>
    </row>
    <row r="524" ht="12.75" customHeight="1">
      <c r="A524" s="71"/>
      <c r="B524" s="71"/>
      <c r="C524" s="11"/>
      <c r="D524" s="11"/>
      <c r="E524" s="2"/>
      <c r="F524" s="2"/>
      <c r="G524" s="2"/>
      <c r="H524" s="54"/>
      <c r="I524" s="4"/>
      <c r="J524" s="2"/>
      <c r="K524" s="2"/>
      <c r="L524" s="5"/>
      <c r="M524" s="5"/>
      <c r="N524" s="5"/>
      <c r="O524" s="5"/>
      <c r="P524" s="5"/>
      <c r="Q524" s="5"/>
      <c r="R524" s="2"/>
      <c r="S524" s="2"/>
      <c r="T524" s="2"/>
      <c r="U524" s="2"/>
      <c r="V524" s="2"/>
      <c r="W524" s="2"/>
      <c r="X524" s="6"/>
      <c r="Y524" s="2"/>
      <c r="Z524" s="2"/>
      <c r="AA524" s="2"/>
      <c r="AB524" s="2"/>
      <c r="AC524" s="6"/>
      <c r="AD524" s="2"/>
      <c r="AE524" s="2"/>
      <c r="AF524" s="2"/>
      <c r="AG524" s="2"/>
      <c r="AH524" s="2"/>
      <c r="AI524" s="6"/>
      <c r="AJ524" s="2"/>
      <c r="AK524" s="56"/>
      <c r="AL524" s="2"/>
      <c r="AM524" s="2"/>
      <c r="AN524" s="2"/>
      <c r="AO524" s="2"/>
      <c r="AP524" s="6"/>
      <c r="AQ524" s="2"/>
      <c r="AR524" s="2"/>
      <c r="AS524" s="2"/>
      <c r="AT524" s="2"/>
      <c r="AU524" s="2"/>
      <c r="AV524" s="2"/>
      <c r="AW524" s="2"/>
      <c r="AX524" s="6"/>
      <c r="AY524" s="2"/>
      <c r="AZ524" s="2"/>
      <c r="BA524" s="2"/>
      <c r="BB524" s="2"/>
      <c r="BC524" s="2"/>
      <c r="BD524" s="6"/>
      <c r="BE524" s="2"/>
      <c r="BF524" s="6"/>
      <c r="BG524" s="58"/>
      <c r="BH524" s="6"/>
      <c r="BI524" s="2"/>
    </row>
    <row r="525" ht="12.75" customHeight="1">
      <c r="A525" s="71"/>
      <c r="B525" s="71"/>
      <c r="C525" s="11"/>
      <c r="D525" s="11"/>
      <c r="E525" s="2"/>
      <c r="F525" s="2"/>
      <c r="G525" s="2"/>
      <c r="H525" s="54"/>
      <c r="I525" s="4"/>
      <c r="J525" s="2"/>
      <c r="K525" s="2"/>
      <c r="L525" s="5"/>
      <c r="M525" s="5"/>
      <c r="N525" s="5"/>
      <c r="O525" s="5"/>
      <c r="P525" s="5"/>
      <c r="Q525" s="5"/>
      <c r="R525" s="2"/>
      <c r="S525" s="2"/>
      <c r="T525" s="2"/>
      <c r="U525" s="2"/>
      <c r="V525" s="2"/>
      <c r="W525" s="2"/>
      <c r="X525" s="6"/>
      <c r="Y525" s="2"/>
      <c r="Z525" s="2"/>
      <c r="AA525" s="2"/>
      <c r="AB525" s="2"/>
      <c r="AC525" s="6"/>
      <c r="AD525" s="2"/>
      <c r="AE525" s="2"/>
      <c r="AF525" s="2"/>
      <c r="AG525" s="2"/>
      <c r="AH525" s="2"/>
      <c r="AI525" s="6"/>
      <c r="AJ525" s="2"/>
      <c r="AK525" s="56"/>
      <c r="AL525" s="2"/>
      <c r="AM525" s="2"/>
      <c r="AN525" s="2"/>
      <c r="AO525" s="2"/>
      <c r="AP525" s="6"/>
      <c r="AQ525" s="2"/>
      <c r="AR525" s="2"/>
      <c r="AS525" s="2"/>
      <c r="AT525" s="2"/>
      <c r="AU525" s="2"/>
      <c r="AV525" s="2"/>
      <c r="AW525" s="2"/>
      <c r="AX525" s="6"/>
      <c r="AY525" s="2"/>
      <c r="AZ525" s="2"/>
      <c r="BA525" s="2"/>
      <c r="BB525" s="2"/>
      <c r="BC525" s="2"/>
      <c r="BD525" s="6"/>
      <c r="BE525" s="2"/>
      <c r="BF525" s="6"/>
      <c r="BG525" s="58"/>
      <c r="BH525" s="6"/>
      <c r="BI525" s="2"/>
    </row>
    <row r="526" ht="12.75" customHeight="1">
      <c r="A526" s="71"/>
      <c r="B526" s="71"/>
      <c r="C526" s="11"/>
      <c r="D526" s="11"/>
      <c r="E526" s="2"/>
      <c r="F526" s="2"/>
      <c r="G526" s="2"/>
      <c r="H526" s="54"/>
      <c r="I526" s="4"/>
      <c r="J526" s="2"/>
      <c r="K526" s="2"/>
      <c r="L526" s="5"/>
      <c r="M526" s="5"/>
      <c r="N526" s="5"/>
      <c r="O526" s="5"/>
      <c r="P526" s="5"/>
      <c r="Q526" s="5"/>
      <c r="R526" s="2"/>
      <c r="S526" s="2"/>
      <c r="T526" s="2"/>
      <c r="U526" s="2"/>
      <c r="V526" s="2"/>
      <c r="W526" s="2"/>
      <c r="X526" s="6"/>
      <c r="Y526" s="2"/>
      <c r="Z526" s="2"/>
      <c r="AA526" s="2"/>
      <c r="AB526" s="2"/>
      <c r="AC526" s="6"/>
      <c r="AD526" s="2"/>
      <c r="AE526" s="2"/>
      <c r="AF526" s="2"/>
      <c r="AG526" s="2"/>
      <c r="AH526" s="2"/>
      <c r="AI526" s="6"/>
      <c r="AJ526" s="2"/>
      <c r="AK526" s="56"/>
      <c r="AL526" s="2"/>
      <c r="AM526" s="2"/>
      <c r="AN526" s="2"/>
      <c r="AO526" s="2"/>
      <c r="AP526" s="6"/>
      <c r="AQ526" s="2"/>
      <c r="AR526" s="2"/>
      <c r="AS526" s="2"/>
      <c r="AT526" s="2"/>
      <c r="AU526" s="2"/>
      <c r="AV526" s="2"/>
      <c r="AW526" s="2"/>
      <c r="AX526" s="6"/>
      <c r="AY526" s="2"/>
      <c r="AZ526" s="2"/>
      <c r="BA526" s="2"/>
      <c r="BB526" s="2"/>
      <c r="BC526" s="2"/>
      <c r="BD526" s="6"/>
      <c r="BE526" s="2"/>
      <c r="BF526" s="6"/>
      <c r="BG526" s="58"/>
      <c r="BH526" s="6"/>
      <c r="BI526" s="2"/>
    </row>
    <row r="527" ht="12.75" customHeight="1">
      <c r="A527" s="71"/>
      <c r="B527" s="71"/>
      <c r="C527" s="11"/>
      <c r="D527" s="11"/>
      <c r="E527" s="2"/>
      <c r="F527" s="2"/>
      <c r="G527" s="2"/>
      <c r="H527" s="54"/>
      <c r="I527" s="4"/>
      <c r="J527" s="2"/>
      <c r="K527" s="2"/>
      <c r="L527" s="5"/>
      <c r="M527" s="5"/>
      <c r="N527" s="5"/>
      <c r="O527" s="5"/>
      <c r="P527" s="5"/>
      <c r="Q527" s="5"/>
      <c r="R527" s="2"/>
      <c r="S527" s="2"/>
      <c r="T527" s="2"/>
      <c r="U527" s="2"/>
      <c r="V527" s="2"/>
      <c r="W527" s="2"/>
      <c r="X527" s="6"/>
      <c r="Y527" s="2"/>
      <c r="Z527" s="2"/>
      <c r="AA527" s="2"/>
      <c r="AB527" s="2"/>
      <c r="AC527" s="6"/>
      <c r="AD527" s="2"/>
      <c r="AE527" s="2"/>
      <c r="AF527" s="2"/>
      <c r="AG527" s="2"/>
      <c r="AH527" s="2"/>
      <c r="AI527" s="6"/>
      <c r="AJ527" s="2"/>
      <c r="AK527" s="56"/>
      <c r="AL527" s="2"/>
      <c r="AM527" s="2"/>
      <c r="AN527" s="2"/>
      <c r="AO527" s="2"/>
      <c r="AP527" s="6"/>
      <c r="AQ527" s="2"/>
      <c r="AR527" s="2"/>
      <c r="AS527" s="2"/>
      <c r="AT527" s="2"/>
      <c r="AU527" s="2"/>
      <c r="AV527" s="2"/>
      <c r="AW527" s="2"/>
      <c r="AX527" s="6"/>
      <c r="AY527" s="2"/>
      <c r="AZ527" s="2"/>
      <c r="BA527" s="2"/>
      <c r="BB527" s="2"/>
      <c r="BC527" s="2"/>
      <c r="BD527" s="6"/>
      <c r="BE527" s="2"/>
      <c r="BF527" s="6"/>
      <c r="BG527" s="58"/>
      <c r="BH527" s="6"/>
      <c r="BI527" s="2"/>
    </row>
    <row r="528" ht="12.75" customHeight="1">
      <c r="A528" s="71"/>
      <c r="B528" s="71"/>
      <c r="C528" s="11"/>
      <c r="D528" s="11"/>
      <c r="E528" s="2"/>
      <c r="F528" s="2"/>
      <c r="G528" s="2"/>
      <c r="H528" s="54"/>
      <c r="I528" s="4"/>
      <c r="J528" s="2"/>
      <c r="K528" s="2"/>
      <c r="L528" s="5"/>
      <c r="M528" s="5"/>
      <c r="N528" s="5"/>
      <c r="O528" s="5"/>
      <c r="P528" s="5"/>
      <c r="Q528" s="5"/>
      <c r="R528" s="2"/>
      <c r="S528" s="2"/>
      <c r="T528" s="2"/>
      <c r="U528" s="2"/>
      <c r="V528" s="2"/>
      <c r="W528" s="2"/>
      <c r="X528" s="6"/>
      <c r="Y528" s="2"/>
      <c r="Z528" s="2"/>
      <c r="AA528" s="2"/>
      <c r="AB528" s="2"/>
      <c r="AC528" s="6"/>
      <c r="AD528" s="2"/>
      <c r="AE528" s="2"/>
      <c r="AF528" s="2"/>
      <c r="AG528" s="2"/>
      <c r="AH528" s="2"/>
      <c r="AI528" s="6"/>
      <c r="AJ528" s="2"/>
      <c r="AK528" s="56"/>
      <c r="AL528" s="2"/>
      <c r="AM528" s="2"/>
      <c r="AN528" s="2"/>
      <c r="AO528" s="2"/>
      <c r="AP528" s="6"/>
      <c r="AQ528" s="2"/>
      <c r="AR528" s="2"/>
      <c r="AS528" s="2"/>
      <c r="AT528" s="2"/>
      <c r="AU528" s="2"/>
      <c r="AV528" s="2"/>
      <c r="AW528" s="2"/>
      <c r="AX528" s="6"/>
      <c r="AY528" s="2"/>
      <c r="AZ528" s="2"/>
      <c r="BA528" s="2"/>
      <c r="BB528" s="2"/>
      <c r="BC528" s="2"/>
      <c r="BD528" s="6"/>
      <c r="BE528" s="2"/>
      <c r="BF528" s="6"/>
      <c r="BG528" s="58"/>
      <c r="BH528" s="6"/>
      <c r="BI528" s="2"/>
    </row>
    <row r="529" ht="12.75" customHeight="1">
      <c r="A529" s="71"/>
      <c r="B529" s="71"/>
      <c r="C529" s="11"/>
      <c r="D529" s="11"/>
      <c r="E529" s="2"/>
      <c r="F529" s="2"/>
      <c r="G529" s="2"/>
      <c r="H529" s="54"/>
      <c r="I529" s="4"/>
      <c r="J529" s="2"/>
      <c r="K529" s="2"/>
      <c r="L529" s="5"/>
      <c r="M529" s="5"/>
      <c r="N529" s="5"/>
      <c r="O529" s="5"/>
      <c r="P529" s="5"/>
      <c r="Q529" s="5"/>
      <c r="R529" s="2"/>
      <c r="S529" s="2"/>
      <c r="T529" s="2"/>
      <c r="U529" s="2"/>
      <c r="V529" s="2"/>
      <c r="W529" s="2"/>
      <c r="X529" s="6"/>
      <c r="Y529" s="2"/>
      <c r="Z529" s="2"/>
      <c r="AA529" s="2"/>
      <c r="AB529" s="2"/>
      <c r="AC529" s="6"/>
      <c r="AD529" s="2"/>
      <c r="AE529" s="2"/>
      <c r="AF529" s="2"/>
      <c r="AG529" s="2"/>
      <c r="AH529" s="2"/>
      <c r="AI529" s="6"/>
      <c r="AJ529" s="2"/>
      <c r="AK529" s="56"/>
      <c r="AL529" s="2"/>
      <c r="AM529" s="2"/>
      <c r="AN529" s="2"/>
      <c r="AO529" s="2"/>
      <c r="AP529" s="6"/>
      <c r="AQ529" s="2"/>
      <c r="AR529" s="2"/>
      <c r="AS529" s="2"/>
      <c r="AT529" s="2"/>
      <c r="AU529" s="2"/>
      <c r="AV529" s="2"/>
      <c r="AW529" s="2"/>
      <c r="AX529" s="6"/>
      <c r="AY529" s="2"/>
      <c r="AZ529" s="2"/>
      <c r="BA529" s="2"/>
      <c r="BB529" s="2"/>
      <c r="BC529" s="2"/>
      <c r="BD529" s="6"/>
      <c r="BE529" s="2"/>
      <c r="BF529" s="6"/>
      <c r="BG529" s="58"/>
      <c r="BH529" s="6"/>
      <c r="BI529" s="2"/>
    </row>
    <row r="530" ht="12.75" customHeight="1">
      <c r="A530" s="71"/>
      <c r="B530" s="71"/>
      <c r="C530" s="11"/>
      <c r="D530" s="11"/>
      <c r="E530" s="2"/>
      <c r="F530" s="2"/>
      <c r="G530" s="2"/>
      <c r="H530" s="54"/>
      <c r="I530" s="4"/>
      <c r="J530" s="2"/>
      <c r="K530" s="2"/>
      <c r="L530" s="5"/>
      <c r="M530" s="5"/>
      <c r="N530" s="5"/>
      <c r="O530" s="5"/>
      <c r="P530" s="5"/>
      <c r="Q530" s="5"/>
      <c r="R530" s="2"/>
      <c r="S530" s="2"/>
      <c r="T530" s="2"/>
      <c r="U530" s="2"/>
      <c r="V530" s="2"/>
      <c r="W530" s="2"/>
      <c r="X530" s="6"/>
      <c r="Y530" s="2"/>
      <c r="Z530" s="2"/>
      <c r="AA530" s="2"/>
      <c r="AB530" s="2"/>
      <c r="AC530" s="6"/>
      <c r="AD530" s="2"/>
      <c r="AE530" s="2"/>
      <c r="AF530" s="2"/>
      <c r="AG530" s="2"/>
      <c r="AH530" s="2"/>
      <c r="AI530" s="6"/>
      <c r="AJ530" s="2"/>
      <c r="AK530" s="56"/>
      <c r="AL530" s="2"/>
      <c r="AM530" s="2"/>
      <c r="AN530" s="2"/>
      <c r="AO530" s="2"/>
      <c r="AP530" s="6"/>
      <c r="AQ530" s="2"/>
      <c r="AR530" s="2"/>
      <c r="AS530" s="2"/>
      <c r="AT530" s="2"/>
      <c r="AU530" s="2"/>
      <c r="AV530" s="2"/>
      <c r="AW530" s="2"/>
      <c r="AX530" s="6"/>
      <c r="AY530" s="2"/>
      <c r="AZ530" s="2"/>
      <c r="BA530" s="2"/>
      <c r="BB530" s="2"/>
      <c r="BC530" s="2"/>
      <c r="BD530" s="6"/>
      <c r="BE530" s="2"/>
      <c r="BF530" s="6"/>
      <c r="BG530" s="58"/>
      <c r="BH530" s="6"/>
      <c r="BI530" s="2"/>
    </row>
    <row r="531" ht="12.75" customHeight="1">
      <c r="A531" s="71"/>
      <c r="B531" s="71"/>
      <c r="C531" s="11"/>
      <c r="D531" s="11"/>
      <c r="E531" s="2"/>
      <c r="F531" s="2"/>
      <c r="G531" s="2"/>
      <c r="H531" s="54"/>
      <c r="I531" s="4"/>
      <c r="J531" s="2"/>
      <c r="K531" s="2"/>
      <c r="L531" s="5"/>
      <c r="M531" s="5"/>
      <c r="N531" s="5"/>
      <c r="O531" s="5"/>
      <c r="P531" s="5"/>
      <c r="Q531" s="5"/>
      <c r="R531" s="2"/>
      <c r="S531" s="2"/>
      <c r="T531" s="2"/>
      <c r="U531" s="2"/>
      <c r="V531" s="2"/>
      <c r="W531" s="2"/>
      <c r="X531" s="6"/>
      <c r="Y531" s="2"/>
      <c r="Z531" s="2"/>
      <c r="AA531" s="2"/>
      <c r="AB531" s="2"/>
      <c r="AC531" s="6"/>
      <c r="AD531" s="2"/>
      <c r="AE531" s="2"/>
      <c r="AF531" s="2"/>
      <c r="AG531" s="2"/>
      <c r="AH531" s="2"/>
      <c r="AI531" s="6"/>
      <c r="AJ531" s="2"/>
      <c r="AK531" s="56"/>
      <c r="AL531" s="2"/>
      <c r="AM531" s="2"/>
      <c r="AN531" s="2"/>
      <c r="AO531" s="2"/>
      <c r="AP531" s="6"/>
      <c r="AQ531" s="2"/>
      <c r="AR531" s="2"/>
      <c r="AS531" s="2"/>
      <c r="AT531" s="2"/>
      <c r="AU531" s="2"/>
      <c r="AV531" s="2"/>
      <c r="AW531" s="2"/>
      <c r="AX531" s="6"/>
      <c r="AY531" s="2"/>
      <c r="AZ531" s="2"/>
      <c r="BA531" s="2"/>
      <c r="BB531" s="2"/>
      <c r="BC531" s="2"/>
      <c r="BD531" s="6"/>
      <c r="BE531" s="2"/>
      <c r="BF531" s="6"/>
      <c r="BG531" s="58"/>
      <c r="BH531" s="6"/>
      <c r="BI531" s="2"/>
    </row>
    <row r="532" ht="12.75" customHeight="1">
      <c r="A532" s="71"/>
      <c r="B532" s="71"/>
      <c r="C532" s="11"/>
      <c r="D532" s="11"/>
      <c r="E532" s="2"/>
      <c r="F532" s="2"/>
      <c r="G532" s="2"/>
      <c r="H532" s="54"/>
      <c r="I532" s="4"/>
      <c r="J532" s="2"/>
      <c r="K532" s="2"/>
      <c r="L532" s="5"/>
      <c r="M532" s="5"/>
      <c r="N532" s="5"/>
      <c r="O532" s="5"/>
      <c r="P532" s="5"/>
      <c r="Q532" s="5"/>
      <c r="R532" s="2"/>
      <c r="S532" s="2"/>
      <c r="T532" s="2"/>
      <c r="U532" s="2"/>
      <c r="V532" s="2"/>
      <c r="W532" s="2"/>
      <c r="X532" s="6"/>
      <c r="Y532" s="2"/>
      <c r="Z532" s="2"/>
      <c r="AA532" s="2"/>
      <c r="AB532" s="2"/>
      <c r="AC532" s="6"/>
      <c r="AD532" s="2"/>
      <c r="AE532" s="2"/>
      <c r="AF532" s="2"/>
      <c r="AG532" s="2"/>
      <c r="AH532" s="2"/>
      <c r="AI532" s="6"/>
      <c r="AJ532" s="2"/>
      <c r="AK532" s="56"/>
      <c r="AL532" s="2"/>
      <c r="AM532" s="2"/>
      <c r="AN532" s="2"/>
      <c r="AO532" s="2"/>
      <c r="AP532" s="6"/>
      <c r="AQ532" s="2"/>
      <c r="AR532" s="2"/>
      <c r="AS532" s="2"/>
      <c r="AT532" s="2"/>
      <c r="AU532" s="2"/>
      <c r="AV532" s="2"/>
      <c r="AW532" s="2"/>
      <c r="AX532" s="6"/>
      <c r="AY532" s="2"/>
      <c r="AZ532" s="2"/>
      <c r="BA532" s="2"/>
      <c r="BB532" s="2"/>
      <c r="BC532" s="2"/>
      <c r="BD532" s="6"/>
      <c r="BE532" s="2"/>
      <c r="BF532" s="6"/>
      <c r="BG532" s="58"/>
      <c r="BH532" s="6"/>
      <c r="BI532" s="2"/>
    </row>
    <row r="533" ht="12.75" customHeight="1">
      <c r="A533" s="71"/>
      <c r="B533" s="71"/>
      <c r="C533" s="11"/>
      <c r="D533" s="11"/>
      <c r="E533" s="2"/>
      <c r="F533" s="2"/>
      <c r="G533" s="2"/>
      <c r="H533" s="54"/>
      <c r="I533" s="4"/>
      <c r="J533" s="2"/>
      <c r="K533" s="2"/>
      <c r="L533" s="5"/>
      <c r="M533" s="5"/>
      <c r="N533" s="5"/>
      <c r="O533" s="5"/>
      <c r="P533" s="5"/>
      <c r="Q533" s="5"/>
      <c r="R533" s="2"/>
      <c r="S533" s="2"/>
      <c r="T533" s="2"/>
      <c r="U533" s="2"/>
      <c r="V533" s="2"/>
      <c r="W533" s="2"/>
      <c r="X533" s="6"/>
      <c r="Y533" s="2"/>
      <c r="Z533" s="2"/>
      <c r="AA533" s="2"/>
      <c r="AB533" s="2"/>
      <c r="AC533" s="6"/>
      <c r="AD533" s="2"/>
      <c r="AE533" s="2"/>
      <c r="AF533" s="2"/>
      <c r="AG533" s="2"/>
      <c r="AH533" s="2"/>
      <c r="AI533" s="6"/>
      <c r="AJ533" s="2"/>
      <c r="AK533" s="56"/>
      <c r="AL533" s="2"/>
      <c r="AM533" s="2"/>
      <c r="AN533" s="2"/>
      <c r="AO533" s="2"/>
      <c r="AP533" s="6"/>
      <c r="AQ533" s="2"/>
      <c r="AR533" s="2"/>
      <c r="AS533" s="2"/>
      <c r="AT533" s="2"/>
      <c r="AU533" s="2"/>
      <c r="AV533" s="2"/>
      <c r="AW533" s="2"/>
      <c r="AX533" s="6"/>
      <c r="AY533" s="2"/>
      <c r="AZ533" s="2"/>
      <c r="BA533" s="2"/>
      <c r="BB533" s="2"/>
      <c r="BC533" s="2"/>
      <c r="BD533" s="6"/>
      <c r="BE533" s="2"/>
      <c r="BF533" s="6"/>
      <c r="BG533" s="58"/>
      <c r="BH533" s="6"/>
      <c r="BI533" s="2"/>
    </row>
    <row r="534" ht="12.75" customHeight="1">
      <c r="A534" s="71"/>
      <c r="B534" s="71"/>
      <c r="C534" s="11"/>
      <c r="D534" s="11"/>
      <c r="E534" s="2"/>
      <c r="F534" s="2"/>
      <c r="G534" s="2"/>
      <c r="H534" s="54"/>
      <c r="I534" s="4"/>
      <c r="J534" s="2"/>
      <c r="K534" s="2"/>
      <c r="L534" s="5"/>
      <c r="M534" s="5"/>
      <c r="N534" s="5"/>
      <c r="O534" s="5"/>
      <c r="P534" s="5"/>
      <c r="Q534" s="5"/>
      <c r="R534" s="2"/>
      <c r="S534" s="2"/>
      <c r="T534" s="2"/>
      <c r="U534" s="2"/>
      <c r="V534" s="2"/>
      <c r="W534" s="2"/>
      <c r="X534" s="6"/>
      <c r="Y534" s="2"/>
      <c r="Z534" s="2"/>
      <c r="AA534" s="2"/>
      <c r="AB534" s="2"/>
      <c r="AC534" s="6"/>
      <c r="AD534" s="2"/>
      <c r="AE534" s="2"/>
      <c r="AF534" s="2"/>
      <c r="AG534" s="2"/>
      <c r="AH534" s="2"/>
      <c r="AI534" s="6"/>
      <c r="AJ534" s="2"/>
      <c r="AK534" s="56"/>
      <c r="AL534" s="2"/>
      <c r="AM534" s="2"/>
      <c r="AN534" s="2"/>
      <c r="AO534" s="2"/>
      <c r="AP534" s="6"/>
      <c r="AQ534" s="2"/>
      <c r="AR534" s="2"/>
      <c r="AS534" s="2"/>
      <c r="AT534" s="2"/>
      <c r="AU534" s="2"/>
      <c r="AV534" s="2"/>
      <c r="AW534" s="2"/>
      <c r="AX534" s="6"/>
      <c r="AY534" s="2"/>
      <c r="AZ534" s="2"/>
      <c r="BA534" s="2"/>
      <c r="BB534" s="2"/>
      <c r="BC534" s="2"/>
      <c r="BD534" s="6"/>
      <c r="BE534" s="2"/>
      <c r="BF534" s="6"/>
      <c r="BG534" s="58"/>
      <c r="BH534" s="6"/>
      <c r="BI534" s="2"/>
    </row>
    <row r="535" ht="12.75" customHeight="1">
      <c r="A535" s="71"/>
      <c r="B535" s="71"/>
      <c r="C535" s="11"/>
      <c r="D535" s="11"/>
      <c r="E535" s="2"/>
      <c r="F535" s="2"/>
      <c r="G535" s="2"/>
      <c r="H535" s="54"/>
      <c r="I535" s="4"/>
      <c r="J535" s="2"/>
      <c r="K535" s="2"/>
      <c r="L535" s="5"/>
      <c r="M535" s="5"/>
      <c r="N535" s="5"/>
      <c r="O535" s="5"/>
      <c r="P535" s="5"/>
      <c r="Q535" s="5"/>
      <c r="R535" s="2"/>
      <c r="S535" s="2"/>
      <c r="T535" s="2"/>
      <c r="U535" s="2"/>
      <c r="V535" s="2"/>
      <c r="W535" s="2"/>
      <c r="X535" s="6"/>
      <c r="Y535" s="2"/>
      <c r="Z535" s="2"/>
      <c r="AA535" s="2"/>
      <c r="AB535" s="2"/>
      <c r="AC535" s="6"/>
      <c r="AD535" s="2"/>
      <c r="AE535" s="2"/>
      <c r="AF535" s="2"/>
      <c r="AG535" s="2"/>
      <c r="AH535" s="2"/>
      <c r="AI535" s="6"/>
      <c r="AJ535" s="2"/>
      <c r="AK535" s="56"/>
      <c r="AL535" s="2"/>
      <c r="AM535" s="2"/>
      <c r="AN535" s="2"/>
      <c r="AO535" s="2"/>
      <c r="AP535" s="6"/>
      <c r="AQ535" s="2"/>
      <c r="AR535" s="2"/>
      <c r="AS535" s="2"/>
      <c r="AT535" s="2"/>
      <c r="AU535" s="2"/>
      <c r="AV535" s="2"/>
      <c r="AW535" s="2"/>
      <c r="AX535" s="6"/>
      <c r="AY535" s="2"/>
      <c r="AZ535" s="2"/>
      <c r="BA535" s="2"/>
      <c r="BB535" s="2"/>
      <c r="BC535" s="2"/>
      <c r="BD535" s="6"/>
      <c r="BE535" s="2"/>
      <c r="BF535" s="6"/>
      <c r="BG535" s="58"/>
      <c r="BH535" s="6"/>
      <c r="BI535" s="2"/>
    </row>
    <row r="536" ht="12.75" customHeight="1">
      <c r="A536" s="71"/>
      <c r="B536" s="71"/>
      <c r="C536" s="11"/>
      <c r="D536" s="11"/>
      <c r="E536" s="2"/>
      <c r="F536" s="2"/>
      <c r="G536" s="2"/>
      <c r="H536" s="54"/>
      <c r="I536" s="4"/>
      <c r="J536" s="2"/>
      <c r="K536" s="2"/>
      <c r="L536" s="5"/>
      <c r="M536" s="5"/>
      <c r="N536" s="5"/>
      <c r="O536" s="5"/>
      <c r="P536" s="5"/>
      <c r="Q536" s="5"/>
      <c r="R536" s="2"/>
      <c r="S536" s="2"/>
      <c r="T536" s="2"/>
      <c r="U536" s="2"/>
      <c r="V536" s="2"/>
      <c r="W536" s="2"/>
      <c r="X536" s="6"/>
      <c r="Y536" s="2"/>
      <c r="Z536" s="2"/>
      <c r="AA536" s="2"/>
      <c r="AB536" s="2"/>
      <c r="AC536" s="6"/>
      <c r="AD536" s="2"/>
      <c r="AE536" s="2"/>
      <c r="AF536" s="2"/>
      <c r="AG536" s="2"/>
      <c r="AH536" s="2"/>
      <c r="AI536" s="6"/>
      <c r="AJ536" s="2"/>
      <c r="AK536" s="56"/>
      <c r="AL536" s="2"/>
      <c r="AM536" s="2"/>
      <c r="AN536" s="2"/>
      <c r="AO536" s="2"/>
      <c r="AP536" s="6"/>
      <c r="AQ536" s="2"/>
      <c r="AR536" s="2"/>
      <c r="AS536" s="2"/>
      <c r="AT536" s="2"/>
      <c r="AU536" s="2"/>
      <c r="AV536" s="2"/>
      <c r="AW536" s="2"/>
      <c r="AX536" s="6"/>
      <c r="AY536" s="2"/>
      <c r="AZ536" s="2"/>
      <c r="BA536" s="2"/>
      <c r="BB536" s="2"/>
      <c r="BC536" s="2"/>
      <c r="BD536" s="6"/>
      <c r="BE536" s="2"/>
      <c r="BF536" s="6"/>
      <c r="BG536" s="58"/>
      <c r="BH536" s="6"/>
      <c r="BI536" s="2"/>
    </row>
    <row r="537" ht="12.75" customHeight="1">
      <c r="A537" s="71"/>
      <c r="B537" s="71"/>
      <c r="C537" s="11"/>
      <c r="D537" s="11"/>
      <c r="E537" s="2"/>
      <c r="F537" s="2"/>
      <c r="G537" s="2"/>
      <c r="H537" s="54"/>
      <c r="I537" s="4"/>
      <c r="J537" s="2"/>
      <c r="K537" s="2"/>
      <c r="L537" s="5"/>
      <c r="M537" s="5"/>
      <c r="N537" s="5"/>
      <c r="O537" s="5"/>
      <c r="P537" s="5"/>
      <c r="Q537" s="5"/>
      <c r="R537" s="2"/>
      <c r="S537" s="2"/>
      <c r="T537" s="2"/>
      <c r="U537" s="2"/>
      <c r="V537" s="2"/>
      <c r="W537" s="2"/>
      <c r="X537" s="6"/>
      <c r="Y537" s="2"/>
      <c r="Z537" s="2"/>
      <c r="AA537" s="2"/>
      <c r="AB537" s="2"/>
      <c r="AC537" s="6"/>
      <c r="AD537" s="2"/>
      <c r="AE537" s="2"/>
      <c r="AF537" s="2"/>
      <c r="AG537" s="2"/>
      <c r="AH537" s="2"/>
      <c r="AI537" s="6"/>
      <c r="AJ537" s="2"/>
      <c r="AK537" s="56"/>
      <c r="AL537" s="2"/>
      <c r="AM537" s="2"/>
      <c r="AN537" s="2"/>
      <c r="AO537" s="2"/>
      <c r="AP537" s="6"/>
      <c r="AQ537" s="2"/>
      <c r="AR537" s="2"/>
      <c r="AS537" s="2"/>
      <c r="AT537" s="2"/>
      <c r="AU537" s="2"/>
      <c r="AV537" s="2"/>
      <c r="AW537" s="2"/>
      <c r="AX537" s="6"/>
      <c r="AY537" s="2"/>
      <c r="AZ537" s="2"/>
      <c r="BA537" s="2"/>
      <c r="BB537" s="2"/>
      <c r="BC537" s="2"/>
      <c r="BD537" s="6"/>
      <c r="BE537" s="2"/>
      <c r="BF537" s="6"/>
      <c r="BG537" s="58"/>
      <c r="BH537" s="6"/>
      <c r="BI537" s="2"/>
    </row>
    <row r="538" ht="12.75" customHeight="1">
      <c r="A538" s="71"/>
      <c r="B538" s="71"/>
      <c r="C538" s="11"/>
      <c r="D538" s="11"/>
      <c r="E538" s="2"/>
      <c r="F538" s="2"/>
      <c r="G538" s="2"/>
      <c r="H538" s="54"/>
      <c r="I538" s="4"/>
      <c r="J538" s="2"/>
      <c r="K538" s="2"/>
      <c r="L538" s="5"/>
      <c r="M538" s="5"/>
      <c r="N538" s="5"/>
      <c r="O538" s="5"/>
      <c r="P538" s="5"/>
      <c r="Q538" s="5"/>
      <c r="R538" s="2"/>
      <c r="S538" s="2"/>
      <c r="T538" s="2"/>
      <c r="U538" s="2"/>
      <c r="V538" s="2"/>
      <c r="W538" s="2"/>
      <c r="X538" s="6"/>
      <c r="Y538" s="2"/>
      <c r="Z538" s="2"/>
      <c r="AA538" s="2"/>
      <c r="AB538" s="2"/>
      <c r="AC538" s="6"/>
      <c r="AD538" s="2"/>
      <c r="AE538" s="2"/>
      <c r="AF538" s="2"/>
      <c r="AG538" s="2"/>
      <c r="AH538" s="2"/>
      <c r="AI538" s="6"/>
      <c r="AJ538" s="2"/>
      <c r="AK538" s="56"/>
      <c r="AL538" s="2"/>
      <c r="AM538" s="2"/>
      <c r="AN538" s="2"/>
      <c r="AO538" s="2"/>
      <c r="AP538" s="6"/>
      <c r="AQ538" s="2"/>
      <c r="AR538" s="2"/>
      <c r="AS538" s="2"/>
      <c r="AT538" s="2"/>
      <c r="AU538" s="2"/>
      <c r="AV538" s="2"/>
      <c r="AW538" s="2"/>
      <c r="AX538" s="6"/>
      <c r="AY538" s="2"/>
      <c r="AZ538" s="2"/>
      <c r="BA538" s="2"/>
      <c r="BB538" s="2"/>
      <c r="BC538" s="2"/>
      <c r="BD538" s="6"/>
      <c r="BE538" s="2"/>
      <c r="BF538" s="6"/>
      <c r="BG538" s="58"/>
      <c r="BH538" s="6"/>
      <c r="BI538" s="2"/>
    </row>
    <row r="539" ht="12.75" customHeight="1">
      <c r="A539" s="71"/>
      <c r="B539" s="71"/>
      <c r="C539" s="11"/>
      <c r="D539" s="11"/>
      <c r="E539" s="2"/>
      <c r="F539" s="2"/>
      <c r="G539" s="2"/>
      <c r="H539" s="54"/>
      <c r="I539" s="4"/>
      <c r="J539" s="2"/>
      <c r="K539" s="2"/>
      <c r="L539" s="5"/>
      <c r="M539" s="5"/>
      <c r="N539" s="5"/>
      <c r="O539" s="5"/>
      <c r="P539" s="5"/>
      <c r="Q539" s="5"/>
      <c r="R539" s="2"/>
      <c r="S539" s="2"/>
      <c r="T539" s="2"/>
      <c r="U539" s="2"/>
      <c r="V539" s="2"/>
      <c r="W539" s="2"/>
      <c r="X539" s="6"/>
      <c r="Y539" s="2"/>
      <c r="Z539" s="2"/>
      <c r="AA539" s="2"/>
      <c r="AB539" s="2"/>
      <c r="AC539" s="6"/>
      <c r="AD539" s="2"/>
      <c r="AE539" s="2"/>
      <c r="AF539" s="2"/>
      <c r="AG539" s="2"/>
      <c r="AH539" s="2"/>
      <c r="AI539" s="6"/>
      <c r="AJ539" s="2"/>
      <c r="AK539" s="56"/>
      <c r="AL539" s="2"/>
      <c r="AM539" s="2"/>
      <c r="AN539" s="2"/>
      <c r="AO539" s="2"/>
      <c r="AP539" s="6"/>
      <c r="AQ539" s="2"/>
      <c r="AR539" s="2"/>
      <c r="AS539" s="2"/>
      <c r="AT539" s="2"/>
      <c r="AU539" s="2"/>
      <c r="AV539" s="2"/>
      <c r="AW539" s="2"/>
      <c r="AX539" s="6"/>
      <c r="AY539" s="2"/>
      <c r="AZ539" s="2"/>
      <c r="BA539" s="2"/>
      <c r="BB539" s="2"/>
      <c r="BC539" s="2"/>
      <c r="BD539" s="6"/>
      <c r="BE539" s="2"/>
      <c r="BF539" s="6"/>
      <c r="BG539" s="58"/>
      <c r="BH539" s="6"/>
      <c r="BI539" s="2"/>
    </row>
    <row r="540" ht="12.75" customHeight="1">
      <c r="A540" s="71"/>
      <c r="B540" s="71"/>
      <c r="C540" s="11"/>
      <c r="D540" s="11"/>
      <c r="E540" s="2"/>
      <c r="F540" s="2"/>
      <c r="G540" s="2"/>
      <c r="H540" s="54"/>
      <c r="I540" s="4"/>
      <c r="J540" s="2"/>
      <c r="K540" s="2"/>
      <c r="L540" s="5"/>
      <c r="M540" s="5"/>
      <c r="N540" s="5"/>
      <c r="O540" s="5"/>
      <c r="P540" s="5"/>
      <c r="Q540" s="5"/>
      <c r="R540" s="2"/>
      <c r="S540" s="2"/>
      <c r="T540" s="2"/>
      <c r="U540" s="2"/>
      <c r="V540" s="2"/>
      <c r="W540" s="2"/>
      <c r="X540" s="6"/>
      <c r="Y540" s="2"/>
      <c r="Z540" s="2"/>
      <c r="AA540" s="2"/>
      <c r="AB540" s="2"/>
      <c r="AC540" s="6"/>
      <c r="AD540" s="2"/>
      <c r="AE540" s="2"/>
      <c r="AF540" s="2"/>
      <c r="AG540" s="2"/>
      <c r="AH540" s="2"/>
      <c r="AI540" s="6"/>
      <c r="AJ540" s="2"/>
      <c r="AK540" s="56"/>
      <c r="AL540" s="2"/>
      <c r="AM540" s="2"/>
      <c r="AN540" s="2"/>
      <c r="AO540" s="2"/>
      <c r="AP540" s="6"/>
      <c r="AQ540" s="2"/>
      <c r="AR540" s="2"/>
      <c r="AS540" s="2"/>
      <c r="AT540" s="2"/>
      <c r="AU540" s="2"/>
      <c r="AV540" s="2"/>
      <c r="AW540" s="2"/>
      <c r="AX540" s="6"/>
      <c r="AY540" s="2"/>
      <c r="AZ540" s="2"/>
      <c r="BA540" s="2"/>
      <c r="BB540" s="2"/>
      <c r="BC540" s="2"/>
      <c r="BD540" s="6"/>
      <c r="BE540" s="2"/>
      <c r="BF540" s="6"/>
      <c r="BG540" s="58"/>
      <c r="BH540" s="6"/>
      <c r="BI540" s="2"/>
    </row>
    <row r="541" ht="12.75" customHeight="1">
      <c r="A541" s="71"/>
      <c r="B541" s="71"/>
      <c r="C541" s="11"/>
      <c r="D541" s="11"/>
      <c r="E541" s="2"/>
      <c r="F541" s="2"/>
      <c r="G541" s="2"/>
      <c r="H541" s="54"/>
      <c r="I541" s="4"/>
      <c r="J541" s="2"/>
      <c r="K541" s="2"/>
      <c r="L541" s="5"/>
      <c r="M541" s="5"/>
      <c r="N541" s="5"/>
      <c r="O541" s="5"/>
      <c r="P541" s="5"/>
      <c r="Q541" s="5"/>
      <c r="R541" s="2"/>
      <c r="S541" s="2"/>
      <c r="T541" s="2"/>
      <c r="U541" s="2"/>
      <c r="V541" s="2"/>
      <c r="W541" s="2"/>
      <c r="X541" s="6"/>
      <c r="Y541" s="2"/>
      <c r="Z541" s="2"/>
      <c r="AA541" s="2"/>
      <c r="AB541" s="2"/>
      <c r="AC541" s="6"/>
      <c r="AD541" s="2"/>
      <c r="AE541" s="2"/>
      <c r="AF541" s="2"/>
      <c r="AG541" s="2"/>
      <c r="AH541" s="2"/>
      <c r="AI541" s="6"/>
      <c r="AJ541" s="2"/>
      <c r="AK541" s="56"/>
      <c r="AL541" s="2"/>
      <c r="AM541" s="2"/>
      <c r="AN541" s="2"/>
      <c r="AO541" s="2"/>
      <c r="AP541" s="6"/>
      <c r="AQ541" s="2"/>
      <c r="AR541" s="2"/>
      <c r="AS541" s="2"/>
      <c r="AT541" s="2"/>
      <c r="AU541" s="2"/>
      <c r="AV541" s="2"/>
      <c r="AW541" s="2"/>
      <c r="AX541" s="6"/>
      <c r="AY541" s="2"/>
      <c r="AZ541" s="2"/>
      <c r="BA541" s="2"/>
      <c r="BB541" s="2"/>
      <c r="BC541" s="2"/>
      <c r="BD541" s="6"/>
      <c r="BE541" s="2"/>
      <c r="BF541" s="6"/>
      <c r="BG541" s="58"/>
      <c r="BH541" s="6"/>
      <c r="BI541" s="2"/>
    </row>
    <row r="542" ht="12.75" customHeight="1">
      <c r="A542" s="71"/>
      <c r="B542" s="71"/>
      <c r="C542" s="11"/>
      <c r="D542" s="11"/>
      <c r="E542" s="2"/>
      <c r="F542" s="2"/>
      <c r="G542" s="2"/>
      <c r="H542" s="54"/>
      <c r="I542" s="4"/>
      <c r="J542" s="2"/>
      <c r="K542" s="2"/>
      <c r="L542" s="5"/>
      <c r="M542" s="5"/>
      <c r="N542" s="5"/>
      <c r="O542" s="5"/>
      <c r="P542" s="5"/>
      <c r="Q542" s="5"/>
      <c r="R542" s="2"/>
      <c r="S542" s="2"/>
      <c r="T542" s="2"/>
      <c r="U542" s="2"/>
      <c r="V542" s="2"/>
      <c r="W542" s="2"/>
      <c r="X542" s="6"/>
      <c r="Y542" s="2"/>
      <c r="Z542" s="2"/>
      <c r="AA542" s="2"/>
      <c r="AB542" s="2"/>
      <c r="AC542" s="6"/>
      <c r="AD542" s="2"/>
      <c r="AE542" s="2"/>
      <c r="AF542" s="2"/>
      <c r="AG542" s="2"/>
      <c r="AH542" s="2"/>
      <c r="AI542" s="6"/>
      <c r="AJ542" s="2"/>
      <c r="AK542" s="56"/>
      <c r="AL542" s="2"/>
      <c r="AM542" s="2"/>
      <c r="AN542" s="2"/>
      <c r="AO542" s="2"/>
      <c r="AP542" s="6"/>
      <c r="AQ542" s="2"/>
      <c r="AR542" s="2"/>
      <c r="AS542" s="2"/>
      <c r="AT542" s="2"/>
      <c r="AU542" s="2"/>
      <c r="AV542" s="2"/>
      <c r="AW542" s="2"/>
      <c r="AX542" s="6"/>
      <c r="AY542" s="2"/>
      <c r="AZ542" s="2"/>
      <c r="BA542" s="2"/>
      <c r="BB542" s="2"/>
      <c r="BC542" s="2"/>
      <c r="BD542" s="6"/>
      <c r="BE542" s="2"/>
      <c r="BF542" s="6"/>
      <c r="BG542" s="58"/>
      <c r="BH542" s="6"/>
      <c r="BI542" s="2"/>
    </row>
    <row r="543" ht="12.75" customHeight="1">
      <c r="A543" s="71"/>
      <c r="B543" s="71"/>
      <c r="C543" s="11"/>
      <c r="D543" s="11"/>
      <c r="E543" s="2"/>
      <c r="F543" s="2"/>
      <c r="G543" s="2"/>
      <c r="H543" s="54"/>
      <c r="I543" s="4"/>
      <c r="J543" s="2"/>
      <c r="K543" s="2"/>
      <c r="L543" s="5"/>
      <c r="M543" s="5"/>
      <c r="N543" s="5"/>
      <c r="O543" s="5"/>
      <c r="P543" s="5"/>
      <c r="Q543" s="5"/>
      <c r="R543" s="2"/>
      <c r="S543" s="2"/>
      <c r="T543" s="2"/>
      <c r="U543" s="2"/>
      <c r="V543" s="2"/>
      <c r="W543" s="2"/>
      <c r="X543" s="6"/>
      <c r="Y543" s="2"/>
      <c r="Z543" s="2"/>
      <c r="AA543" s="2"/>
      <c r="AB543" s="2"/>
      <c r="AC543" s="6"/>
      <c r="AD543" s="2"/>
      <c r="AE543" s="2"/>
      <c r="AF543" s="2"/>
      <c r="AG543" s="2"/>
      <c r="AH543" s="2"/>
      <c r="AI543" s="6"/>
      <c r="AJ543" s="2"/>
      <c r="AK543" s="56"/>
      <c r="AL543" s="2"/>
      <c r="AM543" s="2"/>
      <c r="AN543" s="2"/>
      <c r="AO543" s="2"/>
      <c r="AP543" s="6"/>
      <c r="AQ543" s="2"/>
      <c r="AR543" s="2"/>
      <c r="AS543" s="2"/>
      <c r="AT543" s="2"/>
      <c r="AU543" s="2"/>
      <c r="AV543" s="2"/>
      <c r="AW543" s="2"/>
      <c r="AX543" s="6"/>
      <c r="AY543" s="2"/>
      <c r="AZ543" s="2"/>
      <c r="BA543" s="2"/>
      <c r="BB543" s="2"/>
      <c r="BC543" s="2"/>
      <c r="BD543" s="6"/>
      <c r="BE543" s="2"/>
      <c r="BF543" s="6"/>
      <c r="BG543" s="58"/>
      <c r="BH543" s="6"/>
      <c r="BI543" s="2"/>
    </row>
    <row r="544" ht="12.75" customHeight="1">
      <c r="A544" s="71"/>
      <c r="B544" s="71"/>
      <c r="C544" s="11"/>
      <c r="D544" s="11"/>
      <c r="E544" s="2"/>
      <c r="F544" s="2"/>
      <c r="G544" s="2"/>
      <c r="H544" s="54"/>
      <c r="I544" s="4"/>
      <c r="J544" s="2"/>
      <c r="K544" s="2"/>
      <c r="L544" s="5"/>
      <c r="M544" s="5"/>
      <c r="N544" s="5"/>
      <c r="O544" s="5"/>
      <c r="P544" s="5"/>
      <c r="Q544" s="5"/>
      <c r="R544" s="2"/>
      <c r="S544" s="2"/>
      <c r="T544" s="2"/>
      <c r="U544" s="2"/>
      <c r="V544" s="2"/>
      <c r="W544" s="2"/>
      <c r="X544" s="6"/>
      <c r="Y544" s="2"/>
      <c r="Z544" s="2"/>
      <c r="AA544" s="2"/>
      <c r="AB544" s="2"/>
      <c r="AC544" s="6"/>
      <c r="AD544" s="2"/>
      <c r="AE544" s="2"/>
      <c r="AF544" s="2"/>
      <c r="AG544" s="2"/>
      <c r="AH544" s="2"/>
      <c r="AI544" s="6"/>
      <c r="AJ544" s="2"/>
      <c r="AK544" s="56"/>
      <c r="AL544" s="2"/>
      <c r="AM544" s="2"/>
      <c r="AN544" s="2"/>
      <c r="AO544" s="2"/>
      <c r="AP544" s="6"/>
      <c r="AQ544" s="2"/>
      <c r="AR544" s="2"/>
      <c r="AS544" s="2"/>
      <c r="AT544" s="2"/>
      <c r="AU544" s="2"/>
      <c r="AV544" s="2"/>
      <c r="AW544" s="2"/>
      <c r="AX544" s="6"/>
      <c r="AY544" s="2"/>
      <c r="AZ544" s="2"/>
      <c r="BA544" s="2"/>
      <c r="BB544" s="2"/>
      <c r="BC544" s="2"/>
      <c r="BD544" s="6"/>
      <c r="BE544" s="2"/>
      <c r="BF544" s="6"/>
      <c r="BG544" s="58"/>
      <c r="BH544" s="6"/>
      <c r="BI544" s="2"/>
    </row>
    <row r="545" ht="12.75" customHeight="1">
      <c r="A545" s="71"/>
      <c r="B545" s="71"/>
      <c r="C545" s="11"/>
      <c r="D545" s="11"/>
      <c r="E545" s="2"/>
      <c r="F545" s="2"/>
      <c r="G545" s="2"/>
      <c r="H545" s="54"/>
      <c r="I545" s="4"/>
      <c r="J545" s="2"/>
      <c r="K545" s="2"/>
      <c r="L545" s="5"/>
      <c r="M545" s="5"/>
      <c r="N545" s="5"/>
      <c r="O545" s="5"/>
      <c r="P545" s="5"/>
      <c r="Q545" s="5"/>
      <c r="R545" s="2"/>
      <c r="S545" s="2"/>
      <c r="T545" s="2"/>
      <c r="U545" s="2"/>
      <c r="V545" s="2"/>
      <c r="W545" s="2"/>
      <c r="X545" s="6"/>
      <c r="Y545" s="2"/>
      <c r="Z545" s="2"/>
      <c r="AA545" s="2"/>
      <c r="AB545" s="2"/>
      <c r="AC545" s="6"/>
      <c r="AD545" s="2"/>
      <c r="AE545" s="2"/>
      <c r="AF545" s="2"/>
      <c r="AG545" s="2"/>
      <c r="AH545" s="2"/>
      <c r="AI545" s="6"/>
      <c r="AJ545" s="2"/>
      <c r="AK545" s="56"/>
      <c r="AL545" s="2"/>
      <c r="AM545" s="2"/>
      <c r="AN545" s="2"/>
      <c r="AO545" s="2"/>
      <c r="AP545" s="6"/>
      <c r="AQ545" s="2"/>
      <c r="AR545" s="2"/>
      <c r="AS545" s="2"/>
      <c r="AT545" s="2"/>
      <c r="AU545" s="2"/>
      <c r="AV545" s="2"/>
      <c r="AW545" s="2"/>
      <c r="AX545" s="6"/>
      <c r="AY545" s="2"/>
      <c r="AZ545" s="2"/>
      <c r="BA545" s="2"/>
      <c r="BB545" s="2"/>
      <c r="BC545" s="2"/>
      <c r="BD545" s="6"/>
      <c r="BE545" s="2"/>
      <c r="BF545" s="6"/>
      <c r="BG545" s="58"/>
      <c r="BH545" s="6"/>
      <c r="BI545" s="2"/>
    </row>
    <row r="546" ht="12.75" customHeight="1">
      <c r="A546" s="71"/>
      <c r="B546" s="71"/>
      <c r="C546" s="11"/>
      <c r="D546" s="11"/>
      <c r="E546" s="2"/>
      <c r="F546" s="2"/>
      <c r="G546" s="2"/>
      <c r="H546" s="54"/>
      <c r="I546" s="4"/>
      <c r="J546" s="2"/>
      <c r="K546" s="2"/>
      <c r="L546" s="5"/>
      <c r="M546" s="5"/>
      <c r="N546" s="5"/>
      <c r="O546" s="5"/>
      <c r="P546" s="5"/>
      <c r="Q546" s="5"/>
      <c r="R546" s="2"/>
      <c r="S546" s="2"/>
      <c r="T546" s="2"/>
      <c r="U546" s="2"/>
      <c r="V546" s="2"/>
      <c r="W546" s="2"/>
      <c r="X546" s="6"/>
      <c r="Y546" s="2"/>
      <c r="Z546" s="2"/>
      <c r="AA546" s="2"/>
      <c r="AB546" s="2"/>
      <c r="AC546" s="6"/>
      <c r="AD546" s="2"/>
      <c r="AE546" s="2"/>
      <c r="AF546" s="2"/>
      <c r="AG546" s="2"/>
      <c r="AH546" s="2"/>
      <c r="AI546" s="6"/>
      <c r="AJ546" s="2"/>
      <c r="AK546" s="56"/>
      <c r="AL546" s="2"/>
      <c r="AM546" s="2"/>
      <c r="AN546" s="2"/>
      <c r="AO546" s="2"/>
      <c r="AP546" s="6"/>
      <c r="AQ546" s="2"/>
      <c r="AR546" s="2"/>
      <c r="AS546" s="2"/>
      <c r="AT546" s="2"/>
      <c r="AU546" s="2"/>
      <c r="AV546" s="2"/>
      <c r="AW546" s="2"/>
      <c r="AX546" s="6"/>
      <c r="AY546" s="2"/>
      <c r="AZ546" s="2"/>
      <c r="BA546" s="2"/>
      <c r="BB546" s="2"/>
      <c r="BC546" s="2"/>
      <c r="BD546" s="6"/>
      <c r="BE546" s="2"/>
      <c r="BF546" s="6"/>
      <c r="BG546" s="58"/>
      <c r="BH546" s="6"/>
      <c r="BI546" s="2"/>
    </row>
    <row r="547" ht="12.75" customHeight="1">
      <c r="A547" s="71"/>
      <c r="B547" s="71"/>
      <c r="C547" s="11"/>
      <c r="D547" s="11"/>
      <c r="E547" s="2"/>
      <c r="F547" s="2"/>
      <c r="G547" s="2"/>
      <c r="H547" s="54"/>
      <c r="I547" s="4"/>
      <c r="J547" s="2"/>
      <c r="K547" s="2"/>
      <c r="L547" s="5"/>
      <c r="M547" s="5"/>
      <c r="N547" s="5"/>
      <c r="O547" s="5"/>
      <c r="P547" s="5"/>
      <c r="Q547" s="5"/>
      <c r="R547" s="2"/>
      <c r="S547" s="2"/>
      <c r="T547" s="2"/>
      <c r="U547" s="2"/>
      <c r="V547" s="2"/>
      <c r="W547" s="2"/>
      <c r="X547" s="6"/>
      <c r="Y547" s="2"/>
      <c r="Z547" s="2"/>
      <c r="AA547" s="2"/>
      <c r="AB547" s="2"/>
      <c r="AC547" s="6"/>
      <c r="AD547" s="2"/>
      <c r="AE547" s="2"/>
      <c r="AF547" s="2"/>
      <c r="AG547" s="2"/>
      <c r="AH547" s="2"/>
      <c r="AI547" s="6"/>
      <c r="AJ547" s="2"/>
      <c r="AK547" s="56"/>
      <c r="AL547" s="2"/>
      <c r="AM547" s="2"/>
      <c r="AN547" s="2"/>
      <c r="AO547" s="2"/>
      <c r="AP547" s="6"/>
      <c r="AQ547" s="2"/>
      <c r="AR547" s="2"/>
      <c r="AS547" s="2"/>
      <c r="AT547" s="2"/>
      <c r="AU547" s="2"/>
      <c r="AV547" s="2"/>
      <c r="AW547" s="2"/>
      <c r="AX547" s="6"/>
      <c r="AY547" s="2"/>
      <c r="AZ547" s="2"/>
      <c r="BA547" s="2"/>
      <c r="BB547" s="2"/>
      <c r="BC547" s="2"/>
      <c r="BD547" s="6"/>
      <c r="BE547" s="2"/>
      <c r="BF547" s="6"/>
      <c r="BG547" s="58"/>
      <c r="BH547" s="6"/>
      <c r="BI547" s="2"/>
    </row>
    <row r="548" ht="12.75" customHeight="1">
      <c r="A548" s="71"/>
      <c r="B548" s="71"/>
      <c r="C548" s="11"/>
      <c r="D548" s="11"/>
      <c r="E548" s="2"/>
      <c r="F548" s="2"/>
      <c r="G548" s="2"/>
      <c r="H548" s="54"/>
      <c r="I548" s="4"/>
      <c r="J548" s="2"/>
      <c r="K548" s="2"/>
      <c r="L548" s="5"/>
      <c r="M548" s="5"/>
      <c r="N548" s="5"/>
      <c r="O548" s="5"/>
      <c r="P548" s="5"/>
      <c r="Q548" s="5"/>
      <c r="R548" s="2"/>
      <c r="S548" s="2"/>
      <c r="T548" s="2"/>
      <c r="U548" s="2"/>
      <c r="V548" s="2"/>
      <c r="W548" s="2"/>
      <c r="X548" s="6"/>
      <c r="Y548" s="2"/>
      <c r="Z548" s="2"/>
      <c r="AA548" s="2"/>
      <c r="AB548" s="2"/>
      <c r="AC548" s="6"/>
      <c r="AD548" s="2"/>
      <c r="AE548" s="2"/>
      <c r="AF548" s="2"/>
      <c r="AG548" s="2"/>
      <c r="AH548" s="2"/>
      <c r="AI548" s="6"/>
      <c r="AJ548" s="2"/>
      <c r="AK548" s="56"/>
      <c r="AL548" s="2"/>
      <c r="AM548" s="2"/>
      <c r="AN548" s="2"/>
      <c r="AO548" s="2"/>
      <c r="AP548" s="6"/>
      <c r="AQ548" s="2"/>
      <c r="AR548" s="2"/>
      <c r="AS548" s="2"/>
      <c r="AT548" s="2"/>
      <c r="AU548" s="2"/>
      <c r="AV548" s="2"/>
      <c r="AW548" s="2"/>
      <c r="AX548" s="6"/>
      <c r="AY548" s="2"/>
      <c r="AZ548" s="2"/>
      <c r="BA548" s="2"/>
      <c r="BB548" s="2"/>
      <c r="BC548" s="2"/>
      <c r="BD548" s="6"/>
      <c r="BE548" s="2"/>
      <c r="BF548" s="6"/>
      <c r="BG548" s="58"/>
      <c r="BH548" s="6"/>
      <c r="BI548" s="2"/>
    </row>
    <row r="549" ht="12.75" customHeight="1">
      <c r="A549" s="71"/>
      <c r="B549" s="71"/>
      <c r="C549" s="11"/>
      <c r="D549" s="11"/>
      <c r="E549" s="2"/>
      <c r="F549" s="2"/>
      <c r="G549" s="2"/>
      <c r="H549" s="54"/>
      <c r="I549" s="4"/>
      <c r="J549" s="2"/>
      <c r="K549" s="2"/>
      <c r="L549" s="5"/>
      <c r="M549" s="5"/>
      <c r="N549" s="5"/>
      <c r="O549" s="5"/>
      <c r="P549" s="5"/>
      <c r="Q549" s="5"/>
      <c r="R549" s="2"/>
      <c r="S549" s="2"/>
      <c r="T549" s="2"/>
      <c r="U549" s="2"/>
      <c r="V549" s="2"/>
      <c r="W549" s="2"/>
      <c r="X549" s="6"/>
      <c r="Y549" s="2"/>
      <c r="Z549" s="2"/>
      <c r="AA549" s="2"/>
      <c r="AB549" s="2"/>
      <c r="AC549" s="6"/>
      <c r="AD549" s="2"/>
      <c r="AE549" s="2"/>
      <c r="AF549" s="2"/>
      <c r="AG549" s="2"/>
      <c r="AH549" s="2"/>
      <c r="AI549" s="6"/>
      <c r="AJ549" s="2"/>
      <c r="AK549" s="56"/>
      <c r="AL549" s="2"/>
      <c r="AM549" s="2"/>
      <c r="AN549" s="2"/>
      <c r="AO549" s="2"/>
      <c r="AP549" s="6"/>
      <c r="AQ549" s="2"/>
      <c r="AR549" s="2"/>
      <c r="AS549" s="2"/>
      <c r="AT549" s="2"/>
      <c r="AU549" s="2"/>
      <c r="AV549" s="2"/>
      <c r="AW549" s="2"/>
      <c r="AX549" s="6"/>
      <c r="AY549" s="2"/>
      <c r="AZ549" s="2"/>
      <c r="BA549" s="2"/>
      <c r="BB549" s="2"/>
      <c r="BC549" s="2"/>
      <c r="BD549" s="6"/>
      <c r="BE549" s="2"/>
      <c r="BF549" s="6"/>
      <c r="BG549" s="58"/>
      <c r="BH549" s="6"/>
      <c r="BI549" s="2"/>
    </row>
    <row r="550" ht="12.75" customHeight="1">
      <c r="A550" s="71"/>
      <c r="B550" s="71"/>
      <c r="C550" s="11"/>
      <c r="D550" s="11"/>
      <c r="E550" s="2"/>
      <c r="F550" s="2"/>
      <c r="G550" s="2"/>
      <c r="H550" s="54"/>
      <c r="I550" s="4"/>
      <c r="J550" s="2"/>
      <c r="K550" s="2"/>
      <c r="L550" s="5"/>
      <c r="M550" s="5"/>
      <c r="N550" s="5"/>
      <c r="O550" s="5"/>
      <c r="P550" s="5"/>
      <c r="Q550" s="5"/>
      <c r="R550" s="2"/>
      <c r="S550" s="2"/>
      <c r="T550" s="2"/>
      <c r="U550" s="2"/>
      <c r="V550" s="2"/>
      <c r="W550" s="2"/>
      <c r="X550" s="6"/>
      <c r="Y550" s="2"/>
      <c r="Z550" s="2"/>
      <c r="AA550" s="2"/>
      <c r="AB550" s="2"/>
      <c r="AC550" s="6"/>
      <c r="AD550" s="2"/>
      <c r="AE550" s="2"/>
      <c r="AF550" s="2"/>
      <c r="AG550" s="2"/>
      <c r="AH550" s="2"/>
      <c r="AI550" s="6"/>
      <c r="AJ550" s="2"/>
      <c r="AK550" s="56"/>
      <c r="AL550" s="2"/>
      <c r="AM550" s="2"/>
      <c r="AN550" s="2"/>
      <c r="AO550" s="2"/>
      <c r="AP550" s="6"/>
      <c r="AQ550" s="2"/>
      <c r="AR550" s="2"/>
      <c r="AS550" s="2"/>
      <c r="AT550" s="2"/>
      <c r="AU550" s="2"/>
      <c r="AV550" s="2"/>
      <c r="AW550" s="2"/>
      <c r="AX550" s="6"/>
      <c r="AY550" s="2"/>
      <c r="AZ550" s="2"/>
      <c r="BA550" s="2"/>
      <c r="BB550" s="2"/>
      <c r="BC550" s="2"/>
      <c r="BD550" s="6"/>
      <c r="BE550" s="2"/>
      <c r="BF550" s="6"/>
      <c r="BG550" s="58"/>
      <c r="BH550" s="6"/>
      <c r="BI550" s="2"/>
    </row>
    <row r="551" ht="12.75" customHeight="1">
      <c r="A551" s="71"/>
      <c r="B551" s="71"/>
      <c r="C551" s="11"/>
      <c r="D551" s="11"/>
      <c r="E551" s="2"/>
      <c r="F551" s="2"/>
      <c r="G551" s="2"/>
      <c r="H551" s="54"/>
      <c r="I551" s="4"/>
      <c r="J551" s="2"/>
      <c r="K551" s="2"/>
      <c r="L551" s="5"/>
      <c r="M551" s="5"/>
      <c r="N551" s="5"/>
      <c r="O551" s="5"/>
      <c r="P551" s="5"/>
      <c r="Q551" s="5"/>
      <c r="R551" s="2"/>
      <c r="S551" s="2"/>
      <c r="T551" s="2"/>
      <c r="U551" s="2"/>
      <c r="V551" s="2"/>
      <c r="W551" s="2"/>
      <c r="X551" s="6"/>
      <c r="Y551" s="2"/>
      <c r="Z551" s="2"/>
      <c r="AA551" s="2"/>
      <c r="AB551" s="2"/>
      <c r="AC551" s="6"/>
      <c r="AD551" s="2"/>
      <c r="AE551" s="2"/>
      <c r="AF551" s="2"/>
      <c r="AG551" s="2"/>
      <c r="AH551" s="2"/>
      <c r="AI551" s="6"/>
      <c r="AJ551" s="2"/>
      <c r="AK551" s="56"/>
      <c r="AL551" s="2"/>
      <c r="AM551" s="2"/>
      <c r="AN551" s="2"/>
      <c r="AO551" s="2"/>
      <c r="AP551" s="6"/>
      <c r="AQ551" s="2"/>
      <c r="AR551" s="2"/>
      <c r="AS551" s="2"/>
      <c r="AT551" s="2"/>
      <c r="AU551" s="2"/>
      <c r="AV551" s="2"/>
      <c r="AW551" s="2"/>
      <c r="AX551" s="6"/>
      <c r="AY551" s="2"/>
      <c r="AZ551" s="2"/>
      <c r="BA551" s="2"/>
      <c r="BB551" s="2"/>
      <c r="BC551" s="2"/>
      <c r="BD551" s="6"/>
      <c r="BE551" s="2"/>
      <c r="BF551" s="6"/>
      <c r="BG551" s="58"/>
      <c r="BH551" s="6"/>
      <c r="BI551" s="2"/>
    </row>
    <row r="552" ht="12.75" customHeight="1">
      <c r="A552" s="71"/>
      <c r="B552" s="71"/>
      <c r="C552" s="11"/>
      <c r="D552" s="11"/>
      <c r="E552" s="2"/>
      <c r="F552" s="2"/>
      <c r="G552" s="2"/>
      <c r="H552" s="54"/>
      <c r="I552" s="4"/>
      <c r="J552" s="2"/>
      <c r="K552" s="2"/>
      <c r="L552" s="5"/>
      <c r="M552" s="5"/>
      <c r="N552" s="5"/>
      <c r="O552" s="5"/>
      <c r="P552" s="5"/>
      <c r="Q552" s="5"/>
      <c r="R552" s="2"/>
      <c r="S552" s="2"/>
      <c r="T552" s="2"/>
      <c r="U552" s="2"/>
      <c r="V552" s="2"/>
      <c r="W552" s="2"/>
      <c r="X552" s="6"/>
      <c r="Y552" s="2"/>
      <c r="Z552" s="2"/>
      <c r="AA552" s="2"/>
      <c r="AB552" s="2"/>
      <c r="AC552" s="6"/>
      <c r="AD552" s="2"/>
      <c r="AE552" s="2"/>
      <c r="AF552" s="2"/>
      <c r="AG552" s="2"/>
      <c r="AH552" s="2"/>
      <c r="AI552" s="6"/>
      <c r="AJ552" s="2"/>
      <c r="AK552" s="56"/>
      <c r="AL552" s="2"/>
      <c r="AM552" s="2"/>
      <c r="AN552" s="2"/>
      <c r="AO552" s="2"/>
      <c r="AP552" s="6"/>
      <c r="AQ552" s="2"/>
      <c r="AR552" s="2"/>
      <c r="AS552" s="2"/>
      <c r="AT552" s="2"/>
      <c r="AU552" s="2"/>
      <c r="AV552" s="2"/>
      <c r="AW552" s="2"/>
      <c r="AX552" s="6"/>
      <c r="AY552" s="2"/>
      <c r="AZ552" s="2"/>
      <c r="BA552" s="2"/>
      <c r="BB552" s="2"/>
      <c r="BC552" s="2"/>
      <c r="BD552" s="6"/>
      <c r="BE552" s="2"/>
      <c r="BF552" s="6"/>
      <c r="BG552" s="58"/>
      <c r="BH552" s="6"/>
      <c r="BI552" s="2"/>
    </row>
    <row r="553" ht="12.75" customHeight="1">
      <c r="A553" s="71"/>
      <c r="B553" s="71"/>
      <c r="C553" s="11"/>
      <c r="D553" s="11"/>
      <c r="E553" s="2"/>
      <c r="F553" s="2"/>
      <c r="G553" s="2"/>
      <c r="H553" s="54"/>
      <c r="I553" s="4"/>
      <c r="J553" s="2"/>
      <c r="K553" s="2"/>
      <c r="L553" s="5"/>
      <c r="M553" s="5"/>
      <c r="N553" s="5"/>
      <c r="O553" s="5"/>
      <c r="P553" s="5"/>
      <c r="Q553" s="5"/>
      <c r="R553" s="2"/>
      <c r="S553" s="2"/>
      <c r="T553" s="2"/>
      <c r="U553" s="2"/>
      <c r="V553" s="2"/>
      <c r="W553" s="2"/>
      <c r="X553" s="6"/>
      <c r="Y553" s="2"/>
      <c r="Z553" s="2"/>
      <c r="AA553" s="2"/>
      <c r="AB553" s="2"/>
      <c r="AC553" s="6"/>
      <c r="AD553" s="2"/>
      <c r="AE553" s="2"/>
      <c r="AF553" s="2"/>
      <c r="AG553" s="2"/>
      <c r="AH553" s="2"/>
      <c r="AI553" s="6"/>
      <c r="AJ553" s="2"/>
      <c r="AK553" s="56"/>
      <c r="AL553" s="2"/>
      <c r="AM553" s="2"/>
      <c r="AN553" s="2"/>
      <c r="AO553" s="2"/>
      <c r="AP553" s="6"/>
      <c r="AQ553" s="2"/>
      <c r="AR553" s="2"/>
      <c r="AS553" s="2"/>
      <c r="AT553" s="2"/>
      <c r="AU553" s="2"/>
      <c r="AV553" s="2"/>
      <c r="AW553" s="2"/>
      <c r="AX553" s="6"/>
      <c r="AY553" s="2"/>
      <c r="AZ553" s="2"/>
      <c r="BA553" s="2"/>
      <c r="BB553" s="2"/>
      <c r="BC553" s="2"/>
      <c r="BD553" s="6"/>
      <c r="BE553" s="2"/>
      <c r="BF553" s="6"/>
      <c r="BG553" s="58"/>
      <c r="BH553" s="6"/>
      <c r="BI553" s="2"/>
    </row>
    <row r="554" ht="12.75" customHeight="1">
      <c r="A554" s="71"/>
      <c r="B554" s="71"/>
      <c r="C554" s="11"/>
      <c r="D554" s="11"/>
      <c r="E554" s="2"/>
      <c r="F554" s="2"/>
      <c r="G554" s="2"/>
      <c r="H554" s="54"/>
      <c r="I554" s="4"/>
      <c r="J554" s="2"/>
      <c r="K554" s="2"/>
      <c r="L554" s="5"/>
      <c r="M554" s="5"/>
      <c r="N554" s="5"/>
      <c r="O554" s="5"/>
      <c r="P554" s="5"/>
      <c r="Q554" s="5"/>
      <c r="R554" s="2"/>
      <c r="S554" s="2"/>
      <c r="T554" s="2"/>
      <c r="U554" s="2"/>
      <c r="V554" s="2"/>
      <c r="W554" s="2"/>
      <c r="X554" s="6"/>
      <c r="Y554" s="2"/>
      <c r="Z554" s="2"/>
      <c r="AA554" s="2"/>
      <c r="AB554" s="2"/>
      <c r="AC554" s="6"/>
      <c r="AD554" s="2"/>
      <c r="AE554" s="2"/>
      <c r="AF554" s="2"/>
      <c r="AG554" s="2"/>
      <c r="AH554" s="2"/>
      <c r="AI554" s="6"/>
      <c r="AJ554" s="2"/>
      <c r="AK554" s="56"/>
      <c r="AL554" s="2"/>
      <c r="AM554" s="2"/>
      <c r="AN554" s="2"/>
      <c r="AO554" s="2"/>
      <c r="AP554" s="6"/>
      <c r="AQ554" s="2"/>
      <c r="AR554" s="2"/>
      <c r="AS554" s="2"/>
      <c r="AT554" s="2"/>
      <c r="AU554" s="2"/>
      <c r="AV554" s="2"/>
      <c r="AW554" s="2"/>
      <c r="AX554" s="6"/>
      <c r="AY554" s="2"/>
      <c r="AZ554" s="2"/>
      <c r="BA554" s="2"/>
      <c r="BB554" s="2"/>
      <c r="BC554" s="2"/>
      <c r="BD554" s="6"/>
      <c r="BE554" s="2"/>
      <c r="BF554" s="6"/>
      <c r="BG554" s="58"/>
      <c r="BH554" s="6"/>
      <c r="BI554" s="2"/>
    </row>
    <row r="555" ht="12.75" customHeight="1">
      <c r="A555" s="71"/>
      <c r="B555" s="71"/>
      <c r="C555" s="11"/>
      <c r="D555" s="11"/>
      <c r="E555" s="2"/>
      <c r="F555" s="2"/>
      <c r="G555" s="2"/>
      <c r="H555" s="54"/>
      <c r="I555" s="4"/>
      <c r="J555" s="2"/>
      <c r="K555" s="2"/>
      <c r="L555" s="5"/>
      <c r="M555" s="5"/>
      <c r="N555" s="5"/>
      <c r="O555" s="5"/>
      <c r="P555" s="5"/>
      <c r="Q555" s="5"/>
      <c r="R555" s="2"/>
      <c r="S555" s="2"/>
      <c r="T555" s="2"/>
      <c r="U555" s="2"/>
      <c r="V555" s="2"/>
      <c r="W555" s="2"/>
      <c r="X555" s="6"/>
      <c r="Y555" s="2"/>
      <c r="Z555" s="2"/>
      <c r="AA555" s="2"/>
      <c r="AB555" s="2"/>
      <c r="AC555" s="6"/>
      <c r="AD555" s="2"/>
      <c r="AE555" s="2"/>
      <c r="AF555" s="2"/>
      <c r="AG555" s="2"/>
      <c r="AH555" s="2"/>
      <c r="AI555" s="6"/>
      <c r="AJ555" s="2"/>
      <c r="AK555" s="56"/>
      <c r="AL555" s="2"/>
      <c r="AM555" s="2"/>
      <c r="AN555" s="2"/>
      <c r="AO555" s="2"/>
      <c r="AP555" s="6"/>
      <c r="AQ555" s="2"/>
      <c r="AR555" s="2"/>
      <c r="AS555" s="2"/>
      <c r="AT555" s="2"/>
      <c r="AU555" s="2"/>
      <c r="AV555" s="2"/>
      <c r="AW555" s="2"/>
      <c r="AX555" s="6"/>
      <c r="AY555" s="2"/>
      <c r="AZ555" s="2"/>
      <c r="BA555" s="2"/>
      <c r="BB555" s="2"/>
      <c r="BC555" s="2"/>
      <c r="BD555" s="6"/>
      <c r="BE555" s="2"/>
      <c r="BF555" s="6"/>
      <c r="BG555" s="58"/>
      <c r="BH555" s="6"/>
      <c r="BI555" s="2"/>
    </row>
    <row r="556" ht="12.75" customHeight="1">
      <c r="A556" s="71"/>
      <c r="B556" s="71"/>
      <c r="C556" s="11"/>
      <c r="D556" s="11"/>
      <c r="E556" s="2"/>
      <c r="F556" s="2"/>
      <c r="G556" s="2"/>
      <c r="H556" s="54"/>
      <c r="I556" s="4"/>
      <c r="J556" s="2"/>
      <c r="K556" s="2"/>
      <c r="L556" s="5"/>
      <c r="M556" s="5"/>
      <c r="N556" s="5"/>
      <c r="O556" s="5"/>
      <c r="P556" s="5"/>
      <c r="Q556" s="5"/>
      <c r="R556" s="2"/>
      <c r="S556" s="2"/>
      <c r="T556" s="2"/>
      <c r="U556" s="2"/>
      <c r="V556" s="2"/>
      <c r="W556" s="2"/>
      <c r="X556" s="6"/>
      <c r="Y556" s="2"/>
      <c r="Z556" s="2"/>
      <c r="AA556" s="2"/>
      <c r="AB556" s="2"/>
      <c r="AC556" s="6"/>
      <c r="AD556" s="2"/>
      <c r="AE556" s="2"/>
      <c r="AF556" s="2"/>
      <c r="AG556" s="2"/>
      <c r="AH556" s="2"/>
      <c r="AI556" s="6"/>
      <c r="AJ556" s="2"/>
      <c r="AK556" s="56"/>
      <c r="AL556" s="2"/>
      <c r="AM556" s="2"/>
      <c r="AN556" s="2"/>
      <c r="AO556" s="2"/>
      <c r="AP556" s="6"/>
      <c r="AQ556" s="2"/>
      <c r="AR556" s="2"/>
      <c r="AS556" s="2"/>
      <c r="AT556" s="2"/>
      <c r="AU556" s="2"/>
      <c r="AV556" s="2"/>
      <c r="AW556" s="2"/>
      <c r="AX556" s="6"/>
      <c r="AY556" s="2"/>
      <c r="AZ556" s="2"/>
      <c r="BA556" s="2"/>
      <c r="BB556" s="2"/>
      <c r="BC556" s="2"/>
      <c r="BD556" s="6"/>
      <c r="BE556" s="2"/>
      <c r="BF556" s="6"/>
      <c r="BG556" s="58"/>
      <c r="BH556" s="6"/>
      <c r="BI556" s="2"/>
    </row>
    <row r="557" ht="12.75" customHeight="1">
      <c r="A557" s="71"/>
      <c r="B557" s="71"/>
      <c r="C557" s="11"/>
      <c r="D557" s="11"/>
      <c r="E557" s="2"/>
      <c r="F557" s="2"/>
      <c r="G557" s="2"/>
      <c r="H557" s="54"/>
      <c r="I557" s="4"/>
      <c r="J557" s="2"/>
      <c r="K557" s="2"/>
      <c r="L557" s="5"/>
      <c r="M557" s="5"/>
      <c r="N557" s="5"/>
      <c r="O557" s="5"/>
      <c r="P557" s="5"/>
      <c r="Q557" s="5"/>
      <c r="R557" s="2"/>
      <c r="S557" s="2"/>
      <c r="T557" s="2"/>
      <c r="U557" s="2"/>
      <c r="V557" s="2"/>
      <c r="W557" s="2"/>
      <c r="X557" s="6"/>
      <c r="Y557" s="2"/>
      <c r="Z557" s="2"/>
      <c r="AA557" s="2"/>
      <c r="AB557" s="2"/>
      <c r="AC557" s="6"/>
      <c r="AD557" s="2"/>
      <c r="AE557" s="2"/>
      <c r="AF557" s="2"/>
      <c r="AG557" s="2"/>
      <c r="AH557" s="2"/>
      <c r="AI557" s="6"/>
      <c r="AJ557" s="2"/>
      <c r="AK557" s="56"/>
      <c r="AL557" s="2"/>
      <c r="AM557" s="2"/>
      <c r="AN557" s="2"/>
      <c r="AO557" s="2"/>
      <c r="AP557" s="6"/>
      <c r="AQ557" s="2"/>
      <c r="AR557" s="2"/>
      <c r="AS557" s="2"/>
      <c r="AT557" s="2"/>
      <c r="AU557" s="2"/>
      <c r="AV557" s="2"/>
      <c r="AW557" s="2"/>
      <c r="AX557" s="6"/>
      <c r="AY557" s="2"/>
      <c r="AZ557" s="2"/>
      <c r="BA557" s="2"/>
      <c r="BB557" s="2"/>
      <c r="BC557" s="2"/>
      <c r="BD557" s="6"/>
      <c r="BE557" s="2"/>
      <c r="BF557" s="6"/>
      <c r="BG557" s="58"/>
      <c r="BH557" s="6"/>
      <c r="BI557" s="2"/>
    </row>
    <row r="558" ht="12.75" customHeight="1">
      <c r="A558" s="71"/>
      <c r="B558" s="71"/>
      <c r="C558" s="11"/>
      <c r="D558" s="11"/>
      <c r="E558" s="2"/>
      <c r="F558" s="2"/>
      <c r="G558" s="2"/>
      <c r="H558" s="54"/>
      <c r="I558" s="4"/>
      <c r="J558" s="2"/>
      <c r="K558" s="2"/>
      <c r="L558" s="5"/>
      <c r="M558" s="5"/>
      <c r="N558" s="5"/>
      <c r="O558" s="5"/>
      <c r="P558" s="5"/>
      <c r="Q558" s="5"/>
      <c r="R558" s="2"/>
      <c r="S558" s="2"/>
      <c r="T558" s="2"/>
      <c r="U558" s="2"/>
      <c r="V558" s="2"/>
      <c r="W558" s="2"/>
      <c r="X558" s="6"/>
      <c r="Y558" s="2"/>
      <c r="Z558" s="2"/>
      <c r="AA558" s="2"/>
      <c r="AB558" s="2"/>
      <c r="AC558" s="6"/>
      <c r="AD558" s="2"/>
      <c r="AE558" s="2"/>
      <c r="AF558" s="2"/>
      <c r="AG558" s="2"/>
      <c r="AH558" s="2"/>
      <c r="AI558" s="6"/>
      <c r="AJ558" s="2"/>
      <c r="AK558" s="56"/>
      <c r="AL558" s="2"/>
      <c r="AM558" s="2"/>
      <c r="AN558" s="2"/>
      <c r="AO558" s="2"/>
      <c r="AP558" s="6"/>
      <c r="AQ558" s="2"/>
      <c r="AR558" s="2"/>
      <c r="AS558" s="2"/>
      <c r="AT558" s="2"/>
      <c r="AU558" s="2"/>
      <c r="AV558" s="2"/>
      <c r="AW558" s="2"/>
      <c r="AX558" s="6"/>
      <c r="AY558" s="2"/>
      <c r="AZ558" s="2"/>
      <c r="BA558" s="2"/>
      <c r="BB558" s="2"/>
      <c r="BC558" s="2"/>
      <c r="BD558" s="6"/>
      <c r="BE558" s="2"/>
      <c r="BF558" s="6"/>
      <c r="BG558" s="58"/>
      <c r="BH558" s="6"/>
      <c r="BI558" s="2"/>
    </row>
    <row r="559" ht="12.75" customHeight="1">
      <c r="A559" s="71"/>
      <c r="B559" s="71"/>
      <c r="C559" s="11"/>
      <c r="D559" s="11"/>
      <c r="E559" s="2"/>
      <c r="F559" s="2"/>
      <c r="G559" s="2"/>
      <c r="H559" s="54"/>
      <c r="I559" s="4"/>
      <c r="J559" s="2"/>
      <c r="K559" s="2"/>
      <c r="L559" s="5"/>
      <c r="M559" s="5"/>
      <c r="N559" s="5"/>
      <c r="O559" s="5"/>
      <c r="P559" s="5"/>
      <c r="Q559" s="5"/>
      <c r="R559" s="2"/>
      <c r="S559" s="2"/>
      <c r="T559" s="2"/>
      <c r="U559" s="2"/>
      <c r="V559" s="2"/>
      <c r="W559" s="2"/>
      <c r="X559" s="6"/>
      <c r="Y559" s="2"/>
      <c r="Z559" s="2"/>
      <c r="AA559" s="2"/>
      <c r="AB559" s="2"/>
      <c r="AC559" s="6"/>
      <c r="AD559" s="2"/>
      <c r="AE559" s="2"/>
      <c r="AF559" s="2"/>
      <c r="AG559" s="2"/>
      <c r="AH559" s="2"/>
      <c r="AI559" s="6"/>
      <c r="AJ559" s="2"/>
      <c r="AK559" s="56"/>
      <c r="AL559" s="2"/>
      <c r="AM559" s="2"/>
      <c r="AN559" s="2"/>
      <c r="AO559" s="2"/>
      <c r="AP559" s="6"/>
      <c r="AQ559" s="2"/>
      <c r="AR559" s="2"/>
      <c r="AS559" s="2"/>
      <c r="AT559" s="2"/>
      <c r="AU559" s="2"/>
      <c r="AV559" s="2"/>
      <c r="AW559" s="2"/>
      <c r="AX559" s="6"/>
      <c r="AY559" s="2"/>
      <c r="AZ559" s="2"/>
      <c r="BA559" s="2"/>
      <c r="BB559" s="2"/>
      <c r="BC559" s="2"/>
      <c r="BD559" s="6"/>
      <c r="BE559" s="2"/>
      <c r="BF559" s="6"/>
      <c r="BG559" s="58"/>
      <c r="BH559" s="6"/>
      <c r="BI559" s="2"/>
    </row>
    <row r="560" ht="12.75" customHeight="1">
      <c r="A560" s="71"/>
      <c r="B560" s="71"/>
      <c r="C560" s="11"/>
      <c r="D560" s="11"/>
      <c r="E560" s="2"/>
      <c r="F560" s="2"/>
      <c r="G560" s="2"/>
      <c r="H560" s="54"/>
      <c r="I560" s="4"/>
      <c r="J560" s="2"/>
      <c r="K560" s="2"/>
      <c r="L560" s="5"/>
      <c r="M560" s="5"/>
      <c r="N560" s="5"/>
      <c r="O560" s="5"/>
      <c r="P560" s="5"/>
      <c r="Q560" s="5"/>
      <c r="R560" s="2"/>
      <c r="S560" s="2"/>
      <c r="T560" s="2"/>
      <c r="U560" s="2"/>
      <c r="V560" s="2"/>
      <c r="W560" s="2"/>
      <c r="X560" s="6"/>
      <c r="Y560" s="2"/>
      <c r="Z560" s="2"/>
      <c r="AA560" s="2"/>
      <c r="AB560" s="2"/>
      <c r="AC560" s="6"/>
      <c r="AD560" s="2"/>
      <c r="AE560" s="2"/>
      <c r="AF560" s="2"/>
      <c r="AG560" s="2"/>
      <c r="AH560" s="2"/>
      <c r="AI560" s="6"/>
      <c r="AJ560" s="2"/>
      <c r="AK560" s="56"/>
      <c r="AL560" s="2"/>
      <c r="AM560" s="2"/>
      <c r="AN560" s="2"/>
      <c r="AO560" s="2"/>
      <c r="AP560" s="6"/>
      <c r="AQ560" s="2"/>
      <c r="AR560" s="2"/>
      <c r="AS560" s="2"/>
      <c r="AT560" s="2"/>
      <c r="AU560" s="2"/>
      <c r="AV560" s="2"/>
      <c r="AW560" s="2"/>
      <c r="AX560" s="6"/>
      <c r="AY560" s="2"/>
      <c r="AZ560" s="2"/>
      <c r="BA560" s="2"/>
      <c r="BB560" s="2"/>
      <c r="BC560" s="2"/>
      <c r="BD560" s="6"/>
      <c r="BE560" s="2"/>
      <c r="BF560" s="6"/>
      <c r="BG560" s="58"/>
      <c r="BH560" s="6"/>
      <c r="BI560" s="2"/>
    </row>
    <row r="561" ht="12.75" customHeight="1">
      <c r="A561" s="71"/>
      <c r="B561" s="71"/>
      <c r="C561" s="11"/>
      <c r="D561" s="11"/>
      <c r="E561" s="2"/>
      <c r="F561" s="2"/>
      <c r="G561" s="2"/>
      <c r="H561" s="54"/>
      <c r="I561" s="4"/>
      <c r="J561" s="2"/>
      <c r="K561" s="2"/>
      <c r="L561" s="5"/>
      <c r="M561" s="5"/>
      <c r="N561" s="5"/>
      <c r="O561" s="5"/>
      <c r="P561" s="5"/>
      <c r="Q561" s="5"/>
      <c r="R561" s="2"/>
      <c r="S561" s="2"/>
      <c r="T561" s="2"/>
      <c r="U561" s="2"/>
      <c r="V561" s="2"/>
      <c r="W561" s="2"/>
      <c r="X561" s="6"/>
      <c r="Y561" s="2"/>
      <c r="Z561" s="2"/>
      <c r="AA561" s="2"/>
      <c r="AB561" s="2"/>
      <c r="AC561" s="6"/>
      <c r="AD561" s="2"/>
      <c r="AE561" s="2"/>
      <c r="AF561" s="2"/>
      <c r="AG561" s="2"/>
      <c r="AH561" s="2"/>
      <c r="AI561" s="6"/>
      <c r="AJ561" s="2"/>
      <c r="AK561" s="56"/>
      <c r="AL561" s="2"/>
      <c r="AM561" s="2"/>
      <c r="AN561" s="2"/>
      <c r="AO561" s="2"/>
      <c r="AP561" s="6"/>
      <c r="AQ561" s="2"/>
      <c r="AR561" s="2"/>
      <c r="AS561" s="2"/>
      <c r="AT561" s="2"/>
      <c r="AU561" s="2"/>
      <c r="AV561" s="2"/>
      <c r="AW561" s="2"/>
      <c r="AX561" s="6"/>
      <c r="AY561" s="2"/>
      <c r="AZ561" s="2"/>
      <c r="BA561" s="2"/>
      <c r="BB561" s="2"/>
      <c r="BC561" s="2"/>
      <c r="BD561" s="6"/>
      <c r="BE561" s="2"/>
      <c r="BF561" s="6"/>
      <c r="BG561" s="58"/>
      <c r="BH561" s="6"/>
      <c r="BI561" s="2"/>
    </row>
    <row r="562" ht="12.75" customHeight="1">
      <c r="A562" s="71"/>
      <c r="B562" s="71"/>
      <c r="C562" s="11"/>
      <c r="D562" s="11"/>
      <c r="E562" s="2"/>
      <c r="F562" s="2"/>
      <c r="G562" s="2"/>
      <c r="H562" s="54"/>
      <c r="I562" s="4"/>
      <c r="J562" s="2"/>
      <c r="K562" s="2"/>
      <c r="L562" s="5"/>
      <c r="M562" s="5"/>
      <c r="N562" s="5"/>
      <c r="O562" s="5"/>
      <c r="P562" s="5"/>
      <c r="Q562" s="5"/>
      <c r="R562" s="2"/>
      <c r="S562" s="2"/>
      <c r="T562" s="2"/>
      <c r="U562" s="2"/>
      <c r="V562" s="2"/>
      <c r="W562" s="2"/>
      <c r="X562" s="6"/>
      <c r="Y562" s="2"/>
      <c r="Z562" s="2"/>
      <c r="AA562" s="2"/>
      <c r="AB562" s="2"/>
      <c r="AC562" s="6"/>
      <c r="AD562" s="2"/>
      <c r="AE562" s="2"/>
      <c r="AF562" s="2"/>
      <c r="AG562" s="2"/>
      <c r="AH562" s="2"/>
      <c r="AI562" s="6"/>
      <c r="AJ562" s="2"/>
      <c r="AK562" s="56"/>
      <c r="AL562" s="2"/>
      <c r="AM562" s="2"/>
      <c r="AN562" s="2"/>
      <c r="AO562" s="2"/>
      <c r="AP562" s="6"/>
      <c r="AQ562" s="2"/>
      <c r="AR562" s="2"/>
      <c r="AS562" s="2"/>
      <c r="AT562" s="2"/>
      <c r="AU562" s="2"/>
      <c r="AV562" s="2"/>
      <c r="AW562" s="2"/>
      <c r="AX562" s="6"/>
      <c r="AY562" s="2"/>
      <c r="AZ562" s="2"/>
      <c r="BA562" s="2"/>
      <c r="BB562" s="2"/>
      <c r="BC562" s="2"/>
      <c r="BD562" s="6"/>
      <c r="BE562" s="2"/>
      <c r="BF562" s="6"/>
      <c r="BG562" s="58"/>
      <c r="BH562" s="6"/>
      <c r="BI562" s="2"/>
    </row>
    <row r="563" ht="12.75" customHeight="1">
      <c r="A563" s="71"/>
      <c r="B563" s="71"/>
      <c r="C563" s="11"/>
      <c r="D563" s="11"/>
      <c r="E563" s="2"/>
      <c r="F563" s="2"/>
      <c r="G563" s="2"/>
      <c r="H563" s="54"/>
      <c r="I563" s="4"/>
      <c r="J563" s="2"/>
      <c r="K563" s="2"/>
      <c r="L563" s="5"/>
      <c r="M563" s="5"/>
      <c r="N563" s="5"/>
      <c r="O563" s="5"/>
      <c r="P563" s="5"/>
      <c r="Q563" s="5"/>
      <c r="R563" s="2"/>
      <c r="S563" s="2"/>
      <c r="T563" s="2"/>
      <c r="U563" s="2"/>
      <c r="V563" s="2"/>
      <c r="W563" s="2"/>
      <c r="X563" s="6"/>
      <c r="Y563" s="2"/>
      <c r="Z563" s="2"/>
      <c r="AA563" s="2"/>
      <c r="AB563" s="2"/>
      <c r="AC563" s="6"/>
      <c r="AD563" s="2"/>
      <c r="AE563" s="2"/>
      <c r="AF563" s="2"/>
      <c r="AG563" s="2"/>
      <c r="AH563" s="2"/>
      <c r="AI563" s="6"/>
      <c r="AJ563" s="2"/>
      <c r="AK563" s="56"/>
      <c r="AL563" s="2"/>
      <c r="AM563" s="2"/>
      <c r="AN563" s="2"/>
      <c r="AO563" s="2"/>
      <c r="AP563" s="6"/>
      <c r="AQ563" s="2"/>
      <c r="AR563" s="2"/>
      <c r="AS563" s="2"/>
      <c r="AT563" s="2"/>
      <c r="AU563" s="2"/>
      <c r="AV563" s="2"/>
      <c r="AW563" s="2"/>
      <c r="AX563" s="6"/>
      <c r="AY563" s="2"/>
      <c r="AZ563" s="2"/>
      <c r="BA563" s="2"/>
      <c r="BB563" s="2"/>
      <c r="BC563" s="2"/>
      <c r="BD563" s="6"/>
      <c r="BE563" s="2"/>
      <c r="BF563" s="6"/>
      <c r="BG563" s="58"/>
      <c r="BH563" s="6"/>
      <c r="BI563" s="2"/>
    </row>
    <row r="564" ht="12.75" customHeight="1">
      <c r="A564" s="71"/>
      <c r="B564" s="71"/>
      <c r="C564" s="11"/>
      <c r="D564" s="11"/>
      <c r="E564" s="2"/>
      <c r="F564" s="2"/>
      <c r="G564" s="2"/>
      <c r="H564" s="54"/>
      <c r="I564" s="4"/>
      <c r="J564" s="2"/>
      <c r="K564" s="2"/>
      <c r="L564" s="5"/>
      <c r="M564" s="5"/>
      <c r="N564" s="5"/>
      <c r="O564" s="5"/>
      <c r="P564" s="5"/>
      <c r="Q564" s="5"/>
      <c r="R564" s="2"/>
      <c r="S564" s="2"/>
      <c r="T564" s="2"/>
      <c r="U564" s="2"/>
      <c r="V564" s="2"/>
      <c r="W564" s="2"/>
      <c r="X564" s="6"/>
      <c r="Y564" s="2"/>
      <c r="Z564" s="2"/>
      <c r="AA564" s="2"/>
      <c r="AB564" s="2"/>
      <c r="AC564" s="6"/>
      <c r="AD564" s="2"/>
      <c r="AE564" s="2"/>
      <c r="AF564" s="2"/>
      <c r="AG564" s="2"/>
      <c r="AH564" s="2"/>
      <c r="AI564" s="6"/>
      <c r="AJ564" s="2"/>
      <c r="AK564" s="56"/>
      <c r="AL564" s="2"/>
      <c r="AM564" s="2"/>
      <c r="AN564" s="2"/>
      <c r="AO564" s="2"/>
      <c r="AP564" s="6"/>
      <c r="AQ564" s="2"/>
      <c r="AR564" s="2"/>
      <c r="AS564" s="2"/>
      <c r="AT564" s="2"/>
      <c r="AU564" s="2"/>
      <c r="AV564" s="2"/>
      <c r="AW564" s="2"/>
      <c r="AX564" s="6"/>
      <c r="AY564" s="2"/>
      <c r="AZ564" s="2"/>
      <c r="BA564" s="2"/>
      <c r="BB564" s="2"/>
      <c r="BC564" s="2"/>
      <c r="BD564" s="6"/>
      <c r="BE564" s="2"/>
      <c r="BF564" s="6"/>
      <c r="BG564" s="58"/>
      <c r="BH564" s="6"/>
      <c r="BI564" s="2"/>
    </row>
    <row r="565" ht="12.75" customHeight="1">
      <c r="A565" s="71"/>
      <c r="B565" s="71"/>
      <c r="C565" s="11"/>
      <c r="D565" s="11"/>
      <c r="E565" s="2"/>
      <c r="F565" s="2"/>
      <c r="G565" s="2"/>
      <c r="H565" s="54"/>
      <c r="I565" s="4"/>
      <c r="J565" s="2"/>
      <c r="K565" s="2"/>
      <c r="L565" s="5"/>
      <c r="M565" s="5"/>
      <c r="N565" s="5"/>
      <c r="O565" s="5"/>
      <c r="P565" s="5"/>
      <c r="Q565" s="5"/>
      <c r="R565" s="2"/>
      <c r="S565" s="2"/>
      <c r="T565" s="2"/>
      <c r="U565" s="2"/>
      <c r="V565" s="2"/>
      <c r="W565" s="2"/>
      <c r="X565" s="6"/>
      <c r="Y565" s="2"/>
      <c r="Z565" s="2"/>
      <c r="AA565" s="2"/>
      <c r="AB565" s="2"/>
      <c r="AC565" s="6"/>
      <c r="AD565" s="2"/>
      <c r="AE565" s="2"/>
      <c r="AF565" s="2"/>
      <c r="AG565" s="2"/>
      <c r="AH565" s="2"/>
      <c r="AI565" s="6"/>
      <c r="AJ565" s="2"/>
      <c r="AK565" s="56"/>
      <c r="AL565" s="2"/>
      <c r="AM565" s="2"/>
      <c r="AN565" s="2"/>
      <c r="AO565" s="2"/>
      <c r="AP565" s="6"/>
      <c r="AQ565" s="2"/>
      <c r="AR565" s="2"/>
      <c r="AS565" s="2"/>
      <c r="AT565" s="2"/>
      <c r="AU565" s="2"/>
      <c r="AV565" s="2"/>
      <c r="AW565" s="2"/>
      <c r="AX565" s="6"/>
      <c r="AY565" s="2"/>
      <c r="AZ565" s="2"/>
      <c r="BA565" s="2"/>
      <c r="BB565" s="2"/>
      <c r="BC565" s="2"/>
      <c r="BD565" s="6"/>
      <c r="BE565" s="2"/>
      <c r="BF565" s="6"/>
      <c r="BG565" s="58"/>
      <c r="BH565" s="6"/>
      <c r="BI565" s="2"/>
    </row>
    <row r="566" ht="12.75" customHeight="1">
      <c r="A566" s="71"/>
      <c r="B566" s="71"/>
      <c r="C566" s="11"/>
      <c r="D566" s="11"/>
      <c r="E566" s="2"/>
      <c r="F566" s="2"/>
      <c r="G566" s="2"/>
      <c r="H566" s="54"/>
      <c r="I566" s="4"/>
      <c r="J566" s="2"/>
      <c r="K566" s="2"/>
      <c r="L566" s="5"/>
      <c r="M566" s="5"/>
      <c r="N566" s="5"/>
      <c r="O566" s="5"/>
      <c r="P566" s="5"/>
      <c r="Q566" s="5"/>
      <c r="R566" s="2"/>
      <c r="S566" s="2"/>
      <c r="T566" s="2"/>
      <c r="U566" s="2"/>
      <c r="V566" s="2"/>
      <c r="W566" s="2"/>
      <c r="X566" s="6"/>
      <c r="Y566" s="2"/>
      <c r="Z566" s="2"/>
      <c r="AA566" s="2"/>
      <c r="AB566" s="2"/>
      <c r="AC566" s="6"/>
      <c r="AD566" s="2"/>
      <c r="AE566" s="2"/>
      <c r="AF566" s="2"/>
      <c r="AG566" s="2"/>
      <c r="AH566" s="2"/>
      <c r="AI566" s="6"/>
      <c r="AJ566" s="2"/>
      <c r="AK566" s="56"/>
      <c r="AL566" s="2"/>
      <c r="AM566" s="2"/>
      <c r="AN566" s="2"/>
      <c r="AO566" s="2"/>
      <c r="AP566" s="6"/>
      <c r="AQ566" s="2"/>
      <c r="AR566" s="2"/>
      <c r="AS566" s="2"/>
      <c r="AT566" s="2"/>
      <c r="AU566" s="2"/>
      <c r="AV566" s="2"/>
      <c r="AW566" s="2"/>
      <c r="AX566" s="6"/>
      <c r="AY566" s="2"/>
      <c r="AZ566" s="2"/>
      <c r="BA566" s="2"/>
      <c r="BB566" s="2"/>
      <c r="BC566" s="2"/>
      <c r="BD566" s="6"/>
      <c r="BE566" s="2"/>
      <c r="BF566" s="6"/>
      <c r="BG566" s="58"/>
      <c r="BH566" s="6"/>
      <c r="BI566" s="2"/>
    </row>
    <row r="567" ht="12.75" customHeight="1">
      <c r="A567" s="71"/>
      <c r="B567" s="71"/>
      <c r="C567" s="11"/>
      <c r="D567" s="11"/>
      <c r="E567" s="2"/>
      <c r="F567" s="2"/>
      <c r="G567" s="2"/>
      <c r="H567" s="54"/>
      <c r="I567" s="4"/>
      <c r="J567" s="2"/>
      <c r="K567" s="2"/>
      <c r="L567" s="5"/>
      <c r="M567" s="5"/>
      <c r="N567" s="5"/>
      <c r="O567" s="5"/>
      <c r="P567" s="5"/>
      <c r="Q567" s="5"/>
      <c r="R567" s="2"/>
      <c r="S567" s="2"/>
      <c r="T567" s="2"/>
      <c r="U567" s="2"/>
      <c r="V567" s="2"/>
      <c r="W567" s="2"/>
      <c r="X567" s="6"/>
      <c r="Y567" s="2"/>
      <c r="Z567" s="2"/>
      <c r="AA567" s="2"/>
      <c r="AB567" s="2"/>
      <c r="AC567" s="6"/>
      <c r="AD567" s="2"/>
      <c r="AE567" s="2"/>
      <c r="AF567" s="2"/>
      <c r="AG567" s="2"/>
      <c r="AH567" s="2"/>
      <c r="AI567" s="6"/>
      <c r="AJ567" s="2"/>
      <c r="AK567" s="56"/>
      <c r="AL567" s="2"/>
      <c r="AM567" s="2"/>
      <c r="AN567" s="2"/>
      <c r="AO567" s="2"/>
      <c r="AP567" s="6"/>
      <c r="AQ567" s="2"/>
      <c r="AR567" s="2"/>
      <c r="AS567" s="2"/>
      <c r="AT567" s="2"/>
      <c r="AU567" s="2"/>
      <c r="AV567" s="2"/>
      <c r="AW567" s="2"/>
      <c r="AX567" s="6"/>
      <c r="AY567" s="2"/>
      <c r="AZ567" s="2"/>
      <c r="BA567" s="2"/>
      <c r="BB567" s="2"/>
      <c r="BC567" s="2"/>
      <c r="BD567" s="6"/>
      <c r="BE567" s="2"/>
      <c r="BF567" s="6"/>
      <c r="BG567" s="58"/>
      <c r="BH567" s="6"/>
      <c r="BI567" s="2"/>
    </row>
    <row r="568" ht="12.75" customHeight="1">
      <c r="A568" s="71"/>
      <c r="B568" s="71"/>
      <c r="C568" s="11"/>
      <c r="D568" s="11"/>
      <c r="E568" s="2"/>
      <c r="F568" s="2"/>
      <c r="G568" s="2"/>
      <c r="H568" s="54"/>
      <c r="I568" s="4"/>
      <c r="J568" s="2"/>
      <c r="K568" s="2"/>
      <c r="L568" s="5"/>
      <c r="M568" s="5"/>
      <c r="N568" s="5"/>
      <c r="O568" s="5"/>
      <c r="P568" s="5"/>
      <c r="Q568" s="5"/>
      <c r="R568" s="2"/>
      <c r="S568" s="2"/>
      <c r="T568" s="2"/>
      <c r="U568" s="2"/>
      <c r="V568" s="2"/>
      <c r="W568" s="2"/>
      <c r="X568" s="6"/>
      <c r="Y568" s="2"/>
      <c r="Z568" s="2"/>
      <c r="AA568" s="2"/>
      <c r="AB568" s="2"/>
      <c r="AC568" s="6"/>
      <c r="AD568" s="2"/>
      <c r="AE568" s="2"/>
      <c r="AF568" s="2"/>
      <c r="AG568" s="2"/>
      <c r="AH568" s="2"/>
      <c r="AI568" s="6"/>
      <c r="AJ568" s="2"/>
      <c r="AK568" s="56"/>
      <c r="AL568" s="2"/>
      <c r="AM568" s="2"/>
      <c r="AN568" s="2"/>
      <c r="AO568" s="2"/>
      <c r="AP568" s="6"/>
      <c r="AQ568" s="2"/>
      <c r="AR568" s="2"/>
      <c r="AS568" s="2"/>
      <c r="AT568" s="2"/>
      <c r="AU568" s="2"/>
      <c r="AV568" s="2"/>
      <c r="AW568" s="2"/>
      <c r="AX568" s="6"/>
      <c r="AY568" s="2"/>
      <c r="AZ568" s="2"/>
      <c r="BA568" s="2"/>
      <c r="BB568" s="2"/>
      <c r="BC568" s="2"/>
      <c r="BD568" s="6"/>
      <c r="BE568" s="2"/>
      <c r="BF568" s="6"/>
      <c r="BG568" s="58"/>
      <c r="BH568" s="6"/>
      <c r="BI568" s="2"/>
    </row>
    <row r="569" ht="12.75" customHeight="1">
      <c r="A569" s="71"/>
      <c r="B569" s="71"/>
      <c r="C569" s="11"/>
      <c r="D569" s="11"/>
      <c r="E569" s="2"/>
      <c r="F569" s="2"/>
      <c r="G569" s="2"/>
      <c r="H569" s="54"/>
      <c r="I569" s="4"/>
      <c r="J569" s="2"/>
      <c r="K569" s="2"/>
      <c r="L569" s="5"/>
      <c r="M569" s="5"/>
      <c r="N569" s="5"/>
      <c r="O569" s="5"/>
      <c r="P569" s="5"/>
      <c r="Q569" s="5"/>
      <c r="R569" s="2"/>
      <c r="S569" s="2"/>
      <c r="T569" s="2"/>
      <c r="U569" s="2"/>
      <c r="V569" s="2"/>
      <c r="W569" s="2"/>
      <c r="X569" s="6"/>
      <c r="Y569" s="2"/>
      <c r="Z569" s="2"/>
      <c r="AA569" s="2"/>
      <c r="AB569" s="2"/>
      <c r="AC569" s="6"/>
      <c r="AD569" s="2"/>
      <c r="AE569" s="2"/>
      <c r="AF569" s="2"/>
      <c r="AG569" s="2"/>
      <c r="AH569" s="2"/>
      <c r="AI569" s="6"/>
      <c r="AJ569" s="2"/>
      <c r="AK569" s="56"/>
      <c r="AL569" s="2"/>
      <c r="AM569" s="2"/>
      <c r="AN569" s="2"/>
      <c r="AO569" s="2"/>
      <c r="AP569" s="6"/>
      <c r="AQ569" s="2"/>
      <c r="AR569" s="2"/>
      <c r="AS569" s="2"/>
      <c r="AT569" s="2"/>
      <c r="AU569" s="2"/>
      <c r="AV569" s="2"/>
      <c r="AW569" s="2"/>
      <c r="AX569" s="6"/>
      <c r="AY569" s="2"/>
      <c r="AZ569" s="2"/>
      <c r="BA569" s="2"/>
      <c r="BB569" s="2"/>
      <c r="BC569" s="2"/>
      <c r="BD569" s="6"/>
      <c r="BE569" s="2"/>
      <c r="BF569" s="6"/>
      <c r="BG569" s="58"/>
      <c r="BH569" s="6"/>
      <c r="BI569" s="2"/>
    </row>
    <row r="570" ht="12.75" customHeight="1">
      <c r="A570" s="71"/>
      <c r="B570" s="71"/>
      <c r="C570" s="11"/>
      <c r="D570" s="11"/>
      <c r="E570" s="2"/>
      <c r="F570" s="2"/>
      <c r="G570" s="2"/>
      <c r="H570" s="54"/>
      <c r="I570" s="4"/>
      <c r="J570" s="2"/>
      <c r="K570" s="2"/>
      <c r="L570" s="5"/>
      <c r="M570" s="5"/>
      <c r="N570" s="5"/>
      <c r="O570" s="5"/>
      <c r="P570" s="5"/>
      <c r="Q570" s="5"/>
      <c r="R570" s="2"/>
      <c r="S570" s="2"/>
      <c r="T570" s="2"/>
      <c r="U570" s="2"/>
      <c r="V570" s="2"/>
      <c r="W570" s="2"/>
      <c r="X570" s="6"/>
      <c r="Y570" s="2"/>
      <c r="Z570" s="2"/>
      <c r="AA570" s="2"/>
      <c r="AB570" s="2"/>
      <c r="AC570" s="6"/>
      <c r="AD570" s="2"/>
      <c r="AE570" s="2"/>
      <c r="AF570" s="2"/>
      <c r="AG570" s="2"/>
      <c r="AH570" s="2"/>
      <c r="AI570" s="6"/>
      <c r="AJ570" s="2"/>
      <c r="AK570" s="56"/>
      <c r="AL570" s="2"/>
      <c r="AM570" s="2"/>
      <c r="AN570" s="2"/>
      <c r="AO570" s="2"/>
      <c r="AP570" s="6"/>
      <c r="AQ570" s="2"/>
      <c r="AR570" s="2"/>
      <c r="AS570" s="2"/>
      <c r="AT570" s="2"/>
      <c r="AU570" s="2"/>
      <c r="AV570" s="2"/>
      <c r="AW570" s="2"/>
      <c r="AX570" s="6"/>
      <c r="AY570" s="2"/>
      <c r="AZ570" s="2"/>
      <c r="BA570" s="2"/>
      <c r="BB570" s="2"/>
      <c r="BC570" s="2"/>
      <c r="BD570" s="6"/>
      <c r="BE570" s="2"/>
      <c r="BF570" s="6"/>
      <c r="BG570" s="58"/>
      <c r="BH570" s="6"/>
      <c r="BI570" s="2"/>
    </row>
    <row r="571" ht="12.75" customHeight="1">
      <c r="A571" s="71"/>
      <c r="B571" s="71"/>
      <c r="C571" s="11"/>
      <c r="D571" s="11"/>
      <c r="E571" s="2"/>
      <c r="F571" s="2"/>
      <c r="G571" s="2"/>
      <c r="H571" s="54"/>
      <c r="I571" s="4"/>
      <c r="J571" s="2"/>
      <c r="K571" s="2"/>
      <c r="L571" s="5"/>
      <c r="M571" s="5"/>
      <c r="N571" s="5"/>
      <c r="O571" s="5"/>
      <c r="P571" s="5"/>
      <c r="Q571" s="5"/>
      <c r="R571" s="2"/>
      <c r="S571" s="2"/>
      <c r="T571" s="2"/>
      <c r="U571" s="2"/>
      <c r="V571" s="2"/>
      <c r="W571" s="2"/>
      <c r="X571" s="6"/>
      <c r="Y571" s="2"/>
      <c r="Z571" s="2"/>
      <c r="AA571" s="2"/>
      <c r="AB571" s="2"/>
      <c r="AC571" s="6"/>
      <c r="AD571" s="2"/>
      <c r="AE571" s="2"/>
      <c r="AF571" s="2"/>
      <c r="AG571" s="2"/>
      <c r="AH571" s="2"/>
      <c r="AI571" s="6"/>
      <c r="AJ571" s="2"/>
      <c r="AK571" s="56"/>
      <c r="AL571" s="2"/>
      <c r="AM571" s="2"/>
      <c r="AN571" s="2"/>
      <c r="AO571" s="2"/>
      <c r="AP571" s="6"/>
      <c r="AQ571" s="2"/>
      <c r="AR571" s="2"/>
      <c r="AS571" s="2"/>
      <c r="AT571" s="2"/>
      <c r="AU571" s="2"/>
      <c r="AV571" s="2"/>
      <c r="AW571" s="2"/>
      <c r="AX571" s="6"/>
      <c r="AY571" s="2"/>
      <c r="AZ571" s="2"/>
      <c r="BA571" s="2"/>
      <c r="BB571" s="2"/>
      <c r="BC571" s="2"/>
      <c r="BD571" s="6"/>
      <c r="BE571" s="2"/>
      <c r="BF571" s="6"/>
      <c r="BG571" s="58"/>
      <c r="BH571" s="6"/>
      <c r="BI571" s="2"/>
    </row>
    <row r="572" ht="12.75" customHeight="1">
      <c r="A572" s="71"/>
      <c r="B572" s="71"/>
      <c r="C572" s="11"/>
      <c r="D572" s="11"/>
      <c r="E572" s="2"/>
      <c r="F572" s="2"/>
      <c r="G572" s="2"/>
      <c r="H572" s="54"/>
      <c r="I572" s="4"/>
      <c r="J572" s="2"/>
      <c r="K572" s="2"/>
      <c r="L572" s="5"/>
      <c r="M572" s="5"/>
      <c r="N572" s="5"/>
      <c r="O572" s="5"/>
      <c r="P572" s="5"/>
      <c r="Q572" s="5"/>
      <c r="R572" s="2"/>
      <c r="S572" s="2"/>
      <c r="T572" s="2"/>
      <c r="U572" s="2"/>
      <c r="V572" s="2"/>
      <c r="W572" s="2"/>
      <c r="X572" s="6"/>
      <c r="Y572" s="2"/>
      <c r="Z572" s="2"/>
      <c r="AA572" s="2"/>
      <c r="AB572" s="2"/>
      <c r="AC572" s="6"/>
      <c r="AD572" s="2"/>
      <c r="AE572" s="2"/>
      <c r="AF572" s="2"/>
      <c r="AG572" s="2"/>
      <c r="AH572" s="2"/>
      <c r="AI572" s="6"/>
      <c r="AJ572" s="2"/>
      <c r="AK572" s="56"/>
      <c r="AL572" s="2"/>
      <c r="AM572" s="2"/>
      <c r="AN572" s="2"/>
      <c r="AO572" s="2"/>
      <c r="AP572" s="6"/>
      <c r="AQ572" s="2"/>
      <c r="AR572" s="2"/>
      <c r="AS572" s="2"/>
      <c r="AT572" s="2"/>
      <c r="AU572" s="2"/>
      <c r="AV572" s="2"/>
      <c r="AW572" s="2"/>
      <c r="AX572" s="6"/>
      <c r="AY572" s="2"/>
      <c r="AZ572" s="2"/>
      <c r="BA572" s="2"/>
      <c r="BB572" s="2"/>
      <c r="BC572" s="2"/>
      <c r="BD572" s="6"/>
      <c r="BE572" s="2"/>
      <c r="BF572" s="6"/>
      <c r="BG572" s="58"/>
      <c r="BH572" s="6"/>
      <c r="BI572" s="2"/>
    </row>
    <row r="573" ht="12.75" customHeight="1">
      <c r="A573" s="71"/>
      <c r="B573" s="71"/>
      <c r="C573" s="11"/>
      <c r="D573" s="11"/>
      <c r="E573" s="2"/>
      <c r="F573" s="2"/>
      <c r="G573" s="2"/>
      <c r="H573" s="54"/>
      <c r="I573" s="4"/>
      <c r="J573" s="2"/>
      <c r="K573" s="2"/>
      <c r="L573" s="5"/>
      <c r="M573" s="5"/>
      <c r="N573" s="5"/>
      <c r="O573" s="5"/>
      <c r="P573" s="5"/>
      <c r="Q573" s="5"/>
      <c r="R573" s="2"/>
      <c r="S573" s="2"/>
      <c r="T573" s="2"/>
      <c r="U573" s="2"/>
      <c r="V573" s="2"/>
      <c r="W573" s="2"/>
      <c r="X573" s="6"/>
      <c r="Y573" s="2"/>
      <c r="Z573" s="2"/>
      <c r="AA573" s="2"/>
      <c r="AB573" s="2"/>
      <c r="AC573" s="6"/>
      <c r="AD573" s="2"/>
      <c r="AE573" s="2"/>
      <c r="AF573" s="2"/>
      <c r="AG573" s="2"/>
      <c r="AH573" s="2"/>
      <c r="AI573" s="6"/>
      <c r="AJ573" s="2"/>
      <c r="AK573" s="56"/>
      <c r="AL573" s="2"/>
      <c r="AM573" s="2"/>
      <c r="AN573" s="2"/>
      <c r="AO573" s="2"/>
      <c r="AP573" s="6"/>
      <c r="AQ573" s="2"/>
      <c r="AR573" s="2"/>
      <c r="AS573" s="2"/>
      <c r="AT573" s="2"/>
      <c r="AU573" s="2"/>
      <c r="AV573" s="2"/>
      <c r="AW573" s="2"/>
      <c r="AX573" s="6"/>
      <c r="AY573" s="2"/>
      <c r="AZ573" s="2"/>
      <c r="BA573" s="2"/>
      <c r="BB573" s="2"/>
      <c r="BC573" s="2"/>
      <c r="BD573" s="6"/>
      <c r="BE573" s="2"/>
      <c r="BF573" s="6"/>
      <c r="BG573" s="58"/>
      <c r="BH573" s="6"/>
      <c r="BI573" s="2"/>
    </row>
    <row r="574" ht="12.75" customHeight="1">
      <c r="A574" s="71"/>
      <c r="B574" s="71"/>
      <c r="C574" s="11"/>
      <c r="D574" s="11"/>
      <c r="E574" s="2"/>
      <c r="F574" s="2"/>
      <c r="G574" s="2"/>
      <c r="H574" s="54"/>
      <c r="I574" s="4"/>
      <c r="J574" s="2"/>
      <c r="K574" s="2"/>
      <c r="L574" s="5"/>
      <c r="M574" s="5"/>
      <c r="N574" s="5"/>
      <c r="O574" s="5"/>
      <c r="P574" s="5"/>
      <c r="Q574" s="5"/>
      <c r="R574" s="2"/>
      <c r="S574" s="2"/>
      <c r="T574" s="2"/>
      <c r="U574" s="2"/>
      <c r="V574" s="2"/>
      <c r="W574" s="2"/>
      <c r="X574" s="6"/>
      <c r="Y574" s="2"/>
      <c r="Z574" s="2"/>
      <c r="AA574" s="2"/>
      <c r="AB574" s="2"/>
      <c r="AC574" s="6"/>
      <c r="AD574" s="2"/>
      <c r="AE574" s="2"/>
      <c r="AF574" s="2"/>
      <c r="AG574" s="2"/>
      <c r="AH574" s="2"/>
      <c r="AI574" s="6"/>
      <c r="AJ574" s="2"/>
      <c r="AK574" s="56"/>
      <c r="AL574" s="2"/>
      <c r="AM574" s="2"/>
      <c r="AN574" s="2"/>
      <c r="AO574" s="2"/>
      <c r="AP574" s="6"/>
      <c r="AQ574" s="2"/>
      <c r="AR574" s="2"/>
      <c r="AS574" s="2"/>
      <c r="AT574" s="2"/>
      <c r="AU574" s="2"/>
      <c r="AV574" s="2"/>
      <c r="AW574" s="2"/>
      <c r="AX574" s="6"/>
      <c r="AY574" s="2"/>
      <c r="AZ574" s="2"/>
      <c r="BA574" s="2"/>
      <c r="BB574" s="2"/>
      <c r="BC574" s="2"/>
      <c r="BD574" s="6"/>
      <c r="BE574" s="2"/>
      <c r="BF574" s="6"/>
      <c r="BG574" s="58"/>
      <c r="BH574" s="6"/>
      <c r="BI574" s="2"/>
    </row>
    <row r="575" ht="12.75" customHeight="1">
      <c r="A575" s="71"/>
      <c r="B575" s="71"/>
      <c r="C575" s="11"/>
      <c r="D575" s="11"/>
      <c r="E575" s="2"/>
      <c r="F575" s="2"/>
      <c r="G575" s="2"/>
      <c r="H575" s="54"/>
      <c r="I575" s="4"/>
      <c r="J575" s="2"/>
      <c r="K575" s="2"/>
      <c r="L575" s="5"/>
      <c r="M575" s="5"/>
      <c r="N575" s="5"/>
      <c r="O575" s="5"/>
      <c r="P575" s="5"/>
      <c r="Q575" s="5"/>
      <c r="R575" s="2"/>
      <c r="S575" s="2"/>
      <c r="T575" s="2"/>
      <c r="U575" s="2"/>
      <c r="V575" s="2"/>
      <c r="W575" s="2"/>
      <c r="X575" s="6"/>
      <c r="Y575" s="2"/>
      <c r="Z575" s="2"/>
      <c r="AA575" s="2"/>
      <c r="AB575" s="2"/>
      <c r="AC575" s="6"/>
      <c r="AD575" s="2"/>
      <c r="AE575" s="2"/>
      <c r="AF575" s="2"/>
      <c r="AG575" s="2"/>
      <c r="AH575" s="2"/>
      <c r="AI575" s="6"/>
      <c r="AJ575" s="2"/>
      <c r="AK575" s="56"/>
      <c r="AL575" s="2"/>
      <c r="AM575" s="2"/>
      <c r="AN575" s="2"/>
      <c r="AO575" s="2"/>
      <c r="AP575" s="6"/>
      <c r="AQ575" s="2"/>
      <c r="AR575" s="2"/>
      <c r="AS575" s="2"/>
      <c r="AT575" s="2"/>
      <c r="AU575" s="2"/>
      <c r="AV575" s="2"/>
      <c r="AW575" s="2"/>
      <c r="AX575" s="6"/>
      <c r="AY575" s="2"/>
      <c r="AZ575" s="2"/>
      <c r="BA575" s="2"/>
      <c r="BB575" s="2"/>
      <c r="BC575" s="2"/>
      <c r="BD575" s="6"/>
      <c r="BE575" s="2"/>
      <c r="BF575" s="6"/>
      <c r="BG575" s="58"/>
      <c r="BH575" s="6"/>
      <c r="BI575" s="2"/>
    </row>
    <row r="576" ht="12.75" customHeight="1">
      <c r="A576" s="71"/>
      <c r="B576" s="71"/>
      <c r="C576" s="11"/>
      <c r="D576" s="11"/>
      <c r="E576" s="2"/>
      <c r="F576" s="2"/>
      <c r="G576" s="2"/>
      <c r="H576" s="54"/>
      <c r="I576" s="4"/>
      <c r="J576" s="2"/>
      <c r="K576" s="2"/>
      <c r="L576" s="5"/>
      <c r="M576" s="5"/>
      <c r="N576" s="5"/>
      <c r="O576" s="5"/>
      <c r="P576" s="5"/>
      <c r="Q576" s="5"/>
      <c r="R576" s="2"/>
      <c r="S576" s="2"/>
      <c r="T576" s="2"/>
      <c r="U576" s="2"/>
      <c r="V576" s="2"/>
      <c r="W576" s="2"/>
      <c r="X576" s="6"/>
      <c r="Y576" s="2"/>
      <c r="Z576" s="2"/>
      <c r="AA576" s="2"/>
      <c r="AB576" s="2"/>
      <c r="AC576" s="6"/>
      <c r="AD576" s="2"/>
      <c r="AE576" s="2"/>
      <c r="AF576" s="2"/>
      <c r="AG576" s="2"/>
      <c r="AH576" s="2"/>
      <c r="AI576" s="6"/>
      <c r="AJ576" s="2"/>
      <c r="AK576" s="56"/>
      <c r="AL576" s="2"/>
      <c r="AM576" s="2"/>
      <c r="AN576" s="2"/>
      <c r="AO576" s="2"/>
      <c r="AP576" s="6"/>
      <c r="AQ576" s="2"/>
      <c r="AR576" s="2"/>
      <c r="AS576" s="2"/>
      <c r="AT576" s="2"/>
      <c r="AU576" s="2"/>
      <c r="AV576" s="2"/>
      <c r="AW576" s="2"/>
      <c r="AX576" s="6"/>
      <c r="AY576" s="2"/>
      <c r="AZ576" s="2"/>
      <c r="BA576" s="2"/>
      <c r="BB576" s="2"/>
      <c r="BC576" s="2"/>
      <c r="BD576" s="6"/>
      <c r="BE576" s="2"/>
      <c r="BF576" s="6"/>
      <c r="BG576" s="58"/>
      <c r="BH576" s="6"/>
      <c r="BI576" s="2"/>
    </row>
    <row r="577" ht="12.75" customHeight="1">
      <c r="A577" s="71"/>
      <c r="B577" s="71"/>
      <c r="C577" s="11"/>
      <c r="D577" s="11"/>
      <c r="E577" s="2"/>
      <c r="F577" s="2"/>
      <c r="G577" s="2"/>
      <c r="H577" s="54"/>
      <c r="I577" s="4"/>
      <c r="J577" s="2"/>
      <c r="K577" s="2"/>
      <c r="L577" s="5"/>
      <c r="M577" s="5"/>
      <c r="N577" s="5"/>
      <c r="O577" s="5"/>
      <c r="P577" s="5"/>
      <c r="Q577" s="5"/>
      <c r="R577" s="2"/>
      <c r="S577" s="2"/>
      <c r="T577" s="2"/>
      <c r="U577" s="2"/>
      <c r="V577" s="2"/>
      <c r="W577" s="2"/>
      <c r="X577" s="6"/>
      <c r="Y577" s="2"/>
      <c r="Z577" s="2"/>
      <c r="AA577" s="2"/>
      <c r="AB577" s="2"/>
      <c r="AC577" s="6"/>
      <c r="AD577" s="2"/>
      <c r="AE577" s="2"/>
      <c r="AF577" s="2"/>
      <c r="AG577" s="2"/>
      <c r="AH577" s="2"/>
      <c r="AI577" s="6"/>
      <c r="AJ577" s="2"/>
      <c r="AK577" s="56"/>
      <c r="AL577" s="2"/>
      <c r="AM577" s="2"/>
      <c r="AN577" s="2"/>
      <c r="AO577" s="2"/>
      <c r="AP577" s="6"/>
      <c r="AQ577" s="2"/>
      <c r="AR577" s="2"/>
      <c r="AS577" s="2"/>
      <c r="AT577" s="2"/>
      <c r="AU577" s="2"/>
      <c r="AV577" s="2"/>
      <c r="AW577" s="2"/>
      <c r="AX577" s="6"/>
      <c r="AY577" s="2"/>
      <c r="AZ577" s="2"/>
      <c r="BA577" s="2"/>
      <c r="BB577" s="2"/>
      <c r="BC577" s="2"/>
      <c r="BD577" s="6"/>
      <c r="BE577" s="2"/>
      <c r="BF577" s="6"/>
      <c r="BG577" s="58"/>
      <c r="BH577" s="6"/>
      <c r="BI577" s="2"/>
    </row>
    <row r="578" ht="12.75" customHeight="1">
      <c r="A578" s="71"/>
      <c r="B578" s="71"/>
      <c r="C578" s="11"/>
      <c r="D578" s="11"/>
      <c r="E578" s="2"/>
      <c r="F578" s="2"/>
      <c r="G578" s="2"/>
      <c r="H578" s="54"/>
      <c r="I578" s="4"/>
      <c r="J578" s="2"/>
      <c r="K578" s="2"/>
      <c r="L578" s="5"/>
      <c r="M578" s="5"/>
      <c r="N578" s="5"/>
      <c r="O578" s="5"/>
      <c r="P578" s="5"/>
      <c r="Q578" s="5"/>
      <c r="R578" s="2"/>
      <c r="S578" s="2"/>
      <c r="T578" s="2"/>
      <c r="U578" s="2"/>
      <c r="V578" s="2"/>
      <c r="W578" s="2"/>
      <c r="X578" s="6"/>
      <c r="Y578" s="2"/>
      <c r="Z578" s="2"/>
      <c r="AA578" s="2"/>
      <c r="AB578" s="2"/>
      <c r="AC578" s="6"/>
      <c r="AD578" s="2"/>
      <c r="AE578" s="2"/>
      <c r="AF578" s="2"/>
      <c r="AG578" s="2"/>
      <c r="AH578" s="2"/>
      <c r="AI578" s="6"/>
      <c r="AJ578" s="2"/>
      <c r="AK578" s="56"/>
      <c r="AL578" s="2"/>
      <c r="AM578" s="2"/>
      <c r="AN578" s="2"/>
      <c r="AO578" s="2"/>
      <c r="AP578" s="6"/>
      <c r="AQ578" s="2"/>
      <c r="AR578" s="2"/>
      <c r="AS578" s="2"/>
      <c r="AT578" s="2"/>
      <c r="AU578" s="2"/>
      <c r="AV578" s="2"/>
      <c r="AW578" s="2"/>
      <c r="AX578" s="6"/>
      <c r="AY578" s="2"/>
      <c r="AZ578" s="2"/>
      <c r="BA578" s="2"/>
      <c r="BB578" s="2"/>
      <c r="BC578" s="2"/>
      <c r="BD578" s="6"/>
      <c r="BE578" s="2"/>
      <c r="BF578" s="6"/>
      <c r="BG578" s="58"/>
      <c r="BH578" s="6"/>
      <c r="BI578" s="2"/>
    </row>
    <row r="579" ht="12.75" customHeight="1">
      <c r="A579" s="71"/>
      <c r="B579" s="71"/>
      <c r="C579" s="11"/>
      <c r="D579" s="11"/>
      <c r="E579" s="2"/>
      <c r="F579" s="2"/>
      <c r="G579" s="2"/>
      <c r="H579" s="54"/>
      <c r="I579" s="4"/>
      <c r="J579" s="2"/>
      <c r="K579" s="2"/>
      <c r="L579" s="5"/>
      <c r="M579" s="5"/>
      <c r="N579" s="5"/>
      <c r="O579" s="5"/>
      <c r="P579" s="5"/>
      <c r="Q579" s="5"/>
      <c r="R579" s="2"/>
      <c r="S579" s="2"/>
      <c r="T579" s="2"/>
      <c r="U579" s="2"/>
      <c r="V579" s="2"/>
      <c r="W579" s="2"/>
      <c r="X579" s="6"/>
      <c r="Y579" s="2"/>
      <c r="Z579" s="2"/>
      <c r="AA579" s="2"/>
      <c r="AB579" s="2"/>
      <c r="AC579" s="6"/>
      <c r="AD579" s="2"/>
      <c r="AE579" s="2"/>
      <c r="AF579" s="2"/>
      <c r="AG579" s="2"/>
      <c r="AH579" s="2"/>
      <c r="AI579" s="6"/>
      <c r="AJ579" s="2"/>
      <c r="AK579" s="56"/>
      <c r="AL579" s="2"/>
      <c r="AM579" s="2"/>
      <c r="AN579" s="2"/>
      <c r="AO579" s="2"/>
      <c r="AP579" s="6"/>
      <c r="AQ579" s="2"/>
      <c r="AR579" s="2"/>
      <c r="AS579" s="2"/>
      <c r="AT579" s="2"/>
      <c r="AU579" s="2"/>
      <c r="AV579" s="2"/>
      <c r="AW579" s="2"/>
      <c r="AX579" s="6"/>
      <c r="AY579" s="2"/>
      <c r="AZ579" s="2"/>
      <c r="BA579" s="2"/>
      <c r="BB579" s="2"/>
      <c r="BC579" s="2"/>
      <c r="BD579" s="6"/>
      <c r="BE579" s="2"/>
      <c r="BF579" s="6"/>
      <c r="BG579" s="58"/>
      <c r="BH579" s="6"/>
      <c r="BI579" s="2"/>
    </row>
    <row r="580" ht="12.75" customHeight="1">
      <c r="A580" s="71"/>
      <c r="B580" s="71"/>
      <c r="C580" s="11"/>
      <c r="D580" s="11"/>
      <c r="E580" s="2"/>
      <c r="F580" s="2"/>
      <c r="G580" s="2"/>
      <c r="H580" s="54"/>
      <c r="I580" s="4"/>
      <c r="J580" s="2"/>
      <c r="K580" s="2"/>
      <c r="L580" s="5"/>
      <c r="M580" s="5"/>
      <c r="N580" s="5"/>
      <c r="O580" s="5"/>
      <c r="P580" s="5"/>
      <c r="Q580" s="5"/>
      <c r="R580" s="2"/>
      <c r="S580" s="2"/>
      <c r="T580" s="2"/>
      <c r="U580" s="2"/>
      <c r="V580" s="2"/>
      <c r="W580" s="2"/>
      <c r="X580" s="6"/>
      <c r="Y580" s="2"/>
      <c r="Z580" s="2"/>
      <c r="AA580" s="2"/>
      <c r="AB580" s="2"/>
      <c r="AC580" s="6"/>
      <c r="AD580" s="2"/>
      <c r="AE580" s="2"/>
      <c r="AF580" s="2"/>
      <c r="AG580" s="2"/>
      <c r="AH580" s="2"/>
      <c r="AI580" s="6"/>
      <c r="AJ580" s="2"/>
      <c r="AK580" s="56"/>
      <c r="AL580" s="2"/>
      <c r="AM580" s="2"/>
      <c r="AN580" s="2"/>
      <c r="AO580" s="2"/>
      <c r="AP580" s="6"/>
      <c r="AQ580" s="2"/>
      <c r="AR580" s="2"/>
      <c r="AS580" s="2"/>
      <c r="AT580" s="2"/>
      <c r="AU580" s="2"/>
      <c r="AV580" s="2"/>
      <c r="AW580" s="2"/>
      <c r="AX580" s="6"/>
      <c r="AY580" s="2"/>
      <c r="AZ580" s="2"/>
      <c r="BA580" s="2"/>
      <c r="BB580" s="2"/>
      <c r="BC580" s="2"/>
      <c r="BD580" s="6"/>
      <c r="BE580" s="2"/>
      <c r="BF580" s="6"/>
      <c r="BG580" s="58"/>
      <c r="BH580" s="6"/>
      <c r="BI580" s="2"/>
    </row>
    <row r="581" ht="12.75" customHeight="1">
      <c r="A581" s="71"/>
      <c r="B581" s="71"/>
      <c r="C581" s="11"/>
      <c r="D581" s="11"/>
      <c r="E581" s="2"/>
      <c r="F581" s="2"/>
      <c r="G581" s="2"/>
      <c r="H581" s="54"/>
      <c r="I581" s="4"/>
      <c r="J581" s="2"/>
      <c r="K581" s="2"/>
      <c r="L581" s="5"/>
      <c r="M581" s="5"/>
      <c r="N581" s="5"/>
      <c r="O581" s="5"/>
      <c r="P581" s="5"/>
      <c r="Q581" s="5"/>
      <c r="R581" s="2"/>
      <c r="S581" s="2"/>
      <c r="T581" s="2"/>
      <c r="U581" s="2"/>
      <c r="V581" s="2"/>
      <c r="W581" s="2"/>
      <c r="X581" s="6"/>
      <c r="Y581" s="2"/>
      <c r="Z581" s="2"/>
      <c r="AA581" s="2"/>
      <c r="AB581" s="2"/>
      <c r="AC581" s="6"/>
      <c r="AD581" s="2"/>
      <c r="AE581" s="2"/>
      <c r="AF581" s="2"/>
      <c r="AG581" s="2"/>
      <c r="AH581" s="2"/>
      <c r="AI581" s="6"/>
      <c r="AJ581" s="2"/>
      <c r="AK581" s="56"/>
      <c r="AL581" s="2"/>
      <c r="AM581" s="2"/>
      <c r="AN581" s="2"/>
      <c r="AO581" s="2"/>
      <c r="AP581" s="6"/>
      <c r="AQ581" s="2"/>
      <c r="AR581" s="2"/>
      <c r="AS581" s="2"/>
      <c r="AT581" s="2"/>
      <c r="AU581" s="2"/>
      <c r="AV581" s="2"/>
      <c r="AW581" s="2"/>
      <c r="AX581" s="6"/>
      <c r="AY581" s="2"/>
      <c r="AZ581" s="2"/>
      <c r="BA581" s="2"/>
      <c r="BB581" s="2"/>
      <c r="BC581" s="2"/>
      <c r="BD581" s="6"/>
      <c r="BE581" s="2"/>
      <c r="BF581" s="6"/>
      <c r="BG581" s="58"/>
      <c r="BH581" s="6"/>
      <c r="BI581" s="2"/>
    </row>
    <row r="582" ht="12.75" customHeight="1">
      <c r="A582" s="71"/>
      <c r="B582" s="71"/>
      <c r="C582" s="11"/>
      <c r="D582" s="11"/>
      <c r="E582" s="2"/>
      <c r="F582" s="2"/>
      <c r="G582" s="2"/>
      <c r="H582" s="54"/>
      <c r="I582" s="4"/>
      <c r="J582" s="2"/>
      <c r="K582" s="2"/>
      <c r="L582" s="5"/>
      <c r="M582" s="5"/>
      <c r="N582" s="5"/>
      <c r="O582" s="5"/>
      <c r="P582" s="5"/>
      <c r="Q582" s="5"/>
      <c r="R582" s="2"/>
      <c r="S582" s="2"/>
      <c r="T582" s="2"/>
      <c r="U582" s="2"/>
      <c r="V582" s="2"/>
      <c r="W582" s="2"/>
      <c r="X582" s="6"/>
      <c r="Y582" s="2"/>
      <c r="Z582" s="2"/>
      <c r="AA582" s="2"/>
      <c r="AB582" s="2"/>
      <c r="AC582" s="6"/>
      <c r="AD582" s="2"/>
      <c r="AE582" s="2"/>
      <c r="AF582" s="2"/>
      <c r="AG582" s="2"/>
      <c r="AH582" s="2"/>
      <c r="AI582" s="6"/>
      <c r="AJ582" s="2"/>
      <c r="AK582" s="56"/>
      <c r="AL582" s="2"/>
      <c r="AM582" s="2"/>
      <c r="AN582" s="2"/>
      <c r="AO582" s="2"/>
      <c r="AP582" s="6"/>
      <c r="AQ582" s="2"/>
      <c r="AR582" s="2"/>
      <c r="AS582" s="2"/>
      <c r="AT582" s="2"/>
      <c r="AU582" s="2"/>
      <c r="AV582" s="2"/>
      <c r="AW582" s="2"/>
      <c r="AX582" s="6"/>
      <c r="AY582" s="2"/>
      <c r="AZ582" s="2"/>
      <c r="BA582" s="2"/>
      <c r="BB582" s="2"/>
      <c r="BC582" s="2"/>
      <c r="BD582" s="6"/>
      <c r="BE582" s="2"/>
      <c r="BF582" s="6"/>
      <c r="BG582" s="58"/>
      <c r="BH582" s="6"/>
      <c r="BI582" s="2"/>
    </row>
    <row r="583" ht="12.75" customHeight="1">
      <c r="A583" s="71"/>
      <c r="B583" s="71"/>
      <c r="C583" s="11"/>
      <c r="D583" s="11"/>
      <c r="E583" s="2"/>
      <c r="F583" s="2"/>
      <c r="G583" s="2"/>
      <c r="H583" s="54"/>
      <c r="I583" s="4"/>
      <c r="J583" s="2"/>
      <c r="K583" s="2"/>
      <c r="L583" s="5"/>
      <c r="M583" s="5"/>
      <c r="N583" s="5"/>
      <c r="O583" s="5"/>
      <c r="P583" s="5"/>
      <c r="Q583" s="5"/>
      <c r="R583" s="2"/>
      <c r="S583" s="2"/>
      <c r="T583" s="2"/>
      <c r="U583" s="2"/>
      <c r="V583" s="2"/>
      <c r="W583" s="2"/>
      <c r="X583" s="6"/>
      <c r="Y583" s="2"/>
      <c r="Z583" s="2"/>
      <c r="AA583" s="2"/>
      <c r="AB583" s="2"/>
      <c r="AC583" s="6"/>
      <c r="AD583" s="2"/>
      <c r="AE583" s="2"/>
      <c r="AF583" s="2"/>
      <c r="AG583" s="2"/>
      <c r="AH583" s="2"/>
      <c r="AI583" s="6"/>
      <c r="AJ583" s="2"/>
      <c r="AK583" s="56"/>
      <c r="AL583" s="2"/>
      <c r="AM583" s="2"/>
      <c r="AN583" s="2"/>
      <c r="AO583" s="2"/>
      <c r="AP583" s="6"/>
      <c r="AQ583" s="2"/>
      <c r="AR583" s="2"/>
      <c r="AS583" s="2"/>
      <c r="AT583" s="2"/>
      <c r="AU583" s="2"/>
      <c r="AV583" s="2"/>
      <c r="AW583" s="2"/>
      <c r="AX583" s="6"/>
      <c r="AY583" s="2"/>
      <c r="AZ583" s="2"/>
      <c r="BA583" s="2"/>
      <c r="BB583" s="2"/>
      <c r="BC583" s="2"/>
      <c r="BD583" s="6"/>
      <c r="BE583" s="2"/>
      <c r="BF583" s="6"/>
      <c r="BG583" s="58"/>
      <c r="BH583" s="6"/>
      <c r="BI583" s="2"/>
    </row>
    <row r="584" ht="12.75" customHeight="1">
      <c r="A584" s="71"/>
      <c r="B584" s="71"/>
      <c r="C584" s="11"/>
      <c r="D584" s="11"/>
      <c r="E584" s="2"/>
      <c r="F584" s="2"/>
      <c r="G584" s="2"/>
      <c r="H584" s="54"/>
      <c r="I584" s="4"/>
      <c r="J584" s="2"/>
      <c r="K584" s="2"/>
      <c r="L584" s="5"/>
      <c r="M584" s="5"/>
      <c r="N584" s="5"/>
      <c r="O584" s="5"/>
      <c r="P584" s="5"/>
      <c r="Q584" s="5"/>
      <c r="R584" s="2"/>
      <c r="S584" s="2"/>
      <c r="T584" s="2"/>
      <c r="U584" s="2"/>
      <c r="V584" s="2"/>
      <c r="W584" s="2"/>
      <c r="X584" s="6"/>
      <c r="Y584" s="2"/>
      <c r="Z584" s="2"/>
      <c r="AA584" s="2"/>
      <c r="AB584" s="2"/>
      <c r="AC584" s="6"/>
      <c r="AD584" s="2"/>
      <c r="AE584" s="2"/>
      <c r="AF584" s="2"/>
      <c r="AG584" s="2"/>
      <c r="AH584" s="2"/>
      <c r="AI584" s="6"/>
      <c r="AJ584" s="2"/>
      <c r="AK584" s="56"/>
      <c r="AL584" s="2"/>
      <c r="AM584" s="2"/>
      <c r="AN584" s="2"/>
      <c r="AO584" s="2"/>
      <c r="AP584" s="6"/>
      <c r="AQ584" s="2"/>
      <c r="AR584" s="2"/>
      <c r="AS584" s="2"/>
      <c r="AT584" s="2"/>
      <c r="AU584" s="2"/>
      <c r="AV584" s="2"/>
      <c r="AW584" s="2"/>
      <c r="AX584" s="6"/>
      <c r="AY584" s="2"/>
      <c r="AZ584" s="2"/>
      <c r="BA584" s="2"/>
      <c r="BB584" s="2"/>
      <c r="BC584" s="2"/>
      <c r="BD584" s="6"/>
      <c r="BE584" s="2"/>
      <c r="BF584" s="6"/>
      <c r="BG584" s="58"/>
      <c r="BH584" s="6"/>
      <c r="BI584" s="2"/>
    </row>
    <row r="585" ht="12.75" customHeight="1">
      <c r="A585" s="71"/>
      <c r="B585" s="71"/>
      <c r="C585" s="11"/>
      <c r="D585" s="11"/>
      <c r="E585" s="2"/>
      <c r="F585" s="2"/>
      <c r="G585" s="2"/>
      <c r="H585" s="54"/>
      <c r="I585" s="4"/>
      <c r="J585" s="2"/>
      <c r="K585" s="2"/>
      <c r="L585" s="5"/>
      <c r="M585" s="5"/>
      <c r="N585" s="5"/>
      <c r="O585" s="5"/>
      <c r="P585" s="5"/>
      <c r="Q585" s="5"/>
      <c r="R585" s="2"/>
      <c r="S585" s="2"/>
      <c r="T585" s="2"/>
      <c r="U585" s="2"/>
      <c r="V585" s="2"/>
      <c r="W585" s="2"/>
      <c r="X585" s="6"/>
      <c r="Y585" s="2"/>
      <c r="Z585" s="2"/>
      <c r="AA585" s="2"/>
      <c r="AB585" s="2"/>
      <c r="AC585" s="6"/>
      <c r="AD585" s="2"/>
      <c r="AE585" s="2"/>
      <c r="AF585" s="2"/>
      <c r="AG585" s="2"/>
      <c r="AH585" s="2"/>
      <c r="AI585" s="6"/>
      <c r="AJ585" s="2"/>
      <c r="AK585" s="56"/>
      <c r="AL585" s="2"/>
      <c r="AM585" s="2"/>
      <c r="AN585" s="2"/>
      <c r="AO585" s="2"/>
      <c r="AP585" s="6"/>
      <c r="AQ585" s="2"/>
      <c r="AR585" s="2"/>
      <c r="AS585" s="2"/>
      <c r="AT585" s="2"/>
      <c r="AU585" s="2"/>
      <c r="AV585" s="2"/>
      <c r="AW585" s="2"/>
      <c r="AX585" s="6"/>
      <c r="AY585" s="2"/>
      <c r="AZ585" s="2"/>
      <c r="BA585" s="2"/>
      <c r="BB585" s="2"/>
      <c r="BC585" s="2"/>
      <c r="BD585" s="6"/>
      <c r="BE585" s="2"/>
      <c r="BF585" s="6"/>
      <c r="BG585" s="58"/>
      <c r="BH585" s="6"/>
      <c r="BI585" s="2"/>
    </row>
    <row r="586" ht="12.75" customHeight="1">
      <c r="A586" s="71"/>
      <c r="B586" s="71"/>
      <c r="C586" s="11"/>
      <c r="D586" s="11"/>
      <c r="E586" s="2"/>
      <c r="F586" s="2"/>
      <c r="G586" s="2"/>
      <c r="H586" s="54"/>
      <c r="I586" s="4"/>
      <c r="J586" s="2"/>
      <c r="K586" s="2"/>
      <c r="L586" s="5"/>
      <c r="M586" s="5"/>
      <c r="N586" s="5"/>
      <c r="O586" s="5"/>
      <c r="P586" s="5"/>
      <c r="Q586" s="5"/>
      <c r="R586" s="2"/>
      <c r="S586" s="2"/>
      <c r="T586" s="2"/>
      <c r="U586" s="2"/>
      <c r="V586" s="2"/>
      <c r="W586" s="2"/>
      <c r="X586" s="6"/>
      <c r="Y586" s="2"/>
      <c r="Z586" s="2"/>
      <c r="AA586" s="2"/>
      <c r="AB586" s="2"/>
      <c r="AC586" s="6"/>
      <c r="AD586" s="2"/>
      <c r="AE586" s="2"/>
      <c r="AF586" s="2"/>
      <c r="AG586" s="2"/>
      <c r="AH586" s="2"/>
      <c r="AI586" s="6"/>
      <c r="AJ586" s="2"/>
      <c r="AK586" s="56"/>
      <c r="AL586" s="2"/>
      <c r="AM586" s="2"/>
      <c r="AN586" s="2"/>
      <c r="AO586" s="2"/>
      <c r="AP586" s="6"/>
      <c r="AQ586" s="2"/>
      <c r="AR586" s="2"/>
      <c r="AS586" s="2"/>
      <c r="AT586" s="2"/>
      <c r="AU586" s="2"/>
      <c r="AV586" s="2"/>
      <c r="AW586" s="2"/>
      <c r="AX586" s="6"/>
      <c r="AY586" s="2"/>
      <c r="AZ586" s="2"/>
      <c r="BA586" s="2"/>
      <c r="BB586" s="2"/>
      <c r="BC586" s="2"/>
      <c r="BD586" s="6"/>
      <c r="BE586" s="2"/>
      <c r="BF586" s="6"/>
      <c r="BG586" s="58"/>
      <c r="BH586" s="6"/>
      <c r="BI586" s="2"/>
    </row>
    <row r="587" ht="12.75" customHeight="1">
      <c r="A587" s="71"/>
      <c r="B587" s="71"/>
      <c r="C587" s="11"/>
      <c r="D587" s="11"/>
      <c r="E587" s="2"/>
      <c r="F587" s="2"/>
      <c r="G587" s="2"/>
      <c r="H587" s="54"/>
      <c r="I587" s="4"/>
      <c r="J587" s="2"/>
      <c r="K587" s="2"/>
      <c r="L587" s="5"/>
      <c r="M587" s="5"/>
      <c r="N587" s="5"/>
      <c r="O587" s="5"/>
      <c r="P587" s="5"/>
      <c r="Q587" s="5"/>
      <c r="R587" s="2"/>
      <c r="S587" s="2"/>
      <c r="T587" s="2"/>
      <c r="U587" s="2"/>
      <c r="V587" s="2"/>
      <c r="W587" s="2"/>
      <c r="X587" s="6"/>
      <c r="Y587" s="2"/>
      <c r="Z587" s="2"/>
      <c r="AA587" s="2"/>
      <c r="AB587" s="2"/>
      <c r="AC587" s="6"/>
      <c r="AD587" s="2"/>
      <c r="AE587" s="2"/>
      <c r="AF587" s="2"/>
      <c r="AG587" s="2"/>
      <c r="AH587" s="2"/>
      <c r="AI587" s="6"/>
      <c r="AJ587" s="2"/>
      <c r="AK587" s="56"/>
      <c r="AL587" s="2"/>
      <c r="AM587" s="2"/>
      <c r="AN587" s="2"/>
      <c r="AO587" s="2"/>
      <c r="AP587" s="6"/>
      <c r="AQ587" s="2"/>
      <c r="AR587" s="2"/>
      <c r="AS587" s="2"/>
      <c r="AT587" s="2"/>
      <c r="AU587" s="2"/>
      <c r="AV587" s="2"/>
      <c r="AW587" s="2"/>
      <c r="AX587" s="6"/>
      <c r="AY587" s="2"/>
      <c r="AZ587" s="2"/>
      <c r="BA587" s="2"/>
      <c r="BB587" s="2"/>
      <c r="BC587" s="2"/>
      <c r="BD587" s="6"/>
      <c r="BE587" s="2"/>
      <c r="BF587" s="6"/>
      <c r="BG587" s="58"/>
      <c r="BH587" s="6"/>
      <c r="BI587" s="2"/>
    </row>
    <row r="588" ht="12.75" customHeight="1">
      <c r="A588" s="71"/>
      <c r="B588" s="71"/>
      <c r="C588" s="11"/>
      <c r="D588" s="11"/>
      <c r="E588" s="2"/>
      <c r="F588" s="2"/>
      <c r="G588" s="2"/>
      <c r="H588" s="54"/>
      <c r="I588" s="4"/>
      <c r="J588" s="2"/>
      <c r="K588" s="2"/>
      <c r="L588" s="5"/>
      <c r="M588" s="5"/>
      <c r="N588" s="5"/>
      <c r="O588" s="5"/>
      <c r="P588" s="5"/>
      <c r="Q588" s="5"/>
      <c r="R588" s="2"/>
      <c r="S588" s="2"/>
      <c r="T588" s="2"/>
      <c r="U588" s="2"/>
      <c r="V588" s="2"/>
      <c r="W588" s="2"/>
      <c r="X588" s="6"/>
      <c r="Y588" s="2"/>
      <c r="Z588" s="2"/>
      <c r="AA588" s="2"/>
      <c r="AB588" s="2"/>
      <c r="AC588" s="6"/>
      <c r="AD588" s="2"/>
      <c r="AE588" s="2"/>
      <c r="AF588" s="2"/>
      <c r="AG588" s="2"/>
      <c r="AH588" s="2"/>
      <c r="AI588" s="6"/>
      <c r="AJ588" s="2"/>
      <c r="AK588" s="56"/>
      <c r="AL588" s="2"/>
      <c r="AM588" s="2"/>
      <c r="AN588" s="2"/>
      <c r="AO588" s="2"/>
      <c r="AP588" s="6"/>
      <c r="AQ588" s="2"/>
      <c r="AR588" s="2"/>
      <c r="AS588" s="2"/>
      <c r="AT588" s="2"/>
      <c r="AU588" s="2"/>
      <c r="AV588" s="2"/>
      <c r="AW588" s="2"/>
      <c r="AX588" s="6"/>
      <c r="AY588" s="2"/>
      <c r="AZ588" s="2"/>
      <c r="BA588" s="2"/>
      <c r="BB588" s="2"/>
      <c r="BC588" s="2"/>
      <c r="BD588" s="6"/>
      <c r="BE588" s="2"/>
      <c r="BF588" s="6"/>
      <c r="BG588" s="58"/>
      <c r="BH588" s="6"/>
      <c r="BI588" s="2"/>
    </row>
    <row r="589" ht="12.75" customHeight="1">
      <c r="A589" s="71"/>
      <c r="B589" s="71"/>
      <c r="C589" s="11"/>
      <c r="D589" s="11"/>
      <c r="E589" s="2"/>
      <c r="F589" s="2"/>
      <c r="G589" s="2"/>
      <c r="H589" s="54"/>
      <c r="I589" s="4"/>
      <c r="J589" s="2"/>
      <c r="K589" s="2"/>
      <c r="L589" s="5"/>
      <c r="M589" s="5"/>
      <c r="N589" s="5"/>
      <c r="O589" s="5"/>
      <c r="P589" s="5"/>
      <c r="Q589" s="5"/>
      <c r="R589" s="2"/>
      <c r="S589" s="2"/>
      <c r="T589" s="2"/>
      <c r="U589" s="2"/>
      <c r="V589" s="2"/>
      <c r="W589" s="2"/>
      <c r="X589" s="6"/>
      <c r="Y589" s="2"/>
      <c r="Z589" s="2"/>
      <c r="AA589" s="2"/>
      <c r="AB589" s="2"/>
      <c r="AC589" s="6"/>
      <c r="AD589" s="2"/>
      <c r="AE589" s="2"/>
      <c r="AF589" s="2"/>
      <c r="AG589" s="2"/>
      <c r="AH589" s="2"/>
      <c r="AI589" s="6"/>
      <c r="AJ589" s="2"/>
      <c r="AK589" s="56"/>
      <c r="AL589" s="2"/>
      <c r="AM589" s="2"/>
      <c r="AN589" s="2"/>
      <c r="AO589" s="2"/>
      <c r="AP589" s="6"/>
      <c r="AQ589" s="2"/>
      <c r="AR589" s="2"/>
      <c r="AS589" s="2"/>
      <c r="AT589" s="2"/>
      <c r="AU589" s="2"/>
      <c r="AV589" s="2"/>
      <c r="AW589" s="2"/>
      <c r="AX589" s="6"/>
      <c r="AY589" s="2"/>
      <c r="AZ589" s="2"/>
      <c r="BA589" s="2"/>
      <c r="BB589" s="2"/>
      <c r="BC589" s="2"/>
      <c r="BD589" s="6"/>
      <c r="BE589" s="2"/>
      <c r="BF589" s="6"/>
      <c r="BG589" s="58"/>
      <c r="BH589" s="6"/>
      <c r="BI589" s="2"/>
    </row>
    <row r="590" ht="12.75" customHeight="1">
      <c r="A590" s="71"/>
      <c r="B590" s="71"/>
      <c r="C590" s="11"/>
      <c r="D590" s="11"/>
      <c r="E590" s="2"/>
      <c r="F590" s="2"/>
      <c r="G590" s="2"/>
      <c r="H590" s="54"/>
      <c r="I590" s="4"/>
      <c r="J590" s="2"/>
      <c r="K590" s="2"/>
      <c r="L590" s="5"/>
      <c r="M590" s="5"/>
      <c r="N590" s="5"/>
      <c r="O590" s="5"/>
      <c r="P590" s="5"/>
      <c r="Q590" s="5"/>
      <c r="R590" s="2"/>
      <c r="S590" s="2"/>
      <c r="T590" s="2"/>
      <c r="U590" s="2"/>
      <c r="V590" s="2"/>
      <c r="W590" s="2"/>
      <c r="X590" s="6"/>
      <c r="Y590" s="2"/>
      <c r="Z590" s="2"/>
      <c r="AA590" s="2"/>
      <c r="AB590" s="2"/>
      <c r="AC590" s="6"/>
      <c r="AD590" s="2"/>
      <c r="AE590" s="2"/>
      <c r="AF590" s="2"/>
      <c r="AG590" s="2"/>
      <c r="AH590" s="2"/>
      <c r="AI590" s="6"/>
      <c r="AJ590" s="2"/>
      <c r="AK590" s="56"/>
      <c r="AL590" s="2"/>
      <c r="AM590" s="2"/>
      <c r="AN590" s="2"/>
      <c r="AO590" s="2"/>
      <c r="AP590" s="6"/>
      <c r="AQ590" s="2"/>
      <c r="AR590" s="2"/>
      <c r="AS590" s="2"/>
      <c r="AT590" s="2"/>
      <c r="AU590" s="2"/>
      <c r="AV590" s="2"/>
      <c r="AW590" s="2"/>
      <c r="AX590" s="6"/>
      <c r="AY590" s="2"/>
      <c r="AZ590" s="2"/>
      <c r="BA590" s="2"/>
      <c r="BB590" s="2"/>
      <c r="BC590" s="2"/>
      <c r="BD590" s="6"/>
      <c r="BE590" s="2"/>
      <c r="BF590" s="6"/>
      <c r="BG590" s="58"/>
      <c r="BH590" s="6"/>
      <c r="BI590" s="2"/>
    </row>
    <row r="591" ht="12.75" customHeight="1">
      <c r="A591" s="71"/>
      <c r="B591" s="71"/>
      <c r="C591" s="11"/>
      <c r="D591" s="11"/>
      <c r="E591" s="2"/>
      <c r="F591" s="2"/>
      <c r="G591" s="2"/>
      <c r="H591" s="54"/>
      <c r="I591" s="4"/>
      <c r="J591" s="2"/>
      <c r="K591" s="2"/>
      <c r="L591" s="5"/>
      <c r="M591" s="5"/>
      <c r="N591" s="5"/>
      <c r="O591" s="5"/>
      <c r="P591" s="5"/>
      <c r="Q591" s="5"/>
      <c r="R591" s="2"/>
      <c r="S591" s="2"/>
      <c r="T591" s="2"/>
      <c r="U591" s="2"/>
      <c r="V591" s="2"/>
      <c r="W591" s="2"/>
      <c r="X591" s="6"/>
      <c r="Y591" s="2"/>
      <c r="Z591" s="2"/>
      <c r="AA591" s="2"/>
      <c r="AB591" s="2"/>
      <c r="AC591" s="6"/>
      <c r="AD591" s="2"/>
      <c r="AE591" s="2"/>
      <c r="AF591" s="2"/>
      <c r="AG591" s="2"/>
      <c r="AH591" s="2"/>
      <c r="AI591" s="6"/>
      <c r="AJ591" s="2"/>
      <c r="AK591" s="56"/>
      <c r="AL591" s="2"/>
      <c r="AM591" s="2"/>
      <c r="AN591" s="2"/>
      <c r="AO591" s="2"/>
      <c r="AP591" s="6"/>
      <c r="AQ591" s="2"/>
      <c r="AR591" s="2"/>
      <c r="AS591" s="2"/>
      <c r="AT591" s="2"/>
      <c r="AU591" s="2"/>
      <c r="AV591" s="2"/>
      <c r="AW591" s="2"/>
      <c r="AX591" s="6"/>
      <c r="AY591" s="2"/>
      <c r="AZ591" s="2"/>
      <c r="BA591" s="2"/>
      <c r="BB591" s="2"/>
      <c r="BC591" s="2"/>
      <c r="BD591" s="6"/>
      <c r="BE591" s="2"/>
      <c r="BF591" s="6"/>
      <c r="BG591" s="58"/>
      <c r="BH591" s="6"/>
      <c r="BI591" s="2"/>
    </row>
    <row r="592" ht="12.75" customHeight="1">
      <c r="A592" s="71"/>
      <c r="B592" s="71"/>
      <c r="C592" s="11"/>
      <c r="D592" s="11"/>
      <c r="E592" s="2"/>
      <c r="F592" s="2"/>
      <c r="G592" s="2"/>
      <c r="H592" s="54"/>
      <c r="I592" s="4"/>
      <c r="J592" s="2"/>
      <c r="K592" s="2"/>
      <c r="L592" s="5"/>
      <c r="M592" s="5"/>
      <c r="N592" s="5"/>
      <c r="O592" s="5"/>
      <c r="P592" s="5"/>
      <c r="Q592" s="5"/>
      <c r="R592" s="2"/>
      <c r="S592" s="2"/>
      <c r="T592" s="2"/>
      <c r="U592" s="2"/>
      <c r="V592" s="2"/>
      <c r="W592" s="2"/>
      <c r="X592" s="6"/>
      <c r="Y592" s="2"/>
      <c r="Z592" s="2"/>
      <c r="AA592" s="2"/>
      <c r="AB592" s="2"/>
      <c r="AC592" s="6"/>
      <c r="AD592" s="2"/>
      <c r="AE592" s="2"/>
      <c r="AF592" s="2"/>
      <c r="AG592" s="2"/>
      <c r="AH592" s="2"/>
      <c r="AI592" s="6"/>
      <c r="AJ592" s="2"/>
      <c r="AK592" s="56"/>
      <c r="AL592" s="2"/>
      <c r="AM592" s="2"/>
      <c r="AN592" s="2"/>
      <c r="AO592" s="2"/>
      <c r="AP592" s="6"/>
      <c r="AQ592" s="2"/>
      <c r="AR592" s="2"/>
      <c r="AS592" s="2"/>
      <c r="AT592" s="2"/>
      <c r="AU592" s="2"/>
      <c r="AV592" s="2"/>
      <c r="AW592" s="2"/>
      <c r="AX592" s="6"/>
      <c r="AY592" s="2"/>
      <c r="AZ592" s="2"/>
      <c r="BA592" s="2"/>
      <c r="BB592" s="2"/>
      <c r="BC592" s="2"/>
      <c r="BD592" s="6"/>
      <c r="BE592" s="2"/>
      <c r="BF592" s="6"/>
      <c r="BG592" s="58"/>
      <c r="BH592" s="6"/>
      <c r="BI592" s="2"/>
    </row>
    <row r="593" ht="12.75" customHeight="1">
      <c r="A593" s="71"/>
      <c r="B593" s="71"/>
      <c r="C593" s="11"/>
      <c r="D593" s="11"/>
      <c r="E593" s="2"/>
      <c r="F593" s="2"/>
      <c r="G593" s="2"/>
      <c r="H593" s="54"/>
      <c r="I593" s="4"/>
      <c r="J593" s="2"/>
      <c r="K593" s="2"/>
      <c r="L593" s="5"/>
      <c r="M593" s="5"/>
      <c r="N593" s="5"/>
      <c r="O593" s="5"/>
      <c r="P593" s="5"/>
      <c r="Q593" s="5"/>
      <c r="R593" s="2"/>
      <c r="S593" s="2"/>
      <c r="T593" s="2"/>
      <c r="U593" s="2"/>
      <c r="V593" s="2"/>
      <c r="W593" s="2"/>
      <c r="X593" s="6"/>
      <c r="Y593" s="2"/>
      <c r="Z593" s="2"/>
      <c r="AA593" s="2"/>
      <c r="AB593" s="2"/>
      <c r="AC593" s="6"/>
      <c r="AD593" s="2"/>
      <c r="AE593" s="2"/>
      <c r="AF593" s="2"/>
      <c r="AG593" s="2"/>
      <c r="AH593" s="2"/>
      <c r="AI593" s="6"/>
      <c r="AJ593" s="2"/>
      <c r="AK593" s="56"/>
      <c r="AL593" s="2"/>
      <c r="AM593" s="2"/>
      <c r="AN593" s="2"/>
      <c r="AO593" s="2"/>
      <c r="AP593" s="6"/>
      <c r="AQ593" s="2"/>
      <c r="AR593" s="2"/>
      <c r="AS593" s="2"/>
      <c r="AT593" s="2"/>
      <c r="AU593" s="2"/>
      <c r="AV593" s="2"/>
      <c r="AW593" s="2"/>
      <c r="AX593" s="6"/>
      <c r="AY593" s="2"/>
      <c r="AZ593" s="2"/>
      <c r="BA593" s="2"/>
      <c r="BB593" s="2"/>
      <c r="BC593" s="2"/>
      <c r="BD593" s="6"/>
      <c r="BE593" s="2"/>
      <c r="BF593" s="6"/>
      <c r="BG593" s="58"/>
      <c r="BH593" s="6"/>
      <c r="BI593" s="2"/>
    </row>
    <row r="594" ht="12.75" customHeight="1">
      <c r="A594" s="71"/>
      <c r="B594" s="71"/>
      <c r="C594" s="11"/>
      <c r="D594" s="11"/>
      <c r="E594" s="2"/>
      <c r="F594" s="2"/>
      <c r="G594" s="2"/>
      <c r="H594" s="54"/>
      <c r="I594" s="4"/>
      <c r="J594" s="2"/>
      <c r="K594" s="2"/>
      <c r="L594" s="5"/>
      <c r="M594" s="5"/>
      <c r="N594" s="5"/>
      <c r="O594" s="5"/>
      <c r="P594" s="5"/>
      <c r="Q594" s="5"/>
      <c r="R594" s="2"/>
      <c r="S594" s="2"/>
      <c r="T594" s="2"/>
      <c r="U594" s="2"/>
      <c r="V594" s="2"/>
      <c r="W594" s="2"/>
      <c r="X594" s="6"/>
      <c r="Y594" s="2"/>
      <c r="Z594" s="2"/>
      <c r="AA594" s="2"/>
      <c r="AB594" s="2"/>
      <c r="AC594" s="6"/>
      <c r="AD594" s="2"/>
      <c r="AE594" s="2"/>
      <c r="AF594" s="2"/>
      <c r="AG594" s="2"/>
      <c r="AH594" s="2"/>
      <c r="AI594" s="6"/>
      <c r="AJ594" s="2"/>
      <c r="AK594" s="56"/>
      <c r="AL594" s="2"/>
      <c r="AM594" s="2"/>
      <c r="AN594" s="2"/>
      <c r="AO594" s="2"/>
      <c r="AP594" s="6"/>
      <c r="AQ594" s="2"/>
      <c r="AR594" s="2"/>
      <c r="AS594" s="2"/>
      <c r="AT594" s="2"/>
      <c r="AU594" s="2"/>
      <c r="AV594" s="2"/>
      <c r="AW594" s="2"/>
      <c r="AX594" s="6"/>
      <c r="AY594" s="2"/>
      <c r="AZ594" s="2"/>
      <c r="BA594" s="2"/>
      <c r="BB594" s="2"/>
      <c r="BC594" s="2"/>
      <c r="BD594" s="6"/>
      <c r="BE594" s="2"/>
      <c r="BF594" s="6"/>
      <c r="BG594" s="58"/>
      <c r="BH594" s="6"/>
      <c r="BI594" s="2"/>
    </row>
    <row r="595" ht="12.75" customHeight="1">
      <c r="A595" s="71"/>
      <c r="B595" s="71"/>
      <c r="C595" s="11"/>
      <c r="D595" s="11"/>
      <c r="E595" s="2"/>
      <c r="F595" s="2"/>
      <c r="G595" s="2"/>
      <c r="H595" s="54"/>
      <c r="I595" s="4"/>
      <c r="J595" s="2"/>
      <c r="K595" s="2"/>
      <c r="L595" s="5"/>
      <c r="M595" s="5"/>
      <c r="N595" s="5"/>
      <c r="O595" s="5"/>
      <c r="P595" s="5"/>
      <c r="Q595" s="5"/>
      <c r="R595" s="2"/>
      <c r="S595" s="2"/>
      <c r="T595" s="2"/>
      <c r="U595" s="2"/>
      <c r="V595" s="2"/>
      <c r="W595" s="2"/>
      <c r="X595" s="6"/>
      <c r="Y595" s="2"/>
      <c r="Z595" s="2"/>
      <c r="AA595" s="2"/>
      <c r="AB595" s="2"/>
      <c r="AC595" s="6"/>
      <c r="AD595" s="2"/>
      <c r="AE595" s="2"/>
      <c r="AF595" s="2"/>
      <c r="AG595" s="2"/>
      <c r="AH595" s="2"/>
      <c r="AI595" s="6"/>
      <c r="AJ595" s="2"/>
      <c r="AK595" s="56"/>
      <c r="AL595" s="2"/>
      <c r="AM595" s="2"/>
      <c r="AN595" s="2"/>
      <c r="AO595" s="2"/>
      <c r="AP595" s="6"/>
      <c r="AQ595" s="2"/>
      <c r="AR595" s="2"/>
      <c r="AS595" s="2"/>
      <c r="AT595" s="2"/>
      <c r="AU595" s="2"/>
      <c r="AV595" s="2"/>
      <c r="AW595" s="2"/>
      <c r="AX595" s="6"/>
      <c r="AY595" s="2"/>
      <c r="AZ595" s="2"/>
      <c r="BA595" s="2"/>
      <c r="BB595" s="2"/>
      <c r="BC595" s="2"/>
      <c r="BD595" s="6"/>
      <c r="BE595" s="2"/>
      <c r="BF595" s="6"/>
      <c r="BG595" s="58"/>
      <c r="BH595" s="6"/>
      <c r="BI595" s="2"/>
    </row>
    <row r="596" ht="12.75" customHeight="1">
      <c r="A596" s="71"/>
      <c r="B596" s="71"/>
      <c r="C596" s="11"/>
      <c r="D596" s="11"/>
      <c r="E596" s="2"/>
      <c r="F596" s="2"/>
      <c r="G596" s="2"/>
      <c r="H596" s="54"/>
      <c r="I596" s="4"/>
      <c r="J596" s="2"/>
      <c r="K596" s="2"/>
      <c r="L596" s="5"/>
      <c r="M596" s="5"/>
      <c r="N596" s="5"/>
      <c r="O596" s="5"/>
      <c r="P596" s="5"/>
      <c r="Q596" s="5"/>
      <c r="R596" s="2"/>
      <c r="S596" s="2"/>
      <c r="T596" s="2"/>
      <c r="U596" s="2"/>
      <c r="V596" s="2"/>
      <c r="W596" s="2"/>
      <c r="X596" s="6"/>
      <c r="Y596" s="2"/>
      <c r="Z596" s="2"/>
      <c r="AA596" s="2"/>
      <c r="AB596" s="2"/>
      <c r="AC596" s="6"/>
      <c r="AD596" s="2"/>
      <c r="AE596" s="2"/>
      <c r="AF596" s="2"/>
      <c r="AG596" s="2"/>
      <c r="AH596" s="2"/>
      <c r="AI596" s="6"/>
      <c r="AJ596" s="2"/>
      <c r="AK596" s="56"/>
      <c r="AL596" s="2"/>
      <c r="AM596" s="2"/>
      <c r="AN596" s="2"/>
      <c r="AO596" s="2"/>
      <c r="AP596" s="6"/>
      <c r="AQ596" s="2"/>
      <c r="AR596" s="2"/>
      <c r="AS596" s="2"/>
      <c r="AT596" s="2"/>
      <c r="AU596" s="2"/>
      <c r="AV596" s="2"/>
      <c r="AW596" s="2"/>
      <c r="AX596" s="6"/>
      <c r="AY596" s="2"/>
      <c r="AZ596" s="2"/>
      <c r="BA596" s="2"/>
      <c r="BB596" s="2"/>
      <c r="BC596" s="2"/>
      <c r="BD596" s="6"/>
      <c r="BE596" s="2"/>
      <c r="BF596" s="6"/>
      <c r="BG596" s="58"/>
      <c r="BH596" s="6"/>
      <c r="BI596" s="2"/>
    </row>
    <row r="597" ht="12.75" customHeight="1">
      <c r="A597" s="71"/>
      <c r="B597" s="71"/>
      <c r="C597" s="11"/>
      <c r="D597" s="11"/>
      <c r="E597" s="2"/>
      <c r="F597" s="2"/>
      <c r="G597" s="2"/>
      <c r="H597" s="54"/>
      <c r="I597" s="4"/>
      <c r="J597" s="2"/>
      <c r="K597" s="2"/>
      <c r="L597" s="5"/>
      <c r="M597" s="5"/>
      <c r="N597" s="5"/>
      <c r="O597" s="5"/>
      <c r="P597" s="5"/>
      <c r="Q597" s="5"/>
      <c r="R597" s="2"/>
      <c r="S597" s="2"/>
      <c r="T597" s="2"/>
      <c r="U597" s="2"/>
      <c r="V597" s="2"/>
      <c r="W597" s="2"/>
      <c r="X597" s="6"/>
      <c r="Y597" s="2"/>
      <c r="Z597" s="2"/>
      <c r="AA597" s="2"/>
      <c r="AB597" s="2"/>
      <c r="AC597" s="6"/>
      <c r="AD597" s="2"/>
      <c r="AE597" s="2"/>
      <c r="AF597" s="2"/>
      <c r="AG597" s="2"/>
      <c r="AH597" s="2"/>
      <c r="AI597" s="6"/>
      <c r="AJ597" s="2"/>
      <c r="AK597" s="56"/>
      <c r="AL597" s="2"/>
      <c r="AM597" s="2"/>
      <c r="AN597" s="2"/>
      <c r="AO597" s="2"/>
      <c r="AP597" s="6"/>
      <c r="AQ597" s="2"/>
      <c r="AR597" s="2"/>
      <c r="AS597" s="2"/>
      <c r="AT597" s="2"/>
      <c r="AU597" s="2"/>
      <c r="AV597" s="2"/>
      <c r="AW597" s="2"/>
      <c r="AX597" s="6"/>
      <c r="AY597" s="2"/>
      <c r="AZ597" s="2"/>
      <c r="BA597" s="2"/>
      <c r="BB597" s="2"/>
      <c r="BC597" s="2"/>
      <c r="BD597" s="6"/>
      <c r="BE597" s="2"/>
      <c r="BF597" s="6"/>
      <c r="BG597" s="58"/>
      <c r="BH597" s="6"/>
      <c r="BI597" s="2"/>
    </row>
    <row r="598" ht="12.75" customHeight="1">
      <c r="A598" s="71"/>
      <c r="B598" s="71"/>
      <c r="C598" s="11"/>
      <c r="D598" s="11"/>
      <c r="E598" s="2"/>
      <c r="F598" s="2"/>
      <c r="G598" s="2"/>
      <c r="H598" s="54"/>
      <c r="I598" s="4"/>
      <c r="J598" s="2"/>
      <c r="K598" s="2"/>
      <c r="L598" s="5"/>
      <c r="M598" s="5"/>
      <c r="N598" s="5"/>
      <c r="O598" s="5"/>
      <c r="P598" s="5"/>
      <c r="Q598" s="5"/>
      <c r="R598" s="2"/>
      <c r="S598" s="2"/>
      <c r="T598" s="2"/>
      <c r="U598" s="2"/>
      <c r="V598" s="2"/>
      <c r="W598" s="2"/>
      <c r="X598" s="6"/>
      <c r="Y598" s="2"/>
      <c r="Z598" s="2"/>
      <c r="AA598" s="2"/>
      <c r="AB598" s="2"/>
      <c r="AC598" s="6"/>
      <c r="AD598" s="2"/>
      <c r="AE598" s="2"/>
      <c r="AF598" s="2"/>
      <c r="AG598" s="2"/>
      <c r="AH598" s="2"/>
      <c r="AI598" s="6"/>
      <c r="AJ598" s="2"/>
      <c r="AK598" s="56"/>
      <c r="AL598" s="2"/>
      <c r="AM598" s="2"/>
      <c r="AN598" s="2"/>
      <c r="AO598" s="2"/>
      <c r="AP598" s="6"/>
      <c r="AQ598" s="2"/>
      <c r="AR598" s="2"/>
      <c r="AS598" s="2"/>
      <c r="AT598" s="2"/>
      <c r="AU598" s="2"/>
      <c r="AV598" s="2"/>
      <c r="AW598" s="2"/>
      <c r="AX598" s="6"/>
      <c r="AY598" s="2"/>
      <c r="AZ598" s="2"/>
      <c r="BA598" s="2"/>
      <c r="BB598" s="2"/>
      <c r="BC598" s="2"/>
      <c r="BD598" s="6"/>
      <c r="BE598" s="2"/>
      <c r="BF598" s="6"/>
      <c r="BG598" s="58"/>
      <c r="BH598" s="6"/>
      <c r="BI598" s="2"/>
    </row>
    <row r="599" ht="12.75" customHeight="1">
      <c r="A599" s="71"/>
      <c r="B599" s="71"/>
      <c r="C599" s="11"/>
      <c r="D599" s="11"/>
      <c r="E599" s="2"/>
      <c r="F599" s="2"/>
      <c r="G599" s="2"/>
      <c r="H599" s="54"/>
      <c r="I599" s="4"/>
      <c r="J599" s="2"/>
      <c r="K599" s="2"/>
      <c r="L599" s="5"/>
      <c r="M599" s="5"/>
      <c r="N599" s="5"/>
      <c r="O599" s="5"/>
      <c r="P599" s="5"/>
      <c r="Q599" s="5"/>
      <c r="R599" s="2"/>
      <c r="S599" s="2"/>
      <c r="T599" s="2"/>
      <c r="U599" s="2"/>
      <c r="V599" s="2"/>
      <c r="W599" s="2"/>
      <c r="X599" s="6"/>
      <c r="Y599" s="2"/>
      <c r="Z599" s="2"/>
      <c r="AA599" s="2"/>
      <c r="AB599" s="2"/>
      <c r="AC599" s="6"/>
      <c r="AD599" s="2"/>
      <c r="AE599" s="2"/>
      <c r="AF599" s="2"/>
      <c r="AG599" s="2"/>
      <c r="AH599" s="2"/>
      <c r="AI599" s="6"/>
      <c r="AJ599" s="2"/>
      <c r="AK599" s="56"/>
      <c r="AL599" s="2"/>
      <c r="AM599" s="2"/>
      <c r="AN599" s="2"/>
      <c r="AO599" s="2"/>
      <c r="AP599" s="6"/>
      <c r="AQ599" s="2"/>
      <c r="AR599" s="2"/>
      <c r="AS599" s="2"/>
      <c r="AT599" s="2"/>
      <c r="AU599" s="2"/>
      <c r="AV599" s="2"/>
      <c r="AW599" s="2"/>
      <c r="AX599" s="6"/>
      <c r="AY599" s="2"/>
      <c r="AZ599" s="2"/>
      <c r="BA599" s="2"/>
      <c r="BB599" s="2"/>
      <c r="BC599" s="2"/>
      <c r="BD599" s="6"/>
      <c r="BE599" s="2"/>
      <c r="BF599" s="6"/>
      <c r="BG599" s="58"/>
      <c r="BH599" s="6"/>
      <c r="BI599" s="2"/>
    </row>
    <row r="600" ht="12.75" customHeight="1">
      <c r="A600" s="71"/>
      <c r="B600" s="71"/>
      <c r="C600" s="11"/>
      <c r="D600" s="11"/>
      <c r="E600" s="2"/>
      <c r="F600" s="2"/>
      <c r="G600" s="2"/>
      <c r="H600" s="54"/>
      <c r="I600" s="4"/>
      <c r="J600" s="2"/>
      <c r="K600" s="2"/>
      <c r="L600" s="5"/>
      <c r="M600" s="5"/>
      <c r="N600" s="5"/>
      <c r="O600" s="5"/>
      <c r="P600" s="5"/>
      <c r="Q600" s="5"/>
      <c r="R600" s="2"/>
      <c r="S600" s="2"/>
      <c r="T600" s="2"/>
      <c r="U600" s="2"/>
      <c r="V600" s="2"/>
      <c r="W600" s="2"/>
      <c r="X600" s="6"/>
      <c r="Y600" s="2"/>
      <c r="Z600" s="2"/>
      <c r="AA600" s="2"/>
      <c r="AB600" s="2"/>
      <c r="AC600" s="6"/>
      <c r="AD600" s="2"/>
      <c r="AE600" s="2"/>
      <c r="AF600" s="2"/>
      <c r="AG600" s="2"/>
      <c r="AH600" s="2"/>
      <c r="AI600" s="6"/>
      <c r="AJ600" s="2"/>
      <c r="AK600" s="56"/>
      <c r="AL600" s="2"/>
      <c r="AM600" s="2"/>
      <c r="AN600" s="2"/>
      <c r="AO600" s="2"/>
      <c r="AP600" s="6"/>
      <c r="AQ600" s="2"/>
      <c r="AR600" s="2"/>
      <c r="AS600" s="2"/>
      <c r="AT600" s="2"/>
      <c r="AU600" s="2"/>
      <c r="AV600" s="2"/>
      <c r="AW600" s="2"/>
      <c r="AX600" s="6"/>
      <c r="AY600" s="2"/>
      <c r="AZ600" s="2"/>
      <c r="BA600" s="2"/>
      <c r="BB600" s="2"/>
      <c r="BC600" s="2"/>
      <c r="BD600" s="6"/>
      <c r="BE600" s="2"/>
      <c r="BF600" s="6"/>
      <c r="BG600" s="58"/>
      <c r="BH600" s="6"/>
      <c r="BI600" s="2"/>
    </row>
    <row r="601" ht="12.75" customHeight="1">
      <c r="A601" s="71"/>
      <c r="B601" s="71"/>
      <c r="C601" s="11"/>
      <c r="D601" s="11"/>
      <c r="E601" s="2"/>
      <c r="F601" s="2"/>
      <c r="G601" s="2"/>
      <c r="H601" s="54"/>
      <c r="I601" s="4"/>
      <c r="J601" s="2"/>
      <c r="K601" s="2"/>
      <c r="L601" s="5"/>
      <c r="M601" s="5"/>
      <c r="N601" s="5"/>
      <c r="O601" s="5"/>
      <c r="P601" s="5"/>
      <c r="Q601" s="5"/>
      <c r="R601" s="2"/>
      <c r="S601" s="2"/>
      <c r="T601" s="2"/>
      <c r="U601" s="2"/>
      <c r="V601" s="2"/>
      <c r="W601" s="2"/>
      <c r="X601" s="6"/>
      <c r="Y601" s="2"/>
      <c r="Z601" s="2"/>
      <c r="AA601" s="2"/>
      <c r="AB601" s="2"/>
      <c r="AC601" s="6"/>
      <c r="AD601" s="2"/>
      <c r="AE601" s="2"/>
      <c r="AF601" s="2"/>
      <c r="AG601" s="2"/>
      <c r="AH601" s="2"/>
      <c r="AI601" s="6"/>
      <c r="AJ601" s="2"/>
      <c r="AK601" s="56"/>
      <c r="AL601" s="2"/>
      <c r="AM601" s="2"/>
      <c r="AN601" s="2"/>
      <c r="AO601" s="2"/>
      <c r="AP601" s="6"/>
      <c r="AQ601" s="2"/>
      <c r="AR601" s="2"/>
      <c r="AS601" s="2"/>
      <c r="AT601" s="2"/>
      <c r="AU601" s="2"/>
      <c r="AV601" s="2"/>
      <c r="AW601" s="2"/>
      <c r="AX601" s="6"/>
      <c r="AY601" s="2"/>
      <c r="AZ601" s="2"/>
      <c r="BA601" s="2"/>
      <c r="BB601" s="2"/>
      <c r="BC601" s="2"/>
      <c r="BD601" s="6"/>
      <c r="BE601" s="2"/>
      <c r="BF601" s="6"/>
      <c r="BG601" s="58"/>
      <c r="BH601" s="6"/>
      <c r="BI601" s="2"/>
    </row>
    <row r="602" ht="12.75" customHeight="1">
      <c r="A602" s="71"/>
      <c r="B602" s="71"/>
      <c r="C602" s="11"/>
      <c r="D602" s="11"/>
      <c r="E602" s="2"/>
      <c r="F602" s="2"/>
      <c r="G602" s="2"/>
      <c r="H602" s="54"/>
      <c r="I602" s="4"/>
      <c r="J602" s="2"/>
      <c r="K602" s="2"/>
      <c r="L602" s="5"/>
      <c r="M602" s="5"/>
      <c r="N602" s="5"/>
      <c r="O602" s="5"/>
      <c r="P602" s="5"/>
      <c r="Q602" s="5"/>
      <c r="R602" s="2"/>
      <c r="S602" s="2"/>
      <c r="T602" s="2"/>
      <c r="U602" s="2"/>
      <c r="V602" s="2"/>
      <c r="W602" s="2"/>
      <c r="X602" s="6"/>
      <c r="Y602" s="2"/>
      <c r="Z602" s="2"/>
      <c r="AA602" s="2"/>
      <c r="AB602" s="2"/>
      <c r="AC602" s="6"/>
      <c r="AD602" s="2"/>
      <c r="AE602" s="2"/>
      <c r="AF602" s="2"/>
      <c r="AG602" s="2"/>
      <c r="AH602" s="2"/>
      <c r="AI602" s="6"/>
      <c r="AJ602" s="2"/>
      <c r="AK602" s="56"/>
      <c r="AL602" s="2"/>
      <c r="AM602" s="2"/>
      <c r="AN602" s="2"/>
      <c r="AO602" s="2"/>
      <c r="AP602" s="6"/>
      <c r="AQ602" s="2"/>
      <c r="AR602" s="2"/>
      <c r="AS602" s="2"/>
      <c r="AT602" s="2"/>
      <c r="AU602" s="2"/>
      <c r="AV602" s="2"/>
      <c r="AW602" s="2"/>
      <c r="AX602" s="6"/>
      <c r="AY602" s="2"/>
      <c r="AZ602" s="2"/>
      <c r="BA602" s="2"/>
      <c r="BB602" s="2"/>
      <c r="BC602" s="2"/>
      <c r="BD602" s="6"/>
      <c r="BE602" s="2"/>
      <c r="BF602" s="6"/>
      <c r="BG602" s="58"/>
      <c r="BH602" s="6"/>
      <c r="BI602" s="2"/>
    </row>
    <row r="603" ht="12.75" customHeight="1">
      <c r="A603" s="71"/>
      <c r="B603" s="71"/>
      <c r="C603" s="11"/>
      <c r="D603" s="11"/>
      <c r="E603" s="2"/>
      <c r="F603" s="2"/>
      <c r="G603" s="2"/>
      <c r="H603" s="54"/>
      <c r="I603" s="4"/>
      <c r="J603" s="2"/>
      <c r="K603" s="2"/>
      <c r="L603" s="5"/>
      <c r="M603" s="5"/>
      <c r="N603" s="5"/>
      <c r="O603" s="5"/>
      <c r="P603" s="5"/>
      <c r="Q603" s="5"/>
      <c r="R603" s="2"/>
      <c r="S603" s="2"/>
      <c r="T603" s="2"/>
      <c r="U603" s="2"/>
      <c r="V603" s="2"/>
      <c r="W603" s="2"/>
      <c r="X603" s="6"/>
      <c r="Y603" s="2"/>
      <c r="Z603" s="2"/>
      <c r="AA603" s="2"/>
      <c r="AB603" s="2"/>
      <c r="AC603" s="6"/>
      <c r="AD603" s="2"/>
      <c r="AE603" s="2"/>
      <c r="AF603" s="2"/>
      <c r="AG603" s="2"/>
      <c r="AH603" s="2"/>
      <c r="AI603" s="6"/>
      <c r="AJ603" s="2"/>
      <c r="AK603" s="56"/>
      <c r="AL603" s="2"/>
      <c r="AM603" s="2"/>
      <c r="AN603" s="2"/>
      <c r="AO603" s="2"/>
      <c r="AP603" s="6"/>
      <c r="AQ603" s="2"/>
      <c r="AR603" s="2"/>
      <c r="AS603" s="2"/>
      <c r="AT603" s="2"/>
      <c r="AU603" s="2"/>
      <c r="AV603" s="2"/>
      <c r="AW603" s="2"/>
      <c r="AX603" s="6"/>
      <c r="AY603" s="2"/>
      <c r="AZ603" s="2"/>
      <c r="BA603" s="2"/>
      <c r="BB603" s="2"/>
      <c r="BC603" s="2"/>
      <c r="BD603" s="6"/>
      <c r="BE603" s="2"/>
      <c r="BF603" s="6"/>
      <c r="BG603" s="58"/>
      <c r="BH603" s="6"/>
      <c r="BI603" s="2"/>
    </row>
    <row r="604" ht="12.75" customHeight="1">
      <c r="A604" s="71"/>
      <c r="B604" s="71"/>
      <c r="C604" s="11"/>
      <c r="D604" s="11"/>
      <c r="E604" s="2"/>
      <c r="F604" s="2"/>
      <c r="G604" s="2"/>
      <c r="H604" s="54"/>
      <c r="I604" s="4"/>
      <c r="J604" s="2"/>
      <c r="K604" s="2"/>
      <c r="L604" s="5"/>
      <c r="M604" s="5"/>
      <c r="N604" s="5"/>
      <c r="O604" s="5"/>
      <c r="P604" s="5"/>
      <c r="Q604" s="5"/>
      <c r="R604" s="2"/>
      <c r="S604" s="2"/>
      <c r="T604" s="2"/>
      <c r="U604" s="2"/>
      <c r="V604" s="2"/>
      <c r="W604" s="2"/>
      <c r="X604" s="6"/>
      <c r="Y604" s="2"/>
      <c r="Z604" s="2"/>
      <c r="AA604" s="2"/>
      <c r="AB604" s="2"/>
      <c r="AC604" s="6"/>
      <c r="AD604" s="2"/>
      <c r="AE604" s="2"/>
      <c r="AF604" s="2"/>
      <c r="AG604" s="2"/>
      <c r="AH604" s="2"/>
      <c r="AI604" s="6"/>
      <c r="AJ604" s="2"/>
      <c r="AK604" s="56"/>
      <c r="AL604" s="2"/>
      <c r="AM604" s="2"/>
      <c r="AN604" s="2"/>
      <c r="AO604" s="2"/>
      <c r="AP604" s="6"/>
      <c r="AQ604" s="2"/>
      <c r="AR604" s="2"/>
      <c r="AS604" s="2"/>
      <c r="AT604" s="2"/>
      <c r="AU604" s="2"/>
      <c r="AV604" s="2"/>
      <c r="AW604" s="2"/>
      <c r="AX604" s="6"/>
      <c r="AY604" s="2"/>
      <c r="AZ604" s="2"/>
      <c r="BA604" s="2"/>
      <c r="BB604" s="2"/>
      <c r="BC604" s="2"/>
      <c r="BD604" s="6"/>
      <c r="BE604" s="2"/>
      <c r="BF604" s="6"/>
      <c r="BG604" s="58"/>
      <c r="BH604" s="6"/>
      <c r="BI604" s="2"/>
    </row>
    <row r="605" ht="12.75" customHeight="1">
      <c r="A605" s="71"/>
      <c r="B605" s="71"/>
      <c r="C605" s="11"/>
      <c r="D605" s="11"/>
      <c r="E605" s="2"/>
      <c r="F605" s="2"/>
      <c r="G605" s="2"/>
      <c r="H605" s="54"/>
      <c r="I605" s="4"/>
      <c r="J605" s="2"/>
      <c r="K605" s="2"/>
      <c r="L605" s="5"/>
      <c r="M605" s="5"/>
      <c r="N605" s="5"/>
      <c r="O605" s="5"/>
      <c r="P605" s="5"/>
      <c r="Q605" s="5"/>
      <c r="R605" s="2"/>
      <c r="S605" s="2"/>
      <c r="T605" s="2"/>
      <c r="U605" s="2"/>
      <c r="V605" s="2"/>
      <c r="W605" s="2"/>
      <c r="X605" s="6"/>
      <c r="Y605" s="2"/>
      <c r="Z605" s="2"/>
      <c r="AA605" s="2"/>
      <c r="AB605" s="2"/>
      <c r="AC605" s="6"/>
      <c r="AD605" s="2"/>
      <c r="AE605" s="2"/>
      <c r="AF605" s="2"/>
      <c r="AG605" s="2"/>
      <c r="AH605" s="2"/>
      <c r="AI605" s="6"/>
      <c r="AJ605" s="2"/>
      <c r="AK605" s="56"/>
      <c r="AL605" s="2"/>
      <c r="AM605" s="2"/>
      <c r="AN605" s="2"/>
      <c r="AO605" s="2"/>
      <c r="AP605" s="6"/>
      <c r="AQ605" s="2"/>
      <c r="AR605" s="2"/>
      <c r="AS605" s="2"/>
      <c r="AT605" s="2"/>
      <c r="AU605" s="2"/>
      <c r="AV605" s="2"/>
      <c r="AW605" s="2"/>
      <c r="AX605" s="6"/>
      <c r="AY605" s="2"/>
      <c r="AZ605" s="2"/>
      <c r="BA605" s="2"/>
      <c r="BB605" s="2"/>
      <c r="BC605" s="2"/>
      <c r="BD605" s="6"/>
      <c r="BE605" s="2"/>
      <c r="BF605" s="6"/>
      <c r="BG605" s="58"/>
      <c r="BH605" s="6"/>
      <c r="BI605" s="2"/>
    </row>
    <row r="606" ht="12.75" customHeight="1">
      <c r="A606" s="71"/>
      <c r="B606" s="71"/>
      <c r="C606" s="11"/>
      <c r="D606" s="11"/>
      <c r="E606" s="2"/>
      <c r="F606" s="2"/>
      <c r="G606" s="2"/>
      <c r="H606" s="54"/>
      <c r="I606" s="4"/>
      <c r="J606" s="2"/>
      <c r="K606" s="2"/>
      <c r="L606" s="5"/>
      <c r="M606" s="5"/>
      <c r="N606" s="5"/>
      <c r="O606" s="5"/>
      <c r="P606" s="5"/>
      <c r="Q606" s="5"/>
      <c r="R606" s="2"/>
      <c r="S606" s="2"/>
      <c r="T606" s="2"/>
      <c r="U606" s="2"/>
      <c r="V606" s="2"/>
      <c r="W606" s="2"/>
      <c r="X606" s="6"/>
      <c r="Y606" s="2"/>
      <c r="Z606" s="2"/>
      <c r="AA606" s="2"/>
      <c r="AB606" s="2"/>
      <c r="AC606" s="6"/>
      <c r="AD606" s="2"/>
      <c r="AE606" s="2"/>
      <c r="AF606" s="2"/>
      <c r="AG606" s="2"/>
      <c r="AH606" s="2"/>
      <c r="AI606" s="6"/>
      <c r="AJ606" s="2"/>
      <c r="AK606" s="56"/>
      <c r="AL606" s="2"/>
      <c r="AM606" s="2"/>
      <c r="AN606" s="2"/>
      <c r="AO606" s="2"/>
      <c r="AP606" s="6"/>
      <c r="AQ606" s="2"/>
      <c r="AR606" s="2"/>
      <c r="AS606" s="2"/>
      <c r="AT606" s="2"/>
      <c r="AU606" s="2"/>
      <c r="AV606" s="2"/>
      <c r="AW606" s="2"/>
      <c r="AX606" s="6"/>
      <c r="AY606" s="2"/>
      <c r="AZ606" s="2"/>
      <c r="BA606" s="2"/>
      <c r="BB606" s="2"/>
      <c r="BC606" s="2"/>
      <c r="BD606" s="6"/>
      <c r="BE606" s="2"/>
      <c r="BF606" s="6"/>
      <c r="BG606" s="58"/>
      <c r="BH606" s="6"/>
      <c r="BI606" s="2"/>
    </row>
    <row r="607" ht="12.75" customHeight="1">
      <c r="A607" s="71"/>
      <c r="B607" s="71"/>
      <c r="C607" s="11"/>
      <c r="D607" s="11"/>
      <c r="E607" s="2"/>
      <c r="F607" s="2"/>
      <c r="G607" s="2"/>
      <c r="H607" s="54"/>
      <c r="I607" s="4"/>
      <c r="J607" s="2"/>
      <c r="K607" s="2"/>
      <c r="L607" s="5"/>
      <c r="M607" s="5"/>
      <c r="N607" s="5"/>
      <c r="O607" s="5"/>
      <c r="P607" s="5"/>
      <c r="Q607" s="5"/>
      <c r="R607" s="2"/>
      <c r="S607" s="2"/>
      <c r="T607" s="2"/>
      <c r="U607" s="2"/>
      <c r="V607" s="2"/>
      <c r="W607" s="2"/>
      <c r="X607" s="6"/>
      <c r="Y607" s="2"/>
      <c r="Z607" s="2"/>
      <c r="AA607" s="2"/>
      <c r="AB607" s="2"/>
      <c r="AC607" s="6"/>
      <c r="AD607" s="2"/>
      <c r="AE607" s="2"/>
      <c r="AF607" s="2"/>
      <c r="AG607" s="2"/>
      <c r="AH607" s="2"/>
      <c r="AI607" s="6"/>
      <c r="AJ607" s="2"/>
      <c r="AK607" s="56"/>
      <c r="AL607" s="2"/>
      <c r="AM607" s="2"/>
      <c r="AN607" s="2"/>
      <c r="AO607" s="2"/>
      <c r="AP607" s="6"/>
      <c r="AQ607" s="2"/>
      <c r="AR607" s="2"/>
      <c r="AS607" s="2"/>
      <c r="AT607" s="2"/>
      <c r="AU607" s="2"/>
      <c r="AV607" s="2"/>
      <c r="AW607" s="2"/>
      <c r="AX607" s="6"/>
      <c r="AY607" s="2"/>
      <c r="AZ607" s="2"/>
      <c r="BA607" s="2"/>
      <c r="BB607" s="2"/>
      <c r="BC607" s="2"/>
      <c r="BD607" s="6"/>
      <c r="BE607" s="2"/>
      <c r="BF607" s="6"/>
      <c r="BG607" s="58"/>
      <c r="BH607" s="6"/>
      <c r="BI607" s="2"/>
    </row>
    <row r="608" ht="12.75" customHeight="1">
      <c r="A608" s="71"/>
      <c r="B608" s="71"/>
      <c r="C608" s="11"/>
      <c r="D608" s="11"/>
      <c r="E608" s="2"/>
      <c r="F608" s="2"/>
      <c r="G608" s="2"/>
      <c r="H608" s="54"/>
      <c r="I608" s="4"/>
      <c r="J608" s="2"/>
      <c r="K608" s="2"/>
      <c r="L608" s="5"/>
      <c r="M608" s="5"/>
      <c r="N608" s="5"/>
      <c r="O608" s="5"/>
      <c r="P608" s="5"/>
      <c r="Q608" s="5"/>
      <c r="R608" s="2"/>
      <c r="S608" s="2"/>
      <c r="T608" s="2"/>
      <c r="U608" s="2"/>
      <c r="V608" s="2"/>
      <c r="W608" s="2"/>
      <c r="X608" s="6"/>
      <c r="Y608" s="2"/>
      <c r="Z608" s="2"/>
      <c r="AA608" s="2"/>
      <c r="AB608" s="2"/>
      <c r="AC608" s="6"/>
      <c r="AD608" s="2"/>
      <c r="AE608" s="2"/>
      <c r="AF608" s="2"/>
      <c r="AG608" s="2"/>
      <c r="AH608" s="2"/>
      <c r="AI608" s="6"/>
      <c r="AJ608" s="2"/>
      <c r="AK608" s="56"/>
      <c r="AL608" s="2"/>
      <c r="AM608" s="2"/>
      <c r="AN608" s="2"/>
      <c r="AO608" s="2"/>
      <c r="AP608" s="6"/>
      <c r="AQ608" s="2"/>
      <c r="AR608" s="2"/>
      <c r="AS608" s="2"/>
      <c r="AT608" s="2"/>
      <c r="AU608" s="2"/>
      <c r="AV608" s="2"/>
      <c r="AW608" s="2"/>
      <c r="AX608" s="6"/>
      <c r="AY608" s="2"/>
      <c r="AZ608" s="2"/>
      <c r="BA608" s="2"/>
      <c r="BB608" s="2"/>
      <c r="BC608" s="2"/>
      <c r="BD608" s="6"/>
      <c r="BE608" s="2"/>
      <c r="BF608" s="6"/>
      <c r="BG608" s="58"/>
      <c r="BH608" s="6"/>
      <c r="BI608" s="2"/>
    </row>
    <row r="609" ht="12.75" customHeight="1">
      <c r="A609" s="71"/>
      <c r="B609" s="71"/>
      <c r="C609" s="11"/>
      <c r="D609" s="11"/>
      <c r="E609" s="2"/>
      <c r="F609" s="2"/>
      <c r="G609" s="2"/>
      <c r="H609" s="54"/>
      <c r="I609" s="4"/>
      <c r="J609" s="2"/>
      <c r="K609" s="2"/>
      <c r="L609" s="5"/>
      <c r="M609" s="5"/>
      <c r="N609" s="5"/>
      <c r="O609" s="5"/>
      <c r="P609" s="5"/>
      <c r="Q609" s="5"/>
      <c r="R609" s="2"/>
      <c r="S609" s="2"/>
      <c r="T609" s="2"/>
      <c r="U609" s="2"/>
      <c r="V609" s="2"/>
      <c r="W609" s="2"/>
      <c r="X609" s="6"/>
      <c r="Y609" s="2"/>
      <c r="Z609" s="2"/>
      <c r="AA609" s="2"/>
      <c r="AB609" s="2"/>
      <c r="AC609" s="6"/>
      <c r="AD609" s="2"/>
      <c r="AE609" s="2"/>
      <c r="AF609" s="2"/>
      <c r="AG609" s="2"/>
      <c r="AH609" s="2"/>
      <c r="AI609" s="6"/>
      <c r="AJ609" s="2"/>
      <c r="AK609" s="56"/>
      <c r="AL609" s="2"/>
      <c r="AM609" s="2"/>
      <c r="AN609" s="2"/>
      <c r="AO609" s="2"/>
      <c r="AP609" s="6"/>
      <c r="AQ609" s="2"/>
      <c r="AR609" s="2"/>
      <c r="AS609" s="2"/>
      <c r="AT609" s="2"/>
      <c r="AU609" s="2"/>
      <c r="AV609" s="2"/>
      <c r="AW609" s="2"/>
      <c r="AX609" s="6"/>
      <c r="AY609" s="2"/>
      <c r="AZ609" s="2"/>
      <c r="BA609" s="2"/>
      <c r="BB609" s="2"/>
      <c r="BC609" s="2"/>
      <c r="BD609" s="6"/>
      <c r="BE609" s="2"/>
      <c r="BF609" s="6"/>
      <c r="BG609" s="58"/>
      <c r="BH609" s="6"/>
      <c r="BI609" s="2"/>
    </row>
    <row r="610" ht="12.75" customHeight="1">
      <c r="A610" s="71"/>
      <c r="B610" s="71"/>
      <c r="C610" s="11"/>
      <c r="D610" s="11"/>
      <c r="E610" s="2"/>
      <c r="F610" s="2"/>
      <c r="G610" s="2"/>
      <c r="H610" s="54"/>
      <c r="I610" s="4"/>
      <c r="J610" s="2"/>
      <c r="K610" s="2"/>
      <c r="L610" s="5"/>
      <c r="M610" s="5"/>
      <c r="N610" s="5"/>
      <c r="O610" s="5"/>
      <c r="P610" s="5"/>
      <c r="Q610" s="5"/>
      <c r="R610" s="2"/>
      <c r="S610" s="2"/>
      <c r="T610" s="2"/>
      <c r="U610" s="2"/>
      <c r="V610" s="2"/>
      <c r="W610" s="2"/>
      <c r="X610" s="6"/>
      <c r="Y610" s="2"/>
      <c r="Z610" s="2"/>
      <c r="AA610" s="2"/>
      <c r="AB610" s="2"/>
      <c r="AC610" s="6"/>
      <c r="AD610" s="2"/>
      <c r="AE610" s="2"/>
      <c r="AF610" s="2"/>
      <c r="AG610" s="2"/>
      <c r="AH610" s="2"/>
      <c r="AI610" s="6"/>
      <c r="AJ610" s="2"/>
      <c r="AK610" s="56"/>
      <c r="AL610" s="2"/>
      <c r="AM610" s="2"/>
      <c r="AN610" s="2"/>
      <c r="AO610" s="2"/>
      <c r="AP610" s="6"/>
      <c r="AQ610" s="2"/>
      <c r="AR610" s="2"/>
      <c r="AS610" s="2"/>
      <c r="AT610" s="2"/>
      <c r="AU610" s="2"/>
      <c r="AV610" s="2"/>
      <c r="AW610" s="2"/>
      <c r="AX610" s="6"/>
      <c r="AY610" s="2"/>
      <c r="AZ610" s="2"/>
      <c r="BA610" s="2"/>
      <c r="BB610" s="2"/>
      <c r="BC610" s="2"/>
      <c r="BD610" s="6"/>
      <c r="BE610" s="2"/>
      <c r="BF610" s="6"/>
      <c r="BG610" s="58"/>
      <c r="BH610" s="6"/>
      <c r="BI610" s="2"/>
    </row>
    <row r="611" ht="12.75" customHeight="1">
      <c r="A611" s="71"/>
      <c r="B611" s="71"/>
      <c r="C611" s="11"/>
      <c r="D611" s="11"/>
      <c r="E611" s="2"/>
      <c r="F611" s="2"/>
      <c r="G611" s="2"/>
      <c r="H611" s="54"/>
      <c r="I611" s="4"/>
      <c r="J611" s="2"/>
      <c r="K611" s="2"/>
      <c r="L611" s="5"/>
      <c r="M611" s="5"/>
      <c r="N611" s="5"/>
      <c r="O611" s="5"/>
      <c r="P611" s="5"/>
      <c r="Q611" s="5"/>
      <c r="R611" s="2"/>
      <c r="S611" s="2"/>
      <c r="T611" s="2"/>
      <c r="U611" s="2"/>
      <c r="V611" s="2"/>
      <c r="W611" s="2"/>
      <c r="X611" s="6"/>
      <c r="Y611" s="2"/>
      <c r="Z611" s="2"/>
      <c r="AA611" s="2"/>
      <c r="AB611" s="2"/>
      <c r="AC611" s="6"/>
      <c r="AD611" s="2"/>
      <c r="AE611" s="2"/>
      <c r="AF611" s="2"/>
      <c r="AG611" s="2"/>
      <c r="AH611" s="2"/>
      <c r="AI611" s="6"/>
      <c r="AJ611" s="2"/>
      <c r="AK611" s="56"/>
      <c r="AL611" s="2"/>
      <c r="AM611" s="2"/>
      <c r="AN611" s="2"/>
      <c r="AO611" s="2"/>
      <c r="AP611" s="6"/>
      <c r="AQ611" s="2"/>
      <c r="AR611" s="2"/>
      <c r="AS611" s="2"/>
      <c r="AT611" s="2"/>
      <c r="AU611" s="2"/>
      <c r="AV611" s="2"/>
      <c r="AW611" s="2"/>
      <c r="AX611" s="6"/>
      <c r="AY611" s="2"/>
      <c r="AZ611" s="2"/>
      <c r="BA611" s="2"/>
      <c r="BB611" s="2"/>
      <c r="BC611" s="2"/>
      <c r="BD611" s="6"/>
      <c r="BE611" s="2"/>
      <c r="BF611" s="6"/>
      <c r="BG611" s="58"/>
      <c r="BH611" s="6"/>
      <c r="BI611" s="2"/>
    </row>
    <row r="612" ht="12.75" customHeight="1">
      <c r="A612" s="71"/>
      <c r="B612" s="71"/>
      <c r="C612" s="11"/>
      <c r="D612" s="11"/>
      <c r="E612" s="2"/>
      <c r="F612" s="2"/>
      <c r="G612" s="2"/>
      <c r="H612" s="54"/>
      <c r="I612" s="4"/>
      <c r="J612" s="2"/>
      <c r="K612" s="2"/>
      <c r="L612" s="5"/>
      <c r="M612" s="5"/>
      <c r="N612" s="5"/>
      <c r="O612" s="5"/>
      <c r="P612" s="5"/>
      <c r="Q612" s="5"/>
      <c r="R612" s="2"/>
      <c r="S612" s="2"/>
      <c r="T612" s="2"/>
      <c r="U612" s="2"/>
      <c r="V612" s="2"/>
      <c r="W612" s="2"/>
      <c r="X612" s="6"/>
      <c r="Y612" s="2"/>
      <c r="Z612" s="2"/>
      <c r="AA612" s="2"/>
      <c r="AB612" s="2"/>
      <c r="AC612" s="6"/>
      <c r="AD612" s="2"/>
      <c r="AE612" s="2"/>
      <c r="AF612" s="2"/>
      <c r="AG612" s="2"/>
      <c r="AH612" s="2"/>
      <c r="AI612" s="6"/>
      <c r="AJ612" s="2"/>
      <c r="AK612" s="56"/>
      <c r="AL612" s="2"/>
      <c r="AM612" s="2"/>
      <c r="AN612" s="2"/>
      <c r="AO612" s="2"/>
      <c r="AP612" s="6"/>
      <c r="AQ612" s="2"/>
      <c r="AR612" s="2"/>
      <c r="AS612" s="2"/>
      <c r="AT612" s="2"/>
      <c r="AU612" s="2"/>
      <c r="AV612" s="2"/>
      <c r="AW612" s="2"/>
      <c r="AX612" s="6"/>
      <c r="AY612" s="2"/>
      <c r="AZ612" s="2"/>
      <c r="BA612" s="2"/>
      <c r="BB612" s="2"/>
      <c r="BC612" s="2"/>
      <c r="BD612" s="6"/>
      <c r="BE612" s="2"/>
      <c r="BF612" s="6"/>
      <c r="BG612" s="58"/>
      <c r="BH612" s="6"/>
      <c r="BI612" s="2"/>
    </row>
    <row r="613" ht="12.75" customHeight="1">
      <c r="A613" s="71"/>
      <c r="B613" s="71"/>
      <c r="C613" s="11"/>
      <c r="D613" s="11"/>
      <c r="E613" s="2"/>
      <c r="F613" s="2"/>
      <c r="G613" s="2"/>
      <c r="H613" s="54"/>
      <c r="I613" s="4"/>
      <c r="J613" s="2"/>
      <c r="K613" s="2"/>
      <c r="L613" s="5"/>
      <c r="M613" s="5"/>
      <c r="N613" s="5"/>
      <c r="O613" s="5"/>
      <c r="P613" s="5"/>
      <c r="Q613" s="5"/>
      <c r="R613" s="2"/>
      <c r="S613" s="2"/>
      <c r="T613" s="2"/>
      <c r="U613" s="2"/>
      <c r="V613" s="2"/>
      <c r="W613" s="2"/>
      <c r="X613" s="6"/>
      <c r="Y613" s="2"/>
      <c r="Z613" s="2"/>
      <c r="AA613" s="2"/>
      <c r="AB613" s="2"/>
      <c r="AC613" s="6"/>
      <c r="AD613" s="2"/>
      <c r="AE613" s="2"/>
      <c r="AF613" s="2"/>
      <c r="AG613" s="2"/>
      <c r="AH613" s="2"/>
      <c r="AI613" s="6"/>
      <c r="AJ613" s="2"/>
      <c r="AK613" s="56"/>
      <c r="AL613" s="2"/>
      <c r="AM613" s="2"/>
      <c r="AN613" s="2"/>
      <c r="AO613" s="2"/>
      <c r="AP613" s="6"/>
      <c r="AQ613" s="2"/>
      <c r="AR613" s="2"/>
      <c r="AS613" s="2"/>
      <c r="AT613" s="2"/>
      <c r="AU613" s="2"/>
      <c r="AV613" s="2"/>
      <c r="AW613" s="2"/>
      <c r="AX613" s="6"/>
      <c r="AY613" s="2"/>
      <c r="AZ613" s="2"/>
      <c r="BA613" s="2"/>
      <c r="BB613" s="2"/>
      <c r="BC613" s="2"/>
      <c r="BD613" s="6"/>
      <c r="BE613" s="2"/>
      <c r="BF613" s="6"/>
      <c r="BG613" s="58"/>
      <c r="BH613" s="6"/>
      <c r="BI613" s="2"/>
    </row>
    <row r="614" ht="12.75" customHeight="1">
      <c r="A614" s="71"/>
      <c r="B614" s="71"/>
      <c r="C614" s="11"/>
      <c r="D614" s="11"/>
      <c r="E614" s="2"/>
      <c r="F614" s="2"/>
      <c r="G614" s="2"/>
      <c r="H614" s="54"/>
      <c r="I614" s="4"/>
      <c r="J614" s="2"/>
      <c r="K614" s="2"/>
      <c r="L614" s="5"/>
      <c r="M614" s="5"/>
      <c r="N614" s="5"/>
      <c r="O614" s="5"/>
      <c r="P614" s="5"/>
      <c r="Q614" s="5"/>
      <c r="R614" s="2"/>
      <c r="S614" s="2"/>
      <c r="T614" s="2"/>
      <c r="U614" s="2"/>
      <c r="V614" s="2"/>
      <c r="W614" s="2"/>
      <c r="X614" s="6"/>
      <c r="Y614" s="2"/>
      <c r="Z614" s="2"/>
      <c r="AA614" s="2"/>
      <c r="AB614" s="2"/>
      <c r="AC614" s="6"/>
      <c r="AD614" s="2"/>
      <c r="AE614" s="2"/>
      <c r="AF614" s="2"/>
      <c r="AG614" s="2"/>
      <c r="AH614" s="2"/>
      <c r="AI614" s="6"/>
      <c r="AJ614" s="2"/>
      <c r="AK614" s="56"/>
      <c r="AL614" s="2"/>
      <c r="AM614" s="2"/>
      <c r="AN614" s="2"/>
      <c r="AO614" s="2"/>
      <c r="AP614" s="6"/>
      <c r="AQ614" s="2"/>
      <c r="AR614" s="2"/>
      <c r="AS614" s="2"/>
      <c r="AT614" s="2"/>
      <c r="AU614" s="2"/>
      <c r="AV614" s="2"/>
      <c r="AW614" s="2"/>
      <c r="AX614" s="6"/>
      <c r="AY614" s="2"/>
      <c r="AZ614" s="2"/>
      <c r="BA614" s="2"/>
      <c r="BB614" s="2"/>
      <c r="BC614" s="2"/>
      <c r="BD614" s="6"/>
      <c r="BE614" s="2"/>
      <c r="BF614" s="6"/>
      <c r="BG614" s="58"/>
      <c r="BH614" s="6"/>
      <c r="BI614" s="2"/>
    </row>
    <row r="615" ht="12.75" customHeight="1">
      <c r="A615" s="71"/>
      <c r="B615" s="71"/>
      <c r="C615" s="11"/>
      <c r="D615" s="11"/>
      <c r="E615" s="2"/>
      <c r="F615" s="2"/>
      <c r="G615" s="2"/>
      <c r="H615" s="54"/>
      <c r="I615" s="4"/>
      <c r="J615" s="2"/>
      <c r="K615" s="2"/>
      <c r="L615" s="5"/>
      <c r="M615" s="5"/>
      <c r="N615" s="5"/>
      <c r="O615" s="5"/>
      <c r="P615" s="5"/>
      <c r="Q615" s="5"/>
      <c r="R615" s="2"/>
      <c r="S615" s="2"/>
      <c r="T615" s="2"/>
      <c r="U615" s="2"/>
      <c r="V615" s="2"/>
      <c r="W615" s="2"/>
      <c r="X615" s="6"/>
      <c r="Y615" s="2"/>
      <c r="Z615" s="2"/>
      <c r="AA615" s="2"/>
      <c r="AB615" s="2"/>
      <c r="AC615" s="6"/>
      <c r="AD615" s="2"/>
      <c r="AE615" s="2"/>
      <c r="AF615" s="2"/>
      <c r="AG615" s="2"/>
      <c r="AH615" s="2"/>
      <c r="AI615" s="6"/>
      <c r="AJ615" s="2"/>
      <c r="AK615" s="56"/>
      <c r="AL615" s="2"/>
      <c r="AM615" s="2"/>
      <c r="AN615" s="2"/>
      <c r="AO615" s="2"/>
      <c r="AP615" s="6"/>
      <c r="AQ615" s="2"/>
      <c r="AR615" s="2"/>
      <c r="AS615" s="2"/>
      <c r="AT615" s="2"/>
      <c r="AU615" s="2"/>
      <c r="AV615" s="2"/>
      <c r="AW615" s="2"/>
      <c r="AX615" s="6"/>
      <c r="AY615" s="2"/>
      <c r="AZ615" s="2"/>
      <c r="BA615" s="2"/>
      <c r="BB615" s="2"/>
      <c r="BC615" s="2"/>
      <c r="BD615" s="6"/>
      <c r="BE615" s="2"/>
      <c r="BF615" s="6"/>
      <c r="BG615" s="58"/>
      <c r="BH615" s="6"/>
      <c r="BI615" s="2"/>
    </row>
    <row r="616" ht="12.75" customHeight="1">
      <c r="A616" s="71"/>
      <c r="B616" s="71"/>
      <c r="C616" s="11"/>
      <c r="D616" s="11"/>
      <c r="E616" s="2"/>
      <c r="F616" s="2"/>
      <c r="G616" s="2"/>
      <c r="H616" s="54"/>
      <c r="I616" s="4"/>
      <c r="J616" s="2"/>
      <c r="K616" s="2"/>
      <c r="L616" s="5"/>
      <c r="M616" s="5"/>
      <c r="N616" s="5"/>
      <c r="O616" s="5"/>
      <c r="P616" s="5"/>
      <c r="Q616" s="5"/>
      <c r="R616" s="2"/>
      <c r="S616" s="2"/>
      <c r="T616" s="2"/>
      <c r="U616" s="2"/>
      <c r="V616" s="2"/>
      <c r="W616" s="2"/>
      <c r="X616" s="6"/>
      <c r="Y616" s="2"/>
      <c r="Z616" s="2"/>
      <c r="AA616" s="2"/>
      <c r="AB616" s="2"/>
      <c r="AC616" s="6"/>
      <c r="AD616" s="2"/>
      <c r="AE616" s="2"/>
      <c r="AF616" s="2"/>
      <c r="AG616" s="2"/>
      <c r="AH616" s="2"/>
      <c r="AI616" s="6"/>
      <c r="AJ616" s="2"/>
      <c r="AK616" s="56"/>
      <c r="AL616" s="2"/>
      <c r="AM616" s="2"/>
      <c r="AN616" s="2"/>
      <c r="AO616" s="2"/>
      <c r="AP616" s="6"/>
      <c r="AQ616" s="2"/>
      <c r="AR616" s="2"/>
      <c r="AS616" s="2"/>
      <c r="AT616" s="2"/>
      <c r="AU616" s="2"/>
      <c r="AV616" s="2"/>
      <c r="AW616" s="2"/>
      <c r="AX616" s="6"/>
      <c r="AY616" s="2"/>
      <c r="AZ616" s="2"/>
      <c r="BA616" s="2"/>
      <c r="BB616" s="2"/>
      <c r="BC616" s="2"/>
      <c r="BD616" s="6"/>
      <c r="BE616" s="2"/>
      <c r="BF616" s="6"/>
      <c r="BG616" s="58"/>
      <c r="BH616" s="6"/>
      <c r="BI616" s="2"/>
    </row>
    <row r="617" ht="12.75" customHeight="1">
      <c r="A617" s="71"/>
      <c r="B617" s="71"/>
      <c r="C617" s="11"/>
      <c r="D617" s="11"/>
      <c r="E617" s="2"/>
      <c r="F617" s="2"/>
      <c r="G617" s="2"/>
      <c r="H617" s="54"/>
      <c r="I617" s="4"/>
      <c r="J617" s="2"/>
      <c r="K617" s="2"/>
      <c r="L617" s="5"/>
      <c r="M617" s="5"/>
      <c r="N617" s="5"/>
      <c r="O617" s="5"/>
      <c r="P617" s="5"/>
      <c r="Q617" s="5"/>
      <c r="R617" s="2"/>
      <c r="S617" s="2"/>
      <c r="T617" s="2"/>
      <c r="U617" s="2"/>
      <c r="V617" s="2"/>
      <c r="W617" s="2"/>
      <c r="X617" s="6"/>
      <c r="Y617" s="2"/>
      <c r="Z617" s="2"/>
      <c r="AA617" s="2"/>
      <c r="AB617" s="2"/>
      <c r="AC617" s="6"/>
      <c r="AD617" s="2"/>
      <c r="AE617" s="2"/>
      <c r="AF617" s="2"/>
      <c r="AG617" s="2"/>
      <c r="AH617" s="2"/>
      <c r="AI617" s="6"/>
      <c r="AJ617" s="2"/>
      <c r="AK617" s="56"/>
      <c r="AL617" s="2"/>
      <c r="AM617" s="2"/>
      <c r="AN617" s="2"/>
      <c r="AO617" s="2"/>
      <c r="AP617" s="6"/>
      <c r="AQ617" s="2"/>
      <c r="AR617" s="2"/>
      <c r="AS617" s="2"/>
      <c r="AT617" s="2"/>
      <c r="AU617" s="2"/>
      <c r="AV617" s="2"/>
      <c r="AW617" s="2"/>
      <c r="AX617" s="6"/>
      <c r="AY617" s="2"/>
      <c r="AZ617" s="2"/>
      <c r="BA617" s="2"/>
      <c r="BB617" s="2"/>
      <c r="BC617" s="2"/>
      <c r="BD617" s="6"/>
      <c r="BE617" s="2"/>
      <c r="BF617" s="6"/>
      <c r="BG617" s="58"/>
      <c r="BH617" s="6"/>
      <c r="BI617" s="2"/>
    </row>
    <row r="618" ht="12.75" customHeight="1">
      <c r="A618" s="71"/>
      <c r="B618" s="71"/>
      <c r="C618" s="11"/>
      <c r="D618" s="11"/>
      <c r="E618" s="2"/>
      <c r="F618" s="2"/>
      <c r="G618" s="2"/>
      <c r="H618" s="54"/>
      <c r="I618" s="4"/>
      <c r="J618" s="2"/>
      <c r="K618" s="2"/>
      <c r="L618" s="5"/>
      <c r="M618" s="5"/>
      <c r="N618" s="5"/>
      <c r="O618" s="5"/>
      <c r="P618" s="5"/>
      <c r="Q618" s="5"/>
      <c r="R618" s="2"/>
      <c r="S618" s="2"/>
      <c r="T618" s="2"/>
      <c r="U618" s="2"/>
      <c r="V618" s="2"/>
      <c r="W618" s="2"/>
      <c r="X618" s="6"/>
      <c r="Y618" s="2"/>
      <c r="Z618" s="2"/>
      <c r="AA618" s="2"/>
      <c r="AB618" s="2"/>
      <c r="AC618" s="6"/>
      <c r="AD618" s="2"/>
      <c r="AE618" s="2"/>
      <c r="AF618" s="2"/>
      <c r="AG618" s="2"/>
      <c r="AH618" s="2"/>
      <c r="AI618" s="6"/>
      <c r="AJ618" s="2"/>
      <c r="AK618" s="56"/>
      <c r="AL618" s="2"/>
      <c r="AM618" s="2"/>
      <c r="AN618" s="2"/>
      <c r="AO618" s="2"/>
      <c r="AP618" s="6"/>
      <c r="AQ618" s="2"/>
      <c r="AR618" s="2"/>
      <c r="AS618" s="2"/>
      <c r="AT618" s="2"/>
      <c r="AU618" s="2"/>
      <c r="AV618" s="2"/>
      <c r="AW618" s="2"/>
      <c r="AX618" s="6"/>
      <c r="AY618" s="2"/>
      <c r="AZ618" s="2"/>
      <c r="BA618" s="2"/>
      <c r="BB618" s="2"/>
      <c r="BC618" s="2"/>
      <c r="BD618" s="6"/>
      <c r="BE618" s="2"/>
      <c r="BF618" s="6"/>
      <c r="BG618" s="58"/>
      <c r="BH618" s="6"/>
      <c r="BI618" s="2"/>
    </row>
    <row r="619" ht="12.75" customHeight="1">
      <c r="A619" s="71"/>
      <c r="B619" s="71"/>
      <c r="C619" s="11"/>
      <c r="D619" s="11"/>
      <c r="E619" s="2"/>
      <c r="F619" s="2"/>
      <c r="G619" s="2"/>
      <c r="H619" s="54"/>
      <c r="I619" s="4"/>
      <c r="J619" s="2"/>
      <c r="K619" s="2"/>
      <c r="L619" s="5"/>
      <c r="M619" s="5"/>
      <c r="N619" s="5"/>
      <c r="O619" s="5"/>
      <c r="P619" s="5"/>
      <c r="Q619" s="5"/>
      <c r="R619" s="2"/>
      <c r="S619" s="2"/>
      <c r="T619" s="2"/>
      <c r="U619" s="2"/>
      <c r="V619" s="2"/>
      <c r="W619" s="2"/>
      <c r="X619" s="6"/>
      <c r="Y619" s="2"/>
      <c r="Z619" s="2"/>
      <c r="AA619" s="2"/>
      <c r="AB619" s="2"/>
      <c r="AC619" s="6"/>
      <c r="AD619" s="2"/>
      <c r="AE619" s="2"/>
      <c r="AF619" s="2"/>
      <c r="AG619" s="2"/>
      <c r="AH619" s="2"/>
      <c r="AI619" s="6"/>
      <c r="AJ619" s="2"/>
      <c r="AK619" s="56"/>
      <c r="AL619" s="2"/>
      <c r="AM619" s="2"/>
      <c r="AN619" s="2"/>
      <c r="AO619" s="2"/>
      <c r="AP619" s="6"/>
      <c r="AQ619" s="2"/>
      <c r="AR619" s="2"/>
      <c r="AS619" s="2"/>
      <c r="AT619" s="2"/>
      <c r="AU619" s="2"/>
      <c r="AV619" s="2"/>
      <c r="AW619" s="2"/>
      <c r="AX619" s="6"/>
      <c r="AY619" s="2"/>
      <c r="AZ619" s="2"/>
      <c r="BA619" s="2"/>
      <c r="BB619" s="2"/>
      <c r="BC619" s="2"/>
      <c r="BD619" s="6"/>
      <c r="BE619" s="2"/>
      <c r="BF619" s="6"/>
      <c r="BG619" s="58"/>
      <c r="BH619" s="6"/>
      <c r="BI619" s="2"/>
    </row>
    <row r="620" ht="12.75" customHeight="1">
      <c r="A620" s="71"/>
      <c r="B620" s="71"/>
      <c r="C620" s="11"/>
      <c r="D620" s="11"/>
      <c r="E620" s="2"/>
      <c r="F620" s="2"/>
      <c r="G620" s="2"/>
      <c r="H620" s="54"/>
      <c r="I620" s="4"/>
      <c r="J620" s="2"/>
      <c r="K620" s="2"/>
      <c r="L620" s="5"/>
      <c r="M620" s="5"/>
      <c r="N620" s="5"/>
      <c r="O620" s="5"/>
      <c r="P620" s="5"/>
      <c r="Q620" s="5"/>
      <c r="R620" s="2"/>
      <c r="S620" s="2"/>
      <c r="T620" s="2"/>
      <c r="U620" s="2"/>
      <c r="V620" s="2"/>
      <c r="W620" s="2"/>
      <c r="X620" s="6"/>
      <c r="Y620" s="2"/>
      <c r="Z620" s="2"/>
      <c r="AA620" s="2"/>
      <c r="AB620" s="2"/>
      <c r="AC620" s="6"/>
      <c r="AD620" s="2"/>
      <c r="AE620" s="2"/>
      <c r="AF620" s="2"/>
      <c r="AG620" s="2"/>
      <c r="AH620" s="2"/>
      <c r="AI620" s="6"/>
      <c r="AJ620" s="2"/>
      <c r="AK620" s="56"/>
      <c r="AL620" s="2"/>
      <c r="AM620" s="2"/>
      <c r="AN620" s="2"/>
      <c r="AO620" s="2"/>
      <c r="AP620" s="6"/>
      <c r="AQ620" s="2"/>
      <c r="AR620" s="2"/>
      <c r="AS620" s="2"/>
      <c r="AT620" s="2"/>
      <c r="AU620" s="2"/>
      <c r="AV620" s="2"/>
      <c r="AW620" s="2"/>
      <c r="AX620" s="6"/>
      <c r="AY620" s="2"/>
      <c r="AZ620" s="2"/>
      <c r="BA620" s="2"/>
      <c r="BB620" s="2"/>
      <c r="BC620" s="2"/>
      <c r="BD620" s="6"/>
      <c r="BE620" s="2"/>
      <c r="BF620" s="6"/>
      <c r="BG620" s="58"/>
      <c r="BH620" s="6"/>
      <c r="BI620" s="2"/>
    </row>
    <row r="621" ht="12.75" customHeight="1">
      <c r="A621" s="71"/>
      <c r="B621" s="71"/>
      <c r="C621" s="11"/>
      <c r="D621" s="11"/>
      <c r="E621" s="2"/>
      <c r="F621" s="2"/>
      <c r="G621" s="2"/>
      <c r="H621" s="54"/>
      <c r="I621" s="4"/>
      <c r="J621" s="2"/>
      <c r="K621" s="2"/>
      <c r="L621" s="5"/>
      <c r="M621" s="5"/>
      <c r="N621" s="5"/>
      <c r="O621" s="5"/>
      <c r="P621" s="5"/>
      <c r="Q621" s="5"/>
      <c r="R621" s="2"/>
      <c r="S621" s="2"/>
      <c r="T621" s="2"/>
      <c r="U621" s="2"/>
      <c r="V621" s="2"/>
      <c r="W621" s="2"/>
      <c r="X621" s="6"/>
      <c r="Y621" s="2"/>
      <c r="Z621" s="2"/>
      <c r="AA621" s="2"/>
      <c r="AB621" s="2"/>
      <c r="AC621" s="6"/>
      <c r="AD621" s="2"/>
      <c r="AE621" s="2"/>
      <c r="AF621" s="2"/>
      <c r="AG621" s="2"/>
      <c r="AH621" s="2"/>
      <c r="AI621" s="6"/>
      <c r="AJ621" s="2"/>
      <c r="AK621" s="56"/>
      <c r="AL621" s="2"/>
      <c r="AM621" s="2"/>
      <c r="AN621" s="2"/>
      <c r="AO621" s="2"/>
      <c r="AP621" s="6"/>
      <c r="AQ621" s="2"/>
      <c r="AR621" s="2"/>
      <c r="AS621" s="2"/>
      <c r="AT621" s="2"/>
      <c r="AU621" s="2"/>
      <c r="AV621" s="2"/>
      <c r="AW621" s="2"/>
      <c r="AX621" s="6"/>
      <c r="AY621" s="2"/>
      <c r="AZ621" s="2"/>
      <c r="BA621" s="2"/>
      <c r="BB621" s="2"/>
      <c r="BC621" s="2"/>
      <c r="BD621" s="6"/>
      <c r="BE621" s="2"/>
      <c r="BF621" s="6"/>
      <c r="BG621" s="58"/>
      <c r="BH621" s="6"/>
      <c r="BI621" s="2"/>
    </row>
    <row r="622" ht="12.75" customHeight="1">
      <c r="A622" s="71"/>
      <c r="B622" s="71"/>
      <c r="C622" s="11"/>
      <c r="D622" s="11"/>
      <c r="E622" s="2"/>
      <c r="F622" s="2"/>
      <c r="G622" s="2"/>
      <c r="H622" s="54"/>
      <c r="I622" s="4"/>
      <c r="J622" s="2"/>
      <c r="K622" s="2"/>
      <c r="L622" s="5"/>
      <c r="M622" s="5"/>
      <c r="N622" s="5"/>
      <c r="O622" s="5"/>
      <c r="P622" s="5"/>
      <c r="Q622" s="5"/>
      <c r="R622" s="2"/>
      <c r="S622" s="2"/>
      <c r="T622" s="2"/>
      <c r="U622" s="2"/>
      <c r="V622" s="2"/>
      <c r="W622" s="2"/>
      <c r="X622" s="6"/>
      <c r="Y622" s="2"/>
      <c r="Z622" s="2"/>
      <c r="AA622" s="2"/>
      <c r="AB622" s="2"/>
      <c r="AC622" s="6"/>
      <c r="AD622" s="2"/>
      <c r="AE622" s="2"/>
      <c r="AF622" s="2"/>
      <c r="AG622" s="2"/>
      <c r="AH622" s="2"/>
      <c r="AI622" s="6"/>
      <c r="AJ622" s="2"/>
      <c r="AK622" s="56"/>
      <c r="AL622" s="2"/>
      <c r="AM622" s="2"/>
      <c r="AN622" s="2"/>
      <c r="AO622" s="2"/>
      <c r="AP622" s="6"/>
      <c r="AQ622" s="2"/>
      <c r="AR622" s="2"/>
      <c r="AS622" s="2"/>
      <c r="AT622" s="2"/>
      <c r="AU622" s="2"/>
      <c r="AV622" s="2"/>
      <c r="AW622" s="2"/>
      <c r="AX622" s="6"/>
      <c r="AY622" s="2"/>
      <c r="AZ622" s="2"/>
      <c r="BA622" s="2"/>
      <c r="BB622" s="2"/>
      <c r="BC622" s="2"/>
      <c r="BD622" s="6"/>
      <c r="BE622" s="2"/>
      <c r="BF622" s="6"/>
      <c r="BG622" s="58"/>
      <c r="BH622" s="6"/>
      <c r="BI622" s="2"/>
    </row>
    <row r="623" ht="12.75" customHeight="1">
      <c r="A623" s="71"/>
      <c r="B623" s="71"/>
      <c r="C623" s="11"/>
      <c r="D623" s="11"/>
      <c r="E623" s="2"/>
      <c r="F623" s="2"/>
      <c r="G623" s="2"/>
      <c r="H623" s="54"/>
      <c r="I623" s="4"/>
      <c r="J623" s="2"/>
      <c r="K623" s="2"/>
      <c r="L623" s="5"/>
      <c r="M623" s="5"/>
      <c r="N623" s="5"/>
      <c r="O623" s="5"/>
      <c r="P623" s="5"/>
      <c r="Q623" s="5"/>
      <c r="R623" s="2"/>
      <c r="S623" s="2"/>
      <c r="T623" s="2"/>
      <c r="U623" s="2"/>
      <c r="V623" s="2"/>
      <c r="W623" s="2"/>
      <c r="X623" s="6"/>
      <c r="Y623" s="2"/>
      <c r="Z623" s="2"/>
      <c r="AA623" s="2"/>
      <c r="AB623" s="2"/>
      <c r="AC623" s="6"/>
      <c r="AD623" s="2"/>
      <c r="AE623" s="2"/>
      <c r="AF623" s="2"/>
      <c r="AG623" s="2"/>
      <c r="AH623" s="2"/>
      <c r="AI623" s="6"/>
      <c r="AJ623" s="2"/>
      <c r="AK623" s="56"/>
      <c r="AL623" s="2"/>
      <c r="AM623" s="2"/>
      <c r="AN623" s="2"/>
      <c r="AO623" s="2"/>
      <c r="AP623" s="6"/>
      <c r="AQ623" s="2"/>
      <c r="AR623" s="2"/>
      <c r="AS623" s="2"/>
      <c r="AT623" s="2"/>
      <c r="AU623" s="2"/>
      <c r="AV623" s="2"/>
      <c r="AW623" s="2"/>
      <c r="AX623" s="6"/>
      <c r="AY623" s="2"/>
      <c r="AZ623" s="2"/>
      <c r="BA623" s="2"/>
      <c r="BB623" s="2"/>
      <c r="BC623" s="2"/>
      <c r="BD623" s="6"/>
      <c r="BE623" s="2"/>
      <c r="BF623" s="6"/>
      <c r="BG623" s="58"/>
      <c r="BH623" s="6"/>
      <c r="BI623" s="2"/>
    </row>
    <row r="624" ht="12.75" customHeight="1">
      <c r="A624" s="71"/>
      <c r="B624" s="71"/>
      <c r="C624" s="11"/>
      <c r="D624" s="11"/>
      <c r="E624" s="2"/>
      <c r="F624" s="2"/>
      <c r="G624" s="2"/>
      <c r="H624" s="54"/>
      <c r="I624" s="4"/>
      <c r="J624" s="2"/>
      <c r="K624" s="2"/>
      <c r="L624" s="5"/>
      <c r="M624" s="5"/>
      <c r="N624" s="5"/>
      <c r="O624" s="5"/>
      <c r="P624" s="5"/>
      <c r="Q624" s="5"/>
      <c r="R624" s="2"/>
      <c r="S624" s="2"/>
      <c r="T624" s="2"/>
      <c r="U624" s="2"/>
      <c r="V624" s="2"/>
      <c r="W624" s="2"/>
      <c r="X624" s="6"/>
      <c r="Y624" s="2"/>
      <c r="Z624" s="2"/>
      <c r="AA624" s="2"/>
      <c r="AB624" s="2"/>
      <c r="AC624" s="6"/>
      <c r="AD624" s="2"/>
      <c r="AE624" s="2"/>
      <c r="AF624" s="2"/>
      <c r="AG624" s="2"/>
      <c r="AH624" s="2"/>
      <c r="AI624" s="6"/>
      <c r="AJ624" s="2"/>
      <c r="AK624" s="56"/>
      <c r="AL624" s="2"/>
      <c r="AM624" s="2"/>
      <c r="AN624" s="2"/>
      <c r="AO624" s="2"/>
      <c r="AP624" s="6"/>
      <c r="AQ624" s="2"/>
      <c r="AR624" s="2"/>
      <c r="AS624" s="2"/>
      <c r="AT624" s="2"/>
      <c r="AU624" s="2"/>
      <c r="AV624" s="2"/>
      <c r="AW624" s="2"/>
      <c r="AX624" s="6"/>
      <c r="AY624" s="2"/>
      <c r="AZ624" s="2"/>
      <c r="BA624" s="2"/>
      <c r="BB624" s="2"/>
      <c r="BC624" s="2"/>
      <c r="BD624" s="6"/>
      <c r="BE624" s="2"/>
      <c r="BF624" s="6"/>
      <c r="BG624" s="58"/>
      <c r="BH624" s="6"/>
      <c r="BI624" s="2"/>
    </row>
    <row r="625" ht="12.75" customHeight="1">
      <c r="A625" s="71"/>
      <c r="B625" s="71"/>
      <c r="C625" s="11"/>
      <c r="D625" s="11"/>
      <c r="E625" s="2"/>
      <c r="F625" s="2"/>
      <c r="G625" s="2"/>
      <c r="H625" s="54"/>
      <c r="I625" s="4"/>
      <c r="J625" s="2"/>
      <c r="K625" s="2"/>
      <c r="L625" s="5"/>
      <c r="M625" s="5"/>
      <c r="N625" s="5"/>
      <c r="O625" s="5"/>
      <c r="P625" s="5"/>
      <c r="Q625" s="5"/>
      <c r="R625" s="2"/>
      <c r="S625" s="2"/>
      <c r="T625" s="2"/>
      <c r="U625" s="2"/>
      <c r="V625" s="2"/>
      <c r="W625" s="2"/>
      <c r="X625" s="6"/>
      <c r="Y625" s="2"/>
      <c r="Z625" s="2"/>
      <c r="AA625" s="2"/>
      <c r="AB625" s="2"/>
      <c r="AC625" s="6"/>
      <c r="AD625" s="2"/>
      <c r="AE625" s="2"/>
      <c r="AF625" s="2"/>
      <c r="AG625" s="2"/>
      <c r="AH625" s="2"/>
      <c r="AI625" s="6"/>
      <c r="AJ625" s="2"/>
      <c r="AK625" s="56"/>
      <c r="AL625" s="2"/>
      <c r="AM625" s="2"/>
      <c r="AN625" s="2"/>
      <c r="AO625" s="2"/>
      <c r="AP625" s="6"/>
      <c r="AQ625" s="2"/>
      <c r="AR625" s="2"/>
      <c r="AS625" s="2"/>
      <c r="AT625" s="2"/>
      <c r="AU625" s="2"/>
      <c r="AV625" s="2"/>
      <c r="AW625" s="2"/>
      <c r="AX625" s="6"/>
      <c r="AY625" s="2"/>
      <c r="AZ625" s="2"/>
      <c r="BA625" s="2"/>
      <c r="BB625" s="2"/>
      <c r="BC625" s="2"/>
      <c r="BD625" s="6"/>
      <c r="BE625" s="2"/>
      <c r="BF625" s="6"/>
      <c r="BG625" s="58"/>
      <c r="BH625" s="6"/>
      <c r="BI625" s="2"/>
    </row>
    <row r="626" ht="12.75" customHeight="1">
      <c r="A626" s="71"/>
      <c r="B626" s="71"/>
      <c r="C626" s="11"/>
      <c r="D626" s="11"/>
      <c r="E626" s="2"/>
      <c r="F626" s="2"/>
      <c r="G626" s="2"/>
      <c r="H626" s="54"/>
      <c r="I626" s="4"/>
      <c r="J626" s="2"/>
      <c r="K626" s="2"/>
      <c r="L626" s="5"/>
      <c r="M626" s="5"/>
      <c r="N626" s="5"/>
      <c r="O626" s="5"/>
      <c r="P626" s="5"/>
      <c r="Q626" s="5"/>
      <c r="R626" s="2"/>
      <c r="S626" s="2"/>
      <c r="T626" s="2"/>
      <c r="U626" s="2"/>
      <c r="V626" s="2"/>
      <c r="W626" s="2"/>
      <c r="X626" s="6"/>
      <c r="Y626" s="2"/>
      <c r="Z626" s="2"/>
      <c r="AA626" s="2"/>
      <c r="AB626" s="2"/>
      <c r="AC626" s="6"/>
      <c r="AD626" s="2"/>
      <c r="AE626" s="2"/>
      <c r="AF626" s="2"/>
      <c r="AG626" s="2"/>
      <c r="AH626" s="2"/>
      <c r="AI626" s="6"/>
      <c r="AJ626" s="2"/>
      <c r="AK626" s="56"/>
      <c r="AL626" s="2"/>
      <c r="AM626" s="2"/>
      <c r="AN626" s="2"/>
      <c r="AO626" s="2"/>
      <c r="AP626" s="6"/>
      <c r="AQ626" s="2"/>
      <c r="AR626" s="2"/>
      <c r="AS626" s="2"/>
      <c r="AT626" s="2"/>
      <c r="AU626" s="2"/>
      <c r="AV626" s="2"/>
      <c r="AW626" s="2"/>
      <c r="AX626" s="6"/>
      <c r="AY626" s="2"/>
      <c r="AZ626" s="2"/>
      <c r="BA626" s="2"/>
      <c r="BB626" s="2"/>
      <c r="BC626" s="2"/>
      <c r="BD626" s="6"/>
      <c r="BE626" s="2"/>
      <c r="BF626" s="6"/>
      <c r="BG626" s="58"/>
      <c r="BH626" s="6"/>
      <c r="BI626" s="2"/>
    </row>
    <row r="627" ht="12.75" customHeight="1">
      <c r="A627" s="71"/>
      <c r="B627" s="71"/>
      <c r="C627" s="11"/>
      <c r="D627" s="11"/>
      <c r="E627" s="2"/>
      <c r="F627" s="2"/>
      <c r="G627" s="2"/>
      <c r="H627" s="54"/>
      <c r="I627" s="4"/>
      <c r="J627" s="2"/>
      <c r="K627" s="2"/>
      <c r="L627" s="5"/>
      <c r="M627" s="5"/>
      <c r="N627" s="5"/>
      <c r="O627" s="5"/>
      <c r="P627" s="5"/>
      <c r="Q627" s="5"/>
      <c r="R627" s="2"/>
      <c r="S627" s="2"/>
      <c r="T627" s="2"/>
      <c r="U627" s="2"/>
      <c r="V627" s="2"/>
      <c r="W627" s="2"/>
      <c r="X627" s="6"/>
      <c r="Y627" s="2"/>
      <c r="Z627" s="2"/>
      <c r="AA627" s="2"/>
      <c r="AB627" s="2"/>
      <c r="AC627" s="6"/>
      <c r="AD627" s="2"/>
      <c r="AE627" s="2"/>
      <c r="AF627" s="2"/>
      <c r="AG627" s="2"/>
      <c r="AH627" s="2"/>
      <c r="AI627" s="6"/>
      <c r="AJ627" s="2"/>
      <c r="AK627" s="56"/>
      <c r="AL627" s="2"/>
      <c r="AM627" s="2"/>
      <c r="AN627" s="2"/>
      <c r="AO627" s="2"/>
      <c r="AP627" s="6"/>
      <c r="AQ627" s="2"/>
      <c r="AR627" s="2"/>
      <c r="AS627" s="2"/>
      <c r="AT627" s="2"/>
      <c r="AU627" s="2"/>
      <c r="AV627" s="2"/>
      <c r="AW627" s="2"/>
      <c r="AX627" s="6"/>
      <c r="AY627" s="2"/>
      <c r="AZ627" s="2"/>
      <c r="BA627" s="2"/>
      <c r="BB627" s="2"/>
      <c r="BC627" s="2"/>
      <c r="BD627" s="6"/>
      <c r="BE627" s="2"/>
      <c r="BF627" s="6"/>
      <c r="BG627" s="58"/>
      <c r="BH627" s="6"/>
      <c r="BI627" s="2"/>
    </row>
    <row r="628" ht="12.75" customHeight="1">
      <c r="A628" s="71"/>
      <c r="B628" s="71"/>
      <c r="C628" s="11"/>
      <c r="D628" s="11"/>
      <c r="E628" s="2"/>
      <c r="F628" s="2"/>
      <c r="G628" s="2"/>
      <c r="H628" s="54"/>
      <c r="I628" s="4"/>
      <c r="J628" s="2"/>
      <c r="K628" s="2"/>
      <c r="L628" s="5"/>
      <c r="M628" s="5"/>
      <c r="N628" s="5"/>
      <c r="O628" s="5"/>
      <c r="P628" s="5"/>
      <c r="Q628" s="5"/>
      <c r="R628" s="2"/>
      <c r="S628" s="2"/>
      <c r="T628" s="2"/>
      <c r="U628" s="2"/>
      <c r="V628" s="2"/>
      <c r="W628" s="2"/>
      <c r="X628" s="6"/>
      <c r="Y628" s="2"/>
      <c r="Z628" s="2"/>
      <c r="AA628" s="2"/>
      <c r="AB628" s="2"/>
      <c r="AC628" s="6"/>
      <c r="AD628" s="2"/>
      <c r="AE628" s="2"/>
      <c r="AF628" s="2"/>
      <c r="AG628" s="2"/>
      <c r="AH628" s="2"/>
      <c r="AI628" s="6"/>
      <c r="AJ628" s="2"/>
      <c r="AK628" s="56"/>
      <c r="AL628" s="2"/>
      <c r="AM628" s="2"/>
      <c r="AN628" s="2"/>
      <c r="AO628" s="2"/>
      <c r="AP628" s="6"/>
      <c r="AQ628" s="2"/>
      <c r="AR628" s="2"/>
      <c r="AS628" s="2"/>
      <c r="AT628" s="2"/>
      <c r="AU628" s="2"/>
      <c r="AV628" s="2"/>
      <c r="AW628" s="2"/>
      <c r="AX628" s="6"/>
      <c r="AY628" s="2"/>
      <c r="AZ628" s="2"/>
      <c r="BA628" s="2"/>
      <c r="BB628" s="2"/>
      <c r="BC628" s="2"/>
      <c r="BD628" s="6"/>
      <c r="BE628" s="2"/>
      <c r="BF628" s="6"/>
      <c r="BG628" s="58"/>
      <c r="BH628" s="6"/>
      <c r="BI628" s="2"/>
    </row>
    <row r="629" ht="12.75" customHeight="1">
      <c r="A629" s="71"/>
      <c r="B629" s="71"/>
      <c r="C629" s="11"/>
      <c r="D629" s="11"/>
      <c r="E629" s="2"/>
      <c r="F629" s="2"/>
      <c r="G629" s="2"/>
      <c r="H629" s="54"/>
      <c r="I629" s="4"/>
      <c r="J629" s="2"/>
      <c r="K629" s="2"/>
      <c r="L629" s="5"/>
      <c r="M629" s="5"/>
      <c r="N629" s="5"/>
      <c r="O629" s="5"/>
      <c r="P629" s="5"/>
      <c r="Q629" s="5"/>
      <c r="R629" s="2"/>
      <c r="S629" s="2"/>
      <c r="T629" s="2"/>
      <c r="U629" s="2"/>
      <c r="V629" s="2"/>
      <c r="W629" s="2"/>
      <c r="X629" s="6"/>
      <c r="Y629" s="2"/>
      <c r="Z629" s="2"/>
      <c r="AA629" s="2"/>
      <c r="AB629" s="2"/>
      <c r="AC629" s="6"/>
      <c r="AD629" s="2"/>
      <c r="AE629" s="2"/>
      <c r="AF629" s="2"/>
      <c r="AG629" s="2"/>
      <c r="AH629" s="2"/>
      <c r="AI629" s="6"/>
      <c r="AJ629" s="2"/>
      <c r="AK629" s="56"/>
      <c r="AL629" s="2"/>
      <c r="AM629" s="2"/>
      <c r="AN629" s="2"/>
      <c r="AO629" s="2"/>
      <c r="AP629" s="6"/>
      <c r="AQ629" s="2"/>
      <c r="AR629" s="2"/>
      <c r="AS629" s="2"/>
      <c r="AT629" s="2"/>
      <c r="AU629" s="2"/>
      <c r="AV629" s="2"/>
      <c r="AW629" s="2"/>
      <c r="AX629" s="6"/>
      <c r="AY629" s="2"/>
      <c r="AZ629" s="2"/>
      <c r="BA629" s="2"/>
      <c r="BB629" s="2"/>
      <c r="BC629" s="2"/>
      <c r="BD629" s="6"/>
      <c r="BE629" s="2"/>
      <c r="BF629" s="6"/>
      <c r="BG629" s="58"/>
      <c r="BH629" s="6"/>
      <c r="BI629" s="2"/>
    </row>
    <row r="630" ht="12.75" customHeight="1">
      <c r="A630" s="71"/>
      <c r="B630" s="71"/>
      <c r="C630" s="11"/>
      <c r="D630" s="11"/>
      <c r="E630" s="2"/>
      <c r="F630" s="2"/>
      <c r="G630" s="2"/>
      <c r="H630" s="54"/>
      <c r="I630" s="4"/>
      <c r="J630" s="2"/>
      <c r="K630" s="2"/>
      <c r="L630" s="5"/>
      <c r="M630" s="5"/>
      <c r="N630" s="5"/>
      <c r="O630" s="5"/>
      <c r="P630" s="5"/>
      <c r="Q630" s="5"/>
      <c r="R630" s="2"/>
      <c r="S630" s="2"/>
      <c r="T630" s="2"/>
      <c r="U630" s="2"/>
      <c r="V630" s="2"/>
      <c r="W630" s="2"/>
      <c r="X630" s="6"/>
      <c r="Y630" s="2"/>
      <c r="Z630" s="2"/>
      <c r="AA630" s="2"/>
      <c r="AB630" s="2"/>
      <c r="AC630" s="6"/>
      <c r="AD630" s="2"/>
      <c r="AE630" s="2"/>
      <c r="AF630" s="2"/>
      <c r="AG630" s="2"/>
      <c r="AH630" s="2"/>
      <c r="AI630" s="6"/>
      <c r="AJ630" s="2"/>
      <c r="AK630" s="56"/>
      <c r="AL630" s="2"/>
      <c r="AM630" s="2"/>
      <c r="AN630" s="2"/>
      <c r="AO630" s="2"/>
      <c r="AP630" s="6"/>
      <c r="AQ630" s="2"/>
      <c r="AR630" s="2"/>
      <c r="AS630" s="2"/>
      <c r="AT630" s="2"/>
      <c r="AU630" s="2"/>
      <c r="AV630" s="2"/>
      <c r="AW630" s="2"/>
      <c r="AX630" s="6"/>
      <c r="AY630" s="2"/>
      <c r="AZ630" s="2"/>
      <c r="BA630" s="2"/>
      <c r="BB630" s="2"/>
      <c r="BC630" s="2"/>
      <c r="BD630" s="6"/>
      <c r="BE630" s="2"/>
      <c r="BF630" s="6"/>
      <c r="BG630" s="58"/>
      <c r="BH630" s="6"/>
      <c r="BI630" s="2"/>
    </row>
    <row r="631" ht="12.75" customHeight="1">
      <c r="A631" s="71"/>
      <c r="B631" s="71"/>
      <c r="C631" s="11"/>
      <c r="D631" s="11"/>
      <c r="E631" s="2"/>
      <c r="F631" s="2"/>
      <c r="G631" s="2"/>
      <c r="H631" s="54"/>
      <c r="I631" s="4"/>
      <c r="J631" s="2"/>
      <c r="K631" s="2"/>
      <c r="L631" s="5"/>
      <c r="M631" s="5"/>
      <c r="N631" s="5"/>
      <c r="O631" s="5"/>
      <c r="P631" s="5"/>
      <c r="Q631" s="5"/>
      <c r="R631" s="2"/>
      <c r="S631" s="2"/>
      <c r="T631" s="2"/>
      <c r="U631" s="2"/>
      <c r="V631" s="2"/>
      <c r="W631" s="2"/>
      <c r="X631" s="6"/>
      <c r="Y631" s="2"/>
      <c r="Z631" s="2"/>
      <c r="AA631" s="2"/>
      <c r="AB631" s="2"/>
      <c r="AC631" s="6"/>
      <c r="AD631" s="2"/>
      <c r="AE631" s="2"/>
      <c r="AF631" s="2"/>
      <c r="AG631" s="2"/>
      <c r="AH631" s="2"/>
      <c r="AI631" s="6"/>
      <c r="AJ631" s="2"/>
      <c r="AK631" s="56"/>
      <c r="AL631" s="2"/>
      <c r="AM631" s="2"/>
      <c r="AN631" s="2"/>
      <c r="AO631" s="2"/>
      <c r="AP631" s="6"/>
      <c r="AQ631" s="2"/>
      <c r="AR631" s="2"/>
      <c r="AS631" s="2"/>
      <c r="AT631" s="2"/>
      <c r="AU631" s="2"/>
      <c r="AV631" s="2"/>
      <c r="AW631" s="2"/>
      <c r="AX631" s="6"/>
      <c r="AY631" s="2"/>
      <c r="AZ631" s="2"/>
      <c r="BA631" s="2"/>
      <c r="BB631" s="2"/>
      <c r="BC631" s="2"/>
      <c r="BD631" s="6"/>
      <c r="BE631" s="2"/>
      <c r="BF631" s="6"/>
      <c r="BG631" s="58"/>
      <c r="BH631" s="6"/>
      <c r="BI631" s="2"/>
    </row>
    <row r="632" ht="12.75" customHeight="1">
      <c r="A632" s="71"/>
      <c r="B632" s="71"/>
      <c r="C632" s="11"/>
      <c r="D632" s="11"/>
      <c r="E632" s="2"/>
      <c r="F632" s="2"/>
      <c r="G632" s="2"/>
      <c r="H632" s="54"/>
      <c r="I632" s="4"/>
      <c r="J632" s="2"/>
      <c r="K632" s="2"/>
      <c r="L632" s="5"/>
      <c r="M632" s="5"/>
      <c r="N632" s="5"/>
      <c r="O632" s="5"/>
      <c r="P632" s="5"/>
      <c r="Q632" s="5"/>
      <c r="R632" s="2"/>
      <c r="S632" s="2"/>
      <c r="T632" s="2"/>
      <c r="U632" s="2"/>
      <c r="V632" s="2"/>
      <c r="W632" s="2"/>
      <c r="X632" s="6"/>
      <c r="Y632" s="2"/>
      <c r="Z632" s="2"/>
      <c r="AA632" s="2"/>
      <c r="AB632" s="2"/>
      <c r="AC632" s="6"/>
      <c r="AD632" s="2"/>
      <c r="AE632" s="2"/>
      <c r="AF632" s="2"/>
      <c r="AG632" s="2"/>
      <c r="AH632" s="2"/>
      <c r="AI632" s="6"/>
      <c r="AJ632" s="2"/>
      <c r="AK632" s="56"/>
      <c r="AL632" s="2"/>
      <c r="AM632" s="2"/>
      <c r="AN632" s="2"/>
      <c r="AO632" s="2"/>
      <c r="AP632" s="6"/>
      <c r="AQ632" s="2"/>
      <c r="AR632" s="2"/>
      <c r="AS632" s="2"/>
      <c r="AT632" s="2"/>
      <c r="AU632" s="2"/>
      <c r="AV632" s="2"/>
      <c r="AW632" s="2"/>
      <c r="AX632" s="6"/>
      <c r="AY632" s="2"/>
      <c r="AZ632" s="2"/>
      <c r="BA632" s="2"/>
      <c r="BB632" s="2"/>
      <c r="BC632" s="2"/>
      <c r="BD632" s="6"/>
      <c r="BE632" s="2"/>
      <c r="BF632" s="6"/>
      <c r="BG632" s="58"/>
      <c r="BH632" s="6"/>
      <c r="BI632" s="2"/>
    </row>
    <row r="633" ht="12.75" customHeight="1">
      <c r="A633" s="71"/>
      <c r="B633" s="71"/>
      <c r="C633" s="11"/>
      <c r="D633" s="11"/>
      <c r="E633" s="2"/>
      <c r="F633" s="2"/>
      <c r="G633" s="2"/>
      <c r="H633" s="54"/>
      <c r="I633" s="4"/>
      <c r="J633" s="2"/>
      <c r="K633" s="2"/>
      <c r="L633" s="5"/>
      <c r="M633" s="5"/>
      <c r="N633" s="5"/>
      <c r="O633" s="5"/>
      <c r="P633" s="5"/>
      <c r="Q633" s="5"/>
      <c r="R633" s="2"/>
      <c r="S633" s="2"/>
      <c r="T633" s="2"/>
      <c r="U633" s="2"/>
      <c r="V633" s="2"/>
      <c r="W633" s="2"/>
      <c r="X633" s="6"/>
      <c r="Y633" s="2"/>
      <c r="Z633" s="2"/>
      <c r="AA633" s="2"/>
      <c r="AB633" s="2"/>
      <c r="AC633" s="6"/>
      <c r="AD633" s="2"/>
      <c r="AE633" s="2"/>
      <c r="AF633" s="2"/>
      <c r="AG633" s="2"/>
      <c r="AH633" s="2"/>
      <c r="AI633" s="6"/>
      <c r="AJ633" s="2"/>
      <c r="AK633" s="56"/>
      <c r="AL633" s="2"/>
      <c r="AM633" s="2"/>
      <c r="AN633" s="2"/>
      <c r="AO633" s="2"/>
      <c r="AP633" s="6"/>
      <c r="AQ633" s="2"/>
      <c r="AR633" s="2"/>
      <c r="AS633" s="2"/>
      <c r="AT633" s="2"/>
      <c r="AU633" s="2"/>
      <c r="AV633" s="2"/>
      <c r="AW633" s="2"/>
      <c r="AX633" s="6"/>
      <c r="AY633" s="2"/>
      <c r="AZ633" s="2"/>
      <c r="BA633" s="2"/>
      <c r="BB633" s="2"/>
      <c r="BC633" s="2"/>
      <c r="BD633" s="6"/>
      <c r="BE633" s="2"/>
      <c r="BF633" s="6"/>
      <c r="BG633" s="58"/>
      <c r="BH633" s="6"/>
      <c r="BI633" s="2"/>
    </row>
    <row r="634" ht="12.75" customHeight="1">
      <c r="A634" s="71"/>
      <c r="B634" s="71"/>
      <c r="C634" s="11"/>
      <c r="D634" s="11"/>
      <c r="E634" s="2"/>
      <c r="F634" s="2"/>
      <c r="G634" s="2"/>
      <c r="H634" s="54"/>
      <c r="I634" s="4"/>
      <c r="J634" s="2"/>
      <c r="K634" s="2"/>
      <c r="L634" s="5"/>
      <c r="M634" s="5"/>
      <c r="N634" s="5"/>
      <c r="O634" s="5"/>
      <c r="P634" s="5"/>
      <c r="Q634" s="5"/>
      <c r="R634" s="2"/>
      <c r="S634" s="2"/>
      <c r="T634" s="2"/>
      <c r="U634" s="2"/>
      <c r="V634" s="2"/>
      <c r="W634" s="2"/>
      <c r="X634" s="6"/>
      <c r="Y634" s="2"/>
      <c r="Z634" s="2"/>
      <c r="AA634" s="2"/>
      <c r="AB634" s="2"/>
      <c r="AC634" s="6"/>
      <c r="AD634" s="2"/>
      <c r="AE634" s="2"/>
      <c r="AF634" s="2"/>
      <c r="AG634" s="2"/>
      <c r="AH634" s="2"/>
      <c r="AI634" s="6"/>
      <c r="AJ634" s="2"/>
      <c r="AK634" s="56"/>
      <c r="AL634" s="2"/>
      <c r="AM634" s="2"/>
      <c r="AN634" s="2"/>
      <c r="AO634" s="2"/>
      <c r="AP634" s="6"/>
      <c r="AQ634" s="2"/>
      <c r="AR634" s="2"/>
      <c r="AS634" s="2"/>
      <c r="AT634" s="2"/>
      <c r="AU634" s="2"/>
      <c r="AV634" s="2"/>
      <c r="AW634" s="2"/>
      <c r="AX634" s="6"/>
      <c r="AY634" s="2"/>
      <c r="AZ634" s="2"/>
      <c r="BA634" s="2"/>
      <c r="BB634" s="2"/>
      <c r="BC634" s="2"/>
      <c r="BD634" s="6"/>
      <c r="BE634" s="2"/>
      <c r="BF634" s="6"/>
      <c r="BG634" s="58"/>
      <c r="BH634" s="6"/>
      <c r="BI634" s="2"/>
    </row>
    <row r="635" ht="12.75" customHeight="1">
      <c r="A635" s="71"/>
      <c r="B635" s="71"/>
      <c r="C635" s="11"/>
      <c r="D635" s="11"/>
      <c r="E635" s="2"/>
      <c r="F635" s="2"/>
      <c r="G635" s="2"/>
      <c r="H635" s="54"/>
      <c r="I635" s="4"/>
      <c r="J635" s="2"/>
      <c r="K635" s="2"/>
      <c r="L635" s="5"/>
      <c r="M635" s="5"/>
      <c r="N635" s="5"/>
      <c r="O635" s="5"/>
      <c r="P635" s="5"/>
      <c r="Q635" s="5"/>
      <c r="R635" s="2"/>
      <c r="S635" s="2"/>
      <c r="T635" s="2"/>
      <c r="U635" s="2"/>
      <c r="V635" s="2"/>
      <c r="W635" s="2"/>
      <c r="X635" s="6"/>
      <c r="Y635" s="2"/>
      <c r="Z635" s="2"/>
      <c r="AA635" s="2"/>
      <c r="AB635" s="2"/>
      <c r="AC635" s="6"/>
      <c r="AD635" s="2"/>
      <c r="AE635" s="2"/>
      <c r="AF635" s="2"/>
      <c r="AG635" s="2"/>
      <c r="AH635" s="2"/>
      <c r="AI635" s="6"/>
      <c r="AJ635" s="2"/>
      <c r="AK635" s="56"/>
      <c r="AL635" s="2"/>
      <c r="AM635" s="2"/>
      <c r="AN635" s="2"/>
      <c r="AO635" s="2"/>
      <c r="AP635" s="6"/>
      <c r="AQ635" s="2"/>
      <c r="AR635" s="2"/>
      <c r="AS635" s="2"/>
      <c r="AT635" s="2"/>
      <c r="AU635" s="2"/>
      <c r="AV635" s="2"/>
      <c r="AW635" s="2"/>
      <c r="AX635" s="6"/>
      <c r="AY635" s="2"/>
      <c r="AZ635" s="2"/>
      <c r="BA635" s="2"/>
      <c r="BB635" s="2"/>
      <c r="BC635" s="2"/>
      <c r="BD635" s="6"/>
      <c r="BE635" s="2"/>
      <c r="BF635" s="6"/>
      <c r="BG635" s="58"/>
      <c r="BH635" s="6"/>
      <c r="BI635" s="2"/>
    </row>
    <row r="636" ht="12.75" customHeight="1">
      <c r="A636" s="71"/>
      <c r="B636" s="71"/>
      <c r="C636" s="11"/>
      <c r="D636" s="11"/>
      <c r="E636" s="2"/>
      <c r="F636" s="2"/>
      <c r="G636" s="2"/>
      <c r="H636" s="54"/>
      <c r="I636" s="4"/>
      <c r="J636" s="2"/>
      <c r="K636" s="2"/>
      <c r="L636" s="5"/>
      <c r="M636" s="5"/>
      <c r="N636" s="5"/>
      <c r="O636" s="5"/>
      <c r="P636" s="5"/>
      <c r="Q636" s="5"/>
      <c r="R636" s="2"/>
      <c r="S636" s="2"/>
      <c r="T636" s="2"/>
      <c r="U636" s="2"/>
      <c r="V636" s="2"/>
      <c r="W636" s="2"/>
      <c r="X636" s="6"/>
      <c r="Y636" s="2"/>
      <c r="Z636" s="2"/>
      <c r="AA636" s="2"/>
      <c r="AB636" s="2"/>
      <c r="AC636" s="6"/>
      <c r="AD636" s="2"/>
      <c r="AE636" s="2"/>
      <c r="AF636" s="2"/>
      <c r="AG636" s="2"/>
      <c r="AH636" s="2"/>
      <c r="AI636" s="6"/>
      <c r="AJ636" s="2"/>
      <c r="AK636" s="56"/>
      <c r="AL636" s="2"/>
      <c r="AM636" s="2"/>
      <c r="AN636" s="2"/>
      <c r="AO636" s="2"/>
      <c r="AP636" s="6"/>
      <c r="AQ636" s="2"/>
      <c r="AR636" s="2"/>
      <c r="AS636" s="2"/>
      <c r="AT636" s="2"/>
      <c r="AU636" s="2"/>
      <c r="AV636" s="2"/>
      <c r="AW636" s="2"/>
      <c r="AX636" s="6"/>
      <c r="AY636" s="2"/>
      <c r="AZ636" s="2"/>
      <c r="BA636" s="2"/>
      <c r="BB636" s="2"/>
      <c r="BC636" s="2"/>
      <c r="BD636" s="6"/>
      <c r="BE636" s="2"/>
      <c r="BF636" s="6"/>
      <c r="BG636" s="58"/>
      <c r="BH636" s="6"/>
      <c r="BI636" s="2"/>
    </row>
    <row r="637" ht="12.75" customHeight="1">
      <c r="A637" s="71"/>
      <c r="B637" s="71"/>
      <c r="C637" s="11"/>
      <c r="D637" s="11"/>
      <c r="E637" s="2"/>
      <c r="F637" s="2"/>
      <c r="G637" s="2"/>
      <c r="H637" s="54"/>
      <c r="I637" s="4"/>
      <c r="J637" s="2"/>
      <c r="K637" s="2"/>
      <c r="L637" s="5"/>
      <c r="M637" s="5"/>
      <c r="N637" s="5"/>
      <c r="O637" s="5"/>
      <c r="P637" s="5"/>
      <c r="Q637" s="5"/>
      <c r="R637" s="2"/>
      <c r="S637" s="2"/>
      <c r="T637" s="2"/>
      <c r="U637" s="2"/>
      <c r="V637" s="2"/>
      <c r="W637" s="2"/>
      <c r="X637" s="6"/>
      <c r="Y637" s="2"/>
      <c r="Z637" s="2"/>
      <c r="AA637" s="2"/>
      <c r="AB637" s="2"/>
      <c r="AC637" s="6"/>
      <c r="AD637" s="2"/>
      <c r="AE637" s="2"/>
      <c r="AF637" s="2"/>
      <c r="AG637" s="2"/>
      <c r="AH637" s="2"/>
      <c r="AI637" s="6"/>
      <c r="AJ637" s="2"/>
      <c r="AK637" s="56"/>
      <c r="AL637" s="2"/>
      <c r="AM637" s="2"/>
      <c r="AN637" s="2"/>
      <c r="AO637" s="2"/>
      <c r="AP637" s="6"/>
      <c r="AQ637" s="2"/>
      <c r="AR637" s="2"/>
      <c r="AS637" s="2"/>
      <c r="AT637" s="2"/>
      <c r="AU637" s="2"/>
      <c r="AV637" s="2"/>
      <c r="AW637" s="2"/>
      <c r="AX637" s="6"/>
      <c r="AY637" s="2"/>
      <c r="AZ637" s="2"/>
      <c r="BA637" s="2"/>
      <c r="BB637" s="2"/>
      <c r="BC637" s="2"/>
      <c r="BD637" s="6"/>
      <c r="BE637" s="2"/>
      <c r="BF637" s="6"/>
      <c r="BG637" s="58"/>
      <c r="BH637" s="6"/>
      <c r="BI637" s="2"/>
    </row>
    <row r="638" ht="12.75" customHeight="1">
      <c r="A638" s="71"/>
      <c r="B638" s="71"/>
      <c r="C638" s="11"/>
      <c r="D638" s="11"/>
      <c r="E638" s="2"/>
      <c r="F638" s="2"/>
      <c r="G638" s="2"/>
      <c r="H638" s="54"/>
      <c r="I638" s="4"/>
      <c r="J638" s="2"/>
      <c r="K638" s="2"/>
      <c r="L638" s="5"/>
      <c r="M638" s="5"/>
      <c r="N638" s="5"/>
      <c r="O638" s="5"/>
      <c r="P638" s="5"/>
      <c r="Q638" s="5"/>
      <c r="R638" s="2"/>
      <c r="S638" s="2"/>
      <c r="T638" s="2"/>
      <c r="U638" s="2"/>
      <c r="V638" s="2"/>
      <c r="W638" s="2"/>
      <c r="X638" s="6"/>
      <c r="Y638" s="2"/>
      <c r="Z638" s="2"/>
      <c r="AA638" s="2"/>
      <c r="AB638" s="2"/>
      <c r="AC638" s="6"/>
      <c r="AD638" s="2"/>
      <c r="AE638" s="2"/>
      <c r="AF638" s="2"/>
      <c r="AG638" s="2"/>
      <c r="AH638" s="2"/>
      <c r="AI638" s="6"/>
      <c r="AJ638" s="2"/>
      <c r="AK638" s="56"/>
      <c r="AL638" s="2"/>
      <c r="AM638" s="2"/>
      <c r="AN638" s="2"/>
      <c r="AO638" s="2"/>
      <c r="AP638" s="6"/>
      <c r="AQ638" s="2"/>
      <c r="AR638" s="2"/>
      <c r="AS638" s="2"/>
      <c r="AT638" s="2"/>
      <c r="AU638" s="2"/>
      <c r="AV638" s="2"/>
      <c r="AW638" s="2"/>
      <c r="AX638" s="6"/>
      <c r="AY638" s="2"/>
      <c r="AZ638" s="2"/>
      <c r="BA638" s="2"/>
      <c r="BB638" s="2"/>
      <c r="BC638" s="2"/>
      <c r="BD638" s="6"/>
      <c r="BE638" s="2"/>
      <c r="BF638" s="6"/>
      <c r="BG638" s="58"/>
      <c r="BH638" s="6"/>
      <c r="BI638" s="2"/>
    </row>
    <row r="639" ht="12.75" customHeight="1">
      <c r="A639" s="71"/>
      <c r="B639" s="71"/>
      <c r="C639" s="11"/>
      <c r="D639" s="11"/>
      <c r="E639" s="2"/>
      <c r="F639" s="2"/>
      <c r="G639" s="2"/>
      <c r="H639" s="54"/>
      <c r="I639" s="4"/>
      <c r="J639" s="2"/>
      <c r="K639" s="2"/>
      <c r="L639" s="5"/>
      <c r="M639" s="5"/>
      <c r="N639" s="5"/>
      <c r="O639" s="5"/>
      <c r="P639" s="5"/>
      <c r="Q639" s="5"/>
      <c r="R639" s="2"/>
      <c r="S639" s="2"/>
      <c r="T639" s="2"/>
      <c r="U639" s="2"/>
      <c r="V639" s="2"/>
      <c r="W639" s="2"/>
      <c r="X639" s="6"/>
      <c r="Y639" s="2"/>
      <c r="Z639" s="2"/>
      <c r="AA639" s="2"/>
      <c r="AB639" s="2"/>
      <c r="AC639" s="6"/>
      <c r="AD639" s="2"/>
      <c r="AE639" s="2"/>
      <c r="AF639" s="2"/>
      <c r="AG639" s="2"/>
      <c r="AH639" s="2"/>
      <c r="AI639" s="6"/>
      <c r="AJ639" s="2"/>
      <c r="AK639" s="56"/>
      <c r="AL639" s="2"/>
      <c r="AM639" s="2"/>
      <c r="AN639" s="2"/>
      <c r="AO639" s="2"/>
      <c r="AP639" s="6"/>
      <c r="AQ639" s="2"/>
      <c r="AR639" s="2"/>
      <c r="AS639" s="2"/>
      <c r="AT639" s="2"/>
      <c r="AU639" s="2"/>
      <c r="AV639" s="2"/>
      <c r="AW639" s="2"/>
      <c r="AX639" s="6"/>
      <c r="AY639" s="2"/>
      <c r="AZ639" s="2"/>
      <c r="BA639" s="2"/>
      <c r="BB639" s="2"/>
      <c r="BC639" s="2"/>
      <c r="BD639" s="6"/>
      <c r="BE639" s="2"/>
      <c r="BF639" s="6"/>
      <c r="BG639" s="58"/>
      <c r="BH639" s="6"/>
      <c r="BI639" s="2"/>
    </row>
    <row r="640" ht="12.75" customHeight="1">
      <c r="A640" s="71"/>
      <c r="B640" s="71"/>
      <c r="C640" s="11"/>
      <c r="D640" s="11"/>
      <c r="E640" s="2"/>
      <c r="F640" s="2"/>
      <c r="G640" s="2"/>
      <c r="H640" s="54"/>
      <c r="I640" s="4"/>
      <c r="J640" s="2"/>
      <c r="K640" s="2"/>
      <c r="L640" s="5"/>
      <c r="M640" s="5"/>
      <c r="N640" s="5"/>
      <c r="O640" s="5"/>
      <c r="P640" s="5"/>
      <c r="Q640" s="5"/>
      <c r="R640" s="2"/>
      <c r="S640" s="2"/>
      <c r="T640" s="2"/>
      <c r="U640" s="2"/>
      <c r="V640" s="2"/>
      <c r="W640" s="2"/>
      <c r="X640" s="6"/>
      <c r="Y640" s="2"/>
      <c r="Z640" s="2"/>
      <c r="AA640" s="2"/>
      <c r="AB640" s="2"/>
      <c r="AC640" s="6"/>
      <c r="AD640" s="2"/>
      <c r="AE640" s="2"/>
      <c r="AF640" s="2"/>
      <c r="AG640" s="2"/>
      <c r="AH640" s="2"/>
      <c r="AI640" s="6"/>
      <c r="AJ640" s="2"/>
      <c r="AK640" s="56"/>
      <c r="AL640" s="2"/>
      <c r="AM640" s="2"/>
      <c r="AN640" s="2"/>
      <c r="AO640" s="2"/>
      <c r="AP640" s="6"/>
      <c r="AQ640" s="2"/>
      <c r="AR640" s="2"/>
      <c r="AS640" s="2"/>
      <c r="AT640" s="2"/>
      <c r="AU640" s="2"/>
      <c r="AV640" s="2"/>
      <c r="AW640" s="2"/>
      <c r="AX640" s="6"/>
      <c r="AY640" s="2"/>
      <c r="AZ640" s="2"/>
      <c r="BA640" s="2"/>
      <c r="BB640" s="2"/>
      <c r="BC640" s="2"/>
      <c r="BD640" s="6"/>
      <c r="BE640" s="2"/>
      <c r="BF640" s="6"/>
      <c r="BG640" s="58"/>
      <c r="BH640" s="6"/>
      <c r="BI640" s="2"/>
    </row>
    <row r="641" ht="12.75" customHeight="1">
      <c r="A641" s="71"/>
      <c r="B641" s="71"/>
      <c r="C641" s="11"/>
      <c r="D641" s="11"/>
      <c r="E641" s="2"/>
      <c r="F641" s="2"/>
      <c r="G641" s="2"/>
      <c r="H641" s="54"/>
      <c r="I641" s="4"/>
      <c r="J641" s="2"/>
      <c r="K641" s="2"/>
      <c r="L641" s="5"/>
      <c r="M641" s="5"/>
      <c r="N641" s="5"/>
      <c r="O641" s="5"/>
      <c r="P641" s="5"/>
      <c r="Q641" s="5"/>
      <c r="R641" s="2"/>
      <c r="S641" s="2"/>
      <c r="T641" s="2"/>
      <c r="U641" s="2"/>
      <c r="V641" s="2"/>
      <c r="W641" s="2"/>
      <c r="X641" s="6"/>
      <c r="Y641" s="2"/>
      <c r="Z641" s="2"/>
      <c r="AA641" s="2"/>
      <c r="AB641" s="2"/>
      <c r="AC641" s="6"/>
      <c r="AD641" s="2"/>
      <c r="AE641" s="2"/>
      <c r="AF641" s="2"/>
      <c r="AG641" s="2"/>
      <c r="AH641" s="2"/>
      <c r="AI641" s="6"/>
      <c r="AJ641" s="2"/>
      <c r="AK641" s="56"/>
      <c r="AL641" s="2"/>
      <c r="AM641" s="2"/>
      <c r="AN641" s="2"/>
      <c r="AO641" s="2"/>
      <c r="AP641" s="6"/>
      <c r="AQ641" s="2"/>
      <c r="AR641" s="2"/>
      <c r="AS641" s="2"/>
      <c r="AT641" s="2"/>
      <c r="AU641" s="2"/>
      <c r="AV641" s="2"/>
      <c r="AW641" s="2"/>
      <c r="AX641" s="6"/>
      <c r="AY641" s="2"/>
      <c r="AZ641" s="2"/>
      <c r="BA641" s="2"/>
      <c r="BB641" s="2"/>
      <c r="BC641" s="2"/>
      <c r="BD641" s="6"/>
      <c r="BE641" s="2"/>
      <c r="BF641" s="6"/>
      <c r="BG641" s="58"/>
      <c r="BH641" s="6"/>
      <c r="BI641" s="2"/>
    </row>
    <row r="642" ht="12.75" customHeight="1">
      <c r="A642" s="71"/>
      <c r="B642" s="71"/>
      <c r="C642" s="11"/>
      <c r="D642" s="11"/>
      <c r="E642" s="2"/>
      <c r="F642" s="2"/>
      <c r="G642" s="2"/>
      <c r="H642" s="54"/>
      <c r="I642" s="4"/>
      <c r="J642" s="2"/>
      <c r="K642" s="2"/>
      <c r="L642" s="5"/>
      <c r="M642" s="5"/>
      <c r="N642" s="5"/>
      <c r="O642" s="5"/>
      <c r="P642" s="5"/>
      <c r="Q642" s="5"/>
      <c r="R642" s="2"/>
      <c r="S642" s="2"/>
      <c r="T642" s="2"/>
      <c r="U642" s="2"/>
      <c r="V642" s="2"/>
      <c r="W642" s="2"/>
      <c r="X642" s="6"/>
      <c r="Y642" s="2"/>
      <c r="Z642" s="2"/>
      <c r="AA642" s="2"/>
      <c r="AB642" s="2"/>
      <c r="AC642" s="6"/>
      <c r="AD642" s="2"/>
      <c r="AE642" s="2"/>
      <c r="AF642" s="2"/>
      <c r="AG642" s="2"/>
      <c r="AH642" s="2"/>
      <c r="AI642" s="6"/>
      <c r="AJ642" s="2"/>
      <c r="AK642" s="56"/>
      <c r="AL642" s="2"/>
      <c r="AM642" s="2"/>
      <c r="AN642" s="2"/>
      <c r="AO642" s="2"/>
      <c r="AP642" s="6"/>
      <c r="AQ642" s="2"/>
      <c r="AR642" s="2"/>
      <c r="AS642" s="2"/>
      <c r="AT642" s="2"/>
      <c r="AU642" s="2"/>
      <c r="AV642" s="2"/>
      <c r="AW642" s="2"/>
      <c r="AX642" s="6"/>
      <c r="AY642" s="2"/>
      <c r="AZ642" s="2"/>
      <c r="BA642" s="2"/>
      <c r="BB642" s="2"/>
      <c r="BC642" s="2"/>
      <c r="BD642" s="6"/>
      <c r="BE642" s="2"/>
      <c r="BF642" s="6"/>
      <c r="BG642" s="58"/>
      <c r="BH642" s="6"/>
      <c r="BI642" s="2"/>
    </row>
    <row r="643" ht="12.75" customHeight="1">
      <c r="A643" s="71"/>
      <c r="B643" s="71"/>
      <c r="C643" s="11"/>
      <c r="D643" s="11"/>
      <c r="E643" s="2"/>
      <c r="F643" s="2"/>
      <c r="G643" s="2"/>
      <c r="H643" s="54"/>
      <c r="I643" s="4"/>
      <c r="J643" s="2"/>
      <c r="K643" s="2"/>
      <c r="L643" s="5"/>
      <c r="M643" s="5"/>
      <c r="N643" s="5"/>
      <c r="O643" s="5"/>
      <c r="P643" s="5"/>
      <c r="Q643" s="5"/>
      <c r="R643" s="2"/>
      <c r="S643" s="2"/>
      <c r="T643" s="2"/>
      <c r="U643" s="2"/>
      <c r="V643" s="2"/>
      <c r="W643" s="2"/>
      <c r="X643" s="6"/>
      <c r="Y643" s="2"/>
      <c r="Z643" s="2"/>
      <c r="AA643" s="2"/>
      <c r="AB643" s="2"/>
      <c r="AC643" s="6"/>
      <c r="AD643" s="2"/>
      <c r="AE643" s="2"/>
      <c r="AF643" s="2"/>
      <c r="AG643" s="2"/>
      <c r="AH643" s="2"/>
      <c r="AI643" s="6"/>
      <c r="AJ643" s="2"/>
      <c r="AK643" s="56"/>
      <c r="AL643" s="2"/>
      <c r="AM643" s="2"/>
      <c r="AN643" s="2"/>
      <c r="AO643" s="2"/>
      <c r="AP643" s="6"/>
      <c r="AQ643" s="2"/>
      <c r="AR643" s="2"/>
      <c r="AS643" s="2"/>
      <c r="AT643" s="2"/>
      <c r="AU643" s="2"/>
      <c r="AV643" s="2"/>
      <c r="AW643" s="2"/>
      <c r="AX643" s="6"/>
      <c r="AY643" s="2"/>
      <c r="AZ643" s="2"/>
      <c r="BA643" s="2"/>
      <c r="BB643" s="2"/>
      <c r="BC643" s="2"/>
      <c r="BD643" s="6"/>
      <c r="BE643" s="2"/>
      <c r="BF643" s="6"/>
      <c r="BG643" s="58"/>
      <c r="BH643" s="6"/>
      <c r="BI643" s="2"/>
    </row>
    <row r="644" ht="12.75" customHeight="1">
      <c r="A644" s="71"/>
      <c r="B644" s="71"/>
      <c r="C644" s="11"/>
      <c r="D644" s="11"/>
      <c r="E644" s="2"/>
      <c r="F644" s="2"/>
      <c r="G644" s="2"/>
      <c r="H644" s="54"/>
      <c r="I644" s="4"/>
      <c r="J644" s="2"/>
      <c r="K644" s="2"/>
      <c r="L644" s="5"/>
      <c r="M644" s="5"/>
      <c r="N644" s="5"/>
      <c r="O644" s="5"/>
      <c r="P644" s="5"/>
      <c r="Q644" s="5"/>
      <c r="R644" s="2"/>
      <c r="S644" s="2"/>
      <c r="T644" s="2"/>
      <c r="U644" s="2"/>
      <c r="V644" s="2"/>
      <c r="W644" s="2"/>
      <c r="X644" s="6"/>
      <c r="Y644" s="2"/>
      <c r="Z644" s="2"/>
      <c r="AA644" s="2"/>
      <c r="AB644" s="2"/>
      <c r="AC644" s="6"/>
      <c r="AD644" s="2"/>
      <c r="AE644" s="2"/>
      <c r="AF644" s="2"/>
      <c r="AG644" s="2"/>
      <c r="AH644" s="2"/>
      <c r="AI644" s="6"/>
      <c r="AJ644" s="2"/>
      <c r="AK644" s="56"/>
      <c r="AL644" s="2"/>
      <c r="AM644" s="2"/>
      <c r="AN644" s="2"/>
      <c r="AO644" s="2"/>
      <c r="AP644" s="6"/>
      <c r="AQ644" s="2"/>
      <c r="AR644" s="2"/>
      <c r="AS644" s="2"/>
      <c r="AT644" s="2"/>
      <c r="AU644" s="2"/>
      <c r="AV644" s="2"/>
      <c r="AW644" s="2"/>
      <c r="AX644" s="6"/>
      <c r="AY644" s="2"/>
      <c r="AZ644" s="2"/>
      <c r="BA644" s="2"/>
      <c r="BB644" s="2"/>
      <c r="BC644" s="2"/>
      <c r="BD644" s="6"/>
      <c r="BE644" s="2"/>
      <c r="BF644" s="6"/>
      <c r="BG644" s="58"/>
      <c r="BH644" s="6"/>
      <c r="BI644" s="2"/>
    </row>
    <row r="645" ht="12.75" customHeight="1">
      <c r="A645" s="71"/>
      <c r="B645" s="71"/>
      <c r="C645" s="11"/>
      <c r="D645" s="11"/>
      <c r="E645" s="2"/>
      <c r="F645" s="2"/>
      <c r="G645" s="2"/>
      <c r="H645" s="54"/>
      <c r="I645" s="4"/>
      <c r="J645" s="2"/>
      <c r="K645" s="2"/>
      <c r="L645" s="5"/>
      <c r="M645" s="5"/>
      <c r="N645" s="5"/>
      <c r="O645" s="5"/>
      <c r="P645" s="5"/>
      <c r="Q645" s="5"/>
      <c r="R645" s="2"/>
      <c r="S645" s="2"/>
      <c r="T645" s="2"/>
      <c r="U645" s="2"/>
      <c r="V645" s="2"/>
      <c r="W645" s="2"/>
      <c r="X645" s="6"/>
      <c r="Y645" s="2"/>
      <c r="Z645" s="2"/>
      <c r="AA645" s="2"/>
      <c r="AB645" s="2"/>
      <c r="AC645" s="6"/>
      <c r="AD645" s="2"/>
      <c r="AE645" s="2"/>
      <c r="AF645" s="2"/>
      <c r="AG645" s="2"/>
      <c r="AH645" s="2"/>
      <c r="AI645" s="6"/>
      <c r="AJ645" s="2"/>
      <c r="AK645" s="56"/>
      <c r="AL645" s="2"/>
      <c r="AM645" s="2"/>
      <c r="AN645" s="2"/>
      <c r="AO645" s="2"/>
      <c r="AP645" s="6"/>
      <c r="AQ645" s="2"/>
      <c r="AR645" s="2"/>
      <c r="AS645" s="2"/>
      <c r="AT645" s="2"/>
      <c r="AU645" s="2"/>
      <c r="AV645" s="2"/>
      <c r="AW645" s="2"/>
      <c r="AX645" s="6"/>
      <c r="AY645" s="2"/>
      <c r="AZ645" s="2"/>
      <c r="BA645" s="2"/>
      <c r="BB645" s="2"/>
      <c r="BC645" s="2"/>
      <c r="BD645" s="6"/>
      <c r="BE645" s="2"/>
      <c r="BF645" s="6"/>
      <c r="BG645" s="58"/>
      <c r="BH645" s="6"/>
      <c r="BI645" s="2"/>
    </row>
    <row r="646" ht="12.75" customHeight="1">
      <c r="A646" s="71"/>
      <c r="B646" s="71"/>
      <c r="C646" s="11"/>
      <c r="D646" s="11"/>
      <c r="E646" s="2"/>
      <c r="F646" s="2"/>
      <c r="G646" s="2"/>
      <c r="H646" s="54"/>
      <c r="I646" s="4"/>
      <c r="J646" s="2"/>
      <c r="K646" s="2"/>
      <c r="L646" s="5"/>
      <c r="M646" s="5"/>
      <c r="N646" s="5"/>
      <c r="O646" s="5"/>
      <c r="P646" s="5"/>
      <c r="Q646" s="5"/>
      <c r="R646" s="2"/>
      <c r="S646" s="2"/>
      <c r="T646" s="2"/>
      <c r="U646" s="2"/>
      <c r="V646" s="2"/>
      <c r="W646" s="2"/>
      <c r="X646" s="6"/>
      <c r="Y646" s="2"/>
      <c r="Z646" s="2"/>
      <c r="AA646" s="2"/>
      <c r="AB646" s="2"/>
      <c r="AC646" s="6"/>
      <c r="AD646" s="2"/>
      <c r="AE646" s="2"/>
      <c r="AF646" s="2"/>
      <c r="AG646" s="2"/>
      <c r="AH646" s="2"/>
      <c r="AI646" s="6"/>
      <c r="AJ646" s="2"/>
      <c r="AK646" s="56"/>
      <c r="AL646" s="2"/>
      <c r="AM646" s="2"/>
      <c r="AN646" s="2"/>
      <c r="AO646" s="2"/>
      <c r="AP646" s="6"/>
      <c r="AQ646" s="2"/>
      <c r="AR646" s="2"/>
      <c r="AS646" s="2"/>
      <c r="AT646" s="2"/>
      <c r="AU646" s="2"/>
      <c r="AV646" s="2"/>
      <c r="AW646" s="2"/>
      <c r="AX646" s="6"/>
      <c r="AY646" s="2"/>
      <c r="AZ646" s="2"/>
      <c r="BA646" s="2"/>
      <c r="BB646" s="2"/>
      <c r="BC646" s="2"/>
      <c r="BD646" s="6"/>
      <c r="BE646" s="2"/>
      <c r="BF646" s="6"/>
      <c r="BG646" s="58"/>
      <c r="BH646" s="6"/>
      <c r="BI646" s="2"/>
    </row>
    <row r="647" ht="12.75" customHeight="1">
      <c r="A647" s="71"/>
      <c r="B647" s="71"/>
      <c r="C647" s="11"/>
      <c r="D647" s="11"/>
      <c r="E647" s="2"/>
      <c r="F647" s="2"/>
      <c r="G647" s="2"/>
      <c r="H647" s="54"/>
      <c r="I647" s="4"/>
      <c r="J647" s="2"/>
      <c r="K647" s="2"/>
      <c r="L647" s="5"/>
      <c r="M647" s="5"/>
      <c r="N647" s="5"/>
      <c r="O647" s="5"/>
      <c r="P647" s="5"/>
      <c r="Q647" s="5"/>
      <c r="R647" s="2"/>
      <c r="S647" s="2"/>
      <c r="T647" s="2"/>
      <c r="U647" s="2"/>
      <c r="V647" s="2"/>
      <c r="W647" s="2"/>
      <c r="X647" s="6"/>
      <c r="Y647" s="2"/>
      <c r="Z647" s="2"/>
      <c r="AA647" s="2"/>
      <c r="AB647" s="2"/>
      <c r="AC647" s="6"/>
      <c r="AD647" s="2"/>
      <c r="AE647" s="2"/>
      <c r="AF647" s="2"/>
      <c r="AG647" s="2"/>
      <c r="AH647" s="2"/>
      <c r="AI647" s="6"/>
      <c r="AJ647" s="2"/>
      <c r="AK647" s="56"/>
      <c r="AL647" s="2"/>
      <c r="AM647" s="2"/>
      <c r="AN647" s="2"/>
      <c r="AO647" s="2"/>
      <c r="AP647" s="6"/>
      <c r="AQ647" s="2"/>
      <c r="AR647" s="2"/>
      <c r="AS647" s="2"/>
      <c r="AT647" s="2"/>
      <c r="AU647" s="2"/>
      <c r="AV647" s="2"/>
      <c r="AW647" s="2"/>
      <c r="AX647" s="6"/>
      <c r="AY647" s="2"/>
      <c r="AZ647" s="2"/>
      <c r="BA647" s="2"/>
      <c r="BB647" s="2"/>
      <c r="BC647" s="2"/>
      <c r="BD647" s="6"/>
      <c r="BE647" s="2"/>
      <c r="BF647" s="6"/>
      <c r="BG647" s="58"/>
      <c r="BH647" s="6"/>
      <c r="BI647" s="2"/>
    </row>
    <row r="648" ht="12.75" customHeight="1">
      <c r="A648" s="71"/>
      <c r="B648" s="71"/>
      <c r="C648" s="11"/>
      <c r="D648" s="11"/>
      <c r="E648" s="2"/>
      <c r="F648" s="2"/>
      <c r="G648" s="2"/>
      <c r="H648" s="54"/>
      <c r="I648" s="4"/>
      <c r="J648" s="2"/>
      <c r="K648" s="2"/>
      <c r="L648" s="5"/>
      <c r="M648" s="5"/>
      <c r="N648" s="5"/>
      <c r="O648" s="5"/>
      <c r="P648" s="5"/>
      <c r="Q648" s="5"/>
      <c r="R648" s="2"/>
      <c r="S648" s="2"/>
      <c r="T648" s="2"/>
      <c r="U648" s="2"/>
      <c r="V648" s="2"/>
      <c r="W648" s="2"/>
      <c r="X648" s="6"/>
      <c r="Y648" s="2"/>
      <c r="Z648" s="2"/>
      <c r="AA648" s="2"/>
      <c r="AB648" s="2"/>
      <c r="AC648" s="6"/>
      <c r="AD648" s="2"/>
      <c r="AE648" s="2"/>
      <c r="AF648" s="2"/>
      <c r="AG648" s="2"/>
      <c r="AH648" s="2"/>
      <c r="AI648" s="6"/>
      <c r="AJ648" s="2"/>
      <c r="AK648" s="56"/>
      <c r="AL648" s="2"/>
      <c r="AM648" s="2"/>
      <c r="AN648" s="2"/>
      <c r="AO648" s="2"/>
      <c r="AP648" s="6"/>
      <c r="AQ648" s="2"/>
      <c r="AR648" s="2"/>
      <c r="AS648" s="2"/>
      <c r="AT648" s="2"/>
      <c r="AU648" s="2"/>
      <c r="AV648" s="2"/>
      <c r="AW648" s="2"/>
      <c r="AX648" s="6"/>
      <c r="AY648" s="2"/>
      <c r="AZ648" s="2"/>
      <c r="BA648" s="2"/>
      <c r="BB648" s="2"/>
      <c r="BC648" s="2"/>
      <c r="BD648" s="6"/>
      <c r="BE648" s="2"/>
      <c r="BF648" s="6"/>
      <c r="BG648" s="58"/>
      <c r="BH648" s="6"/>
      <c r="BI648" s="2"/>
    </row>
    <row r="649" ht="12.75" customHeight="1">
      <c r="A649" s="71"/>
      <c r="B649" s="71"/>
      <c r="C649" s="11"/>
      <c r="D649" s="11"/>
      <c r="E649" s="2"/>
      <c r="F649" s="2"/>
      <c r="G649" s="2"/>
      <c r="H649" s="54"/>
      <c r="I649" s="4"/>
      <c r="J649" s="2"/>
      <c r="K649" s="2"/>
      <c r="L649" s="5"/>
      <c r="M649" s="5"/>
      <c r="N649" s="5"/>
      <c r="O649" s="5"/>
      <c r="P649" s="5"/>
      <c r="Q649" s="5"/>
      <c r="R649" s="2"/>
      <c r="S649" s="2"/>
      <c r="T649" s="2"/>
      <c r="U649" s="2"/>
      <c r="V649" s="2"/>
      <c r="W649" s="2"/>
      <c r="X649" s="6"/>
      <c r="Y649" s="2"/>
      <c r="Z649" s="2"/>
      <c r="AA649" s="2"/>
      <c r="AB649" s="2"/>
      <c r="AC649" s="6"/>
      <c r="AD649" s="2"/>
      <c r="AE649" s="2"/>
      <c r="AF649" s="2"/>
      <c r="AG649" s="2"/>
      <c r="AH649" s="2"/>
      <c r="AI649" s="6"/>
      <c r="AJ649" s="2"/>
      <c r="AK649" s="56"/>
      <c r="AL649" s="2"/>
      <c r="AM649" s="2"/>
      <c r="AN649" s="2"/>
      <c r="AO649" s="2"/>
      <c r="AP649" s="6"/>
      <c r="AQ649" s="2"/>
      <c r="AR649" s="2"/>
      <c r="AS649" s="2"/>
      <c r="AT649" s="2"/>
      <c r="AU649" s="2"/>
      <c r="AV649" s="2"/>
      <c r="AW649" s="2"/>
      <c r="AX649" s="6"/>
      <c r="AY649" s="2"/>
      <c r="AZ649" s="2"/>
      <c r="BA649" s="2"/>
      <c r="BB649" s="2"/>
      <c r="BC649" s="2"/>
      <c r="BD649" s="6"/>
      <c r="BE649" s="2"/>
      <c r="BF649" s="6"/>
      <c r="BG649" s="58"/>
      <c r="BH649" s="6"/>
      <c r="BI649" s="2"/>
    </row>
    <row r="650" ht="12.75" customHeight="1">
      <c r="A650" s="71"/>
      <c r="B650" s="71"/>
      <c r="C650" s="11"/>
      <c r="D650" s="11"/>
      <c r="E650" s="2"/>
      <c r="F650" s="2"/>
      <c r="G650" s="2"/>
      <c r="H650" s="54"/>
      <c r="I650" s="4"/>
      <c r="J650" s="2"/>
      <c r="K650" s="2"/>
      <c r="L650" s="5"/>
      <c r="M650" s="5"/>
      <c r="N650" s="5"/>
      <c r="O650" s="5"/>
      <c r="P650" s="5"/>
      <c r="Q650" s="5"/>
      <c r="R650" s="2"/>
      <c r="S650" s="2"/>
      <c r="T650" s="2"/>
      <c r="U650" s="2"/>
      <c r="V650" s="2"/>
      <c r="W650" s="2"/>
      <c r="X650" s="6"/>
      <c r="Y650" s="2"/>
      <c r="Z650" s="2"/>
      <c r="AA650" s="2"/>
      <c r="AB650" s="2"/>
      <c r="AC650" s="6"/>
      <c r="AD650" s="2"/>
      <c r="AE650" s="2"/>
      <c r="AF650" s="2"/>
      <c r="AG650" s="2"/>
      <c r="AH650" s="2"/>
      <c r="AI650" s="6"/>
      <c r="AJ650" s="2"/>
      <c r="AK650" s="56"/>
      <c r="AL650" s="2"/>
      <c r="AM650" s="2"/>
      <c r="AN650" s="2"/>
      <c r="AO650" s="2"/>
      <c r="AP650" s="6"/>
      <c r="AQ650" s="2"/>
      <c r="AR650" s="2"/>
      <c r="AS650" s="2"/>
      <c r="AT650" s="2"/>
      <c r="AU650" s="2"/>
      <c r="AV650" s="2"/>
      <c r="AW650" s="2"/>
      <c r="AX650" s="6"/>
      <c r="AY650" s="2"/>
      <c r="AZ650" s="2"/>
      <c r="BA650" s="2"/>
      <c r="BB650" s="2"/>
      <c r="BC650" s="2"/>
      <c r="BD650" s="6"/>
      <c r="BE650" s="2"/>
      <c r="BF650" s="6"/>
      <c r="BG650" s="58"/>
      <c r="BH650" s="6"/>
      <c r="BI650" s="2"/>
    </row>
    <row r="651" ht="12.75" customHeight="1">
      <c r="A651" s="71"/>
      <c r="B651" s="71"/>
      <c r="C651" s="11"/>
      <c r="D651" s="11"/>
      <c r="E651" s="2"/>
      <c r="F651" s="2"/>
      <c r="G651" s="2"/>
      <c r="H651" s="54"/>
      <c r="I651" s="4"/>
      <c r="J651" s="2"/>
      <c r="K651" s="2"/>
      <c r="L651" s="5"/>
      <c r="M651" s="5"/>
      <c r="N651" s="5"/>
      <c r="O651" s="5"/>
      <c r="P651" s="5"/>
      <c r="Q651" s="5"/>
      <c r="R651" s="2"/>
      <c r="S651" s="2"/>
      <c r="T651" s="2"/>
      <c r="U651" s="2"/>
      <c r="V651" s="2"/>
      <c r="W651" s="2"/>
      <c r="X651" s="6"/>
      <c r="Y651" s="2"/>
      <c r="Z651" s="2"/>
      <c r="AA651" s="2"/>
      <c r="AB651" s="2"/>
      <c r="AC651" s="6"/>
      <c r="AD651" s="2"/>
      <c r="AE651" s="2"/>
      <c r="AF651" s="2"/>
      <c r="AG651" s="2"/>
      <c r="AH651" s="2"/>
      <c r="AI651" s="6"/>
      <c r="AJ651" s="2"/>
      <c r="AK651" s="56"/>
      <c r="AL651" s="2"/>
      <c r="AM651" s="2"/>
      <c r="AN651" s="2"/>
      <c r="AO651" s="2"/>
      <c r="AP651" s="6"/>
      <c r="AQ651" s="2"/>
      <c r="AR651" s="2"/>
      <c r="AS651" s="2"/>
      <c r="AT651" s="2"/>
      <c r="AU651" s="2"/>
      <c r="AV651" s="2"/>
      <c r="AW651" s="2"/>
      <c r="AX651" s="6"/>
      <c r="AY651" s="2"/>
      <c r="AZ651" s="2"/>
      <c r="BA651" s="2"/>
      <c r="BB651" s="2"/>
      <c r="BC651" s="2"/>
      <c r="BD651" s="6"/>
      <c r="BE651" s="2"/>
      <c r="BF651" s="6"/>
      <c r="BG651" s="58"/>
      <c r="BH651" s="6"/>
      <c r="BI651" s="2"/>
    </row>
    <row r="652" ht="12.75" customHeight="1">
      <c r="A652" s="71"/>
      <c r="B652" s="71"/>
      <c r="C652" s="11"/>
      <c r="D652" s="11"/>
      <c r="E652" s="2"/>
      <c r="F652" s="2"/>
      <c r="G652" s="2"/>
      <c r="H652" s="54"/>
      <c r="I652" s="4"/>
      <c r="J652" s="2"/>
      <c r="K652" s="2"/>
      <c r="L652" s="5"/>
      <c r="M652" s="5"/>
      <c r="N652" s="5"/>
      <c r="O652" s="5"/>
      <c r="P652" s="5"/>
      <c r="Q652" s="5"/>
      <c r="R652" s="2"/>
      <c r="S652" s="2"/>
      <c r="T652" s="2"/>
      <c r="U652" s="2"/>
      <c r="V652" s="2"/>
      <c r="W652" s="2"/>
      <c r="X652" s="6"/>
      <c r="Y652" s="2"/>
      <c r="Z652" s="2"/>
      <c r="AA652" s="2"/>
      <c r="AB652" s="2"/>
      <c r="AC652" s="6"/>
      <c r="AD652" s="2"/>
      <c r="AE652" s="2"/>
      <c r="AF652" s="2"/>
      <c r="AG652" s="2"/>
      <c r="AH652" s="2"/>
      <c r="AI652" s="6"/>
      <c r="AJ652" s="2"/>
      <c r="AK652" s="56"/>
      <c r="AL652" s="2"/>
      <c r="AM652" s="2"/>
      <c r="AN652" s="2"/>
      <c r="AO652" s="2"/>
      <c r="AP652" s="6"/>
      <c r="AQ652" s="2"/>
      <c r="AR652" s="2"/>
      <c r="AS652" s="2"/>
      <c r="AT652" s="2"/>
      <c r="AU652" s="2"/>
      <c r="AV652" s="2"/>
      <c r="AW652" s="2"/>
      <c r="AX652" s="6"/>
      <c r="AY652" s="2"/>
      <c r="AZ652" s="2"/>
      <c r="BA652" s="2"/>
      <c r="BB652" s="2"/>
      <c r="BC652" s="2"/>
      <c r="BD652" s="6"/>
      <c r="BE652" s="2"/>
      <c r="BF652" s="6"/>
      <c r="BG652" s="58"/>
      <c r="BH652" s="6"/>
      <c r="BI652" s="2"/>
    </row>
    <row r="653" ht="12.75" customHeight="1">
      <c r="A653" s="71"/>
      <c r="B653" s="71"/>
      <c r="C653" s="11"/>
      <c r="D653" s="11"/>
      <c r="E653" s="2"/>
      <c r="F653" s="2"/>
      <c r="G653" s="2"/>
      <c r="H653" s="54"/>
      <c r="I653" s="4"/>
      <c r="J653" s="2"/>
      <c r="K653" s="2"/>
      <c r="L653" s="5"/>
      <c r="M653" s="5"/>
      <c r="N653" s="5"/>
      <c r="O653" s="5"/>
      <c r="P653" s="5"/>
      <c r="Q653" s="5"/>
      <c r="R653" s="2"/>
      <c r="S653" s="2"/>
      <c r="T653" s="2"/>
      <c r="U653" s="2"/>
      <c r="V653" s="2"/>
      <c r="W653" s="2"/>
      <c r="X653" s="6"/>
      <c r="Y653" s="2"/>
      <c r="Z653" s="2"/>
      <c r="AA653" s="2"/>
      <c r="AB653" s="2"/>
      <c r="AC653" s="6"/>
      <c r="AD653" s="2"/>
      <c r="AE653" s="2"/>
      <c r="AF653" s="2"/>
      <c r="AG653" s="2"/>
      <c r="AH653" s="2"/>
      <c r="AI653" s="6"/>
      <c r="AJ653" s="2"/>
      <c r="AK653" s="56"/>
      <c r="AL653" s="2"/>
      <c r="AM653" s="2"/>
      <c r="AN653" s="2"/>
      <c r="AO653" s="2"/>
      <c r="AP653" s="6"/>
      <c r="AQ653" s="2"/>
      <c r="AR653" s="2"/>
      <c r="AS653" s="2"/>
      <c r="AT653" s="2"/>
      <c r="AU653" s="2"/>
      <c r="AV653" s="2"/>
      <c r="AW653" s="2"/>
      <c r="AX653" s="6"/>
      <c r="AY653" s="2"/>
      <c r="AZ653" s="2"/>
      <c r="BA653" s="2"/>
      <c r="BB653" s="2"/>
      <c r="BC653" s="2"/>
      <c r="BD653" s="6"/>
      <c r="BE653" s="2"/>
      <c r="BF653" s="6"/>
      <c r="BG653" s="58"/>
      <c r="BH653" s="6"/>
      <c r="BI653" s="2"/>
    </row>
    <row r="654" ht="12.75" customHeight="1">
      <c r="A654" s="71"/>
      <c r="B654" s="71"/>
      <c r="C654" s="11"/>
      <c r="D654" s="11"/>
      <c r="E654" s="2"/>
      <c r="F654" s="2"/>
      <c r="G654" s="2"/>
      <c r="H654" s="54"/>
      <c r="I654" s="4"/>
      <c r="J654" s="2"/>
      <c r="K654" s="2"/>
      <c r="L654" s="5"/>
      <c r="M654" s="5"/>
      <c r="N654" s="5"/>
      <c r="O654" s="5"/>
      <c r="P654" s="5"/>
      <c r="Q654" s="5"/>
      <c r="R654" s="2"/>
      <c r="S654" s="2"/>
      <c r="T654" s="2"/>
      <c r="U654" s="2"/>
      <c r="V654" s="2"/>
      <c r="W654" s="2"/>
      <c r="X654" s="6"/>
      <c r="Y654" s="2"/>
      <c r="Z654" s="2"/>
      <c r="AA654" s="2"/>
      <c r="AB654" s="2"/>
      <c r="AC654" s="6"/>
      <c r="AD654" s="2"/>
      <c r="AE654" s="2"/>
      <c r="AF654" s="2"/>
      <c r="AG654" s="2"/>
      <c r="AH654" s="2"/>
      <c r="AI654" s="6"/>
      <c r="AJ654" s="2"/>
      <c r="AK654" s="56"/>
      <c r="AL654" s="2"/>
      <c r="AM654" s="2"/>
      <c r="AN654" s="2"/>
      <c r="AO654" s="2"/>
      <c r="AP654" s="6"/>
      <c r="AQ654" s="2"/>
      <c r="AR654" s="2"/>
      <c r="AS654" s="2"/>
      <c r="AT654" s="2"/>
      <c r="AU654" s="2"/>
      <c r="AV654" s="2"/>
      <c r="AW654" s="2"/>
      <c r="AX654" s="6"/>
      <c r="AY654" s="2"/>
      <c r="AZ654" s="2"/>
      <c r="BA654" s="2"/>
      <c r="BB654" s="2"/>
      <c r="BC654" s="2"/>
      <c r="BD654" s="6"/>
      <c r="BE654" s="2"/>
      <c r="BF654" s="6"/>
      <c r="BG654" s="58"/>
      <c r="BH654" s="6"/>
      <c r="BI654" s="2"/>
    </row>
    <row r="655" ht="12.75" customHeight="1">
      <c r="A655" s="71"/>
      <c r="B655" s="71"/>
      <c r="C655" s="11"/>
      <c r="D655" s="11"/>
      <c r="E655" s="2"/>
      <c r="F655" s="2"/>
      <c r="G655" s="2"/>
      <c r="H655" s="54"/>
      <c r="I655" s="4"/>
      <c r="J655" s="2"/>
      <c r="K655" s="2"/>
      <c r="L655" s="5"/>
      <c r="M655" s="5"/>
      <c r="N655" s="5"/>
      <c r="O655" s="5"/>
      <c r="P655" s="5"/>
      <c r="Q655" s="5"/>
      <c r="R655" s="2"/>
      <c r="S655" s="2"/>
      <c r="T655" s="2"/>
      <c r="U655" s="2"/>
      <c r="V655" s="2"/>
      <c r="W655" s="2"/>
      <c r="X655" s="6"/>
      <c r="Y655" s="2"/>
      <c r="Z655" s="2"/>
      <c r="AA655" s="2"/>
      <c r="AB655" s="2"/>
      <c r="AC655" s="6"/>
      <c r="AD655" s="2"/>
      <c r="AE655" s="2"/>
      <c r="AF655" s="2"/>
      <c r="AG655" s="2"/>
      <c r="AH655" s="2"/>
      <c r="AI655" s="6"/>
      <c r="AJ655" s="2"/>
      <c r="AK655" s="56"/>
      <c r="AL655" s="2"/>
      <c r="AM655" s="2"/>
      <c r="AN655" s="2"/>
      <c r="AO655" s="2"/>
      <c r="AP655" s="6"/>
      <c r="AQ655" s="2"/>
      <c r="AR655" s="2"/>
      <c r="AS655" s="2"/>
      <c r="AT655" s="2"/>
      <c r="AU655" s="2"/>
      <c r="AV655" s="2"/>
      <c r="AW655" s="2"/>
      <c r="AX655" s="6"/>
      <c r="AY655" s="2"/>
      <c r="AZ655" s="2"/>
      <c r="BA655" s="2"/>
      <c r="BB655" s="2"/>
      <c r="BC655" s="2"/>
      <c r="BD655" s="6"/>
      <c r="BE655" s="2"/>
      <c r="BF655" s="6"/>
      <c r="BG655" s="58"/>
      <c r="BH655" s="6"/>
      <c r="BI655" s="2"/>
    </row>
    <row r="656" ht="12.75" customHeight="1">
      <c r="A656" s="71"/>
      <c r="B656" s="71"/>
      <c r="C656" s="11"/>
      <c r="D656" s="11"/>
      <c r="E656" s="2"/>
      <c r="F656" s="2"/>
      <c r="G656" s="2"/>
      <c r="H656" s="54"/>
      <c r="I656" s="4"/>
      <c r="J656" s="2"/>
      <c r="K656" s="2"/>
      <c r="L656" s="5"/>
      <c r="M656" s="5"/>
      <c r="N656" s="5"/>
      <c r="O656" s="5"/>
      <c r="P656" s="5"/>
      <c r="Q656" s="5"/>
      <c r="R656" s="2"/>
      <c r="S656" s="2"/>
      <c r="T656" s="2"/>
      <c r="U656" s="2"/>
      <c r="V656" s="2"/>
      <c r="W656" s="2"/>
      <c r="X656" s="6"/>
      <c r="Y656" s="2"/>
      <c r="Z656" s="2"/>
      <c r="AA656" s="2"/>
      <c r="AB656" s="2"/>
      <c r="AC656" s="6"/>
      <c r="AD656" s="2"/>
      <c r="AE656" s="2"/>
      <c r="AF656" s="2"/>
      <c r="AG656" s="2"/>
      <c r="AH656" s="2"/>
      <c r="AI656" s="6"/>
      <c r="AJ656" s="2"/>
      <c r="AK656" s="56"/>
      <c r="AL656" s="2"/>
      <c r="AM656" s="2"/>
      <c r="AN656" s="2"/>
      <c r="AO656" s="2"/>
      <c r="AP656" s="6"/>
      <c r="AQ656" s="2"/>
      <c r="AR656" s="2"/>
      <c r="AS656" s="2"/>
      <c r="AT656" s="2"/>
      <c r="AU656" s="2"/>
      <c r="AV656" s="2"/>
      <c r="AW656" s="2"/>
      <c r="AX656" s="6"/>
      <c r="AY656" s="2"/>
      <c r="AZ656" s="2"/>
      <c r="BA656" s="2"/>
      <c r="BB656" s="2"/>
      <c r="BC656" s="2"/>
      <c r="BD656" s="6"/>
      <c r="BE656" s="2"/>
      <c r="BF656" s="6"/>
      <c r="BG656" s="58"/>
      <c r="BH656" s="6"/>
      <c r="BI656" s="2"/>
    </row>
    <row r="657" ht="12.75" customHeight="1">
      <c r="A657" s="71"/>
      <c r="B657" s="71"/>
      <c r="C657" s="11"/>
      <c r="D657" s="11"/>
      <c r="E657" s="2"/>
      <c r="F657" s="2"/>
      <c r="G657" s="2"/>
      <c r="H657" s="54"/>
      <c r="I657" s="4"/>
      <c r="J657" s="2"/>
      <c r="K657" s="2"/>
      <c r="L657" s="5"/>
      <c r="M657" s="5"/>
      <c r="N657" s="5"/>
      <c r="O657" s="5"/>
      <c r="P657" s="5"/>
      <c r="Q657" s="5"/>
      <c r="R657" s="2"/>
      <c r="S657" s="2"/>
      <c r="T657" s="2"/>
      <c r="U657" s="2"/>
      <c r="V657" s="2"/>
      <c r="W657" s="2"/>
      <c r="X657" s="6"/>
      <c r="Y657" s="2"/>
      <c r="Z657" s="2"/>
      <c r="AA657" s="2"/>
      <c r="AB657" s="2"/>
      <c r="AC657" s="6"/>
      <c r="AD657" s="2"/>
      <c r="AE657" s="2"/>
      <c r="AF657" s="2"/>
      <c r="AG657" s="2"/>
      <c r="AH657" s="2"/>
      <c r="AI657" s="6"/>
      <c r="AJ657" s="2"/>
      <c r="AK657" s="56"/>
      <c r="AL657" s="2"/>
      <c r="AM657" s="2"/>
      <c r="AN657" s="2"/>
      <c r="AO657" s="2"/>
      <c r="AP657" s="6"/>
      <c r="AQ657" s="2"/>
      <c r="AR657" s="2"/>
      <c r="AS657" s="2"/>
      <c r="AT657" s="2"/>
      <c r="AU657" s="2"/>
      <c r="AV657" s="2"/>
      <c r="AW657" s="2"/>
      <c r="AX657" s="6"/>
      <c r="AY657" s="2"/>
      <c r="AZ657" s="2"/>
      <c r="BA657" s="2"/>
      <c r="BB657" s="2"/>
      <c r="BC657" s="2"/>
      <c r="BD657" s="6"/>
      <c r="BE657" s="2"/>
      <c r="BF657" s="6"/>
      <c r="BG657" s="58"/>
      <c r="BH657" s="6"/>
      <c r="BI657" s="2"/>
    </row>
    <row r="658" ht="12.75" customHeight="1">
      <c r="A658" s="71"/>
      <c r="B658" s="71"/>
      <c r="C658" s="11"/>
      <c r="D658" s="11"/>
      <c r="E658" s="2"/>
      <c r="F658" s="2"/>
      <c r="G658" s="2"/>
      <c r="H658" s="54"/>
      <c r="I658" s="4"/>
      <c r="J658" s="2"/>
      <c r="K658" s="2"/>
      <c r="L658" s="5"/>
      <c r="M658" s="5"/>
      <c r="N658" s="5"/>
      <c r="O658" s="5"/>
      <c r="P658" s="5"/>
      <c r="Q658" s="5"/>
      <c r="R658" s="2"/>
      <c r="S658" s="2"/>
      <c r="T658" s="2"/>
      <c r="U658" s="2"/>
      <c r="V658" s="2"/>
      <c r="W658" s="2"/>
      <c r="X658" s="6"/>
      <c r="Y658" s="2"/>
      <c r="Z658" s="2"/>
      <c r="AA658" s="2"/>
      <c r="AB658" s="2"/>
      <c r="AC658" s="6"/>
      <c r="AD658" s="2"/>
      <c r="AE658" s="2"/>
      <c r="AF658" s="2"/>
      <c r="AG658" s="2"/>
      <c r="AH658" s="2"/>
      <c r="AI658" s="6"/>
      <c r="AJ658" s="2"/>
      <c r="AK658" s="56"/>
      <c r="AL658" s="2"/>
      <c r="AM658" s="2"/>
      <c r="AN658" s="2"/>
      <c r="AO658" s="2"/>
      <c r="AP658" s="6"/>
      <c r="AQ658" s="2"/>
      <c r="AR658" s="2"/>
      <c r="AS658" s="2"/>
      <c r="AT658" s="2"/>
      <c r="AU658" s="2"/>
      <c r="AV658" s="2"/>
      <c r="AW658" s="2"/>
      <c r="AX658" s="6"/>
      <c r="AY658" s="2"/>
      <c r="AZ658" s="2"/>
      <c r="BA658" s="2"/>
      <c r="BB658" s="2"/>
      <c r="BC658" s="2"/>
      <c r="BD658" s="6"/>
      <c r="BE658" s="2"/>
      <c r="BF658" s="6"/>
      <c r="BG658" s="58"/>
      <c r="BH658" s="6"/>
      <c r="BI658" s="2"/>
    </row>
    <row r="659" ht="12.75" customHeight="1">
      <c r="A659" s="71"/>
      <c r="B659" s="71"/>
      <c r="C659" s="11"/>
      <c r="D659" s="11"/>
      <c r="E659" s="2"/>
      <c r="F659" s="2"/>
      <c r="G659" s="2"/>
      <c r="H659" s="54"/>
      <c r="I659" s="4"/>
      <c r="J659" s="2"/>
      <c r="K659" s="2"/>
      <c r="L659" s="5"/>
      <c r="M659" s="5"/>
      <c r="N659" s="5"/>
      <c r="O659" s="5"/>
      <c r="P659" s="5"/>
      <c r="Q659" s="5"/>
      <c r="R659" s="2"/>
      <c r="S659" s="2"/>
      <c r="T659" s="2"/>
      <c r="U659" s="2"/>
      <c r="V659" s="2"/>
      <c r="W659" s="2"/>
      <c r="X659" s="6"/>
      <c r="Y659" s="2"/>
      <c r="Z659" s="2"/>
      <c r="AA659" s="2"/>
      <c r="AB659" s="2"/>
      <c r="AC659" s="6"/>
      <c r="AD659" s="2"/>
      <c r="AE659" s="2"/>
      <c r="AF659" s="2"/>
      <c r="AG659" s="2"/>
      <c r="AH659" s="2"/>
      <c r="AI659" s="6"/>
      <c r="AJ659" s="2"/>
      <c r="AK659" s="56"/>
      <c r="AL659" s="2"/>
      <c r="AM659" s="2"/>
      <c r="AN659" s="2"/>
      <c r="AO659" s="2"/>
      <c r="AP659" s="6"/>
      <c r="AQ659" s="2"/>
      <c r="AR659" s="2"/>
      <c r="AS659" s="2"/>
      <c r="AT659" s="2"/>
      <c r="AU659" s="2"/>
      <c r="AV659" s="2"/>
      <c r="AW659" s="2"/>
      <c r="AX659" s="6"/>
      <c r="AY659" s="2"/>
      <c r="AZ659" s="2"/>
      <c r="BA659" s="2"/>
      <c r="BB659" s="2"/>
      <c r="BC659" s="2"/>
      <c r="BD659" s="6"/>
      <c r="BE659" s="2"/>
      <c r="BF659" s="6"/>
      <c r="BG659" s="58"/>
      <c r="BH659" s="6"/>
      <c r="BI659" s="2"/>
    </row>
    <row r="660" ht="12.75" customHeight="1">
      <c r="A660" s="71"/>
      <c r="B660" s="71"/>
      <c r="C660" s="11"/>
      <c r="D660" s="11"/>
      <c r="E660" s="2"/>
      <c r="F660" s="2"/>
      <c r="G660" s="2"/>
      <c r="H660" s="54"/>
      <c r="I660" s="4"/>
      <c r="J660" s="2"/>
      <c r="K660" s="2"/>
      <c r="L660" s="5"/>
      <c r="M660" s="5"/>
      <c r="N660" s="5"/>
      <c r="O660" s="5"/>
      <c r="P660" s="5"/>
      <c r="Q660" s="5"/>
      <c r="R660" s="2"/>
      <c r="S660" s="2"/>
      <c r="T660" s="2"/>
      <c r="U660" s="2"/>
      <c r="V660" s="2"/>
      <c r="W660" s="2"/>
      <c r="X660" s="6"/>
      <c r="Y660" s="2"/>
      <c r="Z660" s="2"/>
      <c r="AA660" s="2"/>
      <c r="AB660" s="2"/>
      <c r="AC660" s="6"/>
      <c r="AD660" s="2"/>
      <c r="AE660" s="2"/>
      <c r="AF660" s="2"/>
      <c r="AG660" s="2"/>
      <c r="AH660" s="2"/>
      <c r="AI660" s="6"/>
      <c r="AJ660" s="2"/>
      <c r="AK660" s="56"/>
      <c r="AL660" s="2"/>
      <c r="AM660" s="2"/>
      <c r="AN660" s="2"/>
      <c r="AO660" s="2"/>
      <c r="AP660" s="6"/>
      <c r="AQ660" s="2"/>
      <c r="AR660" s="2"/>
      <c r="AS660" s="2"/>
      <c r="AT660" s="2"/>
      <c r="AU660" s="2"/>
      <c r="AV660" s="2"/>
      <c r="AW660" s="2"/>
      <c r="AX660" s="6"/>
      <c r="AY660" s="2"/>
      <c r="AZ660" s="2"/>
      <c r="BA660" s="2"/>
      <c r="BB660" s="2"/>
      <c r="BC660" s="2"/>
      <c r="BD660" s="6"/>
      <c r="BE660" s="2"/>
      <c r="BF660" s="6"/>
      <c r="BG660" s="58"/>
      <c r="BH660" s="6"/>
      <c r="BI660" s="2"/>
    </row>
    <row r="661" ht="12.75" customHeight="1">
      <c r="A661" s="71"/>
      <c r="B661" s="71"/>
      <c r="C661" s="11"/>
      <c r="D661" s="11"/>
      <c r="E661" s="2"/>
      <c r="F661" s="2"/>
      <c r="G661" s="2"/>
      <c r="H661" s="54"/>
      <c r="I661" s="4"/>
      <c r="J661" s="2"/>
      <c r="K661" s="2"/>
      <c r="L661" s="5"/>
      <c r="M661" s="5"/>
      <c r="N661" s="5"/>
      <c r="O661" s="5"/>
      <c r="P661" s="5"/>
      <c r="Q661" s="5"/>
      <c r="R661" s="2"/>
      <c r="S661" s="2"/>
      <c r="T661" s="2"/>
      <c r="U661" s="2"/>
      <c r="V661" s="2"/>
      <c r="W661" s="2"/>
      <c r="X661" s="6"/>
      <c r="Y661" s="2"/>
      <c r="Z661" s="2"/>
      <c r="AA661" s="2"/>
      <c r="AB661" s="2"/>
      <c r="AC661" s="6"/>
      <c r="AD661" s="2"/>
      <c r="AE661" s="2"/>
      <c r="AF661" s="2"/>
      <c r="AG661" s="2"/>
      <c r="AH661" s="2"/>
      <c r="AI661" s="6"/>
      <c r="AJ661" s="2"/>
      <c r="AK661" s="56"/>
      <c r="AL661" s="2"/>
      <c r="AM661" s="2"/>
      <c r="AN661" s="2"/>
      <c r="AO661" s="2"/>
      <c r="AP661" s="6"/>
      <c r="AQ661" s="2"/>
      <c r="AR661" s="2"/>
      <c r="AS661" s="2"/>
      <c r="AT661" s="2"/>
      <c r="AU661" s="2"/>
      <c r="AV661" s="2"/>
      <c r="AW661" s="2"/>
      <c r="AX661" s="6"/>
      <c r="AY661" s="2"/>
      <c r="AZ661" s="2"/>
      <c r="BA661" s="2"/>
      <c r="BB661" s="2"/>
      <c r="BC661" s="2"/>
      <c r="BD661" s="6"/>
      <c r="BE661" s="2"/>
      <c r="BF661" s="6"/>
      <c r="BG661" s="58"/>
      <c r="BH661" s="6"/>
      <c r="BI661" s="2"/>
    </row>
    <row r="662" ht="12.75" customHeight="1">
      <c r="A662" s="71"/>
      <c r="B662" s="71"/>
      <c r="C662" s="11"/>
      <c r="D662" s="11"/>
      <c r="E662" s="2"/>
      <c r="F662" s="2"/>
      <c r="G662" s="2"/>
      <c r="H662" s="54"/>
      <c r="I662" s="4"/>
      <c r="J662" s="2"/>
      <c r="K662" s="2"/>
      <c r="L662" s="5"/>
      <c r="M662" s="5"/>
      <c r="N662" s="5"/>
      <c r="O662" s="5"/>
      <c r="P662" s="5"/>
      <c r="Q662" s="5"/>
      <c r="R662" s="2"/>
      <c r="S662" s="2"/>
      <c r="T662" s="2"/>
      <c r="U662" s="2"/>
      <c r="V662" s="2"/>
      <c r="W662" s="2"/>
      <c r="X662" s="6"/>
      <c r="Y662" s="2"/>
      <c r="Z662" s="2"/>
      <c r="AA662" s="2"/>
      <c r="AB662" s="2"/>
      <c r="AC662" s="6"/>
      <c r="AD662" s="2"/>
      <c r="AE662" s="2"/>
      <c r="AF662" s="2"/>
      <c r="AG662" s="2"/>
      <c r="AH662" s="2"/>
      <c r="AI662" s="6"/>
      <c r="AJ662" s="2"/>
      <c r="AK662" s="56"/>
      <c r="AL662" s="2"/>
      <c r="AM662" s="2"/>
      <c r="AN662" s="2"/>
      <c r="AO662" s="2"/>
      <c r="AP662" s="6"/>
      <c r="AQ662" s="2"/>
      <c r="AR662" s="2"/>
      <c r="AS662" s="2"/>
      <c r="AT662" s="2"/>
      <c r="AU662" s="2"/>
      <c r="AV662" s="2"/>
      <c r="AW662" s="2"/>
      <c r="AX662" s="6"/>
      <c r="AY662" s="2"/>
      <c r="AZ662" s="2"/>
      <c r="BA662" s="2"/>
      <c r="BB662" s="2"/>
      <c r="BC662" s="2"/>
      <c r="BD662" s="6"/>
      <c r="BE662" s="2"/>
      <c r="BF662" s="6"/>
      <c r="BG662" s="58"/>
      <c r="BH662" s="6"/>
      <c r="BI662" s="2"/>
    </row>
    <row r="663" ht="12.75" customHeight="1">
      <c r="A663" s="71"/>
      <c r="B663" s="71"/>
      <c r="C663" s="11"/>
      <c r="D663" s="11"/>
      <c r="E663" s="2"/>
      <c r="F663" s="2"/>
      <c r="G663" s="2"/>
      <c r="H663" s="54"/>
      <c r="I663" s="4"/>
      <c r="J663" s="2"/>
      <c r="K663" s="2"/>
      <c r="L663" s="5"/>
      <c r="M663" s="5"/>
      <c r="N663" s="5"/>
      <c r="O663" s="5"/>
      <c r="P663" s="5"/>
      <c r="Q663" s="5"/>
      <c r="R663" s="2"/>
      <c r="S663" s="2"/>
      <c r="T663" s="2"/>
      <c r="U663" s="2"/>
      <c r="V663" s="2"/>
      <c r="W663" s="2"/>
      <c r="X663" s="6"/>
      <c r="Y663" s="2"/>
      <c r="Z663" s="2"/>
      <c r="AA663" s="2"/>
      <c r="AB663" s="2"/>
      <c r="AC663" s="6"/>
      <c r="AD663" s="2"/>
      <c r="AE663" s="2"/>
      <c r="AF663" s="2"/>
      <c r="AG663" s="2"/>
      <c r="AH663" s="2"/>
      <c r="AI663" s="6"/>
      <c r="AJ663" s="2"/>
      <c r="AK663" s="56"/>
      <c r="AL663" s="2"/>
      <c r="AM663" s="2"/>
      <c r="AN663" s="2"/>
      <c r="AO663" s="2"/>
      <c r="AP663" s="6"/>
      <c r="AQ663" s="2"/>
      <c r="AR663" s="2"/>
      <c r="AS663" s="2"/>
      <c r="AT663" s="2"/>
      <c r="AU663" s="2"/>
      <c r="AV663" s="2"/>
      <c r="AW663" s="2"/>
      <c r="AX663" s="6"/>
      <c r="AY663" s="2"/>
      <c r="AZ663" s="2"/>
      <c r="BA663" s="2"/>
      <c r="BB663" s="2"/>
      <c r="BC663" s="2"/>
      <c r="BD663" s="6"/>
      <c r="BE663" s="2"/>
      <c r="BF663" s="6"/>
      <c r="BG663" s="58"/>
      <c r="BH663" s="6"/>
      <c r="BI663" s="2"/>
    </row>
    <row r="664" ht="12.75" customHeight="1">
      <c r="A664" s="71"/>
      <c r="B664" s="71"/>
      <c r="C664" s="11"/>
      <c r="D664" s="11"/>
      <c r="E664" s="2"/>
      <c r="F664" s="2"/>
      <c r="G664" s="2"/>
      <c r="H664" s="54"/>
      <c r="I664" s="4"/>
      <c r="J664" s="2"/>
      <c r="K664" s="2"/>
      <c r="L664" s="5"/>
      <c r="M664" s="5"/>
      <c r="N664" s="5"/>
      <c r="O664" s="5"/>
      <c r="P664" s="5"/>
      <c r="Q664" s="5"/>
      <c r="R664" s="2"/>
      <c r="S664" s="2"/>
      <c r="T664" s="2"/>
      <c r="U664" s="2"/>
      <c r="V664" s="2"/>
      <c r="W664" s="2"/>
      <c r="X664" s="6"/>
      <c r="Y664" s="2"/>
      <c r="Z664" s="2"/>
      <c r="AA664" s="2"/>
      <c r="AB664" s="2"/>
      <c r="AC664" s="6"/>
      <c r="AD664" s="2"/>
      <c r="AE664" s="2"/>
      <c r="AF664" s="2"/>
      <c r="AG664" s="2"/>
      <c r="AH664" s="2"/>
      <c r="AI664" s="6"/>
      <c r="AJ664" s="2"/>
      <c r="AK664" s="56"/>
      <c r="AL664" s="2"/>
      <c r="AM664" s="2"/>
      <c r="AN664" s="2"/>
      <c r="AO664" s="2"/>
      <c r="AP664" s="6"/>
      <c r="AQ664" s="2"/>
      <c r="AR664" s="2"/>
      <c r="AS664" s="2"/>
      <c r="AT664" s="2"/>
      <c r="AU664" s="2"/>
      <c r="AV664" s="2"/>
      <c r="AW664" s="2"/>
      <c r="AX664" s="6"/>
      <c r="AY664" s="2"/>
      <c r="AZ664" s="2"/>
      <c r="BA664" s="2"/>
      <c r="BB664" s="2"/>
      <c r="BC664" s="2"/>
      <c r="BD664" s="6"/>
      <c r="BE664" s="2"/>
      <c r="BF664" s="6"/>
      <c r="BG664" s="58"/>
      <c r="BH664" s="6"/>
      <c r="BI664" s="2"/>
    </row>
    <row r="665" ht="12.75" customHeight="1">
      <c r="A665" s="71"/>
      <c r="B665" s="71"/>
      <c r="C665" s="11"/>
      <c r="D665" s="11"/>
      <c r="E665" s="2"/>
      <c r="F665" s="2"/>
      <c r="G665" s="2"/>
      <c r="H665" s="54"/>
      <c r="I665" s="4"/>
      <c r="J665" s="2"/>
      <c r="K665" s="2"/>
      <c r="L665" s="5"/>
      <c r="M665" s="5"/>
      <c r="N665" s="5"/>
      <c r="O665" s="5"/>
      <c r="P665" s="5"/>
      <c r="Q665" s="5"/>
      <c r="R665" s="2"/>
      <c r="S665" s="2"/>
      <c r="T665" s="2"/>
      <c r="U665" s="2"/>
      <c r="V665" s="2"/>
      <c r="W665" s="2"/>
      <c r="X665" s="6"/>
      <c r="Y665" s="2"/>
      <c r="Z665" s="2"/>
      <c r="AA665" s="2"/>
      <c r="AB665" s="2"/>
      <c r="AC665" s="6"/>
      <c r="AD665" s="2"/>
      <c r="AE665" s="2"/>
      <c r="AF665" s="2"/>
      <c r="AG665" s="2"/>
      <c r="AH665" s="2"/>
      <c r="AI665" s="6"/>
      <c r="AJ665" s="2"/>
      <c r="AK665" s="56"/>
      <c r="AL665" s="2"/>
      <c r="AM665" s="2"/>
      <c r="AN665" s="2"/>
      <c r="AO665" s="2"/>
      <c r="AP665" s="6"/>
      <c r="AQ665" s="2"/>
      <c r="AR665" s="2"/>
      <c r="AS665" s="2"/>
      <c r="AT665" s="2"/>
      <c r="AU665" s="2"/>
      <c r="AV665" s="2"/>
      <c r="AW665" s="2"/>
      <c r="AX665" s="6"/>
      <c r="AY665" s="2"/>
      <c r="AZ665" s="2"/>
      <c r="BA665" s="2"/>
      <c r="BB665" s="2"/>
      <c r="BC665" s="2"/>
      <c r="BD665" s="6"/>
      <c r="BE665" s="2"/>
      <c r="BF665" s="6"/>
      <c r="BG665" s="58"/>
      <c r="BH665" s="6"/>
      <c r="BI665" s="2"/>
    </row>
    <row r="666" ht="12.75" customHeight="1">
      <c r="A666" s="71"/>
      <c r="B666" s="71"/>
      <c r="C666" s="11"/>
      <c r="D666" s="11"/>
      <c r="E666" s="2"/>
      <c r="F666" s="2"/>
      <c r="G666" s="2"/>
      <c r="H666" s="54"/>
      <c r="I666" s="4"/>
      <c r="J666" s="2"/>
      <c r="K666" s="2"/>
      <c r="L666" s="5"/>
      <c r="M666" s="5"/>
      <c r="N666" s="5"/>
      <c r="O666" s="5"/>
      <c r="P666" s="5"/>
      <c r="Q666" s="5"/>
      <c r="R666" s="2"/>
      <c r="S666" s="2"/>
      <c r="T666" s="2"/>
      <c r="U666" s="2"/>
      <c r="V666" s="2"/>
      <c r="W666" s="2"/>
      <c r="X666" s="6"/>
      <c r="Y666" s="2"/>
      <c r="Z666" s="2"/>
      <c r="AA666" s="2"/>
      <c r="AB666" s="2"/>
      <c r="AC666" s="6"/>
      <c r="AD666" s="2"/>
      <c r="AE666" s="2"/>
      <c r="AF666" s="2"/>
      <c r="AG666" s="2"/>
      <c r="AH666" s="2"/>
      <c r="AI666" s="6"/>
      <c r="AJ666" s="2"/>
      <c r="AK666" s="56"/>
      <c r="AL666" s="2"/>
      <c r="AM666" s="2"/>
      <c r="AN666" s="2"/>
      <c r="AO666" s="2"/>
      <c r="AP666" s="6"/>
      <c r="AQ666" s="2"/>
      <c r="AR666" s="2"/>
      <c r="AS666" s="2"/>
      <c r="AT666" s="2"/>
      <c r="AU666" s="2"/>
      <c r="AV666" s="2"/>
      <c r="AW666" s="2"/>
      <c r="AX666" s="6"/>
      <c r="AY666" s="2"/>
      <c r="AZ666" s="2"/>
      <c r="BA666" s="2"/>
      <c r="BB666" s="2"/>
      <c r="BC666" s="2"/>
      <c r="BD666" s="6"/>
      <c r="BE666" s="2"/>
      <c r="BF666" s="6"/>
      <c r="BG666" s="58"/>
      <c r="BH666" s="6"/>
      <c r="BI666" s="2"/>
    </row>
    <row r="667" ht="12.75" customHeight="1">
      <c r="A667" s="71"/>
      <c r="B667" s="71"/>
      <c r="C667" s="11"/>
      <c r="D667" s="11"/>
      <c r="E667" s="2"/>
      <c r="F667" s="2"/>
      <c r="G667" s="2"/>
      <c r="H667" s="54"/>
      <c r="I667" s="4"/>
      <c r="J667" s="2"/>
      <c r="K667" s="2"/>
      <c r="L667" s="5"/>
      <c r="M667" s="5"/>
      <c r="N667" s="5"/>
      <c r="O667" s="5"/>
      <c r="P667" s="5"/>
      <c r="Q667" s="5"/>
      <c r="R667" s="2"/>
      <c r="S667" s="2"/>
      <c r="T667" s="2"/>
      <c r="U667" s="2"/>
      <c r="V667" s="2"/>
      <c r="W667" s="2"/>
      <c r="X667" s="6"/>
      <c r="Y667" s="2"/>
      <c r="Z667" s="2"/>
      <c r="AA667" s="2"/>
      <c r="AB667" s="2"/>
      <c r="AC667" s="6"/>
      <c r="AD667" s="2"/>
      <c r="AE667" s="2"/>
      <c r="AF667" s="2"/>
      <c r="AG667" s="2"/>
      <c r="AH667" s="2"/>
      <c r="AI667" s="6"/>
      <c r="AJ667" s="2"/>
      <c r="AK667" s="56"/>
      <c r="AL667" s="2"/>
      <c r="AM667" s="2"/>
      <c r="AN667" s="2"/>
      <c r="AO667" s="2"/>
      <c r="AP667" s="6"/>
      <c r="AQ667" s="2"/>
      <c r="AR667" s="2"/>
      <c r="AS667" s="2"/>
      <c r="AT667" s="2"/>
      <c r="AU667" s="2"/>
      <c r="AV667" s="2"/>
      <c r="AW667" s="2"/>
      <c r="AX667" s="6"/>
      <c r="AY667" s="2"/>
      <c r="AZ667" s="2"/>
      <c r="BA667" s="2"/>
      <c r="BB667" s="2"/>
      <c r="BC667" s="2"/>
      <c r="BD667" s="6"/>
      <c r="BE667" s="2"/>
      <c r="BF667" s="6"/>
      <c r="BG667" s="58"/>
      <c r="BH667" s="6"/>
      <c r="BI667" s="2"/>
    </row>
    <row r="668" ht="12.75" customHeight="1">
      <c r="A668" s="71"/>
      <c r="B668" s="71"/>
      <c r="C668" s="11"/>
      <c r="D668" s="11"/>
      <c r="E668" s="2"/>
      <c r="F668" s="2"/>
      <c r="G668" s="2"/>
      <c r="H668" s="54"/>
      <c r="I668" s="4"/>
      <c r="J668" s="2"/>
      <c r="K668" s="2"/>
      <c r="L668" s="5"/>
      <c r="M668" s="5"/>
      <c r="N668" s="5"/>
      <c r="O668" s="5"/>
      <c r="P668" s="5"/>
      <c r="Q668" s="5"/>
      <c r="R668" s="2"/>
      <c r="S668" s="2"/>
      <c r="T668" s="2"/>
      <c r="U668" s="2"/>
      <c r="V668" s="2"/>
      <c r="W668" s="2"/>
      <c r="X668" s="6"/>
      <c r="Y668" s="2"/>
      <c r="Z668" s="2"/>
      <c r="AA668" s="2"/>
      <c r="AB668" s="2"/>
      <c r="AC668" s="6"/>
      <c r="AD668" s="2"/>
      <c r="AE668" s="2"/>
      <c r="AF668" s="2"/>
      <c r="AG668" s="2"/>
      <c r="AH668" s="2"/>
      <c r="AI668" s="6"/>
      <c r="AJ668" s="2"/>
      <c r="AK668" s="56"/>
      <c r="AL668" s="2"/>
      <c r="AM668" s="2"/>
      <c r="AN668" s="2"/>
      <c r="AO668" s="2"/>
      <c r="AP668" s="6"/>
      <c r="AQ668" s="2"/>
      <c r="AR668" s="2"/>
      <c r="AS668" s="2"/>
      <c r="AT668" s="2"/>
      <c r="AU668" s="2"/>
      <c r="AV668" s="2"/>
      <c r="AW668" s="2"/>
      <c r="AX668" s="6"/>
      <c r="AY668" s="2"/>
      <c r="AZ668" s="2"/>
      <c r="BA668" s="2"/>
      <c r="BB668" s="2"/>
      <c r="BC668" s="2"/>
      <c r="BD668" s="6"/>
      <c r="BE668" s="2"/>
      <c r="BF668" s="6"/>
      <c r="BG668" s="58"/>
      <c r="BH668" s="6"/>
      <c r="BI668" s="2"/>
    </row>
    <row r="669" ht="12.75" customHeight="1">
      <c r="A669" s="71"/>
      <c r="B669" s="71"/>
      <c r="C669" s="11"/>
      <c r="D669" s="11"/>
      <c r="E669" s="2"/>
      <c r="F669" s="2"/>
      <c r="G669" s="2"/>
      <c r="H669" s="54"/>
      <c r="I669" s="4"/>
      <c r="J669" s="2"/>
      <c r="K669" s="2"/>
      <c r="L669" s="5"/>
      <c r="M669" s="5"/>
      <c r="N669" s="5"/>
      <c r="O669" s="5"/>
      <c r="P669" s="5"/>
      <c r="Q669" s="5"/>
      <c r="R669" s="2"/>
      <c r="S669" s="2"/>
      <c r="T669" s="2"/>
      <c r="U669" s="2"/>
      <c r="V669" s="2"/>
      <c r="W669" s="2"/>
      <c r="X669" s="6"/>
      <c r="Y669" s="2"/>
      <c r="Z669" s="2"/>
      <c r="AA669" s="2"/>
      <c r="AB669" s="2"/>
      <c r="AC669" s="6"/>
      <c r="AD669" s="2"/>
      <c r="AE669" s="2"/>
      <c r="AF669" s="2"/>
      <c r="AG669" s="2"/>
      <c r="AH669" s="2"/>
      <c r="AI669" s="6"/>
      <c r="AJ669" s="2"/>
      <c r="AK669" s="56"/>
      <c r="AL669" s="2"/>
      <c r="AM669" s="2"/>
      <c r="AN669" s="2"/>
      <c r="AO669" s="2"/>
      <c r="AP669" s="6"/>
      <c r="AQ669" s="2"/>
      <c r="AR669" s="2"/>
      <c r="AS669" s="2"/>
      <c r="AT669" s="2"/>
      <c r="AU669" s="2"/>
      <c r="AV669" s="2"/>
      <c r="AW669" s="2"/>
      <c r="AX669" s="6"/>
      <c r="AY669" s="2"/>
      <c r="AZ669" s="2"/>
      <c r="BA669" s="2"/>
      <c r="BB669" s="2"/>
      <c r="BC669" s="2"/>
      <c r="BD669" s="6"/>
      <c r="BE669" s="2"/>
      <c r="BF669" s="6"/>
      <c r="BG669" s="58"/>
      <c r="BH669" s="6"/>
      <c r="BI669" s="2"/>
    </row>
    <row r="670" ht="12.75" customHeight="1">
      <c r="A670" s="71"/>
      <c r="B670" s="71"/>
      <c r="C670" s="11"/>
      <c r="D670" s="11"/>
      <c r="E670" s="2"/>
      <c r="F670" s="2"/>
      <c r="G670" s="2"/>
      <c r="H670" s="54"/>
      <c r="I670" s="4"/>
      <c r="J670" s="2"/>
      <c r="K670" s="2"/>
      <c r="L670" s="5"/>
      <c r="M670" s="5"/>
      <c r="N670" s="5"/>
      <c r="O670" s="5"/>
      <c r="P670" s="5"/>
      <c r="Q670" s="5"/>
      <c r="R670" s="2"/>
      <c r="S670" s="2"/>
      <c r="T670" s="2"/>
      <c r="U670" s="2"/>
      <c r="V670" s="2"/>
      <c r="W670" s="2"/>
      <c r="X670" s="6"/>
      <c r="Y670" s="2"/>
      <c r="Z670" s="2"/>
      <c r="AA670" s="2"/>
      <c r="AB670" s="2"/>
      <c r="AC670" s="6"/>
      <c r="AD670" s="2"/>
      <c r="AE670" s="2"/>
      <c r="AF670" s="2"/>
      <c r="AG670" s="2"/>
      <c r="AH670" s="2"/>
      <c r="AI670" s="6"/>
      <c r="AJ670" s="2"/>
      <c r="AK670" s="56"/>
      <c r="AL670" s="2"/>
      <c r="AM670" s="2"/>
      <c r="AN670" s="2"/>
      <c r="AO670" s="2"/>
      <c r="AP670" s="6"/>
      <c r="AQ670" s="2"/>
      <c r="AR670" s="2"/>
      <c r="AS670" s="2"/>
      <c r="AT670" s="2"/>
      <c r="AU670" s="2"/>
      <c r="AV670" s="2"/>
      <c r="AW670" s="2"/>
      <c r="AX670" s="6"/>
      <c r="AY670" s="2"/>
      <c r="AZ670" s="2"/>
      <c r="BA670" s="2"/>
      <c r="BB670" s="2"/>
      <c r="BC670" s="2"/>
      <c r="BD670" s="6"/>
      <c r="BE670" s="2"/>
      <c r="BF670" s="6"/>
      <c r="BG670" s="58"/>
      <c r="BH670" s="6"/>
      <c r="BI670" s="2"/>
    </row>
    <row r="671" ht="12.75" customHeight="1">
      <c r="A671" s="71"/>
      <c r="B671" s="71"/>
      <c r="C671" s="11"/>
      <c r="D671" s="11"/>
      <c r="E671" s="2"/>
      <c r="F671" s="2"/>
      <c r="G671" s="2"/>
      <c r="H671" s="54"/>
      <c r="I671" s="4"/>
      <c r="J671" s="2"/>
      <c r="K671" s="2"/>
      <c r="L671" s="5"/>
      <c r="M671" s="5"/>
      <c r="N671" s="5"/>
      <c r="O671" s="5"/>
      <c r="P671" s="5"/>
      <c r="Q671" s="5"/>
      <c r="R671" s="2"/>
      <c r="S671" s="2"/>
      <c r="T671" s="2"/>
      <c r="U671" s="2"/>
      <c r="V671" s="2"/>
      <c r="W671" s="2"/>
      <c r="X671" s="6"/>
      <c r="Y671" s="2"/>
      <c r="Z671" s="2"/>
      <c r="AA671" s="2"/>
      <c r="AB671" s="2"/>
      <c r="AC671" s="6"/>
      <c r="AD671" s="2"/>
      <c r="AE671" s="2"/>
      <c r="AF671" s="2"/>
      <c r="AG671" s="2"/>
      <c r="AH671" s="2"/>
      <c r="AI671" s="6"/>
      <c r="AJ671" s="2"/>
      <c r="AK671" s="56"/>
      <c r="AL671" s="2"/>
      <c r="AM671" s="2"/>
      <c r="AN671" s="2"/>
      <c r="AO671" s="2"/>
      <c r="AP671" s="6"/>
      <c r="AQ671" s="2"/>
      <c r="AR671" s="2"/>
      <c r="AS671" s="2"/>
      <c r="AT671" s="2"/>
      <c r="AU671" s="2"/>
      <c r="AV671" s="2"/>
      <c r="AW671" s="2"/>
      <c r="AX671" s="6"/>
      <c r="AY671" s="2"/>
      <c r="AZ671" s="2"/>
      <c r="BA671" s="2"/>
      <c r="BB671" s="2"/>
      <c r="BC671" s="2"/>
      <c r="BD671" s="6"/>
      <c r="BE671" s="2"/>
      <c r="BF671" s="6"/>
      <c r="BG671" s="58"/>
      <c r="BH671" s="6"/>
      <c r="BI671" s="2"/>
    </row>
    <row r="672" ht="12.75" customHeight="1">
      <c r="A672" s="71"/>
      <c r="B672" s="71"/>
      <c r="C672" s="11"/>
      <c r="D672" s="11"/>
      <c r="E672" s="2"/>
      <c r="F672" s="2"/>
      <c r="G672" s="2"/>
      <c r="H672" s="54"/>
      <c r="I672" s="4"/>
      <c r="J672" s="2"/>
      <c r="K672" s="2"/>
      <c r="L672" s="5"/>
      <c r="M672" s="5"/>
      <c r="N672" s="5"/>
      <c r="O672" s="5"/>
      <c r="P672" s="5"/>
      <c r="Q672" s="5"/>
      <c r="R672" s="2"/>
      <c r="S672" s="2"/>
      <c r="T672" s="2"/>
      <c r="U672" s="2"/>
      <c r="V672" s="2"/>
      <c r="W672" s="2"/>
      <c r="X672" s="6"/>
      <c r="Y672" s="2"/>
      <c r="Z672" s="2"/>
      <c r="AA672" s="2"/>
      <c r="AB672" s="2"/>
      <c r="AC672" s="6"/>
      <c r="AD672" s="2"/>
      <c r="AE672" s="2"/>
      <c r="AF672" s="2"/>
      <c r="AG672" s="2"/>
      <c r="AH672" s="2"/>
      <c r="AI672" s="6"/>
      <c r="AJ672" s="2"/>
      <c r="AK672" s="56"/>
      <c r="AL672" s="2"/>
      <c r="AM672" s="2"/>
      <c r="AN672" s="2"/>
      <c r="AO672" s="2"/>
      <c r="AP672" s="6"/>
      <c r="AQ672" s="2"/>
      <c r="AR672" s="2"/>
      <c r="AS672" s="2"/>
      <c r="AT672" s="2"/>
      <c r="AU672" s="2"/>
      <c r="AV672" s="2"/>
      <c r="AW672" s="2"/>
      <c r="AX672" s="6"/>
      <c r="AY672" s="2"/>
      <c r="AZ672" s="2"/>
      <c r="BA672" s="2"/>
      <c r="BB672" s="2"/>
      <c r="BC672" s="2"/>
      <c r="BD672" s="6"/>
      <c r="BE672" s="2"/>
      <c r="BF672" s="6"/>
      <c r="BG672" s="58"/>
      <c r="BH672" s="6"/>
      <c r="BI672" s="2"/>
    </row>
    <row r="673" ht="12.75" customHeight="1">
      <c r="A673" s="71"/>
      <c r="B673" s="71"/>
      <c r="C673" s="11"/>
      <c r="D673" s="11"/>
      <c r="E673" s="2"/>
      <c r="F673" s="2"/>
      <c r="G673" s="2"/>
      <c r="H673" s="54"/>
      <c r="I673" s="4"/>
      <c r="J673" s="2"/>
      <c r="K673" s="2"/>
      <c r="L673" s="5"/>
      <c r="M673" s="5"/>
      <c r="N673" s="5"/>
      <c r="O673" s="5"/>
      <c r="P673" s="5"/>
      <c r="Q673" s="5"/>
      <c r="R673" s="2"/>
      <c r="S673" s="2"/>
      <c r="T673" s="2"/>
      <c r="U673" s="2"/>
      <c r="V673" s="2"/>
      <c r="W673" s="2"/>
      <c r="X673" s="6"/>
      <c r="Y673" s="2"/>
      <c r="Z673" s="2"/>
      <c r="AA673" s="2"/>
      <c r="AB673" s="2"/>
      <c r="AC673" s="6"/>
      <c r="AD673" s="2"/>
      <c r="AE673" s="2"/>
      <c r="AF673" s="2"/>
      <c r="AG673" s="2"/>
      <c r="AH673" s="2"/>
      <c r="AI673" s="6"/>
      <c r="AJ673" s="2"/>
      <c r="AK673" s="56"/>
      <c r="AL673" s="2"/>
      <c r="AM673" s="2"/>
      <c r="AN673" s="2"/>
      <c r="AO673" s="2"/>
      <c r="AP673" s="6"/>
      <c r="AQ673" s="2"/>
      <c r="AR673" s="2"/>
      <c r="AS673" s="2"/>
      <c r="AT673" s="2"/>
      <c r="AU673" s="2"/>
      <c r="AV673" s="2"/>
      <c r="AW673" s="2"/>
      <c r="AX673" s="6"/>
      <c r="AY673" s="2"/>
      <c r="AZ673" s="2"/>
      <c r="BA673" s="2"/>
      <c r="BB673" s="2"/>
      <c r="BC673" s="2"/>
      <c r="BD673" s="6"/>
      <c r="BE673" s="2"/>
      <c r="BF673" s="6"/>
      <c r="BG673" s="58"/>
      <c r="BH673" s="6"/>
      <c r="BI673" s="2"/>
    </row>
    <row r="674" ht="12.75" customHeight="1">
      <c r="A674" s="71"/>
      <c r="B674" s="71"/>
      <c r="C674" s="11"/>
      <c r="D674" s="11"/>
      <c r="E674" s="2"/>
      <c r="F674" s="2"/>
      <c r="G674" s="2"/>
      <c r="H674" s="54"/>
      <c r="I674" s="4"/>
      <c r="J674" s="2"/>
      <c r="K674" s="2"/>
      <c r="L674" s="5"/>
      <c r="M674" s="5"/>
      <c r="N674" s="5"/>
      <c r="O674" s="5"/>
      <c r="P674" s="5"/>
      <c r="Q674" s="5"/>
      <c r="R674" s="2"/>
      <c r="S674" s="2"/>
      <c r="T674" s="2"/>
      <c r="U674" s="2"/>
      <c r="V674" s="2"/>
      <c r="W674" s="2"/>
      <c r="X674" s="6"/>
      <c r="Y674" s="2"/>
      <c r="Z674" s="2"/>
      <c r="AA674" s="2"/>
      <c r="AB674" s="2"/>
      <c r="AC674" s="6"/>
      <c r="AD674" s="2"/>
      <c r="AE674" s="2"/>
      <c r="AF674" s="2"/>
      <c r="AG674" s="2"/>
      <c r="AH674" s="2"/>
      <c r="AI674" s="6"/>
      <c r="AJ674" s="2"/>
      <c r="AK674" s="56"/>
      <c r="AL674" s="2"/>
      <c r="AM674" s="2"/>
      <c r="AN674" s="2"/>
      <c r="AO674" s="2"/>
      <c r="AP674" s="6"/>
      <c r="AQ674" s="2"/>
      <c r="AR674" s="2"/>
      <c r="AS674" s="2"/>
      <c r="AT674" s="2"/>
      <c r="AU674" s="2"/>
      <c r="AV674" s="2"/>
      <c r="AW674" s="2"/>
      <c r="AX674" s="6"/>
      <c r="AY674" s="2"/>
      <c r="AZ674" s="2"/>
      <c r="BA674" s="2"/>
      <c r="BB674" s="2"/>
      <c r="BC674" s="2"/>
      <c r="BD674" s="6"/>
      <c r="BE674" s="2"/>
      <c r="BF674" s="6"/>
      <c r="BG674" s="58"/>
      <c r="BH674" s="6"/>
      <c r="BI674" s="2"/>
    </row>
    <row r="675" ht="12.75" customHeight="1">
      <c r="A675" s="71"/>
      <c r="B675" s="71"/>
      <c r="C675" s="11"/>
      <c r="D675" s="11"/>
      <c r="E675" s="2"/>
      <c r="F675" s="2"/>
      <c r="G675" s="2"/>
      <c r="H675" s="54"/>
      <c r="I675" s="4"/>
      <c r="J675" s="2"/>
      <c r="K675" s="2"/>
      <c r="L675" s="5"/>
      <c r="M675" s="5"/>
      <c r="N675" s="5"/>
      <c r="O675" s="5"/>
      <c r="P675" s="5"/>
      <c r="Q675" s="5"/>
      <c r="R675" s="2"/>
      <c r="S675" s="2"/>
      <c r="T675" s="2"/>
      <c r="U675" s="2"/>
      <c r="V675" s="2"/>
      <c r="W675" s="2"/>
      <c r="X675" s="6"/>
      <c r="Y675" s="2"/>
      <c r="Z675" s="2"/>
      <c r="AA675" s="2"/>
      <c r="AB675" s="2"/>
      <c r="AC675" s="6"/>
      <c r="AD675" s="2"/>
      <c r="AE675" s="2"/>
      <c r="AF675" s="2"/>
      <c r="AG675" s="2"/>
      <c r="AH675" s="2"/>
      <c r="AI675" s="6"/>
      <c r="AJ675" s="2"/>
      <c r="AK675" s="56"/>
      <c r="AL675" s="2"/>
      <c r="AM675" s="2"/>
      <c r="AN675" s="2"/>
      <c r="AO675" s="2"/>
      <c r="AP675" s="6"/>
      <c r="AQ675" s="2"/>
      <c r="AR675" s="2"/>
      <c r="AS675" s="2"/>
      <c r="AT675" s="2"/>
      <c r="AU675" s="2"/>
      <c r="AV675" s="2"/>
      <c r="AW675" s="2"/>
      <c r="AX675" s="6"/>
      <c r="AY675" s="2"/>
      <c r="AZ675" s="2"/>
      <c r="BA675" s="2"/>
      <c r="BB675" s="2"/>
      <c r="BC675" s="2"/>
      <c r="BD675" s="6"/>
      <c r="BE675" s="2"/>
      <c r="BF675" s="6"/>
      <c r="BG675" s="58"/>
      <c r="BH675" s="6"/>
      <c r="BI675" s="2"/>
    </row>
    <row r="676" ht="12.75" customHeight="1">
      <c r="A676" s="71"/>
      <c r="B676" s="71"/>
      <c r="C676" s="11"/>
      <c r="D676" s="11"/>
      <c r="E676" s="2"/>
      <c r="F676" s="2"/>
      <c r="G676" s="2"/>
      <c r="H676" s="54"/>
      <c r="I676" s="4"/>
      <c r="J676" s="2"/>
      <c r="K676" s="2"/>
      <c r="L676" s="5"/>
      <c r="M676" s="5"/>
      <c r="N676" s="5"/>
      <c r="O676" s="5"/>
      <c r="P676" s="5"/>
      <c r="Q676" s="5"/>
      <c r="R676" s="2"/>
      <c r="S676" s="2"/>
      <c r="T676" s="2"/>
      <c r="U676" s="2"/>
      <c r="V676" s="2"/>
      <c r="W676" s="2"/>
      <c r="X676" s="6"/>
      <c r="Y676" s="2"/>
      <c r="Z676" s="2"/>
      <c r="AA676" s="2"/>
      <c r="AB676" s="2"/>
      <c r="AC676" s="6"/>
      <c r="AD676" s="2"/>
      <c r="AE676" s="2"/>
      <c r="AF676" s="2"/>
      <c r="AG676" s="2"/>
      <c r="AH676" s="2"/>
      <c r="AI676" s="6"/>
      <c r="AJ676" s="2"/>
      <c r="AK676" s="56"/>
      <c r="AL676" s="2"/>
      <c r="AM676" s="2"/>
      <c r="AN676" s="2"/>
      <c r="AO676" s="2"/>
      <c r="AP676" s="6"/>
      <c r="AQ676" s="2"/>
      <c r="AR676" s="2"/>
      <c r="AS676" s="2"/>
      <c r="AT676" s="2"/>
      <c r="AU676" s="2"/>
      <c r="AV676" s="2"/>
      <c r="AW676" s="2"/>
      <c r="AX676" s="6"/>
      <c r="AY676" s="2"/>
      <c r="AZ676" s="2"/>
      <c r="BA676" s="2"/>
      <c r="BB676" s="2"/>
      <c r="BC676" s="2"/>
      <c r="BD676" s="6"/>
      <c r="BE676" s="2"/>
      <c r="BF676" s="6"/>
      <c r="BG676" s="58"/>
      <c r="BH676" s="6"/>
      <c r="BI676" s="2"/>
    </row>
    <row r="677" ht="12.75" customHeight="1">
      <c r="A677" s="71"/>
      <c r="B677" s="71"/>
      <c r="C677" s="11"/>
      <c r="D677" s="11"/>
      <c r="E677" s="2"/>
      <c r="F677" s="2"/>
      <c r="G677" s="2"/>
      <c r="H677" s="54"/>
      <c r="I677" s="4"/>
      <c r="J677" s="2"/>
      <c r="K677" s="2"/>
      <c r="L677" s="5"/>
      <c r="M677" s="5"/>
      <c r="N677" s="5"/>
      <c r="O677" s="5"/>
      <c r="P677" s="5"/>
      <c r="Q677" s="5"/>
      <c r="R677" s="2"/>
      <c r="S677" s="2"/>
      <c r="T677" s="2"/>
      <c r="U677" s="2"/>
      <c r="V677" s="2"/>
      <c r="W677" s="2"/>
      <c r="X677" s="6"/>
      <c r="Y677" s="2"/>
      <c r="Z677" s="2"/>
      <c r="AA677" s="2"/>
      <c r="AB677" s="2"/>
      <c r="AC677" s="6"/>
      <c r="AD677" s="2"/>
      <c r="AE677" s="2"/>
      <c r="AF677" s="2"/>
      <c r="AG677" s="2"/>
      <c r="AH677" s="2"/>
      <c r="AI677" s="6"/>
      <c r="AJ677" s="2"/>
      <c r="AK677" s="56"/>
      <c r="AL677" s="2"/>
      <c r="AM677" s="2"/>
      <c r="AN677" s="2"/>
      <c r="AO677" s="2"/>
      <c r="AP677" s="6"/>
      <c r="AQ677" s="2"/>
      <c r="AR677" s="2"/>
      <c r="AS677" s="2"/>
      <c r="AT677" s="2"/>
      <c r="AU677" s="2"/>
      <c r="AV677" s="2"/>
      <c r="AW677" s="2"/>
      <c r="AX677" s="6"/>
      <c r="AY677" s="2"/>
      <c r="AZ677" s="2"/>
      <c r="BA677" s="2"/>
      <c r="BB677" s="2"/>
      <c r="BC677" s="2"/>
      <c r="BD677" s="6"/>
      <c r="BE677" s="2"/>
      <c r="BF677" s="6"/>
      <c r="BG677" s="58"/>
      <c r="BH677" s="6"/>
      <c r="BI677" s="2"/>
    </row>
    <row r="678" ht="12.75" customHeight="1">
      <c r="A678" s="71"/>
      <c r="B678" s="71"/>
      <c r="C678" s="11"/>
      <c r="D678" s="11"/>
      <c r="E678" s="2"/>
      <c r="F678" s="2"/>
      <c r="G678" s="2"/>
      <c r="H678" s="54"/>
      <c r="I678" s="4"/>
      <c r="J678" s="2"/>
      <c r="K678" s="2"/>
      <c r="L678" s="5"/>
      <c r="M678" s="5"/>
      <c r="N678" s="5"/>
      <c r="O678" s="5"/>
      <c r="P678" s="5"/>
      <c r="Q678" s="5"/>
      <c r="R678" s="2"/>
      <c r="S678" s="2"/>
      <c r="T678" s="2"/>
      <c r="U678" s="2"/>
      <c r="V678" s="2"/>
      <c r="W678" s="2"/>
      <c r="X678" s="6"/>
      <c r="Y678" s="2"/>
      <c r="Z678" s="2"/>
      <c r="AA678" s="2"/>
      <c r="AB678" s="2"/>
      <c r="AC678" s="6"/>
      <c r="AD678" s="2"/>
      <c r="AE678" s="2"/>
      <c r="AF678" s="2"/>
      <c r="AG678" s="2"/>
      <c r="AH678" s="2"/>
      <c r="AI678" s="6"/>
      <c r="AJ678" s="2"/>
      <c r="AK678" s="56"/>
      <c r="AL678" s="2"/>
      <c r="AM678" s="2"/>
      <c r="AN678" s="2"/>
      <c r="AO678" s="2"/>
      <c r="AP678" s="6"/>
      <c r="AQ678" s="2"/>
      <c r="AR678" s="2"/>
      <c r="AS678" s="2"/>
      <c r="AT678" s="2"/>
      <c r="AU678" s="2"/>
      <c r="AV678" s="2"/>
      <c r="AW678" s="2"/>
      <c r="AX678" s="6"/>
      <c r="AY678" s="2"/>
      <c r="AZ678" s="2"/>
      <c r="BA678" s="2"/>
      <c r="BB678" s="2"/>
      <c r="BC678" s="2"/>
      <c r="BD678" s="6"/>
      <c r="BE678" s="2"/>
      <c r="BF678" s="6"/>
      <c r="BG678" s="58"/>
      <c r="BH678" s="6"/>
      <c r="BI678" s="2"/>
    </row>
    <row r="679" ht="12.75" customHeight="1">
      <c r="A679" s="71"/>
      <c r="B679" s="71"/>
      <c r="C679" s="11"/>
      <c r="D679" s="11"/>
      <c r="E679" s="2"/>
      <c r="F679" s="2"/>
      <c r="G679" s="2"/>
      <c r="H679" s="54"/>
      <c r="I679" s="4"/>
      <c r="J679" s="2"/>
      <c r="K679" s="2"/>
      <c r="L679" s="5"/>
      <c r="M679" s="5"/>
      <c r="N679" s="5"/>
      <c r="O679" s="5"/>
      <c r="P679" s="5"/>
      <c r="Q679" s="5"/>
      <c r="R679" s="2"/>
      <c r="S679" s="2"/>
      <c r="T679" s="2"/>
      <c r="U679" s="2"/>
      <c r="V679" s="2"/>
      <c r="W679" s="2"/>
      <c r="X679" s="6"/>
      <c r="Y679" s="2"/>
      <c r="Z679" s="2"/>
      <c r="AA679" s="2"/>
      <c r="AB679" s="2"/>
      <c r="AC679" s="6"/>
      <c r="AD679" s="2"/>
      <c r="AE679" s="2"/>
      <c r="AF679" s="2"/>
      <c r="AG679" s="2"/>
      <c r="AH679" s="2"/>
      <c r="AI679" s="6"/>
      <c r="AJ679" s="2"/>
      <c r="AK679" s="56"/>
      <c r="AL679" s="2"/>
      <c r="AM679" s="2"/>
      <c r="AN679" s="2"/>
      <c r="AO679" s="2"/>
      <c r="AP679" s="6"/>
      <c r="AQ679" s="2"/>
      <c r="AR679" s="2"/>
      <c r="AS679" s="2"/>
      <c r="AT679" s="2"/>
      <c r="AU679" s="2"/>
      <c r="AV679" s="2"/>
      <c r="AW679" s="2"/>
      <c r="AX679" s="6"/>
      <c r="AY679" s="2"/>
      <c r="AZ679" s="2"/>
      <c r="BA679" s="2"/>
      <c r="BB679" s="2"/>
      <c r="BC679" s="2"/>
      <c r="BD679" s="6"/>
      <c r="BE679" s="2"/>
      <c r="BF679" s="6"/>
      <c r="BG679" s="58"/>
      <c r="BH679" s="6"/>
      <c r="BI679" s="2"/>
    </row>
    <row r="680" ht="12.75" customHeight="1">
      <c r="A680" s="71"/>
      <c r="B680" s="71"/>
      <c r="C680" s="11"/>
      <c r="D680" s="11"/>
      <c r="E680" s="2"/>
      <c r="F680" s="2"/>
      <c r="G680" s="2"/>
      <c r="H680" s="54"/>
      <c r="I680" s="4"/>
      <c r="J680" s="2"/>
      <c r="K680" s="2"/>
      <c r="L680" s="5"/>
      <c r="M680" s="5"/>
      <c r="N680" s="5"/>
      <c r="O680" s="5"/>
      <c r="P680" s="5"/>
      <c r="Q680" s="5"/>
      <c r="R680" s="2"/>
      <c r="S680" s="2"/>
      <c r="T680" s="2"/>
      <c r="U680" s="2"/>
      <c r="V680" s="2"/>
      <c r="W680" s="2"/>
      <c r="X680" s="6"/>
      <c r="Y680" s="2"/>
      <c r="Z680" s="2"/>
      <c r="AA680" s="2"/>
      <c r="AB680" s="2"/>
      <c r="AC680" s="6"/>
      <c r="AD680" s="2"/>
      <c r="AE680" s="2"/>
      <c r="AF680" s="2"/>
      <c r="AG680" s="2"/>
      <c r="AH680" s="2"/>
      <c r="AI680" s="6"/>
      <c r="AJ680" s="2"/>
      <c r="AK680" s="56"/>
      <c r="AL680" s="2"/>
      <c r="AM680" s="2"/>
      <c r="AN680" s="2"/>
      <c r="AO680" s="2"/>
      <c r="AP680" s="6"/>
      <c r="AQ680" s="2"/>
      <c r="AR680" s="2"/>
      <c r="AS680" s="2"/>
      <c r="AT680" s="2"/>
      <c r="AU680" s="2"/>
      <c r="AV680" s="2"/>
      <c r="AW680" s="2"/>
      <c r="AX680" s="6"/>
      <c r="AY680" s="2"/>
      <c r="AZ680" s="2"/>
      <c r="BA680" s="2"/>
      <c r="BB680" s="2"/>
      <c r="BC680" s="2"/>
      <c r="BD680" s="6"/>
      <c r="BE680" s="2"/>
      <c r="BF680" s="6"/>
      <c r="BG680" s="58"/>
      <c r="BH680" s="6"/>
      <c r="BI680" s="2"/>
    </row>
    <row r="681" ht="12.75" customHeight="1">
      <c r="A681" s="71"/>
      <c r="B681" s="71"/>
      <c r="C681" s="11"/>
      <c r="D681" s="11"/>
      <c r="E681" s="2"/>
      <c r="F681" s="2"/>
      <c r="G681" s="2"/>
      <c r="H681" s="54"/>
      <c r="I681" s="4"/>
      <c r="J681" s="2"/>
      <c r="K681" s="2"/>
      <c r="L681" s="5"/>
      <c r="M681" s="5"/>
      <c r="N681" s="5"/>
      <c r="O681" s="5"/>
      <c r="P681" s="5"/>
      <c r="Q681" s="5"/>
      <c r="R681" s="2"/>
      <c r="S681" s="2"/>
      <c r="T681" s="2"/>
      <c r="U681" s="2"/>
      <c r="V681" s="2"/>
      <c r="W681" s="2"/>
      <c r="X681" s="6"/>
      <c r="Y681" s="2"/>
      <c r="Z681" s="2"/>
      <c r="AA681" s="2"/>
      <c r="AB681" s="2"/>
      <c r="AC681" s="6"/>
      <c r="AD681" s="2"/>
      <c r="AE681" s="2"/>
      <c r="AF681" s="2"/>
      <c r="AG681" s="2"/>
      <c r="AH681" s="2"/>
      <c r="AI681" s="6"/>
      <c r="AJ681" s="2"/>
      <c r="AK681" s="56"/>
      <c r="AL681" s="2"/>
      <c r="AM681" s="2"/>
      <c r="AN681" s="2"/>
      <c r="AO681" s="2"/>
      <c r="AP681" s="6"/>
      <c r="AQ681" s="2"/>
      <c r="AR681" s="2"/>
      <c r="AS681" s="2"/>
      <c r="AT681" s="2"/>
      <c r="AU681" s="2"/>
      <c r="AV681" s="2"/>
      <c r="AW681" s="2"/>
      <c r="AX681" s="6"/>
      <c r="AY681" s="2"/>
      <c r="AZ681" s="2"/>
      <c r="BA681" s="2"/>
      <c r="BB681" s="2"/>
      <c r="BC681" s="2"/>
      <c r="BD681" s="6"/>
      <c r="BE681" s="2"/>
      <c r="BF681" s="6"/>
      <c r="BG681" s="58"/>
      <c r="BH681" s="6"/>
      <c r="BI681" s="2"/>
    </row>
    <row r="682" ht="12.75" customHeight="1">
      <c r="A682" s="71"/>
      <c r="B682" s="71"/>
      <c r="C682" s="11"/>
      <c r="D682" s="11"/>
      <c r="E682" s="2"/>
      <c r="F682" s="2"/>
      <c r="G682" s="2"/>
      <c r="H682" s="54"/>
      <c r="I682" s="4"/>
      <c r="J682" s="2"/>
      <c r="K682" s="2"/>
      <c r="L682" s="5"/>
      <c r="M682" s="5"/>
      <c r="N682" s="5"/>
      <c r="O682" s="5"/>
      <c r="P682" s="5"/>
      <c r="Q682" s="5"/>
      <c r="R682" s="2"/>
      <c r="S682" s="2"/>
      <c r="T682" s="2"/>
      <c r="U682" s="2"/>
      <c r="V682" s="2"/>
      <c r="W682" s="2"/>
      <c r="X682" s="6"/>
      <c r="Y682" s="2"/>
      <c r="Z682" s="2"/>
      <c r="AA682" s="2"/>
      <c r="AB682" s="2"/>
      <c r="AC682" s="6"/>
      <c r="AD682" s="2"/>
      <c r="AE682" s="2"/>
      <c r="AF682" s="2"/>
      <c r="AG682" s="2"/>
      <c r="AH682" s="2"/>
      <c r="AI682" s="6"/>
      <c r="AJ682" s="2"/>
      <c r="AK682" s="56"/>
      <c r="AL682" s="2"/>
      <c r="AM682" s="2"/>
      <c r="AN682" s="2"/>
      <c r="AO682" s="2"/>
      <c r="AP682" s="6"/>
      <c r="AQ682" s="2"/>
      <c r="AR682" s="2"/>
      <c r="AS682" s="2"/>
      <c r="AT682" s="2"/>
      <c r="AU682" s="2"/>
      <c r="AV682" s="2"/>
      <c r="AW682" s="2"/>
      <c r="AX682" s="6"/>
      <c r="AY682" s="2"/>
      <c r="AZ682" s="2"/>
      <c r="BA682" s="2"/>
      <c r="BB682" s="2"/>
      <c r="BC682" s="2"/>
      <c r="BD682" s="6"/>
      <c r="BE682" s="2"/>
      <c r="BF682" s="6"/>
      <c r="BG682" s="58"/>
      <c r="BH682" s="6"/>
      <c r="BI682" s="2"/>
    </row>
    <row r="683" ht="12.75" customHeight="1">
      <c r="A683" s="71"/>
      <c r="B683" s="71"/>
      <c r="C683" s="11"/>
      <c r="D683" s="11"/>
      <c r="E683" s="2"/>
      <c r="F683" s="2"/>
      <c r="G683" s="2"/>
      <c r="H683" s="54"/>
      <c r="I683" s="4"/>
      <c r="J683" s="2"/>
      <c r="K683" s="2"/>
      <c r="L683" s="5"/>
      <c r="M683" s="5"/>
      <c r="N683" s="5"/>
      <c r="O683" s="5"/>
      <c r="P683" s="5"/>
      <c r="Q683" s="5"/>
      <c r="R683" s="2"/>
      <c r="S683" s="2"/>
      <c r="T683" s="2"/>
      <c r="U683" s="2"/>
      <c r="V683" s="2"/>
      <c r="W683" s="2"/>
      <c r="X683" s="6"/>
      <c r="Y683" s="2"/>
      <c r="Z683" s="2"/>
      <c r="AA683" s="2"/>
      <c r="AB683" s="2"/>
      <c r="AC683" s="6"/>
      <c r="AD683" s="2"/>
      <c r="AE683" s="2"/>
      <c r="AF683" s="2"/>
      <c r="AG683" s="2"/>
      <c r="AH683" s="2"/>
      <c r="AI683" s="6"/>
      <c r="AJ683" s="2"/>
      <c r="AK683" s="56"/>
      <c r="AL683" s="2"/>
      <c r="AM683" s="2"/>
      <c r="AN683" s="2"/>
      <c r="AO683" s="2"/>
      <c r="AP683" s="6"/>
      <c r="AQ683" s="2"/>
      <c r="AR683" s="2"/>
      <c r="AS683" s="2"/>
      <c r="AT683" s="2"/>
      <c r="AU683" s="2"/>
      <c r="AV683" s="2"/>
      <c r="AW683" s="2"/>
      <c r="AX683" s="6"/>
      <c r="AY683" s="2"/>
      <c r="AZ683" s="2"/>
      <c r="BA683" s="2"/>
      <c r="BB683" s="2"/>
      <c r="BC683" s="2"/>
      <c r="BD683" s="6"/>
      <c r="BE683" s="2"/>
      <c r="BF683" s="6"/>
      <c r="BG683" s="58"/>
      <c r="BH683" s="6"/>
      <c r="BI683" s="2"/>
    </row>
    <row r="684" ht="12.75" customHeight="1">
      <c r="A684" s="71"/>
      <c r="B684" s="71"/>
      <c r="C684" s="11"/>
      <c r="D684" s="11"/>
      <c r="E684" s="2"/>
      <c r="F684" s="2"/>
      <c r="G684" s="2"/>
      <c r="H684" s="54"/>
      <c r="I684" s="4"/>
      <c r="J684" s="2"/>
      <c r="K684" s="2"/>
      <c r="L684" s="5"/>
      <c r="M684" s="5"/>
      <c r="N684" s="5"/>
      <c r="O684" s="5"/>
      <c r="P684" s="5"/>
      <c r="Q684" s="5"/>
      <c r="R684" s="2"/>
      <c r="S684" s="2"/>
      <c r="T684" s="2"/>
      <c r="U684" s="2"/>
      <c r="V684" s="2"/>
      <c r="W684" s="2"/>
      <c r="X684" s="6"/>
      <c r="Y684" s="2"/>
      <c r="Z684" s="2"/>
      <c r="AA684" s="2"/>
      <c r="AB684" s="2"/>
      <c r="AC684" s="6"/>
      <c r="AD684" s="2"/>
      <c r="AE684" s="2"/>
      <c r="AF684" s="2"/>
      <c r="AG684" s="2"/>
      <c r="AH684" s="2"/>
      <c r="AI684" s="6"/>
      <c r="AJ684" s="2"/>
      <c r="AK684" s="56"/>
      <c r="AL684" s="2"/>
      <c r="AM684" s="2"/>
      <c r="AN684" s="2"/>
      <c r="AO684" s="2"/>
      <c r="AP684" s="6"/>
      <c r="AQ684" s="2"/>
      <c r="AR684" s="2"/>
      <c r="AS684" s="2"/>
      <c r="AT684" s="2"/>
      <c r="AU684" s="2"/>
      <c r="AV684" s="2"/>
      <c r="AW684" s="2"/>
      <c r="AX684" s="6"/>
      <c r="AY684" s="2"/>
      <c r="AZ684" s="2"/>
      <c r="BA684" s="2"/>
      <c r="BB684" s="2"/>
      <c r="BC684" s="2"/>
      <c r="BD684" s="6"/>
      <c r="BE684" s="2"/>
      <c r="BF684" s="6"/>
      <c r="BG684" s="58"/>
      <c r="BH684" s="6"/>
      <c r="BI684" s="2"/>
    </row>
    <row r="685" ht="12.75" customHeight="1">
      <c r="A685" s="71"/>
      <c r="B685" s="71"/>
      <c r="C685" s="11"/>
      <c r="D685" s="11"/>
      <c r="E685" s="2"/>
      <c r="F685" s="2"/>
      <c r="G685" s="2"/>
      <c r="H685" s="54"/>
      <c r="I685" s="4"/>
      <c r="J685" s="2"/>
      <c r="K685" s="2"/>
      <c r="L685" s="5"/>
      <c r="M685" s="5"/>
      <c r="N685" s="5"/>
      <c r="O685" s="5"/>
      <c r="P685" s="5"/>
      <c r="Q685" s="5"/>
      <c r="R685" s="2"/>
      <c r="S685" s="2"/>
      <c r="T685" s="2"/>
      <c r="U685" s="2"/>
      <c r="V685" s="2"/>
      <c r="W685" s="2"/>
      <c r="X685" s="6"/>
      <c r="Y685" s="2"/>
      <c r="Z685" s="2"/>
      <c r="AA685" s="2"/>
      <c r="AB685" s="2"/>
      <c r="AC685" s="6"/>
      <c r="AD685" s="2"/>
      <c r="AE685" s="2"/>
      <c r="AF685" s="2"/>
      <c r="AG685" s="2"/>
      <c r="AH685" s="2"/>
      <c r="AI685" s="6"/>
      <c r="AJ685" s="2"/>
      <c r="AK685" s="56"/>
      <c r="AL685" s="2"/>
      <c r="AM685" s="2"/>
      <c r="AN685" s="2"/>
      <c r="AO685" s="2"/>
      <c r="AP685" s="6"/>
      <c r="AQ685" s="2"/>
      <c r="AR685" s="2"/>
      <c r="AS685" s="2"/>
      <c r="AT685" s="2"/>
      <c r="AU685" s="2"/>
      <c r="AV685" s="2"/>
      <c r="AW685" s="2"/>
      <c r="AX685" s="6"/>
      <c r="AY685" s="2"/>
      <c r="AZ685" s="2"/>
      <c r="BA685" s="2"/>
      <c r="BB685" s="2"/>
      <c r="BC685" s="2"/>
      <c r="BD685" s="6"/>
      <c r="BE685" s="2"/>
      <c r="BF685" s="6"/>
      <c r="BG685" s="58"/>
      <c r="BH685" s="6"/>
      <c r="BI685" s="2"/>
    </row>
    <row r="686" ht="12.75" customHeight="1">
      <c r="A686" s="71"/>
      <c r="B686" s="71"/>
      <c r="C686" s="11"/>
      <c r="D686" s="11"/>
      <c r="E686" s="2"/>
      <c r="F686" s="2"/>
      <c r="G686" s="2"/>
      <c r="H686" s="54"/>
      <c r="I686" s="4"/>
      <c r="J686" s="2"/>
      <c r="K686" s="2"/>
      <c r="L686" s="5"/>
      <c r="M686" s="5"/>
      <c r="N686" s="5"/>
      <c r="O686" s="5"/>
      <c r="P686" s="5"/>
      <c r="Q686" s="5"/>
      <c r="R686" s="2"/>
      <c r="S686" s="2"/>
      <c r="T686" s="2"/>
      <c r="U686" s="2"/>
      <c r="V686" s="2"/>
      <c r="W686" s="2"/>
      <c r="X686" s="6"/>
      <c r="Y686" s="2"/>
      <c r="Z686" s="2"/>
      <c r="AA686" s="2"/>
      <c r="AB686" s="2"/>
      <c r="AC686" s="6"/>
      <c r="AD686" s="2"/>
      <c r="AE686" s="2"/>
      <c r="AF686" s="2"/>
      <c r="AG686" s="2"/>
      <c r="AH686" s="2"/>
      <c r="AI686" s="6"/>
      <c r="AJ686" s="2"/>
      <c r="AK686" s="56"/>
      <c r="AL686" s="2"/>
      <c r="AM686" s="2"/>
      <c r="AN686" s="2"/>
      <c r="AO686" s="2"/>
      <c r="AP686" s="6"/>
      <c r="AQ686" s="2"/>
      <c r="AR686" s="2"/>
      <c r="AS686" s="2"/>
      <c r="AT686" s="2"/>
      <c r="AU686" s="2"/>
      <c r="AV686" s="2"/>
      <c r="AW686" s="2"/>
      <c r="AX686" s="6"/>
      <c r="AY686" s="2"/>
      <c r="AZ686" s="2"/>
      <c r="BA686" s="2"/>
      <c r="BB686" s="2"/>
      <c r="BC686" s="2"/>
      <c r="BD686" s="6"/>
      <c r="BE686" s="2"/>
      <c r="BF686" s="6"/>
      <c r="BG686" s="58"/>
      <c r="BH686" s="6"/>
      <c r="BI686" s="2"/>
    </row>
    <row r="687" ht="12.75" customHeight="1">
      <c r="A687" s="71"/>
      <c r="B687" s="71"/>
      <c r="C687" s="11"/>
      <c r="D687" s="11"/>
      <c r="E687" s="2"/>
      <c r="F687" s="2"/>
      <c r="G687" s="2"/>
      <c r="H687" s="54"/>
      <c r="I687" s="4"/>
      <c r="J687" s="2"/>
      <c r="K687" s="2"/>
      <c r="L687" s="5"/>
      <c r="M687" s="5"/>
      <c r="N687" s="5"/>
      <c r="O687" s="5"/>
      <c r="P687" s="5"/>
      <c r="Q687" s="5"/>
      <c r="R687" s="2"/>
      <c r="S687" s="2"/>
      <c r="T687" s="2"/>
      <c r="U687" s="2"/>
      <c r="V687" s="2"/>
      <c r="W687" s="2"/>
      <c r="X687" s="6"/>
      <c r="Y687" s="2"/>
      <c r="Z687" s="2"/>
      <c r="AA687" s="2"/>
      <c r="AB687" s="2"/>
      <c r="AC687" s="6"/>
      <c r="AD687" s="2"/>
      <c r="AE687" s="2"/>
      <c r="AF687" s="2"/>
      <c r="AG687" s="2"/>
      <c r="AH687" s="2"/>
      <c r="AI687" s="6"/>
      <c r="AJ687" s="2"/>
      <c r="AK687" s="56"/>
      <c r="AL687" s="2"/>
      <c r="AM687" s="2"/>
      <c r="AN687" s="2"/>
      <c r="AO687" s="2"/>
      <c r="AP687" s="6"/>
      <c r="AQ687" s="2"/>
      <c r="AR687" s="2"/>
      <c r="AS687" s="2"/>
      <c r="AT687" s="2"/>
      <c r="AU687" s="2"/>
      <c r="AV687" s="2"/>
      <c r="AW687" s="2"/>
      <c r="AX687" s="6"/>
      <c r="AY687" s="2"/>
      <c r="AZ687" s="2"/>
      <c r="BA687" s="2"/>
      <c r="BB687" s="2"/>
      <c r="BC687" s="2"/>
      <c r="BD687" s="6"/>
      <c r="BE687" s="2"/>
      <c r="BF687" s="6"/>
      <c r="BG687" s="58"/>
      <c r="BH687" s="6"/>
      <c r="BI687" s="2"/>
    </row>
    <row r="688" ht="12.75" customHeight="1">
      <c r="A688" s="71"/>
      <c r="B688" s="71"/>
      <c r="C688" s="11"/>
      <c r="D688" s="11"/>
      <c r="E688" s="2"/>
      <c r="F688" s="2"/>
      <c r="G688" s="2"/>
      <c r="H688" s="54"/>
      <c r="I688" s="4"/>
      <c r="J688" s="2"/>
      <c r="K688" s="2"/>
      <c r="L688" s="5"/>
      <c r="M688" s="5"/>
      <c r="N688" s="5"/>
      <c r="O688" s="5"/>
      <c r="P688" s="5"/>
      <c r="Q688" s="5"/>
      <c r="R688" s="2"/>
      <c r="S688" s="2"/>
      <c r="T688" s="2"/>
      <c r="U688" s="2"/>
      <c r="V688" s="2"/>
      <c r="W688" s="2"/>
      <c r="X688" s="6"/>
      <c r="Y688" s="2"/>
      <c r="Z688" s="2"/>
      <c r="AA688" s="2"/>
      <c r="AB688" s="2"/>
      <c r="AC688" s="6"/>
      <c r="AD688" s="2"/>
      <c r="AE688" s="2"/>
      <c r="AF688" s="2"/>
      <c r="AG688" s="2"/>
      <c r="AH688" s="2"/>
      <c r="AI688" s="6"/>
      <c r="AJ688" s="2"/>
      <c r="AK688" s="56"/>
      <c r="AL688" s="2"/>
      <c r="AM688" s="2"/>
      <c r="AN688" s="2"/>
      <c r="AO688" s="2"/>
      <c r="AP688" s="6"/>
      <c r="AQ688" s="2"/>
      <c r="AR688" s="2"/>
      <c r="AS688" s="2"/>
      <c r="AT688" s="2"/>
      <c r="AU688" s="2"/>
      <c r="AV688" s="2"/>
      <c r="AW688" s="2"/>
      <c r="AX688" s="6"/>
      <c r="AY688" s="2"/>
      <c r="AZ688" s="2"/>
      <c r="BA688" s="2"/>
      <c r="BB688" s="2"/>
      <c r="BC688" s="2"/>
      <c r="BD688" s="6"/>
      <c r="BE688" s="2"/>
      <c r="BF688" s="6"/>
      <c r="BG688" s="58"/>
      <c r="BH688" s="6"/>
      <c r="BI688" s="2"/>
    </row>
    <row r="689" ht="12.75" customHeight="1">
      <c r="A689" s="71"/>
      <c r="B689" s="71"/>
      <c r="C689" s="11"/>
      <c r="D689" s="11"/>
      <c r="E689" s="2"/>
      <c r="F689" s="2"/>
      <c r="G689" s="2"/>
      <c r="H689" s="54"/>
      <c r="I689" s="4"/>
      <c r="J689" s="2"/>
      <c r="K689" s="2"/>
      <c r="L689" s="5"/>
      <c r="M689" s="5"/>
      <c r="N689" s="5"/>
      <c r="O689" s="5"/>
      <c r="P689" s="5"/>
      <c r="Q689" s="5"/>
      <c r="R689" s="2"/>
      <c r="S689" s="2"/>
      <c r="T689" s="2"/>
      <c r="U689" s="2"/>
      <c r="V689" s="2"/>
      <c r="W689" s="2"/>
      <c r="X689" s="6"/>
      <c r="Y689" s="2"/>
      <c r="Z689" s="2"/>
      <c r="AA689" s="2"/>
      <c r="AB689" s="2"/>
      <c r="AC689" s="6"/>
      <c r="AD689" s="2"/>
      <c r="AE689" s="2"/>
      <c r="AF689" s="2"/>
      <c r="AG689" s="2"/>
      <c r="AH689" s="2"/>
      <c r="AI689" s="6"/>
      <c r="AJ689" s="2"/>
      <c r="AK689" s="56"/>
      <c r="AL689" s="2"/>
      <c r="AM689" s="2"/>
      <c r="AN689" s="2"/>
      <c r="AO689" s="2"/>
      <c r="AP689" s="6"/>
      <c r="AQ689" s="2"/>
      <c r="AR689" s="2"/>
      <c r="AS689" s="2"/>
      <c r="AT689" s="2"/>
      <c r="AU689" s="2"/>
      <c r="AV689" s="2"/>
      <c r="AW689" s="2"/>
      <c r="AX689" s="6"/>
      <c r="AY689" s="2"/>
      <c r="AZ689" s="2"/>
      <c r="BA689" s="2"/>
      <c r="BB689" s="2"/>
      <c r="BC689" s="2"/>
      <c r="BD689" s="6"/>
      <c r="BE689" s="2"/>
      <c r="BF689" s="6"/>
      <c r="BG689" s="58"/>
      <c r="BH689" s="6"/>
      <c r="BI689" s="2"/>
    </row>
    <row r="690" ht="12.75" customHeight="1">
      <c r="A690" s="71"/>
      <c r="B690" s="71"/>
      <c r="C690" s="11"/>
      <c r="D690" s="11"/>
      <c r="E690" s="2"/>
      <c r="F690" s="2"/>
      <c r="G690" s="2"/>
      <c r="H690" s="54"/>
      <c r="I690" s="4"/>
      <c r="J690" s="2"/>
      <c r="K690" s="2"/>
      <c r="L690" s="5"/>
      <c r="M690" s="5"/>
      <c r="N690" s="5"/>
      <c r="O690" s="5"/>
      <c r="P690" s="5"/>
      <c r="Q690" s="5"/>
      <c r="R690" s="2"/>
      <c r="S690" s="2"/>
      <c r="T690" s="2"/>
      <c r="U690" s="2"/>
      <c r="V690" s="2"/>
      <c r="W690" s="2"/>
      <c r="X690" s="6"/>
      <c r="Y690" s="2"/>
      <c r="Z690" s="2"/>
      <c r="AA690" s="2"/>
      <c r="AB690" s="2"/>
      <c r="AC690" s="6"/>
      <c r="AD690" s="2"/>
      <c r="AE690" s="2"/>
      <c r="AF690" s="2"/>
      <c r="AG690" s="2"/>
      <c r="AH690" s="2"/>
      <c r="AI690" s="6"/>
      <c r="AJ690" s="2"/>
      <c r="AK690" s="56"/>
      <c r="AL690" s="2"/>
      <c r="AM690" s="2"/>
      <c r="AN690" s="2"/>
      <c r="AO690" s="2"/>
      <c r="AP690" s="6"/>
      <c r="AQ690" s="2"/>
      <c r="AR690" s="2"/>
      <c r="AS690" s="2"/>
      <c r="AT690" s="2"/>
      <c r="AU690" s="2"/>
      <c r="AV690" s="2"/>
      <c r="AW690" s="2"/>
      <c r="AX690" s="6"/>
      <c r="AY690" s="2"/>
      <c r="AZ690" s="2"/>
      <c r="BA690" s="2"/>
      <c r="BB690" s="2"/>
      <c r="BC690" s="2"/>
      <c r="BD690" s="6"/>
      <c r="BE690" s="2"/>
      <c r="BF690" s="6"/>
      <c r="BG690" s="58"/>
      <c r="BH690" s="6"/>
      <c r="BI690" s="2"/>
    </row>
    <row r="691" ht="12.75" customHeight="1">
      <c r="A691" s="71"/>
      <c r="B691" s="71"/>
      <c r="C691" s="11"/>
      <c r="D691" s="11"/>
      <c r="E691" s="2"/>
      <c r="F691" s="2"/>
      <c r="G691" s="2"/>
      <c r="H691" s="54"/>
      <c r="I691" s="4"/>
      <c r="J691" s="2"/>
      <c r="K691" s="2"/>
      <c r="L691" s="5"/>
      <c r="M691" s="5"/>
      <c r="N691" s="5"/>
      <c r="O691" s="5"/>
      <c r="P691" s="5"/>
      <c r="Q691" s="5"/>
      <c r="R691" s="2"/>
      <c r="S691" s="2"/>
      <c r="T691" s="2"/>
      <c r="U691" s="2"/>
      <c r="V691" s="2"/>
      <c r="W691" s="2"/>
      <c r="X691" s="6"/>
      <c r="Y691" s="2"/>
      <c r="Z691" s="2"/>
      <c r="AA691" s="2"/>
      <c r="AB691" s="2"/>
      <c r="AC691" s="6"/>
      <c r="AD691" s="2"/>
      <c r="AE691" s="2"/>
      <c r="AF691" s="2"/>
      <c r="AG691" s="2"/>
      <c r="AH691" s="2"/>
      <c r="AI691" s="6"/>
      <c r="AJ691" s="2"/>
      <c r="AK691" s="56"/>
      <c r="AL691" s="2"/>
      <c r="AM691" s="2"/>
      <c r="AN691" s="2"/>
      <c r="AO691" s="2"/>
      <c r="AP691" s="6"/>
      <c r="AQ691" s="2"/>
      <c r="AR691" s="2"/>
      <c r="AS691" s="2"/>
      <c r="AT691" s="2"/>
      <c r="AU691" s="2"/>
      <c r="AV691" s="2"/>
      <c r="AW691" s="2"/>
      <c r="AX691" s="6"/>
      <c r="AY691" s="2"/>
      <c r="AZ691" s="2"/>
      <c r="BA691" s="2"/>
      <c r="BB691" s="2"/>
      <c r="BC691" s="2"/>
      <c r="BD691" s="6"/>
      <c r="BE691" s="2"/>
      <c r="BF691" s="6"/>
      <c r="BG691" s="58"/>
      <c r="BH691" s="6"/>
      <c r="BI691" s="2"/>
    </row>
    <row r="692" ht="12.75" customHeight="1">
      <c r="A692" s="71"/>
      <c r="B692" s="71"/>
      <c r="C692" s="11"/>
      <c r="D692" s="11"/>
      <c r="E692" s="2"/>
      <c r="F692" s="2"/>
      <c r="G692" s="2"/>
      <c r="H692" s="54"/>
      <c r="I692" s="4"/>
      <c r="J692" s="2"/>
      <c r="K692" s="2"/>
      <c r="L692" s="5"/>
      <c r="M692" s="5"/>
      <c r="N692" s="5"/>
      <c r="O692" s="5"/>
      <c r="P692" s="5"/>
      <c r="Q692" s="5"/>
      <c r="R692" s="2"/>
      <c r="S692" s="2"/>
      <c r="T692" s="2"/>
      <c r="U692" s="2"/>
      <c r="V692" s="2"/>
      <c r="W692" s="2"/>
      <c r="X692" s="6"/>
      <c r="Y692" s="2"/>
      <c r="Z692" s="2"/>
      <c r="AA692" s="2"/>
      <c r="AB692" s="2"/>
      <c r="AC692" s="6"/>
      <c r="AD692" s="2"/>
      <c r="AE692" s="2"/>
      <c r="AF692" s="2"/>
      <c r="AG692" s="2"/>
      <c r="AH692" s="2"/>
      <c r="AI692" s="6"/>
      <c r="AJ692" s="2"/>
      <c r="AK692" s="56"/>
      <c r="AL692" s="2"/>
      <c r="AM692" s="2"/>
      <c r="AN692" s="2"/>
      <c r="AO692" s="2"/>
      <c r="AP692" s="6"/>
      <c r="AQ692" s="2"/>
      <c r="AR692" s="2"/>
      <c r="AS692" s="2"/>
      <c r="AT692" s="2"/>
      <c r="AU692" s="2"/>
      <c r="AV692" s="2"/>
      <c r="AW692" s="2"/>
      <c r="AX692" s="6"/>
      <c r="AY692" s="2"/>
      <c r="AZ692" s="2"/>
      <c r="BA692" s="2"/>
      <c r="BB692" s="2"/>
      <c r="BC692" s="2"/>
      <c r="BD692" s="6"/>
      <c r="BE692" s="2"/>
      <c r="BF692" s="6"/>
      <c r="BG692" s="58"/>
      <c r="BH692" s="6"/>
      <c r="BI692" s="2"/>
    </row>
    <row r="693" ht="12.75" customHeight="1">
      <c r="A693" s="71"/>
      <c r="B693" s="71"/>
      <c r="C693" s="11"/>
      <c r="D693" s="11"/>
      <c r="E693" s="2"/>
      <c r="F693" s="2"/>
      <c r="G693" s="2"/>
      <c r="H693" s="54"/>
      <c r="I693" s="4"/>
      <c r="J693" s="2"/>
      <c r="K693" s="2"/>
      <c r="L693" s="5"/>
      <c r="M693" s="5"/>
      <c r="N693" s="5"/>
      <c r="O693" s="5"/>
      <c r="P693" s="5"/>
      <c r="Q693" s="5"/>
      <c r="R693" s="2"/>
      <c r="S693" s="2"/>
      <c r="T693" s="2"/>
      <c r="U693" s="2"/>
      <c r="V693" s="2"/>
      <c r="W693" s="2"/>
      <c r="X693" s="6"/>
      <c r="Y693" s="2"/>
      <c r="Z693" s="2"/>
      <c r="AA693" s="2"/>
      <c r="AB693" s="2"/>
      <c r="AC693" s="6"/>
      <c r="AD693" s="2"/>
      <c r="AE693" s="2"/>
      <c r="AF693" s="2"/>
      <c r="AG693" s="2"/>
      <c r="AH693" s="2"/>
      <c r="AI693" s="6"/>
      <c r="AJ693" s="2"/>
      <c r="AK693" s="56"/>
      <c r="AL693" s="2"/>
      <c r="AM693" s="2"/>
      <c r="AN693" s="2"/>
      <c r="AO693" s="2"/>
      <c r="AP693" s="6"/>
      <c r="AQ693" s="2"/>
      <c r="AR693" s="2"/>
      <c r="AS693" s="2"/>
      <c r="AT693" s="2"/>
      <c r="AU693" s="2"/>
      <c r="AV693" s="2"/>
      <c r="AW693" s="2"/>
      <c r="AX693" s="6"/>
      <c r="AY693" s="2"/>
      <c r="AZ693" s="2"/>
      <c r="BA693" s="2"/>
      <c r="BB693" s="2"/>
      <c r="BC693" s="2"/>
      <c r="BD693" s="6"/>
      <c r="BE693" s="2"/>
      <c r="BF693" s="6"/>
      <c r="BG693" s="58"/>
      <c r="BH693" s="6"/>
      <c r="BI693" s="2"/>
    </row>
    <row r="694" ht="12.75" customHeight="1">
      <c r="A694" s="71"/>
      <c r="B694" s="71"/>
      <c r="C694" s="11"/>
      <c r="D694" s="11"/>
      <c r="E694" s="2"/>
      <c r="F694" s="2"/>
      <c r="G694" s="2"/>
      <c r="H694" s="54"/>
      <c r="I694" s="4"/>
      <c r="J694" s="2"/>
      <c r="K694" s="2"/>
      <c r="L694" s="5"/>
      <c r="M694" s="5"/>
      <c r="N694" s="5"/>
      <c r="O694" s="5"/>
      <c r="P694" s="5"/>
      <c r="Q694" s="5"/>
      <c r="R694" s="2"/>
      <c r="S694" s="2"/>
      <c r="T694" s="2"/>
      <c r="U694" s="2"/>
      <c r="V694" s="2"/>
      <c r="W694" s="2"/>
      <c r="X694" s="6"/>
      <c r="Y694" s="2"/>
      <c r="Z694" s="2"/>
      <c r="AA694" s="2"/>
      <c r="AB694" s="2"/>
      <c r="AC694" s="6"/>
      <c r="AD694" s="2"/>
      <c r="AE694" s="2"/>
      <c r="AF694" s="2"/>
      <c r="AG694" s="2"/>
      <c r="AH694" s="2"/>
      <c r="AI694" s="6"/>
      <c r="AJ694" s="2"/>
      <c r="AK694" s="56"/>
      <c r="AL694" s="2"/>
      <c r="AM694" s="2"/>
      <c r="AN694" s="2"/>
      <c r="AO694" s="2"/>
      <c r="AP694" s="6"/>
      <c r="AQ694" s="2"/>
      <c r="AR694" s="2"/>
      <c r="AS694" s="2"/>
      <c r="AT694" s="2"/>
      <c r="AU694" s="2"/>
      <c r="AV694" s="2"/>
      <c r="AW694" s="2"/>
      <c r="AX694" s="6"/>
      <c r="AY694" s="2"/>
      <c r="AZ694" s="2"/>
      <c r="BA694" s="2"/>
      <c r="BB694" s="2"/>
      <c r="BC694" s="2"/>
      <c r="BD694" s="6"/>
      <c r="BE694" s="2"/>
      <c r="BF694" s="6"/>
      <c r="BG694" s="58"/>
      <c r="BH694" s="6"/>
      <c r="BI694" s="2"/>
    </row>
    <row r="695" ht="12.75" customHeight="1">
      <c r="A695" s="71"/>
      <c r="B695" s="71"/>
      <c r="C695" s="11"/>
      <c r="D695" s="11"/>
      <c r="E695" s="2"/>
      <c r="F695" s="2"/>
      <c r="G695" s="2"/>
      <c r="H695" s="54"/>
      <c r="I695" s="4"/>
      <c r="J695" s="2"/>
      <c r="K695" s="2"/>
      <c r="L695" s="5"/>
      <c r="M695" s="5"/>
      <c r="N695" s="5"/>
      <c r="O695" s="5"/>
      <c r="P695" s="5"/>
      <c r="Q695" s="5"/>
      <c r="R695" s="2"/>
      <c r="S695" s="2"/>
      <c r="T695" s="2"/>
      <c r="U695" s="2"/>
      <c r="V695" s="2"/>
      <c r="W695" s="2"/>
      <c r="X695" s="6"/>
      <c r="Y695" s="2"/>
      <c r="Z695" s="2"/>
      <c r="AA695" s="2"/>
      <c r="AB695" s="2"/>
      <c r="AC695" s="6"/>
      <c r="AD695" s="2"/>
      <c r="AE695" s="2"/>
      <c r="AF695" s="2"/>
      <c r="AG695" s="2"/>
      <c r="AH695" s="2"/>
      <c r="AI695" s="6"/>
      <c r="AJ695" s="2"/>
      <c r="AK695" s="56"/>
      <c r="AL695" s="2"/>
      <c r="AM695" s="2"/>
      <c r="AN695" s="2"/>
      <c r="AO695" s="2"/>
      <c r="AP695" s="6"/>
      <c r="AQ695" s="2"/>
      <c r="AR695" s="2"/>
      <c r="AS695" s="2"/>
      <c r="AT695" s="2"/>
      <c r="AU695" s="2"/>
      <c r="AV695" s="2"/>
      <c r="AW695" s="2"/>
      <c r="AX695" s="6"/>
      <c r="AY695" s="2"/>
      <c r="AZ695" s="2"/>
      <c r="BA695" s="2"/>
      <c r="BB695" s="2"/>
      <c r="BC695" s="2"/>
      <c r="BD695" s="6"/>
      <c r="BE695" s="2"/>
      <c r="BF695" s="6"/>
      <c r="BG695" s="58"/>
      <c r="BH695" s="6"/>
      <c r="BI695" s="2"/>
    </row>
    <row r="696" ht="12.75" customHeight="1">
      <c r="A696" s="71"/>
      <c r="B696" s="71"/>
      <c r="C696" s="11"/>
      <c r="D696" s="11"/>
      <c r="E696" s="2"/>
      <c r="F696" s="2"/>
      <c r="G696" s="2"/>
      <c r="H696" s="54"/>
      <c r="I696" s="4"/>
      <c r="J696" s="2"/>
      <c r="K696" s="2"/>
      <c r="L696" s="5"/>
      <c r="M696" s="5"/>
      <c r="N696" s="5"/>
      <c r="O696" s="5"/>
      <c r="P696" s="5"/>
      <c r="Q696" s="5"/>
      <c r="R696" s="2"/>
      <c r="S696" s="2"/>
      <c r="T696" s="2"/>
      <c r="U696" s="2"/>
      <c r="V696" s="2"/>
      <c r="W696" s="2"/>
      <c r="X696" s="6"/>
      <c r="Y696" s="2"/>
      <c r="Z696" s="2"/>
      <c r="AA696" s="2"/>
      <c r="AB696" s="2"/>
      <c r="AC696" s="6"/>
      <c r="AD696" s="2"/>
      <c r="AE696" s="2"/>
      <c r="AF696" s="2"/>
      <c r="AG696" s="2"/>
      <c r="AH696" s="2"/>
      <c r="AI696" s="6"/>
      <c r="AJ696" s="2"/>
      <c r="AK696" s="56"/>
      <c r="AL696" s="2"/>
      <c r="AM696" s="2"/>
      <c r="AN696" s="2"/>
      <c r="AO696" s="2"/>
      <c r="AP696" s="6"/>
      <c r="AQ696" s="2"/>
      <c r="AR696" s="2"/>
      <c r="AS696" s="2"/>
      <c r="AT696" s="2"/>
      <c r="AU696" s="2"/>
      <c r="AV696" s="2"/>
      <c r="AW696" s="2"/>
      <c r="AX696" s="6"/>
      <c r="AY696" s="2"/>
      <c r="AZ696" s="2"/>
      <c r="BA696" s="2"/>
      <c r="BB696" s="2"/>
      <c r="BC696" s="2"/>
      <c r="BD696" s="6"/>
      <c r="BE696" s="2"/>
      <c r="BF696" s="6"/>
      <c r="BG696" s="58"/>
      <c r="BH696" s="6"/>
      <c r="BI696" s="2"/>
    </row>
    <row r="697" ht="12.75" customHeight="1">
      <c r="A697" s="71"/>
      <c r="B697" s="71"/>
      <c r="C697" s="11"/>
      <c r="D697" s="11"/>
      <c r="E697" s="2"/>
      <c r="F697" s="2"/>
      <c r="G697" s="2"/>
      <c r="H697" s="54"/>
      <c r="I697" s="4"/>
      <c r="J697" s="2"/>
      <c r="K697" s="2"/>
      <c r="L697" s="5"/>
      <c r="M697" s="5"/>
      <c r="N697" s="5"/>
      <c r="O697" s="5"/>
      <c r="P697" s="5"/>
      <c r="Q697" s="5"/>
      <c r="R697" s="2"/>
      <c r="S697" s="2"/>
      <c r="T697" s="2"/>
      <c r="U697" s="2"/>
      <c r="V697" s="2"/>
      <c r="W697" s="2"/>
      <c r="X697" s="6"/>
      <c r="Y697" s="2"/>
      <c r="Z697" s="2"/>
      <c r="AA697" s="2"/>
      <c r="AB697" s="2"/>
      <c r="AC697" s="6"/>
      <c r="AD697" s="2"/>
      <c r="AE697" s="2"/>
      <c r="AF697" s="2"/>
      <c r="AG697" s="2"/>
      <c r="AH697" s="2"/>
      <c r="AI697" s="6"/>
      <c r="AJ697" s="2"/>
      <c r="AK697" s="56"/>
      <c r="AL697" s="2"/>
      <c r="AM697" s="2"/>
      <c r="AN697" s="2"/>
      <c r="AO697" s="2"/>
      <c r="AP697" s="6"/>
      <c r="AQ697" s="2"/>
      <c r="AR697" s="2"/>
      <c r="AS697" s="2"/>
      <c r="AT697" s="2"/>
      <c r="AU697" s="2"/>
      <c r="AV697" s="2"/>
      <c r="AW697" s="2"/>
      <c r="AX697" s="6"/>
      <c r="AY697" s="2"/>
      <c r="AZ697" s="2"/>
      <c r="BA697" s="2"/>
      <c r="BB697" s="2"/>
      <c r="BC697" s="2"/>
      <c r="BD697" s="6"/>
      <c r="BE697" s="2"/>
      <c r="BF697" s="6"/>
      <c r="BG697" s="58"/>
      <c r="BH697" s="6"/>
      <c r="BI697" s="2"/>
    </row>
    <row r="698" ht="12.75" customHeight="1">
      <c r="A698" s="71"/>
      <c r="B698" s="71"/>
      <c r="C698" s="11"/>
      <c r="D698" s="11"/>
      <c r="E698" s="2"/>
      <c r="F698" s="2"/>
      <c r="G698" s="2"/>
      <c r="H698" s="54"/>
      <c r="I698" s="4"/>
      <c r="J698" s="2"/>
      <c r="K698" s="2"/>
      <c r="L698" s="5"/>
      <c r="M698" s="5"/>
      <c r="N698" s="5"/>
      <c r="O698" s="5"/>
      <c r="P698" s="5"/>
      <c r="Q698" s="5"/>
      <c r="R698" s="2"/>
      <c r="S698" s="2"/>
      <c r="T698" s="2"/>
      <c r="U698" s="2"/>
      <c r="V698" s="2"/>
      <c r="W698" s="2"/>
      <c r="X698" s="6"/>
      <c r="Y698" s="2"/>
      <c r="Z698" s="2"/>
      <c r="AA698" s="2"/>
      <c r="AB698" s="2"/>
      <c r="AC698" s="6"/>
      <c r="AD698" s="2"/>
      <c r="AE698" s="2"/>
      <c r="AF698" s="2"/>
      <c r="AG698" s="2"/>
      <c r="AH698" s="2"/>
      <c r="AI698" s="6"/>
      <c r="AJ698" s="2"/>
      <c r="AK698" s="56"/>
      <c r="AL698" s="2"/>
      <c r="AM698" s="2"/>
      <c r="AN698" s="2"/>
      <c r="AO698" s="2"/>
      <c r="AP698" s="6"/>
      <c r="AQ698" s="2"/>
      <c r="AR698" s="2"/>
      <c r="AS698" s="2"/>
      <c r="AT698" s="2"/>
      <c r="AU698" s="2"/>
      <c r="AV698" s="2"/>
      <c r="AW698" s="2"/>
      <c r="AX698" s="6"/>
      <c r="AY698" s="2"/>
      <c r="AZ698" s="2"/>
      <c r="BA698" s="2"/>
      <c r="BB698" s="2"/>
      <c r="BC698" s="2"/>
      <c r="BD698" s="6"/>
      <c r="BE698" s="2"/>
      <c r="BF698" s="6"/>
      <c r="BG698" s="58"/>
      <c r="BH698" s="6"/>
      <c r="BI698" s="2"/>
    </row>
    <row r="699" ht="12.75" customHeight="1">
      <c r="A699" s="71"/>
      <c r="B699" s="71"/>
      <c r="C699" s="11"/>
      <c r="D699" s="11"/>
      <c r="E699" s="2"/>
      <c r="F699" s="2"/>
      <c r="G699" s="2"/>
      <c r="H699" s="54"/>
      <c r="I699" s="4"/>
      <c r="J699" s="2"/>
      <c r="K699" s="2"/>
      <c r="L699" s="5"/>
      <c r="M699" s="5"/>
      <c r="N699" s="5"/>
      <c r="O699" s="5"/>
      <c r="P699" s="5"/>
      <c r="Q699" s="5"/>
      <c r="R699" s="2"/>
      <c r="S699" s="2"/>
      <c r="T699" s="2"/>
      <c r="U699" s="2"/>
      <c r="V699" s="2"/>
      <c r="W699" s="2"/>
      <c r="X699" s="6"/>
      <c r="Y699" s="2"/>
      <c r="Z699" s="2"/>
      <c r="AA699" s="2"/>
      <c r="AB699" s="2"/>
      <c r="AC699" s="6"/>
      <c r="AD699" s="2"/>
      <c r="AE699" s="2"/>
      <c r="AF699" s="2"/>
      <c r="AG699" s="2"/>
      <c r="AH699" s="2"/>
      <c r="AI699" s="6"/>
      <c r="AJ699" s="2"/>
      <c r="AK699" s="56"/>
      <c r="AL699" s="2"/>
      <c r="AM699" s="2"/>
      <c r="AN699" s="2"/>
      <c r="AO699" s="2"/>
      <c r="AP699" s="6"/>
      <c r="AQ699" s="2"/>
      <c r="AR699" s="2"/>
      <c r="AS699" s="2"/>
      <c r="AT699" s="2"/>
      <c r="AU699" s="2"/>
      <c r="AV699" s="2"/>
      <c r="AW699" s="2"/>
      <c r="AX699" s="6"/>
      <c r="AY699" s="2"/>
      <c r="AZ699" s="2"/>
      <c r="BA699" s="2"/>
      <c r="BB699" s="2"/>
      <c r="BC699" s="2"/>
      <c r="BD699" s="6"/>
      <c r="BE699" s="2"/>
      <c r="BF699" s="6"/>
      <c r="BG699" s="58"/>
      <c r="BH699" s="6"/>
      <c r="BI699" s="2"/>
    </row>
    <row r="700" ht="12.75" customHeight="1">
      <c r="A700" s="71"/>
      <c r="B700" s="71"/>
      <c r="C700" s="11"/>
      <c r="D700" s="11"/>
      <c r="E700" s="2"/>
      <c r="F700" s="2"/>
      <c r="G700" s="2"/>
      <c r="H700" s="54"/>
      <c r="I700" s="4"/>
      <c r="J700" s="2"/>
      <c r="K700" s="2"/>
      <c r="L700" s="5"/>
      <c r="M700" s="5"/>
      <c r="N700" s="5"/>
      <c r="O700" s="5"/>
      <c r="P700" s="5"/>
      <c r="Q700" s="5"/>
      <c r="R700" s="2"/>
      <c r="S700" s="2"/>
      <c r="T700" s="2"/>
      <c r="U700" s="2"/>
      <c r="V700" s="2"/>
      <c r="W700" s="2"/>
      <c r="X700" s="6"/>
      <c r="Y700" s="2"/>
      <c r="Z700" s="2"/>
      <c r="AA700" s="2"/>
      <c r="AB700" s="2"/>
      <c r="AC700" s="6"/>
      <c r="AD700" s="2"/>
      <c r="AE700" s="2"/>
      <c r="AF700" s="2"/>
      <c r="AG700" s="2"/>
      <c r="AH700" s="2"/>
      <c r="AI700" s="6"/>
      <c r="AJ700" s="2"/>
      <c r="AK700" s="56"/>
      <c r="AL700" s="2"/>
      <c r="AM700" s="2"/>
      <c r="AN700" s="2"/>
      <c r="AO700" s="2"/>
      <c r="AP700" s="6"/>
      <c r="AQ700" s="2"/>
      <c r="AR700" s="2"/>
      <c r="AS700" s="2"/>
      <c r="AT700" s="2"/>
      <c r="AU700" s="2"/>
      <c r="AV700" s="2"/>
      <c r="AW700" s="2"/>
      <c r="AX700" s="6"/>
      <c r="AY700" s="2"/>
      <c r="AZ700" s="2"/>
      <c r="BA700" s="2"/>
      <c r="BB700" s="2"/>
      <c r="BC700" s="2"/>
      <c r="BD700" s="6"/>
      <c r="BE700" s="2"/>
      <c r="BF700" s="6"/>
      <c r="BG700" s="58"/>
      <c r="BH700" s="6"/>
      <c r="BI700" s="2"/>
    </row>
    <row r="701" ht="12.75" customHeight="1">
      <c r="A701" s="71"/>
      <c r="B701" s="71"/>
      <c r="C701" s="11"/>
      <c r="D701" s="11"/>
      <c r="E701" s="2"/>
      <c r="F701" s="2"/>
      <c r="G701" s="2"/>
      <c r="H701" s="54"/>
      <c r="I701" s="4"/>
      <c r="J701" s="2"/>
      <c r="K701" s="2"/>
      <c r="L701" s="5"/>
      <c r="M701" s="5"/>
      <c r="N701" s="5"/>
      <c r="O701" s="5"/>
      <c r="P701" s="5"/>
      <c r="Q701" s="5"/>
      <c r="R701" s="2"/>
      <c r="S701" s="2"/>
      <c r="T701" s="2"/>
      <c r="U701" s="2"/>
      <c r="V701" s="2"/>
      <c r="W701" s="2"/>
      <c r="X701" s="6"/>
      <c r="Y701" s="2"/>
      <c r="Z701" s="2"/>
      <c r="AA701" s="2"/>
      <c r="AB701" s="2"/>
      <c r="AC701" s="6"/>
      <c r="AD701" s="2"/>
      <c r="AE701" s="2"/>
      <c r="AF701" s="2"/>
      <c r="AG701" s="2"/>
      <c r="AH701" s="2"/>
      <c r="AI701" s="6"/>
      <c r="AJ701" s="2"/>
      <c r="AK701" s="56"/>
      <c r="AL701" s="2"/>
      <c r="AM701" s="2"/>
      <c r="AN701" s="2"/>
      <c r="AO701" s="2"/>
      <c r="AP701" s="6"/>
      <c r="AQ701" s="2"/>
      <c r="AR701" s="2"/>
      <c r="AS701" s="2"/>
      <c r="AT701" s="2"/>
      <c r="AU701" s="2"/>
      <c r="AV701" s="2"/>
      <c r="AW701" s="2"/>
      <c r="AX701" s="6"/>
      <c r="AY701" s="2"/>
      <c r="AZ701" s="2"/>
      <c r="BA701" s="2"/>
      <c r="BB701" s="2"/>
      <c r="BC701" s="2"/>
      <c r="BD701" s="6"/>
      <c r="BE701" s="2"/>
      <c r="BF701" s="6"/>
      <c r="BG701" s="58"/>
      <c r="BH701" s="6"/>
      <c r="BI701" s="2"/>
    </row>
    <row r="702" ht="12.75" customHeight="1">
      <c r="A702" s="71"/>
      <c r="B702" s="71"/>
      <c r="C702" s="11"/>
      <c r="D702" s="11"/>
      <c r="E702" s="2"/>
      <c r="F702" s="2"/>
      <c r="G702" s="2"/>
      <c r="H702" s="54"/>
      <c r="I702" s="4"/>
      <c r="J702" s="2"/>
      <c r="K702" s="2"/>
      <c r="L702" s="5"/>
      <c r="M702" s="5"/>
      <c r="N702" s="5"/>
      <c r="O702" s="5"/>
      <c r="P702" s="5"/>
      <c r="Q702" s="5"/>
      <c r="R702" s="2"/>
      <c r="S702" s="2"/>
      <c r="T702" s="2"/>
      <c r="U702" s="2"/>
      <c r="V702" s="2"/>
      <c r="W702" s="2"/>
      <c r="X702" s="6"/>
      <c r="Y702" s="2"/>
      <c r="Z702" s="2"/>
      <c r="AA702" s="2"/>
      <c r="AB702" s="2"/>
      <c r="AC702" s="6"/>
      <c r="AD702" s="2"/>
      <c r="AE702" s="2"/>
      <c r="AF702" s="2"/>
      <c r="AG702" s="2"/>
      <c r="AH702" s="2"/>
      <c r="AI702" s="6"/>
      <c r="AJ702" s="2"/>
      <c r="AK702" s="56"/>
      <c r="AL702" s="2"/>
      <c r="AM702" s="2"/>
      <c r="AN702" s="2"/>
      <c r="AO702" s="2"/>
      <c r="AP702" s="6"/>
      <c r="AQ702" s="2"/>
      <c r="AR702" s="2"/>
      <c r="AS702" s="2"/>
      <c r="AT702" s="2"/>
      <c r="AU702" s="2"/>
      <c r="AV702" s="2"/>
      <c r="AW702" s="2"/>
      <c r="AX702" s="6"/>
      <c r="AY702" s="2"/>
      <c r="AZ702" s="2"/>
      <c r="BA702" s="2"/>
      <c r="BB702" s="2"/>
      <c r="BC702" s="2"/>
      <c r="BD702" s="6"/>
      <c r="BE702" s="2"/>
      <c r="BF702" s="6"/>
      <c r="BG702" s="58"/>
      <c r="BH702" s="6"/>
      <c r="BI702" s="2"/>
    </row>
    <row r="703" ht="12.75" customHeight="1">
      <c r="A703" s="71"/>
      <c r="B703" s="71"/>
      <c r="C703" s="11"/>
      <c r="D703" s="11"/>
      <c r="E703" s="2"/>
      <c r="F703" s="2"/>
      <c r="G703" s="2"/>
      <c r="H703" s="54"/>
      <c r="I703" s="4"/>
      <c r="J703" s="2"/>
      <c r="K703" s="2"/>
      <c r="L703" s="5"/>
      <c r="M703" s="5"/>
      <c r="N703" s="5"/>
      <c r="O703" s="5"/>
      <c r="P703" s="5"/>
      <c r="Q703" s="5"/>
      <c r="R703" s="2"/>
      <c r="S703" s="2"/>
      <c r="T703" s="2"/>
      <c r="U703" s="2"/>
      <c r="V703" s="2"/>
      <c r="W703" s="2"/>
      <c r="X703" s="6"/>
      <c r="Y703" s="2"/>
      <c r="Z703" s="2"/>
      <c r="AA703" s="2"/>
      <c r="AB703" s="2"/>
      <c r="AC703" s="6"/>
      <c r="AD703" s="2"/>
      <c r="AE703" s="2"/>
      <c r="AF703" s="2"/>
      <c r="AG703" s="2"/>
      <c r="AH703" s="2"/>
      <c r="AI703" s="6"/>
      <c r="AJ703" s="2"/>
      <c r="AK703" s="56"/>
      <c r="AL703" s="2"/>
      <c r="AM703" s="2"/>
      <c r="AN703" s="2"/>
      <c r="AO703" s="2"/>
      <c r="AP703" s="6"/>
      <c r="AQ703" s="2"/>
      <c r="AR703" s="2"/>
      <c r="AS703" s="2"/>
      <c r="AT703" s="2"/>
      <c r="AU703" s="2"/>
      <c r="AV703" s="2"/>
      <c r="AW703" s="2"/>
      <c r="AX703" s="6"/>
      <c r="AY703" s="2"/>
      <c r="AZ703" s="2"/>
      <c r="BA703" s="2"/>
      <c r="BB703" s="2"/>
      <c r="BC703" s="2"/>
      <c r="BD703" s="6"/>
      <c r="BE703" s="2"/>
      <c r="BF703" s="6"/>
      <c r="BG703" s="58"/>
      <c r="BH703" s="6"/>
      <c r="BI703" s="2"/>
    </row>
    <row r="704" ht="12.75" customHeight="1">
      <c r="A704" s="71"/>
      <c r="B704" s="71"/>
      <c r="C704" s="11"/>
      <c r="D704" s="11"/>
      <c r="E704" s="2"/>
      <c r="F704" s="2"/>
      <c r="G704" s="2"/>
      <c r="H704" s="54"/>
      <c r="I704" s="4"/>
      <c r="J704" s="2"/>
      <c r="K704" s="2"/>
      <c r="L704" s="5"/>
      <c r="M704" s="5"/>
      <c r="N704" s="5"/>
      <c r="O704" s="5"/>
      <c r="P704" s="5"/>
      <c r="Q704" s="5"/>
      <c r="R704" s="2"/>
      <c r="S704" s="2"/>
      <c r="T704" s="2"/>
      <c r="U704" s="2"/>
      <c r="V704" s="2"/>
      <c r="W704" s="2"/>
      <c r="X704" s="6"/>
      <c r="Y704" s="2"/>
      <c r="Z704" s="2"/>
      <c r="AA704" s="2"/>
      <c r="AB704" s="2"/>
      <c r="AC704" s="6"/>
      <c r="AD704" s="2"/>
      <c r="AE704" s="2"/>
      <c r="AF704" s="2"/>
      <c r="AG704" s="2"/>
      <c r="AH704" s="2"/>
      <c r="AI704" s="6"/>
      <c r="AJ704" s="2"/>
      <c r="AK704" s="56"/>
      <c r="AL704" s="2"/>
      <c r="AM704" s="2"/>
      <c r="AN704" s="2"/>
      <c r="AO704" s="2"/>
      <c r="AP704" s="6"/>
      <c r="AQ704" s="2"/>
      <c r="AR704" s="2"/>
      <c r="AS704" s="2"/>
      <c r="AT704" s="2"/>
      <c r="AU704" s="2"/>
      <c r="AV704" s="2"/>
      <c r="AW704" s="2"/>
      <c r="AX704" s="6"/>
      <c r="AY704" s="2"/>
      <c r="AZ704" s="2"/>
      <c r="BA704" s="2"/>
      <c r="BB704" s="2"/>
      <c r="BC704" s="2"/>
      <c r="BD704" s="6"/>
      <c r="BE704" s="2"/>
      <c r="BF704" s="6"/>
      <c r="BG704" s="58"/>
      <c r="BH704" s="6"/>
      <c r="BI704" s="2"/>
    </row>
    <row r="705" ht="12.75" customHeight="1">
      <c r="A705" s="71"/>
      <c r="B705" s="71"/>
      <c r="C705" s="11"/>
      <c r="D705" s="11"/>
      <c r="E705" s="2"/>
      <c r="F705" s="2"/>
      <c r="G705" s="2"/>
      <c r="H705" s="54"/>
      <c r="I705" s="4"/>
      <c r="J705" s="2"/>
      <c r="K705" s="2"/>
      <c r="L705" s="5"/>
      <c r="M705" s="5"/>
      <c r="N705" s="5"/>
      <c r="O705" s="5"/>
      <c r="P705" s="5"/>
      <c r="Q705" s="5"/>
      <c r="R705" s="2"/>
      <c r="S705" s="2"/>
      <c r="T705" s="2"/>
      <c r="U705" s="2"/>
      <c r="V705" s="2"/>
      <c r="W705" s="2"/>
      <c r="X705" s="6"/>
      <c r="Y705" s="2"/>
      <c r="Z705" s="2"/>
      <c r="AA705" s="2"/>
      <c r="AB705" s="2"/>
      <c r="AC705" s="6"/>
      <c r="AD705" s="2"/>
      <c r="AE705" s="2"/>
      <c r="AF705" s="2"/>
      <c r="AG705" s="2"/>
      <c r="AH705" s="2"/>
      <c r="AI705" s="6"/>
      <c r="AJ705" s="2"/>
      <c r="AK705" s="56"/>
      <c r="AL705" s="2"/>
      <c r="AM705" s="2"/>
      <c r="AN705" s="2"/>
      <c r="AO705" s="2"/>
      <c r="AP705" s="6"/>
      <c r="AQ705" s="2"/>
      <c r="AR705" s="2"/>
      <c r="AS705" s="2"/>
      <c r="AT705" s="2"/>
      <c r="AU705" s="2"/>
      <c r="AV705" s="2"/>
      <c r="AW705" s="2"/>
      <c r="AX705" s="6"/>
      <c r="AY705" s="2"/>
      <c r="AZ705" s="2"/>
      <c r="BA705" s="2"/>
      <c r="BB705" s="2"/>
      <c r="BC705" s="2"/>
      <c r="BD705" s="6"/>
      <c r="BE705" s="2"/>
      <c r="BF705" s="6"/>
      <c r="BG705" s="58"/>
      <c r="BH705" s="6"/>
      <c r="BI705" s="2"/>
    </row>
    <row r="706" ht="12.75" customHeight="1">
      <c r="A706" s="71"/>
      <c r="B706" s="71"/>
      <c r="C706" s="11"/>
      <c r="D706" s="11"/>
      <c r="E706" s="2"/>
      <c r="F706" s="2"/>
      <c r="G706" s="2"/>
      <c r="H706" s="54"/>
      <c r="I706" s="4"/>
      <c r="J706" s="2"/>
      <c r="K706" s="2"/>
      <c r="L706" s="5"/>
      <c r="M706" s="5"/>
      <c r="N706" s="5"/>
      <c r="O706" s="5"/>
      <c r="P706" s="5"/>
      <c r="Q706" s="5"/>
      <c r="R706" s="2"/>
      <c r="S706" s="2"/>
      <c r="T706" s="2"/>
      <c r="U706" s="2"/>
      <c r="V706" s="2"/>
      <c r="W706" s="2"/>
      <c r="X706" s="6"/>
      <c r="Y706" s="2"/>
      <c r="Z706" s="2"/>
      <c r="AA706" s="2"/>
      <c r="AB706" s="2"/>
      <c r="AC706" s="6"/>
      <c r="AD706" s="2"/>
      <c r="AE706" s="2"/>
      <c r="AF706" s="2"/>
      <c r="AG706" s="2"/>
      <c r="AH706" s="2"/>
      <c r="AI706" s="6"/>
      <c r="AJ706" s="2"/>
      <c r="AK706" s="56"/>
      <c r="AL706" s="2"/>
      <c r="AM706" s="2"/>
      <c r="AN706" s="2"/>
      <c r="AO706" s="2"/>
      <c r="AP706" s="6"/>
      <c r="AQ706" s="2"/>
      <c r="AR706" s="2"/>
      <c r="AS706" s="2"/>
      <c r="AT706" s="2"/>
      <c r="AU706" s="2"/>
      <c r="AV706" s="2"/>
      <c r="AW706" s="2"/>
      <c r="AX706" s="6"/>
      <c r="AY706" s="2"/>
      <c r="AZ706" s="2"/>
      <c r="BA706" s="2"/>
      <c r="BB706" s="2"/>
      <c r="BC706" s="2"/>
      <c r="BD706" s="6"/>
      <c r="BE706" s="2"/>
      <c r="BF706" s="6"/>
      <c r="BG706" s="58"/>
      <c r="BH706" s="6"/>
      <c r="BI706" s="2"/>
    </row>
    <row r="707" ht="12.75" customHeight="1">
      <c r="A707" s="71"/>
      <c r="B707" s="71"/>
      <c r="C707" s="11"/>
      <c r="D707" s="11"/>
      <c r="E707" s="2"/>
      <c r="F707" s="2"/>
      <c r="G707" s="2"/>
      <c r="H707" s="54"/>
      <c r="I707" s="4"/>
      <c r="J707" s="2"/>
      <c r="K707" s="2"/>
      <c r="L707" s="5"/>
      <c r="M707" s="5"/>
      <c r="N707" s="5"/>
      <c r="O707" s="5"/>
      <c r="P707" s="5"/>
      <c r="Q707" s="5"/>
      <c r="R707" s="2"/>
      <c r="S707" s="2"/>
      <c r="T707" s="2"/>
      <c r="U707" s="2"/>
      <c r="V707" s="2"/>
      <c r="W707" s="2"/>
      <c r="X707" s="6"/>
      <c r="Y707" s="2"/>
      <c r="Z707" s="2"/>
      <c r="AA707" s="2"/>
      <c r="AB707" s="2"/>
      <c r="AC707" s="6"/>
      <c r="AD707" s="2"/>
      <c r="AE707" s="2"/>
      <c r="AF707" s="2"/>
      <c r="AG707" s="2"/>
      <c r="AH707" s="2"/>
      <c r="AI707" s="6"/>
      <c r="AJ707" s="2"/>
      <c r="AK707" s="56"/>
      <c r="AL707" s="2"/>
      <c r="AM707" s="2"/>
      <c r="AN707" s="2"/>
      <c r="AO707" s="2"/>
      <c r="AP707" s="6"/>
      <c r="AQ707" s="2"/>
      <c r="AR707" s="2"/>
      <c r="AS707" s="2"/>
      <c r="AT707" s="2"/>
      <c r="AU707" s="2"/>
      <c r="AV707" s="2"/>
      <c r="AW707" s="2"/>
      <c r="AX707" s="6"/>
      <c r="AY707" s="2"/>
      <c r="AZ707" s="2"/>
      <c r="BA707" s="2"/>
      <c r="BB707" s="2"/>
      <c r="BC707" s="2"/>
      <c r="BD707" s="6"/>
      <c r="BE707" s="2"/>
      <c r="BF707" s="6"/>
      <c r="BG707" s="58"/>
      <c r="BH707" s="6"/>
      <c r="BI707" s="2"/>
    </row>
    <row r="708" ht="12.75" customHeight="1">
      <c r="A708" s="71"/>
      <c r="B708" s="71"/>
      <c r="C708" s="11"/>
      <c r="D708" s="11"/>
      <c r="E708" s="2"/>
      <c r="F708" s="2"/>
      <c r="G708" s="2"/>
      <c r="H708" s="54"/>
      <c r="I708" s="4"/>
      <c r="J708" s="2"/>
      <c r="K708" s="2"/>
      <c r="L708" s="5"/>
      <c r="M708" s="5"/>
      <c r="N708" s="5"/>
      <c r="O708" s="5"/>
      <c r="P708" s="5"/>
      <c r="Q708" s="5"/>
      <c r="R708" s="2"/>
      <c r="S708" s="2"/>
      <c r="T708" s="2"/>
      <c r="U708" s="2"/>
      <c r="V708" s="2"/>
      <c r="W708" s="2"/>
      <c r="X708" s="6"/>
      <c r="Y708" s="2"/>
      <c r="Z708" s="2"/>
      <c r="AA708" s="2"/>
      <c r="AB708" s="2"/>
      <c r="AC708" s="6"/>
      <c r="AD708" s="2"/>
      <c r="AE708" s="2"/>
      <c r="AF708" s="2"/>
      <c r="AG708" s="2"/>
      <c r="AH708" s="2"/>
      <c r="AI708" s="6"/>
      <c r="AJ708" s="2"/>
      <c r="AK708" s="56"/>
      <c r="AL708" s="2"/>
      <c r="AM708" s="2"/>
      <c r="AN708" s="2"/>
      <c r="AO708" s="2"/>
      <c r="AP708" s="6"/>
      <c r="AQ708" s="2"/>
      <c r="AR708" s="2"/>
      <c r="AS708" s="2"/>
      <c r="AT708" s="2"/>
      <c r="AU708" s="2"/>
      <c r="AV708" s="2"/>
      <c r="AW708" s="2"/>
      <c r="AX708" s="6"/>
      <c r="AY708" s="2"/>
      <c r="AZ708" s="2"/>
      <c r="BA708" s="2"/>
      <c r="BB708" s="2"/>
      <c r="BC708" s="2"/>
      <c r="BD708" s="6"/>
      <c r="BE708" s="2"/>
      <c r="BF708" s="6"/>
      <c r="BG708" s="58"/>
      <c r="BH708" s="6"/>
      <c r="BI708" s="2"/>
    </row>
    <row r="709" ht="12.75" customHeight="1">
      <c r="A709" s="71"/>
      <c r="B709" s="71"/>
      <c r="C709" s="11"/>
      <c r="D709" s="11"/>
      <c r="E709" s="2"/>
      <c r="F709" s="2"/>
      <c r="G709" s="2"/>
      <c r="H709" s="54"/>
      <c r="I709" s="4"/>
      <c r="J709" s="2"/>
      <c r="K709" s="2"/>
      <c r="L709" s="5"/>
      <c r="M709" s="5"/>
      <c r="N709" s="5"/>
      <c r="O709" s="5"/>
      <c r="P709" s="5"/>
      <c r="Q709" s="5"/>
      <c r="R709" s="2"/>
      <c r="S709" s="2"/>
      <c r="T709" s="2"/>
      <c r="U709" s="2"/>
      <c r="V709" s="2"/>
      <c r="W709" s="2"/>
      <c r="X709" s="6"/>
      <c r="Y709" s="2"/>
      <c r="Z709" s="2"/>
      <c r="AA709" s="2"/>
      <c r="AB709" s="2"/>
      <c r="AC709" s="6"/>
      <c r="AD709" s="2"/>
      <c r="AE709" s="2"/>
      <c r="AF709" s="2"/>
      <c r="AG709" s="2"/>
      <c r="AH709" s="2"/>
      <c r="AI709" s="6"/>
      <c r="AJ709" s="2"/>
      <c r="AK709" s="56"/>
      <c r="AL709" s="2"/>
      <c r="AM709" s="2"/>
      <c r="AN709" s="2"/>
      <c r="AO709" s="2"/>
      <c r="AP709" s="6"/>
      <c r="AQ709" s="2"/>
      <c r="AR709" s="2"/>
      <c r="AS709" s="2"/>
      <c r="AT709" s="2"/>
      <c r="AU709" s="2"/>
      <c r="AV709" s="2"/>
      <c r="AW709" s="2"/>
      <c r="AX709" s="6"/>
      <c r="AY709" s="2"/>
      <c r="AZ709" s="2"/>
      <c r="BA709" s="2"/>
      <c r="BB709" s="2"/>
      <c r="BC709" s="2"/>
      <c r="BD709" s="6"/>
      <c r="BE709" s="2"/>
      <c r="BF709" s="6"/>
      <c r="BG709" s="58"/>
      <c r="BH709" s="6"/>
      <c r="BI709" s="2"/>
    </row>
    <row r="710" ht="12.75" customHeight="1">
      <c r="A710" s="71"/>
      <c r="B710" s="71"/>
      <c r="C710" s="11"/>
      <c r="D710" s="11"/>
      <c r="E710" s="2"/>
      <c r="F710" s="2"/>
      <c r="G710" s="2"/>
      <c r="H710" s="54"/>
      <c r="I710" s="4"/>
      <c r="J710" s="2"/>
      <c r="K710" s="2"/>
      <c r="L710" s="5"/>
      <c r="M710" s="5"/>
      <c r="N710" s="5"/>
      <c r="O710" s="5"/>
      <c r="P710" s="5"/>
      <c r="Q710" s="5"/>
      <c r="R710" s="2"/>
      <c r="S710" s="2"/>
      <c r="T710" s="2"/>
      <c r="U710" s="2"/>
      <c r="V710" s="2"/>
      <c r="W710" s="2"/>
      <c r="X710" s="6"/>
      <c r="Y710" s="2"/>
      <c r="Z710" s="2"/>
      <c r="AA710" s="2"/>
      <c r="AB710" s="2"/>
      <c r="AC710" s="6"/>
      <c r="AD710" s="2"/>
      <c r="AE710" s="2"/>
      <c r="AF710" s="2"/>
      <c r="AG710" s="2"/>
      <c r="AH710" s="2"/>
      <c r="AI710" s="6"/>
      <c r="AJ710" s="2"/>
      <c r="AK710" s="56"/>
      <c r="AL710" s="2"/>
      <c r="AM710" s="2"/>
      <c r="AN710" s="2"/>
      <c r="AO710" s="2"/>
      <c r="AP710" s="6"/>
      <c r="AQ710" s="2"/>
      <c r="AR710" s="2"/>
      <c r="AS710" s="2"/>
      <c r="AT710" s="2"/>
      <c r="AU710" s="2"/>
      <c r="AV710" s="2"/>
      <c r="AW710" s="2"/>
      <c r="AX710" s="6"/>
      <c r="AY710" s="2"/>
      <c r="AZ710" s="2"/>
      <c r="BA710" s="2"/>
      <c r="BB710" s="2"/>
      <c r="BC710" s="2"/>
      <c r="BD710" s="6"/>
      <c r="BE710" s="2"/>
      <c r="BF710" s="6"/>
      <c r="BG710" s="58"/>
      <c r="BH710" s="6"/>
      <c r="BI710" s="2"/>
    </row>
    <row r="711" ht="12.75" customHeight="1">
      <c r="A711" s="71"/>
      <c r="B711" s="71"/>
      <c r="C711" s="11"/>
      <c r="D711" s="11"/>
      <c r="E711" s="2"/>
      <c r="F711" s="2"/>
      <c r="G711" s="2"/>
      <c r="H711" s="54"/>
      <c r="I711" s="4"/>
      <c r="J711" s="2"/>
      <c r="K711" s="2"/>
      <c r="L711" s="5"/>
      <c r="M711" s="5"/>
      <c r="N711" s="5"/>
      <c r="O711" s="5"/>
      <c r="P711" s="5"/>
      <c r="Q711" s="5"/>
      <c r="R711" s="2"/>
      <c r="S711" s="2"/>
      <c r="T711" s="2"/>
      <c r="U711" s="2"/>
      <c r="V711" s="2"/>
      <c r="W711" s="2"/>
      <c r="X711" s="6"/>
      <c r="Y711" s="2"/>
      <c r="Z711" s="2"/>
      <c r="AA711" s="2"/>
      <c r="AB711" s="2"/>
      <c r="AC711" s="6"/>
      <c r="AD711" s="2"/>
      <c r="AE711" s="2"/>
      <c r="AF711" s="2"/>
      <c r="AG711" s="2"/>
      <c r="AH711" s="2"/>
      <c r="AI711" s="6"/>
      <c r="AJ711" s="2"/>
      <c r="AK711" s="56"/>
      <c r="AL711" s="2"/>
      <c r="AM711" s="2"/>
      <c r="AN711" s="2"/>
      <c r="AO711" s="2"/>
      <c r="AP711" s="6"/>
      <c r="AQ711" s="2"/>
      <c r="AR711" s="2"/>
      <c r="AS711" s="2"/>
      <c r="AT711" s="2"/>
      <c r="AU711" s="2"/>
      <c r="AV711" s="2"/>
      <c r="AW711" s="2"/>
      <c r="AX711" s="6"/>
      <c r="AY711" s="2"/>
      <c r="AZ711" s="2"/>
      <c r="BA711" s="2"/>
      <c r="BB711" s="2"/>
      <c r="BC711" s="2"/>
      <c r="BD711" s="6"/>
      <c r="BE711" s="2"/>
      <c r="BF711" s="6"/>
      <c r="BG711" s="58"/>
      <c r="BH711" s="6"/>
      <c r="BI711" s="2"/>
    </row>
    <row r="712" ht="12.75" customHeight="1">
      <c r="A712" s="71"/>
      <c r="B712" s="71"/>
      <c r="C712" s="11"/>
      <c r="D712" s="11"/>
      <c r="E712" s="2"/>
      <c r="F712" s="2"/>
      <c r="G712" s="2"/>
      <c r="H712" s="54"/>
      <c r="I712" s="4"/>
      <c r="J712" s="2"/>
      <c r="K712" s="2"/>
      <c r="L712" s="5"/>
      <c r="M712" s="5"/>
      <c r="N712" s="5"/>
      <c r="O712" s="5"/>
      <c r="P712" s="5"/>
      <c r="Q712" s="5"/>
      <c r="R712" s="2"/>
      <c r="S712" s="2"/>
      <c r="T712" s="2"/>
      <c r="U712" s="2"/>
      <c r="V712" s="2"/>
      <c r="W712" s="2"/>
      <c r="X712" s="6"/>
      <c r="Y712" s="2"/>
      <c r="Z712" s="2"/>
      <c r="AA712" s="2"/>
      <c r="AB712" s="2"/>
      <c r="AC712" s="6"/>
      <c r="AD712" s="2"/>
      <c r="AE712" s="2"/>
      <c r="AF712" s="2"/>
      <c r="AG712" s="2"/>
      <c r="AH712" s="2"/>
      <c r="AI712" s="6"/>
      <c r="AJ712" s="2"/>
      <c r="AK712" s="56"/>
      <c r="AL712" s="2"/>
      <c r="AM712" s="2"/>
      <c r="AN712" s="2"/>
      <c r="AO712" s="2"/>
      <c r="AP712" s="6"/>
      <c r="AQ712" s="2"/>
      <c r="AR712" s="2"/>
      <c r="AS712" s="2"/>
      <c r="AT712" s="2"/>
      <c r="AU712" s="2"/>
      <c r="AV712" s="2"/>
      <c r="AW712" s="2"/>
      <c r="AX712" s="6"/>
      <c r="AY712" s="2"/>
      <c r="AZ712" s="2"/>
      <c r="BA712" s="2"/>
      <c r="BB712" s="2"/>
      <c r="BC712" s="2"/>
      <c r="BD712" s="6"/>
      <c r="BE712" s="2"/>
      <c r="BF712" s="6"/>
      <c r="BG712" s="58"/>
      <c r="BH712" s="6"/>
      <c r="BI712" s="2"/>
    </row>
    <row r="713" ht="12.75" customHeight="1">
      <c r="A713" s="71"/>
      <c r="B713" s="71"/>
      <c r="C713" s="11"/>
      <c r="D713" s="11"/>
      <c r="E713" s="2"/>
      <c r="F713" s="2"/>
      <c r="G713" s="2"/>
      <c r="H713" s="54"/>
      <c r="I713" s="4"/>
      <c r="J713" s="2"/>
      <c r="K713" s="2"/>
      <c r="L713" s="5"/>
      <c r="M713" s="5"/>
      <c r="N713" s="5"/>
      <c r="O713" s="5"/>
      <c r="P713" s="5"/>
      <c r="Q713" s="5"/>
      <c r="R713" s="2"/>
      <c r="S713" s="2"/>
      <c r="T713" s="2"/>
      <c r="U713" s="2"/>
      <c r="V713" s="2"/>
      <c r="W713" s="2"/>
      <c r="X713" s="6"/>
      <c r="Y713" s="2"/>
      <c r="Z713" s="2"/>
      <c r="AA713" s="2"/>
      <c r="AB713" s="2"/>
      <c r="AC713" s="6"/>
      <c r="AD713" s="2"/>
      <c r="AE713" s="2"/>
      <c r="AF713" s="2"/>
      <c r="AG713" s="2"/>
      <c r="AH713" s="2"/>
      <c r="AI713" s="6"/>
      <c r="AJ713" s="2"/>
      <c r="AK713" s="56"/>
      <c r="AL713" s="2"/>
      <c r="AM713" s="2"/>
      <c r="AN713" s="2"/>
      <c r="AO713" s="2"/>
      <c r="AP713" s="6"/>
      <c r="AQ713" s="2"/>
      <c r="AR713" s="2"/>
      <c r="AS713" s="2"/>
      <c r="AT713" s="2"/>
      <c r="AU713" s="2"/>
      <c r="AV713" s="2"/>
      <c r="AW713" s="2"/>
      <c r="AX713" s="6"/>
      <c r="AY713" s="2"/>
      <c r="AZ713" s="2"/>
      <c r="BA713" s="2"/>
      <c r="BB713" s="2"/>
      <c r="BC713" s="2"/>
      <c r="BD713" s="6"/>
      <c r="BE713" s="2"/>
      <c r="BF713" s="6"/>
      <c r="BG713" s="58"/>
      <c r="BH713" s="6"/>
      <c r="BI713" s="2"/>
    </row>
    <row r="714" ht="12.75" customHeight="1">
      <c r="A714" s="71"/>
      <c r="B714" s="71"/>
      <c r="C714" s="11"/>
      <c r="D714" s="11"/>
      <c r="E714" s="2"/>
      <c r="F714" s="2"/>
      <c r="G714" s="2"/>
      <c r="H714" s="54"/>
      <c r="I714" s="4"/>
      <c r="J714" s="2"/>
      <c r="K714" s="2"/>
      <c r="L714" s="5"/>
      <c r="M714" s="5"/>
      <c r="N714" s="5"/>
      <c r="O714" s="5"/>
      <c r="P714" s="5"/>
      <c r="Q714" s="5"/>
      <c r="R714" s="2"/>
      <c r="S714" s="2"/>
      <c r="T714" s="2"/>
      <c r="U714" s="2"/>
      <c r="V714" s="2"/>
      <c r="W714" s="2"/>
      <c r="X714" s="6"/>
      <c r="Y714" s="2"/>
      <c r="Z714" s="2"/>
      <c r="AA714" s="2"/>
      <c r="AB714" s="2"/>
      <c r="AC714" s="6"/>
      <c r="AD714" s="2"/>
      <c r="AE714" s="2"/>
      <c r="AF714" s="2"/>
      <c r="AG714" s="2"/>
      <c r="AH714" s="2"/>
      <c r="AI714" s="6"/>
      <c r="AJ714" s="2"/>
      <c r="AK714" s="56"/>
      <c r="AL714" s="2"/>
      <c r="AM714" s="2"/>
      <c r="AN714" s="2"/>
      <c r="AO714" s="2"/>
      <c r="AP714" s="6"/>
      <c r="AQ714" s="2"/>
      <c r="AR714" s="2"/>
      <c r="AS714" s="2"/>
      <c r="AT714" s="2"/>
      <c r="AU714" s="2"/>
      <c r="AV714" s="2"/>
      <c r="AW714" s="2"/>
      <c r="AX714" s="6"/>
      <c r="AY714" s="2"/>
      <c r="AZ714" s="2"/>
      <c r="BA714" s="2"/>
      <c r="BB714" s="2"/>
      <c r="BC714" s="2"/>
      <c r="BD714" s="6"/>
      <c r="BE714" s="2"/>
      <c r="BF714" s="6"/>
      <c r="BG714" s="58"/>
      <c r="BH714" s="6"/>
      <c r="BI714" s="2"/>
    </row>
    <row r="715" ht="12.75" customHeight="1">
      <c r="A715" s="71"/>
      <c r="B715" s="71"/>
      <c r="C715" s="11"/>
      <c r="D715" s="11"/>
      <c r="E715" s="2"/>
      <c r="F715" s="2"/>
      <c r="G715" s="2"/>
      <c r="H715" s="54"/>
      <c r="I715" s="4"/>
      <c r="J715" s="2"/>
      <c r="K715" s="2"/>
      <c r="L715" s="5"/>
      <c r="M715" s="5"/>
      <c r="N715" s="5"/>
      <c r="O715" s="5"/>
      <c r="P715" s="5"/>
      <c r="Q715" s="5"/>
      <c r="R715" s="2"/>
      <c r="S715" s="2"/>
      <c r="T715" s="2"/>
      <c r="U715" s="2"/>
      <c r="V715" s="2"/>
      <c r="W715" s="2"/>
      <c r="X715" s="6"/>
      <c r="Y715" s="2"/>
      <c r="Z715" s="2"/>
      <c r="AA715" s="2"/>
      <c r="AB715" s="2"/>
      <c r="AC715" s="6"/>
      <c r="AD715" s="2"/>
      <c r="AE715" s="2"/>
      <c r="AF715" s="2"/>
      <c r="AG715" s="2"/>
      <c r="AH715" s="2"/>
      <c r="AI715" s="6"/>
      <c r="AJ715" s="2"/>
      <c r="AK715" s="56"/>
      <c r="AL715" s="2"/>
      <c r="AM715" s="2"/>
      <c r="AN715" s="2"/>
      <c r="AO715" s="2"/>
      <c r="AP715" s="6"/>
      <c r="AQ715" s="2"/>
      <c r="AR715" s="2"/>
      <c r="AS715" s="2"/>
      <c r="AT715" s="2"/>
      <c r="AU715" s="2"/>
      <c r="AV715" s="2"/>
      <c r="AW715" s="2"/>
      <c r="AX715" s="6"/>
      <c r="AY715" s="2"/>
      <c r="AZ715" s="2"/>
      <c r="BA715" s="2"/>
      <c r="BB715" s="2"/>
      <c r="BC715" s="2"/>
      <c r="BD715" s="6"/>
      <c r="BE715" s="2"/>
      <c r="BF715" s="6"/>
      <c r="BG715" s="58"/>
      <c r="BH715" s="6"/>
      <c r="BI715" s="2"/>
    </row>
    <row r="716" ht="12.75" customHeight="1">
      <c r="A716" s="71"/>
      <c r="B716" s="71"/>
      <c r="C716" s="11"/>
      <c r="D716" s="11"/>
      <c r="E716" s="2"/>
      <c r="F716" s="2"/>
      <c r="G716" s="2"/>
      <c r="H716" s="54"/>
      <c r="I716" s="4"/>
      <c r="J716" s="2"/>
      <c r="K716" s="2"/>
      <c r="L716" s="5"/>
      <c r="M716" s="5"/>
      <c r="N716" s="5"/>
      <c r="O716" s="5"/>
      <c r="P716" s="5"/>
      <c r="Q716" s="5"/>
      <c r="R716" s="2"/>
      <c r="S716" s="2"/>
      <c r="T716" s="2"/>
      <c r="U716" s="2"/>
      <c r="V716" s="2"/>
      <c r="W716" s="2"/>
      <c r="X716" s="6"/>
      <c r="Y716" s="2"/>
      <c r="Z716" s="2"/>
      <c r="AA716" s="2"/>
      <c r="AB716" s="2"/>
      <c r="AC716" s="6"/>
      <c r="AD716" s="2"/>
      <c r="AE716" s="2"/>
      <c r="AF716" s="2"/>
      <c r="AG716" s="2"/>
      <c r="AH716" s="2"/>
      <c r="AI716" s="6"/>
      <c r="AJ716" s="2"/>
      <c r="AK716" s="56"/>
      <c r="AL716" s="2"/>
      <c r="AM716" s="2"/>
      <c r="AN716" s="2"/>
      <c r="AO716" s="2"/>
      <c r="AP716" s="6"/>
      <c r="AQ716" s="2"/>
      <c r="AR716" s="2"/>
      <c r="AS716" s="2"/>
      <c r="AT716" s="2"/>
      <c r="AU716" s="2"/>
      <c r="AV716" s="2"/>
      <c r="AW716" s="2"/>
      <c r="AX716" s="6"/>
      <c r="AY716" s="2"/>
      <c r="AZ716" s="2"/>
      <c r="BA716" s="2"/>
      <c r="BB716" s="2"/>
      <c r="BC716" s="2"/>
      <c r="BD716" s="6"/>
      <c r="BE716" s="2"/>
      <c r="BF716" s="6"/>
      <c r="BG716" s="58"/>
      <c r="BH716" s="6"/>
      <c r="BI716" s="2"/>
    </row>
    <row r="717" ht="12.75" customHeight="1">
      <c r="A717" s="71"/>
      <c r="B717" s="71"/>
      <c r="C717" s="11"/>
      <c r="D717" s="11"/>
      <c r="E717" s="2"/>
      <c r="F717" s="2"/>
      <c r="G717" s="2"/>
      <c r="H717" s="54"/>
      <c r="I717" s="4"/>
      <c r="J717" s="2"/>
      <c r="K717" s="2"/>
      <c r="L717" s="5"/>
      <c r="M717" s="5"/>
      <c r="N717" s="5"/>
      <c r="O717" s="5"/>
      <c r="P717" s="5"/>
      <c r="Q717" s="5"/>
      <c r="R717" s="2"/>
      <c r="S717" s="2"/>
      <c r="T717" s="2"/>
      <c r="U717" s="2"/>
      <c r="V717" s="2"/>
      <c r="W717" s="2"/>
      <c r="X717" s="6"/>
      <c r="Y717" s="2"/>
      <c r="Z717" s="2"/>
      <c r="AA717" s="2"/>
      <c r="AB717" s="2"/>
      <c r="AC717" s="6"/>
      <c r="AD717" s="2"/>
      <c r="AE717" s="2"/>
      <c r="AF717" s="2"/>
      <c r="AG717" s="2"/>
      <c r="AH717" s="2"/>
      <c r="AI717" s="6"/>
      <c r="AJ717" s="2"/>
      <c r="AK717" s="56"/>
      <c r="AL717" s="2"/>
      <c r="AM717" s="2"/>
      <c r="AN717" s="2"/>
      <c r="AO717" s="2"/>
      <c r="AP717" s="6"/>
      <c r="AQ717" s="2"/>
      <c r="AR717" s="2"/>
      <c r="AS717" s="2"/>
      <c r="AT717" s="2"/>
      <c r="AU717" s="2"/>
      <c r="AV717" s="2"/>
      <c r="AW717" s="2"/>
      <c r="AX717" s="6"/>
      <c r="AY717" s="2"/>
      <c r="AZ717" s="2"/>
      <c r="BA717" s="2"/>
      <c r="BB717" s="2"/>
      <c r="BC717" s="2"/>
      <c r="BD717" s="6"/>
      <c r="BE717" s="2"/>
      <c r="BF717" s="6"/>
      <c r="BG717" s="58"/>
      <c r="BH717" s="6"/>
      <c r="BI717" s="2"/>
    </row>
    <row r="718" ht="12.75" customHeight="1">
      <c r="A718" s="71"/>
      <c r="B718" s="71"/>
      <c r="C718" s="11"/>
      <c r="D718" s="11"/>
      <c r="E718" s="2"/>
      <c r="F718" s="2"/>
      <c r="G718" s="2"/>
      <c r="H718" s="54"/>
      <c r="I718" s="4"/>
      <c r="J718" s="2"/>
      <c r="K718" s="2"/>
      <c r="L718" s="5"/>
      <c r="M718" s="5"/>
      <c r="N718" s="5"/>
      <c r="O718" s="5"/>
      <c r="P718" s="5"/>
      <c r="Q718" s="5"/>
      <c r="R718" s="2"/>
      <c r="S718" s="2"/>
      <c r="T718" s="2"/>
      <c r="U718" s="2"/>
      <c r="V718" s="2"/>
      <c r="W718" s="2"/>
      <c r="X718" s="6"/>
      <c r="Y718" s="2"/>
      <c r="Z718" s="2"/>
      <c r="AA718" s="2"/>
      <c r="AB718" s="2"/>
      <c r="AC718" s="6"/>
      <c r="AD718" s="2"/>
      <c r="AE718" s="2"/>
      <c r="AF718" s="2"/>
      <c r="AG718" s="2"/>
      <c r="AH718" s="2"/>
      <c r="AI718" s="6"/>
      <c r="AJ718" s="2"/>
      <c r="AK718" s="56"/>
      <c r="AL718" s="2"/>
      <c r="AM718" s="2"/>
      <c r="AN718" s="2"/>
      <c r="AO718" s="2"/>
      <c r="AP718" s="6"/>
      <c r="AQ718" s="2"/>
      <c r="AR718" s="2"/>
      <c r="AS718" s="2"/>
      <c r="AT718" s="2"/>
      <c r="AU718" s="2"/>
      <c r="AV718" s="2"/>
      <c r="AW718" s="2"/>
      <c r="AX718" s="6"/>
      <c r="AY718" s="2"/>
      <c r="AZ718" s="2"/>
      <c r="BA718" s="2"/>
      <c r="BB718" s="2"/>
      <c r="BC718" s="2"/>
      <c r="BD718" s="6"/>
      <c r="BE718" s="2"/>
      <c r="BF718" s="6"/>
      <c r="BG718" s="58"/>
      <c r="BH718" s="6"/>
      <c r="BI718" s="2"/>
    </row>
    <row r="719" ht="12.75" customHeight="1">
      <c r="A719" s="71"/>
      <c r="B719" s="71"/>
      <c r="C719" s="11"/>
      <c r="D719" s="11"/>
      <c r="E719" s="2"/>
      <c r="F719" s="2"/>
      <c r="G719" s="2"/>
      <c r="H719" s="54"/>
      <c r="I719" s="4"/>
      <c r="J719" s="2"/>
      <c r="K719" s="2"/>
      <c r="L719" s="5"/>
      <c r="M719" s="5"/>
      <c r="N719" s="5"/>
      <c r="O719" s="5"/>
      <c r="P719" s="5"/>
      <c r="Q719" s="5"/>
      <c r="R719" s="2"/>
      <c r="S719" s="2"/>
      <c r="T719" s="2"/>
      <c r="U719" s="2"/>
      <c r="V719" s="2"/>
      <c r="W719" s="2"/>
      <c r="X719" s="6"/>
      <c r="Y719" s="2"/>
      <c r="Z719" s="2"/>
      <c r="AA719" s="2"/>
      <c r="AB719" s="2"/>
      <c r="AC719" s="6"/>
      <c r="AD719" s="2"/>
      <c r="AE719" s="2"/>
      <c r="AF719" s="2"/>
      <c r="AG719" s="2"/>
      <c r="AH719" s="2"/>
      <c r="AI719" s="6"/>
      <c r="AJ719" s="2"/>
      <c r="AK719" s="56"/>
      <c r="AL719" s="2"/>
      <c r="AM719" s="2"/>
      <c r="AN719" s="2"/>
      <c r="AO719" s="2"/>
      <c r="AP719" s="6"/>
      <c r="AQ719" s="2"/>
      <c r="AR719" s="2"/>
      <c r="AS719" s="2"/>
      <c r="AT719" s="2"/>
      <c r="AU719" s="2"/>
      <c r="AV719" s="2"/>
      <c r="AW719" s="2"/>
      <c r="AX719" s="6"/>
      <c r="AY719" s="2"/>
      <c r="AZ719" s="2"/>
      <c r="BA719" s="2"/>
      <c r="BB719" s="2"/>
      <c r="BC719" s="2"/>
      <c r="BD719" s="6"/>
      <c r="BE719" s="2"/>
      <c r="BF719" s="6"/>
      <c r="BG719" s="58"/>
      <c r="BH719" s="6"/>
      <c r="BI719" s="2"/>
    </row>
    <row r="720" ht="12.75" customHeight="1">
      <c r="A720" s="71"/>
      <c r="B720" s="71"/>
      <c r="C720" s="11"/>
      <c r="D720" s="11"/>
      <c r="E720" s="2"/>
      <c r="F720" s="2"/>
      <c r="G720" s="2"/>
      <c r="H720" s="54"/>
      <c r="I720" s="4"/>
      <c r="J720" s="2"/>
      <c r="K720" s="2"/>
      <c r="L720" s="5"/>
      <c r="M720" s="5"/>
      <c r="N720" s="5"/>
      <c r="O720" s="5"/>
      <c r="P720" s="5"/>
      <c r="Q720" s="5"/>
      <c r="R720" s="2"/>
      <c r="S720" s="2"/>
      <c r="T720" s="2"/>
      <c r="U720" s="2"/>
      <c r="V720" s="2"/>
      <c r="W720" s="2"/>
      <c r="X720" s="6"/>
      <c r="Y720" s="2"/>
      <c r="Z720" s="2"/>
      <c r="AA720" s="2"/>
      <c r="AB720" s="2"/>
      <c r="AC720" s="6"/>
      <c r="AD720" s="2"/>
      <c r="AE720" s="2"/>
      <c r="AF720" s="2"/>
      <c r="AG720" s="2"/>
      <c r="AH720" s="2"/>
      <c r="AI720" s="6"/>
      <c r="AJ720" s="2"/>
      <c r="AK720" s="56"/>
      <c r="AL720" s="2"/>
      <c r="AM720" s="2"/>
      <c r="AN720" s="2"/>
      <c r="AO720" s="2"/>
      <c r="AP720" s="6"/>
      <c r="AQ720" s="2"/>
      <c r="AR720" s="2"/>
      <c r="AS720" s="2"/>
      <c r="AT720" s="2"/>
      <c r="AU720" s="2"/>
      <c r="AV720" s="2"/>
      <c r="AW720" s="2"/>
      <c r="AX720" s="6"/>
      <c r="AY720" s="2"/>
      <c r="AZ720" s="2"/>
      <c r="BA720" s="2"/>
      <c r="BB720" s="2"/>
      <c r="BC720" s="2"/>
      <c r="BD720" s="6"/>
      <c r="BE720" s="2"/>
      <c r="BF720" s="6"/>
      <c r="BG720" s="58"/>
      <c r="BH720" s="6"/>
      <c r="BI720" s="2"/>
    </row>
    <row r="721" ht="12.75" customHeight="1">
      <c r="A721" s="71"/>
      <c r="B721" s="71"/>
      <c r="C721" s="11"/>
      <c r="D721" s="11"/>
      <c r="E721" s="2"/>
      <c r="F721" s="2"/>
      <c r="G721" s="2"/>
      <c r="H721" s="54"/>
      <c r="I721" s="4"/>
      <c r="J721" s="2"/>
      <c r="K721" s="2"/>
      <c r="L721" s="5"/>
      <c r="M721" s="5"/>
      <c r="N721" s="5"/>
      <c r="O721" s="5"/>
      <c r="P721" s="5"/>
      <c r="Q721" s="5"/>
      <c r="R721" s="2"/>
      <c r="S721" s="2"/>
      <c r="T721" s="2"/>
      <c r="U721" s="2"/>
      <c r="V721" s="2"/>
      <c r="W721" s="2"/>
      <c r="X721" s="6"/>
      <c r="Y721" s="2"/>
      <c r="Z721" s="2"/>
      <c r="AA721" s="2"/>
      <c r="AB721" s="2"/>
      <c r="AC721" s="6"/>
      <c r="AD721" s="2"/>
      <c r="AE721" s="2"/>
      <c r="AF721" s="2"/>
      <c r="AG721" s="2"/>
      <c r="AH721" s="2"/>
      <c r="AI721" s="6"/>
      <c r="AJ721" s="2"/>
      <c r="AK721" s="56"/>
      <c r="AL721" s="2"/>
      <c r="AM721" s="2"/>
      <c r="AN721" s="2"/>
      <c r="AO721" s="2"/>
      <c r="AP721" s="6"/>
      <c r="AQ721" s="2"/>
      <c r="AR721" s="2"/>
      <c r="AS721" s="2"/>
      <c r="AT721" s="2"/>
      <c r="AU721" s="2"/>
      <c r="AV721" s="2"/>
      <c r="AW721" s="2"/>
      <c r="AX721" s="6"/>
      <c r="AY721" s="2"/>
      <c r="AZ721" s="2"/>
      <c r="BA721" s="2"/>
      <c r="BB721" s="2"/>
      <c r="BC721" s="2"/>
      <c r="BD721" s="6"/>
      <c r="BE721" s="2"/>
      <c r="BF721" s="6"/>
      <c r="BG721" s="58"/>
      <c r="BH721" s="6"/>
      <c r="BI721" s="2"/>
    </row>
    <row r="722" ht="12.75" customHeight="1">
      <c r="A722" s="71"/>
      <c r="B722" s="71"/>
      <c r="C722" s="11"/>
      <c r="D722" s="11"/>
      <c r="E722" s="2"/>
      <c r="F722" s="2"/>
      <c r="G722" s="2"/>
      <c r="H722" s="54"/>
      <c r="I722" s="4"/>
      <c r="J722" s="2"/>
      <c r="K722" s="2"/>
      <c r="L722" s="5"/>
      <c r="M722" s="5"/>
      <c r="N722" s="5"/>
      <c r="O722" s="5"/>
      <c r="P722" s="5"/>
      <c r="Q722" s="5"/>
      <c r="R722" s="2"/>
      <c r="S722" s="2"/>
      <c r="T722" s="2"/>
      <c r="U722" s="2"/>
      <c r="V722" s="2"/>
      <c r="W722" s="2"/>
      <c r="X722" s="6"/>
      <c r="Y722" s="2"/>
      <c r="Z722" s="2"/>
      <c r="AA722" s="2"/>
      <c r="AB722" s="2"/>
      <c r="AC722" s="6"/>
      <c r="AD722" s="2"/>
      <c r="AE722" s="2"/>
      <c r="AF722" s="2"/>
      <c r="AG722" s="2"/>
      <c r="AH722" s="2"/>
      <c r="AI722" s="6"/>
      <c r="AJ722" s="2"/>
      <c r="AK722" s="56"/>
      <c r="AL722" s="2"/>
      <c r="AM722" s="2"/>
      <c r="AN722" s="2"/>
      <c r="AO722" s="2"/>
      <c r="AP722" s="6"/>
      <c r="AQ722" s="2"/>
      <c r="AR722" s="2"/>
      <c r="AS722" s="2"/>
      <c r="AT722" s="2"/>
      <c r="AU722" s="2"/>
      <c r="AV722" s="2"/>
      <c r="AW722" s="2"/>
      <c r="AX722" s="6"/>
      <c r="AY722" s="2"/>
      <c r="AZ722" s="2"/>
      <c r="BA722" s="2"/>
      <c r="BB722" s="2"/>
      <c r="BC722" s="2"/>
      <c r="BD722" s="6"/>
      <c r="BE722" s="2"/>
      <c r="BF722" s="6"/>
      <c r="BG722" s="58"/>
      <c r="BH722" s="6"/>
      <c r="BI722" s="2"/>
    </row>
    <row r="723" ht="12.75" customHeight="1">
      <c r="A723" s="71"/>
      <c r="B723" s="71"/>
      <c r="C723" s="11"/>
      <c r="D723" s="11"/>
      <c r="E723" s="2"/>
      <c r="F723" s="2"/>
      <c r="G723" s="2"/>
      <c r="H723" s="54"/>
      <c r="I723" s="4"/>
      <c r="J723" s="2"/>
      <c r="K723" s="2"/>
      <c r="L723" s="5"/>
      <c r="M723" s="5"/>
      <c r="N723" s="5"/>
      <c r="O723" s="5"/>
      <c r="P723" s="5"/>
      <c r="Q723" s="5"/>
      <c r="R723" s="2"/>
      <c r="S723" s="2"/>
      <c r="T723" s="2"/>
      <c r="U723" s="2"/>
      <c r="V723" s="2"/>
      <c r="W723" s="2"/>
      <c r="X723" s="6"/>
      <c r="Y723" s="2"/>
      <c r="Z723" s="2"/>
      <c r="AA723" s="2"/>
      <c r="AB723" s="2"/>
      <c r="AC723" s="6"/>
      <c r="AD723" s="2"/>
      <c r="AE723" s="2"/>
      <c r="AF723" s="2"/>
      <c r="AG723" s="2"/>
      <c r="AH723" s="2"/>
      <c r="AI723" s="6"/>
      <c r="AJ723" s="2"/>
      <c r="AK723" s="56"/>
      <c r="AL723" s="2"/>
      <c r="AM723" s="2"/>
      <c r="AN723" s="2"/>
      <c r="AO723" s="2"/>
      <c r="AP723" s="6"/>
      <c r="AQ723" s="2"/>
      <c r="AR723" s="2"/>
      <c r="AS723" s="2"/>
      <c r="AT723" s="2"/>
      <c r="AU723" s="2"/>
      <c r="AV723" s="2"/>
      <c r="AW723" s="2"/>
      <c r="AX723" s="6"/>
      <c r="AY723" s="2"/>
      <c r="AZ723" s="2"/>
      <c r="BA723" s="2"/>
      <c r="BB723" s="2"/>
      <c r="BC723" s="2"/>
      <c r="BD723" s="6"/>
      <c r="BE723" s="2"/>
      <c r="BF723" s="6"/>
      <c r="BG723" s="58"/>
      <c r="BH723" s="6"/>
      <c r="BI723" s="2"/>
    </row>
    <row r="724" ht="12.75" customHeight="1">
      <c r="A724" s="71"/>
      <c r="B724" s="71"/>
      <c r="C724" s="11"/>
      <c r="D724" s="11"/>
      <c r="E724" s="2"/>
      <c r="F724" s="2"/>
      <c r="G724" s="2"/>
      <c r="H724" s="54"/>
      <c r="I724" s="4"/>
      <c r="J724" s="2"/>
      <c r="K724" s="2"/>
      <c r="L724" s="5"/>
      <c r="M724" s="5"/>
      <c r="N724" s="5"/>
      <c r="O724" s="5"/>
      <c r="P724" s="5"/>
      <c r="Q724" s="5"/>
      <c r="R724" s="2"/>
      <c r="S724" s="2"/>
      <c r="T724" s="2"/>
      <c r="U724" s="2"/>
      <c r="V724" s="2"/>
      <c r="W724" s="2"/>
      <c r="X724" s="6"/>
      <c r="Y724" s="2"/>
      <c r="Z724" s="2"/>
      <c r="AA724" s="2"/>
      <c r="AB724" s="2"/>
      <c r="AC724" s="6"/>
      <c r="AD724" s="2"/>
      <c r="AE724" s="2"/>
      <c r="AF724" s="2"/>
      <c r="AG724" s="2"/>
      <c r="AH724" s="2"/>
      <c r="AI724" s="6"/>
      <c r="AJ724" s="2"/>
      <c r="AK724" s="56"/>
      <c r="AL724" s="2"/>
      <c r="AM724" s="2"/>
      <c r="AN724" s="2"/>
      <c r="AO724" s="2"/>
      <c r="AP724" s="6"/>
      <c r="AQ724" s="2"/>
      <c r="AR724" s="2"/>
      <c r="AS724" s="2"/>
      <c r="AT724" s="2"/>
      <c r="AU724" s="2"/>
      <c r="AV724" s="2"/>
      <c r="AW724" s="2"/>
      <c r="AX724" s="6"/>
      <c r="AY724" s="2"/>
      <c r="AZ724" s="2"/>
      <c r="BA724" s="2"/>
      <c r="BB724" s="2"/>
      <c r="BC724" s="2"/>
      <c r="BD724" s="6"/>
      <c r="BE724" s="2"/>
      <c r="BF724" s="6"/>
      <c r="BG724" s="58"/>
      <c r="BH724" s="6"/>
      <c r="BI724" s="2"/>
    </row>
    <row r="725" ht="12.75" customHeight="1">
      <c r="A725" s="71"/>
      <c r="B725" s="71"/>
      <c r="C725" s="11"/>
      <c r="D725" s="11"/>
      <c r="E725" s="2"/>
      <c r="F725" s="2"/>
      <c r="G725" s="2"/>
      <c r="H725" s="54"/>
      <c r="I725" s="4"/>
      <c r="J725" s="2"/>
      <c r="K725" s="2"/>
      <c r="L725" s="5"/>
      <c r="M725" s="5"/>
      <c r="N725" s="5"/>
      <c r="O725" s="5"/>
      <c r="P725" s="5"/>
      <c r="Q725" s="5"/>
      <c r="R725" s="2"/>
      <c r="S725" s="2"/>
      <c r="T725" s="2"/>
      <c r="U725" s="2"/>
      <c r="V725" s="2"/>
      <c r="W725" s="2"/>
      <c r="X725" s="6"/>
      <c r="Y725" s="2"/>
      <c r="Z725" s="2"/>
      <c r="AA725" s="2"/>
      <c r="AB725" s="2"/>
      <c r="AC725" s="6"/>
      <c r="AD725" s="2"/>
      <c r="AE725" s="2"/>
      <c r="AF725" s="2"/>
      <c r="AG725" s="2"/>
      <c r="AH725" s="2"/>
      <c r="AI725" s="6"/>
      <c r="AJ725" s="2"/>
      <c r="AK725" s="56"/>
      <c r="AL725" s="2"/>
      <c r="AM725" s="2"/>
      <c r="AN725" s="2"/>
      <c r="AO725" s="2"/>
      <c r="AP725" s="6"/>
      <c r="AQ725" s="2"/>
      <c r="AR725" s="2"/>
      <c r="AS725" s="2"/>
      <c r="AT725" s="2"/>
      <c r="AU725" s="2"/>
      <c r="AV725" s="2"/>
      <c r="AW725" s="2"/>
      <c r="AX725" s="6"/>
      <c r="AY725" s="2"/>
      <c r="AZ725" s="2"/>
      <c r="BA725" s="2"/>
      <c r="BB725" s="2"/>
      <c r="BC725" s="2"/>
      <c r="BD725" s="6"/>
      <c r="BE725" s="2"/>
      <c r="BF725" s="6"/>
      <c r="BG725" s="58"/>
      <c r="BH725" s="6"/>
      <c r="BI725" s="2"/>
    </row>
    <row r="726" ht="12.75" customHeight="1">
      <c r="A726" s="71"/>
      <c r="B726" s="71"/>
      <c r="C726" s="11"/>
      <c r="D726" s="11"/>
      <c r="E726" s="2"/>
      <c r="F726" s="2"/>
      <c r="G726" s="2"/>
      <c r="H726" s="54"/>
      <c r="I726" s="4"/>
      <c r="J726" s="2"/>
      <c r="K726" s="2"/>
      <c r="L726" s="5"/>
      <c r="M726" s="5"/>
      <c r="N726" s="5"/>
      <c r="O726" s="5"/>
      <c r="P726" s="5"/>
      <c r="Q726" s="5"/>
      <c r="R726" s="2"/>
      <c r="S726" s="2"/>
      <c r="T726" s="2"/>
      <c r="U726" s="2"/>
      <c r="V726" s="2"/>
      <c r="W726" s="2"/>
      <c r="X726" s="6"/>
      <c r="Y726" s="2"/>
      <c r="Z726" s="2"/>
      <c r="AA726" s="2"/>
      <c r="AB726" s="2"/>
      <c r="AC726" s="6"/>
      <c r="AD726" s="2"/>
      <c r="AE726" s="2"/>
      <c r="AF726" s="2"/>
      <c r="AG726" s="2"/>
      <c r="AH726" s="2"/>
      <c r="AI726" s="6"/>
      <c r="AJ726" s="2"/>
      <c r="AK726" s="56"/>
      <c r="AL726" s="2"/>
      <c r="AM726" s="2"/>
      <c r="AN726" s="2"/>
      <c r="AO726" s="2"/>
      <c r="AP726" s="6"/>
      <c r="AQ726" s="2"/>
      <c r="AR726" s="2"/>
      <c r="AS726" s="2"/>
      <c r="AT726" s="2"/>
      <c r="AU726" s="2"/>
      <c r="AV726" s="2"/>
      <c r="AW726" s="2"/>
      <c r="AX726" s="6"/>
      <c r="AY726" s="2"/>
      <c r="AZ726" s="2"/>
      <c r="BA726" s="2"/>
      <c r="BB726" s="2"/>
      <c r="BC726" s="2"/>
      <c r="BD726" s="6"/>
      <c r="BE726" s="2"/>
      <c r="BF726" s="6"/>
      <c r="BG726" s="58"/>
      <c r="BH726" s="6"/>
      <c r="BI726" s="2"/>
    </row>
    <row r="727" ht="12.75" customHeight="1">
      <c r="A727" s="71"/>
      <c r="B727" s="71"/>
      <c r="C727" s="11"/>
      <c r="D727" s="11"/>
      <c r="E727" s="2"/>
      <c r="F727" s="2"/>
      <c r="G727" s="2"/>
      <c r="H727" s="54"/>
      <c r="I727" s="4"/>
      <c r="J727" s="2"/>
      <c r="K727" s="2"/>
      <c r="L727" s="5"/>
      <c r="M727" s="5"/>
      <c r="N727" s="5"/>
      <c r="O727" s="5"/>
      <c r="P727" s="5"/>
      <c r="Q727" s="5"/>
      <c r="R727" s="2"/>
      <c r="S727" s="2"/>
      <c r="T727" s="2"/>
      <c r="U727" s="2"/>
      <c r="V727" s="2"/>
      <c r="W727" s="2"/>
      <c r="X727" s="6"/>
      <c r="Y727" s="2"/>
      <c r="Z727" s="2"/>
      <c r="AA727" s="2"/>
      <c r="AB727" s="2"/>
      <c r="AC727" s="6"/>
      <c r="AD727" s="2"/>
      <c r="AE727" s="2"/>
      <c r="AF727" s="2"/>
      <c r="AG727" s="2"/>
      <c r="AH727" s="2"/>
      <c r="AI727" s="6"/>
      <c r="AJ727" s="2"/>
      <c r="AK727" s="56"/>
      <c r="AL727" s="2"/>
      <c r="AM727" s="2"/>
      <c r="AN727" s="2"/>
      <c r="AO727" s="2"/>
      <c r="AP727" s="6"/>
      <c r="AQ727" s="2"/>
      <c r="AR727" s="2"/>
      <c r="AS727" s="2"/>
      <c r="AT727" s="2"/>
      <c r="AU727" s="2"/>
      <c r="AV727" s="2"/>
      <c r="AW727" s="2"/>
      <c r="AX727" s="6"/>
      <c r="AY727" s="2"/>
      <c r="AZ727" s="2"/>
      <c r="BA727" s="2"/>
      <c r="BB727" s="2"/>
      <c r="BC727" s="2"/>
      <c r="BD727" s="6"/>
      <c r="BE727" s="2"/>
      <c r="BF727" s="6"/>
      <c r="BG727" s="58"/>
      <c r="BH727" s="6"/>
      <c r="BI727" s="2"/>
    </row>
    <row r="728" ht="12.75" customHeight="1">
      <c r="A728" s="71"/>
      <c r="B728" s="71"/>
      <c r="C728" s="11"/>
      <c r="D728" s="11"/>
      <c r="E728" s="2"/>
      <c r="F728" s="2"/>
      <c r="G728" s="2"/>
      <c r="H728" s="54"/>
      <c r="I728" s="4"/>
      <c r="J728" s="2"/>
      <c r="K728" s="2"/>
      <c r="L728" s="5"/>
      <c r="M728" s="5"/>
      <c r="N728" s="5"/>
      <c r="O728" s="5"/>
      <c r="P728" s="5"/>
      <c r="Q728" s="5"/>
      <c r="R728" s="2"/>
      <c r="S728" s="2"/>
      <c r="T728" s="2"/>
      <c r="U728" s="2"/>
      <c r="V728" s="2"/>
      <c r="W728" s="2"/>
      <c r="X728" s="6"/>
      <c r="Y728" s="2"/>
      <c r="Z728" s="2"/>
      <c r="AA728" s="2"/>
      <c r="AB728" s="2"/>
      <c r="AC728" s="6"/>
      <c r="AD728" s="2"/>
      <c r="AE728" s="2"/>
      <c r="AF728" s="2"/>
      <c r="AG728" s="2"/>
      <c r="AH728" s="2"/>
      <c r="AI728" s="6"/>
      <c r="AJ728" s="2"/>
      <c r="AK728" s="56"/>
      <c r="AL728" s="2"/>
      <c r="AM728" s="2"/>
      <c r="AN728" s="2"/>
      <c r="AO728" s="2"/>
      <c r="AP728" s="6"/>
      <c r="AQ728" s="2"/>
      <c r="AR728" s="2"/>
      <c r="AS728" s="2"/>
      <c r="AT728" s="2"/>
      <c r="AU728" s="2"/>
      <c r="AV728" s="2"/>
      <c r="AW728" s="2"/>
      <c r="AX728" s="6"/>
      <c r="AY728" s="2"/>
      <c r="AZ728" s="2"/>
      <c r="BA728" s="2"/>
      <c r="BB728" s="2"/>
      <c r="BC728" s="2"/>
      <c r="BD728" s="6"/>
      <c r="BE728" s="2"/>
      <c r="BF728" s="6"/>
      <c r="BG728" s="58"/>
      <c r="BH728" s="6"/>
      <c r="BI728" s="2"/>
    </row>
    <row r="729" ht="12.75" customHeight="1">
      <c r="A729" s="71"/>
      <c r="B729" s="71"/>
      <c r="C729" s="11"/>
      <c r="D729" s="11"/>
      <c r="E729" s="2"/>
      <c r="F729" s="2"/>
      <c r="G729" s="2"/>
      <c r="H729" s="54"/>
      <c r="I729" s="4"/>
      <c r="J729" s="2"/>
      <c r="K729" s="2"/>
      <c r="L729" s="5"/>
      <c r="M729" s="5"/>
      <c r="N729" s="5"/>
      <c r="O729" s="5"/>
      <c r="P729" s="5"/>
      <c r="Q729" s="5"/>
      <c r="R729" s="2"/>
      <c r="S729" s="2"/>
      <c r="T729" s="2"/>
      <c r="U729" s="2"/>
      <c r="V729" s="2"/>
      <c r="W729" s="2"/>
      <c r="X729" s="6"/>
      <c r="Y729" s="2"/>
      <c r="Z729" s="2"/>
      <c r="AA729" s="2"/>
      <c r="AB729" s="2"/>
      <c r="AC729" s="6"/>
      <c r="AD729" s="2"/>
      <c r="AE729" s="2"/>
      <c r="AF729" s="2"/>
      <c r="AG729" s="2"/>
      <c r="AH729" s="2"/>
      <c r="AI729" s="6"/>
      <c r="AJ729" s="2"/>
      <c r="AK729" s="56"/>
      <c r="AL729" s="2"/>
      <c r="AM729" s="2"/>
      <c r="AN729" s="2"/>
      <c r="AO729" s="2"/>
      <c r="AP729" s="6"/>
      <c r="AQ729" s="2"/>
      <c r="AR729" s="2"/>
      <c r="AS729" s="2"/>
      <c r="AT729" s="2"/>
      <c r="AU729" s="2"/>
      <c r="AV729" s="2"/>
      <c r="AW729" s="2"/>
      <c r="AX729" s="6"/>
      <c r="AY729" s="2"/>
      <c r="AZ729" s="2"/>
      <c r="BA729" s="2"/>
      <c r="BB729" s="2"/>
      <c r="BC729" s="2"/>
      <c r="BD729" s="6"/>
      <c r="BE729" s="2"/>
      <c r="BF729" s="6"/>
      <c r="BG729" s="58"/>
      <c r="BH729" s="6"/>
      <c r="BI729" s="2"/>
    </row>
    <row r="730" ht="12.75" customHeight="1">
      <c r="A730" s="71"/>
      <c r="B730" s="71"/>
      <c r="C730" s="11"/>
      <c r="D730" s="11"/>
      <c r="E730" s="2"/>
      <c r="F730" s="2"/>
      <c r="G730" s="2"/>
      <c r="H730" s="54"/>
      <c r="I730" s="4"/>
      <c r="J730" s="2"/>
      <c r="K730" s="2"/>
      <c r="L730" s="5"/>
      <c r="M730" s="5"/>
      <c r="N730" s="5"/>
      <c r="O730" s="5"/>
      <c r="P730" s="5"/>
      <c r="Q730" s="5"/>
      <c r="R730" s="2"/>
      <c r="S730" s="2"/>
      <c r="T730" s="2"/>
      <c r="U730" s="2"/>
      <c r="V730" s="2"/>
      <c r="W730" s="2"/>
      <c r="X730" s="6"/>
      <c r="Y730" s="2"/>
      <c r="Z730" s="2"/>
      <c r="AA730" s="2"/>
      <c r="AB730" s="2"/>
      <c r="AC730" s="6"/>
      <c r="AD730" s="2"/>
      <c r="AE730" s="2"/>
      <c r="AF730" s="2"/>
      <c r="AG730" s="2"/>
      <c r="AH730" s="2"/>
      <c r="AI730" s="6"/>
      <c r="AJ730" s="2"/>
      <c r="AK730" s="56"/>
      <c r="AL730" s="2"/>
      <c r="AM730" s="2"/>
      <c r="AN730" s="2"/>
      <c r="AO730" s="2"/>
      <c r="AP730" s="6"/>
      <c r="AQ730" s="2"/>
      <c r="AR730" s="2"/>
      <c r="AS730" s="2"/>
      <c r="AT730" s="2"/>
      <c r="AU730" s="2"/>
      <c r="AV730" s="2"/>
      <c r="AW730" s="2"/>
      <c r="AX730" s="6"/>
      <c r="AY730" s="2"/>
      <c r="AZ730" s="2"/>
      <c r="BA730" s="2"/>
      <c r="BB730" s="2"/>
      <c r="BC730" s="2"/>
      <c r="BD730" s="6"/>
      <c r="BE730" s="2"/>
      <c r="BF730" s="6"/>
      <c r="BG730" s="58"/>
      <c r="BH730" s="6"/>
      <c r="BI730" s="2"/>
    </row>
    <row r="731" ht="12.75" customHeight="1">
      <c r="A731" s="71"/>
      <c r="B731" s="71"/>
      <c r="C731" s="11"/>
      <c r="D731" s="11"/>
      <c r="E731" s="2"/>
      <c r="F731" s="2"/>
      <c r="G731" s="2"/>
      <c r="H731" s="54"/>
      <c r="I731" s="4"/>
      <c r="J731" s="2"/>
      <c r="K731" s="2"/>
      <c r="L731" s="5"/>
      <c r="M731" s="5"/>
      <c r="N731" s="5"/>
      <c r="O731" s="5"/>
      <c r="P731" s="5"/>
      <c r="Q731" s="5"/>
      <c r="R731" s="2"/>
      <c r="S731" s="2"/>
      <c r="T731" s="2"/>
      <c r="U731" s="2"/>
      <c r="V731" s="2"/>
      <c r="W731" s="2"/>
      <c r="X731" s="6"/>
      <c r="Y731" s="2"/>
      <c r="Z731" s="2"/>
      <c r="AA731" s="2"/>
      <c r="AB731" s="2"/>
      <c r="AC731" s="6"/>
      <c r="AD731" s="2"/>
      <c r="AE731" s="2"/>
      <c r="AF731" s="2"/>
      <c r="AG731" s="2"/>
      <c r="AH731" s="2"/>
      <c r="AI731" s="6"/>
      <c r="AJ731" s="2"/>
      <c r="AK731" s="56"/>
      <c r="AL731" s="2"/>
      <c r="AM731" s="2"/>
      <c r="AN731" s="2"/>
      <c r="AO731" s="2"/>
      <c r="AP731" s="6"/>
      <c r="AQ731" s="2"/>
      <c r="AR731" s="2"/>
      <c r="AS731" s="2"/>
      <c r="AT731" s="2"/>
      <c r="AU731" s="2"/>
      <c r="AV731" s="2"/>
      <c r="AW731" s="2"/>
      <c r="AX731" s="6"/>
      <c r="AY731" s="2"/>
      <c r="AZ731" s="2"/>
      <c r="BA731" s="2"/>
      <c r="BB731" s="2"/>
      <c r="BC731" s="2"/>
      <c r="BD731" s="6"/>
      <c r="BE731" s="2"/>
      <c r="BF731" s="6"/>
      <c r="BG731" s="58"/>
      <c r="BH731" s="6"/>
      <c r="BI731" s="2"/>
    </row>
    <row r="732" ht="12.75" customHeight="1">
      <c r="A732" s="71"/>
      <c r="B732" s="71"/>
      <c r="C732" s="11"/>
      <c r="D732" s="11"/>
      <c r="E732" s="2"/>
      <c r="F732" s="2"/>
      <c r="G732" s="2"/>
      <c r="H732" s="54"/>
      <c r="I732" s="4"/>
      <c r="J732" s="2"/>
      <c r="K732" s="2"/>
      <c r="L732" s="5"/>
      <c r="M732" s="5"/>
      <c r="N732" s="5"/>
      <c r="O732" s="5"/>
      <c r="P732" s="5"/>
      <c r="Q732" s="5"/>
      <c r="R732" s="2"/>
      <c r="S732" s="2"/>
      <c r="T732" s="2"/>
      <c r="U732" s="2"/>
      <c r="V732" s="2"/>
      <c r="W732" s="2"/>
      <c r="X732" s="6"/>
      <c r="Y732" s="2"/>
      <c r="Z732" s="2"/>
      <c r="AA732" s="2"/>
      <c r="AB732" s="2"/>
      <c r="AC732" s="6"/>
      <c r="AD732" s="2"/>
      <c r="AE732" s="2"/>
      <c r="AF732" s="2"/>
      <c r="AG732" s="2"/>
      <c r="AH732" s="2"/>
      <c r="AI732" s="6"/>
      <c r="AJ732" s="2"/>
      <c r="AK732" s="56"/>
      <c r="AL732" s="2"/>
      <c r="AM732" s="2"/>
      <c r="AN732" s="2"/>
      <c r="AO732" s="2"/>
      <c r="AP732" s="6"/>
      <c r="AQ732" s="2"/>
      <c r="AR732" s="2"/>
      <c r="AS732" s="2"/>
      <c r="AT732" s="2"/>
      <c r="AU732" s="2"/>
      <c r="AV732" s="2"/>
      <c r="AW732" s="2"/>
      <c r="AX732" s="6"/>
      <c r="AY732" s="2"/>
      <c r="AZ732" s="2"/>
      <c r="BA732" s="2"/>
      <c r="BB732" s="2"/>
      <c r="BC732" s="2"/>
      <c r="BD732" s="6"/>
      <c r="BE732" s="2"/>
      <c r="BF732" s="6"/>
      <c r="BG732" s="58"/>
      <c r="BH732" s="6"/>
      <c r="BI732" s="2"/>
    </row>
    <row r="733" ht="12.75" customHeight="1">
      <c r="A733" s="71"/>
      <c r="B733" s="71"/>
      <c r="C733" s="11"/>
      <c r="D733" s="11"/>
      <c r="E733" s="2"/>
      <c r="F733" s="2"/>
      <c r="G733" s="2"/>
      <c r="H733" s="54"/>
      <c r="I733" s="4"/>
      <c r="J733" s="2"/>
      <c r="K733" s="2"/>
      <c r="L733" s="5"/>
      <c r="M733" s="5"/>
      <c r="N733" s="5"/>
      <c r="O733" s="5"/>
      <c r="P733" s="5"/>
      <c r="Q733" s="5"/>
      <c r="R733" s="2"/>
      <c r="S733" s="2"/>
      <c r="T733" s="2"/>
      <c r="U733" s="2"/>
      <c r="V733" s="2"/>
      <c r="W733" s="2"/>
      <c r="X733" s="6"/>
      <c r="Y733" s="2"/>
      <c r="Z733" s="2"/>
      <c r="AA733" s="2"/>
      <c r="AB733" s="2"/>
      <c r="AC733" s="6"/>
      <c r="AD733" s="2"/>
      <c r="AE733" s="2"/>
      <c r="AF733" s="2"/>
      <c r="AG733" s="2"/>
      <c r="AH733" s="2"/>
      <c r="AI733" s="6"/>
      <c r="AJ733" s="2"/>
      <c r="AK733" s="56"/>
      <c r="AL733" s="2"/>
      <c r="AM733" s="2"/>
      <c r="AN733" s="2"/>
      <c r="AO733" s="2"/>
      <c r="AP733" s="6"/>
      <c r="AQ733" s="2"/>
      <c r="AR733" s="2"/>
      <c r="AS733" s="2"/>
      <c r="AT733" s="2"/>
      <c r="AU733" s="2"/>
      <c r="AV733" s="2"/>
      <c r="AW733" s="2"/>
      <c r="AX733" s="6"/>
      <c r="AY733" s="2"/>
      <c r="AZ733" s="2"/>
      <c r="BA733" s="2"/>
      <c r="BB733" s="2"/>
      <c r="BC733" s="2"/>
      <c r="BD733" s="6"/>
      <c r="BE733" s="2"/>
      <c r="BF733" s="6"/>
      <c r="BG733" s="58"/>
      <c r="BH733" s="6"/>
      <c r="BI733" s="2"/>
    </row>
    <row r="734" ht="12.75" customHeight="1">
      <c r="A734" s="71"/>
      <c r="B734" s="71"/>
      <c r="C734" s="11"/>
      <c r="D734" s="11"/>
      <c r="E734" s="2"/>
      <c r="F734" s="2"/>
      <c r="G734" s="2"/>
      <c r="H734" s="54"/>
      <c r="I734" s="4"/>
      <c r="J734" s="2"/>
      <c r="K734" s="2"/>
      <c r="L734" s="5"/>
      <c r="M734" s="5"/>
      <c r="N734" s="5"/>
      <c r="O734" s="5"/>
      <c r="P734" s="5"/>
      <c r="Q734" s="5"/>
      <c r="R734" s="2"/>
      <c r="S734" s="2"/>
      <c r="T734" s="2"/>
      <c r="U734" s="2"/>
      <c r="V734" s="2"/>
      <c r="W734" s="2"/>
      <c r="X734" s="6"/>
      <c r="Y734" s="2"/>
      <c r="Z734" s="2"/>
      <c r="AA734" s="2"/>
      <c r="AB734" s="2"/>
      <c r="AC734" s="6"/>
      <c r="AD734" s="2"/>
      <c r="AE734" s="2"/>
      <c r="AF734" s="2"/>
      <c r="AG734" s="2"/>
      <c r="AH734" s="2"/>
      <c r="AI734" s="6"/>
      <c r="AJ734" s="2"/>
      <c r="AK734" s="56"/>
      <c r="AL734" s="2"/>
      <c r="AM734" s="2"/>
      <c r="AN734" s="2"/>
      <c r="AO734" s="2"/>
      <c r="AP734" s="6"/>
      <c r="AQ734" s="2"/>
      <c r="AR734" s="2"/>
      <c r="AS734" s="2"/>
      <c r="AT734" s="2"/>
      <c r="AU734" s="2"/>
      <c r="AV734" s="2"/>
      <c r="AW734" s="2"/>
      <c r="AX734" s="6"/>
      <c r="AY734" s="2"/>
      <c r="AZ734" s="2"/>
      <c r="BA734" s="2"/>
      <c r="BB734" s="2"/>
      <c r="BC734" s="2"/>
      <c r="BD734" s="6"/>
      <c r="BE734" s="2"/>
      <c r="BF734" s="6"/>
      <c r="BG734" s="58"/>
      <c r="BH734" s="6"/>
      <c r="BI734" s="2"/>
    </row>
    <row r="735" ht="12.75" customHeight="1">
      <c r="A735" s="71"/>
      <c r="B735" s="71"/>
      <c r="C735" s="11"/>
      <c r="D735" s="11"/>
      <c r="E735" s="2"/>
      <c r="F735" s="2"/>
      <c r="G735" s="2"/>
      <c r="H735" s="54"/>
      <c r="I735" s="4"/>
      <c r="J735" s="2"/>
      <c r="K735" s="2"/>
      <c r="L735" s="5"/>
      <c r="M735" s="5"/>
      <c r="N735" s="5"/>
      <c r="O735" s="5"/>
      <c r="P735" s="5"/>
      <c r="Q735" s="5"/>
      <c r="R735" s="2"/>
      <c r="S735" s="2"/>
      <c r="T735" s="2"/>
      <c r="U735" s="2"/>
      <c r="V735" s="2"/>
      <c r="W735" s="2"/>
      <c r="X735" s="6"/>
      <c r="Y735" s="2"/>
      <c r="Z735" s="2"/>
      <c r="AA735" s="2"/>
      <c r="AB735" s="2"/>
      <c r="AC735" s="6"/>
      <c r="AD735" s="2"/>
      <c r="AE735" s="2"/>
      <c r="AF735" s="2"/>
      <c r="AG735" s="2"/>
      <c r="AH735" s="2"/>
      <c r="AI735" s="6"/>
      <c r="AJ735" s="2"/>
      <c r="AK735" s="56"/>
      <c r="AL735" s="2"/>
      <c r="AM735" s="2"/>
      <c r="AN735" s="2"/>
      <c r="AO735" s="2"/>
      <c r="AP735" s="6"/>
      <c r="AQ735" s="2"/>
      <c r="AR735" s="2"/>
      <c r="AS735" s="2"/>
      <c r="AT735" s="2"/>
      <c r="AU735" s="2"/>
      <c r="AV735" s="2"/>
      <c r="AW735" s="2"/>
      <c r="AX735" s="6"/>
      <c r="AY735" s="2"/>
      <c r="AZ735" s="2"/>
      <c r="BA735" s="2"/>
      <c r="BB735" s="2"/>
      <c r="BC735" s="2"/>
      <c r="BD735" s="6"/>
      <c r="BE735" s="2"/>
      <c r="BF735" s="6"/>
      <c r="BG735" s="58"/>
      <c r="BH735" s="6"/>
      <c r="BI735" s="2"/>
    </row>
    <row r="736" ht="12.75" customHeight="1">
      <c r="A736" s="71"/>
      <c r="B736" s="71"/>
      <c r="C736" s="11"/>
      <c r="D736" s="11"/>
      <c r="E736" s="2"/>
      <c r="F736" s="2"/>
      <c r="G736" s="2"/>
      <c r="H736" s="54"/>
      <c r="I736" s="4"/>
      <c r="J736" s="2"/>
      <c r="K736" s="2"/>
      <c r="L736" s="5"/>
      <c r="M736" s="5"/>
      <c r="N736" s="5"/>
      <c r="O736" s="5"/>
      <c r="P736" s="5"/>
      <c r="Q736" s="5"/>
      <c r="R736" s="2"/>
      <c r="S736" s="2"/>
      <c r="T736" s="2"/>
      <c r="U736" s="2"/>
      <c r="V736" s="2"/>
      <c r="W736" s="2"/>
      <c r="X736" s="6"/>
      <c r="Y736" s="2"/>
      <c r="Z736" s="2"/>
      <c r="AA736" s="2"/>
      <c r="AB736" s="2"/>
      <c r="AC736" s="6"/>
      <c r="AD736" s="2"/>
      <c r="AE736" s="2"/>
      <c r="AF736" s="2"/>
      <c r="AG736" s="2"/>
      <c r="AH736" s="2"/>
      <c r="AI736" s="6"/>
      <c r="AJ736" s="2"/>
      <c r="AK736" s="56"/>
      <c r="AL736" s="2"/>
      <c r="AM736" s="2"/>
      <c r="AN736" s="2"/>
      <c r="AO736" s="2"/>
      <c r="AP736" s="6"/>
      <c r="AQ736" s="2"/>
      <c r="AR736" s="2"/>
      <c r="AS736" s="2"/>
      <c r="AT736" s="2"/>
      <c r="AU736" s="2"/>
      <c r="AV736" s="2"/>
      <c r="AW736" s="2"/>
      <c r="AX736" s="6"/>
      <c r="AY736" s="2"/>
      <c r="AZ736" s="2"/>
      <c r="BA736" s="2"/>
      <c r="BB736" s="2"/>
      <c r="BC736" s="2"/>
      <c r="BD736" s="6"/>
      <c r="BE736" s="2"/>
      <c r="BF736" s="6"/>
      <c r="BG736" s="58"/>
      <c r="BH736" s="6"/>
      <c r="BI736" s="2"/>
    </row>
    <row r="737" ht="12.75" customHeight="1">
      <c r="A737" s="71"/>
      <c r="B737" s="71"/>
      <c r="C737" s="11"/>
      <c r="D737" s="11"/>
      <c r="E737" s="2"/>
      <c r="F737" s="2"/>
      <c r="G737" s="2"/>
      <c r="H737" s="54"/>
      <c r="I737" s="4"/>
      <c r="J737" s="2"/>
      <c r="K737" s="2"/>
      <c r="L737" s="5"/>
      <c r="M737" s="5"/>
      <c r="N737" s="5"/>
      <c r="O737" s="5"/>
      <c r="P737" s="5"/>
      <c r="Q737" s="5"/>
      <c r="R737" s="2"/>
      <c r="S737" s="2"/>
      <c r="T737" s="2"/>
      <c r="U737" s="2"/>
      <c r="V737" s="2"/>
      <c r="W737" s="2"/>
      <c r="X737" s="6"/>
      <c r="Y737" s="2"/>
      <c r="Z737" s="2"/>
      <c r="AA737" s="2"/>
      <c r="AB737" s="2"/>
      <c r="AC737" s="6"/>
      <c r="AD737" s="2"/>
      <c r="AE737" s="2"/>
      <c r="AF737" s="2"/>
      <c r="AG737" s="2"/>
      <c r="AH737" s="2"/>
      <c r="AI737" s="6"/>
      <c r="AJ737" s="2"/>
      <c r="AK737" s="56"/>
      <c r="AL737" s="2"/>
      <c r="AM737" s="2"/>
      <c r="AN737" s="2"/>
      <c r="AO737" s="2"/>
      <c r="AP737" s="6"/>
      <c r="AQ737" s="2"/>
      <c r="AR737" s="2"/>
      <c r="AS737" s="2"/>
      <c r="AT737" s="2"/>
      <c r="AU737" s="2"/>
      <c r="AV737" s="2"/>
      <c r="AW737" s="2"/>
      <c r="AX737" s="6"/>
      <c r="AY737" s="2"/>
      <c r="AZ737" s="2"/>
      <c r="BA737" s="2"/>
      <c r="BB737" s="2"/>
      <c r="BC737" s="2"/>
      <c r="BD737" s="6"/>
      <c r="BE737" s="2"/>
      <c r="BF737" s="6"/>
      <c r="BG737" s="58"/>
      <c r="BH737" s="6"/>
      <c r="BI737" s="2"/>
    </row>
    <row r="738" ht="12.75" customHeight="1">
      <c r="A738" s="71"/>
      <c r="B738" s="71"/>
      <c r="C738" s="11"/>
      <c r="D738" s="11"/>
      <c r="E738" s="2"/>
      <c r="F738" s="2"/>
      <c r="G738" s="2"/>
      <c r="H738" s="54"/>
      <c r="I738" s="4"/>
      <c r="J738" s="2"/>
      <c r="K738" s="2"/>
      <c r="L738" s="5"/>
      <c r="M738" s="5"/>
      <c r="N738" s="5"/>
      <c r="O738" s="5"/>
      <c r="P738" s="5"/>
      <c r="Q738" s="5"/>
      <c r="R738" s="2"/>
      <c r="S738" s="2"/>
      <c r="T738" s="2"/>
      <c r="U738" s="2"/>
      <c r="V738" s="2"/>
      <c r="W738" s="2"/>
      <c r="X738" s="6"/>
      <c r="Y738" s="2"/>
      <c r="Z738" s="2"/>
      <c r="AA738" s="2"/>
      <c r="AB738" s="2"/>
      <c r="AC738" s="6"/>
      <c r="AD738" s="2"/>
      <c r="AE738" s="2"/>
      <c r="AF738" s="2"/>
      <c r="AG738" s="2"/>
      <c r="AH738" s="2"/>
      <c r="AI738" s="6"/>
      <c r="AJ738" s="2"/>
      <c r="AK738" s="56"/>
      <c r="AL738" s="2"/>
      <c r="AM738" s="2"/>
      <c r="AN738" s="2"/>
      <c r="AO738" s="2"/>
      <c r="AP738" s="6"/>
      <c r="AQ738" s="2"/>
      <c r="AR738" s="2"/>
      <c r="AS738" s="2"/>
      <c r="AT738" s="2"/>
      <c r="AU738" s="2"/>
      <c r="AV738" s="2"/>
      <c r="AW738" s="2"/>
      <c r="AX738" s="6"/>
      <c r="AY738" s="2"/>
      <c r="AZ738" s="2"/>
      <c r="BA738" s="2"/>
      <c r="BB738" s="2"/>
      <c r="BC738" s="2"/>
      <c r="BD738" s="6"/>
      <c r="BE738" s="2"/>
      <c r="BF738" s="6"/>
      <c r="BG738" s="58"/>
      <c r="BH738" s="6"/>
      <c r="BI738" s="2"/>
    </row>
    <row r="739" ht="12.75" customHeight="1">
      <c r="A739" s="71"/>
      <c r="B739" s="71"/>
      <c r="C739" s="11"/>
      <c r="D739" s="11"/>
      <c r="E739" s="2"/>
      <c r="F739" s="2"/>
      <c r="G739" s="2"/>
      <c r="H739" s="54"/>
      <c r="I739" s="4"/>
      <c r="J739" s="2"/>
      <c r="K739" s="2"/>
      <c r="L739" s="5"/>
      <c r="M739" s="5"/>
      <c r="N739" s="5"/>
      <c r="O739" s="5"/>
      <c r="P739" s="5"/>
      <c r="Q739" s="5"/>
      <c r="R739" s="2"/>
      <c r="S739" s="2"/>
      <c r="T739" s="2"/>
      <c r="U739" s="2"/>
      <c r="V739" s="2"/>
      <c r="W739" s="2"/>
      <c r="X739" s="6"/>
      <c r="Y739" s="2"/>
      <c r="Z739" s="2"/>
      <c r="AA739" s="2"/>
      <c r="AB739" s="2"/>
      <c r="AC739" s="6"/>
      <c r="AD739" s="2"/>
      <c r="AE739" s="2"/>
      <c r="AF739" s="2"/>
      <c r="AG739" s="2"/>
      <c r="AH739" s="2"/>
      <c r="AI739" s="6"/>
      <c r="AJ739" s="2"/>
      <c r="AK739" s="56"/>
      <c r="AL739" s="2"/>
      <c r="AM739" s="2"/>
      <c r="AN739" s="2"/>
      <c r="AO739" s="2"/>
      <c r="AP739" s="6"/>
      <c r="AQ739" s="2"/>
      <c r="AR739" s="2"/>
      <c r="AS739" s="2"/>
      <c r="AT739" s="2"/>
      <c r="AU739" s="2"/>
      <c r="AV739" s="2"/>
      <c r="AW739" s="2"/>
      <c r="AX739" s="6"/>
      <c r="AY739" s="2"/>
      <c r="AZ739" s="2"/>
      <c r="BA739" s="2"/>
      <c r="BB739" s="2"/>
      <c r="BC739" s="2"/>
      <c r="BD739" s="6"/>
      <c r="BE739" s="2"/>
      <c r="BF739" s="6"/>
      <c r="BG739" s="58"/>
      <c r="BH739" s="6"/>
      <c r="BI739" s="2"/>
    </row>
    <row r="740" ht="12.75" customHeight="1">
      <c r="A740" s="71"/>
      <c r="B740" s="71"/>
      <c r="C740" s="11"/>
      <c r="D740" s="11"/>
      <c r="E740" s="2"/>
      <c r="F740" s="2"/>
      <c r="G740" s="2"/>
      <c r="H740" s="54"/>
      <c r="I740" s="4"/>
      <c r="J740" s="2"/>
      <c r="K740" s="2"/>
      <c r="L740" s="5"/>
      <c r="M740" s="5"/>
      <c r="N740" s="5"/>
      <c r="O740" s="5"/>
      <c r="P740" s="5"/>
      <c r="Q740" s="5"/>
      <c r="R740" s="2"/>
      <c r="S740" s="2"/>
      <c r="T740" s="2"/>
      <c r="U740" s="2"/>
      <c r="V740" s="2"/>
      <c r="W740" s="2"/>
      <c r="X740" s="6"/>
      <c r="Y740" s="2"/>
      <c r="Z740" s="2"/>
      <c r="AA740" s="2"/>
      <c r="AB740" s="2"/>
      <c r="AC740" s="6"/>
      <c r="AD740" s="2"/>
      <c r="AE740" s="2"/>
      <c r="AF740" s="2"/>
      <c r="AG740" s="2"/>
      <c r="AH740" s="2"/>
      <c r="AI740" s="6"/>
      <c r="AJ740" s="2"/>
      <c r="AK740" s="56"/>
      <c r="AL740" s="2"/>
      <c r="AM740" s="2"/>
      <c r="AN740" s="2"/>
      <c r="AO740" s="2"/>
      <c r="AP740" s="6"/>
      <c r="AQ740" s="2"/>
      <c r="AR740" s="2"/>
      <c r="AS740" s="2"/>
      <c r="AT740" s="2"/>
      <c r="AU740" s="2"/>
      <c r="AV740" s="2"/>
      <c r="AW740" s="2"/>
      <c r="AX740" s="6"/>
      <c r="AY740" s="2"/>
      <c r="AZ740" s="2"/>
      <c r="BA740" s="2"/>
      <c r="BB740" s="2"/>
      <c r="BC740" s="2"/>
      <c r="BD740" s="6"/>
      <c r="BE740" s="2"/>
      <c r="BF740" s="6"/>
      <c r="BG740" s="58"/>
      <c r="BH740" s="6"/>
      <c r="BI740" s="2"/>
    </row>
    <row r="741" ht="12.75" customHeight="1">
      <c r="A741" s="71"/>
      <c r="B741" s="71"/>
      <c r="C741" s="11"/>
      <c r="D741" s="11"/>
      <c r="E741" s="2"/>
      <c r="F741" s="2"/>
      <c r="G741" s="2"/>
      <c r="H741" s="54"/>
      <c r="I741" s="4"/>
      <c r="J741" s="2"/>
      <c r="K741" s="2"/>
      <c r="L741" s="5"/>
      <c r="M741" s="5"/>
      <c r="N741" s="5"/>
      <c r="O741" s="5"/>
      <c r="P741" s="5"/>
      <c r="Q741" s="5"/>
      <c r="R741" s="2"/>
      <c r="S741" s="2"/>
      <c r="T741" s="2"/>
      <c r="U741" s="2"/>
      <c r="V741" s="2"/>
      <c r="W741" s="2"/>
      <c r="X741" s="6"/>
      <c r="Y741" s="2"/>
      <c r="Z741" s="2"/>
      <c r="AA741" s="2"/>
      <c r="AB741" s="2"/>
      <c r="AC741" s="6"/>
      <c r="AD741" s="2"/>
      <c r="AE741" s="2"/>
      <c r="AF741" s="2"/>
      <c r="AG741" s="2"/>
      <c r="AH741" s="2"/>
      <c r="AI741" s="6"/>
      <c r="AJ741" s="2"/>
      <c r="AK741" s="56"/>
      <c r="AL741" s="2"/>
      <c r="AM741" s="2"/>
      <c r="AN741" s="2"/>
      <c r="AO741" s="2"/>
      <c r="AP741" s="6"/>
      <c r="AQ741" s="2"/>
      <c r="AR741" s="2"/>
      <c r="AS741" s="2"/>
      <c r="AT741" s="2"/>
      <c r="AU741" s="2"/>
      <c r="AV741" s="2"/>
      <c r="AW741" s="2"/>
      <c r="AX741" s="6"/>
      <c r="AY741" s="2"/>
      <c r="AZ741" s="2"/>
      <c r="BA741" s="2"/>
      <c r="BB741" s="2"/>
      <c r="BC741" s="2"/>
      <c r="BD741" s="6"/>
      <c r="BE741" s="2"/>
      <c r="BF741" s="6"/>
      <c r="BG741" s="58"/>
      <c r="BH741" s="6"/>
      <c r="BI741" s="2"/>
    </row>
    <row r="742" ht="12.75" customHeight="1">
      <c r="A742" s="71"/>
      <c r="B742" s="71"/>
      <c r="C742" s="11"/>
      <c r="D742" s="11"/>
      <c r="E742" s="2"/>
      <c r="F742" s="2"/>
      <c r="G742" s="2"/>
      <c r="H742" s="54"/>
      <c r="I742" s="4"/>
      <c r="J742" s="2"/>
      <c r="K742" s="2"/>
      <c r="L742" s="5"/>
      <c r="M742" s="5"/>
      <c r="N742" s="5"/>
      <c r="O742" s="5"/>
      <c r="P742" s="5"/>
      <c r="Q742" s="5"/>
      <c r="R742" s="2"/>
      <c r="S742" s="2"/>
      <c r="T742" s="2"/>
      <c r="U742" s="2"/>
      <c r="V742" s="2"/>
      <c r="W742" s="2"/>
      <c r="X742" s="6"/>
      <c r="Y742" s="2"/>
      <c r="Z742" s="2"/>
      <c r="AA742" s="2"/>
      <c r="AB742" s="2"/>
      <c r="AC742" s="6"/>
      <c r="AD742" s="2"/>
      <c r="AE742" s="2"/>
      <c r="AF742" s="2"/>
      <c r="AG742" s="2"/>
      <c r="AH742" s="2"/>
      <c r="AI742" s="6"/>
      <c r="AJ742" s="2"/>
      <c r="AK742" s="56"/>
      <c r="AL742" s="2"/>
      <c r="AM742" s="2"/>
      <c r="AN742" s="2"/>
      <c r="AO742" s="2"/>
      <c r="AP742" s="6"/>
      <c r="AQ742" s="2"/>
      <c r="AR742" s="2"/>
      <c r="AS742" s="2"/>
      <c r="AT742" s="2"/>
      <c r="AU742" s="2"/>
      <c r="AV742" s="2"/>
      <c r="AW742" s="2"/>
      <c r="AX742" s="6"/>
      <c r="AY742" s="2"/>
      <c r="AZ742" s="2"/>
      <c r="BA742" s="2"/>
      <c r="BB742" s="2"/>
      <c r="BC742" s="2"/>
      <c r="BD742" s="6"/>
      <c r="BE742" s="2"/>
      <c r="BF742" s="6"/>
      <c r="BG742" s="58"/>
      <c r="BH742" s="6"/>
      <c r="BI742" s="2"/>
    </row>
    <row r="743" ht="12.75" customHeight="1">
      <c r="A743" s="71"/>
      <c r="B743" s="71"/>
      <c r="C743" s="11"/>
      <c r="D743" s="11"/>
      <c r="E743" s="2"/>
      <c r="F743" s="2"/>
      <c r="G743" s="2"/>
      <c r="H743" s="54"/>
      <c r="I743" s="4"/>
      <c r="J743" s="2"/>
      <c r="K743" s="2"/>
      <c r="L743" s="5"/>
      <c r="M743" s="5"/>
      <c r="N743" s="5"/>
      <c r="O743" s="5"/>
      <c r="P743" s="5"/>
      <c r="Q743" s="5"/>
      <c r="R743" s="2"/>
      <c r="S743" s="2"/>
      <c r="T743" s="2"/>
      <c r="U743" s="2"/>
      <c r="V743" s="2"/>
      <c r="W743" s="2"/>
      <c r="X743" s="6"/>
      <c r="Y743" s="2"/>
      <c r="Z743" s="2"/>
      <c r="AA743" s="2"/>
      <c r="AB743" s="2"/>
      <c r="AC743" s="6"/>
      <c r="AD743" s="2"/>
      <c r="AE743" s="2"/>
      <c r="AF743" s="2"/>
      <c r="AG743" s="2"/>
      <c r="AH743" s="2"/>
      <c r="AI743" s="6"/>
      <c r="AJ743" s="2"/>
      <c r="AK743" s="56"/>
      <c r="AL743" s="2"/>
      <c r="AM743" s="2"/>
      <c r="AN743" s="2"/>
      <c r="AO743" s="2"/>
      <c r="AP743" s="6"/>
      <c r="AQ743" s="2"/>
      <c r="AR743" s="2"/>
      <c r="AS743" s="2"/>
      <c r="AT743" s="2"/>
      <c r="AU743" s="2"/>
      <c r="AV743" s="2"/>
      <c r="AW743" s="2"/>
      <c r="AX743" s="6"/>
      <c r="AY743" s="2"/>
      <c r="AZ743" s="2"/>
      <c r="BA743" s="2"/>
      <c r="BB743" s="2"/>
      <c r="BC743" s="2"/>
      <c r="BD743" s="6"/>
      <c r="BE743" s="2"/>
      <c r="BF743" s="6"/>
      <c r="BG743" s="58"/>
      <c r="BH743" s="6"/>
      <c r="BI743" s="2"/>
    </row>
    <row r="744" ht="12.75" customHeight="1">
      <c r="A744" s="71"/>
      <c r="B744" s="71"/>
      <c r="C744" s="11"/>
      <c r="D744" s="11"/>
      <c r="E744" s="2"/>
      <c r="F744" s="2"/>
      <c r="G744" s="2"/>
      <c r="H744" s="54"/>
      <c r="I744" s="4"/>
      <c r="J744" s="2"/>
      <c r="K744" s="2"/>
      <c r="L744" s="5"/>
      <c r="M744" s="5"/>
      <c r="N744" s="5"/>
      <c r="O744" s="5"/>
      <c r="P744" s="5"/>
      <c r="Q744" s="5"/>
      <c r="R744" s="2"/>
      <c r="S744" s="2"/>
      <c r="T744" s="2"/>
      <c r="U744" s="2"/>
      <c r="V744" s="2"/>
      <c r="W744" s="2"/>
      <c r="X744" s="6"/>
      <c r="Y744" s="2"/>
      <c r="Z744" s="2"/>
      <c r="AA744" s="2"/>
      <c r="AB744" s="2"/>
      <c r="AC744" s="6"/>
      <c r="AD744" s="2"/>
      <c r="AE744" s="2"/>
      <c r="AF744" s="2"/>
      <c r="AG744" s="2"/>
      <c r="AH744" s="2"/>
      <c r="AI744" s="6"/>
      <c r="AJ744" s="2"/>
      <c r="AK744" s="56"/>
      <c r="AL744" s="2"/>
      <c r="AM744" s="2"/>
      <c r="AN744" s="2"/>
      <c r="AO744" s="2"/>
      <c r="AP744" s="6"/>
      <c r="AQ744" s="2"/>
      <c r="AR744" s="2"/>
      <c r="AS744" s="2"/>
      <c r="AT744" s="2"/>
      <c r="AU744" s="2"/>
      <c r="AV744" s="2"/>
      <c r="AW744" s="2"/>
      <c r="AX744" s="6"/>
      <c r="AY744" s="2"/>
      <c r="AZ744" s="2"/>
      <c r="BA744" s="2"/>
      <c r="BB744" s="2"/>
      <c r="BC744" s="2"/>
      <c r="BD744" s="6"/>
      <c r="BE744" s="2"/>
      <c r="BF744" s="6"/>
      <c r="BG744" s="58"/>
      <c r="BH744" s="6"/>
      <c r="BI744" s="2"/>
    </row>
    <row r="745" ht="12.75" customHeight="1">
      <c r="A745" s="71"/>
      <c r="B745" s="71"/>
      <c r="C745" s="11"/>
      <c r="D745" s="11"/>
      <c r="E745" s="2"/>
      <c r="F745" s="2"/>
      <c r="G745" s="2"/>
      <c r="H745" s="54"/>
      <c r="I745" s="4"/>
      <c r="J745" s="2"/>
      <c r="K745" s="2"/>
      <c r="L745" s="5"/>
      <c r="M745" s="5"/>
      <c r="N745" s="5"/>
      <c r="O745" s="5"/>
      <c r="P745" s="5"/>
      <c r="Q745" s="5"/>
      <c r="R745" s="2"/>
      <c r="S745" s="2"/>
      <c r="T745" s="2"/>
      <c r="U745" s="2"/>
      <c r="V745" s="2"/>
      <c r="W745" s="2"/>
      <c r="X745" s="6"/>
      <c r="Y745" s="2"/>
      <c r="Z745" s="2"/>
      <c r="AA745" s="2"/>
      <c r="AB745" s="2"/>
      <c r="AC745" s="6"/>
      <c r="AD745" s="2"/>
      <c r="AE745" s="2"/>
      <c r="AF745" s="2"/>
      <c r="AG745" s="2"/>
      <c r="AH745" s="2"/>
      <c r="AI745" s="6"/>
      <c r="AJ745" s="2"/>
      <c r="AK745" s="56"/>
      <c r="AL745" s="2"/>
      <c r="AM745" s="2"/>
      <c r="AN745" s="2"/>
      <c r="AO745" s="2"/>
      <c r="AP745" s="6"/>
      <c r="AQ745" s="2"/>
      <c r="AR745" s="2"/>
      <c r="AS745" s="2"/>
      <c r="AT745" s="2"/>
      <c r="AU745" s="2"/>
      <c r="AV745" s="2"/>
      <c r="AW745" s="2"/>
      <c r="AX745" s="6"/>
      <c r="AY745" s="2"/>
      <c r="AZ745" s="2"/>
      <c r="BA745" s="2"/>
      <c r="BB745" s="2"/>
      <c r="BC745" s="2"/>
      <c r="BD745" s="6"/>
      <c r="BE745" s="2"/>
      <c r="BF745" s="6"/>
      <c r="BG745" s="58"/>
      <c r="BH745" s="6"/>
      <c r="BI745" s="2"/>
    </row>
    <row r="746" ht="12.75" customHeight="1">
      <c r="A746" s="71"/>
      <c r="B746" s="71"/>
      <c r="C746" s="11"/>
      <c r="D746" s="11"/>
      <c r="E746" s="2"/>
      <c r="F746" s="2"/>
      <c r="G746" s="2"/>
      <c r="H746" s="54"/>
      <c r="I746" s="4"/>
      <c r="J746" s="2"/>
      <c r="K746" s="2"/>
      <c r="L746" s="5"/>
      <c r="M746" s="5"/>
      <c r="N746" s="5"/>
      <c r="O746" s="5"/>
      <c r="P746" s="5"/>
      <c r="Q746" s="5"/>
      <c r="R746" s="2"/>
      <c r="S746" s="2"/>
      <c r="T746" s="2"/>
      <c r="U746" s="2"/>
      <c r="V746" s="2"/>
      <c r="W746" s="2"/>
      <c r="X746" s="6"/>
      <c r="Y746" s="2"/>
      <c r="Z746" s="2"/>
      <c r="AA746" s="2"/>
      <c r="AB746" s="2"/>
      <c r="AC746" s="6"/>
      <c r="AD746" s="2"/>
      <c r="AE746" s="2"/>
      <c r="AF746" s="2"/>
      <c r="AG746" s="2"/>
      <c r="AH746" s="2"/>
      <c r="AI746" s="6"/>
      <c r="AJ746" s="2"/>
      <c r="AK746" s="56"/>
      <c r="AL746" s="2"/>
      <c r="AM746" s="2"/>
      <c r="AN746" s="2"/>
      <c r="AO746" s="2"/>
      <c r="AP746" s="6"/>
      <c r="AQ746" s="2"/>
      <c r="AR746" s="2"/>
      <c r="AS746" s="2"/>
      <c r="AT746" s="2"/>
      <c r="AU746" s="2"/>
      <c r="AV746" s="2"/>
      <c r="AW746" s="2"/>
      <c r="AX746" s="6"/>
      <c r="AY746" s="2"/>
      <c r="AZ746" s="2"/>
      <c r="BA746" s="2"/>
      <c r="BB746" s="2"/>
      <c r="BC746" s="2"/>
      <c r="BD746" s="6"/>
      <c r="BE746" s="2"/>
      <c r="BF746" s="6"/>
      <c r="BG746" s="58"/>
      <c r="BH746" s="6"/>
      <c r="BI746" s="2"/>
    </row>
    <row r="747" ht="12.75" customHeight="1">
      <c r="A747" s="71"/>
      <c r="B747" s="71"/>
      <c r="C747" s="11"/>
      <c r="D747" s="11"/>
      <c r="E747" s="2"/>
      <c r="F747" s="2"/>
      <c r="G747" s="2"/>
      <c r="H747" s="54"/>
      <c r="I747" s="4"/>
      <c r="J747" s="2"/>
      <c r="K747" s="2"/>
      <c r="L747" s="5"/>
      <c r="M747" s="5"/>
      <c r="N747" s="5"/>
      <c r="O747" s="5"/>
      <c r="P747" s="5"/>
      <c r="Q747" s="5"/>
      <c r="R747" s="2"/>
      <c r="S747" s="2"/>
      <c r="T747" s="2"/>
      <c r="U747" s="2"/>
      <c r="V747" s="2"/>
      <c r="W747" s="2"/>
      <c r="X747" s="6"/>
      <c r="Y747" s="2"/>
      <c r="Z747" s="2"/>
      <c r="AA747" s="2"/>
      <c r="AB747" s="2"/>
      <c r="AC747" s="6"/>
      <c r="AD747" s="2"/>
      <c r="AE747" s="2"/>
      <c r="AF747" s="2"/>
      <c r="AG747" s="2"/>
      <c r="AH747" s="2"/>
      <c r="AI747" s="6"/>
      <c r="AJ747" s="2"/>
      <c r="AK747" s="56"/>
      <c r="AL747" s="2"/>
      <c r="AM747" s="2"/>
      <c r="AN747" s="2"/>
      <c r="AO747" s="2"/>
      <c r="AP747" s="6"/>
      <c r="AQ747" s="2"/>
      <c r="AR747" s="2"/>
      <c r="AS747" s="2"/>
      <c r="AT747" s="2"/>
      <c r="AU747" s="2"/>
      <c r="AV747" s="2"/>
      <c r="AW747" s="2"/>
      <c r="AX747" s="6"/>
      <c r="AY747" s="2"/>
      <c r="AZ747" s="2"/>
      <c r="BA747" s="2"/>
      <c r="BB747" s="2"/>
      <c r="BC747" s="2"/>
      <c r="BD747" s="6"/>
      <c r="BE747" s="2"/>
      <c r="BF747" s="6"/>
      <c r="BG747" s="58"/>
      <c r="BH747" s="6"/>
      <c r="BI747" s="2"/>
    </row>
    <row r="748" ht="12.75" customHeight="1">
      <c r="A748" s="71"/>
      <c r="B748" s="71"/>
      <c r="C748" s="11"/>
      <c r="D748" s="11"/>
      <c r="E748" s="2"/>
      <c r="F748" s="2"/>
      <c r="G748" s="2"/>
      <c r="H748" s="54"/>
      <c r="I748" s="4"/>
      <c r="J748" s="2"/>
      <c r="K748" s="2"/>
      <c r="L748" s="5"/>
      <c r="M748" s="5"/>
      <c r="N748" s="5"/>
      <c r="O748" s="5"/>
      <c r="P748" s="5"/>
      <c r="Q748" s="5"/>
      <c r="R748" s="2"/>
      <c r="S748" s="2"/>
      <c r="T748" s="2"/>
      <c r="U748" s="2"/>
      <c r="V748" s="2"/>
      <c r="W748" s="2"/>
      <c r="X748" s="6"/>
      <c r="Y748" s="2"/>
      <c r="Z748" s="2"/>
      <c r="AA748" s="2"/>
      <c r="AB748" s="2"/>
      <c r="AC748" s="6"/>
      <c r="AD748" s="2"/>
      <c r="AE748" s="2"/>
      <c r="AF748" s="2"/>
      <c r="AG748" s="2"/>
      <c r="AH748" s="2"/>
      <c r="AI748" s="6"/>
      <c r="AJ748" s="2"/>
      <c r="AK748" s="56"/>
      <c r="AL748" s="2"/>
      <c r="AM748" s="2"/>
      <c r="AN748" s="2"/>
      <c r="AO748" s="2"/>
      <c r="AP748" s="6"/>
      <c r="AQ748" s="2"/>
      <c r="AR748" s="2"/>
      <c r="AS748" s="2"/>
      <c r="AT748" s="2"/>
      <c r="AU748" s="2"/>
      <c r="AV748" s="2"/>
      <c r="AW748" s="2"/>
      <c r="AX748" s="6"/>
      <c r="AY748" s="2"/>
      <c r="AZ748" s="2"/>
      <c r="BA748" s="2"/>
      <c r="BB748" s="2"/>
      <c r="BC748" s="2"/>
      <c r="BD748" s="6"/>
      <c r="BE748" s="2"/>
      <c r="BF748" s="6"/>
      <c r="BG748" s="58"/>
      <c r="BH748" s="6"/>
      <c r="BI748" s="2"/>
    </row>
    <row r="749" ht="12.75" customHeight="1">
      <c r="A749" s="71"/>
      <c r="B749" s="71"/>
      <c r="C749" s="11"/>
      <c r="D749" s="11"/>
      <c r="E749" s="2"/>
      <c r="F749" s="2"/>
      <c r="G749" s="2"/>
      <c r="H749" s="54"/>
      <c r="I749" s="4"/>
      <c r="J749" s="2"/>
      <c r="K749" s="2"/>
      <c r="L749" s="5"/>
      <c r="M749" s="5"/>
      <c r="N749" s="5"/>
      <c r="O749" s="5"/>
      <c r="P749" s="5"/>
      <c r="Q749" s="5"/>
      <c r="R749" s="2"/>
      <c r="S749" s="2"/>
      <c r="T749" s="2"/>
      <c r="U749" s="2"/>
      <c r="V749" s="2"/>
      <c r="W749" s="2"/>
      <c r="X749" s="6"/>
      <c r="Y749" s="2"/>
      <c r="Z749" s="2"/>
      <c r="AA749" s="2"/>
      <c r="AB749" s="2"/>
      <c r="AC749" s="6"/>
      <c r="AD749" s="2"/>
      <c r="AE749" s="2"/>
      <c r="AF749" s="2"/>
      <c r="AG749" s="2"/>
      <c r="AH749" s="2"/>
      <c r="AI749" s="6"/>
      <c r="AJ749" s="2"/>
      <c r="AK749" s="56"/>
      <c r="AL749" s="2"/>
      <c r="AM749" s="2"/>
      <c r="AN749" s="2"/>
      <c r="AO749" s="2"/>
      <c r="AP749" s="6"/>
      <c r="AQ749" s="2"/>
      <c r="AR749" s="2"/>
      <c r="AS749" s="2"/>
      <c r="AT749" s="2"/>
      <c r="AU749" s="2"/>
      <c r="AV749" s="2"/>
      <c r="AW749" s="2"/>
      <c r="AX749" s="6"/>
      <c r="AY749" s="2"/>
      <c r="AZ749" s="2"/>
      <c r="BA749" s="2"/>
      <c r="BB749" s="2"/>
      <c r="BC749" s="2"/>
      <c r="BD749" s="6"/>
      <c r="BE749" s="2"/>
      <c r="BF749" s="6"/>
      <c r="BG749" s="58"/>
      <c r="BH749" s="6"/>
      <c r="BI749" s="2"/>
    </row>
    <row r="750" ht="12.75" customHeight="1">
      <c r="A750" s="71"/>
      <c r="B750" s="71"/>
      <c r="C750" s="11"/>
      <c r="D750" s="11"/>
      <c r="E750" s="2"/>
      <c r="F750" s="2"/>
      <c r="G750" s="2"/>
      <c r="H750" s="54"/>
      <c r="I750" s="4"/>
      <c r="J750" s="2"/>
      <c r="K750" s="2"/>
      <c r="L750" s="5"/>
      <c r="M750" s="5"/>
      <c r="N750" s="5"/>
      <c r="O750" s="5"/>
      <c r="P750" s="5"/>
      <c r="Q750" s="5"/>
      <c r="R750" s="2"/>
      <c r="S750" s="2"/>
      <c r="T750" s="2"/>
      <c r="U750" s="2"/>
      <c r="V750" s="2"/>
      <c r="W750" s="2"/>
      <c r="X750" s="6"/>
      <c r="Y750" s="2"/>
      <c r="Z750" s="2"/>
      <c r="AA750" s="2"/>
      <c r="AB750" s="2"/>
      <c r="AC750" s="6"/>
      <c r="AD750" s="2"/>
      <c r="AE750" s="2"/>
      <c r="AF750" s="2"/>
      <c r="AG750" s="2"/>
      <c r="AH750" s="2"/>
      <c r="AI750" s="6"/>
      <c r="AJ750" s="2"/>
      <c r="AK750" s="56"/>
      <c r="AL750" s="2"/>
      <c r="AM750" s="2"/>
      <c r="AN750" s="2"/>
      <c r="AO750" s="2"/>
      <c r="AP750" s="6"/>
      <c r="AQ750" s="2"/>
      <c r="AR750" s="2"/>
      <c r="AS750" s="2"/>
      <c r="AT750" s="2"/>
      <c r="AU750" s="2"/>
      <c r="AV750" s="2"/>
      <c r="AW750" s="2"/>
      <c r="AX750" s="6"/>
      <c r="AY750" s="2"/>
      <c r="AZ750" s="2"/>
      <c r="BA750" s="2"/>
      <c r="BB750" s="2"/>
      <c r="BC750" s="2"/>
      <c r="BD750" s="6"/>
      <c r="BE750" s="2"/>
      <c r="BF750" s="6"/>
      <c r="BG750" s="58"/>
      <c r="BH750" s="6"/>
      <c r="BI750" s="2"/>
    </row>
    <row r="751" ht="12.75" customHeight="1">
      <c r="A751" s="71"/>
      <c r="B751" s="71"/>
      <c r="C751" s="11"/>
      <c r="D751" s="11"/>
      <c r="E751" s="2"/>
      <c r="F751" s="2"/>
      <c r="G751" s="2"/>
      <c r="H751" s="54"/>
      <c r="I751" s="4"/>
      <c r="J751" s="2"/>
      <c r="K751" s="2"/>
      <c r="L751" s="5"/>
      <c r="M751" s="5"/>
      <c r="N751" s="5"/>
      <c r="O751" s="5"/>
      <c r="P751" s="5"/>
      <c r="Q751" s="5"/>
      <c r="R751" s="2"/>
      <c r="S751" s="2"/>
      <c r="T751" s="2"/>
      <c r="U751" s="2"/>
      <c r="V751" s="2"/>
      <c r="W751" s="2"/>
      <c r="X751" s="6"/>
      <c r="Y751" s="2"/>
      <c r="Z751" s="2"/>
      <c r="AA751" s="2"/>
      <c r="AB751" s="2"/>
      <c r="AC751" s="6"/>
      <c r="AD751" s="2"/>
      <c r="AE751" s="2"/>
      <c r="AF751" s="2"/>
      <c r="AG751" s="2"/>
      <c r="AH751" s="2"/>
      <c r="AI751" s="6"/>
      <c r="AJ751" s="2"/>
      <c r="AK751" s="56"/>
      <c r="AL751" s="2"/>
      <c r="AM751" s="2"/>
      <c r="AN751" s="2"/>
      <c r="AO751" s="2"/>
      <c r="AP751" s="6"/>
      <c r="AQ751" s="2"/>
      <c r="AR751" s="2"/>
      <c r="AS751" s="2"/>
      <c r="AT751" s="2"/>
      <c r="AU751" s="2"/>
      <c r="AV751" s="2"/>
      <c r="AW751" s="2"/>
      <c r="AX751" s="6"/>
      <c r="AY751" s="2"/>
      <c r="AZ751" s="2"/>
      <c r="BA751" s="2"/>
      <c r="BB751" s="2"/>
      <c r="BC751" s="2"/>
      <c r="BD751" s="6"/>
      <c r="BE751" s="2"/>
      <c r="BF751" s="6"/>
      <c r="BG751" s="58"/>
      <c r="BH751" s="6"/>
      <c r="BI751" s="2"/>
    </row>
    <row r="752" ht="12.75" customHeight="1">
      <c r="A752" s="71"/>
      <c r="B752" s="71"/>
      <c r="C752" s="11"/>
      <c r="D752" s="11"/>
      <c r="E752" s="2"/>
      <c r="F752" s="2"/>
      <c r="G752" s="2"/>
      <c r="H752" s="54"/>
      <c r="I752" s="4"/>
      <c r="J752" s="2"/>
      <c r="K752" s="2"/>
      <c r="L752" s="5"/>
      <c r="M752" s="5"/>
      <c r="N752" s="5"/>
      <c r="O752" s="5"/>
      <c r="P752" s="5"/>
      <c r="Q752" s="5"/>
      <c r="R752" s="2"/>
      <c r="S752" s="2"/>
      <c r="T752" s="2"/>
      <c r="U752" s="2"/>
      <c r="V752" s="2"/>
      <c r="W752" s="2"/>
      <c r="X752" s="6"/>
      <c r="Y752" s="2"/>
      <c r="Z752" s="2"/>
      <c r="AA752" s="2"/>
      <c r="AB752" s="2"/>
      <c r="AC752" s="6"/>
      <c r="AD752" s="2"/>
      <c r="AE752" s="2"/>
      <c r="AF752" s="2"/>
      <c r="AG752" s="2"/>
      <c r="AH752" s="2"/>
      <c r="AI752" s="6"/>
      <c r="AJ752" s="2"/>
      <c r="AK752" s="56"/>
      <c r="AL752" s="2"/>
      <c r="AM752" s="2"/>
      <c r="AN752" s="2"/>
      <c r="AO752" s="2"/>
      <c r="AP752" s="6"/>
      <c r="AQ752" s="2"/>
      <c r="AR752" s="2"/>
      <c r="AS752" s="2"/>
      <c r="AT752" s="2"/>
      <c r="AU752" s="2"/>
      <c r="AV752" s="2"/>
      <c r="AW752" s="2"/>
      <c r="AX752" s="6"/>
      <c r="AY752" s="2"/>
      <c r="AZ752" s="2"/>
      <c r="BA752" s="2"/>
      <c r="BB752" s="2"/>
      <c r="BC752" s="2"/>
      <c r="BD752" s="6"/>
      <c r="BE752" s="2"/>
      <c r="BF752" s="6"/>
      <c r="BG752" s="58"/>
      <c r="BH752" s="6"/>
      <c r="BI752" s="2"/>
    </row>
    <row r="753" ht="12.75" customHeight="1">
      <c r="A753" s="71"/>
      <c r="B753" s="71"/>
      <c r="C753" s="11"/>
      <c r="D753" s="11"/>
      <c r="E753" s="2"/>
      <c r="F753" s="2"/>
      <c r="G753" s="2"/>
      <c r="H753" s="54"/>
      <c r="I753" s="4"/>
      <c r="J753" s="2"/>
      <c r="K753" s="2"/>
      <c r="L753" s="5"/>
      <c r="M753" s="5"/>
      <c r="N753" s="5"/>
      <c r="O753" s="5"/>
      <c r="P753" s="5"/>
      <c r="Q753" s="5"/>
      <c r="R753" s="2"/>
      <c r="S753" s="2"/>
      <c r="T753" s="2"/>
      <c r="U753" s="2"/>
      <c r="V753" s="2"/>
      <c r="W753" s="2"/>
      <c r="X753" s="6"/>
      <c r="Y753" s="2"/>
      <c r="Z753" s="2"/>
      <c r="AA753" s="2"/>
      <c r="AB753" s="2"/>
      <c r="AC753" s="6"/>
      <c r="AD753" s="2"/>
      <c r="AE753" s="2"/>
      <c r="AF753" s="2"/>
      <c r="AG753" s="2"/>
      <c r="AH753" s="2"/>
      <c r="AI753" s="6"/>
      <c r="AJ753" s="2"/>
      <c r="AK753" s="56"/>
      <c r="AL753" s="2"/>
      <c r="AM753" s="2"/>
      <c r="AN753" s="2"/>
      <c r="AO753" s="2"/>
      <c r="AP753" s="6"/>
      <c r="AQ753" s="2"/>
      <c r="AR753" s="2"/>
      <c r="AS753" s="2"/>
      <c r="AT753" s="2"/>
      <c r="AU753" s="2"/>
      <c r="AV753" s="2"/>
      <c r="AW753" s="2"/>
      <c r="AX753" s="6"/>
      <c r="AY753" s="2"/>
      <c r="AZ753" s="2"/>
      <c r="BA753" s="2"/>
      <c r="BB753" s="2"/>
      <c r="BC753" s="2"/>
      <c r="BD753" s="6"/>
      <c r="BE753" s="2"/>
      <c r="BF753" s="6"/>
      <c r="BG753" s="58"/>
      <c r="BH753" s="6"/>
      <c r="BI753" s="2"/>
    </row>
    <row r="754" ht="12.75" customHeight="1">
      <c r="A754" s="71"/>
      <c r="B754" s="71"/>
      <c r="C754" s="11"/>
      <c r="D754" s="11"/>
      <c r="E754" s="2"/>
      <c r="F754" s="2"/>
      <c r="G754" s="2"/>
      <c r="H754" s="54"/>
      <c r="I754" s="4"/>
      <c r="J754" s="2"/>
      <c r="K754" s="2"/>
      <c r="L754" s="5"/>
      <c r="M754" s="5"/>
      <c r="N754" s="5"/>
      <c r="O754" s="5"/>
      <c r="P754" s="5"/>
      <c r="Q754" s="5"/>
      <c r="R754" s="2"/>
      <c r="S754" s="2"/>
      <c r="T754" s="2"/>
      <c r="U754" s="2"/>
      <c r="V754" s="2"/>
      <c r="W754" s="2"/>
      <c r="X754" s="6"/>
      <c r="Y754" s="2"/>
      <c r="Z754" s="2"/>
      <c r="AA754" s="2"/>
      <c r="AB754" s="2"/>
      <c r="AC754" s="6"/>
      <c r="AD754" s="2"/>
      <c r="AE754" s="2"/>
      <c r="AF754" s="2"/>
      <c r="AG754" s="2"/>
      <c r="AH754" s="2"/>
      <c r="AI754" s="6"/>
      <c r="AJ754" s="2"/>
      <c r="AK754" s="56"/>
      <c r="AL754" s="2"/>
      <c r="AM754" s="2"/>
      <c r="AN754" s="2"/>
      <c r="AO754" s="2"/>
      <c r="AP754" s="6"/>
      <c r="AQ754" s="2"/>
      <c r="AR754" s="2"/>
      <c r="AS754" s="2"/>
      <c r="AT754" s="2"/>
      <c r="AU754" s="2"/>
      <c r="AV754" s="2"/>
      <c r="AW754" s="2"/>
      <c r="AX754" s="6"/>
      <c r="AY754" s="2"/>
      <c r="AZ754" s="2"/>
      <c r="BA754" s="2"/>
      <c r="BB754" s="2"/>
      <c r="BC754" s="2"/>
      <c r="BD754" s="6"/>
      <c r="BE754" s="2"/>
      <c r="BF754" s="6"/>
      <c r="BG754" s="58"/>
      <c r="BH754" s="6"/>
      <c r="BI754" s="2"/>
    </row>
    <row r="755" ht="12.75" customHeight="1">
      <c r="A755" s="71"/>
      <c r="B755" s="71"/>
      <c r="C755" s="11"/>
      <c r="D755" s="11"/>
      <c r="E755" s="2"/>
      <c r="F755" s="2"/>
      <c r="G755" s="2"/>
      <c r="H755" s="54"/>
      <c r="I755" s="4"/>
      <c r="J755" s="2"/>
      <c r="K755" s="2"/>
      <c r="L755" s="5"/>
      <c r="M755" s="5"/>
      <c r="N755" s="5"/>
      <c r="O755" s="5"/>
      <c r="P755" s="5"/>
      <c r="Q755" s="5"/>
      <c r="R755" s="2"/>
      <c r="S755" s="2"/>
      <c r="T755" s="2"/>
      <c r="U755" s="2"/>
      <c r="V755" s="2"/>
      <c r="W755" s="2"/>
      <c r="X755" s="6"/>
      <c r="Y755" s="2"/>
      <c r="Z755" s="2"/>
      <c r="AA755" s="2"/>
      <c r="AB755" s="2"/>
      <c r="AC755" s="6"/>
      <c r="AD755" s="2"/>
      <c r="AE755" s="2"/>
      <c r="AF755" s="2"/>
      <c r="AG755" s="2"/>
      <c r="AH755" s="2"/>
      <c r="AI755" s="6"/>
      <c r="AJ755" s="2"/>
      <c r="AK755" s="56"/>
      <c r="AL755" s="2"/>
      <c r="AM755" s="2"/>
      <c r="AN755" s="2"/>
      <c r="AO755" s="2"/>
      <c r="AP755" s="6"/>
      <c r="AQ755" s="2"/>
      <c r="AR755" s="2"/>
      <c r="AS755" s="2"/>
      <c r="AT755" s="2"/>
      <c r="AU755" s="2"/>
      <c r="AV755" s="2"/>
      <c r="AW755" s="2"/>
      <c r="AX755" s="6"/>
      <c r="AY755" s="2"/>
      <c r="AZ755" s="2"/>
      <c r="BA755" s="2"/>
      <c r="BB755" s="2"/>
      <c r="BC755" s="2"/>
      <c r="BD755" s="6"/>
      <c r="BE755" s="2"/>
      <c r="BF755" s="6"/>
      <c r="BG755" s="58"/>
      <c r="BH755" s="6"/>
      <c r="BI755" s="2"/>
    </row>
    <row r="756" ht="12.75" customHeight="1">
      <c r="A756" s="71"/>
      <c r="B756" s="71"/>
      <c r="C756" s="11"/>
      <c r="D756" s="11"/>
      <c r="E756" s="2"/>
      <c r="F756" s="2"/>
      <c r="G756" s="2"/>
      <c r="H756" s="54"/>
      <c r="I756" s="4"/>
      <c r="J756" s="2"/>
      <c r="K756" s="2"/>
      <c r="L756" s="5"/>
      <c r="M756" s="5"/>
      <c r="N756" s="5"/>
      <c r="O756" s="5"/>
      <c r="P756" s="5"/>
      <c r="Q756" s="5"/>
      <c r="R756" s="2"/>
      <c r="S756" s="2"/>
      <c r="T756" s="2"/>
      <c r="U756" s="2"/>
      <c r="V756" s="2"/>
      <c r="W756" s="2"/>
      <c r="X756" s="6"/>
      <c r="Y756" s="2"/>
      <c r="Z756" s="2"/>
      <c r="AA756" s="2"/>
      <c r="AB756" s="2"/>
      <c r="AC756" s="6"/>
      <c r="AD756" s="2"/>
      <c r="AE756" s="2"/>
      <c r="AF756" s="2"/>
      <c r="AG756" s="2"/>
      <c r="AH756" s="2"/>
      <c r="AI756" s="6"/>
      <c r="AJ756" s="2"/>
      <c r="AK756" s="56"/>
      <c r="AL756" s="2"/>
      <c r="AM756" s="2"/>
      <c r="AN756" s="2"/>
      <c r="AO756" s="2"/>
      <c r="AP756" s="6"/>
      <c r="AQ756" s="2"/>
      <c r="AR756" s="2"/>
      <c r="AS756" s="2"/>
      <c r="AT756" s="2"/>
      <c r="AU756" s="2"/>
      <c r="AV756" s="2"/>
      <c r="AW756" s="2"/>
      <c r="AX756" s="6"/>
      <c r="AY756" s="2"/>
      <c r="AZ756" s="2"/>
      <c r="BA756" s="2"/>
      <c r="BB756" s="2"/>
      <c r="BC756" s="2"/>
      <c r="BD756" s="6"/>
      <c r="BE756" s="2"/>
      <c r="BF756" s="6"/>
      <c r="BG756" s="58"/>
      <c r="BH756" s="6"/>
      <c r="BI756" s="2"/>
    </row>
    <row r="757" ht="12.75" customHeight="1">
      <c r="A757" s="71"/>
      <c r="B757" s="71"/>
      <c r="C757" s="11"/>
      <c r="D757" s="11"/>
      <c r="E757" s="2"/>
      <c r="F757" s="2"/>
      <c r="G757" s="2"/>
      <c r="H757" s="54"/>
      <c r="I757" s="4"/>
      <c r="J757" s="2"/>
      <c r="K757" s="2"/>
      <c r="L757" s="5"/>
      <c r="M757" s="5"/>
      <c r="N757" s="5"/>
      <c r="O757" s="5"/>
      <c r="P757" s="5"/>
      <c r="Q757" s="5"/>
      <c r="R757" s="2"/>
      <c r="S757" s="2"/>
      <c r="T757" s="2"/>
      <c r="U757" s="2"/>
      <c r="V757" s="2"/>
      <c r="W757" s="2"/>
      <c r="X757" s="6"/>
      <c r="Y757" s="2"/>
      <c r="Z757" s="2"/>
      <c r="AA757" s="2"/>
      <c r="AB757" s="2"/>
      <c r="AC757" s="6"/>
      <c r="AD757" s="2"/>
      <c r="AE757" s="2"/>
      <c r="AF757" s="2"/>
      <c r="AG757" s="2"/>
      <c r="AH757" s="2"/>
      <c r="AI757" s="6"/>
      <c r="AJ757" s="2"/>
      <c r="AK757" s="56"/>
      <c r="AL757" s="2"/>
      <c r="AM757" s="2"/>
      <c r="AN757" s="2"/>
      <c r="AO757" s="2"/>
      <c r="AP757" s="6"/>
      <c r="AQ757" s="2"/>
      <c r="AR757" s="2"/>
      <c r="AS757" s="2"/>
      <c r="AT757" s="2"/>
      <c r="AU757" s="2"/>
      <c r="AV757" s="2"/>
      <c r="AW757" s="2"/>
      <c r="AX757" s="6"/>
      <c r="AY757" s="2"/>
      <c r="AZ757" s="2"/>
      <c r="BA757" s="2"/>
      <c r="BB757" s="2"/>
      <c r="BC757" s="2"/>
      <c r="BD757" s="6"/>
      <c r="BE757" s="2"/>
      <c r="BF757" s="6"/>
      <c r="BG757" s="58"/>
      <c r="BH757" s="6"/>
      <c r="BI757" s="2"/>
    </row>
    <row r="758" ht="12.75" customHeight="1">
      <c r="A758" s="71"/>
      <c r="B758" s="71"/>
      <c r="C758" s="11"/>
      <c r="D758" s="11"/>
      <c r="E758" s="2"/>
      <c r="F758" s="2"/>
      <c r="G758" s="2"/>
      <c r="H758" s="54"/>
      <c r="I758" s="4"/>
      <c r="J758" s="2"/>
      <c r="K758" s="2"/>
      <c r="L758" s="5"/>
      <c r="M758" s="5"/>
      <c r="N758" s="5"/>
      <c r="O758" s="5"/>
      <c r="P758" s="5"/>
      <c r="Q758" s="5"/>
      <c r="R758" s="2"/>
      <c r="S758" s="2"/>
      <c r="T758" s="2"/>
      <c r="U758" s="2"/>
      <c r="V758" s="2"/>
      <c r="W758" s="2"/>
      <c r="X758" s="6"/>
      <c r="Y758" s="2"/>
      <c r="Z758" s="2"/>
      <c r="AA758" s="2"/>
      <c r="AB758" s="2"/>
      <c r="AC758" s="6"/>
      <c r="AD758" s="2"/>
      <c r="AE758" s="2"/>
      <c r="AF758" s="2"/>
      <c r="AG758" s="2"/>
      <c r="AH758" s="2"/>
      <c r="AI758" s="6"/>
      <c r="AJ758" s="2"/>
      <c r="AK758" s="56"/>
      <c r="AL758" s="2"/>
      <c r="AM758" s="2"/>
      <c r="AN758" s="2"/>
      <c r="AO758" s="2"/>
      <c r="AP758" s="6"/>
      <c r="AQ758" s="2"/>
      <c r="AR758" s="2"/>
      <c r="AS758" s="2"/>
      <c r="AT758" s="2"/>
      <c r="AU758" s="2"/>
      <c r="AV758" s="2"/>
      <c r="AW758" s="2"/>
      <c r="AX758" s="6"/>
      <c r="AY758" s="2"/>
      <c r="AZ758" s="2"/>
      <c r="BA758" s="2"/>
      <c r="BB758" s="2"/>
      <c r="BC758" s="2"/>
      <c r="BD758" s="6"/>
      <c r="BE758" s="2"/>
      <c r="BF758" s="6"/>
      <c r="BG758" s="58"/>
      <c r="BH758" s="6"/>
      <c r="BI758" s="2"/>
    </row>
    <row r="759" ht="12.75" customHeight="1">
      <c r="A759" s="71"/>
      <c r="B759" s="71"/>
      <c r="C759" s="11"/>
      <c r="D759" s="11"/>
      <c r="E759" s="2"/>
      <c r="F759" s="2"/>
      <c r="G759" s="2"/>
      <c r="H759" s="54"/>
      <c r="I759" s="4"/>
      <c r="J759" s="2"/>
      <c r="K759" s="2"/>
      <c r="L759" s="5"/>
      <c r="M759" s="5"/>
      <c r="N759" s="5"/>
      <c r="O759" s="5"/>
      <c r="P759" s="5"/>
      <c r="Q759" s="5"/>
      <c r="R759" s="2"/>
      <c r="S759" s="2"/>
      <c r="T759" s="2"/>
      <c r="U759" s="2"/>
      <c r="V759" s="2"/>
      <c r="W759" s="2"/>
      <c r="X759" s="6"/>
      <c r="Y759" s="2"/>
      <c r="Z759" s="2"/>
      <c r="AA759" s="2"/>
      <c r="AB759" s="2"/>
      <c r="AC759" s="6"/>
      <c r="AD759" s="2"/>
      <c r="AE759" s="2"/>
      <c r="AF759" s="2"/>
      <c r="AG759" s="2"/>
      <c r="AH759" s="2"/>
      <c r="AI759" s="6"/>
      <c r="AJ759" s="2"/>
      <c r="AK759" s="56"/>
      <c r="AL759" s="2"/>
      <c r="AM759" s="2"/>
      <c r="AN759" s="2"/>
      <c r="AO759" s="2"/>
      <c r="AP759" s="6"/>
      <c r="AQ759" s="2"/>
      <c r="AR759" s="2"/>
      <c r="AS759" s="2"/>
      <c r="AT759" s="2"/>
      <c r="AU759" s="2"/>
      <c r="AV759" s="2"/>
      <c r="AW759" s="2"/>
      <c r="AX759" s="6"/>
      <c r="AY759" s="2"/>
      <c r="AZ759" s="2"/>
      <c r="BA759" s="2"/>
      <c r="BB759" s="2"/>
      <c r="BC759" s="2"/>
      <c r="BD759" s="6"/>
      <c r="BE759" s="2"/>
      <c r="BF759" s="6"/>
      <c r="BG759" s="58"/>
      <c r="BH759" s="6"/>
      <c r="BI759" s="2"/>
    </row>
    <row r="760" ht="12.75" customHeight="1">
      <c r="A760" s="71"/>
      <c r="B760" s="71"/>
      <c r="C760" s="11"/>
      <c r="D760" s="11"/>
      <c r="E760" s="2"/>
      <c r="F760" s="2"/>
      <c r="G760" s="2"/>
      <c r="H760" s="54"/>
      <c r="I760" s="4"/>
      <c r="J760" s="2"/>
      <c r="K760" s="2"/>
      <c r="L760" s="5"/>
      <c r="M760" s="5"/>
      <c r="N760" s="5"/>
      <c r="O760" s="5"/>
      <c r="P760" s="5"/>
      <c r="Q760" s="5"/>
      <c r="R760" s="2"/>
      <c r="S760" s="2"/>
      <c r="T760" s="2"/>
      <c r="U760" s="2"/>
      <c r="V760" s="2"/>
      <c r="W760" s="2"/>
      <c r="X760" s="6"/>
      <c r="Y760" s="2"/>
      <c r="Z760" s="2"/>
      <c r="AA760" s="2"/>
      <c r="AB760" s="2"/>
      <c r="AC760" s="6"/>
      <c r="AD760" s="2"/>
      <c r="AE760" s="2"/>
      <c r="AF760" s="2"/>
      <c r="AG760" s="2"/>
      <c r="AH760" s="2"/>
      <c r="AI760" s="6"/>
      <c r="AJ760" s="2"/>
      <c r="AK760" s="56"/>
      <c r="AL760" s="2"/>
      <c r="AM760" s="2"/>
      <c r="AN760" s="2"/>
      <c r="AO760" s="2"/>
      <c r="AP760" s="6"/>
      <c r="AQ760" s="2"/>
      <c r="AR760" s="2"/>
      <c r="AS760" s="2"/>
      <c r="AT760" s="2"/>
      <c r="AU760" s="2"/>
      <c r="AV760" s="2"/>
      <c r="AW760" s="2"/>
      <c r="AX760" s="6"/>
      <c r="AY760" s="2"/>
      <c r="AZ760" s="2"/>
      <c r="BA760" s="2"/>
      <c r="BB760" s="2"/>
      <c r="BC760" s="2"/>
      <c r="BD760" s="6"/>
      <c r="BE760" s="2"/>
      <c r="BF760" s="6"/>
      <c r="BG760" s="58"/>
      <c r="BH760" s="6"/>
      <c r="BI760" s="2"/>
    </row>
    <row r="761" ht="12.75" customHeight="1">
      <c r="A761" s="71"/>
      <c r="B761" s="71"/>
      <c r="C761" s="11"/>
      <c r="D761" s="11"/>
      <c r="E761" s="2"/>
      <c r="F761" s="2"/>
      <c r="G761" s="2"/>
      <c r="H761" s="54"/>
      <c r="I761" s="4"/>
      <c r="J761" s="2"/>
      <c r="K761" s="2"/>
      <c r="L761" s="5"/>
      <c r="M761" s="5"/>
      <c r="N761" s="5"/>
      <c r="O761" s="5"/>
      <c r="P761" s="5"/>
      <c r="Q761" s="5"/>
      <c r="R761" s="2"/>
      <c r="S761" s="2"/>
      <c r="T761" s="2"/>
      <c r="U761" s="2"/>
      <c r="V761" s="2"/>
      <c r="W761" s="2"/>
      <c r="X761" s="6"/>
      <c r="Y761" s="2"/>
      <c r="Z761" s="2"/>
      <c r="AA761" s="2"/>
      <c r="AB761" s="2"/>
      <c r="AC761" s="6"/>
      <c r="AD761" s="2"/>
      <c r="AE761" s="2"/>
      <c r="AF761" s="2"/>
      <c r="AG761" s="2"/>
      <c r="AH761" s="2"/>
      <c r="AI761" s="6"/>
      <c r="AJ761" s="2"/>
      <c r="AK761" s="56"/>
      <c r="AL761" s="2"/>
      <c r="AM761" s="2"/>
      <c r="AN761" s="2"/>
      <c r="AO761" s="2"/>
      <c r="AP761" s="6"/>
      <c r="AQ761" s="2"/>
      <c r="AR761" s="2"/>
      <c r="AS761" s="2"/>
      <c r="AT761" s="2"/>
      <c r="AU761" s="2"/>
      <c r="AV761" s="2"/>
      <c r="AW761" s="2"/>
      <c r="AX761" s="6"/>
      <c r="AY761" s="2"/>
      <c r="AZ761" s="2"/>
      <c r="BA761" s="2"/>
      <c r="BB761" s="2"/>
      <c r="BC761" s="2"/>
      <c r="BD761" s="6"/>
      <c r="BE761" s="2"/>
      <c r="BF761" s="6"/>
      <c r="BG761" s="58"/>
      <c r="BH761" s="6"/>
      <c r="BI761" s="2"/>
    </row>
    <row r="762" ht="12.75" customHeight="1">
      <c r="A762" s="71"/>
      <c r="B762" s="71"/>
      <c r="C762" s="11"/>
      <c r="D762" s="11"/>
      <c r="E762" s="2"/>
      <c r="F762" s="2"/>
      <c r="G762" s="2"/>
      <c r="H762" s="54"/>
      <c r="I762" s="4"/>
      <c r="J762" s="2"/>
      <c r="K762" s="2"/>
      <c r="L762" s="5"/>
      <c r="M762" s="5"/>
      <c r="N762" s="5"/>
      <c r="O762" s="5"/>
      <c r="P762" s="5"/>
      <c r="Q762" s="5"/>
      <c r="R762" s="2"/>
      <c r="S762" s="2"/>
      <c r="T762" s="2"/>
      <c r="U762" s="2"/>
      <c r="V762" s="2"/>
      <c r="W762" s="2"/>
      <c r="X762" s="6"/>
      <c r="Y762" s="2"/>
      <c r="Z762" s="2"/>
      <c r="AA762" s="2"/>
      <c r="AB762" s="2"/>
      <c r="AC762" s="6"/>
      <c r="AD762" s="2"/>
      <c r="AE762" s="2"/>
      <c r="AF762" s="2"/>
      <c r="AG762" s="2"/>
      <c r="AH762" s="2"/>
      <c r="AI762" s="6"/>
      <c r="AJ762" s="2"/>
      <c r="AK762" s="56"/>
      <c r="AL762" s="2"/>
      <c r="AM762" s="2"/>
      <c r="AN762" s="2"/>
      <c r="AO762" s="2"/>
      <c r="AP762" s="6"/>
      <c r="AQ762" s="2"/>
      <c r="AR762" s="2"/>
      <c r="AS762" s="2"/>
      <c r="AT762" s="2"/>
      <c r="AU762" s="2"/>
      <c r="AV762" s="2"/>
      <c r="AW762" s="2"/>
      <c r="AX762" s="6"/>
      <c r="AY762" s="2"/>
      <c r="AZ762" s="2"/>
      <c r="BA762" s="2"/>
      <c r="BB762" s="2"/>
      <c r="BC762" s="2"/>
      <c r="BD762" s="6"/>
      <c r="BE762" s="2"/>
      <c r="BF762" s="6"/>
      <c r="BG762" s="58"/>
      <c r="BH762" s="6"/>
      <c r="BI762" s="2"/>
    </row>
    <row r="763" ht="12.75" customHeight="1">
      <c r="A763" s="71"/>
      <c r="B763" s="71"/>
      <c r="C763" s="11"/>
      <c r="D763" s="11"/>
      <c r="E763" s="2"/>
      <c r="F763" s="2"/>
      <c r="G763" s="2"/>
      <c r="H763" s="54"/>
      <c r="I763" s="4"/>
      <c r="J763" s="2"/>
      <c r="K763" s="2"/>
      <c r="L763" s="5"/>
      <c r="M763" s="5"/>
      <c r="N763" s="5"/>
      <c r="O763" s="5"/>
      <c r="P763" s="5"/>
      <c r="Q763" s="5"/>
      <c r="R763" s="2"/>
      <c r="S763" s="2"/>
      <c r="T763" s="2"/>
      <c r="U763" s="2"/>
      <c r="V763" s="2"/>
      <c r="W763" s="2"/>
      <c r="X763" s="6"/>
      <c r="Y763" s="2"/>
      <c r="Z763" s="2"/>
      <c r="AA763" s="2"/>
      <c r="AB763" s="2"/>
      <c r="AC763" s="6"/>
      <c r="AD763" s="2"/>
      <c r="AE763" s="2"/>
      <c r="AF763" s="2"/>
      <c r="AG763" s="2"/>
      <c r="AH763" s="2"/>
      <c r="AI763" s="6"/>
      <c r="AJ763" s="2"/>
      <c r="AK763" s="56"/>
      <c r="AL763" s="2"/>
      <c r="AM763" s="2"/>
      <c r="AN763" s="2"/>
      <c r="AO763" s="2"/>
      <c r="AP763" s="6"/>
      <c r="AQ763" s="2"/>
      <c r="AR763" s="2"/>
      <c r="AS763" s="2"/>
      <c r="AT763" s="2"/>
      <c r="AU763" s="2"/>
      <c r="AV763" s="2"/>
      <c r="AW763" s="2"/>
      <c r="AX763" s="6"/>
      <c r="AY763" s="2"/>
      <c r="AZ763" s="2"/>
      <c r="BA763" s="2"/>
      <c r="BB763" s="2"/>
      <c r="BC763" s="2"/>
      <c r="BD763" s="6"/>
      <c r="BE763" s="2"/>
      <c r="BF763" s="6"/>
      <c r="BG763" s="58"/>
      <c r="BH763" s="6"/>
      <c r="BI763" s="2"/>
    </row>
    <row r="764" ht="12.75" customHeight="1">
      <c r="A764" s="71"/>
      <c r="B764" s="71"/>
      <c r="C764" s="11"/>
      <c r="D764" s="11"/>
      <c r="E764" s="2"/>
      <c r="F764" s="2"/>
      <c r="G764" s="2"/>
      <c r="H764" s="54"/>
      <c r="I764" s="4"/>
      <c r="J764" s="2"/>
      <c r="K764" s="2"/>
      <c r="L764" s="5"/>
      <c r="M764" s="5"/>
      <c r="N764" s="5"/>
      <c r="O764" s="5"/>
      <c r="P764" s="5"/>
      <c r="Q764" s="5"/>
      <c r="R764" s="2"/>
      <c r="S764" s="2"/>
      <c r="T764" s="2"/>
      <c r="U764" s="2"/>
      <c r="V764" s="2"/>
      <c r="W764" s="2"/>
      <c r="X764" s="6"/>
      <c r="Y764" s="2"/>
      <c r="Z764" s="2"/>
      <c r="AA764" s="2"/>
      <c r="AB764" s="2"/>
      <c r="AC764" s="6"/>
      <c r="AD764" s="2"/>
      <c r="AE764" s="2"/>
      <c r="AF764" s="2"/>
      <c r="AG764" s="2"/>
      <c r="AH764" s="2"/>
      <c r="AI764" s="6"/>
      <c r="AJ764" s="2"/>
      <c r="AK764" s="56"/>
      <c r="AL764" s="2"/>
      <c r="AM764" s="2"/>
      <c r="AN764" s="2"/>
      <c r="AO764" s="2"/>
      <c r="AP764" s="6"/>
      <c r="AQ764" s="2"/>
      <c r="AR764" s="2"/>
      <c r="AS764" s="2"/>
      <c r="AT764" s="2"/>
      <c r="AU764" s="2"/>
      <c r="AV764" s="2"/>
      <c r="AW764" s="2"/>
      <c r="AX764" s="6"/>
      <c r="AY764" s="2"/>
      <c r="AZ764" s="2"/>
      <c r="BA764" s="2"/>
      <c r="BB764" s="2"/>
      <c r="BC764" s="2"/>
      <c r="BD764" s="6"/>
      <c r="BE764" s="2"/>
      <c r="BF764" s="6"/>
      <c r="BG764" s="58"/>
      <c r="BH764" s="6"/>
      <c r="BI764" s="2"/>
    </row>
    <row r="765" ht="12.75" customHeight="1">
      <c r="A765" s="71"/>
      <c r="B765" s="71"/>
      <c r="C765" s="11"/>
      <c r="D765" s="11"/>
      <c r="E765" s="2"/>
      <c r="F765" s="2"/>
      <c r="G765" s="2"/>
      <c r="H765" s="54"/>
      <c r="I765" s="4"/>
      <c r="J765" s="2"/>
      <c r="K765" s="2"/>
      <c r="L765" s="5"/>
      <c r="M765" s="5"/>
      <c r="N765" s="5"/>
      <c r="O765" s="5"/>
      <c r="P765" s="5"/>
      <c r="Q765" s="5"/>
      <c r="R765" s="2"/>
      <c r="S765" s="2"/>
      <c r="T765" s="2"/>
      <c r="U765" s="2"/>
      <c r="V765" s="2"/>
      <c r="W765" s="2"/>
      <c r="X765" s="6"/>
      <c r="Y765" s="2"/>
      <c r="Z765" s="2"/>
      <c r="AA765" s="2"/>
      <c r="AB765" s="2"/>
      <c r="AC765" s="6"/>
      <c r="AD765" s="2"/>
      <c r="AE765" s="2"/>
      <c r="AF765" s="2"/>
      <c r="AG765" s="2"/>
      <c r="AH765" s="2"/>
      <c r="AI765" s="6"/>
      <c r="AJ765" s="2"/>
      <c r="AK765" s="56"/>
      <c r="AL765" s="2"/>
      <c r="AM765" s="2"/>
      <c r="AN765" s="2"/>
      <c r="AO765" s="2"/>
      <c r="AP765" s="6"/>
      <c r="AQ765" s="2"/>
      <c r="AR765" s="2"/>
      <c r="AS765" s="2"/>
      <c r="AT765" s="2"/>
      <c r="AU765" s="2"/>
      <c r="AV765" s="2"/>
      <c r="AW765" s="2"/>
      <c r="AX765" s="6"/>
      <c r="AY765" s="2"/>
      <c r="AZ765" s="2"/>
      <c r="BA765" s="2"/>
      <c r="BB765" s="2"/>
      <c r="BC765" s="2"/>
      <c r="BD765" s="6"/>
      <c r="BE765" s="2"/>
      <c r="BF765" s="6"/>
      <c r="BG765" s="58"/>
      <c r="BH765" s="6"/>
      <c r="BI765" s="2"/>
    </row>
    <row r="766" ht="12.75" customHeight="1">
      <c r="A766" s="71"/>
      <c r="B766" s="71"/>
      <c r="C766" s="11"/>
      <c r="D766" s="11"/>
      <c r="E766" s="2"/>
      <c r="F766" s="2"/>
      <c r="G766" s="2"/>
      <c r="H766" s="54"/>
      <c r="I766" s="4"/>
      <c r="J766" s="2"/>
      <c r="K766" s="2"/>
      <c r="L766" s="5"/>
      <c r="M766" s="5"/>
      <c r="N766" s="5"/>
      <c r="O766" s="5"/>
      <c r="P766" s="5"/>
      <c r="Q766" s="5"/>
      <c r="R766" s="2"/>
      <c r="S766" s="2"/>
      <c r="T766" s="2"/>
      <c r="U766" s="2"/>
      <c r="V766" s="2"/>
      <c r="W766" s="2"/>
      <c r="X766" s="6"/>
      <c r="Y766" s="2"/>
      <c r="Z766" s="2"/>
      <c r="AA766" s="2"/>
      <c r="AB766" s="2"/>
      <c r="AC766" s="6"/>
      <c r="AD766" s="2"/>
      <c r="AE766" s="2"/>
      <c r="AF766" s="2"/>
      <c r="AG766" s="2"/>
      <c r="AH766" s="2"/>
      <c r="AI766" s="6"/>
      <c r="AJ766" s="2"/>
      <c r="AK766" s="56"/>
      <c r="AL766" s="2"/>
      <c r="AM766" s="2"/>
      <c r="AN766" s="2"/>
      <c r="AO766" s="2"/>
      <c r="AP766" s="6"/>
      <c r="AQ766" s="2"/>
      <c r="AR766" s="2"/>
      <c r="AS766" s="2"/>
      <c r="AT766" s="2"/>
      <c r="AU766" s="2"/>
      <c r="AV766" s="2"/>
      <c r="AW766" s="2"/>
      <c r="AX766" s="6"/>
      <c r="AY766" s="2"/>
      <c r="AZ766" s="2"/>
      <c r="BA766" s="2"/>
      <c r="BB766" s="2"/>
      <c r="BC766" s="2"/>
      <c r="BD766" s="6"/>
      <c r="BE766" s="2"/>
      <c r="BF766" s="6"/>
      <c r="BG766" s="58"/>
      <c r="BH766" s="6"/>
      <c r="BI766" s="2"/>
    </row>
    <row r="767" ht="12.75" customHeight="1">
      <c r="A767" s="71"/>
      <c r="B767" s="71"/>
      <c r="C767" s="11"/>
      <c r="D767" s="11"/>
      <c r="E767" s="2"/>
      <c r="F767" s="2"/>
      <c r="G767" s="2"/>
      <c r="H767" s="54"/>
      <c r="I767" s="4"/>
      <c r="J767" s="2"/>
      <c r="K767" s="2"/>
      <c r="L767" s="5"/>
      <c r="M767" s="5"/>
      <c r="N767" s="5"/>
      <c r="O767" s="5"/>
      <c r="P767" s="5"/>
      <c r="Q767" s="5"/>
      <c r="R767" s="2"/>
      <c r="S767" s="2"/>
      <c r="T767" s="2"/>
      <c r="U767" s="2"/>
      <c r="V767" s="2"/>
      <c r="W767" s="2"/>
      <c r="X767" s="6"/>
      <c r="Y767" s="2"/>
      <c r="Z767" s="2"/>
      <c r="AA767" s="2"/>
      <c r="AB767" s="2"/>
      <c r="AC767" s="6"/>
      <c r="AD767" s="2"/>
      <c r="AE767" s="2"/>
      <c r="AF767" s="2"/>
      <c r="AG767" s="2"/>
      <c r="AH767" s="2"/>
      <c r="AI767" s="6"/>
      <c r="AJ767" s="2"/>
      <c r="AK767" s="56"/>
      <c r="AL767" s="2"/>
      <c r="AM767" s="2"/>
      <c r="AN767" s="2"/>
      <c r="AO767" s="2"/>
      <c r="AP767" s="6"/>
      <c r="AQ767" s="2"/>
      <c r="AR767" s="2"/>
      <c r="AS767" s="2"/>
      <c r="AT767" s="2"/>
      <c r="AU767" s="2"/>
      <c r="AV767" s="2"/>
      <c r="AW767" s="2"/>
      <c r="AX767" s="6"/>
      <c r="AY767" s="2"/>
      <c r="AZ767" s="2"/>
      <c r="BA767" s="2"/>
      <c r="BB767" s="2"/>
      <c r="BC767" s="2"/>
      <c r="BD767" s="6"/>
      <c r="BE767" s="2"/>
      <c r="BF767" s="6"/>
      <c r="BG767" s="58"/>
      <c r="BH767" s="6"/>
      <c r="BI767" s="2"/>
    </row>
    <row r="768" ht="12.75" customHeight="1">
      <c r="A768" s="71"/>
      <c r="B768" s="71"/>
      <c r="C768" s="11"/>
      <c r="D768" s="11"/>
      <c r="E768" s="2"/>
      <c r="F768" s="2"/>
      <c r="G768" s="2"/>
      <c r="H768" s="54"/>
      <c r="I768" s="4"/>
      <c r="J768" s="2"/>
      <c r="K768" s="2"/>
      <c r="L768" s="5"/>
      <c r="M768" s="5"/>
      <c r="N768" s="5"/>
      <c r="O768" s="5"/>
      <c r="P768" s="5"/>
      <c r="Q768" s="5"/>
      <c r="R768" s="2"/>
      <c r="S768" s="2"/>
      <c r="T768" s="2"/>
      <c r="U768" s="2"/>
      <c r="V768" s="2"/>
      <c r="W768" s="2"/>
      <c r="X768" s="6"/>
      <c r="Y768" s="2"/>
      <c r="Z768" s="2"/>
      <c r="AA768" s="2"/>
      <c r="AB768" s="2"/>
      <c r="AC768" s="6"/>
      <c r="AD768" s="2"/>
      <c r="AE768" s="2"/>
      <c r="AF768" s="2"/>
      <c r="AG768" s="2"/>
      <c r="AH768" s="2"/>
      <c r="AI768" s="6"/>
      <c r="AJ768" s="2"/>
      <c r="AK768" s="56"/>
      <c r="AL768" s="2"/>
      <c r="AM768" s="2"/>
      <c r="AN768" s="2"/>
      <c r="AO768" s="2"/>
      <c r="AP768" s="6"/>
      <c r="AQ768" s="2"/>
      <c r="AR768" s="2"/>
      <c r="AS768" s="2"/>
      <c r="AT768" s="2"/>
      <c r="AU768" s="2"/>
      <c r="AV768" s="2"/>
      <c r="AW768" s="2"/>
      <c r="AX768" s="6"/>
      <c r="AY768" s="2"/>
      <c r="AZ768" s="2"/>
      <c r="BA768" s="2"/>
      <c r="BB768" s="2"/>
      <c r="BC768" s="2"/>
      <c r="BD768" s="6"/>
      <c r="BE768" s="2"/>
      <c r="BF768" s="6"/>
      <c r="BG768" s="58"/>
      <c r="BH768" s="6"/>
      <c r="BI768" s="2"/>
    </row>
    <row r="769" ht="12.75" customHeight="1">
      <c r="A769" s="71"/>
      <c r="B769" s="71"/>
      <c r="C769" s="11"/>
      <c r="D769" s="11"/>
      <c r="E769" s="2"/>
      <c r="F769" s="2"/>
      <c r="G769" s="2"/>
      <c r="H769" s="54"/>
      <c r="I769" s="4"/>
      <c r="J769" s="2"/>
      <c r="K769" s="2"/>
      <c r="L769" s="5"/>
      <c r="M769" s="5"/>
      <c r="N769" s="5"/>
      <c r="O769" s="5"/>
      <c r="P769" s="5"/>
      <c r="Q769" s="5"/>
      <c r="R769" s="2"/>
      <c r="S769" s="2"/>
      <c r="T769" s="2"/>
      <c r="U769" s="2"/>
      <c r="V769" s="2"/>
      <c r="W769" s="2"/>
      <c r="X769" s="6"/>
      <c r="Y769" s="2"/>
      <c r="Z769" s="2"/>
      <c r="AA769" s="2"/>
      <c r="AB769" s="2"/>
      <c r="AC769" s="6"/>
      <c r="AD769" s="2"/>
      <c r="AE769" s="2"/>
      <c r="AF769" s="2"/>
      <c r="AG769" s="2"/>
      <c r="AH769" s="2"/>
      <c r="AI769" s="6"/>
      <c r="AJ769" s="2"/>
      <c r="AK769" s="56"/>
      <c r="AL769" s="2"/>
      <c r="AM769" s="2"/>
      <c r="AN769" s="2"/>
      <c r="AO769" s="2"/>
      <c r="AP769" s="6"/>
      <c r="AQ769" s="2"/>
      <c r="AR769" s="2"/>
      <c r="AS769" s="2"/>
      <c r="AT769" s="2"/>
      <c r="AU769" s="2"/>
      <c r="AV769" s="2"/>
      <c r="AW769" s="2"/>
      <c r="AX769" s="6"/>
      <c r="AY769" s="2"/>
      <c r="AZ769" s="2"/>
      <c r="BA769" s="2"/>
      <c r="BB769" s="2"/>
      <c r="BC769" s="2"/>
      <c r="BD769" s="6"/>
      <c r="BE769" s="2"/>
      <c r="BF769" s="6"/>
      <c r="BG769" s="58"/>
      <c r="BH769" s="6"/>
      <c r="BI769" s="2"/>
    </row>
    <row r="770" ht="12.75" customHeight="1">
      <c r="A770" s="71"/>
      <c r="B770" s="71"/>
      <c r="C770" s="11"/>
      <c r="D770" s="11"/>
      <c r="E770" s="2"/>
      <c r="F770" s="2"/>
      <c r="G770" s="2"/>
      <c r="H770" s="54"/>
      <c r="I770" s="4"/>
      <c r="J770" s="2"/>
      <c r="K770" s="2"/>
      <c r="L770" s="5"/>
      <c r="M770" s="5"/>
      <c r="N770" s="5"/>
      <c r="O770" s="5"/>
      <c r="P770" s="5"/>
      <c r="Q770" s="5"/>
      <c r="R770" s="2"/>
      <c r="S770" s="2"/>
      <c r="T770" s="2"/>
      <c r="U770" s="2"/>
      <c r="V770" s="2"/>
      <c r="W770" s="2"/>
      <c r="X770" s="6"/>
      <c r="Y770" s="2"/>
      <c r="Z770" s="2"/>
      <c r="AA770" s="2"/>
      <c r="AB770" s="2"/>
      <c r="AC770" s="6"/>
      <c r="AD770" s="2"/>
      <c r="AE770" s="2"/>
      <c r="AF770" s="2"/>
      <c r="AG770" s="2"/>
      <c r="AH770" s="2"/>
      <c r="AI770" s="6"/>
      <c r="AJ770" s="2"/>
      <c r="AK770" s="56"/>
      <c r="AL770" s="2"/>
      <c r="AM770" s="2"/>
      <c r="AN770" s="2"/>
      <c r="AO770" s="2"/>
      <c r="AP770" s="6"/>
      <c r="AQ770" s="2"/>
      <c r="AR770" s="2"/>
      <c r="AS770" s="2"/>
      <c r="AT770" s="2"/>
      <c r="AU770" s="2"/>
      <c r="AV770" s="2"/>
      <c r="AW770" s="2"/>
      <c r="AX770" s="6"/>
      <c r="AY770" s="2"/>
      <c r="AZ770" s="2"/>
      <c r="BA770" s="2"/>
      <c r="BB770" s="2"/>
      <c r="BC770" s="2"/>
      <c r="BD770" s="6"/>
      <c r="BE770" s="2"/>
      <c r="BF770" s="6"/>
      <c r="BG770" s="58"/>
      <c r="BH770" s="6"/>
      <c r="BI770" s="2"/>
    </row>
    <row r="771" ht="12.75" customHeight="1">
      <c r="A771" s="71"/>
      <c r="B771" s="71"/>
      <c r="C771" s="11"/>
      <c r="D771" s="11"/>
      <c r="E771" s="2"/>
      <c r="F771" s="2"/>
      <c r="G771" s="2"/>
      <c r="H771" s="54"/>
      <c r="I771" s="4"/>
      <c r="J771" s="2"/>
      <c r="K771" s="2"/>
      <c r="L771" s="5"/>
      <c r="M771" s="5"/>
      <c r="N771" s="5"/>
      <c r="O771" s="5"/>
      <c r="P771" s="5"/>
      <c r="Q771" s="5"/>
      <c r="R771" s="2"/>
      <c r="S771" s="2"/>
      <c r="T771" s="2"/>
      <c r="U771" s="2"/>
      <c r="V771" s="2"/>
      <c r="W771" s="2"/>
      <c r="X771" s="6"/>
      <c r="Y771" s="2"/>
      <c r="Z771" s="2"/>
      <c r="AA771" s="2"/>
      <c r="AB771" s="2"/>
      <c r="AC771" s="6"/>
      <c r="AD771" s="2"/>
      <c r="AE771" s="2"/>
      <c r="AF771" s="2"/>
      <c r="AG771" s="2"/>
      <c r="AH771" s="2"/>
      <c r="AI771" s="6"/>
      <c r="AJ771" s="2"/>
      <c r="AK771" s="56"/>
      <c r="AL771" s="2"/>
      <c r="AM771" s="2"/>
      <c r="AN771" s="2"/>
      <c r="AO771" s="2"/>
      <c r="AP771" s="6"/>
      <c r="AQ771" s="2"/>
      <c r="AR771" s="2"/>
      <c r="AS771" s="2"/>
      <c r="AT771" s="2"/>
      <c r="AU771" s="2"/>
      <c r="AV771" s="2"/>
      <c r="AW771" s="2"/>
      <c r="AX771" s="6"/>
      <c r="AY771" s="2"/>
      <c r="AZ771" s="2"/>
      <c r="BA771" s="2"/>
      <c r="BB771" s="2"/>
      <c r="BC771" s="2"/>
      <c r="BD771" s="6"/>
      <c r="BE771" s="2"/>
      <c r="BF771" s="6"/>
      <c r="BG771" s="58"/>
      <c r="BH771" s="6"/>
      <c r="BI771" s="2"/>
    </row>
    <row r="772" ht="12.75" customHeight="1">
      <c r="A772" s="71"/>
      <c r="B772" s="71"/>
      <c r="C772" s="11"/>
      <c r="D772" s="11"/>
      <c r="E772" s="2"/>
      <c r="F772" s="2"/>
      <c r="G772" s="2"/>
      <c r="H772" s="54"/>
      <c r="I772" s="4"/>
      <c r="J772" s="2"/>
      <c r="K772" s="2"/>
      <c r="L772" s="5"/>
      <c r="M772" s="5"/>
      <c r="N772" s="5"/>
      <c r="O772" s="5"/>
      <c r="P772" s="5"/>
      <c r="Q772" s="5"/>
      <c r="R772" s="2"/>
      <c r="S772" s="2"/>
      <c r="T772" s="2"/>
      <c r="U772" s="2"/>
      <c r="V772" s="2"/>
      <c r="W772" s="2"/>
      <c r="X772" s="6"/>
      <c r="Y772" s="2"/>
      <c r="Z772" s="2"/>
      <c r="AA772" s="2"/>
      <c r="AB772" s="2"/>
      <c r="AC772" s="6"/>
      <c r="AD772" s="2"/>
      <c r="AE772" s="2"/>
      <c r="AF772" s="2"/>
      <c r="AG772" s="2"/>
      <c r="AH772" s="2"/>
      <c r="AI772" s="6"/>
      <c r="AJ772" s="2"/>
      <c r="AK772" s="56"/>
      <c r="AL772" s="2"/>
      <c r="AM772" s="2"/>
      <c r="AN772" s="2"/>
      <c r="AO772" s="2"/>
      <c r="AP772" s="6"/>
      <c r="AQ772" s="2"/>
      <c r="AR772" s="2"/>
      <c r="AS772" s="2"/>
      <c r="AT772" s="2"/>
      <c r="AU772" s="2"/>
      <c r="AV772" s="2"/>
      <c r="AW772" s="2"/>
      <c r="AX772" s="6"/>
      <c r="AY772" s="2"/>
      <c r="AZ772" s="2"/>
      <c r="BA772" s="2"/>
      <c r="BB772" s="2"/>
      <c r="BC772" s="2"/>
      <c r="BD772" s="6"/>
      <c r="BE772" s="2"/>
      <c r="BF772" s="6"/>
      <c r="BG772" s="58"/>
      <c r="BH772" s="6"/>
      <c r="BI772" s="2"/>
    </row>
    <row r="773" ht="12.75" customHeight="1">
      <c r="A773" s="71"/>
      <c r="B773" s="71"/>
      <c r="C773" s="11"/>
      <c r="D773" s="11"/>
      <c r="E773" s="2"/>
      <c r="F773" s="2"/>
      <c r="G773" s="2"/>
      <c r="H773" s="54"/>
      <c r="I773" s="4"/>
      <c r="J773" s="2"/>
      <c r="K773" s="2"/>
      <c r="L773" s="5"/>
      <c r="M773" s="5"/>
      <c r="N773" s="5"/>
      <c r="O773" s="5"/>
      <c r="P773" s="5"/>
      <c r="Q773" s="5"/>
      <c r="R773" s="2"/>
      <c r="S773" s="2"/>
      <c r="T773" s="2"/>
      <c r="U773" s="2"/>
      <c r="V773" s="2"/>
      <c r="W773" s="2"/>
      <c r="X773" s="6"/>
      <c r="Y773" s="2"/>
      <c r="Z773" s="2"/>
      <c r="AA773" s="2"/>
      <c r="AB773" s="2"/>
      <c r="AC773" s="6"/>
      <c r="AD773" s="2"/>
      <c r="AE773" s="2"/>
      <c r="AF773" s="2"/>
      <c r="AG773" s="2"/>
      <c r="AH773" s="2"/>
      <c r="AI773" s="6"/>
      <c r="AJ773" s="2"/>
      <c r="AK773" s="56"/>
      <c r="AL773" s="2"/>
      <c r="AM773" s="2"/>
      <c r="AN773" s="2"/>
      <c r="AO773" s="2"/>
      <c r="AP773" s="6"/>
      <c r="AQ773" s="2"/>
      <c r="AR773" s="2"/>
      <c r="AS773" s="2"/>
      <c r="AT773" s="2"/>
      <c r="AU773" s="2"/>
      <c r="AV773" s="2"/>
      <c r="AW773" s="2"/>
      <c r="AX773" s="6"/>
      <c r="AY773" s="2"/>
      <c r="AZ773" s="2"/>
      <c r="BA773" s="2"/>
      <c r="BB773" s="2"/>
      <c r="BC773" s="2"/>
      <c r="BD773" s="6"/>
      <c r="BE773" s="2"/>
      <c r="BF773" s="6"/>
      <c r="BG773" s="58"/>
      <c r="BH773" s="6"/>
      <c r="BI773" s="2"/>
    </row>
    <row r="774" ht="12.75" customHeight="1">
      <c r="A774" s="71"/>
      <c r="B774" s="71"/>
      <c r="C774" s="11"/>
      <c r="D774" s="11"/>
      <c r="E774" s="2"/>
      <c r="F774" s="2"/>
      <c r="G774" s="2"/>
      <c r="H774" s="54"/>
      <c r="I774" s="4"/>
      <c r="J774" s="2"/>
      <c r="K774" s="2"/>
      <c r="L774" s="5"/>
      <c r="M774" s="5"/>
      <c r="N774" s="5"/>
      <c r="O774" s="5"/>
      <c r="P774" s="5"/>
      <c r="Q774" s="5"/>
      <c r="R774" s="2"/>
      <c r="S774" s="2"/>
      <c r="T774" s="2"/>
      <c r="U774" s="2"/>
      <c r="V774" s="2"/>
      <c r="W774" s="2"/>
      <c r="X774" s="6"/>
      <c r="Y774" s="2"/>
      <c r="Z774" s="2"/>
      <c r="AA774" s="2"/>
      <c r="AB774" s="2"/>
      <c r="AC774" s="6"/>
      <c r="AD774" s="2"/>
      <c r="AE774" s="2"/>
      <c r="AF774" s="2"/>
      <c r="AG774" s="2"/>
      <c r="AH774" s="2"/>
      <c r="AI774" s="6"/>
      <c r="AJ774" s="2"/>
      <c r="AK774" s="56"/>
      <c r="AL774" s="2"/>
      <c r="AM774" s="2"/>
      <c r="AN774" s="2"/>
      <c r="AO774" s="2"/>
      <c r="AP774" s="6"/>
      <c r="AQ774" s="2"/>
      <c r="AR774" s="2"/>
      <c r="AS774" s="2"/>
      <c r="AT774" s="2"/>
      <c r="AU774" s="2"/>
      <c r="AV774" s="2"/>
      <c r="AW774" s="2"/>
      <c r="AX774" s="6"/>
      <c r="AY774" s="2"/>
      <c r="AZ774" s="2"/>
      <c r="BA774" s="2"/>
      <c r="BB774" s="2"/>
      <c r="BC774" s="2"/>
      <c r="BD774" s="6"/>
      <c r="BE774" s="2"/>
      <c r="BF774" s="6"/>
      <c r="BG774" s="58"/>
      <c r="BH774" s="6"/>
      <c r="BI774" s="2"/>
    </row>
    <row r="775" ht="12.75" customHeight="1">
      <c r="A775" s="71"/>
      <c r="B775" s="71"/>
      <c r="C775" s="11"/>
      <c r="D775" s="11"/>
      <c r="E775" s="2"/>
      <c r="F775" s="2"/>
      <c r="G775" s="2"/>
      <c r="H775" s="54"/>
      <c r="I775" s="4"/>
      <c r="J775" s="2"/>
      <c r="K775" s="2"/>
      <c r="L775" s="5"/>
      <c r="M775" s="5"/>
      <c r="N775" s="5"/>
      <c r="O775" s="5"/>
      <c r="P775" s="5"/>
      <c r="Q775" s="5"/>
      <c r="R775" s="2"/>
      <c r="S775" s="2"/>
      <c r="T775" s="2"/>
      <c r="U775" s="2"/>
      <c r="V775" s="2"/>
      <c r="W775" s="2"/>
      <c r="X775" s="6"/>
      <c r="Y775" s="2"/>
      <c r="Z775" s="2"/>
      <c r="AA775" s="2"/>
      <c r="AB775" s="2"/>
      <c r="AC775" s="6"/>
      <c r="AD775" s="2"/>
      <c r="AE775" s="2"/>
      <c r="AF775" s="2"/>
      <c r="AG775" s="2"/>
      <c r="AH775" s="2"/>
      <c r="AI775" s="6"/>
      <c r="AJ775" s="2"/>
      <c r="AK775" s="56"/>
      <c r="AL775" s="2"/>
      <c r="AM775" s="2"/>
      <c r="AN775" s="2"/>
      <c r="AO775" s="2"/>
      <c r="AP775" s="6"/>
      <c r="AQ775" s="2"/>
      <c r="AR775" s="2"/>
      <c r="AS775" s="2"/>
      <c r="AT775" s="2"/>
      <c r="AU775" s="2"/>
      <c r="AV775" s="2"/>
      <c r="AW775" s="2"/>
      <c r="AX775" s="6"/>
      <c r="AY775" s="2"/>
      <c r="AZ775" s="2"/>
      <c r="BA775" s="2"/>
      <c r="BB775" s="2"/>
      <c r="BC775" s="2"/>
      <c r="BD775" s="6"/>
      <c r="BE775" s="2"/>
      <c r="BF775" s="6"/>
      <c r="BG775" s="58"/>
      <c r="BH775" s="6"/>
      <c r="BI775" s="2"/>
    </row>
    <row r="776" ht="12.75" customHeight="1">
      <c r="A776" s="71"/>
      <c r="B776" s="71"/>
      <c r="C776" s="11"/>
      <c r="D776" s="11"/>
      <c r="E776" s="2"/>
      <c r="F776" s="2"/>
      <c r="G776" s="2"/>
      <c r="H776" s="54"/>
      <c r="I776" s="4"/>
      <c r="J776" s="2"/>
      <c r="K776" s="2"/>
      <c r="L776" s="5"/>
      <c r="M776" s="5"/>
      <c r="N776" s="5"/>
      <c r="O776" s="5"/>
      <c r="P776" s="5"/>
      <c r="Q776" s="5"/>
      <c r="R776" s="2"/>
      <c r="S776" s="2"/>
      <c r="T776" s="2"/>
      <c r="U776" s="2"/>
      <c r="V776" s="2"/>
      <c r="W776" s="2"/>
      <c r="X776" s="6"/>
      <c r="Y776" s="2"/>
      <c r="Z776" s="2"/>
      <c r="AA776" s="2"/>
      <c r="AB776" s="2"/>
      <c r="AC776" s="6"/>
      <c r="AD776" s="2"/>
      <c r="AE776" s="2"/>
      <c r="AF776" s="2"/>
      <c r="AG776" s="2"/>
      <c r="AH776" s="2"/>
      <c r="AI776" s="6"/>
      <c r="AJ776" s="2"/>
      <c r="AK776" s="56"/>
      <c r="AL776" s="2"/>
      <c r="AM776" s="2"/>
      <c r="AN776" s="2"/>
      <c r="AO776" s="2"/>
      <c r="AP776" s="6"/>
      <c r="AQ776" s="2"/>
      <c r="AR776" s="2"/>
      <c r="AS776" s="2"/>
      <c r="AT776" s="2"/>
      <c r="AU776" s="2"/>
      <c r="AV776" s="2"/>
      <c r="AW776" s="2"/>
      <c r="AX776" s="6"/>
      <c r="AY776" s="2"/>
      <c r="AZ776" s="2"/>
      <c r="BA776" s="2"/>
      <c r="BB776" s="2"/>
      <c r="BC776" s="2"/>
      <c r="BD776" s="6"/>
      <c r="BE776" s="2"/>
      <c r="BF776" s="6"/>
      <c r="BG776" s="58"/>
      <c r="BH776" s="6"/>
      <c r="BI776" s="2"/>
    </row>
    <row r="777" ht="12.75" customHeight="1">
      <c r="A777" s="71"/>
      <c r="B777" s="71"/>
      <c r="C777" s="11"/>
      <c r="D777" s="11"/>
      <c r="E777" s="2"/>
      <c r="F777" s="2"/>
      <c r="G777" s="2"/>
      <c r="H777" s="54"/>
      <c r="I777" s="4"/>
      <c r="J777" s="2"/>
      <c r="K777" s="2"/>
      <c r="L777" s="5"/>
      <c r="M777" s="5"/>
      <c r="N777" s="5"/>
      <c r="O777" s="5"/>
      <c r="P777" s="5"/>
      <c r="Q777" s="5"/>
      <c r="R777" s="2"/>
      <c r="S777" s="2"/>
      <c r="T777" s="2"/>
      <c r="U777" s="2"/>
      <c r="V777" s="2"/>
      <c r="W777" s="2"/>
      <c r="X777" s="6"/>
      <c r="Y777" s="2"/>
      <c r="Z777" s="2"/>
      <c r="AA777" s="2"/>
      <c r="AB777" s="2"/>
      <c r="AC777" s="6"/>
      <c r="AD777" s="2"/>
      <c r="AE777" s="2"/>
      <c r="AF777" s="2"/>
      <c r="AG777" s="2"/>
      <c r="AH777" s="2"/>
      <c r="AI777" s="6"/>
      <c r="AJ777" s="2"/>
      <c r="AK777" s="56"/>
      <c r="AL777" s="2"/>
      <c r="AM777" s="2"/>
      <c r="AN777" s="2"/>
      <c r="AO777" s="2"/>
      <c r="AP777" s="6"/>
      <c r="AQ777" s="2"/>
      <c r="AR777" s="2"/>
      <c r="AS777" s="2"/>
      <c r="AT777" s="2"/>
      <c r="AU777" s="2"/>
      <c r="AV777" s="2"/>
      <c r="AW777" s="2"/>
      <c r="AX777" s="6"/>
      <c r="AY777" s="2"/>
      <c r="AZ777" s="2"/>
      <c r="BA777" s="2"/>
      <c r="BB777" s="2"/>
      <c r="BC777" s="2"/>
      <c r="BD777" s="6"/>
      <c r="BE777" s="2"/>
      <c r="BF777" s="6"/>
      <c r="BG777" s="58"/>
      <c r="BH777" s="6"/>
      <c r="BI777" s="2"/>
    </row>
    <row r="778" ht="12.75" customHeight="1">
      <c r="A778" s="71"/>
      <c r="B778" s="71"/>
      <c r="C778" s="11"/>
      <c r="D778" s="11"/>
      <c r="E778" s="2"/>
      <c r="F778" s="2"/>
      <c r="G778" s="2"/>
      <c r="H778" s="54"/>
      <c r="I778" s="4"/>
      <c r="J778" s="2"/>
      <c r="K778" s="2"/>
      <c r="L778" s="5"/>
      <c r="M778" s="5"/>
      <c r="N778" s="5"/>
      <c r="O778" s="5"/>
      <c r="P778" s="5"/>
      <c r="Q778" s="5"/>
      <c r="R778" s="2"/>
      <c r="S778" s="2"/>
      <c r="T778" s="2"/>
      <c r="U778" s="2"/>
      <c r="V778" s="2"/>
      <c r="W778" s="2"/>
      <c r="X778" s="6"/>
      <c r="Y778" s="2"/>
      <c r="Z778" s="2"/>
      <c r="AA778" s="2"/>
      <c r="AB778" s="2"/>
      <c r="AC778" s="6"/>
      <c r="AD778" s="2"/>
      <c r="AE778" s="2"/>
      <c r="AF778" s="2"/>
      <c r="AG778" s="2"/>
      <c r="AH778" s="2"/>
      <c r="AI778" s="6"/>
      <c r="AJ778" s="2"/>
      <c r="AK778" s="56"/>
      <c r="AL778" s="2"/>
      <c r="AM778" s="2"/>
      <c r="AN778" s="2"/>
      <c r="AO778" s="2"/>
      <c r="AP778" s="6"/>
      <c r="AQ778" s="2"/>
      <c r="AR778" s="2"/>
      <c r="AS778" s="2"/>
      <c r="AT778" s="2"/>
      <c r="AU778" s="2"/>
      <c r="AV778" s="2"/>
      <c r="AW778" s="2"/>
      <c r="AX778" s="6"/>
      <c r="AY778" s="2"/>
      <c r="AZ778" s="2"/>
      <c r="BA778" s="2"/>
      <c r="BB778" s="2"/>
      <c r="BC778" s="2"/>
      <c r="BD778" s="6"/>
      <c r="BE778" s="2"/>
      <c r="BF778" s="6"/>
      <c r="BG778" s="58"/>
      <c r="BH778" s="6"/>
      <c r="BI778" s="2"/>
    </row>
    <row r="779" ht="12.75" customHeight="1">
      <c r="A779" s="71"/>
      <c r="B779" s="71"/>
      <c r="C779" s="11"/>
      <c r="D779" s="11"/>
      <c r="E779" s="2"/>
      <c r="F779" s="2"/>
      <c r="G779" s="2"/>
      <c r="H779" s="54"/>
      <c r="I779" s="4"/>
      <c r="J779" s="2"/>
      <c r="K779" s="2"/>
      <c r="L779" s="5"/>
      <c r="M779" s="5"/>
      <c r="N779" s="5"/>
      <c r="O779" s="5"/>
      <c r="P779" s="5"/>
      <c r="Q779" s="5"/>
      <c r="R779" s="2"/>
      <c r="S779" s="2"/>
      <c r="T779" s="2"/>
      <c r="U779" s="2"/>
      <c r="V779" s="2"/>
      <c r="W779" s="2"/>
      <c r="X779" s="6"/>
      <c r="Y779" s="2"/>
      <c r="Z779" s="2"/>
      <c r="AA779" s="2"/>
      <c r="AB779" s="2"/>
      <c r="AC779" s="6"/>
      <c r="AD779" s="2"/>
      <c r="AE779" s="2"/>
      <c r="AF779" s="2"/>
      <c r="AG779" s="2"/>
      <c r="AH779" s="2"/>
      <c r="AI779" s="6"/>
      <c r="AJ779" s="2"/>
      <c r="AK779" s="56"/>
      <c r="AL779" s="2"/>
      <c r="AM779" s="2"/>
      <c r="AN779" s="2"/>
      <c r="AO779" s="2"/>
      <c r="AP779" s="6"/>
      <c r="AQ779" s="2"/>
      <c r="AR779" s="2"/>
      <c r="AS779" s="2"/>
      <c r="AT779" s="2"/>
      <c r="AU779" s="2"/>
      <c r="AV779" s="2"/>
      <c r="AW779" s="2"/>
      <c r="AX779" s="6"/>
      <c r="AY779" s="2"/>
      <c r="AZ779" s="2"/>
      <c r="BA779" s="2"/>
      <c r="BB779" s="2"/>
      <c r="BC779" s="2"/>
      <c r="BD779" s="6"/>
      <c r="BE779" s="2"/>
      <c r="BF779" s="6"/>
      <c r="BG779" s="58"/>
      <c r="BH779" s="6"/>
      <c r="BI779" s="2"/>
    </row>
    <row r="780" ht="12.75" customHeight="1">
      <c r="A780" s="71"/>
      <c r="B780" s="71"/>
      <c r="C780" s="11"/>
      <c r="D780" s="11"/>
      <c r="E780" s="2"/>
      <c r="F780" s="2"/>
      <c r="G780" s="2"/>
      <c r="H780" s="54"/>
      <c r="I780" s="4"/>
      <c r="J780" s="2"/>
      <c r="K780" s="2"/>
      <c r="L780" s="5"/>
      <c r="M780" s="5"/>
      <c r="N780" s="5"/>
      <c r="O780" s="5"/>
      <c r="P780" s="5"/>
      <c r="Q780" s="5"/>
      <c r="R780" s="2"/>
      <c r="S780" s="2"/>
      <c r="T780" s="2"/>
      <c r="U780" s="2"/>
      <c r="V780" s="2"/>
      <c r="W780" s="2"/>
      <c r="X780" s="6"/>
      <c r="Y780" s="2"/>
      <c r="Z780" s="2"/>
      <c r="AA780" s="2"/>
      <c r="AB780" s="2"/>
      <c r="AC780" s="6"/>
      <c r="AD780" s="2"/>
      <c r="AE780" s="2"/>
      <c r="AF780" s="2"/>
      <c r="AG780" s="2"/>
      <c r="AH780" s="2"/>
      <c r="AI780" s="6"/>
      <c r="AJ780" s="2"/>
      <c r="AK780" s="56"/>
      <c r="AL780" s="2"/>
      <c r="AM780" s="2"/>
      <c r="AN780" s="2"/>
      <c r="AO780" s="2"/>
      <c r="AP780" s="6"/>
      <c r="AQ780" s="2"/>
      <c r="AR780" s="2"/>
      <c r="AS780" s="2"/>
      <c r="AT780" s="2"/>
      <c r="AU780" s="2"/>
      <c r="AV780" s="2"/>
      <c r="AW780" s="2"/>
      <c r="AX780" s="6"/>
      <c r="AY780" s="2"/>
      <c r="AZ780" s="2"/>
      <c r="BA780" s="2"/>
      <c r="BB780" s="2"/>
      <c r="BC780" s="2"/>
      <c r="BD780" s="6"/>
      <c r="BE780" s="2"/>
      <c r="BF780" s="6"/>
      <c r="BG780" s="58"/>
      <c r="BH780" s="6"/>
      <c r="BI780" s="2"/>
    </row>
    <row r="781" ht="12.75" customHeight="1">
      <c r="A781" s="71"/>
      <c r="B781" s="71"/>
      <c r="C781" s="11"/>
      <c r="D781" s="11"/>
      <c r="E781" s="2"/>
      <c r="F781" s="2"/>
      <c r="G781" s="2"/>
      <c r="H781" s="54"/>
      <c r="I781" s="4"/>
      <c r="J781" s="2"/>
      <c r="K781" s="2"/>
      <c r="L781" s="5"/>
      <c r="M781" s="5"/>
      <c r="N781" s="5"/>
      <c r="O781" s="5"/>
      <c r="P781" s="5"/>
      <c r="Q781" s="5"/>
      <c r="R781" s="2"/>
      <c r="S781" s="2"/>
      <c r="T781" s="2"/>
      <c r="U781" s="2"/>
      <c r="V781" s="2"/>
      <c r="W781" s="2"/>
      <c r="X781" s="6"/>
      <c r="Y781" s="2"/>
      <c r="Z781" s="2"/>
      <c r="AA781" s="2"/>
      <c r="AB781" s="2"/>
      <c r="AC781" s="6"/>
      <c r="AD781" s="2"/>
      <c r="AE781" s="2"/>
      <c r="AF781" s="2"/>
      <c r="AG781" s="2"/>
      <c r="AH781" s="2"/>
      <c r="AI781" s="6"/>
      <c r="AJ781" s="2"/>
      <c r="AK781" s="56"/>
      <c r="AL781" s="2"/>
      <c r="AM781" s="2"/>
      <c r="AN781" s="2"/>
      <c r="AO781" s="2"/>
      <c r="AP781" s="6"/>
      <c r="AQ781" s="2"/>
      <c r="AR781" s="2"/>
      <c r="AS781" s="2"/>
      <c r="AT781" s="2"/>
      <c r="AU781" s="2"/>
      <c r="AV781" s="2"/>
      <c r="AW781" s="2"/>
      <c r="AX781" s="6"/>
      <c r="AY781" s="2"/>
      <c r="AZ781" s="2"/>
      <c r="BA781" s="2"/>
      <c r="BB781" s="2"/>
      <c r="BC781" s="2"/>
      <c r="BD781" s="6"/>
      <c r="BE781" s="2"/>
      <c r="BF781" s="6"/>
      <c r="BG781" s="58"/>
      <c r="BH781" s="6"/>
      <c r="BI781" s="2"/>
    </row>
    <row r="782" ht="12.75" customHeight="1">
      <c r="A782" s="71"/>
      <c r="B782" s="71"/>
      <c r="C782" s="11"/>
      <c r="D782" s="11"/>
      <c r="E782" s="2"/>
      <c r="F782" s="2"/>
      <c r="G782" s="2"/>
      <c r="H782" s="54"/>
      <c r="I782" s="4"/>
      <c r="J782" s="2"/>
      <c r="K782" s="2"/>
      <c r="L782" s="5"/>
      <c r="M782" s="5"/>
      <c r="N782" s="5"/>
      <c r="O782" s="5"/>
      <c r="P782" s="5"/>
      <c r="Q782" s="5"/>
      <c r="R782" s="2"/>
      <c r="S782" s="2"/>
      <c r="T782" s="2"/>
      <c r="U782" s="2"/>
      <c r="V782" s="2"/>
      <c r="W782" s="2"/>
      <c r="X782" s="6"/>
      <c r="Y782" s="2"/>
      <c r="Z782" s="2"/>
      <c r="AA782" s="2"/>
      <c r="AB782" s="2"/>
      <c r="AC782" s="6"/>
      <c r="AD782" s="2"/>
      <c r="AE782" s="2"/>
      <c r="AF782" s="2"/>
      <c r="AG782" s="2"/>
      <c r="AH782" s="2"/>
      <c r="AI782" s="6"/>
      <c r="AJ782" s="2"/>
      <c r="AK782" s="56"/>
      <c r="AL782" s="2"/>
      <c r="AM782" s="2"/>
      <c r="AN782" s="2"/>
      <c r="AO782" s="2"/>
      <c r="AP782" s="6"/>
      <c r="AQ782" s="2"/>
      <c r="AR782" s="2"/>
      <c r="AS782" s="2"/>
      <c r="AT782" s="2"/>
      <c r="AU782" s="2"/>
      <c r="AV782" s="2"/>
      <c r="AW782" s="2"/>
      <c r="AX782" s="6"/>
      <c r="AY782" s="2"/>
      <c r="AZ782" s="2"/>
      <c r="BA782" s="2"/>
      <c r="BB782" s="2"/>
      <c r="BC782" s="2"/>
      <c r="BD782" s="6"/>
      <c r="BE782" s="2"/>
      <c r="BF782" s="6"/>
      <c r="BG782" s="58"/>
      <c r="BH782" s="6"/>
      <c r="BI782" s="2"/>
    </row>
    <row r="783" ht="12.75" customHeight="1">
      <c r="A783" s="71"/>
      <c r="B783" s="71"/>
      <c r="C783" s="11"/>
      <c r="D783" s="11"/>
      <c r="E783" s="2"/>
      <c r="F783" s="2"/>
      <c r="G783" s="2"/>
      <c r="H783" s="54"/>
      <c r="I783" s="4"/>
      <c r="J783" s="2"/>
      <c r="K783" s="2"/>
      <c r="L783" s="5"/>
      <c r="M783" s="5"/>
      <c r="N783" s="5"/>
      <c r="O783" s="5"/>
      <c r="P783" s="5"/>
      <c r="Q783" s="5"/>
      <c r="R783" s="2"/>
      <c r="S783" s="2"/>
      <c r="T783" s="2"/>
      <c r="U783" s="2"/>
      <c r="V783" s="2"/>
      <c r="W783" s="2"/>
      <c r="X783" s="6"/>
      <c r="Y783" s="2"/>
      <c r="Z783" s="2"/>
      <c r="AA783" s="2"/>
      <c r="AB783" s="2"/>
      <c r="AC783" s="6"/>
      <c r="AD783" s="2"/>
      <c r="AE783" s="2"/>
      <c r="AF783" s="2"/>
      <c r="AG783" s="2"/>
      <c r="AH783" s="2"/>
      <c r="AI783" s="6"/>
      <c r="AJ783" s="2"/>
      <c r="AK783" s="56"/>
      <c r="AL783" s="2"/>
      <c r="AM783" s="2"/>
      <c r="AN783" s="2"/>
      <c r="AO783" s="2"/>
      <c r="AP783" s="6"/>
      <c r="AQ783" s="2"/>
      <c r="AR783" s="2"/>
      <c r="AS783" s="2"/>
      <c r="AT783" s="2"/>
      <c r="AU783" s="2"/>
      <c r="AV783" s="2"/>
      <c r="AW783" s="2"/>
      <c r="AX783" s="6"/>
      <c r="AY783" s="2"/>
      <c r="AZ783" s="2"/>
      <c r="BA783" s="2"/>
      <c r="BB783" s="2"/>
      <c r="BC783" s="2"/>
      <c r="BD783" s="6"/>
      <c r="BE783" s="2"/>
      <c r="BF783" s="6"/>
      <c r="BG783" s="58"/>
      <c r="BH783" s="6"/>
      <c r="BI783" s="2"/>
    </row>
    <row r="784" ht="12.75" customHeight="1">
      <c r="A784" s="71"/>
      <c r="B784" s="71"/>
      <c r="C784" s="11"/>
      <c r="D784" s="11"/>
      <c r="E784" s="2"/>
      <c r="F784" s="2"/>
      <c r="G784" s="2"/>
      <c r="H784" s="54"/>
      <c r="I784" s="4"/>
      <c r="J784" s="2"/>
      <c r="K784" s="2"/>
      <c r="L784" s="5"/>
      <c r="M784" s="5"/>
      <c r="N784" s="5"/>
      <c r="O784" s="5"/>
      <c r="P784" s="5"/>
      <c r="Q784" s="5"/>
      <c r="R784" s="2"/>
      <c r="S784" s="2"/>
      <c r="T784" s="2"/>
      <c r="U784" s="2"/>
      <c r="V784" s="2"/>
      <c r="W784" s="2"/>
      <c r="X784" s="6"/>
      <c r="Y784" s="2"/>
      <c r="Z784" s="2"/>
      <c r="AA784" s="2"/>
      <c r="AB784" s="2"/>
      <c r="AC784" s="6"/>
      <c r="AD784" s="2"/>
      <c r="AE784" s="2"/>
      <c r="AF784" s="2"/>
      <c r="AG784" s="2"/>
      <c r="AH784" s="2"/>
      <c r="AI784" s="6"/>
      <c r="AJ784" s="2"/>
      <c r="AK784" s="56"/>
      <c r="AL784" s="2"/>
      <c r="AM784" s="2"/>
      <c r="AN784" s="2"/>
      <c r="AO784" s="2"/>
      <c r="AP784" s="6"/>
      <c r="AQ784" s="2"/>
      <c r="AR784" s="2"/>
      <c r="AS784" s="2"/>
      <c r="AT784" s="2"/>
      <c r="AU784" s="2"/>
      <c r="AV784" s="2"/>
      <c r="AW784" s="2"/>
      <c r="AX784" s="6"/>
      <c r="AY784" s="2"/>
      <c r="AZ784" s="2"/>
      <c r="BA784" s="2"/>
      <c r="BB784" s="2"/>
      <c r="BC784" s="2"/>
      <c r="BD784" s="6"/>
      <c r="BE784" s="2"/>
      <c r="BF784" s="6"/>
      <c r="BG784" s="58"/>
      <c r="BH784" s="6"/>
      <c r="BI784" s="2"/>
    </row>
    <row r="785" ht="12.75" customHeight="1">
      <c r="A785" s="71"/>
      <c r="B785" s="71"/>
      <c r="C785" s="11"/>
      <c r="D785" s="11"/>
      <c r="E785" s="2"/>
      <c r="F785" s="2"/>
      <c r="G785" s="2"/>
      <c r="H785" s="54"/>
      <c r="I785" s="4"/>
      <c r="J785" s="2"/>
      <c r="K785" s="2"/>
      <c r="L785" s="5"/>
      <c r="M785" s="5"/>
      <c r="N785" s="5"/>
      <c r="O785" s="5"/>
      <c r="P785" s="5"/>
      <c r="Q785" s="5"/>
      <c r="R785" s="2"/>
      <c r="S785" s="2"/>
      <c r="T785" s="2"/>
      <c r="U785" s="2"/>
      <c r="V785" s="2"/>
      <c r="W785" s="2"/>
      <c r="X785" s="6"/>
      <c r="Y785" s="2"/>
      <c r="Z785" s="2"/>
      <c r="AA785" s="2"/>
      <c r="AB785" s="2"/>
      <c r="AC785" s="6"/>
      <c r="AD785" s="2"/>
      <c r="AE785" s="2"/>
      <c r="AF785" s="2"/>
      <c r="AG785" s="2"/>
      <c r="AH785" s="2"/>
      <c r="AI785" s="6"/>
      <c r="AJ785" s="2"/>
      <c r="AK785" s="56"/>
      <c r="AL785" s="2"/>
      <c r="AM785" s="2"/>
      <c r="AN785" s="2"/>
      <c r="AO785" s="2"/>
      <c r="AP785" s="6"/>
      <c r="AQ785" s="2"/>
      <c r="AR785" s="2"/>
      <c r="AS785" s="2"/>
      <c r="AT785" s="2"/>
      <c r="AU785" s="2"/>
      <c r="AV785" s="2"/>
      <c r="AW785" s="2"/>
      <c r="AX785" s="6"/>
      <c r="AY785" s="2"/>
      <c r="AZ785" s="2"/>
      <c r="BA785" s="2"/>
      <c r="BB785" s="2"/>
      <c r="BC785" s="2"/>
      <c r="BD785" s="6"/>
      <c r="BE785" s="2"/>
      <c r="BF785" s="6"/>
      <c r="BG785" s="58"/>
      <c r="BH785" s="6"/>
      <c r="BI785" s="2"/>
    </row>
    <row r="786" ht="12.75" customHeight="1">
      <c r="A786" s="71"/>
      <c r="B786" s="71"/>
      <c r="C786" s="11"/>
      <c r="D786" s="11"/>
      <c r="E786" s="2"/>
      <c r="F786" s="2"/>
      <c r="G786" s="2"/>
      <c r="H786" s="54"/>
      <c r="I786" s="4"/>
      <c r="J786" s="2"/>
      <c r="K786" s="2"/>
      <c r="L786" s="5"/>
      <c r="M786" s="5"/>
      <c r="N786" s="5"/>
      <c r="O786" s="5"/>
      <c r="P786" s="5"/>
      <c r="Q786" s="5"/>
      <c r="R786" s="2"/>
      <c r="S786" s="2"/>
      <c r="T786" s="2"/>
      <c r="U786" s="2"/>
      <c r="V786" s="2"/>
      <c r="W786" s="2"/>
      <c r="X786" s="6"/>
      <c r="Y786" s="2"/>
      <c r="Z786" s="2"/>
      <c r="AA786" s="2"/>
      <c r="AB786" s="2"/>
      <c r="AC786" s="6"/>
      <c r="AD786" s="2"/>
      <c r="AE786" s="2"/>
      <c r="AF786" s="2"/>
      <c r="AG786" s="2"/>
      <c r="AH786" s="2"/>
      <c r="AI786" s="6"/>
      <c r="AJ786" s="2"/>
      <c r="AK786" s="56"/>
      <c r="AL786" s="2"/>
      <c r="AM786" s="2"/>
      <c r="AN786" s="2"/>
      <c r="AO786" s="2"/>
      <c r="AP786" s="6"/>
      <c r="AQ786" s="2"/>
      <c r="AR786" s="2"/>
      <c r="AS786" s="2"/>
      <c r="AT786" s="2"/>
      <c r="AU786" s="2"/>
      <c r="AV786" s="2"/>
      <c r="AW786" s="2"/>
      <c r="AX786" s="6"/>
      <c r="AY786" s="2"/>
      <c r="AZ786" s="2"/>
      <c r="BA786" s="2"/>
      <c r="BB786" s="2"/>
      <c r="BC786" s="2"/>
      <c r="BD786" s="6"/>
      <c r="BE786" s="2"/>
      <c r="BF786" s="6"/>
      <c r="BG786" s="58"/>
      <c r="BH786" s="6"/>
      <c r="BI786" s="2"/>
    </row>
    <row r="787" ht="12.75" customHeight="1">
      <c r="A787" s="71"/>
      <c r="B787" s="71"/>
      <c r="C787" s="11"/>
      <c r="D787" s="11"/>
      <c r="E787" s="2"/>
      <c r="F787" s="2"/>
      <c r="G787" s="2"/>
      <c r="H787" s="54"/>
      <c r="I787" s="4"/>
      <c r="J787" s="2"/>
      <c r="K787" s="2"/>
      <c r="L787" s="5"/>
      <c r="M787" s="5"/>
      <c r="N787" s="5"/>
      <c r="O787" s="5"/>
      <c r="P787" s="5"/>
      <c r="Q787" s="5"/>
      <c r="R787" s="2"/>
      <c r="S787" s="2"/>
      <c r="T787" s="2"/>
      <c r="U787" s="2"/>
      <c r="V787" s="2"/>
      <c r="W787" s="2"/>
      <c r="X787" s="6"/>
      <c r="Y787" s="2"/>
      <c r="Z787" s="2"/>
      <c r="AA787" s="2"/>
      <c r="AB787" s="2"/>
      <c r="AC787" s="6"/>
      <c r="AD787" s="2"/>
      <c r="AE787" s="2"/>
      <c r="AF787" s="2"/>
      <c r="AG787" s="2"/>
      <c r="AH787" s="2"/>
      <c r="AI787" s="6"/>
      <c r="AJ787" s="2"/>
      <c r="AK787" s="56"/>
      <c r="AL787" s="2"/>
      <c r="AM787" s="2"/>
      <c r="AN787" s="2"/>
      <c r="AO787" s="2"/>
      <c r="AP787" s="6"/>
      <c r="AQ787" s="2"/>
      <c r="AR787" s="2"/>
      <c r="AS787" s="2"/>
      <c r="AT787" s="2"/>
      <c r="AU787" s="2"/>
      <c r="AV787" s="2"/>
      <c r="AW787" s="2"/>
      <c r="AX787" s="6"/>
      <c r="AY787" s="2"/>
      <c r="AZ787" s="2"/>
      <c r="BA787" s="2"/>
      <c r="BB787" s="2"/>
      <c r="BC787" s="2"/>
      <c r="BD787" s="6"/>
      <c r="BE787" s="2"/>
      <c r="BF787" s="6"/>
      <c r="BG787" s="58"/>
      <c r="BH787" s="6"/>
      <c r="BI787" s="2"/>
    </row>
    <row r="788" ht="12.75" customHeight="1">
      <c r="A788" s="71"/>
      <c r="B788" s="71"/>
      <c r="C788" s="11"/>
      <c r="D788" s="11"/>
      <c r="E788" s="2"/>
      <c r="F788" s="2"/>
      <c r="G788" s="2"/>
      <c r="H788" s="54"/>
      <c r="I788" s="4"/>
      <c r="J788" s="2"/>
      <c r="K788" s="2"/>
      <c r="L788" s="5"/>
      <c r="M788" s="5"/>
      <c r="N788" s="5"/>
      <c r="O788" s="5"/>
      <c r="P788" s="5"/>
      <c r="Q788" s="5"/>
      <c r="R788" s="2"/>
      <c r="S788" s="2"/>
      <c r="T788" s="2"/>
      <c r="U788" s="2"/>
      <c r="V788" s="2"/>
      <c r="W788" s="2"/>
      <c r="X788" s="6"/>
      <c r="Y788" s="2"/>
      <c r="Z788" s="2"/>
      <c r="AA788" s="2"/>
      <c r="AB788" s="2"/>
      <c r="AC788" s="6"/>
      <c r="AD788" s="2"/>
      <c r="AE788" s="2"/>
      <c r="AF788" s="2"/>
      <c r="AG788" s="2"/>
      <c r="AH788" s="2"/>
      <c r="AI788" s="6"/>
      <c r="AJ788" s="2"/>
      <c r="AK788" s="56"/>
      <c r="AL788" s="2"/>
      <c r="AM788" s="2"/>
      <c r="AN788" s="2"/>
      <c r="AO788" s="2"/>
      <c r="AP788" s="6"/>
      <c r="AQ788" s="2"/>
      <c r="AR788" s="2"/>
      <c r="AS788" s="2"/>
      <c r="AT788" s="2"/>
      <c r="AU788" s="2"/>
      <c r="AV788" s="2"/>
      <c r="AW788" s="2"/>
      <c r="AX788" s="6"/>
      <c r="AY788" s="2"/>
      <c r="AZ788" s="2"/>
      <c r="BA788" s="2"/>
      <c r="BB788" s="2"/>
      <c r="BC788" s="2"/>
      <c r="BD788" s="6"/>
      <c r="BE788" s="2"/>
      <c r="BF788" s="6"/>
      <c r="BG788" s="58"/>
      <c r="BH788" s="6"/>
      <c r="BI788" s="2"/>
    </row>
    <row r="789" ht="12.75" customHeight="1">
      <c r="A789" s="71"/>
      <c r="B789" s="71"/>
      <c r="C789" s="11"/>
      <c r="D789" s="11"/>
      <c r="E789" s="2"/>
      <c r="F789" s="2"/>
      <c r="G789" s="2"/>
      <c r="H789" s="54"/>
      <c r="I789" s="4"/>
      <c r="J789" s="2"/>
      <c r="K789" s="2"/>
      <c r="L789" s="5"/>
      <c r="M789" s="5"/>
      <c r="N789" s="5"/>
      <c r="O789" s="5"/>
      <c r="P789" s="5"/>
      <c r="Q789" s="5"/>
      <c r="R789" s="2"/>
      <c r="S789" s="2"/>
      <c r="T789" s="2"/>
      <c r="U789" s="2"/>
      <c r="V789" s="2"/>
      <c r="W789" s="2"/>
      <c r="X789" s="6"/>
      <c r="Y789" s="2"/>
      <c r="Z789" s="2"/>
      <c r="AA789" s="2"/>
      <c r="AB789" s="2"/>
      <c r="AC789" s="6"/>
      <c r="AD789" s="2"/>
      <c r="AE789" s="2"/>
      <c r="AF789" s="2"/>
      <c r="AG789" s="2"/>
      <c r="AH789" s="2"/>
      <c r="AI789" s="6"/>
      <c r="AJ789" s="2"/>
      <c r="AK789" s="56"/>
      <c r="AL789" s="2"/>
      <c r="AM789" s="2"/>
      <c r="AN789" s="2"/>
      <c r="AO789" s="2"/>
      <c r="AP789" s="6"/>
      <c r="AQ789" s="2"/>
      <c r="AR789" s="2"/>
      <c r="AS789" s="2"/>
      <c r="AT789" s="2"/>
      <c r="AU789" s="2"/>
      <c r="AV789" s="2"/>
      <c r="AW789" s="2"/>
      <c r="AX789" s="6"/>
      <c r="AY789" s="2"/>
      <c r="AZ789" s="2"/>
      <c r="BA789" s="2"/>
      <c r="BB789" s="2"/>
      <c r="BC789" s="2"/>
      <c r="BD789" s="6"/>
      <c r="BE789" s="2"/>
      <c r="BF789" s="6"/>
      <c r="BG789" s="58"/>
      <c r="BH789" s="6"/>
      <c r="BI789" s="2"/>
    </row>
    <row r="790" ht="12.75" customHeight="1">
      <c r="A790" s="71"/>
      <c r="B790" s="71"/>
      <c r="C790" s="11"/>
      <c r="D790" s="11"/>
      <c r="E790" s="2"/>
      <c r="F790" s="2"/>
      <c r="G790" s="2"/>
      <c r="H790" s="54"/>
      <c r="I790" s="4"/>
      <c r="J790" s="2"/>
      <c r="K790" s="2"/>
      <c r="L790" s="5"/>
      <c r="M790" s="5"/>
      <c r="N790" s="5"/>
      <c r="O790" s="5"/>
      <c r="P790" s="5"/>
      <c r="Q790" s="5"/>
      <c r="R790" s="2"/>
      <c r="S790" s="2"/>
      <c r="T790" s="2"/>
      <c r="U790" s="2"/>
      <c r="V790" s="2"/>
      <c r="W790" s="2"/>
      <c r="X790" s="6"/>
      <c r="Y790" s="2"/>
      <c r="Z790" s="2"/>
      <c r="AA790" s="2"/>
      <c r="AB790" s="2"/>
      <c r="AC790" s="6"/>
      <c r="AD790" s="2"/>
      <c r="AE790" s="2"/>
      <c r="AF790" s="2"/>
      <c r="AG790" s="2"/>
      <c r="AH790" s="2"/>
      <c r="AI790" s="6"/>
      <c r="AJ790" s="2"/>
      <c r="AK790" s="56"/>
      <c r="AL790" s="2"/>
      <c r="AM790" s="2"/>
      <c r="AN790" s="2"/>
      <c r="AO790" s="2"/>
      <c r="AP790" s="6"/>
      <c r="AQ790" s="2"/>
      <c r="AR790" s="2"/>
      <c r="AS790" s="2"/>
      <c r="AT790" s="2"/>
      <c r="AU790" s="2"/>
      <c r="AV790" s="2"/>
      <c r="AW790" s="2"/>
      <c r="AX790" s="6"/>
      <c r="AY790" s="2"/>
      <c r="AZ790" s="2"/>
      <c r="BA790" s="2"/>
      <c r="BB790" s="2"/>
      <c r="BC790" s="2"/>
      <c r="BD790" s="6"/>
      <c r="BE790" s="2"/>
      <c r="BF790" s="6"/>
      <c r="BG790" s="58"/>
      <c r="BH790" s="6"/>
      <c r="BI790" s="2"/>
    </row>
    <row r="791" ht="12.75" customHeight="1">
      <c r="A791" s="71"/>
      <c r="B791" s="71"/>
      <c r="C791" s="11"/>
      <c r="D791" s="11"/>
      <c r="E791" s="2"/>
      <c r="F791" s="2"/>
      <c r="G791" s="2"/>
      <c r="H791" s="54"/>
      <c r="I791" s="4"/>
      <c r="J791" s="2"/>
      <c r="K791" s="2"/>
      <c r="L791" s="5"/>
      <c r="M791" s="5"/>
      <c r="N791" s="5"/>
      <c r="O791" s="5"/>
      <c r="P791" s="5"/>
      <c r="Q791" s="5"/>
      <c r="R791" s="2"/>
      <c r="S791" s="2"/>
      <c r="T791" s="2"/>
      <c r="U791" s="2"/>
      <c r="V791" s="2"/>
      <c r="W791" s="2"/>
      <c r="X791" s="6"/>
      <c r="Y791" s="2"/>
      <c r="Z791" s="2"/>
      <c r="AA791" s="2"/>
      <c r="AB791" s="2"/>
      <c r="AC791" s="6"/>
      <c r="AD791" s="2"/>
      <c r="AE791" s="2"/>
      <c r="AF791" s="2"/>
      <c r="AG791" s="2"/>
      <c r="AH791" s="2"/>
      <c r="AI791" s="6"/>
      <c r="AJ791" s="2"/>
      <c r="AK791" s="56"/>
      <c r="AL791" s="2"/>
      <c r="AM791" s="2"/>
      <c r="AN791" s="2"/>
      <c r="AO791" s="2"/>
      <c r="AP791" s="6"/>
      <c r="AQ791" s="2"/>
      <c r="AR791" s="2"/>
      <c r="AS791" s="2"/>
      <c r="AT791" s="2"/>
      <c r="AU791" s="2"/>
      <c r="AV791" s="2"/>
      <c r="AW791" s="2"/>
      <c r="AX791" s="6"/>
      <c r="AY791" s="2"/>
      <c r="AZ791" s="2"/>
      <c r="BA791" s="2"/>
      <c r="BB791" s="2"/>
      <c r="BC791" s="2"/>
      <c r="BD791" s="6"/>
      <c r="BE791" s="2"/>
      <c r="BF791" s="6"/>
      <c r="BG791" s="58"/>
      <c r="BH791" s="6"/>
      <c r="BI791" s="2"/>
    </row>
    <row r="792" ht="12.75" customHeight="1">
      <c r="A792" s="71"/>
      <c r="B792" s="71"/>
      <c r="C792" s="11"/>
      <c r="D792" s="11"/>
      <c r="E792" s="2"/>
      <c r="F792" s="2"/>
      <c r="G792" s="2"/>
      <c r="H792" s="54"/>
      <c r="I792" s="4"/>
      <c r="J792" s="2"/>
      <c r="K792" s="2"/>
      <c r="L792" s="5"/>
      <c r="M792" s="5"/>
      <c r="N792" s="5"/>
      <c r="O792" s="5"/>
      <c r="P792" s="5"/>
      <c r="Q792" s="5"/>
      <c r="R792" s="2"/>
      <c r="S792" s="2"/>
      <c r="T792" s="2"/>
      <c r="U792" s="2"/>
      <c r="V792" s="2"/>
      <c r="W792" s="2"/>
      <c r="X792" s="6"/>
      <c r="Y792" s="2"/>
      <c r="Z792" s="2"/>
      <c r="AA792" s="2"/>
      <c r="AB792" s="2"/>
      <c r="AC792" s="6"/>
      <c r="AD792" s="2"/>
      <c r="AE792" s="2"/>
      <c r="AF792" s="2"/>
      <c r="AG792" s="2"/>
      <c r="AH792" s="2"/>
      <c r="AI792" s="6"/>
      <c r="AJ792" s="2"/>
      <c r="AK792" s="56"/>
      <c r="AL792" s="2"/>
      <c r="AM792" s="2"/>
      <c r="AN792" s="2"/>
      <c r="AO792" s="2"/>
      <c r="AP792" s="6"/>
      <c r="AQ792" s="2"/>
      <c r="AR792" s="2"/>
      <c r="AS792" s="2"/>
      <c r="AT792" s="2"/>
      <c r="AU792" s="2"/>
      <c r="AV792" s="2"/>
      <c r="AW792" s="2"/>
      <c r="AX792" s="6"/>
      <c r="AY792" s="2"/>
      <c r="AZ792" s="2"/>
      <c r="BA792" s="2"/>
      <c r="BB792" s="2"/>
      <c r="BC792" s="2"/>
      <c r="BD792" s="6"/>
      <c r="BE792" s="2"/>
      <c r="BF792" s="6"/>
      <c r="BG792" s="58"/>
      <c r="BH792" s="6"/>
      <c r="BI792" s="2"/>
    </row>
    <row r="793" ht="12.75" customHeight="1">
      <c r="A793" s="71"/>
      <c r="B793" s="71"/>
      <c r="C793" s="11"/>
      <c r="D793" s="11"/>
      <c r="E793" s="2"/>
      <c r="F793" s="2"/>
      <c r="G793" s="2"/>
      <c r="H793" s="54"/>
      <c r="I793" s="4"/>
      <c r="J793" s="2"/>
      <c r="K793" s="2"/>
      <c r="L793" s="5"/>
      <c r="M793" s="5"/>
      <c r="N793" s="5"/>
      <c r="O793" s="5"/>
      <c r="P793" s="5"/>
      <c r="Q793" s="5"/>
      <c r="R793" s="2"/>
      <c r="S793" s="2"/>
      <c r="T793" s="2"/>
      <c r="U793" s="2"/>
      <c r="V793" s="2"/>
      <c r="W793" s="2"/>
      <c r="X793" s="6"/>
      <c r="Y793" s="2"/>
      <c r="Z793" s="2"/>
      <c r="AA793" s="2"/>
      <c r="AB793" s="2"/>
      <c r="AC793" s="6"/>
      <c r="AD793" s="2"/>
      <c r="AE793" s="2"/>
      <c r="AF793" s="2"/>
      <c r="AG793" s="2"/>
      <c r="AH793" s="2"/>
      <c r="AI793" s="6"/>
      <c r="AJ793" s="2"/>
      <c r="AK793" s="56"/>
      <c r="AL793" s="2"/>
      <c r="AM793" s="2"/>
      <c r="AN793" s="2"/>
      <c r="AO793" s="2"/>
      <c r="AP793" s="6"/>
      <c r="AQ793" s="2"/>
      <c r="AR793" s="2"/>
      <c r="AS793" s="2"/>
      <c r="AT793" s="2"/>
      <c r="AU793" s="2"/>
      <c r="AV793" s="2"/>
      <c r="AW793" s="2"/>
      <c r="AX793" s="6"/>
      <c r="AY793" s="2"/>
      <c r="AZ793" s="2"/>
      <c r="BA793" s="2"/>
      <c r="BB793" s="2"/>
      <c r="BC793" s="2"/>
      <c r="BD793" s="6"/>
      <c r="BE793" s="2"/>
      <c r="BF793" s="6"/>
      <c r="BG793" s="58"/>
      <c r="BH793" s="6"/>
      <c r="BI793" s="2"/>
    </row>
    <row r="794" ht="12.75" customHeight="1">
      <c r="A794" s="71"/>
      <c r="B794" s="71"/>
      <c r="C794" s="11"/>
      <c r="D794" s="11"/>
      <c r="E794" s="2"/>
      <c r="F794" s="2"/>
      <c r="G794" s="2"/>
      <c r="H794" s="54"/>
      <c r="I794" s="4"/>
      <c r="J794" s="2"/>
      <c r="K794" s="2"/>
      <c r="L794" s="5"/>
      <c r="M794" s="5"/>
      <c r="N794" s="5"/>
      <c r="O794" s="5"/>
      <c r="P794" s="5"/>
      <c r="Q794" s="5"/>
      <c r="R794" s="2"/>
      <c r="S794" s="2"/>
      <c r="T794" s="2"/>
      <c r="U794" s="2"/>
      <c r="V794" s="2"/>
      <c r="W794" s="2"/>
      <c r="X794" s="6"/>
      <c r="Y794" s="2"/>
      <c r="Z794" s="2"/>
      <c r="AA794" s="2"/>
      <c r="AB794" s="2"/>
      <c r="AC794" s="6"/>
      <c r="AD794" s="2"/>
      <c r="AE794" s="2"/>
      <c r="AF794" s="2"/>
      <c r="AG794" s="2"/>
      <c r="AH794" s="2"/>
      <c r="AI794" s="6"/>
      <c r="AJ794" s="2"/>
      <c r="AK794" s="56"/>
      <c r="AL794" s="2"/>
      <c r="AM794" s="2"/>
      <c r="AN794" s="2"/>
      <c r="AO794" s="2"/>
      <c r="AP794" s="6"/>
      <c r="AQ794" s="2"/>
      <c r="AR794" s="2"/>
      <c r="AS794" s="2"/>
      <c r="AT794" s="2"/>
      <c r="AU794" s="2"/>
      <c r="AV794" s="2"/>
      <c r="AW794" s="2"/>
      <c r="AX794" s="6"/>
      <c r="AY794" s="2"/>
      <c r="AZ794" s="2"/>
      <c r="BA794" s="2"/>
      <c r="BB794" s="2"/>
      <c r="BC794" s="2"/>
      <c r="BD794" s="6"/>
      <c r="BE794" s="2"/>
      <c r="BF794" s="6"/>
      <c r="BG794" s="58"/>
      <c r="BH794" s="6"/>
      <c r="BI794" s="2"/>
    </row>
    <row r="795" ht="12.75" customHeight="1">
      <c r="A795" s="71"/>
      <c r="B795" s="71"/>
      <c r="C795" s="11"/>
      <c r="D795" s="11"/>
      <c r="E795" s="2"/>
      <c r="F795" s="2"/>
      <c r="G795" s="2"/>
      <c r="H795" s="54"/>
      <c r="I795" s="4"/>
      <c r="J795" s="2"/>
      <c r="K795" s="2"/>
      <c r="L795" s="5"/>
      <c r="M795" s="5"/>
      <c r="N795" s="5"/>
      <c r="O795" s="5"/>
      <c r="P795" s="5"/>
      <c r="Q795" s="5"/>
      <c r="R795" s="2"/>
      <c r="S795" s="2"/>
      <c r="T795" s="2"/>
      <c r="U795" s="2"/>
      <c r="V795" s="2"/>
      <c r="W795" s="2"/>
      <c r="X795" s="6"/>
      <c r="Y795" s="2"/>
      <c r="Z795" s="2"/>
      <c r="AA795" s="2"/>
      <c r="AB795" s="2"/>
      <c r="AC795" s="6"/>
      <c r="AD795" s="2"/>
      <c r="AE795" s="2"/>
      <c r="AF795" s="2"/>
      <c r="AG795" s="2"/>
      <c r="AH795" s="2"/>
      <c r="AI795" s="6"/>
      <c r="AJ795" s="2"/>
      <c r="AK795" s="56"/>
      <c r="AL795" s="2"/>
      <c r="AM795" s="2"/>
      <c r="AN795" s="2"/>
      <c r="AO795" s="2"/>
      <c r="AP795" s="6"/>
      <c r="AQ795" s="2"/>
      <c r="AR795" s="2"/>
      <c r="AS795" s="2"/>
      <c r="AT795" s="2"/>
      <c r="AU795" s="2"/>
      <c r="AV795" s="2"/>
      <c r="AW795" s="2"/>
      <c r="AX795" s="6"/>
      <c r="AY795" s="2"/>
      <c r="AZ795" s="2"/>
      <c r="BA795" s="2"/>
      <c r="BB795" s="2"/>
      <c r="BC795" s="2"/>
      <c r="BD795" s="6"/>
      <c r="BE795" s="2"/>
      <c r="BF795" s="6"/>
      <c r="BG795" s="58"/>
      <c r="BH795" s="6"/>
      <c r="BI795" s="2"/>
    </row>
    <row r="796" ht="12.75" customHeight="1">
      <c r="A796" s="71"/>
      <c r="B796" s="71"/>
      <c r="C796" s="11"/>
      <c r="D796" s="11"/>
      <c r="E796" s="2"/>
      <c r="F796" s="2"/>
      <c r="G796" s="2"/>
      <c r="H796" s="54"/>
      <c r="I796" s="4"/>
      <c r="J796" s="2"/>
      <c r="K796" s="2"/>
      <c r="L796" s="5"/>
      <c r="M796" s="5"/>
      <c r="N796" s="5"/>
      <c r="O796" s="5"/>
      <c r="P796" s="5"/>
      <c r="Q796" s="5"/>
      <c r="R796" s="2"/>
      <c r="S796" s="2"/>
      <c r="T796" s="2"/>
      <c r="U796" s="2"/>
      <c r="V796" s="2"/>
      <c r="W796" s="2"/>
      <c r="X796" s="6"/>
      <c r="Y796" s="2"/>
      <c r="Z796" s="2"/>
      <c r="AA796" s="2"/>
      <c r="AB796" s="2"/>
      <c r="AC796" s="6"/>
      <c r="AD796" s="2"/>
      <c r="AE796" s="2"/>
      <c r="AF796" s="2"/>
      <c r="AG796" s="2"/>
      <c r="AH796" s="2"/>
      <c r="AI796" s="6"/>
      <c r="AJ796" s="2"/>
      <c r="AK796" s="56"/>
      <c r="AL796" s="2"/>
      <c r="AM796" s="2"/>
      <c r="AN796" s="2"/>
      <c r="AO796" s="2"/>
      <c r="AP796" s="6"/>
      <c r="AQ796" s="2"/>
      <c r="AR796" s="2"/>
      <c r="AS796" s="2"/>
      <c r="AT796" s="2"/>
      <c r="AU796" s="2"/>
      <c r="AV796" s="2"/>
      <c r="AW796" s="2"/>
      <c r="AX796" s="6"/>
      <c r="AY796" s="2"/>
      <c r="AZ796" s="2"/>
      <c r="BA796" s="2"/>
      <c r="BB796" s="2"/>
      <c r="BC796" s="2"/>
      <c r="BD796" s="6"/>
      <c r="BE796" s="2"/>
      <c r="BF796" s="6"/>
      <c r="BG796" s="58"/>
      <c r="BH796" s="6"/>
      <c r="BI796" s="2"/>
    </row>
    <row r="797" ht="12.75" customHeight="1">
      <c r="A797" s="71"/>
      <c r="B797" s="71"/>
      <c r="C797" s="11"/>
      <c r="D797" s="11"/>
      <c r="E797" s="2"/>
      <c r="F797" s="2"/>
      <c r="G797" s="2"/>
      <c r="H797" s="54"/>
      <c r="I797" s="4"/>
      <c r="J797" s="2"/>
      <c r="K797" s="2"/>
      <c r="L797" s="5"/>
      <c r="M797" s="5"/>
      <c r="N797" s="5"/>
      <c r="O797" s="5"/>
      <c r="P797" s="5"/>
      <c r="Q797" s="5"/>
      <c r="R797" s="2"/>
      <c r="S797" s="2"/>
      <c r="T797" s="2"/>
      <c r="U797" s="2"/>
      <c r="V797" s="2"/>
      <c r="W797" s="2"/>
      <c r="X797" s="6"/>
      <c r="Y797" s="2"/>
      <c r="Z797" s="2"/>
      <c r="AA797" s="2"/>
      <c r="AB797" s="2"/>
      <c r="AC797" s="6"/>
      <c r="AD797" s="2"/>
      <c r="AE797" s="2"/>
      <c r="AF797" s="2"/>
      <c r="AG797" s="2"/>
      <c r="AH797" s="2"/>
      <c r="AI797" s="6"/>
      <c r="AJ797" s="2"/>
      <c r="AK797" s="56"/>
      <c r="AL797" s="2"/>
      <c r="AM797" s="2"/>
      <c r="AN797" s="2"/>
      <c r="AO797" s="2"/>
      <c r="AP797" s="6"/>
      <c r="AQ797" s="2"/>
      <c r="AR797" s="2"/>
      <c r="AS797" s="2"/>
      <c r="AT797" s="2"/>
      <c r="AU797" s="2"/>
      <c r="AV797" s="2"/>
      <c r="AW797" s="2"/>
      <c r="AX797" s="6"/>
      <c r="AY797" s="2"/>
      <c r="AZ797" s="2"/>
      <c r="BA797" s="2"/>
      <c r="BB797" s="2"/>
      <c r="BC797" s="2"/>
      <c r="BD797" s="6"/>
      <c r="BE797" s="2"/>
      <c r="BF797" s="6"/>
      <c r="BG797" s="58"/>
      <c r="BH797" s="6"/>
      <c r="BI797" s="2"/>
    </row>
    <row r="798" ht="12.75" customHeight="1">
      <c r="A798" s="71"/>
      <c r="B798" s="71"/>
      <c r="C798" s="11"/>
      <c r="D798" s="11"/>
      <c r="E798" s="2"/>
      <c r="F798" s="2"/>
      <c r="G798" s="2"/>
      <c r="H798" s="54"/>
      <c r="I798" s="4"/>
      <c r="J798" s="2"/>
      <c r="K798" s="2"/>
      <c r="L798" s="5"/>
      <c r="M798" s="5"/>
      <c r="N798" s="5"/>
      <c r="O798" s="5"/>
      <c r="P798" s="5"/>
      <c r="Q798" s="5"/>
      <c r="R798" s="2"/>
      <c r="S798" s="2"/>
      <c r="T798" s="2"/>
      <c r="U798" s="2"/>
      <c r="V798" s="2"/>
      <c r="W798" s="2"/>
      <c r="X798" s="6"/>
      <c r="Y798" s="2"/>
      <c r="Z798" s="2"/>
      <c r="AA798" s="2"/>
      <c r="AB798" s="2"/>
      <c r="AC798" s="6"/>
      <c r="AD798" s="2"/>
      <c r="AE798" s="2"/>
      <c r="AF798" s="2"/>
      <c r="AG798" s="2"/>
      <c r="AH798" s="2"/>
      <c r="AI798" s="6"/>
      <c r="AJ798" s="2"/>
      <c r="AK798" s="56"/>
      <c r="AL798" s="2"/>
      <c r="AM798" s="2"/>
      <c r="AN798" s="2"/>
      <c r="AO798" s="2"/>
      <c r="AP798" s="6"/>
      <c r="AQ798" s="2"/>
      <c r="AR798" s="2"/>
      <c r="AS798" s="2"/>
      <c r="AT798" s="2"/>
      <c r="AU798" s="2"/>
      <c r="AV798" s="2"/>
      <c r="AW798" s="2"/>
      <c r="AX798" s="6"/>
      <c r="AY798" s="2"/>
      <c r="AZ798" s="2"/>
      <c r="BA798" s="2"/>
      <c r="BB798" s="2"/>
      <c r="BC798" s="2"/>
      <c r="BD798" s="6"/>
      <c r="BE798" s="2"/>
      <c r="BF798" s="6"/>
      <c r="BG798" s="58"/>
      <c r="BH798" s="6"/>
      <c r="BI798" s="2"/>
    </row>
    <row r="799" ht="12.75" customHeight="1">
      <c r="A799" s="71"/>
      <c r="B799" s="71"/>
      <c r="C799" s="11"/>
      <c r="D799" s="11"/>
      <c r="E799" s="2"/>
      <c r="F799" s="2"/>
      <c r="G799" s="2"/>
      <c r="H799" s="54"/>
      <c r="I799" s="4"/>
      <c r="J799" s="2"/>
      <c r="K799" s="2"/>
      <c r="L799" s="5"/>
      <c r="M799" s="5"/>
      <c r="N799" s="5"/>
      <c r="O799" s="5"/>
      <c r="P799" s="5"/>
      <c r="Q799" s="5"/>
      <c r="R799" s="2"/>
      <c r="S799" s="2"/>
      <c r="T799" s="2"/>
      <c r="U799" s="2"/>
      <c r="V799" s="2"/>
      <c r="W799" s="2"/>
      <c r="X799" s="6"/>
      <c r="Y799" s="2"/>
      <c r="Z799" s="2"/>
      <c r="AA799" s="2"/>
      <c r="AB799" s="2"/>
      <c r="AC799" s="6"/>
      <c r="AD799" s="2"/>
      <c r="AE799" s="2"/>
      <c r="AF799" s="2"/>
      <c r="AG799" s="2"/>
      <c r="AH799" s="2"/>
      <c r="AI799" s="6"/>
      <c r="AJ799" s="2"/>
      <c r="AK799" s="56"/>
      <c r="AL799" s="2"/>
      <c r="AM799" s="2"/>
      <c r="AN799" s="2"/>
      <c r="AO799" s="2"/>
      <c r="AP799" s="6"/>
      <c r="AQ799" s="2"/>
      <c r="AR799" s="2"/>
      <c r="AS799" s="2"/>
      <c r="AT799" s="2"/>
      <c r="AU799" s="2"/>
      <c r="AV799" s="2"/>
      <c r="AW799" s="2"/>
      <c r="AX799" s="6"/>
      <c r="AY799" s="2"/>
      <c r="AZ799" s="2"/>
      <c r="BA799" s="2"/>
      <c r="BB799" s="2"/>
      <c r="BC799" s="2"/>
      <c r="BD799" s="6"/>
      <c r="BE799" s="2"/>
      <c r="BF799" s="6"/>
      <c r="BG799" s="58"/>
      <c r="BH799" s="6"/>
      <c r="BI799" s="2"/>
    </row>
    <row r="800" ht="12.75" customHeight="1">
      <c r="A800" s="71"/>
      <c r="B800" s="71"/>
      <c r="C800" s="11"/>
      <c r="D800" s="11"/>
      <c r="E800" s="2"/>
      <c r="F800" s="2"/>
      <c r="G800" s="2"/>
      <c r="H800" s="54"/>
      <c r="I800" s="4"/>
      <c r="J800" s="2"/>
      <c r="K800" s="2"/>
      <c r="L800" s="5"/>
      <c r="M800" s="5"/>
      <c r="N800" s="5"/>
      <c r="O800" s="5"/>
      <c r="P800" s="5"/>
      <c r="Q800" s="5"/>
      <c r="R800" s="2"/>
      <c r="S800" s="2"/>
      <c r="T800" s="2"/>
      <c r="U800" s="2"/>
      <c r="V800" s="2"/>
      <c r="W800" s="2"/>
      <c r="X800" s="6"/>
      <c r="Y800" s="2"/>
      <c r="Z800" s="2"/>
      <c r="AA800" s="2"/>
      <c r="AB800" s="2"/>
      <c r="AC800" s="6"/>
      <c r="AD800" s="2"/>
      <c r="AE800" s="2"/>
      <c r="AF800" s="2"/>
      <c r="AG800" s="2"/>
      <c r="AH800" s="2"/>
      <c r="AI800" s="6"/>
      <c r="AJ800" s="2"/>
      <c r="AK800" s="56"/>
      <c r="AL800" s="2"/>
      <c r="AM800" s="2"/>
      <c r="AN800" s="2"/>
      <c r="AO800" s="2"/>
      <c r="AP800" s="6"/>
      <c r="AQ800" s="2"/>
      <c r="AR800" s="2"/>
      <c r="AS800" s="2"/>
      <c r="AT800" s="2"/>
      <c r="AU800" s="2"/>
      <c r="AV800" s="2"/>
      <c r="AW800" s="2"/>
      <c r="AX800" s="6"/>
      <c r="AY800" s="2"/>
      <c r="AZ800" s="2"/>
      <c r="BA800" s="2"/>
      <c r="BB800" s="2"/>
      <c r="BC800" s="2"/>
      <c r="BD800" s="6"/>
      <c r="BE800" s="2"/>
      <c r="BF800" s="6"/>
      <c r="BG800" s="58"/>
      <c r="BH800" s="6"/>
      <c r="BI800" s="2"/>
    </row>
    <row r="801" ht="12.75" customHeight="1">
      <c r="A801" s="71"/>
      <c r="B801" s="71"/>
      <c r="C801" s="11"/>
      <c r="D801" s="11"/>
      <c r="E801" s="2"/>
      <c r="F801" s="2"/>
      <c r="G801" s="2"/>
      <c r="H801" s="54"/>
      <c r="I801" s="4"/>
      <c r="J801" s="2"/>
      <c r="K801" s="2"/>
      <c r="L801" s="5"/>
      <c r="M801" s="5"/>
      <c r="N801" s="5"/>
      <c r="O801" s="5"/>
      <c r="P801" s="5"/>
      <c r="Q801" s="5"/>
      <c r="R801" s="2"/>
      <c r="S801" s="2"/>
      <c r="T801" s="2"/>
      <c r="U801" s="2"/>
      <c r="V801" s="2"/>
      <c r="W801" s="2"/>
      <c r="X801" s="6"/>
      <c r="Y801" s="2"/>
      <c r="Z801" s="2"/>
      <c r="AA801" s="2"/>
      <c r="AB801" s="2"/>
      <c r="AC801" s="6"/>
      <c r="AD801" s="2"/>
      <c r="AE801" s="2"/>
      <c r="AF801" s="2"/>
      <c r="AG801" s="2"/>
      <c r="AH801" s="2"/>
      <c r="AI801" s="6"/>
      <c r="AJ801" s="2"/>
      <c r="AK801" s="56"/>
      <c r="AL801" s="2"/>
      <c r="AM801" s="2"/>
      <c r="AN801" s="2"/>
      <c r="AO801" s="2"/>
      <c r="AP801" s="6"/>
      <c r="AQ801" s="2"/>
      <c r="AR801" s="2"/>
      <c r="AS801" s="2"/>
      <c r="AT801" s="2"/>
      <c r="AU801" s="2"/>
      <c r="AV801" s="2"/>
      <c r="AW801" s="2"/>
      <c r="AX801" s="6"/>
      <c r="AY801" s="2"/>
      <c r="AZ801" s="2"/>
      <c r="BA801" s="2"/>
      <c r="BB801" s="2"/>
      <c r="BC801" s="2"/>
      <c r="BD801" s="6"/>
      <c r="BE801" s="2"/>
      <c r="BF801" s="6"/>
      <c r="BG801" s="58"/>
      <c r="BH801" s="6"/>
      <c r="BI801" s="2"/>
    </row>
    <row r="802" ht="12.75" customHeight="1">
      <c r="A802" s="71"/>
      <c r="B802" s="71"/>
      <c r="C802" s="11"/>
      <c r="D802" s="11"/>
      <c r="E802" s="2"/>
      <c r="F802" s="2"/>
      <c r="G802" s="2"/>
      <c r="H802" s="54"/>
      <c r="I802" s="4"/>
      <c r="J802" s="2"/>
      <c r="K802" s="2"/>
      <c r="L802" s="5"/>
      <c r="M802" s="5"/>
      <c r="N802" s="5"/>
      <c r="O802" s="5"/>
      <c r="P802" s="5"/>
      <c r="Q802" s="5"/>
      <c r="R802" s="2"/>
      <c r="S802" s="2"/>
      <c r="T802" s="2"/>
      <c r="U802" s="2"/>
      <c r="V802" s="2"/>
      <c r="W802" s="2"/>
      <c r="X802" s="6"/>
      <c r="Y802" s="2"/>
      <c r="Z802" s="2"/>
      <c r="AA802" s="2"/>
      <c r="AB802" s="2"/>
      <c r="AC802" s="6"/>
      <c r="AD802" s="2"/>
      <c r="AE802" s="2"/>
      <c r="AF802" s="2"/>
      <c r="AG802" s="2"/>
      <c r="AH802" s="2"/>
      <c r="AI802" s="6"/>
      <c r="AJ802" s="2"/>
      <c r="AK802" s="56"/>
      <c r="AL802" s="2"/>
      <c r="AM802" s="2"/>
      <c r="AN802" s="2"/>
      <c r="AO802" s="2"/>
      <c r="AP802" s="6"/>
      <c r="AQ802" s="2"/>
      <c r="AR802" s="2"/>
      <c r="AS802" s="2"/>
      <c r="AT802" s="2"/>
      <c r="AU802" s="2"/>
      <c r="AV802" s="2"/>
      <c r="AW802" s="2"/>
      <c r="AX802" s="6"/>
      <c r="AY802" s="2"/>
      <c r="AZ802" s="2"/>
      <c r="BA802" s="2"/>
      <c r="BB802" s="2"/>
      <c r="BC802" s="2"/>
      <c r="BD802" s="6"/>
      <c r="BE802" s="2"/>
      <c r="BF802" s="6"/>
      <c r="BG802" s="58"/>
      <c r="BH802" s="6"/>
      <c r="BI802" s="2"/>
    </row>
    <row r="803" ht="12.75" customHeight="1">
      <c r="A803" s="71"/>
      <c r="B803" s="71"/>
      <c r="C803" s="11"/>
      <c r="D803" s="11"/>
      <c r="E803" s="2"/>
      <c r="F803" s="2"/>
      <c r="G803" s="2"/>
      <c r="H803" s="54"/>
      <c r="I803" s="4"/>
      <c r="J803" s="2"/>
      <c r="K803" s="2"/>
      <c r="L803" s="5"/>
      <c r="M803" s="5"/>
      <c r="N803" s="5"/>
      <c r="O803" s="5"/>
      <c r="P803" s="5"/>
      <c r="Q803" s="5"/>
      <c r="R803" s="2"/>
      <c r="S803" s="2"/>
      <c r="T803" s="2"/>
      <c r="U803" s="2"/>
      <c r="V803" s="2"/>
      <c r="W803" s="2"/>
      <c r="X803" s="6"/>
      <c r="Y803" s="2"/>
      <c r="Z803" s="2"/>
      <c r="AA803" s="2"/>
      <c r="AB803" s="2"/>
      <c r="AC803" s="6"/>
      <c r="AD803" s="2"/>
      <c r="AE803" s="2"/>
      <c r="AF803" s="2"/>
      <c r="AG803" s="2"/>
      <c r="AH803" s="2"/>
      <c r="AI803" s="6"/>
      <c r="AJ803" s="2"/>
      <c r="AK803" s="56"/>
      <c r="AL803" s="2"/>
      <c r="AM803" s="2"/>
      <c r="AN803" s="2"/>
      <c r="AO803" s="2"/>
      <c r="AP803" s="6"/>
      <c r="AQ803" s="2"/>
      <c r="AR803" s="2"/>
      <c r="AS803" s="2"/>
      <c r="AT803" s="2"/>
      <c r="AU803" s="2"/>
      <c r="AV803" s="2"/>
      <c r="AW803" s="2"/>
      <c r="AX803" s="6"/>
      <c r="AY803" s="2"/>
      <c r="AZ803" s="2"/>
      <c r="BA803" s="2"/>
      <c r="BB803" s="2"/>
      <c r="BC803" s="2"/>
      <c r="BD803" s="6"/>
      <c r="BE803" s="2"/>
      <c r="BF803" s="6"/>
      <c r="BG803" s="58"/>
      <c r="BH803" s="6"/>
      <c r="BI803" s="2"/>
    </row>
    <row r="804" ht="12.75" customHeight="1">
      <c r="A804" s="71"/>
      <c r="B804" s="71"/>
      <c r="C804" s="11"/>
      <c r="D804" s="11"/>
      <c r="E804" s="2"/>
      <c r="F804" s="2"/>
      <c r="G804" s="2"/>
      <c r="H804" s="54"/>
      <c r="I804" s="4"/>
      <c r="J804" s="2"/>
      <c r="K804" s="2"/>
      <c r="L804" s="5"/>
      <c r="M804" s="5"/>
      <c r="N804" s="5"/>
      <c r="O804" s="5"/>
      <c r="P804" s="5"/>
      <c r="Q804" s="5"/>
      <c r="R804" s="2"/>
      <c r="S804" s="2"/>
      <c r="T804" s="2"/>
      <c r="U804" s="2"/>
      <c r="V804" s="2"/>
      <c r="W804" s="2"/>
      <c r="X804" s="6"/>
      <c r="Y804" s="2"/>
      <c r="Z804" s="2"/>
      <c r="AA804" s="2"/>
      <c r="AB804" s="2"/>
      <c r="AC804" s="6"/>
      <c r="AD804" s="2"/>
      <c r="AE804" s="2"/>
      <c r="AF804" s="2"/>
      <c r="AG804" s="2"/>
      <c r="AH804" s="2"/>
      <c r="AI804" s="6"/>
      <c r="AJ804" s="2"/>
      <c r="AK804" s="56"/>
      <c r="AL804" s="2"/>
      <c r="AM804" s="2"/>
      <c r="AN804" s="2"/>
      <c r="AO804" s="2"/>
      <c r="AP804" s="6"/>
      <c r="AQ804" s="2"/>
      <c r="AR804" s="2"/>
      <c r="AS804" s="2"/>
      <c r="AT804" s="2"/>
      <c r="AU804" s="2"/>
      <c r="AV804" s="2"/>
      <c r="AW804" s="2"/>
      <c r="AX804" s="6"/>
      <c r="AY804" s="2"/>
      <c r="AZ804" s="2"/>
      <c r="BA804" s="2"/>
      <c r="BB804" s="2"/>
      <c r="BC804" s="2"/>
      <c r="BD804" s="6"/>
      <c r="BE804" s="2"/>
      <c r="BF804" s="6"/>
      <c r="BG804" s="58"/>
      <c r="BH804" s="6"/>
      <c r="BI804" s="2"/>
    </row>
    <row r="805" ht="12.75" customHeight="1">
      <c r="A805" s="71"/>
      <c r="B805" s="71"/>
      <c r="C805" s="11"/>
      <c r="D805" s="11"/>
      <c r="E805" s="2"/>
      <c r="F805" s="2"/>
      <c r="G805" s="2"/>
      <c r="H805" s="54"/>
      <c r="I805" s="4"/>
      <c r="J805" s="2"/>
      <c r="K805" s="2"/>
      <c r="L805" s="5"/>
      <c r="M805" s="5"/>
      <c r="N805" s="5"/>
      <c r="O805" s="5"/>
      <c r="P805" s="5"/>
      <c r="Q805" s="5"/>
      <c r="R805" s="2"/>
      <c r="S805" s="2"/>
      <c r="T805" s="2"/>
      <c r="U805" s="2"/>
      <c r="V805" s="2"/>
      <c r="W805" s="2"/>
      <c r="X805" s="6"/>
      <c r="Y805" s="2"/>
      <c r="Z805" s="2"/>
      <c r="AA805" s="2"/>
      <c r="AB805" s="2"/>
      <c r="AC805" s="6"/>
      <c r="AD805" s="2"/>
      <c r="AE805" s="2"/>
      <c r="AF805" s="2"/>
      <c r="AG805" s="2"/>
      <c r="AH805" s="2"/>
      <c r="AI805" s="6"/>
      <c r="AJ805" s="2"/>
      <c r="AK805" s="56"/>
      <c r="AL805" s="2"/>
      <c r="AM805" s="2"/>
      <c r="AN805" s="2"/>
      <c r="AO805" s="2"/>
      <c r="AP805" s="6"/>
      <c r="AQ805" s="2"/>
      <c r="AR805" s="2"/>
      <c r="AS805" s="2"/>
      <c r="AT805" s="2"/>
      <c r="AU805" s="2"/>
      <c r="AV805" s="2"/>
      <c r="AW805" s="2"/>
      <c r="AX805" s="6"/>
      <c r="AY805" s="2"/>
      <c r="AZ805" s="2"/>
      <c r="BA805" s="2"/>
      <c r="BB805" s="2"/>
      <c r="BC805" s="2"/>
      <c r="BD805" s="6"/>
      <c r="BE805" s="2"/>
      <c r="BF805" s="6"/>
      <c r="BG805" s="58"/>
      <c r="BH805" s="6"/>
      <c r="BI805" s="2"/>
    </row>
    <row r="806" ht="12.75" customHeight="1">
      <c r="A806" s="71"/>
      <c r="B806" s="71"/>
      <c r="C806" s="11"/>
      <c r="D806" s="11"/>
      <c r="E806" s="2"/>
      <c r="F806" s="2"/>
      <c r="G806" s="2"/>
      <c r="H806" s="54"/>
      <c r="I806" s="4"/>
      <c r="J806" s="2"/>
      <c r="K806" s="2"/>
      <c r="L806" s="5"/>
      <c r="M806" s="5"/>
      <c r="N806" s="5"/>
      <c r="O806" s="5"/>
      <c r="P806" s="5"/>
      <c r="Q806" s="5"/>
      <c r="R806" s="2"/>
      <c r="S806" s="2"/>
      <c r="T806" s="2"/>
      <c r="U806" s="2"/>
      <c r="V806" s="2"/>
      <c r="W806" s="2"/>
      <c r="X806" s="6"/>
      <c r="Y806" s="2"/>
      <c r="Z806" s="2"/>
      <c r="AA806" s="2"/>
      <c r="AB806" s="2"/>
      <c r="AC806" s="6"/>
      <c r="AD806" s="2"/>
      <c r="AE806" s="2"/>
      <c r="AF806" s="2"/>
      <c r="AG806" s="2"/>
      <c r="AH806" s="2"/>
      <c r="AI806" s="6"/>
      <c r="AJ806" s="2"/>
      <c r="AK806" s="56"/>
      <c r="AL806" s="2"/>
      <c r="AM806" s="2"/>
      <c r="AN806" s="2"/>
      <c r="AO806" s="2"/>
      <c r="AP806" s="6"/>
      <c r="AQ806" s="2"/>
      <c r="AR806" s="2"/>
      <c r="AS806" s="2"/>
      <c r="AT806" s="2"/>
      <c r="AU806" s="2"/>
      <c r="AV806" s="2"/>
      <c r="AW806" s="2"/>
      <c r="AX806" s="6"/>
      <c r="AY806" s="2"/>
      <c r="AZ806" s="2"/>
      <c r="BA806" s="2"/>
      <c r="BB806" s="2"/>
      <c r="BC806" s="2"/>
      <c r="BD806" s="6"/>
      <c r="BE806" s="2"/>
      <c r="BF806" s="6"/>
      <c r="BG806" s="58"/>
      <c r="BH806" s="6"/>
      <c r="BI806" s="2"/>
    </row>
    <row r="807" ht="12.75" customHeight="1">
      <c r="A807" s="71"/>
      <c r="B807" s="71"/>
      <c r="C807" s="11"/>
      <c r="D807" s="11"/>
      <c r="E807" s="2"/>
      <c r="F807" s="2"/>
      <c r="G807" s="2"/>
      <c r="H807" s="54"/>
      <c r="I807" s="4"/>
      <c r="J807" s="2"/>
      <c r="K807" s="2"/>
      <c r="L807" s="5"/>
      <c r="M807" s="5"/>
      <c r="N807" s="5"/>
      <c r="O807" s="5"/>
      <c r="P807" s="5"/>
      <c r="Q807" s="5"/>
      <c r="R807" s="2"/>
      <c r="S807" s="2"/>
      <c r="T807" s="2"/>
      <c r="U807" s="2"/>
      <c r="V807" s="2"/>
      <c r="W807" s="2"/>
      <c r="X807" s="6"/>
      <c r="Y807" s="2"/>
      <c r="Z807" s="2"/>
      <c r="AA807" s="2"/>
      <c r="AB807" s="2"/>
      <c r="AC807" s="6"/>
      <c r="AD807" s="2"/>
      <c r="AE807" s="2"/>
      <c r="AF807" s="2"/>
      <c r="AG807" s="2"/>
      <c r="AH807" s="2"/>
      <c r="AI807" s="6"/>
      <c r="AJ807" s="2"/>
      <c r="AK807" s="56"/>
      <c r="AL807" s="2"/>
      <c r="AM807" s="2"/>
      <c r="AN807" s="2"/>
      <c r="AO807" s="2"/>
      <c r="AP807" s="6"/>
      <c r="AQ807" s="2"/>
      <c r="AR807" s="2"/>
      <c r="AS807" s="2"/>
      <c r="AT807" s="2"/>
      <c r="AU807" s="2"/>
      <c r="AV807" s="2"/>
      <c r="AW807" s="2"/>
      <c r="AX807" s="6"/>
      <c r="AY807" s="2"/>
      <c r="AZ807" s="2"/>
      <c r="BA807" s="2"/>
      <c r="BB807" s="2"/>
      <c r="BC807" s="2"/>
      <c r="BD807" s="6"/>
      <c r="BE807" s="2"/>
      <c r="BF807" s="6"/>
      <c r="BG807" s="58"/>
      <c r="BH807" s="6"/>
      <c r="BI807" s="2"/>
    </row>
    <row r="808" ht="12.75" customHeight="1">
      <c r="A808" s="71"/>
      <c r="B808" s="71"/>
      <c r="C808" s="11"/>
      <c r="D808" s="11"/>
      <c r="E808" s="2"/>
      <c r="F808" s="2"/>
      <c r="G808" s="2"/>
      <c r="H808" s="54"/>
      <c r="I808" s="4"/>
      <c r="J808" s="2"/>
      <c r="K808" s="2"/>
      <c r="L808" s="5"/>
      <c r="M808" s="5"/>
      <c r="N808" s="5"/>
      <c r="O808" s="5"/>
      <c r="P808" s="5"/>
      <c r="Q808" s="5"/>
      <c r="R808" s="2"/>
      <c r="S808" s="2"/>
      <c r="T808" s="2"/>
      <c r="U808" s="2"/>
      <c r="V808" s="2"/>
      <c r="W808" s="2"/>
      <c r="X808" s="6"/>
      <c r="Y808" s="2"/>
      <c r="Z808" s="2"/>
      <c r="AA808" s="2"/>
      <c r="AB808" s="2"/>
      <c r="AC808" s="6"/>
      <c r="AD808" s="2"/>
      <c r="AE808" s="2"/>
      <c r="AF808" s="2"/>
      <c r="AG808" s="2"/>
      <c r="AH808" s="2"/>
      <c r="AI808" s="6"/>
      <c r="AJ808" s="2"/>
      <c r="AK808" s="56"/>
      <c r="AL808" s="2"/>
      <c r="AM808" s="2"/>
      <c r="AN808" s="2"/>
      <c r="AO808" s="2"/>
      <c r="AP808" s="6"/>
      <c r="AQ808" s="2"/>
      <c r="AR808" s="2"/>
      <c r="AS808" s="2"/>
      <c r="AT808" s="2"/>
      <c r="AU808" s="2"/>
      <c r="AV808" s="2"/>
      <c r="AW808" s="2"/>
      <c r="AX808" s="6"/>
      <c r="AY808" s="2"/>
      <c r="AZ808" s="2"/>
      <c r="BA808" s="2"/>
      <c r="BB808" s="2"/>
      <c r="BC808" s="2"/>
      <c r="BD808" s="6"/>
      <c r="BE808" s="2"/>
      <c r="BF808" s="6"/>
      <c r="BG808" s="58"/>
      <c r="BH808" s="6"/>
      <c r="BI808" s="2"/>
    </row>
    <row r="809" ht="12.75" customHeight="1">
      <c r="A809" s="71"/>
      <c r="B809" s="71"/>
      <c r="C809" s="11"/>
      <c r="D809" s="11"/>
      <c r="E809" s="2"/>
      <c r="F809" s="2"/>
      <c r="G809" s="2"/>
      <c r="H809" s="54"/>
      <c r="I809" s="4"/>
      <c r="J809" s="2"/>
      <c r="K809" s="2"/>
      <c r="L809" s="5"/>
      <c r="M809" s="5"/>
      <c r="N809" s="5"/>
      <c r="O809" s="5"/>
      <c r="P809" s="5"/>
      <c r="Q809" s="5"/>
      <c r="R809" s="2"/>
      <c r="S809" s="2"/>
      <c r="T809" s="2"/>
      <c r="U809" s="2"/>
      <c r="V809" s="2"/>
      <c r="W809" s="2"/>
      <c r="X809" s="6"/>
      <c r="Y809" s="2"/>
      <c r="Z809" s="2"/>
      <c r="AA809" s="2"/>
      <c r="AB809" s="2"/>
      <c r="AC809" s="6"/>
      <c r="AD809" s="2"/>
      <c r="AE809" s="2"/>
      <c r="AF809" s="2"/>
      <c r="AG809" s="2"/>
      <c r="AH809" s="2"/>
      <c r="AI809" s="6"/>
      <c r="AJ809" s="2"/>
      <c r="AK809" s="56"/>
      <c r="AL809" s="2"/>
      <c r="AM809" s="2"/>
      <c r="AN809" s="2"/>
      <c r="AO809" s="2"/>
      <c r="AP809" s="6"/>
      <c r="AQ809" s="2"/>
      <c r="AR809" s="2"/>
      <c r="AS809" s="2"/>
      <c r="AT809" s="2"/>
      <c r="AU809" s="2"/>
      <c r="AV809" s="2"/>
      <c r="AW809" s="2"/>
      <c r="AX809" s="6"/>
      <c r="AY809" s="2"/>
      <c r="AZ809" s="2"/>
      <c r="BA809" s="2"/>
      <c r="BB809" s="2"/>
      <c r="BC809" s="2"/>
      <c r="BD809" s="6"/>
      <c r="BE809" s="2"/>
      <c r="BF809" s="6"/>
      <c r="BG809" s="58"/>
      <c r="BH809" s="6"/>
      <c r="BI809" s="2"/>
    </row>
    <row r="810" ht="12.75" customHeight="1">
      <c r="A810" s="71"/>
      <c r="B810" s="71"/>
      <c r="C810" s="11"/>
      <c r="D810" s="11"/>
      <c r="E810" s="2"/>
      <c r="F810" s="2"/>
      <c r="G810" s="2"/>
      <c r="H810" s="54"/>
      <c r="I810" s="4"/>
      <c r="J810" s="2"/>
      <c r="K810" s="2"/>
      <c r="L810" s="5"/>
      <c r="M810" s="5"/>
      <c r="N810" s="5"/>
      <c r="O810" s="5"/>
      <c r="P810" s="5"/>
      <c r="Q810" s="5"/>
      <c r="R810" s="2"/>
      <c r="S810" s="2"/>
      <c r="T810" s="2"/>
      <c r="U810" s="2"/>
      <c r="V810" s="2"/>
      <c r="W810" s="2"/>
      <c r="X810" s="6"/>
      <c r="Y810" s="2"/>
      <c r="Z810" s="2"/>
      <c r="AA810" s="2"/>
      <c r="AB810" s="2"/>
      <c r="AC810" s="6"/>
      <c r="AD810" s="2"/>
      <c r="AE810" s="2"/>
      <c r="AF810" s="2"/>
      <c r="AG810" s="2"/>
      <c r="AH810" s="2"/>
      <c r="AI810" s="6"/>
      <c r="AJ810" s="2"/>
      <c r="AK810" s="56"/>
      <c r="AL810" s="2"/>
      <c r="AM810" s="2"/>
      <c r="AN810" s="2"/>
      <c r="AO810" s="2"/>
      <c r="AP810" s="6"/>
      <c r="AQ810" s="2"/>
      <c r="AR810" s="2"/>
      <c r="AS810" s="2"/>
      <c r="AT810" s="2"/>
      <c r="AU810" s="2"/>
      <c r="AV810" s="2"/>
      <c r="AW810" s="2"/>
      <c r="AX810" s="6"/>
      <c r="AY810" s="2"/>
      <c r="AZ810" s="2"/>
      <c r="BA810" s="2"/>
      <c r="BB810" s="2"/>
      <c r="BC810" s="2"/>
      <c r="BD810" s="6"/>
      <c r="BE810" s="2"/>
      <c r="BF810" s="6"/>
      <c r="BG810" s="58"/>
      <c r="BH810" s="6"/>
      <c r="BI810" s="2"/>
    </row>
    <row r="811" ht="12.75" customHeight="1">
      <c r="A811" s="71"/>
      <c r="B811" s="71"/>
      <c r="C811" s="11"/>
      <c r="D811" s="11"/>
      <c r="E811" s="2"/>
      <c r="F811" s="2"/>
      <c r="G811" s="2"/>
      <c r="H811" s="54"/>
      <c r="I811" s="4"/>
      <c r="J811" s="2"/>
      <c r="K811" s="2"/>
      <c r="L811" s="5"/>
      <c r="M811" s="5"/>
      <c r="N811" s="5"/>
      <c r="O811" s="5"/>
      <c r="P811" s="5"/>
      <c r="Q811" s="5"/>
      <c r="R811" s="2"/>
      <c r="S811" s="2"/>
      <c r="T811" s="2"/>
      <c r="U811" s="2"/>
      <c r="V811" s="2"/>
      <c r="W811" s="2"/>
      <c r="X811" s="6"/>
      <c r="Y811" s="2"/>
      <c r="Z811" s="2"/>
      <c r="AA811" s="2"/>
      <c r="AB811" s="2"/>
      <c r="AC811" s="6"/>
      <c r="AD811" s="2"/>
      <c r="AE811" s="2"/>
      <c r="AF811" s="2"/>
      <c r="AG811" s="2"/>
      <c r="AH811" s="2"/>
      <c r="AI811" s="6"/>
      <c r="AJ811" s="2"/>
      <c r="AK811" s="56"/>
      <c r="AL811" s="2"/>
      <c r="AM811" s="2"/>
      <c r="AN811" s="2"/>
      <c r="AO811" s="2"/>
      <c r="AP811" s="6"/>
      <c r="AQ811" s="2"/>
      <c r="AR811" s="2"/>
      <c r="AS811" s="2"/>
      <c r="AT811" s="2"/>
      <c r="AU811" s="2"/>
      <c r="AV811" s="2"/>
      <c r="AW811" s="2"/>
      <c r="AX811" s="6"/>
      <c r="AY811" s="2"/>
      <c r="AZ811" s="2"/>
      <c r="BA811" s="2"/>
      <c r="BB811" s="2"/>
      <c r="BC811" s="2"/>
      <c r="BD811" s="6"/>
      <c r="BE811" s="2"/>
      <c r="BF811" s="6"/>
      <c r="BG811" s="58"/>
      <c r="BH811" s="6"/>
      <c r="BI811" s="2"/>
    </row>
    <row r="812" ht="12.75" customHeight="1">
      <c r="A812" s="71"/>
      <c r="B812" s="71"/>
      <c r="C812" s="11"/>
      <c r="D812" s="11"/>
      <c r="E812" s="2"/>
      <c r="F812" s="2"/>
      <c r="G812" s="2"/>
      <c r="H812" s="54"/>
      <c r="I812" s="4"/>
      <c r="J812" s="2"/>
      <c r="K812" s="2"/>
      <c r="L812" s="5"/>
      <c r="M812" s="5"/>
      <c r="N812" s="5"/>
      <c r="O812" s="5"/>
      <c r="P812" s="5"/>
      <c r="Q812" s="5"/>
      <c r="R812" s="2"/>
      <c r="S812" s="2"/>
      <c r="T812" s="2"/>
      <c r="U812" s="2"/>
      <c r="V812" s="2"/>
      <c r="W812" s="2"/>
      <c r="X812" s="6"/>
      <c r="Y812" s="2"/>
      <c r="Z812" s="2"/>
      <c r="AA812" s="2"/>
      <c r="AB812" s="2"/>
      <c r="AC812" s="6"/>
      <c r="AD812" s="2"/>
      <c r="AE812" s="2"/>
      <c r="AF812" s="2"/>
      <c r="AG812" s="2"/>
      <c r="AH812" s="2"/>
      <c r="AI812" s="6"/>
      <c r="AJ812" s="2"/>
      <c r="AK812" s="56"/>
      <c r="AL812" s="2"/>
      <c r="AM812" s="2"/>
      <c r="AN812" s="2"/>
      <c r="AO812" s="2"/>
      <c r="AP812" s="6"/>
      <c r="AQ812" s="2"/>
      <c r="AR812" s="2"/>
      <c r="AS812" s="2"/>
      <c r="AT812" s="2"/>
      <c r="AU812" s="2"/>
      <c r="AV812" s="2"/>
      <c r="AW812" s="2"/>
      <c r="AX812" s="6"/>
      <c r="AY812" s="2"/>
      <c r="AZ812" s="2"/>
      <c r="BA812" s="2"/>
      <c r="BB812" s="2"/>
      <c r="BC812" s="2"/>
      <c r="BD812" s="6"/>
      <c r="BE812" s="2"/>
      <c r="BF812" s="6"/>
      <c r="BG812" s="58"/>
      <c r="BH812" s="6"/>
      <c r="BI812" s="2"/>
    </row>
    <row r="813" ht="12.75" customHeight="1">
      <c r="A813" s="71"/>
      <c r="B813" s="71"/>
      <c r="C813" s="11"/>
      <c r="D813" s="11"/>
      <c r="E813" s="2"/>
      <c r="F813" s="2"/>
      <c r="G813" s="2"/>
      <c r="H813" s="54"/>
      <c r="I813" s="4"/>
      <c r="J813" s="2"/>
      <c r="K813" s="2"/>
      <c r="L813" s="5"/>
      <c r="M813" s="5"/>
      <c r="N813" s="5"/>
      <c r="O813" s="5"/>
      <c r="P813" s="5"/>
      <c r="Q813" s="5"/>
      <c r="R813" s="2"/>
      <c r="S813" s="2"/>
      <c r="T813" s="2"/>
      <c r="U813" s="2"/>
      <c r="V813" s="2"/>
      <c r="W813" s="2"/>
      <c r="X813" s="6"/>
      <c r="Y813" s="2"/>
      <c r="Z813" s="2"/>
      <c r="AA813" s="2"/>
      <c r="AB813" s="2"/>
      <c r="AC813" s="6"/>
      <c r="AD813" s="2"/>
      <c r="AE813" s="2"/>
      <c r="AF813" s="2"/>
      <c r="AG813" s="2"/>
      <c r="AH813" s="2"/>
      <c r="AI813" s="6"/>
      <c r="AJ813" s="2"/>
      <c r="AK813" s="56"/>
      <c r="AL813" s="2"/>
      <c r="AM813" s="2"/>
      <c r="AN813" s="2"/>
      <c r="AO813" s="2"/>
      <c r="AP813" s="6"/>
      <c r="AQ813" s="2"/>
      <c r="AR813" s="2"/>
      <c r="AS813" s="2"/>
      <c r="AT813" s="2"/>
      <c r="AU813" s="2"/>
      <c r="AV813" s="2"/>
      <c r="AW813" s="2"/>
      <c r="AX813" s="6"/>
      <c r="AY813" s="2"/>
      <c r="AZ813" s="2"/>
      <c r="BA813" s="2"/>
      <c r="BB813" s="2"/>
      <c r="BC813" s="2"/>
      <c r="BD813" s="6"/>
      <c r="BE813" s="2"/>
      <c r="BF813" s="6"/>
      <c r="BG813" s="58"/>
      <c r="BH813" s="6"/>
      <c r="BI813" s="2"/>
    </row>
    <row r="814" ht="12.75" customHeight="1">
      <c r="A814" s="71"/>
      <c r="B814" s="71"/>
      <c r="C814" s="11"/>
      <c r="D814" s="11"/>
      <c r="E814" s="2"/>
      <c r="F814" s="2"/>
      <c r="G814" s="2"/>
      <c r="H814" s="54"/>
      <c r="I814" s="4"/>
      <c r="J814" s="2"/>
      <c r="K814" s="2"/>
      <c r="L814" s="5"/>
      <c r="M814" s="5"/>
      <c r="N814" s="5"/>
      <c r="O814" s="5"/>
      <c r="P814" s="5"/>
      <c r="Q814" s="5"/>
      <c r="R814" s="2"/>
      <c r="S814" s="2"/>
      <c r="T814" s="2"/>
      <c r="U814" s="2"/>
      <c r="V814" s="2"/>
      <c r="W814" s="2"/>
      <c r="X814" s="6"/>
      <c r="Y814" s="2"/>
      <c r="Z814" s="2"/>
      <c r="AA814" s="2"/>
      <c r="AB814" s="2"/>
      <c r="AC814" s="6"/>
      <c r="AD814" s="2"/>
      <c r="AE814" s="2"/>
      <c r="AF814" s="2"/>
      <c r="AG814" s="2"/>
      <c r="AH814" s="2"/>
      <c r="AI814" s="6"/>
      <c r="AJ814" s="2"/>
      <c r="AK814" s="56"/>
      <c r="AL814" s="2"/>
      <c r="AM814" s="2"/>
      <c r="AN814" s="2"/>
      <c r="AO814" s="2"/>
      <c r="AP814" s="6"/>
      <c r="AQ814" s="2"/>
      <c r="AR814" s="2"/>
      <c r="AS814" s="2"/>
      <c r="AT814" s="2"/>
      <c r="AU814" s="2"/>
      <c r="AV814" s="2"/>
      <c r="AW814" s="2"/>
      <c r="AX814" s="6"/>
      <c r="AY814" s="2"/>
      <c r="AZ814" s="2"/>
      <c r="BA814" s="2"/>
      <c r="BB814" s="2"/>
      <c r="BC814" s="2"/>
      <c r="BD814" s="6"/>
      <c r="BE814" s="2"/>
      <c r="BF814" s="6"/>
      <c r="BG814" s="58"/>
      <c r="BH814" s="6"/>
      <c r="BI814" s="2"/>
    </row>
    <row r="815" ht="12.75" customHeight="1">
      <c r="A815" s="71"/>
      <c r="B815" s="71"/>
      <c r="C815" s="11"/>
      <c r="D815" s="11"/>
      <c r="E815" s="2"/>
      <c r="F815" s="2"/>
      <c r="G815" s="2"/>
      <c r="H815" s="54"/>
      <c r="I815" s="4"/>
      <c r="J815" s="2"/>
      <c r="K815" s="2"/>
      <c r="L815" s="5"/>
      <c r="M815" s="5"/>
      <c r="N815" s="5"/>
      <c r="O815" s="5"/>
      <c r="P815" s="5"/>
      <c r="Q815" s="5"/>
      <c r="R815" s="2"/>
      <c r="S815" s="2"/>
      <c r="T815" s="2"/>
      <c r="U815" s="2"/>
      <c r="V815" s="2"/>
      <c r="W815" s="2"/>
      <c r="X815" s="6"/>
      <c r="Y815" s="2"/>
      <c r="Z815" s="2"/>
      <c r="AA815" s="2"/>
      <c r="AB815" s="2"/>
      <c r="AC815" s="6"/>
      <c r="AD815" s="2"/>
      <c r="AE815" s="2"/>
      <c r="AF815" s="2"/>
      <c r="AG815" s="2"/>
      <c r="AH815" s="2"/>
      <c r="AI815" s="6"/>
      <c r="AJ815" s="2"/>
      <c r="AK815" s="56"/>
      <c r="AL815" s="2"/>
      <c r="AM815" s="2"/>
      <c r="AN815" s="2"/>
      <c r="AO815" s="2"/>
      <c r="AP815" s="6"/>
      <c r="AQ815" s="2"/>
      <c r="AR815" s="2"/>
      <c r="AS815" s="2"/>
      <c r="AT815" s="2"/>
      <c r="AU815" s="2"/>
      <c r="AV815" s="2"/>
      <c r="AW815" s="2"/>
      <c r="AX815" s="6"/>
      <c r="AY815" s="2"/>
      <c r="AZ815" s="2"/>
      <c r="BA815" s="2"/>
      <c r="BB815" s="2"/>
      <c r="BC815" s="2"/>
      <c r="BD815" s="6"/>
      <c r="BE815" s="2"/>
      <c r="BF815" s="6"/>
      <c r="BG815" s="58"/>
      <c r="BH815" s="6"/>
      <c r="BI815" s="2"/>
    </row>
    <row r="816" ht="12.75" customHeight="1">
      <c r="A816" s="71"/>
      <c r="B816" s="71"/>
      <c r="C816" s="11"/>
      <c r="D816" s="11"/>
      <c r="E816" s="2"/>
      <c r="F816" s="2"/>
      <c r="G816" s="2"/>
      <c r="H816" s="54"/>
      <c r="I816" s="4"/>
      <c r="J816" s="2"/>
      <c r="K816" s="2"/>
      <c r="L816" s="5"/>
      <c r="M816" s="5"/>
      <c r="N816" s="5"/>
      <c r="O816" s="5"/>
      <c r="P816" s="5"/>
      <c r="Q816" s="5"/>
      <c r="R816" s="2"/>
      <c r="S816" s="2"/>
      <c r="T816" s="2"/>
      <c r="U816" s="2"/>
      <c r="V816" s="2"/>
      <c r="W816" s="2"/>
      <c r="X816" s="6"/>
      <c r="Y816" s="2"/>
      <c r="Z816" s="2"/>
      <c r="AA816" s="2"/>
      <c r="AB816" s="2"/>
      <c r="AC816" s="6"/>
      <c r="AD816" s="2"/>
      <c r="AE816" s="2"/>
      <c r="AF816" s="2"/>
      <c r="AG816" s="2"/>
      <c r="AH816" s="2"/>
      <c r="AI816" s="6"/>
      <c r="AJ816" s="2"/>
      <c r="AK816" s="56"/>
      <c r="AL816" s="2"/>
      <c r="AM816" s="2"/>
      <c r="AN816" s="2"/>
      <c r="AO816" s="2"/>
      <c r="AP816" s="6"/>
      <c r="AQ816" s="2"/>
      <c r="AR816" s="2"/>
      <c r="AS816" s="2"/>
      <c r="AT816" s="2"/>
      <c r="AU816" s="2"/>
      <c r="AV816" s="2"/>
      <c r="AW816" s="2"/>
      <c r="AX816" s="6"/>
      <c r="AY816" s="2"/>
      <c r="AZ816" s="2"/>
      <c r="BA816" s="2"/>
      <c r="BB816" s="2"/>
      <c r="BC816" s="2"/>
      <c r="BD816" s="6"/>
      <c r="BE816" s="2"/>
      <c r="BF816" s="6"/>
      <c r="BG816" s="58"/>
      <c r="BH816" s="6"/>
      <c r="BI816" s="2"/>
    </row>
    <row r="817" ht="12.75" customHeight="1">
      <c r="A817" s="71"/>
      <c r="B817" s="71"/>
      <c r="C817" s="11"/>
      <c r="D817" s="11"/>
      <c r="E817" s="2"/>
      <c r="F817" s="2"/>
      <c r="G817" s="2"/>
      <c r="H817" s="54"/>
      <c r="I817" s="4"/>
      <c r="J817" s="2"/>
      <c r="K817" s="2"/>
      <c r="L817" s="5"/>
      <c r="M817" s="5"/>
      <c r="N817" s="5"/>
      <c r="O817" s="5"/>
      <c r="P817" s="5"/>
      <c r="Q817" s="5"/>
      <c r="R817" s="2"/>
      <c r="S817" s="2"/>
      <c r="T817" s="2"/>
      <c r="U817" s="2"/>
      <c r="V817" s="2"/>
      <c r="W817" s="2"/>
      <c r="X817" s="6"/>
      <c r="Y817" s="2"/>
      <c r="Z817" s="2"/>
      <c r="AA817" s="2"/>
      <c r="AB817" s="2"/>
      <c r="AC817" s="6"/>
      <c r="AD817" s="2"/>
      <c r="AE817" s="2"/>
      <c r="AF817" s="2"/>
      <c r="AG817" s="2"/>
      <c r="AH817" s="2"/>
      <c r="AI817" s="6"/>
      <c r="AJ817" s="2"/>
      <c r="AK817" s="56"/>
      <c r="AL817" s="2"/>
      <c r="AM817" s="2"/>
      <c r="AN817" s="2"/>
      <c r="AO817" s="2"/>
      <c r="AP817" s="6"/>
      <c r="AQ817" s="2"/>
      <c r="AR817" s="2"/>
      <c r="AS817" s="2"/>
      <c r="AT817" s="2"/>
      <c r="AU817" s="2"/>
      <c r="AV817" s="2"/>
      <c r="AW817" s="2"/>
      <c r="AX817" s="6"/>
      <c r="AY817" s="2"/>
      <c r="AZ817" s="2"/>
      <c r="BA817" s="2"/>
      <c r="BB817" s="2"/>
      <c r="BC817" s="2"/>
      <c r="BD817" s="6"/>
      <c r="BE817" s="2"/>
      <c r="BF817" s="6"/>
      <c r="BG817" s="58"/>
      <c r="BH817" s="6"/>
      <c r="BI817" s="2"/>
    </row>
    <row r="818" ht="12.75" customHeight="1">
      <c r="A818" s="71"/>
      <c r="B818" s="71"/>
      <c r="C818" s="11"/>
      <c r="D818" s="11"/>
      <c r="E818" s="2"/>
      <c r="F818" s="2"/>
      <c r="G818" s="2"/>
      <c r="H818" s="54"/>
      <c r="I818" s="4"/>
      <c r="J818" s="2"/>
      <c r="K818" s="2"/>
      <c r="L818" s="5"/>
      <c r="M818" s="5"/>
      <c r="N818" s="5"/>
      <c r="O818" s="5"/>
      <c r="P818" s="5"/>
      <c r="Q818" s="5"/>
      <c r="R818" s="2"/>
      <c r="S818" s="2"/>
      <c r="T818" s="2"/>
      <c r="U818" s="2"/>
      <c r="V818" s="2"/>
      <c r="W818" s="2"/>
      <c r="X818" s="6"/>
      <c r="Y818" s="2"/>
      <c r="Z818" s="2"/>
      <c r="AA818" s="2"/>
      <c r="AB818" s="2"/>
      <c r="AC818" s="6"/>
      <c r="AD818" s="2"/>
      <c r="AE818" s="2"/>
      <c r="AF818" s="2"/>
      <c r="AG818" s="2"/>
      <c r="AH818" s="2"/>
      <c r="AI818" s="6"/>
      <c r="AJ818" s="2"/>
      <c r="AK818" s="56"/>
      <c r="AL818" s="2"/>
      <c r="AM818" s="2"/>
      <c r="AN818" s="2"/>
      <c r="AO818" s="2"/>
      <c r="AP818" s="6"/>
      <c r="AQ818" s="2"/>
      <c r="AR818" s="2"/>
      <c r="AS818" s="2"/>
      <c r="AT818" s="2"/>
      <c r="AU818" s="2"/>
      <c r="AV818" s="2"/>
      <c r="AW818" s="2"/>
      <c r="AX818" s="6"/>
      <c r="AY818" s="2"/>
      <c r="AZ818" s="2"/>
      <c r="BA818" s="2"/>
      <c r="BB818" s="2"/>
      <c r="BC818" s="2"/>
      <c r="BD818" s="6"/>
      <c r="BE818" s="2"/>
      <c r="BF818" s="6"/>
      <c r="BG818" s="58"/>
      <c r="BH818" s="6"/>
      <c r="BI818" s="2"/>
    </row>
    <row r="819" ht="12.75" customHeight="1">
      <c r="A819" s="71"/>
      <c r="B819" s="71"/>
      <c r="C819" s="11"/>
      <c r="D819" s="11"/>
      <c r="E819" s="2"/>
      <c r="F819" s="2"/>
      <c r="G819" s="2"/>
      <c r="H819" s="54"/>
      <c r="I819" s="4"/>
      <c r="J819" s="2"/>
      <c r="K819" s="2"/>
      <c r="L819" s="5"/>
      <c r="M819" s="5"/>
      <c r="N819" s="5"/>
      <c r="O819" s="5"/>
      <c r="P819" s="5"/>
      <c r="Q819" s="5"/>
      <c r="R819" s="2"/>
      <c r="S819" s="2"/>
      <c r="T819" s="2"/>
      <c r="U819" s="2"/>
      <c r="V819" s="2"/>
      <c r="W819" s="2"/>
      <c r="X819" s="6"/>
      <c r="Y819" s="2"/>
      <c r="Z819" s="2"/>
      <c r="AA819" s="2"/>
      <c r="AB819" s="2"/>
      <c r="AC819" s="6"/>
      <c r="AD819" s="2"/>
      <c r="AE819" s="2"/>
      <c r="AF819" s="2"/>
      <c r="AG819" s="2"/>
      <c r="AH819" s="2"/>
      <c r="AI819" s="6"/>
      <c r="AJ819" s="2"/>
      <c r="AK819" s="56"/>
      <c r="AL819" s="2"/>
      <c r="AM819" s="2"/>
      <c r="AN819" s="2"/>
      <c r="AO819" s="2"/>
      <c r="AP819" s="6"/>
      <c r="AQ819" s="2"/>
      <c r="AR819" s="2"/>
      <c r="AS819" s="2"/>
      <c r="AT819" s="2"/>
      <c r="AU819" s="2"/>
      <c r="AV819" s="2"/>
      <c r="AW819" s="2"/>
      <c r="AX819" s="6"/>
      <c r="AY819" s="2"/>
      <c r="AZ819" s="2"/>
      <c r="BA819" s="2"/>
      <c r="BB819" s="2"/>
      <c r="BC819" s="2"/>
      <c r="BD819" s="6"/>
      <c r="BE819" s="2"/>
      <c r="BF819" s="6"/>
      <c r="BG819" s="58"/>
      <c r="BH819" s="6"/>
      <c r="BI819" s="2"/>
    </row>
    <row r="820" ht="12.75" customHeight="1">
      <c r="A820" s="71"/>
      <c r="B820" s="71"/>
      <c r="C820" s="11"/>
      <c r="D820" s="11"/>
      <c r="E820" s="2"/>
      <c r="F820" s="2"/>
      <c r="G820" s="2"/>
      <c r="H820" s="54"/>
      <c r="I820" s="4"/>
      <c r="J820" s="2"/>
      <c r="K820" s="2"/>
      <c r="L820" s="5"/>
      <c r="M820" s="5"/>
      <c r="N820" s="5"/>
      <c r="O820" s="5"/>
      <c r="P820" s="5"/>
      <c r="Q820" s="5"/>
      <c r="R820" s="2"/>
      <c r="S820" s="2"/>
      <c r="T820" s="2"/>
      <c r="U820" s="2"/>
      <c r="V820" s="2"/>
      <c r="W820" s="2"/>
      <c r="X820" s="6"/>
      <c r="Y820" s="2"/>
      <c r="Z820" s="2"/>
      <c r="AA820" s="2"/>
      <c r="AB820" s="2"/>
      <c r="AC820" s="6"/>
      <c r="AD820" s="2"/>
      <c r="AE820" s="2"/>
      <c r="AF820" s="2"/>
      <c r="AG820" s="2"/>
      <c r="AH820" s="2"/>
      <c r="AI820" s="6"/>
      <c r="AJ820" s="2"/>
      <c r="AK820" s="56"/>
      <c r="AL820" s="2"/>
      <c r="AM820" s="2"/>
      <c r="AN820" s="2"/>
      <c r="AO820" s="2"/>
      <c r="AP820" s="6"/>
      <c r="AQ820" s="2"/>
      <c r="AR820" s="2"/>
      <c r="AS820" s="2"/>
      <c r="AT820" s="2"/>
      <c r="AU820" s="2"/>
      <c r="AV820" s="2"/>
      <c r="AW820" s="2"/>
      <c r="AX820" s="6"/>
      <c r="AY820" s="2"/>
      <c r="AZ820" s="2"/>
      <c r="BA820" s="2"/>
      <c r="BB820" s="2"/>
      <c r="BC820" s="2"/>
      <c r="BD820" s="6"/>
      <c r="BE820" s="2"/>
      <c r="BF820" s="6"/>
      <c r="BG820" s="58"/>
      <c r="BH820" s="6"/>
      <c r="BI820" s="2"/>
    </row>
    <row r="821" ht="12.75" customHeight="1">
      <c r="A821" s="71"/>
      <c r="B821" s="71"/>
      <c r="C821" s="11"/>
      <c r="D821" s="11"/>
      <c r="E821" s="2"/>
      <c r="F821" s="2"/>
      <c r="G821" s="2"/>
      <c r="H821" s="54"/>
      <c r="I821" s="4"/>
      <c r="J821" s="2"/>
      <c r="K821" s="2"/>
      <c r="L821" s="5"/>
      <c r="M821" s="5"/>
      <c r="N821" s="5"/>
      <c r="O821" s="5"/>
      <c r="P821" s="5"/>
      <c r="Q821" s="5"/>
      <c r="R821" s="2"/>
      <c r="S821" s="2"/>
      <c r="T821" s="2"/>
      <c r="U821" s="2"/>
      <c r="V821" s="2"/>
      <c r="W821" s="2"/>
      <c r="X821" s="6"/>
      <c r="Y821" s="2"/>
      <c r="Z821" s="2"/>
      <c r="AA821" s="2"/>
      <c r="AB821" s="2"/>
      <c r="AC821" s="6"/>
      <c r="AD821" s="2"/>
      <c r="AE821" s="2"/>
      <c r="AF821" s="2"/>
      <c r="AG821" s="2"/>
      <c r="AH821" s="2"/>
      <c r="AI821" s="6"/>
      <c r="AJ821" s="2"/>
      <c r="AK821" s="56"/>
      <c r="AL821" s="2"/>
      <c r="AM821" s="2"/>
      <c r="AN821" s="2"/>
      <c r="AO821" s="2"/>
      <c r="AP821" s="6"/>
      <c r="AQ821" s="2"/>
      <c r="AR821" s="2"/>
      <c r="AS821" s="2"/>
      <c r="AT821" s="2"/>
      <c r="AU821" s="2"/>
      <c r="AV821" s="2"/>
      <c r="AW821" s="2"/>
      <c r="AX821" s="6"/>
      <c r="AY821" s="2"/>
      <c r="AZ821" s="2"/>
      <c r="BA821" s="2"/>
      <c r="BB821" s="2"/>
      <c r="BC821" s="2"/>
      <c r="BD821" s="6"/>
      <c r="BE821" s="2"/>
      <c r="BF821" s="6"/>
      <c r="BG821" s="58"/>
      <c r="BH821" s="6"/>
      <c r="BI821" s="2"/>
    </row>
    <row r="822" ht="12.75" customHeight="1">
      <c r="A822" s="71"/>
      <c r="B822" s="71"/>
      <c r="C822" s="11"/>
      <c r="D822" s="11"/>
      <c r="E822" s="2"/>
      <c r="F822" s="2"/>
      <c r="G822" s="2"/>
      <c r="H822" s="54"/>
      <c r="I822" s="4"/>
      <c r="J822" s="2"/>
      <c r="K822" s="2"/>
      <c r="L822" s="5"/>
      <c r="M822" s="5"/>
      <c r="N822" s="5"/>
      <c r="O822" s="5"/>
      <c r="P822" s="5"/>
      <c r="Q822" s="5"/>
      <c r="R822" s="2"/>
      <c r="S822" s="2"/>
      <c r="T822" s="2"/>
      <c r="U822" s="2"/>
      <c r="V822" s="2"/>
      <c r="W822" s="2"/>
      <c r="X822" s="6"/>
      <c r="Y822" s="2"/>
      <c r="Z822" s="2"/>
      <c r="AA822" s="2"/>
      <c r="AB822" s="2"/>
      <c r="AC822" s="6"/>
      <c r="AD822" s="2"/>
      <c r="AE822" s="2"/>
      <c r="AF822" s="2"/>
      <c r="AG822" s="2"/>
      <c r="AH822" s="2"/>
      <c r="AI822" s="6"/>
      <c r="AJ822" s="2"/>
      <c r="AK822" s="56"/>
      <c r="AL822" s="2"/>
      <c r="AM822" s="2"/>
      <c r="AN822" s="2"/>
      <c r="AO822" s="2"/>
      <c r="AP822" s="6"/>
      <c r="AQ822" s="2"/>
      <c r="AR822" s="2"/>
      <c r="AS822" s="2"/>
      <c r="AT822" s="2"/>
      <c r="AU822" s="2"/>
      <c r="AV822" s="2"/>
      <c r="AW822" s="2"/>
      <c r="AX822" s="6"/>
      <c r="AY822" s="2"/>
      <c r="AZ822" s="2"/>
      <c r="BA822" s="2"/>
      <c r="BB822" s="2"/>
      <c r="BC822" s="2"/>
      <c r="BD822" s="6"/>
      <c r="BE822" s="2"/>
      <c r="BF822" s="6"/>
      <c r="BG822" s="58"/>
      <c r="BH822" s="6"/>
      <c r="BI822" s="2"/>
    </row>
    <row r="823" ht="12.75" customHeight="1">
      <c r="A823" s="71"/>
      <c r="B823" s="71"/>
      <c r="C823" s="11"/>
      <c r="D823" s="11"/>
      <c r="E823" s="2"/>
      <c r="F823" s="2"/>
      <c r="G823" s="2"/>
      <c r="H823" s="54"/>
      <c r="I823" s="4"/>
      <c r="J823" s="2"/>
      <c r="K823" s="2"/>
      <c r="L823" s="5"/>
      <c r="M823" s="5"/>
      <c r="N823" s="5"/>
      <c r="O823" s="5"/>
      <c r="P823" s="5"/>
      <c r="Q823" s="5"/>
      <c r="R823" s="2"/>
      <c r="S823" s="2"/>
      <c r="T823" s="2"/>
      <c r="U823" s="2"/>
      <c r="V823" s="2"/>
      <c r="W823" s="2"/>
      <c r="X823" s="6"/>
      <c r="Y823" s="2"/>
      <c r="Z823" s="2"/>
      <c r="AA823" s="2"/>
      <c r="AB823" s="2"/>
      <c r="AC823" s="6"/>
      <c r="AD823" s="2"/>
      <c r="AE823" s="2"/>
      <c r="AF823" s="2"/>
      <c r="AG823" s="2"/>
      <c r="AH823" s="2"/>
      <c r="AI823" s="6"/>
      <c r="AJ823" s="2"/>
      <c r="AK823" s="56"/>
      <c r="AL823" s="2"/>
      <c r="AM823" s="2"/>
      <c r="AN823" s="2"/>
      <c r="AO823" s="2"/>
      <c r="AP823" s="6"/>
      <c r="AQ823" s="2"/>
      <c r="AR823" s="2"/>
      <c r="AS823" s="2"/>
      <c r="AT823" s="2"/>
      <c r="AU823" s="2"/>
      <c r="AV823" s="2"/>
      <c r="AW823" s="2"/>
      <c r="AX823" s="6"/>
      <c r="AY823" s="2"/>
      <c r="AZ823" s="2"/>
      <c r="BA823" s="2"/>
      <c r="BB823" s="2"/>
      <c r="BC823" s="2"/>
      <c r="BD823" s="6"/>
      <c r="BE823" s="2"/>
      <c r="BF823" s="6"/>
      <c r="BG823" s="58"/>
      <c r="BH823" s="6"/>
      <c r="BI823" s="2"/>
    </row>
    <row r="824" ht="12.75" customHeight="1">
      <c r="A824" s="71"/>
      <c r="B824" s="71"/>
      <c r="C824" s="11"/>
      <c r="D824" s="11"/>
      <c r="E824" s="2"/>
      <c r="F824" s="2"/>
      <c r="G824" s="2"/>
      <c r="H824" s="54"/>
      <c r="I824" s="4"/>
      <c r="J824" s="2"/>
      <c r="K824" s="2"/>
      <c r="L824" s="5"/>
      <c r="M824" s="5"/>
      <c r="N824" s="5"/>
      <c r="O824" s="5"/>
      <c r="P824" s="5"/>
      <c r="Q824" s="5"/>
      <c r="R824" s="2"/>
      <c r="S824" s="2"/>
      <c r="T824" s="2"/>
      <c r="U824" s="2"/>
      <c r="V824" s="2"/>
      <c r="W824" s="2"/>
      <c r="X824" s="6"/>
      <c r="Y824" s="2"/>
      <c r="Z824" s="2"/>
      <c r="AA824" s="2"/>
      <c r="AB824" s="2"/>
      <c r="AC824" s="6"/>
      <c r="AD824" s="2"/>
      <c r="AE824" s="2"/>
      <c r="AF824" s="2"/>
      <c r="AG824" s="2"/>
      <c r="AH824" s="2"/>
      <c r="AI824" s="6"/>
      <c r="AJ824" s="2"/>
      <c r="AK824" s="56"/>
      <c r="AL824" s="2"/>
      <c r="AM824" s="2"/>
      <c r="AN824" s="2"/>
      <c r="AO824" s="2"/>
      <c r="AP824" s="6"/>
      <c r="AQ824" s="2"/>
      <c r="AR824" s="2"/>
      <c r="AS824" s="2"/>
      <c r="AT824" s="2"/>
      <c r="AU824" s="2"/>
      <c r="AV824" s="2"/>
      <c r="AW824" s="2"/>
      <c r="AX824" s="6"/>
      <c r="AY824" s="2"/>
      <c r="AZ824" s="2"/>
      <c r="BA824" s="2"/>
      <c r="BB824" s="2"/>
      <c r="BC824" s="2"/>
      <c r="BD824" s="6"/>
      <c r="BE824" s="2"/>
      <c r="BF824" s="6"/>
      <c r="BG824" s="58"/>
      <c r="BH824" s="6"/>
      <c r="BI824" s="2"/>
    </row>
    <row r="825" ht="12.75" customHeight="1">
      <c r="A825" s="71"/>
      <c r="B825" s="71"/>
      <c r="C825" s="11"/>
      <c r="D825" s="11"/>
      <c r="E825" s="2"/>
      <c r="F825" s="2"/>
      <c r="G825" s="2"/>
      <c r="H825" s="54"/>
      <c r="I825" s="4"/>
      <c r="J825" s="2"/>
      <c r="K825" s="2"/>
      <c r="L825" s="5"/>
      <c r="M825" s="5"/>
      <c r="N825" s="5"/>
      <c r="O825" s="5"/>
      <c r="P825" s="5"/>
      <c r="Q825" s="5"/>
      <c r="R825" s="2"/>
      <c r="S825" s="2"/>
      <c r="T825" s="2"/>
      <c r="U825" s="2"/>
      <c r="V825" s="2"/>
      <c r="W825" s="2"/>
      <c r="X825" s="6"/>
      <c r="Y825" s="2"/>
      <c r="Z825" s="2"/>
      <c r="AA825" s="2"/>
      <c r="AB825" s="2"/>
      <c r="AC825" s="6"/>
      <c r="AD825" s="2"/>
      <c r="AE825" s="2"/>
      <c r="AF825" s="2"/>
      <c r="AG825" s="2"/>
      <c r="AH825" s="2"/>
      <c r="AI825" s="6"/>
      <c r="AJ825" s="2"/>
      <c r="AK825" s="56"/>
      <c r="AL825" s="2"/>
      <c r="AM825" s="2"/>
      <c r="AN825" s="2"/>
      <c r="AO825" s="2"/>
      <c r="AP825" s="6"/>
      <c r="AQ825" s="2"/>
      <c r="AR825" s="2"/>
      <c r="AS825" s="2"/>
      <c r="AT825" s="2"/>
      <c r="AU825" s="2"/>
      <c r="AV825" s="2"/>
      <c r="AW825" s="2"/>
      <c r="AX825" s="6"/>
      <c r="AY825" s="2"/>
      <c r="AZ825" s="2"/>
      <c r="BA825" s="2"/>
      <c r="BB825" s="2"/>
      <c r="BC825" s="2"/>
      <c r="BD825" s="6"/>
      <c r="BE825" s="2"/>
      <c r="BF825" s="6"/>
      <c r="BG825" s="58"/>
      <c r="BH825" s="6"/>
      <c r="BI825" s="2"/>
    </row>
    <row r="826" ht="12.75" customHeight="1">
      <c r="A826" s="71"/>
      <c r="B826" s="71"/>
      <c r="C826" s="11"/>
      <c r="D826" s="11"/>
      <c r="E826" s="2"/>
      <c r="F826" s="2"/>
      <c r="G826" s="2"/>
      <c r="H826" s="54"/>
      <c r="I826" s="4"/>
      <c r="J826" s="2"/>
      <c r="K826" s="2"/>
      <c r="L826" s="5"/>
      <c r="M826" s="5"/>
      <c r="N826" s="5"/>
      <c r="O826" s="5"/>
      <c r="P826" s="5"/>
      <c r="Q826" s="5"/>
      <c r="R826" s="2"/>
      <c r="S826" s="2"/>
      <c r="T826" s="2"/>
      <c r="U826" s="2"/>
      <c r="V826" s="2"/>
      <c r="W826" s="2"/>
      <c r="X826" s="6"/>
      <c r="Y826" s="2"/>
      <c r="Z826" s="2"/>
      <c r="AA826" s="2"/>
      <c r="AB826" s="2"/>
      <c r="AC826" s="6"/>
      <c r="AD826" s="2"/>
      <c r="AE826" s="2"/>
      <c r="AF826" s="2"/>
      <c r="AG826" s="2"/>
      <c r="AH826" s="2"/>
      <c r="AI826" s="6"/>
      <c r="AJ826" s="2"/>
      <c r="AK826" s="56"/>
      <c r="AL826" s="2"/>
      <c r="AM826" s="2"/>
      <c r="AN826" s="2"/>
      <c r="AO826" s="2"/>
      <c r="AP826" s="6"/>
      <c r="AQ826" s="2"/>
      <c r="AR826" s="2"/>
      <c r="AS826" s="2"/>
      <c r="AT826" s="2"/>
      <c r="AU826" s="2"/>
      <c r="AV826" s="2"/>
      <c r="AW826" s="2"/>
      <c r="AX826" s="6"/>
      <c r="AY826" s="2"/>
      <c r="AZ826" s="2"/>
      <c r="BA826" s="2"/>
      <c r="BB826" s="2"/>
      <c r="BC826" s="2"/>
      <c r="BD826" s="6"/>
      <c r="BE826" s="2"/>
      <c r="BF826" s="6"/>
      <c r="BG826" s="58"/>
      <c r="BH826" s="6"/>
      <c r="BI826" s="2"/>
    </row>
    <row r="827" ht="12.75" customHeight="1">
      <c r="A827" s="71"/>
      <c r="B827" s="71"/>
      <c r="C827" s="11"/>
      <c r="D827" s="11"/>
      <c r="E827" s="2"/>
      <c r="F827" s="2"/>
      <c r="G827" s="2"/>
      <c r="H827" s="54"/>
      <c r="I827" s="4"/>
      <c r="J827" s="2"/>
      <c r="K827" s="2"/>
      <c r="L827" s="5"/>
      <c r="M827" s="5"/>
      <c r="N827" s="5"/>
      <c r="O827" s="5"/>
      <c r="P827" s="5"/>
      <c r="Q827" s="5"/>
      <c r="R827" s="2"/>
      <c r="S827" s="2"/>
      <c r="T827" s="2"/>
      <c r="U827" s="2"/>
      <c r="V827" s="2"/>
      <c r="W827" s="2"/>
      <c r="X827" s="6"/>
      <c r="Y827" s="2"/>
      <c r="Z827" s="2"/>
      <c r="AA827" s="2"/>
      <c r="AB827" s="2"/>
      <c r="AC827" s="6"/>
      <c r="AD827" s="2"/>
      <c r="AE827" s="2"/>
      <c r="AF827" s="2"/>
      <c r="AG827" s="2"/>
      <c r="AH827" s="2"/>
      <c r="AI827" s="6"/>
      <c r="AJ827" s="2"/>
      <c r="AK827" s="56"/>
      <c r="AL827" s="2"/>
      <c r="AM827" s="2"/>
      <c r="AN827" s="2"/>
      <c r="AO827" s="2"/>
      <c r="AP827" s="6"/>
      <c r="AQ827" s="2"/>
      <c r="AR827" s="2"/>
      <c r="AS827" s="2"/>
      <c r="AT827" s="2"/>
      <c r="AU827" s="2"/>
      <c r="AV827" s="2"/>
      <c r="AW827" s="2"/>
      <c r="AX827" s="6"/>
      <c r="AY827" s="2"/>
      <c r="AZ827" s="2"/>
      <c r="BA827" s="2"/>
      <c r="BB827" s="2"/>
      <c r="BC827" s="2"/>
      <c r="BD827" s="6"/>
      <c r="BE827" s="2"/>
      <c r="BF827" s="6"/>
      <c r="BG827" s="58"/>
      <c r="BH827" s="6"/>
      <c r="BI827" s="2"/>
    </row>
    <row r="828" ht="12.75" customHeight="1">
      <c r="A828" s="71"/>
      <c r="B828" s="71"/>
      <c r="C828" s="11"/>
      <c r="D828" s="11"/>
      <c r="E828" s="2"/>
      <c r="F828" s="2"/>
      <c r="G828" s="2"/>
      <c r="H828" s="54"/>
      <c r="I828" s="4"/>
      <c r="J828" s="2"/>
      <c r="K828" s="2"/>
      <c r="L828" s="5"/>
      <c r="M828" s="5"/>
      <c r="N828" s="5"/>
      <c r="O828" s="5"/>
      <c r="P828" s="5"/>
      <c r="Q828" s="5"/>
      <c r="R828" s="2"/>
      <c r="S828" s="2"/>
      <c r="T828" s="2"/>
      <c r="U828" s="2"/>
      <c r="V828" s="2"/>
      <c r="W828" s="2"/>
      <c r="X828" s="6"/>
      <c r="Y828" s="2"/>
      <c r="Z828" s="2"/>
      <c r="AA828" s="2"/>
      <c r="AB828" s="2"/>
      <c r="AC828" s="6"/>
      <c r="AD828" s="2"/>
      <c r="AE828" s="2"/>
      <c r="AF828" s="2"/>
      <c r="AG828" s="2"/>
      <c r="AH828" s="2"/>
      <c r="AI828" s="6"/>
      <c r="AJ828" s="2"/>
      <c r="AK828" s="56"/>
      <c r="AL828" s="2"/>
      <c r="AM828" s="2"/>
      <c r="AN828" s="2"/>
      <c r="AO828" s="2"/>
      <c r="AP828" s="6"/>
      <c r="AQ828" s="2"/>
      <c r="AR828" s="2"/>
      <c r="AS828" s="2"/>
      <c r="AT828" s="2"/>
      <c r="AU828" s="2"/>
      <c r="AV828" s="2"/>
      <c r="AW828" s="2"/>
      <c r="AX828" s="6"/>
      <c r="AY828" s="2"/>
      <c r="AZ828" s="2"/>
      <c r="BA828" s="2"/>
      <c r="BB828" s="2"/>
      <c r="BC828" s="2"/>
      <c r="BD828" s="6"/>
      <c r="BE828" s="2"/>
      <c r="BF828" s="6"/>
      <c r="BG828" s="58"/>
      <c r="BH828" s="6"/>
      <c r="BI828" s="2"/>
    </row>
    <row r="829" ht="12.75" customHeight="1">
      <c r="A829" s="71"/>
      <c r="B829" s="71"/>
      <c r="C829" s="11"/>
      <c r="D829" s="11"/>
      <c r="E829" s="2"/>
      <c r="F829" s="2"/>
      <c r="G829" s="2"/>
      <c r="H829" s="54"/>
      <c r="I829" s="4"/>
      <c r="J829" s="2"/>
      <c r="K829" s="2"/>
      <c r="L829" s="5"/>
      <c r="M829" s="5"/>
      <c r="N829" s="5"/>
      <c r="O829" s="5"/>
      <c r="P829" s="5"/>
      <c r="Q829" s="5"/>
      <c r="R829" s="2"/>
      <c r="S829" s="2"/>
      <c r="T829" s="2"/>
      <c r="U829" s="2"/>
      <c r="V829" s="2"/>
      <c r="W829" s="2"/>
      <c r="X829" s="6"/>
      <c r="Y829" s="2"/>
      <c r="Z829" s="2"/>
      <c r="AA829" s="2"/>
      <c r="AB829" s="2"/>
      <c r="AC829" s="6"/>
      <c r="AD829" s="2"/>
      <c r="AE829" s="2"/>
      <c r="AF829" s="2"/>
      <c r="AG829" s="2"/>
      <c r="AH829" s="2"/>
      <c r="AI829" s="6"/>
      <c r="AJ829" s="2"/>
      <c r="AK829" s="56"/>
      <c r="AL829" s="2"/>
      <c r="AM829" s="2"/>
      <c r="AN829" s="2"/>
      <c r="AO829" s="2"/>
      <c r="AP829" s="6"/>
      <c r="AQ829" s="2"/>
      <c r="AR829" s="2"/>
      <c r="AS829" s="2"/>
      <c r="AT829" s="2"/>
      <c r="AU829" s="2"/>
      <c r="AV829" s="2"/>
      <c r="AW829" s="2"/>
      <c r="AX829" s="6"/>
      <c r="AY829" s="2"/>
      <c r="AZ829" s="2"/>
      <c r="BA829" s="2"/>
      <c r="BB829" s="2"/>
      <c r="BC829" s="2"/>
      <c r="BD829" s="6"/>
      <c r="BE829" s="2"/>
      <c r="BF829" s="6"/>
      <c r="BG829" s="58"/>
      <c r="BH829" s="6"/>
      <c r="BI829" s="2"/>
    </row>
    <row r="830" ht="12.75" customHeight="1">
      <c r="A830" s="71"/>
      <c r="B830" s="71"/>
      <c r="C830" s="11"/>
      <c r="D830" s="11"/>
      <c r="E830" s="2"/>
      <c r="F830" s="2"/>
      <c r="G830" s="2"/>
      <c r="H830" s="54"/>
      <c r="I830" s="4"/>
      <c r="J830" s="2"/>
      <c r="K830" s="2"/>
      <c r="L830" s="5"/>
      <c r="M830" s="5"/>
      <c r="N830" s="5"/>
      <c r="O830" s="5"/>
      <c r="P830" s="5"/>
      <c r="Q830" s="5"/>
      <c r="R830" s="2"/>
      <c r="S830" s="2"/>
      <c r="T830" s="2"/>
      <c r="U830" s="2"/>
      <c r="V830" s="2"/>
      <c r="W830" s="2"/>
      <c r="X830" s="6"/>
      <c r="Y830" s="2"/>
      <c r="Z830" s="2"/>
      <c r="AA830" s="2"/>
      <c r="AB830" s="2"/>
      <c r="AC830" s="6"/>
      <c r="AD830" s="2"/>
      <c r="AE830" s="2"/>
      <c r="AF830" s="2"/>
      <c r="AG830" s="2"/>
      <c r="AH830" s="2"/>
      <c r="AI830" s="6"/>
      <c r="AJ830" s="2"/>
      <c r="AK830" s="56"/>
      <c r="AL830" s="2"/>
      <c r="AM830" s="2"/>
      <c r="AN830" s="2"/>
      <c r="AO830" s="2"/>
      <c r="AP830" s="6"/>
      <c r="AQ830" s="2"/>
      <c r="AR830" s="2"/>
      <c r="AS830" s="2"/>
      <c r="AT830" s="2"/>
      <c r="AU830" s="2"/>
      <c r="AV830" s="2"/>
      <c r="AW830" s="2"/>
      <c r="AX830" s="6"/>
      <c r="AY830" s="2"/>
      <c r="AZ830" s="2"/>
      <c r="BA830" s="2"/>
      <c r="BB830" s="2"/>
      <c r="BC830" s="2"/>
      <c r="BD830" s="6"/>
      <c r="BE830" s="2"/>
      <c r="BF830" s="6"/>
      <c r="BG830" s="58"/>
      <c r="BH830" s="6"/>
      <c r="BI830" s="2"/>
    </row>
    <row r="831" ht="12.75" customHeight="1">
      <c r="A831" s="71"/>
      <c r="B831" s="71"/>
      <c r="C831" s="11"/>
      <c r="D831" s="11"/>
      <c r="E831" s="2"/>
      <c r="F831" s="2"/>
      <c r="G831" s="2"/>
      <c r="H831" s="54"/>
      <c r="I831" s="4"/>
      <c r="J831" s="2"/>
      <c r="K831" s="2"/>
      <c r="L831" s="5"/>
      <c r="M831" s="5"/>
      <c r="N831" s="5"/>
      <c r="O831" s="5"/>
      <c r="P831" s="5"/>
      <c r="Q831" s="5"/>
      <c r="R831" s="2"/>
      <c r="S831" s="2"/>
      <c r="T831" s="2"/>
      <c r="U831" s="2"/>
      <c r="V831" s="2"/>
      <c r="W831" s="2"/>
      <c r="X831" s="6"/>
      <c r="Y831" s="2"/>
      <c r="Z831" s="2"/>
      <c r="AA831" s="2"/>
      <c r="AB831" s="2"/>
      <c r="AC831" s="6"/>
      <c r="AD831" s="2"/>
      <c r="AE831" s="2"/>
      <c r="AF831" s="2"/>
      <c r="AG831" s="2"/>
      <c r="AH831" s="2"/>
      <c r="AI831" s="6"/>
      <c r="AJ831" s="2"/>
      <c r="AK831" s="56"/>
      <c r="AL831" s="2"/>
      <c r="AM831" s="2"/>
      <c r="AN831" s="2"/>
      <c r="AO831" s="2"/>
      <c r="AP831" s="6"/>
      <c r="AQ831" s="2"/>
      <c r="AR831" s="2"/>
      <c r="AS831" s="2"/>
      <c r="AT831" s="2"/>
      <c r="AU831" s="2"/>
      <c r="AV831" s="2"/>
      <c r="AW831" s="2"/>
      <c r="AX831" s="6"/>
      <c r="AY831" s="2"/>
      <c r="AZ831" s="2"/>
      <c r="BA831" s="2"/>
      <c r="BB831" s="2"/>
      <c r="BC831" s="2"/>
      <c r="BD831" s="6"/>
      <c r="BE831" s="2"/>
      <c r="BF831" s="6"/>
      <c r="BG831" s="58"/>
      <c r="BH831" s="6"/>
      <c r="BI831" s="2"/>
    </row>
    <row r="832" ht="12.75" customHeight="1">
      <c r="A832" s="71"/>
      <c r="B832" s="71"/>
      <c r="C832" s="11"/>
      <c r="D832" s="11"/>
      <c r="E832" s="2"/>
      <c r="F832" s="2"/>
      <c r="G832" s="2"/>
      <c r="H832" s="54"/>
      <c r="I832" s="4"/>
      <c r="J832" s="2"/>
      <c r="K832" s="2"/>
      <c r="L832" s="5"/>
      <c r="M832" s="5"/>
      <c r="N832" s="5"/>
      <c r="O832" s="5"/>
      <c r="P832" s="5"/>
      <c r="Q832" s="5"/>
      <c r="R832" s="2"/>
      <c r="S832" s="2"/>
      <c r="T832" s="2"/>
      <c r="U832" s="2"/>
      <c r="V832" s="2"/>
      <c r="W832" s="2"/>
      <c r="X832" s="6"/>
      <c r="Y832" s="2"/>
      <c r="Z832" s="2"/>
      <c r="AA832" s="2"/>
      <c r="AB832" s="2"/>
      <c r="AC832" s="6"/>
      <c r="AD832" s="2"/>
      <c r="AE832" s="2"/>
      <c r="AF832" s="2"/>
      <c r="AG832" s="2"/>
      <c r="AH832" s="2"/>
      <c r="AI832" s="6"/>
      <c r="AJ832" s="2"/>
      <c r="AK832" s="56"/>
      <c r="AL832" s="2"/>
      <c r="AM832" s="2"/>
      <c r="AN832" s="2"/>
      <c r="AO832" s="2"/>
      <c r="AP832" s="6"/>
      <c r="AQ832" s="2"/>
      <c r="AR832" s="2"/>
      <c r="AS832" s="2"/>
      <c r="AT832" s="2"/>
      <c r="AU832" s="2"/>
      <c r="AV832" s="2"/>
      <c r="AW832" s="2"/>
      <c r="AX832" s="6"/>
      <c r="AY832" s="2"/>
      <c r="AZ832" s="2"/>
      <c r="BA832" s="2"/>
      <c r="BB832" s="2"/>
      <c r="BC832" s="2"/>
      <c r="BD832" s="6"/>
      <c r="BE832" s="2"/>
      <c r="BF832" s="6"/>
      <c r="BG832" s="58"/>
      <c r="BH832" s="6"/>
      <c r="BI832" s="2"/>
    </row>
    <row r="833" ht="12.75" customHeight="1">
      <c r="A833" s="71"/>
      <c r="B833" s="71"/>
      <c r="C833" s="11"/>
      <c r="D833" s="11"/>
      <c r="E833" s="2"/>
      <c r="F833" s="2"/>
      <c r="G833" s="2"/>
      <c r="H833" s="54"/>
      <c r="I833" s="4"/>
      <c r="J833" s="2"/>
      <c r="K833" s="2"/>
      <c r="L833" s="5"/>
      <c r="M833" s="5"/>
      <c r="N833" s="5"/>
      <c r="O833" s="5"/>
      <c r="P833" s="5"/>
      <c r="Q833" s="5"/>
      <c r="R833" s="2"/>
      <c r="S833" s="2"/>
      <c r="T833" s="2"/>
      <c r="U833" s="2"/>
      <c r="V833" s="2"/>
      <c r="W833" s="2"/>
      <c r="X833" s="6"/>
      <c r="Y833" s="2"/>
      <c r="Z833" s="2"/>
      <c r="AA833" s="2"/>
      <c r="AB833" s="2"/>
      <c r="AC833" s="6"/>
      <c r="AD833" s="2"/>
      <c r="AE833" s="2"/>
      <c r="AF833" s="2"/>
      <c r="AG833" s="2"/>
      <c r="AH833" s="2"/>
      <c r="AI833" s="6"/>
      <c r="AJ833" s="2"/>
      <c r="AK833" s="56"/>
      <c r="AL833" s="2"/>
      <c r="AM833" s="2"/>
      <c r="AN833" s="2"/>
      <c r="AO833" s="2"/>
      <c r="AP833" s="6"/>
      <c r="AQ833" s="2"/>
      <c r="AR833" s="2"/>
      <c r="AS833" s="2"/>
      <c r="AT833" s="2"/>
      <c r="AU833" s="2"/>
      <c r="AV833" s="2"/>
      <c r="AW833" s="2"/>
      <c r="AX833" s="6"/>
      <c r="AY833" s="2"/>
      <c r="AZ833" s="2"/>
      <c r="BA833" s="2"/>
      <c r="BB833" s="2"/>
      <c r="BC833" s="2"/>
      <c r="BD833" s="6"/>
      <c r="BE833" s="2"/>
      <c r="BF833" s="6"/>
      <c r="BG833" s="58"/>
      <c r="BH833" s="6"/>
      <c r="BI833" s="2"/>
    </row>
    <row r="834" ht="12.75" customHeight="1">
      <c r="A834" s="71"/>
      <c r="B834" s="71"/>
      <c r="C834" s="11"/>
      <c r="D834" s="11"/>
      <c r="E834" s="2"/>
      <c r="F834" s="2"/>
      <c r="G834" s="2"/>
      <c r="H834" s="54"/>
      <c r="I834" s="4"/>
      <c r="J834" s="2"/>
      <c r="K834" s="2"/>
      <c r="L834" s="5"/>
      <c r="M834" s="5"/>
      <c r="N834" s="5"/>
      <c r="O834" s="5"/>
      <c r="P834" s="5"/>
      <c r="Q834" s="5"/>
      <c r="R834" s="2"/>
      <c r="S834" s="2"/>
      <c r="T834" s="2"/>
      <c r="U834" s="2"/>
      <c r="V834" s="2"/>
      <c r="W834" s="2"/>
      <c r="X834" s="6"/>
      <c r="Y834" s="2"/>
      <c r="Z834" s="2"/>
      <c r="AA834" s="2"/>
      <c r="AB834" s="2"/>
      <c r="AC834" s="6"/>
      <c r="AD834" s="2"/>
      <c r="AE834" s="2"/>
      <c r="AF834" s="2"/>
      <c r="AG834" s="2"/>
      <c r="AH834" s="2"/>
      <c r="AI834" s="6"/>
      <c r="AJ834" s="2"/>
      <c r="AK834" s="56"/>
      <c r="AL834" s="2"/>
      <c r="AM834" s="2"/>
      <c r="AN834" s="2"/>
      <c r="AO834" s="2"/>
      <c r="AP834" s="6"/>
      <c r="AQ834" s="2"/>
      <c r="AR834" s="2"/>
      <c r="AS834" s="2"/>
      <c r="AT834" s="2"/>
      <c r="AU834" s="2"/>
      <c r="AV834" s="2"/>
      <c r="AW834" s="2"/>
      <c r="AX834" s="6"/>
      <c r="AY834" s="2"/>
      <c r="AZ834" s="2"/>
      <c r="BA834" s="2"/>
      <c r="BB834" s="2"/>
      <c r="BC834" s="2"/>
      <c r="BD834" s="6"/>
      <c r="BE834" s="2"/>
      <c r="BF834" s="6"/>
      <c r="BG834" s="58"/>
      <c r="BH834" s="6"/>
      <c r="BI834" s="2"/>
    </row>
    <row r="835" ht="12.75" customHeight="1">
      <c r="A835" s="71"/>
      <c r="B835" s="71"/>
      <c r="C835" s="11"/>
      <c r="D835" s="11"/>
      <c r="E835" s="2"/>
      <c r="F835" s="2"/>
      <c r="G835" s="2"/>
      <c r="H835" s="54"/>
      <c r="I835" s="4"/>
      <c r="J835" s="2"/>
      <c r="K835" s="2"/>
      <c r="L835" s="5"/>
      <c r="M835" s="5"/>
      <c r="N835" s="5"/>
      <c r="O835" s="5"/>
      <c r="P835" s="5"/>
      <c r="Q835" s="5"/>
      <c r="R835" s="2"/>
      <c r="S835" s="2"/>
      <c r="T835" s="2"/>
      <c r="U835" s="2"/>
      <c r="V835" s="2"/>
      <c r="W835" s="2"/>
      <c r="X835" s="6"/>
      <c r="Y835" s="2"/>
      <c r="Z835" s="2"/>
      <c r="AA835" s="2"/>
      <c r="AB835" s="2"/>
      <c r="AC835" s="6"/>
      <c r="AD835" s="2"/>
      <c r="AE835" s="2"/>
      <c r="AF835" s="2"/>
      <c r="AG835" s="2"/>
      <c r="AH835" s="2"/>
      <c r="AI835" s="6"/>
      <c r="AJ835" s="2"/>
      <c r="AK835" s="56"/>
      <c r="AL835" s="2"/>
      <c r="AM835" s="2"/>
      <c r="AN835" s="2"/>
      <c r="AO835" s="2"/>
      <c r="AP835" s="6"/>
      <c r="AQ835" s="2"/>
      <c r="AR835" s="2"/>
      <c r="AS835" s="2"/>
      <c r="AT835" s="2"/>
      <c r="AU835" s="2"/>
      <c r="AV835" s="2"/>
      <c r="AW835" s="2"/>
      <c r="AX835" s="6"/>
      <c r="AY835" s="2"/>
      <c r="AZ835" s="2"/>
      <c r="BA835" s="2"/>
      <c r="BB835" s="2"/>
      <c r="BC835" s="2"/>
      <c r="BD835" s="6"/>
      <c r="BE835" s="2"/>
      <c r="BF835" s="6"/>
      <c r="BG835" s="58"/>
      <c r="BH835" s="6"/>
      <c r="BI835" s="2"/>
    </row>
    <row r="836" ht="12.75" customHeight="1">
      <c r="A836" s="71"/>
      <c r="B836" s="71"/>
      <c r="C836" s="11"/>
      <c r="D836" s="11"/>
      <c r="E836" s="2"/>
      <c r="F836" s="2"/>
      <c r="G836" s="2"/>
      <c r="H836" s="54"/>
      <c r="I836" s="4"/>
      <c r="J836" s="2"/>
      <c r="K836" s="2"/>
      <c r="L836" s="5"/>
      <c r="M836" s="5"/>
      <c r="N836" s="5"/>
      <c r="O836" s="5"/>
      <c r="P836" s="5"/>
      <c r="Q836" s="5"/>
      <c r="R836" s="2"/>
      <c r="S836" s="2"/>
      <c r="T836" s="2"/>
      <c r="U836" s="2"/>
      <c r="V836" s="2"/>
      <c r="W836" s="2"/>
      <c r="X836" s="6"/>
      <c r="Y836" s="2"/>
      <c r="Z836" s="2"/>
      <c r="AA836" s="2"/>
      <c r="AB836" s="2"/>
      <c r="AC836" s="6"/>
      <c r="AD836" s="2"/>
      <c r="AE836" s="2"/>
      <c r="AF836" s="2"/>
      <c r="AG836" s="2"/>
      <c r="AH836" s="2"/>
      <c r="AI836" s="6"/>
      <c r="AJ836" s="2"/>
      <c r="AK836" s="56"/>
      <c r="AL836" s="2"/>
      <c r="AM836" s="2"/>
      <c r="AN836" s="2"/>
      <c r="AO836" s="2"/>
      <c r="AP836" s="6"/>
      <c r="AQ836" s="2"/>
      <c r="AR836" s="2"/>
      <c r="AS836" s="2"/>
      <c r="AT836" s="2"/>
      <c r="AU836" s="2"/>
      <c r="AV836" s="2"/>
      <c r="AW836" s="2"/>
      <c r="AX836" s="6"/>
      <c r="AY836" s="2"/>
      <c r="AZ836" s="2"/>
      <c r="BA836" s="2"/>
      <c r="BB836" s="2"/>
      <c r="BC836" s="2"/>
      <c r="BD836" s="6"/>
      <c r="BE836" s="2"/>
      <c r="BF836" s="6"/>
      <c r="BG836" s="58"/>
      <c r="BH836" s="6"/>
      <c r="BI836" s="2"/>
    </row>
    <row r="837" ht="12.75" customHeight="1">
      <c r="A837" s="71"/>
      <c r="B837" s="71"/>
      <c r="C837" s="11"/>
      <c r="D837" s="11"/>
      <c r="E837" s="2"/>
      <c r="F837" s="2"/>
      <c r="G837" s="2"/>
      <c r="H837" s="54"/>
      <c r="I837" s="4"/>
      <c r="J837" s="2"/>
      <c r="K837" s="2"/>
      <c r="L837" s="5"/>
      <c r="M837" s="5"/>
      <c r="N837" s="5"/>
      <c r="O837" s="5"/>
      <c r="P837" s="5"/>
      <c r="Q837" s="5"/>
      <c r="R837" s="2"/>
      <c r="S837" s="2"/>
      <c r="T837" s="2"/>
      <c r="U837" s="2"/>
      <c r="V837" s="2"/>
      <c r="W837" s="2"/>
      <c r="X837" s="6"/>
      <c r="Y837" s="2"/>
      <c r="Z837" s="2"/>
      <c r="AA837" s="2"/>
      <c r="AB837" s="2"/>
      <c r="AC837" s="6"/>
      <c r="AD837" s="2"/>
      <c r="AE837" s="2"/>
      <c r="AF837" s="2"/>
      <c r="AG837" s="2"/>
      <c r="AH837" s="2"/>
      <c r="AI837" s="6"/>
      <c r="AJ837" s="2"/>
      <c r="AK837" s="56"/>
      <c r="AL837" s="2"/>
      <c r="AM837" s="2"/>
      <c r="AN837" s="2"/>
      <c r="AO837" s="2"/>
      <c r="AP837" s="6"/>
      <c r="AQ837" s="2"/>
      <c r="AR837" s="2"/>
      <c r="AS837" s="2"/>
      <c r="AT837" s="2"/>
      <c r="AU837" s="2"/>
      <c r="AV837" s="2"/>
      <c r="AW837" s="2"/>
      <c r="AX837" s="6"/>
      <c r="AY837" s="2"/>
      <c r="AZ837" s="2"/>
      <c r="BA837" s="2"/>
      <c r="BB837" s="2"/>
      <c r="BC837" s="2"/>
      <c r="BD837" s="6"/>
      <c r="BE837" s="2"/>
      <c r="BF837" s="6"/>
      <c r="BG837" s="58"/>
      <c r="BH837" s="6"/>
      <c r="BI837" s="2"/>
    </row>
    <row r="838" ht="12.75" customHeight="1">
      <c r="A838" s="71"/>
      <c r="B838" s="71"/>
      <c r="C838" s="11"/>
      <c r="D838" s="11"/>
      <c r="E838" s="2"/>
      <c r="F838" s="2"/>
      <c r="G838" s="2"/>
      <c r="H838" s="54"/>
      <c r="I838" s="4"/>
      <c r="J838" s="2"/>
      <c r="K838" s="2"/>
      <c r="L838" s="5"/>
      <c r="M838" s="5"/>
      <c r="N838" s="5"/>
      <c r="O838" s="5"/>
      <c r="P838" s="5"/>
      <c r="Q838" s="5"/>
      <c r="R838" s="2"/>
      <c r="S838" s="2"/>
      <c r="T838" s="2"/>
      <c r="U838" s="2"/>
      <c r="V838" s="2"/>
      <c r="W838" s="2"/>
      <c r="X838" s="6"/>
      <c r="Y838" s="2"/>
      <c r="Z838" s="2"/>
      <c r="AA838" s="2"/>
      <c r="AB838" s="2"/>
      <c r="AC838" s="6"/>
      <c r="AD838" s="2"/>
      <c r="AE838" s="2"/>
      <c r="AF838" s="2"/>
      <c r="AG838" s="2"/>
      <c r="AH838" s="2"/>
      <c r="AI838" s="6"/>
      <c r="AJ838" s="2"/>
      <c r="AK838" s="56"/>
      <c r="AL838" s="2"/>
      <c r="AM838" s="2"/>
      <c r="AN838" s="2"/>
      <c r="AO838" s="2"/>
      <c r="AP838" s="6"/>
      <c r="AQ838" s="2"/>
      <c r="AR838" s="2"/>
      <c r="AS838" s="2"/>
      <c r="AT838" s="2"/>
      <c r="AU838" s="2"/>
      <c r="AV838" s="2"/>
      <c r="AW838" s="2"/>
      <c r="AX838" s="6"/>
      <c r="AY838" s="2"/>
      <c r="AZ838" s="2"/>
      <c r="BA838" s="2"/>
      <c r="BB838" s="2"/>
      <c r="BC838" s="2"/>
      <c r="BD838" s="6"/>
      <c r="BE838" s="2"/>
      <c r="BF838" s="6"/>
      <c r="BG838" s="58"/>
      <c r="BH838" s="6"/>
      <c r="BI838" s="2"/>
    </row>
    <row r="839" ht="12.75" customHeight="1">
      <c r="A839" s="71"/>
      <c r="B839" s="71"/>
      <c r="C839" s="11"/>
      <c r="D839" s="11"/>
      <c r="E839" s="2"/>
      <c r="F839" s="2"/>
      <c r="G839" s="2"/>
      <c r="H839" s="54"/>
      <c r="I839" s="4"/>
      <c r="J839" s="2"/>
      <c r="K839" s="2"/>
      <c r="L839" s="5"/>
      <c r="M839" s="5"/>
      <c r="N839" s="5"/>
      <c r="O839" s="5"/>
      <c r="P839" s="5"/>
      <c r="Q839" s="5"/>
      <c r="R839" s="2"/>
      <c r="S839" s="2"/>
      <c r="T839" s="2"/>
      <c r="U839" s="2"/>
      <c r="V839" s="2"/>
      <c r="W839" s="2"/>
      <c r="X839" s="6"/>
      <c r="Y839" s="2"/>
      <c r="Z839" s="2"/>
      <c r="AA839" s="2"/>
      <c r="AB839" s="2"/>
      <c r="AC839" s="6"/>
      <c r="AD839" s="2"/>
      <c r="AE839" s="2"/>
      <c r="AF839" s="2"/>
      <c r="AG839" s="2"/>
      <c r="AH839" s="2"/>
      <c r="AI839" s="6"/>
      <c r="AJ839" s="2"/>
      <c r="AK839" s="56"/>
      <c r="AL839" s="2"/>
      <c r="AM839" s="2"/>
      <c r="AN839" s="2"/>
      <c r="AO839" s="2"/>
      <c r="AP839" s="6"/>
      <c r="AQ839" s="2"/>
      <c r="AR839" s="2"/>
      <c r="AS839" s="2"/>
      <c r="AT839" s="2"/>
      <c r="AU839" s="2"/>
      <c r="AV839" s="2"/>
      <c r="AW839" s="2"/>
      <c r="AX839" s="6"/>
      <c r="AY839" s="2"/>
      <c r="AZ839" s="2"/>
      <c r="BA839" s="2"/>
      <c r="BB839" s="2"/>
      <c r="BC839" s="2"/>
      <c r="BD839" s="6"/>
      <c r="BE839" s="2"/>
      <c r="BF839" s="6"/>
      <c r="BG839" s="58"/>
      <c r="BH839" s="6"/>
      <c r="BI839" s="2"/>
    </row>
    <row r="840" ht="12.75" customHeight="1">
      <c r="A840" s="71"/>
      <c r="B840" s="71"/>
      <c r="C840" s="11"/>
      <c r="D840" s="11"/>
      <c r="E840" s="2"/>
      <c r="F840" s="2"/>
      <c r="G840" s="2"/>
      <c r="H840" s="54"/>
      <c r="I840" s="4"/>
      <c r="J840" s="2"/>
      <c r="K840" s="2"/>
      <c r="L840" s="5"/>
      <c r="M840" s="5"/>
      <c r="N840" s="5"/>
      <c r="O840" s="5"/>
      <c r="P840" s="5"/>
      <c r="Q840" s="5"/>
      <c r="R840" s="2"/>
      <c r="S840" s="2"/>
      <c r="T840" s="2"/>
      <c r="U840" s="2"/>
      <c r="V840" s="2"/>
      <c r="W840" s="2"/>
      <c r="X840" s="6"/>
      <c r="Y840" s="2"/>
      <c r="Z840" s="2"/>
      <c r="AA840" s="2"/>
      <c r="AB840" s="2"/>
      <c r="AC840" s="6"/>
      <c r="AD840" s="2"/>
      <c r="AE840" s="2"/>
      <c r="AF840" s="2"/>
      <c r="AG840" s="2"/>
      <c r="AH840" s="2"/>
      <c r="AI840" s="6"/>
      <c r="AJ840" s="2"/>
      <c r="AK840" s="56"/>
      <c r="AL840" s="2"/>
      <c r="AM840" s="2"/>
      <c r="AN840" s="2"/>
      <c r="AO840" s="2"/>
      <c r="AP840" s="6"/>
      <c r="AQ840" s="2"/>
      <c r="AR840" s="2"/>
      <c r="AS840" s="2"/>
      <c r="AT840" s="2"/>
      <c r="AU840" s="2"/>
      <c r="AV840" s="2"/>
      <c r="AW840" s="2"/>
      <c r="AX840" s="6"/>
      <c r="AY840" s="2"/>
      <c r="AZ840" s="2"/>
      <c r="BA840" s="2"/>
      <c r="BB840" s="2"/>
      <c r="BC840" s="2"/>
      <c r="BD840" s="6"/>
      <c r="BE840" s="2"/>
      <c r="BF840" s="6"/>
      <c r="BG840" s="58"/>
      <c r="BH840" s="6"/>
      <c r="BI840" s="2"/>
    </row>
    <row r="841" ht="12.75" customHeight="1">
      <c r="A841" s="71"/>
      <c r="B841" s="71"/>
      <c r="C841" s="11"/>
      <c r="D841" s="11"/>
      <c r="E841" s="2"/>
      <c r="F841" s="2"/>
      <c r="G841" s="2"/>
      <c r="H841" s="54"/>
      <c r="I841" s="4"/>
      <c r="J841" s="2"/>
      <c r="K841" s="2"/>
      <c r="L841" s="5"/>
      <c r="M841" s="5"/>
      <c r="N841" s="5"/>
      <c r="O841" s="5"/>
      <c r="P841" s="5"/>
      <c r="Q841" s="5"/>
      <c r="R841" s="2"/>
      <c r="S841" s="2"/>
      <c r="T841" s="2"/>
      <c r="U841" s="2"/>
      <c r="V841" s="2"/>
      <c r="W841" s="2"/>
      <c r="X841" s="6"/>
      <c r="Y841" s="2"/>
      <c r="Z841" s="2"/>
      <c r="AA841" s="2"/>
      <c r="AB841" s="2"/>
      <c r="AC841" s="6"/>
      <c r="AD841" s="2"/>
      <c r="AE841" s="2"/>
      <c r="AF841" s="2"/>
      <c r="AG841" s="2"/>
      <c r="AH841" s="2"/>
      <c r="AI841" s="6"/>
      <c r="AJ841" s="2"/>
      <c r="AK841" s="56"/>
      <c r="AL841" s="2"/>
      <c r="AM841" s="2"/>
      <c r="AN841" s="2"/>
      <c r="AO841" s="2"/>
      <c r="AP841" s="6"/>
      <c r="AQ841" s="2"/>
      <c r="AR841" s="2"/>
      <c r="AS841" s="2"/>
      <c r="AT841" s="2"/>
      <c r="AU841" s="2"/>
      <c r="AV841" s="2"/>
      <c r="AW841" s="2"/>
      <c r="AX841" s="6"/>
      <c r="AY841" s="2"/>
      <c r="AZ841" s="2"/>
      <c r="BA841" s="2"/>
      <c r="BB841" s="2"/>
      <c r="BC841" s="2"/>
      <c r="BD841" s="6"/>
      <c r="BE841" s="2"/>
      <c r="BF841" s="6"/>
      <c r="BG841" s="58"/>
      <c r="BH841" s="6"/>
      <c r="BI841" s="2"/>
    </row>
    <row r="842" ht="12.75" customHeight="1">
      <c r="A842" s="71"/>
      <c r="B842" s="71"/>
      <c r="C842" s="11"/>
      <c r="D842" s="11"/>
      <c r="E842" s="2"/>
      <c r="F842" s="2"/>
      <c r="G842" s="2"/>
      <c r="H842" s="54"/>
      <c r="I842" s="4"/>
      <c r="J842" s="2"/>
      <c r="K842" s="2"/>
      <c r="L842" s="5"/>
      <c r="M842" s="5"/>
      <c r="N842" s="5"/>
      <c r="O842" s="5"/>
      <c r="P842" s="5"/>
      <c r="Q842" s="5"/>
      <c r="R842" s="2"/>
      <c r="S842" s="2"/>
      <c r="T842" s="2"/>
      <c r="U842" s="2"/>
      <c r="V842" s="2"/>
      <c r="W842" s="2"/>
      <c r="X842" s="6"/>
      <c r="Y842" s="2"/>
      <c r="Z842" s="2"/>
      <c r="AA842" s="2"/>
      <c r="AB842" s="2"/>
      <c r="AC842" s="6"/>
      <c r="AD842" s="2"/>
      <c r="AE842" s="2"/>
      <c r="AF842" s="2"/>
      <c r="AG842" s="2"/>
      <c r="AH842" s="2"/>
      <c r="AI842" s="6"/>
      <c r="AJ842" s="2"/>
      <c r="AK842" s="56"/>
      <c r="AL842" s="2"/>
      <c r="AM842" s="2"/>
      <c r="AN842" s="2"/>
      <c r="AO842" s="2"/>
      <c r="AP842" s="6"/>
      <c r="AQ842" s="2"/>
      <c r="AR842" s="2"/>
      <c r="AS842" s="2"/>
      <c r="AT842" s="2"/>
      <c r="AU842" s="2"/>
      <c r="AV842" s="2"/>
      <c r="AW842" s="2"/>
      <c r="AX842" s="6"/>
      <c r="AY842" s="2"/>
      <c r="AZ842" s="2"/>
      <c r="BA842" s="2"/>
      <c r="BB842" s="2"/>
      <c r="BC842" s="2"/>
      <c r="BD842" s="6"/>
      <c r="BE842" s="2"/>
      <c r="BF842" s="6"/>
      <c r="BG842" s="58"/>
      <c r="BH842" s="6"/>
      <c r="BI842" s="2"/>
    </row>
    <row r="843" ht="12.75" customHeight="1">
      <c r="A843" s="71"/>
      <c r="B843" s="71"/>
      <c r="C843" s="11"/>
      <c r="D843" s="11"/>
      <c r="E843" s="2"/>
      <c r="F843" s="2"/>
      <c r="G843" s="2"/>
      <c r="H843" s="54"/>
      <c r="I843" s="4"/>
      <c r="J843" s="2"/>
      <c r="K843" s="2"/>
      <c r="L843" s="5"/>
      <c r="M843" s="5"/>
      <c r="N843" s="5"/>
      <c r="O843" s="5"/>
      <c r="P843" s="5"/>
      <c r="Q843" s="5"/>
      <c r="R843" s="2"/>
      <c r="S843" s="2"/>
      <c r="T843" s="2"/>
      <c r="U843" s="2"/>
      <c r="V843" s="2"/>
      <c r="W843" s="2"/>
      <c r="X843" s="6"/>
      <c r="Y843" s="2"/>
      <c r="Z843" s="2"/>
      <c r="AA843" s="2"/>
      <c r="AB843" s="2"/>
      <c r="AC843" s="6"/>
      <c r="AD843" s="2"/>
      <c r="AE843" s="2"/>
      <c r="AF843" s="2"/>
      <c r="AG843" s="2"/>
      <c r="AH843" s="2"/>
      <c r="AI843" s="6"/>
      <c r="AJ843" s="2"/>
      <c r="AK843" s="56"/>
      <c r="AL843" s="2"/>
      <c r="AM843" s="2"/>
      <c r="AN843" s="2"/>
      <c r="AO843" s="2"/>
      <c r="AP843" s="6"/>
      <c r="AQ843" s="2"/>
      <c r="AR843" s="2"/>
      <c r="AS843" s="2"/>
      <c r="AT843" s="2"/>
      <c r="AU843" s="2"/>
      <c r="AV843" s="2"/>
      <c r="AW843" s="2"/>
      <c r="AX843" s="6"/>
      <c r="AY843" s="2"/>
      <c r="AZ843" s="2"/>
      <c r="BA843" s="2"/>
      <c r="BB843" s="2"/>
      <c r="BC843" s="2"/>
      <c r="BD843" s="6"/>
      <c r="BE843" s="2"/>
      <c r="BF843" s="6"/>
      <c r="BG843" s="58"/>
      <c r="BH843" s="6"/>
      <c r="BI843" s="2"/>
    </row>
    <row r="844" ht="12.75" customHeight="1">
      <c r="A844" s="71"/>
      <c r="B844" s="71"/>
      <c r="C844" s="11"/>
      <c r="D844" s="11"/>
      <c r="E844" s="2"/>
      <c r="F844" s="2"/>
      <c r="G844" s="2"/>
      <c r="H844" s="54"/>
      <c r="I844" s="4"/>
      <c r="J844" s="2"/>
      <c r="K844" s="2"/>
      <c r="L844" s="5"/>
      <c r="M844" s="5"/>
      <c r="N844" s="5"/>
      <c r="O844" s="5"/>
      <c r="P844" s="5"/>
      <c r="Q844" s="5"/>
      <c r="R844" s="2"/>
      <c r="S844" s="2"/>
      <c r="T844" s="2"/>
      <c r="U844" s="2"/>
      <c r="V844" s="2"/>
      <c r="W844" s="2"/>
      <c r="X844" s="6"/>
      <c r="Y844" s="2"/>
      <c r="Z844" s="2"/>
      <c r="AA844" s="2"/>
      <c r="AB844" s="2"/>
      <c r="AC844" s="6"/>
      <c r="AD844" s="2"/>
      <c r="AE844" s="2"/>
      <c r="AF844" s="2"/>
      <c r="AG844" s="2"/>
      <c r="AH844" s="2"/>
      <c r="AI844" s="6"/>
      <c r="AJ844" s="2"/>
      <c r="AK844" s="56"/>
      <c r="AL844" s="2"/>
      <c r="AM844" s="2"/>
      <c r="AN844" s="2"/>
      <c r="AO844" s="2"/>
      <c r="AP844" s="6"/>
      <c r="AQ844" s="2"/>
      <c r="AR844" s="2"/>
      <c r="AS844" s="2"/>
      <c r="AT844" s="2"/>
      <c r="AU844" s="2"/>
      <c r="AV844" s="2"/>
      <c r="AW844" s="2"/>
      <c r="AX844" s="6"/>
      <c r="AY844" s="2"/>
      <c r="AZ844" s="2"/>
      <c r="BA844" s="2"/>
      <c r="BB844" s="2"/>
      <c r="BC844" s="2"/>
      <c r="BD844" s="6"/>
      <c r="BE844" s="2"/>
      <c r="BF844" s="6"/>
      <c r="BG844" s="58"/>
      <c r="BH844" s="6"/>
      <c r="BI844" s="2"/>
    </row>
    <row r="845" ht="12.75" customHeight="1">
      <c r="A845" s="71"/>
      <c r="B845" s="71"/>
      <c r="C845" s="11"/>
      <c r="D845" s="11"/>
      <c r="E845" s="2"/>
      <c r="F845" s="2"/>
      <c r="G845" s="2"/>
      <c r="H845" s="54"/>
      <c r="I845" s="4"/>
      <c r="J845" s="2"/>
      <c r="K845" s="2"/>
      <c r="L845" s="5"/>
      <c r="M845" s="5"/>
      <c r="N845" s="5"/>
      <c r="O845" s="5"/>
      <c r="P845" s="5"/>
      <c r="Q845" s="5"/>
      <c r="R845" s="2"/>
      <c r="S845" s="2"/>
      <c r="T845" s="2"/>
      <c r="U845" s="2"/>
      <c r="V845" s="2"/>
      <c r="W845" s="2"/>
      <c r="X845" s="6"/>
      <c r="Y845" s="2"/>
      <c r="Z845" s="2"/>
      <c r="AA845" s="2"/>
      <c r="AB845" s="2"/>
      <c r="AC845" s="6"/>
      <c r="AD845" s="2"/>
      <c r="AE845" s="2"/>
      <c r="AF845" s="2"/>
      <c r="AG845" s="2"/>
      <c r="AH845" s="2"/>
      <c r="AI845" s="6"/>
      <c r="AJ845" s="2"/>
      <c r="AK845" s="56"/>
      <c r="AL845" s="2"/>
      <c r="AM845" s="2"/>
      <c r="AN845" s="2"/>
      <c r="AO845" s="2"/>
      <c r="AP845" s="6"/>
      <c r="AQ845" s="2"/>
      <c r="AR845" s="2"/>
      <c r="AS845" s="2"/>
      <c r="AT845" s="2"/>
      <c r="AU845" s="2"/>
      <c r="AV845" s="2"/>
      <c r="AW845" s="2"/>
      <c r="AX845" s="6"/>
      <c r="AY845" s="2"/>
      <c r="AZ845" s="2"/>
      <c r="BA845" s="2"/>
      <c r="BB845" s="2"/>
      <c r="BC845" s="2"/>
      <c r="BD845" s="6"/>
      <c r="BE845" s="2"/>
      <c r="BF845" s="6"/>
      <c r="BG845" s="58"/>
      <c r="BH845" s="6"/>
      <c r="BI845" s="2"/>
    </row>
    <row r="846" ht="12.75" customHeight="1">
      <c r="A846" s="71"/>
      <c r="B846" s="71"/>
      <c r="C846" s="11"/>
      <c r="D846" s="11"/>
      <c r="E846" s="2"/>
      <c r="F846" s="2"/>
      <c r="G846" s="2"/>
      <c r="H846" s="54"/>
      <c r="I846" s="4"/>
      <c r="J846" s="2"/>
      <c r="K846" s="2"/>
      <c r="L846" s="5"/>
      <c r="M846" s="5"/>
      <c r="N846" s="5"/>
      <c r="O846" s="5"/>
      <c r="P846" s="5"/>
      <c r="Q846" s="5"/>
      <c r="R846" s="2"/>
      <c r="S846" s="2"/>
      <c r="T846" s="2"/>
      <c r="U846" s="2"/>
      <c r="V846" s="2"/>
      <c r="W846" s="2"/>
      <c r="X846" s="6"/>
      <c r="Y846" s="2"/>
      <c r="Z846" s="2"/>
      <c r="AA846" s="2"/>
      <c r="AB846" s="2"/>
      <c r="AC846" s="6"/>
      <c r="AD846" s="2"/>
      <c r="AE846" s="2"/>
      <c r="AF846" s="2"/>
      <c r="AG846" s="2"/>
      <c r="AH846" s="2"/>
      <c r="AI846" s="6"/>
      <c r="AJ846" s="2"/>
      <c r="AK846" s="56"/>
      <c r="AL846" s="2"/>
      <c r="AM846" s="2"/>
      <c r="AN846" s="2"/>
      <c r="AO846" s="2"/>
      <c r="AP846" s="6"/>
      <c r="AQ846" s="2"/>
      <c r="AR846" s="2"/>
      <c r="AS846" s="2"/>
      <c r="AT846" s="2"/>
      <c r="AU846" s="2"/>
      <c r="AV846" s="2"/>
      <c r="AW846" s="2"/>
      <c r="AX846" s="6"/>
      <c r="AY846" s="2"/>
      <c r="AZ846" s="2"/>
      <c r="BA846" s="2"/>
      <c r="BB846" s="2"/>
      <c r="BC846" s="2"/>
      <c r="BD846" s="6"/>
      <c r="BE846" s="2"/>
      <c r="BF846" s="6"/>
      <c r="BG846" s="58"/>
      <c r="BH846" s="6"/>
      <c r="BI846" s="2"/>
    </row>
    <row r="847" ht="12.75" customHeight="1">
      <c r="A847" s="71"/>
      <c r="B847" s="71"/>
      <c r="C847" s="11"/>
      <c r="D847" s="11"/>
      <c r="E847" s="2"/>
      <c r="F847" s="2"/>
      <c r="G847" s="2"/>
      <c r="H847" s="54"/>
      <c r="I847" s="4"/>
      <c r="J847" s="2"/>
      <c r="K847" s="2"/>
      <c r="L847" s="5"/>
      <c r="M847" s="5"/>
      <c r="N847" s="5"/>
      <c r="O847" s="5"/>
      <c r="P847" s="5"/>
      <c r="Q847" s="5"/>
      <c r="R847" s="2"/>
      <c r="S847" s="2"/>
      <c r="T847" s="2"/>
      <c r="U847" s="2"/>
      <c r="V847" s="2"/>
      <c r="W847" s="2"/>
      <c r="X847" s="6"/>
      <c r="Y847" s="2"/>
      <c r="Z847" s="2"/>
      <c r="AA847" s="2"/>
      <c r="AB847" s="2"/>
      <c r="AC847" s="6"/>
      <c r="AD847" s="2"/>
      <c r="AE847" s="2"/>
      <c r="AF847" s="2"/>
      <c r="AG847" s="2"/>
      <c r="AH847" s="2"/>
      <c r="AI847" s="6"/>
      <c r="AJ847" s="2"/>
      <c r="AK847" s="56"/>
      <c r="AL847" s="2"/>
      <c r="AM847" s="2"/>
      <c r="AN847" s="2"/>
      <c r="AO847" s="2"/>
      <c r="AP847" s="6"/>
      <c r="AQ847" s="2"/>
      <c r="AR847" s="2"/>
      <c r="AS847" s="2"/>
      <c r="AT847" s="2"/>
      <c r="AU847" s="2"/>
      <c r="AV847" s="2"/>
      <c r="AW847" s="2"/>
      <c r="AX847" s="6"/>
      <c r="AY847" s="2"/>
      <c r="AZ847" s="2"/>
      <c r="BA847" s="2"/>
      <c r="BB847" s="2"/>
      <c r="BC847" s="2"/>
      <c r="BD847" s="6"/>
      <c r="BE847" s="2"/>
      <c r="BF847" s="6"/>
      <c r="BG847" s="58"/>
      <c r="BH847" s="6"/>
      <c r="BI847" s="2"/>
    </row>
    <row r="848" ht="12.75" customHeight="1">
      <c r="A848" s="71"/>
      <c r="B848" s="71"/>
      <c r="C848" s="11"/>
      <c r="D848" s="11"/>
      <c r="E848" s="2"/>
      <c r="F848" s="2"/>
      <c r="G848" s="2"/>
      <c r="H848" s="54"/>
      <c r="I848" s="4"/>
      <c r="J848" s="2"/>
      <c r="K848" s="2"/>
      <c r="L848" s="5"/>
      <c r="M848" s="5"/>
      <c r="N848" s="5"/>
      <c r="O848" s="5"/>
      <c r="P848" s="5"/>
      <c r="Q848" s="5"/>
      <c r="R848" s="2"/>
      <c r="S848" s="2"/>
      <c r="T848" s="2"/>
      <c r="U848" s="2"/>
      <c r="V848" s="2"/>
      <c r="W848" s="2"/>
      <c r="X848" s="6"/>
      <c r="Y848" s="2"/>
      <c r="Z848" s="2"/>
      <c r="AA848" s="2"/>
      <c r="AB848" s="2"/>
      <c r="AC848" s="6"/>
      <c r="AD848" s="2"/>
      <c r="AE848" s="2"/>
      <c r="AF848" s="2"/>
      <c r="AG848" s="2"/>
      <c r="AH848" s="2"/>
      <c r="AI848" s="6"/>
      <c r="AJ848" s="2"/>
      <c r="AK848" s="56"/>
      <c r="AL848" s="2"/>
      <c r="AM848" s="2"/>
      <c r="AN848" s="2"/>
      <c r="AO848" s="2"/>
      <c r="AP848" s="6"/>
      <c r="AQ848" s="2"/>
      <c r="AR848" s="2"/>
      <c r="AS848" s="2"/>
      <c r="AT848" s="2"/>
      <c r="AU848" s="2"/>
      <c r="AV848" s="2"/>
      <c r="AW848" s="2"/>
      <c r="AX848" s="6"/>
      <c r="AY848" s="2"/>
      <c r="AZ848" s="2"/>
      <c r="BA848" s="2"/>
      <c r="BB848" s="2"/>
      <c r="BC848" s="2"/>
      <c r="BD848" s="6"/>
      <c r="BE848" s="2"/>
      <c r="BF848" s="6"/>
      <c r="BG848" s="58"/>
      <c r="BH848" s="6"/>
      <c r="BI848" s="2"/>
    </row>
    <row r="849" ht="12.75" customHeight="1">
      <c r="A849" s="71"/>
      <c r="B849" s="71"/>
      <c r="C849" s="11"/>
      <c r="D849" s="11"/>
      <c r="E849" s="2"/>
      <c r="F849" s="2"/>
      <c r="G849" s="2"/>
      <c r="H849" s="54"/>
      <c r="I849" s="4"/>
      <c r="J849" s="2"/>
      <c r="K849" s="2"/>
      <c r="L849" s="5"/>
      <c r="M849" s="5"/>
      <c r="N849" s="5"/>
      <c r="O849" s="5"/>
      <c r="P849" s="5"/>
      <c r="Q849" s="5"/>
      <c r="R849" s="2"/>
      <c r="S849" s="2"/>
      <c r="T849" s="2"/>
      <c r="U849" s="2"/>
      <c r="V849" s="2"/>
      <c r="W849" s="2"/>
      <c r="X849" s="6"/>
      <c r="Y849" s="2"/>
      <c r="Z849" s="2"/>
      <c r="AA849" s="2"/>
      <c r="AB849" s="2"/>
      <c r="AC849" s="6"/>
      <c r="AD849" s="2"/>
      <c r="AE849" s="2"/>
      <c r="AF849" s="2"/>
      <c r="AG849" s="2"/>
      <c r="AH849" s="2"/>
      <c r="AI849" s="6"/>
      <c r="AJ849" s="2"/>
      <c r="AK849" s="56"/>
      <c r="AL849" s="2"/>
      <c r="AM849" s="2"/>
      <c r="AN849" s="2"/>
      <c r="AO849" s="2"/>
      <c r="AP849" s="6"/>
      <c r="AQ849" s="2"/>
      <c r="AR849" s="2"/>
      <c r="AS849" s="2"/>
      <c r="AT849" s="2"/>
      <c r="AU849" s="2"/>
      <c r="AV849" s="2"/>
      <c r="AW849" s="2"/>
      <c r="AX849" s="6"/>
      <c r="AY849" s="2"/>
      <c r="AZ849" s="2"/>
      <c r="BA849" s="2"/>
      <c r="BB849" s="2"/>
      <c r="BC849" s="2"/>
      <c r="BD849" s="6"/>
      <c r="BE849" s="2"/>
      <c r="BF849" s="6"/>
      <c r="BG849" s="58"/>
      <c r="BH849" s="6"/>
      <c r="BI849" s="2"/>
    </row>
    <row r="850" ht="12.75" customHeight="1">
      <c r="A850" s="71"/>
      <c r="B850" s="71"/>
      <c r="C850" s="11"/>
      <c r="D850" s="11"/>
      <c r="E850" s="2"/>
      <c r="F850" s="2"/>
      <c r="G850" s="2"/>
      <c r="H850" s="54"/>
      <c r="I850" s="4"/>
      <c r="J850" s="2"/>
      <c r="K850" s="2"/>
      <c r="L850" s="5"/>
      <c r="M850" s="5"/>
      <c r="N850" s="5"/>
      <c r="O850" s="5"/>
      <c r="P850" s="5"/>
      <c r="Q850" s="5"/>
      <c r="R850" s="2"/>
      <c r="S850" s="2"/>
      <c r="T850" s="2"/>
      <c r="U850" s="2"/>
      <c r="V850" s="2"/>
      <c r="W850" s="2"/>
      <c r="X850" s="6"/>
      <c r="Y850" s="2"/>
      <c r="Z850" s="2"/>
      <c r="AA850" s="2"/>
      <c r="AB850" s="2"/>
      <c r="AC850" s="6"/>
      <c r="AD850" s="2"/>
      <c r="AE850" s="2"/>
      <c r="AF850" s="2"/>
      <c r="AG850" s="2"/>
      <c r="AH850" s="2"/>
      <c r="AI850" s="6"/>
      <c r="AJ850" s="2"/>
      <c r="AK850" s="56"/>
      <c r="AL850" s="2"/>
      <c r="AM850" s="2"/>
      <c r="AN850" s="2"/>
      <c r="AO850" s="2"/>
      <c r="AP850" s="6"/>
      <c r="AQ850" s="2"/>
      <c r="AR850" s="2"/>
      <c r="AS850" s="2"/>
      <c r="AT850" s="2"/>
      <c r="AU850" s="2"/>
      <c r="AV850" s="2"/>
      <c r="AW850" s="2"/>
      <c r="AX850" s="6"/>
      <c r="AY850" s="2"/>
      <c r="AZ850" s="2"/>
      <c r="BA850" s="2"/>
      <c r="BB850" s="2"/>
      <c r="BC850" s="2"/>
      <c r="BD850" s="6"/>
      <c r="BE850" s="2"/>
      <c r="BF850" s="6"/>
      <c r="BG850" s="58"/>
      <c r="BH850" s="6"/>
      <c r="BI850" s="2"/>
    </row>
    <row r="851" ht="12.75" customHeight="1">
      <c r="A851" s="71"/>
      <c r="B851" s="71"/>
      <c r="C851" s="11"/>
      <c r="D851" s="11"/>
      <c r="E851" s="2"/>
      <c r="F851" s="2"/>
      <c r="G851" s="2"/>
      <c r="H851" s="54"/>
      <c r="I851" s="4"/>
      <c r="J851" s="2"/>
      <c r="K851" s="2"/>
      <c r="L851" s="5"/>
      <c r="M851" s="5"/>
      <c r="N851" s="5"/>
      <c r="O851" s="5"/>
      <c r="P851" s="5"/>
      <c r="Q851" s="5"/>
      <c r="R851" s="2"/>
      <c r="S851" s="2"/>
      <c r="T851" s="2"/>
      <c r="U851" s="2"/>
      <c r="V851" s="2"/>
      <c r="W851" s="2"/>
      <c r="X851" s="6"/>
      <c r="Y851" s="2"/>
      <c r="Z851" s="2"/>
      <c r="AA851" s="2"/>
      <c r="AB851" s="2"/>
      <c r="AC851" s="6"/>
      <c r="AD851" s="2"/>
      <c r="AE851" s="2"/>
      <c r="AF851" s="2"/>
      <c r="AG851" s="2"/>
      <c r="AH851" s="2"/>
      <c r="AI851" s="6"/>
      <c r="AJ851" s="2"/>
      <c r="AK851" s="56"/>
      <c r="AL851" s="2"/>
      <c r="AM851" s="2"/>
      <c r="AN851" s="2"/>
      <c r="AO851" s="2"/>
      <c r="AP851" s="6"/>
      <c r="AQ851" s="2"/>
      <c r="AR851" s="2"/>
      <c r="AS851" s="2"/>
      <c r="AT851" s="2"/>
      <c r="AU851" s="2"/>
      <c r="AV851" s="2"/>
      <c r="AW851" s="2"/>
      <c r="AX851" s="6"/>
      <c r="AY851" s="2"/>
      <c r="AZ851" s="2"/>
      <c r="BA851" s="2"/>
      <c r="BB851" s="2"/>
      <c r="BC851" s="2"/>
      <c r="BD851" s="6"/>
      <c r="BE851" s="2"/>
      <c r="BF851" s="6"/>
      <c r="BG851" s="58"/>
      <c r="BH851" s="6"/>
      <c r="BI851" s="2"/>
    </row>
    <row r="852" ht="12.75" customHeight="1">
      <c r="A852" s="71"/>
      <c r="B852" s="71"/>
      <c r="C852" s="11"/>
      <c r="D852" s="11"/>
      <c r="E852" s="2"/>
      <c r="F852" s="2"/>
      <c r="G852" s="2"/>
      <c r="H852" s="54"/>
      <c r="I852" s="4"/>
      <c r="J852" s="2"/>
      <c r="K852" s="2"/>
      <c r="L852" s="5"/>
      <c r="M852" s="5"/>
      <c r="N852" s="5"/>
      <c r="O852" s="5"/>
      <c r="P852" s="5"/>
      <c r="Q852" s="5"/>
      <c r="R852" s="2"/>
      <c r="S852" s="2"/>
      <c r="T852" s="2"/>
      <c r="U852" s="2"/>
      <c r="V852" s="2"/>
      <c r="W852" s="2"/>
      <c r="X852" s="6"/>
      <c r="Y852" s="2"/>
      <c r="Z852" s="2"/>
      <c r="AA852" s="2"/>
      <c r="AB852" s="2"/>
      <c r="AC852" s="6"/>
      <c r="AD852" s="2"/>
      <c r="AE852" s="2"/>
      <c r="AF852" s="2"/>
      <c r="AG852" s="2"/>
      <c r="AH852" s="2"/>
      <c r="AI852" s="6"/>
      <c r="AJ852" s="2"/>
      <c r="AK852" s="56"/>
      <c r="AL852" s="2"/>
      <c r="AM852" s="2"/>
      <c r="AN852" s="2"/>
      <c r="AO852" s="2"/>
      <c r="AP852" s="6"/>
      <c r="AQ852" s="2"/>
      <c r="AR852" s="2"/>
      <c r="AS852" s="2"/>
      <c r="AT852" s="2"/>
      <c r="AU852" s="2"/>
      <c r="AV852" s="2"/>
      <c r="AW852" s="2"/>
      <c r="AX852" s="6"/>
      <c r="AY852" s="2"/>
      <c r="AZ852" s="2"/>
      <c r="BA852" s="2"/>
      <c r="BB852" s="2"/>
      <c r="BC852" s="2"/>
      <c r="BD852" s="6"/>
      <c r="BE852" s="2"/>
      <c r="BF852" s="6"/>
      <c r="BG852" s="58"/>
      <c r="BH852" s="6"/>
      <c r="BI852" s="2"/>
    </row>
    <row r="853" ht="12.75" customHeight="1">
      <c r="A853" s="71"/>
      <c r="B853" s="71"/>
      <c r="C853" s="11"/>
      <c r="D853" s="11"/>
      <c r="E853" s="2"/>
      <c r="F853" s="2"/>
      <c r="G853" s="2"/>
      <c r="H853" s="54"/>
      <c r="I853" s="4"/>
      <c r="J853" s="2"/>
      <c r="K853" s="2"/>
      <c r="L853" s="5"/>
      <c r="M853" s="5"/>
      <c r="N853" s="5"/>
      <c r="O853" s="5"/>
      <c r="P853" s="5"/>
      <c r="Q853" s="5"/>
      <c r="R853" s="2"/>
      <c r="S853" s="2"/>
      <c r="T853" s="2"/>
      <c r="U853" s="2"/>
      <c r="V853" s="2"/>
      <c r="W853" s="2"/>
      <c r="X853" s="6"/>
      <c r="Y853" s="2"/>
      <c r="Z853" s="2"/>
      <c r="AA853" s="2"/>
      <c r="AB853" s="2"/>
      <c r="AC853" s="6"/>
      <c r="AD853" s="2"/>
      <c r="AE853" s="2"/>
      <c r="AF853" s="2"/>
      <c r="AG853" s="2"/>
      <c r="AH853" s="2"/>
      <c r="AI853" s="6"/>
      <c r="AJ853" s="2"/>
      <c r="AK853" s="56"/>
      <c r="AL853" s="2"/>
      <c r="AM853" s="2"/>
      <c r="AN853" s="2"/>
      <c r="AO853" s="2"/>
      <c r="AP853" s="6"/>
      <c r="AQ853" s="2"/>
      <c r="AR853" s="2"/>
      <c r="AS853" s="2"/>
      <c r="AT853" s="2"/>
      <c r="AU853" s="2"/>
      <c r="AV853" s="2"/>
      <c r="AW853" s="2"/>
      <c r="AX853" s="6"/>
      <c r="AY853" s="2"/>
      <c r="AZ853" s="2"/>
      <c r="BA853" s="2"/>
      <c r="BB853" s="2"/>
      <c r="BC853" s="2"/>
      <c r="BD853" s="6"/>
      <c r="BE853" s="2"/>
      <c r="BF853" s="6"/>
      <c r="BG853" s="58"/>
      <c r="BH853" s="6"/>
      <c r="BI853" s="2"/>
    </row>
    <row r="854" ht="12.75" customHeight="1">
      <c r="A854" s="71"/>
      <c r="B854" s="71"/>
      <c r="C854" s="11"/>
      <c r="D854" s="11"/>
      <c r="E854" s="2"/>
      <c r="F854" s="2"/>
      <c r="G854" s="2"/>
      <c r="H854" s="54"/>
      <c r="I854" s="4"/>
      <c r="J854" s="2"/>
      <c r="K854" s="2"/>
      <c r="L854" s="5"/>
      <c r="M854" s="5"/>
      <c r="N854" s="5"/>
      <c r="O854" s="5"/>
      <c r="P854" s="5"/>
      <c r="Q854" s="5"/>
      <c r="R854" s="2"/>
      <c r="S854" s="2"/>
      <c r="T854" s="2"/>
      <c r="U854" s="2"/>
      <c r="V854" s="2"/>
      <c r="W854" s="2"/>
      <c r="X854" s="6"/>
      <c r="Y854" s="2"/>
      <c r="Z854" s="2"/>
      <c r="AA854" s="2"/>
      <c r="AB854" s="2"/>
      <c r="AC854" s="6"/>
      <c r="AD854" s="2"/>
      <c r="AE854" s="2"/>
      <c r="AF854" s="2"/>
      <c r="AG854" s="2"/>
      <c r="AH854" s="2"/>
      <c r="AI854" s="6"/>
      <c r="AJ854" s="2"/>
      <c r="AK854" s="56"/>
      <c r="AL854" s="2"/>
      <c r="AM854" s="2"/>
      <c r="AN854" s="2"/>
      <c r="AO854" s="2"/>
      <c r="AP854" s="6"/>
      <c r="AQ854" s="2"/>
      <c r="AR854" s="2"/>
      <c r="AS854" s="2"/>
      <c r="AT854" s="2"/>
      <c r="AU854" s="2"/>
      <c r="AV854" s="2"/>
      <c r="AW854" s="2"/>
      <c r="AX854" s="6"/>
      <c r="AY854" s="2"/>
      <c r="AZ854" s="2"/>
      <c r="BA854" s="2"/>
      <c r="BB854" s="2"/>
      <c r="BC854" s="2"/>
      <c r="BD854" s="6"/>
      <c r="BE854" s="2"/>
      <c r="BF854" s="6"/>
      <c r="BG854" s="58"/>
      <c r="BH854" s="6"/>
      <c r="BI854" s="2"/>
    </row>
    <row r="855" ht="12.75" customHeight="1">
      <c r="A855" s="71"/>
      <c r="B855" s="71"/>
      <c r="C855" s="11"/>
      <c r="D855" s="11"/>
      <c r="E855" s="2"/>
      <c r="F855" s="2"/>
      <c r="G855" s="2"/>
      <c r="H855" s="54"/>
      <c r="I855" s="4"/>
      <c r="J855" s="2"/>
      <c r="K855" s="2"/>
      <c r="L855" s="5"/>
      <c r="M855" s="5"/>
      <c r="N855" s="5"/>
      <c r="O855" s="5"/>
      <c r="P855" s="5"/>
      <c r="Q855" s="5"/>
      <c r="R855" s="2"/>
      <c r="S855" s="2"/>
      <c r="T855" s="2"/>
      <c r="U855" s="2"/>
      <c r="V855" s="2"/>
      <c r="W855" s="2"/>
      <c r="X855" s="6"/>
      <c r="Y855" s="2"/>
      <c r="Z855" s="2"/>
      <c r="AA855" s="2"/>
      <c r="AB855" s="2"/>
      <c r="AC855" s="6"/>
      <c r="AD855" s="2"/>
      <c r="AE855" s="2"/>
      <c r="AF855" s="2"/>
      <c r="AG855" s="2"/>
      <c r="AH855" s="2"/>
      <c r="AI855" s="6"/>
      <c r="AJ855" s="2"/>
      <c r="AK855" s="56"/>
      <c r="AL855" s="2"/>
      <c r="AM855" s="2"/>
      <c r="AN855" s="2"/>
      <c r="AO855" s="2"/>
      <c r="AP855" s="6"/>
      <c r="AQ855" s="2"/>
      <c r="AR855" s="2"/>
      <c r="AS855" s="2"/>
      <c r="AT855" s="2"/>
      <c r="AU855" s="2"/>
      <c r="AV855" s="2"/>
      <c r="AW855" s="2"/>
      <c r="AX855" s="6"/>
      <c r="AY855" s="2"/>
      <c r="AZ855" s="2"/>
      <c r="BA855" s="2"/>
      <c r="BB855" s="2"/>
      <c r="BC855" s="2"/>
      <c r="BD855" s="6"/>
      <c r="BE855" s="2"/>
      <c r="BF855" s="6"/>
      <c r="BG855" s="58"/>
      <c r="BH855" s="6"/>
      <c r="BI855" s="2"/>
    </row>
    <row r="856" ht="12.75" customHeight="1">
      <c r="A856" s="71"/>
      <c r="B856" s="71"/>
      <c r="C856" s="11"/>
      <c r="D856" s="11"/>
      <c r="E856" s="2"/>
      <c r="F856" s="2"/>
      <c r="G856" s="2"/>
      <c r="H856" s="54"/>
      <c r="I856" s="4"/>
      <c r="J856" s="2"/>
      <c r="K856" s="2"/>
      <c r="L856" s="5"/>
      <c r="M856" s="5"/>
      <c r="N856" s="5"/>
      <c r="O856" s="5"/>
      <c r="P856" s="5"/>
      <c r="Q856" s="5"/>
      <c r="R856" s="2"/>
      <c r="S856" s="2"/>
      <c r="T856" s="2"/>
      <c r="U856" s="2"/>
      <c r="V856" s="2"/>
      <c r="W856" s="2"/>
      <c r="X856" s="6"/>
      <c r="Y856" s="2"/>
      <c r="Z856" s="2"/>
      <c r="AA856" s="2"/>
      <c r="AB856" s="2"/>
      <c r="AC856" s="6"/>
      <c r="AD856" s="2"/>
      <c r="AE856" s="2"/>
      <c r="AF856" s="2"/>
      <c r="AG856" s="2"/>
      <c r="AH856" s="2"/>
      <c r="AI856" s="6"/>
      <c r="AJ856" s="2"/>
      <c r="AK856" s="56"/>
      <c r="AL856" s="2"/>
      <c r="AM856" s="2"/>
      <c r="AN856" s="2"/>
      <c r="AO856" s="2"/>
      <c r="AP856" s="6"/>
      <c r="AQ856" s="2"/>
      <c r="AR856" s="2"/>
      <c r="AS856" s="2"/>
      <c r="AT856" s="2"/>
      <c r="AU856" s="2"/>
      <c r="AV856" s="2"/>
      <c r="AW856" s="2"/>
      <c r="AX856" s="6"/>
      <c r="AY856" s="2"/>
      <c r="AZ856" s="2"/>
      <c r="BA856" s="2"/>
      <c r="BB856" s="2"/>
      <c r="BC856" s="2"/>
      <c r="BD856" s="6"/>
      <c r="BE856" s="2"/>
      <c r="BF856" s="6"/>
      <c r="BG856" s="58"/>
      <c r="BH856" s="6"/>
      <c r="BI856" s="2"/>
    </row>
    <row r="857" ht="12.75" customHeight="1">
      <c r="A857" s="71"/>
      <c r="B857" s="71"/>
      <c r="C857" s="11"/>
      <c r="D857" s="11"/>
      <c r="E857" s="2"/>
      <c r="F857" s="2"/>
      <c r="G857" s="2"/>
      <c r="H857" s="54"/>
      <c r="I857" s="4"/>
      <c r="J857" s="2"/>
      <c r="K857" s="2"/>
      <c r="L857" s="5"/>
      <c r="M857" s="5"/>
      <c r="N857" s="5"/>
      <c r="O857" s="5"/>
      <c r="P857" s="5"/>
      <c r="Q857" s="5"/>
      <c r="R857" s="2"/>
      <c r="S857" s="2"/>
      <c r="T857" s="2"/>
      <c r="U857" s="2"/>
      <c r="V857" s="2"/>
      <c r="W857" s="2"/>
      <c r="X857" s="6"/>
      <c r="Y857" s="2"/>
      <c r="Z857" s="2"/>
      <c r="AA857" s="2"/>
      <c r="AB857" s="2"/>
      <c r="AC857" s="6"/>
      <c r="AD857" s="2"/>
      <c r="AE857" s="2"/>
      <c r="AF857" s="2"/>
      <c r="AG857" s="2"/>
      <c r="AH857" s="2"/>
      <c r="AI857" s="6"/>
      <c r="AJ857" s="2"/>
      <c r="AK857" s="56"/>
      <c r="AL857" s="2"/>
      <c r="AM857" s="2"/>
      <c r="AN857" s="2"/>
      <c r="AO857" s="2"/>
      <c r="AP857" s="6"/>
      <c r="AQ857" s="2"/>
      <c r="AR857" s="2"/>
      <c r="AS857" s="2"/>
      <c r="AT857" s="2"/>
      <c r="AU857" s="2"/>
      <c r="AV857" s="2"/>
      <c r="AW857" s="2"/>
      <c r="AX857" s="6"/>
      <c r="AY857" s="2"/>
      <c r="AZ857" s="2"/>
      <c r="BA857" s="2"/>
      <c r="BB857" s="2"/>
      <c r="BC857" s="2"/>
      <c r="BD857" s="6"/>
      <c r="BE857" s="2"/>
      <c r="BF857" s="6"/>
      <c r="BG857" s="58"/>
      <c r="BH857" s="6"/>
      <c r="BI857" s="2"/>
    </row>
    <row r="858" ht="12.75" customHeight="1">
      <c r="A858" s="71"/>
      <c r="B858" s="71"/>
      <c r="C858" s="11"/>
      <c r="D858" s="11"/>
      <c r="E858" s="2"/>
      <c r="F858" s="2"/>
      <c r="G858" s="2"/>
      <c r="H858" s="54"/>
      <c r="I858" s="4"/>
      <c r="J858" s="2"/>
      <c r="K858" s="2"/>
      <c r="L858" s="5"/>
      <c r="M858" s="5"/>
      <c r="N858" s="5"/>
      <c r="O858" s="5"/>
      <c r="P858" s="5"/>
      <c r="Q858" s="5"/>
      <c r="R858" s="2"/>
      <c r="S858" s="2"/>
      <c r="T858" s="2"/>
      <c r="U858" s="2"/>
      <c r="V858" s="2"/>
      <c r="W858" s="2"/>
      <c r="X858" s="6"/>
      <c r="Y858" s="2"/>
      <c r="Z858" s="2"/>
      <c r="AA858" s="2"/>
      <c r="AB858" s="2"/>
      <c r="AC858" s="6"/>
      <c r="AD858" s="2"/>
      <c r="AE858" s="2"/>
      <c r="AF858" s="2"/>
      <c r="AG858" s="2"/>
      <c r="AH858" s="2"/>
      <c r="AI858" s="6"/>
      <c r="AJ858" s="2"/>
      <c r="AK858" s="56"/>
      <c r="AL858" s="2"/>
      <c r="AM858" s="2"/>
      <c r="AN858" s="2"/>
      <c r="AO858" s="2"/>
      <c r="AP858" s="6"/>
      <c r="AQ858" s="2"/>
      <c r="AR858" s="2"/>
      <c r="AS858" s="2"/>
      <c r="AT858" s="2"/>
      <c r="AU858" s="2"/>
      <c r="AV858" s="2"/>
      <c r="AW858" s="2"/>
      <c r="AX858" s="6"/>
      <c r="AY858" s="2"/>
      <c r="AZ858" s="2"/>
      <c r="BA858" s="2"/>
      <c r="BB858" s="2"/>
      <c r="BC858" s="2"/>
      <c r="BD858" s="6"/>
      <c r="BE858" s="2"/>
      <c r="BF858" s="6"/>
      <c r="BG858" s="58"/>
      <c r="BH858" s="6"/>
      <c r="BI858" s="2"/>
    </row>
    <row r="859" ht="12.75" customHeight="1">
      <c r="A859" s="71"/>
      <c r="B859" s="71"/>
      <c r="C859" s="11"/>
      <c r="D859" s="11"/>
      <c r="E859" s="2"/>
      <c r="F859" s="2"/>
      <c r="G859" s="2"/>
      <c r="H859" s="54"/>
      <c r="I859" s="4"/>
      <c r="J859" s="2"/>
      <c r="K859" s="2"/>
      <c r="L859" s="5"/>
      <c r="M859" s="5"/>
      <c r="N859" s="5"/>
      <c r="O859" s="5"/>
      <c r="P859" s="5"/>
      <c r="Q859" s="5"/>
      <c r="R859" s="2"/>
      <c r="S859" s="2"/>
      <c r="T859" s="2"/>
      <c r="U859" s="2"/>
      <c r="V859" s="2"/>
      <c r="W859" s="2"/>
      <c r="X859" s="6"/>
      <c r="Y859" s="2"/>
      <c r="Z859" s="2"/>
      <c r="AA859" s="2"/>
      <c r="AB859" s="2"/>
      <c r="AC859" s="6"/>
      <c r="AD859" s="2"/>
      <c r="AE859" s="2"/>
      <c r="AF859" s="2"/>
      <c r="AG859" s="2"/>
      <c r="AH859" s="2"/>
      <c r="AI859" s="6"/>
      <c r="AJ859" s="2"/>
      <c r="AK859" s="56"/>
      <c r="AL859" s="2"/>
      <c r="AM859" s="2"/>
      <c r="AN859" s="2"/>
      <c r="AO859" s="2"/>
      <c r="AP859" s="6"/>
      <c r="AQ859" s="2"/>
      <c r="AR859" s="2"/>
      <c r="AS859" s="2"/>
      <c r="AT859" s="2"/>
      <c r="AU859" s="2"/>
      <c r="AV859" s="2"/>
      <c r="AW859" s="2"/>
      <c r="AX859" s="6"/>
      <c r="AY859" s="2"/>
      <c r="AZ859" s="2"/>
      <c r="BA859" s="2"/>
      <c r="BB859" s="2"/>
      <c r="BC859" s="2"/>
      <c r="BD859" s="6"/>
      <c r="BE859" s="2"/>
      <c r="BF859" s="6"/>
      <c r="BG859" s="58"/>
      <c r="BH859" s="6"/>
      <c r="BI859" s="2"/>
    </row>
    <row r="860" ht="12.75" customHeight="1">
      <c r="A860" s="71"/>
      <c r="B860" s="71"/>
      <c r="C860" s="11"/>
      <c r="D860" s="11"/>
      <c r="E860" s="2"/>
      <c r="F860" s="2"/>
      <c r="G860" s="2"/>
      <c r="H860" s="54"/>
      <c r="I860" s="4"/>
      <c r="J860" s="2"/>
      <c r="K860" s="2"/>
      <c r="L860" s="5"/>
      <c r="M860" s="5"/>
      <c r="N860" s="5"/>
      <c r="O860" s="5"/>
      <c r="P860" s="5"/>
      <c r="Q860" s="5"/>
      <c r="R860" s="2"/>
      <c r="S860" s="2"/>
      <c r="T860" s="2"/>
      <c r="U860" s="2"/>
      <c r="V860" s="2"/>
      <c r="W860" s="2"/>
      <c r="X860" s="6"/>
      <c r="Y860" s="2"/>
      <c r="Z860" s="2"/>
      <c r="AA860" s="2"/>
      <c r="AB860" s="2"/>
      <c r="AC860" s="6"/>
      <c r="AD860" s="2"/>
      <c r="AE860" s="2"/>
      <c r="AF860" s="2"/>
      <c r="AG860" s="2"/>
      <c r="AH860" s="2"/>
      <c r="AI860" s="6"/>
      <c r="AJ860" s="2"/>
      <c r="AK860" s="56"/>
      <c r="AL860" s="2"/>
      <c r="AM860" s="2"/>
      <c r="AN860" s="2"/>
      <c r="AO860" s="2"/>
      <c r="AP860" s="6"/>
      <c r="AQ860" s="2"/>
      <c r="AR860" s="2"/>
      <c r="AS860" s="2"/>
      <c r="AT860" s="2"/>
      <c r="AU860" s="2"/>
      <c r="AV860" s="2"/>
      <c r="AW860" s="2"/>
      <c r="AX860" s="6"/>
      <c r="AY860" s="2"/>
      <c r="AZ860" s="2"/>
      <c r="BA860" s="2"/>
      <c r="BB860" s="2"/>
      <c r="BC860" s="2"/>
      <c r="BD860" s="6"/>
      <c r="BE860" s="2"/>
      <c r="BF860" s="6"/>
      <c r="BG860" s="58"/>
      <c r="BH860" s="6"/>
      <c r="BI860" s="2"/>
    </row>
    <row r="861" ht="12.75" customHeight="1">
      <c r="A861" s="71"/>
      <c r="B861" s="71"/>
      <c r="C861" s="11"/>
      <c r="D861" s="11"/>
      <c r="E861" s="2"/>
      <c r="F861" s="2"/>
      <c r="G861" s="2"/>
      <c r="H861" s="54"/>
      <c r="I861" s="4"/>
      <c r="J861" s="2"/>
      <c r="K861" s="2"/>
      <c r="L861" s="5"/>
      <c r="M861" s="5"/>
      <c r="N861" s="5"/>
      <c r="O861" s="5"/>
      <c r="P861" s="5"/>
      <c r="Q861" s="5"/>
      <c r="R861" s="2"/>
      <c r="S861" s="2"/>
      <c r="T861" s="2"/>
      <c r="U861" s="2"/>
      <c r="V861" s="2"/>
      <c r="W861" s="2"/>
      <c r="X861" s="6"/>
      <c r="Y861" s="2"/>
      <c r="Z861" s="2"/>
      <c r="AA861" s="2"/>
      <c r="AB861" s="2"/>
      <c r="AC861" s="6"/>
      <c r="AD861" s="2"/>
      <c r="AE861" s="2"/>
      <c r="AF861" s="2"/>
      <c r="AG861" s="2"/>
      <c r="AH861" s="2"/>
      <c r="AI861" s="6"/>
      <c r="AJ861" s="2"/>
      <c r="AK861" s="56"/>
      <c r="AL861" s="2"/>
      <c r="AM861" s="2"/>
      <c r="AN861" s="2"/>
      <c r="AO861" s="2"/>
      <c r="AP861" s="6"/>
      <c r="AQ861" s="2"/>
      <c r="AR861" s="2"/>
      <c r="AS861" s="2"/>
      <c r="AT861" s="2"/>
      <c r="AU861" s="2"/>
      <c r="AV861" s="2"/>
      <c r="AW861" s="2"/>
      <c r="AX861" s="6"/>
      <c r="AY861" s="2"/>
      <c r="AZ861" s="2"/>
      <c r="BA861" s="2"/>
      <c r="BB861" s="2"/>
      <c r="BC861" s="2"/>
      <c r="BD861" s="6"/>
      <c r="BE861" s="2"/>
      <c r="BF861" s="6"/>
      <c r="BG861" s="58"/>
      <c r="BH861" s="6"/>
      <c r="BI861" s="2"/>
    </row>
    <row r="862" ht="12.75" customHeight="1">
      <c r="A862" s="71"/>
      <c r="B862" s="71"/>
      <c r="C862" s="11"/>
      <c r="D862" s="11"/>
      <c r="E862" s="2"/>
      <c r="F862" s="2"/>
      <c r="G862" s="2"/>
      <c r="H862" s="54"/>
      <c r="I862" s="4"/>
      <c r="J862" s="2"/>
      <c r="K862" s="2"/>
      <c r="L862" s="5"/>
      <c r="M862" s="5"/>
      <c r="N862" s="5"/>
      <c r="O862" s="5"/>
      <c r="P862" s="5"/>
      <c r="Q862" s="5"/>
      <c r="R862" s="2"/>
      <c r="S862" s="2"/>
      <c r="T862" s="2"/>
      <c r="U862" s="2"/>
      <c r="V862" s="2"/>
      <c r="W862" s="2"/>
      <c r="X862" s="6"/>
      <c r="Y862" s="2"/>
      <c r="Z862" s="2"/>
      <c r="AA862" s="2"/>
      <c r="AB862" s="2"/>
      <c r="AC862" s="6"/>
      <c r="AD862" s="2"/>
      <c r="AE862" s="2"/>
      <c r="AF862" s="2"/>
      <c r="AG862" s="2"/>
      <c r="AH862" s="2"/>
      <c r="AI862" s="6"/>
      <c r="AJ862" s="2"/>
      <c r="AK862" s="56"/>
      <c r="AL862" s="2"/>
      <c r="AM862" s="2"/>
      <c r="AN862" s="2"/>
      <c r="AO862" s="2"/>
      <c r="AP862" s="6"/>
      <c r="AQ862" s="2"/>
      <c r="AR862" s="2"/>
      <c r="AS862" s="2"/>
      <c r="AT862" s="2"/>
      <c r="AU862" s="2"/>
      <c r="AV862" s="2"/>
      <c r="AW862" s="2"/>
      <c r="AX862" s="6"/>
      <c r="AY862" s="2"/>
      <c r="AZ862" s="2"/>
      <c r="BA862" s="2"/>
      <c r="BB862" s="2"/>
      <c r="BC862" s="2"/>
      <c r="BD862" s="6"/>
      <c r="BE862" s="2"/>
      <c r="BF862" s="6"/>
      <c r="BG862" s="58"/>
      <c r="BH862" s="6"/>
      <c r="BI862" s="2"/>
    </row>
    <row r="863" ht="12.75" customHeight="1">
      <c r="A863" s="71"/>
      <c r="B863" s="71"/>
      <c r="C863" s="11"/>
      <c r="D863" s="11"/>
      <c r="E863" s="2"/>
      <c r="F863" s="2"/>
      <c r="G863" s="2"/>
      <c r="H863" s="54"/>
      <c r="I863" s="4"/>
      <c r="J863" s="2"/>
      <c r="K863" s="2"/>
      <c r="L863" s="5"/>
      <c r="M863" s="5"/>
      <c r="N863" s="5"/>
      <c r="O863" s="5"/>
      <c r="P863" s="5"/>
      <c r="Q863" s="5"/>
      <c r="R863" s="2"/>
      <c r="S863" s="2"/>
      <c r="T863" s="2"/>
      <c r="U863" s="2"/>
      <c r="V863" s="2"/>
      <c r="W863" s="2"/>
      <c r="X863" s="6"/>
      <c r="Y863" s="2"/>
      <c r="Z863" s="2"/>
      <c r="AA863" s="2"/>
      <c r="AB863" s="2"/>
      <c r="AC863" s="6"/>
      <c r="AD863" s="2"/>
      <c r="AE863" s="2"/>
      <c r="AF863" s="2"/>
      <c r="AG863" s="2"/>
      <c r="AH863" s="2"/>
      <c r="AI863" s="6"/>
      <c r="AJ863" s="2"/>
      <c r="AK863" s="56"/>
      <c r="AL863" s="2"/>
      <c r="AM863" s="2"/>
      <c r="AN863" s="2"/>
      <c r="AO863" s="2"/>
      <c r="AP863" s="6"/>
      <c r="AQ863" s="2"/>
      <c r="AR863" s="2"/>
      <c r="AS863" s="2"/>
      <c r="AT863" s="2"/>
      <c r="AU863" s="2"/>
      <c r="AV863" s="2"/>
      <c r="AW863" s="2"/>
      <c r="AX863" s="6"/>
      <c r="AY863" s="2"/>
      <c r="AZ863" s="2"/>
      <c r="BA863" s="2"/>
      <c r="BB863" s="2"/>
      <c r="BC863" s="2"/>
      <c r="BD863" s="6"/>
      <c r="BE863" s="2"/>
      <c r="BF863" s="6"/>
      <c r="BG863" s="58"/>
      <c r="BH863" s="6"/>
      <c r="BI863" s="2"/>
    </row>
    <row r="864" ht="12.75" customHeight="1">
      <c r="A864" s="71"/>
      <c r="B864" s="71"/>
      <c r="C864" s="11"/>
      <c r="D864" s="11"/>
      <c r="E864" s="2"/>
      <c r="F864" s="2"/>
      <c r="G864" s="2"/>
      <c r="H864" s="54"/>
      <c r="I864" s="4"/>
      <c r="J864" s="2"/>
      <c r="K864" s="2"/>
      <c r="L864" s="5"/>
      <c r="M864" s="5"/>
      <c r="N864" s="5"/>
      <c r="O864" s="5"/>
      <c r="P864" s="5"/>
      <c r="Q864" s="5"/>
      <c r="R864" s="2"/>
      <c r="S864" s="2"/>
      <c r="T864" s="2"/>
      <c r="U864" s="2"/>
      <c r="V864" s="2"/>
      <c r="W864" s="2"/>
      <c r="X864" s="6"/>
      <c r="Y864" s="2"/>
      <c r="Z864" s="2"/>
      <c r="AA864" s="2"/>
      <c r="AB864" s="2"/>
      <c r="AC864" s="6"/>
      <c r="AD864" s="2"/>
      <c r="AE864" s="2"/>
      <c r="AF864" s="2"/>
      <c r="AG864" s="2"/>
      <c r="AH864" s="2"/>
      <c r="AI864" s="6"/>
      <c r="AJ864" s="2"/>
      <c r="AK864" s="56"/>
      <c r="AL864" s="2"/>
      <c r="AM864" s="2"/>
      <c r="AN864" s="2"/>
      <c r="AO864" s="2"/>
      <c r="AP864" s="6"/>
      <c r="AQ864" s="2"/>
      <c r="AR864" s="2"/>
      <c r="AS864" s="2"/>
      <c r="AT864" s="2"/>
      <c r="AU864" s="2"/>
      <c r="AV864" s="2"/>
      <c r="AW864" s="2"/>
      <c r="AX864" s="6"/>
      <c r="AY864" s="2"/>
      <c r="AZ864" s="2"/>
      <c r="BA864" s="2"/>
      <c r="BB864" s="2"/>
      <c r="BC864" s="2"/>
      <c r="BD864" s="6"/>
      <c r="BE864" s="2"/>
      <c r="BF864" s="6"/>
      <c r="BG864" s="58"/>
      <c r="BH864" s="6"/>
      <c r="BI864" s="2"/>
    </row>
    <row r="865" ht="12.75" customHeight="1">
      <c r="A865" s="71"/>
      <c r="B865" s="71"/>
      <c r="C865" s="11"/>
      <c r="D865" s="11"/>
      <c r="E865" s="2"/>
      <c r="F865" s="2"/>
      <c r="G865" s="2"/>
      <c r="H865" s="54"/>
      <c r="I865" s="4"/>
      <c r="J865" s="2"/>
      <c r="K865" s="2"/>
      <c r="L865" s="5"/>
      <c r="M865" s="5"/>
      <c r="N865" s="5"/>
      <c r="O865" s="5"/>
      <c r="P865" s="5"/>
      <c r="Q865" s="5"/>
      <c r="R865" s="2"/>
      <c r="S865" s="2"/>
      <c r="T865" s="2"/>
      <c r="U865" s="2"/>
      <c r="V865" s="2"/>
      <c r="W865" s="2"/>
      <c r="X865" s="6"/>
      <c r="Y865" s="2"/>
      <c r="Z865" s="2"/>
      <c r="AA865" s="2"/>
      <c r="AB865" s="2"/>
      <c r="AC865" s="6"/>
      <c r="AD865" s="2"/>
      <c r="AE865" s="2"/>
      <c r="AF865" s="2"/>
      <c r="AG865" s="2"/>
      <c r="AH865" s="2"/>
      <c r="AI865" s="6"/>
      <c r="AJ865" s="2"/>
      <c r="AK865" s="56"/>
      <c r="AL865" s="2"/>
      <c r="AM865" s="2"/>
      <c r="AN865" s="2"/>
      <c r="AO865" s="2"/>
      <c r="AP865" s="6"/>
      <c r="AQ865" s="2"/>
      <c r="AR865" s="2"/>
      <c r="AS865" s="2"/>
      <c r="AT865" s="2"/>
      <c r="AU865" s="2"/>
      <c r="AV865" s="2"/>
      <c r="AW865" s="2"/>
      <c r="AX865" s="6"/>
      <c r="AY865" s="2"/>
      <c r="AZ865" s="2"/>
      <c r="BA865" s="2"/>
      <c r="BB865" s="2"/>
      <c r="BC865" s="2"/>
      <c r="BD865" s="6"/>
      <c r="BE865" s="2"/>
      <c r="BF865" s="6"/>
      <c r="BG865" s="58"/>
      <c r="BH865" s="6"/>
      <c r="BI865" s="2"/>
    </row>
    <row r="866" ht="12.75" customHeight="1">
      <c r="A866" s="71"/>
      <c r="B866" s="71"/>
      <c r="C866" s="11"/>
      <c r="D866" s="11"/>
      <c r="E866" s="2"/>
      <c r="F866" s="2"/>
      <c r="G866" s="2"/>
      <c r="H866" s="54"/>
      <c r="I866" s="4"/>
      <c r="J866" s="2"/>
      <c r="K866" s="2"/>
      <c r="L866" s="5"/>
      <c r="M866" s="5"/>
      <c r="N866" s="5"/>
      <c r="O866" s="5"/>
      <c r="P866" s="5"/>
      <c r="Q866" s="5"/>
      <c r="R866" s="2"/>
      <c r="S866" s="2"/>
      <c r="T866" s="2"/>
      <c r="U866" s="2"/>
      <c r="V866" s="2"/>
      <c r="W866" s="2"/>
      <c r="X866" s="6"/>
      <c r="Y866" s="2"/>
      <c r="Z866" s="2"/>
      <c r="AA866" s="2"/>
      <c r="AB866" s="2"/>
      <c r="AC866" s="6"/>
      <c r="AD866" s="2"/>
      <c r="AE866" s="2"/>
      <c r="AF866" s="2"/>
      <c r="AG866" s="2"/>
      <c r="AH866" s="2"/>
      <c r="AI866" s="6"/>
      <c r="AJ866" s="2"/>
      <c r="AK866" s="56"/>
      <c r="AL866" s="2"/>
      <c r="AM866" s="2"/>
      <c r="AN866" s="2"/>
      <c r="AO866" s="2"/>
      <c r="AP866" s="6"/>
      <c r="AQ866" s="2"/>
      <c r="AR866" s="2"/>
      <c r="AS866" s="2"/>
      <c r="AT866" s="2"/>
      <c r="AU866" s="2"/>
      <c r="AV866" s="2"/>
      <c r="AW866" s="2"/>
      <c r="AX866" s="6"/>
      <c r="AY866" s="2"/>
      <c r="AZ866" s="2"/>
      <c r="BA866" s="2"/>
      <c r="BB866" s="2"/>
      <c r="BC866" s="2"/>
      <c r="BD866" s="6"/>
      <c r="BE866" s="2"/>
      <c r="BF866" s="6"/>
      <c r="BG866" s="58"/>
      <c r="BH866" s="6"/>
      <c r="BI866" s="2"/>
    </row>
    <row r="867" ht="12.75" customHeight="1">
      <c r="A867" s="71"/>
      <c r="B867" s="71"/>
      <c r="C867" s="11"/>
      <c r="D867" s="11"/>
      <c r="E867" s="2"/>
      <c r="F867" s="2"/>
      <c r="G867" s="2"/>
      <c r="H867" s="54"/>
      <c r="I867" s="4"/>
      <c r="J867" s="2"/>
      <c r="K867" s="2"/>
      <c r="L867" s="5"/>
      <c r="M867" s="5"/>
      <c r="N867" s="5"/>
      <c r="O867" s="5"/>
      <c r="P867" s="5"/>
      <c r="Q867" s="5"/>
      <c r="R867" s="2"/>
      <c r="S867" s="2"/>
      <c r="T867" s="2"/>
      <c r="U867" s="2"/>
      <c r="V867" s="2"/>
      <c r="W867" s="2"/>
      <c r="X867" s="6"/>
      <c r="Y867" s="2"/>
      <c r="Z867" s="2"/>
      <c r="AA867" s="2"/>
      <c r="AB867" s="2"/>
      <c r="AC867" s="6"/>
      <c r="AD867" s="2"/>
      <c r="AE867" s="2"/>
      <c r="AF867" s="2"/>
      <c r="AG867" s="2"/>
      <c r="AH867" s="2"/>
      <c r="AI867" s="6"/>
      <c r="AJ867" s="2"/>
      <c r="AK867" s="56"/>
      <c r="AL867" s="2"/>
      <c r="AM867" s="2"/>
      <c r="AN867" s="2"/>
      <c r="AO867" s="2"/>
      <c r="AP867" s="6"/>
      <c r="AQ867" s="2"/>
      <c r="AR867" s="2"/>
      <c r="AS867" s="2"/>
      <c r="AT867" s="2"/>
      <c r="AU867" s="2"/>
      <c r="AV867" s="2"/>
      <c r="AW867" s="2"/>
      <c r="AX867" s="6"/>
      <c r="AY867" s="2"/>
      <c r="AZ867" s="2"/>
      <c r="BA867" s="2"/>
      <c r="BB867" s="2"/>
      <c r="BC867" s="2"/>
      <c r="BD867" s="6"/>
      <c r="BE867" s="2"/>
      <c r="BF867" s="6"/>
      <c r="BG867" s="58"/>
      <c r="BH867" s="6"/>
      <c r="BI867" s="2"/>
    </row>
    <row r="868" ht="12.75" customHeight="1">
      <c r="A868" s="71"/>
      <c r="B868" s="71"/>
      <c r="C868" s="11"/>
      <c r="D868" s="11"/>
      <c r="E868" s="2"/>
      <c r="F868" s="2"/>
      <c r="G868" s="2"/>
      <c r="H868" s="54"/>
      <c r="I868" s="4"/>
      <c r="J868" s="2"/>
      <c r="K868" s="2"/>
      <c r="L868" s="5"/>
      <c r="M868" s="5"/>
      <c r="N868" s="5"/>
      <c r="O868" s="5"/>
      <c r="P868" s="5"/>
      <c r="Q868" s="5"/>
      <c r="R868" s="2"/>
      <c r="S868" s="2"/>
      <c r="T868" s="2"/>
      <c r="U868" s="2"/>
      <c r="V868" s="2"/>
      <c r="W868" s="2"/>
      <c r="X868" s="6"/>
      <c r="Y868" s="2"/>
      <c r="Z868" s="2"/>
      <c r="AA868" s="2"/>
      <c r="AB868" s="2"/>
      <c r="AC868" s="6"/>
      <c r="AD868" s="2"/>
      <c r="AE868" s="2"/>
      <c r="AF868" s="2"/>
      <c r="AG868" s="2"/>
      <c r="AH868" s="2"/>
      <c r="AI868" s="6"/>
      <c r="AJ868" s="2"/>
      <c r="AK868" s="56"/>
      <c r="AL868" s="2"/>
      <c r="AM868" s="2"/>
      <c r="AN868" s="2"/>
      <c r="AO868" s="2"/>
      <c r="AP868" s="6"/>
      <c r="AQ868" s="2"/>
      <c r="AR868" s="2"/>
      <c r="AS868" s="2"/>
      <c r="AT868" s="2"/>
      <c r="AU868" s="2"/>
      <c r="AV868" s="2"/>
      <c r="AW868" s="2"/>
      <c r="AX868" s="6"/>
      <c r="AY868" s="2"/>
      <c r="AZ868" s="2"/>
      <c r="BA868" s="2"/>
      <c r="BB868" s="2"/>
      <c r="BC868" s="2"/>
      <c r="BD868" s="6"/>
      <c r="BE868" s="2"/>
      <c r="BF868" s="6"/>
      <c r="BG868" s="58"/>
      <c r="BH868" s="6"/>
      <c r="BI868" s="2"/>
    </row>
    <row r="869" ht="12.75" customHeight="1">
      <c r="A869" s="71"/>
      <c r="B869" s="71"/>
      <c r="C869" s="11"/>
      <c r="D869" s="11"/>
      <c r="E869" s="2"/>
      <c r="F869" s="2"/>
      <c r="G869" s="2"/>
      <c r="H869" s="54"/>
      <c r="I869" s="4"/>
      <c r="J869" s="2"/>
      <c r="K869" s="2"/>
      <c r="L869" s="5"/>
      <c r="M869" s="5"/>
      <c r="N869" s="5"/>
      <c r="O869" s="5"/>
      <c r="P869" s="5"/>
      <c r="Q869" s="5"/>
      <c r="R869" s="2"/>
      <c r="S869" s="2"/>
      <c r="T869" s="2"/>
      <c r="U869" s="2"/>
      <c r="V869" s="2"/>
      <c r="W869" s="2"/>
      <c r="X869" s="6"/>
      <c r="Y869" s="2"/>
      <c r="Z869" s="2"/>
      <c r="AA869" s="2"/>
      <c r="AB869" s="2"/>
      <c r="AC869" s="6"/>
      <c r="AD869" s="2"/>
      <c r="AE869" s="2"/>
      <c r="AF869" s="2"/>
      <c r="AG869" s="2"/>
      <c r="AH869" s="2"/>
      <c r="AI869" s="6"/>
      <c r="AJ869" s="2"/>
      <c r="AK869" s="56"/>
      <c r="AL869" s="2"/>
      <c r="AM869" s="2"/>
      <c r="AN869" s="2"/>
      <c r="AO869" s="2"/>
      <c r="AP869" s="6"/>
      <c r="AQ869" s="2"/>
      <c r="AR869" s="2"/>
      <c r="AS869" s="2"/>
      <c r="AT869" s="2"/>
      <c r="AU869" s="2"/>
      <c r="AV869" s="2"/>
      <c r="AW869" s="2"/>
      <c r="AX869" s="6"/>
      <c r="AY869" s="2"/>
      <c r="AZ869" s="2"/>
      <c r="BA869" s="2"/>
      <c r="BB869" s="2"/>
      <c r="BC869" s="2"/>
      <c r="BD869" s="6"/>
      <c r="BE869" s="2"/>
      <c r="BF869" s="6"/>
      <c r="BG869" s="58"/>
      <c r="BH869" s="6"/>
      <c r="BI869" s="2"/>
    </row>
    <row r="870" ht="12.75" customHeight="1">
      <c r="A870" s="71"/>
      <c r="B870" s="71"/>
      <c r="C870" s="11"/>
      <c r="D870" s="11"/>
      <c r="E870" s="2"/>
      <c r="F870" s="2"/>
      <c r="G870" s="2"/>
      <c r="H870" s="54"/>
      <c r="I870" s="4"/>
      <c r="J870" s="2"/>
      <c r="K870" s="2"/>
      <c r="L870" s="5"/>
      <c r="M870" s="5"/>
      <c r="N870" s="5"/>
      <c r="O870" s="5"/>
      <c r="P870" s="5"/>
      <c r="Q870" s="5"/>
      <c r="R870" s="2"/>
      <c r="S870" s="2"/>
      <c r="T870" s="2"/>
      <c r="U870" s="2"/>
      <c r="V870" s="2"/>
      <c r="W870" s="2"/>
      <c r="X870" s="6"/>
      <c r="Y870" s="2"/>
      <c r="Z870" s="2"/>
      <c r="AA870" s="2"/>
      <c r="AB870" s="2"/>
      <c r="AC870" s="6"/>
      <c r="AD870" s="2"/>
      <c r="AE870" s="2"/>
      <c r="AF870" s="2"/>
      <c r="AG870" s="2"/>
      <c r="AH870" s="2"/>
      <c r="AI870" s="6"/>
      <c r="AJ870" s="2"/>
      <c r="AK870" s="56"/>
      <c r="AL870" s="2"/>
      <c r="AM870" s="2"/>
      <c r="AN870" s="2"/>
      <c r="AO870" s="2"/>
      <c r="AP870" s="6"/>
      <c r="AQ870" s="2"/>
      <c r="AR870" s="2"/>
      <c r="AS870" s="2"/>
      <c r="AT870" s="2"/>
      <c r="AU870" s="2"/>
      <c r="AV870" s="2"/>
      <c r="AW870" s="2"/>
      <c r="AX870" s="6"/>
      <c r="AY870" s="2"/>
      <c r="AZ870" s="2"/>
      <c r="BA870" s="2"/>
      <c r="BB870" s="2"/>
      <c r="BC870" s="2"/>
      <c r="BD870" s="6"/>
      <c r="BE870" s="2"/>
      <c r="BF870" s="6"/>
      <c r="BG870" s="58"/>
      <c r="BH870" s="6"/>
      <c r="BI870" s="2"/>
    </row>
    <row r="871" ht="12.75" customHeight="1">
      <c r="A871" s="71"/>
      <c r="B871" s="71"/>
      <c r="C871" s="11"/>
      <c r="D871" s="11"/>
      <c r="E871" s="2"/>
      <c r="F871" s="2"/>
      <c r="G871" s="2"/>
      <c r="H871" s="54"/>
      <c r="I871" s="4"/>
      <c r="J871" s="2"/>
      <c r="K871" s="2"/>
      <c r="L871" s="5"/>
      <c r="M871" s="5"/>
      <c r="N871" s="5"/>
      <c r="O871" s="5"/>
      <c r="P871" s="5"/>
      <c r="Q871" s="5"/>
      <c r="R871" s="2"/>
      <c r="S871" s="2"/>
      <c r="T871" s="2"/>
      <c r="U871" s="2"/>
      <c r="V871" s="2"/>
      <c r="W871" s="2"/>
      <c r="X871" s="6"/>
      <c r="Y871" s="2"/>
      <c r="Z871" s="2"/>
      <c r="AA871" s="2"/>
      <c r="AB871" s="2"/>
      <c r="AC871" s="6"/>
      <c r="AD871" s="2"/>
      <c r="AE871" s="2"/>
      <c r="AF871" s="2"/>
      <c r="AG871" s="2"/>
      <c r="AH871" s="2"/>
      <c r="AI871" s="6"/>
      <c r="AJ871" s="2"/>
      <c r="AK871" s="56"/>
      <c r="AL871" s="2"/>
      <c r="AM871" s="2"/>
      <c r="AN871" s="2"/>
      <c r="AO871" s="2"/>
      <c r="AP871" s="6"/>
      <c r="AQ871" s="2"/>
      <c r="AR871" s="2"/>
      <c r="AS871" s="2"/>
      <c r="AT871" s="2"/>
      <c r="AU871" s="2"/>
      <c r="AV871" s="2"/>
      <c r="AW871" s="2"/>
      <c r="AX871" s="6"/>
      <c r="AY871" s="2"/>
      <c r="AZ871" s="2"/>
      <c r="BA871" s="2"/>
      <c r="BB871" s="2"/>
      <c r="BC871" s="2"/>
      <c r="BD871" s="6"/>
      <c r="BE871" s="2"/>
      <c r="BF871" s="6"/>
      <c r="BG871" s="58"/>
      <c r="BH871" s="6"/>
      <c r="BI871" s="2"/>
    </row>
    <row r="872" ht="12.75" customHeight="1">
      <c r="A872" s="71"/>
      <c r="B872" s="71"/>
      <c r="C872" s="11"/>
      <c r="D872" s="11"/>
      <c r="E872" s="2"/>
      <c r="F872" s="2"/>
      <c r="G872" s="2"/>
      <c r="H872" s="54"/>
      <c r="I872" s="4"/>
      <c r="J872" s="2"/>
      <c r="K872" s="2"/>
      <c r="L872" s="5"/>
      <c r="M872" s="5"/>
      <c r="N872" s="5"/>
      <c r="O872" s="5"/>
      <c r="P872" s="5"/>
      <c r="Q872" s="5"/>
      <c r="R872" s="2"/>
      <c r="S872" s="2"/>
      <c r="T872" s="2"/>
      <c r="U872" s="2"/>
      <c r="V872" s="2"/>
      <c r="W872" s="2"/>
      <c r="X872" s="6"/>
      <c r="Y872" s="2"/>
      <c r="Z872" s="2"/>
      <c r="AA872" s="2"/>
      <c r="AB872" s="2"/>
      <c r="AC872" s="6"/>
      <c r="AD872" s="2"/>
      <c r="AE872" s="2"/>
      <c r="AF872" s="2"/>
      <c r="AG872" s="2"/>
      <c r="AH872" s="2"/>
      <c r="AI872" s="6"/>
      <c r="AJ872" s="2"/>
      <c r="AK872" s="56"/>
      <c r="AL872" s="2"/>
      <c r="AM872" s="2"/>
      <c r="AN872" s="2"/>
      <c r="AO872" s="2"/>
      <c r="AP872" s="6"/>
      <c r="AQ872" s="2"/>
      <c r="AR872" s="2"/>
      <c r="AS872" s="2"/>
      <c r="AT872" s="2"/>
      <c r="AU872" s="2"/>
      <c r="AV872" s="2"/>
      <c r="AW872" s="2"/>
      <c r="AX872" s="6"/>
      <c r="AY872" s="2"/>
      <c r="AZ872" s="2"/>
      <c r="BA872" s="2"/>
      <c r="BB872" s="2"/>
      <c r="BC872" s="2"/>
      <c r="BD872" s="6"/>
      <c r="BE872" s="2"/>
      <c r="BF872" s="6"/>
      <c r="BG872" s="58"/>
      <c r="BH872" s="6"/>
      <c r="BI872" s="2"/>
    </row>
    <row r="873" ht="12.75" customHeight="1">
      <c r="A873" s="71"/>
      <c r="B873" s="71"/>
      <c r="C873" s="11"/>
      <c r="D873" s="11"/>
      <c r="E873" s="2"/>
      <c r="F873" s="2"/>
      <c r="G873" s="2"/>
      <c r="H873" s="54"/>
      <c r="I873" s="4"/>
      <c r="J873" s="2"/>
      <c r="K873" s="2"/>
      <c r="L873" s="5"/>
      <c r="M873" s="5"/>
      <c r="N873" s="5"/>
      <c r="O873" s="5"/>
      <c r="P873" s="5"/>
      <c r="Q873" s="5"/>
      <c r="R873" s="2"/>
      <c r="S873" s="2"/>
      <c r="T873" s="2"/>
      <c r="U873" s="2"/>
      <c r="V873" s="2"/>
      <c r="W873" s="2"/>
      <c r="X873" s="6"/>
      <c r="Y873" s="2"/>
      <c r="Z873" s="2"/>
      <c r="AA873" s="2"/>
      <c r="AB873" s="2"/>
      <c r="AC873" s="6"/>
      <c r="AD873" s="2"/>
      <c r="AE873" s="2"/>
      <c r="AF873" s="2"/>
      <c r="AG873" s="2"/>
      <c r="AH873" s="2"/>
      <c r="AI873" s="6"/>
      <c r="AJ873" s="2"/>
      <c r="AK873" s="56"/>
      <c r="AL873" s="2"/>
      <c r="AM873" s="2"/>
      <c r="AN873" s="2"/>
      <c r="AO873" s="2"/>
      <c r="AP873" s="6"/>
      <c r="AQ873" s="2"/>
      <c r="AR873" s="2"/>
      <c r="AS873" s="2"/>
      <c r="AT873" s="2"/>
      <c r="AU873" s="2"/>
      <c r="AV873" s="2"/>
      <c r="AW873" s="2"/>
      <c r="AX873" s="6"/>
      <c r="AY873" s="2"/>
      <c r="AZ873" s="2"/>
      <c r="BA873" s="2"/>
      <c r="BB873" s="2"/>
      <c r="BC873" s="2"/>
      <c r="BD873" s="6"/>
      <c r="BE873" s="2"/>
      <c r="BF873" s="6"/>
      <c r="BG873" s="58"/>
      <c r="BH873" s="6"/>
      <c r="BI873" s="2"/>
    </row>
    <row r="874" ht="12.75" customHeight="1">
      <c r="A874" s="71"/>
      <c r="B874" s="71"/>
      <c r="C874" s="11"/>
      <c r="D874" s="11"/>
      <c r="E874" s="2"/>
      <c r="F874" s="2"/>
      <c r="G874" s="2"/>
      <c r="H874" s="54"/>
      <c r="I874" s="4"/>
      <c r="J874" s="2"/>
      <c r="K874" s="2"/>
      <c r="L874" s="5"/>
      <c r="M874" s="5"/>
      <c r="N874" s="5"/>
      <c r="O874" s="5"/>
      <c r="P874" s="5"/>
      <c r="Q874" s="5"/>
      <c r="R874" s="2"/>
      <c r="S874" s="2"/>
      <c r="T874" s="2"/>
      <c r="U874" s="2"/>
      <c r="V874" s="2"/>
      <c r="W874" s="2"/>
      <c r="X874" s="6"/>
      <c r="Y874" s="2"/>
      <c r="Z874" s="2"/>
      <c r="AA874" s="2"/>
      <c r="AB874" s="2"/>
      <c r="AC874" s="6"/>
      <c r="AD874" s="2"/>
      <c r="AE874" s="2"/>
      <c r="AF874" s="2"/>
      <c r="AG874" s="2"/>
      <c r="AH874" s="2"/>
      <c r="AI874" s="6"/>
      <c r="AJ874" s="2"/>
      <c r="AK874" s="56"/>
      <c r="AL874" s="2"/>
      <c r="AM874" s="2"/>
      <c r="AN874" s="2"/>
      <c r="AO874" s="2"/>
      <c r="AP874" s="6"/>
      <c r="AQ874" s="2"/>
      <c r="AR874" s="2"/>
      <c r="AS874" s="2"/>
      <c r="AT874" s="2"/>
      <c r="AU874" s="2"/>
      <c r="AV874" s="2"/>
      <c r="AW874" s="2"/>
      <c r="AX874" s="6"/>
      <c r="AY874" s="2"/>
      <c r="AZ874" s="2"/>
      <c r="BA874" s="2"/>
      <c r="BB874" s="2"/>
      <c r="BC874" s="2"/>
      <c r="BD874" s="6"/>
      <c r="BE874" s="2"/>
      <c r="BF874" s="6"/>
      <c r="BG874" s="58"/>
      <c r="BH874" s="6"/>
      <c r="BI874" s="2"/>
    </row>
    <row r="875" ht="12.75" customHeight="1">
      <c r="A875" s="71"/>
      <c r="B875" s="71"/>
      <c r="C875" s="11"/>
      <c r="D875" s="11"/>
      <c r="E875" s="2"/>
      <c r="F875" s="2"/>
      <c r="G875" s="2"/>
      <c r="H875" s="54"/>
      <c r="I875" s="4"/>
      <c r="J875" s="2"/>
      <c r="K875" s="2"/>
      <c r="L875" s="5"/>
      <c r="M875" s="5"/>
      <c r="N875" s="5"/>
      <c r="O875" s="5"/>
      <c r="P875" s="5"/>
      <c r="Q875" s="5"/>
      <c r="R875" s="2"/>
      <c r="S875" s="2"/>
      <c r="T875" s="2"/>
      <c r="U875" s="2"/>
      <c r="V875" s="2"/>
      <c r="W875" s="2"/>
      <c r="X875" s="6"/>
      <c r="Y875" s="2"/>
      <c r="Z875" s="2"/>
      <c r="AA875" s="2"/>
      <c r="AB875" s="2"/>
      <c r="AC875" s="6"/>
      <c r="AD875" s="2"/>
      <c r="AE875" s="2"/>
      <c r="AF875" s="2"/>
      <c r="AG875" s="2"/>
      <c r="AH875" s="2"/>
      <c r="AI875" s="6"/>
      <c r="AJ875" s="2"/>
      <c r="AK875" s="56"/>
      <c r="AL875" s="2"/>
      <c r="AM875" s="2"/>
      <c r="AN875" s="2"/>
      <c r="AO875" s="2"/>
      <c r="AP875" s="6"/>
      <c r="AQ875" s="2"/>
      <c r="AR875" s="2"/>
      <c r="AS875" s="2"/>
      <c r="AT875" s="2"/>
      <c r="AU875" s="2"/>
      <c r="AV875" s="2"/>
      <c r="AW875" s="2"/>
      <c r="AX875" s="6"/>
      <c r="AY875" s="2"/>
      <c r="AZ875" s="2"/>
      <c r="BA875" s="2"/>
      <c r="BB875" s="2"/>
      <c r="BC875" s="2"/>
      <c r="BD875" s="6"/>
      <c r="BE875" s="2"/>
      <c r="BF875" s="6"/>
      <c r="BG875" s="58"/>
      <c r="BH875" s="6"/>
      <c r="BI875" s="2"/>
    </row>
    <row r="876" ht="12.75" customHeight="1">
      <c r="A876" s="71"/>
      <c r="B876" s="71"/>
      <c r="C876" s="11"/>
      <c r="D876" s="11"/>
      <c r="E876" s="2"/>
      <c r="F876" s="2"/>
      <c r="G876" s="2"/>
      <c r="H876" s="54"/>
      <c r="I876" s="4"/>
      <c r="J876" s="2"/>
      <c r="K876" s="2"/>
      <c r="L876" s="5"/>
      <c r="M876" s="5"/>
      <c r="N876" s="5"/>
      <c r="O876" s="5"/>
      <c r="P876" s="5"/>
      <c r="Q876" s="5"/>
      <c r="R876" s="2"/>
      <c r="S876" s="2"/>
      <c r="T876" s="2"/>
      <c r="U876" s="2"/>
      <c r="V876" s="2"/>
      <c r="W876" s="2"/>
      <c r="X876" s="6"/>
      <c r="Y876" s="2"/>
      <c r="Z876" s="2"/>
      <c r="AA876" s="2"/>
      <c r="AB876" s="2"/>
      <c r="AC876" s="6"/>
      <c r="AD876" s="2"/>
      <c r="AE876" s="2"/>
      <c r="AF876" s="2"/>
      <c r="AG876" s="2"/>
      <c r="AH876" s="2"/>
      <c r="AI876" s="6"/>
      <c r="AJ876" s="2"/>
      <c r="AK876" s="56"/>
      <c r="AL876" s="2"/>
      <c r="AM876" s="2"/>
      <c r="AN876" s="2"/>
      <c r="AO876" s="2"/>
      <c r="AP876" s="6"/>
      <c r="AQ876" s="2"/>
      <c r="AR876" s="2"/>
      <c r="AS876" s="2"/>
      <c r="AT876" s="2"/>
      <c r="AU876" s="2"/>
      <c r="AV876" s="2"/>
      <c r="AW876" s="2"/>
      <c r="AX876" s="6"/>
      <c r="AY876" s="2"/>
      <c r="AZ876" s="2"/>
      <c r="BA876" s="2"/>
      <c r="BB876" s="2"/>
      <c r="BC876" s="2"/>
      <c r="BD876" s="6"/>
      <c r="BE876" s="2"/>
      <c r="BF876" s="6"/>
      <c r="BG876" s="58"/>
      <c r="BH876" s="6"/>
      <c r="BI876" s="2"/>
    </row>
    <row r="877" ht="12.75" customHeight="1">
      <c r="A877" s="71"/>
      <c r="B877" s="71"/>
      <c r="C877" s="11"/>
      <c r="D877" s="11"/>
      <c r="E877" s="2"/>
      <c r="F877" s="2"/>
      <c r="G877" s="2"/>
      <c r="H877" s="54"/>
      <c r="I877" s="4"/>
      <c r="J877" s="2"/>
      <c r="K877" s="2"/>
      <c r="L877" s="5"/>
      <c r="M877" s="5"/>
      <c r="N877" s="5"/>
      <c r="O877" s="5"/>
      <c r="P877" s="5"/>
      <c r="Q877" s="5"/>
      <c r="R877" s="2"/>
      <c r="S877" s="2"/>
      <c r="T877" s="2"/>
      <c r="U877" s="2"/>
      <c r="V877" s="2"/>
      <c r="W877" s="2"/>
      <c r="X877" s="6"/>
      <c r="Y877" s="2"/>
      <c r="Z877" s="2"/>
      <c r="AA877" s="2"/>
      <c r="AB877" s="2"/>
      <c r="AC877" s="6"/>
      <c r="AD877" s="2"/>
      <c r="AE877" s="2"/>
      <c r="AF877" s="2"/>
      <c r="AG877" s="2"/>
      <c r="AH877" s="2"/>
      <c r="AI877" s="6"/>
      <c r="AJ877" s="2"/>
      <c r="AK877" s="56"/>
      <c r="AL877" s="2"/>
      <c r="AM877" s="2"/>
      <c r="AN877" s="2"/>
      <c r="AO877" s="2"/>
      <c r="AP877" s="6"/>
      <c r="AQ877" s="2"/>
      <c r="AR877" s="2"/>
      <c r="AS877" s="2"/>
      <c r="AT877" s="2"/>
      <c r="AU877" s="2"/>
      <c r="AV877" s="2"/>
      <c r="AW877" s="2"/>
      <c r="AX877" s="6"/>
      <c r="AY877" s="2"/>
      <c r="AZ877" s="2"/>
      <c r="BA877" s="2"/>
      <c r="BB877" s="2"/>
      <c r="BC877" s="2"/>
      <c r="BD877" s="6"/>
      <c r="BE877" s="2"/>
      <c r="BF877" s="6"/>
      <c r="BG877" s="58"/>
      <c r="BH877" s="6"/>
      <c r="BI877" s="2"/>
    </row>
    <row r="878" ht="12.75" customHeight="1">
      <c r="A878" s="71"/>
      <c r="B878" s="71"/>
      <c r="C878" s="11"/>
      <c r="D878" s="11"/>
      <c r="E878" s="2"/>
      <c r="F878" s="2"/>
      <c r="G878" s="2"/>
      <c r="H878" s="54"/>
      <c r="I878" s="4"/>
      <c r="J878" s="2"/>
      <c r="K878" s="2"/>
      <c r="L878" s="5"/>
      <c r="M878" s="5"/>
      <c r="N878" s="5"/>
      <c r="O878" s="5"/>
      <c r="P878" s="5"/>
      <c r="Q878" s="5"/>
      <c r="R878" s="2"/>
      <c r="S878" s="2"/>
      <c r="T878" s="2"/>
      <c r="U878" s="2"/>
      <c r="V878" s="2"/>
      <c r="W878" s="2"/>
      <c r="X878" s="6"/>
      <c r="Y878" s="2"/>
      <c r="Z878" s="2"/>
      <c r="AA878" s="2"/>
      <c r="AB878" s="2"/>
      <c r="AC878" s="6"/>
      <c r="AD878" s="2"/>
      <c r="AE878" s="2"/>
      <c r="AF878" s="2"/>
      <c r="AG878" s="2"/>
      <c r="AH878" s="2"/>
      <c r="AI878" s="6"/>
      <c r="AJ878" s="2"/>
      <c r="AK878" s="56"/>
      <c r="AL878" s="2"/>
      <c r="AM878" s="2"/>
      <c r="AN878" s="2"/>
      <c r="AO878" s="2"/>
      <c r="AP878" s="6"/>
      <c r="AQ878" s="2"/>
      <c r="AR878" s="2"/>
      <c r="AS878" s="2"/>
      <c r="AT878" s="2"/>
      <c r="AU878" s="2"/>
      <c r="AV878" s="2"/>
      <c r="AW878" s="2"/>
      <c r="AX878" s="6"/>
      <c r="AY878" s="2"/>
      <c r="AZ878" s="2"/>
      <c r="BA878" s="2"/>
      <c r="BB878" s="2"/>
      <c r="BC878" s="2"/>
      <c r="BD878" s="6"/>
      <c r="BE878" s="2"/>
      <c r="BF878" s="6"/>
      <c r="BG878" s="58"/>
      <c r="BH878" s="6"/>
      <c r="BI878" s="2"/>
    </row>
    <row r="879" ht="12.75" customHeight="1">
      <c r="A879" s="71"/>
      <c r="B879" s="71"/>
      <c r="C879" s="11"/>
      <c r="D879" s="11"/>
      <c r="E879" s="2"/>
      <c r="F879" s="2"/>
      <c r="G879" s="2"/>
      <c r="H879" s="54"/>
      <c r="I879" s="4"/>
      <c r="J879" s="2"/>
      <c r="K879" s="2"/>
      <c r="L879" s="5"/>
      <c r="M879" s="5"/>
      <c r="N879" s="5"/>
      <c r="O879" s="5"/>
      <c r="P879" s="5"/>
      <c r="Q879" s="5"/>
      <c r="R879" s="2"/>
      <c r="S879" s="2"/>
      <c r="T879" s="2"/>
      <c r="U879" s="2"/>
      <c r="V879" s="2"/>
      <c r="W879" s="2"/>
      <c r="X879" s="6"/>
      <c r="Y879" s="2"/>
      <c r="Z879" s="2"/>
      <c r="AA879" s="2"/>
      <c r="AB879" s="2"/>
      <c r="AC879" s="6"/>
      <c r="AD879" s="2"/>
      <c r="AE879" s="2"/>
      <c r="AF879" s="2"/>
      <c r="AG879" s="2"/>
      <c r="AH879" s="2"/>
      <c r="AI879" s="6"/>
      <c r="AJ879" s="2"/>
      <c r="AK879" s="56"/>
      <c r="AL879" s="2"/>
      <c r="AM879" s="2"/>
      <c r="AN879" s="2"/>
      <c r="AO879" s="2"/>
      <c r="AP879" s="6"/>
      <c r="AQ879" s="2"/>
      <c r="AR879" s="2"/>
      <c r="AS879" s="2"/>
      <c r="AT879" s="2"/>
      <c r="AU879" s="2"/>
      <c r="AV879" s="2"/>
      <c r="AW879" s="2"/>
      <c r="AX879" s="6"/>
      <c r="AY879" s="2"/>
      <c r="AZ879" s="2"/>
      <c r="BA879" s="2"/>
      <c r="BB879" s="2"/>
      <c r="BC879" s="2"/>
      <c r="BD879" s="6"/>
      <c r="BE879" s="2"/>
      <c r="BF879" s="6"/>
      <c r="BG879" s="58"/>
      <c r="BH879" s="6"/>
      <c r="BI879" s="2"/>
    </row>
    <row r="880" ht="12.75" customHeight="1">
      <c r="A880" s="71"/>
      <c r="B880" s="71"/>
      <c r="C880" s="11"/>
      <c r="D880" s="11"/>
      <c r="E880" s="2"/>
      <c r="F880" s="2"/>
      <c r="G880" s="2"/>
      <c r="H880" s="54"/>
      <c r="I880" s="4"/>
      <c r="J880" s="2"/>
      <c r="K880" s="2"/>
      <c r="L880" s="5"/>
      <c r="M880" s="5"/>
      <c r="N880" s="5"/>
      <c r="O880" s="5"/>
      <c r="P880" s="5"/>
      <c r="Q880" s="5"/>
      <c r="R880" s="2"/>
      <c r="S880" s="2"/>
      <c r="T880" s="2"/>
      <c r="U880" s="2"/>
      <c r="V880" s="2"/>
      <c r="W880" s="2"/>
      <c r="X880" s="6"/>
      <c r="Y880" s="2"/>
      <c r="Z880" s="2"/>
      <c r="AA880" s="2"/>
      <c r="AB880" s="2"/>
      <c r="AC880" s="6"/>
      <c r="AD880" s="2"/>
      <c r="AE880" s="2"/>
      <c r="AF880" s="2"/>
      <c r="AG880" s="2"/>
      <c r="AH880" s="2"/>
      <c r="AI880" s="6"/>
      <c r="AJ880" s="2"/>
      <c r="AK880" s="56"/>
      <c r="AL880" s="2"/>
      <c r="AM880" s="2"/>
      <c r="AN880" s="2"/>
      <c r="AO880" s="2"/>
      <c r="AP880" s="6"/>
      <c r="AQ880" s="2"/>
      <c r="AR880" s="2"/>
      <c r="AS880" s="2"/>
      <c r="AT880" s="2"/>
      <c r="AU880" s="2"/>
      <c r="AV880" s="2"/>
      <c r="AW880" s="2"/>
      <c r="AX880" s="6"/>
      <c r="AY880" s="2"/>
      <c r="AZ880" s="2"/>
      <c r="BA880" s="2"/>
      <c r="BB880" s="2"/>
      <c r="BC880" s="2"/>
      <c r="BD880" s="6"/>
      <c r="BE880" s="2"/>
      <c r="BF880" s="6"/>
      <c r="BG880" s="58"/>
      <c r="BH880" s="6"/>
      <c r="BI880" s="2"/>
    </row>
    <row r="881" ht="12.75" customHeight="1">
      <c r="A881" s="71"/>
      <c r="B881" s="71"/>
      <c r="C881" s="11"/>
      <c r="D881" s="11"/>
      <c r="E881" s="2"/>
      <c r="F881" s="2"/>
      <c r="G881" s="2"/>
      <c r="H881" s="54"/>
      <c r="I881" s="4"/>
      <c r="J881" s="2"/>
      <c r="K881" s="2"/>
      <c r="L881" s="5"/>
      <c r="M881" s="5"/>
      <c r="N881" s="5"/>
      <c r="O881" s="5"/>
      <c r="P881" s="5"/>
      <c r="Q881" s="5"/>
      <c r="R881" s="2"/>
      <c r="S881" s="2"/>
      <c r="T881" s="2"/>
      <c r="U881" s="2"/>
      <c r="V881" s="2"/>
      <c r="W881" s="2"/>
      <c r="X881" s="6"/>
      <c r="Y881" s="2"/>
      <c r="Z881" s="2"/>
      <c r="AA881" s="2"/>
      <c r="AB881" s="2"/>
      <c r="AC881" s="6"/>
      <c r="AD881" s="2"/>
      <c r="AE881" s="2"/>
      <c r="AF881" s="2"/>
      <c r="AG881" s="2"/>
      <c r="AH881" s="2"/>
      <c r="AI881" s="6"/>
      <c r="AJ881" s="2"/>
      <c r="AK881" s="56"/>
      <c r="AL881" s="2"/>
      <c r="AM881" s="2"/>
      <c r="AN881" s="2"/>
      <c r="AO881" s="2"/>
      <c r="AP881" s="6"/>
      <c r="AQ881" s="2"/>
      <c r="AR881" s="2"/>
      <c r="AS881" s="2"/>
      <c r="AT881" s="2"/>
      <c r="AU881" s="2"/>
      <c r="AV881" s="2"/>
      <c r="AW881" s="2"/>
      <c r="AX881" s="6"/>
      <c r="AY881" s="2"/>
      <c r="AZ881" s="2"/>
      <c r="BA881" s="2"/>
      <c r="BB881" s="2"/>
      <c r="BC881" s="2"/>
      <c r="BD881" s="6"/>
      <c r="BE881" s="2"/>
      <c r="BF881" s="6"/>
      <c r="BG881" s="58"/>
      <c r="BH881" s="6"/>
      <c r="BI881" s="2"/>
    </row>
    <row r="882" ht="12.75" customHeight="1">
      <c r="A882" s="71"/>
      <c r="B882" s="71"/>
      <c r="C882" s="11"/>
      <c r="D882" s="11"/>
      <c r="E882" s="2"/>
      <c r="F882" s="2"/>
      <c r="G882" s="2"/>
      <c r="H882" s="54"/>
      <c r="I882" s="4"/>
      <c r="J882" s="2"/>
      <c r="K882" s="2"/>
      <c r="L882" s="5"/>
      <c r="M882" s="5"/>
      <c r="N882" s="5"/>
      <c r="O882" s="5"/>
      <c r="P882" s="5"/>
      <c r="Q882" s="5"/>
      <c r="R882" s="2"/>
      <c r="S882" s="2"/>
      <c r="T882" s="2"/>
      <c r="U882" s="2"/>
      <c r="V882" s="2"/>
      <c r="W882" s="2"/>
      <c r="X882" s="6"/>
      <c r="Y882" s="2"/>
      <c r="Z882" s="2"/>
      <c r="AA882" s="2"/>
      <c r="AB882" s="2"/>
      <c r="AC882" s="6"/>
      <c r="AD882" s="2"/>
      <c r="AE882" s="2"/>
      <c r="AF882" s="2"/>
      <c r="AG882" s="2"/>
      <c r="AH882" s="2"/>
      <c r="AI882" s="6"/>
      <c r="AJ882" s="2"/>
      <c r="AK882" s="56"/>
      <c r="AL882" s="2"/>
      <c r="AM882" s="2"/>
      <c r="AN882" s="2"/>
      <c r="AO882" s="2"/>
      <c r="AP882" s="6"/>
      <c r="AQ882" s="2"/>
      <c r="AR882" s="2"/>
      <c r="AS882" s="2"/>
      <c r="AT882" s="2"/>
      <c r="AU882" s="2"/>
      <c r="AV882" s="2"/>
      <c r="AW882" s="2"/>
      <c r="AX882" s="6"/>
      <c r="AY882" s="2"/>
      <c r="AZ882" s="2"/>
      <c r="BA882" s="2"/>
      <c r="BB882" s="2"/>
      <c r="BC882" s="2"/>
      <c r="BD882" s="6"/>
      <c r="BE882" s="2"/>
      <c r="BF882" s="6"/>
      <c r="BG882" s="58"/>
      <c r="BH882" s="6"/>
      <c r="BI882" s="2"/>
    </row>
    <row r="883" ht="12.75" customHeight="1">
      <c r="A883" s="71"/>
      <c r="B883" s="71"/>
      <c r="C883" s="11"/>
      <c r="D883" s="11"/>
      <c r="E883" s="2"/>
      <c r="F883" s="2"/>
      <c r="G883" s="2"/>
      <c r="H883" s="54"/>
      <c r="I883" s="4"/>
      <c r="J883" s="2"/>
      <c r="K883" s="2"/>
      <c r="L883" s="5"/>
      <c r="M883" s="5"/>
      <c r="N883" s="5"/>
      <c r="O883" s="5"/>
      <c r="P883" s="5"/>
      <c r="Q883" s="5"/>
      <c r="R883" s="2"/>
      <c r="S883" s="2"/>
      <c r="T883" s="2"/>
      <c r="U883" s="2"/>
      <c r="V883" s="2"/>
      <c r="W883" s="2"/>
      <c r="X883" s="6"/>
      <c r="Y883" s="2"/>
      <c r="Z883" s="2"/>
      <c r="AA883" s="2"/>
      <c r="AB883" s="2"/>
      <c r="AC883" s="6"/>
      <c r="AD883" s="2"/>
      <c r="AE883" s="2"/>
      <c r="AF883" s="2"/>
      <c r="AG883" s="2"/>
      <c r="AH883" s="2"/>
      <c r="AI883" s="6"/>
      <c r="AJ883" s="2"/>
      <c r="AK883" s="56"/>
      <c r="AL883" s="2"/>
      <c r="AM883" s="2"/>
      <c r="AN883" s="2"/>
      <c r="AO883" s="2"/>
      <c r="AP883" s="6"/>
      <c r="AQ883" s="2"/>
      <c r="AR883" s="2"/>
      <c r="AS883" s="2"/>
      <c r="AT883" s="2"/>
      <c r="AU883" s="2"/>
      <c r="AV883" s="2"/>
      <c r="AW883" s="2"/>
      <c r="AX883" s="6"/>
      <c r="AY883" s="2"/>
      <c r="AZ883" s="2"/>
      <c r="BA883" s="2"/>
      <c r="BB883" s="2"/>
      <c r="BC883" s="2"/>
      <c r="BD883" s="6"/>
      <c r="BE883" s="2"/>
      <c r="BF883" s="6"/>
      <c r="BG883" s="58"/>
      <c r="BH883" s="6"/>
      <c r="BI883" s="2"/>
    </row>
    <row r="884" ht="12.75" customHeight="1">
      <c r="A884" s="71"/>
      <c r="B884" s="71"/>
      <c r="C884" s="11"/>
      <c r="D884" s="11"/>
      <c r="E884" s="2"/>
      <c r="F884" s="2"/>
      <c r="G884" s="2"/>
      <c r="H884" s="54"/>
      <c r="I884" s="4"/>
      <c r="J884" s="2"/>
      <c r="K884" s="2"/>
      <c r="L884" s="5"/>
      <c r="M884" s="5"/>
      <c r="N884" s="5"/>
      <c r="O884" s="5"/>
      <c r="P884" s="5"/>
      <c r="Q884" s="5"/>
      <c r="R884" s="2"/>
      <c r="S884" s="2"/>
      <c r="T884" s="2"/>
      <c r="U884" s="2"/>
      <c r="V884" s="2"/>
      <c r="W884" s="2"/>
      <c r="X884" s="6"/>
      <c r="Y884" s="2"/>
      <c r="Z884" s="2"/>
      <c r="AA884" s="2"/>
      <c r="AB884" s="2"/>
      <c r="AC884" s="6"/>
      <c r="AD884" s="2"/>
      <c r="AE884" s="2"/>
      <c r="AF884" s="2"/>
      <c r="AG884" s="2"/>
      <c r="AH884" s="2"/>
      <c r="AI884" s="6"/>
      <c r="AJ884" s="2"/>
      <c r="AK884" s="56"/>
      <c r="AL884" s="2"/>
      <c r="AM884" s="2"/>
      <c r="AN884" s="2"/>
      <c r="AO884" s="2"/>
      <c r="AP884" s="6"/>
      <c r="AQ884" s="2"/>
      <c r="AR884" s="2"/>
      <c r="AS884" s="2"/>
      <c r="AT884" s="2"/>
      <c r="AU884" s="2"/>
      <c r="AV884" s="2"/>
      <c r="AW884" s="2"/>
      <c r="AX884" s="6"/>
      <c r="AY884" s="2"/>
      <c r="AZ884" s="2"/>
      <c r="BA884" s="2"/>
      <c r="BB884" s="2"/>
      <c r="BC884" s="2"/>
      <c r="BD884" s="6"/>
      <c r="BE884" s="2"/>
      <c r="BF884" s="6"/>
      <c r="BG884" s="58"/>
      <c r="BH884" s="6"/>
      <c r="BI884" s="2"/>
    </row>
    <row r="885" ht="12.75" customHeight="1">
      <c r="A885" s="71"/>
      <c r="B885" s="71"/>
      <c r="C885" s="11"/>
      <c r="D885" s="11"/>
      <c r="E885" s="2"/>
      <c r="F885" s="2"/>
      <c r="G885" s="2"/>
      <c r="H885" s="54"/>
      <c r="I885" s="4"/>
      <c r="J885" s="2"/>
      <c r="K885" s="2"/>
      <c r="L885" s="5"/>
      <c r="M885" s="5"/>
      <c r="N885" s="5"/>
      <c r="O885" s="5"/>
      <c r="P885" s="5"/>
      <c r="Q885" s="5"/>
      <c r="R885" s="2"/>
      <c r="S885" s="2"/>
      <c r="T885" s="2"/>
      <c r="U885" s="2"/>
      <c r="V885" s="2"/>
      <c r="W885" s="2"/>
      <c r="X885" s="6"/>
      <c r="Y885" s="2"/>
      <c r="Z885" s="2"/>
      <c r="AA885" s="2"/>
      <c r="AB885" s="2"/>
      <c r="AC885" s="6"/>
      <c r="AD885" s="2"/>
      <c r="AE885" s="2"/>
      <c r="AF885" s="2"/>
      <c r="AG885" s="2"/>
      <c r="AH885" s="2"/>
      <c r="AI885" s="6"/>
      <c r="AJ885" s="2"/>
      <c r="AK885" s="56"/>
      <c r="AL885" s="2"/>
      <c r="AM885" s="2"/>
      <c r="AN885" s="2"/>
      <c r="AO885" s="2"/>
      <c r="AP885" s="6"/>
      <c r="AQ885" s="2"/>
      <c r="AR885" s="2"/>
      <c r="AS885" s="2"/>
      <c r="AT885" s="2"/>
      <c r="AU885" s="2"/>
      <c r="AV885" s="2"/>
      <c r="AW885" s="2"/>
      <c r="AX885" s="6"/>
      <c r="AY885" s="2"/>
      <c r="AZ885" s="2"/>
      <c r="BA885" s="2"/>
      <c r="BB885" s="2"/>
      <c r="BC885" s="2"/>
      <c r="BD885" s="6"/>
      <c r="BE885" s="2"/>
      <c r="BF885" s="6"/>
      <c r="BG885" s="58"/>
      <c r="BH885" s="6"/>
      <c r="BI885" s="2"/>
    </row>
    <row r="886" ht="12.75" customHeight="1">
      <c r="A886" s="71"/>
      <c r="B886" s="71"/>
      <c r="C886" s="11"/>
      <c r="D886" s="11"/>
      <c r="E886" s="2"/>
      <c r="F886" s="2"/>
      <c r="G886" s="2"/>
      <c r="H886" s="54"/>
      <c r="I886" s="4"/>
      <c r="J886" s="2"/>
      <c r="K886" s="2"/>
      <c r="L886" s="5"/>
      <c r="M886" s="5"/>
      <c r="N886" s="5"/>
      <c r="O886" s="5"/>
      <c r="P886" s="5"/>
      <c r="Q886" s="5"/>
      <c r="R886" s="2"/>
      <c r="S886" s="2"/>
      <c r="T886" s="2"/>
      <c r="U886" s="2"/>
      <c r="V886" s="2"/>
      <c r="W886" s="2"/>
      <c r="X886" s="6"/>
      <c r="Y886" s="2"/>
      <c r="Z886" s="2"/>
      <c r="AA886" s="2"/>
      <c r="AB886" s="2"/>
      <c r="AC886" s="6"/>
      <c r="AD886" s="2"/>
      <c r="AE886" s="2"/>
      <c r="AF886" s="2"/>
      <c r="AG886" s="2"/>
      <c r="AH886" s="2"/>
      <c r="AI886" s="6"/>
      <c r="AJ886" s="2"/>
      <c r="AK886" s="56"/>
      <c r="AL886" s="2"/>
      <c r="AM886" s="2"/>
      <c r="AN886" s="2"/>
      <c r="AO886" s="2"/>
      <c r="AP886" s="6"/>
      <c r="AQ886" s="2"/>
      <c r="AR886" s="2"/>
      <c r="AS886" s="2"/>
      <c r="AT886" s="2"/>
      <c r="AU886" s="2"/>
      <c r="AV886" s="2"/>
      <c r="AW886" s="2"/>
      <c r="AX886" s="6"/>
      <c r="AY886" s="2"/>
      <c r="AZ886" s="2"/>
      <c r="BA886" s="2"/>
      <c r="BB886" s="2"/>
      <c r="BC886" s="2"/>
      <c r="BD886" s="6"/>
      <c r="BE886" s="2"/>
      <c r="BF886" s="6"/>
      <c r="BG886" s="58"/>
      <c r="BH886" s="6"/>
      <c r="BI886" s="2"/>
    </row>
    <row r="887" ht="12.75" customHeight="1">
      <c r="A887" s="71"/>
      <c r="B887" s="71"/>
      <c r="C887" s="11"/>
      <c r="D887" s="11"/>
      <c r="E887" s="2"/>
      <c r="F887" s="2"/>
      <c r="G887" s="2"/>
      <c r="H887" s="54"/>
      <c r="I887" s="4"/>
      <c r="J887" s="2"/>
      <c r="K887" s="2"/>
      <c r="L887" s="5"/>
      <c r="M887" s="5"/>
      <c r="N887" s="5"/>
      <c r="O887" s="5"/>
      <c r="P887" s="5"/>
      <c r="Q887" s="5"/>
      <c r="R887" s="2"/>
      <c r="S887" s="2"/>
      <c r="T887" s="2"/>
      <c r="U887" s="2"/>
      <c r="V887" s="2"/>
      <c r="W887" s="2"/>
      <c r="X887" s="6"/>
      <c r="Y887" s="2"/>
      <c r="Z887" s="2"/>
      <c r="AA887" s="2"/>
      <c r="AB887" s="2"/>
      <c r="AC887" s="6"/>
      <c r="AD887" s="2"/>
      <c r="AE887" s="2"/>
      <c r="AF887" s="2"/>
      <c r="AG887" s="2"/>
      <c r="AH887" s="2"/>
      <c r="AI887" s="6"/>
      <c r="AJ887" s="2"/>
      <c r="AK887" s="56"/>
      <c r="AL887" s="2"/>
      <c r="AM887" s="2"/>
      <c r="AN887" s="2"/>
      <c r="AO887" s="2"/>
      <c r="AP887" s="6"/>
      <c r="AQ887" s="2"/>
      <c r="AR887" s="2"/>
      <c r="AS887" s="2"/>
      <c r="AT887" s="2"/>
      <c r="AU887" s="2"/>
      <c r="AV887" s="2"/>
      <c r="AW887" s="2"/>
      <c r="AX887" s="6"/>
      <c r="AY887" s="2"/>
      <c r="AZ887" s="2"/>
      <c r="BA887" s="2"/>
      <c r="BB887" s="2"/>
      <c r="BC887" s="2"/>
      <c r="BD887" s="6"/>
      <c r="BE887" s="2"/>
      <c r="BF887" s="6"/>
      <c r="BG887" s="58"/>
      <c r="BH887" s="6"/>
      <c r="BI887" s="2"/>
    </row>
    <row r="888" ht="12.75" customHeight="1">
      <c r="A888" s="71"/>
      <c r="B888" s="71"/>
      <c r="C888" s="11"/>
      <c r="D888" s="11"/>
      <c r="E888" s="2"/>
      <c r="F888" s="2"/>
      <c r="G888" s="2"/>
      <c r="H888" s="54"/>
      <c r="I888" s="4"/>
      <c r="J888" s="2"/>
      <c r="K888" s="2"/>
      <c r="L888" s="5"/>
      <c r="M888" s="5"/>
      <c r="N888" s="5"/>
      <c r="O888" s="5"/>
      <c r="P888" s="5"/>
      <c r="Q888" s="5"/>
      <c r="R888" s="2"/>
      <c r="S888" s="2"/>
      <c r="T888" s="2"/>
      <c r="U888" s="2"/>
      <c r="V888" s="2"/>
      <c r="W888" s="2"/>
      <c r="X888" s="6"/>
      <c r="Y888" s="2"/>
      <c r="Z888" s="2"/>
      <c r="AA888" s="2"/>
      <c r="AB888" s="2"/>
      <c r="AC888" s="6"/>
      <c r="AD888" s="2"/>
      <c r="AE888" s="2"/>
      <c r="AF888" s="2"/>
      <c r="AG888" s="2"/>
      <c r="AH888" s="2"/>
      <c r="AI888" s="6"/>
      <c r="AJ888" s="2"/>
      <c r="AK888" s="56"/>
      <c r="AL888" s="2"/>
      <c r="AM888" s="2"/>
      <c r="AN888" s="2"/>
      <c r="AO888" s="2"/>
      <c r="AP888" s="6"/>
      <c r="AQ888" s="2"/>
      <c r="AR888" s="2"/>
      <c r="AS888" s="2"/>
      <c r="AT888" s="2"/>
      <c r="AU888" s="2"/>
      <c r="AV888" s="2"/>
      <c r="AW888" s="2"/>
      <c r="AX888" s="6"/>
      <c r="AY888" s="2"/>
      <c r="AZ888" s="2"/>
      <c r="BA888" s="2"/>
      <c r="BB888" s="2"/>
      <c r="BC888" s="2"/>
      <c r="BD888" s="6"/>
      <c r="BE888" s="2"/>
      <c r="BF888" s="6"/>
      <c r="BG888" s="58"/>
      <c r="BH888" s="6"/>
      <c r="BI888" s="2"/>
    </row>
    <row r="889" ht="12.75" customHeight="1">
      <c r="A889" s="71"/>
      <c r="B889" s="71"/>
      <c r="C889" s="11"/>
      <c r="D889" s="11"/>
      <c r="E889" s="2"/>
      <c r="F889" s="2"/>
      <c r="G889" s="2"/>
      <c r="H889" s="54"/>
      <c r="I889" s="4"/>
      <c r="J889" s="2"/>
      <c r="K889" s="2"/>
      <c r="L889" s="5"/>
      <c r="M889" s="5"/>
      <c r="N889" s="5"/>
      <c r="O889" s="5"/>
      <c r="P889" s="5"/>
      <c r="Q889" s="5"/>
      <c r="R889" s="2"/>
      <c r="S889" s="2"/>
      <c r="T889" s="2"/>
      <c r="U889" s="2"/>
      <c r="V889" s="2"/>
      <c r="W889" s="2"/>
      <c r="X889" s="6"/>
      <c r="Y889" s="2"/>
      <c r="Z889" s="2"/>
      <c r="AA889" s="2"/>
      <c r="AB889" s="2"/>
      <c r="AC889" s="6"/>
      <c r="AD889" s="2"/>
      <c r="AE889" s="2"/>
      <c r="AF889" s="2"/>
      <c r="AG889" s="2"/>
      <c r="AH889" s="2"/>
      <c r="AI889" s="6"/>
      <c r="AJ889" s="2"/>
      <c r="AK889" s="56"/>
      <c r="AL889" s="2"/>
      <c r="AM889" s="2"/>
      <c r="AN889" s="2"/>
      <c r="AO889" s="2"/>
      <c r="AP889" s="6"/>
      <c r="AQ889" s="2"/>
      <c r="AR889" s="2"/>
      <c r="AS889" s="2"/>
      <c r="AT889" s="2"/>
      <c r="AU889" s="2"/>
      <c r="AV889" s="2"/>
      <c r="AW889" s="2"/>
      <c r="AX889" s="6"/>
      <c r="AY889" s="2"/>
      <c r="AZ889" s="2"/>
      <c r="BA889" s="2"/>
      <c r="BB889" s="2"/>
      <c r="BC889" s="2"/>
      <c r="BD889" s="6"/>
      <c r="BE889" s="2"/>
      <c r="BF889" s="6"/>
      <c r="BG889" s="58"/>
      <c r="BH889" s="6"/>
      <c r="BI889" s="2"/>
    </row>
    <row r="890" ht="12.75" customHeight="1">
      <c r="A890" s="71"/>
      <c r="B890" s="71"/>
      <c r="C890" s="11"/>
      <c r="D890" s="11"/>
      <c r="E890" s="2"/>
      <c r="F890" s="2"/>
      <c r="G890" s="2"/>
      <c r="H890" s="54"/>
      <c r="I890" s="4"/>
      <c r="J890" s="2"/>
      <c r="K890" s="2"/>
      <c r="L890" s="5"/>
      <c r="M890" s="5"/>
      <c r="N890" s="5"/>
      <c r="O890" s="5"/>
      <c r="P890" s="5"/>
      <c r="Q890" s="5"/>
      <c r="R890" s="2"/>
      <c r="S890" s="2"/>
      <c r="T890" s="2"/>
      <c r="U890" s="2"/>
      <c r="V890" s="2"/>
      <c r="W890" s="2"/>
      <c r="X890" s="6"/>
      <c r="Y890" s="2"/>
      <c r="Z890" s="2"/>
      <c r="AA890" s="2"/>
      <c r="AB890" s="2"/>
      <c r="AC890" s="6"/>
      <c r="AD890" s="2"/>
      <c r="AE890" s="2"/>
      <c r="AF890" s="2"/>
      <c r="AG890" s="2"/>
      <c r="AH890" s="2"/>
      <c r="AI890" s="6"/>
      <c r="AJ890" s="2"/>
      <c r="AK890" s="56"/>
      <c r="AL890" s="2"/>
      <c r="AM890" s="2"/>
      <c r="AN890" s="2"/>
      <c r="AO890" s="2"/>
      <c r="AP890" s="6"/>
      <c r="AQ890" s="2"/>
      <c r="AR890" s="2"/>
      <c r="AS890" s="2"/>
      <c r="AT890" s="2"/>
      <c r="AU890" s="2"/>
      <c r="AV890" s="2"/>
      <c r="AW890" s="2"/>
      <c r="AX890" s="6"/>
      <c r="AY890" s="2"/>
      <c r="AZ890" s="2"/>
      <c r="BA890" s="2"/>
      <c r="BB890" s="2"/>
      <c r="BC890" s="2"/>
      <c r="BD890" s="6"/>
      <c r="BE890" s="2"/>
      <c r="BF890" s="6"/>
      <c r="BG890" s="58"/>
      <c r="BH890" s="6"/>
      <c r="BI890" s="2"/>
    </row>
    <row r="891" ht="12.75" customHeight="1">
      <c r="A891" s="71"/>
      <c r="B891" s="71"/>
      <c r="C891" s="11"/>
      <c r="D891" s="11"/>
      <c r="E891" s="2"/>
      <c r="F891" s="2"/>
      <c r="G891" s="2"/>
      <c r="H891" s="54"/>
      <c r="I891" s="4"/>
      <c r="J891" s="2"/>
      <c r="K891" s="2"/>
      <c r="L891" s="5"/>
      <c r="M891" s="5"/>
      <c r="N891" s="5"/>
      <c r="O891" s="5"/>
      <c r="P891" s="5"/>
      <c r="Q891" s="5"/>
      <c r="R891" s="2"/>
      <c r="S891" s="2"/>
      <c r="T891" s="2"/>
      <c r="U891" s="2"/>
      <c r="V891" s="2"/>
      <c r="W891" s="2"/>
      <c r="X891" s="6"/>
      <c r="Y891" s="2"/>
      <c r="Z891" s="2"/>
      <c r="AA891" s="2"/>
      <c r="AB891" s="2"/>
      <c r="AC891" s="6"/>
      <c r="AD891" s="2"/>
      <c r="AE891" s="2"/>
      <c r="AF891" s="2"/>
      <c r="AG891" s="2"/>
      <c r="AH891" s="2"/>
      <c r="AI891" s="6"/>
      <c r="AJ891" s="2"/>
      <c r="AK891" s="56"/>
      <c r="AL891" s="2"/>
      <c r="AM891" s="2"/>
      <c r="AN891" s="2"/>
      <c r="AO891" s="2"/>
      <c r="AP891" s="6"/>
      <c r="AQ891" s="2"/>
      <c r="AR891" s="2"/>
      <c r="AS891" s="2"/>
      <c r="AT891" s="2"/>
      <c r="AU891" s="2"/>
      <c r="AV891" s="2"/>
      <c r="AW891" s="2"/>
      <c r="AX891" s="6"/>
      <c r="AY891" s="2"/>
      <c r="AZ891" s="2"/>
      <c r="BA891" s="2"/>
      <c r="BB891" s="2"/>
      <c r="BC891" s="2"/>
      <c r="BD891" s="6"/>
      <c r="BE891" s="2"/>
      <c r="BF891" s="6"/>
      <c r="BG891" s="58"/>
      <c r="BH891" s="6"/>
      <c r="BI891" s="2"/>
    </row>
    <row r="892" ht="12.75" customHeight="1">
      <c r="A892" s="71"/>
      <c r="B892" s="71"/>
      <c r="C892" s="11"/>
      <c r="D892" s="11"/>
      <c r="E892" s="2"/>
      <c r="F892" s="2"/>
      <c r="G892" s="2"/>
      <c r="H892" s="54"/>
      <c r="I892" s="4"/>
      <c r="J892" s="2"/>
      <c r="K892" s="2"/>
      <c r="L892" s="5"/>
      <c r="M892" s="5"/>
      <c r="N892" s="5"/>
      <c r="O892" s="5"/>
      <c r="P892" s="5"/>
      <c r="Q892" s="5"/>
      <c r="R892" s="2"/>
      <c r="S892" s="2"/>
      <c r="T892" s="2"/>
      <c r="U892" s="2"/>
      <c r="V892" s="2"/>
      <c r="W892" s="2"/>
      <c r="X892" s="6"/>
      <c r="Y892" s="2"/>
      <c r="Z892" s="2"/>
      <c r="AA892" s="2"/>
      <c r="AB892" s="2"/>
      <c r="AC892" s="6"/>
      <c r="AD892" s="2"/>
      <c r="AE892" s="2"/>
      <c r="AF892" s="2"/>
      <c r="AG892" s="2"/>
      <c r="AH892" s="2"/>
      <c r="AI892" s="6"/>
      <c r="AJ892" s="2"/>
      <c r="AK892" s="56"/>
      <c r="AL892" s="2"/>
      <c r="AM892" s="2"/>
      <c r="AN892" s="2"/>
      <c r="AO892" s="2"/>
      <c r="AP892" s="6"/>
      <c r="AQ892" s="2"/>
      <c r="AR892" s="2"/>
      <c r="AS892" s="2"/>
      <c r="AT892" s="2"/>
      <c r="AU892" s="2"/>
      <c r="AV892" s="2"/>
      <c r="AW892" s="2"/>
      <c r="AX892" s="6"/>
      <c r="AY892" s="2"/>
      <c r="AZ892" s="2"/>
      <c r="BA892" s="2"/>
      <c r="BB892" s="2"/>
      <c r="BC892" s="2"/>
      <c r="BD892" s="6"/>
      <c r="BE892" s="2"/>
      <c r="BF892" s="6"/>
      <c r="BG892" s="58"/>
      <c r="BH892" s="6"/>
      <c r="BI892" s="2"/>
    </row>
    <row r="893" ht="12.75" customHeight="1">
      <c r="A893" s="71"/>
      <c r="B893" s="71"/>
      <c r="C893" s="11"/>
      <c r="D893" s="11"/>
      <c r="E893" s="2"/>
      <c r="F893" s="2"/>
      <c r="G893" s="2"/>
      <c r="H893" s="54"/>
      <c r="I893" s="4"/>
      <c r="J893" s="2"/>
      <c r="K893" s="2"/>
      <c r="L893" s="5"/>
      <c r="M893" s="5"/>
      <c r="N893" s="5"/>
      <c r="O893" s="5"/>
      <c r="P893" s="5"/>
      <c r="Q893" s="5"/>
      <c r="R893" s="2"/>
      <c r="S893" s="2"/>
      <c r="T893" s="2"/>
      <c r="U893" s="2"/>
      <c r="V893" s="2"/>
      <c r="W893" s="2"/>
      <c r="X893" s="6"/>
      <c r="Y893" s="2"/>
      <c r="Z893" s="2"/>
      <c r="AA893" s="2"/>
      <c r="AB893" s="2"/>
      <c r="AC893" s="6"/>
      <c r="AD893" s="2"/>
      <c r="AE893" s="2"/>
      <c r="AF893" s="2"/>
      <c r="AG893" s="2"/>
      <c r="AH893" s="2"/>
      <c r="AI893" s="6"/>
      <c r="AJ893" s="2"/>
      <c r="AK893" s="56"/>
      <c r="AL893" s="2"/>
      <c r="AM893" s="2"/>
      <c r="AN893" s="2"/>
      <c r="AO893" s="2"/>
      <c r="AP893" s="6"/>
      <c r="AQ893" s="2"/>
      <c r="AR893" s="2"/>
      <c r="AS893" s="2"/>
      <c r="AT893" s="2"/>
      <c r="AU893" s="2"/>
      <c r="AV893" s="2"/>
      <c r="AW893" s="2"/>
      <c r="AX893" s="6"/>
      <c r="AY893" s="2"/>
      <c r="AZ893" s="2"/>
      <c r="BA893" s="2"/>
      <c r="BB893" s="2"/>
      <c r="BC893" s="2"/>
      <c r="BD893" s="6"/>
      <c r="BE893" s="2"/>
      <c r="BF893" s="6"/>
      <c r="BG893" s="58"/>
      <c r="BH893" s="6"/>
      <c r="BI893" s="2"/>
    </row>
    <row r="894" ht="12.75" customHeight="1">
      <c r="A894" s="71"/>
      <c r="B894" s="71"/>
      <c r="C894" s="11"/>
      <c r="D894" s="11"/>
      <c r="E894" s="2"/>
      <c r="F894" s="2"/>
      <c r="G894" s="2"/>
      <c r="H894" s="54"/>
      <c r="I894" s="4"/>
      <c r="J894" s="2"/>
      <c r="K894" s="2"/>
      <c r="L894" s="5"/>
      <c r="M894" s="5"/>
      <c r="N894" s="5"/>
      <c r="O894" s="5"/>
      <c r="P894" s="5"/>
      <c r="Q894" s="5"/>
      <c r="R894" s="2"/>
      <c r="S894" s="2"/>
      <c r="T894" s="2"/>
      <c r="U894" s="2"/>
      <c r="V894" s="2"/>
      <c r="W894" s="2"/>
      <c r="X894" s="6"/>
      <c r="Y894" s="2"/>
      <c r="Z894" s="2"/>
      <c r="AA894" s="2"/>
      <c r="AB894" s="2"/>
      <c r="AC894" s="6"/>
      <c r="AD894" s="2"/>
      <c r="AE894" s="2"/>
      <c r="AF894" s="2"/>
      <c r="AG894" s="2"/>
      <c r="AH894" s="2"/>
      <c r="AI894" s="6"/>
      <c r="AJ894" s="2"/>
      <c r="AK894" s="56"/>
      <c r="AL894" s="2"/>
      <c r="AM894" s="2"/>
      <c r="AN894" s="2"/>
      <c r="AO894" s="2"/>
      <c r="AP894" s="6"/>
      <c r="AQ894" s="2"/>
      <c r="AR894" s="2"/>
      <c r="AS894" s="2"/>
      <c r="AT894" s="2"/>
      <c r="AU894" s="2"/>
      <c r="AV894" s="2"/>
      <c r="AW894" s="2"/>
      <c r="AX894" s="6"/>
      <c r="AY894" s="2"/>
      <c r="AZ894" s="2"/>
      <c r="BA894" s="2"/>
      <c r="BB894" s="2"/>
      <c r="BC894" s="2"/>
      <c r="BD894" s="6"/>
      <c r="BE894" s="2"/>
      <c r="BF894" s="6"/>
      <c r="BG894" s="58"/>
      <c r="BH894" s="6"/>
      <c r="BI894" s="2"/>
    </row>
    <row r="895" ht="12.75" customHeight="1">
      <c r="A895" s="71"/>
      <c r="B895" s="71"/>
      <c r="C895" s="11"/>
      <c r="D895" s="11"/>
      <c r="E895" s="2"/>
      <c r="F895" s="2"/>
      <c r="G895" s="2"/>
      <c r="H895" s="54"/>
      <c r="I895" s="4"/>
      <c r="J895" s="2"/>
      <c r="K895" s="2"/>
      <c r="L895" s="5"/>
      <c r="M895" s="5"/>
      <c r="N895" s="5"/>
      <c r="O895" s="5"/>
      <c r="P895" s="5"/>
      <c r="Q895" s="5"/>
      <c r="R895" s="2"/>
      <c r="S895" s="2"/>
      <c r="T895" s="2"/>
      <c r="U895" s="2"/>
      <c r="V895" s="2"/>
      <c r="W895" s="2"/>
      <c r="X895" s="6"/>
      <c r="Y895" s="2"/>
      <c r="Z895" s="2"/>
      <c r="AA895" s="2"/>
      <c r="AB895" s="2"/>
      <c r="AC895" s="6"/>
      <c r="AD895" s="2"/>
      <c r="AE895" s="2"/>
      <c r="AF895" s="2"/>
      <c r="AG895" s="2"/>
      <c r="AH895" s="2"/>
      <c r="AI895" s="6"/>
      <c r="AJ895" s="2"/>
      <c r="AK895" s="56"/>
      <c r="AL895" s="2"/>
      <c r="AM895" s="2"/>
      <c r="AN895" s="2"/>
      <c r="AO895" s="2"/>
      <c r="AP895" s="6"/>
      <c r="AQ895" s="2"/>
      <c r="AR895" s="2"/>
      <c r="AS895" s="2"/>
      <c r="AT895" s="2"/>
      <c r="AU895" s="2"/>
      <c r="AV895" s="2"/>
      <c r="AW895" s="2"/>
      <c r="AX895" s="6"/>
      <c r="AY895" s="2"/>
      <c r="AZ895" s="2"/>
      <c r="BA895" s="2"/>
      <c r="BB895" s="2"/>
      <c r="BC895" s="2"/>
      <c r="BD895" s="6"/>
      <c r="BE895" s="2"/>
      <c r="BF895" s="6"/>
      <c r="BG895" s="58"/>
      <c r="BH895" s="6"/>
      <c r="BI895" s="2"/>
    </row>
    <row r="896" ht="12.75" customHeight="1">
      <c r="A896" s="71"/>
      <c r="B896" s="71"/>
      <c r="C896" s="11"/>
      <c r="D896" s="11"/>
      <c r="E896" s="2"/>
      <c r="F896" s="2"/>
      <c r="G896" s="2"/>
      <c r="H896" s="54"/>
      <c r="I896" s="4"/>
      <c r="J896" s="2"/>
      <c r="K896" s="2"/>
      <c r="L896" s="5"/>
      <c r="M896" s="5"/>
      <c r="N896" s="5"/>
      <c r="O896" s="5"/>
      <c r="P896" s="5"/>
      <c r="Q896" s="5"/>
      <c r="R896" s="2"/>
      <c r="S896" s="2"/>
      <c r="T896" s="2"/>
      <c r="U896" s="2"/>
      <c r="V896" s="2"/>
      <c r="W896" s="2"/>
      <c r="X896" s="6"/>
      <c r="Y896" s="2"/>
      <c r="Z896" s="2"/>
      <c r="AA896" s="2"/>
      <c r="AB896" s="2"/>
      <c r="AC896" s="6"/>
      <c r="AD896" s="2"/>
      <c r="AE896" s="2"/>
      <c r="AF896" s="2"/>
      <c r="AG896" s="2"/>
      <c r="AH896" s="2"/>
      <c r="AI896" s="6"/>
      <c r="AJ896" s="2"/>
      <c r="AK896" s="56"/>
      <c r="AL896" s="2"/>
      <c r="AM896" s="2"/>
      <c r="AN896" s="2"/>
      <c r="AO896" s="2"/>
      <c r="AP896" s="6"/>
      <c r="AQ896" s="2"/>
      <c r="AR896" s="2"/>
      <c r="AS896" s="2"/>
      <c r="AT896" s="2"/>
      <c r="AU896" s="2"/>
      <c r="AV896" s="2"/>
      <c r="AW896" s="2"/>
      <c r="AX896" s="6"/>
      <c r="AY896" s="2"/>
      <c r="AZ896" s="2"/>
      <c r="BA896" s="2"/>
      <c r="BB896" s="2"/>
      <c r="BC896" s="2"/>
      <c r="BD896" s="6"/>
      <c r="BE896" s="2"/>
      <c r="BF896" s="6"/>
      <c r="BG896" s="58"/>
      <c r="BH896" s="6"/>
      <c r="BI896" s="2"/>
    </row>
    <row r="897" ht="12.75" customHeight="1">
      <c r="A897" s="71"/>
      <c r="B897" s="71"/>
      <c r="C897" s="11"/>
      <c r="D897" s="11"/>
      <c r="E897" s="2"/>
      <c r="F897" s="2"/>
      <c r="G897" s="2"/>
      <c r="H897" s="54"/>
      <c r="I897" s="4"/>
      <c r="J897" s="2"/>
      <c r="K897" s="2"/>
      <c r="L897" s="5"/>
      <c r="M897" s="5"/>
      <c r="N897" s="5"/>
      <c r="O897" s="5"/>
      <c r="P897" s="5"/>
      <c r="Q897" s="5"/>
      <c r="R897" s="2"/>
      <c r="S897" s="2"/>
      <c r="T897" s="2"/>
      <c r="U897" s="2"/>
      <c r="V897" s="2"/>
      <c r="W897" s="2"/>
      <c r="X897" s="6"/>
      <c r="Y897" s="2"/>
      <c r="Z897" s="2"/>
      <c r="AA897" s="2"/>
      <c r="AB897" s="2"/>
      <c r="AC897" s="6"/>
      <c r="AD897" s="2"/>
      <c r="AE897" s="2"/>
      <c r="AF897" s="2"/>
      <c r="AG897" s="2"/>
      <c r="AH897" s="2"/>
      <c r="AI897" s="6"/>
      <c r="AJ897" s="2"/>
      <c r="AK897" s="56"/>
      <c r="AL897" s="2"/>
      <c r="AM897" s="2"/>
      <c r="AN897" s="2"/>
      <c r="AO897" s="2"/>
      <c r="AP897" s="6"/>
      <c r="AQ897" s="2"/>
      <c r="AR897" s="2"/>
      <c r="AS897" s="2"/>
      <c r="AT897" s="2"/>
      <c r="AU897" s="2"/>
      <c r="AV897" s="2"/>
      <c r="AW897" s="2"/>
      <c r="AX897" s="6"/>
      <c r="AY897" s="2"/>
      <c r="AZ897" s="2"/>
      <c r="BA897" s="2"/>
      <c r="BB897" s="2"/>
      <c r="BC897" s="2"/>
      <c r="BD897" s="6"/>
      <c r="BE897" s="2"/>
      <c r="BF897" s="6"/>
      <c r="BG897" s="58"/>
      <c r="BH897" s="6"/>
      <c r="BI897" s="2"/>
    </row>
    <row r="898" ht="12.75" customHeight="1">
      <c r="A898" s="71"/>
      <c r="B898" s="71"/>
      <c r="C898" s="11"/>
      <c r="D898" s="11"/>
      <c r="E898" s="2"/>
      <c r="F898" s="2"/>
      <c r="G898" s="2"/>
      <c r="H898" s="54"/>
      <c r="I898" s="4"/>
      <c r="J898" s="2"/>
      <c r="K898" s="2"/>
      <c r="L898" s="5"/>
      <c r="M898" s="5"/>
      <c r="N898" s="5"/>
      <c r="O898" s="5"/>
      <c r="P898" s="5"/>
      <c r="Q898" s="5"/>
      <c r="R898" s="2"/>
      <c r="S898" s="2"/>
      <c r="T898" s="2"/>
      <c r="U898" s="2"/>
      <c r="V898" s="2"/>
      <c r="W898" s="2"/>
      <c r="X898" s="6"/>
      <c r="Y898" s="2"/>
      <c r="Z898" s="2"/>
      <c r="AA898" s="2"/>
      <c r="AB898" s="2"/>
      <c r="AC898" s="6"/>
      <c r="AD898" s="2"/>
      <c r="AE898" s="2"/>
      <c r="AF898" s="2"/>
      <c r="AG898" s="2"/>
      <c r="AH898" s="2"/>
      <c r="AI898" s="6"/>
      <c r="AJ898" s="2"/>
      <c r="AK898" s="56"/>
      <c r="AL898" s="2"/>
      <c r="AM898" s="2"/>
      <c r="AN898" s="2"/>
      <c r="AO898" s="2"/>
      <c r="AP898" s="6"/>
      <c r="AQ898" s="2"/>
      <c r="AR898" s="2"/>
      <c r="AS898" s="2"/>
      <c r="AT898" s="2"/>
      <c r="AU898" s="2"/>
      <c r="AV898" s="2"/>
      <c r="AW898" s="2"/>
      <c r="AX898" s="6"/>
      <c r="AY898" s="2"/>
      <c r="AZ898" s="2"/>
      <c r="BA898" s="2"/>
      <c r="BB898" s="2"/>
      <c r="BC898" s="2"/>
      <c r="BD898" s="6"/>
      <c r="BE898" s="2"/>
      <c r="BF898" s="6"/>
      <c r="BG898" s="58"/>
      <c r="BH898" s="6"/>
      <c r="BI898" s="2"/>
    </row>
    <row r="899" ht="12.75" customHeight="1">
      <c r="A899" s="71"/>
      <c r="B899" s="71"/>
      <c r="C899" s="11"/>
      <c r="D899" s="11"/>
      <c r="E899" s="2"/>
      <c r="F899" s="2"/>
      <c r="G899" s="2"/>
      <c r="H899" s="54"/>
      <c r="I899" s="4"/>
      <c r="J899" s="2"/>
      <c r="K899" s="2"/>
      <c r="L899" s="5"/>
      <c r="M899" s="5"/>
      <c r="N899" s="5"/>
      <c r="O899" s="5"/>
      <c r="P899" s="5"/>
      <c r="Q899" s="5"/>
      <c r="R899" s="2"/>
      <c r="S899" s="2"/>
      <c r="T899" s="2"/>
      <c r="U899" s="2"/>
      <c r="V899" s="2"/>
      <c r="W899" s="2"/>
      <c r="X899" s="6"/>
      <c r="Y899" s="2"/>
      <c r="Z899" s="2"/>
      <c r="AA899" s="2"/>
      <c r="AB899" s="2"/>
      <c r="AC899" s="6"/>
      <c r="AD899" s="2"/>
      <c r="AE899" s="2"/>
      <c r="AF899" s="2"/>
      <c r="AG899" s="2"/>
      <c r="AH899" s="2"/>
      <c r="AI899" s="6"/>
      <c r="AJ899" s="2"/>
      <c r="AK899" s="56"/>
      <c r="AL899" s="2"/>
      <c r="AM899" s="2"/>
      <c r="AN899" s="2"/>
      <c r="AO899" s="2"/>
      <c r="AP899" s="6"/>
      <c r="AQ899" s="2"/>
      <c r="AR899" s="2"/>
      <c r="AS899" s="2"/>
      <c r="AT899" s="2"/>
      <c r="AU899" s="2"/>
      <c r="AV899" s="2"/>
      <c r="AW899" s="2"/>
      <c r="AX899" s="6"/>
      <c r="AY899" s="2"/>
      <c r="AZ899" s="2"/>
      <c r="BA899" s="2"/>
      <c r="BB899" s="2"/>
      <c r="BC899" s="2"/>
      <c r="BD899" s="6"/>
      <c r="BE899" s="2"/>
      <c r="BF899" s="6"/>
      <c r="BG899" s="58"/>
      <c r="BH899" s="6"/>
      <c r="BI899" s="2"/>
    </row>
    <row r="900" ht="12.75" customHeight="1">
      <c r="A900" s="71"/>
      <c r="B900" s="71"/>
      <c r="C900" s="11"/>
      <c r="D900" s="11"/>
      <c r="E900" s="2"/>
      <c r="F900" s="2"/>
      <c r="G900" s="2"/>
      <c r="H900" s="54"/>
      <c r="I900" s="4"/>
      <c r="J900" s="2"/>
      <c r="K900" s="2"/>
      <c r="L900" s="5"/>
      <c r="M900" s="5"/>
      <c r="N900" s="5"/>
      <c r="O900" s="5"/>
      <c r="P900" s="5"/>
      <c r="Q900" s="5"/>
      <c r="R900" s="2"/>
      <c r="S900" s="2"/>
      <c r="T900" s="2"/>
      <c r="U900" s="2"/>
      <c r="V900" s="2"/>
      <c r="W900" s="2"/>
      <c r="X900" s="6"/>
      <c r="Y900" s="2"/>
      <c r="Z900" s="2"/>
      <c r="AA900" s="2"/>
      <c r="AB900" s="2"/>
      <c r="AC900" s="6"/>
      <c r="AD900" s="2"/>
      <c r="AE900" s="2"/>
      <c r="AF900" s="2"/>
      <c r="AG900" s="2"/>
      <c r="AH900" s="2"/>
      <c r="AI900" s="6"/>
      <c r="AJ900" s="2"/>
      <c r="AK900" s="56"/>
      <c r="AL900" s="2"/>
      <c r="AM900" s="2"/>
      <c r="AN900" s="2"/>
      <c r="AO900" s="2"/>
      <c r="AP900" s="6"/>
      <c r="AQ900" s="2"/>
      <c r="AR900" s="2"/>
      <c r="AS900" s="2"/>
      <c r="AT900" s="2"/>
      <c r="AU900" s="2"/>
      <c r="AV900" s="2"/>
      <c r="AW900" s="2"/>
      <c r="AX900" s="6"/>
      <c r="AY900" s="2"/>
      <c r="AZ900" s="2"/>
      <c r="BA900" s="2"/>
      <c r="BB900" s="2"/>
      <c r="BC900" s="2"/>
      <c r="BD900" s="6"/>
      <c r="BE900" s="2"/>
      <c r="BF900" s="6"/>
      <c r="BG900" s="58"/>
      <c r="BH900" s="6"/>
      <c r="BI900" s="2"/>
    </row>
    <row r="901" ht="12.75" customHeight="1">
      <c r="A901" s="71"/>
      <c r="B901" s="71"/>
      <c r="C901" s="11"/>
      <c r="D901" s="11"/>
      <c r="E901" s="2"/>
      <c r="F901" s="2"/>
      <c r="G901" s="2"/>
      <c r="H901" s="54"/>
      <c r="I901" s="4"/>
      <c r="J901" s="2"/>
      <c r="K901" s="2"/>
      <c r="L901" s="5"/>
      <c r="M901" s="5"/>
      <c r="N901" s="5"/>
      <c r="O901" s="5"/>
      <c r="P901" s="5"/>
      <c r="Q901" s="5"/>
      <c r="R901" s="2"/>
      <c r="S901" s="2"/>
      <c r="T901" s="2"/>
      <c r="U901" s="2"/>
      <c r="V901" s="2"/>
      <c r="W901" s="2"/>
      <c r="X901" s="6"/>
      <c r="Y901" s="2"/>
      <c r="Z901" s="2"/>
      <c r="AA901" s="2"/>
      <c r="AB901" s="2"/>
      <c r="AC901" s="6"/>
      <c r="AD901" s="2"/>
      <c r="AE901" s="2"/>
      <c r="AF901" s="2"/>
      <c r="AG901" s="2"/>
      <c r="AH901" s="2"/>
      <c r="AI901" s="6"/>
      <c r="AJ901" s="2"/>
      <c r="AK901" s="56"/>
      <c r="AL901" s="2"/>
      <c r="AM901" s="2"/>
      <c r="AN901" s="2"/>
      <c r="AO901" s="2"/>
      <c r="AP901" s="6"/>
      <c r="AQ901" s="2"/>
      <c r="AR901" s="2"/>
      <c r="AS901" s="2"/>
      <c r="AT901" s="2"/>
      <c r="AU901" s="2"/>
      <c r="AV901" s="2"/>
      <c r="AW901" s="2"/>
      <c r="AX901" s="6"/>
      <c r="AY901" s="2"/>
      <c r="AZ901" s="2"/>
      <c r="BA901" s="2"/>
      <c r="BB901" s="2"/>
      <c r="BC901" s="2"/>
      <c r="BD901" s="6"/>
      <c r="BE901" s="2"/>
      <c r="BF901" s="6"/>
      <c r="BG901" s="58"/>
      <c r="BH901" s="6"/>
      <c r="BI901" s="2"/>
    </row>
    <row r="902" ht="12.75" customHeight="1">
      <c r="A902" s="71"/>
      <c r="B902" s="71"/>
      <c r="C902" s="11"/>
      <c r="D902" s="11"/>
      <c r="E902" s="2"/>
      <c r="F902" s="2"/>
      <c r="G902" s="2"/>
      <c r="H902" s="54"/>
      <c r="I902" s="4"/>
      <c r="J902" s="2"/>
      <c r="K902" s="2"/>
      <c r="L902" s="5"/>
      <c r="M902" s="5"/>
      <c r="N902" s="5"/>
      <c r="O902" s="5"/>
      <c r="P902" s="5"/>
      <c r="Q902" s="5"/>
      <c r="R902" s="2"/>
      <c r="S902" s="2"/>
      <c r="T902" s="2"/>
      <c r="U902" s="2"/>
      <c r="V902" s="2"/>
      <c r="W902" s="2"/>
      <c r="X902" s="6"/>
      <c r="Y902" s="2"/>
      <c r="Z902" s="2"/>
      <c r="AA902" s="2"/>
      <c r="AB902" s="2"/>
      <c r="AC902" s="6"/>
      <c r="AD902" s="2"/>
      <c r="AE902" s="2"/>
      <c r="AF902" s="2"/>
      <c r="AG902" s="2"/>
      <c r="AH902" s="2"/>
      <c r="AI902" s="6"/>
      <c r="AJ902" s="2"/>
      <c r="AK902" s="56"/>
      <c r="AL902" s="2"/>
      <c r="AM902" s="2"/>
      <c r="AN902" s="2"/>
      <c r="AO902" s="2"/>
      <c r="AP902" s="6"/>
      <c r="AQ902" s="2"/>
      <c r="AR902" s="2"/>
      <c r="AS902" s="2"/>
      <c r="AT902" s="2"/>
      <c r="AU902" s="2"/>
      <c r="AV902" s="2"/>
      <c r="AW902" s="2"/>
      <c r="AX902" s="6"/>
      <c r="AY902" s="2"/>
      <c r="AZ902" s="2"/>
      <c r="BA902" s="2"/>
      <c r="BB902" s="2"/>
      <c r="BC902" s="2"/>
      <c r="BD902" s="6"/>
      <c r="BE902" s="2"/>
      <c r="BF902" s="6"/>
      <c r="BG902" s="58"/>
      <c r="BH902" s="6"/>
      <c r="BI902" s="2"/>
    </row>
    <row r="903" ht="12.75" customHeight="1">
      <c r="A903" s="71"/>
      <c r="B903" s="71"/>
      <c r="C903" s="11"/>
      <c r="D903" s="11"/>
      <c r="E903" s="2"/>
      <c r="F903" s="2"/>
      <c r="G903" s="2"/>
      <c r="H903" s="54"/>
      <c r="I903" s="4"/>
      <c r="J903" s="2"/>
      <c r="K903" s="2"/>
      <c r="L903" s="5"/>
      <c r="M903" s="5"/>
      <c r="N903" s="5"/>
      <c r="O903" s="5"/>
      <c r="P903" s="5"/>
      <c r="Q903" s="5"/>
      <c r="R903" s="2"/>
      <c r="S903" s="2"/>
      <c r="T903" s="2"/>
      <c r="U903" s="2"/>
      <c r="V903" s="2"/>
      <c r="W903" s="2"/>
      <c r="X903" s="6"/>
      <c r="Y903" s="2"/>
      <c r="Z903" s="2"/>
      <c r="AA903" s="2"/>
      <c r="AB903" s="2"/>
      <c r="AC903" s="6"/>
      <c r="AD903" s="2"/>
      <c r="AE903" s="2"/>
      <c r="AF903" s="2"/>
      <c r="AG903" s="2"/>
      <c r="AH903" s="2"/>
      <c r="AI903" s="6"/>
      <c r="AJ903" s="2"/>
      <c r="AK903" s="56"/>
      <c r="AL903" s="2"/>
      <c r="AM903" s="2"/>
      <c r="AN903" s="2"/>
      <c r="AO903" s="2"/>
      <c r="AP903" s="6"/>
      <c r="AQ903" s="2"/>
      <c r="AR903" s="2"/>
      <c r="AS903" s="2"/>
      <c r="AT903" s="2"/>
      <c r="AU903" s="2"/>
      <c r="AV903" s="2"/>
      <c r="AW903" s="2"/>
      <c r="AX903" s="6"/>
      <c r="AY903" s="2"/>
      <c r="AZ903" s="2"/>
      <c r="BA903" s="2"/>
      <c r="BB903" s="2"/>
      <c r="BC903" s="2"/>
      <c r="BD903" s="6"/>
      <c r="BE903" s="2"/>
      <c r="BF903" s="6"/>
      <c r="BG903" s="58"/>
      <c r="BH903" s="6"/>
      <c r="BI903" s="2"/>
    </row>
    <row r="904" ht="12.75" customHeight="1">
      <c r="A904" s="71"/>
      <c r="B904" s="71"/>
      <c r="C904" s="11"/>
      <c r="D904" s="11"/>
      <c r="E904" s="2"/>
      <c r="F904" s="2"/>
      <c r="G904" s="2"/>
      <c r="H904" s="54"/>
      <c r="I904" s="4"/>
      <c r="J904" s="2"/>
      <c r="K904" s="2"/>
      <c r="L904" s="5"/>
      <c r="M904" s="5"/>
      <c r="N904" s="5"/>
      <c r="O904" s="5"/>
      <c r="P904" s="5"/>
      <c r="Q904" s="5"/>
      <c r="R904" s="2"/>
      <c r="S904" s="2"/>
      <c r="T904" s="2"/>
      <c r="U904" s="2"/>
      <c r="V904" s="2"/>
      <c r="W904" s="2"/>
      <c r="X904" s="6"/>
      <c r="Y904" s="2"/>
      <c r="Z904" s="2"/>
      <c r="AA904" s="2"/>
      <c r="AB904" s="2"/>
      <c r="AC904" s="6"/>
      <c r="AD904" s="2"/>
      <c r="AE904" s="2"/>
      <c r="AF904" s="2"/>
      <c r="AG904" s="2"/>
      <c r="AH904" s="2"/>
      <c r="AI904" s="6"/>
      <c r="AJ904" s="2"/>
      <c r="AK904" s="56"/>
      <c r="AL904" s="2"/>
      <c r="AM904" s="2"/>
      <c r="AN904" s="2"/>
      <c r="AO904" s="2"/>
      <c r="AP904" s="6"/>
      <c r="AQ904" s="2"/>
      <c r="AR904" s="2"/>
      <c r="AS904" s="2"/>
      <c r="AT904" s="2"/>
      <c r="AU904" s="2"/>
      <c r="AV904" s="2"/>
      <c r="AW904" s="2"/>
      <c r="AX904" s="6"/>
      <c r="AY904" s="2"/>
      <c r="AZ904" s="2"/>
      <c r="BA904" s="2"/>
      <c r="BB904" s="2"/>
      <c r="BC904" s="2"/>
      <c r="BD904" s="6"/>
      <c r="BE904" s="2"/>
      <c r="BF904" s="6"/>
      <c r="BG904" s="58"/>
      <c r="BH904" s="6"/>
      <c r="BI904" s="2"/>
    </row>
    <row r="905" ht="12.75" customHeight="1">
      <c r="A905" s="71"/>
      <c r="B905" s="71"/>
      <c r="C905" s="11"/>
      <c r="D905" s="11"/>
      <c r="E905" s="2"/>
      <c r="F905" s="2"/>
      <c r="G905" s="2"/>
      <c r="H905" s="54"/>
      <c r="I905" s="4"/>
      <c r="J905" s="2"/>
      <c r="K905" s="2"/>
      <c r="L905" s="5"/>
      <c r="M905" s="5"/>
      <c r="N905" s="5"/>
      <c r="O905" s="5"/>
      <c r="P905" s="5"/>
      <c r="Q905" s="5"/>
      <c r="R905" s="2"/>
      <c r="S905" s="2"/>
      <c r="T905" s="2"/>
      <c r="U905" s="2"/>
      <c r="V905" s="2"/>
      <c r="W905" s="2"/>
      <c r="X905" s="6"/>
      <c r="Y905" s="2"/>
      <c r="Z905" s="2"/>
      <c r="AA905" s="2"/>
      <c r="AB905" s="2"/>
      <c r="AC905" s="6"/>
      <c r="AD905" s="2"/>
      <c r="AE905" s="2"/>
      <c r="AF905" s="2"/>
      <c r="AG905" s="2"/>
      <c r="AH905" s="2"/>
      <c r="AI905" s="6"/>
      <c r="AJ905" s="2"/>
      <c r="AK905" s="56"/>
      <c r="AL905" s="2"/>
      <c r="AM905" s="2"/>
      <c r="AN905" s="2"/>
      <c r="AO905" s="2"/>
      <c r="AP905" s="6"/>
      <c r="AQ905" s="2"/>
      <c r="AR905" s="2"/>
      <c r="AS905" s="2"/>
      <c r="AT905" s="2"/>
      <c r="AU905" s="2"/>
      <c r="AV905" s="2"/>
      <c r="AW905" s="2"/>
      <c r="AX905" s="6"/>
      <c r="AY905" s="2"/>
      <c r="AZ905" s="2"/>
      <c r="BA905" s="2"/>
      <c r="BB905" s="2"/>
      <c r="BC905" s="2"/>
      <c r="BD905" s="6"/>
      <c r="BE905" s="2"/>
      <c r="BF905" s="6"/>
      <c r="BG905" s="58"/>
      <c r="BH905" s="6"/>
      <c r="BI905" s="2"/>
    </row>
    <row r="906" ht="12.75" customHeight="1">
      <c r="A906" s="71"/>
      <c r="B906" s="71"/>
      <c r="C906" s="11"/>
      <c r="D906" s="11"/>
      <c r="E906" s="2"/>
      <c r="F906" s="2"/>
      <c r="G906" s="2"/>
      <c r="H906" s="54"/>
      <c r="I906" s="4"/>
      <c r="J906" s="2"/>
      <c r="K906" s="2"/>
      <c r="L906" s="5"/>
      <c r="M906" s="5"/>
      <c r="N906" s="5"/>
      <c r="O906" s="5"/>
      <c r="P906" s="5"/>
      <c r="Q906" s="5"/>
      <c r="R906" s="2"/>
      <c r="S906" s="2"/>
      <c r="T906" s="2"/>
      <c r="U906" s="2"/>
      <c r="V906" s="2"/>
      <c r="W906" s="2"/>
      <c r="X906" s="6"/>
      <c r="Y906" s="2"/>
      <c r="Z906" s="2"/>
      <c r="AA906" s="2"/>
      <c r="AB906" s="2"/>
      <c r="AC906" s="6"/>
      <c r="AD906" s="2"/>
      <c r="AE906" s="2"/>
      <c r="AF906" s="2"/>
      <c r="AG906" s="2"/>
      <c r="AH906" s="2"/>
      <c r="AI906" s="6"/>
      <c r="AJ906" s="2"/>
      <c r="AK906" s="56"/>
      <c r="AL906" s="2"/>
      <c r="AM906" s="2"/>
      <c r="AN906" s="2"/>
      <c r="AO906" s="2"/>
      <c r="AP906" s="6"/>
      <c r="AQ906" s="2"/>
      <c r="AR906" s="2"/>
      <c r="AS906" s="2"/>
      <c r="AT906" s="2"/>
      <c r="AU906" s="2"/>
      <c r="AV906" s="2"/>
      <c r="AW906" s="2"/>
      <c r="AX906" s="6"/>
      <c r="AY906" s="2"/>
      <c r="AZ906" s="2"/>
      <c r="BA906" s="2"/>
      <c r="BB906" s="2"/>
      <c r="BC906" s="2"/>
      <c r="BD906" s="6"/>
      <c r="BE906" s="2"/>
      <c r="BF906" s="6"/>
      <c r="BG906" s="58"/>
      <c r="BH906" s="6"/>
      <c r="BI906" s="2"/>
    </row>
    <row r="907" ht="12.75" customHeight="1">
      <c r="A907" s="71"/>
      <c r="B907" s="71"/>
      <c r="C907" s="11"/>
      <c r="D907" s="11"/>
      <c r="E907" s="2"/>
      <c r="F907" s="2"/>
      <c r="G907" s="2"/>
      <c r="H907" s="54"/>
      <c r="I907" s="4"/>
      <c r="J907" s="2"/>
      <c r="K907" s="2"/>
      <c r="L907" s="5"/>
      <c r="M907" s="5"/>
      <c r="N907" s="5"/>
      <c r="O907" s="5"/>
      <c r="P907" s="5"/>
      <c r="Q907" s="5"/>
      <c r="R907" s="2"/>
      <c r="S907" s="2"/>
      <c r="T907" s="2"/>
      <c r="U907" s="2"/>
      <c r="V907" s="2"/>
      <c r="W907" s="2"/>
      <c r="X907" s="6"/>
      <c r="Y907" s="2"/>
      <c r="Z907" s="2"/>
      <c r="AA907" s="2"/>
      <c r="AB907" s="2"/>
      <c r="AC907" s="6"/>
      <c r="AD907" s="2"/>
      <c r="AE907" s="2"/>
      <c r="AF907" s="2"/>
      <c r="AG907" s="2"/>
      <c r="AH907" s="2"/>
      <c r="AI907" s="6"/>
      <c r="AJ907" s="2"/>
      <c r="AK907" s="56"/>
      <c r="AL907" s="2"/>
      <c r="AM907" s="2"/>
      <c r="AN907" s="2"/>
      <c r="AO907" s="2"/>
      <c r="AP907" s="6"/>
      <c r="AQ907" s="2"/>
      <c r="AR907" s="2"/>
      <c r="AS907" s="2"/>
      <c r="AT907" s="2"/>
      <c r="AU907" s="2"/>
      <c r="AV907" s="2"/>
      <c r="AW907" s="2"/>
      <c r="AX907" s="6"/>
      <c r="AY907" s="2"/>
      <c r="AZ907" s="2"/>
      <c r="BA907" s="2"/>
      <c r="BB907" s="2"/>
      <c r="BC907" s="2"/>
      <c r="BD907" s="6"/>
      <c r="BE907" s="2"/>
      <c r="BF907" s="6"/>
      <c r="BG907" s="58"/>
      <c r="BH907" s="6"/>
      <c r="BI907" s="2"/>
    </row>
    <row r="908" ht="12.75" customHeight="1">
      <c r="A908" s="71"/>
      <c r="B908" s="71"/>
      <c r="C908" s="11"/>
      <c r="D908" s="11"/>
      <c r="E908" s="2"/>
      <c r="F908" s="2"/>
      <c r="G908" s="2"/>
      <c r="H908" s="54"/>
      <c r="I908" s="4"/>
      <c r="J908" s="2"/>
      <c r="K908" s="2"/>
      <c r="L908" s="5"/>
      <c r="M908" s="5"/>
      <c r="N908" s="5"/>
      <c r="O908" s="5"/>
      <c r="P908" s="5"/>
      <c r="Q908" s="5"/>
      <c r="R908" s="2"/>
      <c r="S908" s="2"/>
      <c r="T908" s="2"/>
      <c r="U908" s="2"/>
      <c r="V908" s="2"/>
      <c r="W908" s="2"/>
      <c r="X908" s="6"/>
      <c r="Y908" s="2"/>
      <c r="Z908" s="2"/>
      <c r="AA908" s="2"/>
      <c r="AB908" s="2"/>
      <c r="AC908" s="6"/>
      <c r="AD908" s="2"/>
      <c r="AE908" s="2"/>
      <c r="AF908" s="2"/>
      <c r="AG908" s="2"/>
      <c r="AH908" s="2"/>
      <c r="AI908" s="6"/>
      <c r="AJ908" s="2"/>
      <c r="AK908" s="56"/>
      <c r="AL908" s="2"/>
      <c r="AM908" s="2"/>
      <c r="AN908" s="2"/>
      <c r="AO908" s="2"/>
      <c r="AP908" s="6"/>
      <c r="AQ908" s="2"/>
      <c r="AR908" s="2"/>
      <c r="AS908" s="2"/>
      <c r="AT908" s="2"/>
      <c r="AU908" s="2"/>
      <c r="AV908" s="2"/>
      <c r="AW908" s="2"/>
      <c r="AX908" s="6"/>
      <c r="AY908" s="2"/>
      <c r="AZ908" s="2"/>
      <c r="BA908" s="2"/>
      <c r="BB908" s="2"/>
      <c r="BC908" s="2"/>
      <c r="BD908" s="6"/>
      <c r="BE908" s="2"/>
      <c r="BF908" s="6"/>
      <c r="BG908" s="58"/>
      <c r="BH908" s="6"/>
      <c r="BI908" s="2"/>
    </row>
    <row r="909" ht="12.75" customHeight="1">
      <c r="A909" s="71"/>
      <c r="B909" s="71"/>
      <c r="C909" s="11"/>
      <c r="D909" s="11"/>
      <c r="E909" s="2"/>
      <c r="F909" s="2"/>
      <c r="G909" s="2"/>
      <c r="H909" s="54"/>
      <c r="I909" s="4"/>
      <c r="J909" s="2"/>
      <c r="K909" s="2"/>
      <c r="L909" s="5"/>
      <c r="M909" s="5"/>
      <c r="N909" s="5"/>
      <c r="O909" s="5"/>
      <c r="P909" s="5"/>
      <c r="Q909" s="5"/>
      <c r="R909" s="2"/>
      <c r="S909" s="2"/>
      <c r="T909" s="2"/>
      <c r="U909" s="2"/>
      <c r="V909" s="2"/>
      <c r="W909" s="2"/>
      <c r="X909" s="6"/>
      <c r="Y909" s="2"/>
      <c r="Z909" s="2"/>
      <c r="AA909" s="2"/>
      <c r="AB909" s="2"/>
      <c r="AC909" s="6"/>
      <c r="AD909" s="2"/>
      <c r="AE909" s="2"/>
      <c r="AF909" s="2"/>
      <c r="AG909" s="2"/>
      <c r="AH909" s="2"/>
      <c r="AI909" s="6"/>
      <c r="AJ909" s="2"/>
      <c r="AK909" s="56"/>
      <c r="AL909" s="2"/>
      <c r="AM909" s="2"/>
      <c r="AN909" s="2"/>
      <c r="AO909" s="2"/>
      <c r="AP909" s="6"/>
      <c r="AQ909" s="2"/>
      <c r="AR909" s="2"/>
      <c r="AS909" s="2"/>
      <c r="AT909" s="2"/>
      <c r="AU909" s="2"/>
      <c r="AV909" s="2"/>
      <c r="AW909" s="2"/>
      <c r="AX909" s="6"/>
      <c r="AY909" s="2"/>
      <c r="AZ909" s="2"/>
      <c r="BA909" s="2"/>
      <c r="BB909" s="2"/>
      <c r="BC909" s="2"/>
      <c r="BD909" s="6"/>
      <c r="BE909" s="2"/>
      <c r="BF909" s="6"/>
      <c r="BG909" s="58"/>
      <c r="BH909" s="6"/>
      <c r="BI909" s="2"/>
    </row>
    <row r="910" ht="12.75" customHeight="1">
      <c r="A910" s="71"/>
      <c r="B910" s="71"/>
      <c r="C910" s="11"/>
      <c r="D910" s="11"/>
      <c r="E910" s="2"/>
      <c r="F910" s="2"/>
      <c r="G910" s="2"/>
      <c r="H910" s="54"/>
      <c r="I910" s="4"/>
      <c r="J910" s="2"/>
      <c r="K910" s="2"/>
      <c r="L910" s="5"/>
      <c r="M910" s="5"/>
      <c r="N910" s="5"/>
      <c r="O910" s="5"/>
      <c r="P910" s="5"/>
      <c r="Q910" s="5"/>
      <c r="R910" s="2"/>
      <c r="S910" s="2"/>
      <c r="T910" s="2"/>
      <c r="U910" s="2"/>
      <c r="V910" s="2"/>
      <c r="W910" s="2"/>
      <c r="X910" s="6"/>
      <c r="Y910" s="2"/>
      <c r="Z910" s="2"/>
      <c r="AA910" s="2"/>
      <c r="AB910" s="2"/>
      <c r="AC910" s="6"/>
      <c r="AD910" s="2"/>
      <c r="AE910" s="2"/>
      <c r="AF910" s="2"/>
      <c r="AG910" s="2"/>
      <c r="AH910" s="2"/>
      <c r="AI910" s="6"/>
      <c r="AJ910" s="2"/>
      <c r="AK910" s="56"/>
      <c r="AL910" s="2"/>
      <c r="AM910" s="2"/>
      <c r="AN910" s="2"/>
      <c r="AO910" s="2"/>
      <c r="AP910" s="6"/>
      <c r="AQ910" s="2"/>
      <c r="AR910" s="2"/>
      <c r="AS910" s="2"/>
      <c r="AT910" s="2"/>
      <c r="AU910" s="2"/>
      <c r="AV910" s="2"/>
      <c r="AW910" s="2"/>
      <c r="AX910" s="6"/>
      <c r="AY910" s="2"/>
      <c r="AZ910" s="2"/>
      <c r="BA910" s="2"/>
      <c r="BB910" s="2"/>
      <c r="BC910" s="2"/>
      <c r="BD910" s="6"/>
      <c r="BE910" s="2"/>
      <c r="BF910" s="6"/>
      <c r="BG910" s="58"/>
      <c r="BH910" s="6"/>
      <c r="BI910" s="2"/>
    </row>
    <row r="911" ht="12.75" customHeight="1">
      <c r="A911" s="71"/>
      <c r="B911" s="71"/>
      <c r="C911" s="11"/>
      <c r="D911" s="11"/>
      <c r="E911" s="2"/>
      <c r="F911" s="2"/>
      <c r="G911" s="2"/>
      <c r="H911" s="54"/>
      <c r="I911" s="4"/>
      <c r="J911" s="2"/>
      <c r="K911" s="2"/>
      <c r="L911" s="5"/>
      <c r="M911" s="5"/>
      <c r="N911" s="5"/>
      <c r="O911" s="5"/>
      <c r="P911" s="5"/>
      <c r="Q911" s="5"/>
      <c r="R911" s="2"/>
      <c r="S911" s="2"/>
      <c r="T911" s="2"/>
      <c r="U911" s="2"/>
      <c r="V911" s="2"/>
      <c r="W911" s="2"/>
      <c r="X911" s="6"/>
      <c r="Y911" s="2"/>
      <c r="Z911" s="2"/>
      <c r="AA911" s="2"/>
      <c r="AB911" s="2"/>
      <c r="AC911" s="6"/>
      <c r="AD911" s="2"/>
      <c r="AE911" s="2"/>
      <c r="AF911" s="2"/>
      <c r="AG911" s="2"/>
      <c r="AH911" s="2"/>
      <c r="AI911" s="6"/>
      <c r="AJ911" s="2"/>
      <c r="AK911" s="56"/>
      <c r="AL911" s="2"/>
      <c r="AM911" s="2"/>
      <c r="AN911" s="2"/>
      <c r="AO911" s="2"/>
      <c r="AP911" s="6"/>
      <c r="AQ911" s="2"/>
      <c r="AR911" s="2"/>
      <c r="AS911" s="2"/>
      <c r="AT911" s="2"/>
      <c r="AU911" s="2"/>
      <c r="AV911" s="2"/>
      <c r="AW911" s="2"/>
      <c r="AX911" s="6"/>
      <c r="AY911" s="2"/>
      <c r="AZ911" s="2"/>
      <c r="BA911" s="2"/>
      <c r="BB911" s="2"/>
      <c r="BC911" s="2"/>
      <c r="BD911" s="6"/>
      <c r="BE911" s="2"/>
      <c r="BF911" s="6"/>
      <c r="BG911" s="58"/>
      <c r="BH911" s="6"/>
      <c r="BI911" s="2"/>
    </row>
    <row r="912" ht="12.75" customHeight="1">
      <c r="A912" s="71"/>
      <c r="B912" s="71"/>
      <c r="C912" s="11"/>
      <c r="D912" s="11"/>
      <c r="E912" s="2"/>
      <c r="F912" s="2"/>
      <c r="G912" s="2"/>
      <c r="H912" s="54"/>
      <c r="I912" s="4"/>
      <c r="J912" s="2"/>
      <c r="K912" s="2"/>
      <c r="L912" s="5"/>
      <c r="M912" s="5"/>
      <c r="N912" s="5"/>
      <c r="O912" s="5"/>
      <c r="P912" s="5"/>
      <c r="Q912" s="5"/>
      <c r="R912" s="2"/>
      <c r="S912" s="2"/>
      <c r="T912" s="2"/>
      <c r="U912" s="2"/>
      <c r="V912" s="2"/>
      <c r="W912" s="2"/>
      <c r="X912" s="6"/>
      <c r="Y912" s="2"/>
      <c r="Z912" s="2"/>
      <c r="AA912" s="2"/>
      <c r="AB912" s="2"/>
      <c r="AC912" s="6"/>
      <c r="AD912" s="2"/>
      <c r="AE912" s="2"/>
      <c r="AF912" s="2"/>
      <c r="AG912" s="2"/>
      <c r="AH912" s="2"/>
      <c r="AI912" s="6"/>
      <c r="AJ912" s="2"/>
      <c r="AK912" s="56"/>
      <c r="AL912" s="2"/>
      <c r="AM912" s="2"/>
      <c r="AN912" s="2"/>
      <c r="AO912" s="2"/>
      <c r="AP912" s="6"/>
      <c r="AQ912" s="2"/>
      <c r="AR912" s="2"/>
      <c r="AS912" s="2"/>
      <c r="AT912" s="2"/>
      <c r="AU912" s="2"/>
      <c r="AV912" s="2"/>
      <c r="AW912" s="2"/>
      <c r="AX912" s="6"/>
      <c r="AY912" s="2"/>
      <c r="AZ912" s="2"/>
      <c r="BA912" s="2"/>
      <c r="BB912" s="2"/>
      <c r="BC912" s="2"/>
      <c r="BD912" s="6"/>
      <c r="BE912" s="2"/>
      <c r="BF912" s="6"/>
      <c r="BG912" s="58"/>
      <c r="BH912" s="6"/>
      <c r="BI912" s="2"/>
    </row>
    <row r="913" ht="12.75" customHeight="1">
      <c r="A913" s="71"/>
      <c r="B913" s="71"/>
      <c r="C913" s="11"/>
      <c r="D913" s="11"/>
      <c r="E913" s="2"/>
      <c r="F913" s="2"/>
      <c r="G913" s="2"/>
      <c r="H913" s="54"/>
      <c r="I913" s="4"/>
      <c r="J913" s="2"/>
      <c r="K913" s="2"/>
      <c r="L913" s="5"/>
      <c r="M913" s="5"/>
      <c r="N913" s="5"/>
      <c r="O913" s="5"/>
      <c r="P913" s="5"/>
      <c r="Q913" s="5"/>
      <c r="R913" s="2"/>
      <c r="S913" s="2"/>
      <c r="T913" s="2"/>
      <c r="U913" s="2"/>
      <c r="V913" s="2"/>
      <c r="W913" s="2"/>
      <c r="X913" s="6"/>
      <c r="Y913" s="2"/>
      <c r="Z913" s="2"/>
      <c r="AA913" s="2"/>
      <c r="AB913" s="2"/>
      <c r="AC913" s="6"/>
      <c r="AD913" s="2"/>
      <c r="AE913" s="2"/>
      <c r="AF913" s="2"/>
      <c r="AG913" s="2"/>
      <c r="AH913" s="2"/>
      <c r="AI913" s="6"/>
      <c r="AJ913" s="2"/>
      <c r="AK913" s="56"/>
      <c r="AL913" s="2"/>
      <c r="AM913" s="2"/>
      <c r="AN913" s="2"/>
      <c r="AO913" s="2"/>
      <c r="AP913" s="6"/>
      <c r="AQ913" s="2"/>
      <c r="AR913" s="2"/>
      <c r="AS913" s="2"/>
      <c r="AT913" s="2"/>
      <c r="AU913" s="2"/>
      <c r="AV913" s="2"/>
      <c r="AW913" s="2"/>
      <c r="AX913" s="6"/>
      <c r="AY913" s="2"/>
      <c r="AZ913" s="2"/>
      <c r="BA913" s="2"/>
      <c r="BB913" s="2"/>
      <c r="BC913" s="2"/>
      <c r="BD913" s="6"/>
      <c r="BE913" s="2"/>
      <c r="BF913" s="6"/>
      <c r="BG913" s="58"/>
      <c r="BH913" s="6"/>
      <c r="BI913" s="2"/>
    </row>
    <row r="914" ht="12.75" customHeight="1">
      <c r="A914" s="71"/>
      <c r="B914" s="71"/>
      <c r="C914" s="11"/>
      <c r="D914" s="11"/>
      <c r="E914" s="2"/>
      <c r="F914" s="2"/>
      <c r="G914" s="2"/>
      <c r="H914" s="54"/>
      <c r="I914" s="4"/>
      <c r="J914" s="2"/>
      <c r="K914" s="2"/>
      <c r="L914" s="5"/>
      <c r="M914" s="5"/>
      <c r="N914" s="5"/>
      <c r="O914" s="5"/>
      <c r="P914" s="5"/>
      <c r="Q914" s="5"/>
      <c r="R914" s="2"/>
      <c r="S914" s="2"/>
      <c r="T914" s="2"/>
      <c r="U914" s="2"/>
      <c r="V914" s="2"/>
      <c r="W914" s="2"/>
      <c r="X914" s="6"/>
      <c r="Y914" s="2"/>
      <c r="Z914" s="2"/>
      <c r="AA914" s="2"/>
      <c r="AB914" s="2"/>
      <c r="AC914" s="6"/>
      <c r="AD914" s="2"/>
      <c r="AE914" s="2"/>
      <c r="AF914" s="2"/>
      <c r="AG914" s="2"/>
      <c r="AH914" s="2"/>
      <c r="AI914" s="6"/>
      <c r="AJ914" s="2"/>
      <c r="AK914" s="56"/>
      <c r="AL914" s="2"/>
      <c r="AM914" s="2"/>
      <c r="AN914" s="2"/>
      <c r="AO914" s="2"/>
      <c r="AP914" s="6"/>
      <c r="AQ914" s="2"/>
      <c r="AR914" s="2"/>
      <c r="AS914" s="2"/>
      <c r="AT914" s="2"/>
      <c r="AU914" s="2"/>
      <c r="AV914" s="2"/>
      <c r="AW914" s="2"/>
      <c r="AX914" s="6"/>
      <c r="AY914" s="2"/>
      <c r="AZ914" s="2"/>
      <c r="BA914" s="2"/>
      <c r="BB914" s="2"/>
      <c r="BC914" s="2"/>
      <c r="BD914" s="6"/>
      <c r="BE914" s="2"/>
      <c r="BF914" s="6"/>
      <c r="BG914" s="58"/>
      <c r="BH914" s="6"/>
      <c r="BI914" s="2"/>
    </row>
    <row r="915" ht="12.75" customHeight="1">
      <c r="A915" s="71"/>
      <c r="B915" s="71"/>
      <c r="C915" s="11"/>
      <c r="D915" s="11"/>
      <c r="E915" s="2"/>
      <c r="F915" s="2"/>
      <c r="G915" s="2"/>
      <c r="H915" s="54"/>
      <c r="I915" s="4"/>
      <c r="J915" s="2"/>
      <c r="K915" s="2"/>
      <c r="L915" s="5"/>
      <c r="M915" s="5"/>
      <c r="N915" s="5"/>
      <c r="O915" s="5"/>
      <c r="P915" s="5"/>
      <c r="Q915" s="5"/>
      <c r="R915" s="2"/>
      <c r="S915" s="2"/>
      <c r="T915" s="2"/>
      <c r="U915" s="2"/>
      <c r="V915" s="2"/>
      <c r="W915" s="2"/>
      <c r="X915" s="6"/>
      <c r="Y915" s="2"/>
      <c r="Z915" s="2"/>
      <c r="AA915" s="2"/>
      <c r="AB915" s="2"/>
      <c r="AC915" s="6"/>
      <c r="AD915" s="2"/>
      <c r="AE915" s="2"/>
      <c r="AF915" s="2"/>
      <c r="AG915" s="2"/>
      <c r="AH915" s="2"/>
      <c r="AI915" s="6"/>
      <c r="AJ915" s="2"/>
      <c r="AK915" s="56"/>
      <c r="AL915" s="2"/>
      <c r="AM915" s="2"/>
      <c r="AN915" s="2"/>
      <c r="AO915" s="2"/>
      <c r="AP915" s="6"/>
      <c r="AQ915" s="2"/>
      <c r="AR915" s="2"/>
      <c r="AS915" s="2"/>
      <c r="AT915" s="2"/>
      <c r="AU915" s="2"/>
      <c r="AV915" s="2"/>
      <c r="AW915" s="2"/>
      <c r="AX915" s="6"/>
      <c r="AY915" s="2"/>
      <c r="AZ915" s="2"/>
      <c r="BA915" s="2"/>
      <c r="BB915" s="2"/>
      <c r="BC915" s="2"/>
      <c r="BD915" s="6"/>
      <c r="BE915" s="2"/>
      <c r="BF915" s="6"/>
      <c r="BG915" s="58"/>
      <c r="BH915" s="6"/>
      <c r="BI915" s="2"/>
    </row>
    <row r="916" ht="12.75" customHeight="1">
      <c r="A916" s="71"/>
      <c r="B916" s="71"/>
      <c r="C916" s="11"/>
      <c r="D916" s="11"/>
      <c r="E916" s="2"/>
      <c r="F916" s="2"/>
      <c r="G916" s="2"/>
      <c r="H916" s="54"/>
      <c r="I916" s="4"/>
      <c r="J916" s="2"/>
      <c r="K916" s="2"/>
      <c r="L916" s="5"/>
      <c r="M916" s="5"/>
      <c r="N916" s="5"/>
      <c r="O916" s="5"/>
      <c r="P916" s="5"/>
      <c r="Q916" s="5"/>
      <c r="R916" s="2"/>
      <c r="S916" s="2"/>
      <c r="T916" s="2"/>
      <c r="U916" s="2"/>
      <c r="V916" s="2"/>
      <c r="W916" s="2"/>
      <c r="X916" s="6"/>
      <c r="Y916" s="2"/>
      <c r="Z916" s="2"/>
      <c r="AA916" s="2"/>
      <c r="AB916" s="2"/>
      <c r="AC916" s="6"/>
      <c r="AD916" s="2"/>
      <c r="AE916" s="2"/>
      <c r="AF916" s="2"/>
      <c r="AG916" s="2"/>
      <c r="AH916" s="2"/>
      <c r="AI916" s="6"/>
      <c r="AJ916" s="2"/>
      <c r="AK916" s="56"/>
      <c r="AL916" s="2"/>
      <c r="AM916" s="2"/>
      <c r="AN916" s="2"/>
      <c r="AO916" s="2"/>
      <c r="AP916" s="6"/>
      <c r="AQ916" s="2"/>
      <c r="AR916" s="2"/>
      <c r="AS916" s="2"/>
      <c r="AT916" s="2"/>
      <c r="AU916" s="2"/>
      <c r="AV916" s="2"/>
      <c r="AW916" s="2"/>
      <c r="AX916" s="6"/>
      <c r="AY916" s="2"/>
      <c r="AZ916" s="2"/>
      <c r="BA916" s="2"/>
      <c r="BB916" s="2"/>
      <c r="BC916" s="2"/>
      <c r="BD916" s="6"/>
      <c r="BE916" s="2"/>
      <c r="BF916" s="6"/>
      <c r="BG916" s="58"/>
      <c r="BH916" s="6"/>
      <c r="BI916" s="2"/>
    </row>
    <row r="917" ht="12.75" customHeight="1">
      <c r="A917" s="71"/>
      <c r="B917" s="71"/>
      <c r="C917" s="11"/>
      <c r="D917" s="11"/>
      <c r="E917" s="2"/>
      <c r="F917" s="2"/>
      <c r="G917" s="2"/>
      <c r="H917" s="54"/>
      <c r="I917" s="4"/>
      <c r="J917" s="2"/>
      <c r="K917" s="2"/>
      <c r="L917" s="5"/>
      <c r="M917" s="5"/>
      <c r="N917" s="5"/>
      <c r="O917" s="5"/>
      <c r="P917" s="5"/>
      <c r="Q917" s="5"/>
      <c r="R917" s="2"/>
      <c r="S917" s="2"/>
      <c r="T917" s="2"/>
      <c r="U917" s="2"/>
      <c r="V917" s="2"/>
      <c r="W917" s="2"/>
      <c r="X917" s="6"/>
      <c r="Y917" s="2"/>
      <c r="Z917" s="2"/>
      <c r="AA917" s="2"/>
      <c r="AB917" s="2"/>
      <c r="AC917" s="6"/>
      <c r="AD917" s="2"/>
      <c r="AE917" s="2"/>
      <c r="AF917" s="2"/>
      <c r="AG917" s="2"/>
      <c r="AH917" s="2"/>
      <c r="AI917" s="6"/>
      <c r="AJ917" s="2"/>
      <c r="AK917" s="56"/>
      <c r="AL917" s="2"/>
      <c r="AM917" s="2"/>
      <c r="AN917" s="2"/>
      <c r="AO917" s="2"/>
      <c r="AP917" s="6"/>
      <c r="AQ917" s="2"/>
      <c r="AR917" s="2"/>
      <c r="AS917" s="2"/>
      <c r="AT917" s="2"/>
      <c r="AU917" s="2"/>
      <c r="AV917" s="2"/>
      <c r="AW917" s="2"/>
      <c r="AX917" s="6"/>
      <c r="AY917" s="2"/>
      <c r="AZ917" s="2"/>
      <c r="BA917" s="2"/>
      <c r="BB917" s="2"/>
      <c r="BC917" s="2"/>
      <c r="BD917" s="6"/>
      <c r="BE917" s="2"/>
      <c r="BF917" s="6"/>
      <c r="BG917" s="58"/>
      <c r="BH917" s="6"/>
      <c r="BI917" s="2"/>
    </row>
    <row r="918" ht="12.75" customHeight="1">
      <c r="A918" s="71"/>
      <c r="B918" s="71"/>
      <c r="C918" s="11"/>
      <c r="D918" s="11"/>
      <c r="E918" s="2"/>
      <c r="F918" s="2"/>
      <c r="G918" s="2"/>
      <c r="H918" s="54"/>
      <c r="I918" s="4"/>
      <c r="J918" s="2"/>
      <c r="K918" s="2"/>
      <c r="L918" s="5"/>
      <c r="M918" s="5"/>
      <c r="N918" s="5"/>
      <c r="O918" s="5"/>
      <c r="P918" s="5"/>
      <c r="Q918" s="5"/>
      <c r="R918" s="2"/>
      <c r="S918" s="2"/>
      <c r="T918" s="2"/>
      <c r="U918" s="2"/>
      <c r="V918" s="2"/>
      <c r="W918" s="2"/>
      <c r="X918" s="6"/>
      <c r="Y918" s="2"/>
      <c r="Z918" s="2"/>
      <c r="AA918" s="2"/>
      <c r="AB918" s="2"/>
      <c r="AC918" s="6"/>
      <c r="AD918" s="2"/>
      <c r="AE918" s="2"/>
      <c r="AF918" s="2"/>
      <c r="AG918" s="2"/>
      <c r="AH918" s="2"/>
      <c r="AI918" s="6"/>
      <c r="AJ918" s="2"/>
      <c r="AK918" s="56"/>
      <c r="AL918" s="2"/>
      <c r="AM918" s="2"/>
      <c r="AN918" s="2"/>
      <c r="AO918" s="2"/>
      <c r="AP918" s="6"/>
      <c r="AQ918" s="2"/>
      <c r="AR918" s="2"/>
      <c r="AS918" s="2"/>
      <c r="AT918" s="2"/>
      <c r="AU918" s="2"/>
      <c r="AV918" s="2"/>
      <c r="AW918" s="2"/>
      <c r="AX918" s="6"/>
      <c r="AY918" s="2"/>
      <c r="AZ918" s="2"/>
      <c r="BA918" s="2"/>
      <c r="BB918" s="2"/>
      <c r="BC918" s="2"/>
      <c r="BD918" s="6"/>
      <c r="BE918" s="2"/>
      <c r="BF918" s="6"/>
      <c r="BG918" s="58"/>
      <c r="BH918" s="6"/>
      <c r="BI918" s="2"/>
    </row>
    <row r="919" ht="12.75" customHeight="1">
      <c r="A919" s="71"/>
      <c r="B919" s="71"/>
      <c r="C919" s="11"/>
      <c r="D919" s="11"/>
      <c r="E919" s="2"/>
      <c r="F919" s="2"/>
      <c r="G919" s="2"/>
      <c r="H919" s="54"/>
      <c r="I919" s="4"/>
      <c r="J919" s="2"/>
      <c r="K919" s="2"/>
      <c r="L919" s="5"/>
      <c r="M919" s="5"/>
      <c r="N919" s="5"/>
      <c r="O919" s="5"/>
      <c r="P919" s="5"/>
      <c r="Q919" s="5"/>
      <c r="R919" s="2"/>
      <c r="S919" s="2"/>
      <c r="T919" s="2"/>
      <c r="U919" s="2"/>
      <c r="V919" s="2"/>
      <c r="W919" s="2"/>
      <c r="X919" s="6"/>
      <c r="Y919" s="2"/>
      <c r="Z919" s="2"/>
      <c r="AA919" s="2"/>
      <c r="AB919" s="2"/>
      <c r="AC919" s="6"/>
      <c r="AD919" s="2"/>
      <c r="AE919" s="2"/>
      <c r="AF919" s="2"/>
      <c r="AG919" s="2"/>
      <c r="AH919" s="2"/>
      <c r="AI919" s="6"/>
      <c r="AJ919" s="2"/>
      <c r="AK919" s="56"/>
      <c r="AL919" s="2"/>
      <c r="AM919" s="2"/>
      <c r="AN919" s="2"/>
      <c r="AO919" s="2"/>
      <c r="AP919" s="6"/>
      <c r="AQ919" s="2"/>
      <c r="AR919" s="2"/>
      <c r="AS919" s="2"/>
      <c r="AT919" s="2"/>
      <c r="AU919" s="2"/>
      <c r="AV919" s="2"/>
      <c r="AW919" s="2"/>
      <c r="AX919" s="6"/>
      <c r="AY919" s="2"/>
      <c r="AZ919" s="2"/>
      <c r="BA919" s="2"/>
      <c r="BB919" s="2"/>
      <c r="BC919" s="2"/>
      <c r="BD919" s="6"/>
      <c r="BE919" s="2"/>
      <c r="BF919" s="6"/>
      <c r="BG919" s="58"/>
      <c r="BH919" s="6"/>
      <c r="BI919" s="2"/>
    </row>
    <row r="920" ht="12.75" customHeight="1">
      <c r="A920" s="71"/>
      <c r="B920" s="71"/>
      <c r="C920" s="11"/>
      <c r="D920" s="11"/>
      <c r="E920" s="2"/>
      <c r="F920" s="2"/>
      <c r="G920" s="2"/>
      <c r="H920" s="54"/>
      <c r="I920" s="4"/>
      <c r="J920" s="2"/>
      <c r="K920" s="2"/>
      <c r="L920" s="5"/>
      <c r="M920" s="5"/>
      <c r="N920" s="5"/>
      <c r="O920" s="5"/>
      <c r="P920" s="5"/>
      <c r="Q920" s="5"/>
      <c r="R920" s="2"/>
      <c r="S920" s="2"/>
      <c r="T920" s="2"/>
      <c r="U920" s="2"/>
      <c r="V920" s="2"/>
      <c r="W920" s="2"/>
      <c r="X920" s="6"/>
      <c r="Y920" s="2"/>
      <c r="Z920" s="2"/>
      <c r="AA920" s="2"/>
      <c r="AB920" s="2"/>
      <c r="AC920" s="6"/>
      <c r="AD920" s="2"/>
      <c r="AE920" s="2"/>
      <c r="AF920" s="2"/>
      <c r="AG920" s="2"/>
      <c r="AH920" s="2"/>
      <c r="AI920" s="6"/>
      <c r="AJ920" s="2"/>
      <c r="AK920" s="56"/>
      <c r="AL920" s="2"/>
      <c r="AM920" s="2"/>
      <c r="AN920" s="2"/>
      <c r="AO920" s="2"/>
      <c r="AP920" s="6"/>
      <c r="AQ920" s="2"/>
      <c r="AR920" s="2"/>
      <c r="AS920" s="2"/>
      <c r="AT920" s="2"/>
      <c r="AU920" s="2"/>
      <c r="AV920" s="2"/>
      <c r="AW920" s="2"/>
      <c r="AX920" s="6"/>
      <c r="AY920" s="2"/>
      <c r="AZ920" s="2"/>
      <c r="BA920" s="2"/>
      <c r="BB920" s="2"/>
      <c r="BC920" s="2"/>
      <c r="BD920" s="6"/>
      <c r="BE920" s="2"/>
      <c r="BF920" s="6"/>
      <c r="BG920" s="58"/>
      <c r="BH920" s="6"/>
      <c r="BI920" s="2"/>
    </row>
    <row r="921" ht="12.75" customHeight="1">
      <c r="A921" s="71"/>
      <c r="B921" s="71"/>
      <c r="C921" s="11"/>
      <c r="D921" s="11"/>
      <c r="E921" s="2"/>
      <c r="F921" s="2"/>
      <c r="G921" s="2"/>
      <c r="H921" s="54"/>
      <c r="I921" s="4"/>
      <c r="J921" s="2"/>
      <c r="K921" s="2"/>
      <c r="L921" s="5"/>
      <c r="M921" s="5"/>
      <c r="N921" s="5"/>
      <c r="O921" s="5"/>
      <c r="P921" s="5"/>
      <c r="Q921" s="5"/>
      <c r="R921" s="2"/>
      <c r="S921" s="2"/>
      <c r="T921" s="2"/>
      <c r="U921" s="2"/>
      <c r="V921" s="2"/>
      <c r="W921" s="2"/>
      <c r="X921" s="6"/>
      <c r="Y921" s="2"/>
      <c r="Z921" s="2"/>
      <c r="AA921" s="2"/>
      <c r="AB921" s="2"/>
      <c r="AC921" s="6"/>
      <c r="AD921" s="2"/>
      <c r="AE921" s="2"/>
      <c r="AF921" s="2"/>
      <c r="AG921" s="2"/>
      <c r="AH921" s="2"/>
      <c r="AI921" s="6"/>
      <c r="AJ921" s="2"/>
      <c r="AK921" s="56"/>
      <c r="AL921" s="2"/>
      <c r="AM921" s="2"/>
      <c r="AN921" s="2"/>
      <c r="AO921" s="2"/>
      <c r="AP921" s="6"/>
      <c r="AQ921" s="2"/>
      <c r="AR921" s="2"/>
      <c r="AS921" s="2"/>
      <c r="AT921" s="2"/>
      <c r="AU921" s="2"/>
      <c r="AV921" s="2"/>
      <c r="AW921" s="2"/>
      <c r="AX921" s="6"/>
      <c r="AY921" s="2"/>
      <c r="AZ921" s="2"/>
      <c r="BA921" s="2"/>
      <c r="BB921" s="2"/>
      <c r="BC921" s="2"/>
      <c r="BD921" s="6"/>
      <c r="BE921" s="2"/>
      <c r="BF921" s="6"/>
      <c r="BG921" s="58"/>
      <c r="BH921" s="6"/>
      <c r="BI921" s="2"/>
    </row>
    <row r="922" ht="12.75" customHeight="1">
      <c r="A922" s="71"/>
      <c r="B922" s="71"/>
      <c r="C922" s="11"/>
      <c r="D922" s="11"/>
      <c r="E922" s="2"/>
      <c r="F922" s="2"/>
      <c r="G922" s="2"/>
      <c r="H922" s="54"/>
      <c r="I922" s="4"/>
      <c r="J922" s="2"/>
      <c r="K922" s="2"/>
      <c r="L922" s="5"/>
      <c r="M922" s="5"/>
      <c r="N922" s="5"/>
      <c r="O922" s="5"/>
      <c r="P922" s="5"/>
      <c r="Q922" s="5"/>
      <c r="R922" s="2"/>
      <c r="S922" s="2"/>
      <c r="T922" s="2"/>
      <c r="U922" s="2"/>
      <c r="V922" s="2"/>
      <c r="W922" s="2"/>
      <c r="X922" s="6"/>
      <c r="Y922" s="2"/>
      <c r="Z922" s="2"/>
      <c r="AA922" s="2"/>
      <c r="AB922" s="2"/>
      <c r="AC922" s="6"/>
      <c r="AD922" s="2"/>
      <c r="AE922" s="2"/>
      <c r="AF922" s="2"/>
      <c r="AG922" s="2"/>
      <c r="AH922" s="2"/>
      <c r="AI922" s="6"/>
      <c r="AJ922" s="2"/>
      <c r="AK922" s="56"/>
      <c r="AL922" s="2"/>
      <c r="AM922" s="2"/>
      <c r="AN922" s="2"/>
      <c r="AO922" s="2"/>
      <c r="AP922" s="6"/>
      <c r="AQ922" s="2"/>
      <c r="AR922" s="2"/>
      <c r="AS922" s="2"/>
      <c r="AT922" s="2"/>
      <c r="AU922" s="2"/>
      <c r="AV922" s="2"/>
      <c r="AW922" s="2"/>
      <c r="AX922" s="6"/>
      <c r="AY922" s="2"/>
      <c r="AZ922" s="2"/>
      <c r="BA922" s="2"/>
      <c r="BB922" s="2"/>
      <c r="BC922" s="2"/>
      <c r="BD922" s="6"/>
      <c r="BE922" s="2"/>
      <c r="BF922" s="6"/>
      <c r="BG922" s="58"/>
      <c r="BH922" s="6"/>
      <c r="BI922" s="2"/>
    </row>
    <row r="923" ht="12.75" customHeight="1">
      <c r="A923" s="71"/>
      <c r="B923" s="71"/>
      <c r="C923" s="11"/>
      <c r="D923" s="11"/>
      <c r="E923" s="2"/>
      <c r="F923" s="2"/>
      <c r="G923" s="2"/>
      <c r="H923" s="54"/>
      <c r="I923" s="4"/>
      <c r="J923" s="2"/>
      <c r="K923" s="2"/>
      <c r="L923" s="5"/>
      <c r="M923" s="5"/>
      <c r="N923" s="5"/>
      <c r="O923" s="5"/>
      <c r="P923" s="5"/>
      <c r="Q923" s="5"/>
      <c r="R923" s="2"/>
      <c r="S923" s="2"/>
      <c r="T923" s="2"/>
      <c r="U923" s="2"/>
      <c r="V923" s="2"/>
      <c r="W923" s="2"/>
      <c r="X923" s="6"/>
      <c r="Y923" s="2"/>
      <c r="Z923" s="2"/>
      <c r="AA923" s="2"/>
      <c r="AB923" s="2"/>
      <c r="AC923" s="6"/>
      <c r="AD923" s="2"/>
      <c r="AE923" s="2"/>
      <c r="AF923" s="2"/>
      <c r="AG923" s="2"/>
      <c r="AH923" s="2"/>
      <c r="AI923" s="6"/>
      <c r="AJ923" s="2"/>
      <c r="AK923" s="56"/>
      <c r="AL923" s="2"/>
      <c r="AM923" s="2"/>
      <c r="AN923" s="2"/>
      <c r="AO923" s="2"/>
      <c r="AP923" s="6"/>
      <c r="AQ923" s="2"/>
      <c r="AR923" s="2"/>
      <c r="AS923" s="2"/>
      <c r="AT923" s="2"/>
      <c r="AU923" s="2"/>
      <c r="AV923" s="2"/>
      <c r="AW923" s="2"/>
      <c r="AX923" s="6"/>
      <c r="AY923" s="2"/>
      <c r="AZ923" s="2"/>
      <c r="BA923" s="2"/>
      <c r="BB923" s="2"/>
      <c r="BC923" s="2"/>
      <c r="BD923" s="6"/>
      <c r="BE923" s="2"/>
      <c r="BF923" s="6"/>
      <c r="BG923" s="58"/>
      <c r="BH923" s="6"/>
      <c r="BI923" s="2"/>
    </row>
    <row r="924" ht="12.75" customHeight="1">
      <c r="A924" s="71"/>
      <c r="B924" s="71"/>
      <c r="C924" s="11"/>
      <c r="D924" s="11"/>
      <c r="E924" s="2"/>
      <c r="F924" s="2"/>
      <c r="G924" s="2"/>
      <c r="H924" s="54"/>
      <c r="I924" s="4"/>
      <c r="J924" s="2"/>
      <c r="K924" s="2"/>
      <c r="L924" s="5"/>
      <c r="M924" s="5"/>
      <c r="N924" s="5"/>
      <c r="O924" s="5"/>
      <c r="P924" s="5"/>
      <c r="Q924" s="5"/>
      <c r="R924" s="2"/>
      <c r="S924" s="2"/>
      <c r="T924" s="2"/>
      <c r="U924" s="2"/>
      <c r="V924" s="2"/>
      <c r="W924" s="2"/>
      <c r="X924" s="6"/>
      <c r="Y924" s="2"/>
      <c r="Z924" s="2"/>
      <c r="AA924" s="2"/>
      <c r="AB924" s="2"/>
      <c r="AC924" s="6"/>
      <c r="AD924" s="2"/>
      <c r="AE924" s="2"/>
      <c r="AF924" s="2"/>
      <c r="AG924" s="2"/>
      <c r="AH924" s="2"/>
      <c r="AI924" s="6"/>
      <c r="AJ924" s="2"/>
      <c r="AK924" s="56"/>
      <c r="AL924" s="2"/>
      <c r="AM924" s="2"/>
      <c r="AN924" s="2"/>
      <c r="AO924" s="2"/>
      <c r="AP924" s="6"/>
      <c r="AQ924" s="2"/>
      <c r="AR924" s="2"/>
      <c r="AS924" s="2"/>
      <c r="AT924" s="2"/>
      <c r="AU924" s="2"/>
      <c r="AV924" s="2"/>
      <c r="AW924" s="2"/>
      <c r="AX924" s="6"/>
      <c r="AY924" s="2"/>
      <c r="AZ924" s="2"/>
      <c r="BA924" s="2"/>
      <c r="BB924" s="2"/>
      <c r="BC924" s="2"/>
      <c r="BD924" s="6"/>
      <c r="BE924" s="2"/>
      <c r="BF924" s="6"/>
      <c r="BG924" s="58"/>
      <c r="BH924" s="6"/>
      <c r="BI924" s="2"/>
    </row>
    <row r="925" ht="12.75" customHeight="1">
      <c r="A925" s="71"/>
      <c r="B925" s="71"/>
      <c r="C925" s="11"/>
      <c r="D925" s="11"/>
      <c r="E925" s="2"/>
      <c r="F925" s="2"/>
      <c r="G925" s="2"/>
      <c r="H925" s="54"/>
      <c r="I925" s="4"/>
      <c r="J925" s="2"/>
      <c r="K925" s="2"/>
      <c r="L925" s="5"/>
      <c r="M925" s="5"/>
      <c r="N925" s="5"/>
      <c r="O925" s="5"/>
      <c r="P925" s="5"/>
      <c r="Q925" s="5"/>
      <c r="R925" s="2"/>
      <c r="S925" s="2"/>
      <c r="T925" s="2"/>
      <c r="U925" s="2"/>
      <c r="V925" s="2"/>
      <c r="W925" s="2"/>
      <c r="X925" s="6"/>
      <c r="Y925" s="2"/>
      <c r="Z925" s="2"/>
      <c r="AA925" s="2"/>
      <c r="AB925" s="2"/>
      <c r="AC925" s="6"/>
      <c r="AD925" s="2"/>
      <c r="AE925" s="2"/>
      <c r="AF925" s="2"/>
      <c r="AG925" s="2"/>
      <c r="AH925" s="2"/>
      <c r="AI925" s="6"/>
      <c r="AJ925" s="2"/>
      <c r="AK925" s="56"/>
      <c r="AL925" s="2"/>
      <c r="AM925" s="2"/>
      <c r="AN925" s="2"/>
      <c r="AO925" s="2"/>
      <c r="AP925" s="6"/>
      <c r="AQ925" s="2"/>
      <c r="AR925" s="2"/>
      <c r="AS925" s="2"/>
      <c r="AT925" s="2"/>
      <c r="AU925" s="2"/>
      <c r="AV925" s="2"/>
      <c r="AW925" s="2"/>
      <c r="AX925" s="6"/>
      <c r="AY925" s="2"/>
      <c r="AZ925" s="2"/>
      <c r="BA925" s="2"/>
      <c r="BB925" s="2"/>
      <c r="BC925" s="2"/>
      <c r="BD925" s="6"/>
      <c r="BE925" s="2"/>
      <c r="BF925" s="6"/>
      <c r="BG925" s="58"/>
      <c r="BH925" s="6"/>
      <c r="BI925" s="2"/>
    </row>
    <row r="926" ht="12.75" customHeight="1">
      <c r="A926" s="71"/>
      <c r="B926" s="71"/>
      <c r="C926" s="11"/>
      <c r="D926" s="11"/>
      <c r="E926" s="2"/>
      <c r="F926" s="2"/>
      <c r="G926" s="2"/>
      <c r="H926" s="54"/>
      <c r="I926" s="4"/>
      <c r="J926" s="2"/>
      <c r="K926" s="2"/>
      <c r="L926" s="5"/>
      <c r="M926" s="5"/>
      <c r="N926" s="5"/>
      <c r="O926" s="5"/>
      <c r="P926" s="5"/>
      <c r="Q926" s="5"/>
      <c r="R926" s="2"/>
      <c r="S926" s="2"/>
      <c r="T926" s="2"/>
      <c r="U926" s="2"/>
      <c r="V926" s="2"/>
      <c r="W926" s="2"/>
      <c r="X926" s="6"/>
      <c r="Y926" s="2"/>
      <c r="Z926" s="2"/>
      <c r="AA926" s="2"/>
      <c r="AB926" s="2"/>
      <c r="AC926" s="6"/>
      <c r="AD926" s="2"/>
      <c r="AE926" s="2"/>
      <c r="AF926" s="2"/>
      <c r="AG926" s="2"/>
      <c r="AH926" s="2"/>
      <c r="AI926" s="6"/>
      <c r="AJ926" s="2"/>
      <c r="AK926" s="56"/>
      <c r="AL926" s="2"/>
      <c r="AM926" s="2"/>
      <c r="AN926" s="2"/>
      <c r="AO926" s="2"/>
      <c r="AP926" s="6"/>
      <c r="AQ926" s="2"/>
      <c r="AR926" s="2"/>
      <c r="AS926" s="2"/>
      <c r="AT926" s="2"/>
      <c r="AU926" s="2"/>
      <c r="AV926" s="2"/>
      <c r="AW926" s="2"/>
      <c r="AX926" s="6"/>
      <c r="AY926" s="2"/>
      <c r="AZ926" s="2"/>
      <c r="BA926" s="2"/>
      <c r="BB926" s="2"/>
      <c r="BC926" s="2"/>
      <c r="BD926" s="6"/>
      <c r="BE926" s="2"/>
      <c r="BF926" s="6"/>
      <c r="BG926" s="58"/>
      <c r="BH926" s="6"/>
      <c r="BI926" s="2"/>
    </row>
    <row r="927" ht="12.75" customHeight="1">
      <c r="A927" s="71"/>
      <c r="B927" s="71"/>
      <c r="C927" s="11"/>
      <c r="D927" s="11"/>
      <c r="E927" s="2"/>
      <c r="F927" s="2"/>
      <c r="G927" s="2"/>
      <c r="H927" s="54"/>
      <c r="I927" s="4"/>
      <c r="J927" s="2"/>
      <c r="K927" s="2"/>
      <c r="L927" s="5"/>
      <c r="M927" s="5"/>
      <c r="N927" s="5"/>
      <c r="O927" s="5"/>
      <c r="P927" s="5"/>
      <c r="Q927" s="5"/>
      <c r="R927" s="2"/>
      <c r="S927" s="2"/>
      <c r="T927" s="2"/>
      <c r="U927" s="2"/>
      <c r="V927" s="2"/>
      <c r="W927" s="2"/>
      <c r="X927" s="6"/>
      <c r="Y927" s="2"/>
      <c r="Z927" s="2"/>
      <c r="AA927" s="2"/>
      <c r="AB927" s="2"/>
      <c r="AC927" s="6"/>
      <c r="AD927" s="2"/>
      <c r="AE927" s="2"/>
      <c r="AF927" s="2"/>
      <c r="AG927" s="2"/>
      <c r="AH927" s="2"/>
      <c r="AI927" s="6"/>
      <c r="AJ927" s="2"/>
      <c r="AK927" s="56"/>
      <c r="AL927" s="2"/>
      <c r="AM927" s="2"/>
      <c r="AN927" s="2"/>
      <c r="AO927" s="2"/>
      <c r="AP927" s="6"/>
      <c r="AQ927" s="2"/>
      <c r="AR927" s="2"/>
      <c r="AS927" s="2"/>
      <c r="AT927" s="2"/>
      <c r="AU927" s="2"/>
      <c r="AV927" s="2"/>
      <c r="AW927" s="2"/>
      <c r="AX927" s="6"/>
      <c r="AY927" s="2"/>
      <c r="AZ927" s="2"/>
      <c r="BA927" s="2"/>
      <c r="BB927" s="2"/>
      <c r="BC927" s="2"/>
      <c r="BD927" s="6"/>
      <c r="BE927" s="2"/>
      <c r="BF927" s="6"/>
      <c r="BG927" s="58"/>
      <c r="BH927" s="6"/>
      <c r="BI927" s="2"/>
    </row>
    <row r="928" ht="12.75" customHeight="1">
      <c r="A928" s="71"/>
      <c r="B928" s="71"/>
      <c r="C928" s="11"/>
      <c r="D928" s="11"/>
      <c r="E928" s="2"/>
      <c r="F928" s="2"/>
      <c r="G928" s="2"/>
      <c r="H928" s="54"/>
      <c r="I928" s="4"/>
      <c r="J928" s="2"/>
      <c r="K928" s="2"/>
      <c r="L928" s="5"/>
      <c r="M928" s="5"/>
      <c r="N928" s="5"/>
      <c r="O928" s="5"/>
      <c r="P928" s="5"/>
      <c r="Q928" s="5"/>
      <c r="R928" s="2"/>
      <c r="S928" s="2"/>
      <c r="T928" s="2"/>
      <c r="U928" s="2"/>
      <c r="V928" s="2"/>
      <c r="W928" s="2"/>
      <c r="X928" s="6"/>
      <c r="Y928" s="2"/>
      <c r="Z928" s="2"/>
      <c r="AA928" s="2"/>
      <c r="AB928" s="2"/>
      <c r="AC928" s="6"/>
      <c r="AD928" s="2"/>
      <c r="AE928" s="2"/>
      <c r="AF928" s="2"/>
      <c r="AG928" s="2"/>
      <c r="AH928" s="2"/>
      <c r="AI928" s="6"/>
      <c r="AJ928" s="2"/>
      <c r="AK928" s="56"/>
      <c r="AL928" s="2"/>
      <c r="AM928" s="2"/>
      <c r="AN928" s="2"/>
      <c r="AO928" s="2"/>
      <c r="AP928" s="6"/>
      <c r="AQ928" s="2"/>
      <c r="AR928" s="2"/>
      <c r="AS928" s="2"/>
      <c r="AT928" s="2"/>
      <c r="AU928" s="2"/>
      <c r="AV928" s="2"/>
      <c r="AW928" s="2"/>
      <c r="AX928" s="6"/>
      <c r="AY928" s="2"/>
      <c r="AZ928" s="2"/>
      <c r="BA928" s="2"/>
      <c r="BB928" s="2"/>
      <c r="BC928" s="2"/>
      <c r="BD928" s="6"/>
      <c r="BE928" s="2"/>
      <c r="BF928" s="6"/>
      <c r="BG928" s="58"/>
      <c r="BH928" s="6"/>
      <c r="BI928" s="2"/>
    </row>
    <row r="929" ht="12.75" customHeight="1">
      <c r="A929" s="71"/>
      <c r="B929" s="71"/>
      <c r="C929" s="11"/>
      <c r="D929" s="11"/>
      <c r="E929" s="2"/>
      <c r="F929" s="2"/>
      <c r="G929" s="2"/>
      <c r="H929" s="54"/>
      <c r="I929" s="4"/>
      <c r="J929" s="2"/>
      <c r="K929" s="2"/>
      <c r="L929" s="5"/>
      <c r="M929" s="5"/>
      <c r="N929" s="5"/>
      <c r="O929" s="5"/>
      <c r="P929" s="5"/>
      <c r="Q929" s="5"/>
      <c r="R929" s="2"/>
      <c r="S929" s="2"/>
      <c r="T929" s="2"/>
      <c r="U929" s="2"/>
      <c r="V929" s="2"/>
      <c r="W929" s="2"/>
      <c r="X929" s="6"/>
      <c r="Y929" s="2"/>
      <c r="Z929" s="2"/>
      <c r="AA929" s="2"/>
      <c r="AB929" s="2"/>
      <c r="AC929" s="6"/>
      <c r="AD929" s="2"/>
      <c r="AE929" s="2"/>
      <c r="AF929" s="2"/>
      <c r="AG929" s="2"/>
      <c r="AH929" s="2"/>
      <c r="AI929" s="6"/>
      <c r="AJ929" s="2"/>
      <c r="AK929" s="56"/>
      <c r="AL929" s="2"/>
      <c r="AM929" s="2"/>
      <c r="AN929" s="2"/>
      <c r="AO929" s="2"/>
      <c r="AP929" s="6"/>
      <c r="AQ929" s="2"/>
      <c r="AR929" s="2"/>
      <c r="AS929" s="2"/>
      <c r="AT929" s="2"/>
      <c r="AU929" s="2"/>
      <c r="AV929" s="2"/>
      <c r="AW929" s="2"/>
      <c r="AX929" s="6"/>
      <c r="AY929" s="2"/>
      <c r="AZ929" s="2"/>
      <c r="BA929" s="2"/>
      <c r="BB929" s="2"/>
      <c r="BC929" s="2"/>
      <c r="BD929" s="6"/>
      <c r="BE929" s="2"/>
      <c r="BF929" s="6"/>
      <c r="BG929" s="58"/>
      <c r="BH929" s="6"/>
      <c r="BI929" s="2"/>
    </row>
    <row r="930" ht="12.75" customHeight="1">
      <c r="A930" s="71"/>
      <c r="B930" s="71"/>
      <c r="C930" s="11"/>
      <c r="D930" s="11"/>
      <c r="E930" s="2"/>
      <c r="F930" s="2"/>
      <c r="G930" s="2"/>
      <c r="H930" s="54"/>
      <c r="I930" s="4"/>
      <c r="J930" s="2"/>
      <c r="K930" s="2"/>
      <c r="L930" s="5"/>
      <c r="M930" s="5"/>
      <c r="N930" s="5"/>
      <c r="O930" s="5"/>
      <c r="P930" s="5"/>
      <c r="Q930" s="5"/>
      <c r="R930" s="2"/>
      <c r="S930" s="2"/>
      <c r="T930" s="2"/>
      <c r="U930" s="2"/>
      <c r="V930" s="2"/>
      <c r="W930" s="2"/>
      <c r="X930" s="6"/>
      <c r="Y930" s="2"/>
      <c r="Z930" s="2"/>
      <c r="AA930" s="2"/>
      <c r="AB930" s="2"/>
      <c r="AC930" s="6"/>
      <c r="AD930" s="2"/>
      <c r="AE930" s="2"/>
      <c r="AF930" s="2"/>
      <c r="AG930" s="2"/>
      <c r="AH930" s="2"/>
      <c r="AI930" s="6"/>
      <c r="AJ930" s="2"/>
      <c r="AK930" s="56"/>
      <c r="AL930" s="2"/>
      <c r="AM930" s="2"/>
      <c r="AN930" s="2"/>
      <c r="AO930" s="2"/>
      <c r="AP930" s="6"/>
      <c r="AQ930" s="2"/>
      <c r="AR930" s="2"/>
      <c r="AS930" s="2"/>
      <c r="AT930" s="2"/>
      <c r="AU930" s="2"/>
      <c r="AV930" s="2"/>
      <c r="AW930" s="2"/>
      <c r="AX930" s="6"/>
      <c r="AY930" s="2"/>
      <c r="AZ930" s="2"/>
      <c r="BA930" s="2"/>
      <c r="BB930" s="2"/>
      <c r="BC930" s="2"/>
      <c r="BD930" s="6"/>
      <c r="BE930" s="2"/>
      <c r="BF930" s="6"/>
      <c r="BG930" s="58"/>
      <c r="BH930" s="6"/>
      <c r="BI930" s="2"/>
    </row>
    <row r="931" ht="12.75" customHeight="1">
      <c r="A931" s="71"/>
      <c r="B931" s="71"/>
      <c r="C931" s="11"/>
      <c r="D931" s="11"/>
      <c r="E931" s="2"/>
      <c r="F931" s="2"/>
      <c r="G931" s="2"/>
      <c r="H931" s="54"/>
      <c r="I931" s="4"/>
      <c r="J931" s="2"/>
      <c r="K931" s="2"/>
      <c r="L931" s="5"/>
      <c r="M931" s="5"/>
      <c r="N931" s="5"/>
      <c r="O931" s="5"/>
      <c r="P931" s="5"/>
      <c r="Q931" s="5"/>
      <c r="R931" s="2"/>
      <c r="S931" s="2"/>
      <c r="T931" s="2"/>
      <c r="U931" s="2"/>
      <c r="V931" s="2"/>
      <c r="W931" s="2"/>
      <c r="X931" s="6"/>
      <c r="Y931" s="2"/>
      <c r="Z931" s="2"/>
      <c r="AA931" s="2"/>
      <c r="AB931" s="2"/>
      <c r="AC931" s="6"/>
      <c r="AD931" s="2"/>
      <c r="AE931" s="2"/>
      <c r="AF931" s="2"/>
      <c r="AG931" s="2"/>
      <c r="AH931" s="2"/>
      <c r="AI931" s="6"/>
      <c r="AJ931" s="2"/>
      <c r="AK931" s="56"/>
      <c r="AL931" s="2"/>
      <c r="AM931" s="2"/>
      <c r="AN931" s="2"/>
      <c r="AO931" s="2"/>
      <c r="AP931" s="6"/>
      <c r="AQ931" s="2"/>
      <c r="AR931" s="2"/>
      <c r="AS931" s="2"/>
      <c r="AT931" s="2"/>
      <c r="AU931" s="2"/>
      <c r="AV931" s="2"/>
      <c r="AW931" s="2"/>
      <c r="AX931" s="6"/>
      <c r="AY931" s="2"/>
      <c r="AZ931" s="2"/>
      <c r="BA931" s="2"/>
      <c r="BB931" s="2"/>
      <c r="BC931" s="2"/>
      <c r="BD931" s="6"/>
      <c r="BE931" s="2"/>
      <c r="BF931" s="6"/>
      <c r="BG931" s="58"/>
      <c r="BH931" s="6"/>
      <c r="BI931" s="2"/>
    </row>
    <row r="932" ht="12.75" customHeight="1">
      <c r="A932" s="71"/>
      <c r="B932" s="71"/>
      <c r="C932" s="11"/>
      <c r="D932" s="11"/>
      <c r="E932" s="2"/>
      <c r="F932" s="2"/>
      <c r="G932" s="2"/>
      <c r="H932" s="54"/>
      <c r="I932" s="4"/>
      <c r="J932" s="2"/>
      <c r="K932" s="2"/>
      <c r="L932" s="5"/>
      <c r="M932" s="5"/>
      <c r="N932" s="5"/>
      <c r="O932" s="5"/>
      <c r="P932" s="5"/>
      <c r="Q932" s="5"/>
      <c r="R932" s="2"/>
      <c r="S932" s="2"/>
      <c r="T932" s="2"/>
      <c r="U932" s="2"/>
      <c r="V932" s="2"/>
      <c r="W932" s="2"/>
      <c r="X932" s="6"/>
      <c r="Y932" s="2"/>
      <c r="Z932" s="2"/>
      <c r="AA932" s="2"/>
      <c r="AB932" s="2"/>
      <c r="AC932" s="6"/>
      <c r="AD932" s="2"/>
      <c r="AE932" s="2"/>
      <c r="AF932" s="2"/>
      <c r="AG932" s="2"/>
      <c r="AH932" s="2"/>
      <c r="AI932" s="6"/>
      <c r="AJ932" s="2"/>
      <c r="AK932" s="56"/>
      <c r="AL932" s="2"/>
      <c r="AM932" s="2"/>
      <c r="AN932" s="2"/>
      <c r="AO932" s="2"/>
      <c r="AP932" s="6"/>
      <c r="AQ932" s="2"/>
      <c r="AR932" s="2"/>
      <c r="AS932" s="2"/>
      <c r="AT932" s="2"/>
      <c r="AU932" s="2"/>
      <c r="AV932" s="2"/>
      <c r="AW932" s="2"/>
      <c r="AX932" s="6"/>
      <c r="AY932" s="2"/>
      <c r="AZ932" s="2"/>
      <c r="BA932" s="2"/>
      <c r="BB932" s="2"/>
      <c r="BC932" s="2"/>
      <c r="BD932" s="6"/>
      <c r="BE932" s="2"/>
      <c r="BF932" s="6"/>
      <c r="BG932" s="58"/>
      <c r="BH932" s="6"/>
      <c r="BI932" s="2"/>
    </row>
    <row r="933" ht="12.75" customHeight="1">
      <c r="A933" s="71"/>
      <c r="B933" s="71"/>
      <c r="C933" s="11"/>
      <c r="D933" s="11"/>
      <c r="E933" s="2"/>
      <c r="F933" s="2"/>
      <c r="G933" s="2"/>
      <c r="H933" s="54"/>
      <c r="I933" s="4"/>
      <c r="J933" s="2"/>
      <c r="K933" s="2"/>
      <c r="L933" s="5"/>
      <c r="M933" s="5"/>
      <c r="N933" s="5"/>
      <c r="O933" s="5"/>
      <c r="P933" s="5"/>
      <c r="Q933" s="5"/>
      <c r="R933" s="2"/>
      <c r="S933" s="2"/>
      <c r="T933" s="2"/>
      <c r="U933" s="2"/>
      <c r="V933" s="2"/>
      <c r="W933" s="2"/>
      <c r="X933" s="6"/>
      <c r="Y933" s="2"/>
      <c r="Z933" s="2"/>
      <c r="AA933" s="2"/>
      <c r="AB933" s="2"/>
      <c r="AC933" s="6"/>
      <c r="AD933" s="2"/>
      <c r="AE933" s="2"/>
      <c r="AF933" s="2"/>
      <c r="AG933" s="2"/>
      <c r="AH933" s="2"/>
      <c r="AI933" s="6"/>
      <c r="AJ933" s="2"/>
      <c r="AK933" s="56"/>
      <c r="AL933" s="2"/>
      <c r="AM933" s="2"/>
      <c r="AN933" s="2"/>
      <c r="AO933" s="2"/>
      <c r="AP933" s="6"/>
      <c r="AQ933" s="2"/>
      <c r="AR933" s="2"/>
      <c r="AS933" s="2"/>
      <c r="AT933" s="2"/>
      <c r="AU933" s="2"/>
      <c r="AV933" s="2"/>
      <c r="AW933" s="2"/>
      <c r="AX933" s="6"/>
      <c r="AY933" s="2"/>
      <c r="AZ933" s="2"/>
      <c r="BA933" s="2"/>
      <c r="BB933" s="2"/>
      <c r="BC933" s="2"/>
      <c r="BD933" s="6"/>
      <c r="BE933" s="2"/>
      <c r="BF933" s="6"/>
      <c r="BG933" s="58"/>
      <c r="BH933" s="6"/>
      <c r="BI933" s="2"/>
    </row>
    <row r="934" ht="12.75" customHeight="1">
      <c r="A934" s="71"/>
      <c r="B934" s="71"/>
      <c r="C934" s="11"/>
      <c r="D934" s="11"/>
      <c r="E934" s="2"/>
      <c r="F934" s="2"/>
      <c r="G934" s="2"/>
      <c r="H934" s="54"/>
      <c r="I934" s="4"/>
      <c r="J934" s="2"/>
      <c r="K934" s="2"/>
      <c r="L934" s="5"/>
      <c r="M934" s="5"/>
      <c r="N934" s="5"/>
      <c r="O934" s="5"/>
      <c r="P934" s="5"/>
      <c r="Q934" s="5"/>
      <c r="R934" s="2"/>
      <c r="S934" s="2"/>
      <c r="T934" s="2"/>
      <c r="U934" s="2"/>
      <c r="V934" s="2"/>
      <c r="W934" s="2"/>
      <c r="X934" s="6"/>
      <c r="Y934" s="2"/>
      <c r="Z934" s="2"/>
      <c r="AA934" s="2"/>
      <c r="AB934" s="2"/>
      <c r="AC934" s="6"/>
      <c r="AD934" s="2"/>
      <c r="AE934" s="2"/>
      <c r="AF934" s="2"/>
      <c r="AG934" s="2"/>
      <c r="AH934" s="2"/>
      <c r="AI934" s="6"/>
      <c r="AJ934" s="2"/>
      <c r="AK934" s="56"/>
      <c r="AL934" s="2"/>
      <c r="AM934" s="2"/>
      <c r="AN934" s="2"/>
      <c r="AO934" s="2"/>
      <c r="AP934" s="6"/>
      <c r="AQ934" s="2"/>
      <c r="AR934" s="2"/>
      <c r="AS934" s="2"/>
      <c r="AT934" s="2"/>
      <c r="AU934" s="2"/>
      <c r="AV934" s="2"/>
      <c r="AW934" s="2"/>
      <c r="AX934" s="6"/>
      <c r="AY934" s="2"/>
      <c r="AZ934" s="2"/>
      <c r="BA934" s="2"/>
      <c r="BB934" s="2"/>
      <c r="BC934" s="2"/>
      <c r="BD934" s="6"/>
      <c r="BE934" s="2"/>
      <c r="BF934" s="6"/>
      <c r="BG934" s="58"/>
      <c r="BH934" s="6"/>
      <c r="BI934" s="2"/>
    </row>
    <row r="935" ht="12.75" customHeight="1">
      <c r="A935" s="71"/>
      <c r="B935" s="71"/>
      <c r="C935" s="11"/>
      <c r="D935" s="11"/>
      <c r="E935" s="2"/>
      <c r="F935" s="2"/>
      <c r="G935" s="2"/>
      <c r="H935" s="54"/>
      <c r="I935" s="4"/>
      <c r="J935" s="2"/>
      <c r="K935" s="2"/>
      <c r="L935" s="5"/>
      <c r="M935" s="5"/>
      <c r="N935" s="5"/>
      <c r="O935" s="5"/>
      <c r="P935" s="5"/>
      <c r="Q935" s="5"/>
      <c r="R935" s="2"/>
      <c r="S935" s="2"/>
      <c r="T935" s="2"/>
      <c r="U935" s="2"/>
      <c r="V935" s="2"/>
      <c r="W935" s="2"/>
      <c r="X935" s="6"/>
      <c r="Y935" s="2"/>
      <c r="Z935" s="2"/>
      <c r="AA935" s="2"/>
      <c r="AB935" s="2"/>
      <c r="AC935" s="6"/>
      <c r="AD935" s="2"/>
      <c r="AE935" s="2"/>
      <c r="AF935" s="2"/>
      <c r="AG935" s="2"/>
      <c r="AH935" s="2"/>
      <c r="AI935" s="6"/>
      <c r="AJ935" s="2"/>
      <c r="AK935" s="56"/>
      <c r="AL935" s="2"/>
      <c r="AM935" s="2"/>
      <c r="AN935" s="2"/>
      <c r="AO935" s="2"/>
      <c r="AP935" s="6"/>
      <c r="AQ935" s="2"/>
      <c r="AR935" s="2"/>
      <c r="AS935" s="2"/>
      <c r="AT935" s="2"/>
      <c r="AU935" s="2"/>
      <c r="AV935" s="2"/>
      <c r="AW935" s="2"/>
      <c r="AX935" s="6"/>
      <c r="AY935" s="2"/>
      <c r="AZ935" s="2"/>
      <c r="BA935" s="2"/>
      <c r="BB935" s="2"/>
      <c r="BC935" s="2"/>
      <c r="BD935" s="6"/>
      <c r="BE935" s="2"/>
      <c r="BF935" s="6"/>
      <c r="BG935" s="58"/>
      <c r="BH935" s="6"/>
      <c r="BI935" s="2"/>
    </row>
    <row r="936" ht="12.75" customHeight="1">
      <c r="A936" s="71"/>
      <c r="B936" s="71"/>
      <c r="C936" s="11"/>
      <c r="D936" s="11"/>
      <c r="E936" s="2"/>
      <c r="F936" s="2"/>
      <c r="G936" s="2"/>
      <c r="H936" s="54"/>
      <c r="I936" s="4"/>
      <c r="J936" s="2"/>
      <c r="K936" s="2"/>
      <c r="L936" s="5"/>
      <c r="M936" s="5"/>
      <c r="N936" s="5"/>
      <c r="O936" s="5"/>
      <c r="P936" s="5"/>
      <c r="Q936" s="5"/>
      <c r="R936" s="2"/>
      <c r="S936" s="2"/>
      <c r="T936" s="2"/>
      <c r="U936" s="2"/>
      <c r="V936" s="2"/>
      <c r="W936" s="2"/>
      <c r="X936" s="6"/>
      <c r="Y936" s="2"/>
      <c r="Z936" s="2"/>
      <c r="AA936" s="2"/>
      <c r="AB936" s="2"/>
      <c r="AC936" s="6"/>
      <c r="AD936" s="2"/>
      <c r="AE936" s="2"/>
      <c r="AF936" s="2"/>
      <c r="AG936" s="2"/>
      <c r="AH936" s="2"/>
      <c r="AI936" s="6"/>
      <c r="AJ936" s="2"/>
      <c r="AK936" s="56"/>
      <c r="AL936" s="2"/>
      <c r="AM936" s="2"/>
      <c r="AN936" s="2"/>
      <c r="AO936" s="2"/>
      <c r="AP936" s="6"/>
      <c r="AQ936" s="2"/>
      <c r="AR936" s="2"/>
      <c r="AS936" s="2"/>
      <c r="AT936" s="2"/>
      <c r="AU936" s="2"/>
      <c r="AV936" s="2"/>
      <c r="AW936" s="2"/>
      <c r="AX936" s="6"/>
      <c r="AY936" s="2"/>
      <c r="AZ936" s="2"/>
      <c r="BA936" s="2"/>
      <c r="BB936" s="2"/>
      <c r="BC936" s="2"/>
      <c r="BD936" s="6"/>
      <c r="BE936" s="2"/>
      <c r="BF936" s="6"/>
      <c r="BG936" s="58"/>
      <c r="BH936" s="6"/>
      <c r="BI936" s="2"/>
    </row>
    <row r="937" ht="12.75" customHeight="1">
      <c r="A937" s="71"/>
      <c r="B937" s="71"/>
      <c r="C937" s="11"/>
      <c r="D937" s="11"/>
      <c r="E937" s="2"/>
      <c r="F937" s="2"/>
      <c r="G937" s="2"/>
      <c r="H937" s="54"/>
      <c r="I937" s="4"/>
      <c r="J937" s="2"/>
      <c r="K937" s="2"/>
      <c r="L937" s="5"/>
      <c r="M937" s="5"/>
      <c r="N937" s="5"/>
      <c r="O937" s="5"/>
      <c r="P937" s="5"/>
      <c r="Q937" s="5"/>
      <c r="R937" s="2"/>
      <c r="S937" s="2"/>
      <c r="T937" s="2"/>
      <c r="U937" s="2"/>
      <c r="V937" s="2"/>
      <c r="W937" s="2"/>
      <c r="X937" s="6"/>
      <c r="Y937" s="2"/>
      <c r="Z937" s="2"/>
      <c r="AA937" s="2"/>
      <c r="AB937" s="2"/>
      <c r="AC937" s="6"/>
      <c r="AD937" s="2"/>
      <c r="AE937" s="2"/>
      <c r="AF937" s="2"/>
      <c r="AG937" s="2"/>
      <c r="AH937" s="2"/>
      <c r="AI937" s="6"/>
      <c r="AJ937" s="2"/>
      <c r="AK937" s="56"/>
      <c r="AL937" s="2"/>
      <c r="AM937" s="2"/>
      <c r="AN937" s="2"/>
      <c r="AO937" s="2"/>
      <c r="AP937" s="6"/>
      <c r="AQ937" s="2"/>
      <c r="AR937" s="2"/>
      <c r="AS937" s="2"/>
      <c r="AT937" s="2"/>
      <c r="AU937" s="2"/>
      <c r="AV937" s="2"/>
      <c r="AW937" s="2"/>
      <c r="AX937" s="6"/>
      <c r="AY937" s="2"/>
      <c r="AZ937" s="2"/>
      <c r="BA937" s="2"/>
      <c r="BB937" s="2"/>
      <c r="BC937" s="2"/>
      <c r="BD937" s="6"/>
      <c r="BE937" s="2"/>
      <c r="BF937" s="6"/>
      <c r="BG937" s="58"/>
      <c r="BH937" s="6"/>
      <c r="BI937" s="2"/>
    </row>
    <row r="938" ht="12.75" customHeight="1">
      <c r="A938" s="71"/>
      <c r="B938" s="71"/>
      <c r="C938" s="11"/>
      <c r="D938" s="11"/>
      <c r="E938" s="2"/>
      <c r="F938" s="2"/>
      <c r="G938" s="2"/>
      <c r="H938" s="54"/>
      <c r="I938" s="4"/>
      <c r="J938" s="2"/>
      <c r="K938" s="2"/>
      <c r="L938" s="5"/>
      <c r="M938" s="5"/>
      <c r="N938" s="5"/>
      <c r="O938" s="5"/>
      <c r="P938" s="5"/>
      <c r="Q938" s="5"/>
      <c r="R938" s="2"/>
      <c r="S938" s="2"/>
      <c r="T938" s="2"/>
      <c r="U938" s="2"/>
      <c r="V938" s="2"/>
      <c r="W938" s="2"/>
      <c r="X938" s="6"/>
      <c r="Y938" s="2"/>
      <c r="Z938" s="2"/>
      <c r="AA938" s="2"/>
      <c r="AB938" s="2"/>
      <c r="AC938" s="6"/>
      <c r="AD938" s="2"/>
      <c r="AE938" s="2"/>
      <c r="AF938" s="2"/>
      <c r="AG938" s="2"/>
      <c r="AH938" s="2"/>
      <c r="AI938" s="6"/>
      <c r="AJ938" s="2"/>
      <c r="AK938" s="56"/>
      <c r="AL938" s="2"/>
      <c r="AM938" s="2"/>
      <c r="AN938" s="2"/>
      <c r="AO938" s="2"/>
      <c r="AP938" s="6"/>
      <c r="AQ938" s="2"/>
      <c r="AR938" s="2"/>
      <c r="AS938" s="2"/>
      <c r="AT938" s="2"/>
      <c r="AU938" s="2"/>
      <c r="AV938" s="2"/>
      <c r="AW938" s="2"/>
      <c r="AX938" s="6"/>
      <c r="AY938" s="2"/>
      <c r="AZ938" s="2"/>
      <c r="BA938" s="2"/>
      <c r="BB938" s="2"/>
      <c r="BC938" s="2"/>
      <c r="BD938" s="6"/>
      <c r="BE938" s="2"/>
      <c r="BF938" s="6"/>
      <c r="BG938" s="58"/>
      <c r="BH938" s="6"/>
      <c r="BI938" s="2"/>
    </row>
    <row r="939" ht="12.75" customHeight="1">
      <c r="A939" s="71"/>
      <c r="B939" s="71"/>
      <c r="C939" s="11"/>
      <c r="D939" s="11"/>
      <c r="E939" s="2"/>
      <c r="F939" s="2"/>
      <c r="G939" s="2"/>
      <c r="H939" s="54"/>
      <c r="I939" s="4"/>
      <c r="J939" s="2"/>
      <c r="K939" s="2"/>
      <c r="L939" s="5"/>
      <c r="M939" s="5"/>
      <c r="N939" s="5"/>
      <c r="O939" s="5"/>
      <c r="P939" s="5"/>
      <c r="Q939" s="5"/>
      <c r="R939" s="2"/>
      <c r="S939" s="2"/>
      <c r="T939" s="2"/>
      <c r="U939" s="2"/>
      <c r="V939" s="2"/>
      <c r="W939" s="2"/>
      <c r="X939" s="6"/>
      <c r="Y939" s="2"/>
      <c r="Z939" s="2"/>
      <c r="AA939" s="2"/>
      <c r="AB939" s="2"/>
      <c r="AC939" s="6"/>
      <c r="AD939" s="2"/>
      <c r="AE939" s="2"/>
      <c r="AF939" s="2"/>
      <c r="AG939" s="2"/>
      <c r="AH939" s="2"/>
      <c r="AI939" s="6"/>
      <c r="AJ939" s="2"/>
      <c r="AK939" s="56"/>
      <c r="AL939" s="2"/>
      <c r="AM939" s="2"/>
      <c r="AN939" s="2"/>
      <c r="AO939" s="2"/>
      <c r="AP939" s="6"/>
      <c r="AQ939" s="2"/>
      <c r="AR939" s="2"/>
      <c r="AS939" s="2"/>
      <c r="AT939" s="2"/>
      <c r="AU939" s="2"/>
      <c r="AV939" s="2"/>
      <c r="AW939" s="2"/>
      <c r="AX939" s="6"/>
      <c r="AY939" s="2"/>
      <c r="AZ939" s="2"/>
      <c r="BA939" s="2"/>
      <c r="BB939" s="2"/>
      <c r="BC939" s="2"/>
      <c r="BD939" s="6"/>
      <c r="BE939" s="2"/>
      <c r="BF939" s="6"/>
      <c r="BG939" s="58"/>
      <c r="BH939" s="6"/>
      <c r="BI939" s="2"/>
    </row>
    <row r="940" ht="12.75" customHeight="1">
      <c r="A940" s="71"/>
      <c r="B940" s="71"/>
      <c r="C940" s="11"/>
      <c r="D940" s="11"/>
      <c r="E940" s="2"/>
      <c r="F940" s="2"/>
      <c r="G940" s="2"/>
      <c r="H940" s="54"/>
      <c r="I940" s="4"/>
      <c r="J940" s="2"/>
      <c r="K940" s="2"/>
      <c r="L940" s="5"/>
      <c r="M940" s="5"/>
      <c r="N940" s="5"/>
      <c r="O940" s="5"/>
      <c r="P940" s="5"/>
      <c r="Q940" s="5"/>
      <c r="R940" s="2"/>
      <c r="S940" s="2"/>
      <c r="T940" s="2"/>
      <c r="U940" s="2"/>
      <c r="V940" s="2"/>
      <c r="W940" s="2"/>
      <c r="X940" s="6"/>
      <c r="Y940" s="2"/>
      <c r="Z940" s="2"/>
      <c r="AA940" s="2"/>
      <c r="AB940" s="2"/>
      <c r="AC940" s="6"/>
      <c r="AD940" s="2"/>
      <c r="AE940" s="2"/>
      <c r="AF940" s="2"/>
      <c r="AG940" s="2"/>
      <c r="AH940" s="2"/>
      <c r="AI940" s="6"/>
      <c r="AJ940" s="2"/>
      <c r="AK940" s="56"/>
      <c r="AL940" s="2"/>
      <c r="AM940" s="2"/>
      <c r="AN940" s="2"/>
      <c r="AO940" s="2"/>
      <c r="AP940" s="6"/>
      <c r="AQ940" s="2"/>
      <c r="AR940" s="2"/>
      <c r="AS940" s="2"/>
      <c r="AT940" s="2"/>
      <c r="AU940" s="2"/>
      <c r="AV940" s="2"/>
      <c r="AW940" s="2"/>
      <c r="AX940" s="6"/>
      <c r="AY940" s="2"/>
      <c r="AZ940" s="2"/>
      <c r="BA940" s="2"/>
      <c r="BB940" s="2"/>
      <c r="BC940" s="2"/>
      <c r="BD940" s="6"/>
      <c r="BE940" s="2"/>
      <c r="BF940" s="6"/>
      <c r="BG940" s="58"/>
      <c r="BH940" s="6"/>
      <c r="BI940" s="2"/>
    </row>
    <row r="941" ht="12.75" customHeight="1">
      <c r="A941" s="71"/>
      <c r="B941" s="71"/>
      <c r="C941" s="11"/>
      <c r="D941" s="11"/>
      <c r="E941" s="2"/>
      <c r="F941" s="2"/>
      <c r="G941" s="2"/>
      <c r="H941" s="54"/>
      <c r="I941" s="4"/>
      <c r="J941" s="2"/>
      <c r="K941" s="2"/>
      <c r="L941" s="5"/>
      <c r="M941" s="5"/>
      <c r="N941" s="5"/>
      <c r="O941" s="5"/>
      <c r="P941" s="5"/>
      <c r="Q941" s="5"/>
      <c r="R941" s="2"/>
      <c r="S941" s="2"/>
      <c r="T941" s="2"/>
      <c r="U941" s="2"/>
      <c r="V941" s="2"/>
      <c r="W941" s="2"/>
      <c r="X941" s="6"/>
      <c r="Y941" s="2"/>
      <c r="Z941" s="2"/>
      <c r="AA941" s="2"/>
      <c r="AB941" s="2"/>
      <c r="AC941" s="6"/>
      <c r="AD941" s="2"/>
      <c r="AE941" s="2"/>
      <c r="AF941" s="2"/>
      <c r="AG941" s="2"/>
      <c r="AH941" s="2"/>
      <c r="AI941" s="6"/>
      <c r="AJ941" s="2"/>
      <c r="AK941" s="56"/>
      <c r="AL941" s="2"/>
      <c r="AM941" s="2"/>
      <c r="AN941" s="2"/>
      <c r="AO941" s="2"/>
      <c r="AP941" s="6"/>
      <c r="AQ941" s="2"/>
      <c r="AR941" s="2"/>
      <c r="AS941" s="2"/>
      <c r="AT941" s="2"/>
      <c r="AU941" s="2"/>
      <c r="AV941" s="2"/>
      <c r="AW941" s="2"/>
      <c r="AX941" s="6"/>
      <c r="AY941" s="2"/>
      <c r="AZ941" s="2"/>
      <c r="BA941" s="2"/>
      <c r="BB941" s="2"/>
      <c r="BC941" s="2"/>
      <c r="BD941" s="6"/>
      <c r="BE941" s="2"/>
      <c r="BF941" s="6"/>
      <c r="BG941" s="58"/>
      <c r="BH941" s="6"/>
      <c r="BI941" s="2"/>
    </row>
    <row r="942" ht="12.75" customHeight="1">
      <c r="A942" s="71"/>
      <c r="B942" s="71"/>
      <c r="C942" s="11"/>
      <c r="D942" s="11"/>
      <c r="E942" s="2"/>
      <c r="F942" s="2"/>
      <c r="G942" s="2"/>
      <c r="H942" s="54"/>
      <c r="I942" s="4"/>
      <c r="J942" s="2"/>
      <c r="K942" s="2"/>
      <c r="L942" s="5"/>
      <c r="M942" s="5"/>
      <c r="N942" s="5"/>
      <c r="O942" s="5"/>
      <c r="P942" s="5"/>
      <c r="Q942" s="5"/>
      <c r="R942" s="2"/>
      <c r="S942" s="2"/>
      <c r="T942" s="2"/>
      <c r="U942" s="2"/>
      <c r="V942" s="2"/>
      <c r="W942" s="2"/>
      <c r="X942" s="6"/>
      <c r="Y942" s="2"/>
      <c r="Z942" s="2"/>
      <c r="AA942" s="2"/>
      <c r="AB942" s="2"/>
      <c r="AC942" s="6"/>
      <c r="AD942" s="2"/>
      <c r="AE942" s="2"/>
      <c r="AF942" s="2"/>
      <c r="AG942" s="2"/>
      <c r="AH942" s="2"/>
      <c r="AI942" s="6"/>
      <c r="AJ942" s="2"/>
      <c r="AK942" s="56"/>
      <c r="AL942" s="2"/>
      <c r="AM942" s="2"/>
      <c r="AN942" s="2"/>
      <c r="AO942" s="2"/>
      <c r="AP942" s="6"/>
      <c r="AQ942" s="2"/>
      <c r="AR942" s="2"/>
      <c r="AS942" s="2"/>
      <c r="AT942" s="2"/>
      <c r="AU942" s="2"/>
      <c r="AV942" s="2"/>
      <c r="AW942" s="2"/>
      <c r="AX942" s="6"/>
      <c r="AY942" s="2"/>
      <c r="AZ942" s="2"/>
      <c r="BA942" s="2"/>
      <c r="BB942" s="2"/>
      <c r="BC942" s="2"/>
      <c r="BD942" s="6"/>
      <c r="BE942" s="2"/>
      <c r="BF942" s="6"/>
      <c r="BG942" s="58"/>
      <c r="BH942" s="6"/>
      <c r="BI942" s="2"/>
    </row>
    <row r="943" ht="12.75" customHeight="1">
      <c r="A943" s="71"/>
      <c r="B943" s="71"/>
      <c r="C943" s="11"/>
      <c r="D943" s="11"/>
      <c r="E943" s="2"/>
      <c r="F943" s="2"/>
      <c r="G943" s="2"/>
      <c r="H943" s="54"/>
      <c r="I943" s="4"/>
      <c r="J943" s="2"/>
      <c r="K943" s="2"/>
      <c r="L943" s="5"/>
      <c r="M943" s="5"/>
      <c r="N943" s="5"/>
      <c r="O943" s="5"/>
      <c r="P943" s="5"/>
      <c r="Q943" s="5"/>
      <c r="R943" s="2"/>
      <c r="S943" s="2"/>
      <c r="T943" s="2"/>
      <c r="U943" s="2"/>
      <c r="V943" s="2"/>
      <c r="W943" s="2"/>
      <c r="X943" s="6"/>
      <c r="Y943" s="2"/>
      <c r="Z943" s="2"/>
      <c r="AA943" s="2"/>
      <c r="AB943" s="2"/>
      <c r="AC943" s="6"/>
      <c r="AD943" s="2"/>
      <c r="AE943" s="2"/>
      <c r="AF943" s="2"/>
      <c r="AG943" s="2"/>
      <c r="AH943" s="2"/>
      <c r="AI943" s="6"/>
      <c r="AJ943" s="2"/>
      <c r="AK943" s="56"/>
      <c r="AL943" s="2"/>
      <c r="AM943" s="2"/>
      <c r="AN943" s="2"/>
      <c r="AO943" s="2"/>
      <c r="AP943" s="6"/>
      <c r="AQ943" s="2"/>
      <c r="AR943" s="2"/>
      <c r="AS943" s="2"/>
      <c r="AT943" s="2"/>
      <c r="AU943" s="2"/>
      <c r="AV943" s="2"/>
      <c r="AW943" s="2"/>
      <c r="AX943" s="6"/>
      <c r="AY943" s="2"/>
      <c r="AZ943" s="2"/>
      <c r="BA943" s="2"/>
      <c r="BB943" s="2"/>
      <c r="BC943" s="2"/>
      <c r="BD943" s="6"/>
      <c r="BE943" s="2"/>
      <c r="BF943" s="6"/>
      <c r="BG943" s="58"/>
      <c r="BH943" s="6"/>
      <c r="BI943" s="2"/>
    </row>
    <row r="944" ht="12.75" customHeight="1">
      <c r="A944" s="71"/>
      <c r="B944" s="71"/>
      <c r="C944" s="11"/>
      <c r="D944" s="11"/>
      <c r="E944" s="2"/>
      <c r="F944" s="2"/>
      <c r="G944" s="2"/>
      <c r="H944" s="54"/>
      <c r="I944" s="4"/>
      <c r="J944" s="2"/>
      <c r="K944" s="2"/>
      <c r="L944" s="5"/>
      <c r="M944" s="5"/>
      <c r="N944" s="5"/>
      <c r="O944" s="5"/>
      <c r="P944" s="5"/>
      <c r="Q944" s="5"/>
      <c r="R944" s="2"/>
      <c r="S944" s="2"/>
      <c r="T944" s="2"/>
      <c r="U944" s="2"/>
      <c r="V944" s="2"/>
      <c r="W944" s="2"/>
      <c r="X944" s="6"/>
      <c r="Y944" s="2"/>
      <c r="Z944" s="2"/>
      <c r="AA944" s="2"/>
      <c r="AB944" s="2"/>
      <c r="AC944" s="6"/>
      <c r="AD944" s="2"/>
      <c r="AE944" s="2"/>
      <c r="AF944" s="2"/>
      <c r="AG944" s="2"/>
      <c r="AH944" s="2"/>
      <c r="AI944" s="6"/>
      <c r="AJ944" s="2"/>
      <c r="AK944" s="56"/>
      <c r="AL944" s="2"/>
      <c r="AM944" s="2"/>
      <c r="AN944" s="2"/>
      <c r="AO944" s="2"/>
      <c r="AP944" s="6"/>
      <c r="AQ944" s="2"/>
      <c r="AR944" s="2"/>
      <c r="AS944" s="2"/>
      <c r="AT944" s="2"/>
      <c r="AU944" s="2"/>
      <c r="AV944" s="2"/>
      <c r="AW944" s="2"/>
      <c r="AX944" s="6"/>
      <c r="AY944" s="2"/>
      <c r="AZ944" s="2"/>
      <c r="BA944" s="2"/>
      <c r="BB944" s="2"/>
      <c r="BC944" s="2"/>
      <c r="BD944" s="6"/>
      <c r="BE944" s="2"/>
      <c r="BF944" s="6"/>
      <c r="BG944" s="58"/>
      <c r="BH944" s="6"/>
      <c r="BI944" s="2"/>
    </row>
    <row r="945" ht="12.75" customHeight="1">
      <c r="A945" s="71"/>
      <c r="B945" s="71"/>
      <c r="C945" s="11"/>
      <c r="D945" s="11"/>
      <c r="E945" s="2"/>
      <c r="F945" s="2"/>
      <c r="G945" s="2"/>
      <c r="H945" s="54"/>
      <c r="I945" s="4"/>
      <c r="J945" s="2"/>
      <c r="K945" s="2"/>
      <c r="L945" s="5"/>
      <c r="M945" s="5"/>
      <c r="N945" s="5"/>
      <c r="O945" s="5"/>
      <c r="P945" s="5"/>
      <c r="Q945" s="5"/>
      <c r="R945" s="2"/>
      <c r="S945" s="2"/>
      <c r="T945" s="2"/>
      <c r="U945" s="2"/>
      <c r="V945" s="2"/>
      <c r="W945" s="2"/>
      <c r="X945" s="6"/>
      <c r="Y945" s="2"/>
      <c r="Z945" s="2"/>
      <c r="AA945" s="2"/>
      <c r="AB945" s="2"/>
      <c r="AC945" s="6"/>
      <c r="AD945" s="2"/>
      <c r="AE945" s="2"/>
      <c r="AF945" s="2"/>
      <c r="AG945" s="2"/>
      <c r="AH945" s="2"/>
      <c r="AI945" s="6"/>
      <c r="AJ945" s="2"/>
      <c r="AK945" s="56"/>
      <c r="AL945" s="2"/>
      <c r="AM945" s="2"/>
      <c r="AN945" s="2"/>
      <c r="AO945" s="2"/>
      <c r="AP945" s="6"/>
      <c r="AQ945" s="2"/>
      <c r="AR945" s="2"/>
      <c r="AS945" s="2"/>
      <c r="AT945" s="2"/>
      <c r="AU945" s="2"/>
      <c r="AV945" s="2"/>
      <c r="AW945" s="2"/>
      <c r="AX945" s="6"/>
      <c r="AY945" s="2"/>
      <c r="AZ945" s="2"/>
      <c r="BA945" s="2"/>
      <c r="BB945" s="2"/>
      <c r="BC945" s="2"/>
      <c r="BD945" s="6"/>
      <c r="BE945" s="2"/>
      <c r="BF945" s="6"/>
      <c r="BG945" s="58"/>
      <c r="BH945" s="6"/>
      <c r="BI945" s="2"/>
    </row>
    <row r="946" ht="12.75" customHeight="1">
      <c r="A946" s="71"/>
      <c r="B946" s="71"/>
      <c r="C946" s="11"/>
      <c r="D946" s="11"/>
      <c r="E946" s="2"/>
      <c r="F946" s="2"/>
      <c r="G946" s="2"/>
      <c r="H946" s="54"/>
      <c r="I946" s="4"/>
      <c r="J946" s="2"/>
      <c r="K946" s="2"/>
      <c r="L946" s="5"/>
      <c r="M946" s="5"/>
      <c r="N946" s="5"/>
      <c r="O946" s="5"/>
      <c r="P946" s="5"/>
      <c r="Q946" s="5"/>
      <c r="R946" s="2"/>
      <c r="S946" s="2"/>
      <c r="T946" s="2"/>
      <c r="U946" s="2"/>
      <c r="V946" s="2"/>
      <c r="W946" s="2"/>
      <c r="X946" s="6"/>
      <c r="Y946" s="2"/>
      <c r="Z946" s="2"/>
      <c r="AA946" s="2"/>
      <c r="AB946" s="2"/>
      <c r="AC946" s="6"/>
      <c r="AD946" s="2"/>
      <c r="AE946" s="2"/>
      <c r="AF946" s="2"/>
      <c r="AG946" s="2"/>
      <c r="AH946" s="2"/>
      <c r="AI946" s="6"/>
      <c r="AJ946" s="2"/>
      <c r="AK946" s="56"/>
      <c r="AL946" s="2"/>
      <c r="AM946" s="2"/>
      <c r="AN946" s="2"/>
      <c r="AO946" s="2"/>
      <c r="AP946" s="6"/>
      <c r="AQ946" s="2"/>
      <c r="AR946" s="2"/>
      <c r="AS946" s="2"/>
      <c r="AT946" s="2"/>
      <c r="AU946" s="2"/>
      <c r="AV946" s="2"/>
      <c r="AW946" s="2"/>
      <c r="AX946" s="6"/>
      <c r="AY946" s="2"/>
      <c r="AZ946" s="2"/>
      <c r="BA946" s="2"/>
      <c r="BB946" s="2"/>
      <c r="BC946" s="2"/>
      <c r="BD946" s="6"/>
      <c r="BE946" s="2"/>
      <c r="BF946" s="6"/>
      <c r="BG946" s="58"/>
      <c r="BH946" s="6"/>
      <c r="BI946" s="2"/>
    </row>
    <row r="947" ht="12.75" customHeight="1">
      <c r="A947" s="71"/>
      <c r="B947" s="71"/>
      <c r="C947" s="11"/>
      <c r="D947" s="11"/>
      <c r="E947" s="2"/>
      <c r="F947" s="2"/>
      <c r="G947" s="2"/>
      <c r="H947" s="54"/>
      <c r="I947" s="4"/>
      <c r="J947" s="2"/>
      <c r="K947" s="2"/>
      <c r="L947" s="5"/>
      <c r="M947" s="5"/>
      <c r="N947" s="5"/>
      <c r="O947" s="5"/>
      <c r="P947" s="5"/>
      <c r="Q947" s="5"/>
      <c r="R947" s="2"/>
      <c r="S947" s="2"/>
      <c r="T947" s="2"/>
      <c r="U947" s="2"/>
      <c r="V947" s="2"/>
      <c r="W947" s="2"/>
      <c r="X947" s="6"/>
      <c r="Y947" s="2"/>
      <c r="Z947" s="2"/>
      <c r="AA947" s="2"/>
      <c r="AB947" s="2"/>
      <c r="AC947" s="6"/>
      <c r="AD947" s="2"/>
      <c r="AE947" s="2"/>
      <c r="AF947" s="2"/>
      <c r="AG947" s="2"/>
      <c r="AH947" s="2"/>
      <c r="AI947" s="6"/>
      <c r="AJ947" s="2"/>
      <c r="AK947" s="56"/>
      <c r="AL947" s="2"/>
      <c r="AM947" s="2"/>
      <c r="AN947" s="2"/>
      <c r="AO947" s="2"/>
      <c r="AP947" s="6"/>
      <c r="AQ947" s="2"/>
      <c r="AR947" s="2"/>
      <c r="AS947" s="2"/>
      <c r="AT947" s="2"/>
      <c r="AU947" s="2"/>
      <c r="AV947" s="2"/>
      <c r="AW947" s="2"/>
      <c r="AX947" s="6"/>
      <c r="AY947" s="2"/>
      <c r="AZ947" s="2"/>
      <c r="BA947" s="2"/>
      <c r="BB947" s="2"/>
      <c r="BC947" s="2"/>
      <c r="BD947" s="6"/>
      <c r="BE947" s="2"/>
      <c r="BF947" s="6"/>
      <c r="BG947" s="58"/>
      <c r="BH947" s="6"/>
      <c r="BI947" s="2"/>
    </row>
    <row r="948" ht="12.75" customHeight="1">
      <c r="A948" s="71"/>
      <c r="B948" s="71"/>
      <c r="C948" s="11"/>
      <c r="D948" s="11"/>
      <c r="E948" s="2"/>
      <c r="F948" s="2"/>
      <c r="G948" s="2"/>
      <c r="H948" s="54"/>
      <c r="I948" s="4"/>
      <c r="J948" s="2"/>
      <c r="K948" s="2"/>
      <c r="L948" s="5"/>
      <c r="M948" s="5"/>
      <c r="N948" s="5"/>
      <c r="O948" s="5"/>
      <c r="P948" s="5"/>
      <c r="Q948" s="5"/>
      <c r="R948" s="2"/>
      <c r="S948" s="2"/>
      <c r="T948" s="2"/>
      <c r="U948" s="2"/>
      <c r="V948" s="2"/>
      <c r="W948" s="2"/>
      <c r="X948" s="6"/>
      <c r="Y948" s="2"/>
      <c r="Z948" s="2"/>
      <c r="AA948" s="2"/>
      <c r="AB948" s="2"/>
      <c r="AC948" s="6"/>
      <c r="AD948" s="2"/>
      <c r="AE948" s="2"/>
      <c r="AF948" s="2"/>
      <c r="AG948" s="2"/>
      <c r="AH948" s="2"/>
      <c r="AI948" s="6"/>
      <c r="AJ948" s="2"/>
      <c r="AK948" s="56"/>
      <c r="AL948" s="2"/>
      <c r="AM948" s="2"/>
      <c r="AN948" s="2"/>
      <c r="AO948" s="2"/>
      <c r="AP948" s="6"/>
      <c r="AQ948" s="2"/>
      <c r="AR948" s="2"/>
      <c r="AS948" s="2"/>
      <c r="AT948" s="2"/>
      <c r="AU948" s="2"/>
      <c r="AV948" s="2"/>
      <c r="AW948" s="2"/>
      <c r="AX948" s="6"/>
      <c r="AY948" s="2"/>
      <c r="AZ948" s="2"/>
      <c r="BA948" s="2"/>
      <c r="BB948" s="2"/>
      <c r="BC948" s="2"/>
      <c r="BD948" s="6"/>
      <c r="BE948" s="2"/>
      <c r="BF948" s="6"/>
      <c r="BG948" s="58"/>
      <c r="BH948" s="6"/>
      <c r="BI948" s="2"/>
    </row>
    <row r="949" ht="12.75" customHeight="1">
      <c r="A949" s="71"/>
      <c r="B949" s="71"/>
      <c r="C949" s="11"/>
      <c r="D949" s="11"/>
      <c r="E949" s="2"/>
      <c r="F949" s="2"/>
      <c r="G949" s="2"/>
      <c r="H949" s="54"/>
      <c r="I949" s="4"/>
      <c r="J949" s="2"/>
      <c r="K949" s="2"/>
      <c r="L949" s="5"/>
      <c r="M949" s="5"/>
      <c r="N949" s="5"/>
      <c r="O949" s="5"/>
      <c r="P949" s="5"/>
      <c r="Q949" s="5"/>
      <c r="R949" s="2"/>
      <c r="S949" s="2"/>
      <c r="T949" s="2"/>
      <c r="U949" s="2"/>
      <c r="V949" s="2"/>
      <c r="W949" s="2"/>
      <c r="X949" s="6"/>
      <c r="Y949" s="2"/>
      <c r="Z949" s="2"/>
      <c r="AA949" s="2"/>
      <c r="AB949" s="2"/>
      <c r="AC949" s="6"/>
      <c r="AD949" s="2"/>
      <c r="AE949" s="2"/>
      <c r="AF949" s="2"/>
      <c r="AG949" s="2"/>
      <c r="AH949" s="2"/>
      <c r="AI949" s="6"/>
      <c r="AJ949" s="2"/>
      <c r="AK949" s="56"/>
      <c r="AL949" s="2"/>
      <c r="AM949" s="2"/>
      <c r="AN949" s="2"/>
      <c r="AO949" s="2"/>
      <c r="AP949" s="6"/>
      <c r="AQ949" s="2"/>
      <c r="AR949" s="2"/>
      <c r="AS949" s="2"/>
      <c r="AT949" s="2"/>
      <c r="AU949" s="2"/>
      <c r="AV949" s="2"/>
      <c r="AW949" s="2"/>
      <c r="AX949" s="6"/>
      <c r="AY949" s="2"/>
      <c r="AZ949" s="2"/>
      <c r="BA949" s="2"/>
      <c r="BB949" s="2"/>
      <c r="BC949" s="2"/>
      <c r="BD949" s="6"/>
      <c r="BE949" s="2"/>
      <c r="BF949" s="6"/>
      <c r="BG949" s="58"/>
      <c r="BH949" s="6"/>
      <c r="BI949" s="2"/>
    </row>
    <row r="950" ht="12.75" customHeight="1">
      <c r="A950" s="71"/>
      <c r="B950" s="71"/>
      <c r="C950" s="11"/>
      <c r="D950" s="11"/>
      <c r="E950" s="2"/>
      <c r="F950" s="2"/>
      <c r="G950" s="2"/>
      <c r="H950" s="54"/>
      <c r="I950" s="4"/>
      <c r="J950" s="2"/>
      <c r="K950" s="2"/>
      <c r="L950" s="5"/>
      <c r="M950" s="5"/>
      <c r="N950" s="5"/>
      <c r="O950" s="5"/>
      <c r="P950" s="5"/>
      <c r="Q950" s="5"/>
      <c r="R950" s="2"/>
      <c r="S950" s="2"/>
      <c r="T950" s="2"/>
      <c r="U950" s="2"/>
      <c r="V950" s="2"/>
      <c r="W950" s="2"/>
      <c r="X950" s="6"/>
      <c r="Y950" s="2"/>
      <c r="Z950" s="2"/>
      <c r="AA950" s="2"/>
      <c r="AB950" s="2"/>
      <c r="AC950" s="6"/>
      <c r="AD950" s="2"/>
      <c r="AE950" s="2"/>
      <c r="AF950" s="2"/>
      <c r="AG950" s="2"/>
      <c r="AH950" s="2"/>
      <c r="AI950" s="6"/>
      <c r="AJ950" s="2"/>
      <c r="AK950" s="56"/>
      <c r="AL950" s="2"/>
      <c r="AM950" s="2"/>
      <c r="AN950" s="2"/>
      <c r="AO950" s="2"/>
      <c r="AP950" s="6"/>
      <c r="AQ950" s="2"/>
      <c r="AR950" s="2"/>
      <c r="AS950" s="2"/>
      <c r="AT950" s="2"/>
      <c r="AU950" s="2"/>
      <c r="AV950" s="2"/>
      <c r="AW950" s="2"/>
      <c r="AX950" s="6"/>
      <c r="AY950" s="2"/>
      <c r="AZ950" s="2"/>
      <c r="BA950" s="2"/>
      <c r="BB950" s="2"/>
      <c r="BC950" s="2"/>
      <c r="BD950" s="6"/>
      <c r="BE950" s="2"/>
      <c r="BF950" s="6"/>
      <c r="BG950" s="58"/>
      <c r="BH950" s="6"/>
      <c r="BI950" s="2"/>
    </row>
    <row r="951" ht="12.75" customHeight="1">
      <c r="A951" s="71"/>
      <c r="B951" s="71"/>
      <c r="C951" s="11"/>
      <c r="D951" s="11"/>
      <c r="E951" s="2"/>
      <c r="F951" s="2"/>
      <c r="G951" s="2"/>
      <c r="H951" s="54"/>
      <c r="I951" s="4"/>
      <c r="J951" s="2"/>
      <c r="K951" s="2"/>
      <c r="L951" s="5"/>
      <c r="M951" s="5"/>
      <c r="N951" s="5"/>
      <c r="O951" s="5"/>
      <c r="P951" s="5"/>
      <c r="Q951" s="5"/>
      <c r="R951" s="2"/>
      <c r="S951" s="2"/>
      <c r="T951" s="2"/>
      <c r="U951" s="2"/>
      <c r="V951" s="2"/>
      <c r="W951" s="2"/>
      <c r="X951" s="6"/>
      <c r="Y951" s="2"/>
      <c r="Z951" s="2"/>
      <c r="AA951" s="2"/>
      <c r="AB951" s="2"/>
      <c r="AC951" s="6"/>
      <c r="AD951" s="2"/>
      <c r="AE951" s="2"/>
      <c r="AF951" s="2"/>
      <c r="AG951" s="2"/>
      <c r="AH951" s="2"/>
      <c r="AI951" s="6"/>
      <c r="AJ951" s="2"/>
      <c r="AK951" s="56"/>
      <c r="AL951" s="2"/>
      <c r="AM951" s="2"/>
      <c r="AN951" s="2"/>
      <c r="AO951" s="2"/>
      <c r="AP951" s="6"/>
      <c r="AQ951" s="2"/>
      <c r="AR951" s="2"/>
      <c r="AS951" s="2"/>
      <c r="AT951" s="2"/>
      <c r="AU951" s="2"/>
      <c r="AV951" s="2"/>
      <c r="AW951" s="2"/>
      <c r="AX951" s="6"/>
      <c r="AY951" s="2"/>
      <c r="AZ951" s="2"/>
      <c r="BA951" s="2"/>
      <c r="BB951" s="2"/>
      <c r="BC951" s="2"/>
      <c r="BD951" s="6"/>
      <c r="BE951" s="2"/>
      <c r="BF951" s="6"/>
      <c r="BG951" s="58"/>
      <c r="BH951" s="6"/>
      <c r="BI951" s="2"/>
    </row>
    <row r="952" ht="12.75" customHeight="1">
      <c r="A952" s="71"/>
      <c r="B952" s="71"/>
      <c r="C952" s="11"/>
      <c r="D952" s="11"/>
      <c r="E952" s="2"/>
      <c r="F952" s="2"/>
      <c r="G952" s="2"/>
      <c r="H952" s="54"/>
      <c r="I952" s="4"/>
      <c r="J952" s="2"/>
      <c r="K952" s="2"/>
      <c r="L952" s="5"/>
      <c r="M952" s="5"/>
      <c r="N952" s="5"/>
      <c r="O952" s="5"/>
      <c r="P952" s="5"/>
      <c r="Q952" s="5"/>
      <c r="R952" s="2"/>
      <c r="S952" s="2"/>
      <c r="T952" s="2"/>
      <c r="U952" s="2"/>
      <c r="V952" s="2"/>
      <c r="W952" s="2"/>
      <c r="X952" s="6"/>
      <c r="Y952" s="2"/>
      <c r="Z952" s="2"/>
      <c r="AA952" s="2"/>
      <c r="AB952" s="2"/>
      <c r="AC952" s="6"/>
      <c r="AD952" s="2"/>
      <c r="AE952" s="2"/>
      <c r="AF952" s="2"/>
      <c r="AG952" s="2"/>
      <c r="AH952" s="2"/>
      <c r="AI952" s="6"/>
      <c r="AJ952" s="2"/>
      <c r="AK952" s="56"/>
      <c r="AL952" s="2"/>
      <c r="AM952" s="2"/>
      <c r="AN952" s="2"/>
      <c r="AO952" s="2"/>
      <c r="AP952" s="6"/>
      <c r="AQ952" s="2"/>
      <c r="AR952" s="2"/>
      <c r="AS952" s="2"/>
      <c r="AT952" s="2"/>
      <c r="AU952" s="2"/>
      <c r="AV952" s="2"/>
      <c r="AW952" s="2"/>
      <c r="AX952" s="6"/>
      <c r="AY952" s="2"/>
      <c r="AZ952" s="2"/>
      <c r="BA952" s="2"/>
      <c r="BB952" s="2"/>
      <c r="BC952" s="2"/>
      <c r="BD952" s="6"/>
      <c r="BE952" s="2"/>
      <c r="BF952" s="6"/>
      <c r="BG952" s="58"/>
      <c r="BH952" s="6"/>
      <c r="BI952" s="2"/>
    </row>
    <row r="953" ht="12.75" customHeight="1">
      <c r="A953" s="71"/>
      <c r="B953" s="71"/>
      <c r="C953" s="11"/>
      <c r="D953" s="11"/>
      <c r="E953" s="2"/>
      <c r="F953" s="2"/>
      <c r="G953" s="2"/>
      <c r="H953" s="54"/>
      <c r="I953" s="4"/>
      <c r="J953" s="2"/>
      <c r="K953" s="2"/>
      <c r="L953" s="5"/>
      <c r="M953" s="5"/>
      <c r="N953" s="5"/>
      <c r="O953" s="5"/>
      <c r="P953" s="5"/>
      <c r="Q953" s="5"/>
      <c r="R953" s="2"/>
      <c r="S953" s="2"/>
      <c r="T953" s="2"/>
      <c r="U953" s="2"/>
      <c r="V953" s="2"/>
      <c r="W953" s="2"/>
      <c r="X953" s="6"/>
      <c r="Y953" s="2"/>
      <c r="Z953" s="2"/>
      <c r="AA953" s="2"/>
      <c r="AB953" s="2"/>
      <c r="AC953" s="6"/>
      <c r="AD953" s="2"/>
      <c r="AE953" s="2"/>
      <c r="AF953" s="2"/>
      <c r="AG953" s="2"/>
      <c r="AH953" s="2"/>
      <c r="AI953" s="6"/>
      <c r="AJ953" s="2"/>
      <c r="AK953" s="56"/>
      <c r="AL953" s="2"/>
      <c r="AM953" s="2"/>
      <c r="AN953" s="2"/>
      <c r="AO953" s="2"/>
      <c r="AP953" s="6"/>
      <c r="AQ953" s="2"/>
      <c r="AR953" s="2"/>
      <c r="AS953" s="2"/>
      <c r="AT953" s="2"/>
      <c r="AU953" s="2"/>
      <c r="AV953" s="2"/>
      <c r="AW953" s="2"/>
      <c r="AX953" s="6"/>
      <c r="AY953" s="2"/>
      <c r="AZ953" s="2"/>
      <c r="BA953" s="2"/>
      <c r="BB953" s="2"/>
      <c r="BC953" s="2"/>
      <c r="BD953" s="6"/>
      <c r="BE953" s="2"/>
      <c r="BF953" s="6"/>
      <c r="BG953" s="58"/>
      <c r="BH953" s="6"/>
      <c r="BI953" s="2"/>
    </row>
    <row r="954" ht="12.75" customHeight="1">
      <c r="A954" s="71"/>
      <c r="B954" s="71"/>
      <c r="C954" s="11"/>
      <c r="D954" s="11"/>
      <c r="E954" s="2"/>
      <c r="F954" s="2"/>
      <c r="G954" s="2"/>
      <c r="H954" s="54"/>
      <c r="I954" s="4"/>
      <c r="J954" s="2"/>
      <c r="K954" s="2"/>
      <c r="L954" s="5"/>
      <c r="M954" s="5"/>
      <c r="N954" s="5"/>
      <c r="O954" s="5"/>
      <c r="P954" s="5"/>
      <c r="Q954" s="5"/>
      <c r="R954" s="2"/>
      <c r="S954" s="2"/>
      <c r="T954" s="2"/>
      <c r="U954" s="2"/>
      <c r="V954" s="2"/>
      <c r="W954" s="2"/>
      <c r="X954" s="6"/>
      <c r="Y954" s="2"/>
      <c r="Z954" s="2"/>
      <c r="AA954" s="2"/>
      <c r="AB954" s="2"/>
      <c r="AC954" s="6"/>
      <c r="AD954" s="2"/>
      <c r="AE954" s="2"/>
      <c r="AF954" s="2"/>
      <c r="AG954" s="2"/>
      <c r="AH954" s="2"/>
      <c r="AI954" s="6"/>
      <c r="AJ954" s="2"/>
      <c r="AK954" s="56"/>
      <c r="AL954" s="2"/>
      <c r="AM954" s="2"/>
      <c r="AN954" s="2"/>
      <c r="AO954" s="2"/>
      <c r="AP954" s="6"/>
      <c r="AQ954" s="2"/>
      <c r="AR954" s="2"/>
      <c r="AS954" s="2"/>
      <c r="AT954" s="2"/>
      <c r="AU954" s="2"/>
      <c r="AV954" s="2"/>
      <c r="AW954" s="2"/>
      <c r="AX954" s="6"/>
      <c r="AY954" s="2"/>
      <c r="AZ954" s="2"/>
      <c r="BA954" s="2"/>
      <c r="BB954" s="2"/>
      <c r="BC954" s="2"/>
      <c r="BD954" s="6"/>
      <c r="BE954" s="2"/>
      <c r="BF954" s="6"/>
      <c r="BG954" s="58"/>
      <c r="BH954" s="6"/>
      <c r="BI954" s="2"/>
    </row>
    <row r="955" ht="12.75" customHeight="1">
      <c r="A955" s="71"/>
      <c r="B955" s="71"/>
      <c r="C955" s="11"/>
      <c r="D955" s="11"/>
      <c r="E955" s="2"/>
      <c r="F955" s="2"/>
      <c r="G955" s="2"/>
      <c r="H955" s="54"/>
      <c r="I955" s="4"/>
      <c r="J955" s="2"/>
      <c r="K955" s="2"/>
      <c r="L955" s="5"/>
      <c r="M955" s="5"/>
      <c r="N955" s="5"/>
      <c r="O955" s="5"/>
      <c r="P955" s="5"/>
      <c r="Q955" s="5"/>
      <c r="R955" s="2"/>
      <c r="S955" s="2"/>
      <c r="T955" s="2"/>
      <c r="U955" s="2"/>
      <c r="V955" s="2"/>
      <c r="W955" s="2"/>
      <c r="X955" s="6"/>
      <c r="Y955" s="2"/>
      <c r="Z955" s="2"/>
      <c r="AA955" s="2"/>
      <c r="AB955" s="2"/>
      <c r="AC955" s="6"/>
      <c r="AD955" s="2"/>
      <c r="AE955" s="2"/>
      <c r="AF955" s="2"/>
      <c r="AG955" s="2"/>
      <c r="AH955" s="2"/>
      <c r="AI955" s="6"/>
      <c r="AJ955" s="2"/>
      <c r="AK955" s="56"/>
      <c r="AL955" s="2"/>
      <c r="AM955" s="2"/>
      <c r="AN955" s="2"/>
      <c r="AO955" s="2"/>
      <c r="AP955" s="6"/>
      <c r="AQ955" s="2"/>
      <c r="AR955" s="2"/>
      <c r="AS955" s="2"/>
      <c r="AT955" s="2"/>
      <c r="AU955" s="2"/>
      <c r="AV955" s="2"/>
      <c r="AW955" s="2"/>
      <c r="AX955" s="6"/>
      <c r="AY955" s="2"/>
      <c r="AZ955" s="2"/>
      <c r="BA955" s="2"/>
      <c r="BB955" s="2"/>
      <c r="BC955" s="2"/>
      <c r="BD955" s="6"/>
      <c r="BE955" s="2"/>
      <c r="BF955" s="6"/>
      <c r="BG955" s="58"/>
      <c r="BH955" s="6"/>
      <c r="BI955" s="2"/>
    </row>
    <row r="956" ht="12.75" customHeight="1">
      <c r="A956" s="71"/>
      <c r="B956" s="71"/>
      <c r="C956" s="11"/>
      <c r="D956" s="11"/>
      <c r="E956" s="2"/>
      <c r="F956" s="2"/>
      <c r="G956" s="2"/>
      <c r="H956" s="54"/>
      <c r="I956" s="4"/>
      <c r="J956" s="2"/>
      <c r="K956" s="2"/>
      <c r="L956" s="5"/>
      <c r="M956" s="5"/>
      <c r="N956" s="5"/>
      <c r="O956" s="5"/>
      <c r="P956" s="5"/>
      <c r="Q956" s="5"/>
      <c r="R956" s="2"/>
      <c r="S956" s="2"/>
      <c r="T956" s="2"/>
      <c r="U956" s="2"/>
      <c r="V956" s="2"/>
      <c r="W956" s="2"/>
      <c r="X956" s="6"/>
      <c r="Y956" s="2"/>
      <c r="Z956" s="2"/>
      <c r="AA956" s="2"/>
      <c r="AB956" s="2"/>
      <c r="AC956" s="6"/>
      <c r="AD956" s="2"/>
      <c r="AE956" s="2"/>
      <c r="AF956" s="2"/>
      <c r="AG956" s="2"/>
      <c r="AH956" s="2"/>
      <c r="AI956" s="6"/>
      <c r="AJ956" s="2"/>
      <c r="AK956" s="56"/>
      <c r="AL956" s="2"/>
      <c r="AM956" s="2"/>
      <c r="AN956" s="2"/>
      <c r="AO956" s="2"/>
      <c r="AP956" s="6"/>
      <c r="AQ956" s="2"/>
      <c r="AR956" s="2"/>
      <c r="AS956" s="2"/>
      <c r="AT956" s="2"/>
      <c r="AU956" s="2"/>
      <c r="AV956" s="2"/>
      <c r="AW956" s="2"/>
      <c r="AX956" s="6"/>
      <c r="AY956" s="2"/>
      <c r="AZ956" s="2"/>
      <c r="BA956" s="2"/>
      <c r="BB956" s="2"/>
      <c r="BC956" s="2"/>
      <c r="BD956" s="6"/>
      <c r="BE956" s="2"/>
      <c r="BF956" s="6"/>
      <c r="BG956" s="58"/>
      <c r="BH956" s="6"/>
      <c r="BI956" s="2"/>
    </row>
    <row r="957" ht="12.75" customHeight="1">
      <c r="A957" s="71"/>
      <c r="B957" s="71"/>
      <c r="C957" s="11"/>
      <c r="D957" s="11"/>
      <c r="E957" s="2"/>
      <c r="F957" s="2"/>
      <c r="G957" s="2"/>
      <c r="H957" s="54"/>
      <c r="I957" s="4"/>
      <c r="J957" s="2"/>
      <c r="K957" s="2"/>
      <c r="L957" s="5"/>
      <c r="M957" s="5"/>
      <c r="N957" s="5"/>
      <c r="O957" s="5"/>
      <c r="P957" s="5"/>
      <c r="Q957" s="5"/>
      <c r="R957" s="2"/>
      <c r="S957" s="2"/>
      <c r="T957" s="2"/>
      <c r="U957" s="2"/>
      <c r="V957" s="2"/>
      <c r="W957" s="2"/>
      <c r="X957" s="6"/>
      <c r="Y957" s="2"/>
      <c r="Z957" s="2"/>
      <c r="AA957" s="2"/>
      <c r="AB957" s="2"/>
      <c r="AC957" s="6"/>
      <c r="AD957" s="2"/>
      <c r="AE957" s="2"/>
      <c r="AF957" s="2"/>
      <c r="AG957" s="2"/>
      <c r="AH957" s="2"/>
      <c r="AI957" s="6"/>
      <c r="AJ957" s="2"/>
      <c r="AK957" s="56"/>
      <c r="AL957" s="2"/>
      <c r="AM957" s="2"/>
      <c r="AN957" s="2"/>
      <c r="AO957" s="2"/>
      <c r="AP957" s="6"/>
      <c r="AQ957" s="2"/>
      <c r="AR957" s="2"/>
      <c r="AS957" s="2"/>
      <c r="AT957" s="2"/>
      <c r="AU957" s="2"/>
      <c r="AV957" s="2"/>
      <c r="AW957" s="2"/>
      <c r="AX957" s="6"/>
      <c r="AY957" s="2"/>
      <c r="AZ957" s="2"/>
      <c r="BA957" s="2"/>
      <c r="BB957" s="2"/>
      <c r="BC957" s="2"/>
      <c r="BD957" s="6"/>
      <c r="BE957" s="2"/>
      <c r="BF957" s="6"/>
      <c r="BG957" s="58"/>
      <c r="BH957" s="6"/>
      <c r="BI957" s="2"/>
    </row>
    <row r="958" ht="12.75" customHeight="1">
      <c r="A958" s="71"/>
      <c r="B958" s="71"/>
      <c r="C958" s="11"/>
      <c r="D958" s="11"/>
      <c r="E958" s="2"/>
      <c r="F958" s="2"/>
      <c r="G958" s="2"/>
      <c r="H958" s="54"/>
      <c r="I958" s="4"/>
      <c r="J958" s="2"/>
      <c r="K958" s="2"/>
      <c r="L958" s="5"/>
      <c r="M958" s="5"/>
      <c r="N958" s="5"/>
      <c r="O958" s="5"/>
      <c r="P958" s="5"/>
      <c r="Q958" s="5"/>
      <c r="R958" s="2"/>
      <c r="S958" s="2"/>
      <c r="T958" s="2"/>
      <c r="U958" s="2"/>
      <c r="V958" s="2"/>
      <c r="W958" s="2"/>
      <c r="X958" s="6"/>
      <c r="Y958" s="2"/>
      <c r="Z958" s="2"/>
      <c r="AA958" s="2"/>
      <c r="AB958" s="2"/>
      <c r="AC958" s="6"/>
      <c r="AD958" s="2"/>
      <c r="AE958" s="2"/>
      <c r="AF958" s="2"/>
      <c r="AG958" s="2"/>
      <c r="AH958" s="2"/>
      <c r="AI958" s="6"/>
      <c r="AJ958" s="2"/>
      <c r="AK958" s="56"/>
      <c r="AL958" s="2"/>
      <c r="AM958" s="2"/>
      <c r="AN958" s="2"/>
      <c r="AO958" s="2"/>
      <c r="AP958" s="6"/>
      <c r="AQ958" s="2"/>
      <c r="AR958" s="2"/>
      <c r="AS958" s="2"/>
      <c r="AT958" s="2"/>
      <c r="AU958" s="2"/>
      <c r="AV958" s="2"/>
      <c r="AW958" s="2"/>
      <c r="AX958" s="6"/>
      <c r="AY958" s="2"/>
      <c r="AZ958" s="2"/>
      <c r="BA958" s="2"/>
      <c r="BB958" s="2"/>
      <c r="BC958" s="2"/>
      <c r="BD958" s="6"/>
      <c r="BE958" s="2"/>
      <c r="BF958" s="6"/>
      <c r="BG958" s="58"/>
      <c r="BH958" s="6"/>
      <c r="BI958" s="2"/>
    </row>
    <row r="959" ht="12.75" customHeight="1">
      <c r="A959" s="71"/>
      <c r="B959" s="71"/>
      <c r="C959" s="11"/>
      <c r="D959" s="11"/>
      <c r="E959" s="2"/>
      <c r="F959" s="2"/>
      <c r="G959" s="2"/>
      <c r="H959" s="54"/>
      <c r="I959" s="4"/>
      <c r="J959" s="2"/>
      <c r="K959" s="2"/>
      <c r="L959" s="5"/>
      <c r="M959" s="5"/>
      <c r="N959" s="5"/>
      <c r="O959" s="5"/>
      <c r="P959" s="5"/>
      <c r="Q959" s="5"/>
      <c r="R959" s="2"/>
      <c r="S959" s="2"/>
      <c r="T959" s="2"/>
      <c r="U959" s="2"/>
      <c r="V959" s="2"/>
      <c r="W959" s="2"/>
      <c r="X959" s="6"/>
      <c r="Y959" s="2"/>
      <c r="Z959" s="2"/>
      <c r="AA959" s="2"/>
      <c r="AB959" s="2"/>
      <c r="AC959" s="6"/>
      <c r="AD959" s="2"/>
      <c r="AE959" s="2"/>
      <c r="AF959" s="2"/>
      <c r="AG959" s="2"/>
      <c r="AH959" s="2"/>
      <c r="AI959" s="6"/>
      <c r="AJ959" s="2"/>
      <c r="AK959" s="56"/>
      <c r="AL959" s="2"/>
      <c r="AM959" s="2"/>
      <c r="AN959" s="2"/>
      <c r="AO959" s="2"/>
      <c r="AP959" s="6"/>
      <c r="AQ959" s="2"/>
      <c r="AR959" s="2"/>
      <c r="AS959" s="2"/>
      <c r="AT959" s="2"/>
      <c r="AU959" s="2"/>
      <c r="AV959" s="2"/>
      <c r="AW959" s="2"/>
      <c r="AX959" s="6"/>
      <c r="AY959" s="2"/>
      <c r="AZ959" s="2"/>
      <c r="BA959" s="2"/>
      <c r="BB959" s="2"/>
      <c r="BC959" s="2"/>
      <c r="BD959" s="6"/>
      <c r="BE959" s="2"/>
      <c r="BF959" s="6"/>
      <c r="BG959" s="58"/>
      <c r="BH959" s="6"/>
      <c r="BI959" s="2"/>
    </row>
    <row r="960" ht="12.75" customHeight="1">
      <c r="A960" s="71"/>
      <c r="B960" s="71"/>
      <c r="C960" s="11"/>
      <c r="D960" s="11"/>
      <c r="E960" s="2"/>
      <c r="F960" s="2"/>
      <c r="G960" s="2"/>
      <c r="H960" s="54"/>
      <c r="I960" s="4"/>
      <c r="J960" s="2"/>
      <c r="K960" s="2"/>
      <c r="L960" s="5"/>
      <c r="M960" s="5"/>
      <c r="N960" s="5"/>
      <c r="O960" s="5"/>
      <c r="P960" s="5"/>
      <c r="Q960" s="5"/>
      <c r="R960" s="2"/>
      <c r="S960" s="2"/>
      <c r="T960" s="2"/>
      <c r="U960" s="2"/>
      <c r="V960" s="2"/>
      <c r="W960" s="2"/>
      <c r="X960" s="6"/>
      <c r="Y960" s="2"/>
      <c r="Z960" s="2"/>
      <c r="AA960" s="2"/>
      <c r="AB960" s="2"/>
      <c r="AC960" s="6"/>
      <c r="AD960" s="2"/>
      <c r="AE960" s="2"/>
      <c r="AF960" s="2"/>
      <c r="AG960" s="2"/>
      <c r="AH960" s="2"/>
      <c r="AI960" s="6"/>
      <c r="AJ960" s="2"/>
      <c r="AK960" s="56"/>
      <c r="AL960" s="2"/>
      <c r="AM960" s="2"/>
      <c r="AN960" s="2"/>
      <c r="AO960" s="2"/>
      <c r="AP960" s="6"/>
      <c r="AQ960" s="2"/>
      <c r="AR960" s="2"/>
      <c r="AS960" s="2"/>
      <c r="AT960" s="2"/>
      <c r="AU960" s="2"/>
      <c r="AV960" s="2"/>
      <c r="AW960" s="2"/>
      <c r="AX960" s="6"/>
      <c r="AY960" s="2"/>
      <c r="AZ960" s="2"/>
      <c r="BA960" s="2"/>
      <c r="BB960" s="2"/>
      <c r="BC960" s="2"/>
      <c r="BD960" s="6"/>
      <c r="BE960" s="2"/>
      <c r="BF960" s="6"/>
      <c r="BG960" s="58"/>
      <c r="BH960" s="6"/>
      <c r="BI960" s="2"/>
    </row>
    <row r="961" ht="12.75" customHeight="1">
      <c r="A961" s="71"/>
      <c r="B961" s="71"/>
      <c r="C961" s="11"/>
      <c r="D961" s="11"/>
      <c r="E961" s="2"/>
      <c r="F961" s="2"/>
      <c r="G961" s="2"/>
      <c r="H961" s="54"/>
      <c r="I961" s="4"/>
      <c r="J961" s="2"/>
      <c r="K961" s="2"/>
      <c r="L961" s="5"/>
      <c r="M961" s="5"/>
      <c r="N961" s="5"/>
      <c r="O961" s="5"/>
      <c r="P961" s="5"/>
      <c r="Q961" s="5"/>
      <c r="R961" s="2"/>
      <c r="S961" s="2"/>
      <c r="T961" s="2"/>
      <c r="U961" s="2"/>
      <c r="V961" s="2"/>
      <c r="W961" s="2"/>
      <c r="X961" s="6"/>
      <c r="Y961" s="2"/>
      <c r="Z961" s="2"/>
      <c r="AA961" s="2"/>
      <c r="AB961" s="2"/>
      <c r="AC961" s="6"/>
      <c r="AD961" s="2"/>
      <c r="AE961" s="2"/>
      <c r="AF961" s="2"/>
      <c r="AG961" s="2"/>
      <c r="AH961" s="2"/>
      <c r="AI961" s="6"/>
      <c r="AJ961" s="2"/>
      <c r="AK961" s="56"/>
      <c r="AL961" s="2"/>
      <c r="AM961" s="2"/>
      <c r="AN961" s="2"/>
      <c r="AO961" s="2"/>
      <c r="AP961" s="6"/>
      <c r="AQ961" s="2"/>
      <c r="AR961" s="2"/>
      <c r="AS961" s="2"/>
      <c r="AT961" s="2"/>
      <c r="AU961" s="2"/>
      <c r="AV961" s="2"/>
      <c r="AW961" s="2"/>
      <c r="AX961" s="6"/>
      <c r="AY961" s="2"/>
      <c r="AZ961" s="2"/>
      <c r="BA961" s="2"/>
      <c r="BB961" s="2"/>
      <c r="BC961" s="2"/>
      <c r="BD961" s="6"/>
      <c r="BE961" s="2"/>
      <c r="BF961" s="6"/>
      <c r="BG961" s="58"/>
      <c r="BH961" s="6"/>
      <c r="BI961" s="2"/>
    </row>
    <row r="962" ht="12.75" customHeight="1">
      <c r="A962" s="71"/>
      <c r="B962" s="71"/>
      <c r="C962" s="11"/>
      <c r="D962" s="11"/>
      <c r="E962" s="2"/>
      <c r="F962" s="2"/>
      <c r="G962" s="2"/>
      <c r="H962" s="54"/>
      <c r="I962" s="4"/>
      <c r="J962" s="2"/>
      <c r="K962" s="2"/>
      <c r="L962" s="5"/>
      <c r="M962" s="5"/>
      <c r="N962" s="5"/>
      <c r="O962" s="5"/>
      <c r="P962" s="5"/>
      <c r="Q962" s="5"/>
      <c r="R962" s="2"/>
      <c r="S962" s="2"/>
      <c r="T962" s="2"/>
      <c r="U962" s="2"/>
      <c r="V962" s="2"/>
      <c r="W962" s="2"/>
      <c r="X962" s="6"/>
      <c r="Y962" s="2"/>
      <c r="Z962" s="2"/>
      <c r="AA962" s="2"/>
      <c r="AB962" s="2"/>
      <c r="AC962" s="6"/>
      <c r="AD962" s="2"/>
      <c r="AE962" s="2"/>
      <c r="AF962" s="2"/>
      <c r="AG962" s="2"/>
      <c r="AH962" s="2"/>
      <c r="AI962" s="6"/>
      <c r="AJ962" s="2"/>
      <c r="AK962" s="56"/>
      <c r="AL962" s="2"/>
      <c r="AM962" s="2"/>
      <c r="AN962" s="2"/>
      <c r="AO962" s="2"/>
      <c r="AP962" s="6"/>
      <c r="AQ962" s="2"/>
      <c r="AR962" s="2"/>
      <c r="AS962" s="2"/>
      <c r="AT962" s="2"/>
      <c r="AU962" s="2"/>
      <c r="AV962" s="2"/>
      <c r="AW962" s="2"/>
      <c r="AX962" s="6"/>
      <c r="AY962" s="2"/>
      <c r="AZ962" s="2"/>
      <c r="BA962" s="2"/>
      <c r="BB962" s="2"/>
      <c r="BC962" s="2"/>
      <c r="BD962" s="6"/>
      <c r="BE962" s="2"/>
      <c r="BF962" s="6"/>
      <c r="BG962" s="58"/>
      <c r="BH962" s="6"/>
      <c r="BI962" s="2"/>
    </row>
    <row r="963" ht="12.75" customHeight="1">
      <c r="A963" s="71"/>
      <c r="B963" s="71"/>
      <c r="C963" s="11"/>
      <c r="D963" s="11"/>
      <c r="E963" s="2"/>
      <c r="F963" s="2"/>
      <c r="G963" s="2"/>
      <c r="H963" s="54"/>
      <c r="I963" s="4"/>
      <c r="J963" s="2"/>
      <c r="K963" s="2"/>
      <c r="L963" s="5"/>
      <c r="M963" s="5"/>
      <c r="N963" s="5"/>
      <c r="O963" s="5"/>
      <c r="P963" s="5"/>
      <c r="Q963" s="5"/>
      <c r="R963" s="2"/>
      <c r="S963" s="2"/>
      <c r="T963" s="2"/>
      <c r="U963" s="2"/>
      <c r="V963" s="2"/>
      <c r="W963" s="2"/>
      <c r="X963" s="6"/>
      <c r="Y963" s="2"/>
      <c r="Z963" s="2"/>
      <c r="AA963" s="2"/>
      <c r="AB963" s="2"/>
      <c r="AC963" s="6"/>
      <c r="AD963" s="2"/>
      <c r="AE963" s="2"/>
      <c r="AF963" s="2"/>
      <c r="AG963" s="2"/>
      <c r="AH963" s="2"/>
      <c r="AI963" s="6"/>
      <c r="AJ963" s="2"/>
      <c r="AK963" s="56"/>
      <c r="AL963" s="2"/>
      <c r="AM963" s="2"/>
      <c r="AN963" s="2"/>
      <c r="AO963" s="2"/>
      <c r="AP963" s="6"/>
      <c r="AQ963" s="2"/>
      <c r="AR963" s="2"/>
      <c r="AS963" s="2"/>
      <c r="AT963" s="2"/>
      <c r="AU963" s="2"/>
      <c r="AV963" s="2"/>
      <c r="AW963" s="2"/>
      <c r="AX963" s="6"/>
      <c r="AY963" s="2"/>
      <c r="AZ963" s="2"/>
      <c r="BA963" s="2"/>
      <c r="BB963" s="2"/>
      <c r="BC963" s="2"/>
      <c r="BD963" s="6"/>
      <c r="BE963" s="2"/>
      <c r="BF963" s="6"/>
      <c r="BG963" s="58"/>
      <c r="BH963" s="6"/>
      <c r="BI963" s="2"/>
    </row>
    <row r="964" ht="12.75" customHeight="1">
      <c r="A964" s="71"/>
      <c r="B964" s="71"/>
      <c r="C964" s="11"/>
      <c r="D964" s="11"/>
      <c r="E964" s="2"/>
      <c r="F964" s="2"/>
      <c r="G964" s="2"/>
      <c r="H964" s="54"/>
      <c r="I964" s="4"/>
      <c r="J964" s="2"/>
      <c r="K964" s="2"/>
      <c r="L964" s="5"/>
      <c r="M964" s="5"/>
      <c r="N964" s="5"/>
      <c r="O964" s="5"/>
      <c r="P964" s="5"/>
      <c r="Q964" s="5"/>
      <c r="R964" s="2"/>
      <c r="S964" s="2"/>
      <c r="T964" s="2"/>
      <c r="U964" s="2"/>
      <c r="V964" s="2"/>
      <c r="W964" s="2"/>
      <c r="X964" s="6"/>
      <c r="Y964" s="2"/>
      <c r="Z964" s="2"/>
      <c r="AA964" s="2"/>
      <c r="AB964" s="2"/>
      <c r="AC964" s="6"/>
      <c r="AD964" s="2"/>
      <c r="AE964" s="2"/>
      <c r="AF964" s="2"/>
      <c r="AG964" s="2"/>
      <c r="AH964" s="2"/>
      <c r="AI964" s="6"/>
      <c r="AJ964" s="2"/>
      <c r="AK964" s="56"/>
      <c r="AL964" s="2"/>
      <c r="AM964" s="2"/>
      <c r="AN964" s="2"/>
      <c r="AO964" s="2"/>
      <c r="AP964" s="6"/>
      <c r="AQ964" s="2"/>
      <c r="AR964" s="2"/>
      <c r="AS964" s="2"/>
      <c r="AT964" s="2"/>
      <c r="AU964" s="2"/>
      <c r="AV964" s="2"/>
      <c r="AW964" s="2"/>
      <c r="AX964" s="6"/>
      <c r="AY964" s="2"/>
      <c r="AZ964" s="2"/>
      <c r="BA964" s="2"/>
      <c r="BB964" s="2"/>
      <c r="BC964" s="2"/>
      <c r="BD964" s="6"/>
      <c r="BE964" s="2"/>
      <c r="BF964" s="6"/>
      <c r="BG964" s="58"/>
      <c r="BH964" s="6"/>
      <c r="BI964" s="2"/>
    </row>
    <row r="965" ht="12.75" customHeight="1">
      <c r="A965" s="71"/>
      <c r="B965" s="71"/>
      <c r="C965" s="11"/>
      <c r="D965" s="11"/>
      <c r="E965" s="2"/>
      <c r="F965" s="2"/>
      <c r="G965" s="2"/>
      <c r="H965" s="54"/>
      <c r="I965" s="4"/>
      <c r="J965" s="2"/>
      <c r="K965" s="2"/>
      <c r="L965" s="5"/>
      <c r="M965" s="5"/>
      <c r="N965" s="5"/>
      <c r="O965" s="5"/>
      <c r="P965" s="5"/>
      <c r="Q965" s="5"/>
      <c r="R965" s="2"/>
      <c r="S965" s="2"/>
      <c r="T965" s="2"/>
      <c r="U965" s="2"/>
      <c r="V965" s="2"/>
      <c r="W965" s="2"/>
      <c r="X965" s="6"/>
      <c r="Y965" s="2"/>
      <c r="Z965" s="2"/>
      <c r="AA965" s="2"/>
      <c r="AB965" s="2"/>
      <c r="AC965" s="6"/>
      <c r="AD965" s="2"/>
      <c r="AE965" s="2"/>
      <c r="AF965" s="2"/>
      <c r="AG965" s="2"/>
      <c r="AH965" s="2"/>
      <c r="AI965" s="6"/>
      <c r="AJ965" s="2"/>
      <c r="AK965" s="56"/>
      <c r="AL965" s="2"/>
      <c r="AM965" s="2"/>
      <c r="AN965" s="2"/>
      <c r="AO965" s="2"/>
      <c r="AP965" s="6"/>
      <c r="AQ965" s="2"/>
      <c r="AR965" s="2"/>
      <c r="AS965" s="2"/>
      <c r="AT965" s="2"/>
      <c r="AU965" s="2"/>
      <c r="AV965" s="2"/>
      <c r="AW965" s="2"/>
      <c r="AX965" s="6"/>
      <c r="AY965" s="2"/>
      <c r="AZ965" s="2"/>
      <c r="BA965" s="2"/>
      <c r="BB965" s="2"/>
      <c r="BC965" s="2"/>
      <c r="BD965" s="6"/>
      <c r="BE965" s="2"/>
      <c r="BF965" s="6"/>
      <c r="BG965" s="58"/>
      <c r="BH965" s="6"/>
      <c r="BI965" s="2"/>
    </row>
    <row r="966" ht="12.75" customHeight="1">
      <c r="A966" s="71"/>
      <c r="B966" s="71"/>
      <c r="C966" s="11"/>
      <c r="D966" s="11"/>
      <c r="E966" s="2"/>
      <c r="F966" s="2"/>
      <c r="G966" s="2"/>
      <c r="H966" s="54"/>
      <c r="I966" s="4"/>
      <c r="J966" s="2"/>
      <c r="K966" s="2"/>
      <c r="L966" s="5"/>
      <c r="M966" s="5"/>
      <c r="N966" s="5"/>
      <c r="O966" s="5"/>
      <c r="P966" s="5"/>
      <c r="Q966" s="5"/>
      <c r="R966" s="2"/>
      <c r="S966" s="2"/>
      <c r="T966" s="2"/>
      <c r="U966" s="2"/>
      <c r="V966" s="2"/>
      <c r="W966" s="2"/>
      <c r="X966" s="6"/>
      <c r="Y966" s="2"/>
      <c r="Z966" s="2"/>
      <c r="AA966" s="2"/>
      <c r="AB966" s="2"/>
      <c r="AC966" s="6"/>
      <c r="AD966" s="2"/>
      <c r="AE966" s="2"/>
      <c r="AF966" s="2"/>
      <c r="AG966" s="2"/>
      <c r="AH966" s="2"/>
      <c r="AI966" s="6"/>
      <c r="AJ966" s="2"/>
      <c r="AK966" s="56"/>
      <c r="AL966" s="2"/>
      <c r="AM966" s="2"/>
      <c r="AN966" s="2"/>
      <c r="AO966" s="2"/>
      <c r="AP966" s="6"/>
      <c r="AQ966" s="2"/>
      <c r="AR966" s="2"/>
      <c r="AS966" s="2"/>
      <c r="AT966" s="2"/>
      <c r="AU966" s="2"/>
      <c r="AV966" s="2"/>
      <c r="AW966" s="2"/>
      <c r="AX966" s="6"/>
      <c r="AY966" s="2"/>
      <c r="AZ966" s="2"/>
      <c r="BA966" s="2"/>
      <c r="BB966" s="2"/>
      <c r="BC966" s="2"/>
      <c r="BD966" s="6"/>
      <c r="BE966" s="2"/>
      <c r="BF966" s="6"/>
      <c r="BG966" s="58"/>
      <c r="BH966" s="6"/>
      <c r="BI966" s="2"/>
    </row>
    <row r="967" ht="12.75" customHeight="1">
      <c r="A967" s="71"/>
      <c r="B967" s="71"/>
      <c r="C967" s="11"/>
      <c r="D967" s="11"/>
      <c r="E967" s="2"/>
      <c r="F967" s="2"/>
      <c r="G967" s="2"/>
      <c r="H967" s="54"/>
      <c r="I967" s="4"/>
      <c r="J967" s="2"/>
      <c r="K967" s="2"/>
      <c r="L967" s="5"/>
      <c r="M967" s="5"/>
      <c r="N967" s="5"/>
      <c r="O967" s="5"/>
      <c r="P967" s="5"/>
      <c r="Q967" s="5"/>
      <c r="R967" s="2"/>
      <c r="S967" s="2"/>
      <c r="T967" s="2"/>
      <c r="U967" s="2"/>
      <c r="V967" s="2"/>
      <c r="W967" s="2"/>
      <c r="X967" s="6"/>
      <c r="Y967" s="2"/>
      <c r="Z967" s="2"/>
      <c r="AA967" s="2"/>
      <c r="AB967" s="2"/>
      <c r="AC967" s="6"/>
      <c r="AD967" s="2"/>
      <c r="AE967" s="2"/>
      <c r="AF967" s="2"/>
      <c r="AG967" s="2"/>
      <c r="AH967" s="2"/>
      <c r="AI967" s="6"/>
      <c r="AJ967" s="2"/>
      <c r="AK967" s="56"/>
      <c r="AL967" s="2"/>
      <c r="AM967" s="2"/>
      <c r="AN967" s="2"/>
      <c r="AO967" s="2"/>
      <c r="AP967" s="6"/>
      <c r="AQ967" s="2"/>
      <c r="AR967" s="2"/>
      <c r="AS967" s="2"/>
      <c r="AT967" s="2"/>
      <c r="AU967" s="2"/>
      <c r="AV967" s="2"/>
      <c r="AW967" s="2"/>
      <c r="AX967" s="6"/>
      <c r="AY967" s="2"/>
      <c r="AZ967" s="2"/>
      <c r="BA967" s="2"/>
      <c r="BB967" s="2"/>
      <c r="BC967" s="2"/>
      <c r="BD967" s="6"/>
      <c r="BE967" s="2"/>
      <c r="BF967" s="6"/>
      <c r="BG967" s="58"/>
      <c r="BH967" s="6"/>
      <c r="BI967" s="2"/>
    </row>
    <row r="968" ht="12.75" customHeight="1">
      <c r="A968" s="71"/>
      <c r="B968" s="71"/>
      <c r="C968" s="11"/>
      <c r="D968" s="11"/>
      <c r="E968" s="2"/>
      <c r="F968" s="2"/>
      <c r="G968" s="2"/>
      <c r="H968" s="54"/>
      <c r="I968" s="4"/>
      <c r="J968" s="2"/>
      <c r="K968" s="2"/>
      <c r="L968" s="5"/>
      <c r="M968" s="5"/>
      <c r="N968" s="5"/>
      <c r="O968" s="5"/>
      <c r="P968" s="5"/>
      <c r="Q968" s="5"/>
      <c r="R968" s="2"/>
      <c r="S968" s="2"/>
      <c r="T968" s="2"/>
      <c r="U968" s="2"/>
      <c r="V968" s="2"/>
      <c r="W968" s="2"/>
      <c r="X968" s="6"/>
      <c r="Y968" s="2"/>
      <c r="Z968" s="2"/>
      <c r="AA968" s="2"/>
      <c r="AB968" s="2"/>
      <c r="AC968" s="6"/>
      <c r="AD968" s="2"/>
      <c r="AE968" s="2"/>
      <c r="AF968" s="2"/>
      <c r="AG968" s="2"/>
      <c r="AH968" s="2"/>
      <c r="AI968" s="6"/>
      <c r="AJ968" s="2"/>
      <c r="AK968" s="56"/>
      <c r="AL968" s="2"/>
      <c r="AM968" s="2"/>
      <c r="AN968" s="2"/>
      <c r="AO968" s="2"/>
      <c r="AP968" s="6"/>
      <c r="AQ968" s="2"/>
      <c r="AR968" s="2"/>
      <c r="AS968" s="2"/>
      <c r="AT968" s="2"/>
      <c r="AU968" s="2"/>
      <c r="AV968" s="2"/>
      <c r="AW968" s="2"/>
      <c r="AX968" s="6"/>
      <c r="AY968" s="2"/>
      <c r="AZ968" s="2"/>
      <c r="BA968" s="2"/>
      <c r="BB968" s="2"/>
      <c r="BC968" s="2"/>
      <c r="BD968" s="6"/>
      <c r="BE968" s="2"/>
      <c r="BF968" s="6"/>
      <c r="BG968" s="58"/>
      <c r="BH968" s="6"/>
      <c r="BI968" s="2"/>
    </row>
    <row r="969" ht="12.75" customHeight="1">
      <c r="A969" s="71"/>
      <c r="B969" s="71"/>
      <c r="C969" s="11"/>
      <c r="D969" s="11"/>
      <c r="E969" s="2"/>
      <c r="F969" s="2"/>
      <c r="G969" s="2"/>
      <c r="H969" s="54"/>
      <c r="I969" s="4"/>
      <c r="J969" s="2"/>
      <c r="K969" s="2"/>
      <c r="L969" s="5"/>
      <c r="M969" s="5"/>
      <c r="N969" s="5"/>
      <c r="O969" s="5"/>
      <c r="P969" s="5"/>
      <c r="Q969" s="5"/>
      <c r="R969" s="2"/>
      <c r="S969" s="2"/>
      <c r="T969" s="2"/>
      <c r="U969" s="2"/>
      <c r="V969" s="2"/>
      <c r="W969" s="2"/>
      <c r="X969" s="6"/>
      <c r="Y969" s="2"/>
      <c r="Z969" s="2"/>
      <c r="AA969" s="2"/>
      <c r="AB969" s="2"/>
      <c r="AC969" s="6"/>
      <c r="AD969" s="2"/>
      <c r="AE969" s="2"/>
      <c r="AF969" s="2"/>
      <c r="AG969" s="2"/>
      <c r="AH969" s="2"/>
      <c r="AI969" s="6"/>
      <c r="AJ969" s="2"/>
      <c r="AK969" s="56"/>
      <c r="AL969" s="2"/>
      <c r="AM969" s="2"/>
      <c r="AN969" s="2"/>
      <c r="AO969" s="2"/>
      <c r="AP969" s="6"/>
      <c r="AQ969" s="2"/>
      <c r="AR969" s="2"/>
      <c r="AS969" s="2"/>
      <c r="AT969" s="2"/>
      <c r="AU969" s="2"/>
      <c r="AV969" s="2"/>
      <c r="AW969" s="2"/>
      <c r="AX969" s="6"/>
      <c r="AY969" s="2"/>
      <c r="AZ969" s="2"/>
      <c r="BA969" s="2"/>
      <c r="BB969" s="2"/>
      <c r="BC969" s="2"/>
      <c r="BD969" s="6"/>
      <c r="BE969" s="2"/>
      <c r="BF969" s="6"/>
      <c r="BG969" s="58"/>
      <c r="BH969" s="6"/>
      <c r="BI969" s="2"/>
    </row>
    <row r="970" ht="12.75" customHeight="1">
      <c r="A970" s="71"/>
      <c r="B970" s="71"/>
      <c r="C970" s="11"/>
      <c r="D970" s="11"/>
      <c r="E970" s="2"/>
      <c r="F970" s="2"/>
      <c r="G970" s="2"/>
      <c r="H970" s="54"/>
      <c r="I970" s="4"/>
      <c r="J970" s="2"/>
      <c r="K970" s="2"/>
      <c r="L970" s="5"/>
      <c r="M970" s="5"/>
      <c r="N970" s="5"/>
      <c r="O970" s="5"/>
      <c r="P970" s="5"/>
      <c r="Q970" s="5"/>
      <c r="R970" s="2"/>
      <c r="S970" s="2"/>
      <c r="T970" s="2"/>
      <c r="U970" s="2"/>
      <c r="V970" s="2"/>
      <c r="W970" s="2"/>
      <c r="X970" s="6"/>
      <c r="Y970" s="2"/>
      <c r="Z970" s="2"/>
      <c r="AA970" s="2"/>
      <c r="AB970" s="2"/>
      <c r="AC970" s="6"/>
      <c r="AD970" s="2"/>
      <c r="AE970" s="2"/>
      <c r="AF970" s="2"/>
      <c r="AG970" s="2"/>
      <c r="AH970" s="2"/>
      <c r="AI970" s="6"/>
      <c r="AJ970" s="2"/>
      <c r="AK970" s="56"/>
      <c r="AL970" s="2"/>
      <c r="AM970" s="2"/>
      <c r="AN970" s="2"/>
      <c r="AO970" s="2"/>
      <c r="AP970" s="6"/>
      <c r="AQ970" s="2"/>
      <c r="AR970" s="2"/>
      <c r="AS970" s="2"/>
      <c r="AT970" s="2"/>
      <c r="AU970" s="2"/>
      <c r="AV970" s="2"/>
      <c r="AW970" s="2"/>
      <c r="AX970" s="6"/>
      <c r="AY970" s="2"/>
      <c r="AZ970" s="2"/>
      <c r="BA970" s="2"/>
      <c r="BB970" s="2"/>
      <c r="BC970" s="2"/>
      <c r="BD970" s="6"/>
      <c r="BE970" s="2"/>
      <c r="BF970" s="6"/>
      <c r="BG970" s="58"/>
      <c r="BH970" s="6"/>
      <c r="BI970" s="2"/>
    </row>
    <row r="971" ht="12.75" customHeight="1">
      <c r="A971" s="71"/>
      <c r="B971" s="71"/>
      <c r="C971" s="11"/>
      <c r="D971" s="11"/>
      <c r="E971" s="2"/>
      <c r="F971" s="2"/>
      <c r="G971" s="2"/>
      <c r="H971" s="54"/>
      <c r="I971" s="4"/>
      <c r="J971" s="2"/>
      <c r="K971" s="2"/>
      <c r="L971" s="5"/>
      <c r="M971" s="5"/>
      <c r="N971" s="5"/>
      <c r="O971" s="5"/>
      <c r="P971" s="5"/>
      <c r="Q971" s="5"/>
      <c r="R971" s="2"/>
      <c r="S971" s="2"/>
      <c r="T971" s="2"/>
      <c r="U971" s="2"/>
      <c r="V971" s="2"/>
      <c r="W971" s="2"/>
      <c r="X971" s="6"/>
      <c r="Y971" s="2"/>
      <c r="Z971" s="2"/>
      <c r="AA971" s="2"/>
      <c r="AB971" s="2"/>
      <c r="AC971" s="6"/>
      <c r="AD971" s="2"/>
      <c r="AE971" s="2"/>
      <c r="AF971" s="2"/>
      <c r="AG971" s="2"/>
      <c r="AH971" s="2"/>
      <c r="AI971" s="6"/>
      <c r="AJ971" s="2"/>
      <c r="AK971" s="56"/>
      <c r="AL971" s="2"/>
      <c r="AM971" s="2"/>
      <c r="AN971" s="2"/>
      <c r="AO971" s="2"/>
      <c r="AP971" s="6"/>
      <c r="AQ971" s="2"/>
      <c r="AR971" s="2"/>
      <c r="AS971" s="2"/>
      <c r="AT971" s="2"/>
      <c r="AU971" s="2"/>
      <c r="AV971" s="2"/>
      <c r="AW971" s="2"/>
      <c r="AX971" s="6"/>
      <c r="AY971" s="2"/>
      <c r="AZ971" s="2"/>
      <c r="BA971" s="2"/>
      <c r="BB971" s="2"/>
      <c r="BC971" s="2"/>
      <c r="BD971" s="6"/>
      <c r="BE971" s="2"/>
      <c r="BF971" s="6"/>
      <c r="BG971" s="58"/>
      <c r="BH971" s="6"/>
      <c r="BI971" s="2"/>
    </row>
    <row r="972" ht="12.75" customHeight="1">
      <c r="A972" s="71"/>
      <c r="B972" s="71"/>
      <c r="C972" s="11"/>
      <c r="D972" s="11"/>
      <c r="E972" s="2"/>
      <c r="F972" s="2"/>
      <c r="G972" s="2"/>
      <c r="H972" s="54"/>
      <c r="I972" s="4"/>
      <c r="J972" s="2"/>
      <c r="K972" s="2"/>
      <c r="L972" s="5"/>
      <c r="M972" s="5"/>
      <c r="N972" s="5"/>
      <c r="O972" s="5"/>
      <c r="P972" s="5"/>
      <c r="Q972" s="5"/>
      <c r="R972" s="2"/>
      <c r="S972" s="2"/>
      <c r="T972" s="2"/>
      <c r="U972" s="2"/>
      <c r="V972" s="2"/>
      <c r="W972" s="2"/>
      <c r="X972" s="6"/>
      <c r="Y972" s="2"/>
      <c r="Z972" s="2"/>
      <c r="AA972" s="2"/>
      <c r="AB972" s="2"/>
      <c r="AC972" s="6"/>
      <c r="AD972" s="2"/>
      <c r="AE972" s="2"/>
      <c r="AF972" s="2"/>
      <c r="AG972" s="2"/>
      <c r="AH972" s="2"/>
      <c r="AI972" s="6"/>
      <c r="AJ972" s="2"/>
      <c r="AK972" s="56"/>
      <c r="AL972" s="2"/>
      <c r="AM972" s="2"/>
      <c r="AN972" s="2"/>
      <c r="AO972" s="2"/>
      <c r="AP972" s="6"/>
      <c r="AQ972" s="2"/>
      <c r="AR972" s="2"/>
      <c r="AS972" s="2"/>
      <c r="AT972" s="2"/>
      <c r="AU972" s="2"/>
      <c r="AV972" s="2"/>
      <c r="AW972" s="2"/>
      <c r="AX972" s="6"/>
      <c r="AY972" s="2"/>
      <c r="AZ972" s="2"/>
      <c r="BA972" s="2"/>
      <c r="BB972" s="2"/>
      <c r="BC972" s="2"/>
      <c r="BD972" s="6"/>
      <c r="BE972" s="2"/>
      <c r="BF972" s="6"/>
      <c r="BG972" s="58"/>
      <c r="BH972" s="6"/>
      <c r="BI972" s="2"/>
    </row>
    <row r="973" ht="12.75" customHeight="1">
      <c r="A973" s="71"/>
      <c r="B973" s="71"/>
      <c r="C973" s="11"/>
      <c r="D973" s="11"/>
      <c r="E973" s="2"/>
      <c r="F973" s="2"/>
      <c r="G973" s="2"/>
      <c r="H973" s="54"/>
      <c r="I973" s="4"/>
      <c r="J973" s="2"/>
      <c r="K973" s="2"/>
      <c r="L973" s="5"/>
      <c r="M973" s="5"/>
      <c r="N973" s="5"/>
      <c r="O973" s="5"/>
      <c r="P973" s="5"/>
      <c r="Q973" s="5"/>
      <c r="R973" s="2"/>
      <c r="S973" s="2"/>
      <c r="T973" s="2"/>
      <c r="U973" s="2"/>
      <c r="V973" s="2"/>
      <c r="W973" s="2"/>
      <c r="X973" s="6"/>
      <c r="Y973" s="2"/>
      <c r="Z973" s="2"/>
      <c r="AA973" s="2"/>
      <c r="AB973" s="2"/>
      <c r="AC973" s="6"/>
      <c r="AD973" s="2"/>
      <c r="AE973" s="2"/>
      <c r="AF973" s="2"/>
      <c r="AG973" s="2"/>
      <c r="AH973" s="2"/>
      <c r="AI973" s="6"/>
      <c r="AJ973" s="2"/>
      <c r="AK973" s="56"/>
      <c r="AL973" s="2"/>
      <c r="AM973" s="2"/>
      <c r="AN973" s="2"/>
      <c r="AO973" s="2"/>
      <c r="AP973" s="6"/>
      <c r="AQ973" s="2"/>
      <c r="AR973" s="2"/>
      <c r="AS973" s="2"/>
      <c r="AT973" s="2"/>
      <c r="AU973" s="2"/>
      <c r="AV973" s="2"/>
      <c r="AW973" s="2"/>
      <c r="AX973" s="6"/>
      <c r="AY973" s="2"/>
      <c r="AZ973" s="2"/>
      <c r="BA973" s="2"/>
      <c r="BB973" s="2"/>
      <c r="BC973" s="2"/>
      <c r="BD973" s="6"/>
      <c r="BE973" s="2"/>
      <c r="BF973" s="6"/>
      <c r="BG973" s="58"/>
      <c r="BH973" s="6"/>
      <c r="BI973" s="2"/>
    </row>
    <row r="974" ht="12.75" customHeight="1">
      <c r="A974" s="71"/>
      <c r="B974" s="71"/>
      <c r="C974" s="11"/>
      <c r="D974" s="11"/>
      <c r="E974" s="2"/>
      <c r="F974" s="2"/>
      <c r="G974" s="2"/>
      <c r="H974" s="54"/>
      <c r="I974" s="4"/>
      <c r="J974" s="2"/>
      <c r="K974" s="2"/>
      <c r="L974" s="5"/>
      <c r="M974" s="5"/>
      <c r="N974" s="5"/>
      <c r="O974" s="5"/>
      <c r="P974" s="5"/>
      <c r="Q974" s="5"/>
      <c r="R974" s="2"/>
      <c r="S974" s="2"/>
      <c r="T974" s="2"/>
      <c r="U974" s="2"/>
      <c r="V974" s="2"/>
      <c r="W974" s="2"/>
      <c r="X974" s="6"/>
      <c r="Y974" s="2"/>
      <c r="Z974" s="2"/>
      <c r="AA974" s="2"/>
      <c r="AB974" s="2"/>
      <c r="AC974" s="6"/>
      <c r="AD974" s="2"/>
      <c r="AE974" s="2"/>
      <c r="AF974" s="2"/>
      <c r="AG974" s="2"/>
      <c r="AH974" s="2"/>
      <c r="AI974" s="6"/>
      <c r="AJ974" s="2"/>
      <c r="AK974" s="56"/>
      <c r="AL974" s="2"/>
      <c r="AM974" s="2"/>
      <c r="AN974" s="2"/>
      <c r="AO974" s="2"/>
      <c r="AP974" s="6"/>
      <c r="AQ974" s="2"/>
      <c r="AR974" s="2"/>
      <c r="AS974" s="2"/>
      <c r="AT974" s="2"/>
      <c r="AU974" s="2"/>
      <c r="AV974" s="2"/>
      <c r="AW974" s="2"/>
      <c r="AX974" s="6"/>
      <c r="AY974" s="2"/>
      <c r="AZ974" s="2"/>
      <c r="BA974" s="2"/>
      <c r="BB974" s="2"/>
      <c r="BC974" s="2"/>
      <c r="BD974" s="6"/>
      <c r="BE974" s="2"/>
      <c r="BF974" s="6"/>
      <c r="BG974" s="58"/>
      <c r="BH974" s="6"/>
      <c r="BI974" s="2"/>
    </row>
    <row r="975" ht="12.75" customHeight="1">
      <c r="A975" s="71"/>
      <c r="B975" s="71"/>
      <c r="C975" s="11"/>
      <c r="D975" s="11"/>
      <c r="E975" s="2"/>
      <c r="F975" s="2"/>
      <c r="G975" s="2"/>
      <c r="H975" s="54"/>
      <c r="I975" s="4"/>
      <c r="J975" s="2"/>
      <c r="K975" s="2"/>
      <c r="L975" s="5"/>
      <c r="M975" s="5"/>
      <c r="N975" s="5"/>
      <c r="O975" s="5"/>
      <c r="P975" s="5"/>
      <c r="Q975" s="5"/>
      <c r="R975" s="2"/>
      <c r="S975" s="2"/>
      <c r="T975" s="2"/>
      <c r="U975" s="2"/>
      <c r="V975" s="2"/>
      <c r="W975" s="2"/>
      <c r="X975" s="6"/>
      <c r="Y975" s="2"/>
      <c r="Z975" s="2"/>
      <c r="AA975" s="2"/>
      <c r="AB975" s="2"/>
      <c r="AC975" s="6"/>
      <c r="AD975" s="2"/>
      <c r="AE975" s="2"/>
      <c r="AF975" s="2"/>
      <c r="AG975" s="2"/>
      <c r="AH975" s="2"/>
      <c r="AI975" s="6"/>
      <c r="AJ975" s="2"/>
      <c r="AK975" s="56"/>
      <c r="AL975" s="2"/>
      <c r="AM975" s="2"/>
      <c r="AN975" s="2"/>
      <c r="AO975" s="2"/>
      <c r="AP975" s="6"/>
      <c r="AQ975" s="2"/>
      <c r="AR975" s="2"/>
      <c r="AS975" s="2"/>
      <c r="AT975" s="2"/>
      <c r="AU975" s="2"/>
      <c r="AV975" s="2"/>
      <c r="AW975" s="2"/>
      <c r="AX975" s="6"/>
      <c r="AY975" s="2"/>
      <c r="AZ975" s="2"/>
      <c r="BA975" s="2"/>
      <c r="BB975" s="2"/>
      <c r="BC975" s="2"/>
      <c r="BD975" s="6"/>
      <c r="BE975" s="2"/>
      <c r="BF975" s="6"/>
      <c r="BG975" s="58"/>
      <c r="BH975" s="6"/>
      <c r="BI975" s="2"/>
    </row>
    <row r="976" ht="12.75" customHeight="1">
      <c r="A976" s="71"/>
      <c r="B976" s="71"/>
      <c r="C976" s="11"/>
      <c r="D976" s="11"/>
      <c r="E976" s="2"/>
      <c r="F976" s="2"/>
      <c r="G976" s="2"/>
      <c r="H976" s="54"/>
      <c r="I976" s="4"/>
      <c r="J976" s="2"/>
      <c r="K976" s="2"/>
      <c r="L976" s="5"/>
      <c r="M976" s="5"/>
      <c r="N976" s="5"/>
      <c r="O976" s="5"/>
      <c r="P976" s="5"/>
      <c r="Q976" s="5"/>
      <c r="R976" s="2"/>
      <c r="S976" s="2"/>
      <c r="T976" s="2"/>
      <c r="U976" s="2"/>
      <c r="V976" s="2"/>
      <c r="W976" s="2"/>
      <c r="X976" s="6"/>
      <c r="Y976" s="2"/>
      <c r="Z976" s="2"/>
      <c r="AA976" s="2"/>
      <c r="AB976" s="2"/>
      <c r="AC976" s="6"/>
      <c r="AD976" s="2"/>
      <c r="AE976" s="2"/>
      <c r="AF976" s="2"/>
      <c r="AG976" s="2"/>
      <c r="AH976" s="2"/>
      <c r="AI976" s="6"/>
      <c r="AJ976" s="2"/>
      <c r="AK976" s="56"/>
      <c r="AL976" s="2"/>
      <c r="AM976" s="2"/>
      <c r="AN976" s="2"/>
      <c r="AO976" s="2"/>
      <c r="AP976" s="6"/>
      <c r="AQ976" s="2"/>
      <c r="AR976" s="2"/>
      <c r="AS976" s="2"/>
      <c r="AT976" s="2"/>
      <c r="AU976" s="2"/>
      <c r="AV976" s="2"/>
      <c r="AW976" s="2"/>
      <c r="AX976" s="6"/>
      <c r="AY976" s="2"/>
      <c r="AZ976" s="2"/>
      <c r="BA976" s="2"/>
      <c r="BB976" s="2"/>
      <c r="BC976" s="2"/>
      <c r="BD976" s="6"/>
      <c r="BE976" s="2"/>
      <c r="BF976" s="6"/>
      <c r="BG976" s="58"/>
      <c r="BH976" s="6"/>
      <c r="BI976" s="2"/>
    </row>
    <row r="977" ht="12.75" customHeight="1">
      <c r="A977" s="71"/>
      <c r="B977" s="71"/>
      <c r="C977" s="11"/>
      <c r="D977" s="11"/>
      <c r="E977" s="2"/>
      <c r="F977" s="2"/>
      <c r="G977" s="2"/>
      <c r="H977" s="54"/>
      <c r="I977" s="4"/>
      <c r="J977" s="2"/>
      <c r="K977" s="2"/>
      <c r="L977" s="5"/>
      <c r="M977" s="5"/>
      <c r="N977" s="5"/>
      <c r="O977" s="5"/>
      <c r="P977" s="5"/>
      <c r="Q977" s="5"/>
      <c r="R977" s="2"/>
      <c r="S977" s="2"/>
      <c r="T977" s="2"/>
      <c r="U977" s="2"/>
      <c r="V977" s="2"/>
      <c r="W977" s="2"/>
      <c r="X977" s="6"/>
      <c r="Y977" s="2"/>
      <c r="Z977" s="2"/>
      <c r="AA977" s="2"/>
      <c r="AB977" s="2"/>
      <c r="AC977" s="6"/>
      <c r="AD977" s="2"/>
      <c r="AE977" s="2"/>
      <c r="AF977" s="2"/>
      <c r="AG977" s="2"/>
      <c r="AH977" s="2"/>
      <c r="AI977" s="6"/>
      <c r="AJ977" s="2"/>
      <c r="AK977" s="56"/>
      <c r="AL977" s="2"/>
      <c r="AM977" s="2"/>
      <c r="AN977" s="2"/>
      <c r="AO977" s="2"/>
      <c r="AP977" s="6"/>
      <c r="AQ977" s="2"/>
      <c r="AR977" s="2"/>
      <c r="AS977" s="2"/>
      <c r="AT977" s="2"/>
      <c r="AU977" s="2"/>
      <c r="AV977" s="2"/>
      <c r="AW977" s="2"/>
      <c r="AX977" s="6"/>
      <c r="AY977" s="2"/>
      <c r="AZ977" s="2"/>
      <c r="BA977" s="2"/>
      <c r="BB977" s="2"/>
      <c r="BC977" s="2"/>
      <c r="BD977" s="6"/>
      <c r="BE977" s="2"/>
      <c r="BF977" s="6"/>
      <c r="BG977" s="58"/>
      <c r="BH977" s="6"/>
      <c r="BI977" s="2"/>
    </row>
    <row r="978" ht="12.75" customHeight="1">
      <c r="A978" s="71"/>
      <c r="B978" s="71"/>
      <c r="C978" s="11"/>
      <c r="D978" s="11"/>
      <c r="E978" s="2"/>
      <c r="F978" s="2"/>
      <c r="G978" s="2"/>
      <c r="H978" s="54"/>
      <c r="I978" s="4"/>
      <c r="J978" s="2"/>
      <c r="K978" s="2"/>
      <c r="L978" s="5"/>
      <c r="M978" s="5"/>
      <c r="N978" s="5"/>
      <c r="O978" s="5"/>
      <c r="P978" s="5"/>
      <c r="Q978" s="5"/>
      <c r="R978" s="2"/>
      <c r="S978" s="2"/>
      <c r="T978" s="2"/>
      <c r="U978" s="2"/>
      <c r="V978" s="2"/>
      <c r="W978" s="2"/>
      <c r="X978" s="6"/>
      <c r="Y978" s="2"/>
      <c r="Z978" s="2"/>
      <c r="AA978" s="2"/>
      <c r="AB978" s="2"/>
      <c r="AC978" s="6"/>
      <c r="AD978" s="2"/>
      <c r="AE978" s="2"/>
      <c r="AF978" s="2"/>
      <c r="AG978" s="2"/>
      <c r="AH978" s="2"/>
      <c r="AI978" s="6"/>
      <c r="AJ978" s="2"/>
      <c r="AK978" s="56"/>
      <c r="AL978" s="2"/>
      <c r="AM978" s="2"/>
      <c r="AN978" s="2"/>
      <c r="AO978" s="2"/>
      <c r="AP978" s="6"/>
      <c r="AQ978" s="2"/>
      <c r="AR978" s="2"/>
      <c r="AS978" s="2"/>
      <c r="AT978" s="2"/>
      <c r="AU978" s="2"/>
      <c r="AV978" s="2"/>
      <c r="AW978" s="2"/>
      <c r="AX978" s="6"/>
      <c r="AY978" s="2"/>
      <c r="AZ978" s="2"/>
      <c r="BA978" s="2"/>
      <c r="BB978" s="2"/>
      <c r="BC978" s="2"/>
      <c r="BD978" s="6"/>
      <c r="BE978" s="2"/>
      <c r="BF978" s="6"/>
      <c r="BG978" s="58"/>
      <c r="BH978" s="6"/>
      <c r="BI978" s="2"/>
    </row>
    <row r="979" ht="12.75" customHeight="1">
      <c r="A979" s="71"/>
      <c r="B979" s="71"/>
      <c r="C979" s="11"/>
      <c r="D979" s="11"/>
      <c r="E979" s="2"/>
      <c r="F979" s="2"/>
      <c r="G979" s="2"/>
      <c r="H979" s="54"/>
      <c r="I979" s="4"/>
      <c r="J979" s="2"/>
      <c r="K979" s="2"/>
      <c r="L979" s="5"/>
      <c r="M979" s="5"/>
      <c r="N979" s="5"/>
      <c r="O979" s="5"/>
      <c r="P979" s="5"/>
      <c r="Q979" s="5"/>
      <c r="R979" s="2"/>
      <c r="S979" s="2"/>
      <c r="T979" s="2"/>
      <c r="U979" s="2"/>
      <c r="V979" s="2"/>
      <c r="W979" s="2"/>
      <c r="X979" s="6"/>
      <c r="Y979" s="2"/>
      <c r="Z979" s="2"/>
      <c r="AA979" s="2"/>
      <c r="AB979" s="2"/>
      <c r="AC979" s="6"/>
      <c r="AD979" s="2"/>
      <c r="AE979" s="2"/>
      <c r="AF979" s="2"/>
      <c r="AG979" s="2"/>
      <c r="AH979" s="2"/>
      <c r="AI979" s="6"/>
      <c r="AJ979" s="2"/>
      <c r="AK979" s="56"/>
      <c r="AL979" s="2"/>
      <c r="AM979" s="2"/>
      <c r="AN979" s="2"/>
      <c r="AO979" s="2"/>
      <c r="AP979" s="6"/>
      <c r="AQ979" s="2"/>
      <c r="AR979" s="2"/>
      <c r="AS979" s="2"/>
      <c r="AT979" s="2"/>
      <c r="AU979" s="2"/>
      <c r="AV979" s="2"/>
      <c r="AW979" s="2"/>
      <c r="AX979" s="6"/>
      <c r="AY979" s="2"/>
      <c r="AZ979" s="2"/>
      <c r="BA979" s="2"/>
      <c r="BB979" s="2"/>
      <c r="BC979" s="2"/>
      <c r="BD979" s="6"/>
      <c r="BE979" s="2"/>
      <c r="BF979" s="6"/>
      <c r="BG979" s="58"/>
      <c r="BH979" s="6"/>
      <c r="BI979" s="2"/>
    </row>
    <row r="980" ht="12.75" customHeight="1">
      <c r="A980" s="71"/>
      <c r="B980" s="71"/>
      <c r="C980" s="11"/>
      <c r="D980" s="11"/>
      <c r="E980" s="2"/>
      <c r="F980" s="2"/>
      <c r="G980" s="2"/>
      <c r="H980" s="54"/>
      <c r="I980" s="4"/>
      <c r="J980" s="2"/>
      <c r="K980" s="2"/>
      <c r="L980" s="5"/>
      <c r="M980" s="5"/>
      <c r="N980" s="5"/>
      <c r="O980" s="5"/>
      <c r="P980" s="5"/>
      <c r="Q980" s="5"/>
      <c r="R980" s="2"/>
      <c r="S980" s="2"/>
      <c r="T980" s="2"/>
      <c r="U980" s="2"/>
      <c r="V980" s="2"/>
      <c r="W980" s="2"/>
      <c r="X980" s="6"/>
      <c r="Y980" s="2"/>
      <c r="Z980" s="2"/>
      <c r="AA980" s="2"/>
      <c r="AB980" s="2"/>
      <c r="AC980" s="6"/>
      <c r="AD980" s="2"/>
      <c r="AE980" s="2"/>
      <c r="AF980" s="2"/>
      <c r="AG980" s="2"/>
      <c r="AH980" s="2"/>
      <c r="AI980" s="6"/>
      <c r="AJ980" s="2"/>
      <c r="AK980" s="56"/>
      <c r="AL980" s="2"/>
      <c r="AM980" s="2"/>
      <c r="AN980" s="2"/>
      <c r="AO980" s="2"/>
      <c r="AP980" s="6"/>
      <c r="AQ980" s="2"/>
      <c r="AR980" s="2"/>
      <c r="AS980" s="2"/>
      <c r="AT980" s="2"/>
      <c r="AU980" s="2"/>
      <c r="AV980" s="2"/>
      <c r="AW980" s="2"/>
      <c r="AX980" s="6"/>
      <c r="AY980" s="2"/>
      <c r="AZ980" s="2"/>
      <c r="BA980" s="2"/>
      <c r="BB980" s="2"/>
      <c r="BC980" s="2"/>
      <c r="BD980" s="6"/>
      <c r="BE980" s="2"/>
      <c r="BF980" s="6"/>
      <c r="BG980" s="58"/>
      <c r="BH980" s="6"/>
      <c r="BI980" s="2"/>
    </row>
    <row r="981" ht="12.75" customHeight="1">
      <c r="A981" s="71"/>
      <c r="B981" s="71"/>
      <c r="C981" s="11"/>
      <c r="D981" s="11"/>
      <c r="E981" s="2"/>
      <c r="F981" s="2"/>
      <c r="G981" s="2"/>
      <c r="H981" s="54"/>
      <c r="I981" s="4"/>
      <c r="J981" s="2"/>
      <c r="K981" s="2"/>
      <c r="L981" s="5"/>
      <c r="M981" s="5"/>
      <c r="N981" s="5"/>
      <c r="O981" s="5"/>
      <c r="P981" s="5"/>
      <c r="Q981" s="5"/>
      <c r="R981" s="2"/>
      <c r="S981" s="2"/>
      <c r="T981" s="2"/>
      <c r="U981" s="2"/>
      <c r="V981" s="2"/>
      <c r="W981" s="2"/>
      <c r="X981" s="6"/>
      <c r="Y981" s="2"/>
      <c r="Z981" s="2"/>
      <c r="AA981" s="2"/>
      <c r="AB981" s="2"/>
      <c r="AC981" s="6"/>
      <c r="AD981" s="2"/>
      <c r="AE981" s="2"/>
      <c r="AF981" s="2"/>
      <c r="AG981" s="2"/>
      <c r="AH981" s="2"/>
      <c r="AI981" s="6"/>
      <c r="AJ981" s="2"/>
      <c r="AK981" s="56"/>
      <c r="AL981" s="2"/>
      <c r="AM981" s="2"/>
      <c r="AN981" s="2"/>
      <c r="AO981" s="2"/>
      <c r="AP981" s="6"/>
      <c r="AQ981" s="2"/>
      <c r="AR981" s="2"/>
      <c r="AS981" s="2"/>
      <c r="AT981" s="2"/>
      <c r="AU981" s="2"/>
      <c r="AV981" s="2"/>
      <c r="AW981" s="2"/>
      <c r="AX981" s="6"/>
      <c r="AY981" s="2"/>
      <c r="AZ981" s="2"/>
      <c r="BA981" s="2"/>
      <c r="BB981" s="2"/>
      <c r="BC981" s="2"/>
      <c r="BD981" s="6"/>
      <c r="BE981" s="2"/>
      <c r="BF981" s="6"/>
      <c r="BG981" s="58"/>
      <c r="BH981" s="6"/>
      <c r="BI981" s="2"/>
    </row>
    <row r="982" ht="12.75" customHeight="1">
      <c r="A982" s="71"/>
      <c r="B982" s="71"/>
      <c r="C982" s="11"/>
      <c r="D982" s="11"/>
      <c r="E982" s="2"/>
      <c r="F982" s="2"/>
      <c r="G982" s="2"/>
      <c r="H982" s="54"/>
      <c r="I982" s="4"/>
      <c r="J982" s="2"/>
      <c r="K982" s="2"/>
      <c r="L982" s="5"/>
      <c r="M982" s="5"/>
      <c r="N982" s="5"/>
      <c r="O982" s="5"/>
      <c r="P982" s="5"/>
      <c r="Q982" s="5"/>
      <c r="R982" s="2"/>
      <c r="S982" s="2"/>
      <c r="T982" s="2"/>
      <c r="U982" s="2"/>
      <c r="V982" s="2"/>
      <c r="W982" s="2"/>
      <c r="X982" s="6"/>
      <c r="Y982" s="2"/>
      <c r="Z982" s="2"/>
      <c r="AA982" s="2"/>
      <c r="AB982" s="2"/>
      <c r="AC982" s="6"/>
      <c r="AD982" s="2"/>
      <c r="AE982" s="2"/>
      <c r="AF982" s="2"/>
      <c r="AG982" s="2"/>
      <c r="AH982" s="2"/>
      <c r="AI982" s="6"/>
      <c r="AJ982" s="2"/>
      <c r="AK982" s="56"/>
      <c r="AL982" s="2"/>
      <c r="AM982" s="2"/>
      <c r="AN982" s="2"/>
      <c r="AO982" s="2"/>
      <c r="AP982" s="6"/>
      <c r="AQ982" s="2"/>
      <c r="AR982" s="2"/>
      <c r="AS982" s="2"/>
      <c r="AT982" s="2"/>
      <c r="AU982" s="2"/>
      <c r="AV982" s="2"/>
      <c r="AW982" s="2"/>
      <c r="AX982" s="6"/>
      <c r="AY982" s="2"/>
      <c r="AZ982" s="2"/>
      <c r="BA982" s="2"/>
      <c r="BB982" s="2"/>
      <c r="BC982" s="2"/>
      <c r="BD982" s="6"/>
      <c r="BE982" s="2"/>
      <c r="BF982" s="6"/>
      <c r="BG982" s="58"/>
      <c r="BH982" s="6"/>
      <c r="BI982" s="2"/>
    </row>
    <row r="983" ht="12.75" customHeight="1">
      <c r="A983" s="71"/>
      <c r="B983" s="71"/>
      <c r="C983" s="11"/>
      <c r="D983" s="11"/>
      <c r="E983" s="2"/>
      <c r="F983" s="2"/>
      <c r="G983" s="2"/>
      <c r="H983" s="54"/>
      <c r="I983" s="4"/>
      <c r="J983" s="2"/>
      <c r="K983" s="2"/>
      <c r="L983" s="5"/>
      <c r="M983" s="5"/>
      <c r="N983" s="5"/>
      <c r="O983" s="5"/>
      <c r="P983" s="5"/>
      <c r="Q983" s="5"/>
      <c r="R983" s="2"/>
      <c r="S983" s="2"/>
      <c r="T983" s="2"/>
      <c r="U983" s="2"/>
      <c r="V983" s="2"/>
      <c r="W983" s="2"/>
      <c r="X983" s="6"/>
      <c r="Y983" s="2"/>
      <c r="Z983" s="2"/>
      <c r="AA983" s="2"/>
      <c r="AB983" s="2"/>
      <c r="AC983" s="6"/>
      <c r="AD983" s="2"/>
      <c r="AE983" s="2"/>
      <c r="AF983" s="2"/>
      <c r="AG983" s="2"/>
      <c r="AH983" s="2"/>
      <c r="AI983" s="6"/>
      <c r="AJ983" s="2"/>
      <c r="AK983" s="56"/>
      <c r="AL983" s="2"/>
      <c r="AM983" s="2"/>
      <c r="AN983" s="2"/>
      <c r="AO983" s="2"/>
      <c r="AP983" s="6"/>
      <c r="AQ983" s="2"/>
      <c r="AR983" s="2"/>
      <c r="AS983" s="2"/>
      <c r="AT983" s="2"/>
      <c r="AU983" s="2"/>
      <c r="AV983" s="2"/>
      <c r="AW983" s="2"/>
      <c r="AX983" s="6"/>
      <c r="AY983" s="2"/>
      <c r="AZ983" s="2"/>
      <c r="BA983" s="2"/>
      <c r="BB983" s="2"/>
      <c r="BC983" s="2"/>
      <c r="BD983" s="6"/>
      <c r="BE983" s="2"/>
      <c r="BF983" s="6"/>
      <c r="BG983" s="58"/>
      <c r="BH983" s="6"/>
      <c r="BI983" s="2"/>
    </row>
    <row r="984" ht="12.75" customHeight="1">
      <c r="A984" s="71"/>
      <c r="B984" s="71"/>
      <c r="C984" s="11"/>
      <c r="D984" s="11"/>
      <c r="E984" s="2"/>
      <c r="F984" s="2"/>
      <c r="G984" s="2"/>
      <c r="H984" s="54"/>
      <c r="I984" s="4"/>
      <c r="J984" s="2"/>
      <c r="K984" s="2"/>
      <c r="L984" s="5"/>
      <c r="M984" s="5"/>
      <c r="N984" s="5"/>
      <c r="O984" s="5"/>
      <c r="P984" s="5"/>
      <c r="Q984" s="5"/>
      <c r="R984" s="2"/>
      <c r="S984" s="2"/>
      <c r="T984" s="2"/>
      <c r="U984" s="2"/>
      <c r="V984" s="2"/>
      <c r="W984" s="2"/>
      <c r="X984" s="6"/>
      <c r="Y984" s="2"/>
      <c r="Z984" s="2"/>
      <c r="AA984" s="2"/>
      <c r="AB984" s="2"/>
      <c r="AC984" s="6"/>
      <c r="AD984" s="2"/>
      <c r="AE984" s="2"/>
      <c r="AF984" s="2"/>
      <c r="AG984" s="2"/>
      <c r="AH984" s="2"/>
      <c r="AI984" s="6"/>
      <c r="AJ984" s="2"/>
      <c r="AK984" s="56"/>
      <c r="AL984" s="2"/>
      <c r="AM984" s="2"/>
      <c r="AN984" s="2"/>
      <c r="AO984" s="2"/>
      <c r="AP984" s="6"/>
      <c r="AQ984" s="2"/>
      <c r="AR984" s="2"/>
      <c r="AS984" s="2"/>
      <c r="AT984" s="2"/>
      <c r="AU984" s="2"/>
      <c r="AV984" s="2"/>
      <c r="AW984" s="2"/>
      <c r="AX984" s="6"/>
      <c r="AY984" s="2"/>
      <c r="AZ984" s="2"/>
      <c r="BA984" s="2"/>
      <c r="BB984" s="2"/>
      <c r="BC984" s="2"/>
      <c r="BD984" s="6"/>
      <c r="BE984" s="2"/>
      <c r="BF984" s="6"/>
      <c r="BG984" s="58"/>
      <c r="BH984" s="6"/>
      <c r="BI984" s="2"/>
    </row>
    <row r="985" ht="12.75" customHeight="1">
      <c r="A985" s="71"/>
      <c r="B985" s="71"/>
      <c r="C985" s="11"/>
      <c r="D985" s="11"/>
      <c r="E985" s="2"/>
      <c r="F985" s="2"/>
      <c r="G985" s="2"/>
      <c r="H985" s="54"/>
      <c r="I985" s="4"/>
      <c r="J985" s="2"/>
      <c r="K985" s="2"/>
      <c r="L985" s="5"/>
      <c r="M985" s="5"/>
      <c r="N985" s="5"/>
      <c r="O985" s="5"/>
      <c r="P985" s="5"/>
      <c r="Q985" s="5"/>
      <c r="R985" s="2"/>
      <c r="S985" s="2"/>
      <c r="T985" s="2"/>
      <c r="U985" s="2"/>
      <c r="V985" s="2"/>
      <c r="W985" s="2"/>
      <c r="X985" s="6"/>
      <c r="Y985" s="2"/>
      <c r="Z985" s="2"/>
      <c r="AA985" s="2"/>
      <c r="AB985" s="2"/>
      <c r="AC985" s="6"/>
      <c r="AD985" s="2"/>
      <c r="AE985" s="2"/>
      <c r="AF985" s="2"/>
      <c r="AG985" s="2"/>
      <c r="AH985" s="2"/>
      <c r="AI985" s="6"/>
      <c r="AJ985" s="2"/>
      <c r="AK985" s="56"/>
      <c r="AL985" s="2"/>
      <c r="AM985" s="2"/>
      <c r="AN985" s="2"/>
      <c r="AO985" s="2"/>
      <c r="AP985" s="6"/>
      <c r="AQ985" s="2"/>
      <c r="AR985" s="2"/>
      <c r="AS985" s="2"/>
      <c r="AT985" s="2"/>
      <c r="AU985" s="2"/>
      <c r="AV985" s="2"/>
      <c r="AW985" s="2"/>
      <c r="AX985" s="6"/>
      <c r="AY985" s="2"/>
      <c r="AZ985" s="2"/>
      <c r="BA985" s="2"/>
      <c r="BB985" s="2"/>
      <c r="BC985" s="2"/>
      <c r="BD985" s="6"/>
      <c r="BE985" s="2"/>
      <c r="BF985" s="6"/>
      <c r="BG985" s="58"/>
      <c r="BH985" s="6"/>
      <c r="BI985" s="2"/>
    </row>
    <row r="986" ht="12.75" customHeight="1">
      <c r="A986" s="71"/>
      <c r="B986" s="71"/>
      <c r="C986" s="11"/>
      <c r="D986" s="11"/>
      <c r="E986" s="2"/>
      <c r="F986" s="2"/>
      <c r="G986" s="2"/>
      <c r="H986" s="54"/>
      <c r="I986" s="4"/>
      <c r="J986" s="2"/>
      <c r="K986" s="2"/>
      <c r="L986" s="5"/>
      <c r="M986" s="5"/>
      <c r="N986" s="5"/>
      <c r="O986" s="5"/>
      <c r="P986" s="5"/>
      <c r="Q986" s="5"/>
      <c r="R986" s="2"/>
      <c r="S986" s="2"/>
      <c r="T986" s="2"/>
      <c r="U986" s="2"/>
      <c r="V986" s="2"/>
      <c r="W986" s="2"/>
      <c r="X986" s="6"/>
      <c r="Y986" s="2"/>
      <c r="Z986" s="2"/>
      <c r="AA986" s="2"/>
      <c r="AB986" s="2"/>
      <c r="AC986" s="6"/>
      <c r="AD986" s="2"/>
      <c r="AE986" s="2"/>
      <c r="AF986" s="2"/>
      <c r="AG986" s="2"/>
      <c r="AH986" s="2"/>
      <c r="AI986" s="6"/>
      <c r="AJ986" s="2"/>
      <c r="AK986" s="56"/>
      <c r="AL986" s="2"/>
      <c r="AM986" s="2"/>
      <c r="AN986" s="2"/>
      <c r="AO986" s="2"/>
      <c r="AP986" s="6"/>
      <c r="AQ986" s="2"/>
      <c r="AR986" s="2"/>
      <c r="AS986" s="2"/>
      <c r="AT986" s="2"/>
      <c r="AU986" s="2"/>
      <c r="AV986" s="2"/>
      <c r="AW986" s="2"/>
      <c r="AX986" s="6"/>
      <c r="AY986" s="2"/>
      <c r="AZ986" s="2"/>
      <c r="BA986" s="2"/>
      <c r="BB986" s="2"/>
      <c r="BC986" s="2"/>
      <c r="BD986" s="6"/>
      <c r="BE986" s="2"/>
      <c r="BF986" s="6"/>
      <c r="BG986" s="58"/>
      <c r="BH986" s="6"/>
      <c r="BI986" s="2"/>
    </row>
    <row r="987" ht="12.75" customHeight="1">
      <c r="A987" s="71"/>
      <c r="B987" s="71"/>
      <c r="C987" s="11"/>
      <c r="D987" s="11"/>
      <c r="E987" s="2"/>
      <c r="F987" s="2"/>
      <c r="G987" s="2"/>
      <c r="H987" s="54"/>
      <c r="I987" s="4"/>
      <c r="J987" s="2"/>
      <c r="K987" s="2"/>
      <c r="L987" s="5"/>
      <c r="M987" s="5"/>
      <c r="N987" s="5"/>
      <c r="O987" s="5"/>
      <c r="P987" s="5"/>
      <c r="Q987" s="5"/>
      <c r="R987" s="2"/>
      <c r="S987" s="2"/>
      <c r="T987" s="2"/>
      <c r="U987" s="2"/>
      <c r="V987" s="2"/>
      <c r="W987" s="2"/>
      <c r="X987" s="6"/>
      <c r="Y987" s="2"/>
      <c r="Z987" s="2"/>
      <c r="AA987" s="2"/>
      <c r="AB987" s="2"/>
      <c r="AC987" s="6"/>
      <c r="AD987" s="2"/>
      <c r="AE987" s="2"/>
      <c r="AF987" s="2"/>
      <c r="AG987" s="2"/>
      <c r="AH987" s="2"/>
      <c r="AI987" s="6"/>
      <c r="AJ987" s="2"/>
      <c r="AK987" s="56"/>
      <c r="AL987" s="2"/>
      <c r="AM987" s="2"/>
      <c r="AN987" s="2"/>
      <c r="AO987" s="2"/>
      <c r="AP987" s="6"/>
      <c r="AQ987" s="2"/>
      <c r="AR987" s="2"/>
      <c r="AS987" s="2"/>
      <c r="AT987" s="2"/>
      <c r="AU987" s="2"/>
      <c r="AV987" s="2"/>
      <c r="AW987" s="2"/>
      <c r="AX987" s="6"/>
      <c r="AY987" s="2"/>
      <c r="AZ987" s="2"/>
      <c r="BA987" s="2"/>
      <c r="BB987" s="2"/>
      <c r="BC987" s="2"/>
      <c r="BD987" s="6"/>
      <c r="BE987" s="2"/>
      <c r="BF987" s="6"/>
      <c r="BG987" s="58"/>
      <c r="BH987" s="6"/>
      <c r="BI987" s="2"/>
    </row>
    <row r="988" ht="12.75" customHeight="1">
      <c r="A988" s="71"/>
      <c r="B988" s="71"/>
      <c r="C988" s="11"/>
      <c r="D988" s="11"/>
      <c r="E988" s="2"/>
      <c r="F988" s="2"/>
      <c r="G988" s="2"/>
      <c r="H988" s="54"/>
      <c r="I988" s="4"/>
      <c r="J988" s="2"/>
      <c r="K988" s="2"/>
      <c r="L988" s="5"/>
      <c r="M988" s="5"/>
      <c r="N988" s="5"/>
      <c r="O988" s="5"/>
      <c r="P988" s="5"/>
      <c r="Q988" s="5"/>
      <c r="R988" s="2"/>
      <c r="S988" s="2"/>
      <c r="T988" s="2"/>
      <c r="U988" s="2"/>
      <c r="V988" s="2"/>
      <c r="W988" s="2"/>
      <c r="X988" s="6"/>
      <c r="Y988" s="2"/>
      <c r="Z988" s="2"/>
      <c r="AA988" s="2"/>
      <c r="AB988" s="2"/>
      <c r="AC988" s="6"/>
      <c r="AD988" s="2"/>
      <c r="AE988" s="2"/>
      <c r="AF988" s="2"/>
      <c r="AG988" s="2"/>
      <c r="AH988" s="2"/>
      <c r="AI988" s="6"/>
      <c r="AJ988" s="2"/>
      <c r="AK988" s="56"/>
      <c r="AL988" s="2"/>
      <c r="AM988" s="2"/>
      <c r="AN988" s="2"/>
      <c r="AO988" s="2"/>
      <c r="AP988" s="6"/>
      <c r="AQ988" s="2"/>
      <c r="AR988" s="2"/>
      <c r="AS988" s="2"/>
      <c r="AT988" s="2"/>
      <c r="AU988" s="2"/>
      <c r="AV988" s="2"/>
      <c r="AW988" s="2"/>
      <c r="AX988" s="6"/>
      <c r="AY988" s="2"/>
      <c r="AZ988" s="2"/>
      <c r="BA988" s="2"/>
      <c r="BB988" s="2"/>
      <c r="BC988" s="2"/>
      <c r="BD988" s="6"/>
      <c r="BE988" s="2"/>
      <c r="BF988" s="6"/>
      <c r="BG988" s="58"/>
      <c r="BH988" s="6"/>
      <c r="BI988" s="2"/>
    </row>
    <row r="989" ht="12.75" customHeight="1">
      <c r="A989" s="71"/>
      <c r="B989" s="71"/>
      <c r="C989" s="11"/>
      <c r="D989" s="11"/>
      <c r="E989" s="2"/>
      <c r="F989" s="2"/>
      <c r="G989" s="2"/>
      <c r="H989" s="54"/>
      <c r="I989" s="4"/>
      <c r="J989" s="2"/>
      <c r="K989" s="2"/>
      <c r="L989" s="5"/>
      <c r="M989" s="5"/>
      <c r="N989" s="5"/>
      <c r="O989" s="5"/>
      <c r="P989" s="5"/>
      <c r="Q989" s="5"/>
      <c r="R989" s="2"/>
      <c r="S989" s="2"/>
      <c r="T989" s="2"/>
      <c r="U989" s="2"/>
      <c r="V989" s="2"/>
      <c r="W989" s="2"/>
      <c r="X989" s="6"/>
      <c r="Y989" s="2"/>
      <c r="Z989" s="2"/>
      <c r="AA989" s="2"/>
      <c r="AB989" s="2"/>
      <c r="AC989" s="6"/>
      <c r="AD989" s="2"/>
      <c r="AE989" s="2"/>
      <c r="AF989" s="2"/>
      <c r="AG989" s="2"/>
      <c r="AH989" s="2"/>
      <c r="AI989" s="6"/>
      <c r="AJ989" s="2"/>
      <c r="AK989" s="56"/>
      <c r="AL989" s="2"/>
      <c r="AM989" s="2"/>
      <c r="AN989" s="2"/>
      <c r="AO989" s="2"/>
      <c r="AP989" s="6"/>
      <c r="AQ989" s="2"/>
      <c r="AR989" s="2"/>
      <c r="AS989" s="2"/>
      <c r="AT989" s="2"/>
      <c r="AU989" s="2"/>
      <c r="AV989" s="2"/>
      <c r="AW989" s="2"/>
      <c r="AX989" s="6"/>
      <c r="AY989" s="2"/>
      <c r="AZ989" s="2"/>
      <c r="BA989" s="2"/>
      <c r="BB989" s="2"/>
      <c r="BC989" s="2"/>
      <c r="BD989" s="6"/>
      <c r="BE989" s="2"/>
      <c r="BF989" s="6"/>
      <c r="BG989" s="58"/>
      <c r="BH989" s="6"/>
      <c r="BI989" s="2"/>
    </row>
    <row r="990" ht="12.75" customHeight="1">
      <c r="A990" s="71"/>
      <c r="B990" s="71"/>
      <c r="C990" s="11"/>
      <c r="D990" s="11"/>
      <c r="E990" s="2"/>
      <c r="F990" s="2"/>
      <c r="G990" s="2"/>
      <c r="H990" s="54"/>
      <c r="I990" s="4"/>
      <c r="J990" s="2"/>
      <c r="K990" s="2"/>
      <c r="L990" s="5"/>
      <c r="M990" s="5"/>
      <c r="N990" s="5"/>
      <c r="O990" s="5"/>
      <c r="P990" s="5"/>
      <c r="Q990" s="5"/>
      <c r="R990" s="2"/>
      <c r="S990" s="2"/>
      <c r="T990" s="2"/>
      <c r="U990" s="2"/>
      <c r="V990" s="2"/>
      <c r="W990" s="2"/>
      <c r="X990" s="6"/>
      <c r="Y990" s="2"/>
      <c r="Z990" s="2"/>
      <c r="AA990" s="2"/>
      <c r="AB990" s="2"/>
      <c r="AC990" s="6"/>
      <c r="AD990" s="2"/>
      <c r="AE990" s="2"/>
      <c r="AF990" s="2"/>
      <c r="AG990" s="2"/>
      <c r="AH990" s="2"/>
      <c r="AI990" s="6"/>
      <c r="AJ990" s="2"/>
      <c r="AK990" s="56"/>
      <c r="AL990" s="2"/>
      <c r="AM990" s="2"/>
      <c r="AN990" s="2"/>
      <c r="AO990" s="2"/>
      <c r="AP990" s="6"/>
      <c r="AQ990" s="2"/>
      <c r="AR990" s="2"/>
      <c r="AS990" s="2"/>
      <c r="AT990" s="2"/>
      <c r="AU990" s="2"/>
      <c r="AV990" s="2"/>
      <c r="AW990" s="2"/>
      <c r="AX990" s="6"/>
      <c r="AY990" s="2"/>
      <c r="AZ990" s="2"/>
      <c r="BA990" s="2"/>
      <c r="BB990" s="2"/>
      <c r="BC990" s="2"/>
      <c r="BD990" s="6"/>
      <c r="BE990" s="2"/>
      <c r="BF990" s="6"/>
      <c r="BG990" s="58"/>
      <c r="BH990" s="6"/>
      <c r="BI990" s="2"/>
    </row>
    <row r="991" ht="12.75" customHeight="1">
      <c r="A991" s="71"/>
      <c r="B991" s="71"/>
      <c r="C991" s="11"/>
      <c r="D991" s="11"/>
      <c r="E991" s="2"/>
      <c r="F991" s="2"/>
      <c r="G991" s="2"/>
      <c r="H991" s="54"/>
      <c r="I991" s="4"/>
      <c r="J991" s="2"/>
      <c r="K991" s="2"/>
      <c r="L991" s="5"/>
      <c r="M991" s="5"/>
      <c r="N991" s="5"/>
      <c r="O991" s="5"/>
      <c r="P991" s="5"/>
      <c r="Q991" s="5"/>
      <c r="R991" s="2"/>
      <c r="S991" s="2"/>
      <c r="T991" s="2"/>
      <c r="U991" s="2"/>
      <c r="V991" s="2"/>
      <c r="W991" s="2"/>
      <c r="X991" s="6"/>
      <c r="Y991" s="2"/>
      <c r="Z991" s="2"/>
      <c r="AA991" s="2"/>
      <c r="AB991" s="2"/>
      <c r="AC991" s="6"/>
      <c r="AD991" s="2"/>
      <c r="AE991" s="2"/>
      <c r="AF991" s="2"/>
      <c r="AG991" s="2"/>
      <c r="AH991" s="2"/>
      <c r="AI991" s="6"/>
      <c r="AJ991" s="2"/>
      <c r="AK991" s="56"/>
      <c r="AL991" s="2"/>
      <c r="AM991" s="2"/>
      <c r="AN991" s="2"/>
      <c r="AO991" s="2"/>
      <c r="AP991" s="6"/>
      <c r="AQ991" s="2"/>
      <c r="AR991" s="2"/>
      <c r="AS991" s="2"/>
      <c r="AT991" s="2"/>
      <c r="AU991" s="2"/>
      <c r="AV991" s="2"/>
      <c r="AW991" s="2"/>
      <c r="AX991" s="6"/>
      <c r="AY991" s="2"/>
      <c r="AZ991" s="2"/>
      <c r="BA991" s="2"/>
      <c r="BB991" s="2"/>
      <c r="BC991" s="2"/>
      <c r="BD991" s="6"/>
      <c r="BE991" s="2"/>
      <c r="BF991" s="6"/>
      <c r="BG991" s="58"/>
      <c r="BH991" s="6"/>
      <c r="BI991" s="2"/>
    </row>
    <row r="992" ht="12.75" customHeight="1">
      <c r="A992" s="71"/>
      <c r="B992" s="71"/>
      <c r="C992" s="11"/>
      <c r="D992" s="11"/>
      <c r="E992" s="2"/>
      <c r="F992" s="2"/>
      <c r="G992" s="2"/>
      <c r="H992" s="54"/>
      <c r="I992" s="4"/>
      <c r="J992" s="2"/>
      <c r="K992" s="2"/>
      <c r="L992" s="5"/>
      <c r="M992" s="5"/>
      <c r="N992" s="5"/>
      <c r="O992" s="5"/>
      <c r="P992" s="5"/>
      <c r="Q992" s="5"/>
      <c r="R992" s="2"/>
      <c r="S992" s="2"/>
      <c r="T992" s="2"/>
      <c r="U992" s="2"/>
      <c r="V992" s="2"/>
      <c r="W992" s="2"/>
      <c r="X992" s="6"/>
      <c r="Y992" s="2"/>
      <c r="Z992" s="2"/>
      <c r="AA992" s="2"/>
      <c r="AB992" s="2"/>
      <c r="AC992" s="6"/>
      <c r="AD992" s="2"/>
      <c r="AE992" s="2"/>
      <c r="AF992" s="2"/>
      <c r="AG992" s="2"/>
      <c r="AH992" s="2"/>
      <c r="AI992" s="6"/>
      <c r="AJ992" s="2"/>
      <c r="AK992" s="56"/>
      <c r="AL992" s="2"/>
      <c r="AM992" s="2"/>
      <c r="AN992" s="2"/>
      <c r="AO992" s="2"/>
      <c r="AP992" s="6"/>
      <c r="AQ992" s="2"/>
      <c r="AR992" s="2"/>
      <c r="AS992" s="2"/>
      <c r="AT992" s="2"/>
      <c r="AU992" s="2"/>
      <c r="AV992" s="2"/>
      <c r="AW992" s="2"/>
      <c r="AX992" s="6"/>
      <c r="AY992" s="2"/>
      <c r="AZ992" s="2"/>
      <c r="BA992" s="2"/>
      <c r="BB992" s="2"/>
      <c r="BC992" s="2"/>
      <c r="BD992" s="6"/>
      <c r="BE992" s="2"/>
      <c r="BF992" s="6"/>
      <c r="BG992" s="58"/>
      <c r="BH992" s="6"/>
      <c r="BI992" s="2"/>
    </row>
    <row r="993" ht="12.75" customHeight="1">
      <c r="A993" s="71"/>
      <c r="B993" s="71"/>
      <c r="C993" s="11"/>
      <c r="D993" s="11"/>
      <c r="E993" s="2"/>
      <c r="F993" s="2"/>
      <c r="G993" s="2"/>
      <c r="H993" s="54"/>
      <c r="I993" s="4"/>
      <c r="J993" s="2"/>
      <c r="K993" s="2"/>
      <c r="L993" s="5"/>
      <c r="M993" s="5"/>
      <c r="N993" s="5"/>
      <c r="O993" s="5"/>
      <c r="P993" s="5"/>
      <c r="Q993" s="5"/>
      <c r="R993" s="2"/>
      <c r="S993" s="2"/>
      <c r="T993" s="2"/>
      <c r="U993" s="2"/>
      <c r="V993" s="2"/>
      <c r="W993" s="2"/>
      <c r="X993" s="6"/>
      <c r="Y993" s="2"/>
      <c r="Z993" s="2"/>
      <c r="AA993" s="2"/>
      <c r="AB993" s="2"/>
      <c r="AC993" s="6"/>
      <c r="AD993" s="2"/>
      <c r="AE993" s="2"/>
      <c r="AF993" s="2"/>
      <c r="AG993" s="2"/>
      <c r="AH993" s="2"/>
      <c r="AI993" s="6"/>
      <c r="AJ993" s="2"/>
      <c r="AK993" s="56"/>
      <c r="AL993" s="2"/>
      <c r="AM993" s="2"/>
      <c r="AN993" s="2"/>
      <c r="AO993" s="2"/>
      <c r="AP993" s="6"/>
      <c r="AQ993" s="2"/>
      <c r="AR993" s="2"/>
      <c r="AS993" s="2"/>
      <c r="AT993" s="2"/>
      <c r="AU993" s="2"/>
      <c r="AV993" s="2"/>
      <c r="AW993" s="2"/>
      <c r="AX993" s="6"/>
      <c r="AY993" s="2"/>
      <c r="AZ993" s="2"/>
      <c r="BA993" s="2"/>
      <c r="BB993" s="2"/>
      <c r="BC993" s="2"/>
      <c r="BD993" s="6"/>
      <c r="BE993" s="2"/>
      <c r="BF993" s="6"/>
      <c r="BG993" s="58"/>
      <c r="BH993" s="6"/>
      <c r="BI993" s="2"/>
    </row>
    <row r="994" ht="12.75" customHeight="1">
      <c r="A994" s="71"/>
      <c r="B994" s="71"/>
      <c r="C994" s="11"/>
      <c r="D994" s="11"/>
      <c r="E994" s="2"/>
      <c r="F994" s="2"/>
      <c r="G994" s="2"/>
      <c r="H994" s="54"/>
      <c r="I994" s="4"/>
      <c r="J994" s="2"/>
      <c r="K994" s="2"/>
      <c r="L994" s="5"/>
      <c r="M994" s="5"/>
      <c r="N994" s="5"/>
      <c r="O994" s="5"/>
      <c r="P994" s="5"/>
      <c r="Q994" s="5"/>
      <c r="R994" s="2"/>
      <c r="S994" s="2"/>
      <c r="T994" s="2"/>
      <c r="U994" s="2"/>
      <c r="V994" s="2"/>
      <c r="W994" s="2"/>
      <c r="X994" s="6"/>
      <c r="Y994" s="2"/>
      <c r="Z994" s="2"/>
      <c r="AA994" s="2"/>
      <c r="AB994" s="2"/>
      <c r="AC994" s="6"/>
      <c r="AD994" s="2"/>
      <c r="AE994" s="2"/>
      <c r="AF994" s="2"/>
      <c r="AG994" s="2"/>
      <c r="AH994" s="2"/>
      <c r="AI994" s="6"/>
      <c r="AJ994" s="2"/>
      <c r="AK994" s="56"/>
      <c r="AL994" s="2"/>
      <c r="AM994" s="2"/>
      <c r="AN994" s="2"/>
      <c r="AO994" s="2"/>
      <c r="AP994" s="6"/>
      <c r="AQ994" s="2"/>
      <c r="AR994" s="2"/>
      <c r="AS994" s="2"/>
      <c r="AT994" s="2"/>
      <c r="AU994" s="2"/>
      <c r="AV994" s="2"/>
      <c r="AW994" s="2"/>
      <c r="AX994" s="6"/>
      <c r="AY994" s="2"/>
      <c r="AZ994" s="2"/>
      <c r="BA994" s="2"/>
      <c r="BB994" s="2"/>
      <c r="BC994" s="2"/>
      <c r="BD994" s="6"/>
      <c r="BE994" s="2"/>
      <c r="BF994" s="6"/>
      <c r="BG994" s="58"/>
      <c r="BH994" s="6"/>
      <c r="BI994" s="2"/>
    </row>
    <row r="995" ht="12.75" customHeight="1">
      <c r="A995" s="71"/>
      <c r="B995" s="71"/>
      <c r="C995" s="11"/>
      <c r="D995" s="11"/>
      <c r="E995" s="2"/>
      <c r="F995" s="2"/>
      <c r="G995" s="2"/>
      <c r="H995" s="54"/>
      <c r="I995" s="4"/>
      <c r="J995" s="2"/>
      <c r="K995" s="2"/>
      <c r="L995" s="5"/>
      <c r="M995" s="5"/>
      <c r="N995" s="5"/>
      <c r="O995" s="5"/>
      <c r="P995" s="5"/>
      <c r="Q995" s="5"/>
      <c r="R995" s="2"/>
      <c r="S995" s="2"/>
      <c r="T995" s="2"/>
      <c r="U995" s="2"/>
      <c r="V995" s="2"/>
      <c r="W995" s="2"/>
      <c r="X995" s="6"/>
      <c r="Y995" s="2"/>
      <c r="Z995" s="2"/>
      <c r="AA995" s="2"/>
      <c r="AB995" s="2"/>
      <c r="AC995" s="6"/>
      <c r="AD995" s="2"/>
      <c r="AE995" s="2"/>
      <c r="AF995" s="2"/>
      <c r="AG995" s="2"/>
      <c r="AH995" s="2"/>
      <c r="AI995" s="6"/>
      <c r="AJ995" s="2"/>
      <c r="AK995" s="56"/>
      <c r="AL995" s="2"/>
      <c r="AM995" s="2"/>
      <c r="AN995" s="2"/>
      <c r="AO995" s="2"/>
      <c r="AP995" s="6"/>
      <c r="AQ995" s="2"/>
      <c r="AR995" s="2"/>
      <c r="AS995" s="2"/>
      <c r="AT995" s="2"/>
      <c r="AU995" s="2"/>
      <c r="AV995" s="2"/>
      <c r="AW995" s="2"/>
      <c r="AX995" s="6"/>
      <c r="AY995" s="2"/>
      <c r="AZ995" s="2"/>
      <c r="BA995" s="2"/>
      <c r="BB995" s="2"/>
      <c r="BC995" s="2"/>
      <c r="BD995" s="6"/>
      <c r="BE995" s="2"/>
      <c r="BF995" s="6"/>
      <c r="BG995" s="58"/>
      <c r="BH995" s="6"/>
      <c r="BI995" s="2"/>
    </row>
    <row r="996" ht="12.75" customHeight="1">
      <c r="A996" s="71"/>
      <c r="B996" s="71"/>
      <c r="C996" s="11"/>
      <c r="D996" s="11"/>
      <c r="E996" s="2"/>
      <c r="F996" s="2"/>
      <c r="G996" s="2"/>
      <c r="H996" s="54"/>
      <c r="I996" s="4"/>
      <c r="J996" s="2"/>
      <c r="K996" s="2"/>
      <c r="L996" s="5"/>
      <c r="M996" s="5"/>
      <c r="N996" s="5"/>
      <c r="O996" s="5"/>
      <c r="P996" s="5"/>
      <c r="Q996" s="5"/>
      <c r="R996" s="2"/>
      <c r="S996" s="2"/>
      <c r="T996" s="2"/>
      <c r="U996" s="2"/>
      <c r="V996" s="2"/>
      <c r="W996" s="2"/>
      <c r="X996" s="6"/>
      <c r="Y996" s="2"/>
      <c r="Z996" s="2"/>
      <c r="AA996" s="2"/>
      <c r="AB996" s="2"/>
      <c r="AC996" s="6"/>
      <c r="AD996" s="2"/>
      <c r="AE996" s="2"/>
      <c r="AF996" s="2"/>
      <c r="AG996" s="2"/>
      <c r="AH996" s="2"/>
      <c r="AI996" s="6"/>
      <c r="AJ996" s="2"/>
      <c r="AK996" s="56"/>
      <c r="AL996" s="2"/>
      <c r="AM996" s="2"/>
      <c r="AN996" s="2"/>
      <c r="AO996" s="2"/>
      <c r="AP996" s="6"/>
      <c r="AQ996" s="2"/>
      <c r="AR996" s="2"/>
      <c r="AS996" s="2"/>
      <c r="AT996" s="2"/>
      <c r="AU996" s="2"/>
      <c r="AV996" s="2"/>
      <c r="AW996" s="2"/>
      <c r="AX996" s="6"/>
      <c r="AY996" s="2"/>
      <c r="AZ996" s="2"/>
      <c r="BA996" s="2"/>
      <c r="BB996" s="2"/>
      <c r="BC996" s="2"/>
      <c r="BD996" s="6"/>
      <c r="BE996" s="2"/>
      <c r="BF996" s="6"/>
      <c r="BG996" s="58"/>
      <c r="BH996" s="6"/>
      <c r="BI996" s="2"/>
    </row>
    <row r="997" ht="12.75" customHeight="1">
      <c r="A997" s="71"/>
      <c r="B997" s="71"/>
      <c r="C997" s="11"/>
      <c r="D997" s="11"/>
      <c r="E997" s="2"/>
      <c r="F997" s="2"/>
      <c r="G997" s="2"/>
      <c r="H997" s="54"/>
      <c r="I997" s="4"/>
      <c r="J997" s="2"/>
      <c r="K997" s="2"/>
      <c r="L997" s="5"/>
      <c r="M997" s="5"/>
      <c r="N997" s="5"/>
      <c r="O997" s="5"/>
      <c r="P997" s="5"/>
      <c r="Q997" s="5"/>
      <c r="R997" s="2"/>
      <c r="S997" s="2"/>
      <c r="T997" s="2"/>
      <c r="U997" s="2"/>
      <c r="V997" s="2"/>
      <c r="W997" s="2"/>
      <c r="X997" s="6"/>
      <c r="Y997" s="2"/>
      <c r="Z997" s="2"/>
      <c r="AA997" s="2"/>
      <c r="AB997" s="2"/>
      <c r="AC997" s="6"/>
      <c r="AD997" s="2"/>
      <c r="AE997" s="2"/>
      <c r="AF997" s="2"/>
      <c r="AG997" s="2"/>
      <c r="AH997" s="2"/>
      <c r="AI997" s="6"/>
      <c r="AJ997" s="2"/>
      <c r="AK997" s="56"/>
      <c r="AL997" s="2"/>
      <c r="AM997" s="2"/>
      <c r="AN997" s="2"/>
      <c r="AO997" s="2"/>
      <c r="AP997" s="6"/>
      <c r="AQ997" s="2"/>
      <c r="AR997" s="2"/>
      <c r="AS997" s="2"/>
      <c r="AT997" s="2"/>
      <c r="AU997" s="2"/>
      <c r="AV997" s="2"/>
      <c r="AW997" s="2"/>
      <c r="AX997" s="6"/>
      <c r="AY997" s="2"/>
      <c r="AZ997" s="2"/>
      <c r="BA997" s="2"/>
      <c r="BB997" s="2"/>
      <c r="BC997" s="2"/>
      <c r="BD997" s="6"/>
      <c r="BE997" s="2"/>
      <c r="BF997" s="6"/>
      <c r="BG997" s="58"/>
      <c r="BH997" s="6"/>
      <c r="BI997" s="2"/>
    </row>
    <row r="998" ht="12.75" customHeight="1">
      <c r="A998" s="71"/>
      <c r="B998" s="71"/>
      <c r="C998" s="11"/>
      <c r="D998" s="11"/>
      <c r="E998" s="2"/>
      <c r="F998" s="2"/>
      <c r="G998" s="2"/>
      <c r="H998" s="54"/>
      <c r="I998" s="4"/>
      <c r="J998" s="2"/>
      <c r="K998" s="2"/>
      <c r="L998" s="5"/>
      <c r="M998" s="5"/>
      <c r="N998" s="5"/>
      <c r="O998" s="5"/>
      <c r="P998" s="5"/>
      <c r="Q998" s="5"/>
      <c r="R998" s="2"/>
      <c r="S998" s="2"/>
      <c r="T998" s="2"/>
      <c r="U998" s="2"/>
      <c r="V998" s="2"/>
      <c r="W998" s="2"/>
      <c r="X998" s="6"/>
      <c r="Y998" s="2"/>
      <c r="Z998" s="2"/>
      <c r="AA998" s="2"/>
      <c r="AB998" s="2"/>
      <c r="AC998" s="6"/>
      <c r="AD998" s="2"/>
      <c r="AE998" s="2"/>
      <c r="AF998" s="2"/>
      <c r="AG998" s="2"/>
      <c r="AH998" s="2"/>
      <c r="AI998" s="6"/>
      <c r="AJ998" s="2"/>
      <c r="AK998" s="56"/>
      <c r="AL998" s="2"/>
      <c r="AM998" s="2"/>
      <c r="AN998" s="2"/>
      <c r="AO998" s="2"/>
      <c r="AP998" s="6"/>
      <c r="AQ998" s="2"/>
      <c r="AR998" s="2"/>
      <c r="AS998" s="2"/>
      <c r="AT998" s="2"/>
      <c r="AU998" s="2"/>
      <c r="AV998" s="2"/>
      <c r="AW998" s="2"/>
      <c r="AX998" s="6"/>
      <c r="AY998" s="2"/>
      <c r="AZ998" s="2"/>
      <c r="BA998" s="2"/>
      <c r="BB998" s="2"/>
      <c r="BC998" s="2"/>
      <c r="BD998" s="6"/>
      <c r="BE998" s="2"/>
      <c r="BF998" s="6"/>
      <c r="BG998" s="58"/>
      <c r="BH998" s="6"/>
      <c r="BI998" s="2"/>
    </row>
    <row r="999" ht="12.75" customHeight="1">
      <c r="A999" s="71"/>
      <c r="B999" s="71"/>
      <c r="C999" s="11"/>
      <c r="D999" s="11"/>
      <c r="E999" s="2"/>
      <c r="F999" s="2"/>
      <c r="G999" s="2"/>
      <c r="H999" s="54"/>
      <c r="I999" s="4"/>
      <c r="J999" s="2"/>
      <c r="K999" s="2"/>
      <c r="L999" s="5"/>
      <c r="M999" s="5"/>
      <c r="N999" s="5"/>
      <c r="O999" s="5"/>
      <c r="P999" s="5"/>
      <c r="Q999" s="5"/>
      <c r="R999" s="2"/>
      <c r="S999" s="2"/>
      <c r="T999" s="2"/>
      <c r="U999" s="2"/>
      <c r="V999" s="2"/>
      <c r="W999" s="2"/>
      <c r="X999" s="6"/>
      <c r="Y999" s="2"/>
      <c r="Z999" s="2"/>
      <c r="AA999" s="2"/>
      <c r="AB999" s="2"/>
      <c r="AC999" s="6"/>
      <c r="AD999" s="2"/>
      <c r="AE999" s="2"/>
      <c r="AF999" s="2"/>
      <c r="AG999" s="2"/>
      <c r="AH999" s="2"/>
      <c r="AI999" s="6"/>
      <c r="AJ999" s="2"/>
      <c r="AK999" s="56"/>
      <c r="AL999" s="2"/>
      <c r="AM999" s="2"/>
      <c r="AN999" s="2"/>
      <c r="AO999" s="2"/>
      <c r="AP999" s="6"/>
      <c r="AQ999" s="2"/>
      <c r="AR999" s="2"/>
      <c r="AS999" s="2"/>
      <c r="AT999" s="2"/>
      <c r="AU999" s="2"/>
      <c r="AV999" s="2"/>
      <c r="AW999" s="2"/>
      <c r="AX999" s="6"/>
      <c r="AY999" s="2"/>
      <c r="AZ999" s="2"/>
      <c r="BA999" s="2"/>
      <c r="BB999" s="2"/>
      <c r="BC999" s="2"/>
      <c r="BD999" s="6"/>
      <c r="BE999" s="2"/>
      <c r="BF999" s="6"/>
      <c r="BG999" s="58"/>
      <c r="BH999" s="6"/>
      <c r="BI999" s="2"/>
    </row>
    <row r="1000" ht="12.75" customHeight="1">
      <c r="A1000" s="71"/>
      <c r="B1000" s="71"/>
      <c r="C1000" s="11"/>
      <c r="D1000" s="11"/>
      <c r="E1000" s="2"/>
      <c r="F1000" s="2"/>
      <c r="G1000" s="2"/>
      <c r="H1000" s="54"/>
      <c r="I1000" s="4"/>
      <c r="J1000" s="2"/>
      <c r="K1000" s="2"/>
      <c r="L1000" s="5"/>
      <c r="M1000" s="5"/>
      <c r="N1000" s="5"/>
      <c r="O1000" s="5"/>
      <c r="P1000" s="5"/>
      <c r="Q1000" s="5"/>
      <c r="R1000" s="2"/>
      <c r="S1000" s="2"/>
      <c r="T1000" s="2"/>
      <c r="U1000" s="2"/>
      <c r="V1000" s="2"/>
      <c r="W1000" s="2"/>
      <c r="X1000" s="6"/>
      <c r="Y1000" s="2"/>
      <c r="Z1000" s="2"/>
      <c r="AA1000" s="2"/>
      <c r="AB1000" s="2"/>
      <c r="AC1000" s="6"/>
      <c r="AD1000" s="2"/>
      <c r="AE1000" s="2"/>
      <c r="AF1000" s="2"/>
      <c r="AG1000" s="2"/>
      <c r="AH1000" s="2"/>
      <c r="AI1000" s="6"/>
      <c r="AJ1000" s="2"/>
      <c r="AK1000" s="56"/>
      <c r="AL1000" s="2"/>
      <c r="AM1000" s="2"/>
      <c r="AN1000" s="2"/>
      <c r="AO1000" s="2"/>
      <c r="AP1000" s="6"/>
      <c r="AQ1000" s="2"/>
      <c r="AR1000" s="2"/>
      <c r="AS1000" s="2"/>
      <c r="AT1000" s="2"/>
      <c r="AU1000" s="2"/>
      <c r="AV1000" s="2"/>
      <c r="AW1000" s="2"/>
      <c r="AX1000" s="6"/>
      <c r="AY1000" s="2"/>
      <c r="AZ1000" s="2"/>
      <c r="BA1000" s="2"/>
      <c r="BB1000" s="2"/>
      <c r="BC1000" s="2"/>
      <c r="BD1000" s="6"/>
      <c r="BE1000" s="2"/>
      <c r="BF1000" s="6"/>
      <c r="BG1000" s="58"/>
      <c r="BH1000" s="6"/>
      <c r="BI1000" s="2"/>
    </row>
  </sheetData>
  <mergeCells count="2">
    <mergeCell ref="BF3:BG3"/>
    <mergeCell ref="L12:N12"/>
  </mergeCells>
  <printOptions/>
  <pageMargins bottom="0.75" footer="0.0" header="0.0" left="0.7" right="0.7" top="0.75"/>
  <pageSetup orientation="portrait"/>
  <drawing r:id="rId2"/>
  <legacyDrawing r:id="rId3"/>
</worksheet>
</file>