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59516ff8794eb76/01 Josh/05. VIKA/00 REPORTS/05 FEMR/"/>
    </mc:Choice>
  </mc:AlternateContent>
  <xr:revisionPtr revIDLastSave="77" documentId="8_{657C058B-7C50-45A8-A9D7-A2DD92DD697B}" xr6:coauthVersionLast="47" xr6:coauthVersionMax="47" xr10:uidLastSave="{C3EDC294-676A-4D77-844B-7BD3001F6792}"/>
  <bookViews>
    <workbookView minimized="1" xWindow="39135" yWindow="4080" windowWidth="8250" windowHeight="6615" tabRatio="421" activeTab="2" xr2:uid="{93ADB422-603E-4992-B1AD-0336C68837FB}"/>
  </bookViews>
  <sheets>
    <sheet name="New report" sheetId="7" r:id="rId1"/>
    <sheet name="ADP 62" sheetId="6" r:id="rId2"/>
    <sheet name="Sheet4" sheetId="11" r:id="rId3"/>
    <sheet name="Sheet3" sheetId="10" r:id="rId4"/>
    <sheet name="Sheet2" sheetId="9" r:id="rId5"/>
    <sheet name="Sheet1" sheetId="8" r:id="rId6"/>
    <sheet name="ADP 33" sheetId="5" r:id="rId7"/>
    <sheet name="ADP 116" sheetId="3" r:id="rId8"/>
    <sheet name="Lists" sheetId="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" i="6" l="1"/>
  <c r="E55" i="6" s="1"/>
  <c r="F55" i="6" s="1"/>
  <c r="G55" i="6" s="1"/>
  <c r="H55" i="6" s="1"/>
  <c r="I55" i="6" s="1"/>
  <c r="J55" i="6" s="1"/>
  <c r="K55" i="6" s="1"/>
  <c r="L55" i="6" s="1"/>
  <c r="M55" i="6" s="1"/>
  <c r="N55" i="6" s="1"/>
  <c r="O55" i="6" s="1"/>
  <c r="P55" i="6" s="1"/>
  <c r="D52" i="6"/>
  <c r="E52" i="6" s="1"/>
  <c r="F52" i="6" s="1"/>
  <c r="G52" i="6" s="1"/>
  <c r="H52" i="6" s="1"/>
  <c r="I52" i="6" s="1"/>
  <c r="J52" i="6" s="1"/>
  <c r="K52" i="6" s="1"/>
  <c r="L52" i="6" s="1"/>
  <c r="M52" i="6" s="1"/>
  <c r="N52" i="6" s="1"/>
  <c r="O52" i="6" s="1"/>
  <c r="P52" i="6" s="1"/>
  <c r="Q52" i="6" s="1"/>
  <c r="R52" i="6" s="1"/>
  <c r="S52" i="6" s="1"/>
  <c r="T52" i="6" s="1"/>
  <c r="U52" i="6" s="1"/>
  <c r="V52" i="6" s="1"/>
  <c r="W52" i="6" s="1"/>
  <c r="X52" i="6" s="1"/>
  <c r="Y52" i="6" s="1"/>
  <c r="Z52" i="6" s="1"/>
  <c r="AA52" i="6" s="1"/>
  <c r="AB52" i="6" s="1"/>
  <c r="AC52" i="6" s="1"/>
  <c r="AD52" i="6" s="1"/>
  <c r="AE52" i="6" s="1"/>
  <c r="AF52" i="6" s="1"/>
  <c r="AG52" i="6" s="1"/>
  <c r="AH52" i="6" s="1"/>
  <c r="AI52" i="6" s="1"/>
  <c r="AJ52" i="6" s="1"/>
  <c r="AK52" i="6" s="1"/>
  <c r="AL52" i="6" s="1"/>
  <c r="AM52" i="6" s="1"/>
  <c r="D51" i="6"/>
  <c r="E51" i="6" s="1"/>
  <c r="F51" i="6" s="1"/>
  <c r="G51" i="6" s="1"/>
  <c r="H51" i="6" s="1"/>
  <c r="I51" i="6" s="1"/>
  <c r="J51" i="6" s="1"/>
  <c r="K51" i="6" s="1"/>
  <c r="L51" i="6" s="1"/>
  <c r="M51" i="6" s="1"/>
  <c r="N51" i="6" s="1"/>
  <c r="O51" i="6" s="1"/>
  <c r="P51" i="6" s="1"/>
  <c r="Q51" i="6" s="1"/>
  <c r="R51" i="6" s="1"/>
  <c r="S51" i="6" s="1"/>
  <c r="T51" i="6" s="1"/>
  <c r="U51" i="6" s="1"/>
  <c r="V51" i="6" s="1"/>
  <c r="W51" i="6" s="1"/>
  <c r="X51" i="6" s="1"/>
  <c r="Y51" i="6" s="1"/>
  <c r="Z51" i="6" s="1"/>
  <c r="AA51" i="6" s="1"/>
  <c r="AB51" i="6" s="1"/>
  <c r="AC51" i="6" s="1"/>
  <c r="AD51" i="6" s="1"/>
  <c r="AE51" i="6" s="1"/>
  <c r="AF51" i="6" s="1"/>
  <c r="AG51" i="6" s="1"/>
  <c r="AH51" i="6" s="1"/>
  <c r="AI51" i="6" s="1"/>
  <c r="AJ51" i="6" s="1"/>
  <c r="AK51" i="6" s="1"/>
  <c r="AL51" i="6" s="1"/>
  <c r="AM51" i="6" s="1"/>
  <c r="D50" i="6"/>
  <c r="E50" i="6" s="1"/>
  <c r="F50" i="6" s="1"/>
  <c r="G50" i="6" s="1"/>
  <c r="H50" i="6" s="1"/>
  <c r="I50" i="6" s="1"/>
  <c r="J50" i="6" s="1"/>
  <c r="K50" i="6" s="1"/>
  <c r="L50" i="6" s="1"/>
  <c r="M50" i="6" s="1"/>
  <c r="N50" i="6" s="1"/>
  <c r="O50" i="6" s="1"/>
  <c r="P50" i="6" s="1"/>
  <c r="Q50" i="6" s="1"/>
  <c r="R50" i="6" s="1"/>
  <c r="S50" i="6" s="1"/>
  <c r="T50" i="6" s="1"/>
  <c r="U50" i="6" s="1"/>
  <c r="V50" i="6" s="1"/>
  <c r="W50" i="6" s="1"/>
  <c r="AN42" i="6"/>
  <c r="AN41" i="6"/>
  <c r="AN40" i="6"/>
  <c r="AM39" i="6"/>
  <c r="AL39" i="6"/>
  <c r="AK39" i="6"/>
  <c r="AJ39" i="6"/>
  <c r="AI39" i="6"/>
  <c r="AH39" i="6"/>
  <c r="AG39" i="6"/>
  <c r="AF39" i="6"/>
  <c r="AE39" i="6"/>
  <c r="AD39" i="6"/>
  <c r="AC39" i="6"/>
  <c r="AB39" i="6"/>
  <c r="AA39" i="6"/>
  <c r="Z39" i="6"/>
  <c r="Y39" i="6"/>
  <c r="X39" i="6"/>
  <c r="W39" i="6"/>
  <c r="V39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D53" i="6" s="1"/>
  <c r="AN38" i="6"/>
  <c r="AN37" i="6"/>
  <c r="AN36" i="6"/>
  <c r="AN35" i="6"/>
  <c r="AN32" i="6"/>
  <c r="AN31" i="6"/>
  <c r="AN30" i="6"/>
  <c r="AN29" i="6"/>
  <c r="AN28" i="6"/>
  <c r="AN27" i="6"/>
  <c r="AN26" i="6"/>
  <c r="AM25" i="6"/>
  <c r="AL25" i="6"/>
  <c r="AK25" i="6"/>
  <c r="AJ25" i="6"/>
  <c r="AI25" i="6"/>
  <c r="AH25" i="6"/>
  <c r="AG25" i="6"/>
  <c r="AF25" i="6"/>
  <c r="AE25" i="6"/>
  <c r="AD25" i="6"/>
  <c r="AC25" i="6"/>
  <c r="AB25" i="6"/>
  <c r="AA25" i="6"/>
  <c r="Z25" i="6"/>
  <c r="Y25" i="6"/>
  <c r="X25" i="6"/>
  <c r="W25" i="6"/>
  <c r="V25" i="6"/>
  <c r="U25" i="6"/>
  <c r="T25" i="6"/>
  <c r="S25" i="6"/>
  <c r="R25" i="6"/>
  <c r="Q25" i="6"/>
  <c r="Q55" i="6" s="1"/>
  <c r="AN24" i="6"/>
  <c r="AN22" i="6"/>
  <c r="AN21" i="6"/>
  <c r="AN20" i="6"/>
  <c r="AN18" i="6"/>
  <c r="AN17" i="6"/>
  <c r="AN16" i="6"/>
  <c r="AN15" i="6"/>
  <c r="AN14" i="6"/>
  <c r="AN13" i="6"/>
  <c r="AN12" i="6"/>
  <c r="C54" i="5"/>
  <c r="D54" i="5" s="1"/>
  <c r="E54" i="5" s="1"/>
  <c r="F54" i="5" s="1"/>
  <c r="G54" i="5" s="1"/>
  <c r="H54" i="5" s="1"/>
  <c r="I54" i="5" s="1"/>
  <c r="J54" i="5" s="1"/>
  <c r="K54" i="5" s="1"/>
  <c r="L54" i="5" s="1"/>
  <c r="M54" i="5" s="1"/>
  <c r="N54" i="5" s="1"/>
  <c r="O54" i="5" s="1"/>
  <c r="P54" i="5" s="1"/>
  <c r="D51" i="5"/>
  <c r="E51" i="5" s="1"/>
  <c r="F51" i="5" s="1"/>
  <c r="G51" i="5" s="1"/>
  <c r="H51" i="5" s="1"/>
  <c r="I51" i="5" s="1"/>
  <c r="J51" i="5" s="1"/>
  <c r="K51" i="5" s="1"/>
  <c r="L51" i="5" s="1"/>
  <c r="M51" i="5" s="1"/>
  <c r="N51" i="5" s="1"/>
  <c r="O51" i="5" s="1"/>
  <c r="P51" i="5" s="1"/>
  <c r="Q51" i="5" s="1"/>
  <c r="R51" i="5" s="1"/>
  <c r="S51" i="5" s="1"/>
  <c r="T51" i="5" s="1"/>
  <c r="U51" i="5" s="1"/>
  <c r="V51" i="5" s="1"/>
  <c r="W51" i="5" s="1"/>
  <c r="X51" i="5" s="1"/>
  <c r="Y51" i="5" s="1"/>
  <c r="Z51" i="5" s="1"/>
  <c r="AA51" i="5" s="1"/>
  <c r="AB51" i="5" s="1"/>
  <c r="AC51" i="5" s="1"/>
  <c r="AD51" i="5" s="1"/>
  <c r="AE51" i="5" s="1"/>
  <c r="AF51" i="5" s="1"/>
  <c r="AG51" i="5" s="1"/>
  <c r="AH51" i="5" s="1"/>
  <c r="AI51" i="5" s="1"/>
  <c r="AJ51" i="5" s="1"/>
  <c r="AK51" i="5" s="1"/>
  <c r="AL51" i="5" s="1"/>
  <c r="C51" i="5"/>
  <c r="C50" i="5"/>
  <c r="D50" i="5" s="1"/>
  <c r="E50" i="5" s="1"/>
  <c r="F50" i="5" s="1"/>
  <c r="G50" i="5" s="1"/>
  <c r="H50" i="5" s="1"/>
  <c r="I50" i="5" s="1"/>
  <c r="J50" i="5" s="1"/>
  <c r="K50" i="5" s="1"/>
  <c r="L50" i="5" s="1"/>
  <c r="M50" i="5" s="1"/>
  <c r="N50" i="5" s="1"/>
  <c r="O50" i="5" s="1"/>
  <c r="P50" i="5" s="1"/>
  <c r="Q50" i="5" s="1"/>
  <c r="R50" i="5" s="1"/>
  <c r="S50" i="5" s="1"/>
  <c r="T50" i="5" s="1"/>
  <c r="U50" i="5" s="1"/>
  <c r="V50" i="5" s="1"/>
  <c r="W50" i="5" s="1"/>
  <c r="X50" i="5" s="1"/>
  <c r="Y50" i="5" s="1"/>
  <c r="Z50" i="5" s="1"/>
  <c r="AA50" i="5" s="1"/>
  <c r="AB50" i="5" s="1"/>
  <c r="AC50" i="5" s="1"/>
  <c r="AD50" i="5" s="1"/>
  <c r="AE50" i="5" s="1"/>
  <c r="AF50" i="5" s="1"/>
  <c r="AG50" i="5" s="1"/>
  <c r="AH50" i="5" s="1"/>
  <c r="AI50" i="5" s="1"/>
  <c r="AJ50" i="5" s="1"/>
  <c r="AK50" i="5" s="1"/>
  <c r="AL50" i="5" s="1"/>
  <c r="C49" i="5"/>
  <c r="D49" i="5" s="1"/>
  <c r="E49" i="5" s="1"/>
  <c r="F49" i="5" s="1"/>
  <c r="G49" i="5" s="1"/>
  <c r="H49" i="5" s="1"/>
  <c r="I49" i="5" s="1"/>
  <c r="J49" i="5" s="1"/>
  <c r="K49" i="5" s="1"/>
  <c r="L49" i="5" s="1"/>
  <c r="M49" i="5" s="1"/>
  <c r="N49" i="5" s="1"/>
  <c r="O49" i="5" s="1"/>
  <c r="P49" i="5" s="1"/>
  <c r="Q49" i="5" s="1"/>
  <c r="R49" i="5" s="1"/>
  <c r="S49" i="5" s="1"/>
  <c r="T49" i="5" s="1"/>
  <c r="U49" i="5" s="1"/>
  <c r="V49" i="5" s="1"/>
  <c r="W49" i="5" s="1"/>
  <c r="X49" i="5" s="1"/>
  <c r="Y49" i="5" s="1"/>
  <c r="Z49" i="5" s="1"/>
  <c r="AA49" i="5" s="1"/>
  <c r="AB49" i="5" s="1"/>
  <c r="AC49" i="5" s="1"/>
  <c r="AD49" i="5" s="1"/>
  <c r="AE49" i="5" s="1"/>
  <c r="AF49" i="5" s="1"/>
  <c r="AG49" i="5" s="1"/>
  <c r="AH49" i="5" s="1"/>
  <c r="AI49" i="5" s="1"/>
  <c r="AJ49" i="5" s="1"/>
  <c r="AK49" i="5" s="1"/>
  <c r="AL49" i="5" s="1"/>
  <c r="AM41" i="5"/>
  <c r="AM40" i="5"/>
  <c r="AM39" i="5"/>
  <c r="AL38" i="5"/>
  <c r="AK38" i="5"/>
  <c r="AJ38" i="5"/>
  <c r="AI38" i="5"/>
  <c r="AH38" i="5"/>
  <c r="AG38" i="5"/>
  <c r="AF38" i="5"/>
  <c r="AE38" i="5"/>
  <c r="AD38" i="5"/>
  <c r="AC38" i="5"/>
  <c r="AB38" i="5"/>
  <c r="AA38" i="5"/>
  <c r="Z38" i="5"/>
  <c r="Y38" i="5"/>
  <c r="X38" i="5"/>
  <c r="W38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8" i="5"/>
  <c r="AM38" i="5" s="1"/>
  <c r="AM37" i="5"/>
  <c r="AM36" i="5"/>
  <c r="AM35" i="5"/>
  <c r="AM34" i="5"/>
  <c r="AM31" i="5"/>
  <c r="AM30" i="5"/>
  <c r="AM29" i="5"/>
  <c r="AM28" i="5"/>
  <c r="AM27" i="5"/>
  <c r="AM26" i="5"/>
  <c r="AM25" i="5"/>
  <c r="AL24" i="5"/>
  <c r="AK24" i="5"/>
  <c r="AJ24" i="5"/>
  <c r="AI24" i="5"/>
  <c r="AH24" i="5"/>
  <c r="AG24" i="5"/>
  <c r="AF24" i="5"/>
  <c r="AE24" i="5"/>
  <c r="AD24" i="5"/>
  <c r="AC24" i="5"/>
  <c r="AB24" i="5"/>
  <c r="AA24" i="5"/>
  <c r="Z24" i="5"/>
  <c r="Y24" i="5"/>
  <c r="X24" i="5"/>
  <c r="W24" i="5"/>
  <c r="V24" i="5"/>
  <c r="U24" i="5"/>
  <c r="T24" i="5"/>
  <c r="S24" i="5"/>
  <c r="R24" i="5"/>
  <c r="Q24" i="5"/>
  <c r="P24" i="5"/>
  <c r="AM23" i="5"/>
  <c r="AM21" i="5"/>
  <c r="AM20" i="5"/>
  <c r="AM19" i="5"/>
  <c r="AM17" i="5"/>
  <c r="AM16" i="5"/>
  <c r="AM15" i="5"/>
  <c r="AM14" i="5"/>
  <c r="AM13" i="5"/>
  <c r="AM12" i="5"/>
  <c r="AM11" i="5"/>
  <c r="C54" i="3"/>
  <c r="D54" i="3" s="1"/>
  <c r="E54" i="3" s="1"/>
  <c r="F54" i="3" s="1"/>
  <c r="G54" i="3" s="1"/>
  <c r="H54" i="3" s="1"/>
  <c r="I54" i="3" s="1"/>
  <c r="J54" i="3" s="1"/>
  <c r="K54" i="3" s="1"/>
  <c r="L54" i="3" s="1"/>
  <c r="M54" i="3" s="1"/>
  <c r="N54" i="3" s="1"/>
  <c r="O54" i="3" s="1"/>
  <c r="C50" i="3"/>
  <c r="D50" i="3" s="1"/>
  <c r="E50" i="3" s="1"/>
  <c r="F50" i="3" s="1"/>
  <c r="G50" i="3" s="1"/>
  <c r="H50" i="3" s="1"/>
  <c r="I50" i="3" s="1"/>
  <c r="J50" i="3" s="1"/>
  <c r="K50" i="3" s="1"/>
  <c r="L50" i="3" s="1"/>
  <c r="M50" i="3" s="1"/>
  <c r="N50" i="3" s="1"/>
  <c r="O50" i="3" s="1"/>
  <c r="P50" i="3" s="1"/>
  <c r="Q50" i="3" s="1"/>
  <c r="R50" i="3" s="1"/>
  <c r="S50" i="3" s="1"/>
  <c r="T50" i="3" s="1"/>
  <c r="U50" i="3" s="1"/>
  <c r="V50" i="3" s="1"/>
  <c r="W50" i="3" s="1"/>
  <c r="X50" i="3" s="1"/>
  <c r="Y50" i="3" s="1"/>
  <c r="Z50" i="3" s="1"/>
  <c r="AA50" i="3" s="1"/>
  <c r="AB50" i="3" s="1"/>
  <c r="AC50" i="3" s="1"/>
  <c r="AD50" i="3" s="1"/>
  <c r="AE50" i="3" s="1"/>
  <c r="AF50" i="3" s="1"/>
  <c r="AG50" i="3" s="1"/>
  <c r="AH50" i="3" s="1"/>
  <c r="AI50" i="3" s="1"/>
  <c r="AJ50" i="3" s="1"/>
  <c r="AK50" i="3" s="1"/>
  <c r="AL50" i="3" s="1"/>
  <c r="C51" i="3"/>
  <c r="D51" i="3" s="1"/>
  <c r="E51" i="3" s="1"/>
  <c r="F51" i="3" s="1"/>
  <c r="G51" i="3" s="1"/>
  <c r="H51" i="3" s="1"/>
  <c r="I51" i="3" s="1"/>
  <c r="J51" i="3" s="1"/>
  <c r="K51" i="3" s="1"/>
  <c r="L51" i="3" s="1"/>
  <c r="M51" i="3" s="1"/>
  <c r="N51" i="3" s="1"/>
  <c r="O51" i="3" s="1"/>
  <c r="P51" i="3" s="1"/>
  <c r="Q51" i="3" s="1"/>
  <c r="R51" i="3" s="1"/>
  <c r="S51" i="3" s="1"/>
  <c r="T51" i="3" s="1"/>
  <c r="U51" i="3" s="1"/>
  <c r="V51" i="3" s="1"/>
  <c r="W51" i="3" s="1"/>
  <c r="X51" i="3" s="1"/>
  <c r="Y51" i="3" s="1"/>
  <c r="Z51" i="3" s="1"/>
  <c r="AA51" i="3" s="1"/>
  <c r="AB51" i="3" s="1"/>
  <c r="AC51" i="3" s="1"/>
  <c r="AD51" i="3" s="1"/>
  <c r="AE51" i="3" s="1"/>
  <c r="AF51" i="3" s="1"/>
  <c r="AG51" i="3" s="1"/>
  <c r="AH51" i="3" s="1"/>
  <c r="AI51" i="3" s="1"/>
  <c r="AJ51" i="3" s="1"/>
  <c r="AK51" i="3" s="1"/>
  <c r="AL51" i="3" s="1"/>
  <c r="C38" i="3"/>
  <c r="C52" i="3" s="1"/>
  <c r="D38" i="3"/>
  <c r="E38" i="3"/>
  <c r="F38" i="3"/>
  <c r="G38" i="3"/>
  <c r="H38" i="3"/>
  <c r="I38" i="3"/>
  <c r="J38" i="3"/>
  <c r="K38" i="3"/>
  <c r="L38" i="3"/>
  <c r="M38" i="3"/>
  <c r="N38" i="3"/>
  <c r="O38" i="3"/>
  <c r="X50" i="6" l="1"/>
  <c r="Y50" i="6" s="1"/>
  <c r="Z50" i="6" s="1"/>
  <c r="R55" i="6"/>
  <c r="S55" i="6" s="1"/>
  <c r="T55" i="6" s="1"/>
  <c r="U55" i="6" s="1"/>
  <c r="V55" i="6" s="1"/>
  <c r="W55" i="6" s="1"/>
  <c r="X55" i="6" s="1"/>
  <c r="Y55" i="6" s="1"/>
  <c r="Z55" i="6" s="1"/>
  <c r="AA55" i="6" s="1"/>
  <c r="AB55" i="6" s="1"/>
  <c r="AC55" i="6" s="1"/>
  <c r="AD55" i="6" s="1"/>
  <c r="AE55" i="6" s="1"/>
  <c r="AF55" i="6" s="1"/>
  <c r="AG55" i="6" s="1"/>
  <c r="AH55" i="6" s="1"/>
  <c r="AI55" i="6" s="1"/>
  <c r="AJ55" i="6" s="1"/>
  <c r="AK55" i="6" s="1"/>
  <c r="AL55" i="6" s="1"/>
  <c r="AM55" i="6" s="1"/>
  <c r="E53" i="6"/>
  <c r="F53" i="6" s="1"/>
  <c r="G53" i="6" s="1"/>
  <c r="H53" i="6" s="1"/>
  <c r="I53" i="6" s="1"/>
  <c r="J53" i="6" s="1"/>
  <c r="K53" i="6" s="1"/>
  <c r="L53" i="6" s="1"/>
  <c r="M53" i="6" s="1"/>
  <c r="N53" i="6" s="1"/>
  <c r="O53" i="6" s="1"/>
  <c r="P53" i="6" s="1"/>
  <c r="Q53" i="6" s="1"/>
  <c r="R53" i="6" s="1"/>
  <c r="S53" i="6" s="1"/>
  <c r="T53" i="6" s="1"/>
  <c r="U53" i="6" s="1"/>
  <c r="V53" i="6" s="1"/>
  <c r="W53" i="6" s="1"/>
  <c r="X53" i="6" s="1"/>
  <c r="Y53" i="6" s="1"/>
  <c r="Z53" i="6" s="1"/>
  <c r="AN25" i="6"/>
  <c r="AN39" i="6"/>
  <c r="Q54" i="5"/>
  <c r="R54" i="5" s="1"/>
  <c r="S54" i="5" s="1"/>
  <c r="T54" i="5" s="1"/>
  <c r="U54" i="5" s="1"/>
  <c r="V54" i="5" s="1"/>
  <c r="W54" i="5" s="1"/>
  <c r="X54" i="5" s="1"/>
  <c r="Y54" i="5" s="1"/>
  <c r="Z54" i="5" s="1"/>
  <c r="AA54" i="5" s="1"/>
  <c r="AB54" i="5" s="1"/>
  <c r="AC54" i="5" s="1"/>
  <c r="AD54" i="5" s="1"/>
  <c r="AE54" i="5" s="1"/>
  <c r="AF54" i="5" s="1"/>
  <c r="AG54" i="5" s="1"/>
  <c r="AH54" i="5" s="1"/>
  <c r="AI54" i="5" s="1"/>
  <c r="AJ54" i="5" s="1"/>
  <c r="AK54" i="5" s="1"/>
  <c r="AL54" i="5" s="1"/>
  <c r="AM24" i="5"/>
  <c r="C52" i="5"/>
  <c r="D52" i="5" s="1"/>
  <c r="E52" i="5" s="1"/>
  <c r="F52" i="5" s="1"/>
  <c r="G52" i="5" s="1"/>
  <c r="H52" i="5" s="1"/>
  <c r="I52" i="5" s="1"/>
  <c r="J52" i="5" s="1"/>
  <c r="K52" i="5" s="1"/>
  <c r="L52" i="5" s="1"/>
  <c r="M52" i="5" s="1"/>
  <c r="N52" i="5" s="1"/>
  <c r="O52" i="5" s="1"/>
  <c r="P52" i="5" s="1"/>
  <c r="Q52" i="5" s="1"/>
  <c r="R52" i="5" s="1"/>
  <c r="S52" i="5" s="1"/>
  <c r="T52" i="5" s="1"/>
  <c r="U52" i="5" s="1"/>
  <c r="V52" i="5" s="1"/>
  <c r="W52" i="5" s="1"/>
  <c r="X52" i="5" s="1"/>
  <c r="Y52" i="5" s="1"/>
  <c r="Z52" i="5" s="1"/>
  <c r="AA52" i="5" s="1"/>
  <c r="AB52" i="5" s="1"/>
  <c r="AC52" i="5" s="1"/>
  <c r="AD52" i="5" s="1"/>
  <c r="AE52" i="5" s="1"/>
  <c r="AF52" i="5" s="1"/>
  <c r="AG52" i="5" s="1"/>
  <c r="AH52" i="5" s="1"/>
  <c r="AI52" i="5" s="1"/>
  <c r="AJ52" i="5" s="1"/>
  <c r="AK52" i="5" s="1"/>
  <c r="AL52" i="5" s="1"/>
  <c r="D52" i="3"/>
  <c r="E52" i="3" s="1"/>
  <c r="F52" i="3" s="1"/>
  <c r="G52" i="3" s="1"/>
  <c r="H52" i="3" s="1"/>
  <c r="I52" i="3" s="1"/>
  <c r="J52" i="3" s="1"/>
  <c r="K52" i="3" s="1"/>
  <c r="L52" i="3" s="1"/>
  <c r="M52" i="3" s="1"/>
  <c r="N52" i="3" s="1"/>
  <c r="O52" i="3" s="1"/>
  <c r="C49" i="3"/>
  <c r="D49" i="3" s="1"/>
  <c r="E49" i="3" s="1"/>
  <c r="F49" i="3" s="1"/>
  <c r="G49" i="3" s="1"/>
  <c r="H49" i="3" s="1"/>
  <c r="I49" i="3" s="1"/>
  <c r="J49" i="3" s="1"/>
  <c r="K49" i="3" s="1"/>
  <c r="L49" i="3" s="1"/>
  <c r="M49" i="3" s="1"/>
  <c r="N49" i="3" s="1"/>
  <c r="O49" i="3" s="1"/>
  <c r="P49" i="3" s="1"/>
  <c r="Q49" i="3" s="1"/>
  <c r="R49" i="3" s="1"/>
  <c r="S49" i="3" s="1"/>
  <c r="T49" i="3" s="1"/>
  <c r="U49" i="3" s="1"/>
  <c r="V49" i="3" s="1"/>
  <c r="W49" i="3" s="1"/>
  <c r="X49" i="3" s="1"/>
  <c r="Y49" i="3" s="1"/>
  <c r="Z49" i="3" s="1"/>
  <c r="AA49" i="3" s="1"/>
  <c r="AB49" i="3" s="1"/>
  <c r="AC49" i="3" s="1"/>
  <c r="AD49" i="3" s="1"/>
  <c r="AE49" i="3" s="1"/>
  <c r="AF49" i="3" s="1"/>
  <c r="AG49" i="3" s="1"/>
  <c r="AH49" i="3" s="1"/>
  <c r="AI49" i="3" s="1"/>
  <c r="AJ49" i="3" s="1"/>
  <c r="AK49" i="3" s="1"/>
  <c r="AL49" i="3" s="1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P24" i="3"/>
  <c r="P54" i="3" s="1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P38" i="3"/>
  <c r="AM13" i="3"/>
  <c r="AM14" i="3"/>
  <c r="AM15" i="3"/>
  <c r="AM16" i="3"/>
  <c r="AM17" i="3"/>
  <c r="AM19" i="3"/>
  <c r="AM20" i="3"/>
  <c r="AM21" i="3"/>
  <c r="AM23" i="3"/>
  <c r="AM25" i="3"/>
  <c r="AM26" i="3"/>
  <c r="AM27" i="3"/>
  <c r="AM28" i="3"/>
  <c r="AM29" i="3"/>
  <c r="AM30" i="3"/>
  <c r="AM31" i="3"/>
  <c r="AM34" i="3"/>
  <c r="AM35" i="3"/>
  <c r="AM36" i="3"/>
  <c r="AM37" i="3"/>
  <c r="AM39" i="3"/>
  <c r="AM40" i="3"/>
  <c r="AM41" i="3"/>
  <c r="AM12" i="3"/>
  <c r="AM11" i="3"/>
  <c r="AA50" i="6" l="1"/>
  <c r="AB50" i="6" s="1"/>
  <c r="AC50" i="6" s="1"/>
  <c r="AD50" i="6" s="1"/>
  <c r="AE50" i="6" s="1"/>
  <c r="AF50" i="6" s="1"/>
  <c r="AG50" i="6" s="1"/>
  <c r="AH50" i="6" s="1"/>
  <c r="AI50" i="6" s="1"/>
  <c r="AJ50" i="6" s="1"/>
  <c r="AK50" i="6" s="1"/>
  <c r="AL50" i="6" s="1"/>
  <c r="AM50" i="6" s="1"/>
  <c r="AA53" i="6"/>
  <c r="AB53" i="6" s="1"/>
  <c r="AC53" i="6" s="1"/>
  <c r="AD53" i="6" s="1"/>
  <c r="AE53" i="6" s="1"/>
  <c r="AF53" i="6" s="1"/>
  <c r="AG53" i="6" s="1"/>
  <c r="AH53" i="6" s="1"/>
  <c r="AI53" i="6" s="1"/>
  <c r="AJ53" i="6" s="1"/>
  <c r="AK53" i="6" s="1"/>
  <c r="AL53" i="6" s="1"/>
  <c r="AM53" i="6" s="1"/>
  <c r="Q54" i="3"/>
  <c r="R54" i="3" s="1"/>
  <c r="S54" i="3" s="1"/>
  <c r="T54" i="3" s="1"/>
  <c r="U54" i="3" s="1"/>
  <c r="V54" i="3" s="1"/>
  <c r="W54" i="3" s="1"/>
  <c r="X54" i="3" s="1"/>
  <c r="Y54" i="3" s="1"/>
  <c r="Z54" i="3" s="1"/>
  <c r="AA54" i="3" s="1"/>
  <c r="AB54" i="3" s="1"/>
  <c r="AC54" i="3" s="1"/>
  <c r="AD54" i="3" s="1"/>
  <c r="AE54" i="3" s="1"/>
  <c r="AF54" i="3" s="1"/>
  <c r="AG54" i="3" s="1"/>
  <c r="AH54" i="3" s="1"/>
  <c r="AI54" i="3" s="1"/>
  <c r="AJ54" i="3" s="1"/>
  <c r="AK54" i="3" s="1"/>
  <c r="AL54" i="3" s="1"/>
  <c r="P52" i="3"/>
  <c r="Q52" i="3" s="1"/>
  <c r="R52" i="3" s="1"/>
  <c r="S52" i="3" s="1"/>
  <c r="T52" i="3" s="1"/>
  <c r="U52" i="3" s="1"/>
  <c r="V52" i="3" s="1"/>
  <c r="W52" i="3" s="1"/>
  <c r="X52" i="3" s="1"/>
  <c r="Y52" i="3" s="1"/>
  <c r="Z52" i="3" s="1"/>
  <c r="AA52" i="3" s="1"/>
  <c r="AB52" i="3" s="1"/>
  <c r="AC52" i="3" s="1"/>
  <c r="AD52" i="3" s="1"/>
  <c r="AE52" i="3" s="1"/>
  <c r="AF52" i="3" s="1"/>
  <c r="AG52" i="3" s="1"/>
  <c r="AH52" i="3" s="1"/>
  <c r="AI52" i="3" s="1"/>
  <c r="AJ52" i="3" s="1"/>
  <c r="AK52" i="3" s="1"/>
  <c r="AL52" i="3" s="1"/>
  <c r="AM24" i="3"/>
  <c r="AM38" i="3"/>
</calcChain>
</file>

<file path=xl/sharedStrings.xml><?xml version="1.0" encoding="utf-8"?>
<sst xmlns="http://schemas.openxmlformats.org/spreadsheetml/2006/main" count="505" uniqueCount="147">
  <si>
    <t>NextFlex</t>
  </si>
  <si>
    <t>ADP</t>
  </si>
  <si>
    <t>Project Name</t>
  </si>
  <si>
    <t>Q1</t>
  </si>
  <si>
    <t>Q2</t>
  </si>
  <si>
    <t>Q3</t>
  </si>
  <si>
    <t>Q4</t>
  </si>
  <si>
    <t>Committed</t>
  </si>
  <si>
    <t>Total</t>
  </si>
  <si>
    <t>Obligated</t>
  </si>
  <si>
    <t>Budgeted</t>
  </si>
  <si>
    <t>Actuals</t>
  </si>
  <si>
    <t>Contracting</t>
  </si>
  <si>
    <t>Expended</t>
  </si>
  <si>
    <t>FY2027</t>
  </si>
  <si>
    <t>FY2028</t>
  </si>
  <si>
    <t>Total Committed</t>
  </si>
  <si>
    <t>Total Obligated</t>
  </si>
  <si>
    <t>Total Expended</t>
  </si>
  <si>
    <t>Budgeted Plan</t>
  </si>
  <si>
    <t>Revised Plan</t>
  </si>
  <si>
    <t>Actual</t>
  </si>
  <si>
    <t>Q1 FY20</t>
  </si>
  <si>
    <t>Q2 FY20</t>
  </si>
  <si>
    <t>Q3 FY20</t>
  </si>
  <si>
    <t>Q4 FY20</t>
  </si>
  <si>
    <t>Q1 FY21</t>
  </si>
  <si>
    <t>Q2 FY21</t>
  </si>
  <si>
    <t>Q3 FY21</t>
  </si>
  <si>
    <t>Q4 FY21</t>
  </si>
  <si>
    <t>Q1 FY22</t>
  </si>
  <si>
    <t>Q2 FY22</t>
  </si>
  <si>
    <t>Q3 FY22</t>
  </si>
  <si>
    <t>Q4 FY22</t>
  </si>
  <si>
    <t>Q1 FY23</t>
  </si>
  <si>
    <t>Q2 FY23</t>
  </si>
  <si>
    <t>Q3 FY23</t>
  </si>
  <si>
    <t>Q4 FY23</t>
  </si>
  <si>
    <t>Q1 FY24</t>
  </si>
  <si>
    <t>Q2 FY24</t>
  </si>
  <si>
    <t>Q3 FY24</t>
  </si>
  <si>
    <t>Q4 FY24</t>
  </si>
  <si>
    <t>Q1 FY25</t>
  </si>
  <si>
    <t>Q2 FY25</t>
  </si>
  <si>
    <t>Q3 FY25</t>
  </si>
  <si>
    <t>Q4 FY25</t>
  </si>
  <si>
    <t>Q1 FY26</t>
  </si>
  <si>
    <t>Q2 FY26</t>
  </si>
  <si>
    <t>Q3 FY26</t>
  </si>
  <si>
    <t>Q4 FY26</t>
  </si>
  <si>
    <t>Q1 FY27</t>
  </si>
  <si>
    <t>Q2 FY27</t>
  </si>
  <si>
    <t>Q3 FY27</t>
  </si>
  <si>
    <t>Q4 FY27</t>
  </si>
  <si>
    <t>Q1 FY28</t>
  </si>
  <si>
    <t>Q2 FY28</t>
  </si>
  <si>
    <t>Q3 FY28</t>
  </si>
  <si>
    <t>Q4 FY28</t>
  </si>
  <si>
    <t>Project Type</t>
  </si>
  <si>
    <t>Service</t>
  </si>
  <si>
    <t>Color of Money</t>
  </si>
  <si>
    <t>ACRNs</t>
  </si>
  <si>
    <t>NASA</t>
  </si>
  <si>
    <t>OSD</t>
  </si>
  <si>
    <t>ARMY</t>
  </si>
  <si>
    <t>NAVY</t>
  </si>
  <si>
    <t>AIR FORCE</t>
  </si>
  <si>
    <t>Services</t>
  </si>
  <si>
    <t>OTHER</t>
  </si>
  <si>
    <t>Types</t>
  </si>
  <si>
    <t>CORE</t>
  </si>
  <si>
    <t>EWD</t>
  </si>
  <si>
    <t>CII</t>
  </si>
  <si>
    <t>TECH/FAB</t>
  </si>
  <si>
    <t>MANAGEMENT</t>
  </si>
  <si>
    <t>COLOR</t>
  </si>
  <si>
    <t>RDT&amp;E</t>
  </si>
  <si>
    <t>O&amp;M</t>
  </si>
  <si>
    <t>Heated Handwear</t>
  </si>
  <si>
    <t>govt awards</t>
  </si>
  <si>
    <t>govt obligated</t>
  </si>
  <si>
    <t>cash collected</t>
  </si>
  <si>
    <t>remaining cash</t>
  </si>
  <si>
    <t>add calc field</t>
  </si>
  <si>
    <t>Rollup</t>
  </si>
  <si>
    <t>source: bible</t>
  </si>
  <si>
    <t>source: project bud vs actual</t>
  </si>
  <si>
    <t>Labor Cost 5001</t>
  </si>
  <si>
    <t>Fringe 5990</t>
  </si>
  <si>
    <t>Travel 5004</t>
  </si>
  <si>
    <t>Subcontracting 5005</t>
  </si>
  <si>
    <t>Consulting 5002</t>
  </si>
  <si>
    <t>Equipment 5010</t>
  </si>
  <si>
    <t>Equipment 5008</t>
  </si>
  <si>
    <t>Other Direct Costs 5009</t>
  </si>
  <si>
    <t>Material 5003</t>
  </si>
  <si>
    <t>Sub K Overhead 5992</t>
  </si>
  <si>
    <t>G&amp;A 5991</t>
  </si>
  <si>
    <t>Sub K Overhead 5993</t>
  </si>
  <si>
    <t>Labor Hours statistical account</t>
  </si>
  <si>
    <t>formulas</t>
  </si>
  <si>
    <t>FYE 9/30/2020</t>
  </si>
  <si>
    <t>FYE 9/30/2021</t>
  </si>
  <si>
    <t>FYE 9/30/2022</t>
  </si>
  <si>
    <t>FYE 9/30/2023</t>
  </si>
  <si>
    <t>FYE 9/30/2024</t>
  </si>
  <si>
    <t>FYE 9/30/2025</t>
  </si>
  <si>
    <t>FYE 9/30/2026</t>
  </si>
  <si>
    <t>source: SF270 needs to be put NSAW</t>
  </si>
  <si>
    <t>Type B</t>
  </si>
  <si>
    <t>Type C</t>
  </si>
  <si>
    <t>New report -</t>
  </si>
  <si>
    <t>FEMR</t>
  </si>
  <si>
    <t>Historical date for this report - FY ended 09/2020</t>
  </si>
  <si>
    <t>Q1, Q2, Q3, Q4  for FY ended 09/2020 signifyes</t>
  </si>
  <si>
    <t>Q1- Oct -Dec'19</t>
  </si>
  <si>
    <t>Q2- Jan-Feb'20</t>
  </si>
  <si>
    <t>Q4- Jul-Sep'20</t>
  </si>
  <si>
    <t>Q3- Apr-Sep'20</t>
  </si>
  <si>
    <t>Where do we get this name ? From sequence ?</t>
  </si>
  <si>
    <t>This is Project Type B</t>
  </si>
  <si>
    <t>This is Project Type C</t>
  </si>
  <si>
    <t>Keep it Blank</t>
  </si>
  <si>
    <t>ACRN  field</t>
  </si>
  <si>
    <t>Derived from "Sequence "?</t>
  </si>
  <si>
    <t>We will create a statiscal account for this later</t>
  </si>
  <si>
    <t>DNU ALLO G and A OH WFD</t>
  </si>
  <si>
    <t>What is this GL corresponding  in NETsuite - in NS 5993 is DNU</t>
  </si>
  <si>
    <t>We need to import sheets as well ; not just NS  ?</t>
  </si>
  <si>
    <t>Project Short Name</t>
  </si>
  <si>
    <t>filter conditions - we should do Projects which are Project Type A= CA1 and CA2 and Project Type B have ADP in it or take it from Sequence - for all ADP ?</t>
  </si>
  <si>
    <t>From date - to date - all fiscal year  STARTING FROM 10/01/2019</t>
  </si>
  <si>
    <t>What is revised plan ?</t>
  </si>
  <si>
    <t>FY</t>
  </si>
  <si>
    <t>FYE</t>
  </si>
  <si>
    <t>Quarter</t>
  </si>
  <si>
    <t>Trandate</t>
  </si>
  <si>
    <t>Segment</t>
  </si>
  <si>
    <t>Budget</t>
  </si>
  <si>
    <t>Dataflow</t>
  </si>
  <si>
    <t>Account Name</t>
  </si>
  <si>
    <t>Labor 5001</t>
  </si>
  <si>
    <t>External Approver 1</t>
  </si>
  <si>
    <t>External Approver  1</t>
  </si>
  <si>
    <t>Project #</t>
  </si>
  <si>
    <t>Date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</si>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</sst>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4F169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5" fillId="0" borderId="0"/>
  </cellStyleXfs>
  <cellXfs count="77">
    <xf numFmtId="0" fontId="0" fillId="0" borderId="0" xfId="0"/>
    <xf numFmtId="0" fontId="0" fillId="0" borderId="8" xfId="0" applyBorder="1"/>
    <xf numFmtId="0" fontId="0" fillId="0" borderId="9" xfId="0" applyBorder="1"/>
    <xf numFmtId="0" fontId="0" fillId="0" borderId="7" xfId="0" applyBorder="1"/>
    <xf numFmtId="0" fontId="0" fillId="0" borderId="20" xfId="0" applyBorder="1"/>
    <xf numFmtId="164" fontId="0" fillId="0" borderId="16" xfId="1" applyFont="1" applyBorder="1"/>
    <xf numFmtId="164" fontId="0" fillId="0" borderId="1" xfId="1" applyFont="1" applyBorder="1"/>
    <xf numFmtId="164" fontId="0" fillId="0" borderId="17" xfId="1" applyFont="1" applyBorder="1"/>
    <xf numFmtId="164" fontId="0" fillId="0" borderId="18" xfId="1" applyFont="1" applyBorder="1"/>
    <xf numFmtId="164" fontId="0" fillId="0" borderId="19" xfId="1" applyFont="1" applyBorder="1"/>
    <xf numFmtId="164" fontId="0" fillId="0" borderId="20" xfId="1" applyFont="1" applyBorder="1"/>
    <xf numFmtId="0" fontId="0" fillId="0" borderId="2" xfId="0" applyBorder="1"/>
    <xf numFmtId="164" fontId="0" fillId="0" borderId="12" xfId="1" applyFont="1" applyBorder="1"/>
    <xf numFmtId="164" fontId="0" fillId="0" borderId="3" xfId="1" applyFont="1" applyBorder="1"/>
    <xf numFmtId="164" fontId="0" fillId="0" borderId="15" xfId="1" applyFont="1" applyBorder="1"/>
    <xf numFmtId="164" fontId="0" fillId="0" borderId="14" xfId="1" applyFont="1" applyBorder="1"/>
    <xf numFmtId="164" fontId="0" fillId="0" borderId="21" xfId="1" applyFont="1" applyBorder="1"/>
    <xf numFmtId="164" fontId="0" fillId="0" borderId="13" xfId="1" applyFont="1" applyBorder="1"/>
    <xf numFmtId="164" fontId="0" fillId="0" borderId="22" xfId="1" applyFont="1" applyBorder="1"/>
    <xf numFmtId="164" fontId="0" fillId="0" borderId="11" xfId="1" applyFont="1" applyBorder="1"/>
    <xf numFmtId="164" fontId="0" fillId="0" borderId="8" xfId="1" applyFont="1" applyBorder="1"/>
    <xf numFmtId="164" fontId="0" fillId="0" borderId="9" xfId="1" applyFont="1" applyBorder="1"/>
    <xf numFmtId="164" fontId="0" fillId="0" borderId="7" xfId="1" applyFont="1" applyBorder="1"/>
    <xf numFmtId="2" fontId="0" fillId="0" borderId="12" xfId="1" applyNumberFormat="1" applyFont="1" applyBorder="1"/>
    <xf numFmtId="2" fontId="0" fillId="0" borderId="3" xfId="1" applyNumberFormat="1" applyFont="1" applyBorder="1"/>
    <xf numFmtId="2" fontId="0" fillId="0" borderId="15" xfId="1" applyNumberFormat="1" applyFont="1" applyBorder="1"/>
    <xf numFmtId="2" fontId="0" fillId="0" borderId="14" xfId="1" applyNumberFormat="1" applyFont="1" applyBorder="1"/>
    <xf numFmtId="2" fontId="0" fillId="0" borderId="21" xfId="1" applyNumberFormat="1" applyFont="1" applyBorder="1"/>
    <xf numFmtId="164" fontId="0" fillId="0" borderId="24" xfId="1" applyFont="1" applyBorder="1"/>
    <xf numFmtId="164" fontId="0" fillId="0" borderId="25" xfId="1" applyFont="1" applyBorder="1"/>
    <xf numFmtId="2" fontId="0" fillId="0" borderId="10" xfId="1" applyNumberFormat="1" applyFont="1" applyBorder="1"/>
    <xf numFmtId="2" fontId="0" fillId="0" borderId="5" xfId="1" applyNumberFormat="1" applyFont="1" applyBorder="1"/>
    <xf numFmtId="2" fontId="0" fillId="0" borderId="6" xfId="1" applyNumberFormat="1" applyFont="1" applyBorder="1"/>
    <xf numFmtId="2" fontId="0" fillId="0" borderId="4" xfId="1" applyNumberFormat="1" applyFont="1" applyBorder="1"/>
    <xf numFmtId="2" fontId="0" fillId="0" borderId="26" xfId="1" applyNumberFormat="1" applyFont="1" applyBorder="1"/>
    <xf numFmtId="164" fontId="0" fillId="0" borderId="23" xfId="1" applyFont="1" applyBorder="1"/>
    <xf numFmtId="3" fontId="3" fillId="0" borderId="1" xfId="0" applyNumberFormat="1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0" fillId="2" borderId="15" xfId="0" applyFill="1" applyBorder="1"/>
    <xf numFmtId="0" fontId="0" fillId="2" borderId="0" xfId="0" applyFill="1"/>
    <xf numFmtId="0" fontId="0" fillId="3" borderId="17" xfId="0" applyFill="1" applyBorder="1"/>
    <xf numFmtId="0" fontId="0" fillId="3" borderId="0" xfId="0" applyFill="1"/>
    <xf numFmtId="0" fontId="0" fillId="4" borderId="0" xfId="0" applyFill="1"/>
    <xf numFmtId="0" fontId="0" fillId="4" borderId="9" xfId="0" applyFill="1" applyBorder="1"/>
    <xf numFmtId="0" fontId="3" fillId="0" borderId="0" xfId="0" applyFont="1"/>
    <xf numFmtId="0" fontId="4" fillId="4" borderId="0" xfId="0" applyFont="1" applyFill="1"/>
    <xf numFmtId="164" fontId="3" fillId="0" borderId="0" xfId="0" applyNumberFormat="1" applyFont="1"/>
    <xf numFmtId="0" fontId="0" fillId="5" borderId="0" xfId="0" applyFill="1"/>
    <xf numFmtId="0" fontId="0" fillId="3" borderId="6" xfId="0" applyFill="1" applyBorder="1"/>
    <xf numFmtId="0" fontId="0" fillId="3" borderId="27" xfId="0" applyFill="1" applyBorder="1"/>
    <xf numFmtId="0" fontId="0" fillId="3" borderId="28" xfId="0" applyFill="1" applyBorder="1"/>
    <xf numFmtId="0" fontId="0" fillId="0" borderId="29" xfId="0" applyBorder="1"/>
    <xf numFmtId="0" fontId="0" fillId="3" borderId="30" xfId="0" applyFill="1" applyBorder="1"/>
    <xf numFmtId="0" fontId="0" fillId="0" borderId="31" xfId="0" applyBorder="1"/>
    <xf numFmtId="0" fontId="0" fillId="2" borderId="27" xfId="0" applyFill="1" applyBorder="1"/>
    <xf numFmtId="0" fontId="0" fillId="4" borderId="32" xfId="0" applyFill="1" applyBorder="1"/>
    <xf numFmtId="0" fontId="6" fillId="0" borderId="0" xfId="3" applyFont="1" applyAlignment="1">
      <alignment horizontal="center" vertical="top" wrapText="1"/>
    </xf>
    <xf numFmtId="0" fontId="7" fillId="0" borderId="0" xfId="3" applyFont="1" applyAlignment="1">
      <alignment horizontal="center" vertical="top"/>
    </xf>
    <xf numFmtId="0" fontId="8" fillId="0" borderId="0" xfId="3" applyFont="1" applyAlignment="1">
      <alignment horizontal="left" vertical="top"/>
    </xf>
    <xf numFmtId="0" fontId="7" fillId="6" borderId="0" xfId="3" applyFont="1" applyFill="1" applyAlignment="1">
      <alignment horizontal="center" vertical="top"/>
    </xf>
    <xf numFmtId="0" fontId="8" fillId="6" borderId="0" xfId="3" applyFont="1" applyFill="1" applyAlignment="1">
      <alignment horizontal="left" vertical="top"/>
    </xf>
    <xf numFmtId="14" fontId="0" fillId="0" borderId="0" xfId="0" applyNumberFormat="1"/>
    <xf numFmtId="15" fontId="0" fillId="0" borderId="0" xfId="0" applyNumberForma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0" fillId="5" borderId="14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</cellXfs>
  <cellStyles count="4">
    <cellStyle name="Currency" xfId="1" builtinId="4"/>
    <cellStyle name="Normal" xfId="0" builtinId="0"/>
    <cellStyle name="Normal 2" xfId="3" xr:uid="{2BB66BD8-408D-4A3A-8694-3D27DADE3DEE}"/>
    <cellStyle name="Normal 3" xfId="2" xr:uid="{75968426-5DA6-48D7-AF0E-9F50D001723E}"/>
  </cellStyles>
  <dxfs count="0"/>
  <tableStyles count="0" defaultTableStyle="TableStyleMedium2" defaultPivotStyle="PivotStyleLight16"/>
  <colors>
    <mruColors>
      <color rgb="FFF4F1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Funds Committed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'ADP 62'!$D$49:$AM$49</c:f>
              <c:strCache>
                <c:ptCount val="36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  <c:pt idx="25">
                  <c:v>Q2 FY26</c:v>
                </c:pt>
                <c:pt idx="26">
                  <c:v>Q3 FY26</c:v>
                </c:pt>
                <c:pt idx="27">
                  <c:v>Q4 FY26</c:v>
                </c:pt>
                <c:pt idx="28">
                  <c:v>Q1 FY27</c:v>
                </c:pt>
                <c:pt idx="29">
                  <c:v>Q2 FY27</c:v>
                </c:pt>
                <c:pt idx="30">
                  <c:v>Q3 FY27</c:v>
                </c:pt>
                <c:pt idx="31">
                  <c:v>Q4 FY27</c:v>
                </c:pt>
                <c:pt idx="32">
                  <c:v>Q1 FY28</c:v>
                </c:pt>
                <c:pt idx="33">
                  <c:v>Q2 FY28</c:v>
                </c:pt>
                <c:pt idx="34">
                  <c:v>Q3 FY28</c:v>
                </c:pt>
                <c:pt idx="35">
                  <c:v>Q4 FY28</c:v>
                </c:pt>
              </c:strCache>
            </c:strRef>
          </c:xVal>
          <c:yVal>
            <c:numRef>
              <c:f>'ADP 62'!$D$50:$AM$50</c:f>
              <c:numCache>
                <c:formatCode>_("$"* #,##0.00_);_("$"* \(#,##0.00\);_("$"* "-"??_);_(@_)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250000</c:v>
                </c:pt>
                <c:pt idx="23">
                  <c:v>250000</c:v>
                </c:pt>
                <c:pt idx="24">
                  <c:v>250000</c:v>
                </c:pt>
                <c:pt idx="25">
                  <c:v>250000</c:v>
                </c:pt>
                <c:pt idx="26">
                  <c:v>250000</c:v>
                </c:pt>
                <c:pt idx="27">
                  <c:v>250000</c:v>
                </c:pt>
                <c:pt idx="28">
                  <c:v>250000</c:v>
                </c:pt>
                <c:pt idx="29">
                  <c:v>250000</c:v>
                </c:pt>
                <c:pt idx="30">
                  <c:v>250000</c:v>
                </c:pt>
                <c:pt idx="31">
                  <c:v>250000</c:v>
                </c:pt>
                <c:pt idx="32">
                  <c:v>250000</c:v>
                </c:pt>
                <c:pt idx="33">
                  <c:v>250000</c:v>
                </c:pt>
                <c:pt idx="34">
                  <c:v>250000</c:v>
                </c:pt>
                <c:pt idx="35">
                  <c:v>250000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A2-4A2D-991F-91E62BEA7ACD}"/>
            </c:ext>
          </c:extLst>
        </c:ser>
        <c:ser>
          <c:idx val="1"/>
          <c:order val="1"/>
          <c:tx>
            <c:v>Obligated Funds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'ADP 62'!$D$49:$AM$49</c:f>
              <c:strCache>
                <c:ptCount val="36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  <c:pt idx="25">
                  <c:v>Q2 FY26</c:v>
                </c:pt>
                <c:pt idx="26">
                  <c:v>Q3 FY26</c:v>
                </c:pt>
                <c:pt idx="27">
                  <c:v>Q4 FY26</c:v>
                </c:pt>
                <c:pt idx="28">
                  <c:v>Q1 FY27</c:v>
                </c:pt>
                <c:pt idx="29">
                  <c:v>Q2 FY27</c:v>
                </c:pt>
                <c:pt idx="30">
                  <c:v>Q3 FY27</c:v>
                </c:pt>
                <c:pt idx="31">
                  <c:v>Q4 FY27</c:v>
                </c:pt>
                <c:pt idx="32">
                  <c:v>Q1 FY28</c:v>
                </c:pt>
                <c:pt idx="33">
                  <c:v>Q2 FY28</c:v>
                </c:pt>
                <c:pt idx="34">
                  <c:v>Q3 FY28</c:v>
                </c:pt>
                <c:pt idx="35">
                  <c:v>Q4 FY28</c:v>
                </c:pt>
              </c:strCache>
            </c:strRef>
          </c:xVal>
          <c:yVal>
            <c:numRef>
              <c:f>'ADP 62'!$D$51:$AM$51</c:f>
              <c:numCache>
                <c:formatCode>_("$"* #,##0.00_);_("$"* \(#,##0.00\);_("$"* "-"??_);_(@_)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250000</c:v>
                </c:pt>
                <c:pt idx="23">
                  <c:v>250000</c:v>
                </c:pt>
                <c:pt idx="24">
                  <c:v>250000</c:v>
                </c:pt>
                <c:pt idx="25">
                  <c:v>250000</c:v>
                </c:pt>
                <c:pt idx="26">
                  <c:v>250000</c:v>
                </c:pt>
                <c:pt idx="27">
                  <c:v>250000</c:v>
                </c:pt>
                <c:pt idx="28">
                  <c:v>250000</c:v>
                </c:pt>
                <c:pt idx="29">
                  <c:v>250000</c:v>
                </c:pt>
                <c:pt idx="30">
                  <c:v>250000</c:v>
                </c:pt>
                <c:pt idx="31">
                  <c:v>250000</c:v>
                </c:pt>
                <c:pt idx="32">
                  <c:v>250000</c:v>
                </c:pt>
                <c:pt idx="33">
                  <c:v>250000</c:v>
                </c:pt>
                <c:pt idx="34">
                  <c:v>250000</c:v>
                </c:pt>
                <c:pt idx="35">
                  <c:v>250000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A2-4A2D-991F-91E62BEA7ACD}"/>
            </c:ext>
          </c:extLst>
        </c:ser>
        <c:ser>
          <c:idx val="2"/>
          <c:order val="2"/>
          <c:tx>
            <c:v>Pre-Bill Expenditures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'ADP 62'!$D$49:$AM$49</c:f>
              <c:strCache>
                <c:ptCount val="36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  <c:pt idx="25">
                  <c:v>Q2 FY26</c:v>
                </c:pt>
                <c:pt idx="26">
                  <c:v>Q3 FY26</c:v>
                </c:pt>
                <c:pt idx="27">
                  <c:v>Q4 FY26</c:v>
                </c:pt>
                <c:pt idx="28">
                  <c:v>Q1 FY27</c:v>
                </c:pt>
                <c:pt idx="29">
                  <c:v>Q2 FY27</c:v>
                </c:pt>
                <c:pt idx="30">
                  <c:v>Q3 FY27</c:v>
                </c:pt>
                <c:pt idx="31">
                  <c:v>Q4 FY27</c:v>
                </c:pt>
                <c:pt idx="32">
                  <c:v>Q1 FY28</c:v>
                </c:pt>
                <c:pt idx="33">
                  <c:v>Q2 FY28</c:v>
                </c:pt>
                <c:pt idx="34">
                  <c:v>Q3 FY28</c:v>
                </c:pt>
                <c:pt idx="35">
                  <c:v>Q4 FY28</c:v>
                </c:pt>
              </c:strCache>
            </c:strRef>
          </c:xVal>
          <c:yVal>
            <c:numRef>
              <c:f>'ADP 62'!$D$52:$AM$52</c:f>
              <c:numCache>
                <c:formatCode>_("$"* #,##0.00_);_("$"* \(#,##0.00\);_("$"* "-"??_);_(@_)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1A2-4A2D-991F-91E62BEA7ACD}"/>
            </c:ext>
          </c:extLst>
        </c:ser>
        <c:ser>
          <c:idx val="3"/>
          <c:order val="3"/>
          <c:tx>
            <c:v>Budgeted Spend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'ADP 62'!$D$49:$AM$49</c:f>
              <c:strCache>
                <c:ptCount val="36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  <c:pt idx="25">
                  <c:v>Q2 FY26</c:v>
                </c:pt>
                <c:pt idx="26">
                  <c:v>Q3 FY26</c:v>
                </c:pt>
                <c:pt idx="27">
                  <c:v>Q4 FY26</c:v>
                </c:pt>
                <c:pt idx="28">
                  <c:v>Q1 FY27</c:v>
                </c:pt>
                <c:pt idx="29">
                  <c:v>Q2 FY27</c:v>
                </c:pt>
                <c:pt idx="30">
                  <c:v>Q3 FY27</c:v>
                </c:pt>
                <c:pt idx="31">
                  <c:v>Q4 FY27</c:v>
                </c:pt>
                <c:pt idx="32">
                  <c:v>Q1 FY28</c:v>
                </c:pt>
                <c:pt idx="33">
                  <c:v>Q2 FY28</c:v>
                </c:pt>
                <c:pt idx="34">
                  <c:v>Q3 FY28</c:v>
                </c:pt>
                <c:pt idx="35">
                  <c:v>Q4 FY28</c:v>
                </c:pt>
              </c:strCache>
            </c:strRef>
          </c:xVal>
          <c:yVal>
            <c:numRef>
              <c:f>'ADP 62'!$D$53:$AM$53</c:f>
              <c:numCache>
                <c:formatCode>_("$"* #,##0.00_);_("$"* \(#,##0.00\);_("$"* "-"??_);_(@_)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171600.62871685668</c:v>
                </c:pt>
                <c:pt idx="24">
                  <c:v>216870.92352635838</c:v>
                </c:pt>
                <c:pt idx="25">
                  <c:v>250000.00000000003</c:v>
                </c:pt>
                <c:pt idx="26">
                  <c:v>250000.00000000003</c:v>
                </c:pt>
                <c:pt idx="27">
                  <c:v>250000.00000000003</c:v>
                </c:pt>
                <c:pt idx="28">
                  <c:v>250000.00000000003</c:v>
                </c:pt>
                <c:pt idx="29">
                  <c:v>250000.00000000003</c:v>
                </c:pt>
                <c:pt idx="30">
                  <c:v>250000.00000000003</c:v>
                </c:pt>
                <c:pt idx="31">
                  <c:v>250000.00000000003</c:v>
                </c:pt>
                <c:pt idx="32">
                  <c:v>250000.00000000003</c:v>
                </c:pt>
                <c:pt idx="33">
                  <c:v>250000.00000000003</c:v>
                </c:pt>
                <c:pt idx="34">
                  <c:v>250000.00000000003</c:v>
                </c:pt>
                <c:pt idx="35">
                  <c:v>250000.00000000003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1A2-4A2D-991F-91E62BEA7ACD}"/>
            </c:ext>
          </c:extLst>
        </c:ser>
        <c:ser>
          <c:idx val="4"/>
          <c:order val="4"/>
          <c:tx>
            <c:v>Current Spend Plan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'ADP 62'!$D$49:$AM$49</c:f>
              <c:strCache>
                <c:ptCount val="36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  <c:pt idx="25">
                  <c:v>Q2 FY26</c:v>
                </c:pt>
                <c:pt idx="26">
                  <c:v>Q3 FY26</c:v>
                </c:pt>
                <c:pt idx="27">
                  <c:v>Q4 FY26</c:v>
                </c:pt>
                <c:pt idx="28">
                  <c:v>Q1 FY27</c:v>
                </c:pt>
                <c:pt idx="29">
                  <c:v>Q2 FY27</c:v>
                </c:pt>
                <c:pt idx="30">
                  <c:v>Q3 FY27</c:v>
                </c:pt>
                <c:pt idx="31">
                  <c:v>Q4 FY27</c:v>
                </c:pt>
                <c:pt idx="32">
                  <c:v>Q1 FY28</c:v>
                </c:pt>
                <c:pt idx="33">
                  <c:v>Q2 FY28</c:v>
                </c:pt>
                <c:pt idx="34">
                  <c:v>Q3 FY28</c:v>
                </c:pt>
                <c:pt idx="35">
                  <c:v>Q4 FY28</c:v>
                </c:pt>
              </c:strCache>
            </c:strRef>
          </c:xVal>
          <c:yVal>
            <c:numRef>
              <c:f>'ADP 62'!$D$54:$AM$54</c:f>
              <c:numCache>
                <c:formatCode>General</c:formatCode>
                <c:ptCount val="3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1A2-4A2D-991F-91E62BEA7ACD}"/>
            </c:ext>
          </c:extLst>
        </c:ser>
        <c:ser>
          <c:idx val="5"/>
          <c:order val="5"/>
          <c:tx>
            <c:v>Actual Expenditures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'ADP 62'!$D$49:$AM$49</c:f>
              <c:strCache>
                <c:ptCount val="36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  <c:pt idx="25">
                  <c:v>Q2 FY26</c:v>
                </c:pt>
                <c:pt idx="26">
                  <c:v>Q3 FY26</c:v>
                </c:pt>
                <c:pt idx="27">
                  <c:v>Q4 FY26</c:v>
                </c:pt>
                <c:pt idx="28">
                  <c:v>Q1 FY27</c:v>
                </c:pt>
                <c:pt idx="29">
                  <c:v>Q2 FY27</c:v>
                </c:pt>
                <c:pt idx="30">
                  <c:v>Q3 FY27</c:v>
                </c:pt>
                <c:pt idx="31">
                  <c:v>Q4 FY27</c:v>
                </c:pt>
                <c:pt idx="32">
                  <c:v>Q1 FY28</c:v>
                </c:pt>
                <c:pt idx="33">
                  <c:v>Q2 FY28</c:v>
                </c:pt>
                <c:pt idx="34">
                  <c:v>Q3 FY28</c:v>
                </c:pt>
                <c:pt idx="35">
                  <c:v>Q4 FY28</c:v>
                </c:pt>
              </c:strCache>
            </c:strRef>
          </c:xVal>
          <c:yVal>
            <c:numRef>
              <c:f>'ADP 62'!$D$55:$AM$55</c:f>
              <c:numCache>
                <c:formatCode>_("$"* #,##0.00_);_("$"* \(#,##0.00\);_("$"* "-"??_);_(@_)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1A2-4A2D-991F-91E62BEA7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117871"/>
        <c:axId val="131118351"/>
      </c:scatterChart>
      <c:valAx>
        <c:axId val="13111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Quarters</a:t>
                </a:r>
                <a:r>
                  <a:rPr lang="en-US" baseline="0"/>
                  <a:t> Since Q1 2021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18351"/>
        <c:crosses val="autoZero"/>
        <c:crossBetween val="midCat"/>
      </c:valAx>
      <c:valAx>
        <c:axId val="13111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17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Funds Committed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'ADP 33'!$C$48:$AL$48</c:f>
              <c:strCache>
                <c:ptCount val="36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  <c:pt idx="25">
                  <c:v>Q2 FY26</c:v>
                </c:pt>
                <c:pt idx="26">
                  <c:v>Q3 FY26</c:v>
                </c:pt>
                <c:pt idx="27">
                  <c:v>Q4 FY26</c:v>
                </c:pt>
                <c:pt idx="28">
                  <c:v>Q1 FY27</c:v>
                </c:pt>
                <c:pt idx="29">
                  <c:v>Q2 FY27</c:v>
                </c:pt>
                <c:pt idx="30">
                  <c:v>Q3 FY27</c:v>
                </c:pt>
                <c:pt idx="31">
                  <c:v>Q4 FY27</c:v>
                </c:pt>
                <c:pt idx="32">
                  <c:v>Q1 FY28</c:v>
                </c:pt>
                <c:pt idx="33">
                  <c:v>Q2 FY28</c:v>
                </c:pt>
                <c:pt idx="34">
                  <c:v>Q3 FY28</c:v>
                </c:pt>
                <c:pt idx="35">
                  <c:v>Q4 FY28</c:v>
                </c:pt>
              </c:strCache>
            </c:strRef>
          </c:xVal>
          <c:yVal>
            <c:numRef>
              <c:f>'ADP 33'!$C$49:$AL$49</c:f>
              <c:numCache>
                <c:formatCode>_("$"* #,##0.00_);_("$"* \(#,##0.00\);_("$"* "-"??_);_(@_)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250000</c:v>
                </c:pt>
                <c:pt idx="23">
                  <c:v>250000</c:v>
                </c:pt>
                <c:pt idx="24">
                  <c:v>250000</c:v>
                </c:pt>
                <c:pt idx="25">
                  <c:v>250000</c:v>
                </c:pt>
                <c:pt idx="26">
                  <c:v>250000</c:v>
                </c:pt>
                <c:pt idx="27">
                  <c:v>250000</c:v>
                </c:pt>
                <c:pt idx="28">
                  <c:v>250000</c:v>
                </c:pt>
                <c:pt idx="29">
                  <c:v>250000</c:v>
                </c:pt>
                <c:pt idx="30">
                  <c:v>250000</c:v>
                </c:pt>
                <c:pt idx="31">
                  <c:v>250000</c:v>
                </c:pt>
                <c:pt idx="32">
                  <c:v>250000</c:v>
                </c:pt>
                <c:pt idx="33">
                  <c:v>250000</c:v>
                </c:pt>
                <c:pt idx="34">
                  <c:v>250000</c:v>
                </c:pt>
                <c:pt idx="35">
                  <c:v>250000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BA-4300-867F-34D5B1640B22}"/>
            </c:ext>
          </c:extLst>
        </c:ser>
        <c:ser>
          <c:idx val="1"/>
          <c:order val="1"/>
          <c:tx>
            <c:v>Obligated Funds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'ADP 33'!$C$48:$AL$48</c:f>
              <c:strCache>
                <c:ptCount val="36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  <c:pt idx="25">
                  <c:v>Q2 FY26</c:v>
                </c:pt>
                <c:pt idx="26">
                  <c:v>Q3 FY26</c:v>
                </c:pt>
                <c:pt idx="27">
                  <c:v>Q4 FY26</c:v>
                </c:pt>
                <c:pt idx="28">
                  <c:v>Q1 FY27</c:v>
                </c:pt>
                <c:pt idx="29">
                  <c:v>Q2 FY27</c:v>
                </c:pt>
                <c:pt idx="30">
                  <c:v>Q3 FY27</c:v>
                </c:pt>
                <c:pt idx="31">
                  <c:v>Q4 FY27</c:v>
                </c:pt>
                <c:pt idx="32">
                  <c:v>Q1 FY28</c:v>
                </c:pt>
                <c:pt idx="33">
                  <c:v>Q2 FY28</c:v>
                </c:pt>
                <c:pt idx="34">
                  <c:v>Q3 FY28</c:v>
                </c:pt>
                <c:pt idx="35">
                  <c:v>Q4 FY28</c:v>
                </c:pt>
              </c:strCache>
            </c:strRef>
          </c:xVal>
          <c:yVal>
            <c:numRef>
              <c:f>'ADP 33'!$C$50:$AL$50</c:f>
              <c:numCache>
                <c:formatCode>_("$"* #,##0.00_);_("$"* \(#,##0.00\);_("$"* "-"??_);_(@_)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250000</c:v>
                </c:pt>
                <c:pt idx="23">
                  <c:v>250000</c:v>
                </c:pt>
                <c:pt idx="24">
                  <c:v>250000</c:v>
                </c:pt>
                <c:pt idx="25">
                  <c:v>250000</c:v>
                </c:pt>
                <c:pt idx="26">
                  <c:v>250000</c:v>
                </c:pt>
                <c:pt idx="27">
                  <c:v>250000</c:v>
                </c:pt>
                <c:pt idx="28">
                  <c:v>250000</c:v>
                </c:pt>
                <c:pt idx="29">
                  <c:v>250000</c:v>
                </c:pt>
                <c:pt idx="30">
                  <c:v>250000</c:v>
                </c:pt>
                <c:pt idx="31">
                  <c:v>250000</c:v>
                </c:pt>
                <c:pt idx="32">
                  <c:v>250000</c:v>
                </c:pt>
                <c:pt idx="33">
                  <c:v>250000</c:v>
                </c:pt>
                <c:pt idx="34">
                  <c:v>250000</c:v>
                </c:pt>
                <c:pt idx="35">
                  <c:v>250000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BA-4300-867F-34D5B1640B22}"/>
            </c:ext>
          </c:extLst>
        </c:ser>
        <c:ser>
          <c:idx val="2"/>
          <c:order val="2"/>
          <c:tx>
            <c:v>Pre-Bill Expenditures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'ADP 33'!$C$48:$AL$48</c:f>
              <c:strCache>
                <c:ptCount val="36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  <c:pt idx="25">
                  <c:v>Q2 FY26</c:v>
                </c:pt>
                <c:pt idx="26">
                  <c:v>Q3 FY26</c:v>
                </c:pt>
                <c:pt idx="27">
                  <c:v>Q4 FY26</c:v>
                </c:pt>
                <c:pt idx="28">
                  <c:v>Q1 FY27</c:v>
                </c:pt>
                <c:pt idx="29">
                  <c:v>Q2 FY27</c:v>
                </c:pt>
                <c:pt idx="30">
                  <c:v>Q3 FY27</c:v>
                </c:pt>
                <c:pt idx="31">
                  <c:v>Q4 FY27</c:v>
                </c:pt>
                <c:pt idx="32">
                  <c:v>Q1 FY28</c:v>
                </c:pt>
                <c:pt idx="33">
                  <c:v>Q2 FY28</c:v>
                </c:pt>
                <c:pt idx="34">
                  <c:v>Q3 FY28</c:v>
                </c:pt>
                <c:pt idx="35">
                  <c:v>Q4 FY28</c:v>
                </c:pt>
              </c:strCache>
            </c:strRef>
          </c:xVal>
          <c:yVal>
            <c:numRef>
              <c:f>'ADP 33'!$C$51:$AL$51</c:f>
              <c:numCache>
                <c:formatCode>_("$"* #,##0.00_);_("$"* \(#,##0.00\);_("$"* "-"??_);_(@_)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BBA-4300-867F-34D5B1640B22}"/>
            </c:ext>
          </c:extLst>
        </c:ser>
        <c:ser>
          <c:idx val="3"/>
          <c:order val="3"/>
          <c:tx>
            <c:v>Budgeted Spend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'ADP 33'!$C$48:$AL$48</c:f>
              <c:strCache>
                <c:ptCount val="36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  <c:pt idx="25">
                  <c:v>Q2 FY26</c:v>
                </c:pt>
                <c:pt idx="26">
                  <c:v>Q3 FY26</c:v>
                </c:pt>
                <c:pt idx="27">
                  <c:v>Q4 FY26</c:v>
                </c:pt>
                <c:pt idx="28">
                  <c:v>Q1 FY27</c:v>
                </c:pt>
                <c:pt idx="29">
                  <c:v>Q2 FY27</c:v>
                </c:pt>
                <c:pt idx="30">
                  <c:v>Q3 FY27</c:v>
                </c:pt>
                <c:pt idx="31">
                  <c:v>Q4 FY27</c:v>
                </c:pt>
                <c:pt idx="32">
                  <c:v>Q1 FY28</c:v>
                </c:pt>
                <c:pt idx="33">
                  <c:v>Q2 FY28</c:v>
                </c:pt>
                <c:pt idx="34">
                  <c:v>Q3 FY28</c:v>
                </c:pt>
                <c:pt idx="35">
                  <c:v>Q4 FY28</c:v>
                </c:pt>
              </c:strCache>
            </c:strRef>
          </c:xVal>
          <c:yVal>
            <c:numRef>
              <c:f>'ADP 33'!$C$52:$AL$52</c:f>
              <c:numCache>
                <c:formatCode>_("$"* #,##0.00_);_("$"* \(#,##0.00\);_("$"* "-"??_);_(@_)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171600.62871685668</c:v>
                </c:pt>
                <c:pt idx="24">
                  <c:v>216870.92352635838</c:v>
                </c:pt>
                <c:pt idx="25">
                  <c:v>250000.00000000003</c:v>
                </c:pt>
                <c:pt idx="26">
                  <c:v>250000.00000000003</c:v>
                </c:pt>
                <c:pt idx="27">
                  <c:v>250000.00000000003</c:v>
                </c:pt>
                <c:pt idx="28">
                  <c:v>250000.00000000003</c:v>
                </c:pt>
                <c:pt idx="29">
                  <c:v>250000.00000000003</c:v>
                </c:pt>
                <c:pt idx="30">
                  <c:v>250000.00000000003</c:v>
                </c:pt>
                <c:pt idx="31">
                  <c:v>250000.00000000003</c:v>
                </c:pt>
                <c:pt idx="32">
                  <c:v>250000.00000000003</c:v>
                </c:pt>
                <c:pt idx="33">
                  <c:v>250000.00000000003</c:v>
                </c:pt>
                <c:pt idx="34">
                  <c:v>250000.00000000003</c:v>
                </c:pt>
                <c:pt idx="35">
                  <c:v>250000.00000000003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BBA-4300-867F-34D5B1640B22}"/>
            </c:ext>
          </c:extLst>
        </c:ser>
        <c:ser>
          <c:idx val="4"/>
          <c:order val="4"/>
          <c:tx>
            <c:v>Current Spend Plan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'ADP 33'!$C$48:$AL$48</c:f>
              <c:strCache>
                <c:ptCount val="36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  <c:pt idx="25">
                  <c:v>Q2 FY26</c:v>
                </c:pt>
                <c:pt idx="26">
                  <c:v>Q3 FY26</c:v>
                </c:pt>
                <c:pt idx="27">
                  <c:v>Q4 FY26</c:v>
                </c:pt>
                <c:pt idx="28">
                  <c:v>Q1 FY27</c:v>
                </c:pt>
                <c:pt idx="29">
                  <c:v>Q2 FY27</c:v>
                </c:pt>
                <c:pt idx="30">
                  <c:v>Q3 FY27</c:v>
                </c:pt>
                <c:pt idx="31">
                  <c:v>Q4 FY27</c:v>
                </c:pt>
                <c:pt idx="32">
                  <c:v>Q1 FY28</c:v>
                </c:pt>
                <c:pt idx="33">
                  <c:v>Q2 FY28</c:v>
                </c:pt>
                <c:pt idx="34">
                  <c:v>Q3 FY28</c:v>
                </c:pt>
                <c:pt idx="35">
                  <c:v>Q4 FY28</c:v>
                </c:pt>
              </c:strCache>
            </c:strRef>
          </c:xVal>
          <c:yVal>
            <c:numRef>
              <c:f>'ADP 33'!$C$53:$AL$53</c:f>
              <c:numCache>
                <c:formatCode>General</c:formatCode>
                <c:ptCount val="3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BBA-4300-867F-34D5B1640B22}"/>
            </c:ext>
          </c:extLst>
        </c:ser>
        <c:ser>
          <c:idx val="5"/>
          <c:order val="5"/>
          <c:tx>
            <c:v>Actual Expenditures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'ADP 33'!$C$48:$AL$48</c:f>
              <c:strCache>
                <c:ptCount val="36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  <c:pt idx="25">
                  <c:v>Q2 FY26</c:v>
                </c:pt>
                <c:pt idx="26">
                  <c:v>Q3 FY26</c:v>
                </c:pt>
                <c:pt idx="27">
                  <c:v>Q4 FY26</c:v>
                </c:pt>
                <c:pt idx="28">
                  <c:v>Q1 FY27</c:v>
                </c:pt>
                <c:pt idx="29">
                  <c:v>Q2 FY27</c:v>
                </c:pt>
                <c:pt idx="30">
                  <c:v>Q3 FY27</c:v>
                </c:pt>
                <c:pt idx="31">
                  <c:v>Q4 FY27</c:v>
                </c:pt>
                <c:pt idx="32">
                  <c:v>Q1 FY28</c:v>
                </c:pt>
                <c:pt idx="33">
                  <c:v>Q2 FY28</c:v>
                </c:pt>
                <c:pt idx="34">
                  <c:v>Q3 FY28</c:v>
                </c:pt>
                <c:pt idx="35">
                  <c:v>Q4 FY28</c:v>
                </c:pt>
              </c:strCache>
            </c:strRef>
          </c:xVal>
          <c:yVal>
            <c:numRef>
              <c:f>'ADP 33'!$C$54:$AL$54</c:f>
              <c:numCache>
                <c:formatCode>_("$"* #,##0.00_);_("$"* \(#,##0.00\);_("$"* "-"??_);_(@_)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BBA-4300-867F-34D5B1640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117871"/>
        <c:axId val="131118351"/>
      </c:scatterChart>
      <c:valAx>
        <c:axId val="13111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Quarters</a:t>
                </a:r>
                <a:r>
                  <a:rPr lang="en-US" baseline="0"/>
                  <a:t> Since Q1 2021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18351"/>
        <c:crosses val="autoZero"/>
        <c:crossBetween val="midCat"/>
      </c:valAx>
      <c:valAx>
        <c:axId val="13111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17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Funds Committed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'ADP 116'!$C$48:$AL$48</c:f>
              <c:strCache>
                <c:ptCount val="36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  <c:pt idx="25">
                  <c:v>Q2 FY26</c:v>
                </c:pt>
                <c:pt idx="26">
                  <c:v>Q3 FY26</c:v>
                </c:pt>
                <c:pt idx="27">
                  <c:v>Q4 FY26</c:v>
                </c:pt>
                <c:pt idx="28">
                  <c:v>Q1 FY27</c:v>
                </c:pt>
                <c:pt idx="29">
                  <c:v>Q2 FY27</c:v>
                </c:pt>
                <c:pt idx="30">
                  <c:v>Q3 FY27</c:v>
                </c:pt>
                <c:pt idx="31">
                  <c:v>Q4 FY27</c:v>
                </c:pt>
                <c:pt idx="32">
                  <c:v>Q1 FY28</c:v>
                </c:pt>
                <c:pt idx="33">
                  <c:v>Q2 FY28</c:v>
                </c:pt>
                <c:pt idx="34">
                  <c:v>Q3 FY28</c:v>
                </c:pt>
                <c:pt idx="35">
                  <c:v>Q4 FY28</c:v>
                </c:pt>
              </c:strCache>
            </c:strRef>
          </c:xVal>
          <c:yVal>
            <c:numRef>
              <c:f>'ADP 116'!$C$49:$AL$49</c:f>
              <c:numCache>
                <c:formatCode>_("$"* #,##0.00_);_("$"* \(#,##0.00\);_("$"* "-"??_);_(@_)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250000</c:v>
                </c:pt>
                <c:pt idx="23">
                  <c:v>250000</c:v>
                </c:pt>
                <c:pt idx="24">
                  <c:v>250000</c:v>
                </c:pt>
                <c:pt idx="25">
                  <c:v>250000</c:v>
                </c:pt>
                <c:pt idx="26">
                  <c:v>250000</c:v>
                </c:pt>
                <c:pt idx="27">
                  <c:v>250000</c:v>
                </c:pt>
                <c:pt idx="28">
                  <c:v>250000</c:v>
                </c:pt>
                <c:pt idx="29">
                  <c:v>250000</c:v>
                </c:pt>
                <c:pt idx="30">
                  <c:v>250000</c:v>
                </c:pt>
                <c:pt idx="31">
                  <c:v>250000</c:v>
                </c:pt>
                <c:pt idx="32">
                  <c:v>250000</c:v>
                </c:pt>
                <c:pt idx="33">
                  <c:v>250000</c:v>
                </c:pt>
                <c:pt idx="34">
                  <c:v>250000</c:v>
                </c:pt>
                <c:pt idx="35">
                  <c:v>250000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88-4FF2-901A-9F42C0E0DD53}"/>
            </c:ext>
          </c:extLst>
        </c:ser>
        <c:ser>
          <c:idx val="1"/>
          <c:order val="1"/>
          <c:tx>
            <c:v>Obligated Funds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'ADP 116'!$C$48:$AL$48</c:f>
              <c:strCache>
                <c:ptCount val="36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  <c:pt idx="25">
                  <c:v>Q2 FY26</c:v>
                </c:pt>
                <c:pt idx="26">
                  <c:v>Q3 FY26</c:v>
                </c:pt>
                <c:pt idx="27">
                  <c:v>Q4 FY26</c:v>
                </c:pt>
                <c:pt idx="28">
                  <c:v>Q1 FY27</c:v>
                </c:pt>
                <c:pt idx="29">
                  <c:v>Q2 FY27</c:v>
                </c:pt>
                <c:pt idx="30">
                  <c:v>Q3 FY27</c:v>
                </c:pt>
                <c:pt idx="31">
                  <c:v>Q4 FY27</c:v>
                </c:pt>
                <c:pt idx="32">
                  <c:v>Q1 FY28</c:v>
                </c:pt>
                <c:pt idx="33">
                  <c:v>Q2 FY28</c:v>
                </c:pt>
                <c:pt idx="34">
                  <c:v>Q3 FY28</c:v>
                </c:pt>
                <c:pt idx="35">
                  <c:v>Q4 FY28</c:v>
                </c:pt>
              </c:strCache>
            </c:strRef>
          </c:xVal>
          <c:yVal>
            <c:numRef>
              <c:f>'ADP 116'!$C$50:$AL$50</c:f>
              <c:numCache>
                <c:formatCode>_("$"* #,##0.00_);_("$"* \(#,##0.00\);_("$"* "-"??_);_(@_)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250000</c:v>
                </c:pt>
                <c:pt idx="23">
                  <c:v>250000</c:v>
                </c:pt>
                <c:pt idx="24">
                  <c:v>250000</c:v>
                </c:pt>
                <c:pt idx="25">
                  <c:v>250000</c:v>
                </c:pt>
                <c:pt idx="26">
                  <c:v>250000</c:v>
                </c:pt>
                <c:pt idx="27">
                  <c:v>250000</c:v>
                </c:pt>
                <c:pt idx="28">
                  <c:v>250000</c:v>
                </c:pt>
                <c:pt idx="29">
                  <c:v>250000</c:v>
                </c:pt>
                <c:pt idx="30">
                  <c:v>250000</c:v>
                </c:pt>
                <c:pt idx="31">
                  <c:v>250000</c:v>
                </c:pt>
                <c:pt idx="32">
                  <c:v>250000</c:v>
                </c:pt>
                <c:pt idx="33">
                  <c:v>250000</c:v>
                </c:pt>
                <c:pt idx="34">
                  <c:v>250000</c:v>
                </c:pt>
                <c:pt idx="35">
                  <c:v>250000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B88-4FF2-901A-9F42C0E0DD53}"/>
            </c:ext>
          </c:extLst>
        </c:ser>
        <c:ser>
          <c:idx val="2"/>
          <c:order val="2"/>
          <c:tx>
            <c:v>Pre-Bill Expenditures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'ADP 116'!$C$48:$AL$48</c:f>
              <c:strCache>
                <c:ptCount val="36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  <c:pt idx="25">
                  <c:v>Q2 FY26</c:v>
                </c:pt>
                <c:pt idx="26">
                  <c:v>Q3 FY26</c:v>
                </c:pt>
                <c:pt idx="27">
                  <c:v>Q4 FY26</c:v>
                </c:pt>
                <c:pt idx="28">
                  <c:v>Q1 FY27</c:v>
                </c:pt>
                <c:pt idx="29">
                  <c:v>Q2 FY27</c:v>
                </c:pt>
                <c:pt idx="30">
                  <c:v>Q3 FY27</c:v>
                </c:pt>
                <c:pt idx="31">
                  <c:v>Q4 FY27</c:v>
                </c:pt>
                <c:pt idx="32">
                  <c:v>Q1 FY28</c:v>
                </c:pt>
                <c:pt idx="33">
                  <c:v>Q2 FY28</c:v>
                </c:pt>
                <c:pt idx="34">
                  <c:v>Q3 FY28</c:v>
                </c:pt>
                <c:pt idx="35">
                  <c:v>Q4 FY28</c:v>
                </c:pt>
              </c:strCache>
            </c:strRef>
          </c:xVal>
          <c:yVal>
            <c:numRef>
              <c:f>'ADP 116'!$C$51:$AL$51</c:f>
              <c:numCache>
                <c:formatCode>_("$"* #,##0.00_);_("$"* \(#,##0.00\);_("$"* "-"??_);_(@_)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B88-4FF2-901A-9F42C0E0DD53}"/>
            </c:ext>
          </c:extLst>
        </c:ser>
        <c:ser>
          <c:idx val="3"/>
          <c:order val="3"/>
          <c:tx>
            <c:v>Budgeted Spend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'ADP 116'!$C$48:$AL$48</c:f>
              <c:strCache>
                <c:ptCount val="36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  <c:pt idx="25">
                  <c:v>Q2 FY26</c:v>
                </c:pt>
                <c:pt idx="26">
                  <c:v>Q3 FY26</c:v>
                </c:pt>
                <c:pt idx="27">
                  <c:v>Q4 FY26</c:v>
                </c:pt>
                <c:pt idx="28">
                  <c:v>Q1 FY27</c:v>
                </c:pt>
                <c:pt idx="29">
                  <c:v>Q2 FY27</c:v>
                </c:pt>
                <c:pt idx="30">
                  <c:v>Q3 FY27</c:v>
                </c:pt>
                <c:pt idx="31">
                  <c:v>Q4 FY27</c:v>
                </c:pt>
                <c:pt idx="32">
                  <c:v>Q1 FY28</c:v>
                </c:pt>
                <c:pt idx="33">
                  <c:v>Q2 FY28</c:v>
                </c:pt>
                <c:pt idx="34">
                  <c:v>Q3 FY28</c:v>
                </c:pt>
                <c:pt idx="35">
                  <c:v>Q4 FY28</c:v>
                </c:pt>
              </c:strCache>
            </c:strRef>
          </c:xVal>
          <c:yVal>
            <c:numRef>
              <c:f>'ADP 116'!$C$52:$AL$52</c:f>
              <c:numCache>
                <c:formatCode>_("$"* #,##0.00_);_("$"* \(#,##0.00\);_("$"* "-"??_);_(@_)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171600.62871685668</c:v>
                </c:pt>
                <c:pt idx="24">
                  <c:v>216870.92352635838</c:v>
                </c:pt>
                <c:pt idx="25">
                  <c:v>250000.00000000003</c:v>
                </c:pt>
                <c:pt idx="26">
                  <c:v>250000.00000000003</c:v>
                </c:pt>
                <c:pt idx="27">
                  <c:v>250000.00000000003</c:v>
                </c:pt>
                <c:pt idx="28">
                  <c:v>250000.00000000003</c:v>
                </c:pt>
                <c:pt idx="29">
                  <c:v>250000.00000000003</c:v>
                </c:pt>
                <c:pt idx="30">
                  <c:v>250000.00000000003</c:v>
                </c:pt>
                <c:pt idx="31">
                  <c:v>250000.00000000003</c:v>
                </c:pt>
                <c:pt idx="32">
                  <c:v>250000.00000000003</c:v>
                </c:pt>
                <c:pt idx="33">
                  <c:v>250000.00000000003</c:v>
                </c:pt>
                <c:pt idx="34">
                  <c:v>250000.00000000003</c:v>
                </c:pt>
                <c:pt idx="35">
                  <c:v>250000.00000000003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B88-4FF2-901A-9F42C0E0DD53}"/>
            </c:ext>
          </c:extLst>
        </c:ser>
        <c:ser>
          <c:idx val="4"/>
          <c:order val="4"/>
          <c:tx>
            <c:v>Current Spend Plan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'ADP 116'!$C$48:$AL$48</c:f>
              <c:strCache>
                <c:ptCount val="36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  <c:pt idx="25">
                  <c:v>Q2 FY26</c:v>
                </c:pt>
                <c:pt idx="26">
                  <c:v>Q3 FY26</c:v>
                </c:pt>
                <c:pt idx="27">
                  <c:v>Q4 FY26</c:v>
                </c:pt>
                <c:pt idx="28">
                  <c:v>Q1 FY27</c:v>
                </c:pt>
                <c:pt idx="29">
                  <c:v>Q2 FY27</c:v>
                </c:pt>
                <c:pt idx="30">
                  <c:v>Q3 FY27</c:v>
                </c:pt>
                <c:pt idx="31">
                  <c:v>Q4 FY27</c:v>
                </c:pt>
                <c:pt idx="32">
                  <c:v>Q1 FY28</c:v>
                </c:pt>
                <c:pt idx="33">
                  <c:v>Q2 FY28</c:v>
                </c:pt>
                <c:pt idx="34">
                  <c:v>Q3 FY28</c:v>
                </c:pt>
                <c:pt idx="35">
                  <c:v>Q4 FY28</c:v>
                </c:pt>
              </c:strCache>
            </c:strRef>
          </c:xVal>
          <c:yVal>
            <c:numRef>
              <c:f>'ADP 116'!$C$53:$AL$53</c:f>
              <c:numCache>
                <c:formatCode>General</c:formatCode>
                <c:ptCount val="3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B88-4FF2-901A-9F42C0E0DD53}"/>
            </c:ext>
          </c:extLst>
        </c:ser>
        <c:ser>
          <c:idx val="5"/>
          <c:order val="5"/>
          <c:tx>
            <c:v>Actual Expenditures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'ADP 116'!$C$48:$AL$48</c:f>
              <c:strCache>
                <c:ptCount val="36"/>
                <c:pt idx="0">
                  <c:v>Q1 FY20</c:v>
                </c:pt>
                <c:pt idx="1">
                  <c:v>Q2 FY20</c:v>
                </c:pt>
                <c:pt idx="2">
                  <c:v>Q3 FY20</c:v>
                </c:pt>
                <c:pt idx="3">
                  <c:v>Q4 FY20</c:v>
                </c:pt>
                <c:pt idx="4">
                  <c:v>Q1 FY21</c:v>
                </c:pt>
                <c:pt idx="5">
                  <c:v>Q2 FY21</c:v>
                </c:pt>
                <c:pt idx="6">
                  <c:v>Q3 FY21</c:v>
                </c:pt>
                <c:pt idx="7">
                  <c:v>Q4 FY21</c:v>
                </c:pt>
                <c:pt idx="8">
                  <c:v>Q1 FY22</c:v>
                </c:pt>
                <c:pt idx="9">
                  <c:v>Q2 FY22</c:v>
                </c:pt>
                <c:pt idx="10">
                  <c:v>Q3 FY22</c:v>
                </c:pt>
                <c:pt idx="11">
                  <c:v>Q4 FY22</c:v>
                </c:pt>
                <c:pt idx="12">
                  <c:v>Q1 FY23</c:v>
                </c:pt>
                <c:pt idx="13">
                  <c:v>Q2 FY23</c:v>
                </c:pt>
                <c:pt idx="14">
                  <c:v>Q3 FY23</c:v>
                </c:pt>
                <c:pt idx="15">
                  <c:v>Q4 FY23</c:v>
                </c:pt>
                <c:pt idx="16">
                  <c:v>Q1 FY24</c:v>
                </c:pt>
                <c:pt idx="17">
                  <c:v>Q2 FY24</c:v>
                </c:pt>
                <c:pt idx="18">
                  <c:v>Q3 FY24</c:v>
                </c:pt>
                <c:pt idx="19">
                  <c:v>Q4 FY24</c:v>
                </c:pt>
                <c:pt idx="20">
                  <c:v>Q1 FY25</c:v>
                </c:pt>
                <c:pt idx="21">
                  <c:v>Q2 FY25</c:v>
                </c:pt>
                <c:pt idx="22">
                  <c:v>Q3 FY25</c:v>
                </c:pt>
                <c:pt idx="23">
                  <c:v>Q4 FY25</c:v>
                </c:pt>
                <c:pt idx="24">
                  <c:v>Q1 FY26</c:v>
                </c:pt>
                <c:pt idx="25">
                  <c:v>Q2 FY26</c:v>
                </c:pt>
                <c:pt idx="26">
                  <c:v>Q3 FY26</c:v>
                </c:pt>
                <c:pt idx="27">
                  <c:v>Q4 FY26</c:v>
                </c:pt>
                <c:pt idx="28">
                  <c:v>Q1 FY27</c:v>
                </c:pt>
                <c:pt idx="29">
                  <c:v>Q2 FY27</c:v>
                </c:pt>
                <c:pt idx="30">
                  <c:v>Q3 FY27</c:v>
                </c:pt>
                <c:pt idx="31">
                  <c:v>Q4 FY27</c:v>
                </c:pt>
                <c:pt idx="32">
                  <c:v>Q1 FY28</c:v>
                </c:pt>
                <c:pt idx="33">
                  <c:v>Q2 FY28</c:v>
                </c:pt>
                <c:pt idx="34">
                  <c:v>Q3 FY28</c:v>
                </c:pt>
                <c:pt idx="35">
                  <c:v>Q4 FY28</c:v>
                </c:pt>
              </c:strCache>
            </c:strRef>
          </c:xVal>
          <c:yVal>
            <c:numRef>
              <c:f>'ADP 116'!$C$54:$AL$54</c:f>
              <c:numCache>
                <c:formatCode>_("$"* #,##0.00_);_("$"* \(#,##0.00\);_("$"* "-"??_);_(@_)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B88-4FF2-901A-9F42C0E0D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117871"/>
        <c:axId val="131118351"/>
      </c:scatterChart>
      <c:valAx>
        <c:axId val="13111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Quarters</a:t>
                </a:r>
                <a:r>
                  <a:rPr lang="en-US" baseline="0"/>
                  <a:t> Since Q1 2021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18351"/>
        <c:crosses val="autoZero"/>
        <c:crossBetween val="midCat"/>
      </c:valAx>
      <c:valAx>
        <c:axId val="13111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17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104775</xdr:colOff>
      <xdr:row>57</xdr:row>
      <xdr:rowOff>85725</xdr:rowOff>
    </xdr:from>
    <xdr:to>
      <xdr:col>22</xdr:col>
      <xdr:colOff>600074</xdr:colOff>
      <xdr:row>79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BA8F5C-70B6-40FC-A4E0-1CC72044B8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104775</xdr:colOff>
      <xdr:row>56</xdr:row>
      <xdr:rowOff>85725</xdr:rowOff>
    </xdr:from>
    <xdr:to>
      <xdr:col>21</xdr:col>
      <xdr:colOff>600074</xdr:colOff>
      <xdr:row>78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895378-8816-40D7-8685-BFDC5217CE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104775</xdr:colOff>
      <xdr:row>56</xdr:row>
      <xdr:rowOff>85725</xdr:rowOff>
    </xdr:from>
    <xdr:to>
      <xdr:col>21</xdr:col>
      <xdr:colOff>600074</xdr:colOff>
      <xdr:row>78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6FEF6C-62FB-0031-84D0-7AB896A7A6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F384B-D71B-465C-9B7C-0C8A4A009694}">
  <sheetPr codeName="Sheet1"/>
  <dimension ref="A2:E15"/>
  <sheetViews>
    <sheetView workbookViewId="0">
      <selection activeCell="E19" sqref="E19"/>
    </sheetView>
  </sheetViews>
  <sheetFormatPr defaultRowHeight="15" x14ac:dyDescent="0.25"/>
  <cols>
    <col min="2" max="2" width="30.5703125" customWidth="1"/>
  </cols>
  <sheetData>
    <row r="2" spans="1:5" x14ac:dyDescent="0.25">
      <c r="A2">
        <v>1</v>
      </c>
      <c r="B2" t="s">
        <v>111</v>
      </c>
      <c r="C2" t="s">
        <v>112</v>
      </c>
    </row>
    <row r="3" spans="1:5" x14ac:dyDescent="0.25">
      <c r="A3">
        <v>2</v>
      </c>
      <c r="B3" t="s">
        <v>130</v>
      </c>
    </row>
    <row r="4" spans="1:5" x14ac:dyDescent="0.25">
      <c r="A4">
        <v>3</v>
      </c>
      <c r="B4" t="s">
        <v>131</v>
      </c>
    </row>
    <row r="5" spans="1:5" x14ac:dyDescent="0.25">
      <c r="A5">
        <v>4</v>
      </c>
      <c r="B5" t="s">
        <v>113</v>
      </c>
    </row>
    <row r="6" spans="1:5" x14ac:dyDescent="0.25">
      <c r="B6" t="s">
        <v>114</v>
      </c>
    </row>
    <row r="7" spans="1:5" x14ac:dyDescent="0.25">
      <c r="B7" t="s">
        <v>115</v>
      </c>
    </row>
    <row r="8" spans="1:5" x14ac:dyDescent="0.25">
      <c r="B8" t="s">
        <v>116</v>
      </c>
    </row>
    <row r="9" spans="1:5" x14ac:dyDescent="0.25">
      <c r="B9" t="s">
        <v>118</v>
      </c>
    </row>
    <row r="10" spans="1:5" x14ac:dyDescent="0.25">
      <c r="B10" t="s">
        <v>117</v>
      </c>
    </row>
    <row r="11" spans="1:5" x14ac:dyDescent="0.25">
      <c r="A11">
        <v>4</v>
      </c>
      <c r="B11" s="37" t="s">
        <v>1</v>
      </c>
      <c r="C11" s="38">
        <v>62</v>
      </c>
      <c r="D11" t="s">
        <v>119</v>
      </c>
    </row>
    <row r="12" spans="1:5" x14ac:dyDescent="0.25">
      <c r="A12">
        <v>5</v>
      </c>
      <c r="B12" s="37" t="s">
        <v>127</v>
      </c>
      <c r="C12" s="38"/>
    </row>
    <row r="13" spans="1:5" x14ac:dyDescent="0.25">
      <c r="B13" s="41" t="s">
        <v>98</v>
      </c>
      <c r="C13" s="58">
        <v>5993</v>
      </c>
      <c r="D13" s="59" t="s">
        <v>126</v>
      </c>
      <c r="E13" s="6"/>
    </row>
    <row r="14" spans="1:5" x14ac:dyDescent="0.25">
      <c r="A14">
        <v>6</v>
      </c>
      <c r="B14" t="s">
        <v>128</v>
      </c>
    </row>
    <row r="15" spans="1:5" x14ac:dyDescent="0.25">
      <c r="A15">
        <v>7</v>
      </c>
      <c r="B15" t="s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796A2-7BE8-4E0F-96E9-8D8FD500FEAA}">
  <sheetPr codeName="Sheet2"/>
  <dimension ref="A1:AN62"/>
  <sheetViews>
    <sheetView zoomScale="145" zoomScaleNormal="145" workbookViewId="0">
      <pane xSplit="2" ySplit="11" topLeftCell="AF29" activePane="bottomRight" state="frozen"/>
      <selection pane="topRight" activeCell="C1" sqref="C1"/>
      <selection pane="bottomLeft" activeCell="A6" sqref="A6"/>
      <selection pane="bottomRight" activeCell="G49" sqref="G49"/>
    </sheetView>
  </sheetViews>
  <sheetFormatPr defaultRowHeight="15" x14ac:dyDescent="0.25"/>
  <cols>
    <col min="1" max="1" width="33.140625" bestFit="1" customWidth="1"/>
    <col min="2" max="2" width="29" bestFit="1" customWidth="1"/>
    <col min="3" max="3" width="42.42578125" bestFit="1" customWidth="1"/>
    <col min="4" max="4" width="6.85546875" customWidth="1"/>
    <col min="5" max="6" width="7.85546875" bestFit="1" customWidth="1"/>
    <col min="7" max="7" width="8.5703125" customWidth="1"/>
    <col min="8" max="25" width="7.85546875" bestFit="1" customWidth="1"/>
    <col min="26" max="39" width="13.5703125" bestFit="1" customWidth="1"/>
    <col min="40" max="40" width="12.85546875" bestFit="1" customWidth="1"/>
  </cols>
  <sheetData>
    <row r="1" spans="1:40" x14ac:dyDescent="0.25">
      <c r="A1" s="37" t="s">
        <v>0</v>
      </c>
      <c r="B1" s="37"/>
      <c r="C1" s="37"/>
    </row>
    <row r="2" spans="1:40" x14ac:dyDescent="0.25">
      <c r="A2" s="37" t="s">
        <v>1</v>
      </c>
      <c r="B2" s="38">
        <v>62</v>
      </c>
      <c r="C2" s="38"/>
      <c r="D2" t="s">
        <v>124</v>
      </c>
    </row>
    <row r="3" spans="1:40" x14ac:dyDescent="0.25">
      <c r="A3" s="37" t="s">
        <v>2</v>
      </c>
      <c r="B3" s="37" t="s">
        <v>78</v>
      </c>
      <c r="C3" s="37"/>
      <c r="D3" t="s">
        <v>129</v>
      </c>
    </row>
    <row r="4" spans="1:40" x14ac:dyDescent="0.25">
      <c r="A4" s="37" t="s">
        <v>142</v>
      </c>
      <c r="B4" s="37"/>
      <c r="C4" s="37"/>
      <c r="D4" t="s">
        <v>143</v>
      </c>
    </row>
    <row r="5" spans="1:40" x14ac:dyDescent="0.25">
      <c r="A5" s="37" t="s">
        <v>58</v>
      </c>
      <c r="B5" s="46" t="s">
        <v>73</v>
      </c>
      <c r="C5" s="46"/>
      <c r="D5" t="s">
        <v>120</v>
      </c>
    </row>
    <row r="6" spans="1:40" x14ac:dyDescent="0.25">
      <c r="A6" s="37" t="s">
        <v>59</v>
      </c>
      <c r="B6" s="46" t="s">
        <v>66</v>
      </c>
      <c r="C6" s="46"/>
      <c r="D6" t="s">
        <v>121</v>
      </c>
    </row>
    <row r="7" spans="1:40" x14ac:dyDescent="0.25">
      <c r="A7" s="37" t="s">
        <v>60</v>
      </c>
      <c r="B7" s="46" t="s">
        <v>76</v>
      </c>
      <c r="C7" s="46"/>
      <c r="D7" t="s">
        <v>122</v>
      </c>
    </row>
    <row r="8" spans="1:40" x14ac:dyDescent="0.25">
      <c r="A8" s="37" t="s">
        <v>61</v>
      </c>
      <c r="B8" s="46"/>
      <c r="C8" s="46"/>
      <c r="D8" t="s">
        <v>123</v>
      </c>
    </row>
    <row r="9" spans="1:40" ht="15.75" thickBot="1" x14ac:dyDescent="0.3"/>
    <row r="10" spans="1:40" ht="15.75" thickBot="1" x14ac:dyDescent="0.3">
      <c r="D10" s="70" t="s">
        <v>101</v>
      </c>
      <c r="E10" s="71"/>
      <c r="F10" s="71"/>
      <c r="G10" s="72"/>
      <c r="H10" s="70" t="s">
        <v>102</v>
      </c>
      <c r="I10" s="71"/>
      <c r="J10" s="71"/>
      <c r="K10" s="72"/>
      <c r="L10" s="70" t="s">
        <v>103</v>
      </c>
      <c r="M10" s="71"/>
      <c r="N10" s="71"/>
      <c r="O10" s="72"/>
      <c r="P10" s="70" t="s">
        <v>104</v>
      </c>
      <c r="Q10" s="71"/>
      <c r="R10" s="71"/>
      <c r="S10" s="72"/>
      <c r="T10" s="70" t="s">
        <v>105</v>
      </c>
      <c r="U10" s="71"/>
      <c r="V10" s="71"/>
      <c r="W10" s="72"/>
      <c r="X10" s="70" t="s">
        <v>106</v>
      </c>
      <c r="Y10" s="71"/>
      <c r="Z10" s="71"/>
      <c r="AA10" s="72"/>
      <c r="AB10" s="70" t="s">
        <v>107</v>
      </c>
      <c r="AC10" s="71"/>
      <c r="AD10" s="71"/>
      <c r="AE10" s="72"/>
      <c r="AF10" s="70" t="s">
        <v>14</v>
      </c>
      <c r="AG10" s="71"/>
      <c r="AH10" s="71"/>
      <c r="AI10" s="72"/>
      <c r="AJ10" s="70" t="s">
        <v>15</v>
      </c>
      <c r="AK10" s="71"/>
      <c r="AL10" s="71"/>
      <c r="AM10" s="72"/>
    </row>
    <row r="11" spans="1:40" ht="15.75" thickBot="1" x14ac:dyDescent="0.3">
      <c r="D11" s="3" t="s">
        <v>3</v>
      </c>
      <c r="E11" s="1" t="s">
        <v>4</v>
      </c>
      <c r="F11" s="1" t="s">
        <v>5</v>
      </c>
      <c r="G11" s="2" t="s">
        <v>6</v>
      </c>
      <c r="H11" s="3" t="s">
        <v>3</v>
      </c>
      <c r="I11" s="1" t="s">
        <v>4</v>
      </c>
      <c r="J11" s="1" t="s">
        <v>5</v>
      </c>
      <c r="K11" s="2" t="s">
        <v>6</v>
      </c>
      <c r="L11" s="3" t="s">
        <v>3</v>
      </c>
      <c r="M11" s="1" t="s">
        <v>4</v>
      </c>
      <c r="N11" s="1" t="s">
        <v>5</v>
      </c>
      <c r="O11" s="2" t="s">
        <v>6</v>
      </c>
      <c r="P11" s="3" t="s">
        <v>3</v>
      </c>
      <c r="Q11" s="1" t="s">
        <v>4</v>
      </c>
      <c r="R11" s="1" t="s">
        <v>5</v>
      </c>
      <c r="S11" s="2" t="s">
        <v>6</v>
      </c>
      <c r="T11" s="3" t="s">
        <v>3</v>
      </c>
      <c r="U11" s="1" t="s">
        <v>4</v>
      </c>
      <c r="V11" s="1" t="s">
        <v>5</v>
      </c>
      <c r="W11" s="2" t="s">
        <v>6</v>
      </c>
      <c r="X11" s="3" t="s">
        <v>3</v>
      </c>
      <c r="Y11" s="1" t="s">
        <v>4</v>
      </c>
      <c r="Z11" s="1" t="s">
        <v>5</v>
      </c>
      <c r="AA11" s="2" t="s">
        <v>6</v>
      </c>
      <c r="AB11" s="3" t="s">
        <v>3</v>
      </c>
      <c r="AC11" s="1" t="s">
        <v>4</v>
      </c>
      <c r="AD11" s="1" t="s">
        <v>5</v>
      </c>
      <c r="AE11" s="2" t="s">
        <v>6</v>
      </c>
      <c r="AF11" s="3" t="s">
        <v>3</v>
      </c>
      <c r="AG11" s="1" t="s">
        <v>4</v>
      </c>
      <c r="AH11" s="1" t="s">
        <v>5</v>
      </c>
      <c r="AI11" s="2" t="s">
        <v>6</v>
      </c>
      <c r="AJ11" s="3" t="s">
        <v>3</v>
      </c>
      <c r="AK11" s="1" t="s">
        <v>4</v>
      </c>
      <c r="AL11" s="1" t="s">
        <v>5</v>
      </c>
      <c r="AM11" s="2" t="s">
        <v>6</v>
      </c>
      <c r="AN11" s="11" t="s">
        <v>8</v>
      </c>
    </row>
    <row r="12" spans="1:40" x14ac:dyDescent="0.25">
      <c r="A12" s="73" t="s">
        <v>11</v>
      </c>
      <c r="B12" s="49" t="s">
        <v>99</v>
      </c>
      <c r="C12" s="50" t="s">
        <v>125</v>
      </c>
      <c r="D12" s="23"/>
      <c r="E12" s="24"/>
      <c r="F12" s="24"/>
      <c r="G12" s="25"/>
      <c r="H12" s="26"/>
      <c r="I12" s="24"/>
      <c r="J12" s="24"/>
      <c r="K12" s="25"/>
      <c r="L12" s="26"/>
      <c r="M12" s="24"/>
      <c r="N12" s="24"/>
      <c r="O12" s="25"/>
      <c r="P12" s="26"/>
      <c r="Q12" s="24"/>
      <c r="R12" s="24"/>
      <c r="S12" s="25"/>
      <c r="T12" s="26"/>
      <c r="U12" s="24"/>
      <c r="V12" s="24"/>
      <c r="W12" s="25"/>
      <c r="X12" s="26"/>
      <c r="Y12" s="24"/>
      <c r="Z12" s="24"/>
      <c r="AA12" s="25"/>
      <c r="AB12" s="26"/>
      <c r="AC12" s="24"/>
      <c r="AD12" s="24"/>
      <c r="AE12" s="25"/>
      <c r="AF12" s="26"/>
      <c r="AG12" s="24"/>
      <c r="AH12" s="24"/>
      <c r="AI12" s="25"/>
      <c r="AJ12" s="26"/>
      <c r="AK12" s="24"/>
      <c r="AL12" s="24"/>
      <c r="AM12" s="25"/>
      <c r="AN12" s="27">
        <f>SUM(D12:AM12)</f>
        <v>0</v>
      </c>
    </row>
    <row r="13" spans="1:40" x14ac:dyDescent="0.25">
      <c r="A13" s="74"/>
      <c r="B13" s="41" t="s">
        <v>87</v>
      </c>
      <c r="C13" s="57">
        <v>5001</v>
      </c>
      <c r="D13" s="17"/>
      <c r="E13" s="6"/>
      <c r="F13" s="6"/>
      <c r="G13" s="7"/>
      <c r="H13" s="5"/>
      <c r="I13" s="6"/>
      <c r="J13" s="6"/>
      <c r="K13" s="7"/>
      <c r="L13" s="5"/>
      <c r="M13" s="6"/>
      <c r="N13" s="6"/>
      <c r="O13" s="7"/>
      <c r="P13" s="5"/>
      <c r="Q13" s="6"/>
      <c r="R13" s="6"/>
      <c r="S13" s="7"/>
      <c r="T13" s="5"/>
      <c r="U13" s="6"/>
      <c r="V13" s="6"/>
      <c r="W13" s="7"/>
      <c r="X13" s="5"/>
      <c r="Y13" s="6"/>
      <c r="Z13" s="6"/>
      <c r="AA13" s="7"/>
      <c r="AB13" s="5"/>
      <c r="AC13" s="6"/>
      <c r="AD13" s="6"/>
      <c r="AE13" s="7"/>
      <c r="AF13" s="5"/>
      <c r="AG13" s="6"/>
      <c r="AH13" s="6"/>
      <c r="AI13" s="7"/>
      <c r="AJ13" s="5"/>
      <c r="AK13" s="6"/>
      <c r="AL13" s="6"/>
      <c r="AM13" s="7"/>
      <c r="AN13" s="18">
        <f>SUM(D13:AM13)</f>
        <v>0</v>
      </c>
    </row>
    <row r="14" spans="1:40" x14ac:dyDescent="0.25">
      <c r="A14" s="74"/>
      <c r="B14" s="41" t="s">
        <v>88</v>
      </c>
      <c r="C14" s="51">
        <v>5990</v>
      </c>
      <c r="D14" s="17"/>
      <c r="E14" s="6"/>
      <c r="F14" s="6"/>
      <c r="G14" s="7"/>
      <c r="H14" s="5"/>
      <c r="I14" s="6"/>
      <c r="J14" s="6"/>
      <c r="K14" s="7"/>
      <c r="L14" s="5"/>
      <c r="M14" s="6"/>
      <c r="N14" s="6"/>
      <c r="O14" s="7"/>
      <c r="P14" s="5"/>
      <c r="Q14" s="6"/>
      <c r="R14" s="6"/>
      <c r="S14" s="7"/>
      <c r="T14" s="5"/>
      <c r="U14" s="6"/>
      <c r="V14" s="6"/>
      <c r="W14" s="7"/>
      <c r="X14" s="5"/>
      <c r="Y14" s="6"/>
      <c r="Z14" s="6"/>
      <c r="AA14" s="7"/>
      <c r="AB14" s="5"/>
      <c r="AC14" s="6"/>
      <c r="AD14" s="6"/>
      <c r="AE14" s="7"/>
      <c r="AF14" s="5"/>
      <c r="AG14" s="6"/>
      <c r="AH14" s="6"/>
      <c r="AI14" s="7"/>
      <c r="AJ14" s="5"/>
      <c r="AK14" s="6"/>
      <c r="AL14" s="6"/>
      <c r="AM14" s="7"/>
      <c r="AN14" s="18">
        <f t="shared" ref="AN14:AN42" si="0">SUM(D14:AM14)</f>
        <v>0</v>
      </c>
    </row>
    <row r="15" spans="1:40" x14ac:dyDescent="0.25">
      <c r="A15" s="74"/>
      <c r="B15" s="41" t="s">
        <v>89</v>
      </c>
      <c r="C15" s="57">
        <v>5004</v>
      </c>
      <c r="D15" s="17"/>
      <c r="E15" s="6"/>
      <c r="F15" s="6"/>
      <c r="G15" s="7"/>
      <c r="H15" s="5"/>
      <c r="I15" s="6"/>
      <c r="J15" s="6"/>
      <c r="K15" s="7"/>
      <c r="L15" s="5"/>
      <c r="M15" s="6"/>
      <c r="N15" s="6"/>
      <c r="O15" s="7"/>
      <c r="P15" s="5"/>
      <c r="Q15" s="6"/>
      <c r="R15" s="6"/>
      <c r="S15" s="7"/>
      <c r="T15" s="5"/>
      <c r="U15" s="6"/>
      <c r="V15" s="6"/>
      <c r="W15" s="7"/>
      <c r="X15" s="5"/>
      <c r="Y15" s="6"/>
      <c r="Z15" s="6"/>
      <c r="AA15" s="7"/>
      <c r="AB15" s="5"/>
      <c r="AC15" s="6"/>
      <c r="AD15" s="6"/>
      <c r="AE15" s="7"/>
      <c r="AF15" s="5"/>
      <c r="AG15" s="6"/>
      <c r="AH15" s="6"/>
      <c r="AI15" s="7"/>
      <c r="AJ15" s="5"/>
      <c r="AK15" s="6"/>
      <c r="AL15" s="6"/>
      <c r="AM15" s="7"/>
      <c r="AN15" s="18">
        <f t="shared" si="0"/>
        <v>0</v>
      </c>
    </row>
    <row r="16" spans="1:40" x14ac:dyDescent="0.25">
      <c r="A16" s="74"/>
      <c r="B16" s="41" t="s">
        <v>90</v>
      </c>
      <c r="C16" s="57">
        <v>5005</v>
      </c>
      <c r="D16" s="17"/>
      <c r="E16" s="6"/>
      <c r="F16" s="6"/>
      <c r="G16" s="7"/>
      <c r="H16" s="5"/>
      <c r="I16" s="6"/>
      <c r="J16" s="6"/>
      <c r="K16" s="7"/>
      <c r="L16" s="5"/>
      <c r="M16" s="6"/>
      <c r="N16" s="6"/>
      <c r="O16" s="7"/>
      <c r="P16" s="5"/>
      <c r="Q16" s="6"/>
      <c r="R16" s="6"/>
      <c r="S16" s="7"/>
      <c r="T16" s="5"/>
      <c r="U16" s="6"/>
      <c r="V16" s="6"/>
      <c r="W16" s="7"/>
      <c r="X16" s="5"/>
      <c r="Y16" s="6"/>
      <c r="Z16" s="6"/>
      <c r="AA16" s="7"/>
      <c r="AB16" s="5"/>
      <c r="AC16" s="6"/>
      <c r="AD16" s="6"/>
      <c r="AE16" s="7"/>
      <c r="AF16" s="5"/>
      <c r="AG16" s="6"/>
      <c r="AH16" s="6"/>
      <c r="AI16" s="7"/>
      <c r="AJ16" s="5"/>
      <c r="AK16" s="6"/>
      <c r="AL16" s="6"/>
      <c r="AM16" s="7"/>
      <c r="AN16" s="18">
        <f t="shared" si="0"/>
        <v>0</v>
      </c>
    </row>
    <row r="17" spans="1:40" x14ac:dyDescent="0.25">
      <c r="A17" s="74"/>
      <c r="B17" s="41" t="s">
        <v>91</v>
      </c>
      <c r="C17" s="57">
        <v>5002</v>
      </c>
      <c r="D17" s="17"/>
      <c r="E17" s="6"/>
      <c r="F17" s="6"/>
      <c r="G17" s="7"/>
      <c r="H17" s="5"/>
      <c r="I17" s="6"/>
      <c r="J17" s="6"/>
      <c r="K17" s="7"/>
      <c r="L17" s="5"/>
      <c r="M17" s="6"/>
      <c r="N17" s="6"/>
      <c r="O17" s="7"/>
      <c r="P17" s="5"/>
      <c r="Q17" s="6"/>
      <c r="R17" s="6"/>
      <c r="S17" s="7"/>
      <c r="T17" s="5"/>
      <c r="U17" s="6"/>
      <c r="V17" s="6"/>
      <c r="W17" s="7"/>
      <c r="X17" s="5"/>
      <c r="Y17" s="6"/>
      <c r="Z17" s="6"/>
      <c r="AA17" s="7"/>
      <c r="AB17" s="5"/>
      <c r="AC17" s="6"/>
      <c r="AD17" s="6"/>
      <c r="AE17" s="7"/>
      <c r="AF17" s="5"/>
      <c r="AG17" s="6"/>
      <c r="AH17" s="6"/>
      <c r="AI17" s="7"/>
      <c r="AJ17" s="5"/>
      <c r="AK17" s="6"/>
      <c r="AL17" s="6"/>
      <c r="AM17" s="7"/>
      <c r="AN17" s="18">
        <f t="shared" si="0"/>
        <v>0</v>
      </c>
    </row>
    <row r="18" spans="1:40" x14ac:dyDescent="0.25">
      <c r="A18" s="74"/>
      <c r="B18" s="41" t="s">
        <v>92</v>
      </c>
      <c r="C18" s="57">
        <v>5010</v>
      </c>
      <c r="D18" s="17"/>
      <c r="E18" s="6"/>
      <c r="F18" s="6"/>
      <c r="G18" s="7"/>
      <c r="H18" s="5"/>
      <c r="I18" s="6"/>
      <c r="J18" s="6"/>
      <c r="K18" s="7"/>
      <c r="L18" s="5"/>
      <c r="M18" s="6"/>
      <c r="N18" s="6"/>
      <c r="O18" s="7"/>
      <c r="P18" s="5"/>
      <c r="Q18" s="6"/>
      <c r="R18" s="6"/>
      <c r="S18" s="7"/>
      <c r="T18" s="5"/>
      <c r="U18" s="6"/>
      <c r="V18" s="6"/>
      <c r="W18" s="7"/>
      <c r="X18" s="5"/>
      <c r="Y18" s="6"/>
      <c r="Z18" s="6"/>
      <c r="AA18" s="7"/>
      <c r="AB18" s="5"/>
      <c r="AC18" s="6"/>
      <c r="AD18" s="6"/>
      <c r="AE18" s="7"/>
      <c r="AF18" s="5"/>
      <c r="AG18" s="6"/>
      <c r="AH18" s="6"/>
      <c r="AI18" s="7"/>
      <c r="AJ18" s="5"/>
      <c r="AK18" s="6"/>
      <c r="AL18" s="6"/>
      <c r="AM18" s="7"/>
      <c r="AN18" s="18">
        <f t="shared" si="0"/>
        <v>0</v>
      </c>
    </row>
    <row r="19" spans="1:40" x14ac:dyDescent="0.25">
      <c r="A19" s="74"/>
      <c r="B19" s="41" t="s">
        <v>93</v>
      </c>
      <c r="C19" s="57">
        <v>5008</v>
      </c>
      <c r="D19" s="17"/>
      <c r="E19" s="6"/>
      <c r="F19" s="6"/>
      <c r="G19" s="7"/>
      <c r="H19" s="5"/>
      <c r="I19" s="6"/>
      <c r="J19" s="6"/>
      <c r="K19" s="7"/>
      <c r="L19" s="5"/>
      <c r="M19" s="6"/>
      <c r="N19" s="6"/>
      <c r="O19" s="7"/>
      <c r="P19" s="5"/>
      <c r="Q19" s="6"/>
      <c r="R19" s="6"/>
      <c r="S19" s="7"/>
      <c r="T19" s="5"/>
      <c r="U19" s="6"/>
      <c r="V19" s="6"/>
      <c r="W19" s="7"/>
      <c r="X19" s="5"/>
      <c r="Y19" s="6"/>
      <c r="Z19" s="6"/>
      <c r="AA19" s="7"/>
      <c r="AB19" s="5"/>
      <c r="AC19" s="6"/>
      <c r="AD19" s="6"/>
      <c r="AE19" s="7"/>
      <c r="AF19" s="5"/>
      <c r="AG19" s="6"/>
      <c r="AH19" s="6"/>
      <c r="AI19" s="7"/>
      <c r="AJ19" s="5"/>
      <c r="AK19" s="6"/>
      <c r="AL19" s="6"/>
      <c r="AM19" s="7"/>
      <c r="AN19" s="18"/>
    </row>
    <row r="20" spans="1:40" x14ac:dyDescent="0.25">
      <c r="A20" s="74"/>
      <c r="B20" s="41" t="s">
        <v>94</v>
      </c>
      <c r="C20" s="57">
        <v>5009</v>
      </c>
      <c r="D20" s="17"/>
      <c r="E20" s="6"/>
      <c r="F20" s="6"/>
      <c r="G20" s="7"/>
      <c r="H20" s="5"/>
      <c r="I20" s="6"/>
      <c r="J20" s="6"/>
      <c r="K20" s="7"/>
      <c r="L20" s="5"/>
      <c r="M20" s="6"/>
      <c r="N20" s="6"/>
      <c r="O20" s="7"/>
      <c r="P20" s="5"/>
      <c r="Q20" s="6"/>
      <c r="R20" s="6"/>
      <c r="S20" s="7"/>
      <c r="T20" s="5"/>
      <c r="U20" s="6"/>
      <c r="V20" s="6"/>
      <c r="W20" s="7"/>
      <c r="X20" s="5"/>
      <c r="Y20" s="6"/>
      <c r="Z20" s="6"/>
      <c r="AA20" s="7"/>
      <c r="AB20" s="5"/>
      <c r="AC20" s="6"/>
      <c r="AD20" s="6"/>
      <c r="AE20" s="7"/>
      <c r="AF20" s="5"/>
      <c r="AG20" s="6"/>
      <c r="AH20" s="6"/>
      <c r="AI20" s="7"/>
      <c r="AJ20" s="5"/>
      <c r="AK20" s="6"/>
      <c r="AL20" s="6"/>
      <c r="AM20" s="7"/>
      <c r="AN20" s="18">
        <f t="shared" si="0"/>
        <v>0</v>
      </c>
    </row>
    <row r="21" spans="1:40" x14ac:dyDescent="0.25">
      <c r="A21" s="74"/>
      <c r="B21" s="41" t="s">
        <v>95</v>
      </c>
      <c r="C21" s="57">
        <v>5003</v>
      </c>
      <c r="D21" s="17"/>
      <c r="E21" s="6"/>
      <c r="F21" s="6"/>
      <c r="G21" s="7"/>
      <c r="H21" s="5"/>
      <c r="I21" s="6"/>
      <c r="J21" s="6"/>
      <c r="K21" s="7"/>
      <c r="L21" s="5"/>
      <c r="M21" s="6"/>
      <c r="N21" s="6"/>
      <c r="O21" s="7"/>
      <c r="P21" s="5"/>
      <c r="Q21" s="6"/>
      <c r="R21" s="6"/>
      <c r="S21" s="7"/>
      <c r="T21" s="5"/>
      <c r="U21" s="6"/>
      <c r="V21" s="6"/>
      <c r="W21" s="7"/>
      <c r="X21" s="5"/>
      <c r="Y21" s="6"/>
      <c r="Z21" s="6"/>
      <c r="AA21" s="7"/>
      <c r="AB21" s="5"/>
      <c r="AC21" s="6"/>
      <c r="AD21" s="6"/>
      <c r="AE21" s="7"/>
      <c r="AF21" s="5"/>
      <c r="AG21" s="6"/>
      <c r="AH21" s="6"/>
      <c r="AI21" s="7"/>
      <c r="AJ21" s="5"/>
      <c r="AK21" s="6"/>
      <c r="AL21" s="6"/>
      <c r="AM21" s="7"/>
      <c r="AN21" s="18">
        <f t="shared" si="0"/>
        <v>0</v>
      </c>
    </row>
    <row r="22" spans="1:40" x14ac:dyDescent="0.25">
      <c r="A22" s="74"/>
      <c r="B22" s="41" t="s">
        <v>96</v>
      </c>
      <c r="C22" s="57">
        <v>5992</v>
      </c>
      <c r="D22" s="17"/>
      <c r="E22" s="6"/>
      <c r="F22" s="6"/>
      <c r="G22" s="7"/>
      <c r="H22" s="5"/>
      <c r="I22" s="6"/>
      <c r="J22" s="6"/>
      <c r="K22" s="7"/>
      <c r="L22" s="5"/>
      <c r="M22" s="6"/>
      <c r="N22" s="6"/>
      <c r="O22" s="7"/>
      <c r="P22" s="5"/>
      <c r="Q22" s="6"/>
      <c r="R22" s="6"/>
      <c r="S22" s="7"/>
      <c r="T22" s="5"/>
      <c r="U22" s="6"/>
      <c r="V22" s="6"/>
      <c r="W22" s="7"/>
      <c r="X22" s="5"/>
      <c r="Y22" s="6"/>
      <c r="Z22" s="6"/>
      <c r="AA22" s="7"/>
      <c r="AB22" s="5"/>
      <c r="AC22" s="6"/>
      <c r="AD22" s="6"/>
      <c r="AE22" s="7"/>
      <c r="AF22" s="5"/>
      <c r="AG22" s="6"/>
      <c r="AH22" s="6"/>
      <c r="AI22" s="7"/>
      <c r="AJ22" s="5"/>
      <c r="AK22" s="6"/>
      <c r="AL22" s="6"/>
      <c r="AM22" s="7"/>
      <c r="AN22" s="18">
        <f t="shared" si="0"/>
        <v>0</v>
      </c>
    </row>
    <row r="23" spans="1:40" x14ac:dyDescent="0.25">
      <c r="A23" s="74"/>
      <c r="B23" s="41" t="s">
        <v>98</v>
      </c>
      <c r="C23" s="60">
        <v>5993</v>
      </c>
      <c r="D23" s="61" t="s">
        <v>126</v>
      </c>
      <c r="E23" s="6"/>
      <c r="F23" s="6"/>
      <c r="G23" s="7"/>
      <c r="H23" s="5"/>
      <c r="I23" s="6"/>
      <c r="J23" s="6"/>
      <c r="K23" s="7"/>
      <c r="L23" s="5"/>
      <c r="M23" s="6"/>
      <c r="N23" s="6"/>
      <c r="O23" s="7"/>
      <c r="P23" s="5"/>
      <c r="Q23" s="6"/>
      <c r="R23" s="6"/>
      <c r="S23" s="7"/>
      <c r="T23" s="5"/>
      <c r="U23" s="6"/>
      <c r="V23" s="6"/>
      <c r="W23" s="7"/>
      <c r="X23" s="5"/>
      <c r="Y23" s="6"/>
      <c r="Z23" s="6"/>
      <c r="AA23" s="7"/>
      <c r="AB23" s="5"/>
      <c r="AC23" s="6"/>
      <c r="AD23" s="6"/>
      <c r="AE23" s="7"/>
      <c r="AF23" s="5"/>
      <c r="AG23" s="6"/>
      <c r="AH23" s="6"/>
      <c r="AI23" s="7"/>
      <c r="AJ23" s="5"/>
      <c r="AK23" s="6"/>
      <c r="AL23" s="6"/>
      <c r="AM23" s="7"/>
      <c r="AN23" s="18"/>
    </row>
    <row r="24" spans="1:40" x14ac:dyDescent="0.25">
      <c r="A24" s="74"/>
      <c r="B24" s="41" t="s">
        <v>97</v>
      </c>
      <c r="C24" s="57">
        <v>5991</v>
      </c>
      <c r="D24" s="17"/>
      <c r="E24" s="6"/>
      <c r="F24" s="6"/>
      <c r="G24" s="7"/>
      <c r="H24" s="5"/>
      <c r="I24" s="6"/>
      <c r="J24" s="6"/>
      <c r="K24" s="7"/>
      <c r="L24" s="5"/>
      <c r="M24" s="6"/>
      <c r="N24" s="6"/>
      <c r="O24" s="7"/>
      <c r="P24" s="5"/>
      <c r="Q24" s="6"/>
      <c r="R24" s="6"/>
      <c r="S24" s="7"/>
      <c r="T24" s="5"/>
      <c r="U24" s="6"/>
      <c r="V24" s="6"/>
      <c r="W24" s="7"/>
      <c r="X24" s="5"/>
      <c r="Y24" s="6"/>
      <c r="Z24" s="6"/>
      <c r="AA24" s="7"/>
      <c r="AB24" s="5"/>
      <c r="AC24" s="6"/>
      <c r="AD24" s="6"/>
      <c r="AE24" s="7"/>
      <c r="AF24" s="5"/>
      <c r="AG24" s="6"/>
      <c r="AH24" s="6"/>
      <c r="AI24" s="7"/>
      <c r="AJ24" s="5"/>
      <c r="AK24" s="6"/>
      <c r="AL24" s="6"/>
      <c r="AM24" s="7"/>
      <c r="AN24" s="18">
        <f t="shared" si="0"/>
        <v>0</v>
      </c>
    </row>
    <row r="25" spans="1:40" ht="15.75" thickBot="1" x14ac:dyDescent="0.3">
      <c r="A25" s="75"/>
      <c r="B25" s="4" t="s">
        <v>8</v>
      </c>
      <c r="C25" s="52"/>
      <c r="D25" s="28"/>
      <c r="E25" s="9"/>
      <c r="F25" s="9"/>
      <c r="G25" s="10"/>
      <c r="H25" s="8"/>
      <c r="I25" s="9"/>
      <c r="J25" s="9"/>
      <c r="K25" s="10"/>
      <c r="L25" s="8"/>
      <c r="M25" s="9"/>
      <c r="N25" s="9"/>
      <c r="O25" s="10"/>
      <c r="P25" s="8"/>
      <c r="Q25" s="9">
        <f>SUM(Q13:Q24)</f>
        <v>0</v>
      </c>
      <c r="R25" s="9">
        <f t="shared" ref="R25:AM25" si="1">SUM(R13:R24)</f>
        <v>0</v>
      </c>
      <c r="S25" s="9">
        <f t="shared" si="1"/>
        <v>0</v>
      </c>
      <c r="T25" s="9">
        <f t="shared" si="1"/>
        <v>0</v>
      </c>
      <c r="U25" s="9">
        <f t="shared" si="1"/>
        <v>0</v>
      </c>
      <c r="V25" s="9">
        <f t="shared" si="1"/>
        <v>0</v>
      </c>
      <c r="W25" s="9">
        <f t="shared" si="1"/>
        <v>0</v>
      </c>
      <c r="X25" s="9">
        <f t="shared" si="1"/>
        <v>0</v>
      </c>
      <c r="Y25" s="9">
        <f t="shared" si="1"/>
        <v>0</v>
      </c>
      <c r="Z25" s="9">
        <f t="shared" si="1"/>
        <v>0</v>
      </c>
      <c r="AA25" s="9">
        <f t="shared" si="1"/>
        <v>0</v>
      </c>
      <c r="AB25" s="9">
        <f t="shared" si="1"/>
        <v>0</v>
      </c>
      <c r="AC25" s="9">
        <f t="shared" si="1"/>
        <v>0</v>
      </c>
      <c r="AD25" s="9">
        <f t="shared" si="1"/>
        <v>0</v>
      </c>
      <c r="AE25" s="9">
        <f t="shared" si="1"/>
        <v>0</v>
      </c>
      <c r="AF25" s="9">
        <f t="shared" si="1"/>
        <v>0</v>
      </c>
      <c r="AG25" s="9">
        <f t="shared" si="1"/>
        <v>0</v>
      </c>
      <c r="AH25" s="9">
        <f t="shared" si="1"/>
        <v>0</v>
      </c>
      <c r="AI25" s="9">
        <f t="shared" si="1"/>
        <v>0</v>
      </c>
      <c r="AJ25" s="9">
        <f t="shared" si="1"/>
        <v>0</v>
      </c>
      <c r="AK25" s="9">
        <f t="shared" si="1"/>
        <v>0</v>
      </c>
      <c r="AL25" s="9">
        <f t="shared" si="1"/>
        <v>0</v>
      </c>
      <c r="AM25" s="9">
        <f t="shared" si="1"/>
        <v>0</v>
      </c>
      <c r="AN25" s="29">
        <f t="shared" si="0"/>
        <v>0</v>
      </c>
    </row>
    <row r="26" spans="1:40" x14ac:dyDescent="0.25">
      <c r="A26" s="73" t="s">
        <v>10</v>
      </c>
      <c r="B26" s="49" t="s">
        <v>99</v>
      </c>
      <c r="C26" s="53"/>
      <c r="D26" s="30"/>
      <c r="E26" s="31"/>
      <c r="F26" s="31"/>
      <c r="G26" s="32"/>
      <c r="H26" s="33"/>
      <c r="I26" s="31"/>
      <c r="J26" s="31"/>
      <c r="K26" s="32"/>
      <c r="L26" s="33"/>
      <c r="M26" s="31"/>
      <c r="N26" s="31"/>
      <c r="O26" s="32"/>
      <c r="P26" s="33"/>
      <c r="Q26" s="31"/>
      <c r="R26" s="31"/>
      <c r="S26" s="32"/>
      <c r="T26" s="33"/>
      <c r="U26" s="31"/>
      <c r="V26" s="31"/>
      <c r="W26" s="32"/>
      <c r="X26" s="33"/>
      <c r="Y26" s="31"/>
      <c r="Z26" s="31"/>
      <c r="AA26" s="36">
        <v>82</v>
      </c>
      <c r="AB26" s="30">
        <v>110</v>
      </c>
      <c r="AC26" s="31">
        <v>110.50923959961381</v>
      </c>
      <c r="AD26" s="31"/>
      <c r="AE26" s="32"/>
      <c r="AF26" s="33"/>
      <c r="AG26" s="31"/>
      <c r="AH26" s="31"/>
      <c r="AI26" s="32"/>
      <c r="AJ26" s="33"/>
      <c r="AK26" s="31"/>
      <c r="AL26" s="31"/>
      <c r="AM26" s="32"/>
      <c r="AN26" s="34">
        <f t="shared" si="0"/>
        <v>302.50923959961381</v>
      </c>
    </row>
    <row r="27" spans="1:40" x14ac:dyDescent="0.25">
      <c r="A27" s="74"/>
      <c r="B27" s="41" t="s">
        <v>87</v>
      </c>
      <c r="C27" s="51"/>
      <c r="D27" s="17"/>
      <c r="E27" s="6"/>
      <c r="F27" s="6"/>
      <c r="G27" s="7"/>
      <c r="H27" s="5"/>
      <c r="I27" s="6"/>
      <c r="J27" s="6"/>
      <c r="K27" s="7"/>
      <c r="L27" s="5"/>
      <c r="M27" s="6"/>
      <c r="N27" s="6"/>
      <c r="O27" s="7"/>
      <c r="P27" s="5"/>
      <c r="Q27" s="6"/>
      <c r="R27" s="6"/>
      <c r="S27" s="7"/>
      <c r="T27" s="5"/>
      <c r="U27" s="6"/>
      <c r="V27" s="6"/>
      <c r="W27" s="7"/>
      <c r="X27" s="5"/>
      <c r="Y27" s="6"/>
      <c r="Z27" s="6"/>
      <c r="AA27" s="7">
        <v>6298.5121999999992</v>
      </c>
      <c r="AB27" s="5">
        <v>8551.3651000000009</v>
      </c>
      <c r="AC27" s="6">
        <v>9471.1262234429341</v>
      </c>
      <c r="AD27" s="6"/>
      <c r="AE27" s="7"/>
      <c r="AF27" s="5"/>
      <c r="AG27" s="6"/>
      <c r="AH27" s="6"/>
      <c r="AI27" s="7"/>
      <c r="AJ27" s="5"/>
      <c r="AK27" s="6"/>
      <c r="AL27" s="6"/>
      <c r="AM27" s="7"/>
      <c r="AN27" s="18">
        <f t="shared" si="0"/>
        <v>24321.003523442934</v>
      </c>
    </row>
    <row r="28" spans="1:40" x14ac:dyDescent="0.25">
      <c r="A28" s="74"/>
      <c r="B28" s="41" t="s">
        <v>88</v>
      </c>
      <c r="C28" s="51"/>
      <c r="D28" s="17"/>
      <c r="E28" s="6"/>
      <c r="F28" s="6"/>
      <c r="G28" s="7"/>
      <c r="H28" s="5"/>
      <c r="I28" s="6"/>
      <c r="J28" s="6"/>
      <c r="K28" s="7"/>
      <c r="L28" s="5"/>
      <c r="M28" s="6"/>
      <c r="N28" s="6"/>
      <c r="O28" s="7"/>
      <c r="P28" s="5"/>
      <c r="Q28" s="6"/>
      <c r="R28" s="6"/>
      <c r="S28" s="7"/>
      <c r="T28" s="5"/>
      <c r="U28" s="6"/>
      <c r="V28" s="6"/>
      <c r="W28" s="7"/>
      <c r="X28" s="5"/>
      <c r="Y28" s="6"/>
      <c r="Z28" s="6"/>
      <c r="AA28" s="7">
        <v>3165.6322317199997</v>
      </c>
      <c r="AB28" s="5">
        <v>4297.9160992600009</v>
      </c>
      <c r="AC28" s="6">
        <v>4760.1880399024194</v>
      </c>
      <c r="AD28" s="6"/>
      <c r="AE28" s="7"/>
      <c r="AF28" s="5"/>
      <c r="AG28" s="6"/>
      <c r="AH28" s="6"/>
      <c r="AI28" s="7"/>
      <c r="AJ28" s="5"/>
      <c r="AK28" s="6"/>
      <c r="AL28" s="6"/>
      <c r="AM28" s="7"/>
      <c r="AN28" s="18">
        <f t="shared" si="0"/>
        <v>12223.73637088242</v>
      </c>
    </row>
    <row r="29" spans="1:40" x14ac:dyDescent="0.25">
      <c r="A29" s="74"/>
      <c r="B29" s="41" t="s">
        <v>89</v>
      </c>
      <c r="C29" s="51"/>
      <c r="D29" s="17"/>
      <c r="E29" s="6"/>
      <c r="F29" s="6"/>
      <c r="G29" s="7"/>
      <c r="H29" s="5"/>
      <c r="I29" s="6"/>
      <c r="J29" s="6"/>
      <c r="K29" s="7"/>
      <c r="L29" s="5"/>
      <c r="M29" s="6"/>
      <c r="N29" s="6"/>
      <c r="O29" s="7"/>
      <c r="P29" s="5"/>
      <c r="Q29" s="6"/>
      <c r="R29" s="6"/>
      <c r="S29" s="7"/>
      <c r="T29" s="5"/>
      <c r="U29" s="6"/>
      <c r="V29" s="6"/>
      <c r="W29" s="7"/>
      <c r="X29" s="5"/>
      <c r="Y29" s="6"/>
      <c r="Z29" s="6"/>
      <c r="AA29" s="7">
        <v>0</v>
      </c>
      <c r="AB29" s="5">
        <v>0</v>
      </c>
      <c r="AC29" s="6">
        <v>0</v>
      </c>
      <c r="AD29" s="6"/>
      <c r="AE29" s="7"/>
      <c r="AF29" s="5"/>
      <c r="AG29" s="6"/>
      <c r="AH29" s="6"/>
      <c r="AI29" s="7"/>
      <c r="AJ29" s="5"/>
      <c r="AK29" s="6"/>
      <c r="AL29" s="6"/>
      <c r="AM29" s="7"/>
      <c r="AN29" s="18">
        <f t="shared" si="0"/>
        <v>0</v>
      </c>
    </row>
    <row r="30" spans="1:40" x14ac:dyDescent="0.25">
      <c r="A30" s="74"/>
      <c r="B30" s="41" t="s">
        <v>90</v>
      </c>
      <c r="C30" s="51"/>
      <c r="D30" s="17"/>
      <c r="E30" s="6"/>
      <c r="F30" s="6"/>
      <c r="G30" s="7"/>
      <c r="H30" s="5"/>
      <c r="I30" s="6"/>
      <c r="J30" s="6"/>
      <c r="K30" s="7"/>
      <c r="L30" s="5"/>
      <c r="M30" s="6"/>
      <c r="N30" s="6"/>
      <c r="O30" s="7"/>
      <c r="P30" s="5"/>
      <c r="Q30" s="6"/>
      <c r="R30" s="6"/>
      <c r="S30" s="7"/>
      <c r="T30" s="5"/>
      <c r="U30" s="6"/>
      <c r="V30" s="6"/>
      <c r="W30" s="7"/>
      <c r="X30" s="5"/>
      <c r="Y30" s="6"/>
      <c r="Z30" s="6"/>
      <c r="AA30" s="7">
        <v>100078.73981759998</v>
      </c>
      <c r="AB30" s="5">
        <v>14921.260182400019</v>
      </c>
      <c r="AC30" s="6">
        <v>0</v>
      </c>
      <c r="AD30" s="6"/>
      <c r="AE30" s="7"/>
      <c r="AF30" s="5"/>
      <c r="AG30" s="6"/>
      <c r="AH30" s="6"/>
      <c r="AI30" s="7"/>
      <c r="AJ30" s="5"/>
      <c r="AK30" s="6"/>
      <c r="AL30" s="6"/>
      <c r="AM30" s="7"/>
      <c r="AN30" s="18">
        <f t="shared" si="0"/>
        <v>115000</v>
      </c>
    </row>
    <row r="31" spans="1:40" x14ac:dyDescent="0.25">
      <c r="A31" s="74"/>
      <c r="B31" s="41" t="s">
        <v>91</v>
      </c>
      <c r="C31" s="51"/>
      <c r="D31" s="17"/>
      <c r="E31" s="6"/>
      <c r="F31" s="6"/>
      <c r="G31" s="7"/>
      <c r="H31" s="5"/>
      <c r="I31" s="6"/>
      <c r="J31" s="6"/>
      <c r="K31" s="7"/>
      <c r="L31" s="5"/>
      <c r="M31" s="6"/>
      <c r="N31" s="6"/>
      <c r="O31" s="7"/>
      <c r="P31" s="5"/>
      <c r="Q31" s="6"/>
      <c r="R31" s="6"/>
      <c r="S31" s="7"/>
      <c r="T31" s="5"/>
      <c r="U31" s="6"/>
      <c r="V31" s="6"/>
      <c r="W31" s="7"/>
      <c r="X31" s="5"/>
      <c r="Y31" s="6"/>
      <c r="Z31" s="6"/>
      <c r="AA31" s="7">
        <v>0</v>
      </c>
      <c r="AB31" s="5">
        <v>0</v>
      </c>
      <c r="AC31" s="6">
        <v>0</v>
      </c>
      <c r="AD31" s="6"/>
      <c r="AE31" s="7"/>
      <c r="AF31" s="5"/>
      <c r="AG31" s="6"/>
      <c r="AH31" s="6"/>
      <c r="AI31" s="7"/>
      <c r="AJ31" s="5"/>
      <c r="AK31" s="6"/>
      <c r="AL31" s="6"/>
      <c r="AM31" s="7"/>
      <c r="AN31" s="18">
        <f t="shared" si="0"/>
        <v>0</v>
      </c>
    </row>
    <row r="32" spans="1:40" x14ac:dyDescent="0.25">
      <c r="A32" s="74"/>
      <c r="B32" s="41" t="s">
        <v>92</v>
      </c>
      <c r="C32" s="51"/>
      <c r="D32" s="17"/>
      <c r="E32" s="6"/>
      <c r="F32" s="6"/>
      <c r="G32" s="7"/>
      <c r="H32" s="5"/>
      <c r="I32" s="6"/>
      <c r="J32" s="6"/>
      <c r="K32" s="7"/>
      <c r="L32" s="5"/>
      <c r="M32" s="6"/>
      <c r="N32" s="6"/>
      <c r="O32" s="7"/>
      <c r="P32" s="5"/>
      <c r="Q32" s="6"/>
      <c r="R32" s="6"/>
      <c r="S32" s="7"/>
      <c r="T32" s="5"/>
      <c r="U32" s="6"/>
      <c r="V32" s="6"/>
      <c r="W32" s="7"/>
      <c r="X32" s="5"/>
      <c r="Y32" s="6"/>
      <c r="Z32" s="6"/>
      <c r="AA32" s="7">
        <v>0</v>
      </c>
      <c r="AB32" s="5">
        <v>0</v>
      </c>
      <c r="AC32" s="6">
        <v>0</v>
      </c>
      <c r="AD32" s="6"/>
      <c r="AE32" s="7"/>
      <c r="AF32" s="5"/>
      <c r="AG32" s="6"/>
      <c r="AH32" s="6"/>
      <c r="AI32" s="7"/>
      <c r="AJ32" s="5"/>
      <c r="AK32" s="6"/>
      <c r="AL32" s="6"/>
      <c r="AM32" s="7"/>
      <c r="AN32" s="18">
        <f t="shared" si="0"/>
        <v>0</v>
      </c>
    </row>
    <row r="33" spans="1:40" x14ac:dyDescent="0.25">
      <c r="A33" s="74"/>
      <c r="B33" s="41" t="s">
        <v>93</v>
      </c>
      <c r="C33" s="51"/>
      <c r="D33" s="17"/>
      <c r="E33" s="6"/>
      <c r="F33" s="6"/>
      <c r="G33" s="7"/>
      <c r="H33" s="5"/>
      <c r="I33" s="6"/>
      <c r="J33" s="6"/>
      <c r="K33" s="7"/>
      <c r="L33" s="5"/>
      <c r="M33" s="6"/>
      <c r="N33" s="6"/>
      <c r="O33" s="7"/>
      <c r="P33" s="5"/>
      <c r="Q33" s="6"/>
      <c r="R33" s="6"/>
      <c r="S33" s="7"/>
      <c r="T33" s="5"/>
      <c r="U33" s="6"/>
      <c r="V33" s="6"/>
      <c r="W33" s="7"/>
      <c r="X33" s="5"/>
      <c r="Y33" s="6"/>
      <c r="Z33" s="6"/>
      <c r="AA33" s="7"/>
      <c r="AB33" s="5"/>
      <c r="AC33" s="6"/>
      <c r="AD33" s="6"/>
      <c r="AE33" s="7"/>
      <c r="AF33" s="5"/>
      <c r="AG33" s="6"/>
      <c r="AH33" s="6"/>
      <c r="AI33" s="7"/>
      <c r="AJ33" s="5"/>
      <c r="AK33" s="6"/>
      <c r="AL33" s="6"/>
      <c r="AM33" s="7"/>
      <c r="AN33" s="18"/>
    </row>
    <row r="34" spans="1:40" x14ac:dyDescent="0.25">
      <c r="A34" s="74"/>
      <c r="B34" s="41" t="s">
        <v>94</v>
      </c>
      <c r="C34" s="51"/>
      <c r="D34" s="17"/>
      <c r="E34" s="6"/>
      <c r="F34" s="6"/>
      <c r="G34" s="7"/>
      <c r="H34" s="5"/>
      <c r="I34" s="6"/>
      <c r="J34" s="6"/>
      <c r="K34" s="7"/>
      <c r="L34" s="5"/>
      <c r="M34" s="6"/>
      <c r="N34" s="6"/>
      <c r="O34" s="7"/>
      <c r="P34" s="5"/>
      <c r="Q34" s="6"/>
      <c r="R34" s="6"/>
      <c r="S34" s="7"/>
      <c r="T34" s="5"/>
      <c r="U34" s="6"/>
      <c r="V34" s="6"/>
      <c r="W34" s="7"/>
      <c r="X34" s="5"/>
      <c r="Y34" s="6"/>
      <c r="Z34" s="6"/>
      <c r="AA34" s="7"/>
      <c r="AB34" s="5"/>
      <c r="AC34" s="6"/>
      <c r="AD34" s="6"/>
      <c r="AE34" s="7"/>
      <c r="AF34" s="5"/>
      <c r="AG34" s="6"/>
      <c r="AH34" s="6"/>
      <c r="AI34" s="7"/>
      <c r="AJ34" s="5"/>
      <c r="AK34" s="6"/>
      <c r="AL34" s="6"/>
      <c r="AM34" s="7"/>
      <c r="AN34" s="18"/>
    </row>
    <row r="35" spans="1:40" x14ac:dyDescent="0.25">
      <c r="A35" s="74"/>
      <c r="B35" s="41" t="s">
        <v>95</v>
      </c>
      <c r="C35" s="51"/>
      <c r="D35" s="17"/>
      <c r="E35" s="6"/>
      <c r="F35" s="6"/>
      <c r="G35" s="7"/>
      <c r="H35" s="5"/>
      <c r="I35" s="6"/>
      <c r="J35" s="6"/>
      <c r="K35" s="7"/>
      <c r="L35" s="5"/>
      <c r="M35" s="6"/>
      <c r="N35" s="6"/>
      <c r="O35" s="7"/>
      <c r="P35" s="5"/>
      <c r="Q35" s="6"/>
      <c r="R35" s="6"/>
      <c r="S35" s="7"/>
      <c r="T35" s="5"/>
      <c r="U35" s="6"/>
      <c r="V35" s="6"/>
      <c r="W35" s="7"/>
      <c r="X35" s="5"/>
      <c r="Y35" s="6"/>
      <c r="Z35" s="6"/>
      <c r="AA35" s="7">
        <v>0</v>
      </c>
      <c r="AB35" s="5">
        <v>0</v>
      </c>
      <c r="AC35" s="6">
        <v>0</v>
      </c>
      <c r="AD35" s="6"/>
      <c r="AE35" s="7"/>
      <c r="AF35" s="5"/>
      <c r="AG35" s="6"/>
      <c r="AH35" s="6"/>
      <c r="AI35" s="7"/>
      <c r="AJ35" s="5"/>
      <c r="AK35" s="6"/>
      <c r="AL35" s="6"/>
      <c r="AM35" s="7"/>
      <c r="AN35" s="18">
        <f t="shared" si="0"/>
        <v>0</v>
      </c>
    </row>
    <row r="36" spans="1:40" x14ac:dyDescent="0.25">
      <c r="A36" s="74"/>
      <c r="B36" s="41" t="s">
        <v>96</v>
      </c>
      <c r="C36" s="51"/>
      <c r="D36" s="17"/>
      <c r="E36" s="6"/>
      <c r="F36" s="6"/>
      <c r="G36" s="7"/>
      <c r="H36" s="5"/>
      <c r="I36" s="6"/>
      <c r="J36" s="6"/>
      <c r="K36" s="7"/>
      <c r="L36" s="5"/>
      <c r="M36" s="6"/>
      <c r="N36" s="6"/>
      <c r="O36" s="7"/>
      <c r="P36" s="5"/>
      <c r="Q36" s="6"/>
      <c r="R36" s="6"/>
      <c r="S36" s="7"/>
      <c r="T36" s="5"/>
      <c r="U36" s="6"/>
      <c r="V36" s="6"/>
      <c r="W36" s="7"/>
      <c r="X36" s="5"/>
      <c r="Y36" s="6"/>
      <c r="Z36" s="6"/>
      <c r="AA36" s="7">
        <v>20000</v>
      </c>
      <c r="AB36" s="5">
        <v>0</v>
      </c>
      <c r="AC36" s="6">
        <v>0</v>
      </c>
      <c r="AD36" s="6"/>
      <c r="AE36" s="7"/>
      <c r="AF36" s="5"/>
      <c r="AG36" s="6"/>
      <c r="AH36" s="6"/>
      <c r="AI36" s="7"/>
      <c r="AJ36" s="5"/>
      <c r="AK36" s="6"/>
      <c r="AL36" s="6"/>
      <c r="AM36" s="7"/>
      <c r="AN36" s="18">
        <f t="shared" si="0"/>
        <v>20000</v>
      </c>
    </row>
    <row r="37" spans="1:40" x14ac:dyDescent="0.25">
      <c r="A37" s="74"/>
      <c r="B37" s="41" t="s">
        <v>98</v>
      </c>
      <c r="C37" s="51"/>
      <c r="D37" s="17"/>
      <c r="E37" s="6"/>
      <c r="F37" s="6"/>
      <c r="G37" s="7"/>
      <c r="H37" s="5"/>
      <c r="I37" s="6"/>
      <c r="J37" s="6"/>
      <c r="K37" s="7"/>
      <c r="L37" s="5"/>
      <c r="M37" s="6"/>
      <c r="N37" s="6"/>
      <c r="O37" s="7"/>
      <c r="P37" s="5"/>
      <c r="Q37" s="6"/>
      <c r="R37" s="6"/>
      <c r="S37" s="7"/>
      <c r="T37" s="5"/>
      <c r="U37" s="6"/>
      <c r="V37" s="6"/>
      <c r="W37" s="7"/>
      <c r="X37" s="5"/>
      <c r="Y37" s="6"/>
      <c r="Z37" s="6"/>
      <c r="AA37" s="7">
        <v>2932.3070766556793</v>
      </c>
      <c r="AB37" s="5">
        <v>437.19292334432055</v>
      </c>
      <c r="AC37" s="6">
        <v>0</v>
      </c>
      <c r="AD37" s="6"/>
      <c r="AE37" s="7"/>
      <c r="AF37" s="5"/>
      <c r="AG37" s="6"/>
      <c r="AH37" s="6"/>
      <c r="AI37" s="7"/>
      <c r="AJ37" s="5"/>
      <c r="AK37" s="6"/>
      <c r="AL37" s="6"/>
      <c r="AM37" s="7"/>
      <c r="AN37" s="18">
        <f t="shared" si="0"/>
        <v>3369.5</v>
      </c>
    </row>
    <row r="38" spans="1:40" x14ac:dyDescent="0.25">
      <c r="A38" s="74"/>
      <c r="B38" s="41" t="s">
        <v>97</v>
      </c>
      <c r="C38" s="51"/>
      <c r="D38" s="17"/>
      <c r="E38" s="6"/>
      <c r="F38" s="6"/>
      <c r="G38" s="7"/>
      <c r="H38" s="5"/>
      <c r="I38" s="6"/>
      <c r="J38" s="6"/>
      <c r="K38" s="7"/>
      <c r="L38" s="5"/>
      <c r="M38" s="6"/>
      <c r="N38" s="6"/>
      <c r="O38" s="7"/>
      <c r="P38" s="5"/>
      <c r="Q38" s="6"/>
      <c r="R38" s="6"/>
      <c r="S38" s="7"/>
      <c r="T38" s="5"/>
      <c r="U38" s="6"/>
      <c r="V38" s="6"/>
      <c r="W38" s="7"/>
      <c r="X38" s="5"/>
      <c r="Y38" s="6"/>
      <c r="Z38" s="6"/>
      <c r="AA38" s="7">
        <v>39125.437390881001</v>
      </c>
      <c r="AB38" s="5">
        <v>17062.560504497356</v>
      </c>
      <c r="AC38" s="6">
        <v>18897.762210296296</v>
      </c>
      <c r="AD38" s="6"/>
      <c r="AE38" s="7"/>
      <c r="AF38" s="5"/>
      <c r="AG38" s="6"/>
      <c r="AH38" s="6"/>
      <c r="AI38" s="7"/>
      <c r="AJ38" s="5"/>
      <c r="AK38" s="6"/>
      <c r="AL38" s="6"/>
      <c r="AM38" s="7"/>
      <c r="AN38" s="18">
        <f t="shared" si="0"/>
        <v>75085.76010567465</v>
      </c>
    </row>
    <row r="39" spans="1:40" ht="15.75" thickBot="1" x14ac:dyDescent="0.3">
      <c r="A39" s="76"/>
      <c r="B39" s="2" t="s">
        <v>8</v>
      </c>
      <c r="C39" s="54"/>
      <c r="D39" s="20">
        <f t="shared" ref="D39:P39" si="2">SUM(D27:D38)</f>
        <v>0</v>
      </c>
      <c r="E39" s="20">
        <f t="shared" si="2"/>
        <v>0</v>
      </c>
      <c r="F39" s="20">
        <f t="shared" si="2"/>
        <v>0</v>
      </c>
      <c r="G39" s="20">
        <f t="shared" si="2"/>
        <v>0</v>
      </c>
      <c r="H39" s="20">
        <f t="shared" si="2"/>
        <v>0</v>
      </c>
      <c r="I39" s="20">
        <f t="shared" si="2"/>
        <v>0</v>
      </c>
      <c r="J39" s="20">
        <f t="shared" si="2"/>
        <v>0</v>
      </c>
      <c r="K39" s="20">
        <f t="shared" si="2"/>
        <v>0</v>
      </c>
      <c r="L39" s="20">
        <f t="shared" si="2"/>
        <v>0</v>
      </c>
      <c r="M39" s="20">
        <f t="shared" si="2"/>
        <v>0</v>
      </c>
      <c r="N39" s="20">
        <f t="shared" si="2"/>
        <v>0</v>
      </c>
      <c r="O39" s="20">
        <f t="shared" si="2"/>
        <v>0</v>
      </c>
      <c r="P39" s="20">
        <f t="shared" si="2"/>
        <v>0</v>
      </c>
      <c r="Q39" s="20">
        <f>SUM(Q27:Q38)</f>
        <v>0</v>
      </c>
      <c r="R39" s="20">
        <f t="shared" ref="R39:AM39" si="3">SUM(R27:R38)</f>
        <v>0</v>
      </c>
      <c r="S39" s="20">
        <f t="shared" si="3"/>
        <v>0</v>
      </c>
      <c r="T39" s="20">
        <f t="shared" si="3"/>
        <v>0</v>
      </c>
      <c r="U39" s="20">
        <f t="shared" si="3"/>
        <v>0</v>
      </c>
      <c r="V39" s="20">
        <f t="shared" si="3"/>
        <v>0</v>
      </c>
      <c r="W39" s="20">
        <f t="shared" si="3"/>
        <v>0</v>
      </c>
      <c r="X39" s="20">
        <f t="shared" si="3"/>
        <v>0</v>
      </c>
      <c r="Y39" s="20">
        <f t="shared" si="3"/>
        <v>0</v>
      </c>
      <c r="Z39" s="20">
        <f t="shared" si="3"/>
        <v>0</v>
      </c>
      <c r="AA39" s="20">
        <f t="shared" si="3"/>
        <v>171600.62871685668</v>
      </c>
      <c r="AB39" s="20">
        <f t="shared" si="3"/>
        <v>45270.294809501691</v>
      </c>
      <c r="AC39" s="20">
        <f t="shared" si="3"/>
        <v>33129.076473641646</v>
      </c>
      <c r="AD39" s="20">
        <f t="shared" si="3"/>
        <v>0</v>
      </c>
      <c r="AE39" s="20">
        <f t="shared" si="3"/>
        <v>0</v>
      </c>
      <c r="AF39" s="20">
        <f t="shared" si="3"/>
        <v>0</v>
      </c>
      <c r="AG39" s="20">
        <f t="shared" si="3"/>
        <v>0</v>
      </c>
      <c r="AH39" s="20">
        <f t="shared" si="3"/>
        <v>0</v>
      </c>
      <c r="AI39" s="20">
        <f t="shared" si="3"/>
        <v>0</v>
      </c>
      <c r="AJ39" s="20">
        <f t="shared" si="3"/>
        <v>0</v>
      </c>
      <c r="AK39" s="20">
        <f t="shared" si="3"/>
        <v>0</v>
      </c>
      <c r="AL39" s="20">
        <f t="shared" si="3"/>
        <v>0</v>
      </c>
      <c r="AM39" s="20">
        <f t="shared" si="3"/>
        <v>0</v>
      </c>
      <c r="AN39" s="35">
        <f t="shared" si="0"/>
        <v>250000.00000000003</v>
      </c>
    </row>
    <row r="40" spans="1:40" x14ac:dyDescent="0.25">
      <c r="A40" s="67" t="s">
        <v>12</v>
      </c>
      <c r="B40" s="39" t="s">
        <v>7</v>
      </c>
      <c r="C40" s="55"/>
      <c r="D40" s="12"/>
      <c r="E40" s="13"/>
      <c r="F40" s="13"/>
      <c r="G40" s="14"/>
      <c r="H40" s="15"/>
      <c r="I40" s="13"/>
      <c r="J40" s="13"/>
      <c r="K40" s="14"/>
      <c r="L40" s="15"/>
      <c r="M40" s="13"/>
      <c r="N40" s="13"/>
      <c r="O40" s="14"/>
      <c r="P40" s="15"/>
      <c r="Q40" s="13"/>
      <c r="R40" s="13"/>
      <c r="S40" s="14"/>
      <c r="T40" s="15"/>
      <c r="U40" s="13"/>
      <c r="V40" s="13"/>
      <c r="W40" s="14"/>
      <c r="X40" s="15"/>
      <c r="Y40" s="13"/>
      <c r="Z40" s="13">
        <v>250000</v>
      </c>
      <c r="AA40" s="14"/>
      <c r="AB40" s="15"/>
      <c r="AC40" s="13"/>
      <c r="AD40" s="13"/>
      <c r="AE40" s="14"/>
      <c r="AF40" s="15"/>
      <c r="AG40" s="13"/>
      <c r="AH40" s="13"/>
      <c r="AI40" s="14"/>
      <c r="AJ40" s="15"/>
      <c r="AK40" s="13"/>
      <c r="AL40" s="13"/>
      <c r="AM40" s="14"/>
      <c r="AN40" s="16">
        <f t="shared" si="0"/>
        <v>250000</v>
      </c>
    </row>
    <row r="41" spans="1:40" x14ac:dyDescent="0.25">
      <c r="A41" s="68"/>
      <c r="B41" s="41" t="s">
        <v>9</v>
      </c>
      <c r="C41" s="51"/>
      <c r="D41" s="17"/>
      <c r="E41" s="6"/>
      <c r="F41" s="6"/>
      <c r="G41" s="7"/>
      <c r="H41" s="5"/>
      <c r="I41" s="6"/>
      <c r="J41" s="6"/>
      <c r="K41" s="7"/>
      <c r="L41" s="5"/>
      <c r="M41" s="6"/>
      <c r="N41" s="6"/>
      <c r="O41" s="7"/>
      <c r="P41" s="5"/>
      <c r="Q41" s="6"/>
      <c r="R41" s="6"/>
      <c r="S41" s="7"/>
      <c r="T41" s="5"/>
      <c r="U41" s="6"/>
      <c r="V41" s="6"/>
      <c r="W41" s="7"/>
      <c r="X41" s="5"/>
      <c r="Y41" s="6"/>
      <c r="Z41" s="6">
        <v>250000</v>
      </c>
      <c r="AA41" s="7"/>
      <c r="AB41" s="5"/>
      <c r="AC41" s="6"/>
      <c r="AD41" s="6"/>
      <c r="AE41" s="7"/>
      <c r="AF41" s="5"/>
      <c r="AG41" s="6"/>
      <c r="AH41" s="6"/>
      <c r="AI41" s="7"/>
      <c r="AJ41" s="5"/>
      <c r="AK41" s="6"/>
      <c r="AL41" s="6"/>
      <c r="AM41" s="7"/>
      <c r="AN41" s="18">
        <f t="shared" si="0"/>
        <v>250000</v>
      </c>
    </row>
    <row r="42" spans="1:40" ht="15.75" thickBot="1" x14ac:dyDescent="0.3">
      <c r="A42" s="69"/>
      <c r="B42" s="44" t="s">
        <v>13</v>
      </c>
      <c r="C42" s="56"/>
      <c r="D42" s="19"/>
      <c r="E42" s="20"/>
      <c r="F42" s="20"/>
      <c r="G42" s="21"/>
      <c r="H42" s="22"/>
      <c r="I42" s="20"/>
      <c r="J42" s="20"/>
      <c r="K42" s="21"/>
      <c r="L42" s="22"/>
      <c r="M42" s="20"/>
      <c r="N42" s="20"/>
      <c r="O42" s="21"/>
      <c r="P42" s="22"/>
      <c r="Q42" s="20"/>
      <c r="R42" s="20"/>
      <c r="S42" s="21"/>
      <c r="T42" s="22"/>
      <c r="U42" s="20"/>
      <c r="V42" s="20"/>
      <c r="W42" s="21"/>
      <c r="X42" s="22"/>
      <c r="Y42" s="20"/>
      <c r="Z42" s="20"/>
      <c r="AA42" s="21"/>
      <c r="AB42" s="22"/>
      <c r="AC42" s="20"/>
      <c r="AD42" s="20"/>
      <c r="AE42" s="21"/>
      <c r="AF42" s="22"/>
      <c r="AG42" s="20"/>
      <c r="AH42" s="20"/>
      <c r="AI42" s="21"/>
      <c r="AJ42" s="22"/>
      <c r="AK42" s="20"/>
      <c r="AL42" s="20"/>
      <c r="AM42" s="21"/>
      <c r="AN42" s="18">
        <f t="shared" si="0"/>
        <v>0</v>
      </c>
    </row>
    <row r="43" spans="1:40" hidden="1" x14ac:dyDescent="0.25"/>
    <row r="44" spans="1:40" hidden="1" x14ac:dyDescent="0.25">
      <c r="B44" s="64" t="s">
        <v>79</v>
      </c>
      <c r="C44" s="40"/>
    </row>
    <row r="45" spans="1:40" hidden="1" x14ac:dyDescent="0.25">
      <c r="B45" s="65" t="s">
        <v>80</v>
      </c>
      <c r="C45" s="42"/>
    </row>
    <row r="46" spans="1:40" hidden="1" x14ac:dyDescent="0.25">
      <c r="B46" s="66" t="s">
        <v>81</v>
      </c>
      <c r="C46" s="43"/>
    </row>
    <row r="47" spans="1:40" hidden="1" x14ac:dyDescent="0.25">
      <c r="A47" t="s">
        <v>83</v>
      </c>
      <c r="B47" s="45" t="s">
        <v>82</v>
      </c>
      <c r="C47" s="45"/>
    </row>
    <row r="48" spans="1:40" hidden="1" x14ac:dyDescent="0.25">
      <c r="B48" s="45"/>
      <c r="C48" s="45"/>
    </row>
    <row r="49" spans="1:39" x14ac:dyDescent="0.25">
      <c r="D49" t="s">
        <v>22</v>
      </c>
      <c r="E49" t="s">
        <v>23</v>
      </c>
      <c r="F49" t="s">
        <v>24</v>
      </c>
      <c r="G49" t="s">
        <v>25</v>
      </c>
      <c r="H49" t="s">
        <v>26</v>
      </c>
      <c r="I49" t="s">
        <v>27</v>
      </c>
      <c r="J49" t="s">
        <v>28</v>
      </c>
      <c r="K49" t="s">
        <v>29</v>
      </c>
      <c r="L49" t="s">
        <v>30</v>
      </c>
      <c r="M49" t="s">
        <v>31</v>
      </c>
      <c r="N49" t="s">
        <v>32</v>
      </c>
      <c r="O49" t="s">
        <v>33</v>
      </c>
      <c r="P49" t="s">
        <v>34</v>
      </c>
      <c r="Q49" t="s">
        <v>35</v>
      </c>
      <c r="R49" t="s">
        <v>36</v>
      </c>
      <c r="S49" t="s">
        <v>37</v>
      </c>
      <c r="T49" t="s">
        <v>38</v>
      </c>
      <c r="U49" t="s">
        <v>39</v>
      </c>
      <c r="V49" t="s">
        <v>40</v>
      </c>
      <c r="W49" t="s">
        <v>41</v>
      </c>
      <c r="X49" t="s">
        <v>42</v>
      </c>
      <c r="Y49" t="s">
        <v>43</v>
      </c>
      <c r="Z49" t="s">
        <v>44</v>
      </c>
      <c r="AA49" t="s">
        <v>45</v>
      </c>
      <c r="AB49" t="s">
        <v>46</v>
      </c>
      <c r="AC49" t="s">
        <v>47</v>
      </c>
      <c r="AD49" t="s">
        <v>48</v>
      </c>
      <c r="AE49" t="s">
        <v>49</v>
      </c>
      <c r="AF49" t="s">
        <v>50</v>
      </c>
      <c r="AG49" t="s">
        <v>51</v>
      </c>
      <c r="AH49" t="s">
        <v>52</v>
      </c>
      <c r="AI49" t="s">
        <v>53</v>
      </c>
      <c r="AJ49" t="s">
        <v>54</v>
      </c>
      <c r="AK49" t="s">
        <v>55</v>
      </c>
      <c r="AL49" t="s">
        <v>56</v>
      </c>
      <c r="AM49" t="s">
        <v>57</v>
      </c>
    </row>
    <row r="50" spans="1:39" s="45" customFormat="1" x14ac:dyDescent="0.25">
      <c r="A50" s="45" t="s">
        <v>100</v>
      </c>
      <c r="B50" s="45" t="s">
        <v>16</v>
      </c>
      <c r="D50" s="47">
        <f>D40</f>
        <v>0</v>
      </c>
      <c r="E50" s="47">
        <f t="shared" ref="E50:AM52" si="4">E40+D50</f>
        <v>0</v>
      </c>
      <c r="F50" s="47">
        <f t="shared" si="4"/>
        <v>0</v>
      </c>
      <c r="G50" s="47">
        <f t="shared" si="4"/>
        <v>0</v>
      </c>
      <c r="H50" s="47">
        <f t="shared" si="4"/>
        <v>0</v>
      </c>
      <c r="I50" s="47">
        <f t="shared" si="4"/>
        <v>0</v>
      </c>
      <c r="J50" s="47">
        <f t="shared" si="4"/>
        <v>0</v>
      </c>
      <c r="K50" s="47">
        <f t="shared" si="4"/>
        <v>0</v>
      </c>
      <c r="L50" s="47">
        <f t="shared" si="4"/>
        <v>0</v>
      </c>
      <c r="M50" s="47">
        <f t="shared" si="4"/>
        <v>0</v>
      </c>
      <c r="N50" s="47">
        <f t="shared" si="4"/>
        <v>0</v>
      </c>
      <c r="O50" s="47">
        <f t="shared" si="4"/>
        <v>0</v>
      </c>
      <c r="P50" s="47">
        <f t="shared" si="4"/>
        <v>0</v>
      </c>
      <c r="Q50" s="47">
        <f t="shared" si="4"/>
        <v>0</v>
      </c>
      <c r="R50" s="47">
        <f t="shared" si="4"/>
        <v>0</v>
      </c>
      <c r="S50" s="47">
        <f t="shared" si="4"/>
        <v>0</v>
      </c>
      <c r="T50" s="47">
        <f t="shared" si="4"/>
        <v>0</v>
      </c>
      <c r="U50" s="47">
        <f t="shared" si="4"/>
        <v>0</v>
      </c>
      <c r="V50" s="47">
        <f t="shared" si="4"/>
        <v>0</v>
      </c>
      <c r="W50" s="47">
        <f t="shared" si="4"/>
        <v>0</v>
      </c>
      <c r="X50" s="47">
        <f>X40+W50</f>
        <v>0</v>
      </c>
      <c r="Y50" s="47">
        <f t="shared" si="4"/>
        <v>0</v>
      </c>
      <c r="Z50" s="47">
        <f t="shared" si="4"/>
        <v>250000</v>
      </c>
      <c r="AA50" s="47">
        <f>AA40+Z50</f>
        <v>250000</v>
      </c>
      <c r="AB50" s="47">
        <f t="shared" si="4"/>
        <v>250000</v>
      </c>
      <c r="AC50" s="47">
        <f t="shared" si="4"/>
        <v>250000</v>
      </c>
      <c r="AD50" s="47">
        <f t="shared" si="4"/>
        <v>250000</v>
      </c>
      <c r="AE50" s="47">
        <f t="shared" si="4"/>
        <v>250000</v>
      </c>
      <c r="AF50" s="47">
        <f t="shared" si="4"/>
        <v>250000</v>
      </c>
      <c r="AG50" s="47">
        <f t="shared" si="4"/>
        <v>250000</v>
      </c>
      <c r="AH50" s="47">
        <f t="shared" si="4"/>
        <v>250000</v>
      </c>
      <c r="AI50" s="47">
        <f t="shared" si="4"/>
        <v>250000</v>
      </c>
      <c r="AJ50" s="47">
        <f t="shared" si="4"/>
        <v>250000</v>
      </c>
      <c r="AK50" s="47">
        <f t="shared" si="4"/>
        <v>250000</v>
      </c>
      <c r="AL50" s="47">
        <f t="shared" si="4"/>
        <v>250000</v>
      </c>
      <c r="AM50" s="47">
        <f t="shared" si="4"/>
        <v>250000</v>
      </c>
    </row>
    <row r="51" spans="1:39" s="45" customFormat="1" x14ac:dyDescent="0.25">
      <c r="B51" s="45" t="s">
        <v>17</v>
      </c>
      <c r="D51" s="47">
        <f>D41</f>
        <v>0</v>
      </c>
      <c r="E51" s="47">
        <f t="shared" si="4"/>
        <v>0</v>
      </c>
      <c r="F51" s="47">
        <f t="shared" si="4"/>
        <v>0</v>
      </c>
      <c r="G51" s="47">
        <f t="shared" si="4"/>
        <v>0</v>
      </c>
      <c r="H51" s="47">
        <f t="shared" si="4"/>
        <v>0</v>
      </c>
      <c r="I51" s="47">
        <f t="shared" si="4"/>
        <v>0</v>
      </c>
      <c r="J51" s="47">
        <f t="shared" si="4"/>
        <v>0</v>
      </c>
      <c r="K51" s="47">
        <f t="shared" si="4"/>
        <v>0</v>
      </c>
      <c r="L51" s="47">
        <f t="shared" si="4"/>
        <v>0</v>
      </c>
      <c r="M51" s="47">
        <f t="shared" si="4"/>
        <v>0</v>
      </c>
      <c r="N51" s="47">
        <f t="shared" si="4"/>
        <v>0</v>
      </c>
      <c r="O51" s="47">
        <f t="shared" si="4"/>
        <v>0</v>
      </c>
      <c r="P51" s="47">
        <f t="shared" si="4"/>
        <v>0</v>
      </c>
      <c r="Q51" s="47">
        <f t="shared" si="4"/>
        <v>0</v>
      </c>
      <c r="R51" s="47">
        <f t="shared" si="4"/>
        <v>0</v>
      </c>
      <c r="S51" s="47">
        <f t="shared" si="4"/>
        <v>0</v>
      </c>
      <c r="T51" s="47">
        <f t="shared" si="4"/>
        <v>0</v>
      </c>
      <c r="U51" s="47">
        <f t="shared" si="4"/>
        <v>0</v>
      </c>
      <c r="V51" s="47">
        <f t="shared" si="4"/>
        <v>0</v>
      </c>
      <c r="W51" s="47">
        <f t="shared" si="4"/>
        <v>0</v>
      </c>
      <c r="X51" s="47">
        <f t="shared" si="4"/>
        <v>0</v>
      </c>
      <c r="Y51" s="47">
        <f t="shared" si="4"/>
        <v>0</v>
      </c>
      <c r="Z51" s="47">
        <f t="shared" si="4"/>
        <v>250000</v>
      </c>
      <c r="AA51" s="47">
        <f t="shared" si="4"/>
        <v>250000</v>
      </c>
      <c r="AB51" s="47">
        <f t="shared" si="4"/>
        <v>250000</v>
      </c>
      <c r="AC51" s="47">
        <f t="shared" si="4"/>
        <v>250000</v>
      </c>
      <c r="AD51" s="47">
        <f t="shared" si="4"/>
        <v>250000</v>
      </c>
      <c r="AE51" s="47">
        <f t="shared" si="4"/>
        <v>250000</v>
      </c>
      <c r="AF51" s="47">
        <f t="shared" si="4"/>
        <v>250000</v>
      </c>
      <c r="AG51" s="47">
        <f t="shared" si="4"/>
        <v>250000</v>
      </c>
      <c r="AH51" s="47">
        <f t="shared" si="4"/>
        <v>250000</v>
      </c>
      <c r="AI51" s="47">
        <f t="shared" si="4"/>
        <v>250000</v>
      </c>
      <c r="AJ51" s="47">
        <f t="shared" si="4"/>
        <v>250000</v>
      </c>
      <c r="AK51" s="47">
        <f t="shared" si="4"/>
        <v>250000</v>
      </c>
      <c r="AL51" s="47">
        <f t="shared" si="4"/>
        <v>250000</v>
      </c>
      <c r="AM51" s="47">
        <f t="shared" si="4"/>
        <v>250000</v>
      </c>
    </row>
    <row r="52" spans="1:39" s="45" customFormat="1" x14ac:dyDescent="0.25">
      <c r="B52" s="45" t="s">
        <v>18</v>
      </c>
      <c r="D52" s="47">
        <f>D42</f>
        <v>0</v>
      </c>
      <c r="E52" s="47">
        <f t="shared" si="4"/>
        <v>0</v>
      </c>
      <c r="F52" s="47">
        <f t="shared" si="4"/>
        <v>0</v>
      </c>
      <c r="G52" s="47">
        <f t="shared" si="4"/>
        <v>0</v>
      </c>
      <c r="H52" s="47">
        <f t="shared" si="4"/>
        <v>0</v>
      </c>
      <c r="I52" s="47">
        <f t="shared" si="4"/>
        <v>0</v>
      </c>
      <c r="J52" s="47">
        <f t="shared" si="4"/>
        <v>0</v>
      </c>
      <c r="K52" s="47">
        <f t="shared" si="4"/>
        <v>0</v>
      </c>
      <c r="L52" s="47">
        <f t="shared" si="4"/>
        <v>0</v>
      </c>
      <c r="M52" s="47">
        <f t="shared" si="4"/>
        <v>0</v>
      </c>
      <c r="N52" s="47">
        <f t="shared" si="4"/>
        <v>0</v>
      </c>
      <c r="O52" s="47">
        <f t="shared" si="4"/>
        <v>0</v>
      </c>
      <c r="P52" s="47">
        <f t="shared" si="4"/>
        <v>0</v>
      </c>
      <c r="Q52" s="47">
        <f t="shared" si="4"/>
        <v>0</v>
      </c>
      <c r="R52" s="47">
        <f t="shared" si="4"/>
        <v>0</v>
      </c>
      <c r="S52" s="47">
        <f t="shared" si="4"/>
        <v>0</v>
      </c>
      <c r="T52" s="47">
        <f t="shared" si="4"/>
        <v>0</v>
      </c>
      <c r="U52" s="47">
        <f t="shared" si="4"/>
        <v>0</v>
      </c>
      <c r="V52" s="47">
        <f t="shared" si="4"/>
        <v>0</v>
      </c>
      <c r="W52" s="47">
        <f t="shared" si="4"/>
        <v>0</v>
      </c>
      <c r="X52" s="47">
        <f t="shared" si="4"/>
        <v>0</v>
      </c>
      <c r="Y52" s="47">
        <f t="shared" si="4"/>
        <v>0</v>
      </c>
      <c r="Z52" s="47">
        <f t="shared" si="4"/>
        <v>0</v>
      </c>
      <c r="AA52" s="47">
        <f t="shared" si="4"/>
        <v>0</v>
      </c>
      <c r="AB52" s="47">
        <f t="shared" si="4"/>
        <v>0</v>
      </c>
      <c r="AC52" s="47">
        <f t="shared" si="4"/>
        <v>0</v>
      </c>
      <c r="AD52" s="47">
        <f t="shared" si="4"/>
        <v>0</v>
      </c>
      <c r="AE52" s="47">
        <f t="shared" si="4"/>
        <v>0</v>
      </c>
      <c r="AF52" s="47">
        <f t="shared" si="4"/>
        <v>0</v>
      </c>
      <c r="AG52" s="47">
        <f t="shared" si="4"/>
        <v>0</v>
      </c>
      <c r="AH52" s="47">
        <f t="shared" si="4"/>
        <v>0</v>
      </c>
      <c r="AI52" s="47">
        <f t="shared" si="4"/>
        <v>0</v>
      </c>
      <c r="AJ52" s="47">
        <f t="shared" si="4"/>
        <v>0</v>
      </c>
      <c r="AK52" s="47">
        <f t="shared" si="4"/>
        <v>0</v>
      </c>
      <c r="AL52" s="47">
        <f t="shared" si="4"/>
        <v>0</v>
      </c>
      <c r="AM52" s="47">
        <f t="shared" si="4"/>
        <v>0</v>
      </c>
    </row>
    <row r="53" spans="1:39" s="45" customFormat="1" x14ac:dyDescent="0.25">
      <c r="B53" s="45" t="s">
        <v>19</v>
      </c>
      <c r="D53" s="47">
        <f>D39</f>
        <v>0</v>
      </c>
      <c r="E53" s="47">
        <f>E39+D53</f>
        <v>0</v>
      </c>
      <c r="F53" s="47">
        <f t="shared" ref="F53:AM53" si="5">F39+E53</f>
        <v>0</v>
      </c>
      <c r="G53" s="47">
        <f t="shared" si="5"/>
        <v>0</v>
      </c>
      <c r="H53" s="47">
        <f t="shared" si="5"/>
        <v>0</v>
      </c>
      <c r="I53" s="47">
        <f t="shared" si="5"/>
        <v>0</v>
      </c>
      <c r="J53" s="47">
        <f t="shared" si="5"/>
        <v>0</v>
      </c>
      <c r="K53" s="47">
        <f t="shared" si="5"/>
        <v>0</v>
      </c>
      <c r="L53" s="47">
        <f t="shared" si="5"/>
        <v>0</v>
      </c>
      <c r="M53" s="47">
        <f t="shared" si="5"/>
        <v>0</v>
      </c>
      <c r="N53" s="47">
        <f t="shared" si="5"/>
        <v>0</v>
      </c>
      <c r="O53" s="47">
        <f t="shared" si="5"/>
        <v>0</v>
      </c>
      <c r="P53" s="47">
        <f t="shared" si="5"/>
        <v>0</v>
      </c>
      <c r="Q53" s="47">
        <f t="shared" si="5"/>
        <v>0</v>
      </c>
      <c r="R53" s="47">
        <f t="shared" si="5"/>
        <v>0</v>
      </c>
      <c r="S53" s="47">
        <f t="shared" si="5"/>
        <v>0</v>
      </c>
      <c r="T53" s="47">
        <f t="shared" si="5"/>
        <v>0</v>
      </c>
      <c r="U53" s="47">
        <f t="shared" si="5"/>
        <v>0</v>
      </c>
      <c r="V53" s="47">
        <f t="shared" si="5"/>
        <v>0</v>
      </c>
      <c r="W53" s="47">
        <f t="shared" si="5"/>
        <v>0</v>
      </c>
      <c r="X53" s="47">
        <f t="shared" si="5"/>
        <v>0</v>
      </c>
      <c r="Y53" s="47">
        <f t="shared" si="5"/>
        <v>0</v>
      </c>
      <c r="Z53" s="47">
        <f t="shared" si="5"/>
        <v>0</v>
      </c>
      <c r="AA53" s="47">
        <f>AA39+Z53</f>
        <v>171600.62871685668</v>
      </c>
      <c r="AB53" s="47">
        <f>AB39+AA53</f>
        <v>216870.92352635838</v>
      </c>
      <c r="AC53" s="47">
        <f>AC39+AB53</f>
        <v>250000.00000000003</v>
      </c>
      <c r="AD53" s="47">
        <f t="shared" si="5"/>
        <v>250000.00000000003</v>
      </c>
      <c r="AE53" s="47">
        <f t="shared" si="5"/>
        <v>250000.00000000003</v>
      </c>
      <c r="AF53" s="47">
        <f t="shared" si="5"/>
        <v>250000.00000000003</v>
      </c>
      <c r="AG53" s="47">
        <f t="shared" si="5"/>
        <v>250000.00000000003</v>
      </c>
      <c r="AH53" s="47">
        <f t="shared" si="5"/>
        <v>250000.00000000003</v>
      </c>
      <c r="AI53" s="47">
        <f t="shared" si="5"/>
        <v>250000.00000000003</v>
      </c>
      <c r="AJ53" s="47">
        <f t="shared" si="5"/>
        <v>250000.00000000003</v>
      </c>
      <c r="AK53" s="47">
        <f t="shared" si="5"/>
        <v>250000.00000000003</v>
      </c>
      <c r="AL53" s="47">
        <f t="shared" si="5"/>
        <v>250000.00000000003</v>
      </c>
      <c r="AM53" s="47">
        <f t="shared" si="5"/>
        <v>250000.00000000003</v>
      </c>
    </row>
    <row r="54" spans="1:39" s="45" customFormat="1" x14ac:dyDescent="0.25">
      <c r="B54" s="45" t="s">
        <v>20</v>
      </c>
    </row>
    <row r="55" spans="1:39" s="45" customFormat="1" x14ac:dyDescent="0.25">
      <c r="B55" s="45" t="s">
        <v>21</v>
      </c>
      <c r="D55" s="47">
        <f>D25</f>
        <v>0</v>
      </c>
      <c r="E55" s="47">
        <f>E25+D55</f>
        <v>0</v>
      </c>
      <c r="F55" s="47">
        <f t="shared" ref="F55:AM55" si="6">F25+E55</f>
        <v>0</v>
      </c>
      <c r="G55" s="47">
        <f t="shared" si="6"/>
        <v>0</v>
      </c>
      <c r="H55" s="47">
        <f t="shared" si="6"/>
        <v>0</v>
      </c>
      <c r="I55" s="47">
        <f t="shared" si="6"/>
        <v>0</v>
      </c>
      <c r="J55" s="47">
        <f t="shared" si="6"/>
        <v>0</v>
      </c>
      <c r="K55" s="47">
        <f t="shared" si="6"/>
        <v>0</v>
      </c>
      <c r="L55" s="47">
        <f t="shared" si="6"/>
        <v>0</v>
      </c>
      <c r="M55" s="47">
        <f t="shared" si="6"/>
        <v>0</v>
      </c>
      <c r="N55" s="47">
        <f t="shared" si="6"/>
        <v>0</v>
      </c>
      <c r="O55" s="47">
        <f t="shared" si="6"/>
        <v>0</v>
      </c>
      <c r="P55" s="47">
        <f t="shared" si="6"/>
        <v>0</v>
      </c>
      <c r="Q55" s="47">
        <f t="shared" si="6"/>
        <v>0</v>
      </c>
      <c r="R55" s="47">
        <f t="shared" si="6"/>
        <v>0</v>
      </c>
      <c r="S55" s="47">
        <f t="shared" si="6"/>
        <v>0</v>
      </c>
      <c r="T55" s="47">
        <f t="shared" si="6"/>
        <v>0</v>
      </c>
      <c r="U55" s="47">
        <f t="shared" si="6"/>
        <v>0</v>
      </c>
      <c r="V55" s="47">
        <f t="shared" si="6"/>
        <v>0</v>
      </c>
      <c r="W55" s="47">
        <f t="shared" si="6"/>
        <v>0</v>
      </c>
      <c r="X55" s="47">
        <f t="shared" si="6"/>
        <v>0</v>
      </c>
      <c r="Y55" s="47">
        <f t="shared" si="6"/>
        <v>0</v>
      </c>
      <c r="Z55" s="47">
        <f t="shared" si="6"/>
        <v>0</v>
      </c>
      <c r="AA55" s="47">
        <f t="shared" si="6"/>
        <v>0</v>
      </c>
      <c r="AB55" s="47">
        <f t="shared" si="6"/>
        <v>0</v>
      </c>
      <c r="AC55" s="47">
        <f t="shared" si="6"/>
        <v>0</v>
      </c>
      <c r="AD55" s="47">
        <f t="shared" si="6"/>
        <v>0</v>
      </c>
      <c r="AE55" s="47">
        <f t="shared" si="6"/>
        <v>0</v>
      </c>
      <c r="AF55" s="47">
        <f t="shared" si="6"/>
        <v>0</v>
      </c>
      <c r="AG55" s="47">
        <f t="shared" si="6"/>
        <v>0</v>
      </c>
      <c r="AH55" s="47">
        <f t="shared" si="6"/>
        <v>0</v>
      </c>
      <c r="AI55" s="47">
        <f t="shared" si="6"/>
        <v>0</v>
      </c>
      <c r="AJ55" s="47">
        <f t="shared" si="6"/>
        <v>0</v>
      </c>
      <c r="AK55" s="47">
        <f t="shared" si="6"/>
        <v>0</v>
      </c>
      <c r="AL55" s="47">
        <f t="shared" si="6"/>
        <v>0</v>
      </c>
      <c r="AM55" s="47">
        <f t="shared" si="6"/>
        <v>0</v>
      </c>
    </row>
    <row r="60" spans="1:39" x14ac:dyDescent="0.25">
      <c r="A60" s="43" t="s">
        <v>85</v>
      </c>
      <c r="B60" s="43"/>
      <c r="C60" s="43"/>
    </row>
    <row r="61" spans="1:39" x14ac:dyDescent="0.25">
      <c r="A61" s="42" t="s">
        <v>86</v>
      </c>
      <c r="B61" s="42"/>
      <c r="C61" s="42"/>
    </row>
    <row r="62" spans="1:39" x14ac:dyDescent="0.25">
      <c r="A62" s="48" t="s">
        <v>108</v>
      </c>
      <c r="B62" s="48"/>
      <c r="C62" s="48"/>
    </row>
  </sheetData>
  <mergeCells count="12">
    <mergeCell ref="AB10:AE10"/>
    <mergeCell ref="AF10:AI10"/>
    <mergeCell ref="AJ10:AM10"/>
    <mergeCell ref="A12:A25"/>
    <mergeCell ref="A26:A39"/>
    <mergeCell ref="T10:W10"/>
    <mergeCell ref="X10:AA10"/>
    <mergeCell ref="A40:A42"/>
    <mergeCell ref="D10:G10"/>
    <mergeCell ref="H10:K10"/>
    <mergeCell ref="L10:O10"/>
    <mergeCell ref="P10:S10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9FDAC71-92FF-4F68-A23C-46D8AC73E0B8}">
          <x14:formula1>
            <xm:f>Lists!$E$2:$E$12</xm:f>
          </x14:formula1>
          <xm:sqref>B5:C5</xm:sqref>
        </x14:dataValidation>
        <x14:dataValidation type="list" allowBlank="1" showInputMessage="1" showErrorMessage="1" xr:uid="{0CBB665F-BDDC-4687-A530-929ACED976C7}">
          <x14:formula1>
            <xm:f>Lists!$C$2:$C$7</xm:f>
          </x14:formula1>
          <xm:sqref>B6:C6</xm:sqref>
        </x14:dataValidation>
        <x14:dataValidation type="list" allowBlank="1" showInputMessage="1" showErrorMessage="1" xr:uid="{68EF866A-C44F-4FBC-94B3-F233590B2EBB}">
          <x14:formula1>
            <xm:f>Lists!$G$2:$G$5</xm:f>
          </x14:formula1>
          <xm:sqref>B7:C7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23718-5F44-48D2-8639-0516CB53EF03}">
  <dimension ref="A1:A12"/>
  <sheetViews>
    <sheetView tabSelected="1" workbookViewId="0">
      <selection sqref="A1:A12"/>
    </sheetView>
  </sheetViews>
  <sheetFormatPr defaultRowHeight="15" x14ac:dyDescent="0.25"/>
  <sheetData>
    <row r="1" spans="1:1" x14ac:dyDescent="0.25">
      <c r="A1">
        <v>26427.52</v>
      </c>
    </row>
    <row r="2" spans="1:1" x14ac:dyDescent="0.25">
      <c r="A2">
        <v>10988.56</v>
      </c>
    </row>
    <row r="3" spans="1:1" x14ac:dyDescent="0.25">
      <c r="A3" t="s">
        <v>146</v>
      </c>
    </row>
    <row r="4" spans="1:1" x14ac:dyDescent="0.25">
      <c r="A4">
        <v>1863318.86</v>
      </c>
    </row>
    <row r="5" spans="1:1" x14ac:dyDescent="0.25">
      <c r="A5" t="s">
        <v>146</v>
      </c>
    </row>
    <row r="6" spans="1:1" x14ac:dyDescent="0.25">
      <c r="A6" t="s">
        <v>146</v>
      </c>
    </row>
    <row r="7" spans="1:1" x14ac:dyDescent="0.25">
      <c r="A7" t="s">
        <v>146</v>
      </c>
    </row>
    <row r="8" spans="1:1" x14ac:dyDescent="0.25">
      <c r="A8" t="s">
        <v>146</v>
      </c>
    </row>
    <row r="9" spans="1:1" x14ac:dyDescent="0.25">
      <c r="A9" t="s">
        <v>146</v>
      </c>
    </row>
    <row r="10" spans="1:1" x14ac:dyDescent="0.25">
      <c r="A10" t="s">
        <v>146</v>
      </c>
    </row>
    <row r="11" spans="1:1" x14ac:dyDescent="0.25">
      <c r="A11" t="s">
        <v>146</v>
      </c>
    </row>
    <row r="12" spans="1:1" x14ac:dyDescent="0.25">
      <c r="A12">
        <v>12652.3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34335-CEE0-4E7B-AFD1-FF5CD08E108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04D22-EB6C-4599-8011-E3C0F173E901}">
  <sheetPr codeName="Sheet3"/>
  <dimension ref="A1:B1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144</v>
      </c>
      <c r="B1" t="s">
        <v>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E61E6-6BEC-47B5-B865-C05900E178A3}">
  <sheetPr codeName="Sheet4"/>
  <dimension ref="A1:L9"/>
  <sheetViews>
    <sheetView zoomScale="160" zoomScaleNormal="160" workbookViewId="0">
      <selection activeCell="E8" sqref="E8"/>
    </sheetView>
  </sheetViews>
  <sheetFormatPr defaultRowHeight="15" x14ac:dyDescent="0.25"/>
  <cols>
    <col min="4" max="4" width="9.42578125" bestFit="1" customWidth="1"/>
    <col min="11" max="11" width="11.140625" bestFit="1" customWidth="1"/>
    <col min="12" max="12" width="14" bestFit="1" customWidth="1"/>
  </cols>
  <sheetData>
    <row r="1" spans="1:12" x14ac:dyDescent="0.25">
      <c r="A1" t="s">
        <v>137</v>
      </c>
      <c r="B1" t="s">
        <v>136</v>
      </c>
      <c r="C1" t="s">
        <v>133</v>
      </c>
      <c r="D1" t="s">
        <v>134</v>
      </c>
      <c r="E1" t="s">
        <v>135</v>
      </c>
    </row>
    <row r="2" spans="1:12" x14ac:dyDescent="0.25">
      <c r="A2" t="s">
        <v>138</v>
      </c>
      <c r="B2" s="63">
        <v>43739</v>
      </c>
      <c r="C2">
        <v>2020</v>
      </c>
      <c r="D2" s="62">
        <v>44104</v>
      </c>
      <c r="E2" t="s">
        <v>3</v>
      </c>
      <c r="K2" t="s">
        <v>137</v>
      </c>
      <c r="L2" t="s">
        <v>140</v>
      </c>
    </row>
    <row r="3" spans="1:12" x14ac:dyDescent="0.25">
      <c r="A3" t="s">
        <v>11</v>
      </c>
      <c r="B3" s="63">
        <v>43740</v>
      </c>
      <c r="C3">
        <v>2020</v>
      </c>
      <c r="D3" s="62">
        <v>44104</v>
      </c>
      <c r="E3" t="s">
        <v>3</v>
      </c>
      <c r="K3" t="s">
        <v>138</v>
      </c>
      <c r="L3" t="s">
        <v>88</v>
      </c>
    </row>
    <row r="4" spans="1:12" x14ac:dyDescent="0.25">
      <c r="A4" t="s">
        <v>139</v>
      </c>
      <c r="B4" s="63">
        <v>43741</v>
      </c>
      <c r="C4">
        <v>2020</v>
      </c>
      <c r="D4" s="62">
        <v>44104</v>
      </c>
      <c r="E4" t="s">
        <v>3</v>
      </c>
      <c r="K4" t="s">
        <v>11</v>
      </c>
      <c r="L4" t="s">
        <v>141</v>
      </c>
    </row>
    <row r="5" spans="1:12" x14ac:dyDescent="0.25">
      <c r="B5" s="63">
        <v>43742</v>
      </c>
      <c r="C5">
        <v>2020</v>
      </c>
      <c r="D5" s="62">
        <v>44104</v>
      </c>
      <c r="E5" t="s">
        <v>3</v>
      </c>
      <c r="K5" t="s">
        <v>12</v>
      </c>
      <c r="L5" t="s">
        <v>7</v>
      </c>
    </row>
    <row r="6" spans="1:12" x14ac:dyDescent="0.25">
      <c r="B6" s="63">
        <v>43743</v>
      </c>
      <c r="C6">
        <v>2020</v>
      </c>
      <c r="D6" s="62">
        <v>44104</v>
      </c>
      <c r="E6" t="s">
        <v>3</v>
      </c>
    </row>
    <row r="7" spans="1:12" x14ac:dyDescent="0.25">
      <c r="C7">
        <v>2020</v>
      </c>
      <c r="D7" s="62">
        <v>44104</v>
      </c>
      <c r="E7" t="s">
        <v>4</v>
      </c>
    </row>
    <row r="8" spans="1:12" x14ac:dyDescent="0.25">
      <c r="C8">
        <v>2020</v>
      </c>
      <c r="D8" s="62">
        <v>44104</v>
      </c>
      <c r="E8" t="s">
        <v>5</v>
      </c>
    </row>
    <row r="9" spans="1:12" x14ac:dyDescent="0.25">
      <c r="C9">
        <v>2020</v>
      </c>
      <c r="D9" s="62">
        <v>44104</v>
      </c>
      <c r="E9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109A2-F6A9-4C38-8CAB-84201FEF899B}">
  <sheetPr codeName="Sheet5"/>
  <dimension ref="A1:AM61"/>
  <sheetViews>
    <sheetView workbookViewId="0">
      <pane xSplit="2" ySplit="10" topLeftCell="C11" activePane="bottomRight" state="frozen"/>
      <selection pane="topRight" activeCell="C1" sqref="C1"/>
      <selection pane="bottomLeft" activeCell="A6" sqref="A6"/>
      <selection pane="bottomRight" activeCell="B5" sqref="B5"/>
    </sheetView>
  </sheetViews>
  <sheetFormatPr defaultRowHeight="15" x14ac:dyDescent="0.25"/>
  <cols>
    <col min="1" max="1" width="14.140625" bestFit="1" customWidth="1"/>
    <col min="2" max="2" width="30.5703125" customWidth="1"/>
    <col min="25" max="39" width="12.5703125" bestFit="1" customWidth="1"/>
  </cols>
  <sheetData>
    <row r="1" spans="1:39" x14ac:dyDescent="0.25">
      <c r="A1" s="37" t="s">
        <v>0</v>
      </c>
      <c r="B1" s="37"/>
    </row>
    <row r="2" spans="1:39" x14ac:dyDescent="0.25">
      <c r="A2" s="37" t="s">
        <v>1</v>
      </c>
      <c r="B2" s="38">
        <v>33</v>
      </c>
      <c r="C2" t="s">
        <v>84</v>
      </c>
    </row>
    <row r="3" spans="1:39" x14ac:dyDescent="0.25">
      <c r="A3" s="37" t="s">
        <v>2</v>
      </c>
      <c r="B3" s="37" t="s">
        <v>78</v>
      </c>
    </row>
    <row r="4" spans="1:39" x14ac:dyDescent="0.25">
      <c r="A4" s="37" t="s">
        <v>58</v>
      </c>
      <c r="B4" s="46" t="s">
        <v>73</v>
      </c>
    </row>
    <row r="5" spans="1:39" x14ac:dyDescent="0.25">
      <c r="A5" s="37" t="s">
        <v>59</v>
      </c>
      <c r="B5" s="46" t="s">
        <v>66</v>
      </c>
    </row>
    <row r="6" spans="1:39" x14ac:dyDescent="0.25">
      <c r="A6" s="37" t="s">
        <v>60</v>
      </c>
      <c r="B6" s="46" t="s">
        <v>76</v>
      </c>
    </row>
    <row r="7" spans="1:39" x14ac:dyDescent="0.25">
      <c r="A7" s="37" t="s">
        <v>61</v>
      </c>
      <c r="B7" s="46"/>
    </row>
    <row r="8" spans="1:39" ht="15.75" thickBot="1" x14ac:dyDescent="0.3"/>
    <row r="9" spans="1:39" ht="15.75" thickBot="1" x14ac:dyDescent="0.3">
      <c r="C9" s="70" t="s">
        <v>101</v>
      </c>
      <c r="D9" s="71"/>
      <c r="E9" s="71"/>
      <c r="F9" s="72"/>
      <c r="G9" s="70" t="s">
        <v>102</v>
      </c>
      <c r="H9" s="71"/>
      <c r="I9" s="71"/>
      <c r="J9" s="72"/>
      <c r="K9" s="70" t="s">
        <v>103</v>
      </c>
      <c r="L9" s="71"/>
      <c r="M9" s="71"/>
      <c r="N9" s="72"/>
      <c r="O9" s="70" t="s">
        <v>104</v>
      </c>
      <c r="P9" s="71"/>
      <c r="Q9" s="71"/>
      <c r="R9" s="72"/>
      <c r="S9" s="70" t="s">
        <v>105</v>
      </c>
      <c r="T9" s="71"/>
      <c r="U9" s="71"/>
      <c r="V9" s="72"/>
      <c r="W9" s="70" t="s">
        <v>106</v>
      </c>
      <c r="X9" s="71"/>
      <c r="Y9" s="71"/>
      <c r="Z9" s="72"/>
      <c r="AA9" s="70" t="s">
        <v>107</v>
      </c>
      <c r="AB9" s="71"/>
      <c r="AC9" s="71"/>
      <c r="AD9" s="72"/>
      <c r="AE9" s="70" t="s">
        <v>14</v>
      </c>
      <c r="AF9" s="71"/>
      <c r="AG9" s="71"/>
      <c r="AH9" s="72"/>
      <c r="AI9" s="70" t="s">
        <v>15</v>
      </c>
      <c r="AJ9" s="71"/>
      <c r="AK9" s="71"/>
      <c r="AL9" s="72"/>
    </row>
    <row r="10" spans="1:39" ht="15.75" thickBot="1" x14ac:dyDescent="0.3">
      <c r="C10" s="3" t="s">
        <v>3</v>
      </c>
      <c r="D10" s="1" t="s">
        <v>4</v>
      </c>
      <c r="E10" s="1" t="s">
        <v>5</v>
      </c>
      <c r="F10" s="2" t="s">
        <v>6</v>
      </c>
      <c r="G10" s="3" t="s">
        <v>3</v>
      </c>
      <c r="H10" s="1" t="s">
        <v>4</v>
      </c>
      <c r="I10" s="1" t="s">
        <v>5</v>
      </c>
      <c r="J10" s="2" t="s">
        <v>6</v>
      </c>
      <c r="K10" s="3" t="s">
        <v>3</v>
      </c>
      <c r="L10" s="1" t="s">
        <v>4</v>
      </c>
      <c r="M10" s="1" t="s">
        <v>5</v>
      </c>
      <c r="N10" s="2" t="s">
        <v>6</v>
      </c>
      <c r="O10" s="3" t="s">
        <v>3</v>
      </c>
      <c r="P10" s="1" t="s">
        <v>4</v>
      </c>
      <c r="Q10" s="1" t="s">
        <v>5</v>
      </c>
      <c r="R10" s="2" t="s">
        <v>6</v>
      </c>
      <c r="S10" s="3" t="s">
        <v>3</v>
      </c>
      <c r="T10" s="1" t="s">
        <v>4</v>
      </c>
      <c r="U10" s="1" t="s">
        <v>5</v>
      </c>
      <c r="V10" s="2" t="s">
        <v>6</v>
      </c>
      <c r="W10" s="3" t="s">
        <v>3</v>
      </c>
      <c r="X10" s="1" t="s">
        <v>4</v>
      </c>
      <c r="Y10" s="1" t="s">
        <v>5</v>
      </c>
      <c r="Z10" s="2" t="s">
        <v>6</v>
      </c>
      <c r="AA10" s="3" t="s">
        <v>3</v>
      </c>
      <c r="AB10" s="1" t="s">
        <v>4</v>
      </c>
      <c r="AC10" s="1" t="s">
        <v>5</v>
      </c>
      <c r="AD10" s="2" t="s">
        <v>6</v>
      </c>
      <c r="AE10" s="3" t="s">
        <v>3</v>
      </c>
      <c r="AF10" s="1" t="s">
        <v>4</v>
      </c>
      <c r="AG10" s="1" t="s">
        <v>5</v>
      </c>
      <c r="AH10" s="2" t="s">
        <v>6</v>
      </c>
      <c r="AI10" s="3" t="s">
        <v>3</v>
      </c>
      <c r="AJ10" s="1" t="s">
        <v>4</v>
      </c>
      <c r="AK10" s="1" t="s">
        <v>5</v>
      </c>
      <c r="AL10" s="2" t="s">
        <v>6</v>
      </c>
      <c r="AM10" s="11" t="s">
        <v>8</v>
      </c>
    </row>
    <row r="11" spans="1:39" x14ac:dyDescent="0.25">
      <c r="A11" s="73" t="s">
        <v>11</v>
      </c>
      <c r="B11" s="49" t="s">
        <v>99</v>
      </c>
      <c r="C11" s="23"/>
      <c r="D11" s="24"/>
      <c r="E11" s="24"/>
      <c r="F11" s="25"/>
      <c r="G11" s="26"/>
      <c r="H11" s="24"/>
      <c r="I11" s="24"/>
      <c r="J11" s="25"/>
      <c r="K11" s="26"/>
      <c r="L11" s="24"/>
      <c r="M11" s="24"/>
      <c r="N11" s="25"/>
      <c r="O11" s="26"/>
      <c r="P11" s="24"/>
      <c r="Q11" s="24"/>
      <c r="R11" s="25"/>
      <c r="S11" s="26"/>
      <c r="T11" s="24"/>
      <c r="U11" s="24"/>
      <c r="V11" s="25"/>
      <c r="W11" s="26"/>
      <c r="X11" s="24"/>
      <c r="Y11" s="24"/>
      <c r="Z11" s="25"/>
      <c r="AA11" s="26"/>
      <c r="AB11" s="24"/>
      <c r="AC11" s="24"/>
      <c r="AD11" s="25"/>
      <c r="AE11" s="26"/>
      <c r="AF11" s="24"/>
      <c r="AG11" s="24"/>
      <c r="AH11" s="25"/>
      <c r="AI11" s="26"/>
      <c r="AJ11" s="24"/>
      <c r="AK11" s="24"/>
      <c r="AL11" s="25"/>
      <c r="AM11" s="27">
        <f>SUM(C11:AL11)</f>
        <v>0</v>
      </c>
    </row>
    <row r="12" spans="1:39" x14ac:dyDescent="0.25">
      <c r="A12" s="74"/>
      <c r="B12" s="41" t="s">
        <v>87</v>
      </c>
      <c r="C12" s="17"/>
      <c r="D12" s="6"/>
      <c r="E12" s="6"/>
      <c r="F12" s="7"/>
      <c r="G12" s="5"/>
      <c r="H12" s="6"/>
      <c r="I12" s="6"/>
      <c r="J12" s="7"/>
      <c r="K12" s="5"/>
      <c r="L12" s="6"/>
      <c r="M12" s="6"/>
      <c r="N12" s="7"/>
      <c r="O12" s="5"/>
      <c r="P12" s="6"/>
      <c r="Q12" s="6"/>
      <c r="R12" s="7"/>
      <c r="S12" s="5"/>
      <c r="T12" s="6"/>
      <c r="U12" s="6"/>
      <c r="V12" s="7"/>
      <c r="W12" s="5"/>
      <c r="X12" s="6"/>
      <c r="Y12" s="6"/>
      <c r="Z12" s="7"/>
      <c r="AA12" s="5"/>
      <c r="AB12" s="6"/>
      <c r="AC12" s="6"/>
      <c r="AD12" s="7"/>
      <c r="AE12" s="5"/>
      <c r="AF12" s="6"/>
      <c r="AG12" s="6"/>
      <c r="AH12" s="7"/>
      <c r="AI12" s="5"/>
      <c r="AJ12" s="6"/>
      <c r="AK12" s="6"/>
      <c r="AL12" s="7"/>
      <c r="AM12" s="18">
        <f>SUM(C12:AL12)</f>
        <v>0</v>
      </c>
    </row>
    <row r="13" spans="1:39" x14ac:dyDescent="0.25">
      <c r="A13" s="74"/>
      <c r="B13" s="41" t="s">
        <v>88</v>
      </c>
      <c r="C13" s="17"/>
      <c r="D13" s="6"/>
      <c r="E13" s="6"/>
      <c r="F13" s="7"/>
      <c r="G13" s="5"/>
      <c r="H13" s="6"/>
      <c r="I13" s="6"/>
      <c r="J13" s="7"/>
      <c r="K13" s="5"/>
      <c r="L13" s="6"/>
      <c r="M13" s="6"/>
      <c r="N13" s="7"/>
      <c r="O13" s="5"/>
      <c r="P13" s="6"/>
      <c r="Q13" s="6"/>
      <c r="R13" s="7"/>
      <c r="S13" s="5"/>
      <c r="T13" s="6"/>
      <c r="U13" s="6"/>
      <c r="V13" s="7"/>
      <c r="W13" s="5"/>
      <c r="X13" s="6"/>
      <c r="Y13" s="6"/>
      <c r="Z13" s="7"/>
      <c r="AA13" s="5"/>
      <c r="AB13" s="6"/>
      <c r="AC13" s="6"/>
      <c r="AD13" s="7"/>
      <c r="AE13" s="5"/>
      <c r="AF13" s="6"/>
      <c r="AG13" s="6"/>
      <c r="AH13" s="7"/>
      <c r="AI13" s="5"/>
      <c r="AJ13" s="6"/>
      <c r="AK13" s="6"/>
      <c r="AL13" s="7"/>
      <c r="AM13" s="18">
        <f t="shared" ref="AM13:AM41" si="0">SUM(C13:AL13)</f>
        <v>0</v>
      </c>
    </row>
    <row r="14" spans="1:39" x14ac:dyDescent="0.25">
      <c r="A14" s="74"/>
      <c r="B14" s="41" t="s">
        <v>89</v>
      </c>
      <c r="C14" s="17"/>
      <c r="D14" s="6"/>
      <c r="E14" s="6"/>
      <c r="F14" s="7"/>
      <c r="G14" s="5"/>
      <c r="H14" s="6"/>
      <c r="I14" s="6"/>
      <c r="J14" s="7"/>
      <c r="K14" s="5"/>
      <c r="L14" s="6"/>
      <c r="M14" s="6"/>
      <c r="N14" s="7"/>
      <c r="O14" s="5"/>
      <c r="P14" s="6"/>
      <c r="Q14" s="6"/>
      <c r="R14" s="7"/>
      <c r="S14" s="5"/>
      <c r="T14" s="6"/>
      <c r="U14" s="6"/>
      <c r="V14" s="7"/>
      <c r="W14" s="5"/>
      <c r="X14" s="6"/>
      <c r="Y14" s="6"/>
      <c r="Z14" s="7"/>
      <c r="AA14" s="5"/>
      <c r="AB14" s="6"/>
      <c r="AC14" s="6"/>
      <c r="AD14" s="7"/>
      <c r="AE14" s="5"/>
      <c r="AF14" s="6"/>
      <c r="AG14" s="6"/>
      <c r="AH14" s="7"/>
      <c r="AI14" s="5"/>
      <c r="AJ14" s="6"/>
      <c r="AK14" s="6"/>
      <c r="AL14" s="7"/>
      <c r="AM14" s="18">
        <f t="shared" si="0"/>
        <v>0</v>
      </c>
    </row>
    <row r="15" spans="1:39" x14ac:dyDescent="0.25">
      <c r="A15" s="74"/>
      <c r="B15" s="41" t="s">
        <v>90</v>
      </c>
      <c r="C15" s="17"/>
      <c r="D15" s="6"/>
      <c r="E15" s="6"/>
      <c r="F15" s="7"/>
      <c r="G15" s="5"/>
      <c r="H15" s="6"/>
      <c r="I15" s="6"/>
      <c r="J15" s="7"/>
      <c r="K15" s="5"/>
      <c r="L15" s="6"/>
      <c r="M15" s="6"/>
      <c r="N15" s="7"/>
      <c r="O15" s="5"/>
      <c r="P15" s="6"/>
      <c r="Q15" s="6"/>
      <c r="R15" s="7"/>
      <c r="S15" s="5"/>
      <c r="T15" s="6"/>
      <c r="U15" s="6"/>
      <c r="V15" s="7"/>
      <c r="W15" s="5"/>
      <c r="X15" s="6"/>
      <c r="Y15" s="6"/>
      <c r="Z15" s="7"/>
      <c r="AA15" s="5"/>
      <c r="AB15" s="6"/>
      <c r="AC15" s="6"/>
      <c r="AD15" s="7"/>
      <c r="AE15" s="5"/>
      <c r="AF15" s="6"/>
      <c r="AG15" s="6"/>
      <c r="AH15" s="7"/>
      <c r="AI15" s="5"/>
      <c r="AJ15" s="6"/>
      <c r="AK15" s="6"/>
      <c r="AL15" s="7"/>
      <c r="AM15" s="18">
        <f t="shared" si="0"/>
        <v>0</v>
      </c>
    </row>
    <row r="16" spans="1:39" x14ac:dyDescent="0.25">
      <c r="A16" s="74"/>
      <c r="B16" s="41" t="s">
        <v>91</v>
      </c>
      <c r="C16" s="17"/>
      <c r="D16" s="6"/>
      <c r="E16" s="6"/>
      <c r="F16" s="7"/>
      <c r="G16" s="5"/>
      <c r="H16" s="6"/>
      <c r="I16" s="6"/>
      <c r="J16" s="7"/>
      <c r="K16" s="5"/>
      <c r="L16" s="6"/>
      <c r="M16" s="6"/>
      <c r="N16" s="7"/>
      <c r="O16" s="5"/>
      <c r="P16" s="6"/>
      <c r="Q16" s="6"/>
      <c r="R16" s="7"/>
      <c r="S16" s="5"/>
      <c r="T16" s="6"/>
      <c r="U16" s="6"/>
      <c r="V16" s="7"/>
      <c r="W16" s="5"/>
      <c r="X16" s="6"/>
      <c r="Y16" s="6"/>
      <c r="Z16" s="7"/>
      <c r="AA16" s="5"/>
      <c r="AB16" s="6"/>
      <c r="AC16" s="6"/>
      <c r="AD16" s="7"/>
      <c r="AE16" s="5"/>
      <c r="AF16" s="6"/>
      <c r="AG16" s="6"/>
      <c r="AH16" s="7"/>
      <c r="AI16" s="5"/>
      <c r="AJ16" s="6"/>
      <c r="AK16" s="6"/>
      <c r="AL16" s="7"/>
      <c r="AM16" s="18">
        <f t="shared" si="0"/>
        <v>0</v>
      </c>
    </row>
    <row r="17" spans="1:39" x14ac:dyDescent="0.25">
      <c r="A17" s="74"/>
      <c r="B17" s="41" t="s">
        <v>92</v>
      </c>
      <c r="C17" s="17"/>
      <c r="D17" s="6"/>
      <c r="E17" s="6"/>
      <c r="F17" s="7"/>
      <c r="G17" s="5"/>
      <c r="H17" s="6"/>
      <c r="I17" s="6"/>
      <c r="J17" s="7"/>
      <c r="K17" s="5"/>
      <c r="L17" s="6"/>
      <c r="M17" s="6"/>
      <c r="N17" s="7"/>
      <c r="O17" s="5"/>
      <c r="P17" s="6"/>
      <c r="Q17" s="6"/>
      <c r="R17" s="7"/>
      <c r="S17" s="5"/>
      <c r="T17" s="6"/>
      <c r="U17" s="6"/>
      <c r="V17" s="7"/>
      <c r="W17" s="5"/>
      <c r="X17" s="6"/>
      <c r="Y17" s="6"/>
      <c r="Z17" s="7"/>
      <c r="AA17" s="5"/>
      <c r="AB17" s="6"/>
      <c r="AC17" s="6"/>
      <c r="AD17" s="7"/>
      <c r="AE17" s="5"/>
      <c r="AF17" s="6"/>
      <c r="AG17" s="6"/>
      <c r="AH17" s="7"/>
      <c r="AI17" s="5"/>
      <c r="AJ17" s="6"/>
      <c r="AK17" s="6"/>
      <c r="AL17" s="7"/>
      <c r="AM17" s="18">
        <f t="shared" si="0"/>
        <v>0</v>
      </c>
    </row>
    <row r="18" spans="1:39" x14ac:dyDescent="0.25">
      <c r="A18" s="74"/>
      <c r="B18" s="41" t="s">
        <v>93</v>
      </c>
      <c r="C18" s="17"/>
      <c r="D18" s="6"/>
      <c r="E18" s="6"/>
      <c r="F18" s="7"/>
      <c r="G18" s="5"/>
      <c r="H18" s="6"/>
      <c r="I18" s="6"/>
      <c r="J18" s="7"/>
      <c r="K18" s="5"/>
      <c r="L18" s="6"/>
      <c r="M18" s="6"/>
      <c r="N18" s="7"/>
      <c r="O18" s="5"/>
      <c r="P18" s="6"/>
      <c r="Q18" s="6"/>
      <c r="R18" s="7"/>
      <c r="S18" s="5"/>
      <c r="T18" s="6"/>
      <c r="U18" s="6"/>
      <c r="V18" s="7"/>
      <c r="W18" s="5"/>
      <c r="X18" s="6"/>
      <c r="Y18" s="6"/>
      <c r="Z18" s="7"/>
      <c r="AA18" s="5"/>
      <c r="AB18" s="6"/>
      <c r="AC18" s="6"/>
      <c r="AD18" s="7"/>
      <c r="AE18" s="5"/>
      <c r="AF18" s="6"/>
      <c r="AG18" s="6"/>
      <c r="AH18" s="7"/>
      <c r="AI18" s="5"/>
      <c r="AJ18" s="6"/>
      <c r="AK18" s="6"/>
      <c r="AL18" s="7"/>
      <c r="AM18" s="18"/>
    </row>
    <row r="19" spans="1:39" x14ac:dyDescent="0.25">
      <c r="A19" s="74"/>
      <c r="B19" s="41" t="s">
        <v>94</v>
      </c>
      <c r="C19" s="17"/>
      <c r="D19" s="6"/>
      <c r="E19" s="6"/>
      <c r="F19" s="7"/>
      <c r="G19" s="5"/>
      <c r="H19" s="6"/>
      <c r="I19" s="6"/>
      <c r="J19" s="7"/>
      <c r="K19" s="5"/>
      <c r="L19" s="6"/>
      <c r="M19" s="6"/>
      <c r="N19" s="7"/>
      <c r="O19" s="5"/>
      <c r="P19" s="6"/>
      <c r="Q19" s="6"/>
      <c r="R19" s="7"/>
      <c r="S19" s="5"/>
      <c r="T19" s="6"/>
      <c r="U19" s="6"/>
      <c r="V19" s="7"/>
      <c r="W19" s="5"/>
      <c r="X19" s="6"/>
      <c r="Y19" s="6"/>
      <c r="Z19" s="7"/>
      <c r="AA19" s="5"/>
      <c r="AB19" s="6"/>
      <c r="AC19" s="6"/>
      <c r="AD19" s="7"/>
      <c r="AE19" s="5"/>
      <c r="AF19" s="6"/>
      <c r="AG19" s="6"/>
      <c r="AH19" s="7"/>
      <c r="AI19" s="5"/>
      <c r="AJ19" s="6"/>
      <c r="AK19" s="6"/>
      <c r="AL19" s="7"/>
      <c r="AM19" s="18">
        <f t="shared" si="0"/>
        <v>0</v>
      </c>
    </row>
    <row r="20" spans="1:39" x14ac:dyDescent="0.25">
      <c r="A20" s="74"/>
      <c r="B20" s="41" t="s">
        <v>95</v>
      </c>
      <c r="C20" s="17"/>
      <c r="D20" s="6"/>
      <c r="E20" s="6"/>
      <c r="F20" s="7"/>
      <c r="G20" s="5"/>
      <c r="H20" s="6"/>
      <c r="I20" s="6"/>
      <c r="J20" s="7"/>
      <c r="K20" s="5"/>
      <c r="L20" s="6"/>
      <c r="M20" s="6"/>
      <c r="N20" s="7"/>
      <c r="O20" s="5"/>
      <c r="P20" s="6"/>
      <c r="Q20" s="6"/>
      <c r="R20" s="7"/>
      <c r="S20" s="5"/>
      <c r="T20" s="6"/>
      <c r="U20" s="6"/>
      <c r="V20" s="7"/>
      <c r="W20" s="5"/>
      <c r="X20" s="6"/>
      <c r="Y20" s="6"/>
      <c r="Z20" s="7"/>
      <c r="AA20" s="5"/>
      <c r="AB20" s="6"/>
      <c r="AC20" s="6"/>
      <c r="AD20" s="7"/>
      <c r="AE20" s="5"/>
      <c r="AF20" s="6"/>
      <c r="AG20" s="6"/>
      <c r="AH20" s="7"/>
      <c r="AI20" s="5"/>
      <c r="AJ20" s="6"/>
      <c r="AK20" s="6"/>
      <c r="AL20" s="7"/>
      <c r="AM20" s="18">
        <f t="shared" si="0"/>
        <v>0</v>
      </c>
    </row>
    <row r="21" spans="1:39" x14ac:dyDescent="0.25">
      <c r="A21" s="74"/>
      <c r="B21" s="41" t="s">
        <v>96</v>
      </c>
      <c r="C21" s="17"/>
      <c r="D21" s="6"/>
      <c r="E21" s="6"/>
      <c r="F21" s="7"/>
      <c r="G21" s="5"/>
      <c r="H21" s="6"/>
      <c r="I21" s="6"/>
      <c r="J21" s="7"/>
      <c r="K21" s="5"/>
      <c r="L21" s="6"/>
      <c r="M21" s="6"/>
      <c r="N21" s="7"/>
      <c r="O21" s="5"/>
      <c r="P21" s="6"/>
      <c r="Q21" s="6"/>
      <c r="R21" s="7"/>
      <c r="S21" s="5"/>
      <c r="T21" s="6"/>
      <c r="U21" s="6"/>
      <c r="V21" s="7"/>
      <c r="W21" s="5"/>
      <c r="X21" s="6"/>
      <c r="Y21" s="6"/>
      <c r="Z21" s="7"/>
      <c r="AA21" s="5"/>
      <c r="AB21" s="6"/>
      <c r="AC21" s="6"/>
      <c r="AD21" s="7"/>
      <c r="AE21" s="5"/>
      <c r="AF21" s="6"/>
      <c r="AG21" s="6"/>
      <c r="AH21" s="7"/>
      <c r="AI21" s="5"/>
      <c r="AJ21" s="6"/>
      <c r="AK21" s="6"/>
      <c r="AL21" s="7"/>
      <c r="AM21" s="18">
        <f t="shared" si="0"/>
        <v>0</v>
      </c>
    </row>
    <row r="22" spans="1:39" x14ac:dyDescent="0.25">
      <c r="A22" s="74"/>
      <c r="B22" s="41" t="s">
        <v>98</v>
      </c>
      <c r="C22" s="17"/>
      <c r="D22" s="6"/>
      <c r="E22" s="6"/>
      <c r="F22" s="7"/>
      <c r="G22" s="5"/>
      <c r="H22" s="6"/>
      <c r="I22" s="6"/>
      <c r="J22" s="7"/>
      <c r="K22" s="5"/>
      <c r="L22" s="6"/>
      <c r="M22" s="6"/>
      <c r="N22" s="7"/>
      <c r="O22" s="5"/>
      <c r="P22" s="6"/>
      <c r="Q22" s="6"/>
      <c r="R22" s="7"/>
      <c r="S22" s="5"/>
      <c r="T22" s="6"/>
      <c r="U22" s="6"/>
      <c r="V22" s="7"/>
      <c r="W22" s="5"/>
      <c r="X22" s="6"/>
      <c r="Y22" s="6"/>
      <c r="Z22" s="7"/>
      <c r="AA22" s="5"/>
      <c r="AB22" s="6"/>
      <c r="AC22" s="6"/>
      <c r="AD22" s="7"/>
      <c r="AE22" s="5"/>
      <c r="AF22" s="6"/>
      <c r="AG22" s="6"/>
      <c r="AH22" s="7"/>
      <c r="AI22" s="5"/>
      <c r="AJ22" s="6"/>
      <c r="AK22" s="6"/>
      <c r="AL22" s="7"/>
      <c r="AM22" s="18"/>
    </row>
    <row r="23" spans="1:39" x14ac:dyDescent="0.25">
      <c r="A23" s="74"/>
      <c r="B23" s="41" t="s">
        <v>97</v>
      </c>
      <c r="C23" s="17"/>
      <c r="D23" s="6"/>
      <c r="E23" s="6"/>
      <c r="F23" s="7"/>
      <c r="G23" s="5"/>
      <c r="H23" s="6"/>
      <c r="I23" s="6"/>
      <c r="J23" s="7"/>
      <c r="K23" s="5"/>
      <c r="L23" s="6"/>
      <c r="M23" s="6"/>
      <c r="N23" s="7"/>
      <c r="O23" s="5"/>
      <c r="P23" s="6"/>
      <c r="Q23" s="6"/>
      <c r="R23" s="7"/>
      <c r="S23" s="5"/>
      <c r="T23" s="6"/>
      <c r="U23" s="6"/>
      <c r="V23" s="7"/>
      <c r="W23" s="5"/>
      <c r="X23" s="6"/>
      <c r="Y23" s="6"/>
      <c r="Z23" s="7"/>
      <c r="AA23" s="5"/>
      <c r="AB23" s="6"/>
      <c r="AC23" s="6"/>
      <c r="AD23" s="7"/>
      <c r="AE23" s="5"/>
      <c r="AF23" s="6"/>
      <c r="AG23" s="6"/>
      <c r="AH23" s="7"/>
      <c r="AI23" s="5"/>
      <c r="AJ23" s="6"/>
      <c r="AK23" s="6"/>
      <c r="AL23" s="7"/>
      <c r="AM23" s="18">
        <f t="shared" si="0"/>
        <v>0</v>
      </c>
    </row>
    <row r="24" spans="1:39" ht="15.75" thickBot="1" x14ac:dyDescent="0.3">
      <c r="A24" s="75"/>
      <c r="B24" s="4" t="s">
        <v>8</v>
      </c>
      <c r="C24" s="28"/>
      <c r="D24" s="9"/>
      <c r="E24" s="9"/>
      <c r="F24" s="10"/>
      <c r="G24" s="8"/>
      <c r="H24" s="9"/>
      <c r="I24" s="9"/>
      <c r="J24" s="10"/>
      <c r="K24" s="8"/>
      <c r="L24" s="9"/>
      <c r="M24" s="9"/>
      <c r="N24" s="10"/>
      <c r="O24" s="8"/>
      <c r="P24" s="9">
        <f>SUM(P12:P23)</f>
        <v>0</v>
      </c>
      <c r="Q24" s="9">
        <f t="shared" ref="Q24:AL24" si="1">SUM(Q12:Q23)</f>
        <v>0</v>
      </c>
      <c r="R24" s="9">
        <f t="shared" si="1"/>
        <v>0</v>
      </c>
      <c r="S24" s="9">
        <f t="shared" si="1"/>
        <v>0</v>
      </c>
      <c r="T24" s="9">
        <f t="shared" si="1"/>
        <v>0</v>
      </c>
      <c r="U24" s="9">
        <f t="shared" si="1"/>
        <v>0</v>
      </c>
      <c r="V24" s="9">
        <f t="shared" si="1"/>
        <v>0</v>
      </c>
      <c r="W24" s="9">
        <f t="shared" si="1"/>
        <v>0</v>
      </c>
      <c r="X24" s="9">
        <f t="shared" si="1"/>
        <v>0</v>
      </c>
      <c r="Y24" s="9">
        <f t="shared" si="1"/>
        <v>0</v>
      </c>
      <c r="Z24" s="9">
        <f t="shared" si="1"/>
        <v>0</v>
      </c>
      <c r="AA24" s="9">
        <f t="shared" si="1"/>
        <v>0</v>
      </c>
      <c r="AB24" s="9">
        <f t="shared" si="1"/>
        <v>0</v>
      </c>
      <c r="AC24" s="9">
        <f t="shared" si="1"/>
        <v>0</v>
      </c>
      <c r="AD24" s="9">
        <f t="shared" si="1"/>
        <v>0</v>
      </c>
      <c r="AE24" s="9">
        <f t="shared" si="1"/>
        <v>0</v>
      </c>
      <c r="AF24" s="9">
        <f t="shared" si="1"/>
        <v>0</v>
      </c>
      <c r="AG24" s="9">
        <f t="shared" si="1"/>
        <v>0</v>
      </c>
      <c r="AH24" s="9">
        <f t="shared" si="1"/>
        <v>0</v>
      </c>
      <c r="AI24" s="9">
        <f t="shared" si="1"/>
        <v>0</v>
      </c>
      <c r="AJ24" s="9">
        <f t="shared" si="1"/>
        <v>0</v>
      </c>
      <c r="AK24" s="9">
        <f t="shared" si="1"/>
        <v>0</v>
      </c>
      <c r="AL24" s="9">
        <f t="shared" si="1"/>
        <v>0</v>
      </c>
      <c r="AM24" s="29">
        <f t="shared" si="0"/>
        <v>0</v>
      </c>
    </row>
    <row r="25" spans="1:39" x14ac:dyDescent="0.25">
      <c r="A25" s="73" t="s">
        <v>10</v>
      </c>
      <c r="B25" s="49" t="s">
        <v>99</v>
      </c>
      <c r="C25" s="30"/>
      <c r="D25" s="31"/>
      <c r="E25" s="31"/>
      <c r="F25" s="32"/>
      <c r="G25" s="33"/>
      <c r="H25" s="31"/>
      <c r="I25" s="31"/>
      <c r="J25" s="32"/>
      <c r="K25" s="33"/>
      <c r="L25" s="31"/>
      <c r="M25" s="31"/>
      <c r="N25" s="32"/>
      <c r="O25" s="33"/>
      <c r="P25" s="31"/>
      <c r="Q25" s="31"/>
      <c r="R25" s="32"/>
      <c r="S25" s="33"/>
      <c r="T25" s="31"/>
      <c r="U25" s="31"/>
      <c r="V25" s="32"/>
      <c r="W25" s="33"/>
      <c r="X25" s="31"/>
      <c r="Y25" s="31"/>
      <c r="Z25" s="36">
        <v>82</v>
      </c>
      <c r="AA25" s="30">
        <v>110</v>
      </c>
      <c r="AB25" s="31">
        <v>110.50923959961381</v>
      </c>
      <c r="AC25" s="31"/>
      <c r="AD25" s="32"/>
      <c r="AE25" s="33"/>
      <c r="AF25" s="31"/>
      <c r="AG25" s="31"/>
      <c r="AH25" s="32"/>
      <c r="AI25" s="33"/>
      <c r="AJ25" s="31"/>
      <c r="AK25" s="31"/>
      <c r="AL25" s="32"/>
      <c r="AM25" s="34">
        <f t="shared" si="0"/>
        <v>302.50923959961381</v>
      </c>
    </row>
    <row r="26" spans="1:39" x14ac:dyDescent="0.25">
      <c r="A26" s="74"/>
      <c r="B26" s="41" t="s">
        <v>87</v>
      </c>
      <c r="C26" s="17"/>
      <c r="D26" s="6"/>
      <c r="E26" s="6"/>
      <c r="F26" s="7"/>
      <c r="G26" s="5"/>
      <c r="H26" s="6"/>
      <c r="I26" s="6"/>
      <c r="J26" s="7"/>
      <c r="K26" s="5"/>
      <c r="L26" s="6"/>
      <c r="M26" s="6"/>
      <c r="N26" s="7"/>
      <c r="O26" s="5"/>
      <c r="P26" s="6"/>
      <c r="Q26" s="6"/>
      <c r="R26" s="7"/>
      <c r="S26" s="5"/>
      <c r="T26" s="6"/>
      <c r="U26" s="6"/>
      <c r="V26" s="7"/>
      <c r="W26" s="5"/>
      <c r="X26" s="6"/>
      <c r="Y26" s="6"/>
      <c r="Z26" s="7">
        <v>6298.5121999999992</v>
      </c>
      <c r="AA26" s="5">
        <v>8551.3651000000009</v>
      </c>
      <c r="AB26" s="6">
        <v>9471.1262234429341</v>
      </c>
      <c r="AC26" s="6"/>
      <c r="AD26" s="7"/>
      <c r="AE26" s="5"/>
      <c r="AF26" s="6"/>
      <c r="AG26" s="6"/>
      <c r="AH26" s="7"/>
      <c r="AI26" s="5"/>
      <c r="AJ26" s="6"/>
      <c r="AK26" s="6"/>
      <c r="AL26" s="7"/>
      <c r="AM26" s="18">
        <f t="shared" si="0"/>
        <v>24321.003523442934</v>
      </c>
    </row>
    <row r="27" spans="1:39" x14ac:dyDescent="0.25">
      <c r="A27" s="74"/>
      <c r="B27" s="41" t="s">
        <v>88</v>
      </c>
      <c r="C27" s="17"/>
      <c r="D27" s="6"/>
      <c r="E27" s="6"/>
      <c r="F27" s="7"/>
      <c r="G27" s="5"/>
      <c r="H27" s="6"/>
      <c r="I27" s="6"/>
      <c r="J27" s="7"/>
      <c r="K27" s="5"/>
      <c r="L27" s="6"/>
      <c r="M27" s="6"/>
      <c r="N27" s="7"/>
      <c r="O27" s="5"/>
      <c r="P27" s="6"/>
      <c r="Q27" s="6"/>
      <c r="R27" s="7"/>
      <c r="S27" s="5"/>
      <c r="T27" s="6"/>
      <c r="U27" s="6"/>
      <c r="V27" s="7"/>
      <c r="W27" s="5"/>
      <c r="X27" s="6"/>
      <c r="Y27" s="6"/>
      <c r="Z27" s="7">
        <v>3165.6322317199997</v>
      </c>
      <c r="AA27" s="5">
        <v>4297.9160992600009</v>
      </c>
      <c r="AB27" s="6">
        <v>4760.1880399024194</v>
      </c>
      <c r="AC27" s="6"/>
      <c r="AD27" s="7"/>
      <c r="AE27" s="5"/>
      <c r="AF27" s="6"/>
      <c r="AG27" s="6"/>
      <c r="AH27" s="7"/>
      <c r="AI27" s="5"/>
      <c r="AJ27" s="6"/>
      <c r="AK27" s="6"/>
      <c r="AL27" s="7"/>
      <c r="AM27" s="18">
        <f t="shared" si="0"/>
        <v>12223.73637088242</v>
      </c>
    </row>
    <row r="28" spans="1:39" x14ac:dyDescent="0.25">
      <c r="A28" s="74"/>
      <c r="B28" s="41" t="s">
        <v>89</v>
      </c>
      <c r="C28" s="17"/>
      <c r="D28" s="6"/>
      <c r="E28" s="6"/>
      <c r="F28" s="7"/>
      <c r="G28" s="5"/>
      <c r="H28" s="6"/>
      <c r="I28" s="6"/>
      <c r="J28" s="7"/>
      <c r="K28" s="5"/>
      <c r="L28" s="6"/>
      <c r="M28" s="6"/>
      <c r="N28" s="7"/>
      <c r="O28" s="5"/>
      <c r="P28" s="6"/>
      <c r="Q28" s="6"/>
      <c r="R28" s="7"/>
      <c r="S28" s="5"/>
      <c r="T28" s="6"/>
      <c r="U28" s="6"/>
      <c r="V28" s="7"/>
      <c r="W28" s="5"/>
      <c r="X28" s="6"/>
      <c r="Y28" s="6"/>
      <c r="Z28" s="7">
        <v>0</v>
      </c>
      <c r="AA28" s="5">
        <v>0</v>
      </c>
      <c r="AB28" s="6">
        <v>0</v>
      </c>
      <c r="AC28" s="6"/>
      <c r="AD28" s="7"/>
      <c r="AE28" s="5"/>
      <c r="AF28" s="6"/>
      <c r="AG28" s="6"/>
      <c r="AH28" s="7"/>
      <c r="AI28" s="5"/>
      <c r="AJ28" s="6"/>
      <c r="AK28" s="6"/>
      <c r="AL28" s="7"/>
      <c r="AM28" s="18">
        <f t="shared" si="0"/>
        <v>0</v>
      </c>
    </row>
    <row r="29" spans="1:39" x14ac:dyDescent="0.25">
      <c r="A29" s="74"/>
      <c r="B29" s="41" t="s">
        <v>90</v>
      </c>
      <c r="C29" s="17"/>
      <c r="D29" s="6"/>
      <c r="E29" s="6"/>
      <c r="F29" s="7"/>
      <c r="G29" s="5"/>
      <c r="H29" s="6"/>
      <c r="I29" s="6"/>
      <c r="J29" s="7"/>
      <c r="K29" s="5"/>
      <c r="L29" s="6"/>
      <c r="M29" s="6"/>
      <c r="N29" s="7"/>
      <c r="O29" s="5"/>
      <c r="P29" s="6"/>
      <c r="Q29" s="6"/>
      <c r="R29" s="7"/>
      <c r="S29" s="5"/>
      <c r="T29" s="6"/>
      <c r="U29" s="6"/>
      <c r="V29" s="7"/>
      <c r="W29" s="5"/>
      <c r="X29" s="6"/>
      <c r="Y29" s="6"/>
      <c r="Z29" s="7">
        <v>100078.73981759998</v>
      </c>
      <c r="AA29" s="5">
        <v>14921.260182400019</v>
      </c>
      <c r="AB29" s="6">
        <v>0</v>
      </c>
      <c r="AC29" s="6"/>
      <c r="AD29" s="7"/>
      <c r="AE29" s="5"/>
      <c r="AF29" s="6"/>
      <c r="AG29" s="6"/>
      <c r="AH29" s="7"/>
      <c r="AI29" s="5"/>
      <c r="AJ29" s="6"/>
      <c r="AK29" s="6"/>
      <c r="AL29" s="7"/>
      <c r="AM29" s="18">
        <f t="shared" si="0"/>
        <v>115000</v>
      </c>
    </row>
    <row r="30" spans="1:39" x14ac:dyDescent="0.25">
      <c r="A30" s="74"/>
      <c r="B30" s="41" t="s">
        <v>91</v>
      </c>
      <c r="C30" s="17"/>
      <c r="D30" s="6"/>
      <c r="E30" s="6"/>
      <c r="F30" s="7"/>
      <c r="G30" s="5"/>
      <c r="H30" s="6"/>
      <c r="I30" s="6"/>
      <c r="J30" s="7"/>
      <c r="K30" s="5"/>
      <c r="L30" s="6"/>
      <c r="M30" s="6"/>
      <c r="N30" s="7"/>
      <c r="O30" s="5"/>
      <c r="P30" s="6"/>
      <c r="Q30" s="6"/>
      <c r="R30" s="7"/>
      <c r="S30" s="5"/>
      <c r="T30" s="6"/>
      <c r="U30" s="6"/>
      <c r="V30" s="7"/>
      <c r="W30" s="5"/>
      <c r="X30" s="6"/>
      <c r="Y30" s="6"/>
      <c r="Z30" s="7">
        <v>0</v>
      </c>
      <c r="AA30" s="5">
        <v>0</v>
      </c>
      <c r="AB30" s="6">
        <v>0</v>
      </c>
      <c r="AC30" s="6"/>
      <c r="AD30" s="7"/>
      <c r="AE30" s="5"/>
      <c r="AF30" s="6"/>
      <c r="AG30" s="6"/>
      <c r="AH30" s="7"/>
      <c r="AI30" s="5"/>
      <c r="AJ30" s="6"/>
      <c r="AK30" s="6"/>
      <c r="AL30" s="7"/>
      <c r="AM30" s="18">
        <f t="shared" si="0"/>
        <v>0</v>
      </c>
    </row>
    <row r="31" spans="1:39" x14ac:dyDescent="0.25">
      <c r="A31" s="74"/>
      <c r="B31" s="41" t="s">
        <v>92</v>
      </c>
      <c r="C31" s="17"/>
      <c r="D31" s="6"/>
      <c r="E31" s="6"/>
      <c r="F31" s="7"/>
      <c r="G31" s="5"/>
      <c r="H31" s="6"/>
      <c r="I31" s="6"/>
      <c r="J31" s="7"/>
      <c r="K31" s="5"/>
      <c r="L31" s="6"/>
      <c r="M31" s="6"/>
      <c r="N31" s="7"/>
      <c r="O31" s="5"/>
      <c r="P31" s="6"/>
      <c r="Q31" s="6"/>
      <c r="R31" s="7"/>
      <c r="S31" s="5"/>
      <c r="T31" s="6"/>
      <c r="U31" s="6"/>
      <c r="V31" s="7"/>
      <c r="W31" s="5"/>
      <c r="X31" s="6"/>
      <c r="Y31" s="6"/>
      <c r="Z31" s="7">
        <v>0</v>
      </c>
      <c r="AA31" s="5">
        <v>0</v>
      </c>
      <c r="AB31" s="6">
        <v>0</v>
      </c>
      <c r="AC31" s="6"/>
      <c r="AD31" s="7"/>
      <c r="AE31" s="5"/>
      <c r="AF31" s="6"/>
      <c r="AG31" s="6"/>
      <c r="AH31" s="7"/>
      <c r="AI31" s="5"/>
      <c r="AJ31" s="6"/>
      <c r="AK31" s="6"/>
      <c r="AL31" s="7"/>
      <c r="AM31" s="18">
        <f t="shared" si="0"/>
        <v>0</v>
      </c>
    </row>
    <row r="32" spans="1:39" x14ac:dyDescent="0.25">
      <c r="A32" s="74"/>
      <c r="B32" s="41" t="s">
        <v>93</v>
      </c>
      <c r="C32" s="17"/>
      <c r="D32" s="6"/>
      <c r="E32" s="6"/>
      <c r="F32" s="7"/>
      <c r="G32" s="5"/>
      <c r="H32" s="6"/>
      <c r="I32" s="6"/>
      <c r="J32" s="7"/>
      <c r="K32" s="5"/>
      <c r="L32" s="6"/>
      <c r="M32" s="6"/>
      <c r="N32" s="7"/>
      <c r="O32" s="5"/>
      <c r="P32" s="6"/>
      <c r="Q32" s="6"/>
      <c r="R32" s="7"/>
      <c r="S32" s="5"/>
      <c r="T32" s="6"/>
      <c r="U32" s="6"/>
      <c r="V32" s="7"/>
      <c r="W32" s="5"/>
      <c r="X32" s="6"/>
      <c r="Y32" s="6"/>
      <c r="Z32" s="7"/>
      <c r="AA32" s="5"/>
      <c r="AB32" s="6"/>
      <c r="AC32" s="6"/>
      <c r="AD32" s="7"/>
      <c r="AE32" s="5"/>
      <c r="AF32" s="6"/>
      <c r="AG32" s="6"/>
      <c r="AH32" s="7"/>
      <c r="AI32" s="5"/>
      <c r="AJ32" s="6"/>
      <c r="AK32" s="6"/>
      <c r="AL32" s="7"/>
      <c r="AM32" s="18"/>
    </row>
    <row r="33" spans="1:39" x14ac:dyDescent="0.25">
      <c r="A33" s="74"/>
      <c r="B33" s="41" t="s">
        <v>94</v>
      </c>
      <c r="C33" s="17"/>
      <c r="D33" s="6"/>
      <c r="E33" s="6"/>
      <c r="F33" s="7"/>
      <c r="G33" s="5"/>
      <c r="H33" s="6"/>
      <c r="I33" s="6"/>
      <c r="J33" s="7"/>
      <c r="K33" s="5"/>
      <c r="L33" s="6"/>
      <c r="M33" s="6"/>
      <c r="N33" s="7"/>
      <c r="O33" s="5"/>
      <c r="P33" s="6"/>
      <c r="Q33" s="6"/>
      <c r="R33" s="7"/>
      <c r="S33" s="5"/>
      <c r="T33" s="6"/>
      <c r="U33" s="6"/>
      <c r="V33" s="7"/>
      <c r="W33" s="5"/>
      <c r="X33" s="6"/>
      <c r="Y33" s="6"/>
      <c r="Z33" s="7"/>
      <c r="AA33" s="5"/>
      <c r="AB33" s="6"/>
      <c r="AC33" s="6"/>
      <c r="AD33" s="7"/>
      <c r="AE33" s="5"/>
      <c r="AF33" s="6"/>
      <c r="AG33" s="6"/>
      <c r="AH33" s="7"/>
      <c r="AI33" s="5"/>
      <c r="AJ33" s="6"/>
      <c r="AK33" s="6"/>
      <c r="AL33" s="7"/>
      <c r="AM33" s="18"/>
    </row>
    <row r="34" spans="1:39" x14ac:dyDescent="0.25">
      <c r="A34" s="74"/>
      <c r="B34" s="41" t="s">
        <v>95</v>
      </c>
      <c r="C34" s="17"/>
      <c r="D34" s="6"/>
      <c r="E34" s="6"/>
      <c r="F34" s="7"/>
      <c r="G34" s="5"/>
      <c r="H34" s="6"/>
      <c r="I34" s="6"/>
      <c r="J34" s="7"/>
      <c r="K34" s="5"/>
      <c r="L34" s="6"/>
      <c r="M34" s="6"/>
      <c r="N34" s="7"/>
      <c r="O34" s="5"/>
      <c r="P34" s="6"/>
      <c r="Q34" s="6"/>
      <c r="R34" s="7"/>
      <c r="S34" s="5"/>
      <c r="T34" s="6"/>
      <c r="U34" s="6"/>
      <c r="V34" s="7"/>
      <c r="W34" s="5"/>
      <c r="X34" s="6"/>
      <c r="Y34" s="6"/>
      <c r="Z34" s="7">
        <v>0</v>
      </c>
      <c r="AA34" s="5">
        <v>0</v>
      </c>
      <c r="AB34" s="6">
        <v>0</v>
      </c>
      <c r="AC34" s="6"/>
      <c r="AD34" s="7"/>
      <c r="AE34" s="5"/>
      <c r="AF34" s="6"/>
      <c r="AG34" s="6"/>
      <c r="AH34" s="7"/>
      <c r="AI34" s="5"/>
      <c r="AJ34" s="6"/>
      <c r="AK34" s="6"/>
      <c r="AL34" s="7"/>
      <c r="AM34" s="18">
        <f t="shared" si="0"/>
        <v>0</v>
      </c>
    </row>
    <row r="35" spans="1:39" x14ac:dyDescent="0.25">
      <c r="A35" s="74"/>
      <c r="B35" s="41" t="s">
        <v>96</v>
      </c>
      <c r="C35" s="17"/>
      <c r="D35" s="6"/>
      <c r="E35" s="6"/>
      <c r="F35" s="7"/>
      <c r="G35" s="5"/>
      <c r="H35" s="6"/>
      <c r="I35" s="6"/>
      <c r="J35" s="7"/>
      <c r="K35" s="5"/>
      <c r="L35" s="6"/>
      <c r="M35" s="6"/>
      <c r="N35" s="7"/>
      <c r="O35" s="5"/>
      <c r="P35" s="6"/>
      <c r="Q35" s="6"/>
      <c r="R35" s="7"/>
      <c r="S35" s="5"/>
      <c r="T35" s="6"/>
      <c r="U35" s="6"/>
      <c r="V35" s="7"/>
      <c r="W35" s="5"/>
      <c r="X35" s="6"/>
      <c r="Y35" s="6"/>
      <c r="Z35" s="7">
        <v>20000</v>
      </c>
      <c r="AA35" s="5">
        <v>0</v>
      </c>
      <c r="AB35" s="6">
        <v>0</v>
      </c>
      <c r="AC35" s="6"/>
      <c r="AD35" s="7"/>
      <c r="AE35" s="5"/>
      <c r="AF35" s="6"/>
      <c r="AG35" s="6"/>
      <c r="AH35" s="7"/>
      <c r="AI35" s="5"/>
      <c r="AJ35" s="6"/>
      <c r="AK35" s="6"/>
      <c r="AL35" s="7"/>
      <c r="AM35" s="18">
        <f t="shared" si="0"/>
        <v>20000</v>
      </c>
    </row>
    <row r="36" spans="1:39" x14ac:dyDescent="0.25">
      <c r="A36" s="74"/>
      <c r="B36" s="41" t="s">
        <v>98</v>
      </c>
      <c r="C36" s="17"/>
      <c r="D36" s="6"/>
      <c r="E36" s="6"/>
      <c r="F36" s="7"/>
      <c r="G36" s="5"/>
      <c r="H36" s="6"/>
      <c r="I36" s="6"/>
      <c r="J36" s="7"/>
      <c r="K36" s="5"/>
      <c r="L36" s="6"/>
      <c r="M36" s="6"/>
      <c r="N36" s="7"/>
      <c r="O36" s="5"/>
      <c r="P36" s="6"/>
      <c r="Q36" s="6"/>
      <c r="R36" s="7"/>
      <c r="S36" s="5"/>
      <c r="T36" s="6"/>
      <c r="U36" s="6"/>
      <c r="V36" s="7"/>
      <c r="W36" s="5"/>
      <c r="X36" s="6"/>
      <c r="Y36" s="6"/>
      <c r="Z36" s="7">
        <v>2932.3070766556793</v>
      </c>
      <c r="AA36" s="5">
        <v>437.19292334432055</v>
      </c>
      <c r="AB36" s="6">
        <v>0</v>
      </c>
      <c r="AC36" s="6"/>
      <c r="AD36" s="7"/>
      <c r="AE36" s="5"/>
      <c r="AF36" s="6"/>
      <c r="AG36" s="6"/>
      <c r="AH36" s="7"/>
      <c r="AI36" s="5"/>
      <c r="AJ36" s="6"/>
      <c r="AK36" s="6"/>
      <c r="AL36" s="7"/>
      <c r="AM36" s="18">
        <f t="shared" si="0"/>
        <v>3369.5</v>
      </c>
    </row>
    <row r="37" spans="1:39" x14ac:dyDescent="0.25">
      <c r="A37" s="74"/>
      <c r="B37" s="41" t="s">
        <v>97</v>
      </c>
      <c r="C37" s="17"/>
      <c r="D37" s="6"/>
      <c r="E37" s="6"/>
      <c r="F37" s="7"/>
      <c r="G37" s="5"/>
      <c r="H37" s="6"/>
      <c r="I37" s="6"/>
      <c r="J37" s="7"/>
      <c r="K37" s="5"/>
      <c r="L37" s="6"/>
      <c r="M37" s="6"/>
      <c r="N37" s="7"/>
      <c r="O37" s="5"/>
      <c r="P37" s="6"/>
      <c r="Q37" s="6"/>
      <c r="R37" s="7"/>
      <c r="S37" s="5"/>
      <c r="T37" s="6"/>
      <c r="U37" s="6"/>
      <c r="V37" s="7"/>
      <c r="W37" s="5"/>
      <c r="X37" s="6"/>
      <c r="Y37" s="6"/>
      <c r="Z37" s="7">
        <v>39125.437390881001</v>
      </c>
      <c r="AA37" s="5">
        <v>17062.560504497356</v>
      </c>
      <c r="AB37" s="6">
        <v>18897.762210296296</v>
      </c>
      <c r="AC37" s="6"/>
      <c r="AD37" s="7"/>
      <c r="AE37" s="5"/>
      <c r="AF37" s="6"/>
      <c r="AG37" s="6"/>
      <c r="AH37" s="7"/>
      <c r="AI37" s="5"/>
      <c r="AJ37" s="6"/>
      <c r="AK37" s="6"/>
      <c r="AL37" s="7"/>
      <c r="AM37" s="18">
        <f t="shared" si="0"/>
        <v>75085.76010567465</v>
      </c>
    </row>
    <row r="38" spans="1:39" ht="15.75" thickBot="1" x14ac:dyDescent="0.3">
      <c r="A38" s="76"/>
      <c r="B38" s="2" t="s">
        <v>8</v>
      </c>
      <c r="C38" s="20">
        <f t="shared" ref="C38:O38" si="2">SUM(C26:C37)</f>
        <v>0</v>
      </c>
      <c r="D38" s="20">
        <f t="shared" si="2"/>
        <v>0</v>
      </c>
      <c r="E38" s="20">
        <f t="shared" si="2"/>
        <v>0</v>
      </c>
      <c r="F38" s="20">
        <f t="shared" si="2"/>
        <v>0</v>
      </c>
      <c r="G38" s="20">
        <f t="shared" si="2"/>
        <v>0</v>
      </c>
      <c r="H38" s="20">
        <f t="shared" si="2"/>
        <v>0</v>
      </c>
      <c r="I38" s="20">
        <f t="shared" si="2"/>
        <v>0</v>
      </c>
      <c r="J38" s="20">
        <f t="shared" si="2"/>
        <v>0</v>
      </c>
      <c r="K38" s="20">
        <f t="shared" si="2"/>
        <v>0</v>
      </c>
      <c r="L38" s="20">
        <f t="shared" si="2"/>
        <v>0</v>
      </c>
      <c r="M38" s="20">
        <f t="shared" si="2"/>
        <v>0</v>
      </c>
      <c r="N38" s="20">
        <f t="shared" si="2"/>
        <v>0</v>
      </c>
      <c r="O38" s="20">
        <f t="shared" si="2"/>
        <v>0</v>
      </c>
      <c r="P38" s="20">
        <f>SUM(P26:P37)</f>
        <v>0</v>
      </c>
      <c r="Q38" s="20">
        <f t="shared" ref="Q38:AL38" si="3">SUM(Q26:Q37)</f>
        <v>0</v>
      </c>
      <c r="R38" s="20">
        <f t="shared" si="3"/>
        <v>0</v>
      </c>
      <c r="S38" s="20">
        <f t="shared" si="3"/>
        <v>0</v>
      </c>
      <c r="T38" s="20">
        <f t="shared" si="3"/>
        <v>0</v>
      </c>
      <c r="U38" s="20">
        <f t="shared" si="3"/>
        <v>0</v>
      </c>
      <c r="V38" s="20">
        <f t="shared" si="3"/>
        <v>0</v>
      </c>
      <c r="W38" s="20">
        <f t="shared" si="3"/>
        <v>0</v>
      </c>
      <c r="X38" s="20">
        <f t="shared" si="3"/>
        <v>0</v>
      </c>
      <c r="Y38" s="20">
        <f t="shared" si="3"/>
        <v>0</v>
      </c>
      <c r="Z38" s="20">
        <f t="shared" si="3"/>
        <v>171600.62871685668</v>
      </c>
      <c r="AA38" s="20">
        <f t="shared" si="3"/>
        <v>45270.294809501691</v>
      </c>
      <c r="AB38" s="20">
        <f t="shared" si="3"/>
        <v>33129.076473641646</v>
      </c>
      <c r="AC38" s="20">
        <f t="shared" si="3"/>
        <v>0</v>
      </c>
      <c r="AD38" s="20">
        <f t="shared" si="3"/>
        <v>0</v>
      </c>
      <c r="AE38" s="20">
        <f t="shared" si="3"/>
        <v>0</v>
      </c>
      <c r="AF38" s="20">
        <f t="shared" si="3"/>
        <v>0</v>
      </c>
      <c r="AG38" s="20">
        <f t="shared" si="3"/>
        <v>0</v>
      </c>
      <c r="AH38" s="20">
        <f t="shared" si="3"/>
        <v>0</v>
      </c>
      <c r="AI38" s="20">
        <f t="shared" si="3"/>
        <v>0</v>
      </c>
      <c r="AJ38" s="20">
        <f t="shared" si="3"/>
        <v>0</v>
      </c>
      <c r="AK38" s="20">
        <f t="shared" si="3"/>
        <v>0</v>
      </c>
      <c r="AL38" s="20">
        <f t="shared" si="3"/>
        <v>0</v>
      </c>
      <c r="AM38" s="35">
        <f t="shared" si="0"/>
        <v>250000.00000000003</v>
      </c>
    </row>
    <row r="39" spans="1:39" x14ac:dyDescent="0.25">
      <c r="A39" s="67" t="s">
        <v>12</v>
      </c>
      <c r="B39" s="39" t="s">
        <v>7</v>
      </c>
      <c r="C39" s="12"/>
      <c r="D39" s="13"/>
      <c r="E39" s="13"/>
      <c r="F39" s="14"/>
      <c r="G39" s="15"/>
      <c r="H39" s="13"/>
      <c r="I39" s="13"/>
      <c r="J39" s="14"/>
      <c r="K39" s="15"/>
      <c r="L39" s="13"/>
      <c r="M39" s="13"/>
      <c r="N39" s="14"/>
      <c r="O39" s="15"/>
      <c r="P39" s="13"/>
      <c r="Q39" s="13"/>
      <c r="R39" s="14"/>
      <c r="S39" s="15"/>
      <c r="T39" s="13"/>
      <c r="U39" s="13"/>
      <c r="V39" s="14"/>
      <c r="W39" s="15"/>
      <c r="X39" s="13"/>
      <c r="Y39" s="13">
        <v>250000</v>
      </c>
      <c r="Z39" s="14"/>
      <c r="AA39" s="15"/>
      <c r="AB39" s="13"/>
      <c r="AC39" s="13"/>
      <c r="AD39" s="14"/>
      <c r="AE39" s="15"/>
      <c r="AF39" s="13"/>
      <c r="AG39" s="13"/>
      <c r="AH39" s="14"/>
      <c r="AI39" s="15"/>
      <c r="AJ39" s="13"/>
      <c r="AK39" s="13"/>
      <c r="AL39" s="14"/>
      <c r="AM39" s="16">
        <f t="shared" si="0"/>
        <v>250000</v>
      </c>
    </row>
    <row r="40" spans="1:39" x14ac:dyDescent="0.25">
      <c r="A40" s="68"/>
      <c r="B40" s="41" t="s">
        <v>9</v>
      </c>
      <c r="C40" s="17"/>
      <c r="D40" s="6"/>
      <c r="E40" s="6"/>
      <c r="F40" s="7"/>
      <c r="G40" s="5"/>
      <c r="H40" s="6"/>
      <c r="I40" s="6"/>
      <c r="J40" s="7"/>
      <c r="K40" s="5"/>
      <c r="L40" s="6"/>
      <c r="M40" s="6"/>
      <c r="N40" s="7"/>
      <c r="O40" s="5"/>
      <c r="P40" s="6"/>
      <c r="Q40" s="6"/>
      <c r="R40" s="7"/>
      <c r="S40" s="5"/>
      <c r="T40" s="6"/>
      <c r="U40" s="6"/>
      <c r="V40" s="7"/>
      <c r="W40" s="5"/>
      <c r="X40" s="6"/>
      <c r="Y40" s="6">
        <v>250000</v>
      </c>
      <c r="Z40" s="7"/>
      <c r="AA40" s="5"/>
      <c r="AB40" s="6"/>
      <c r="AC40" s="6"/>
      <c r="AD40" s="7"/>
      <c r="AE40" s="5"/>
      <c r="AF40" s="6"/>
      <c r="AG40" s="6"/>
      <c r="AH40" s="7"/>
      <c r="AI40" s="5"/>
      <c r="AJ40" s="6"/>
      <c r="AK40" s="6"/>
      <c r="AL40" s="7"/>
      <c r="AM40" s="18">
        <f t="shared" si="0"/>
        <v>250000</v>
      </c>
    </row>
    <row r="41" spans="1:39" ht="15.75" thickBot="1" x14ac:dyDescent="0.3">
      <c r="A41" s="69"/>
      <c r="B41" s="44" t="s">
        <v>13</v>
      </c>
      <c r="C41" s="19"/>
      <c r="D41" s="20"/>
      <c r="E41" s="20"/>
      <c r="F41" s="21"/>
      <c r="G41" s="22"/>
      <c r="H41" s="20"/>
      <c r="I41" s="20"/>
      <c r="J41" s="21"/>
      <c r="K41" s="22"/>
      <c r="L41" s="20"/>
      <c r="M41" s="20"/>
      <c r="N41" s="21"/>
      <c r="O41" s="22"/>
      <c r="P41" s="20"/>
      <c r="Q41" s="20"/>
      <c r="R41" s="21"/>
      <c r="S41" s="22"/>
      <c r="T41" s="20"/>
      <c r="U41" s="20"/>
      <c r="V41" s="21"/>
      <c r="W41" s="22"/>
      <c r="X41" s="20"/>
      <c r="Y41" s="20"/>
      <c r="Z41" s="21"/>
      <c r="AA41" s="22"/>
      <c r="AB41" s="20"/>
      <c r="AC41" s="20"/>
      <c r="AD41" s="21"/>
      <c r="AE41" s="22"/>
      <c r="AF41" s="20"/>
      <c r="AG41" s="20"/>
      <c r="AH41" s="21"/>
      <c r="AI41" s="22"/>
      <c r="AJ41" s="20"/>
      <c r="AK41" s="20"/>
      <c r="AL41" s="21"/>
      <c r="AM41" s="18">
        <f t="shared" si="0"/>
        <v>0</v>
      </c>
    </row>
    <row r="43" spans="1:39" x14ac:dyDescent="0.25">
      <c r="B43" s="40" t="s">
        <v>79</v>
      </c>
    </row>
    <row r="44" spans="1:39" x14ac:dyDescent="0.25">
      <c r="B44" s="42" t="s">
        <v>80</v>
      </c>
    </row>
    <row r="45" spans="1:39" x14ac:dyDescent="0.25">
      <c r="B45" s="43" t="s">
        <v>81</v>
      </c>
    </row>
    <row r="46" spans="1:39" x14ac:dyDescent="0.25">
      <c r="A46" t="s">
        <v>83</v>
      </c>
      <c r="B46" s="45" t="s">
        <v>82</v>
      </c>
    </row>
    <row r="47" spans="1:39" x14ac:dyDescent="0.25">
      <c r="B47" s="45"/>
    </row>
    <row r="48" spans="1:39" x14ac:dyDescent="0.25">
      <c r="C48" t="s">
        <v>22</v>
      </c>
      <c r="D48" t="s">
        <v>23</v>
      </c>
      <c r="E48" t="s">
        <v>24</v>
      </c>
      <c r="F48" t="s">
        <v>25</v>
      </c>
      <c r="G48" t="s">
        <v>26</v>
      </c>
      <c r="H48" t="s">
        <v>27</v>
      </c>
      <c r="I48" t="s">
        <v>28</v>
      </c>
      <c r="J48" t="s">
        <v>29</v>
      </c>
      <c r="K48" t="s">
        <v>30</v>
      </c>
      <c r="L48" t="s">
        <v>31</v>
      </c>
      <c r="M48" t="s">
        <v>32</v>
      </c>
      <c r="N48" t="s">
        <v>33</v>
      </c>
      <c r="O48" t="s">
        <v>34</v>
      </c>
      <c r="P48" t="s">
        <v>35</v>
      </c>
      <c r="Q48" t="s">
        <v>36</v>
      </c>
      <c r="R48" t="s">
        <v>37</v>
      </c>
      <c r="S48" t="s">
        <v>38</v>
      </c>
      <c r="T48" t="s">
        <v>39</v>
      </c>
      <c r="U48" t="s">
        <v>40</v>
      </c>
      <c r="V48" t="s">
        <v>41</v>
      </c>
      <c r="W48" t="s">
        <v>42</v>
      </c>
      <c r="X48" t="s">
        <v>43</v>
      </c>
      <c r="Y48" t="s">
        <v>44</v>
      </c>
      <c r="Z48" t="s">
        <v>45</v>
      </c>
      <c r="AA48" t="s">
        <v>46</v>
      </c>
      <c r="AB48" t="s">
        <v>47</v>
      </c>
      <c r="AC48" t="s">
        <v>48</v>
      </c>
      <c r="AD48" t="s">
        <v>49</v>
      </c>
      <c r="AE48" t="s">
        <v>50</v>
      </c>
      <c r="AF48" t="s">
        <v>51</v>
      </c>
      <c r="AG48" t="s">
        <v>52</v>
      </c>
      <c r="AH48" t="s">
        <v>53</v>
      </c>
      <c r="AI48" t="s">
        <v>54</v>
      </c>
      <c r="AJ48" t="s">
        <v>55</v>
      </c>
      <c r="AK48" t="s">
        <v>56</v>
      </c>
      <c r="AL48" t="s">
        <v>57</v>
      </c>
    </row>
    <row r="49" spans="1:38" s="45" customFormat="1" x14ac:dyDescent="0.25">
      <c r="A49" s="45" t="s">
        <v>100</v>
      </c>
      <c r="B49" s="45" t="s">
        <v>16</v>
      </c>
      <c r="C49" s="47">
        <f>C39</f>
        <v>0</v>
      </c>
      <c r="D49" s="47">
        <f t="shared" ref="D49:AL51" si="4">D39+C49</f>
        <v>0</v>
      </c>
      <c r="E49" s="47">
        <f t="shared" si="4"/>
        <v>0</v>
      </c>
      <c r="F49" s="47">
        <f t="shared" si="4"/>
        <v>0</v>
      </c>
      <c r="G49" s="47">
        <f t="shared" si="4"/>
        <v>0</v>
      </c>
      <c r="H49" s="47">
        <f t="shared" si="4"/>
        <v>0</v>
      </c>
      <c r="I49" s="47">
        <f t="shared" si="4"/>
        <v>0</v>
      </c>
      <c r="J49" s="47">
        <f t="shared" si="4"/>
        <v>0</v>
      </c>
      <c r="K49" s="47">
        <f t="shared" si="4"/>
        <v>0</v>
      </c>
      <c r="L49" s="47">
        <f t="shared" si="4"/>
        <v>0</v>
      </c>
      <c r="M49" s="47">
        <f t="shared" si="4"/>
        <v>0</v>
      </c>
      <c r="N49" s="47">
        <f t="shared" si="4"/>
        <v>0</v>
      </c>
      <c r="O49" s="47">
        <f t="shared" si="4"/>
        <v>0</v>
      </c>
      <c r="P49" s="47">
        <f t="shared" si="4"/>
        <v>0</v>
      </c>
      <c r="Q49" s="47">
        <f t="shared" si="4"/>
        <v>0</v>
      </c>
      <c r="R49" s="47">
        <f t="shared" si="4"/>
        <v>0</v>
      </c>
      <c r="S49" s="47">
        <f t="shared" si="4"/>
        <v>0</v>
      </c>
      <c r="T49" s="47">
        <f t="shared" si="4"/>
        <v>0</v>
      </c>
      <c r="U49" s="47">
        <f t="shared" si="4"/>
        <v>0</v>
      </c>
      <c r="V49" s="47">
        <f t="shared" si="4"/>
        <v>0</v>
      </c>
      <c r="W49" s="47">
        <f t="shared" si="4"/>
        <v>0</v>
      </c>
      <c r="X49" s="47">
        <f t="shared" si="4"/>
        <v>0</v>
      </c>
      <c r="Y49" s="47">
        <f t="shared" si="4"/>
        <v>250000</v>
      </c>
      <c r="Z49" s="47">
        <f t="shared" si="4"/>
        <v>250000</v>
      </c>
      <c r="AA49" s="47">
        <f t="shared" si="4"/>
        <v>250000</v>
      </c>
      <c r="AB49" s="47">
        <f t="shared" si="4"/>
        <v>250000</v>
      </c>
      <c r="AC49" s="47">
        <f t="shared" si="4"/>
        <v>250000</v>
      </c>
      <c r="AD49" s="47">
        <f t="shared" si="4"/>
        <v>250000</v>
      </c>
      <c r="AE49" s="47">
        <f t="shared" si="4"/>
        <v>250000</v>
      </c>
      <c r="AF49" s="47">
        <f t="shared" si="4"/>
        <v>250000</v>
      </c>
      <c r="AG49" s="47">
        <f t="shared" si="4"/>
        <v>250000</v>
      </c>
      <c r="AH49" s="47">
        <f t="shared" si="4"/>
        <v>250000</v>
      </c>
      <c r="AI49" s="47">
        <f t="shared" si="4"/>
        <v>250000</v>
      </c>
      <c r="AJ49" s="47">
        <f t="shared" si="4"/>
        <v>250000</v>
      </c>
      <c r="AK49" s="47">
        <f t="shared" si="4"/>
        <v>250000</v>
      </c>
      <c r="AL49" s="47">
        <f t="shared" si="4"/>
        <v>250000</v>
      </c>
    </row>
    <row r="50" spans="1:38" s="45" customFormat="1" x14ac:dyDescent="0.25">
      <c r="B50" s="45" t="s">
        <v>17</v>
      </c>
      <c r="C50" s="47">
        <f>C40</f>
        <v>0</v>
      </c>
      <c r="D50" s="47">
        <f t="shared" si="4"/>
        <v>0</v>
      </c>
      <c r="E50" s="47">
        <f t="shared" si="4"/>
        <v>0</v>
      </c>
      <c r="F50" s="47">
        <f t="shared" si="4"/>
        <v>0</v>
      </c>
      <c r="G50" s="47">
        <f t="shared" si="4"/>
        <v>0</v>
      </c>
      <c r="H50" s="47">
        <f t="shared" si="4"/>
        <v>0</v>
      </c>
      <c r="I50" s="47">
        <f t="shared" si="4"/>
        <v>0</v>
      </c>
      <c r="J50" s="47">
        <f t="shared" si="4"/>
        <v>0</v>
      </c>
      <c r="K50" s="47">
        <f t="shared" si="4"/>
        <v>0</v>
      </c>
      <c r="L50" s="47">
        <f t="shared" si="4"/>
        <v>0</v>
      </c>
      <c r="M50" s="47">
        <f t="shared" si="4"/>
        <v>0</v>
      </c>
      <c r="N50" s="47">
        <f t="shared" si="4"/>
        <v>0</v>
      </c>
      <c r="O50" s="47">
        <f t="shared" si="4"/>
        <v>0</v>
      </c>
      <c r="P50" s="47">
        <f t="shared" si="4"/>
        <v>0</v>
      </c>
      <c r="Q50" s="47">
        <f t="shared" si="4"/>
        <v>0</v>
      </c>
      <c r="R50" s="47">
        <f t="shared" si="4"/>
        <v>0</v>
      </c>
      <c r="S50" s="47">
        <f t="shared" si="4"/>
        <v>0</v>
      </c>
      <c r="T50" s="47">
        <f t="shared" si="4"/>
        <v>0</v>
      </c>
      <c r="U50" s="47">
        <f t="shared" si="4"/>
        <v>0</v>
      </c>
      <c r="V50" s="47">
        <f t="shared" si="4"/>
        <v>0</v>
      </c>
      <c r="W50" s="47">
        <f t="shared" si="4"/>
        <v>0</v>
      </c>
      <c r="X50" s="47">
        <f t="shared" si="4"/>
        <v>0</v>
      </c>
      <c r="Y50" s="47">
        <f t="shared" si="4"/>
        <v>250000</v>
      </c>
      <c r="Z50" s="47">
        <f t="shared" si="4"/>
        <v>250000</v>
      </c>
      <c r="AA50" s="47">
        <f t="shared" si="4"/>
        <v>250000</v>
      </c>
      <c r="AB50" s="47">
        <f t="shared" si="4"/>
        <v>250000</v>
      </c>
      <c r="AC50" s="47">
        <f t="shared" si="4"/>
        <v>250000</v>
      </c>
      <c r="AD50" s="47">
        <f t="shared" si="4"/>
        <v>250000</v>
      </c>
      <c r="AE50" s="47">
        <f t="shared" si="4"/>
        <v>250000</v>
      </c>
      <c r="AF50" s="47">
        <f t="shared" si="4"/>
        <v>250000</v>
      </c>
      <c r="AG50" s="47">
        <f t="shared" si="4"/>
        <v>250000</v>
      </c>
      <c r="AH50" s="47">
        <f t="shared" si="4"/>
        <v>250000</v>
      </c>
      <c r="AI50" s="47">
        <f t="shared" si="4"/>
        <v>250000</v>
      </c>
      <c r="AJ50" s="47">
        <f t="shared" si="4"/>
        <v>250000</v>
      </c>
      <c r="AK50" s="47">
        <f t="shared" si="4"/>
        <v>250000</v>
      </c>
      <c r="AL50" s="47">
        <f t="shared" si="4"/>
        <v>250000</v>
      </c>
    </row>
    <row r="51" spans="1:38" s="45" customFormat="1" x14ac:dyDescent="0.25">
      <c r="B51" s="45" t="s">
        <v>18</v>
      </c>
      <c r="C51" s="47">
        <f>C41</f>
        <v>0</v>
      </c>
      <c r="D51" s="47">
        <f t="shared" si="4"/>
        <v>0</v>
      </c>
      <c r="E51" s="47">
        <f t="shared" si="4"/>
        <v>0</v>
      </c>
      <c r="F51" s="47">
        <f t="shared" si="4"/>
        <v>0</v>
      </c>
      <c r="G51" s="47">
        <f t="shared" si="4"/>
        <v>0</v>
      </c>
      <c r="H51" s="47">
        <f t="shared" si="4"/>
        <v>0</v>
      </c>
      <c r="I51" s="47">
        <f t="shared" si="4"/>
        <v>0</v>
      </c>
      <c r="J51" s="47">
        <f t="shared" si="4"/>
        <v>0</v>
      </c>
      <c r="K51" s="47">
        <f t="shared" si="4"/>
        <v>0</v>
      </c>
      <c r="L51" s="47">
        <f t="shared" si="4"/>
        <v>0</v>
      </c>
      <c r="M51" s="47">
        <f t="shared" si="4"/>
        <v>0</v>
      </c>
      <c r="N51" s="47">
        <f t="shared" si="4"/>
        <v>0</v>
      </c>
      <c r="O51" s="47">
        <f t="shared" si="4"/>
        <v>0</v>
      </c>
      <c r="P51" s="47">
        <f t="shared" si="4"/>
        <v>0</v>
      </c>
      <c r="Q51" s="47">
        <f t="shared" si="4"/>
        <v>0</v>
      </c>
      <c r="R51" s="47">
        <f t="shared" si="4"/>
        <v>0</v>
      </c>
      <c r="S51" s="47">
        <f t="shared" si="4"/>
        <v>0</v>
      </c>
      <c r="T51" s="47">
        <f t="shared" si="4"/>
        <v>0</v>
      </c>
      <c r="U51" s="47">
        <f t="shared" si="4"/>
        <v>0</v>
      </c>
      <c r="V51" s="47">
        <f t="shared" si="4"/>
        <v>0</v>
      </c>
      <c r="W51" s="47">
        <f t="shared" si="4"/>
        <v>0</v>
      </c>
      <c r="X51" s="47">
        <f t="shared" si="4"/>
        <v>0</v>
      </c>
      <c r="Y51" s="47">
        <f t="shared" si="4"/>
        <v>0</v>
      </c>
      <c r="Z51" s="47">
        <f t="shared" si="4"/>
        <v>0</v>
      </c>
      <c r="AA51" s="47">
        <f t="shared" si="4"/>
        <v>0</v>
      </c>
      <c r="AB51" s="47">
        <f t="shared" si="4"/>
        <v>0</v>
      </c>
      <c r="AC51" s="47">
        <f t="shared" si="4"/>
        <v>0</v>
      </c>
      <c r="AD51" s="47">
        <f t="shared" si="4"/>
        <v>0</v>
      </c>
      <c r="AE51" s="47">
        <f t="shared" si="4"/>
        <v>0</v>
      </c>
      <c r="AF51" s="47">
        <f t="shared" si="4"/>
        <v>0</v>
      </c>
      <c r="AG51" s="47">
        <f t="shared" si="4"/>
        <v>0</v>
      </c>
      <c r="AH51" s="47">
        <f t="shared" si="4"/>
        <v>0</v>
      </c>
      <c r="AI51" s="47">
        <f t="shared" si="4"/>
        <v>0</v>
      </c>
      <c r="AJ51" s="47">
        <f t="shared" si="4"/>
        <v>0</v>
      </c>
      <c r="AK51" s="47">
        <f t="shared" si="4"/>
        <v>0</v>
      </c>
      <c r="AL51" s="47">
        <f t="shared" si="4"/>
        <v>0</v>
      </c>
    </row>
    <row r="52" spans="1:38" s="45" customFormat="1" x14ac:dyDescent="0.25">
      <c r="B52" s="45" t="s">
        <v>19</v>
      </c>
      <c r="C52" s="47">
        <f>C38</f>
        <v>0</v>
      </c>
      <c r="D52" s="47">
        <f>D38+C52</f>
        <v>0</v>
      </c>
      <c r="E52" s="47">
        <f t="shared" ref="E52:AL52" si="5">E38+D52</f>
        <v>0</v>
      </c>
      <c r="F52" s="47">
        <f t="shared" si="5"/>
        <v>0</v>
      </c>
      <c r="G52" s="47">
        <f t="shared" si="5"/>
        <v>0</v>
      </c>
      <c r="H52" s="47">
        <f t="shared" si="5"/>
        <v>0</v>
      </c>
      <c r="I52" s="47">
        <f t="shared" si="5"/>
        <v>0</v>
      </c>
      <c r="J52" s="47">
        <f t="shared" si="5"/>
        <v>0</v>
      </c>
      <c r="K52" s="47">
        <f t="shared" si="5"/>
        <v>0</v>
      </c>
      <c r="L52" s="47">
        <f t="shared" si="5"/>
        <v>0</v>
      </c>
      <c r="M52" s="47">
        <f t="shared" si="5"/>
        <v>0</v>
      </c>
      <c r="N52" s="47">
        <f t="shared" si="5"/>
        <v>0</v>
      </c>
      <c r="O52" s="47">
        <f t="shared" si="5"/>
        <v>0</v>
      </c>
      <c r="P52" s="47">
        <f t="shared" si="5"/>
        <v>0</v>
      </c>
      <c r="Q52" s="47">
        <f t="shared" si="5"/>
        <v>0</v>
      </c>
      <c r="R52" s="47">
        <f t="shared" si="5"/>
        <v>0</v>
      </c>
      <c r="S52" s="47">
        <f t="shared" si="5"/>
        <v>0</v>
      </c>
      <c r="T52" s="47">
        <f t="shared" si="5"/>
        <v>0</v>
      </c>
      <c r="U52" s="47">
        <f t="shared" si="5"/>
        <v>0</v>
      </c>
      <c r="V52" s="47">
        <f t="shared" si="5"/>
        <v>0</v>
      </c>
      <c r="W52" s="47">
        <f t="shared" si="5"/>
        <v>0</v>
      </c>
      <c r="X52" s="47">
        <f t="shared" si="5"/>
        <v>0</v>
      </c>
      <c r="Y52" s="47">
        <f t="shared" si="5"/>
        <v>0</v>
      </c>
      <c r="Z52" s="47">
        <f t="shared" si="5"/>
        <v>171600.62871685668</v>
      </c>
      <c r="AA52" s="47">
        <f t="shared" si="5"/>
        <v>216870.92352635838</v>
      </c>
      <c r="AB52" s="47">
        <f t="shared" si="5"/>
        <v>250000.00000000003</v>
      </c>
      <c r="AC52" s="47">
        <f t="shared" si="5"/>
        <v>250000.00000000003</v>
      </c>
      <c r="AD52" s="47">
        <f t="shared" si="5"/>
        <v>250000.00000000003</v>
      </c>
      <c r="AE52" s="47">
        <f t="shared" si="5"/>
        <v>250000.00000000003</v>
      </c>
      <c r="AF52" s="47">
        <f t="shared" si="5"/>
        <v>250000.00000000003</v>
      </c>
      <c r="AG52" s="47">
        <f t="shared" si="5"/>
        <v>250000.00000000003</v>
      </c>
      <c r="AH52" s="47">
        <f t="shared" si="5"/>
        <v>250000.00000000003</v>
      </c>
      <c r="AI52" s="47">
        <f t="shared" si="5"/>
        <v>250000.00000000003</v>
      </c>
      <c r="AJ52" s="47">
        <f t="shared" si="5"/>
        <v>250000.00000000003</v>
      </c>
      <c r="AK52" s="47">
        <f t="shared" si="5"/>
        <v>250000.00000000003</v>
      </c>
      <c r="AL52" s="47">
        <f t="shared" si="5"/>
        <v>250000.00000000003</v>
      </c>
    </row>
    <row r="53" spans="1:38" s="45" customFormat="1" x14ac:dyDescent="0.25">
      <c r="B53" s="45" t="s">
        <v>20</v>
      </c>
    </row>
    <row r="54" spans="1:38" s="45" customFormat="1" x14ac:dyDescent="0.25">
      <c r="B54" s="45" t="s">
        <v>21</v>
      </c>
      <c r="C54" s="47">
        <f>C24</f>
        <v>0</v>
      </c>
      <c r="D54" s="47">
        <f>D24+C54</f>
        <v>0</v>
      </c>
      <c r="E54" s="47">
        <f t="shared" ref="E54:AL54" si="6">E24+D54</f>
        <v>0</v>
      </c>
      <c r="F54" s="47">
        <f t="shared" si="6"/>
        <v>0</v>
      </c>
      <c r="G54" s="47">
        <f t="shared" si="6"/>
        <v>0</v>
      </c>
      <c r="H54" s="47">
        <f t="shared" si="6"/>
        <v>0</v>
      </c>
      <c r="I54" s="47">
        <f t="shared" si="6"/>
        <v>0</v>
      </c>
      <c r="J54" s="47">
        <f t="shared" si="6"/>
        <v>0</v>
      </c>
      <c r="K54" s="47">
        <f t="shared" si="6"/>
        <v>0</v>
      </c>
      <c r="L54" s="47">
        <f t="shared" si="6"/>
        <v>0</v>
      </c>
      <c r="M54" s="47">
        <f t="shared" si="6"/>
        <v>0</v>
      </c>
      <c r="N54" s="47">
        <f t="shared" si="6"/>
        <v>0</v>
      </c>
      <c r="O54" s="47">
        <f t="shared" si="6"/>
        <v>0</v>
      </c>
      <c r="P54" s="47">
        <f t="shared" si="6"/>
        <v>0</v>
      </c>
      <c r="Q54" s="47">
        <f t="shared" si="6"/>
        <v>0</v>
      </c>
      <c r="R54" s="47">
        <f t="shared" si="6"/>
        <v>0</v>
      </c>
      <c r="S54" s="47">
        <f t="shared" si="6"/>
        <v>0</v>
      </c>
      <c r="T54" s="47">
        <f t="shared" si="6"/>
        <v>0</v>
      </c>
      <c r="U54" s="47">
        <f t="shared" si="6"/>
        <v>0</v>
      </c>
      <c r="V54" s="47">
        <f t="shared" si="6"/>
        <v>0</v>
      </c>
      <c r="W54" s="47">
        <f t="shared" si="6"/>
        <v>0</v>
      </c>
      <c r="X54" s="47">
        <f t="shared" si="6"/>
        <v>0</v>
      </c>
      <c r="Y54" s="47">
        <f t="shared" si="6"/>
        <v>0</v>
      </c>
      <c r="Z54" s="47">
        <f t="shared" si="6"/>
        <v>0</v>
      </c>
      <c r="AA54" s="47">
        <f t="shared" si="6"/>
        <v>0</v>
      </c>
      <c r="AB54" s="47">
        <f t="shared" si="6"/>
        <v>0</v>
      </c>
      <c r="AC54" s="47">
        <f t="shared" si="6"/>
        <v>0</v>
      </c>
      <c r="AD54" s="47">
        <f t="shared" si="6"/>
        <v>0</v>
      </c>
      <c r="AE54" s="47">
        <f t="shared" si="6"/>
        <v>0</v>
      </c>
      <c r="AF54" s="47">
        <f t="shared" si="6"/>
        <v>0</v>
      </c>
      <c r="AG54" s="47">
        <f t="shared" si="6"/>
        <v>0</v>
      </c>
      <c r="AH54" s="47">
        <f t="shared" si="6"/>
        <v>0</v>
      </c>
      <c r="AI54" s="47">
        <f t="shared" si="6"/>
        <v>0</v>
      </c>
      <c r="AJ54" s="47">
        <f t="shared" si="6"/>
        <v>0</v>
      </c>
      <c r="AK54" s="47">
        <f t="shared" si="6"/>
        <v>0</v>
      </c>
      <c r="AL54" s="47">
        <f t="shared" si="6"/>
        <v>0</v>
      </c>
    </row>
    <row r="59" spans="1:38" x14ac:dyDescent="0.25">
      <c r="A59" s="43" t="s">
        <v>85</v>
      </c>
      <c r="B59" s="43"/>
    </row>
    <row r="60" spans="1:38" x14ac:dyDescent="0.25">
      <c r="A60" s="42" t="s">
        <v>86</v>
      </c>
      <c r="B60" s="42"/>
    </row>
    <row r="61" spans="1:38" x14ac:dyDescent="0.25">
      <c r="A61" s="48" t="s">
        <v>108</v>
      </c>
      <c r="B61" s="48"/>
    </row>
  </sheetData>
  <mergeCells count="12">
    <mergeCell ref="AA9:AD9"/>
    <mergeCell ref="AE9:AH9"/>
    <mergeCell ref="AI9:AL9"/>
    <mergeCell ref="A11:A24"/>
    <mergeCell ref="A25:A38"/>
    <mergeCell ref="S9:V9"/>
    <mergeCell ref="W9:Z9"/>
    <mergeCell ref="A39:A41"/>
    <mergeCell ref="C9:F9"/>
    <mergeCell ref="G9:J9"/>
    <mergeCell ref="K9:N9"/>
    <mergeCell ref="O9:R9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B98C55F-9D1A-4C0A-934B-3C2C3C37771D}">
          <x14:formula1>
            <xm:f>Lists!$G$2:$G$5</xm:f>
          </x14:formula1>
          <xm:sqref>B6</xm:sqref>
        </x14:dataValidation>
        <x14:dataValidation type="list" allowBlank="1" showInputMessage="1" showErrorMessage="1" xr:uid="{A25E3BB6-93E9-4BC3-91C5-017EA37E7203}">
          <x14:formula1>
            <xm:f>Lists!$C$2:$C$7</xm:f>
          </x14:formula1>
          <xm:sqref>B5</xm:sqref>
        </x14:dataValidation>
        <x14:dataValidation type="list" allowBlank="1" showInputMessage="1" showErrorMessage="1" xr:uid="{2A22A8D3-5235-4119-894F-90C75CF67395}">
          <x14:formula1>
            <xm:f>Lists!$E$2:$E$12</xm:f>
          </x14:formula1>
          <xm:sqref>B4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73D9A-BB63-4CD3-90FB-ED0923A8888E}">
  <sheetPr codeName="Sheet6"/>
  <dimension ref="A1:AM61"/>
  <sheetViews>
    <sheetView workbookViewId="0">
      <pane xSplit="2" ySplit="10" topLeftCell="Z64" activePane="bottomRight" state="frozen"/>
      <selection pane="topRight" activeCell="C1" sqref="C1"/>
      <selection pane="bottomLeft" activeCell="A6" sqref="A6"/>
      <selection pane="bottomRight" activeCell="AA70" sqref="AA70"/>
    </sheetView>
  </sheetViews>
  <sheetFormatPr defaultRowHeight="15" x14ac:dyDescent="0.25"/>
  <cols>
    <col min="1" max="1" width="14.140625" bestFit="1" customWidth="1"/>
    <col min="2" max="2" width="30.5703125" customWidth="1"/>
    <col min="25" max="39" width="12.5703125" bestFit="1" customWidth="1"/>
  </cols>
  <sheetData>
    <row r="1" spans="1:39" x14ac:dyDescent="0.25">
      <c r="A1" s="37" t="s">
        <v>0</v>
      </c>
      <c r="B1" s="37"/>
    </row>
    <row r="2" spans="1:39" x14ac:dyDescent="0.25">
      <c r="A2" s="37" t="s">
        <v>1</v>
      </c>
      <c r="B2" s="38">
        <v>116</v>
      </c>
      <c r="C2" t="s">
        <v>84</v>
      </c>
    </row>
    <row r="3" spans="1:39" x14ac:dyDescent="0.25">
      <c r="A3" s="37" t="s">
        <v>2</v>
      </c>
      <c r="B3" s="37" t="s">
        <v>78</v>
      </c>
    </row>
    <row r="4" spans="1:39" x14ac:dyDescent="0.25">
      <c r="A4" s="37" t="s">
        <v>109</v>
      </c>
      <c r="B4" s="46" t="s">
        <v>73</v>
      </c>
    </row>
    <row r="5" spans="1:39" x14ac:dyDescent="0.25">
      <c r="A5" s="37" t="s">
        <v>110</v>
      </c>
      <c r="B5" s="46" t="s">
        <v>66</v>
      </c>
    </row>
    <row r="6" spans="1:39" x14ac:dyDescent="0.25">
      <c r="A6" s="37" t="s">
        <v>60</v>
      </c>
      <c r="B6" s="46" t="s">
        <v>76</v>
      </c>
    </row>
    <row r="7" spans="1:39" x14ac:dyDescent="0.25">
      <c r="A7" s="37" t="s">
        <v>61</v>
      </c>
      <c r="B7" s="46"/>
    </row>
    <row r="8" spans="1:39" ht="15.75" thickBot="1" x14ac:dyDescent="0.3"/>
    <row r="9" spans="1:39" ht="15.75" thickBot="1" x14ac:dyDescent="0.3">
      <c r="C9" s="70" t="s">
        <v>101</v>
      </c>
      <c r="D9" s="71"/>
      <c r="E9" s="71"/>
      <c r="F9" s="72"/>
      <c r="G9" s="70" t="s">
        <v>102</v>
      </c>
      <c r="H9" s="71"/>
      <c r="I9" s="71"/>
      <c r="J9" s="72"/>
      <c r="K9" s="70" t="s">
        <v>103</v>
      </c>
      <c r="L9" s="71"/>
      <c r="M9" s="71"/>
      <c r="N9" s="72"/>
      <c r="O9" s="70" t="s">
        <v>104</v>
      </c>
      <c r="P9" s="71"/>
      <c r="Q9" s="71"/>
      <c r="R9" s="72"/>
      <c r="S9" s="70" t="s">
        <v>105</v>
      </c>
      <c r="T9" s="71"/>
      <c r="U9" s="71"/>
      <c r="V9" s="72"/>
      <c r="W9" s="70" t="s">
        <v>106</v>
      </c>
      <c r="X9" s="71"/>
      <c r="Y9" s="71"/>
      <c r="Z9" s="72"/>
      <c r="AA9" s="70" t="s">
        <v>107</v>
      </c>
      <c r="AB9" s="71"/>
      <c r="AC9" s="71"/>
      <c r="AD9" s="72"/>
      <c r="AE9" s="70" t="s">
        <v>14</v>
      </c>
      <c r="AF9" s="71"/>
      <c r="AG9" s="71"/>
      <c r="AH9" s="72"/>
      <c r="AI9" s="70" t="s">
        <v>15</v>
      </c>
      <c r="AJ9" s="71"/>
      <c r="AK9" s="71"/>
      <c r="AL9" s="72"/>
    </row>
    <row r="10" spans="1:39" ht="15.75" thickBot="1" x14ac:dyDescent="0.3">
      <c r="C10" s="3" t="s">
        <v>3</v>
      </c>
      <c r="D10" s="1" t="s">
        <v>4</v>
      </c>
      <c r="E10" s="1" t="s">
        <v>5</v>
      </c>
      <c r="F10" s="2" t="s">
        <v>6</v>
      </c>
      <c r="G10" s="3" t="s">
        <v>3</v>
      </c>
      <c r="H10" s="1" t="s">
        <v>4</v>
      </c>
      <c r="I10" s="1" t="s">
        <v>5</v>
      </c>
      <c r="J10" s="2" t="s">
        <v>6</v>
      </c>
      <c r="K10" s="3" t="s">
        <v>3</v>
      </c>
      <c r="L10" s="1" t="s">
        <v>4</v>
      </c>
      <c r="M10" s="1" t="s">
        <v>5</v>
      </c>
      <c r="N10" s="2" t="s">
        <v>6</v>
      </c>
      <c r="O10" s="3" t="s">
        <v>3</v>
      </c>
      <c r="P10" s="1" t="s">
        <v>4</v>
      </c>
      <c r="Q10" s="1" t="s">
        <v>5</v>
      </c>
      <c r="R10" s="2" t="s">
        <v>6</v>
      </c>
      <c r="S10" s="3" t="s">
        <v>3</v>
      </c>
      <c r="T10" s="1" t="s">
        <v>4</v>
      </c>
      <c r="U10" s="1" t="s">
        <v>5</v>
      </c>
      <c r="V10" s="2" t="s">
        <v>6</v>
      </c>
      <c r="W10" s="3" t="s">
        <v>3</v>
      </c>
      <c r="X10" s="1" t="s">
        <v>4</v>
      </c>
      <c r="Y10" s="1" t="s">
        <v>5</v>
      </c>
      <c r="Z10" s="2" t="s">
        <v>6</v>
      </c>
      <c r="AA10" s="3" t="s">
        <v>3</v>
      </c>
      <c r="AB10" s="1" t="s">
        <v>4</v>
      </c>
      <c r="AC10" s="1" t="s">
        <v>5</v>
      </c>
      <c r="AD10" s="2" t="s">
        <v>6</v>
      </c>
      <c r="AE10" s="3" t="s">
        <v>3</v>
      </c>
      <c r="AF10" s="1" t="s">
        <v>4</v>
      </c>
      <c r="AG10" s="1" t="s">
        <v>5</v>
      </c>
      <c r="AH10" s="2" t="s">
        <v>6</v>
      </c>
      <c r="AI10" s="3" t="s">
        <v>3</v>
      </c>
      <c r="AJ10" s="1" t="s">
        <v>4</v>
      </c>
      <c r="AK10" s="1" t="s">
        <v>5</v>
      </c>
      <c r="AL10" s="2" t="s">
        <v>6</v>
      </c>
      <c r="AM10" s="11" t="s">
        <v>8</v>
      </c>
    </row>
    <row r="11" spans="1:39" x14ac:dyDescent="0.25">
      <c r="A11" s="73" t="s">
        <v>11</v>
      </c>
      <c r="B11" s="49" t="s">
        <v>99</v>
      </c>
      <c r="C11" s="23"/>
      <c r="D11" s="24"/>
      <c r="E11" s="24"/>
      <c r="F11" s="25"/>
      <c r="G11" s="26"/>
      <c r="H11" s="24"/>
      <c r="I11" s="24"/>
      <c r="J11" s="25"/>
      <c r="K11" s="26"/>
      <c r="L11" s="24"/>
      <c r="M11" s="24"/>
      <c r="N11" s="25"/>
      <c r="O11" s="26"/>
      <c r="P11" s="24"/>
      <c r="Q11" s="24"/>
      <c r="R11" s="25"/>
      <c r="S11" s="26"/>
      <c r="T11" s="24"/>
      <c r="U11" s="24"/>
      <c r="V11" s="25"/>
      <c r="W11" s="26"/>
      <c r="X11" s="24"/>
      <c r="Y11" s="24"/>
      <c r="Z11" s="25"/>
      <c r="AA11" s="26"/>
      <c r="AB11" s="24"/>
      <c r="AC11" s="24"/>
      <c r="AD11" s="25"/>
      <c r="AE11" s="26"/>
      <c r="AF11" s="24"/>
      <c r="AG11" s="24"/>
      <c r="AH11" s="25"/>
      <c r="AI11" s="26"/>
      <c r="AJ11" s="24"/>
      <c r="AK11" s="24"/>
      <c r="AL11" s="25"/>
      <c r="AM11" s="27">
        <f>SUM(C11:AL11)</f>
        <v>0</v>
      </c>
    </row>
    <row r="12" spans="1:39" x14ac:dyDescent="0.25">
      <c r="A12" s="74"/>
      <c r="B12" s="41" t="s">
        <v>87</v>
      </c>
      <c r="C12" s="17"/>
      <c r="D12" s="6"/>
      <c r="E12" s="6"/>
      <c r="F12" s="7"/>
      <c r="G12" s="5"/>
      <c r="H12" s="6"/>
      <c r="I12" s="6"/>
      <c r="J12" s="7"/>
      <c r="K12" s="5"/>
      <c r="L12" s="6"/>
      <c r="M12" s="6"/>
      <c r="N12" s="7"/>
      <c r="O12" s="5"/>
      <c r="P12" s="6"/>
      <c r="Q12" s="6"/>
      <c r="R12" s="7"/>
      <c r="S12" s="5"/>
      <c r="T12" s="6"/>
      <c r="U12" s="6"/>
      <c r="V12" s="7"/>
      <c r="W12" s="5"/>
      <c r="X12" s="6"/>
      <c r="Y12" s="6"/>
      <c r="Z12" s="7"/>
      <c r="AA12" s="5"/>
      <c r="AB12" s="6"/>
      <c r="AC12" s="6"/>
      <c r="AD12" s="7"/>
      <c r="AE12" s="5"/>
      <c r="AF12" s="6"/>
      <c r="AG12" s="6"/>
      <c r="AH12" s="7"/>
      <c r="AI12" s="5"/>
      <c r="AJ12" s="6"/>
      <c r="AK12" s="6"/>
      <c r="AL12" s="7"/>
      <c r="AM12" s="18">
        <f>SUM(C12:AL12)</f>
        <v>0</v>
      </c>
    </row>
    <row r="13" spans="1:39" x14ac:dyDescent="0.25">
      <c r="A13" s="74"/>
      <c r="B13" s="41" t="s">
        <v>88</v>
      </c>
      <c r="C13" s="17"/>
      <c r="D13" s="6"/>
      <c r="E13" s="6"/>
      <c r="F13" s="7"/>
      <c r="G13" s="5"/>
      <c r="H13" s="6"/>
      <c r="I13" s="6"/>
      <c r="J13" s="7"/>
      <c r="K13" s="5"/>
      <c r="L13" s="6"/>
      <c r="M13" s="6"/>
      <c r="N13" s="7"/>
      <c r="O13" s="5"/>
      <c r="P13" s="6"/>
      <c r="Q13" s="6"/>
      <c r="R13" s="7"/>
      <c r="S13" s="5"/>
      <c r="T13" s="6"/>
      <c r="U13" s="6"/>
      <c r="V13" s="7"/>
      <c r="W13" s="5"/>
      <c r="X13" s="6"/>
      <c r="Y13" s="6"/>
      <c r="Z13" s="7"/>
      <c r="AA13" s="5"/>
      <c r="AB13" s="6"/>
      <c r="AC13" s="6"/>
      <c r="AD13" s="7"/>
      <c r="AE13" s="5"/>
      <c r="AF13" s="6"/>
      <c r="AG13" s="6"/>
      <c r="AH13" s="7"/>
      <c r="AI13" s="5"/>
      <c r="AJ13" s="6"/>
      <c r="AK13" s="6"/>
      <c r="AL13" s="7"/>
      <c r="AM13" s="18">
        <f t="shared" ref="AM13:AM41" si="0">SUM(C13:AL13)</f>
        <v>0</v>
      </c>
    </row>
    <row r="14" spans="1:39" x14ac:dyDescent="0.25">
      <c r="A14" s="74"/>
      <c r="B14" s="41" t="s">
        <v>89</v>
      </c>
      <c r="C14" s="17"/>
      <c r="D14" s="6"/>
      <c r="E14" s="6"/>
      <c r="F14" s="7"/>
      <c r="G14" s="5"/>
      <c r="H14" s="6"/>
      <c r="I14" s="6"/>
      <c r="J14" s="7"/>
      <c r="K14" s="5"/>
      <c r="L14" s="6"/>
      <c r="M14" s="6"/>
      <c r="N14" s="7"/>
      <c r="O14" s="5"/>
      <c r="P14" s="6"/>
      <c r="Q14" s="6"/>
      <c r="R14" s="7"/>
      <c r="S14" s="5"/>
      <c r="T14" s="6"/>
      <c r="U14" s="6"/>
      <c r="V14" s="7"/>
      <c r="W14" s="5"/>
      <c r="X14" s="6"/>
      <c r="Y14" s="6"/>
      <c r="Z14" s="7"/>
      <c r="AA14" s="5"/>
      <c r="AB14" s="6"/>
      <c r="AC14" s="6"/>
      <c r="AD14" s="7"/>
      <c r="AE14" s="5"/>
      <c r="AF14" s="6"/>
      <c r="AG14" s="6"/>
      <c r="AH14" s="7"/>
      <c r="AI14" s="5"/>
      <c r="AJ14" s="6"/>
      <c r="AK14" s="6"/>
      <c r="AL14" s="7"/>
      <c r="AM14" s="18">
        <f t="shared" si="0"/>
        <v>0</v>
      </c>
    </row>
    <row r="15" spans="1:39" x14ac:dyDescent="0.25">
      <c r="A15" s="74"/>
      <c r="B15" s="41" t="s">
        <v>90</v>
      </c>
      <c r="C15" s="17"/>
      <c r="D15" s="6"/>
      <c r="E15" s="6"/>
      <c r="F15" s="7"/>
      <c r="G15" s="5"/>
      <c r="H15" s="6"/>
      <c r="I15" s="6"/>
      <c r="J15" s="7"/>
      <c r="K15" s="5"/>
      <c r="L15" s="6"/>
      <c r="M15" s="6"/>
      <c r="N15" s="7"/>
      <c r="O15" s="5"/>
      <c r="P15" s="6"/>
      <c r="Q15" s="6"/>
      <c r="R15" s="7"/>
      <c r="S15" s="5"/>
      <c r="T15" s="6"/>
      <c r="U15" s="6"/>
      <c r="V15" s="7"/>
      <c r="W15" s="5"/>
      <c r="X15" s="6"/>
      <c r="Y15" s="6"/>
      <c r="Z15" s="7"/>
      <c r="AA15" s="5"/>
      <c r="AB15" s="6"/>
      <c r="AC15" s="6"/>
      <c r="AD15" s="7"/>
      <c r="AE15" s="5"/>
      <c r="AF15" s="6"/>
      <c r="AG15" s="6"/>
      <c r="AH15" s="7"/>
      <c r="AI15" s="5"/>
      <c r="AJ15" s="6"/>
      <c r="AK15" s="6"/>
      <c r="AL15" s="7"/>
      <c r="AM15" s="18">
        <f t="shared" si="0"/>
        <v>0</v>
      </c>
    </row>
    <row r="16" spans="1:39" x14ac:dyDescent="0.25">
      <c r="A16" s="74"/>
      <c r="B16" s="41" t="s">
        <v>91</v>
      </c>
      <c r="C16" s="17"/>
      <c r="D16" s="6"/>
      <c r="E16" s="6"/>
      <c r="F16" s="7"/>
      <c r="G16" s="5"/>
      <c r="H16" s="6"/>
      <c r="I16" s="6"/>
      <c r="J16" s="7"/>
      <c r="K16" s="5"/>
      <c r="L16" s="6"/>
      <c r="M16" s="6"/>
      <c r="N16" s="7"/>
      <c r="O16" s="5"/>
      <c r="P16" s="6"/>
      <c r="Q16" s="6"/>
      <c r="R16" s="7"/>
      <c r="S16" s="5"/>
      <c r="T16" s="6"/>
      <c r="U16" s="6"/>
      <c r="V16" s="7"/>
      <c r="W16" s="5"/>
      <c r="X16" s="6"/>
      <c r="Y16" s="6"/>
      <c r="Z16" s="7"/>
      <c r="AA16" s="5"/>
      <c r="AB16" s="6"/>
      <c r="AC16" s="6"/>
      <c r="AD16" s="7"/>
      <c r="AE16" s="5"/>
      <c r="AF16" s="6"/>
      <c r="AG16" s="6"/>
      <c r="AH16" s="7"/>
      <c r="AI16" s="5"/>
      <c r="AJ16" s="6"/>
      <c r="AK16" s="6"/>
      <c r="AL16" s="7"/>
      <c r="AM16" s="18">
        <f t="shared" si="0"/>
        <v>0</v>
      </c>
    </row>
    <row r="17" spans="1:39" x14ac:dyDescent="0.25">
      <c r="A17" s="74"/>
      <c r="B17" s="41" t="s">
        <v>92</v>
      </c>
      <c r="C17" s="17"/>
      <c r="D17" s="6"/>
      <c r="E17" s="6"/>
      <c r="F17" s="7"/>
      <c r="G17" s="5"/>
      <c r="H17" s="6"/>
      <c r="I17" s="6"/>
      <c r="J17" s="7"/>
      <c r="K17" s="5"/>
      <c r="L17" s="6"/>
      <c r="M17" s="6"/>
      <c r="N17" s="7"/>
      <c r="O17" s="5"/>
      <c r="P17" s="6"/>
      <c r="Q17" s="6"/>
      <c r="R17" s="7"/>
      <c r="S17" s="5"/>
      <c r="T17" s="6"/>
      <c r="U17" s="6"/>
      <c r="V17" s="7"/>
      <c r="W17" s="5"/>
      <c r="X17" s="6"/>
      <c r="Y17" s="6"/>
      <c r="Z17" s="7"/>
      <c r="AA17" s="5"/>
      <c r="AB17" s="6"/>
      <c r="AC17" s="6"/>
      <c r="AD17" s="7"/>
      <c r="AE17" s="5"/>
      <c r="AF17" s="6"/>
      <c r="AG17" s="6"/>
      <c r="AH17" s="7"/>
      <c r="AI17" s="5"/>
      <c r="AJ17" s="6"/>
      <c r="AK17" s="6"/>
      <c r="AL17" s="7"/>
      <c r="AM17" s="18">
        <f t="shared" si="0"/>
        <v>0</v>
      </c>
    </row>
    <row r="18" spans="1:39" x14ac:dyDescent="0.25">
      <c r="A18" s="74"/>
      <c r="B18" s="41" t="s">
        <v>93</v>
      </c>
      <c r="C18" s="17"/>
      <c r="D18" s="6"/>
      <c r="E18" s="6"/>
      <c r="F18" s="7"/>
      <c r="G18" s="5"/>
      <c r="H18" s="6"/>
      <c r="I18" s="6"/>
      <c r="J18" s="7"/>
      <c r="K18" s="5"/>
      <c r="L18" s="6"/>
      <c r="M18" s="6"/>
      <c r="N18" s="7"/>
      <c r="O18" s="5"/>
      <c r="P18" s="6"/>
      <c r="Q18" s="6"/>
      <c r="R18" s="7"/>
      <c r="S18" s="5"/>
      <c r="T18" s="6"/>
      <c r="U18" s="6"/>
      <c r="V18" s="7"/>
      <c r="W18" s="5"/>
      <c r="X18" s="6"/>
      <c r="Y18" s="6"/>
      <c r="Z18" s="7"/>
      <c r="AA18" s="5"/>
      <c r="AB18" s="6"/>
      <c r="AC18" s="6"/>
      <c r="AD18" s="7"/>
      <c r="AE18" s="5"/>
      <c r="AF18" s="6"/>
      <c r="AG18" s="6"/>
      <c r="AH18" s="7"/>
      <c r="AI18" s="5"/>
      <c r="AJ18" s="6"/>
      <c r="AK18" s="6"/>
      <c r="AL18" s="7"/>
      <c r="AM18" s="18"/>
    </row>
    <row r="19" spans="1:39" x14ac:dyDescent="0.25">
      <c r="A19" s="74"/>
      <c r="B19" s="41" t="s">
        <v>94</v>
      </c>
      <c r="C19" s="17"/>
      <c r="D19" s="6"/>
      <c r="E19" s="6"/>
      <c r="F19" s="7"/>
      <c r="G19" s="5"/>
      <c r="H19" s="6"/>
      <c r="I19" s="6"/>
      <c r="J19" s="7"/>
      <c r="K19" s="5"/>
      <c r="L19" s="6"/>
      <c r="M19" s="6"/>
      <c r="N19" s="7"/>
      <c r="O19" s="5"/>
      <c r="P19" s="6"/>
      <c r="Q19" s="6"/>
      <c r="R19" s="7"/>
      <c r="S19" s="5"/>
      <c r="T19" s="6"/>
      <c r="U19" s="6"/>
      <c r="V19" s="7"/>
      <c r="W19" s="5"/>
      <c r="X19" s="6"/>
      <c r="Y19" s="6"/>
      <c r="Z19" s="7"/>
      <c r="AA19" s="5"/>
      <c r="AB19" s="6"/>
      <c r="AC19" s="6"/>
      <c r="AD19" s="7"/>
      <c r="AE19" s="5"/>
      <c r="AF19" s="6"/>
      <c r="AG19" s="6"/>
      <c r="AH19" s="7"/>
      <c r="AI19" s="5"/>
      <c r="AJ19" s="6"/>
      <c r="AK19" s="6"/>
      <c r="AL19" s="7"/>
      <c r="AM19" s="18">
        <f t="shared" si="0"/>
        <v>0</v>
      </c>
    </row>
    <row r="20" spans="1:39" x14ac:dyDescent="0.25">
      <c r="A20" s="74"/>
      <c r="B20" s="41" t="s">
        <v>95</v>
      </c>
      <c r="C20" s="17"/>
      <c r="D20" s="6"/>
      <c r="E20" s="6"/>
      <c r="F20" s="7"/>
      <c r="G20" s="5"/>
      <c r="H20" s="6"/>
      <c r="I20" s="6"/>
      <c r="J20" s="7"/>
      <c r="K20" s="5"/>
      <c r="L20" s="6"/>
      <c r="M20" s="6"/>
      <c r="N20" s="7"/>
      <c r="O20" s="5"/>
      <c r="P20" s="6"/>
      <c r="Q20" s="6"/>
      <c r="R20" s="7"/>
      <c r="S20" s="5"/>
      <c r="T20" s="6"/>
      <c r="U20" s="6"/>
      <c r="V20" s="7"/>
      <c r="W20" s="5"/>
      <c r="X20" s="6"/>
      <c r="Y20" s="6"/>
      <c r="Z20" s="7"/>
      <c r="AA20" s="5"/>
      <c r="AB20" s="6"/>
      <c r="AC20" s="6"/>
      <c r="AD20" s="7"/>
      <c r="AE20" s="5"/>
      <c r="AF20" s="6"/>
      <c r="AG20" s="6"/>
      <c r="AH20" s="7"/>
      <c r="AI20" s="5"/>
      <c r="AJ20" s="6"/>
      <c r="AK20" s="6"/>
      <c r="AL20" s="7"/>
      <c r="AM20" s="18">
        <f t="shared" si="0"/>
        <v>0</v>
      </c>
    </row>
    <row r="21" spans="1:39" x14ac:dyDescent="0.25">
      <c r="A21" s="74"/>
      <c r="B21" s="41" t="s">
        <v>96</v>
      </c>
      <c r="C21" s="17"/>
      <c r="D21" s="6"/>
      <c r="E21" s="6"/>
      <c r="F21" s="7"/>
      <c r="G21" s="5"/>
      <c r="H21" s="6"/>
      <c r="I21" s="6"/>
      <c r="J21" s="7"/>
      <c r="K21" s="5"/>
      <c r="L21" s="6"/>
      <c r="M21" s="6"/>
      <c r="N21" s="7"/>
      <c r="O21" s="5"/>
      <c r="P21" s="6"/>
      <c r="Q21" s="6"/>
      <c r="R21" s="7"/>
      <c r="S21" s="5"/>
      <c r="T21" s="6"/>
      <c r="U21" s="6"/>
      <c r="V21" s="7"/>
      <c r="W21" s="5"/>
      <c r="X21" s="6"/>
      <c r="Y21" s="6"/>
      <c r="Z21" s="7"/>
      <c r="AA21" s="5"/>
      <c r="AB21" s="6"/>
      <c r="AC21" s="6"/>
      <c r="AD21" s="7"/>
      <c r="AE21" s="5"/>
      <c r="AF21" s="6"/>
      <c r="AG21" s="6"/>
      <c r="AH21" s="7"/>
      <c r="AI21" s="5"/>
      <c r="AJ21" s="6"/>
      <c r="AK21" s="6"/>
      <c r="AL21" s="7"/>
      <c r="AM21" s="18">
        <f t="shared" si="0"/>
        <v>0</v>
      </c>
    </row>
    <row r="22" spans="1:39" x14ac:dyDescent="0.25">
      <c r="A22" s="74"/>
      <c r="B22" s="41" t="s">
        <v>98</v>
      </c>
      <c r="C22" s="17"/>
      <c r="D22" s="6"/>
      <c r="E22" s="6"/>
      <c r="F22" s="7"/>
      <c r="G22" s="5"/>
      <c r="H22" s="6"/>
      <c r="I22" s="6"/>
      <c r="J22" s="7"/>
      <c r="K22" s="5"/>
      <c r="L22" s="6"/>
      <c r="M22" s="6"/>
      <c r="N22" s="7"/>
      <c r="O22" s="5"/>
      <c r="P22" s="6"/>
      <c r="Q22" s="6"/>
      <c r="R22" s="7"/>
      <c r="S22" s="5"/>
      <c r="T22" s="6"/>
      <c r="U22" s="6"/>
      <c r="V22" s="7"/>
      <c r="W22" s="5"/>
      <c r="X22" s="6"/>
      <c r="Y22" s="6"/>
      <c r="Z22" s="7"/>
      <c r="AA22" s="5"/>
      <c r="AB22" s="6"/>
      <c r="AC22" s="6"/>
      <c r="AD22" s="7"/>
      <c r="AE22" s="5"/>
      <c r="AF22" s="6"/>
      <c r="AG22" s="6"/>
      <c r="AH22" s="7"/>
      <c r="AI22" s="5"/>
      <c r="AJ22" s="6"/>
      <c r="AK22" s="6"/>
      <c r="AL22" s="7"/>
      <c r="AM22" s="18"/>
    </row>
    <row r="23" spans="1:39" x14ac:dyDescent="0.25">
      <c r="A23" s="74"/>
      <c r="B23" s="41" t="s">
        <v>97</v>
      </c>
      <c r="C23" s="17"/>
      <c r="D23" s="6"/>
      <c r="E23" s="6"/>
      <c r="F23" s="7"/>
      <c r="G23" s="5"/>
      <c r="H23" s="6"/>
      <c r="I23" s="6"/>
      <c r="J23" s="7"/>
      <c r="K23" s="5"/>
      <c r="L23" s="6"/>
      <c r="M23" s="6"/>
      <c r="N23" s="7"/>
      <c r="O23" s="5"/>
      <c r="P23" s="6"/>
      <c r="Q23" s="6"/>
      <c r="R23" s="7"/>
      <c r="S23" s="5"/>
      <c r="T23" s="6"/>
      <c r="U23" s="6"/>
      <c r="V23" s="7"/>
      <c r="W23" s="5"/>
      <c r="X23" s="6"/>
      <c r="Y23" s="6"/>
      <c r="Z23" s="7"/>
      <c r="AA23" s="5"/>
      <c r="AB23" s="6"/>
      <c r="AC23" s="6"/>
      <c r="AD23" s="7"/>
      <c r="AE23" s="5"/>
      <c r="AF23" s="6"/>
      <c r="AG23" s="6"/>
      <c r="AH23" s="7"/>
      <c r="AI23" s="5"/>
      <c r="AJ23" s="6"/>
      <c r="AK23" s="6"/>
      <c r="AL23" s="7"/>
      <c r="AM23" s="18">
        <f t="shared" si="0"/>
        <v>0</v>
      </c>
    </row>
    <row r="24" spans="1:39" ht="15.75" thickBot="1" x14ac:dyDescent="0.3">
      <c r="A24" s="75"/>
      <c r="B24" s="4" t="s">
        <v>8</v>
      </c>
      <c r="C24" s="28"/>
      <c r="D24" s="9"/>
      <c r="E24" s="9"/>
      <c r="F24" s="10"/>
      <c r="G24" s="8"/>
      <c r="H24" s="9"/>
      <c r="I24" s="9"/>
      <c r="J24" s="10"/>
      <c r="K24" s="8"/>
      <c r="L24" s="9"/>
      <c r="M24" s="9"/>
      <c r="N24" s="10"/>
      <c r="O24" s="8"/>
      <c r="P24" s="9">
        <f>SUM(P12:P23)</f>
        <v>0</v>
      </c>
      <c r="Q24" s="9">
        <f t="shared" ref="Q24:AL24" si="1">SUM(Q12:Q23)</f>
        <v>0</v>
      </c>
      <c r="R24" s="9">
        <f t="shared" si="1"/>
        <v>0</v>
      </c>
      <c r="S24" s="9">
        <f t="shared" si="1"/>
        <v>0</v>
      </c>
      <c r="T24" s="9">
        <f t="shared" si="1"/>
        <v>0</v>
      </c>
      <c r="U24" s="9">
        <f t="shared" si="1"/>
        <v>0</v>
      </c>
      <c r="V24" s="9">
        <f t="shared" si="1"/>
        <v>0</v>
      </c>
      <c r="W24" s="9">
        <f t="shared" si="1"/>
        <v>0</v>
      </c>
      <c r="X24" s="9">
        <f t="shared" si="1"/>
        <v>0</v>
      </c>
      <c r="Y24" s="9">
        <f t="shared" si="1"/>
        <v>0</v>
      </c>
      <c r="Z24" s="9">
        <f t="shared" si="1"/>
        <v>0</v>
      </c>
      <c r="AA24" s="9">
        <f t="shared" si="1"/>
        <v>0</v>
      </c>
      <c r="AB24" s="9">
        <f t="shared" si="1"/>
        <v>0</v>
      </c>
      <c r="AC24" s="9">
        <f t="shared" si="1"/>
        <v>0</v>
      </c>
      <c r="AD24" s="9">
        <f t="shared" si="1"/>
        <v>0</v>
      </c>
      <c r="AE24" s="9">
        <f t="shared" si="1"/>
        <v>0</v>
      </c>
      <c r="AF24" s="9">
        <f t="shared" si="1"/>
        <v>0</v>
      </c>
      <c r="AG24" s="9">
        <f t="shared" si="1"/>
        <v>0</v>
      </c>
      <c r="AH24" s="9">
        <f t="shared" si="1"/>
        <v>0</v>
      </c>
      <c r="AI24" s="9">
        <f t="shared" si="1"/>
        <v>0</v>
      </c>
      <c r="AJ24" s="9">
        <f t="shared" si="1"/>
        <v>0</v>
      </c>
      <c r="AK24" s="9">
        <f t="shared" si="1"/>
        <v>0</v>
      </c>
      <c r="AL24" s="9">
        <f t="shared" si="1"/>
        <v>0</v>
      </c>
      <c r="AM24" s="29">
        <f t="shared" si="0"/>
        <v>0</v>
      </c>
    </row>
    <row r="25" spans="1:39" x14ac:dyDescent="0.25">
      <c r="A25" s="73" t="s">
        <v>10</v>
      </c>
      <c r="B25" s="49" t="s">
        <v>99</v>
      </c>
      <c r="C25" s="30"/>
      <c r="D25" s="31"/>
      <c r="E25" s="31"/>
      <c r="F25" s="32"/>
      <c r="G25" s="33"/>
      <c r="H25" s="31"/>
      <c r="I25" s="31"/>
      <c r="J25" s="32"/>
      <c r="K25" s="33"/>
      <c r="L25" s="31"/>
      <c r="M25" s="31"/>
      <c r="N25" s="32"/>
      <c r="O25" s="33"/>
      <c r="P25" s="31"/>
      <c r="Q25" s="31"/>
      <c r="R25" s="32"/>
      <c r="S25" s="33"/>
      <c r="T25" s="31"/>
      <c r="U25" s="31"/>
      <c r="V25" s="32"/>
      <c r="W25" s="33"/>
      <c r="X25" s="31"/>
      <c r="Y25" s="31"/>
      <c r="Z25" s="36">
        <v>82</v>
      </c>
      <c r="AA25" s="30">
        <v>110</v>
      </c>
      <c r="AB25" s="31">
        <v>110.50923959961381</v>
      </c>
      <c r="AC25" s="31"/>
      <c r="AD25" s="32"/>
      <c r="AE25" s="33"/>
      <c r="AF25" s="31"/>
      <c r="AG25" s="31"/>
      <c r="AH25" s="32"/>
      <c r="AI25" s="33"/>
      <c r="AJ25" s="31"/>
      <c r="AK25" s="31"/>
      <c r="AL25" s="32"/>
      <c r="AM25" s="34">
        <f t="shared" si="0"/>
        <v>302.50923959961381</v>
      </c>
    </row>
    <row r="26" spans="1:39" x14ac:dyDescent="0.25">
      <c r="A26" s="74"/>
      <c r="B26" s="41" t="s">
        <v>87</v>
      </c>
      <c r="C26" s="17"/>
      <c r="D26" s="6"/>
      <c r="E26" s="6"/>
      <c r="F26" s="7"/>
      <c r="G26" s="5"/>
      <c r="H26" s="6"/>
      <c r="I26" s="6"/>
      <c r="J26" s="7"/>
      <c r="K26" s="5"/>
      <c r="L26" s="6"/>
      <c r="M26" s="6"/>
      <c r="N26" s="7"/>
      <c r="O26" s="5"/>
      <c r="P26" s="6"/>
      <c r="Q26" s="6"/>
      <c r="R26" s="7"/>
      <c r="S26" s="5"/>
      <c r="T26" s="6"/>
      <c r="U26" s="6"/>
      <c r="V26" s="7"/>
      <c r="W26" s="5"/>
      <c r="X26" s="6"/>
      <c r="Y26" s="6"/>
      <c r="Z26" s="7">
        <v>6298.5121999999992</v>
      </c>
      <c r="AA26" s="5">
        <v>8551.3651000000009</v>
      </c>
      <c r="AB26" s="6">
        <v>9471.1262234429341</v>
      </c>
      <c r="AC26" s="6"/>
      <c r="AD26" s="7"/>
      <c r="AE26" s="5"/>
      <c r="AF26" s="6"/>
      <c r="AG26" s="6"/>
      <c r="AH26" s="7"/>
      <c r="AI26" s="5"/>
      <c r="AJ26" s="6"/>
      <c r="AK26" s="6"/>
      <c r="AL26" s="7"/>
      <c r="AM26" s="18">
        <f t="shared" si="0"/>
        <v>24321.003523442934</v>
      </c>
    </row>
    <row r="27" spans="1:39" x14ac:dyDescent="0.25">
      <c r="A27" s="74"/>
      <c r="B27" s="41" t="s">
        <v>88</v>
      </c>
      <c r="C27" s="17"/>
      <c r="D27" s="6"/>
      <c r="E27" s="6"/>
      <c r="F27" s="7"/>
      <c r="G27" s="5"/>
      <c r="H27" s="6"/>
      <c r="I27" s="6"/>
      <c r="J27" s="7"/>
      <c r="K27" s="5"/>
      <c r="L27" s="6"/>
      <c r="M27" s="6"/>
      <c r="N27" s="7"/>
      <c r="O27" s="5"/>
      <c r="P27" s="6"/>
      <c r="Q27" s="6"/>
      <c r="R27" s="7"/>
      <c r="S27" s="5"/>
      <c r="T27" s="6"/>
      <c r="U27" s="6"/>
      <c r="V27" s="7"/>
      <c r="W27" s="5"/>
      <c r="X27" s="6"/>
      <c r="Y27" s="6"/>
      <c r="Z27" s="7">
        <v>3165.6322317199997</v>
      </c>
      <c r="AA27" s="5">
        <v>4297.9160992600009</v>
      </c>
      <c r="AB27" s="6">
        <v>4760.1880399024194</v>
      </c>
      <c r="AC27" s="6"/>
      <c r="AD27" s="7"/>
      <c r="AE27" s="5"/>
      <c r="AF27" s="6"/>
      <c r="AG27" s="6"/>
      <c r="AH27" s="7"/>
      <c r="AI27" s="5"/>
      <c r="AJ27" s="6"/>
      <c r="AK27" s="6"/>
      <c r="AL27" s="7"/>
      <c r="AM27" s="18">
        <f t="shared" si="0"/>
        <v>12223.73637088242</v>
      </c>
    </row>
    <row r="28" spans="1:39" x14ac:dyDescent="0.25">
      <c r="A28" s="74"/>
      <c r="B28" s="41" t="s">
        <v>89</v>
      </c>
      <c r="C28" s="17"/>
      <c r="D28" s="6"/>
      <c r="E28" s="6"/>
      <c r="F28" s="7"/>
      <c r="G28" s="5"/>
      <c r="H28" s="6"/>
      <c r="I28" s="6"/>
      <c r="J28" s="7"/>
      <c r="K28" s="5"/>
      <c r="L28" s="6"/>
      <c r="M28" s="6"/>
      <c r="N28" s="7"/>
      <c r="O28" s="5"/>
      <c r="P28" s="6"/>
      <c r="Q28" s="6"/>
      <c r="R28" s="7"/>
      <c r="S28" s="5"/>
      <c r="T28" s="6"/>
      <c r="U28" s="6"/>
      <c r="V28" s="7"/>
      <c r="W28" s="5"/>
      <c r="X28" s="6"/>
      <c r="Y28" s="6"/>
      <c r="Z28" s="7">
        <v>0</v>
      </c>
      <c r="AA28" s="5">
        <v>0</v>
      </c>
      <c r="AB28" s="6">
        <v>0</v>
      </c>
      <c r="AC28" s="6"/>
      <c r="AD28" s="7"/>
      <c r="AE28" s="5"/>
      <c r="AF28" s="6"/>
      <c r="AG28" s="6"/>
      <c r="AH28" s="7"/>
      <c r="AI28" s="5"/>
      <c r="AJ28" s="6"/>
      <c r="AK28" s="6"/>
      <c r="AL28" s="7"/>
      <c r="AM28" s="18">
        <f t="shared" si="0"/>
        <v>0</v>
      </c>
    </row>
    <row r="29" spans="1:39" x14ac:dyDescent="0.25">
      <c r="A29" s="74"/>
      <c r="B29" s="41" t="s">
        <v>90</v>
      </c>
      <c r="C29" s="17"/>
      <c r="D29" s="6"/>
      <c r="E29" s="6"/>
      <c r="F29" s="7"/>
      <c r="G29" s="5"/>
      <c r="H29" s="6"/>
      <c r="I29" s="6"/>
      <c r="J29" s="7"/>
      <c r="K29" s="5"/>
      <c r="L29" s="6"/>
      <c r="M29" s="6"/>
      <c r="N29" s="7"/>
      <c r="O29" s="5"/>
      <c r="P29" s="6"/>
      <c r="Q29" s="6"/>
      <c r="R29" s="7"/>
      <c r="S29" s="5"/>
      <c r="T29" s="6"/>
      <c r="U29" s="6"/>
      <c r="V29" s="7"/>
      <c r="W29" s="5"/>
      <c r="X29" s="6"/>
      <c r="Y29" s="6"/>
      <c r="Z29" s="7">
        <v>100078.73981759998</v>
      </c>
      <c r="AA29" s="5">
        <v>14921.260182400019</v>
      </c>
      <c r="AB29" s="6">
        <v>0</v>
      </c>
      <c r="AC29" s="6"/>
      <c r="AD29" s="7"/>
      <c r="AE29" s="5"/>
      <c r="AF29" s="6"/>
      <c r="AG29" s="6"/>
      <c r="AH29" s="7"/>
      <c r="AI29" s="5"/>
      <c r="AJ29" s="6"/>
      <c r="AK29" s="6"/>
      <c r="AL29" s="7"/>
      <c r="AM29" s="18">
        <f t="shared" si="0"/>
        <v>115000</v>
      </c>
    </row>
    <row r="30" spans="1:39" x14ac:dyDescent="0.25">
      <c r="A30" s="74"/>
      <c r="B30" s="41" t="s">
        <v>91</v>
      </c>
      <c r="C30" s="17"/>
      <c r="D30" s="6"/>
      <c r="E30" s="6"/>
      <c r="F30" s="7"/>
      <c r="G30" s="5"/>
      <c r="H30" s="6"/>
      <c r="I30" s="6"/>
      <c r="J30" s="7"/>
      <c r="K30" s="5"/>
      <c r="L30" s="6"/>
      <c r="M30" s="6"/>
      <c r="N30" s="7"/>
      <c r="O30" s="5"/>
      <c r="P30" s="6"/>
      <c r="Q30" s="6"/>
      <c r="R30" s="7"/>
      <c r="S30" s="5"/>
      <c r="T30" s="6"/>
      <c r="U30" s="6"/>
      <c r="V30" s="7"/>
      <c r="W30" s="5"/>
      <c r="X30" s="6"/>
      <c r="Y30" s="6"/>
      <c r="Z30" s="7">
        <v>0</v>
      </c>
      <c r="AA30" s="5">
        <v>0</v>
      </c>
      <c r="AB30" s="6">
        <v>0</v>
      </c>
      <c r="AC30" s="6"/>
      <c r="AD30" s="7"/>
      <c r="AE30" s="5"/>
      <c r="AF30" s="6"/>
      <c r="AG30" s="6"/>
      <c r="AH30" s="7"/>
      <c r="AI30" s="5"/>
      <c r="AJ30" s="6"/>
      <c r="AK30" s="6"/>
      <c r="AL30" s="7"/>
      <c r="AM30" s="18">
        <f t="shared" si="0"/>
        <v>0</v>
      </c>
    </row>
    <row r="31" spans="1:39" x14ac:dyDescent="0.25">
      <c r="A31" s="74"/>
      <c r="B31" s="41" t="s">
        <v>92</v>
      </c>
      <c r="C31" s="17"/>
      <c r="D31" s="6"/>
      <c r="E31" s="6"/>
      <c r="F31" s="7"/>
      <c r="G31" s="5"/>
      <c r="H31" s="6"/>
      <c r="I31" s="6"/>
      <c r="J31" s="7"/>
      <c r="K31" s="5"/>
      <c r="L31" s="6"/>
      <c r="M31" s="6"/>
      <c r="N31" s="7"/>
      <c r="O31" s="5"/>
      <c r="P31" s="6"/>
      <c r="Q31" s="6"/>
      <c r="R31" s="7"/>
      <c r="S31" s="5"/>
      <c r="T31" s="6"/>
      <c r="U31" s="6"/>
      <c r="V31" s="7"/>
      <c r="W31" s="5"/>
      <c r="X31" s="6"/>
      <c r="Y31" s="6"/>
      <c r="Z31" s="7">
        <v>0</v>
      </c>
      <c r="AA31" s="5">
        <v>0</v>
      </c>
      <c r="AB31" s="6">
        <v>0</v>
      </c>
      <c r="AC31" s="6"/>
      <c r="AD31" s="7"/>
      <c r="AE31" s="5"/>
      <c r="AF31" s="6"/>
      <c r="AG31" s="6"/>
      <c r="AH31" s="7"/>
      <c r="AI31" s="5"/>
      <c r="AJ31" s="6"/>
      <c r="AK31" s="6"/>
      <c r="AL31" s="7"/>
      <c r="AM31" s="18">
        <f t="shared" si="0"/>
        <v>0</v>
      </c>
    </row>
    <row r="32" spans="1:39" x14ac:dyDescent="0.25">
      <c r="A32" s="74"/>
      <c r="B32" s="41" t="s">
        <v>93</v>
      </c>
      <c r="C32" s="17"/>
      <c r="D32" s="6"/>
      <c r="E32" s="6"/>
      <c r="F32" s="7"/>
      <c r="G32" s="5"/>
      <c r="H32" s="6"/>
      <c r="I32" s="6"/>
      <c r="J32" s="7"/>
      <c r="K32" s="5"/>
      <c r="L32" s="6"/>
      <c r="M32" s="6"/>
      <c r="N32" s="7"/>
      <c r="O32" s="5"/>
      <c r="P32" s="6"/>
      <c r="Q32" s="6"/>
      <c r="R32" s="7"/>
      <c r="S32" s="5"/>
      <c r="T32" s="6"/>
      <c r="U32" s="6"/>
      <c r="V32" s="7"/>
      <c r="W32" s="5"/>
      <c r="X32" s="6"/>
      <c r="Y32" s="6"/>
      <c r="Z32" s="7"/>
      <c r="AA32" s="5"/>
      <c r="AB32" s="6"/>
      <c r="AC32" s="6"/>
      <c r="AD32" s="7"/>
      <c r="AE32" s="5"/>
      <c r="AF32" s="6"/>
      <c r="AG32" s="6"/>
      <c r="AH32" s="7"/>
      <c r="AI32" s="5"/>
      <c r="AJ32" s="6"/>
      <c r="AK32" s="6"/>
      <c r="AL32" s="7"/>
      <c r="AM32" s="18"/>
    </row>
    <row r="33" spans="1:39" x14ac:dyDescent="0.25">
      <c r="A33" s="74"/>
      <c r="B33" s="41" t="s">
        <v>94</v>
      </c>
      <c r="C33" s="17"/>
      <c r="D33" s="6"/>
      <c r="E33" s="6"/>
      <c r="F33" s="7"/>
      <c r="G33" s="5"/>
      <c r="H33" s="6"/>
      <c r="I33" s="6"/>
      <c r="J33" s="7"/>
      <c r="K33" s="5"/>
      <c r="L33" s="6"/>
      <c r="M33" s="6"/>
      <c r="N33" s="7"/>
      <c r="O33" s="5"/>
      <c r="P33" s="6"/>
      <c r="Q33" s="6"/>
      <c r="R33" s="7"/>
      <c r="S33" s="5"/>
      <c r="T33" s="6"/>
      <c r="U33" s="6"/>
      <c r="V33" s="7"/>
      <c r="W33" s="5"/>
      <c r="X33" s="6"/>
      <c r="Y33" s="6"/>
      <c r="Z33" s="7"/>
      <c r="AA33" s="5"/>
      <c r="AB33" s="6"/>
      <c r="AC33" s="6"/>
      <c r="AD33" s="7"/>
      <c r="AE33" s="5"/>
      <c r="AF33" s="6"/>
      <c r="AG33" s="6"/>
      <c r="AH33" s="7"/>
      <c r="AI33" s="5"/>
      <c r="AJ33" s="6"/>
      <c r="AK33" s="6"/>
      <c r="AL33" s="7"/>
      <c r="AM33" s="18"/>
    </row>
    <row r="34" spans="1:39" x14ac:dyDescent="0.25">
      <c r="A34" s="74"/>
      <c r="B34" s="41" t="s">
        <v>95</v>
      </c>
      <c r="C34" s="17"/>
      <c r="D34" s="6"/>
      <c r="E34" s="6"/>
      <c r="F34" s="7"/>
      <c r="G34" s="5"/>
      <c r="H34" s="6"/>
      <c r="I34" s="6"/>
      <c r="J34" s="7"/>
      <c r="K34" s="5"/>
      <c r="L34" s="6"/>
      <c r="M34" s="6"/>
      <c r="N34" s="7"/>
      <c r="O34" s="5"/>
      <c r="P34" s="6"/>
      <c r="Q34" s="6"/>
      <c r="R34" s="7"/>
      <c r="S34" s="5"/>
      <c r="T34" s="6"/>
      <c r="U34" s="6"/>
      <c r="V34" s="7"/>
      <c r="W34" s="5"/>
      <c r="X34" s="6"/>
      <c r="Y34" s="6"/>
      <c r="Z34" s="7">
        <v>0</v>
      </c>
      <c r="AA34" s="5">
        <v>0</v>
      </c>
      <c r="AB34" s="6">
        <v>0</v>
      </c>
      <c r="AC34" s="6"/>
      <c r="AD34" s="7"/>
      <c r="AE34" s="5"/>
      <c r="AF34" s="6"/>
      <c r="AG34" s="6"/>
      <c r="AH34" s="7"/>
      <c r="AI34" s="5"/>
      <c r="AJ34" s="6"/>
      <c r="AK34" s="6"/>
      <c r="AL34" s="7"/>
      <c r="AM34" s="18">
        <f t="shared" si="0"/>
        <v>0</v>
      </c>
    </row>
    <row r="35" spans="1:39" x14ac:dyDescent="0.25">
      <c r="A35" s="74"/>
      <c r="B35" s="41" t="s">
        <v>96</v>
      </c>
      <c r="C35" s="17"/>
      <c r="D35" s="6"/>
      <c r="E35" s="6"/>
      <c r="F35" s="7"/>
      <c r="G35" s="5"/>
      <c r="H35" s="6"/>
      <c r="I35" s="6"/>
      <c r="J35" s="7"/>
      <c r="K35" s="5"/>
      <c r="L35" s="6"/>
      <c r="M35" s="6"/>
      <c r="N35" s="7"/>
      <c r="O35" s="5"/>
      <c r="P35" s="6"/>
      <c r="Q35" s="6"/>
      <c r="R35" s="7"/>
      <c r="S35" s="5"/>
      <c r="T35" s="6"/>
      <c r="U35" s="6"/>
      <c r="V35" s="7"/>
      <c r="W35" s="5"/>
      <c r="X35" s="6"/>
      <c r="Y35" s="6"/>
      <c r="Z35" s="7">
        <v>20000</v>
      </c>
      <c r="AA35" s="5">
        <v>0</v>
      </c>
      <c r="AB35" s="6">
        <v>0</v>
      </c>
      <c r="AC35" s="6"/>
      <c r="AD35" s="7"/>
      <c r="AE35" s="5"/>
      <c r="AF35" s="6"/>
      <c r="AG35" s="6"/>
      <c r="AH35" s="7"/>
      <c r="AI35" s="5"/>
      <c r="AJ35" s="6"/>
      <c r="AK35" s="6"/>
      <c r="AL35" s="7"/>
      <c r="AM35" s="18">
        <f t="shared" si="0"/>
        <v>20000</v>
      </c>
    </row>
    <row r="36" spans="1:39" x14ac:dyDescent="0.25">
      <c r="A36" s="74"/>
      <c r="B36" s="41" t="s">
        <v>98</v>
      </c>
      <c r="C36" s="17"/>
      <c r="D36" s="6"/>
      <c r="E36" s="6"/>
      <c r="F36" s="7"/>
      <c r="G36" s="5"/>
      <c r="H36" s="6"/>
      <c r="I36" s="6"/>
      <c r="J36" s="7"/>
      <c r="K36" s="5"/>
      <c r="L36" s="6"/>
      <c r="M36" s="6"/>
      <c r="N36" s="7"/>
      <c r="O36" s="5"/>
      <c r="P36" s="6"/>
      <c r="Q36" s="6"/>
      <c r="R36" s="7"/>
      <c r="S36" s="5"/>
      <c r="T36" s="6"/>
      <c r="U36" s="6"/>
      <c r="V36" s="7"/>
      <c r="W36" s="5"/>
      <c r="X36" s="6"/>
      <c r="Y36" s="6"/>
      <c r="Z36" s="7">
        <v>2932.3070766556793</v>
      </c>
      <c r="AA36" s="5">
        <v>437.19292334432055</v>
      </c>
      <c r="AB36" s="6">
        <v>0</v>
      </c>
      <c r="AC36" s="6"/>
      <c r="AD36" s="7"/>
      <c r="AE36" s="5"/>
      <c r="AF36" s="6"/>
      <c r="AG36" s="6"/>
      <c r="AH36" s="7"/>
      <c r="AI36" s="5"/>
      <c r="AJ36" s="6"/>
      <c r="AK36" s="6"/>
      <c r="AL36" s="7"/>
      <c r="AM36" s="18">
        <f t="shared" si="0"/>
        <v>3369.5</v>
      </c>
    </row>
    <row r="37" spans="1:39" x14ac:dyDescent="0.25">
      <c r="A37" s="74"/>
      <c r="B37" s="41" t="s">
        <v>97</v>
      </c>
      <c r="C37" s="17"/>
      <c r="D37" s="6"/>
      <c r="E37" s="6"/>
      <c r="F37" s="7"/>
      <c r="G37" s="5"/>
      <c r="H37" s="6"/>
      <c r="I37" s="6"/>
      <c r="J37" s="7"/>
      <c r="K37" s="5"/>
      <c r="L37" s="6"/>
      <c r="M37" s="6"/>
      <c r="N37" s="7"/>
      <c r="O37" s="5"/>
      <c r="P37" s="6"/>
      <c r="Q37" s="6"/>
      <c r="R37" s="7"/>
      <c r="S37" s="5"/>
      <c r="T37" s="6"/>
      <c r="U37" s="6"/>
      <c r="V37" s="7"/>
      <c r="W37" s="5"/>
      <c r="X37" s="6"/>
      <c r="Y37" s="6"/>
      <c r="Z37" s="7">
        <v>39125.437390881001</v>
      </c>
      <c r="AA37" s="5">
        <v>17062.560504497356</v>
      </c>
      <c r="AB37" s="6">
        <v>18897.762210296296</v>
      </c>
      <c r="AC37" s="6"/>
      <c r="AD37" s="7"/>
      <c r="AE37" s="5"/>
      <c r="AF37" s="6"/>
      <c r="AG37" s="6"/>
      <c r="AH37" s="7"/>
      <c r="AI37" s="5"/>
      <c r="AJ37" s="6"/>
      <c r="AK37" s="6"/>
      <c r="AL37" s="7"/>
      <c r="AM37" s="18">
        <f t="shared" si="0"/>
        <v>75085.76010567465</v>
      </c>
    </row>
    <row r="38" spans="1:39" ht="15.75" thickBot="1" x14ac:dyDescent="0.3">
      <c r="A38" s="76"/>
      <c r="B38" s="2" t="s">
        <v>8</v>
      </c>
      <c r="C38" s="20">
        <f t="shared" ref="C38:O38" si="2">SUM(C26:C37)</f>
        <v>0</v>
      </c>
      <c r="D38" s="20">
        <f t="shared" si="2"/>
        <v>0</v>
      </c>
      <c r="E38" s="20">
        <f t="shared" si="2"/>
        <v>0</v>
      </c>
      <c r="F38" s="20">
        <f t="shared" si="2"/>
        <v>0</v>
      </c>
      <c r="G38" s="20">
        <f t="shared" si="2"/>
        <v>0</v>
      </c>
      <c r="H38" s="20">
        <f t="shared" si="2"/>
        <v>0</v>
      </c>
      <c r="I38" s="20">
        <f t="shared" si="2"/>
        <v>0</v>
      </c>
      <c r="J38" s="20">
        <f t="shared" si="2"/>
        <v>0</v>
      </c>
      <c r="K38" s="20">
        <f t="shared" si="2"/>
        <v>0</v>
      </c>
      <c r="L38" s="20">
        <f t="shared" si="2"/>
        <v>0</v>
      </c>
      <c r="M38" s="20">
        <f t="shared" si="2"/>
        <v>0</v>
      </c>
      <c r="N38" s="20">
        <f t="shared" si="2"/>
        <v>0</v>
      </c>
      <c r="O38" s="20">
        <f t="shared" si="2"/>
        <v>0</v>
      </c>
      <c r="P38" s="20">
        <f>SUM(P26:P37)</f>
        <v>0</v>
      </c>
      <c r="Q38" s="20">
        <f t="shared" ref="Q38:AL38" si="3">SUM(Q26:Q37)</f>
        <v>0</v>
      </c>
      <c r="R38" s="20">
        <f t="shared" si="3"/>
        <v>0</v>
      </c>
      <c r="S38" s="20">
        <f t="shared" si="3"/>
        <v>0</v>
      </c>
      <c r="T38" s="20">
        <f t="shared" si="3"/>
        <v>0</v>
      </c>
      <c r="U38" s="20">
        <f t="shared" si="3"/>
        <v>0</v>
      </c>
      <c r="V38" s="20">
        <f t="shared" si="3"/>
        <v>0</v>
      </c>
      <c r="W38" s="20">
        <f t="shared" si="3"/>
        <v>0</v>
      </c>
      <c r="X38" s="20">
        <f t="shared" si="3"/>
        <v>0</v>
      </c>
      <c r="Y38" s="20">
        <f t="shared" si="3"/>
        <v>0</v>
      </c>
      <c r="Z38" s="20">
        <f t="shared" si="3"/>
        <v>171600.62871685668</v>
      </c>
      <c r="AA38" s="20">
        <f t="shared" si="3"/>
        <v>45270.294809501691</v>
      </c>
      <c r="AB38" s="20">
        <f t="shared" si="3"/>
        <v>33129.076473641646</v>
      </c>
      <c r="AC38" s="20">
        <f t="shared" si="3"/>
        <v>0</v>
      </c>
      <c r="AD38" s="20">
        <f t="shared" si="3"/>
        <v>0</v>
      </c>
      <c r="AE38" s="20">
        <f t="shared" si="3"/>
        <v>0</v>
      </c>
      <c r="AF38" s="20">
        <f t="shared" si="3"/>
        <v>0</v>
      </c>
      <c r="AG38" s="20">
        <f t="shared" si="3"/>
        <v>0</v>
      </c>
      <c r="AH38" s="20">
        <f t="shared" si="3"/>
        <v>0</v>
      </c>
      <c r="AI38" s="20">
        <f t="shared" si="3"/>
        <v>0</v>
      </c>
      <c r="AJ38" s="20">
        <f t="shared" si="3"/>
        <v>0</v>
      </c>
      <c r="AK38" s="20">
        <f t="shared" si="3"/>
        <v>0</v>
      </c>
      <c r="AL38" s="20">
        <f t="shared" si="3"/>
        <v>0</v>
      </c>
      <c r="AM38" s="35">
        <f t="shared" si="0"/>
        <v>250000.00000000003</v>
      </c>
    </row>
    <row r="39" spans="1:39" x14ac:dyDescent="0.25">
      <c r="A39" s="67" t="s">
        <v>12</v>
      </c>
      <c r="B39" s="39" t="s">
        <v>7</v>
      </c>
      <c r="C39" s="12"/>
      <c r="D39" s="13"/>
      <c r="E39" s="13"/>
      <c r="F39" s="14"/>
      <c r="G39" s="15"/>
      <c r="H39" s="13"/>
      <c r="I39" s="13"/>
      <c r="J39" s="14"/>
      <c r="K39" s="15"/>
      <c r="L39" s="13"/>
      <c r="M39" s="13"/>
      <c r="N39" s="14"/>
      <c r="O39" s="15"/>
      <c r="P39" s="13"/>
      <c r="Q39" s="13"/>
      <c r="R39" s="14"/>
      <c r="S39" s="15"/>
      <c r="T39" s="13"/>
      <c r="U39" s="13"/>
      <c r="V39" s="14"/>
      <c r="W39" s="15"/>
      <c r="X39" s="13"/>
      <c r="Y39" s="13">
        <v>250000</v>
      </c>
      <c r="Z39" s="14"/>
      <c r="AA39" s="15"/>
      <c r="AB39" s="13"/>
      <c r="AC39" s="13"/>
      <c r="AD39" s="14"/>
      <c r="AE39" s="15"/>
      <c r="AF39" s="13"/>
      <c r="AG39" s="13"/>
      <c r="AH39" s="14"/>
      <c r="AI39" s="15"/>
      <c r="AJ39" s="13"/>
      <c r="AK39" s="13"/>
      <c r="AL39" s="14"/>
      <c r="AM39" s="16">
        <f t="shared" si="0"/>
        <v>250000</v>
      </c>
    </row>
    <row r="40" spans="1:39" x14ac:dyDescent="0.25">
      <c r="A40" s="68"/>
      <c r="B40" s="41" t="s">
        <v>9</v>
      </c>
      <c r="C40" s="17"/>
      <c r="D40" s="6"/>
      <c r="E40" s="6"/>
      <c r="F40" s="7"/>
      <c r="G40" s="5"/>
      <c r="H40" s="6"/>
      <c r="I40" s="6"/>
      <c r="J40" s="7"/>
      <c r="K40" s="5"/>
      <c r="L40" s="6"/>
      <c r="M40" s="6"/>
      <c r="N40" s="7"/>
      <c r="O40" s="5"/>
      <c r="P40" s="6"/>
      <c r="Q40" s="6"/>
      <c r="R40" s="7"/>
      <c r="S40" s="5"/>
      <c r="T40" s="6"/>
      <c r="U40" s="6"/>
      <c r="V40" s="7"/>
      <c r="W40" s="5"/>
      <c r="X40" s="6"/>
      <c r="Y40" s="6">
        <v>250000</v>
      </c>
      <c r="Z40" s="7"/>
      <c r="AA40" s="5"/>
      <c r="AB40" s="6"/>
      <c r="AC40" s="6"/>
      <c r="AD40" s="7"/>
      <c r="AE40" s="5"/>
      <c r="AF40" s="6"/>
      <c r="AG40" s="6"/>
      <c r="AH40" s="7"/>
      <c r="AI40" s="5"/>
      <c r="AJ40" s="6"/>
      <c r="AK40" s="6"/>
      <c r="AL40" s="7"/>
      <c r="AM40" s="18">
        <f t="shared" si="0"/>
        <v>250000</v>
      </c>
    </row>
    <row r="41" spans="1:39" ht="15.75" thickBot="1" x14ac:dyDescent="0.3">
      <c r="A41" s="69"/>
      <c r="B41" s="44" t="s">
        <v>13</v>
      </c>
      <c r="C41" s="19"/>
      <c r="D41" s="20"/>
      <c r="E41" s="20"/>
      <c r="F41" s="21"/>
      <c r="G41" s="22"/>
      <c r="H41" s="20"/>
      <c r="I41" s="20"/>
      <c r="J41" s="21"/>
      <c r="K41" s="22"/>
      <c r="L41" s="20"/>
      <c r="M41" s="20"/>
      <c r="N41" s="21"/>
      <c r="O41" s="22"/>
      <c r="P41" s="20"/>
      <c r="Q41" s="20"/>
      <c r="R41" s="21"/>
      <c r="S41" s="22"/>
      <c r="T41" s="20"/>
      <c r="U41" s="20"/>
      <c r="V41" s="21"/>
      <c r="W41" s="22"/>
      <c r="X41" s="20"/>
      <c r="Y41" s="20"/>
      <c r="Z41" s="21"/>
      <c r="AA41" s="22"/>
      <c r="AB41" s="20"/>
      <c r="AC41" s="20"/>
      <c r="AD41" s="21"/>
      <c r="AE41" s="22"/>
      <c r="AF41" s="20"/>
      <c r="AG41" s="20"/>
      <c r="AH41" s="21"/>
      <c r="AI41" s="22"/>
      <c r="AJ41" s="20"/>
      <c r="AK41" s="20"/>
      <c r="AL41" s="21"/>
      <c r="AM41" s="18">
        <f t="shared" si="0"/>
        <v>0</v>
      </c>
    </row>
    <row r="43" spans="1:39" x14ac:dyDescent="0.25">
      <c r="B43" s="40" t="s">
        <v>79</v>
      </c>
    </row>
    <row r="44" spans="1:39" x14ac:dyDescent="0.25">
      <c r="B44" s="42" t="s">
        <v>80</v>
      </c>
    </row>
    <row r="45" spans="1:39" x14ac:dyDescent="0.25">
      <c r="B45" s="43" t="s">
        <v>81</v>
      </c>
    </row>
    <row r="46" spans="1:39" x14ac:dyDescent="0.25">
      <c r="A46" t="s">
        <v>83</v>
      </c>
      <c r="B46" s="45" t="s">
        <v>82</v>
      </c>
    </row>
    <row r="47" spans="1:39" x14ac:dyDescent="0.25">
      <c r="B47" s="45"/>
    </row>
    <row r="48" spans="1:39" x14ac:dyDescent="0.25">
      <c r="C48" t="s">
        <v>22</v>
      </c>
      <c r="D48" t="s">
        <v>23</v>
      </c>
      <c r="E48" t="s">
        <v>24</v>
      </c>
      <c r="F48" t="s">
        <v>25</v>
      </c>
      <c r="G48" t="s">
        <v>26</v>
      </c>
      <c r="H48" t="s">
        <v>27</v>
      </c>
      <c r="I48" t="s">
        <v>28</v>
      </c>
      <c r="J48" t="s">
        <v>29</v>
      </c>
      <c r="K48" t="s">
        <v>30</v>
      </c>
      <c r="L48" t="s">
        <v>31</v>
      </c>
      <c r="M48" t="s">
        <v>32</v>
      </c>
      <c r="N48" t="s">
        <v>33</v>
      </c>
      <c r="O48" t="s">
        <v>34</v>
      </c>
      <c r="P48" t="s">
        <v>35</v>
      </c>
      <c r="Q48" t="s">
        <v>36</v>
      </c>
      <c r="R48" t="s">
        <v>37</v>
      </c>
      <c r="S48" t="s">
        <v>38</v>
      </c>
      <c r="T48" t="s">
        <v>39</v>
      </c>
      <c r="U48" t="s">
        <v>40</v>
      </c>
      <c r="V48" t="s">
        <v>41</v>
      </c>
      <c r="W48" t="s">
        <v>42</v>
      </c>
      <c r="X48" t="s">
        <v>43</v>
      </c>
      <c r="Y48" t="s">
        <v>44</v>
      </c>
      <c r="Z48" t="s">
        <v>45</v>
      </c>
      <c r="AA48" t="s">
        <v>46</v>
      </c>
      <c r="AB48" t="s">
        <v>47</v>
      </c>
      <c r="AC48" t="s">
        <v>48</v>
      </c>
      <c r="AD48" t="s">
        <v>49</v>
      </c>
      <c r="AE48" t="s">
        <v>50</v>
      </c>
      <c r="AF48" t="s">
        <v>51</v>
      </c>
      <c r="AG48" t="s">
        <v>52</v>
      </c>
      <c r="AH48" t="s">
        <v>53</v>
      </c>
      <c r="AI48" t="s">
        <v>54</v>
      </c>
      <c r="AJ48" t="s">
        <v>55</v>
      </c>
      <c r="AK48" t="s">
        <v>56</v>
      </c>
      <c r="AL48" t="s">
        <v>57</v>
      </c>
    </row>
    <row r="49" spans="1:38" s="45" customFormat="1" x14ac:dyDescent="0.25">
      <c r="A49" s="45" t="s">
        <v>100</v>
      </c>
      <c r="B49" s="45" t="s">
        <v>16</v>
      </c>
      <c r="C49" s="47">
        <f>C39</f>
        <v>0</v>
      </c>
      <c r="D49" s="47">
        <f t="shared" ref="D49:AL49" si="4">D39+C49</f>
        <v>0</v>
      </c>
      <c r="E49" s="47">
        <f t="shared" si="4"/>
        <v>0</v>
      </c>
      <c r="F49" s="47">
        <f t="shared" si="4"/>
        <v>0</v>
      </c>
      <c r="G49" s="47">
        <f t="shared" si="4"/>
        <v>0</v>
      </c>
      <c r="H49" s="47">
        <f t="shared" si="4"/>
        <v>0</v>
      </c>
      <c r="I49" s="47">
        <f t="shared" si="4"/>
        <v>0</v>
      </c>
      <c r="J49" s="47">
        <f t="shared" si="4"/>
        <v>0</v>
      </c>
      <c r="K49" s="47">
        <f t="shared" si="4"/>
        <v>0</v>
      </c>
      <c r="L49" s="47">
        <f t="shared" si="4"/>
        <v>0</v>
      </c>
      <c r="M49" s="47">
        <f t="shared" si="4"/>
        <v>0</v>
      </c>
      <c r="N49" s="47">
        <f t="shared" si="4"/>
        <v>0</v>
      </c>
      <c r="O49" s="47">
        <f t="shared" si="4"/>
        <v>0</v>
      </c>
      <c r="P49" s="47">
        <f t="shared" si="4"/>
        <v>0</v>
      </c>
      <c r="Q49" s="47">
        <f t="shared" si="4"/>
        <v>0</v>
      </c>
      <c r="R49" s="47">
        <f t="shared" si="4"/>
        <v>0</v>
      </c>
      <c r="S49" s="47">
        <f t="shared" si="4"/>
        <v>0</v>
      </c>
      <c r="T49" s="47">
        <f t="shared" si="4"/>
        <v>0</v>
      </c>
      <c r="U49" s="47">
        <f t="shared" si="4"/>
        <v>0</v>
      </c>
      <c r="V49" s="47">
        <f t="shared" si="4"/>
        <v>0</v>
      </c>
      <c r="W49" s="47">
        <f t="shared" si="4"/>
        <v>0</v>
      </c>
      <c r="X49" s="47">
        <f t="shared" si="4"/>
        <v>0</v>
      </c>
      <c r="Y49" s="47">
        <f t="shared" si="4"/>
        <v>250000</v>
      </c>
      <c r="Z49" s="47">
        <f t="shared" si="4"/>
        <v>250000</v>
      </c>
      <c r="AA49" s="47">
        <f t="shared" si="4"/>
        <v>250000</v>
      </c>
      <c r="AB49" s="47">
        <f t="shared" si="4"/>
        <v>250000</v>
      </c>
      <c r="AC49" s="47">
        <f t="shared" si="4"/>
        <v>250000</v>
      </c>
      <c r="AD49" s="47">
        <f t="shared" si="4"/>
        <v>250000</v>
      </c>
      <c r="AE49" s="47">
        <f t="shared" si="4"/>
        <v>250000</v>
      </c>
      <c r="AF49" s="47">
        <f t="shared" si="4"/>
        <v>250000</v>
      </c>
      <c r="AG49" s="47">
        <f t="shared" si="4"/>
        <v>250000</v>
      </c>
      <c r="AH49" s="47">
        <f t="shared" si="4"/>
        <v>250000</v>
      </c>
      <c r="AI49" s="47">
        <f t="shared" si="4"/>
        <v>250000</v>
      </c>
      <c r="AJ49" s="47">
        <f t="shared" si="4"/>
        <v>250000</v>
      </c>
      <c r="AK49" s="47">
        <f t="shared" si="4"/>
        <v>250000</v>
      </c>
      <c r="AL49" s="47">
        <f t="shared" si="4"/>
        <v>250000</v>
      </c>
    </row>
    <row r="50" spans="1:38" s="45" customFormat="1" x14ac:dyDescent="0.25">
      <c r="B50" s="45" t="s">
        <v>17</v>
      </c>
      <c r="C50" s="47">
        <f>C40</f>
        <v>0</v>
      </c>
      <c r="D50" s="47">
        <f t="shared" ref="D50:AL50" si="5">D40+C50</f>
        <v>0</v>
      </c>
      <c r="E50" s="47">
        <f t="shared" si="5"/>
        <v>0</v>
      </c>
      <c r="F50" s="47">
        <f t="shared" si="5"/>
        <v>0</v>
      </c>
      <c r="G50" s="47">
        <f t="shared" si="5"/>
        <v>0</v>
      </c>
      <c r="H50" s="47">
        <f t="shared" si="5"/>
        <v>0</v>
      </c>
      <c r="I50" s="47">
        <f t="shared" si="5"/>
        <v>0</v>
      </c>
      <c r="J50" s="47">
        <f t="shared" si="5"/>
        <v>0</v>
      </c>
      <c r="K50" s="47">
        <f t="shared" si="5"/>
        <v>0</v>
      </c>
      <c r="L50" s="47">
        <f t="shared" si="5"/>
        <v>0</v>
      </c>
      <c r="M50" s="47">
        <f t="shared" si="5"/>
        <v>0</v>
      </c>
      <c r="N50" s="47">
        <f t="shared" si="5"/>
        <v>0</v>
      </c>
      <c r="O50" s="47">
        <f t="shared" si="5"/>
        <v>0</v>
      </c>
      <c r="P50" s="47">
        <f t="shared" si="5"/>
        <v>0</v>
      </c>
      <c r="Q50" s="47">
        <f t="shared" si="5"/>
        <v>0</v>
      </c>
      <c r="R50" s="47">
        <f t="shared" si="5"/>
        <v>0</v>
      </c>
      <c r="S50" s="47">
        <f t="shared" si="5"/>
        <v>0</v>
      </c>
      <c r="T50" s="47">
        <f t="shared" si="5"/>
        <v>0</v>
      </c>
      <c r="U50" s="47">
        <f t="shared" si="5"/>
        <v>0</v>
      </c>
      <c r="V50" s="47">
        <f t="shared" si="5"/>
        <v>0</v>
      </c>
      <c r="W50" s="47">
        <f t="shared" si="5"/>
        <v>0</v>
      </c>
      <c r="X50" s="47">
        <f t="shared" si="5"/>
        <v>0</v>
      </c>
      <c r="Y50" s="47">
        <f t="shared" si="5"/>
        <v>250000</v>
      </c>
      <c r="Z50" s="47">
        <f t="shared" si="5"/>
        <v>250000</v>
      </c>
      <c r="AA50" s="47">
        <f t="shared" si="5"/>
        <v>250000</v>
      </c>
      <c r="AB50" s="47">
        <f t="shared" si="5"/>
        <v>250000</v>
      </c>
      <c r="AC50" s="47">
        <f t="shared" si="5"/>
        <v>250000</v>
      </c>
      <c r="AD50" s="47">
        <f t="shared" si="5"/>
        <v>250000</v>
      </c>
      <c r="AE50" s="47">
        <f t="shared" si="5"/>
        <v>250000</v>
      </c>
      <c r="AF50" s="47">
        <f t="shared" si="5"/>
        <v>250000</v>
      </c>
      <c r="AG50" s="47">
        <f t="shared" si="5"/>
        <v>250000</v>
      </c>
      <c r="AH50" s="47">
        <f t="shared" si="5"/>
        <v>250000</v>
      </c>
      <c r="AI50" s="47">
        <f t="shared" si="5"/>
        <v>250000</v>
      </c>
      <c r="AJ50" s="47">
        <f t="shared" si="5"/>
        <v>250000</v>
      </c>
      <c r="AK50" s="47">
        <f t="shared" si="5"/>
        <v>250000</v>
      </c>
      <c r="AL50" s="47">
        <f t="shared" si="5"/>
        <v>250000</v>
      </c>
    </row>
    <row r="51" spans="1:38" s="45" customFormat="1" x14ac:dyDescent="0.25">
      <c r="B51" s="45" t="s">
        <v>18</v>
      </c>
      <c r="C51" s="47">
        <f>C41</f>
        <v>0</v>
      </c>
      <c r="D51" s="47">
        <f t="shared" ref="D51:AL51" si="6">D41+C51</f>
        <v>0</v>
      </c>
      <c r="E51" s="47">
        <f t="shared" si="6"/>
        <v>0</v>
      </c>
      <c r="F51" s="47">
        <f t="shared" si="6"/>
        <v>0</v>
      </c>
      <c r="G51" s="47">
        <f t="shared" si="6"/>
        <v>0</v>
      </c>
      <c r="H51" s="47">
        <f t="shared" si="6"/>
        <v>0</v>
      </c>
      <c r="I51" s="47">
        <f t="shared" si="6"/>
        <v>0</v>
      </c>
      <c r="J51" s="47">
        <f t="shared" si="6"/>
        <v>0</v>
      </c>
      <c r="K51" s="47">
        <f t="shared" si="6"/>
        <v>0</v>
      </c>
      <c r="L51" s="47">
        <f t="shared" si="6"/>
        <v>0</v>
      </c>
      <c r="M51" s="47">
        <f t="shared" si="6"/>
        <v>0</v>
      </c>
      <c r="N51" s="47">
        <f t="shared" si="6"/>
        <v>0</v>
      </c>
      <c r="O51" s="47">
        <f t="shared" si="6"/>
        <v>0</v>
      </c>
      <c r="P51" s="47">
        <f t="shared" si="6"/>
        <v>0</v>
      </c>
      <c r="Q51" s="47">
        <f t="shared" si="6"/>
        <v>0</v>
      </c>
      <c r="R51" s="47">
        <f t="shared" si="6"/>
        <v>0</v>
      </c>
      <c r="S51" s="47">
        <f t="shared" si="6"/>
        <v>0</v>
      </c>
      <c r="T51" s="47">
        <f t="shared" si="6"/>
        <v>0</v>
      </c>
      <c r="U51" s="47">
        <f t="shared" si="6"/>
        <v>0</v>
      </c>
      <c r="V51" s="47">
        <f t="shared" si="6"/>
        <v>0</v>
      </c>
      <c r="W51" s="47">
        <f t="shared" si="6"/>
        <v>0</v>
      </c>
      <c r="X51" s="47">
        <f t="shared" si="6"/>
        <v>0</v>
      </c>
      <c r="Y51" s="47">
        <f t="shared" si="6"/>
        <v>0</v>
      </c>
      <c r="Z51" s="47">
        <f t="shared" si="6"/>
        <v>0</v>
      </c>
      <c r="AA51" s="47">
        <f t="shared" si="6"/>
        <v>0</v>
      </c>
      <c r="AB51" s="47">
        <f t="shared" si="6"/>
        <v>0</v>
      </c>
      <c r="AC51" s="47">
        <f t="shared" si="6"/>
        <v>0</v>
      </c>
      <c r="AD51" s="47">
        <f t="shared" si="6"/>
        <v>0</v>
      </c>
      <c r="AE51" s="47">
        <f t="shared" si="6"/>
        <v>0</v>
      </c>
      <c r="AF51" s="47">
        <f t="shared" si="6"/>
        <v>0</v>
      </c>
      <c r="AG51" s="47">
        <f t="shared" si="6"/>
        <v>0</v>
      </c>
      <c r="AH51" s="47">
        <f t="shared" si="6"/>
        <v>0</v>
      </c>
      <c r="AI51" s="47">
        <f t="shared" si="6"/>
        <v>0</v>
      </c>
      <c r="AJ51" s="47">
        <f t="shared" si="6"/>
        <v>0</v>
      </c>
      <c r="AK51" s="47">
        <f t="shared" si="6"/>
        <v>0</v>
      </c>
      <c r="AL51" s="47">
        <f t="shared" si="6"/>
        <v>0</v>
      </c>
    </row>
    <row r="52" spans="1:38" s="45" customFormat="1" x14ac:dyDescent="0.25">
      <c r="B52" s="45" t="s">
        <v>19</v>
      </c>
      <c r="C52" s="47">
        <f>C38</f>
        <v>0</v>
      </c>
      <c r="D52" s="47">
        <f>D38+C52</f>
        <v>0</v>
      </c>
      <c r="E52" s="47">
        <f t="shared" ref="E52:AL52" si="7">E38+D52</f>
        <v>0</v>
      </c>
      <c r="F52" s="47">
        <f t="shared" si="7"/>
        <v>0</v>
      </c>
      <c r="G52" s="47">
        <f t="shared" si="7"/>
        <v>0</v>
      </c>
      <c r="H52" s="47">
        <f t="shared" si="7"/>
        <v>0</v>
      </c>
      <c r="I52" s="47">
        <f t="shared" si="7"/>
        <v>0</v>
      </c>
      <c r="J52" s="47">
        <f t="shared" si="7"/>
        <v>0</v>
      </c>
      <c r="K52" s="47">
        <f t="shared" si="7"/>
        <v>0</v>
      </c>
      <c r="L52" s="47">
        <f t="shared" si="7"/>
        <v>0</v>
      </c>
      <c r="M52" s="47">
        <f t="shared" si="7"/>
        <v>0</v>
      </c>
      <c r="N52" s="47">
        <f t="shared" si="7"/>
        <v>0</v>
      </c>
      <c r="O52" s="47">
        <f t="shared" si="7"/>
        <v>0</v>
      </c>
      <c r="P52" s="47">
        <f t="shared" si="7"/>
        <v>0</v>
      </c>
      <c r="Q52" s="47">
        <f t="shared" si="7"/>
        <v>0</v>
      </c>
      <c r="R52" s="47">
        <f t="shared" si="7"/>
        <v>0</v>
      </c>
      <c r="S52" s="47">
        <f t="shared" si="7"/>
        <v>0</v>
      </c>
      <c r="T52" s="47">
        <f t="shared" si="7"/>
        <v>0</v>
      </c>
      <c r="U52" s="47">
        <f t="shared" si="7"/>
        <v>0</v>
      </c>
      <c r="V52" s="47">
        <f t="shared" si="7"/>
        <v>0</v>
      </c>
      <c r="W52" s="47">
        <f t="shared" si="7"/>
        <v>0</v>
      </c>
      <c r="X52" s="47">
        <f t="shared" si="7"/>
        <v>0</v>
      </c>
      <c r="Y52" s="47">
        <f t="shared" si="7"/>
        <v>0</v>
      </c>
      <c r="Z52" s="47">
        <f t="shared" si="7"/>
        <v>171600.62871685668</v>
      </c>
      <c r="AA52" s="47">
        <f t="shared" si="7"/>
        <v>216870.92352635838</v>
      </c>
      <c r="AB52" s="47">
        <f t="shared" si="7"/>
        <v>250000.00000000003</v>
      </c>
      <c r="AC52" s="47">
        <f t="shared" si="7"/>
        <v>250000.00000000003</v>
      </c>
      <c r="AD52" s="47">
        <f t="shared" si="7"/>
        <v>250000.00000000003</v>
      </c>
      <c r="AE52" s="47">
        <f t="shared" si="7"/>
        <v>250000.00000000003</v>
      </c>
      <c r="AF52" s="47">
        <f t="shared" si="7"/>
        <v>250000.00000000003</v>
      </c>
      <c r="AG52" s="47">
        <f t="shared" si="7"/>
        <v>250000.00000000003</v>
      </c>
      <c r="AH52" s="47">
        <f t="shared" si="7"/>
        <v>250000.00000000003</v>
      </c>
      <c r="AI52" s="47">
        <f t="shared" si="7"/>
        <v>250000.00000000003</v>
      </c>
      <c r="AJ52" s="47">
        <f t="shared" si="7"/>
        <v>250000.00000000003</v>
      </c>
      <c r="AK52" s="47">
        <f t="shared" si="7"/>
        <v>250000.00000000003</v>
      </c>
      <c r="AL52" s="47">
        <f t="shared" si="7"/>
        <v>250000.00000000003</v>
      </c>
    </row>
    <row r="53" spans="1:38" s="45" customFormat="1" x14ac:dyDescent="0.25">
      <c r="B53" s="45" t="s">
        <v>20</v>
      </c>
    </row>
    <row r="54" spans="1:38" s="45" customFormat="1" x14ac:dyDescent="0.25">
      <c r="B54" s="45" t="s">
        <v>21</v>
      </c>
      <c r="C54" s="47">
        <f>C24</f>
        <v>0</v>
      </c>
      <c r="D54" s="47">
        <f>D24+C54</f>
        <v>0</v>
      </c>
      <c r="E54" s="47">
        <f t="shared" ref="E54:AL54" si="8">E24+D54</f>
        <v>0</v>
      </c>
      <c r="F54" s="47">
        <f t="shared" si="8"/>
        <v>0</v>
      </c>
      <c r="G54" s="47">
        <f t="shared" si="8"/>
        <v>0</v>
      </c>
      <c r="H54" s="47">
        <f t="shared" si="8"/>
        <v>0</v>
      </c>
      <c r="I54" s="47">
        <f t="shared" si="8"/>
        <v>0</v>
      </c>
      <c r="J54" s="47">
        <f t="shared" si="8"/>
        <v>0</v>
      </c>
      <c r="K54" s="47">
        <f t="shared" si="8"/>
        <v>0</v>
      </c>
      <c r="L54" s="47">
        <f t="shared" si="8"/>
        <v>0</v>
      </c>
      <c r="M54" s="47">
        <f t="shared" si="8"/>
        <v>0</v>
      </c>
      <c r="N54" s="47">
        <f t="shared" si="8"/>
        <v>0</v>
      </c>
      <c r="O54" s="47">
        <f t="shared" si="8"/>
        <v>0</v>
      </c>
      <c r="P54" s="47">
        <f t="shared" si="8"/>
        <v>0</v>
      </c>
      <c r="Q54" s="47">
        <f t="shared" si="8"/>
        <v>0</v>
      </c>
      <c r="R54" s="47">
        <f t="shared" si="8"/>
        <v>0</v>
      </c>
      <c r="S54" s="47">
        <f t="shared" si="8"/>
        <v>0</v>
      </c>
      <c r="T54" s="47">
        <f t="shared" si="8"/>
        <v>0</v>
      </c>
      <c r="U54" s="47">
        <f t="shared" si="8"/>
        <v>0</v>
      </c>
      <c r="V54" s="47">
        <f t="shared" si="8"/>
        <v>0</v>
      </c>
      <c r="W54" s="47">
        <f t="shared" si="8"/>
        <v>0</v>
      </c>
      <c r="X54" s="47">
        <f t="shared" si="8"/>
        <v>0</v>
      </c>
      <c r="Y54" s="47">
        <f t="shared" si="8"/>
        <v>0</v>
      </c>
      <c r="Z54" s="47">
        <f t="shared" si="8"/>
        <v>0</v>
      </c>
      <c r="AA54" s="47">
        <f t="shared" si="8"/>
        <v>0</v>
      </c>
      <c r="AB54" s="47">
        <f t="shared" si="8"/>
        <v>0</v>
      </c>
      <c r="AC54" s="47">
        <f t="shared" si="8"/>
        <v>0</v>
      </c>
      <c r="AD54" s="47">
        <f t="shared" si="8"/>
        <v>0</v>
      </c>
      <c r="AE54" s="47">
        <f t="shared" si="8"/>
        <v>0</v>
      </c>
      <c r="AF54" s="47">
        <f t="shared" si="8"/>
        <v>0</v>
      </c>
      <c r="AG54" s="47">
        <f t="shared" si="8"/>
        <v>0</v>
      </c>
      <c r="AH54" s="47">
        <f t="shared" si="8"/>
        <v>0</v>
      </c>
      <c r="AI54" s="47">
        <f t="shared" si="8"/>
        <v>0</v>
      </c>
      <c r="AJ54" s="47">
        <f t="shared" si="8"/>
        <v>0</v>
      </c>
      <c r="AK54" s="47">
        <f t="shared" si="8"/>
        <v>0</v>
      </c>
      <c r="AL54" s="47">
        <f t="shared" si="8"/>
        <v>0</v>
      </c>
    </row>
    <row r="59" spans="1:38" x14ac:dyDescent="0.25">
      <c r="A59" s="43" t="s">
        <v>85</v>
      </c>
      <c r="B59" s="43"/>
    </row>
    <row r="60" spans="1:38" x14ac:dyDescent="0.25">
      <c r="A60" s="42" t="s">
        <v>86</v>
      </c>
      <c r="B60" s="42"/>
    </row>
    <row r="61" spans="1:38" x14ac:dyDescent="0.25">
      <c r="A61" s="48" t="s">
        <v>108</v>
      </c>
      <c r="B61" s="48"/>
    </row>
  </sheetData>
  <mergeCells count="12">
    <mergeCell ref="A39:A41"/>
    <mergeCell ref="W9:Z9"/>
    <mergeCell ref="AA9:AD9"/>
    <mergeCell ref="AE9:AH9"/>
    <mergeCell ref="AI9:AL9"/>
    <mergeCell ref="A11:A24"/>
    <mergeCell ref="A25:A38"/>
    <mergeCell ref="C9:F9"/>
    <mergeCell ref="G9:J9"/>
    <mergeCell ref="K9:N9"/>
    <mergeCell ref="O9:R9"/>
    <mergeCell ref="S9:V9"/>
  </mergeCells>
  <phoneticPr fontId="2" type="noConversion"/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9BC931-852E-4935-9C99-8294CDF7BF5B}">
          <x14:formula1>
            <xm:f>Lists!$E$2:$E$12</xm:f>
          </x14:formula1>
          <xm:sqref>B4</xm:sqref>
        </x14:dataValidation>
        <x14:dataValidation type="list" allowBlank="1" showInputMessage="1" showErrorMessage="1" xr:uid="{02C37C9D-2EC4-4327-83CC-4CE059F06AE1}">
          <x14:formula1>
            <xm:f>Lists!$C$2:$C$7</xm:f>
          </x14:formula1>
          <xm:sqref>B5</xm:sqref>
        </x14:dataValidation>
        <x14:dataValidation type="list" allowBlank="1" showInputMessage="1" showErrorMessage="1" xr:uid="{A9767B4A-87F7-43E2-A55B-B2733D6D3269}">
          <x14:formula1>
            <xm:f>Lists!$G$2:$G$5</xm:f>
          </x14:formula1>
          <xm:sqref>B6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413C4-380F-4B48-94DB-9C2C03278CE9}">
  <sheetPr codeName="Sheet7"/>
  <dimension ref="C1:G7"/>
  <sheetViews>
    <sheetView workbookViewId="0">
      <selection activeCell="G4" sqref="G4"/>
    </sheetView>
  </sheetViews>
  <sheetFormatPr defaultRowHeight="15" x14ac:dyDescent="0.25"/>
  <cols>
    <col min="3" max="3" width="10" bestFit="1" customWidth="1"/>
    <col min="5" max="5" width="13.5703125" bestFit="1" customWidth="1"/>
  </cols>
  <sheetData>
    <row r="1" spans="3:7" x14ac:dyDescent="0.25">
      <c r="C1" t="s">
        <v>67</v>
      </c>
      <c r="E1" t="s">
        <v>69</v>
      </c>
      <c r="G1" t="s">
        <v>75</v>
      </c>
    </row>
    <row r="2" spans="3:7" x14ac:dyDescent="0.25">
      <c r="C2" t="s">
        <v>63</v>
      </c>
      <c r="E2" t="s">
        <v>70</v>
      </c>
      <c r="G2" t="s">
        <v>76</v>
      </c>
    </row>
    <row r="3" spans="3:7" x14ac:dyDescent="0.25">
      <c r="C3" t="s">
        <v>64</v>
      </c>
      <c r="E3" t="s">
        <v>71</v>
      </c>
      <c r="G3" t="s">
        <v>77</v>
      </c>
    </row>
    <row r="4" spans="3:7" x14ac:dyDescent="0.25">
      <c r="C4" t="s">
        <v>65</v>
      </c>
      <c r="E4" t="s">
        <v>72</v>
      </c>
    </row>
    <row r="5" spans="3:7" x14ac:dyDescent="0.25">
      <c r="C5" t="s">
        <v>66</v>
      </c>
      <c r="E5" t="s">
        <v>73</v>
      </c>
    </row>
    <row r="6" spans="3:7" x14ac:dyDescent="0.25">
      <c r="C6" t="s">
        <v>62</v>
      </c>
      <c r="E6" t="s">
        <v>74</v>
      </c>
    </row>
    <row r="7" spans="3:7" x14ac:dyDescent="0.25">
      <c r="C7" t="s">
        <v>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EAC79F2684F7448854CC9B5AFF6434" ma:contentTypeVersion="10" ma:contentTypeDescription="Create a new document." ma:contentTypeScope="" ma:versionID="ce71027b306e4f40bf931edff8bc2d69">
  <xsd:schema xmlns:xsd="http://www.w3.org/2001/XMLSchema" xmlns:xs="http://www.w3.org/2001/XMLSchema" xmlns:p="http://schemas.microsoft.com/office/2006/metadata/properties" xmlns:ns3="d15744a9-1c59-434f-99b2-781f73409a22" targetNamespace="http://schemas.microsoft.com/office/2006/metadata/properties" ma:root="true" ma:fieldsID="75df228152b961595f19393350e98e96" ns3:_="">
    <xsd:import namespace="d15744a9-1c59-434f-99b2-781f73409a2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744a9-1c59-434f-99b2-781f73409a2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15744a9-1c59-434f-99b2-781f73409a22" xsi:nil="true"/>
  </documentManagement>
</p:properties>
</file>

<file path=customXml/itemProps1.xml><?xml version="1.0" encoding="utf-8"?>
<ds:datastoreItem xmlns:ds="http://schemas.openxmlformats.org/officeDocument/2006/customXml" ds:itemID="{33C4E684-1190-4156-BC58-9DA7B3ECEDB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FA8D955-19B7-4B6F-8DFB-BC3522BC75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5744a9-1c59-434f-99b2-781f73409a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1A20C0-83D5-4177-8694-F687AC00DA52}">
  <ds:schemaRefs>
    <ds:schemaRef ds:uri="http://purl.org/dc/elements/1.1/"/>
    <ds:schemaRef ds:uri="http://purl.org/dc/dcmitype/"/>
    <ds:schemaRef ds:uri="d15744a9-1c59-434f-99b2-781f73409a22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New report</vt:lpstr>
      <vt:lpstr>ADP 62</vt:lpstr>
      <vt:lpstr>Sheet4</vt:lpstr>
      <vt:lpstr>Sheet3</vt:lpstr>
      <vt:lpstr>Sheet2</vt:lpstr>
      <vt:lpstr>Sheet1</vt:lpstr>
      <vt:lpstr>ADP 33</vt:lpstr>
      <vt:lpstr>ADP 116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BERGMAN, JEFFREY D CIV USAF AFMC AFRL/RXME</dc:creator>
  <cp:lastModifiedBy>Bernard Calambunao</cp:lastModifiedBy>
  <dcterms:created xsi:type="dcterms:W3CDTF">2025-12-16T19:28:58Z</dcterms:created>
  <dcterms:modified xsi:type="dcterms:W3CDTF">2026-02-26T21:45:34Z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0x010100EAEAC79F2684F7448854CC9B5AFF6434</vt:lpwstr>
  </property>
</Properties>
</file>