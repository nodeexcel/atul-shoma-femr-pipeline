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DP001" sheetId="1" state="visible" r:id="rId1"/>
    <sheet name="1ADP002" sheetId="2" state="visible" r:id="rId2"/>
    <sheet name="1ADP003" sheetId="3" state="visible" r:id="rId3"/>
    <sheet name="1ADP004" sheetId="4" state="visible" r:id="rId4"/>
    <sheet name="1ADP005" sheetId="5" state="visible" r:id="rId5"/>
    <sheet name="1ADP006" sheetId="6" state="visible" r:id="rId6"/>
    <sheet name="1ADP007" sheetId="7" state="visible" r:id="rId7"/>
    <sheet name="1ADP008" sheetId="8" state="visible" r:id="rId8"/>
    <sheet name="1ADP009" sheetId="9" state="visible" r:id="rId9"/>
    <sheet name="1ADP010" sheetId="10" state="visible" r:id="rId10"/>
    <sheet name="1ADP011" sheetId="11" state="visible" r:id="rId11"/>
    <sheet name="1ADP012" sheetId="12" state="visible" r:id="rId12"/>
    <sheet name="1ADP013" sheetId="13" state="visible" r:id="rId13"/>
    <sheet name="1ADP014" sheetId="14" state="visible" r:id="rId14"/>
    <sheet name="1ADP015" sheetId="15" state="visible" r:id="rId15"/>
    <sheet name="1ADP016" sheetId="16" state="visible" r:id="rId16"/>
    <sheet name="1ADP017" sheetId="17" state="visible" r:id="rId17"/>
    <sheet name="1ADP018" sheetId="18" state="visible" r:id="rId18"/>
    <sheet name="1ADP019" sheetId="19" state="visible" r:id="rId19"/>
    <sheet name="1ADP020" sheetId="20" state="visible" r:id="rId20"/>
    <sheet name="1ADP021" sheetId="21" state="visible" r:id="rId21"/>
    <sheet name="1ADP022" sheetId="22" state="visible" r:id="rId22"/>
    <sheet name="1ADP023" sheetId="23" state="visible" r:id="rId23"/>
    <sheet name="1ADP024" sheetId="24" state="visible" r:id="rId24"/>
    <sheet name="1ADP025" sheetId="25" state="visible" r:id="rId25"/>
    <sheet name="1ADP026" sheetId="26" state="visible" r:id="rId26"/>
    <sheet name="1ADP027" sheetId="27" state="visible" r:id="rId27"/>
    <sheet name="1ADP028" sheetId="28" state="visible" r:id="rId28"/>
    <sheet name="1ADP029" sheetId="29" state="visible" r:id="rId29"/>
    <sheet name="1ADP030" sheetId="30" state="visible" r:id="rId30"/>
    <sheet name="1ADP031" sheetId="31" state="visible" r:id="rId31"/>
    <sheet name="1ADP032" sheetId="32" state="visible" r:id="rId32"/>
    <sheet name="1ADP034" sheetId="33" state="visible" r:id="rId33"/>
    <sheet name="1ADP035" sheetId="34" state="visible" r:id="rId34"/>
    <sheet name="1ADP036" sheetId="35" state="visible" r:id="rId35"/>
    <sheet name="1ADP037" sheetId="36" state="visible" r:id="rId36"/>
    <sheet name="1ADP038" sheetId="37" state="visible" r:id="rId37"/>
    <sheet name="1ADP039" sheetId="38" state="visible" r:id="rId38"/>
    <sheet name="1ADP040" sheetId="39" state="visible" r:id="rId39"/>
    <sheet name="1ADP041" sheetId="40" state="visible" r:id="rId40"/>
    <sheet name="1ADP042" sheetId="41" state="visible" r:id="rId41"/>
    <sheet name="1ADP043" sheetId="42" state="visible" r:id="rId42"/>
    <sheet name="1ADP044" sheetId="43" state="visible" r:id="rId43"/>
    <sheet name="1ADP045" sheetId="44" state="visible" r:id="rId44"/>
    <sheet name="1ADP046" sheetId="45" state="visible" r:id="rId45"/>
    <sheet name="1ADP047" sheetId="46" state="visible" r:id="rId46"/>
    <sheet name="1ADP048" sheetId="47" state="visible" r:id="rId47"/>
    <sheet name="1ADP049" sheetId="48" state="visible" r:id="rId48"/>
    <sheet name="1ADP050" sheetId="49" state="visible" r:id="rId49"/>
    <sheet name="1ADP051" sheetId="50" state="visible" r:id="rId50"/>
    <sheet name="1ADP052" sheetId="51" state="visible" r:id="rId51"/>
    <sheet name="1ADP053" sheetId="52" state="visible" r:id="rId52"/>
    <sheet name="1ADP054" sheetId="53" state="visible" r:id="rId53"/>
    <sheet name="1ADP055" sheetId="54" state="visible" r:id="rId54"/>
    <sheet name="1ADP056" sheetId="55" state="visible" r:id="rId55"/>
    <sheet name="1ADP057" sheetId="56" state="visible" r:id="rId56"/>
    <sheet name="1ADP058" sheetId="57" state="visible" r:id="rId57"/>
    <sheet name="1ADP059" sheetId="58" state="visible" r:id="rId58"/>
    <sheet name="1ADP060" sheetId="59" state="visible" r:id="rId59"/>
    <sheet name="1ADP061" sheetId="60" state="visible" r:id="rId60"/>
    <sheet name="1PC001" sheetId="61" state="visible" r:id="rId61"/>
    <sheet name="1PC002" sheetId="62" state="visible" r:id="rId62"/>
    <sheet name="1PC003" sheetId="63" state="visible" r:id="rId63"/>
    <sheet name="1PC004" sheetId="64" state="visible" r:id="rId64"/>
    <sheet name="1PC005" sheetId="65" state="visible" r:id="rId65"/>
    <sheet name="1PC006" sheetId="66" state="visible" r:id="rId66"/>
    <sheet name="1PC007" sheetId="67" state="visible" r:id="rId67"/>
    <sheet name="1PC008" sheetId="68" state="visible" r:id="rId68"/>
    <sheet name="1PC009" sheetId="69" state="visible" r:id="rId69"/>
    <sheet name="1PC010" sheetId="70" state="visible" r:id="rId70"/>
    <sheet name="1PC011" sheetId="71" state="visible" r:id="rId71"/>
    <sheet name="1PC012" sheetId="72" state="visible" r:id="rId72"/>
    <sheet name="1PC013" sheetId="73" state="visible" r:id="rId73"/>
    <sheet name="1PC014" sheetId="74" state="visible" r:id="rId74"/>
    <sheet name="1PC015" sheetId="75" state="visible" r:id="rId75"/>
    <sheet name="1PC016" sheetId="76" state="visible" r:id="rId76"/>
    <sheet name="1PC017" sheetId="77" state="visible" r:id="rId77"/>
    <sheet name="1PC018" sheetId="78" state="visible" r:id="rId78"/>
    <sheet name="1PC019" sheetId="79" state="visible" r:id="rId79"/>
    <sheet name="1PC020" sheetId="80" state="visible" r:id="rId80"/>
    <sheet name="1PC021" sheetId="81" state="visible" r:id="rId81"/>
    <sheet name="1PC022" sheetId="82" state="visible" r:id="rId82"/>
    <sheet name="1PC023" sheetId="83" state="visible" r:id="rId83"/>
    <sheet name="1PC024" sheetId="84" state="visible" r:id="rId84"/>
    <sheet name="1PC025" sheetId="85" state="visible" r:id="rId85"/>
    <sheet name="1PC026" sheetId="86" state="visible" r:id="rId86"/>
    <sheet name="1PC027" sheetId="87" state="visible" r:id="rId87"/>
    <sheet name="1PC028" sheetId="88" state="visible" r:id="rId88"/>
    <sheet name="1PC029" sheetId="89" state="visible" r:id="rId89"/>
    <sheet name="1PC030" sheetId="90" state="visible" r:id="rId90"/>
    <sheet name="1PC031" sheetId="91" state="visible" r:id="rId91"/>
    <sheet name="1PC032" sheetId="92" state="visible" r:id="rId92"/>
    <sheet name="1PC033" sheetId="93" state="visible" r:id="rId93"/>
    <sheet name="1PC034" sheetId="94" state="visible" r:id="rId94"/>
    <sheet name="1PC035" sheetId="95" state="visible" r:id="rId95"/>
    <sheet name="1PC036" sheetId="96" state="visible" r:id="rId96"/>
    <sheet name="1PC037" sheetId="97" state="visible" r:id="rId97"/>
    <sheet name="1PC038" sheetId="98" state="visible" r:id="rId98"/>
    <sheet name="1PC039" sheetId="99" state="visible" r:id="rId99"/>
    <sheet name="1PC040" sheetId="100" state="visible" r:id="rId100"/>
    <sheet name="1PC041" sheetId="101" state="visible" r:id="rId101"/>
    <sheet name="1PC042" sheetId="102" state="visible" r:id="rId102"/>
    <sheet name="1PC043" sheetId="103" state="visible" r:id="rId103"/>
    <sheet name="1PC044" sheetId="104" state="visible" r:id="rId104"/>
    <sheet name="1PC045" sheetId="105" state="visible" r:id="rId105"/>
    <sheet name="1PC046" sheetId="106" state="visible" r:id="rId106"/>
    <sheet name="1PC047" sheetId="107" state="visible" r:id="rId107"/>
    <sheet name="1PC048" sheetId="108" state="visible" r:id="rId108"/>
    <sheet name="1PC049" sheetId="109" state="visible" r:id="rId109"/>
    <sheet name="1PC050" sheetId="110" state="visible" r:id="rId110"/>
    <sheet name="1PC051" sheetId="111" state="visible" r:id="rId111"/>
    <sheet name="1PC052" sheetId="112" state="visible" r:id="rId112"/>
    <sheet name="1PC053" sheetId="113" state="visible" r:id="rId113"/>
    <sheet name="1PC054" sheetId="114" state="visible" r:id="rId114"/>
    <sheet name="2ADP001" sheetId="115" state="visible" r:id="rId115"/>
    <sheet name="2ADP002" sheetId="116" state="visible" r:id="rId116"/>
    <sheet name="2ADP003" sheetId="117" state="visible" r:id="rId117"/>
    <sheet name="2ADP004" sheetId="118" state="visible" r:id="rId118"/>
    <sheet name="2ADP005" sheetId="119" state="visible" r:id="rId119"/>
    <sheet name="2ADP006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charts/chart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_rels/drawing51.xml.rels><Relationships xmlns="http://schemas.openxmlformats.org/package/2006/relationships"><Relationship Type="http://schemas.openxmlformats.org/officeDocument/2006/relationships/chart" Target="/xl/charts/chart51.xml" Id="rId1" /></Relationships>
</file>

<file path=xl/drawings/_rels/drawing52.xml.rels><Relationships xmlns="http://schemas.openxmlformats.org/package/2006/relationships"><Relationship Type="http://schemas.openxmlformats.org/officeDocument/2006/relationships/chart" Target="/xl/charts/chart52.xml" Id="rId1" /></Relationships>
</file>

<file path=xl/drawings/_rels/drawing53.xml.rels><Relationships xmlns="http://schemas.openxmlformats.org/package/2006/relationships"><Relationship Type="http://schemas.openxmlformats.org/officeDocument/2006/relationships/chart" Target="/xl/charts/chart53.xml" Id="rId1" /></Relationships>
</file>

<file path=xl/drawings/_rels/drawing54.xml.rels><Relationships xmlns="http://schemas.openxmlformats.org/package/2006/relationships"><Relationship Type="http://schemas.openxmlformats.org/officeDocument/2006/relationships/chart" Target="/xl/charts/chart54.xml" Id="rId1" /></Relationships>
</file>

<file path=xl/drawings/_rels/drawing55.xml.rels><Relationships xmlns="http://schemas.openxmlformats.org/package/2006/relationships"><Relationship Type="http://schemas.openxmlformats.org/officeDocument/2006/relationships/chart" Target="/xl/charts/chart55.xml" Id="rId1" /></Relationships>
</file>

<file path=xl/drawings/_rels/drawing56.xml.rels><Relationships xmlns="http://schemas.openxmlformats.org/package/2006/relationships"><Relationship Type="http://schemas.openxmlformats.org/officeDocument/2006/relationships/chart" Target="/xl/charts/chart56.xml" Id="rId1" /></Relationships>
</file>

<file path=xl/drawings/_rels/drawing57.xml.rels><Relationships xmlns="http://schemas.openxmlformats.org/package/2006/relationships"><Relationship Type="http://schemas.openxmlformats.org/officeDocument/2006/relationships/chart" Target="/xl/charts/chart57.xml" Id="rId1" /></Relationships>
</file>

<file path=xl/drawings/_rels/drawing58.xml.rels><Relationships xmlns="http://schemas.openxmlformats.org/package/2006/relationships"><Relationship Type="http://schemas.openxmlformats.org/officeDocument/2006/relationships/chart" Target="/xl/charts/chart58.xml" Id="rId1" /></Relationships>
</file>

<file path=xl/drawings/_rels/drawing59.xml.rels><Relationships xmlns="http://schemas.openxmlformats.org/package/2006/relationships"><Relationship Type="http://schemas.openxmlformats.org/officeDocument/2006/relationships/chart" Target="/xl/charts/chart59.xml" Id="rId1" /></Relationships>
</file>

<file path=xl/drawings/_rels/drawing60.xml.rels><Relationships xmlns="http://schemas.openxmlformats.org/package/2006/relationships"><Relationship Type="http://schemas.openxmlformats.org/officeDocument/2006/relationships/chart" Target="/xl/charts/chart60.xml" Id="rId1" /></Relationships>
</file>

<file path=xl/drawings/_rels/drawing61.xml.rels><Relationships xmlns="http://schemas.openxmlformats.org/package/2006/relationships"><Relationship Type="http://schemas.openxmlformats.org/officeDocument/2006/relationships/chart" Target="/xl/charts/chart61.xml" Id="rId1" /></Relationships>
</file>

<file path=xl/drawings/_rels/drawing62.xml.rels><Relationships xmlns="http://schemas.openxmlformats.org/package/2006/relationships"><Relationship Type="http://schemas.openxmlformats.org/officeDocument/2006/relationships/chart" Target="/xl/charts/chart62.xml" Id="rId1" /></Relationships>
</file>

<file path=xl/drawings/_rels/drawing63.xml.rels><Relationships xmlns="http://schemas.openxmlformats.org/package/2006/relationships"><Relationship Type="http://schemas.openxmlformats.org/officeDocument/2006/relationships/chart" Target="/xl/charts/chart63.xml" Id="rId1" /></Relationships>
</file>

<file path=xl/drawings/_rels/drawing64.xml.rels><Relationships xmlns="http://schemas.openxmlformats.org/package/2006/relationships"><Relationship Type="http://schemas.openxmlformats.org/officeDocument/2006/relationships/chart" Target="/xl/charts/chart64.xml" Id="rId1" /></Relationships>
</file>

<file path=xl/drawings/_rels/drawing65.xml.rels><Relationships xmlns="http://schemas.openxmlformats.org/package/2006/relationships"><Relationship Type="http://schemas.openxmlformats.org/officeDocument/2006/relationships/chart" Target="/xl/charts/chart65.xml" Id="rId1" /></Relationships>
</file>

<file path=xl/drawings/_rels/drawing66.xml.rels><Relationships xmlns="http://schemas.openxmlformats.org/package/2006/relationships"><Relationship Type="http://schemas.openxmlformats.org/officeDocument/2006/relationships/chart" Target="/xl/charts/chart66.xml" Id="rId1" /></Relationships>
</file>

<file path=xl/drawings/_rels/drawing67.xml.rels><Relationships xmlns="http://schemas.openxmlformats.org/package/2006/relationships"><Relationship Type="http://schemas.openxmlformats.org/officeDocument/2006/relationships/chart" Target="/xl/charts/chart67.xml" Id="rId1" /></Relationships>
</file>

<file path=xl/drawings/_rels/drawing68.xml.rels><Relationships xmlns="http://schemas.openxmlformats.org/package/2006/relationships"><Relationship Type="http://schemas.openxmlformats.org/officeDocument/2006/relationships/chart" Target="/xl/charts/chart68.xml" Id="rId1" /></Relationships>
</file>

<file path=xl/drawings/_rels/drawing69.xml.rels><Relationships xmlns="http://schemas.openxmlformats.org/package/2006/relationships"><Relationship Type="http://schemas.openxmlformats.org/officeDocument/2006/relationships/chart" Target="/xl/charts/chart69.xml" Id="rId1" /></Relationships>
</file>

<file path=xl/drawings/_rels/drawing70.xml.rels><Relationships xmlns="http://schemas.openxmlformats.org/package/2006/relationships"><Relationship Type="http://schemas.openxmlformats.org/officeDocument/2006/relationships/chart" Target="/xl/charts/chart70.xml" Id="rId1" /></Relationships>
</file>

<file path=xl/drawings/_rels/drawing71.xml.rels><Relationships xmlns="http://schemas.openxmlformats.org/package/2006/relationships"><Relationship Type="http://schemas.openxmlformats.org/officeDocument/2006/relationships/chart" Target="/xl/charts/chart71.xml" Id="rId1" /></Relationships>
</file>

<file path=xl/drawings/_rels/drawing72.xml.rels><Relationships xmlns="http://schemas.openxmlformats.org/package/2006/relationships"><Relationship Type="http://schemas.openxmlformats.org/officeDocument/2006/relationships/chart" Target="/xl/charts/chart72.xml" Id="rId1" /></Relationships>
</file>

<file path=xl/drawings/_rels/drawing73.xml.rels><Relationships xmlns="http://schemas.openxmlformats.org/package/2006/relationships"><Relationship Type="http://schemas.openxmlformats.org/officeDocument/2006/relationships/chart" Target="/xl/charts/chart73.xml" Id="rId1" /></Relationships>
</file>

<file path=xl/drawings/_rels/drawing74.xml.rels><Relationships xmlns="http://schemas.openxmlformats.org/package/2006/relationships"><Relationship Type="http://schemas.openxmlformats.org/officeDocument/2006/relationships/chart" Target="/xl/charts/chart74.xml" Id="rId1" /></Relationships>
</file>

<file path=xl/drawings/_rels/drawing75.xml.rels><Relationships xmlns="http://schemas.openxmlformats.org/package/2006/relationships"><Relationship Type="http://schemas.openxmlformats.org/officeDocument/2006/relationships/chart" Target="/xl/charts/chart75.xml" Id="rId1" /></Relationships>
</file>

<file path=xl/drawings/_rels/drawing76.xml.rels><Relationships xmlns="http://schemas.openxmlformats.org/package/2006/relationships"><Relationship Type="http://schemas.openxmlformats.org/officeDocument/2006/relationships/chart" Target="/xl/charts/chart76.xml" Id="rId1" /></Relationships>
</file>

<file path=xl/drawings/_rels/drawing77.xml.rels><Relationships xmlns="http://schemas.openxmlformats.org/package/2006/relationships"><Relationship Type="http://schemas.openxmlformats.org/officeDocument/2006/relationships/chart" Target="/xl/charts/chart77.xml" Id="rId1" /></Relationships>
</file>

<file path=xl/drawings/_rels/drawing78.xml.rels><Relationships xmlns="http://schemas.openxmlformats.org/package/2006/relationships"><Relationship Type="http://schemas.openxmlformats.org/officeDocument/2006/relationships/chart" Target="/xl/charts/chart78.xml" Id="rId1" /></Relationships>
</file>

<file path=xl/drawings/_rels/drawing79.xml.rels><Relationships xmlns="http://schemas.openxmlformats.org/package/2006/relationships"><Relationship Type="http://schemas.openxmlformats.org/officeDocument/2006/relationships/chart" Target="/xl/charts/chart79.xml" Id="rId1" /></Relationships>
</file>

<file path=xl/drawings/_rels/drawing80.xml.rels><Relationships xmlns="http://schemas.openxmlformats.org/package/2006/relationships"><Relationship Type="http://schemas.openxmlformats.org/officeDocument/2006/relationships/chart" Target="/xl/charts/chart80.xml" Id="rId1" /></Relationships>
</file>

<file path=xl/drawings/_rels/drawing81.xml.rels><Relationships xmlns="http://schemas.openxmlformats.org/package/2006/relationships"><Relationship Type="http://schemas.openxmlformats.org/officeDocument/2006/relationships/chart" Target="/xl/charts/chart81.xml" Id="rId1" /></Relationships>
</file>

<file path=xl/drawings/_rels/drawing82.xml.rels><Relationships xmlns="http://schemas.openxmlformats.org/package/2006/relationships"><Relationship Type="http://schemas.openxmlformats.org/officeDocument/2006/relationships/chart" Target="/xl/charts/chart82.xml" Id="rId1" /></Relationships>
</file>

<file path=xl/drawings/_rels/drawing83.xml.rels><Relationships xmlns="http://schemas.openxmlformats.org/package/2006/relationships"><Relationship Type="http://schemas.openxmlformats.org/officeDocument/2006/relationships/chart" Target="/xl/charts/chart83.xml" Id="rId1" /></Relationships>
</file>

<file path=xl/drawings/_rels/drawing84.xml.rels><Relationships xmlns="http://schemas.openxmlformats.org/package/2006/relationships"><Relationship Type="http://schemas.openxmlformats.org/officeDocument/2006/relationships/chart" Target="/xl/charts/chart84.xml" Id="rId1" /></Relationships>
</file>

<file path=xl/drawings/_rels/drawing85.xml.rels><Relationships xmlns="http://schemas.openxmlformats.org/package/2006/relationships"><Relationship Type="http://schemas.openxmlformats.org/officeDocument/2006/relationships/chart" Target="/xl/charts/chart85.xml" Id="rId1" /></Relationships>
</file>

<file path=xl/drawings/_rels/drawing86.xml.rels><Relationships xmlns="http://schemas.openxmlformats.org/package/2006/relationships"><Relationship Type="http://schemas.openxmlformats.org/officeDocument/2006/relationships/chart" Target="/xl/charts/chart86.xml" Id="rId1" /></Relationships>
</file>

<file path=xl/drawings/_rels/drawing87.xml.rels><Relationships xmlns="http://schemas.openxmlformats.org/package/2006/relationships"><Relationship Type="http://schemas.openxmlformats.org/officeDocument/2006/relationships/chart" Target="/xl/charts/chart87.xml" Id="rId1" /></Relationships>
</file>

<file path=xl/drawings/_rels/drawing88.xml.rels><Relationships xmlns="http://schemas.openxmlformats.org/package/2006/relationships"><Relationship Type="http://schemas.openxmlformats.org/officeDocument/2006/relationships/chart" Target="/xl/charts/chart88.xml" Id="rId1" /></Relationships>
</file>

<file path=xl/drawings/_rels/drawing89.xml.rels><Relationships xmlns="http://schemas.openxmlformats.org/package/2006/relationships"><Relationship Type="http://schemas.openxmlformats.org/officeDocument/2006/relationships/chart" Target="/xl/charts/chart89.xml" Id="rId1" /></Relationships>
</file>

<file path=xl/drawings/_rels/drawing90.xml.rels><Relationships xmlns="http://schemas.openxmlformats.org/package/2006/relationships"><Relationship Type="http://schemas.openxmlformats.org/officeDocument/2006/relationships/chart" Target="/xl/charts/chart90.xml" Id="rId1" /></Relationships>
</file>

<file path=xl/drawings/_rels/drawing91.xml.rels><Relationships xmlns="http://schemas.openxmlformats.org/package/2006/relationships"><Relationship Type="http://schemas.openxmlformats.org/officeDocument/2006/relationships/chart" Target="/xl/charts/chart91.xml" Id="rId1" /></Relationships>
</file>

<file path=xl/drawings/_rels/drawing92.xml.rels><Relationships xmlns="http://schemas.openxmlformats.org/package/2006/relationships"><Relationship Type="http://schemas.openxmlformats.org/officeDocument/2006/relationships/chart" Target="/xl/charts/chart92.xml" Id="rId1" /></Relationships>
</file>

<file path=xl/drawings/_rels/drawing93.xml.rels><Relationships xmlns="http://schemas.openxmlformats.org/package/2006/relationships"><Relationship Type="http://schemas.openxmlformats.org/officeDocument/2006/relationships/chart" Target="/xl/charts/chart93.xml" Id="rId1" /></Relationships>
</file>

<file path=xl/drawings/_rels/drawing94.xml.rels><Relationships xmlns="http://schemas.openxmlformats.org/package/2006/relationships"><Relationship Type="http://schemas.openxmlformats.org/officeDocument/2006/relationships/chart" Target="/xl/charts/chart94.xml" Id="rId1" /></Relationships>
</file>

<file path=xl/drawings/_rels/drawing95.xml.rels><Relationships xmlns="http://schemas.openxmlformats.org/package/2006/relationships"><Relationship Type="http://schemas.openxmlformats.org/officeDocument/2006/relationships/chart" Target="/xl/charts/chart95.xml" Id="rId1" /></Relationships>
</file>

<file path=xl/drawings/_rels/drawing96.xml.rels><Relationships xmlns="http://schemas.openxmlformats.org/package/2006/relationships"><Relationship Type="http://schemas.openxmlformats.org/officeDocument/2006/relationships/chart" Target="/xl/charts/chart96.xml" Id="rId1" /></Relationships>
</file>

<file path=xl/drawings/_rels/drawing97.xml.rels><Relationships xmlns="http://schemas.openxmlformats.org/package/2006/relationships"><Relationship Type="http://schemas.openxmlformats.org/officeDocument/2006/relationships/chart" Target="/xl/charts/chart97.xml" Id="rId1" /></Relationships>
</file>

<file path=xl/drawings/_rels/drawing98.xml.rels><Relationships xmlns="http://schemas.openxmlformats.org/package/2006/relationships"><Relationship Type="http://schemas.openxmlformats.org/officeDocument/2006/relationships/chart" Target="/xl/charts/chart98.xml" Id="rId1" /></Relationships>
</file>

<file path=xl/drawings/_rels/drawing99.xml.rels><Relationships xmlns="http://schemas.openxmlformats.org/package/2006/relationships"><Relationship Type="http://schemas.openxmlformats.org/officeDocument/2006/relationships/chart" Target="/xl/charts/chart99.xml" Id="rId1" /></Relationships>
</file>

<file path=xl/drawings/_rels/drawing100.xml.rels><Relationships xmlns="http://schemas.openxmlformats.org/package/2006/relationships"><Relationship Type="http://schemas.openxmlformats.org/officeDocument/2006/relationships/chart" Target="/xl/charts/chart100.xml" Id="rId1" /></Relationships>
</file>

<file path=xl/drawings/_rels/drawing101.xml.rels><Relationships xmlns="http://schemas.openxmlformats.org/package/2006/relationships"><Relationship Type="http://schemas.openxmlformats.org/officeDocument/2006/relationships/chart" Target="/xl/charts/chart101.xml" Id="rId1" /></Relationships>
</file>

<file path=xl/drawings/_rels/drawing102.xml.rels><Relationships xmlns="http://schemas.openxmlformats.org/package/2006/relationships"><Relationship Type="http://schemas.openxmlformats.org/officeDocument/2006/relationships/chart" Target="/xl/charts/chart102.xml" Id="rId1" /></Relationships>
</file>

<file path=xl/drawings/_rels/drawing103.xml.rels><Relationships xmlns="http://schemas.openxmlformats.org/package/2006/relationships"><Relationship Type="http://schemas.openxmlformats.org/officeDocument/2006/relationships/chart" Target="/xl/charts/chart103.xml" Id="rId1" /></Relationships>
</file>

<file path=xl/drawings/_rels/drawing104.xml.rels><Relationships xmlns="http://schemas.openxmlformats.org/package/2006/relationships"><Relationship Type="http://schemas.openxmlformats.org/officeDocument/2006/relationships/chart" Target="/xl/charts/chart104.xml" Id="rId1" /></Relationships>
</file>

<file path=xl/drawings/_rels/drawing105.xml.rels><Relationships xmlns="http://schemas.openxmlformats.org/package/2006/relationships"><Relationship Type="http://schemas.openxmlformats.org/officeDocument/2006/relationships/chart" Target="/xl/charts/chart105.xml" Id="rId1" /></Relationships>
</file>

<file path=xl/drawings/_rels/drawing106.xml.rels><Relationships xmlns="http://schemas.openxmlformats.org/package/2006/relationships"><Relationship Type="http://schemas.openxmlformats.org/officeDocument/2006/relationships/chart" Target="/xl/charts/chart106.xml" Id="rId1" /></Relationships>
</file>

<file path=xl/drawings/_rels/drawing107.xml.rels><Relationships xmlns="http://schemas.openxmlformats.org/package/2006/relationships"><Relationship Type="http://schemas.openxmlformats.org/officeDocument/2006/relationships/chart" Target="/xl/charts/chart107.xml" Id="rId1" /></Relationships>
</file>

<file path=xl/drawings/_rels/drawing108.xml.rels><Relationships xmlns="http://schemas.openxmlformats.org/package/2006/relationships"><Relationship Type="http://schemas.openxmlformats.org/officeDocument/2006/relationships/chart" Target="/xl/charts/chart108.xml" Id="rId1" /></Relationships>
</file>

<file path=xl/drawings/_rels/drawing109.xml.rels><Relationships xmlns="http://schemas.openxmlformats.org/package/2006/relationships"><Relationship Type="http://schemas.openxmlformats.org/officeDocument/2006/relationships/chart" Target="/xl/charts/chart109.xml" Id="rId1" /></Relationships>
</file>

<file path=xl/drawings/_rels/drawing110.xml.rels><Relationships xmlns="http://schemas.openxmlformats.org/package/2006/relationships"><Relationship Type="http://schemas.openxmlformats.org/officeDocument/2006/relationships/chart" Target="/xl/charts/chart110.xml" Id="rId1" /></Relationships>
</file>

<file path=xl/drawings/_rels/drawing111.xml.rels><Relationships xmlns="http://schemas.openxmlformats.org/package/2006/relationships"><Relationship Type="http://schemas.openxmlformats.org/officeDocument/2006/relationships/chart" Target="/xl/charts/chart111.xml" Id="rId1" /></Relationships>
</file>

<file path=xl/drawings/_rels/drawing112.xml.rels><Relationships xmlns="http://schemas.openxmlformats.org/package/2006/relationships"><Relationship Type="http://schemas.openxmlformats.org/officeDocument/2006/relationships/chart" Target="/xl/charts/chart112.xml" Id="rId1" /></Relationships>
</file>

<file path=xl/drawings/_rels/drawing113.xml.rels><Relationships xmlns="http://schemas.openxmlformats.org/package/2006/relationships"><Relationship Type="http://schemas.openxmlformats.org/officeDocument/2006/relationships/chart" Target="/xl/charts/chart113.xml" Id="rId1" /></Relationships>
</file>

<file path=xl/drawings/_rels/drawing114.xml.rels><Relationships xmlns="http://schemas.openxmlformats.org/package/2006/relationships"><Relationship Type="http://schemas.openxmlformats.org/officeDocument/2006/relationships/chart" Target="/xl/charts/chart114.xml" Id="rId1" /></Relationships>
</file>

<file path=xl/drawings/_rels/drawing115.xml.rels><Relationships xmlns="http://schemas.openxmlformats.org/package/2006/relationships"><Relationship Type="http://schemas.openxmlformats.org/officeDocument/2006/relationships/chart" Target="/xl/charts/chart115.xml" Id="rId1" /></Relationships>
</file>

<file path=xl/drawings/_rels/drawing116.xml.rels><Relationships xmlns="http://schemas.openxmlformats.org/package/2006/relationships"><Relationship Type="http://schemas.openxmlformats.org/officeDocument/2006/relationships/chart" Target="/xl/charts/chart116.xml" Id="rId1" /></Relationships>
</file>

<file path=xl/drawings/_rels/drawing117.xml.rels><Relationships xmlns="http://schemas.openxmlformats.org/package/2006/relationships"><Relationship Type="http://schemas.openxmlformats.org/officeDocument/2006/relationships/chart" Target="/xl/charts/chart117.xml" Id="rId1" /></Relationships>
</file>

<file path=xl/drawings/_rels/drawing118.xml.rels><Relationships xmlns="http://schemas.openxmlformats.org/package/2006/relationships"><Relationship Type="http://schemas.openxmlformats.org/officeDocument/2006/relationships/chart" Target="/xl/charts/chart118.xml" Id="rId1" /></Relationships>
</file>

<file path=xl/drawings/_rels/drawing119.xml.rels><Relationships xmlns="http://schemas.openxmlformats.org/package/2006/relationships"><Relationship Type="http://schemas.openxmlformats.org/officeDocument/2006/relationships/chart" Target="/xl/charts/chart119.xml" Id="rId1" /></Relationships>
</file>

<file path=xl/drawings/_rels/drawing120.xml.rels><Relationships xmlns="http://schemas.openxmlformats.org/package/2006/relationships"><Relationship Type="http://schemas.openxmlformats.org/officeDocument/2006/relationships/chart" Target="/xl/charts/chart12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9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60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61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62.xml" Id="rId1" 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63.xml" Id="rId1" 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64.xml" Id="rId1" 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5.xml" Id="rId1" 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6.xml" Id="rId1" 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7.xml" Id="rId1" 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8.xml" Id="rId1" 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9.xml" Id="rId1" 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70.xml" Id="rId1" 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71.xml" Id="rId1" 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72.xml" Id="rId1" 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73.xml" Id="rId1" 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74.xml" Id="rId1" 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75.xml" Id="rId1" 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76.xml" Id="rId1" 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77.xml" Id="rId1" 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78.xml" Id="rId1" 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79.xml" Id="rId1" /></Relationships>
</file>

<file path=xl/worksheets/_rels/sheet80.xml.rels><Relationships xmlns="http://schemas.openxmlformats.org/package/2006/relationships"><Relationship Type="http://schemas.openxmlformats.org/officeDocument/2006/relationships/drawing" Target="/xl/drawings/drawing80.xml" Id="rId1" /></Relationships>
</file>

<file path=xl/worksheets/_rels/sheet81.xml.rels><Relationships xmlns="http://schemas.openxmlformats.org/package/2006/relationships"><Relationship Type="http://schemas.openxmlformats.org/officeDocument/2006/relationships/drawing" Target="/xl/drawings/drawing81.xml" Id="rId1" /></Relationships>
</file>

<file path=xl/worksheets/_rels/sheet82.xml.rels><Relationships xmlns="http://schemas.openxmlformats.org/package/2006/relationships"><Relationship Type="http://schemas.openxmlformats.org/officeDocument/2006/relationships/drawing" Target="/xl/drawings/drawing82.xml" Id="rId1" /></Relationships>
</file>

<file path=xl/worksheets/_rels/sheet83.xml.rels><Relationships xmlns="http://schemas.openxmlformats.org/package/2006/relationships"><Relationship Type="http://schemas.openxmlformats.org/officeDocument/2006/relationships/drawing" Target="/xl/drawings/drawing83.xml" Id="rId1" /></Relationships>
</file>

<file path=xl/worksheets/_rels/sheet84.xml.rels><Relationships xmlns="http://schemas.openxmlformats.org/package/2006/relationships"><Relationship Type="http://schemas.openxmlformats.org/officeDocument/2006/relationships/drawing" Target="/xl/drawings/drawing84.xml" Id="rId1" /></Relationships>
</file>

<file path=xl/worksheets/_rels/sheet85.xml.rels><Relationships xmlns="http://schemas.openxmlformats.org/package/2006/relationships"><Relationship Type="http://schemas.openxmlformats.org/officeDocument/2006/relationships/drawing" Target="/xl/drawings/drawing85.xml" Id="rId1" /></Relationships>
</file>

<file path=xl/worksheets/_rels/sheet86.xml.rels><Relationships xmlns="http://schemas.openxmlformats.org/package/2006/relationships"><Relationship Type="http://schemas.openxmlformats.org/officeDocument/2006/relationships/drawing" Target="/xl/drawings/drawing86.xml" Id="rId1" /></Relationships>
</file>

<file path=xl/worksheets/_rels/sheet87.xml.rels><Relationships xmlns="http://schemas.openxmlformats.org/package/2006/relationships"><Relationship Type="http://schemas.openxmlformats.org/officeDocument/2006/relationships/drawing" Target="/xl/drawings/drawing87.xml" Id="rId1" /></Relationships>
</file>

<file path=xl/worksheets/_rels/sheet88.xml.rels><Relationships xmlns="http://schemas.openxmlformats.org/package/2006/relationships"><Relationship Type="http://schemas.openxmlformats.org/officeDocument/2006/relationships/drawing" Target="/xl/drawings/drawing88.xml" Id="rId1" /></Relationships>
</file>

<file path=xl/worksheets/_rels/sheet89.xml.rels><Relationships xmlns="http://schemas.openxmlformats.org/package/2006/relationships"><Relationship Type="http://schemas.openxmlformats.org/officeDocument/2006/relationships/drawing" Target="/xl/drawings/drawing89.xml" Id="rId1" /></Relationships>
</file>

<file path=xl/worksheets/_rels/sheet90.xml.rels><Relationships xmlns="http://schemas.openxmlformats.org/package/2006/relationships"><Relationship Type="http://schemas.openxmlformats.org/officeDocument/2006/relationships/drawing" Target="/xl/drawings/drawing90.xml" Id="rId1" /></Relationships>
</file>

<file path=xl/worksheets/_rels/sheet91.xml.rels><Relationships xmlns="http://schemas.openxmlformats.org/package/2006/relationships"><Relationship Type="http://schemas.openxmlformats.org/officeDocument/2006/relationships/drawing" Target="/xl/drawings/drawing91.xml" Id="rId1" /></Relationships>
</file>

<file path=xl/worksheets/_rels/sheet92.xml.rels><Relationships xmlns="http://schemas.openxmlformats.org/package/2006/relationships"><Relationship Type="http://schemas.openxmlformats.org/officeDocument/2006/relationships/drawing" Target="/xl/drawings/drawing92.xml" Id="rId1" /></Relationships>
</file>

<file path=xl/worksheets/_rels/sheet93.xml.rels><Relationships xmlns="http://schemas.openxmlformats.org/package/2006/relationships"><Relationship Type="http://schemas.openxmlformats.org/officeDocument/2006/relationships/drawing" Target="/xl/drawings/drawing93.xml" Id="rId1" /></Relationships>
</file>

<file path=xl/worksheets/_rels/sheet94.xml.rels><Relationships xmlns="http://schemas.openxmlformats.org/package/2006/relationships"><Relationship Type="http://schemas.openxmlformats.org/officeDocument/2006/relationships/drawing" Target="/xl/drawings/drawing94.xml" Id="rId1" /></Relationships>
</file>

<file path=xl/worksheets/_rels/sheet95.xml.rels><Relationships xmlns="http://schemas.openxmlformats.org/package/2006/relationships"><Relationship Type="http://schemas.openxmlformats.org/officeDocument/2006/relationships/drawing" Target="/xl/drawings/drawing95.xml" Id="rId1" /></Relationships>
</file>

<file path=xl/worksheets/_rels/sheet96.xml.rels><Relationships xmlns="http://schemas.openxmlformats.org/package/2006/relationships"><Relationship Type="http://schemas.openxmlformats.org/officeDocument/2006/relationships/drawing" Target="/xl/drawings/drawing96.xml" Id="rId1" /></Relationships>
</file>

<file path=xl/worksheets/_rels/sheet97.xml.rels><Relationships xmlns="http://schemas.openxmlformats.org/package/2006/relationships"><Relationship Type="http://schemas.openxmlformats.org/officeDocument/2006/relationships/drawing" Target="/xl/drawings/drawing97.xml" Id="rId1" /></Relationships>
</file>

<file path=xl/worksheets/_rels/sheet98.xml.rels><Relationships xmlns="http://schemas.openxmlformats.org/package/2006/relationships"><Relationship Type="http://schemas.openxmlformats.org/officeDocument/2006/relationships/drawing" Target="/xl/drawings/drawing98.xml" Id="rId1" /></Relationships>
</file>

<file path=xl/worksheets/_rels/sheet99.xml.rels><Relationships xmlns="http://schemas.openxmlformats.org/package/2006/relationships"><Relationship Type="http://schemas.openxmlformats.org/officeDocument/2006/relationships/drawing" Target="/xl/drawings/drawing99.xml" Id="rId1" /></Relationships>
</file>

<file path=xl/worksheets/_rels/sheet100.xml.rels><Relationships xmlns="http://schemas.openxmlformats.org/package/2006/relationships"><Relationship Type="http://schemas.openxmlformats.org/officeDocument/2006/relationships/drawing" Target="/xl/drawings/drawing100.xml" Id="rId1" /></Relationships>
</file>

<file path=xl/worksheets/_rels/sheet101.xml.rels><Relationships xmlns="http://schemas.openxmlformats.org/package/2006/relationships"><Relationship Type="http://schemas.openxmlformats.org/officeDocument/2006/relationships/drawing" Target="/xl/drawings/drawing101.xml" Id="rId1" /></Relationships>
</file>

<file path=xl/worksheets/_rels/sheet102.xml.rels><Relationships xmlns="http://schemas.openxmlformats.org/package/2006/relationships"><Relationship Type="http://schemas.openxmlformats.org/officeDocument/2006/relationships/drawing" Target="/xl/drawings/drawing102.xml" Id="rId1" /></Relationships>
</file>

<file path=xl/worksheets/_rels/sheet103.xml.rels><Relationships xmlns="http://schemas.openxmlformats.org/package/2006/relationships"><Relationship Type="http://schemas.openxmlformats.org/officeDocument/2006/relationships/drawing" Target="/xl/drawings/drawing103.xml" Id="rId1" /></Relationships>
</file>

<file path=xl/worksheets/_rels/sheet104.xml.rels><Relationships xmlns="http://schemas.openxmlformats.org/package/2006/relationships"><Relationship Type="http://schemas.openxmlformats.org/officeDocument/2006/relationships/drawing" Target="/xl/drawings/drawing104.xml" Id="rId1" /></Relationships>
</file>

<file path=xl/worksheets/_rels/sheet105.xml.rels><Relationships xmlns="http://schemas.openxmlformats.org/package/2006/relationships"><Relationship Type="http://schemas.openxmlformats.org/officeDocument/2006/relationships/drawing" Target="/xl/drawings/drawing105.xml" Id="rId1" /></Relationships>
</file>

<file path=xl/worksheets/_rels/sheet106.xml.rels><Relationships xmlns="http://schemas.openxmlformats.org/package/2006/relationships"><Relationship Type="http://schemas.openxmlformats.org/officeDocument/2006/relationships/drawing" Target="/xl/drawings/drawing106.xml" Id="rId1" /></Relationships>
</file>

<file path=xl/worksheets/_rels/sheet107.xml.rels><Relationships xmlns="http://schemas.openxmlformats.org/package/2006/relationships"><Relationship Type="http://schemas.openxmlformats.org/officeDocument/2006/relationships/drawing" Target="/xl/drawings/drawing107.xml" Id="rId1" /></Relationships>
</file>

<file path=xl/worksheets/_rels/sheet108.xml.rels><Relationships xmlns="http://schemas.openxmlformats.org/package/2006/relationships"><Relationship Type="http://schemas.openxmlformats.org/officeDocument/2006/relationships/drawing" Target="/xl/drawings/drawing108.xml" Id="rId1" /></Relationships>
</file>

<file path=xl/worksheets/_rels/sheet109.xml.rels><Relationships xmlns="http://schemas.openxmlformats.org/package/2006/relationships"><Relationship Type="http://schemas.openxmlformats.org/officeDocument/2006/relationships/drawing" Target="/xl/drawings/drawing109.xml" Id="rId1" /></Relationships>
</file>

<file path=xl/worksheets/_rels/sheet110.xml.rels><Relationships xmlns="http://schemas.openxmlformats.org/package/2006/relationships"><Relationship Type="http://schemas.openxmlformats.org/officeDocument/2006/relationships/drawing" Target="/xl/drawings/drawing110.xml" Id="rId1" /></Relationships>
</file>

<file path=xl/worksheets/_rels/sheet111.xml.rels><Relationships xmlns="http://schemas.openxmlformats.org/package/2006/relationships"><Relationship Type="http://schemas.openxmlformats.org/officeDocument/2006/relationships/drawing" Target="/xl/drawings/drawing111.xml" Id="rId1" /></Relationships>
</file>

<file path=xl/worksheets/_rels/sheet112.xml.rels><Relationships xmlns="http://schemas.openxmlformats.org/package/2006/relationships"><Relationship Type="http://schemas.openxmlformats.org/officeDocument/2006/relationships/drawing" Target="/xl/drawings/drawing112.xml" Id="rId1" /></Relationships>
</file>

<file path=xl/worksheets/_rels/sheet113.xml.rels><Relationships xmlns="http://schemas.openxmlformats.org/package/2006/relationships"><Relationship Type="http://schemas.openxmlformats.org/officeDocument/2006/relationships/drawing" Target="/xl/drawings/drawing113.xml" Id="rId1" /></Relationships>
</file>

<file path=xl/worksheets/_rels/sheet114.xml.rels><Relationships xmlns="http://schemas.openxmlformats.org/package/2006/relationships"><Relationship Type="http://schemas.openxmlformats.org/officeDocument/2006/relationships/drawing" Target="/xl/drawings/drawing114.xml" Id="rId1" /></Relationships>
</file>

<file path=xl/worksheets/_rels/sheet115.xml.rels><Relationships xmlns="http://schemas.openxmlformats.org/package/2006/relationships"><Relationship Type="http://schemas.openxmlformats.org/officeDocument/2006/relationships/drawing" Target="/xl/drawings/drawing115.xml" Id="rId1" /></Relationships>
</file>

<file path=xl/worksheets/_rels/sheet116.xml.rels><Relationships xmlns="http://schemas.openxmlformats.org/package/2006/relationships"><Relationship Type="http://schemas.openxmlformats.org/officeDocument/2006/relationships/drawing" Target="/xl/drawings/drawing116.xml" Id="rId1" /></Relationships>
</file>

<file path=xl/worksheets/_rels/sheet117.xml.rels><Relationships xmlns="http://schemas.openxmlformats.org/package/2006/relationships"><Relationship Type="http://schemas.openxmlformats.org/officeDocument/2006/relationships/drawing" Target="/xl/drawings/drawing117.xml" Id="rId1" /></Relationships>
</file>

<file path=xl/worksheets/_rels/sheet118.xml.rels><Relationships xmlns="http://schemas.openxmlformats.org/package/2006/relationships"><Relationship Type="http://schemas.openxmlformats.org/officeDocument/2006/relationships/drawing" Target="/xl/drawings/drawing118.xml" Id="rId1" /></Relationships>
</file>

<file path=xl/worksheets/_rels/sheet119.xml.rels><Relationships xmlns="http://schemas.openxmlformats.org/package/2006/relationships"><Relationship Type="http://schemas.openxmlformats.org/officeDocument/2006/relationships/drawing" Target="/xl/drawings/drawing119.xml" Id="rId1" /></Relationships>
</file>

<file path=xl/worksheets/_rels/sheet120.xml.rels><Relationships xmlns="http://schemas.openxmlformats.org/package/2006/relationships"><Relationship Type="http://schemas.openxmlformats.org/officeDocument/2006/relationships/drawing" Target="/xl/drawings/drawing1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38383.07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1ADP003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3-SOCOM Functional Electronic Print and Power Sources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1ADP004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4-AFRL Failure Modes in Wearable Performance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5-Army Multi-Capability Sensor and Die Assembly Process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38780.99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7-Arduino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8-SOCOM TALOS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1ADP009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9-AFRL FHE FEP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53648.89</v>
      </c>
      <c r="J18" s="10" t="n">
        <v>22828.11</v>
      </c>
      <c r="N18" s="10" t="n">
        <v>89.42</v>
      </c>
      <c r="AE18" s="9">
        <f>SUM(C18:AD18)</f>
        <v/>
      </c>
    </row>
    <row r="19">
      <c r="B19" t="inlineStr">
        <is>
          <t>Fringe 5990</t>
        </is>
      </c>
      <c r="F19" s="10" t="n">
        <v>22307.21</v>
      </c>
      <c r="J19" s="10" t="n">
        <v>9010.26</v>
      </c>
      <c r="N19" s="10" t="n">
        <v>38.38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N21" s="10" t="n">
        <v>1246.11</v>
      </c>
      <c r="AE21" s="9">
        <f>SUM(C21:AD21)</f>
        <v/>
      </c>
    </row>
    <row r="22">
      <c r="B22" t="inlineStr">
        <is>
          <t>Consulting 5002</t>
        </is>
      </c>
      <c r="F22" s="10" t="n">
        <v>8500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N27" s="10" t="n">
        <v>32.65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71736.25</v>
      </c>
      <c r="J29" s="10" t="n">
        <v>18251.75</v>
      </c>
      <c r="N29" s="10" t="n">
        <v>-38218.03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1ADP010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10-ARL SEDD H4D FHE TPV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12-FHE for Improved Armaments &amp; Munitions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138.5</v>
      </c>
      <c r="N18" s="10" t="n">
        <v>63429.15</v>
      </c>
      <c r="AE18" s="9">
        <f>SUM(C18:AD18)</f>
        <v/>
      </c>
    </row>
    <row r="19">
      <c r="B19" t="inlineStr">
        <is>
          <t>Fringe 5990</t>
        </is>
      </c>
      <c r="F19" s="10" t="n">
        <v>57.59</v>
      </c>
      <c r="N19" s="10" t="n">
        <v>25409.72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46.47</v>
      </c>
      <c r="N29" s="10" t="n">
        <v>19846.6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1ADP013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13-DOMEX Technical Innovation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1ADP014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14-DTRA Drive Manufacturing Development for Fully Flexible High Performance Electronics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15-AFRL Flight Suit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10460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16-JIDA H4D 2.0 -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17-Digital Logistics and Launch Alaska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18-DLA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1ADP019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19-DTRA Follow-on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16748.69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1ADP020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20-ONR NIPA Pilot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21-FEP 5 (Leaflet)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6882.72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22-AFRL Failure Modes in Wearable Hydration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-27472.83</v>
      </c>
      <c r="AE18" s="9">
        <f>SUM(C18:AD18)</f>
        <v/>
      </c>
    </row>
    <row r="19">
      <c r="B19" t="inlineStr">
        <is>
          <t>Fringe 5990</t>
        </is>
      </c>
      <c r="N19" s="10" t="n">
        <v>-11423.2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-9218.360000000001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1ADP023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23-FHE Arduino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217142.75</v>
      </c>
      <c r="J18" s="10" t="n">
        <v>19399.67</v>
      </c>
      <c r="N18" s="10" t="n">
        <v>-63429.15</v>
      </c>
      <c r="AE18" s="9">
        <f>SUM(C18:AD18)</f>
        <v/>
      </c>
    </row>
    <row r="19">
      <c r="B19" t="inlineStr">
        <is>
          <t>Fringe 5990</t>
        </is>
      </c>
      <c r="F19" s="10" t="n">
        <v>90287.96000000001</v>
      </c>
      <c r="J19" s="10" t="n">
        <v>7657.05</v>
      </c>
      <c r="N19" s="10" t="n">
        <v>-25409.72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F22" s="10" t="n">
        <v>440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F26" s="10" t="n">
        <v>7710.88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83192.12</v>
      </c>
      <c r="J29" s="10" t="n">
        <v>15366.15</v>
      </c>
      <c r="N29" s="10" t="n">
        <v>-19846.6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1ADP024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24-DARPA MEMS (see ACRN CP for balance of $223,611)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64685.43</v>
      </c>
      <c r="J18" s="10" t="n">
        <v>32029.76</v>
      </c>
      <c r="N18" s="10" t="n">
        <v>3785.17</v>
      </c>
      <c r="AE18" s="9">
        <f>SUM(C18:AD18)</f>
        <v/>
      </c>
    </row>
    <row r="19">
      <c r="B19" t="inlineStr">
        <is>
          <t>Fringe 5990</t>
        </is>
      </c>
      <c r="F19" s="10" t="n">
        <v>26896.2</v>
      </c>
      <c r="J19" s="10" t="n">
        <v>12642.15</v>
      </c>
      <c r="N19" s="10" t="n">
        <v>1624.6</v>
      </c>
      <c r="AE19" s="9">
        <f>SUM(C19:AD19)</f>
        <v/>
      </c>
    </row>
    <row r="20">
      <c r="B20" t="inlineStr">
        <is>
          <t>Travel 5004</t>
        </is>
      </c>
      <c r="F20" s="10" t="n">
        <v>492.28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F22" s="10" t="n">
        <v>12851.5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J25" s="10" t="n">
        <v>7020</v>
      </c>
      <c r="AE25" s="9">
        <f>SUM(C25:AD25)</f>
        <v/>
      </c>
    </row>
    <row r="26">
      <c r="B26" t="inlineStr">
        <is>
          <t>Material 5003</t>
        </is>
      </c>
      <c r="F26" s="10" t="n">
        <v>228.06</v>
      </c>
      <c r="J26" s="10" t="n">
        <v>314.3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28749.96</v>
      </c>
      <c r="J29" s="10" t="n">
        <v>28927.54</v>
      </c>
      <c r="N29" s="10" t="n">
        <v>6986.17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25-CERDEC Wearable Authentication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28269.37</v>
      </c>
      <c r="J18" s="10" t="n">
        <v>11096.95</v>
      </c>
      <c r="AE18" s="9">
        <f>SUM(C18:AD18)</f>
        <v/>
      </c>
    </row>
    <row r="19">
      <c r="B19" t="inlineStr">
        <is>
          <t>Fringe 5990</t>
        </is>
      </c>
      <c r="F19" s="10" t="n">
        <v>11754.4</v>
      </c>
      <c r="J19" s="10" t="n">
        <v>4379.97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F22" s="10" t="n">
        <v>12210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12390.42</v>
      </c>
      <c r="J29" s="10" t="n">
        <v>8366.82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26-DLA J6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27-Science and Innovation Awards - Good Entertainment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ADP-EWD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28-FEP 6 (Leaflet)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26040.07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1ADP029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29-AETC Delivery and Demonstration of AFRL Smart Flight Suits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2375.21</v>
      </c>
      <c r="N18" s="10" t="n">
        <v>-50291.49</v>
      </c>
      <c r="AE18" s="9">
        <f>SUM(C18:AD18)</f>
        <v/>
      </c>
    </row>
    <row r="19">
      <c r="B19" t="inlineStr">
        <is>
          <t>Fringe 5990</t>
        </is>
      </c>
      <c r="J19" s="10" t="n">
        <v>937.5</v>
      </c>
      <c r="N19" s="10" t="n">
        <v>-20146.68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N27" s="10" t="n">
        <v>731.9400000000001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3577.96</v>
      </c>
      <c r="J29" s="10" t="n">
        <v>147571.7</v>
      </c>
      <c r="N29" s="10" t="n">
        <v>20346.39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1ADP030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30-Air Force Warfighter Ingration Capability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33.39</v>
      </c>
      <c r="AE18" s="9">
        <f>SUM(C18:AD18)</f>
        <v/>
      </c>
    </row>
    <row r="19">
      <c r="B19" t="inlineStr">
        <is>
          <t>Fringe 5990</t>
        </is>
      </c>
      <c r="J19" s="10" t="n">
        <v>13.18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25.18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31-ONR ESTCP and ESTEP H4D Collaboration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-4.24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32-JIDO H4D 3.0 -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1ADP034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34-AFRL INVOS Flex Patch Reader Development [see ACRN CQ for balance of $112,087]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4183.97</v>
      </c>
      <c r="AE18" s="9">
        <f>SUM(C18:AD18)</f>
        <v/>
      </c>
    </row>
    <row r="19">
      <c r="B19" t="inlineStr">
        <is>
          <t>Fringe 5990</t>
        </is>
      </c>
      <c r="F19" s="10" t="n">
        <v>1739.69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F22" s="10" t="n">
        <v>-3777.8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508.57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35 AFRL Wearable Chemical Sensors for Confined Space Monitoring [see ACRN DC for balance of $500,000]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351367.71</v>
      </c>
      <c r="J18" s="10" t="n">
        <v>155614.37</v>
      </c>
      <c r="N18" s="10" t="n">
        <v>-92654.09</v>
      </c>
      <c r="AE18" s="9">
        <f>SUM(C18:AD18)</f>
        <v/>
      </c>
    </row>
    <row r="19">
      <c r="B19" t="inlineStr">
        <is>
          <t>Fringe 5990</t>
        </is>
      </c>
      <c r="F19" s="10" t="n">
        <v>146098.69</v>
      </c>
      <c r="J19" s="10" t="n">
        <v>61420.99</v>
      </c>
      <c r="N19" s="10" t="n">
        <v>-36482.26</v>
      </c>
      <c r="AE19" s="9">
        <f>SUM(C19:AD19)</f>
        <v/>
      </c>
    </row>
    <row r="20">
      <c r="B20" t="inlineStr">
        <is>
          <t>Travel 5004</t>
        </is>
      </c>
      <c r="F20" s="10" t="n">
        <v>3134.99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F22" s="10" t="n">
        <v>91820</v>
      </c>
      <c r="J22" s="10" t="n">
        <v>12175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J25" s="10" t="n">
        <v>880</v>
      </c>
      <c r="AE25" s="9">
        <f>SUM(C25:AD25)</f>
        <v/>
      </c>
    </row>
    <row r="26">
      <c r="B26" t="inlineStr">
        <is>
          <t>Material 5003</t>
        </is>
      </c>
      <c r="F26" s="10" t="n">
        <v>26804.32</v>
      </c>
      <c r="AE26" s="9">
        <f>SUM(C26:AD26)</f>
        <v/>
      </c>
    </row>
    <row r="27">
      <c r="B27" t="inlineStr">
        <is>
          <t>Sub K Overhead 5992</t>
        </is>
      </c>
      <c r="N27" s="10" t="n">
        <v>6.08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168171.47</v>
      </c>
      <c r="J29" s="10" t="n">
        <v>145491.4</v>
      </c>
      <c r="N29" s="10" t="n">
        <v>-66764.81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36 OSD Navy CRANE MINSEC 2.5D 3-D Packaging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134602.2</v>
      </c>
      <c r="J18" s="10" t="n">
        <v>229027.09</v>
      </c>
      <c r="N18" s="10" t="n">
        <v>31715.76</v>
      </c>
      <c r="AE18" s="9">
        <f>SUM(C18:AD18)</f>
        <v/>
      </c>
    </row>
    <row r="19">
      <c r="B19" t="inlineStr">
        <is>
          <t>Fringe 5990</t>
        </is>
      </c>
      <c r="F19" s="10" t="n">
        <v>55967.59</v>
      </c>
      <c r="J19" s="10" t="n">
        <v>90396.99000000001</v>
      </c>
      <c r="N19" s="10" t="n">
        <v>13612.41</v>
      </c>
      <c r="AE19" s="9">
        <f>SUM(C19:AD19)</f>
        <v/>
      </c>
    </row>
    <row r="20">
      <c r="B20" t="inlineStr">
        <is>
          <t>Travel 5004</t>
        </is>
      </c>
      <c r="F20" s="10" t="n">
        <v>2254.45</v>
      </c>
      <c r="AE20" s="9">
        <f>SUM(C20:AD20)</f>
        <v/>
      </c>
    </row>
    <row r="21">
      <c r="B21" t="inlineStr">
        <is>
          <t>Subcontracting 5005</t>
        </is>
      </c>
      <c r="N21" s="10" t="n">
        <v>19523.02</v>
      </c>
      <c r="Q21" s="10" t="n">
        <v>510.28</v>
      </c>
      <c r="AE21" s="9">
        <f>SUM(C21:AD21)</f>
        <v/>
      </c>
    </row>
    <row r="22">
      <c r="B22" t="inlineStr">
        <is>
          <t>Consulting 5002</t>
        </is>
      </c>
      <c r="J22" s="10" t="n">
        <v>720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J25" s="10" t="n">
        <v>23148.75</v>
      </c>
      <c r="N25" s="10" t="n">
        <v>4480</v>
      </c>
      <c r="AE25" s="9">
        <f>SUM(C25:AD25)</f>
        <v/>
      </c>
    </row>
    <row r="26">
      <c r="B26" t="inlineStr">
        <is>
          <t>Material 5003</t>
        </is>
      </c>
      <c r="J26" s="10" t="n">
        <v>9274.27</v>
      </c>
      <c r="N26" s="10" t="n">
        <v>2209.75</v>
      </c>
      <c r="AE26" s="9">
        <f>SUM(C26:AD26)</f>
        <v/>
      </c>
    </row>
    <row r="27">
      <c r="B27" t="inlineStr">
        <is>
          <t>Sub K Overhead 5992</t>
        </is>
      </c>
      <c r="N27" s="10" t="n">
        <v>2094.05</v>
      </c>
      <c r="Q27" s="10" t="n">
        <v>14.46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179649.69</v>
      </c>
      <c r="J29" s="10" t="n">
        <v>344466.13</v>
      </c>
      <c r="N29" s="10" t="n">
        <v>145180.1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37 OSD Navy CRANE MINSEC Direct-Write Printed Interconnect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39566.96</v>
      </c>
      <c r="J18" s="10" t="n">
        <v>21972.78</v>
      </c>
      <c r="N18" s="10" t="n">
        <v>1845.4</v>
      </c>
      <c r="AE18" s="9">
        <f>SUM(C18:AD18)</f>
        <v/>
      </c>
    </row>
    <row r="19">
      <c r="B19" t="inlineStr">
        <is>
          <t>Fringe 5990</t>
        </is>
      </c>
      <c r="F19" s="10" t="n">
        <v>16451.94</v>
      </c>
      <c r="J19" s="10" t="n">
        <v>8672.66</v>
      </c>
      <c r="N19" s="10" t="n">
        <v>792.05</v>
      </c>
      <c r="AE19" s="9">
        <f>SUM(C19:AD19)</f>
        <v/>
      </c>
    </row>
    <row r="20">
      <c r="B20" t="inlineStr">
        <is>
          <t>Travel 5004</t>
        </is>
      </c>
      <c r="F20" s="10" t="n">
        <v>1468.22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J26" s="10" t="n">
        <v>1565</v>
      </c>
      <c r="AE26" s="9">
        <f>SUM(C26:AD26)</f>
        <v/>
      </c>
    </row>
    <row r="27">
      <c r="B27" t="inlineStr">
        <is>
          <t>Sub K Overhead 5992</t>
        </is>
      </c>
      <c r="N27" s="10" t="n">
        <v>383.37</v>
      </c>
      <c r="O27" s="10" t="n">
        <v>406.91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129868.93</v>
      </c>
      <c r="J29" s="10" t="n">
        <v>203552.05</v>
      </c>
      <c r="N29" s="10" t="n">
        <v>22302.48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38 OSD Navy CRANE MINSEC Additive Manufacturing for Liquid Cooled T/R Module Packaging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129058.23</v>
      </c>
      <c r="J18" s="10" t="n">
        <v>225374.58</v>
      </c>
      <c r="N18" s="10" t="n">
        <v>69826.64999999999</v>
      </c>
      <c r="AE18" s="9">
        <f>SUM(C18:AD18)</f>
        <v/>
      </c>
    </row>
    <row r="19">
      <c r="B19" t="inlineStr">
        <is>
          <t>Fringe 5990</t>
        </is>
      </c>
      <c r="F19" s="10" t="n">
        <v>53662.41</v>
      </c>
      <c r="J19" s="10" t="n">
        <v>88955.35000000001</v>
      </c>
      <c r="N19" s="10" t="n">
        <v>29969.6</v>
      </c>
      <c r="AE19" s="9">
        <f>SUM(C19:AD19)</f>
        <v/>
      </c>
    </row>
    <row r="20">
      <c r="B20" t="inlineStr">
        <is>
          <t>Travel 5004</t>
        </is>
      </c>
      <c r="F20" s="10" t="n">
        <v>2241.46</v>
      </c>
      <c r="AE20" s="9">
        <f>SUM(C20:AD20)</f>
        <v/>
      </c>
    </row>
    <row r="21">
      <c r="B21" t="inlineStr">
        <is>
          <t>Subcontracting 5005</t>
        </is>
      </c>
      <c r="N21" s="10" t="n">
        <v>115671.98</v>
      </c>
      <c r="AE21" s="9">
        <f>SUM(C21:AD21)</f>
        <v/>
      </c>
    </row>
    <row r="22">
      <c r="B22" t="inlineStr">
        <is>
          <t>Consulting 5002</t>
        </is>
      </c>
      <c r="F22" s="10" t="n">
        <v>13675</v>
      </c>
      <c r="J22" s="10" t="n">
        <v>10850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J25" s="10" t="n">
        <v>26856.25</v>
      </c>
      <c r="N25" s="10" t="n">
        <v>16425</v>
      </c>
      <c r="AE25" s="9">
        <f>SUM(C25:AD25)</f>
        <v/>
      </c>
    </row>
    <row r="26">
      <c r="B26" t="inlineStr">
        <is>
          <t>Material 5003</t>
        </is>
      </c>
      <c r="J26" s="10" t="n">
        <v>10766.22</v>
      </c>
      <c r="N26" s="10" t="n">
        <v>1873.81</v>
      </c>
      <c r="AE26" s="9">
        <f>SUM(C26:AD26)</f>
        <v/>
      </c>
    </row>
    <row r="27">
      <c r="B27" t="inlineStr">
        <is>
          <t>Sub K Overhead 5992</t>
        </is>
      </c>
      <c r="N27" s="10" t="n">
        <v>9058.389999999999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186910.32</v>
      </c>
      <c r="J29" s="10" t="n">
        <v>538988.41</v>
      </c>
      <c r="N29" s="10" t="n">
        <v>449617.67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1ADP039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39 OSD Navy CRANE MINSEC FHE Write Platform for Antenna Printing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51242.09</v>
      </c>
      <c r="J18" s="10" t="n">
        <v>20614.4</v>
      </c>
      <c r="N18" s="10" t="n">
        <v>11433.49</v>
      </c>
      <c r="AE18" s="9">
        <f>SUM(C18:AD18)</f>
        <v/>
      </c>
    </row>
    <row r="19">
      <c r="B19" t="inlineStr">
        <is>
          <t>Fringe 5990</t>
        </is>
      </c>
      <c r="F19" s="10" t="n">
        <v>21306.46</v>
      </c>
      <c r="J19" s="10" t="n">
        <v>8136.5</v>
      </c>
      <c r="N19" s="10" t="n">
        <v>4907.25</v>
      </c>
      <c r="AE19" s="9">
        <f>SUM(C19:AD19)</f>
        <v/>
      </c>
    </row>
    <row r="20">
      <c r="B20" t="inlineStr">
        <is>
          <t>Travel 5004</t>
        </is>
      </c>
      <c r="F20" s="10" t="n">
        <v>231.04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J24" s="10" t="n">
        <v>383180</v>
      </c>
      <c r="AE24" s="9">
        <f>SUM(C24:AD24)</f>
        <v/>
      </c>
    </row>
    <row r="25">
      <c r="B25" t="inlineStr">
        <is>
          <t>Other Direct Costs 5009</t>
        </is>
      </c>
      <c r="J25" s="10" t="n">
        <v>408</v>
      </c>
      <c r="AE25" s="9">
        <f>SUM(C25:AD25)</f>
        <v/>
      </c>
    </row>
    <row r="26">
      <c r="B26" t="inlineStr">
        <is>
          <t>Material 5003</t>
        </is>
      </c>
      <c r="J26" s="10" t="n">
        <v>6175.43</v>
      </c>
      <c r="N26" s="10" t="n">
        <v>350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186083.95</v>
      </c>
      <c r="J29" s="10" t="n">
        <v>293429.25</v>
      </c>
      <c r="N29" s="10" t="n">
        <v>21554.42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1ADP040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40 DTRA Follow-on Drive Mfg Development for Fully Flexible High Performing Electronics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3129.73</v>
      </c>
      <c r="N18" s="10" t="n">
        <v>211.37</v>
      </c>
      <c r="AE18" s="9">
        <f>SUM(C18:AD18)</f>
        <v/>
      </c>
    </row>
    <row r="19">
      <c r="B19" t="inlineStr">
        <is>
          <t>Fringe 5990</t>
        </is>
      </c>
      <c r="J19" s="10" t="n">
        <v>1235.3</v>
      </c>
      <c r="N19" s="10" t="n">
        <v>90.72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94009.50999999999</v>
      </c>
      <c r="J29" s="10" t="n">
        <v>85670.58</v>
      </c>
      <c r="N29" s="10" t="n">
        <v>390.12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41 AFRL Expanded T&amp;E of Wearable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27472.83</v>
      </c>
      <c r="AE18" s="9">
        <f>SUM(C18:AD18)</f>
        <v/>
      </c>
    </row>
    <row r="19">
      <c r="B19" t="inlineStr">
        <is>
          <t>Fringe 5990</t>
        </is>
      </c>
      <c r="N19" s="10" t="n">
        <v>11423.2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9218.360000000001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42 OUSD(I) H4x framework to build and deploy DOD solution and Manufacturing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1ADP043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43 OUSD(I) Training and Curation Reverse Engineering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1ADP044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44 AFRL Physio: Develop, test, Manufacture Airworthy Base Layer Garment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234.73</v>
      </c>
      <c r="N18" s="10" t="n">
        <v>50350.6</v>
      </c>
      <c r="AE18" s="9">
        <f>SUM(C18:AD18)</f>
        <v/>
      </c>
    </row>
    <row r="19">
      <c r="B19" t="inlineStr">
        <is>
          <t>Fringe 5990</t>
        </is>
      </c>
      <c r="J19" s="10" t="n">
        <v>92.65000000000001</v>
      </c>
      <c r="N19" s="10" t="n">
        <v>20172.05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P21" s="10" t="n">
        <v>164555.63</v>
      </c>
      <c r="Q21" s="10" t="n">
        <v>-0.84</v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P27" s="10" t="n">
        <v>4656.92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30975.26</v>
      </c>
      <c r="J29" s="10" t="n">
        <v>83814.41</v>
      </c>
      <c r="N29" s="10" t="n">
        <v>15840.06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45 - ARL Anti-Jam Technology Demo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F20" s="10" t="n">
        <v>53834.4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103954.74</v>
      </c>
      <c r="J29" s="10" t="n">
        <v>33177.91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47 OUSD - Civil - Military Collaboraion Initiative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85.17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48 - OUSD(I) Follow-on from Project #27 &amp; 2019 Science &amp; Innovation Awards - Good Entertainment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658.11</v>
      </c>
      <c r="N18" s="10" t="n">
        <v>95213.83</v>
      </c>
      <c r="AE18" s="9">
        <f>SUM(C18:AD18)</f>
        <v/>
      </c>
    </row>
    <row r="19">
      <c r="B19" t="inlineStr">
        <is>
          <t>Fringe 5990</t>
        </is>
      </c>
      <c r="J19" s="10" t="n">
        <v>259.76</v>
      </c>
      <c r="N19" s="10" t="n">
        <v>37580.9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F22" s="10" t="n">
        <v>94360.53</v>
      </c>
      <c r="J22" s="10" t="n">
        <v>26000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125771.78</v>
      </c>
      <c r="J29" s="10" t="n">
        <v>16959.73</v>
      </c>
      <c r="N29" s="10" t="n">
        <v>71788.83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46 - ARL Follow-on to Proj #5 (ACRN AK) Multi-Capability Sensor and Die Assembly Process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290.64</v>
      </c>
      <c r="AE18" s="9">
        <f>SUM(C18:AD18)</f>
        <v/>
      </c>
    </row>
    <row r="19">
      <c r="B19" t="inlineStr">
        <is>
          <t>Fringe 5990</t>
        </is>
      </c>
      <c r="J19" s="10" t="n">
        <v>114.72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45265.76</v>
      </c>
      <c r="J29" s="10" t="n">
        <v>32117.36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1ADP049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49 - CCDC-AC FHE Humidity Environmental Sensor for Munitions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18375.25</v>
      </c>
      <c r="J29" s="10" t="n">
        <v>65701.78999999999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1ADP050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50 - OUSD Intelligence Operating Model Design &amp; Pilot Team Training &amp; Problem Curation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23463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51 - MDA Conformal Antennas for Telemetry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52 - NASA Development of Flexible Multi-Sensor Device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65069.59</v>
      </c>
      <c r="AE18" s="9">
        <f>SUM(C18:AD18)</f>
        <v/>
      </c>
    </row>
    <row r="19">
      <c r="B19" t="inlineStr">
        <is>
          <t>Fringe 5990</t>
        </is>
      </c>
      <c r="F19" s="10" t="n">
        <v>27055.94</v>
      </c>
      <c r="AE19" s="9">
        <f>SUM(C19:AD19)</f>
        <v/>
      </c>
    </row>
    <row r="20">
      <c r="B20" t="inlineStr">
        <is>
          <t>Travel 5004</t>
        </is>
      </c>
      <c r="F20" s="10" t="n">
        <v>848.15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F22" s="10" t="n">
        <v>2050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F26" s="10" t="n">
        <v>91.78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25749.52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1ADP053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53 - CCDC-ARL Land Environment Laser Awareness Detection (LELAND)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86006.62</v>
      </c>
      <c r="J29" s="10" t="n">
        <v>106291.63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1ADP054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54 - OUSD(I) EA&amp;M Team (Follow-on Project 50)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93283.2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55 - OUSD NASIC FME Civilian Collaboration Framework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105465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56 - NSIN Civil Military Collab oration Initiative (Follow-On ADP#50)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106650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57 - OUSD (RE) Mantech Flexible X-Ray Image  Digital Deterctor Arrays (DDA) - Phase 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573.54</v>
      </c>
      <c r="J18" s="10" t="n">
        <v>3605.3</v>
      </c>
      <c r="AE18" s="9">
        <f>SUM(C18:AD18)</f>
        <v/>
      </c>
    </row>
    <row r="19">
      <c r="B19" t="inlineStr">
        <is>
          <t>Fringe 5990</t>
        </is>
      </c>
      <c r="F19" s="10" t="n">
        <v>238.48</v>
      </c>
      <c r="J19" s="10" t="n">
        <v>1423.01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192.45</v>
      </c>
      <c r="J29" s="10" t="n">
        <v>451286.56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58 - DMEA Strategic Innovation Project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196710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1ADP059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59 - DTRA Flexible Scintillators X-Ray Imagers (Follow -on Project #7)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615.72</v>
      </c>
      <c r="AE18" s="9">
        <f>SUM(C18:AD18)</f>
        <v/>
      </c>
    </row>
    <row r="19">
      <c r="B19" t="inlineStr">
        <is>
          <t>Fringe 5990</t>
        </is>
      </c>
      <c r="N19" s="10" t="n">
        <v>264.27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8783.219999999999</v>
      </c>
      <c r="J29" s="10" t="n">
        <v>81090</v>
      </c>
      <c r="N29" s="10" t="n">
        <v>1136.42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1ADP060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60 - AFRL Solutions for Fatigue Sensing &amp; Mitigation in Aerospace Environment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14432.34</v>
      </c>
      <c r="AE18" s="9">
        <f>SUM(C18:AD18)</f>
        <v/>
      </c>
    </row>
    <row r="19">
      <c r="B19" t="inlineStr">
        <is>
          <t>Fringe 5990</t>
        </is>
      </c>
      <c r="F19" s="10" t="n">
        <v>6000.97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F22" s="10" t="n">
        <v>9300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7046.79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1ADP061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Project 61 - C5ISR - Y20 Soldier Authentication Project Prototype 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171739.75</v>
      </c>
      <c r="J18" s="10" t="n">
        <v>261817.86</v>
      </c>
      <c r="N18" s="10" t="n">
        <v>20305.62</v>
      </c>
      <c r="AE18" s="9">
        <f>SUM(C18:AD18)</f>
        <v/>
      </c>
    </row>
    <row r="19">
      <c r="B19" t="inlineStr">
        <is>
          <t>Fringe 5990</t>
        </is>
      </c>
      <c r="F19" s="10" t="n">
        <v>71409.39</v>
      </c>
      <c r="J19" s="10" t="n">
        <v>103339.51</v>
      </c>
      <c r="N19" s="10" t="n">
        <v>8715.17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60425.59</v>
      </c>
      <c r="J29" s="10" t="n">
        <v>232339.18</v>
      </c>
      <c r="N29" s="10" t="n">
        <v>37477.44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0 IQM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1 Cal Poly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1PC003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1 Binghamton Univ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1PC004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1 Univ of MA Amherst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1 Univ of MA Lowell PC 1.0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1 UTRC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1 PARC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1 Purdue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1PC009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1 UC Berkeley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1PC010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2 Uniqarta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2 Universal Instruments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N24" s="10" t="n">
        <v>161320.7</v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2 Meyer Burger US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1PC013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2 Sensor Films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1PC014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2 Boeing 2.3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2 Lockheed Martin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2 Hewlett Packard Labs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2 Georgia Tech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2 U of Mass Lowell PC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1PC019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2 Auburn University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1PC020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2 SI2 Technologies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2 Boeing 2.6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2 American Semiconductor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1PC023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2 Purdue Univ PC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1PC024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2 Binghamton Univ Proj 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109786.65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2 Lorain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3 Lockheed Martin 3.1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3 Boeing PPFHE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3 MicroConnex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1PC029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3 Boeing CMSA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1PC030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3 GA Tech Lkheed Martin 3.6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N27" s="10" t="n">
        <v>-2.54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3 Binghamton Univ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N27" s="10" t="n">
        <v>2245.62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Binghamton Univ.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1PC033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3 Epicore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1PC034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4 Flex 4.1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598.49</v>
      </c>
      <c r="J18" s="10" t="n">
        <v>2142.44</v>
      </c>
      <c r="AE18" s="9">
        <f>SUM(C18:AD18)</f>
        <v/>
      </c>
    </row>
    <row r="19">
      <c r="B19" t="inlineStr">
        <is>
          <t>Fringe 5990</t>
        </is>
      </c>
      <c r="F19" s="10" t="n">
        <v>248.85</v>
      </c>
      <c r="J19" s="10" t="n">
        <v>845.62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F26" s="10" t="n">
        <v>5000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1385.82</v>
      </c>
      <c r="J29" s="10" t="n">
        <v>1615.35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4 UML Eastman 4.1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6770.7</v>
      </c>
      <c r="J18" s="10" t="n">
        <v>797.6900000000001</v>
      </c>
      <c r="AE18" s="9">
        <f>SUM(C18:AD18)</f>
        <v/>
      </c>
    </row>
    <row r="19">
      <c r="B19" t="inlineStr">
        <is>
          <t>Fringe 5990</t>
        </is>
      </c>
      <c r="F19" s="10" t="n">
        <v>2815.26</v>
      </c>
      <c r="J19" s="10" t="n">
        <v>314.85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2271.87</v>
      </c>
      <c r="J29" s="10" t="n">
        <v>601.4400000000001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4 Boeing 4.5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4 Boeing 4.7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N25" s="10" t="n">
        <v>-1600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-2066.24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4 GE Global 4.8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1PC039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4 Boeing 4.9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J22" s="10" t="n">
        <v>5000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2703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1PC040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4 Lockheed Martin 4.9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5 Worcester Polytechnic 5.1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2373.36</v>
      </c>
      <c r="J18" s="10" t="n">
        <v>8171.99</v>
      </c>
      <c r="N18" s="10" t="n">
        <v>129.78</v>
      </c>
      <c r="AE18" s="9">
        <f>SUM(C18:AD18)</f>
        <v/>
      </c>
    </row>
    <row r="19">
      <c r="B19" t="inlineStr">
        <is>
          <t>Fringe 5990</t>
        </is>
      </c>
      <c r="F19" s="10" t="n">
        <v>986.84</v>
      </c>
      <c r="J19" s="10" t="n">
        <v>3225.48</v>
      </c>
      <c r="N19" s="10" t="n">
        <v>55.7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N27" s="10" t="n">
        <v>50.98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796.37</v>
      </c>
      <c r="J29" s="10" t="n">
        <v>6161.47</v>
      </c>
      <c r="N29" s="10" t="n">
        <v>239.53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5 Binghamton 5.2A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1PC043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5 SysteMECH 5.2B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1PC044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5 HP 5.3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5 GE Global 5.4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N27" s="10" t="n">
        <v>-128.13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5 Binghamton LMC 5.5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5 Auburn 5.6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5 Boeing 5.7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1PC049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5 GE Global 5.7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1PC050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5 GE Global 5.8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5 Boeing 5.9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5 Lockheed Martin 5.10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N27" s="10" t="n">
        <v>1133.88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1PC053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0 Auburn University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1PC054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PC 0 GE Global Research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2ADP001</t>
        </is>
      </c>
    </row>
    <row r="4">
      <c r="A4" s="1" t="inlineStr">
        <is>
          <t>ROLLUP #</t>
        </is>
      </c>
      <c r="B4" t="inlineStr">
        <is>
          <t>1001</t>
        </is>
      </c>
    </row>
    <row r="5">
      <c r="A5" s="1" t="inlineStr">
        <is>
          <t>PROJECT NAME</t>
        </is>
      </c>
      <c r="B5" t="inlineStr">
        <is>
          <t>Strategic Innovation Project Ph2</t>
        </is>
      </c>
    </row>
    <row r="6">
      <c r="A6" s="1" t="inlineStr">
        <is>
          <t>TECHNICAL POINT OF CONTACT</t>
        </is>
      </c>
      <c r="B6" t="inlineStr">
        <is>
          <t>Aman S Gahoonia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AC</t>
        </is>
      </c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26427.52</v>
      </c>
      <c r="J18" s="10" t="n">
        <v>324777.02</v>
      </c>
      <c r="N18" s="10" t="n">
        <v>117378.33</v>
      </c>
      <c r="AE18" s="9">
        <f>SUM(C18:AD18)</f>
        <v/>
      </c>
    </row>
    <row r="19">
      <c r="B19" t="inlineStr">
        <is>
          <t>Fringe 5990</t>
        </is>
      </c>
      <c r="F19" s="10" t="n">
        <v>10988.56</v>
      </c>
      <c r="J19" s="10" t="n">
        <v>128189.49</v>
      </c>
      <c r="N19" s="10" t="n">
        <v>50378.83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F21" s="10" t="n">
        <v>1863318.86</v>
      </c>
      <c r="J21" s="10" t="n">
        <v>22353275.44</v>
      </c>
      <c r="N21" s="10" t="n">
        <v>715405.39</v>
      </c>
      <c r="AE21" s="9">
        <f>SUM(C21:AD21)</f>
        <v/>
      </c>
    </row>
    <row r="22">
      <c r="B22" t="inlineStr">
        <is>
          <t>Consulting 5002</t>
        </is>
      </c>
      <c r="J22" s="10" t="n">
        <v>24118.05</v>
      </c>
      <c r="N22" s="10" t="n">
        <v>24045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J24" s="10" t="n">
        <v>520904.67</v>
      </c>
      <c r="N24" s="10" t="n">
        <v>93165.06</v>
      </c>
      <c r="AE24" s="9">
        <f>SUM(C24:AD24)</f>
        <v/>
      </c>
    </row>
    <row r="25">
      <c r="B25" t="inlineStr">
        <is>
          <t>Other Direct Costs 5009</t>
        </is>
      </c>
      <c r="J25" s="10" t="n">
        <v>59857.85</v>
      </c>
      <c r="N25" s="10" t="n">
        <v>95947.14999999999</v>
      </c>
      <c r="AE25" s="9">
        <f>SUM(C25:AD25)</f>
        <v/>
      </c>
    </row>
    <row r="26">
      <c r="B26" t="inlineStr">
        <is>
          <t>Material 5003</t>
        </is>
      </c>
      <c r="J26" s="10" t="n">
        <v>55369.72</v>
      </c>
      <c r="N26" s="10" t="n">
        <v>45630.26</v>
      </c>
      <c r="AE26" s="9">
        <f>SUM(C26:AD26)</f>
        <v/>
      </c>
    </row>
    <row r="27">
      <c r="B27" t="inlineStr">
        <is>
          <t>Sub K Overhead 5992</t>
        </is>
      </c>
      <c r="N27" s="10" t="n">
        <v>18743.62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12652.3</v>
      </c>
      <c r="J29" s="10" t="n">
        <v>607236.1800000001</v>
      </c>
      <c r="N29" s="10" t="n">
        <v>550839.6800000001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F32" s="10" t="n">
        <v>123790.6</v>
      </c>
      <c r="G32" s="10" t="n">
        <v>123790.6</v>
      </c>
      <c r="H32" s="10" t="n">
        <v>123790.6</v>
      </c>
      <c r="I32" s="10" t="n">
        <v>123790.6</v>
      </c>
      <c r="J32" s="10" t="n">
        <v>123790.6</v>
      </c>
      <c r="K32" s="10" t="n">
        <v>123790.6</v>
      </c>
      <c r="L32" s="10" t="n">
        <v>123790.6</v>
      </c>
      <c r="M32" s="10" t="n">
        <v>123790.6</v>
      </c>
      <c r="N32" s="10" t="n">
        <v>123790.6</v>
      </c>
      <c r="O32" s="10" t="n">
        <v>123790.6</v>
      </c>
      <c r="AE32" s="9">
        <f>SUM(C32:AD32)</f>
        <v/>
      </c>
    </row>
    <row r="33">
      <c r="B33" t="inlineStr">
        <is>
          <t>Fringe 5990</t>
        </is>
      </c>
      <c r="F33" s="10" t="n">
        <v>51472.13</v>
      </c>
      <c r="G33" s="10" t="n">
        <v>51472.13</v>
      </c>
      <c r="H33" s="10" t="n">
        <v>51472.13</v>
      </c>
      <c r="I33" s="10" t="n">
        <v>51472.13</v>
      </c>
      <c r="J33" s="10" t="n">
        <v>51472.13</v>
      </c>
      <c r="K33" s="10" t="n">
        <v>51472.13</v>
      </c>
      <c r="L33" s="10" t="n">
        <v>51472.13</v>
      </c>
      <c r="M33" s="10" t="n">
        <v>51472.13</v>
      </c>
      <c r="N33" s="10" t="n">
        <v>51472.13</v>
      </c>
      <c r="O33" s="10" t="n">
        <v>51472.13</v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F35" s="10" t="n">
        <v>2493200</v>
      </c>
      <c r="G35" s="10" t="n">
        <v>2493200</v>
      </c>
      <c r="H35" s="10" t="n">
        <v>2493200</v>
      </c>
      <c r="I35" s="10" t="n">
        <v>2493200</v>
      </c>
      <c r="J35" s="10" t="n">
        <v>2493200</v>
      </c>
      <c r="K35" s="10" t="n">
        <v>2493200</v>
      </c>
      <c r="L35" s="10" t="n">
        <v>2493200</v>
      </c>
      <c r="M35" s="10" t="n">
        <v>2493200</v>
      </c>
      <c r="N35" s="10" t="n">
        <v>2493200</v>
      </c>
      <c r="O35" s="10" t="n">
        <v>2493200</v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F43" s="10" t="n">
        <v>41537.27</v>
      </c>
      <c r="G43" s="10" t="n">
        <v>41537.27</v>
      </c>
      <c r="H43" s="10" t="n">
        <v>41537.27</v>
      </c>
      <c r="I43" s="10" t="n">
        <v>41537.27</v>
      </c>
      <c r="J43" s="10" t="n">
        <v>41537.27</v>
      </c>
      <c r="K43" s="10" t="n">
        <v>41537.27</v>
      </c>
      <c r="L43" s="10" t="n">
        <v>41537.27</v>
      </c>
      <c r="M43" s="10" t="n">
        <v>41537.27</v>
      </c>
      <c r="N43" s="10" t="n">
        <v>41537.27</v>
      </c>
      <c r="O43" s="10" t="n">
        <v>41537.27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F45" s="10" t="n">
        <v>27100000</v>
      </c>
      <c r="AE45" s="9">
        <f>SUM(C45:AD45)</f>
        <v/>
      </c>
    </row>
    <row r="46">
      <c r="B46" t="inlineStr">
        <is>
          <t>Obligated</t>
        </is>
      </c>
      <c r="F46" s="10" t="n">
        <v>27100000</v>
      </c>
      <c r="AE46" s="9">
        <f>SUM(C46:AD46)</f>
        <v/>
      </c>
    </row>
    <row r="47">
      <c r="B47" t="inlineStr">
        <is>
          <t>Expended</t>
        </is>
      </c>
      <c r="G47" s="10" t="n">
        <v>5500000</v>
      </c>
      <c r="H47" s="10" t="n">
        <v>21600000</v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2ADP002</t>
        </is>
      </c>
    </row>
    <row r="4">
      <c r="A4" s="1" t="inlineStr">
        <is>
          <t>ROLLUP #</t>
        </is>
      </c>
      <c r="B4" t="inlineStr">
        <is>
          <t>1002</t>
        </is>
      </c>
    </row>
    <row r="5">
      <c r="A5" s="1" t="inlineStr">
        <is>
          <t>PROJECT NAME</t>
        </is>
      </c>
      <c r="B5" t="inlineStr">
        <is>
          <t>Civil Military Collaboration Initiative Phase II</t>
        </is>
      </c>
    </row>
    <row r="6">
      <c r="A6" s="1" t="inlineStr">
        <is>
          <t>TECHNICAL POINT OF CONTACT</t>
        </is>
      </c>
      <c r="B6" t="inlineStr">
        <is>
          <t>Glen Bernard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AE</t>
        </is>
      </c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2665.24</v>
      </c>
      <c r="J18" s="10" t="n">
        <v>25923.6</v>
      </c>
      <c r="N18" s="10" t="n">
        <v>-4648.97</v>
      </c>
      <c r="O18" s="10" t="n">
        <v>2197.32</v>
      </c>
      <c r="R18" s="10" t="n">
        <v>-115</v>
      </c>
      <c r="AE18" s="9">
        <f>SUM(C18:AD18)</f>
        <v/>
      </c>
    </row>
    <row r="19">
      <c r="B19" t="inlineStr">
        <is>
          <t>Fringe 5990</t>
        </is>
      </c>
      <c r="F19" s="10" t="n">
        <v>1108.21</v>
      </c>
      <c r="J19" s="10" t="n">
        <v>10232.05</v>
      </c>
      <c r="N19" s="10" t="n">
        <v>-1995.35</v>
      </c>
      <c r="O19" s="10" t="n">
        <v>994.95</v>
      </c>
      <c r="R19" s="10" t="n">
        <v>-52.07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F21" s="10" t="n">
        <v>828000</v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J24" s="10" t="n">
        <v>13789.78</v>
      </c>
      <c r="AE24" s="9">
        <f>SUM(C24:AD24)</f>
        <v/>
      </c>
    </row>
    <row r="25">
      <c r="B25" t="inlineStr">
        <is>
          <t>Other Direct Costs 5009</t>
        </is>
      </c>
      <c r="J25" s="10" t="n">
        <v>1398.04</v>
      </c>
      <c r="N25" s="10" t="n">
        <v>314.32</v>
      </c>
      <c r="AE25" s="9">
        <f>SUM(C25:AD25)</f>
        <v/>
      </c>
    </row>
    <row r="26">
      <c r="B26" t="inlineStr">
        <is>
          <t>Material 5003</t>
        </is>
      </c>
      <c r="J26" s="10" t="n">
        <v>1253.14</v>
      </c>
      <c r="N26" s="10" t="n">
        <v>555.52</v>
      </c>
      <c r="O26" s="10" t="n">
        <v>720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894.3099999999999</v>
      </c>
      <c r="J29" s="10" t="n">
        <v>34192.36</v>
      </c>
      <c r="N29" s="10" t="n">
        <v>-7457.35</v>
      </c>
      <c r="O29" s="10" t="n">
        <v>5661.84</v>
      </c>
      <c r="R29" s="10" t="n">
        <v>-240.93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F32" s="10" t="n">
        <v>4111.12</v>
      </c>
      <c r="G32" s="10" t="n">
        <v>4111.12</v>
      </c>
      <c r="H32" s="10" t="n">
        <v>4111.12</v>
      </c>
      <c r="I32" s="10" t="n">
        <v>4111.12</v>
      </c>
      <c r="J32" s="10" t="n">
        <v>4111.12</v>
      </c>
      <c r="K32" s="10" t="n">
        <v>4111.12</v>
      </c>
      <c r="L32" s="10" t="n">
        <v>4111.12</v>
      </c>
      <c r="M32" s="10" t="n">
        <v>4111.12</v>
      </c>
      <c r="N32" s="10" t="n">
        <v>4111.12</v>
      </c>
      <c r="O32" s="10" t="n">
        <v>4111.12</v>
      </c>
      <c r="AE32" s="9">
        <f>SUM(C32:AD32)</f>
        <v/>
      </c>
    </row>
    <row r="33">
      <c r="B33" t="inlineStr">
        <is>
          <t>Fringe 5990</t>
        </is>
      </c>
      <c r="F33" s="10" t="n">
        <v>1709.41</v>
      </c>
      <c r="G33" s="10" t="n">
        <v>1709.41</v>
      </c>
      <c r="H33" s="10" t="n">
        <v>1709.41</v>
      </c>
      <c r="I33" s="10" t="n">
        <v>1709.41</v>
      </c>
      <c r="J33" s="10" t="n">
        <v>1709.41</v>
      </c>
      <c r="K33" s="10" t="n">
        <v>1709.41</v>
      </c>
      <c r="L33" s="10" t="n">
        <v>1709.41</v>
      </c>
      <c r="M33" s="10" t="n">
        <v>1709.41</v>
      </c>
      <c r="N33" s="10" t="n">
        <v>1709.41</v>
      </c>
      <c r="O33" s="10" t="n">
        <v>1709.41</v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F35" s="10" t="n">
        <v>82800</v>
      </c>
      <c r="G35" s="10" t="n">
        <v>82800</v>
      </c>
      <c r="H35" s="10" t="n">
        <v>82800</v>
      </c>
      <c r="I35" s="10" t="n">
        <v>82800</v>
      </c>
      <c r="J35" s="10" t="n">
        <v>82800</v>
      </c>
      <c r="K35" s="10" t="n">
        <v>82800</v>
      </c>
      <c r="L35" s="10" t="n">
        <v>82800</v>
      </c>
      <c r="M35" s="10" t="n">
        <v>82800</v>
      </c>
      <c r="N35" s="10" t="n">
        <v>82800</v>
      </c>
      <c r="O35" s="10" t="n">
        <v>82800</v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F43" s="10" t="n">
        <v>1379.47</v>
      </c>
      <c r="G43" s="10" t="n">
        <v>1379.47</v>
      </c>
      <c r="H43" s="10" t="n">
        <v>1379.47</v>
      </c>
      <c r="I43" s="10" t="n">
        <v>1379.47</v>
      </c>
      <c r="J43" s="10" t="n">
        <v>1379.47</v>
      </c>
      <c r="K43" s="10" t="n">
        <v>1379.47</v>
      </c>
      <c r="L43" s="10" t="n">
        <v>1379.47</v>
      </c>
      <c r="M43" s="10" t="n">
        <v>1379.47</v>
      </c>
      <c r="N43" s="10" t="n">
        <v>1379.47</v>
      </c>
      <c r="O43" s="10" t="n">
        <v>1379.47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F45" s="10" t="n">
        <v>900000</v>
      </c>
      <c r="AE45" s="9">
        <f>SUM(C45:AD45)</f>
        <v/>
      </c>
    </row>
    <row r="46">
      <c r="B46" t="inlineStr">
        <is>
          <t>Obligated</t>
        </is>
      </c>
      <c r="F46" s="10" t="n">
        <v>900000</v>
      </c>
      <c r="AE46" s="9">
        <f>SUM(C46:AD46)</f>
        <v/>
      </c>
    </row>
    <row r="47">
      <c r="B47" t="inlineStr">
        <is>
          <t>Expended</t>
        </is>
      </c>
      <c r="G47" s="10" t="n">
        <v>200000</v>
      </c>
      <c r="H47" s="10" t="n">
        <v>700000</v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2ADP003</t>
        </is>
      </c>
    </row>
    <row r="4">
      <c r="A4" s="1" t="inlineStr">
        <is>
          <t>ROLLUP #</t>
        </is>
      </c>
      <c r="B4" t="inlineStr">
        <is>
          <t>1003</t>
        </is>
      </c>
    </row>
    <row r="5">
      <c r="A5" s="1" t="inlineStr">
        <is>
          <t>PROJECT NAME</t>
        </is>
      </c>
      <c r="B5" t="inlineStr">
        <is>
          <t>Development nd Assessment of Novel Advanced Hybrid Electronics for Weapons nd Armaments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AF</t>
        </is>
      </c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3115.28</v>
      </c>
      <c r="J18" s="10" t="n">
        <v>207856.67</v>
      </c>
      <c r="N18" s="10" t="n">
        <v>57213.39</v>
      </c>
      <c r="O18" s="10" t="n">
        <v>155.74</v>
      </c>
      <c r="R18" s="10" t="n">
        <v>-7701.82</v>
      </c>
      <c r="AE18" s="9">
        <f>SUM(C18:AD18)</f>
        <v/>
      </c>
    </row>
    <row r="19">
      <c r="B19" t="inlineStr">
        <is>
          <t>Fringe 5990</t>
        </is>
      </c>
      <c r="F19" s="10" t="n">
        <v>1295.33</v>
      </c>
      <c r="J19" s="10" t="n">
        <v>82041.03</v>
      </c>
      <c r="N19" s="10" t="n">
        <v>24555.97</v>
      </c>
      <c r="O19" s="10" t="n">
        <v>70.52</v>
      </c>
      <c r="R19" s="10" t="n">
        <v>-3487.38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J21" s="10" t="n">
        <v>2458399.18</v>
      </c>
      <c r="N21" s="10" t="n">
        <v>2143125.17</v>
      </c>
      <c r="O21" s="10" t="n">
        <v>246997.4</v>
      </c>
      <c r="P21" s="10" t="n">
        <v>-1078</v>
      </c>
      <c r="Q21" s="10" t="n">
        <v>7494</v>
      </c>
      <c r="S21" s="10" t="n">
        <v>143609</v>
      </c>
      <c r="U21" s="10" t="n">
        <v>10552.5</v>
      </c>
      <c r="V21" s="10" t="n">
        <v>36921.5</v>
      </c>
      <c r="W21" s="10" t="n">
        <v>13511</v>
      </c>
      <c r="AE21" s="9">
        <f>SUM(C21:AD21)</f>
        <v/>
      </c>
    </row>
    <row r="22">
      <c r="B22" t="inlineStr">
        <is>
          <t>Consulting 5002</t>
        </is>
      </c>
      <c r="J22" s="10" t="n">
        <v>8284.75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J24" s="10" t="n">
        <v>66279.69</v>
      </c>
      <c r="AE24" s="9">
        <f>SUM(C24:AD24)</f>
        <v/>
      </c>
    </row>
    <row r="25">
      <c r="B25" t="inlineStr">
        <is>
          <t>Other Direct Costs 5009</t>
        </is>
      </c>
      <c r="J25" s="10" t="n">
        <v>19262</v>
      </c>
      <c r="N25" s="10" t="n">
        <v>6104</v>
      </c>
      <c r="AE25" s="9">
        <f>SUM(C25:AD25)</f>
        <v/>
      </c>
    </row>
    <row r="26">
      <c r="B26" t="inlineStr">
        <is>
          <t>Material 5003</t>
        </is>
      </c>
      <c r="J26" s="10" t="n">
        <v>35393.38</v>
      </c>
      <c r="N26" s="10" t="n">
        <v>8069.46</v>
      </c>
      <c r="AE26" s="9">
        <f>SUM(C26:AD26)</f>
        <v/>
      </c>
    </row>
    <row r="27">
      <c r="B27" t="inlineStr">
        <is>
          <t>Sub K Overhead 5992</t>
        </is>
      </c>
      <c r="N27" s="10" t="n">
        <v>56149.86</v>
      </c>
      <c r="O27" s="10" t="n">
        <v>6990.03</v>
      </c>
      <c r="P27" s="10" t="n">
        <v>-30.5</v>
      </c>
      <c r="Q27" s="10" t="n">
        <v>212.08</v>
      </c>
      <c r="S27" s="10" t="n">
        <v>4064.13</v>
      </c>
      <c r="T27" s="10" t="n">
        <v>330.3</v>
      </c>
      <c r="U27" s="10" t="n">
        <v>322.91</v>
      </c>
      <c r="V27" s="10" t="n">
        <v>-4512.68</v>
      </c>
      <c r="W27" s="10" t="n">
        <v>395.87</v>
      </c>
      <c r="Y27" s="10" t="n">
        <v>-395.87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1161.83</v>
      </c>
      <c r="J29" s="10" t="n">
        <v>239683.43</v>
      </c>
      <c r="N29" s="10" t="n">
        <v>123900.59</v>
      </c>
      <c r="O29" s="10" t="n">
        <v>327.44</v>
      </c>
      <c r="R29" s="10" t="n">
        <v>-16193.12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F32" s="10" t="n">
        <v>17441.67</v>
      </c>
      <c r="G32" s="10" t="n">
        <v>17441.67</v>
      </c>
      <c r="H32" s="10" t="n">
        <v>17441.67</v>
      </c>
      <c r="I32" s="10" t="n">
        <v>17441.67</v>
      </c>
      <c r="J32" s="10" t="n">
        <v>17441.67</v>
      </c>
      <c r="K32" s="10" t="n">
        <v>17441.67</v>
      </c>
      <c r="L32" s="10" t="n">
        <v>17441.67</v>
      </c>
      <c r="M32" s="10" t="n">
        <v>17441.67</v>
      </c>
      <c r="N32" s="10" t="n">
        <v>17441.67</v>
      </c>
      <c r="O32" s="10" t="n">
        <v>17441.67</v>
      </c>
      <c r="P32" s="10" t="n">
        <v>17441.67</v>
      </c>
      <c r="Q32" s="10" t="n">
        <v>17441.67</v>
      </c>
      <c r="R32" s="10" t="n">
        <v>17441.67</v>
      </c>
      <c r="S32" s="10" t="n">
        <v>17441.67</v>
      </c>
      <c r="T32" s="10" t="n">
        <v>17441.67</v>
      </c>
      <c r="U32" s="10" t="n">
        <v>17441.67</v>
      </c>
      <c r="V32" s="10" t="n">
        <v>17441.67</v>
      </c>
      <c r="W32" s="10" t="n">
        <v>17441.67</v>
      </c>
      <c r="AE32" s="9">
        <f>SUM(C32:AD32)</f>
        <v/>
      </c>
    </row>
    <row r="33">
      <c r="B33" t="inlineStr">
        <is>
          <t>Fringe 5990</t>
        </is>
      </c>
      <c r="F33" s="10" t="n">
        <v>7252.25</v>
      </c>
      <c r="G33" s="10" t="n">
        <v>7252.25</v>
      </c>
      <c r="H33" s="10" t="n">
        <v>7252.25</v>
      </c>
      <c r="I33" s="10" t="n">
        <v>7252.25</v>
      </c>
      <c r="J33" s="10" t="n">
        <v>7252.25</v>
      </c>
      <c r="K33" s="10" t="n">
        <v>7252.25</v>
      </c>
      <c r="L33" s="10" t="n">
        <v>7252.25</v>
      </c>
      <c r="M33" s="10" t="n">
        <v>7252.25</v>
      </c>
      <c r="N33" s="10" t="n">
        <v>7252.25</v>
      </c>
      <c r="O33" s="10" t="n">
        <v>7252.25</v>
      </c>
      <c r="P33" s="10" t="n">
        <v>7252.25</v>
      </c>
      <c r="Q33" s="10" t="n">
        <v>7252.25</v>
      </c>
      <c r="R33" s="10" t="n">
        <v>7252.25</v>
      </c>
      <c r="S33" s="10" t="n">
        <v>7252.25</v>
      </c>
      <c r="T33" s="10" t="n">
        <v>7252.25</v>
      </c>
      <c r="U33" s="10" t="n">
        <v>7252.25</v>
      </c>
      <c r="V33" s="10" t="n">
        <v>7252.25</v>
      </c>
      <c r="W33" s="10" t="n">
        <v>7252.25</v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F35" s="10" t="n">
        <v>283398.06</v>
      </c>
      <c r="G35" s="10" t="n">
        <v>283398.06</v>
      </c>
      <c r="H35" s="10" t="n">
        <v>283398.06</v>
      </c>
      <c r="I35" s="10" t="n">
        <v>283398.06</v>
      </c>
      <c r="J35" s="10" t="n">
        <v>283398.06</v>
      </c>
      <c r="K35" s="10" t="n">
        <v>283398.06</v>
      </c>
      <c r="L35" s="10" t="n">
        <v>283398.06</v>
      </c>
      <c r="M35" s="10" t="n">
        <v>283398.06</v>
      </c>
      <c r="N35" s="10" t="n">
        <v>283398.06</v>
      </c>
      <c r="O35" s="10" t="n">
        <v>283398.06</v>
      </c>
      <c r="P35" s="10" t="n">
        <v>283398.06</v>
      </c>
      <c r="Q35" s="10" t="n">
        <v>283398.06</v>
      </c>
      <c r="R35" s="10" t="n">
        <v>283398.06</v>
      </c>
      <c r="S35" s="10" t="n">
        <v>283398.06</v>
      </c>
      <c r="T35" s="10" t="n">
        <v>283398.06</v>
      </c>
      <c r="U35" s="10" t="n">
        <v>283398.06</v>
      </c>
      <c r="V35" s="10" t="n">
        <v>283398.06</v>
      </c>
      <c r="W35" s="10" t="n">
        <v>283398.06</v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F43" s="10" t="n">
        <v>5852.46</v>
      </c>
      <c r="G43" s="10" t="n">
        <v>5852.46</v>
      </c>
      <c r="H43" s="10" t="n">
        <v>5852.46</v>
      </c>
      <c r="I43" s="10" t="n">
        <v>5852.46</v>
      </c>
      <c r="J43" s="10" t="n">
        <v>5852.46</v>
      </c>
      <c r="K43" s="10" t="n">
        <v>5852.46</v>
      </c>
      <c r="L43" s="10" t="n">
        <v>5852.46</v>
      </c>
      <c r="M43" s="10" t="n">
        <v>5852.46</v>
      </c>
      <c r="N43" s="10" t="n">
        <v>5852.46</v>
      </c>
      <c r="O43" s="10" t="n">
        <v>5852.46</v>
      </c>
      <c r="P43" s="10" t="n">
        <v>5852.46</v>
      </c>
      <c r="Q43" s="10" t="n">
        <v>5852.46</v>
      </c>
      <c r="R43" s="10" t="n">
        <v>5852.46</v>
      </c>
      <c r="S43" s="10" t="n">
        <v>5852.46</v>
      </c>
      <c r="T43" s="10" t="n">
        <v>5852.46</v>
      </c>
      <c r="U43" s="10" t="n">
        <v>5852.46</v>
      </c>
      <c r="V43" s="10" t="n">
        <v>5852.46</v>
      </c>
      <c r="W43" s="10" t="n">
        <v>5852.46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F45" s="10" t="n">
        <v>5651000</v>
      </c>
      <c r="AE45" s="9">
        <f>SUM(C45:AD45)</f>
        <v/>
      </c>
    </row>
    <row r="46">
      <c r="B46" t="inlineStr">
        <is>
          <t>Obligated</t>
        </is>
      </c>
      <c r="F46" s="10" t="n">
        <v>5651000</v>
      </c>
      <c r="AE46" s="9">
        <f>SUM(C46:AD46)</f>
        <v/>
      </c>
    </row>
    <row r="47">
      <c r="B47" t="inlineStr">
        <is>
          <t>Expended</t>
        </is>
      </c>
      <c r="G47" s="10" t="n">
        <v>900000</v>
      </c>
      <c r="H47" s="10" t="n">
        <v>1900000</v>
      </c>
      <c r="J47" s="10" t="n">
        <v>1500000</v>
      </c>
      <c r="K47" s="10" t="n">
        <v>1351000</v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2ADP004</t>
        </is>
      </c>
    </row>
    <row r="4">
      <c r="A4" s="1" t="inlineStr">
        <is>
          <t>ROLLUP #</t>
        </is>
      </c>
      <c r="B4" t="inlineStr">
        <is>
          <t>1004</t>
        </is>
      </c>
    </row>
    <row r="5">
      <c r="A5" s="1" t="inlineStr">
        <is>
          <t>PROJECT NAME</t>
        </is>
      </c>
      <c r="B5" t="inlineStr">
        <is>
          <t>OUSDRE Man Tech Flexible Xray Imager Digital Detector Arrays DDA Phase II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AR</t>
        </is>
      </c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2347.04</v>
      </c>
      <c r="N18" s="10" t="n">
        <v>14759.68</v>
      </c>
      <c r="O18" s="10" t="n">
        <v>2131.79</v>
      </c>
      <c r="R18" s="10" t="n">
        <v>115</v>
      </c>
      <c r="AE18" s="9">
        <f>SUM(C18:AD18)</f>
        <v/>
      </c>
    </row>
    <row r="19">
      <c r="B19" t="inlineStr">
        <is>
          <t>Fringe 5990</t>
        </is>
      </c>
      <c r="J19" s="10" t="n">
        <v>926.38</v>
      </c>
      <c r="N19" s="10" t="n">
        <v>6334.86</v>
      </c>
      <c r="O19" s="10" t="n">
        <v>965.27</v>
      </c>
      <c r="R19" s="10" t="n">
        <v>52.07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J21" s="10" t="n">
        <v>247149</v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O23" s="10" t="n">
        <v>752306</v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N25" s="10" t="n">
        <v>14850</v>
      </c>
      <c r="Q25" s="10" t="n">
        <v>-100</v>
      </c>
      <c r="AE25" s="9">
        <f>SUM(C25:AD25)</f>
        <v/>
      </c>
    </row>
    <row r="26">
      <c r="B26" t="inlineStr">
        <is>
          <t>Material 5003</t>
        </is>
      </c>
      <c r="N26" s="10" t="n">
        <v>2355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1769.61</v>
      </c>
      <c r="N29" s="10" t="n">
        <v>49460.02</v>
      </c>
      <c r="O29" s="10" t="n">
        <v>4482.07</v>
      </c>
      <c r="Q29" s="10" t="n">
        <v>-144.72</v>
      </c>
      <c r="R29" s="10" t="n">
        <v>240.93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G32" s="10" t="n">
        <v>3599.53</v>
      </c>
      <c r="H32" s="10" t="n">
        <v>3599.53</v>
      </c>
      <c r="I32" s="10" t="n">
        <v>3599.53</v>
      </c>
      <c r="J32" s="10" t="n">
        <v>3599.53</v>
      </c>
      <c r="K32" s="10" t="n">
        <v>3599.53</v>
      </c>
      <c r="L32" s="10" t="n">
        <v>3599.53</v>
      </c>
      <c r="M32" s="10" t="n">
        <v>3599.53</v>
      </c>
      <c r="N32" s="10" t="n">
        <v>3599.53</v>
      </c>
      <c r="O32" s="10" t="n">
        <v>3599.53</v>
      </c>
      <c r="P32" s="10" t="n">
        <v>3599.53</v>
      </c>
      <c r="Q32" s="10" t="n">
        <v>3599.53</v>
      </c>
      <c r="R32" s="10" t="n">
        <v>3599.53</v>
      </c>
      <c r="S32" s="10" t="n">
        <v>3599.53</v>
      </c>
      <c r="AE32" s="9">
        <f>SUM(C32:AD32)</f>
        <v/>
      </c>
    </row>
    <row r="33">
      <c r="B33" t="inlineStr">
        <is>
          <t>Fringe 5990</t>
        </is>
      </c>
      <c r="G33" s="10" t="n">
        <v>1420.74</v>
      </c>
      <c r="H33" s="10" t="n">
        <v>1420.74</v>
      </c>
      <c r="I33" s="10" t="n">
        <v>1420.74</v>
      </c>
      <c r="J33" s="10" t="n">
        <v>1420.74</v>
      </c>
      <c r="K33" s="10" t="n">
        <v>1420.74</v>
      </c>
      <c r="L33" s="10" t="n">
        <v>1420.74</v>
      </c>
      <c r="M33" s="10" t="n">
        <v>1420.74</v>
      </c>
      <c r="N33" s="10" t="n">
        <v>1420.74</v>
      </c>
      <c r="O33" s="10" t="n">
        <v>1420.74</v>
      </c>
      <c r="P33" s="10" t="n">
        <v>1420.74</v>
      </c>
      <c r="Q33" s="10" t="n">
        <v>1420.74</v>
      </c>
      <c r="R33" s="10" t="n">
        <v>1420.74</v>
      </c>
      <c r="S33" s="10" t="n">
        <v>1420.74</v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G35" s="10" t="n">
        <v>76881.14999999999</v>
      </c>
      <c r="H35" s="10" t="n">
        <v>76881.14999999999</v>
      </c>
      <c r="I35" s="10" t="n">
        <v>76881.14999999999</v>
      </c>
      <c r="J35" s="10" t="n">
        <v>76881.14999999999</v>
      </c>
      <c r="K35" s="10" t="n">
        <v>76881.14999999999</v>
      </c>
      <c r="L35" s="10" t="n">
        <v>76881.14999999999</v>
      </c>
      <c r="M35" s="10" t="n">
        <v>76881.14999999999</v>
      </c>
      <c r="N35" s="10" t="n">
        <v>76881.14999999999</v>
      </c>
      <c r="O35" s="10" t="n">
        <v>76881.14999999999</v>
      </c>
      <c r="P35" s="10" t="n">
        <v>76881.14999999999</v>
      </c>
      <c r="Q35" s="10" t="n">
        <v>76881.14999999999</v>
      </c>
      <c r="R35" s="10" t="n">
        <v>76881.14999999999</v>
      </c>
      <c r="S35" s="10" t="n">
        <v>76881.14999999999</v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G43" s="10" t="n">
        <v>2713.96</v>
      </c>
      <c r="H43" s="10" t="n">
        <v>2713.96</v>
      </c>
      <c r="I43" s="10" t="n">
        <v>2713.96</v>
      </c>
      <c r="J43" s="10" t="n">
        <v>2713.96</v>
      </c>
      <c r="K43" s="10" t="n">
        <v>2713.96</v>
      </c>
      <c r="L43" s="10" t="n">
        <v>2713.96</v>
      </c>
      <c r="M43" s="10" t="n">
        <v>2713.96</v>
      </c>
      <c r="N43" s="10" t="n">
        <v>2713.96</v>
      </c>
      <c r="O43" s="10" t="n">
        <v>2713.96</v>
      </c>
      <c r="P43" s="10" t="n">
        <v>2713.96</v>
      </c>
      <c r="Q43" s="10" t="n">
        <v>2713.96</v>
      </c>
      <c r="R43" s="10" t="n">
        <v>2713.96</v>
      </c>
      <c r="S43" s="10" t="n">
        <v>2713.96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G45" s="10" t="n">
        <v>1100000</v>
      </c>
      <c r="AE45" s="9">
        <f>SUM(C45:AD45)</f>
        <v/>
      </c>
    </row>
    <row r="46">
      <c r="B46" t="inlineStr">
        <is>
          <t>Obligated</t>
        </is>
      </c>
      <c r="G46" s="10" t="n">
        <v>1100000</v>
      </c>
      <c r="AE46" s="9">
        <f>SUM(C46:AD46)</f>
        <v/>
      </c>
    </row>
    <row r="47">
      <c r="B47" t="inlineStr">
        <is>
          <t>Expended</t>
        </is>
      </c>
      <c r="H47" s="10" t="n">
        <v>500000</v>
      </c>
      <c r="J47" s="10" t="n">
        <v>600000</v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Viral Deactivation Surface Treatments to Reduce Covid 19 Spread in Healthcare Settings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AD</t>
        </is>
      </c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4822.57</v>
      </c>
      <c r="J18" s="10" t="n">
        <v>17823.38</v>
      </c>
      <c r="N18" s="10" t="n">
        <v>2584.07</v>
      </c>
      <c r="AE18" s="9">
        <f>SUM(C18:AD18)</f>
        <v/>
      </c>
    </row>
    <row r="19">
      <c r="B19" t="inlineStr">
        <is>
          <t>Fringe 5990</t>
        </is>
      </c>
      <c r="F19" s="10" t="n">
        <v>2005.22</v>
      </c>
      <c r="J19" s="10" t="n">
        <v>7034.89</v>
      </c>
      <c r="N19" s="10" t="n">
        <v>1109.09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J21" s="10" t="n">
        <v>930758.27</v>
      </c>
      <c r="N21" s="10" t="n">
        <v>8229.73</v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J25" s="10" t="n">
        <v>1460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N27" s="10" t="n">
        <v>215.62</v>
      </c>
      <c r="V27" s="10" t="n">
        <v>3341.98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1618.19</v>
      </c>
      <c r="J29" s="10" t="n">
        <v>14227.66</v>
      </c>
      <c r="N29" s="10" t="n">
        <v>4769.34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F32" s="10" t="n">
        <v>3483.67</v>
      </c>
      <c r="G32" s="10" t="n">
        <v>3483.67</v>
      </c>
      <c r="H32" s="10" t="n">
        <v>3483.67</v>
      </c>
      <c r="I32" s="10" t="n">
        <v>3483.67</v>
      </c>
      <c r="J32" s="10" t="n">
        <v>3483.67</v>
      </c>
      <c r="K32" s="10" t="n">
        <v>3483.67</v>
      </c>
      <c r="L32" s="10" t="n">
        <v>3483.67</v>
      </c>
      <c r="M32" s="10" t="n">
        <v>3483.67</v>
      </c>
      <c r="N32" s="10" t="n">
        <v>3483.67</v>
      </c>
      <c r="O32" s="10" t="n">
        <v>3483.67</v>
      </c>
      <c r="AE32" s="9">
        <f>SUM(C32:AD32)</f>
        <v/>
      </c>
    </row>
    <row r="33">
      <c r="B33" t="inlineStr">
        <is>
          <t>Fringe 5990</t>
        </is>
      </c>
      <c r="F33" s="10" t="n">
        <v>1448.51</v>
      </c>
      <c r="G33" s="10" t="n">
        <v>1448.51</v>
      </c>
      <c r="H33" s="10" t="n">
        <v>1448.51</v>
      </c>
      <c r="I33" s="10" t="n">
        <v>1448.51</v>
      </c>
      <c r="J33" s="10" t="n">
        <v>1448.51</v>
      </c>
      <c r="K33" s="10" t="n">
        <v>1448.51</v>
      </c>
      <c r="L33" s="10" t="n">
        <v>1448.51</v>
      </c>
      <c r="M33" s="10" t="n">
        <v>1448.51</v>
      </c>
      <c r="N33" s="10" t="n">
        <v>1448.51</v>
      </c>
      <c r="O33" s="10" t="n">
        <v>1448.51</v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F35" s="10" t="n">
        <v>93898.89999999999</v>
      </c>
      <c r="G35" s="10" t="n">
        <v>93898.89999999999</v>
      </c>
      <c r="H35" s="10" t="n">
        <v>93898.89999999999</v>
      </c>
      <c r="I35" s="10" t="n">
        <v>93898.89999999999</v>
      </c>
      <c r="J35" s="10" t="n">
        <v>93898.89999999999</v>
      </c>
      <c r="K35" s="10" t="n">
        <v>93898.89999999999</v>
      </c>
      <c r="L35" s="10" t="n">
        <v>93898.89999999999</v>
      </c>
      <c r="M35" s="10" t="n">
        <v>93898.89999999999</v>
      </c>
      <c r="N35" s="10" t="n">
        <v>93898.89999999999</v>
      </c>
      <c r="O35" s="10" t="n">
        <v>93898.89999999999</v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F43" s="10" t="n">
        <v>1168.93</v>
      </c>
      <c r="G43" s="10" t="n">
        <v>1168.93</v>
      </c>
      <c r="H43" s="10" t="n">
        <v>1168.93</v>
      </c>
      <c r="I43" s="10" t="n">
        <v>1168.93</v>
      </c>
      <c r="J43" s="10" t="n">
        <v>1168.93</v>
      </c>
      <c r="K43" s="10" t="n">
        <v>1168.93</v>
      </c>
      <c r="L43" s="10" t="n">
        <v>1168.93</v>
      </c>
      <c r="M43" s="10" t="n">
        <v>1168.93</v>
      </c>
      <c r="N43" s="10" t="n">
        <v>1168.93</v>
      </c>
      <c r="O43" s="10" t="n">
        <v>1168.93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F45" s="10" t="n">
        <v>1000000</v>
      </c>
      <c r="AE45" s="9">
        <f>SUM(C45:AD45)</f>
        <v/>
      </c>
    </row>
    <row r="46">
      <c r="B46" t="inlineStr">
        <is>
          <t>Obligated</t>
        </is>
      </c>
      <c r="F46" s="10" t="n">
        <v>1000000</v>
      </c>
      <c r="AE46" s="9">
        <f>SUM(C46:AD46)</f>
        <v/>
      </c>
    </row>
    <row r="47">
      <c r="B47" t="inlineStr">
        <is>
          <t>Expended</t>
        </is>
      </c>
      <c r="G47" s="10" t="n">
        <v>750000</v>
      </c>
      <c r="H47" s="10" t="n">
        <v>250000</v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2ADP006</t>
        </is>
      </c>
    </row>
    <row r="4">
      <c r="A4" s="1" t="inlineStr">
        <is>
          <t>ROLLUP #</t>
        </is>
      </c>
      <c r="B4" t="inlineStr">
        <is>
          <t>1006</t>
        </is>
      </c>
    </row>
    <row r="5">
      <c r="A5" s="1" t="inlineStr">
        <is>
          <t>PROJECT NAME</t>
        </is>
      </c>
      <c r="B5" t="inlineStr">
        <is>
          <t>Follow on Development nd Assessment of Novel Advanced HyBrid Elecetroncs for Weapons nd Armaments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AJ</t>
        </is>
      </c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77.5</v>
      </c>
      <c r="N18" s="10" t="n">
        <v>44032.72</v>
      </c>
      <c r="R18" s="10" t="n">
        <v>7701.82</v>
      </c>
      <c r="AE18" s="9">
        <f>SUM(C18:AD18)</f>
        <v/>
      </c>
    </row>
    <row r="19">
      <c r="B19" t="inlineStr">
        <is>
          <t>Fringe 5990</t>
        </is>
      </c>
      <c r="J19" s="10" t="n">
        <v>30.59</v>
      </c>
      <c r="N19" s="10" t="n">
        <v>18898.85</v>
      </c>
      <c r="R19" s="10" t="n">
        <v>3487.38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N21" s="10" t="n">
        <v>168291.82</v>
      </c>
      <c r="O21" s="10" t="n">
        <v>226555.29</v>
      </c>
      <c r="P21" s="10" t="n">
        <v>103421.35</v>
      </c>
      <c r="Q21" s="10" t="n">
        <v>714.59</v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P23" s="10" t="n">
        <v>218514</v>
      </c>
      <c r="Q23" s="10" t="n">
        <v>20232</v>
      </c>
      <c r="R23" s="10" t="n">
        <v>665</v>
      </c>
      <c r="AE23" s="9">
        <f>SUM(C23:AD23)</f>
        <v/>
      </c>
    </row>
    <row r="24">
      <c r="B24" t="inlineStr">
        <is>
          <t>Equipment 5008</t>
        </is>
      </c>
      <c r="N24" s="10" t="n">
        <v>666036.5600000001</v>
      </c>
      <c r="AE24" s="9">
        <f>SUM(C24:AD24)</f>
        <v/>
      </c>
    </row>
    <row r="25">
      <c r="B25" t="inlineStr">
        <is>
          <t>Other Direct Costs 5009</t>
        </is>
      </c>
      <c r="N25" s="10" t="n">
        <v>86413.39</v>
      </c>
      <c r="O25" s="10" t="n">
        <v>-197.94</v>
      </c>
      <c r="AE25" s="9">
        <f>SUM(C25:AD25)</f>
        <v/>
      </c>
    </row>
    <row r="26">
      <c r="B26" t="inlineStr">
        <is>
          <t>Material 5003</t>
        </is>
      </c>
      <c r="N26" s="10" t="n">
        <v>7310.84</v>
      </c>
      <c r="O26" s="10" t="n">
        <v>121</v>
      </c>
      <c r="AE26" s="9">
        <f>SUM(C26:AD26)</f>
        <v/>
      </c>
    </row>
    <row r="27">
      <c r="B27" t="inlineStr">
        <is>
          <t>Sub K Overhead 5992</t>
        </is>
      </c>
      <c r="N27" s="10" t="n">
        <v>4409.25</v>
      </c>
      <c r="O27" s="10" t="n">
        <v>6411.51</v>
      </c>
      <c r="P27" s="10" t="n">
        <v>2926.83</v>
      </c>
      <c r="Q27" s="10" t="n">
        <v>20.22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58.43</v>
      </c>
      <c r="N29" s="10" t="n">
        <v>246785.22</v>
      </c>
      <c r="O29" s="10" t="n">
        <v>-111.35</v>
      </c>
      <c r="R29" s="10" t="n">
        <v>16193.12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F32" s="10" t="n">
        <v>52427.25</v>
      </c>
      <c r="G32" s="10" t="n">
        <v>52427.25</v>
      </c>
      <c r="H32" s="10" t="n">
        <v>52427.25</v>
      </c>
      <c r="I32" s="10" t="n">
        <v>52427.25</v>
      </c>
      <c r="J32" s="10" t="n">
        <v>52427.25</v>
      </c>
      <c r="K32" s="10" t="n">
        <v>52427.25</v>
      </c>
      <c r="L32" s="10" t="n">
        <v>52427.25</v>
      </c>
      <c r="M32" s="10" t="n">
        <v>52427.25</v>
      </c>
      <c r="N32" s="10" t="n">
        <v>52427.25</v>
      </c>
      <c r="O32" s="10" t="n">
        <v>52427.25</v>
      </c>
      <c r="P32" s="10" t="n">
        <v>52427.25</v>
      </c>
      <c r="AE32" s="9">
        <f>SUM(C32:AD32)</f>
        <v/>
      </c>
    </row>
    <row r="33">
      <c r="B33" t="inlineStr">
        <is>
          <t>Fringe 5990</t>
        </is>
      </c>
      <c r="F33" s="10" t="n">
        <v>21799.25</v>
      </c>
      <c r="G33" s="10" t="n">
        <v>21799.25</v>
      </c>
      <c r="H33" s="10" t="n">
        <v>21799.25</v>
      </c>
      <c r="I33" s="10" t="n">
        <v>21799.25</v>
      </c>
      <c r="J33" s="10" t="n">
        <v>21799.25</v>
      </c>
      <c r="K33" s="10" t="n">
        <v>21799.25</v>
      </c>
      <c r="L33" s="10" t="n">
        <v>21799.25</v>
      </c>
      <c r="M33" s="10" t="n">
        <v>21799.25</v>
      </c>
      <c r="N33" s="10" t="n">
        <v>21799.25</v>
      </c>
      <c r="O33" s="10" t="n">
        <v>21799.25</v>
      </c>
      <c r="P33" s="10" t="n">
        <v>21799.25</v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F35" s="10" t="n">
        <v>76272.73</v>
      </c>
      <c r="G35" s="10" t="n">
        <v>76272.73</v>
      </c>
      <c r="H35" s="10" t="n">
        <v>76272.73</v>
      </c>
      <c r="I35" s="10" t="n">
        <v>76272.73</v>
      </c>
      <c r="J35" s="10" t="n">
        <v>76272.73</v>
      </c>
      <c r="K35" s="10" t="n">
        <v>76272.73</v>
      </c>
      <c r="L35" s="10" t="n">
        <v>76272.73</v>
      </c>
      <c r="M35" s="10" t="n">
        <v>76272.73</v>
      </c>
      <c r="N35" s="10" t="n">
        <v>76272.73</v>
      </c>
      <c r="O35" s="10" t="n">
        <v>76272.73</v>
      </c>
      <c r="P35" s="10" t="n">
        <v>76272.73</v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F43" s="10" t="n">
        <v>17591.68</v>
      </c>
      <c r="G43" s="10" t="n">
        <v>17591.68</v>
      </c>
      <c r="H43" s="10" t="n">
        <v>17591.68</v>
      </c>
      <c r="I43" s="10" t="n">
        <v>17591.68</v>
      </c>
      <c r="J43" s="10" t="n">
        <v>17591.68</v>
      </c>
      <c r="K43" s="10" t="n">
        <v>17591.68</v>
      </c>
      <c r="L43" s="10" t="n">
        <v>17591.68</v>
      </c>
      <c r="M43" s="10" t="n">
        <v>17591.68</v>
      </c>
      <c r="N43" s="10" t="n">
        <v>17591.68</v>
      </c>
      <c r="O43" s="10" t="n">
        <v>17591.68</v>
      </c>
      <c r="P43" s="10" t="n">
        <v>17591.68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F45" s="10" t="n">
        <v>1849000</v>
      </c>
      <c r="AE45" s="9">
        <f>SUM(C45:AD45)</f>
        <v/>
      </c>
    </row>
    <row r="46">
      <c r="B46" t="inlineStr">
        <is>
          <t>Obligated</t>
        </is>
      </c>
      <c r="F46" s="10" t="n">
        <v>1849000</v>
      </c>
      <c r="AE46" s="9">
        <f>SUM(C46:AD46)</f>
        <v/>
      </c>
    </row>
    <row r="47">
      <c r="B47" t="inlineStr">
        <is>
          <t>Expended</t>
        </is>
      </c>
      <c r="H47" s="10" t="n">
        <v>481000</v>
      </c>
      <c r="L47" s="10" t="n">
        <v>200000</v>
      </c>
      <c r="M47" s="10" t="n">
        <v>250000</v>
      </c>
      <c r="N47" s="10" t="n">
        <v>918000</v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2026-04-15T08:39:52Z</dcterms:created>
  <dcterms:modified xsi:type="dcterms:W3CDTF">2026-04-15T13:36:38Z</dcterms:modified>
</cp:coreProperties>
</file>