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001" sheetId="1" state="visible" r:id="rId1"/>
    <sheet name="COR002" sheetId="2" state="visible" r:id="rId2"/>
    <sheet name="COR003" sheetId="3" state="visible" r:id="rId3"/>
    <sheet name="COR004" sheetId="4" state="visible" r:id="rId4"/>
    <sheet name="COR005" sheetId="5" state="visible" r:id="rId5"/>
    <sheet name="COR006" sheetId="6" state="visible" r:id="rId6"/>
    <sheet name="COR007" sheetId="7" state="visible" r:id="rId7"/>
    <sheet name="COR008" sheetId="8" state="visible" r:id="rId8"/>
    <sheet name="COR009" sheetId="9" state="visible" r:id="rId9"/>
    <sheet name="COR010" sheetId="10" state="visible" r:id="rId10"/>
    <sheet name="COR011" sheetId="11" state="visible" r:id="rId11"/>
    <sheet name="COR012" sheetId="12" state="visible" r:id="rId12"/>
    <sheet name="COR013" sheetId="13" state="visible" r:id="rId13"/>
    <sheet name="NX001" sheetId="14" state="visible" r:id="rId14"/>
    <sheet name="NX002" sheetId="15" state="visible" r:id="rId15"/>
    <sheet name="NX003" sheetId="16" state="visible" r:id="rId16"/>
    <sheet name="NX004" sheetId="17" state="visible" r:id="rId17"/>
    <sheet name="NX006" sheetId="18" state="visible" r:id="rId18"/>
    <sheet name="NX007" sheetId="19" state="visible" r:id="rId19"/>
    <sheet name="NX008" sheetId="20" state="visible" r:id="rId20"/>
    <sheet name="NX009" sheetId="21" state="visible" r:id="rId21"/>
    <sheet name="NX010" sheetId="22" state="visible" r:id="rId22"/>
    <sheet name="NX011" sheetId="23" state="visible" r:id="rId23"/>
    <sheet name="NX012" sheetId="24" state="visible" r:id="rId24"/>
    <sheet name="NX013" sheetId="25" state="visible" r:id="rId25"/>
    <sheet name="NX014" sheetId="26" state="visible" r:id="rId26"/>
    <sheet name="NX015" sheetId="27" state="visible" r:id="rId27"/>
    <sheet name="NX016" sheetId="28" state="visible" r:id="rId28"/>
    <sheet name="NX017" sheetId="29" state="visible" r:id="rId29"/>
    <sheet name="NX018" sheetId="30" state="visible" r:id="rId30"/>
    <sheet name="NX019" sheetId="31" state="visible" r:id="rId31"/>
    <sheet name="NX020" sheetId="32" state="visible" r:id="rId32"/>
    <sheet name="NX021" sheetId="33" state="visible" r:id="rId33"/>
    <sheet name="NX022" sheetId="34" state="visible" r:id="rId34"/>
    <sheet name="NX023" sheetId="35" state="visible" r:id="rId35"/>
    <sheet name="NX024" sheetId="36" state="visible" r:id="rId36"/>
    <sheet name="NX025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COR001</t>
        </is>
      </c>
    </row>
    <row r="4">
      <c r="A4" s="1" t="inlineStr">
        <is>
          <t>ROLLUP #</t>
        </is>
      </c>
      <c r="B4" t="inlineStr">
        <is>
          <t>74101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117249.2</v>
      </c>
      <c r="T18" s="2" t="n">
        <v>100911.73</v>
      </c>
      <c r="U18" s="2" t="n">
        <v>102087.38</v>
      </c>
      <c r="W18" s="2" t="n">
        <v>62545.21</v>
      </c>
      <c r="X18" s="2" t="n">
        <v>171230.32</v>
      </c>
      <c r="Y18" s="2" t="n">
        <v>109864.49</v>
      </c>
      <c r="Z18" s="2" t="n">
        <v>5203.02</v>
      </c>
      <c r="AA18" s="2" t="n">
        <v>3951.75</v>
      </c>
      <c r="AE18" s="10">
        <f>SUM(C18:AD18)</f>
        <v/>
      </c>
    </row>
    <row r="19">
      <c r="B19" t="inlineStr">
        <is>
          <t>Fringe 5990</t>
        </is>
      </c>
      <c r="S19" s="2" t="n">
        <v>53090.45</v>
      </c>
      <c r="T19" s="2" t="n">
        <v>51461.24</v>
      </c>
      <c r="U19" s="2" t="n">
        <v>49104.02</v>
      </c>
      <c r="W19" s="2" t="n">
        <v>31435.23</v>
      </c>
      <c r="X19" s="2" t="n">
        <v>86060.36</v>
      </c>
      <c r="Y19" s="2" t="n">
        <v>55217.9</v>
      </c>
      <c r="Z19" s="2" t="n">
        <v>2615.03</v>
      </c>
      <c r="AA19" s="2" t="n">
        <v>2139.08</v>
      </c>
      <c r="AE19" s="10">
        <f>SUM(C19:AD19)</f>
        <v/>
      </c>
    </row>
    <row r="20">
      <c r="B20" t="inlineStr">
        <is>
          <t>Travel 5004</t>
        </is>
      </c>
      <c r="S20" s="2" t="n">
        <v>5302.4</v>
      </c>
      <c r="T20" s="2" t="n">
        <v>2978.54</v>
      </c>
      <c r="U20" s="2" t="n">
        <v>4151.61</v>
      </c>
      <c r="W20" s="2" t="n">
        <v>5824.06</v>
      </c>
      <c r="Y20" s="2" t="n">
        <v>1461.41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S22" s="2" t="n">
        <v>33936.25</v>
      </c>
      <c r="T22" s="2" t="n">
        <v>23281.26</v>
      </c>
      <c r="W22" s="2" t="n">
        <v>1650</v>
      </c>
      <c r="X22" s="2" t="n">
        <v>20</v>
      </c>
      <c r="AE22" s="10">
        <f>SUM(C22:AD22)</f>
        <v/>
      </c>
    </row>
    <row r="23">
      <c r="B23" t="inlineStr">
        <is>
          <t>Equipment 5010</t>
        </is>
      </c>
      <c r="AA23" s="2" t="n">
        <v>6115.77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1780</v>
      </c>
      <c r="T25" s="2" t="n">
        <v>4200.17</v>
      </c>
      <c r="U25" s="2" t="n">
        <v>3600</v>
      </c>
      <c r="W25" s="2" t="n">
        <v>34749.16</v>
      </c>
      <c r="X25" s="2" t="n">
        <v>9580.440000000001</v>
      </c>
      <c r="Z25" s="2" t="n">
        <v>76.33</v>
      </c>
      <c r="AE25" s="10">
        <f>SUM(C25:AD25)</f>
        <v/>
      </c>
    </row>
    <row r="26">
      <c r="B26" t="inlineStr">
        <is>
          <t>Material 5003</t>
        </is>
      </c>
      <c r="S26" s="2" t="n">
        <v>2522.35</v>
      </c>
      <c r="T26" s="2" t="n">
        <v>2061.35</v>
      </c>
      <c r="U26" s="2" t="n">
        <v>1081.31</v>
      </c>
      <c r="W26" s="2" t="n">
        <v>804</v>
      </c>
      <c r="X26" s="2" t="n">
        <v>8957.290000000001</v>
      </c>
      <c r="Z26" s="2" t="n">
        <v>266.44</v>
      </c>
      <c r="AA26" s="2" t="n">
        <v>139.99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308876.82</v>
      </c>
      <c r="T29" s="2" t="n">
        <v>214025.33</v>
      </c>
      <c r="U29" s="2" t="n">
        <v>210255.98</v>
      </c>
      <c r="W29" s="2" t="n">
        <v>181932.47</v>
      </c>
      <c r="X29" s="2" t="n">
        <v>366299.1</v>
      </c>
      <c r="Y29" s="2" t="n">
        <v>221153.5</v>
      </c>
      <c r="Z29" s="2" t="n">
        <v>10836.76</v>
      </c>
      <c r="AA29" s="2" t="n">
        <v>8490.110000000001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COR002</t>
        </is>
      </c>
    </row>
    <row r="4">
      <c r="A4" s="1" t="inlineStr">
        <is>
          <t>ROLLUP #</t>
        </is>
      </c>
      <c r="B4" t="inlineStr">
        <is>
          <t>74102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5504.97</v>
      </c>
      <c r="T18" s="2" t="n">
        <v>5090.02</v>
      </c>
      <c r="U18" s="2" t="n">
        <v>9153.700000000001</v>
      </c>
      <c r="W18" s="2" t="n">
        <v>1898.3</v>
      </c>
      <c r="X18" s="2" t="n">
        <v>5301.08</v>
      </c>
      <c r="Y18" s="2" t="n">
        <v>6451.25</v>
      </c>
      <c r="Z18" s="2" t="n">
        <v>8686.559999999999</v>
      </c>
      <c r="AA18" s="2" t="n">
        <v>1800.97</v>
      </c>
      <c r="AE18" s="10">
        <f>SUM(C18:AD18)</f>
        <v/>
      </c>
    </row>
    <row r="19">
      <c r="B19" t="inlineStr">
        <is>
          <t>Fringe 5990</t>
        </is>
      </c>
      <c r="S19" s="2" t="n">
        <v>2492.65</v>
      </c>
      <c r="T19" s="2" t="n">
        <v>2110.17</v>
      </c>
      <c r="U19" s="2" t="n">
        <v>4402.92</v>
      </c>
      <c r="W19" s="2" t="n">
        <v>954.09</v>
      </c>
      <c r="X19" s="2" t="n">
        <v>2664.32</v>
      </c>
      <c r="Y19" s="2" t="n">
        <v>3242.41</v>
      </c>
      <c r="Z19" s="2" t="n">
        <v>4365.86</v>
      </c>
      <c r="AA19" s="2" t="n">
        <v>974.87</v>
      </c>
      <c r="AE19" s="10">
        <f>SUM(C19:AD19)</f>
        <v/>
      </c>
    </row>
    <row r="20">
      <c r="B20" t="inlineStr">
        <is>
          <t>Travel 5004</t>
        </is>
      </c>
      <c r="T20" s="2" t="n">
        <v>421.57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29.77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11574.15</v>
      </c>
      <c r="T29" s="2" t="n">
        <v>7600.48</v>
      </c>
      <c r="U29" s="2" t="n">
        <v>17812.07</v>
      </c>
      <c r="W29" s="2" t="n">
        <v>3787.7</v>
      </c>
      <c r="X29" s="2" t="n">
        <v>10616.8</v>
      </c>
      <c r="Y29" s="2" t="n">
        <v>12872.22</v>
      </c>
      <c r="Z29" s="2" t="n">
        <v>17332.31</v>
      </c>
      <c r="AA29" s="2" t="n">
        <v>3782.35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COR003</t>
        </is>
      </c>
    </row>
    <row r="4">
      <c r="A4" s="1" t="inlineStr">
        <is>
          <t>ROLLUP #</t>
        </is>
      </c>
      <c r="B4" t="inlineStr">
        <is>
          <t>74103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14784.21</v>
      </c>
      <c r="T18" s="2" t="n">
        <v>11800.39</v>
      </c>
      <c r="U18" s="2" t="n">
        <v>11772.44</v>
      </c>
      <c r="W18" s="2" t="n">
        <v>18465.49</v>
      </c>
      <c r="X18" s="2" t="n">
        <v>14508.35</v>
      </c>
      <c r="Y18" s="2" t="n">
        <v>3410.81</v>
      </c>
      <c r="Z18" s="2" t="n">
        <v>1689.63</v>
      </c>
      <c r="AA18" s="2" t="n">
        <v>14892.9</v>
      </c>
      <c r="AE18" s="10">
        <f>SUM(C18:AD18)</f>
        <v/>
      </c>
    </row>
    <row r="19">
      <c r="B19" t="inlineStr">
        <is>
          <t>Fringe 5990</t>
        </is>
      </c>
      <c r="S19" s="2" t="n">
        <v>6694.28</v>
      </c>
      <c r="T19" s="2" t="n">
        <v>6509.48</v>
      </c>
      <c r="U19" s="2" t="n">
        <v>5662.54</v>
      </c>
      <c r="W19" s="2" t="n">
        <v>9280.75</v>
      </c>
      <c r="X19" s="2" t="n">
        <v>7291.9</v>
      </c>
      <c r="Y19" s="2" t="n">
        <v>1714.27</v>
      </c>
      <c r="Z19" s="2" t="n">
        <v>849.2</v>
      </c>
      <c r="AA19" s="2" t="n">
        <v>8061.53</v>
      </c>
      <c r="AE19" s="10">
        <f>SUM(C19:AD19)</f>
        <v/>
      </c>
    </row>
    <row r="20">
      <c r="B20" t="inlineStr">
        <is>
          <t>Travel 5004</t>
        </is>
      </c>
      <c r="S20" s="2" t="n">
        <v>1403.23</v>
      </c>
      <c r="W20" s="2" t="n">
        <v>5482.62</v>
      </c>
      <c r="AA20" s="2" t="n">
        <v>9001.120000000001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995</v>
      </c>
      <c r="T25" s="2" t="n">
        <v>125</v>
      </c>
      <c r="V25" s="2" t="n">
        <v>-0.05</v>
      </c>
      <c r="W25" s="2" t="n">
        <v>1885</v>
      </c>
      <c r="X25" s="2" t="n">
        <v>52.49</v>
      </c>
      <c r="Z25" s="2" t="n">
        <v>256.33</v>
      </c>
      <c r="AA25" s="2" t="n">
        <v>17657.02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34554.41</v>
      </c>
      <c r="T29" s="2" t="n">
        <v>22176.74</v>
      </c>
      <c r="U29" s="2" t="n">
        <v>22907.84</v>
      </c>
      <c r="W29" s="2" t="n">
        <v>46627.7</v>
      </c>
      <c r="X29" s="2" t="n">
        <v>28618.53</v>
      </c>
      <c r="Y29" s="2" t="n">
        <v>6805.59</v>
      </c>
      <c r="Z29" s="2" t="n">
        <v>3711.69</v>
      </c>
      <c r="AA29" s="2" t="n">
        <v>67602.08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COR004</t>
        </is>
      </c>
    </row>
    <row r="4">
      <c r="A4" s="1" t="inlineStr">
        <is>
          <t>ROLLUP #</t>
        </is>
      </c>
      <c r="B4" t="inlineStr">
        <is>
          <t>74104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14971.5</v>
      </c>
      <c r="T18" s="2" t="n">
        <v>22433.63</v>
      </c>
      <c r="U18" s="2" t="n">
        <v>63465.78</v>
      </c>
      <c r="X18" s="2" t="n">
        <v>36834.85</v>
      </c>
      <c r="Y18" s="2" t="n">
        <v>952.71</v>
      </c>
      <c r="AA18" s="2" t="n">
        <v>191</v>
      </c>
      <c r="AE18" s="10">
        <f>SUM(C18:AD18)</f>
        <v/>
      </c>
    </row>
    <row r="19">
      <c r="B19" t="inlineStr">
        <is>
          <t>Fringe 5990</t>
        </is>
      </c>
      <c r="S19" s="2" t="n">
        <v>6779.1</v>
      </c>
      <c r="T19" s="2" t="n">
        <v>11431.14</v>
      </c>
      <c r="U19" s="2" t="n">
        <v>30527.03</v>
      </c>
      <c r="X19" s="2" t="n">
        <v>18513.2</v>
      </c>
      <c r="Y19" s="2" t="n">
        <v>478.83</v>
      </c>
      <c r="AA19" s="2" t="n">
        <v>103.39</v>
      </c>
      <c r="AE19" s="10">
        <f>SUM(C19:AD19)</f>
        <v/>
      </c>
    </row>
    <row r="20">
      <c r="B20" t="inlineStr">
        <is>
          <t>Travel 5004</t>
        </is>
      </c>
      <c r="S20" s="2" t="n">
        <v>16.49</v>
      </c>
      <c r="T20" s="2" t="n">
        <v>360.61</v>
      </c>
      <c r="U20" s="2" t="n">
        <v>6055.85</v>
      </c>
      <c r="X20" s="2" t="n">
        <v>2135.54</v>
      </c>
      <c r="Y20" s="2" t="n">
        <v>3016.57</v>
      </c>
      <c r="AA20" s="2" t="n">
        <v>1409.7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1450</v>
      </c>
      <c r="T25" s="2" t="n">
        <v>238759.67</v>
      </c>
      <c r="U25" s="2" t="n">
        <v>34926.63</v>
      </c>
      <c r="X25" s="2" t="n">
        <v>264800.35</v>
      </c>
      <c r="Y25" s="2" t="n">
        <v>15131.87</v>
      </c>
      <c r="Z25" s="2" t="n">
        <v>-5200</v>
      </c>
      <c r="AE25" s="10">
        <f>SUM(C25:AD25)</f>
        <v/>
      </c>
    </row>
    <row r="26">
      <c r="B26" t="inlineStr">
        <is>
          <t>Material 5003</t>
        </is>
      </c>
      <c r="T26" s="2" t="n">
        <v>3672.24</v>
      </c>
      <c r="U26" s="2" t="n">
        <v>407.84</v>
      </c>
      <c r="X26" s="2" t="n">
        <v>1216.09</v>
      </c>
      <c r="Y26" s="2" t="n">
        <v>3302.3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31501.32</v>
      </c>
      <c r="T29" s="2" t="n">
        <v>363100.09</v>
      </c>
      <c r="U29" s="2" t="n">
        <v>177879.9</v>
      </c>
      <c r="X29" s="2" t="n">
        <v>429575.7</v>
      </c>
      <c r="Y29" s="2" t="n">
        <v>30385.38</v>
      </c>
      <c r="Z29" s="2" t="n">
        <v>-6905.08</v>
      </c>
      <c r="AA29" s="2" t="n">
        <v>2322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COR005</t>
        </is>
      </c>
    </row>
    <row r="4">
      <c r="A4" s="1" t="inlineStr">
        <is>
          <t>ROLLUP #</t>
        </is>
      </c>
      <c r="B4" t="inlineStr">
        <is>
          <t>74105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7946.23</v>
      </c>
      <c r="T18" s="2" t="n">
        <v>10105.67</v>
      </c>
      <c r="U18" s="2" t="n">
        <v>8681.65</v>
      </c>
      <c r="W18" s="2" t="n">
        <v>1967.8</v>
      </c>
      <c r="X18" s="2" t="n">
        <v>9522.32</v>
      </c>
      <c r="Y18" s="2" t="n">
        <v>6175.01</v>
      </c>
      <c r="AE18" s="10">
        <f>SUM(C18:AD18)</f>
        <v/>
      </c>
    </row>
    <row r="19">
      <c r="B19" t="inlineStr">
        <is>
          <t>Fringe 5990</t>
        </is>
      </c>
      <c r="S19" s="2" t="n">
        <v>3598.05</v>
      </c>
      <c r="T19" s="2" t="n">
        <v>5327.06</v>
      </c>
      <c r="U19" s="2" t="n">
        <v>4175.87</v>
      </c>
      <c r="W19" s="2" t="n">
        <v>989.01</v>
      </c>
      <c r="X19" s="2" t="n">
        <v>4785.91</v>
      </c>
      <c r="Y19" s="2" t="n">
        <v>3103.55</v>
      </c>
      <c r="AE19" s="10">
        <f>SUM(C19:AD19)</f>
        <v/>
      </c>
    </row>
    <row r="20">
      <c r="B20" t="inlineStr">
        <is>
          <t>Travel 5004</t>
        </is>
      </c>
      <c r="S20" s="2" t="n">
        <v>1885.65</v>
      </c>
      <c r="T20" s="2" t="n">
        <v>5569.83</v>
      </c>
      <c r="U20" s="2" t="n">
        <v>556.6</v>
      </c>
      <c r="W20" s="2" t="n">
        <v>317.57</v>
      </c>
      <c r="X20" s="2" t="n">
        <v>7235.54</v>
      </c>
      <c r="Y20" s="2" t="n">
        <v>413.25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339.04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19435.81</v>
      </c>
      <c r="T29" s="2" t="n">
        <v>4140.57</v>
      </c>
      <c r="U29" s="2" t="n">
        <v>8950.59</v>
      </c>
      <c r="W29" s="2" t="n">
        <v>2578.05</v>
      </c>
      <c r="X29" s="2" t="n">
        <v>13865.62</v>
      </c>
      <c r="Y29" s="2" t="n">
        <v>7930.48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COR006</t>
        </is>
      </c>
    </row>
    <row r="4">
      <c r="A4" s="1" t="inlineStr">
        <is>
          <t>ROLLUP #</t>
        </is>
      </c>
      <c r="B4" t="inlineStr">
        <is>
          <t>74106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5640.09</v>
      </c>
      <c r="T18" s="2" t="n">
        <v>23487.01</v>
      </c>
      <c r="U18" s="2" t="n">
        <v>48323.75</v>
      </c>
      <c r="W18" s="2" t="n">
        <v>121.26</v>
      </c>
      <c r="Y18" s="2" t="n">
        <v>259.56</v>
      </c>
      <c r="AE18" s="10">
        <f>SUM(C18:AD18)</f>
        <v/>
      </c>
    </row>
    <row r="19">
      <c r="B19" t="inlineStr">
        <is>
          <t>Fringe 5990</t>
        </is>
      </c>
      <c r="S19" s="2" t="n">
        <v>2553.83</v>
      </c>
      <c r="T19" s="2" t="n">
        <v>11456.3</v>
      </c>
      <c r="U19" s="2" t="n">
        <v>23243.72</v>
      </c>
      <c r="W19" s="2" t="n">
        <v>60.95</v>
      </c>
      <c r="Y19" s="2" t="n">
        <v>130.45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11858.25</v>
      </c>
      <c r="T29" s="2" t="n">
        <v>44819.77</v>
      </c>
      <c r="U29" s="2" t="n">
        <v>94032.50999999999</v>
      </c>
      <c r="W29" s="2" t="n">
        <v>241.96</v>
      </c>
      <c r="Y29" s="2" t="n">
        <v>517.89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COR007</t>
        </is>
      </c>
    </row>
    <row r="4">
      <c r="A4" s="1" t="inlineStr">
        <is>
          <t>ROLLUP #</t>
        </is>
      </c>
      <c r="B4" t="inlineStr">
        <is>
          <t>74107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572.33</v>
      </c>
      <c r="T18" s="2" t="n">
        <v>829.4400000000001</v>
      </c>
      <c r="U18" s="2" t="n">
        <v>5797.51</v>
      </c>
      <c r="W18" s="2" t="n">
        <v>5460.4</v>
      </c>
      <c r="X18" s="2" t="n">
        <v>21262.93</v>
      </c>
      <c r="Y18" s="2" t="n">
        <v>1424.75</v>
      </c>
      <c r="Z18" s="2" t="n">
        <v>2743.02</v>
      </c>
      <c r="AE18" s="10">
        <f>SUM(C18:AD18)</f>
        <v/>
      </c>
    </row>
    <row r="19">
      <c r="B19" t="inlineStr">
        <is>
          <t>Fringe 5990</t>
        </is>
      </c>
      <c r="S19" s="2" t="n">
        <v>259.15</v>
      </c>
      <c r="T19" s="2" t="n">
        <v>415.09</v>
      </c>
      <c r="U19" s="2" t="n">
        <v>2788.6</v>
      </c>
      <c r="W19" s="2" t="n">
        <v>2744.4</v>
      </c>
      <c r="X19" s="2" t="n">
        <v>10686.74</v>
      </c>
      <c r="Y19" s="2" t="n">
        <v>716.0700000000001</v>
      </c>
      <c r="Z19" s="2" t="n">
        <v>1378.64</v>
      </c>
      <c r="AE19" s="10">
        <f>SUM(C19:AD19)</f>
        <v/>
      </c>
    </row>
    <row r="20">
      <c r="B20" t="inlineStr">
        <is>
          <t>Travel 5004</t>
        </is>
      </c>
      <c r="U20" s="2" t="n">
        <v>46</v>
      </c>
      <c r="W20" s="2" t="n">
        <v>1040.61</v>
      </c>
      <c r="X20" s="2" t="n">
        <v>3283.92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1203.32</v>
      </c>
      <c r="T29" s="2" t="n">
        <v>1524.36</v>
      </c>
      <c r="U29" s="2" t="n">
        <v>11341.73</v>
      </c>
      <c r="W29" s="2" t="n">
        <v>12276.98</v>
      </c>
      <c r="X29" s="2" t="n">
        <v>46786.69</v>
      </c>
      <c r="Y29" s="2" t="n">
        <v>2842.8</v>
      </c>
      <c r="Z29" s="2" t="n">
        <v>5473.16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COR008</t>
        </is>
      </c>
    </row>
    <row r="4">
      <c r="A4" s="1" t="inlineStr">
        <is>
          <t>ROLLUP #</t>
        </is>
      </c>
      <c r="B4" t="inlineStr">
        <is>
          <t>74108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3671.91</v>
      </c>
      <c r="T18" s="2" t="n">
        <v>50993.47</v>
      </c>
      <c r="U18" s="2" t="n">
        <v>124461.39</v>
      </c>
      <c r="W18" s="2" t="n">
        <v>46591.12</v>
      </c>
      <c r="X18" s="2" t="n">
        <v>99450.3</v>
      </c>
      <c r="Y18" s="2" t="n">
        <v>51884.92</v>
      </c>
      <c r="AE18" s="10">
        <f>SUM(C18:AD18)</f>
        <v/>
      </c>
    </row>
    <row r="19">
      <c r="B19" t="inlineStr">
        <is>
          <t>Fringe 5990</t>
        </is>
      </c>
      <c r="S19" s="2" t="n">
        <v>1662.65</v>
      </c>
      <c r="T19" s="2" t="n">
        <v>24631.41</v>
      </c>
      <c r="U19" s="2" t="n">
        <v>59865.93</v>
      </c>
      <c r="W19" s="2" t="n">
        <v>23416.7</v>
      </c>
      <c r="X19" s="2" t="n">
        <v>49983.71</v>
      </c>
      <c r="Y19" s="2" t="n">
        <v>26077.38</v>
      </c>
      <c r="AE19" s="10">
        <f>SUM(C19:AD19)</f>
        <v/>
      </c>
    </row>
    <row r="20">
      <c r="B20" t="inlineStr">
        <is>
          <t>Travel 5004</t>
        </is>
      </c>
      <c r="T20" s="2" t="n">
        <v>576.84</v>
      </c>
      <c r="U20" s="2" t="n">
        <v>1316.42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1703.65</v>
      </c>
      <c r="AE25" s="10">
        <f>SUM(C25:AD25)</f>
        <v/>
      </c>
    </row>
    <row r="26">
      <c r="B26" t="inlineStr">
        <is>
          <t>Material 5003</t>
        </is>
      </c>
      <c r="T26" s="2" t="n">
        <v>1081.87</v>
      </c>
      <c r="W26" s="2" t="n">
        <v>11.99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7720.16</v>
      </c>
      <c r="T29" s="2" t="n">
        <v>100831.81</v>
      </c>
      <c r="U29" s="2" t="n">
        <v>246155.73</v>
      </c>
      <c r="W29" s="2" t="n">
        <v>92979.31</v>
      </c>
      <c r="X29" s="2" t="n">
        <v>198433.45</v>
      </c>
      <c r="Y29" s="2" t="n">
        <v>103526.15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COR009</t>
        </is>
      </c>
    </row>
    <row r="4">
      <c r="A4" s="1" t="inlineStr">
        <is>
          <t>ROLLUP #</t>
        </is>
      </c>
      <c r="B4" t="inlineStr">
        <is>
          <t>74109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4819.73</v>
      </c>
      <c r="T18" s="2" t="n">
        <v>15084.53</v>
      </c>
      <c r="U18" s="2" t="n">
        <v>12087.14</v>
      </c>
      <c r="W18" s="2" t="n">
        <v>7082.18</v>
      </c>
      <c r="X18" s="2" t="n">
        <v>4794.66</v>
      </c>
      <c r="Y18" s="2" t="n">
        <v>4191.16</v>
      </c>
      <c r="AE18" s="10">
        <f>SUM(C18:AD18)</f>
        <v/>
      </c>
    </row>
    <row r="19">
      <c r="B19" t="inlineStr">
        <is>
          <t>Fringe 5990</t>
        </is>
      </c>
      <c r="S19" s="2" t="n">
        <v>2182.38</v>
      </c>
      <c r="T19" s="2" t="n">
        <v>7391.58</v>
      </c>
      <c r="U19" s="2" t="n">
        <v>5813.91</v>
      </c>
      <c r="W19" s="2" t="n">
        <v>3559.51</v>
      </c>
      <c r="X19" s="2" t="n">
        <v>2409.79</v>
      </c>
      <c r="Y19" s="2" t="n">
        <v>2106.48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10133.41</v>
      </c>
      <c r="T29" s="2" t="n">
        <v>28597.97</v>
      </c>
      <c r="U29" s="2" t="n">
        <v>23520.21</v>
      </c>
      <c r="W29" s="2" t="n">
        <v>14131.1</v>
      </c>
      <c r="X29" s="2" t="n">
        <v>9566.790000000001</v>
      </c>
      <c r="Y29" s="2" t="n">
        <v>8362.629999999999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COR010</t>
        </is>
      </c>
    </row>
    <row r="4">
      <c r="A4" s="1" t="inlineStr">
        <is>
          <t>ROLLUP #</t>
        </is>
      </c>
      <c r="B4" t="inlineStr">
        <is>
          <t>74110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COR011</t>
        </is>
      </c>
    </row>
    <row r="4">
      <c r="A4" s="1" t="inlineStr">
        <is>
          <t>ROLLUP #</t>
        </is>
      </c>
      <c r="B4" t="inlineStr">
        <is>
          <t>74111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27994.85</v>
      </c>
      <c r="T18" s="2" t="n">
        <v>39250.05</v>
      </c>
      <c r="U18" s="2" t="n">
        <v>57401.61</v>
      </c>
      <c r="W18" s="2" t="n">
        <v>24880</v>
      </c>
      <c r="X18" s="2" t="n">
        <v>41510.24</v>
      </c>
      <c r="Y18" s="2" t="n">
        <v>48332.98</v>
      </c>
      <c r="Z18" s="2" t="n">
        <v>17841.82</v>
      </c>
      <c r="AA18" s="2" t="n">
        <v>12568.42</v>
      </c>
      <c r="AE18" s="10">
        <f>SUM(C18:AD18)</f>
        <v/>
      </c>
    </row>
    <row r="19">
      <c r="B19" t="inlineStr">
        <is>
          <t>Fringe 5990</t>
        </is>
      </c>
      <c r="S19" s="2" t="n">
        <v>12676.07</v>
      </c>
      <c r="T19" s="2" t="n">
        <v>19668.73</v>
      </c>
      <c r="U19" s="2" t="n">
        <v>27610.18</v>
      </c>
      <c r="W19" s="2" t="n">
        <v>12504.69</v>
      </c>
      <c r="X19" s="2" t="n">
        <v>20863.06</v>
      </c>
      <c r="Y19" s="2" t="n">
        <v>24292.15</v>
      </c>
      <c r="Z19" s="2" t="n">
        <v>8967.209999999999</v>
      </c>
      <c r="AA19" s="2" t="n">
        <v>6803.3</v>
      </c>
      <c r="AE19" s="10">
        <f>SUM(C19:AD19)</f>
        <v/>
      </c>
    </row>
    <row r="20">
      <c r="B20" t="inlineStr">
        <is>
          <t>Travel 5004</t>
        </is>
      </c>
      <c r="T20" s="2" t="n">
        <v>1917.3</v>
      </c>
      <c r="U20" s="2" t="n">
        <v>1180.49</v>
      </c>
      <c r="W20" s="2" t="n">
        <v>3003.63</v>
      </c>
      <c r="X20" s="2" t="n">
        <v>1462.52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375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58858.95</v>
      </c>
      <c r="T29" s="2" t="n">
        <v>69730.42999999999</v>
      </c>
      <c r="U29" s="2" t="n">
        <v>113740.73</v>
      </c>
      <c r="W29" s="2" t="n">
        <v>46032.9</v>
      </c>
      <c r="X29" s="2" t="n">
        <v>68210.97</v>
      </c>
      <c r="Y29" s="2" t="n">
        <v>77396.25999999999</v>
      </c>
      <c r="Z29" s="2" t="n">
        <v>35599.5</v>
      </c>
      <c r="AA29" s="2" t="n">
        <v>26395.91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COR012</t>
        </is>
      </c>
    </row>
    <row r="4">
      <c r="A4" s="1" t="inlineStr">
        <is>
          <t>ROLLUP #</t>
        </is>
      </c>
      <c r="B4" t="inlineStr">
        <is>
          <t>74113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4487.46</v>
      </c>
      <c r="T18" s="2" t="n">
        <v>20159.94</v>
      </c>
      <c r="U18" s="2" t="n">
        <v>27039.89</v>
      </c>
      <c r="W18" s="2" t="n">
        <v>326.3</v>
      </c>
      <c r="X18" s="2" t="n">
        <v>14787.9</v>
      </c>
      <c r="Y18" s="2" t="n">
        <v>429.13</v>
      </c>
      <c r="AE18" s="10">
        <f>SUM(C18:AD18)</f>
        <v/>
      </c>
    </row>
    <row r="19">
      <c r="B19" t="inlineStr">
        <is>
          <t>Fringe 5990</t>
        </is>
      </c>
      <c r="S19" s="2" t="n">
        <v>2031.92</v>
      </c>
      <c r="T19" s="2" t="n">
        <v>6423.45</v>
      </c>
      <c r="U19" s="2" t="n">
        <v>13006.19</v>
      </c>
      <c r="W19" s="2" t="n">
        <v>164</v>
      </c>
      <c r="X19" s="2" t="n">
        <v>7432.41</v>
      </c>
      <c r="Y19" s="2" t="n">
        <v>215.68</v>
      </c>
      <c r="AE19" s="10">
        <f>SUM(C19:AD19)</f>
        <v/>
      </c>
    </row>
    <row r="20">
      <c r="B20" t="inlineStr">
        <is>
          <t>Travel 5004</t>
        </is>
      </c>
      <c r="X20" s="2" t="n">
        <v>860.9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9434.85</v>
      </c>
      <c r="T29" s="2" t="n">
        <v>24771.37</v>
      </c>
      <c r="U29" s="2" t="n">
        <v>52616.54</v>
      </c>
      <c r="W29" s="2" t="n">
        <v>651.0700000000001</v>
      </c>
      <c r="X29" s="2" t="n">
        <v>30649.52</v>
      </c>
      <c r="Y29" s="2" t="n">
        <v>856.24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COR013</t>
        </is>
      </c>
    </row>
    <row r="4">
      <c r="A4" s="1" t="inlineStr">
        <is>
          <t>ROLLUP #</t>
        </is>
      </c>
      <c r="B4" t="inlineStr">
        <is>
          <t>74114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5661.09</v>
      </c>
      <c r="T18" s="2" t="n">
        <v>11356.32</v>
      </c>
      <c r="U18" s="2" t="n">
        <v>18841.99</v>
      </c>
      <c r="W18" s="2" t="n">
        <v>7847.25</v>
      </c>
      <c r="X18" s="2" t="n">
        <v>20047.2</v>
      </c>
      <c r="Y18" s="2" t="n">
        <v>13968.49</v>
      </c>
      <c r="AE18" s="10">
        <f>SUM(C18:AD18)</f>
        <v/>
      </c>
    </row>
    <row r="19">
      <c r="B19" t="inlineStr">
        <is>
          <t>Fringe 5990</t>
        </is>
      </c>
      <c r="S19" s="2" t="n">
        <v>2563.35</v>
      </c>
      <c r="T19" s="2" t="n">
        <v>9022.059999999999</v>
      </c>
      <c r="U19" s="2" t="n">
        <v>9062.99</v>
      </c>
      <c r="W19" s="2" t="n">
        <v>3944.03</v>
      </c>
      <c r="X19" s="2" t="n">
        <v>10075.72</v>
      </c>
      <c r="Y19" s="2" t="n">
        <v>7020.56</v>
      </c>
      <c r="AE19" s="10">
        <f>SUM(C19:AD19)</f>
        <v/>
      </c>
    </row>
    <row r="20">
      <c r="B20" t="inlineStr">
        <is>
          <t>Travel 5004</t>
        </is>
      </c>
      <c r="W20" s="2" t="n">
        <v>1418.26</v>
      </c>
      <c r="X20" s="2" t="n">
        <v>7234.28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T22" s="2" t="n">
        <v>6000</v>
      </c>
      <c r="U22" s="2" t="n">
        <v>2500</v>
      </c>
      <c r="X22" s="2" t="n">
        <v>12500</v>
      </c>
      <c r="Y22" s="2" t="n">
        <v>12787.5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575</v>
      </c>
      <c r="X25" s="2" t="n">
        <v>81.63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11902.4</v>
      </c>
      <c r="T29" s="2" t="n">
        <v>20902.26</v>
      </c>
      <c r="U29" s="2" t="n">
        <v>18391.98</v>
      </c>
      <c r="W29" s="2" t="n">
        <v>8659.469999999999</v>
      </c>
      <c r="X29" s="2" t="n">
        <v>32283.35</v>
      </c>
      <c r="Y29" s="2" t="n">
        <v>21218.43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NX001</t>
        </is>
      </c>
    </row>
    <row r="4">
      <c r="A4" s="1" t="inlineStr">
        <is>
          <t>ROLLUP #</t>
        </is>
      </c>
      <c r="B4" t="inlineStr">
        <is>
          <t>74001A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NX002</t>
        </is>
      </c>
    </row>
    <row r="4">
      <c r="A4" s="1" t="inlineStr">
        <is>
          <t>ROLLUP #</t>
        </is>
      </c>
      <c r="B4" t="inlineStr">
        <is>
          <t>74004A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NX003</t>
        </is>
      </c>
    </row>
    <row r="4">
      <c r="A4" s="1" t="inlineStr">
        <is>
          <t>ROLLUP #</t>
        </is>
      </c>
      <c r="B4" t="inlineStr">
        <is>
          <t>74011A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NX004</t>
        </is>
      </c>
    </row>
    <row r="4">
      <c r="A4" s="1" t="inlineStr">
        <is>
          <t>ROLLUP #</t>
        </is>
      </c>
      <c r="B4" t="inlineStr">
        <is>
          <t>74112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-6300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NX006</t>
        </is>
      </c>
    </row>
    <row r="4">
      <c r="A4" s="1" t="inlineStr">
        <is>
          <t>ROLLUP #</t>
        </is>
      </c>
      <c r="B4" t="inlineStr">
        <is>
          <t>78001</t>
        </is>
      </c>
    </row>
    <row r="5">
      <c r="A5" s="1" t="inlineStr">
        <is>
          <t>PROJECT NAME</t>
        </is>
      </c>
      <c r="B5" t="inlineStr">
        <is>
          <t>OSD General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NX007</t>
        </is>
      </c>
    </row>
    <row r="4">
      <c r="A4" s="1" t="inlineStr">
        <is>
          <t>ROLLUP #</t>
        </is>
      </c>
      <c r="B4" t="inlineStr">
        <is>
          <t>78002</t>
        </is>
      </c>
    </row>
    <row r="5">
      <c r="A5" s="1" t="inlineStr">
        <is>
          <t>PROJECT NAME</t>
        </is>
      </c>
      <c r="B5" t="inlineStr">
        <is>
          <t>Marketing Campaign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NX008</t>
        </is>
      </c>
    </row>
    <row r="4">
      <c r="A4" s="1" t="inlineStr">
        <is>
          <t>ROLLUP #</t>
        </is>
      </c>
      <c r="B4" t="inlineStr">
        <is>
          <t>79001</t>
        </is>
      </c>
    </row>
    <row r="5">
      <c r="A5" s="1" t="inlineStr">
        <is>
          <t>PROJECT NAME</t>
        </is>
      </c>
      <c r="B5" t="inlineStr">
        <is>
          <t>Innovation Days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NX009</t>
        </is>
      </c>
    </row>
    <row r="4">
      <c r="A4" s="1" t="inlineStr">
        <is>
          <t>ROLLUP #</t>
        </is>
      </c>
      <c r="B4" t="inlineStr">
        <is>
          <t>79002</t>
        </is>
      </c>
    </row>
    <row r="5">
      <c r="A5" s="1" t="inlineStr">
        <is>
          <t>PROJECT NAME</t>
        </is>
      </c>
      <c r="B5" t="inlineStr">
        <is>
          <t>DMC Show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673.64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NX010</t>
        </is>
      </c>
    </row>
    <row r="4">
      <c r="A4" s="1" t="inlineStr">
        <is>
          <t>ROLLUP #</t>
        </is>
      </c>
      <c r="B4" t="inlineStr">
        <is>
          <t>79003</t>
        </is>
      </c>
    </row>
    <row r="5">
      <c r="A5" s="1" t="inlineStr">
        <is>
          <t>PROJECT NAME</t>
        </is>
      </c>
      <c r="B5" t="inlineStr">
        <is>
          <t>FLEX Semicon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221.92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NX011</t>
        </is>
      </c>
    </row>
    <row r="4">
      <c r="A4" s="1" t="inlineStr">
        <is>
          <t>ROLLUP #</t>
        </is>
      </c>
      <c r="B4" t="inlineStr">
        <is>
          <t>79004</t>
        </is>
      </c>
    </row>
    <row r="5">
      <c r="A5" s="1" t="inlineStr">
        <is>
          <t>PROJECT NAME</t>
        </is>
      </c>
      <c r="B5" t="inlineStr">
        <is>
          <t>FHE Symposium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NX012</t>
        </is>
      </c>
    </row>
    <row r="4">
      <c r="A4" s="1" t="inlineStr">
        <is>
          <t>ROLLUP #</t>
        </is>
      </c>
      <c r="B4" t="inlineStr">
        <is>
          <t>79005</t>
        </is>
      </c>
    </row>
    <row r="5">
      <c r="A5" s="1" t="inlineStr">
        <is>
          <t>PROJECT NAME</t>
        </is>
      </c>
      <c r="B5" t="inlineStr">
        <is>
          <t>White House Event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NX013</t>
        </is>
      </c>
    </row>
    <row r="4">
      <c r="A4" s="1" t="inlineStr">
        <is>
          <t>ROLLUP #</t>
        </is>
      </c>
      <c r="B4" t="inlineStr">
        <is>
          <t>79006</t>
        </is>
      </c>
    </row>
    <row r="5">
      <c r="A5" s="1" t="inlineStr">
        <is>
          <t>PROJECT NAME</t>
        </is>
      </c>
      <c r="B5" t="inlineStr">
        <is>
          <t>Manufacturing Day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NX014</t>
        </is>
      </c>
    </row>
    <row r="4">
      <c r="A4" s="1" t="inlineStr">
        <is>
          <t>ROLLUP #</t>
        </is>
      </c>
      <c r="B4" t="inlineStr">
        <is>
          <t>79007</t>
        </is>
      </c>
    </row>
    <row r="5">
      <c r="A5" s="1" t="inlineStr">
        <is>
          <t>PROJECT NAME</t>
        </is>
      </c>
      <c r="B5" t="inlineStr">
        <is>
          <t>NF Sponsored WS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NX015</t>
        </is>
      </c>
    </row>
    <row r="4">
      <c r="A4" s="1" t="inlineStr">
        <is>
          <t>ROLLUP #</t>
        </is>
      </c>
      <c r="B4" t="inlineStr">
        <is>
          <t>79008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NX016</t>
        </is>
      </c>
    </row>
    <row r="4">
      <c r="A4" s="1" t="inlineStr">
        <is>
          <t>ROLLUP #</t>
        </is>
      </c>
      <c r="B4" t="inlineStr">
        <is>
          <t>79009</t>
        </is>
      </c>
    </row>
    <row r="5">
      <c r="A5" s="1" t="inlineStr">
        <is>
          <t>PROJECT NAME</t>
        </is>
      </c>
      <c r="B5" t="inlineStr">
        <is>
          <t>NAPMP Proposal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NX017</t>
        </is>
      </c>
    </row>
    <row r="4">
      <c r="A4" s="1" t="inlineStr">
        <is>
          <t>ROLLUP #</t>
        </is>
      </c>
      <c r="B4" t="inlineStr">
        <is>
          <t>99996</t>
        </is>
      </c>
    </row>
    <row r="5">
      <c r="A5" s="1" t="inlineStr">
        <is>
          <t>PROJECT NAME</t>
        </is>
      </c>
      <c r="B5" t="inlineStr">
        <is>
          <t>Cost Share Rev ADP 2019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NX018</t>
        </is>
      </c>
    </row>
    <row r="4">
      <c r="A4" s="1" t="inlineStr">
        <is>
          <t>ROLLUP #</t>
        </is>
      </c>
      <c r="B4" t="inlineStr">
        <is>
          <t>99997</t>
        </is>
      </c>
    </row>
    <row r="5">
      <c r="A5" s="1" t="inlineStr">
        <is>
          <t>PROJECT NAME</t>
        </is>
      </c>
      <c r="B5" t="inlineStr">
        <is>
          <t>Cost Share Rev ADP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NX019</t>
        </is>
      </c>
    </row>
    <row r="4">
      <c r="A4" s="1" t="inlineStr">
        <is>
          <t>ROLLUP #</t>
        </is>
      </c>
      <c r="B4" t="inlineStr">
        <is>
          <t>99998</t>
        </is>
      </c>
    </row>
    <row r="5">
      <c r="A5" s="1" t="inlineStr">
        <is>
          <t>PROJECT NAME</t>
        </is>
      </c>
      <c r="B5" t="inlineStr">
        <is>
          <t>Cost Share ADP PC Rev and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NX020</t>
        </is>
      </c>
    </row>
    <row r="4">
      <c r="A4" s="1" t="inlineStr">
        <is>
          <t>ROLLUP #</t>
        </is>
      </c>
      <c r="B4" t="inlineStr">
        <is>
          <t>99999</t>
        </is>
      </c>
    </row>
    <row r="5">
      <c r="A5" s="1" t="inlineStr">
        <is>
          <t>PROJECT NAME</t>
        </is>
      </c>
      <c r="B5" t="inlineStr">
        <is>
          <t>ADP Rev and 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NX021</t>
        </is>
      </c>
    </row>
    <row r="4">
      <c r="A4" s="1" t="inlineStr">
        <is>
          <t>ROLLUP #</t>
        </is>
      </c>
      <c r="B4" t="inlineStr">
        <is>
          <t>710999</t>
        </is>
      </c>
    </row>
    <row r="5">
      <c r="A5" s="1" t="inlineStr">
        <is>
          <t>PROJECT NAME</t>
        </is>
      </c>
      <c r="B5" t="inlineStr">
        <is>
          <t>ADP Excess Reclass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NX022</t>
        </is>
      </c>
    </row>
    <row r="4">
      <c r="A4" s="1" t="inlineStr">
        <is>
          <t>ROLLUP #</t>
        </is>
      </c>
      <c r="B4" t="inlineStr">
        <is>
          <t>713999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5607949.11</v>
      </c>
      <c r="Z21" s="2" t="n">
        <v>-5607949.11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NX023</t>
        </is>
      </c>
    </row>
    <row r="4">
      <c r="A4" s="1" t="inlineStr">
        <is>
          <t>ROLLUP #</t>
        </is>
      </c>
      <c r="B4" t="inlineStr">
        <is>
          <t>EJDMC</t>
        </is>
      </c>
    </row>
    <row r="5">
      <c r="A5" s="1" t="inlineStr">
        <is>
          <t>PROJECT NAME</t>
        </is>
      </c>
      <c r="B5" t="inlineStr">
        <is>
          <t>EJDMC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NX024</t>
        </is>
      </c>
    </row>
    <row r="4">
      <c r="A4" s="1" t="inlineStr">
        <is>
          <t>ROLLUP #</t>
        </is>
      </c>
      <c r="B4" t="inlineStr">
        <is>
          <t>FJDMC</t>
        </is>
      </c>
    </row>
    <row r="5">
      <c r="A5" s="1" t="inlineStr">
        <is>
          <t>PROJECT NAME</t>
        </is>
      </c>
      <c r="B5" t="inlineStr">
        <is>
          <t>FJDMC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NX025</t>
        </is>
      </c>
    </row>
    <row r="4">
      <c r="A4" s="1" t="inlineStr">
        <is>
          <t>ROLLUP #</t>
        </is>
      </c>
      <c r="B4" t="inlineStr">
        <is>
          <t>JDMC</t>
        </is>
      </c>
    </row>
    <row r="5">
      <c r="A5" s="1" t="inlineStr">
        <is>
          <t>PROJECT NAME</t>
        </is>
      </c>
      <c r="B5" t="inlineStr">
        <is>
          <t>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2026-04-17T11:43:37Z</dcterms:created>
  <dcterms:modified xsi:type="dcterms:W3CDTF">2026-04-17T12:27:48Z</dcterms:modified>
</cp:coreProperties>
</file>