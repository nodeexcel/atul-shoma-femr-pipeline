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worksheets/sheet40.xml" ContentType="application/vnd.openxmlformats-officedocument.spreadsheetml.worksheet+xml"/>
  <Override PartName="/xl/drawings/drawing40.xml" ContentType="application/vnd.openxmlformats-officedocument.drawing+xml"/>
  <Override PartName="/xl/worksheets/sheet41.xml" ContentType="application/vnd.openxmlformats-officedocument.spreadsheetml.worksheet+xml"/>
  <Override PartName="/xl/drawings/drawing41.xml" ContentType="application/vnd.openxmlformats-officedocument.drawing+xml"/>
  <Override PartName="/xl/worksheets/sheet42.xml" ContentType="application/vnd.openxmlformats-officedocument.spreadsheetml.worksheet+xml"/>
  <Override PartName="/xl/drawings/drawing4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C001" sheetId="1" state="visible" r:id="rId1"/>
    <sheet name="CC003" sheetId="2" state="visible" r:id="rId2"/>
    <sheet name="CC004" sheetId="3" state="visible" r:id="rId3"/>
    <sheet name="CC005" sheetId="4" state="visible" r:id="rId4"/>
    <sheet name="CC006" sheetId="5" state="visible" r:id="rId5"/>
    <sheet name="CC007 R4006" sheetId="6" state="visible" r:id="rId6"/>
    <sheet name="CC007 R960011" sheetId="7" state="visible" r:id="rId7"/>
    <sheet name="CC008" sheetId="8" state="visible" r:id="rId8"/>
    <sheet name="CC009" sheetId="9" state="visible" r:id="rId9"/>
    <sheet name="CC010" sheetId="10" state="visible" r:id="rId10"/>
    <sheet name="CC011" sheetId="11" state="visible" r:id="rId11"/>
    <sheet name="CC012" sheetId="12" state="visible" r:id="rId12"/>
    <sheet name="CC013" sheetId="13" state="visible" r:id="rId13"/>
    <sheet name="CC014" sheetId="14" state="visible" r:id="rId14"/>
    <sheet name="CC015" sheetId="15" state="visible" r:id="rId15"/>
    <sheet name="CC016" sheetId="16" state="visible" r:id="rId16"/>
    <sheet name="CC017" sheetId="17" state="visible" r:id="rId17"/>
    <sheet name="CC018" sheetId="18" state="visible" r:id="rId18"/>
    <sheet name="CC019" sheetId="19" state="visible" r:id="rId19"/>
    <sheet name="CC020" sheetId="20" state="visible" r:id="rId20"/>
    <sheet name="CC021" sheetId="21" state="visible" r:id="rId21"/>
    <sheet name="CC022" sheetId="22" state="visible" r:id="rId22"/>
    <sheet name="CC023" sheetId="23" state="visible" r:id="rId23"/>
    <sheet name="CC024" sheetId="24" state="visible" r:id="rId24"/>
    <sheet name="CC025" sheetId="25" state="visible" r:id="rId25"/>
    <sheet name="CC026" sheetId="26" state="visible" r:id="rId26"/>
    <sheet name="CC027" sheetId="27" state="visible" r:id="rId27"/>
    <sheet name="CC028" sheetId="28" state="visible" r:id="rId28"/>
    <sheet name="CC029" sheetId="29" state="visible" r:id="rId29"/>
    <sheet name="CC030" sheetId="30" state="visible" r:id="rId30"/>
    <sheet name="CC031" sheetId="31" state="visible" r:id="rId31"/>
    <sheet name="CC032" sheetId="32" state="visible" r:id="rId32"/>
    <sheet name="CC033" sheetId="33" state="visible" r:id="rId33"/>
    <sheet name="CC034" sheetId="34" state="visible" r:id="rId34"/>
    <sheet name="CC035" sheetId="35" state="visible" r:id="rId35"/>
    <sheet name="CC036" sheetId="36" state="visible" r:id="rId36"/>
    <sheet name="CC037" sheetId="37" state="visible" r:id="rId37"/>
    <sheet name="CC038" sheetId="38" state="visible" r:id="rId38"/>
    <sheet name="CC039" sheetId="39" state="visible" r:id="rId39"/>
    <sheet name="CC040" sheetId="40" state="visible" r:id="rId40"/>
    <sheet name="CC041" sheetId="41" state="visible" r:id="rId41"/>
    <sheet name="CC042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$* #,##0.00_);_($* (#,##0.00);_($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1FFB0"/>
      </patternFill>
    </fill>
    <fill>
      <patternFill patternType="solid">
        <fgColor rgb="00A3D1FF"/>
      </patternFill>
    </fill>
    <fill>
      <patternFill patternType="solid">
        <fgColor rgb="00F5F4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64" fontId="0" fillId="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4" borderId="0" pivotButton="0" quotePrefix="0" xfId="0"/>
    <xf numFmtId="164" fontId="0" fillId="4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'CC001'!$B$51:$AC$51</f>
            </numRef>
          </cat>
          <val>
            <numRef>
              <f>'CC001'!$B$52:$AC$52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'CC001'!$B$51:$AC$51</f>
            </numRef>
          </cat>
          <val>
            <numRef>
              <f>'CC001'!$B$53:$AC$53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'CC001'!$B$51:$AC$51</f>
            </numRef>
          </cat>
          <val>
            <numRef>
              <f>'CC001'!$B$54:$AC$54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'CC001'!$B$51:$AC$51</f>
            </numRef>
          </cat>
          <val>
            <numRef>
              <f>'CC001'!$B$55:$AC$55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'CC001'!$B$51:$AC$51</f>
            </numRef>
          </cat>
          <val>
            <numRef>
              <f>'CC001'!$B$56:$AC$56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'CC003'!$B$51:$AC$51</f>
            </numRef>
          </cat>
          <val>
            <numRef>
              <f>'CC003'!$B$52:$AC$52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'CC003'!$B$51:$AC$51</f>
            </numRef>
          </cat>
          <val>
            <numRef>
              <f>'CC003'!$B$53:$AC$53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'CC003'!$B$51:$AC$51</f>
            </numRef>
          </cat>
          <val>
            <numRef>
              <f>'CC003'!$B$54:$AC$54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'CC003'!$B$51:$AC$51</f>
            </numRef>
          </cat>
          <val>
            <numRef>
              <f>'CC003'!$B$55:$AC$55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'CC003'!$B$51:$AC$51</f>
            </numRef>
          </cat>
          <val>
            <numRef>
              <f>'CC003'!$B$56:$AC$56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'CC004'!$B$51:$AC$51</f>
            </numRef>
          </cat>
          <val>
            <numRef>
              <f>'CC004'!$B$52:$AC$52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'CC004'!$B$51:$AC$51</f>
            </numRef>
          </cat>
          <val>
            <numRef>
              <f>'CC004'!$B$53:$AC$53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'CC004'!$B$51:$AC$51</f>
            </numRef>
          </cat>
          <val>
            <numRef>
              <f>'CC004'!$B$54:$AC$54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'CC004'!$B$51:$AC$51</f>
            </numRef>
          </cat>
          <val>
            <numRef>
              <f>'CC004'!$B$55:$AC$55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'CC004'!$B$51:$AC$51</f>
            </numRef>
          </cat>
          <val>
            <numRef>
              <f>'CC004'!$B$56:$AC$56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'CC005'!$B$51:$AC$51</f>
            </numRef>
          </cat>
          <val>
            <numRef>
              <f>'CC005'!$B$52:$AC$52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'CC005'!$B$51:$AC$51</f>
            </numRef>
          </cat>
          <val>
            <numRef>
              <f>'CC005'!$B$53:$AC$53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'CC005'!$B$51:$AC$51</f>
            </numRef>
          </cat>
          <val>
            <numRef>
              <f>'CC005'!$B$54:$AC$54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'CC005'!$B$51:$AC$51</f>
            </numRef>
          </cat>
          <val>
            <numRef>
              <f>'CC005'!$B$55:$AC$55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'CC005'!$B$51:$AC$51</f>
            </numRef>
          </cat>
          <val>
            <numRef>
              <f>'CC005'!$B$56:$AC$56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'CC006'!$B$51:$AC$51</f>
            </numRef>
          </cat>
          <val>
            <numRef>
              <f>'CC006'!$B$52:$AC$52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'CC006'!$B$51:$AC$51</f>
            </numRef>
          </cat>
          <val>
            <numRef>
              <f>'CC006'!$B$53:$AC$53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'CC006'!$B$51:$AC$51</f>
            </numRef>
          </cat>
          <val>
            <numRef>
              <f>'CC006'!$B$54:$AC$54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'CC006'!$B$51:$AC$51</f>
            </numRef>
          </cat>
          <val>
            <numRef>
              <f>'CC006'!$B$55:$AC$55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'CC006'!$B$51:$AC$51</f>
            </numRef>
          </cat>
          <val>
            <numRef>
              <f>'CC006'!$B$56:$AC$56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'CC007 R4006'!$B$51:$AC$51</f>
            </numRef>
          </cat>
          <val>
            <numRef>
              <f>'CC007 R4006'!$B$52:$AC$52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'CC007 R4006'!$B$51:$AC$51</f>
            </numRef>
          </cat>
          <val>
            <numRef>
              <f>'CC007 R4006'!$B$53:$AC$53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'CC007 R4006'!$B$51:$AC$51</f>
            </numRef>
          </cat>
          <val>
            <numRef>
              <f>'CC007 R4006'!$B$54:$AC$54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'CC007 R4006'!$B$51:$AC$51</f>
            </numRef>
          </cat>
          <val>
            <numRef>
              <f>'CC007 R4006'!$B$55:$AC$55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'CC007 R4006'!$B$51:$AC$51</f>
            </numRef>
          </cat>
          <val>
            <numRef>
              <f>'CC007 R4006'!$B$56:$AC$56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'CC007 R960011'!$B$51:$AC$51</f>
            </numRef>
          </cat>
          <val>
            <numRef>
              <f>'CC007 R960011'!$B$52:$AC$52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'CC007 R960011'!$B$51:$AC$51</f>
            </numRef>
          </cat>
          <val>
            <numRef>
              <f>'CC007 R960011'!$B$53:$AC$53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'CC007 R960011'!$B$51:$AC$51</f>
            </numRef>
          </cat>
          <val>
            <numRef>
              <f>'CC007 R960011'!$B$54:$AC$54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'CC007 R960011'!$B$51:$AC$51</f>
            </numRef>
          </cat>
          <val>
            <numRef>
              <f>'CC007 R960011'!$B$55:$AC$55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'CC007 R960011'!$B$51:$AC$51</f>
            </numRef>
          </cat>
          <val>
            <numRef>
              <f>'CC007 R960011'!$B$56:$AC$56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'CC008'!$B$51:$AC$51</f>
            </numRef>
          </cat>
          <val>
            <numRef>
              <f>'CC008'!$B$52:$AC$52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'CC008'!$B$51:$AC$51</f>
            </numRef>
          </cat>
          <val>
            <numRef>
              <f>'CC008'!$B$53:$AC$53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'CC008'!$B$51:$AC$51</f>
            </numRef>
          </cat>
          <val>
            <numRef>
              <f>'CC008'!$B$54:$AC$54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'CC008'!$B$51:$AC$51</f>
            </numRef>
          </cat>
          <val>
            <numRef>
              <f>'CC008'!$B$55:$AC$55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'CC008'!$B$51:$AC$51</f>
            </numRef>
          </cat>
          <val>
            <numRef>
              <f>'CC008'!$B$56:$AC$56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'CC009'!$B$51:$AC$51</f>
            </numRef>
          </cat>
          <val>
            <numRef>
              <f>'CC009'!$B$52:$AC$52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'CC009'!$B$51:$AC$51</f>
            </numRef>
          </cat>
          <val>
            <numRef>
              <f>'CC009'!$B$53:$AC$53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'CC009'!$B$51:$AC$51</f>
            </numRef>
          </cat>
          <val>
            <numRef>
              <f>'CC009'!$B$54:$AC$54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'CC009'!$B$51:$AC$51</f>
            </numRef>
          </cat>
          <val>
            <numRef>
              <f>'CC009'!$B$55:$AC$55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'CC009'!$B$51:$AC$51</f>
            </numRef>
          </cat>
          <val>
            <numRef>
              <f>'CC009'!$B$56:$AC$56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'CC010'!$B$51:$AC$51</f>
            </numRef>
          </cat>
          <val>
            <numRef>
              <f>'CC010'!$B$52:$AC$52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'CC010'!$B$51:$AC$51</f>
            </numRef>
          </cat>
          <val>
            <numRef>
              <f>'CC010'!$B$53:$AC$53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'CC010'!$B$51:$AC$51</f>
            </numRef>
          </cat>
          <val>
            <numRef>
              <f>'CC010'!$B$54:$AC$54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'CC010'!$B$51:$AC$51</f>
            </numRef>
          </cat>
          <val>
            <numRef>
              <f>'CC010'!$B$55:$AC$55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'CC010'!$B$51:$AC$51</f>
            </numRef>
          </cat>
          <val>
            <numRef>
              <f>'CC010'!$B$56:$AC$56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'CC011'!$B$51:$AC$51</f>
            </numRef>
          </cat>
          <val>
            <numRef>
              <f>'CC011'!$B$52:$AC$52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'CC011'!$B$51:$AC$51</f>
            </numRef>
          </cat>
          <val>
            <numRef>
              <f>'CC011'!$B$53:$AC$53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'CC011'!$B$51:$AC$51</f>
            </numRef>
          </cat>
          <val>
            <numRef>
              <f>'CC011'!$B$54:$AC$54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'CC011'!$B$51:$AC$51</f>
            </numRef>
          </cat>
          <val>
            <numRef>
              <f>'CC011'!$B$55:$AC$55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'CC011'!$B$51:$AC$51</f>
            </numRef>
          </cat>
          <val>
            <numRef>
              <f>'CC011'!$B$56:$AC$56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'CC012'!$B$51:$AC$51</f>
            </numRef>
          </cat>
          <val>
            <numRef>
              <f>'CC012'!$B$52:$AC$52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'CC012'!$B$51:$AC$51</f>
            </numRef>
          </cat>
          <val>
            <numRef>
              <f>'CC012'!$B$53:$AC$53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'CC012'!$B$51:$AC$51</f>
            </numRef>
          </cat>
          <val>
            <numRef>
              <f>'CC012'!$B$54:$AC$54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'CC012'!$B$51:$AC$51</f>
            </numRef>
          </cat>
          <val>
            <numRef>
              <f>'CC012'!$B$55:$AC$55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'CC012'!$B$51:$AC$51</f>
            </numRef>
          </cat>
          <val>
            <numRef>
              <f>'CC012'!$B$56:$AC$56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'CC013'!$B$51:$AC$51</f>
            </numRef>
          </cat>
          <val>
            <numRef>
              <f>'CC013'!$B$52:$AC$52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'CC013'!$B$51:$AC$51</f>
            </numRef>
          </cat>
          <val>
            <numRef>
              <f>'CC013'!$B$53:$AC$53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'CC013'!$B$51:$AC$51</f>
            </numRef>
          </cat>
          <val>
            <numRef>
              <f>'CC013'!$B$54:$AC$54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'CC013'!$B$51:$AC$51</f>
            </numRef>
          </cat>
          <val>
            <numRef>
              <f>'CC013'!$B$55:$AC$55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'CC013'!$B$51:$AC$51</f>
            </numRef>
          </cat>
          <val>
            <numRef>
              <f>'CC013'!$B$56:$AC$56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'CC014'!$B$51:$AC$51</f>
            </numRef>
          </cat>
          <val>
            <numRef>
              <f>'CC014'!$B$52:$AC$52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'CC014'!$B$51:$AC$51</f>
            </numRef>
          </cat>
          <val>
            <numRef>
              <f>'CC014'!$B$53:$AC$53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'CC014'!$B$51:$AC$51</f>
            </numRef>
          </cat>
          <val>
            <numRef>
              <f>'CC014'!$B$54:$AC$54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'CC014'!$B$51:$AC$51</f>
            </numRef>
          </cat>
          <val>
            <numRef>
              <f>'CC014'!$B$55:$AC$55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'CC014'!$B$51:$AC$51</f>
            </numRef>
          </cat>
          <val>
            <numRef>
              <f>'CC014'!$B$56:$AC$56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'CC015'!$B$51:$AC$51</f>
            </numRef>
          </cat>
          <val>
            <numRef>
              <f>'CC015'!$B$52:$AC$52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'CC015'!$B$51:$AC$51</f>
            </numRef>
          </cat>
          <val>
            <numRef>
              <f>'CC015'!$B$53:$AC$53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'CC015'!$B$51:$AC$51</f>
            </numRef>
          </cat>
          <val>
            <numRef>
              <f>'CC015'!$B$54:$AC$54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'CC015'!$B$51:$AC$51</f>
            </numRef>
          </cat>
          <val>
            <numRef>
              <f>'CC015'!$B$55:$AC$55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'CC015'!$B$51:$AC$51</f>
            </numRef>
          </cat>
          <val>
            <numRef>
              <f>'CC015'!$B$56:$AC$56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'CC016'!$B$51:$AC$51</f>
            </numRef>
          </cat>
          <val>
            <numRef>
              <f>'CC016'!$B$52:$AC$52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'CC016'!$B$51:$AC$51</f>
            </numRef>
          </cat>
          <val>
            <numRef>
              <f>'CC016'!$B$53:$AC$53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'CC016'!$B$51:$AC$51</f>
            </numRef>
          </cat>
          <val>
            <numRef>
              <f>'CC016'!$B$54:$AC$54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'CC016'!$B$51:$AC$51</f>
            </numRef>
          </cat>
          <val>
            <numRef>
              <f>'CC016'!$B$55:$AC$55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'CC016'!$B$51:$AC$51</f>
            </numRef>
          </cat>
          <val>
            <numRef>
              <f>'CC016'!$B$56:$AC$56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'CC017'!$B$51:$AC$51</f>
            </numRef>
          </cat>
          <val>
            <numRef>
              <f>'CC017'!$B$52:$AC$52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'CC017'!$B$51:$AC$51</f>
            </numRef>
          </cat>
          <val>
            <numRef>
              <f>'CC017'!$B$53:$AC$53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'CC017'!$B$51:$AC$51</f>
            </numRef>
          </cat>
          <val>
            <numRef>
              <f>'CC017'!$B$54:$AC$54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'CC017'!$B$51:$AC$51</f>
            </numRef>
          </cat>
          <val>
            <numRef>
              <f>'CC017'!$B$55:$AC$55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'CC017'!$B$51:$AC$51</f>
            </numRef>
          </cat>
          <val>
            <numRef>
              <f>'CC017'!$B$56:$AC$56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'CC018'!$B$51:$AC$51</f>
            </numRef>
          </cat>
          <val>
            <numRef>
              <f>'CC018'!$B$52:$AC$52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'CC018'!$B$51:$AC$51</f>
            </numRef>
          </cat>
          <val>
            <numRef>
              <f>'CC018'!$B$53:$AC$53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'CC018'!$B$51:$AC$51</f>
            </numRef>
          </cat>
          <val>
            <numRef>
              <f>'CC018'!$B$54:$AC$54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'CC018'!$B$51:$AC$51</f>
            </numRef>
          </cat>
          <val>
            <numRef>
              <f>'CC018'!$B$55:$AC$55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'CC018'!$B$51:$AC$51</f>
            </numRef>
          </cat>
          <val>
            <numRef>
              <f>'CC018'!$B$56:$AC$56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'CC019'!$B$51:$AC$51</f>
            </numRef>
          </cat>
          <val>
            <numRef>
              <f>'CC019'!$B$52:$AC$52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'CC019'!$B$51:$AC$51</f>
            </numRef>
          </cat>
          <val>
            <numRef>
              <f>'CC019'!$B$53:$AC$53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'CC019'!$B$51:$AC$51</f>
            </numRef>
          </cat>
          <val>
            <numRef>
              <f>'CC019'!$B$54:$AC$54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'CC019'!$B$51:$AC$51</f>
            </numRef>
          </cat>
          <val>
            <numRef>
              <f>'CC019'!$B$55:$AC$55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'CC019'!$B$51:$AC$51</f>
            </numRef>
          </cat>
          <val>
            <numRef>
              <f>'CC019'!$B$56:$AC$56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'CC020'!$B$51:$AC$51</f>
            </numRef>
          </cat>
          <val>
            <numRef>
              <f>'CC020'!$B$52:$AC$52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'CC020'!$B$51:$AC$51</f>
            </numRef>
          </cat>
          <val>
            <numRef>
              <f>'CC020'!$B$53:$AC$53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'CC020'!$B$51:$AC$51</f>
            </numRef>
          </cat>
          <val>
            <numRef>
              <f>'CC020'!$B$54:$AC$54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'CC020'!$B$51:$AC$51</f>
            </numRef>
          </cat>
          <val>
            <numRef>
              <f>'CC020'!$B$55:$AC$55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'CC020'!$B$51:$AC$51</f>
            </numRef>
          </cat>
          <val>
            <numRef>
              <f>'CC020'!$B$56:$AC$56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'CC021'!$B$51:$AC$51</f>
            </numRef>
          </cat>
          <val>
            <numRef>
              <f>'CC021'!$B$52:$AC$52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'CC021'!$B$51:$AC$51</f>
            </numRef>
          </cat>
          <val>
            <numRef>
              <f>'CC021'!$B$53:$AC$53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'CC021'!$B$51:$AC$51</f>
            </numRef>
          </cat>
          <val>
            <numRef>
              <f>'CC021'!$B$54:$AC$54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'CC021'!$B$51:$AC$51</f>
            </numRef>
          </cat>
          <val>
            <numRef>
              <f>'CC021'!$B$55:$AC$55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'CC021'!$B$51:$AC$51</f>
            </numRef>
          </cat>
          <val>
            <numRef>
              <f>'CC021'!$B$56:$AC$56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'CC022'!$B$51:$AC$51</f>
            </numRef>
          </cat>
          <val>
            <numRef>
              <f>'CC022'!$B$52:$AC$52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'CC022'!$B$51:$AC$51</f>
            </numRef>
          </cat>
          <val>
            <numRef>
              <f>'CC022'!$B$53:$AC$53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'CC022'!$B$51:$AC$51</f>
            </numRef>
          </cat>
          <val>
            <numRef>
              <f>'CC022'!$B$54:$AC$54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'CC022'!$B$51:$AC$51</f>
            </numRef>
          </cat>
          <val>
            <numRef>
              <f>'CC022'!$B$55:$AC$55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'CC022'!$B$51:$AC$51</f>
            </numRef>
          </cat>
          <val>
            <numRef>
              <f>'CC022'!$B$56:$AC$56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'CC023'!$B$51:$AC$51</f>
            </numRef>
          </cat>
          <val>
            <numRef>
              <f>'CC023'!$B$52:$AC$52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'CC023'!$B$51:$AC$51</f>
            </numRef>
          </cat>
          <val>
            <numRef>
              <f>'CC023'!$B$53:$AC$53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'CC023'!$B$51:$AC$51</f>
            </numRef>
          </cat>
          <val>
            <numRef>
              <f>'CC023'!$B$54:$AC$54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'CC023'!$B$51:$AC$51</f>
            </numRef>
          </cat>
          <val>
            <numRef>
              <f>'CC023'!$B$55:$AC$55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'CC023'!$B$51:$AC$51</f>
            </numRef>
          </cat>
          <val>
            <numRef>
              <f>'CC023'!$B$56:$AC$56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'CC024'!$B$51:$AC$51</f>
            </numRef>
          </cat>
          <val>
            <numRef>
              <f>'CC024'!$B$52:$AC$52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'CC024'!$B$51:$AC$51</f>
            </numRef>
          </cat>
          <val>
            <numRef>
              <f>'CC024'!$B$53:$AC$53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'CC024'!$B$51:$AC$51</f>
            </numRef>
          </cat>
          <val>
            <numRef>
              <f>'CC024'!$B$54:$AC$54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'CC024'!$B$51:$AC$51</f>
            </numRef>
          </cat>
          <val>
            <numRef>
              <f>'CC024'!$B$55:$AC$55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'CC024'!$B$51:$AC$51</f>
            </numRef>
          </cat>
          <val>
            <numRef>
              <f>'CC024'!$B$56:$AC$56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'CC025'!$B$51:$AC$51</f>
            </numRef>
          </cat>
          <val>
            <numRef>
              <f>'CC025'!$B$52:$AC$52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'CC025'!$B$51:$AC$51</f>
            </numRef>
          </cat>
          <val>
            <numRef>
              <f>'CC025'!$B$53:$AC$53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'CC025'!$B$51:$AC$51</f>
            </numRef>
          </cat>
          <val>
            <numRef>
              <f>'CC025'!$B$54:$AC$54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'CC025'!$B$51:$AC$51</f>
            </numRef>
          </cat>
          <val>
            <numRef>
              <f>'CC025'!$B$55:$AC$55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'CC025'!$B$51:$AC$51</f>
            </numRef>
          </cat>
          <val>
            <numRef>
              <f>'CC025'!$B$56:$AC$56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'CC026'!$B$51:$AC$51</f>
            </numRef>
          </cat>
          <val>
            <numRef>
              <f>'CC026'!$B$52:$AC$52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'CC026'!$B$51:$AC$51</f>
            </numRef>
          </cat>
          <val>
            <numRef>
              <f>'CC026'!$B$53:$AC$53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'CC026'!$B$51:$AC$51</f>
            </numRef>
          </cat>
          <val>
            <numRef>
              <f>'CC026'!$B$54:$AC$54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'CC026'!$B$51:$AC$51</f>
            </numRef>
          </cat>
          <val>
            <numRef>
              <f>'CC026'!$B$55:$AC$55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'CC026'!$B$51:$AC$51</f>
            </numRef>
          </cat>
          <val>
            <numRef>
              <f>'CC026'!$B$56:$AC$56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'CC027'!$B$51:$AC$51</f>
            </numRef>
          </cat>
          <val>
            <numRef>
              <f>'CC027'!$B$52:$AC$52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'CC027'!$B$51:$AC$51</f>
            </numRef>
          </cat>
          <val>
            <numRef>
              <f>'CC027'!$B$53:$AC$53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'CC027'!$B$51:$AC$51</f>
            </numRef>
          </cat>
          <val>
            <numRef>
              <f>'CC027'!$B$54:$AC$54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'CC027'!$B$51:$AC$51</f>
            </numRef>
          </cat>
          <val>
            <numRef>
              <f>'CC027'!$B$55:$AC$55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'CC027'!$B$51:$AC$51</f>
            </numRef>
          </cat>
          <val>
            <numRef>
              <f>'CC027'!$B$56:$AC$56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'CC028'!$B$51:$AC$51</f>
            </numRef>
          </cat>
          <val>
            <numRef>
              <f>'CC028'!$B$52:$AC$52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'CC028'!$B$51:$AC$51</f>
            </numRef>
          </cat>
          <val>
            <numRef>
              <f>'CC028'!$B$53:$AC$53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'CC028'!$B$51:$AC$51</f>
            </numRef>
          </cat>
          <val>
            <numRef>
              <f>'CC028'!$B$54:$AC$54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'CC028'!$B$51:$AC$51</f>
            </numRef>
          </cat>
          <val>
            <numRef>
              <f>'CC028'!$B$55:$AC$55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'CC028'!$B$51:$AC$51</f>
            </numRef>
          </cat>
          <val>
            <numRef>
              <f>'CC028'!$B$56:$AC$56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'CC029'!$B$51:$AC$51</f>
            </numRef>
          </cat>
          <val>
            <numRef>
              <f>'CC029'!$B$52:$AC$52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'CC029'!$B$51:$AC$51</f>
            </numRef>
          </cat>
          <val>
            <numRef>
              <f>'CC029'!$B$53:$AC$53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'CC029'!$B$51:$AC$51</f>
            </numRef>
          </cat>
          <val>
            <numRef>
              <f>'CC029'!$B$54:$AC$54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'CC029'!$B$51:$AC$51</f>
            </numRef>
          </cat>
          <val>
            <numRef>
              <f>'CC029'!$B$55:$AC$55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'CC029'!$B$51:$AC$51</f>
            </numRef>
          </cat>
          <val>
            <numRef>
              <f>'CC029'!$B$56:$AC$56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'CC030'!$B$51:$AC$51</f>
            </numRef>
          </cat>
          <val>
            <numRef>
              <f>'CC030'!$B$52:$AC$52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'CC030'!$B$51:$AC$51</f>
            </numRef>
          </cat>
          <val>
            <numRef>
              <f>'CC030'!$B$53:$AC$53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'CC030'!$B$51:$AC$51</f>
            </numRef>
          </cat>
          <val>
            <numRef>
              <f>'CC030'!$B$54:$AC$54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'CC030'!$B$51:$AC$51</f>
            </numRef>
          </cat>
          <val>
            <numRef>
              <f>'CC030'!$B$55:$AC$55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'CC030'!$B$51:$AC$51</f>
            </numRef>
          </cat>
          <val>
            <numRef>
              <f>'CC030'!$B$56:$AC$56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'CC031'!$B$51:$AC$51</f>
            </numRef>
          </cat>
          <val>
            <numRef>
              <f>'CC031'!$B$52:$AC$52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'CC031'!$B$51:$AC$51</f>
            </numRef>
          </cat>
          <val>
            <numRef>
              <f>'CC031'!$B$53:$AC$53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'CC031'!$B$51:$AC$51</f>
            </numRef>
          </cat>
          <val>
            <numRef>
              <f>'CC031'!$B$54:$AC$54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'CC031'!$B$51:$AC$51</f>
            </numRef>
          </cat>
          <val>
            <numRef>
              <f>'CC031'!$B$55:$AC$55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'CC031'!$B$51:$AC$51</f>
            </numRef>
          </cat>
          <val>
            <numRef>
              <f>'CC031'!$B$56:$AC$56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'CC032'!$B$51:$AC$51</f>
            </numRef>
          </cat>
          <val>
            <numRef>
              <f>'CC032'!$B$52:$AC$52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'CC032'!$B$51:$AC$51</f>
            </numRef>
          </cat>
          <val>
            <numRef>
              <f>'CC032'!$B$53:$AC$53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'CC032'!$B$51:$AC$51</f>
            </numRef>
          </cat>
          <val>
            <numRef>
              <f>'CC032'!$B$54:$AC$54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'CC032'!$B$51:$AC$51</f>
            </numRef>
          </cat>
          <val>
            <numRef>
              <f>'CC032'!$B$55:$AC$55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'CC032'!$B$51:$AC$51</f>
            </numRef>
          </cat>
          <val>
            <numRef>
              <f>'CC032'!$B$56:$AC$56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'CC033'!$B$51:$AC$51</f>
            </numRef>
          </cat>
          <val>
            <numRef>
              <f>'CC033'!$B$52:$AC$52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'CC033'!$B$51:$AC$51</f>
            </numRef>
          </cat>
          <val>
            <numRef>
              <f>'CC033'!$B$53:$AC$53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'CC033'!$B$51:$AC$51</f>
            </numRef>
          </cat>
          <val>
            <numRef>
              <f>'CC033'!$B$54:$AC$54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'CC033'!$B$51:$AC$51</f>
            </numRef>
          </cat>
          <val>
            <numRef>
              <f>'CC033'!$B$55:$AC$55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'CC033'!$B$51:$AC$51</f>
            </numRef>
          </cat>
          <val>
            <numRef>
              <f>'CC033'!$B$56:$AC$56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'CC034'!$B$51:$AC$51</f>
            </numRef>
          </cat>
          <val>
            <numRef>
              <f>'CC034'!$B$52:$AC$52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'CC034'!$B$51:$AC$51</f>
            </numRef>
          </cat>
          <val>
            <numRef>
              <f>'CC034'!$B$53:$AC$53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'CC034'!$B$51:$AC$51</f>
            </numRef>
          </cat>
          <val>
            <numRef>
              <f>'CC034'!$B$54:$AC$54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'CC034'!$B$51:$AC$51</f>
            </numRef>
          </cat>
          <val>
            <numRef>
              <f>'CC034'!$B$55:$AC$55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'CC034'!$B$51:$AC$51</f>
            </numRef>
          </cat>
          <val>
            <numRef>
              <f>'CC034'!$B$56:$AC$56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'CC035'!$B$51:$AC$51</f>
            </numRef>
          </cat>
          <val>
            <numRef>
              <f>'CC035'!$B$52:$AC$52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'CC035'!$B$51:$AC$51</f>
            </numRef>
          </cat>
          <val>
            <numRef>
              <f>'CC035'!$B$53:$AC$53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'CC035'!$B$51:$AC$51</f>
            </numRef>
          </cat>
          <val>
            <numRef>
              <f>'CC035'!$B$54:$AC$54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'CC035'!$B$51:$AC$51</f>
            </numRef>
          </cat>
          <val>
            <numRef>
              <f>'CC035'!$B$55:$AC$55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'CC035'!$B$51:$AC$51</f>
            </numRef>
          </cat>
          <val>
            <numRef>
              <f>'CC035'!$B$56:$AC$56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'CC036'!$B$51:$AC$51</f>
            </numRef>
          </cat>
          <val>
            <numRef>
              <f>'CC036'!$B$52:$AC$52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'CC036'!$B$51:$AC$51</f>
            </numRef>
          </cat>
          <val>
            <numRef>
              <f>'CC036'!$B$53:$AC$53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'CC036'!$B$51:$AC$51</f>
            </numRef>
          </cat>
          <val>
            <numRef>
              <f>'CC036'!$B$54:$AC$54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'CC036'!$B$51:$AC$51</f>
            </numRef>
          </cat>
          <val>
            <numRef>
              <f>'CC036'!$B$55:$AC$55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'CC036'!$B$51:$AC$51</f>
            </numRef>
          </cat>
          <val>
            <numRef>
              <f>'CC036'!$B$56:$AC$56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'CC037'!$B$51:$AC$51</f>
            </numRef>
          </cat>
          <val>
            <numRef>
              <f>'CC037'!$B$52:$AC$52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'CC037'!$B$51:$AC$51</f>
            </numRef>
          </cat>
          <val>
            <numRef>
              <f>'CC037'!$B$53:$AC$53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'CC037'!$B$51:$AC$51</f>
            </numRef>
          </cat>
          <val>
            <numRef>
              <f>'CC037'!$B$54:$AC$54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'CC037'!$B$51:$AC$51</f>
            </numRef>
          </cat>
          <val>
            <numRef>
              <f>'CC037'!$B$55:$AC$55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'CC037'!$B$51:$AC$51</f>
            </numRef>
          </cat>
          <val>
            <numRef>
              <f>'CC037'!$B$56:$AC$56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'CC038'!$B$51:$AC$51</f>
            </numRef>
          </cat>
          <val>
            <numRef>
              <f>'CC038'!$B$52:$AC$52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'CC038'!$B$51:$AC$51</f>
            </numRef>
          </cat>
          <val>
            <numRef>
              <f>'CC038'!$B$53:$AC$53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'CC038'!$B$51:$AC$51</f>
            </numRef>
          </cat>
          <val>
            <numRef>
              <f>'CC038'!$B$54:$AC$54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'CC038'!$B$51:$AC$51</f>
            </numRef>
          </cat>
          <val>
            <numRef>
              <f>'CC038'!$B$55:$AC$55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'CC038'!$B$51:$AC$51</f>
            </numRef>
          </cat>
          <val>
            <numRef>
              <f>'CC038'!$B$56:$AC$56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'CC039'!$B$51:$AC$51</f>
            </numRef>
          </cat>
          <val>
            <numRef>
              <f>'CC039'!$B$52:$AC$52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'CC039'!$B$51:$AC$51</f>
            </numRef>
          </cat>
          <val>
            <numRef>
              <f>'CC039'!$B$53:$AC$53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'CC039'!$B$51:$AC$51</f>
            </numRef>
          </cat>
          <val>
            <numRef>
              <f>'CC039'!$B$54:$AC$54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'CC039'!$B$51:$AC$51</f>
            </numRef>
          </cat>
          <val>
            <numRef>
              <f>'CC039'!$B$55:$AC$55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'CC039'!$B$51:$AC$51</f>
            </numRef>
          </cat>
          <val>
            <numRef>
              <f>'CC039'!$B$56:$AC$56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'CC040'!$B$51:$AC$51</f>
            </numRef>
          </cat>
          <val>
            <numRef>
              <f>'CC040'!$B$52:$AC$52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'CC040'!$B$51:$AC$51</f>
            </numRef>
          </cat>
          <val>
            <numRef>
              <f>'CC040'!$B$53:$AC$53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'CC040'!$B$51:$AC$51</f>
            </numRef>
          </cat>
          <val>
            <numRef>
              <f>'CC040'!$B$54:$AC$54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'CC040'!$B$51:$AC$51</f>
            </numRef>
          </cat>
          <val>
            <numRef>
              <f>'CC040'!$B$55:$AC$55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'CC040'!$B$51:$AC$51</f>
            </numRef>
          </cat>
          <val>
            <numRef>
              <f>'CC040'!$B$56:$AC$56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'CC041'!$B$51:$AC$51</f>
            </numRef>
          </cat>
          <val>
            <numRef>
              <f>'CC041'!$B$52:$AC$52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'CC041'!$B$51:$AC$51</f>
            </numRef>
          </cat>
          <val>
            <numRef>
              <f>'CC041'!$B$53:$AC$53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'CC041'!$B$51:$AC$51</f>
            </numRef>
          </cat>
          <val>
            <numRef>
              <f>'CC041'!$B$54:$AC$54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'CC041'!$B$51:$AC$51</f>
            </numRef>
          </cat>
          <val>
            <numRef>
              <f>'CC041'!$B$55:$AC$55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'CC041'!$B$51:$AC$51</f>
            </numRef>
          </cat>
          <val>
            <numRef>
              <f>'CC041'!$B$56:$AC$56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'CC042'!$B$51:$AC$51</f>
            </numRef>
          </cat>
          <val>
            <numRef>
              <f>'CC042'!$B$52:$AC$52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'CC042'!$B$51:$AC$51</f>
            </numRef>
          </cat>
          <val>
            <numRef>
              <f>'CC042'!$B$53:$AC$53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'CC042'!$B$51:$AC$51</f>
            </numRef>
          </cat>
          <val>
            <numRef>
              <f>'CC042'!$B$54:$AC$54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'CC042'!$B$51:$AC$51</f>
            </numRef>
          </cat>
          <val>
            <numRef>
              <f>'CC042'!$B$55:$AC$55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'CC042'!$B$51:$AC$51</f>
            </numRef>
          </cat>
          <val>
            <numRef>
              <f>'CC042'!$B$56:$AC$56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CC001</t>
        </is>
      </c>
    </row>
    <row r="4">
      <c r="A4" s="1" t="inlineStr">
        <is>
          <t>ROLLUP #</t>
        </is>
      </c>
      <c r="B4" t="inlineStr">
        <is>
          <t>4001</t>
        </is>
      </c>
    </row>
    <row r="5">
      <c r="A5" s="1" t="inlineStr">
        <is>
          <t>PROJECT NAME</t>
        </is>
      </c>
      <c r="B5" t="inlineStr">
        <is>
          <t>Probius FY26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A18" s="2" t="n">
        <v>7984.32</v>
      </c>
      <c r="AE18" s="10">
        <f>SUM(C18:AD18)</f>
        <v/>
      </c>
    </row>
    <row r="19">
      <c r="B19" t="inlineStr">
        <is>
          <t>Fringe 5990</t>
        </is>
      </c>
      <c r="AA19" s="2" t="n">
        <v>4321.91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A29" s="2" t="n">
        <v>16768.47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CC003</t>
        </is>
      </c>
    </row>
    <row r="4">
      <c r="A4" s="1" t="inlineStr">
        <is>
          <t>ROLLUP #</t>
        </is>
      </c>
      <c r="B4" t="inlineStr">
        <is>
          <t>4002</t>
        </is>
      </c>
    </row>
    <row r="5">
      <c r="A5" s="1" t="inlineStr">
        <is>
          <t>PROJECT NAME</t>
        </is>
      </c>
      <c r="B5" t="inlineStr">
        <is>
          <t>Agave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R18" s="2" t="n">
        <v>10811.64</v>
      </c>
      <c r="S18" s="2" t="n">
        <v>174.13</v>
      </c>
      <c r="AE18" s="10">
        <f>SUM(C18:AD18)</f>
        <v/>
      </c>
    </row>
    <row r="19">
      <c r="B19" t="inlineStr">
        <is>
          <t>Fringe 5990</t>
        </is>
      </c>
      <c r="R19" s="2" t="n">
        <v>4895.51</v>
      </c>
      <c r="S19" s="2" t="n">
        <v>78.84999999999999</v>
      </c>
      <c r="T19" s="2" t="n">
        <v>4.91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R26" s="2" t="n">
        <v>1200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R29" s="2" t="n">
        <v>24468.03</v>
      </c>
      <c r="S29" s="2" t="n">
        <v>366.11</v>
      </c>
      <c r="T29" s="2" t="n">
        <v>-27.27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CC004</t>
        </is>
      </c>
    </row>
    <row r="4">
      <c r="A4" s="1" t="inlineStr">
        <is>
          <t>ROLLUP #</t>
        </is>
      </c>
      <c r="B4" t="inlineStr">
        <is>
          <t>4003</t>
        </is>
      </c>
    </row>
    <row r="5">
      <c r="A5" s="1" t="inlineStr">
        <is>
          <t>PROJECT NAME</t>
        </is>
      </c>
      <c r="B5" t="inlineStr">
        <is>
          <t>Aptima Ironpipe Phase 2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76573.25999999999</v>
      </c>
      <c r="N18" s="2" t="n">
        <v>48800.99</v>
      </c>
      <c r="AE18" s="10">
        <f>SUM(C18:AD18)</f>
        <v/>
      </c>
    </row>
    <row r="19">
      <c r="B19" t="inlineStr">
        <is>
          <t>Fringe 5990</t>
        </is>
      </c>
      <c r="J19" s="2" t="n">
        <v>30222.7</v>
      </c>
      <c r="N19" s="2" t="n">
        <v>20945.37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J22" s="2" t="n">
        <v>7100</v>
      </c>
      <c r="N22" s="2" t="n">
        <v>500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J25" s="2" t="n">
        <v>1877.5</v>
      </c>
      <c r="N25" s="2" t="n">
        <v>26.46</v>
      </c>
      <c r="AE25" s="10">
        <f>SUM(C25:AD25)</f>
        <v/>
      </c>
    </row>
    <row r="26">
      <c r="B26" t="inlineStr">
        <is>
          <t>Material 5003</t>
        </is>
      </c>
      <c r="J26" s="2" t="n">
        <v>5263.21</v>
      </c>
      <c r="N26" s="2" t="n">
        <v>1448.95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67224.67999999999</v>
      </c>
      <c r="N29" s="2" t="n">
        <v>38779.25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CC005</t>
        </is>
      </c>
    </row>
    <row r="4">
      <c r="A4" s="1" t="inlineStr">
        <is>
          <t>ROLLUP #</t>
        </is>
      </c>
      <c r="B4" t="inlineStr">
        <is>
          <t>4004</t>
        </is>
      </c>
    </row>
    <row r="5">
      <c r="A5" s="1" t="inlineStr">
        <is>
          <t>PROJECT NAME</t>
        </is>
      </c>
      <c r="B5" t="inlineStr">
        <is>
          <t>Aptima IRAD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38504.35</v>
      </c>
      <c r="N18" s="2" t="n">
        <v>2740.82</v>
      </c>
      <c r="AE18" s="10">
        <f>SUM(C18:AD18)</f>
        <v/>
      </c>
    </row>
    <row r="19">
      <c r="B19" t="inlineStr">
        <is>
          <t>Fringe 5990</t>
        </is>
      </c>
      <c r="J19" s="2" t="n">
        <v>15197.28</v>
      </c>
      <c r="N19" s="2" t="n">
        <v>1176.36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J22" s="2" t="n">
        <v>18400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J25" s="2" t="n">
        <v>109.96</v>
      </c>
      <c r="AE25" s="10">
        <f>SUM(C25:AD25)</f>
        <v/>
      </c>
    </row>
    <row r="26">
      <c r="B26" t="inlineStr">
        <is>
          <t>Material 5003</t>
        </is>
      </c>
      <c r="J26" s="2" t="n">
        <v>10456.72</v>
      </c>
      <c r="N26" s="2" t="n">
        <v>4183.49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44788.58</v>
      </c>
      <c r="N29" s="2" t="n">
        <v>4379.95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CC006</t>
        </is>
      </c>
    </row>
    <row r="4">
      <c r="A4" s="1" t="inlineStr">
        <is>
          <t>ROLLUP #</t>
        </is>
      </c>
      <c r="B4" t="inlineStr">
        <is>
          <t>4005</t>
        </is>
      </c>
    </row>
    <row r="5">
      <c r="A5" s="1" t="inlineStr">
        <is>
          <t>PROJECT NAME</t>
        </is>
      </c>
      <c r="B5" t="inlineStr">
        <is>
          <t>Johns Hopkins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Academic, 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V18" s="2" t="n">
        <v>2126.62</v>
      </c>
      <c r="AE18" s="10">
        <f>SUM(C18:AD18)</f>
        <v/>
      </c>
    </row>
    <row r="19">
      <c r="B19" t="inlineStr">
        <is>
          <t>Fringe 5990</t>
        </is>
      </c>
      <c r="V19" s="2" t="n">
        <v>1022.9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V25" s="2" t="n">
        <v>52.62</v>
      </c>
      <c r="AE25" s="10">
        <f>SUM(C25:AD25)</f>
        <v/>
      </c>
    </row>
    <row r="26">
      <c r="B26" t="inlineStr">
        <is>
          <t>Material 5003</t>
        </is>
      </c>
      <c r="V26" s="2" t="n">
        <v>305.59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V29" s="2" t="n">
        <v>4608.81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CC007</t>
        </is>
      </c>
    </row>
    <row r="4">
      <c r="A4" s="1" t="inlineStr">
        <is>
          <t>ROLLUP #</t>
        </is>
      </c>
      <c r="B4" t="inlineStr">
        <is>
          <t>4006</t>
        </is>
      </c>
    </row>
    <row r="5">
      <c r="A5" s="1" t="inlineStr">
        <is>
          <t>PROJECT NAME</t>
        </is>
      </c>
      <c r="B5" t="inlineStr">
        <is>
          <t>Profusa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1420.48</v>
      </c>
      <c r="AE18" s="10">
        <f>SUM(C18:AD18)</f>
        <v/>
      </c>
    </row>
    <row r="19">
      <c r="B19" t="inlineStr">
        <is>
          <t>Fringe 5990</t>
        </is>
      </c>
      <c r="F19" s="2" t="n">
        <v>558.38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1064.19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198554.67+C30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CC007</t>
        </is>
      </c>
    </row>
    <row r="4">
      <c r="A4" s="1" t="inlineStr">
        <is>
          <t>ROLLUP #</t>
        </is>
      </c>
      <c r="B4" t="inlineStr">
        <is>
          <t>960011</t>
        </is>
      </c>
    </row>
    <row r="5">
      <c r="A5" s="1" t="inlineStr">
        <is>
          <t>PROJECT NAME</t>
        </is>
      </c>
      <c r="B5" t="inlineStr">
        <is>
          <t>Profusa Mfg 1150 Patches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475737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98514.55</v>
      </c>
      <c r="J18" s="2" t="n">
        <v>322.46</v>
      </c>
      <c r="AE18" s="10">
        <f>SUM(C18:AD18)</f>
        <v/>
      </c>
    </row>
    <row r="19">
      <c r="B19" t="inlineStr">
        <is>
          <t>Fringe 5990</t>
        </is>
      </c>
      <c r="F19" s="2" t="n">
        <v>38725.08</v>
      </c>
      <c r="J19" s="2" t="n">
        <v>127.27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F26" s="2" t="n">
        <v>140407.48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152790.96</v>
      </c>
      <c r="J29" s="2" t="n">
        <v>243.17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820904.1+C30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CC008</t>
        </is>
      </c>
    </row>
    <row r="4">
      <c r="A4" s="1" t="inlineStr">
        <is>
          <t>ROLLUP #</t>
        </is>
      </c>
      <c r="B4" t="inlineStr">
        <is>
          <t>4007</t>
        </is>
      </c>
    </row>
    <row r="5">
      <c r="A5" s="1" t="inlineStr">
        <is>
          <t>PROJECT NAME</t>
        </is>
      </c>
      <c r="B5" t="inlineStr">
        <is>
          <t>Sigil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O18" s="2" t="n">
        <v>10129.29</v>
      </c>
      <c r="P18" s="2" t="n">
        <v>3853.71</v>
      </c>
      <c r="R18" s="2" t="n">
        <v>3456.99</v>
      </c>
      <c r="AE18" s="10">
        <f>SUM(C18:AD18)</f>
        <v/>
      </c>
    </row>
    <row r="19">
      <c r="B19" t="inlineStr">
        <is>
          <t>Fringe 5990</t>
        </is>
      </c>
      <c r="O19" s="2" t="n">
        <v>4558.18</v>
      </c>
      <c r="P19" s="2" t="n">
        <v>1773.31</v>
      </c>
      <c r="R19" s="2" t="n">
        <v>1565.33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P25" s="2" t="n">
        <v>475</v>
      </c>
      <c r="AE25" s="10">
        <f>SUM(C25:AD25)</f>
        <v/>
      </c>
    </row>
    <row r="26">
      <c r="B26" t="inlineStr">
        <is>
          <t>Material 5003</t>
        </is>
      </c>
      <c r="P26" s="2" t="n">
        <v>105.44</v>
      </c>
      <c r="R26" s="2" t="n">
        <v>25.18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O29" s="2" t="n">
        <v>10574.98</v>
      </c>
      <c r="P29" s="2" t="n">
        <v>4524.18</v>
      </c>
      <c r="Q29" s="2" t="n">
        <v>20.42</v>
      </c>
      <c r="R29" s="2" t="n">
        <v>22424.31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CC009</t>
        </is>
      </c>
    </row>
    <row r="4">
      <c r="A4" s="1" t="inlineStr">
        <is>
          <t>ROLLUP #</t>
        </is>
      </c>
      <c r="B4" t="inlineStr">
        <is>
          <t>4008</t>
        </is>
      </c>
    </row>
    <row r="5">
      <c r="A5" s="1" t="inlineStr">
        <is>
          <t>PROJECT NAME</t>
        </is>
      </c>
      <c r="B5" t="inlineStr">
        <is>
          <t>SYGHT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Q18" s="2" t="n">
        <v>1180.33</v>
      </c>
      <c r="R18" s="2" t="n">
        <v>1750.47</v>
      </c>
      <c r="AE18" s="10">
        <f>SUM(C18:AD18)</f>
        <v/>
      </c>
    </row>
    <row r="19">
      <c r="B19" t="inlineStr">
        <is>
          <t>Fringe 5990</t>
        </is>
      </c>
      <c r="Q19" s="2" t="n">
        <v>534.46</v>
      </c>
      <c r="R19" s="2" t="n">
        <v>792.61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Q29" s="2" t="n">
        <v>1240.81</v>
      </c>
      <c r="R29" s="2" t="n">
        <v>4921.16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CC010</t>
        </is>
      </c>
    </row>
    <row r="4">
      <c r="A4" s="1" t="inlineStr">
        <is>
          <t>ROLLUP #</t>
        </is>
      </c>
      <c r="B4" t="inlineStr">
        <is>
          <t>4009</t>
        </is>
      </c>
    </row>
    <row r="5">
      <c r="A5" s="1" t="inlineStr">
        <is>
          <t>PROJECT NAME</t>
        </is>
      </c>
      <c r="B5" t="inlineStr">
        <is>
          <t>UTRC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830.67</v>
      </c>
      <c r="AE18" s="10">
        <f>SUM(C18:AD18)</f>
        <v/>
      </c>
    </row>
    <row r="19">
      <c r="B19" t="inlineStr">
        <is>
          <t>Fringe 5990</t>
        </is>
      </c>
      <c r="F19" s="2" t="n">
        <v>326.53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F26" s="2" t="n">
        <v>144.65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730.66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44639.67+C30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CC011</t>
        </is>
      </c>
    </row>
    <row r="4">
      <c r="A4" s="1" t="inlineStr">
        <is>
          <t>ROLLUP #</t>
        </is>
      </c>
      <c r="B4" t="inlineStr">
        <is>
          <t>4010</t>
        </is>
      </c>
    </row>
    <row r="5">
      <c r="A5" s="1" t="inlineStr">
        <is>
          <t>PROJECT NAME</t>
        </is>
      </c>
      <c r="B5" t="inlineStr">
        <is>
          <t>Probius FY22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32660.35</v>
      </c>
      <c r="O18" s="2" t="n">
        <v>9928.65</v>
      </c>
      <c r="P18" s="2" t="n">
        <v>80.77</v>
      </c>
      <c r="AE18" s="10">
        <f>SUM(C18:AD18)</f>
        <v/>
      </c>
    </row>
    <row r="19">
      <c r="B19" t="inlineStr">
        <is>
          <t>Fringe 5990</t>
        </is>
      </c>
      <c r="N19" s="2" t="n">
        <v>14018.91</v>
      </c>
      <c r="O19" s="2" t="n">
        <v>4467.89</v>
      </c>
      <c r="P19" s="2" t="n">
        <v>64.37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N26" s="2" t="n">
        <v>715.3099999999999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N29" s="2" t="n">
        <v>25625.27</v>
      </c>
      <c r="O29" s="2" t="n">
        <v>10365.5</v>
      </c>
      <c r="P29" s="2" t="n">
        <v>9731.559999999999</v>
      </c>
      <c r="Q29" s="2" t="n">
        <v>-9574.700000000001</v>
      </c>
      <c r="R29" s="2" t="n">
        <v>10522.36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CC012</t>
        </is>
      </c>
    </row>
    <row r="4">
      <c r="A4" s="1" t="inlineStr">
        <is>
          <t>ROLLUP #</t>
        </is>
      </c>
      <c r="B4" t="inlineStr">
        <is>
          <t>4011</t>
        </is>
      </c>
    </row>
    <row r="5">
      <c r="A5" s="1" t="inlineStr">
        <is>
          <t>PROJECT NAME</t>
        </is>
      </c>
      <c r="B5" t="inlineStr">
        <is>
          <t>Probius FY23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O18" s="2" t="n">
        <v>740.6900000000001</v>
      </c>
      <c r="P18" s="2" t="n">
        <v>13205.67</v>
      </c>
      <c r="Q18" s="2" t="n">
        <v>12746.31</v>
      </c>
      <c r="R18" s="2" t="n">
        <v>11353.66</v>
      </c>
      <c r="AE18" s="10">
        <f>SUM(C18:AD18)</f>
        <v/>
      </c>
    </row>
    <row r="19">
      <c r="B19" t="inlineStr">
        <is>
          <t>Fringe 5990</t>
        </is>
      </c>
      <c r="O19" s="2" t="n">
        <v>333.32</v>
      </c>
      <c r="P19" s="2" t="n">
        <v>5981.6</v>
      </c>
      <c r="Q19" s="2" t="n">
        <v>5771.53</v>
      </c>
      <c r="R19" s="2" t="n">
        <v>5140.93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O29" s="2" t="n">
        <v>773.28</v>
      </c>
      <c r="P29" s="2" t="n">
        <v>13886.28</v>
      </c>
      <c r="Q29" s="2" t="n">
        <v>13401.01</v>
      </c>
      <c r="R29" s="2" t="n">
        <v>51931.54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CC013</t>
        </is>
      </c>
    </row>
    <row r="4">
      <c r="A4" s="1" t="inlineStr">
        <is>
          <t>ROLLUP #</t>
        </is>
      </c>
      <c r="B4" t="inlineStr">
        <is>
          <t>4012</t>
        </is>
      </c>
    </row>
    <row r="5">
      <c r="A5" s="1" t="inlineStr">
        <is>
          <t>PROJECT NAME</t>
        </is>
      </c>
      <c r="B5" t="inlineStr">
        <is>
          <t>Probius FY24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12624.45</v>
      </c>
      <c r="T18" s="2" t="n">
        <v>9685.639999999999</v>
      </c>
      <c r="U18" s="2" t="n">
        <v>13292.91</v>
      </c>
      <c r="V18" s="2" t="n">
        <v>4329.51</v>
      </c>
      <c r="AE18" s="10">
        <f>SUM(C18:AD18)</f>
        <v/>
      </c>
    </row>
    <row r="19">
      <c r="B19" t="inlineStr">
        <is>
          <t>Fringe 5990</t>
        </is>
      </c>
      <c r="S19" s="2" t="n">
        <v>5716.35</v>
      </c>
      <c r="T19" s="2" t="n">
        <v>5014.8</v>
      </c>
      <c r="U19" s="2" t="n">
        <v>6393.89</v>
      </c>
      <c r="V19" s="2" t="n">
        <v>2082.49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V25" s="2" t="n">
        <v>18.01</v>
      </c>
      <c r="AE25" s="10">
        <f>SUM(C25:AD25)</f>
        <v/>
      </c>
    </row>
    <row r="26">
      <c r="B26" t="inlineStr">
        <is>
          <t>Material 5003</t>
        </is>
      </c>
      <c r="S26" s="2" t="n">
        <v>948.9299999999999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27916.09</v>
      </c>
      <c r="T29" s="2" t="n">
        <v>16743.57</v>
      </c>
      <c r="U29" s="2" t="n">
        <v>25866.48</v>
      </c>
      <c r="V29" s="2" t="n">
        <v>8448.4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CC014</t>
        </is>
      </c>
    </row>
    <row r="4">
      <c r="A4" s="1" t="inlineStr">
        <is>
          <t>ROLLUP #</t>
        </is>
      </c>
      <c r="B4" t="inlineStr">
        <is>
          <t>4013</t>
        </is>
      </c>
    </row>
    <row r="5">
      <c r="A5" s="1" t="inlineStr">
        <is>
          <t>PROJECT NAME</t>
        </is>
      </c>
      <c r="B5" t="inlineStr">
        <is>
          <t>Probius FY25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W18" s="2" t="n">
        <v>3262.4</v>
      </c>
      <c r="X18" s="2" t="n">
        <v>3872.04</v>
      </c>
      <c r="Y18" s="2" t="n">
        <v>3510.47</v>
      </c>
      <c r="Z18" s="2" t="n">
        <v>11236.71</v>
      </c>
      <c r="AE18" s="10">
        <f>SUM(C18:AD18)</f>
        <v/>
      </c>
    </row>
    <row r="19">
      <c r="B19" t="inlineStr">
        <is>
          <t>Fringe 5990</t>
        </is>
      </c>
      <c r="W19" s="2" t="n">
        <v>1639.68</v>
      </c>
      <c r="X19" s="2" t="n">
        <v>1946.08</v>
      </c>
      <c r="Y19" s="2" t="n">
        <v>1764.36</v>
      </c>
      <c r="Z19" s="2" t="n">
        <v>5647.57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Z26" s="2" t="n">
        <v>1243.5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W29" s="2" t="n">
        <v>6509.48</v>
      </c>
      <c r="X29" s="2" t="n">
        <v>7725.88</v>
      </c>
      <c r="Y29" s="2" t="n">
        <v>7004.44</v>
      </c>
      <c r="Z29" s="2" t="n">
        <v>24071.89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CC015</t>
        </is>
      </c>
    </row>
    <row r="4">
      <c r="A4" s="1" t="inlineStr">
        <is>
          <t>ROLLUP #</t>
        </is>
      </c>
      <c r="B4" t="inlineStr">
        <is>
          <t>960001</t>
        </is>
      </c>
    </row>
    <row r="5">
      <c r="A5" s="1" t="inlineStr">
        <is>
          <t>PROJECT NAME</t>
        </is>
      </c>
      <c r="B5" t="inlineStr">
        <is>
          <t>Imprint Energy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2188.37+C30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CC016</t>
        </is>
      </c>
    </row>
    <row r="4">
      <c r="A4" s="1" t="inlineStr">
        <is>
          <t>ROLLUP #</t>
        </is>
      </c>
      <c r="B4" t="inlineStr">
        <is>
          <t>960002</t>
        </is>
      </c>
    </row>
    <row r="5">
      <c r="A5" s="1" t="inlineStr">
        <is>
          <t>PROJECT NAME</t>
        </is>
      </c>
      <c r="B5" t="inlineStr">
        <is>
          <t>Qualcomm Mfg Services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2594.88+C30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CC017</t>
        </is>
      </c>
    </row>
    <row r="4">
      <c r="A4" s="1" t="inlineStr">
        <is>
          <t>ROLLUP #</t>
        </is>
      </c>
      <c r="B4" t="inlineStr">
        <is>
          <t>960003</t>
        </is>
      </c>
    </row>
    <row r="5">
      <c r="A5" s="1" t="inlineStr">
        <is>
          <t>PROJECT NAME</t>
        </is>
      </c>
      <c r="B5" t="inlineStr">
        <is>
          <t>Molex Testing Services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2551.8+C30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CC018</t>
        </is>
      </c>
    </row>
    <row r="4">
      <c r="A4" s="1" t="inlineStr">
        <is>
          <t>ROLLUP #</t>
        </is>
      </c>
      <c r="B4" t="inlineStr">
        <is>
          <t>960004</t>
        </is>
      </c>
    </row>
    <row r="5">
      <c r="A5" s="1" t="inlineStr">
        <is>
          <t>PROJECT NAME</t>
        </is>
      </c>
      <c r="B5" t="inlineStr">
        <is>
          <t>GE Sweat Patch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128.28</v>
      </c>
      <c r="AE18" s="10">
        <f>SUM(C18:AD18)</f>
        <v/>
      </c>
    </row>
    <row r="19">
      <c r="B19" t="inlineStr">
        <is>
          <t>Fringe 5990</t>
        </is>
      </c>
      <c r="F19" s="2" t="n">
        <v>50.43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96.09999999999999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32466.6+C30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CC019</t>
        </is>
      </c>
    </row>
    <row r="4">
      <c r="A4" s="1" t="inlineStr">
        <is>
          <t>ROLLUP #</t>
        </is>
      </c>
      <c r="B4" t="inlineStr">
        <is>
          <t>960005</t>
        </is>
      </c>
    </row>
    <row r="5">
      <c r="A5" s="1" t="inlineStr">
        <is>
          <t>PROJECT NAME</t>
        </is>
      </c>
      <c r="B5" t="inlineStr">
        <is>
          <t>WL Gore Mfg Services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8052.78+C30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CC020</t>
        </is>
      </c>
    </row>
    <row r="4">
      <c r="A4" s="1" t="inlineStr">
        <is>
          <t>ROLLUP #</t>
        </is>
      </c>
      <c r="B4" t="inlineStr">
        <is>
          <t>960007</t>
        </is>
      </c>
    </row>
    <row r="5">
      <c r="A5" s="1" t="inlineStr">
        <is>
          <t>PROJECT NAME</t>
        </is>
      </c>
      <c r="B5" t="inlineStr">
        <is>
          <t>Probius FY18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51781.7</v>
      </c>
      <c r="J18" s="2" t="n">
        <v>54006.83</v>
      </c>
      <c r="N18" s="2" t="n">
        <v>3966.87</v>
      </c>
      <c r="AE18" s="10">
        <f>SUM(C18:AD18)</f>
        <v/>
      </c>
    </row>
    <row r="19">
      <c r="B19" t="inlineStr">
        <is>
          <t>Fringe 5990</t>
        </is>
      </c>
      <c r="F19" s="2" t="n">
        <v>20354.87</v>
      </c>
      <c r="J19" s="2" t="n">
        <v>21315.96</v>
      </c>
      <c r="N19" s="2" t="n">
        <v>1702.58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J26" s="2" t="n">
        <v>238.29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42067.6</v>
      </c>
      <c r="J29" s="2" t="n">
        <v>40855.12</v>
      </c>
      <c r="N29" s="2" t="n">
        <v>3065.42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59425.04+C30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CC021</t>
        </is>
      </c>
    </row>
    <row r="4">
      <c r="A4" s="1" t="inlineStr">
        <is>
          <t>ROLLUP #</t>
        </is>
      </c>
      <c r="B4" t="inlineStr">
        <is>
          <t>960009</t>
        </is>
      </c>
    </row>
    <row r="5">
      <c r="A5" s="1" t="inlineStr">
        <is>
          <t>PROJECT NAME</t>
        </is>
      </c>
      <c r="B5" t="inlineStr">
        <is>
          <t>QuantumScape Printer Eval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CC022</t>
        </is>
      </c>
    </row>
    <row r="4">
      <c r="A4" s="1" t="inlineStr">
        <is>
          <t>ROLLUP #</t>
        </is>
      </c>
      <c r="B4" t="inlineStr">
        <is>
          <t>960010</t>
        </is>
      </c>
    </row>
    <row r="5">
      <c r="A5" s="1" t="inlineStr">
        <is>
          <t>PROJECT NAME</t>
        </is>
      </c>
      <c r="B5" t="inlineStr">
        <is>
          <t>Fruit Printed Conductor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42735.58+C30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CC023</t>
        </is>
      </c>
    </row>
    <row r="4">
      <c r="A4" s="1" t="inlineStr">
        <is>
          <t>ROLLUP #</t>
        </is>
      </c>
      <c r="B4" t="inlineStr">
        <is>
          <t>960014</t>
        </is>
      </c>
    </row>
    <row r="5">
      <c r="A5" s="1" t="inlineStr">
        <is>
          <t>PROJECT NAME</t>
        </is>
      </c>
      <c r="B5" t="inlineStr">
        <is>
          <t>Fruit CrossHatch Adhesion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54095.950000000004+C30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CC024</t>
        </is>
      </c>
    </row>
    <row r="4">
      <c r="A4" s="1" t="inlineStr">
        <is>
          <t>ROLLUP #</t>
        </is>
      </c>
      <c r="B4" t="inlineStr">
        <is>
          <t>960015</t>
        </is>
      </c>
    </row>
    <row r="5">
      <c r="A5" s="1" t="inlineStr">
        <is>
          <t>PROJECT NAME</t>
        </is>
      </c>
      <c r="B5" t="inlineStr">
        <is>
          <t>SRG Global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6384.65</v>
      </c>
      <c r="AE18" s="10">
        <f>SUM(C18:AD18)</f>
        <v/>
      </c>
    </row>
    <row r="19">
      <c r="B19" t="inlineStr">
        <is>
          <t>Fringe 5990</t>
        </is>
      </c>
      <c r="F19" s="2" t="n">
        <v>2509.74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4783.23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16631.66+C30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CC025</t>
        </is>
      </c>
    </row>
    <row r="4">
      <c r="A4" s="1" t="inlineStr">
        <is>
          <t>ROLLUP #</t>
        </is>
      </c>
      <c r="B4" t="inlineStr">
        <is>
          <t>960016</t>
        </is>
      </c>
    </row>
    <row r="5">
      <c r="A5" s="1" t="inlineStr">
        <is>
          <t>PROJECT NAME</t>
        </is>
      </c>
      <c r="B5" t="inlineStr">
        <is>
          <t>Lubrizol Corporation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10875.17+C30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CC026</t>
        </is>
      </c>
    </row>
    <row r="4">
      <c r="A4" s="1" t="inlineStr">
        <is>
          <t>ROLLUP #</t>
        </is>
      </c>
      <c r="B4" t="inlineStr">
        <is>
          <t>960017</t>
        </is>
      </c>
    </row>
    <row r="5">
      <c r="A5" s="1" t="inlineStr">
        <is>
          <t>PROJECT NAME</t>
        </is>
      </c>
      <c r="B5" t="inlineStr">
        <is>
          <t>Fruit Cycling Reliability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5462.5+C30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CC027</t>
        </is>
      </c>
    </row>
    <row r="4">
      <c r="A4" s="1" t="inlineStr">
        <is>
          <t>ROLLUP #</t>
        </is>
      </c>
      <c r="B4" t="inlineStr">
        <is>
          <t>960018</t>
        </is>
      </c>
    </row>
    <row r="5">
      <c r="A5" s="1" t="inlineStr">
        <is>
          <t>PROJECT NAME</t>
        </is>
      </c>
      <c r="B5" t="inlineStr">
        <is>
          <t>WL Gore Mfg Services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1863.48+C30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CC028</t>
        </is>
      </c>
    </row>
    <row r="4">
      <c r="A4" s="1" t="inlineStr">
        <is>
          <t>ROLLUP #</t>
        </is>
      </c>
      <c r="B4" t="inlineStr">
        <is>
          <t>960019</t>
        </is>
      </c>
    </row>
    <row r="5">
      <c r="A5" s="1" t="inlineStr">
        <is>
          <t>PROJECT NAME</t>
        </is>
      </c>
      <c r="B5" t="inlineStr">
        <is>
          <t>SI2 Technologies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9195.98</v>
      </c>
      <c r="AE18" s="10">
        <f>SUM(C18:AD18)</f>
        <v/>
      </c>
    </row>
    <row r="19">
      <c r="B19" t="inlineStr">
        <is>
          <t>Fringe 5990</t>
        </is>
      </c>
      <c r="F19" s="2" t="n">
        <v>3614.85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6889.41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CC029</t>
        </is>
      </c>
    </row>
    <row r="4">
      <c r="A4" s="1" t="inlineStr">
        <is>
          <t>ROLLUP #</t>
        </is>
      </c>
      <c r="B4" t="inlineStr">
        <is>
          <t>960020</t>
        </is>
      </c>
    </row>
    <row r="5">
      <c r="A5" s="1" t="inlineStr">
        <is>
          <t>PROJECT NAME</t>
        </is>
      </c>
      <c r="B5" t="inlineStr">
        <is>
          <t>Aptima IRONPIPE for Navy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3453.87</v>
      </c>
      <c r="AE18" s="10">
        <f>SUM(C18:AD18)</f>
        <v/>
      </c>
    </row>
    <row r="19">
      <c r="B19" t="inlineStr">
        <is>
          <t>Fringe 5990</t>
        </is>
      </c>
      <c r="F19" s="2" t="n">
        <v>1357.68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2587.56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CC030</t>
        </is>
      </c>
    </row>
    <row r="4">
      <c r="A4" s="1" t="inlineStr">
        <is>
          <t>ROLLUP #</t>
        </is>
      </c>
      <c r="B4" t="inlineStr">
        <is>
          <t>960022</t>
        </is>
      </c>
    </row>
    <row r="5">
      <c r="A5" s="1" t="inlineStr">
        <is>
          <t>PROJECT NAME</t>
        </is>
      </c>
      <c r="B5" t="inlineStr">
        <is>
          <t>Dexcomm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22469.42</v>
      </c>
      <c r="AE18" s="10">
        <f>SUM(C18:AD18)</f>
        <v/>
      </c>
    </row>
    <row r="19">
      <c r="B19" t="inlineStr">
        <is>
          <t>Fringe 5990</t>
        </is>
      </c>
      <c r="J19" s="2" t="n">
        <v>8868.459999999999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J26" s="2" t="n">
        <v>14020.72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24524.94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CC031</t>
        </is>
      </c>
    </row>
    <row r="4">
      <c r="A4" s="1" t="inlineStr">
        <is>
          <t>ROLLUP #</t>
        </is>
      </c>
      <c r="B4" t="inlineStr">
        <is>
          <t>960024</t>
        </is>
      </c>
    </row>
    <row r="5">
      <c r="A5" s="1" t="inlineStr">
        <is>
          <t>PROJECT NAME</t>
        </is>
      </c>
      <c r="B5" t="inlineStr">
        <is>
          <t>Functional Prototypes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13233.14</v>
      </c>
      <c r="N18" s="2" t="n">
        <v>8308.18</v>
      </c>
      <c r="AE18" s="10">
        <f>SUM(C18:AD18)</f>
        <v/>
      </c>
    </row>
    <row r="19">
      <c r="B19" t="inlineStr">
        <is>
          <t>Fringe 5990</t>
        </is>
      </c>
      <c r="J19" s="2" t="n">
        <v>5222.99</v>
      </c>
      <c r="N19" s="2" t="n">
        <v>3565.86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J22" s="2" t="n">
        <v>15900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J25" s="2" t="n">
        <v>50.62</v>
      </c>
      <c r="N25" s="2" t="n">
        <v>6250</v>
      </c>
      <c r="AE25" s="10">
        <f>SUM(C25:AD25)</f>
        <v/>
      </c>
    </row>
    <row r="26">
      <c r="B26" t="inlineStr">
        <is>
          <t>Material 5003</t>
        </is>
      </c>
      <c r="J26" s="2" t="n">
        <v>7681.86</v>
      </c>
      <c r="N26" s="2" t="n">
        <v>582.86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22756.89</v>
      </c>
      <c r="N29" s="2" t="n">
        <v>10114.64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CC032</t>
        </is>
      </c>
    </row>
    <row r="4">
      <c r="A4" s="1" t="inlineStr">
        <is>
          <t>ROLLUP #</t>
        </is>
      </c>
      <c r="B4" t="inlineStr">
        <is>
          <t>960026</t>
        </is>
      </c>
    </row>
    <row r="5">
      <c r="A5" s="1" t="inlineStr">
        <is>
          <t>PROJECT NAME</t>
        </is>
      </c>
      <c r="B5" t="inlineStr">
        <is>
          <t>Croda Ink Test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2443.72</v>
      </c>
      <c r="N18" s="2" t="n">
        <v>350.26</v>
      </c>
      <c r="AE18" s="10">
        <f>SUM(C18:AD18)</f>
        <v/>
      </c>
    </row>
    <row r="19">
      <c r="B19" t="inlineStr">
        <is>
          <t>Fringe 5990</t>
        </is>
      </c>
      <c r="J19" s="2" t="n">
        <v>964.51</v>
      </c>
      <c r="N19" s="2" t="n">
        <v>150.33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1842.8</v>
      </c>
      <c r="N29" s="2" t="n">
        <v>270.67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CC033</t>
        </is>
      </c>
    </row>
    <row r="4">
      <c r="A4" s="1" t="inlineStr">
        <is>
          <t>ROLLUP #</t>
        </is>
      </c>
      <c r="B4" t="inlineStr">
        <is>
          <t>960027</t>
        </is>
      </c>
    </row>
    <row r="5">
      <c r="A5" s="1" t="inlineStr">
        <is>
          <t>PROJECT NAME</t>
        </is>
      </c>
      <c r="B5" t="inlineStr">
        <is>
          <t>Cbooth ECG Electrode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10707.36</v>
      </c>
      <c r="N18" s="2" t="n">
        <v>6866.75</v>
      </c>
      <c r="AE18" s="10">
        <f>SUM(C18:AD18)</f>
        <v/>
      </c>
    </row>
    <row r="19">
      <c r="B19" t="inlineStr">
        <is>
          <t>Fringe 5990</t>
        </is>
      </c>
      <c r="J19" s="2" t="n">
        <v>4226.09</v>
      </c>
      <c r="N19" s="2" t="n">
        <v>2947.21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J25" s="2" t="n">
        <v>157.68</v>
      </c>
      <c r="N25" s="2" t="n">
        <v>880</v>
      </c>
      <c r="AE25" s="10">
        <f>SUM(C25:AD25)</f>
        <v/>
      </c>
    </row>
    <row r="26">
      <c r="B26" t="inlineStr">
        <is>
          <t>Material 5003</t>
        </is>
      </c>
      <c r="J26" s="2" t="n">
        <v>660.9</v>
      </c>
      <c r="N26" s="2" t="n">
        <v>4162.6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8516.959999999999</v>
      </c>
      <c r="N29" s="2" t="n">
        <v>8032.79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CC034</t>
        </is>
      </c>
    </row>
    <row r="4">
      <c r="A4" s="1" t="inlineStr">
        <is>
          <t>ROLLUP #</t>
        </is>
      </c>
      <c r="B4" t="inlineStr">
        <is>
          <t>960029</t>
        </is>
      </c>
    </row>
    <row r="5">
      <c r="A5" s="1" t="inlineStr">
        <is>
          <t>PROJECT NAME</t>
        </is>
      </c>
      <c r="B5" t="inlineStr">
        <is>
          <t>WildSpark Ph1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1304.87</v>
      </c>
      <c r="N18" s="2" t="n">
        <v>17851.14</v>
      </c>
      <c r="O18" s="2" t="n">
        <v>5745.72</v>
      </c>
      <c r="AE18" s="10">
        <f>SUM(C18:AD18)</f>
        <v/>
      </c>
    </row>
    <row r="19">
      <c r="B19" t="inlineStr">
        <is>
          <t>Fringe 5990</t>
        </is>
      </c>
      <c r="J19" s="2" t="n">
        <v>515.02</v>
      </c>
      <c r="N19" s="2" t="n">
        <v>7661.22</v>
      </c>
      <c r="O19" s="2" t="n">
        <v>2585.58</v>
      </c>
      <c r="P19" s="2" t="n">
        <v>16.09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N25" s="2" t="n">
        <v>880</v>
      </c>
      <c r="AE25" s="10">
        <f>SUM(C25:AD25)</f>
        <v/>
      </c>
    </row>
    <row r="26">
      <c r="B26" t="inlineStr">
        <is>
          <t>Material 5003</t>
        </is>
      </c>
      <c r="N26" s="2" t="n">
        <v>623.4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984</v>
      </c>
      <c r="N29" s="2" t="n">
        <v>14607.75</v>
      </c>
      <c r="O29" s="2" t="n">
        <v>5998.53</v>
      </c>
      <c r="P29" s="2" t="n">
        <v>30.05</v>
      </c>
      <c r="Q29" s="2" t="n">
        <v>11.59</v>
      </c>
      <c r="R29" s="2" t="n">
        <v>6040.17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CC035</t>
        </is>
      </c>
    </row>
    <row r="4">
      <c r="A4" s="1" t="inlineStr">
        <is>
          <t>ROLLUP #</t>
        </is>
      </c>
      <c r="B4" t="inlineStr">
        <is>
          <t>960031</t>
        </is>
      </c>
    </row>
    <row r="5">
      <c r="A5" s="1" t="inlineStr">
        <is>
          <t>PROJECT NAME</t>
        </is>
      </c>
      <c r="B5" t="inlineStr">
        <is>
          <t>W L Gore Felxible Elec Testing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11587.96</v>
      </c>
      <c r="AE18" s="10">
        <f>SUM(C18:AD18)</f>
        <v/>
      </c>
    </row>
    <row r="19">
      <c r="B19" t="inlineStr">
        <is>
          <t>Fringe 5990</t>
        </is>
      </c>
      <c r="N19" s="2" t="n">
        <v>4973.57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N29" s="2" t="n">
        <v>8954.65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CC036</t>
        </is>
      </c>
    </row>
    <row r="4">
      <c r="A4" s="1" t="inlineStr">
        <is>
          <t>ROLLUP #</t>
        </is>
      </c>
      <c r="B4" t="inlineStr">
        <is>
          <t>960036</t>
        </is>
      </c>
    </row>
    <row r="5">
      <c r="A5" s="1" t="inlineStr">
        <is>
          <t>PROJECT NAME</t>
        </is>
      </c>
      <c r="B5" t="inlineStr">
        <is>
          <t>Vivonics IPASS Sesor Design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18754.86</v>
      </c>
      <c r="O18" s="2" t="n">
        <v>20284.93</v>
      </c>
      <c r="P18" s="2" t="n">
        <v>16527.88</v>
      </c>
      <c r="Q18" s="2" t="n">
        <v>206.42</v>
      </c>
      <c r="AE18" s="10">
        <f>SUM(C18:AD18)</f>
        <v/>
      </c>
    </row>
    <row r="19">
      <c r="B19" t="inlineStr">
        <is>
          <t>Fringe 5990</t>
        </is>
      </c>
      <c r="N19" s="2" t="n">
        <v>8049.69</v>
      </c>
      <c r="O19" s="2" t="n">
        <v>9128.209999999999</v>
      </c>
      <c r="P19" s="2" t="n">
        <v>7540.63</v>
      </c>
      <c r="Q19" s="2" t="n">
        <v>93.47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P25" s="2" t="n">
        <v>234</v>
      </c>
      <c r="Q25" s="2" t="n">
        <v>81.48999999999999</v>
      </c>
      <c r="S25" s="2" t="n">
        <v>22.68</v>
      </c>
      <c r="AE25" s="10">
        <f>SUM(C25:AD25)</f>
        <v/>
      </c>
    </row>
    <row r="26">
      <c r="B26" t="inlineStr">
        <is>
          <t>Material 5003</t>
        </is>
      </c>
      <c r="N26" s="2" t="n">
        <v>725.6799999999999</v>
      </c>
      <c r="O26" s="2" t="n">
        <v>38.85</v>
      </c>
      <c r="P26" s="2" t="n">
        <v>3698.3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N29" s="2" t="n">
        <v>14884.88</v>
      </c>
      <c r="O29" s="2" t="n">
        <v>21205.43</v>
      </c>
      <c r="P29" s="2" t="n">
        <v>10731.79</v>
      </c>
      <c r="Q29" s="2" t="n">
        <v>9911.6</v>
      </c>
      <c r="R29" s="2" t="n">
        <v>41848.81</v>
      </c>
      <c r="S29" s="2" t="n">
        <v>32.82</v>
      </c>
      <c r="T29" s="2" t="n">
        <v>-3.02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CC037</t>
        </is>
      </c>
    </row>
    <row r="4">
      <c r="A4" s="1" t="inlineStr">
        <is>
          <t>ROLLUP #</t>
        </is>
      </c>
      <c r="B4" t="inlineStr">
        <is>
          <t>960044</t>
        </is>
      </c>
    </row>
    <row r="5">
      <c r="A5" s="1" t="inlineStr">
        <is>
          <t>PROJECT NAME</t>
        </is>
      </c>
      <c r="B5" t="inlineStr">
        <is>
          <t>Vivonics A21 Boards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Q18" s="2" t="n">
        <v>725.53</v>
      </c>
      <c r="AE18" s="10">
        <f>SUM(C18:AD18)</f>
        <v/>
      </c>
    </row>
    <row r="19">
      <c r="B19" t="inlineStr">
        <is>
          <t>Fringe 5990</t>
        </is>
      </c>
      <c r="Q19" s="2" t="n">
        <v>328.52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Q25" s="2" t="n">
        <v>27.29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Q29" s="2" t="n">
        <v>782.46</v>
      </c>
      <c r="R29" s="2" t="n">
        <v>782.46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CC038</t>
        </is>
      </c>
    </row>
    <row r="4">
      <c r="A4" s="1" t="inlineStr">
        <is>
          <t>ROLLUP #</t>
        </is>
      </c>
      <c r="B4" t="inlineStr">
        <is>
          <t>960047</t>
        </is>
      </c>
    </row>
    <row r="5">
      <c r="A5" s="1" t="inlineStr">
        <is>
          <t>PROJECT NAME</t>
        </is>
      </c>
      <c r="B5" t="inlineStr">
        <is>
          <t>T 47 TYNT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Q18" s="2" t="n">
        <v>1212.59</v>
      </c>
      <c r="R18" s="2" t="n">
        <v>13806.52</v>
      </c>
      <c r="S18" s="2" t="n">
        <v>843.61</v>
      </c>
      <c r="T18" s="2" t="n">
        <v>110.6</v>
      </c>
      <c r="AE18" s="10">
        <f>SUM(C18:AD18)</f>
        <v/>
      </c>
    </row>
    <row r="19">
      <c r="B19" t="inlineStr">
        <is>
          <t>Fringe 5990</t>
        </is>
      </c>
      <c r="Q19" s="2" t="n">
        <v>549.0599999999999</v>
      </c>
      <c r="R19" s="2" t="n">
        <v>6251.59</v>
      </c>
      <c r="S19" s="2" t="n">
        <v>381.99</v>
      </c>
      <c r="T19" s="2" t="n">
        <v>76.98999999999999</v>
      </c>
      <c r="U19" s="2" t="n">
        <v>-1281.45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R25" s="2" t="n">
        <v>109.42</v>
      </c>
      <c r="T25" s="2" t="n">
        <v>31.9</v>
      </c>
      <c r="AE25" s="10">
        <f>SUM(C25:AD25)</f>
        <v/>
      </c>
    </row>
    <row r="26">
      <c r="B26" t="inlineStr">
        <is>
          <t>Material 5003</t>
        </is>
      </c>
      <c r="R26" s="2" t="n">
        <v>1854.6</v>
      </c>
      <c r="S26" s="2" t="n">
        <v>2500.49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Q29" s="2" t="n">
        <v>1274.73</v>
      </c>
      <c r="R29" s="2" t="n">
        <v>33145.16</v>
      </c>
      <c r="S29" s="2" t="n">
        <v>5392.39</v>
      </c>
      <c r="T29" s="2" t="n">
        <v>-208.31</v>
      </c>
      <c r="U29" s="2" t="n">
        <v>-7848.22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CC039</t>
        </is>
      </c>
    </row>
    <row r="4">
      <c r="A4" s="1" t="inlineStr">
        <is>
          <t>ROLLUP #</t>
        </is>
      </c>
      <c r="B4" t="inlineStr">
        <is>
          <t>960053</t>
        </is>
      </c>
    </row>
    <row r="5">
      <c r="A5" s="1" t="inlineStr">
        <is>
          <t>PROJECT NAME</t>
        </is>
      </c>
      <c r="B5" t="inlineStr">
        <is>
          <t>Renesas Sensors on Wafer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R18" s="2" t="n">
        <v>342.52</v>
      </c>
      <c r="T18" s="2" t="n">
        <v>503.5</v>
      </c>
      <c r="U18" s="2" t="n">
        <v>1510.5</v>
      </c>
      <c r="AE18" s="10">
        <f>SUM(C18:AD18)</f>
        <v/>
      </c>
    </row>
    <row r="19">
      <c r="B19" t="inlineStr">
        <is>
          <t>Fringe 5990</t>
        </is>
      </c>
      <c r="R19" s="2" t="n">
        <v>155.09</v>
      </c>
      <c r="T19" s="2" t="n">
        <v>242.18</v>
      </c>
      <c r="U19" s="2" t="n">
        <v>726.55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U25" s="2" t="n">
        <v>27.15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R29" s="2" t="n">
        <v>720.15</v>
      </c>
      <c r="T29" s="2" t="n">
        <v>979.75</v>
      </c>
      <c r="U29" s="2" t="n">
        <v>2974.93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CC040</t>
        </is>
      </c>
    </row>
    <row r="4">
      <c r="A4" s="1" t="inlineStr">
        <is>
          <t>ROLLUP #</t>
        </is>
      </c>
      <c r="B4" t="inlineStr">
        <is>
          <t>960066</t>
        </is>
      </c>
    </row>
    <row r="5">
      <c r="A5" s="1" t="inlineStr">
        <is>
          <t>PROJECT NAME</t>
        </is>
      </c>
      <c r="B5" t="inlineStr">
        <is>
          <t>Thintronics Vias 1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Y18" s="2" t="n">
        <v>2009.84</v>
      </c>
      <c r="AE18" s="10">
        <f>SUM(C18:AD18)</f>
        <v/>
      </c>
    </row>
    <row r="19">
      <c r="B19" t="inlineStr">
        <is>
          <t>Fringe 5990</t>
        </is>
      </c>
      <c r="Y19" s="2" t="n">
        <v>1010.15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Y25" s="2" t="n">
        <v>1.64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Y29" s="2" t="n">
        <v>4012.42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CC041</t>
        </is>
      </c>
    </row>
    <row r="4">
      <c r="A4" s="1" t="inlineStr">
        <is>
          <t>ROLLUP #</t>
        </is>
      </c>
      <c r="B4" t="inlineStr">
        <is>
          <t>960067</t>
        </is>
      </c>
    </row>
    <row r="5">
      <c r="A5" s="1" t="inlineStr">
        <is>
          <t>PROJECT NAME</t>
        </is>
      </c>
      <c r="B5" t="inlineStr">
        <is>
          <t>Frontgrade PAM board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Tech Prime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Z18" s="2" t="n">
        <v>2365.98</v>
      </c>
      <c r="AE18" s="10">
        <f>SUM(C18:AD18)</f>
        <v/>
      </c>
    </row>
    <row r="19">
      <c r="B19" t="inlineStr">
        <is>
          <t>Fringe 5990</t>
        </is>
      </c>
      <c r="Z19" s="2" t="n">
        <v>1189.13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Z25" s="2" t="n">
        <v>277.99</v>
      </c>
      <c r="AE25" s="10">
        <f>SUM(C25:AD25)</f>
        <v/>
      </c>
    </row>
    <row r="26">
      <c r="B26" t="inlineStr">
        <is>
          <t>Material 5003</t>
        </is>
      </c>
      <c r="Z26" s="2" t="n">
        <v>1949.49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Z29" s="2" t="n">
        <v>7678.7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Comml</t>
        </is>
      </c>
    </row>
    <row r="3">
      <c r="A3" s="1" t="inlineStr">
        <is>
          <t>SEQUENCE</t>
        </is>
      </c>
      <c r="B3" t="inlineStr">
        <is>
          <t>CC042</t>
        </is>
      </c>
    </row>
    <row r="4">
      <c r="A4" s="1" t="inlineStr">
        <is>
          <t>ROLLUP #</t>
        </is>
      </c>
      <c r="B4" t="inlineStr">
        <is>
          <t>960070</t>
        </is>
      </c>
    </row>
    <row r="5">
      <c r="A5" s="1" t="inlineStr">
        <is>
          <t>PROJECT NAME</t>
        </is>
      </c>
      <c r="B5" t="inlineStr">
        <is>
          <t>Cerebras Via Repair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Comml-Prv Sector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A18" s="2" t="n">
        <v>1393.78</v>
      </c>
      <c r="AE18" s="10">
        <f>SUM(C18:AD18)</f>
        <v/>
      </c>
    </row>
    <row r="19">
      <c r="B19" t="inlineStr">
        <is>
          <t>Fringe 5990</t>
        </is>
      </c>
      <c r="AA19" s="2" t="n">
        <v>754.45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A26" s="2" t="n">
        <v>1326.4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A29" s="2" t="n">
        <v>4734.54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2026-04-21T07:22:16Z</dcterms:created>
  <dcterms:modified xsi:type="dcterms:W3CDTF">2026-04-21T08:14:58Z</dcterms:modified>
</cp:coreProperties>
</file>