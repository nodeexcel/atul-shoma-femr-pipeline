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sheets/sheet17.xml" ContentType="application/vnd.openxmlformats-officedocument.spreadsheetml.worksheet+xml"/>
  <Override PartName="/xl/drawings/drawing17.xml" ContentType="application/vnd.openxmlformats-officedocument.drawing+xml"/>
  <Override PartName="/xl/worksheets/sheet18.xml" ContentType="application/vnd.openxmlformats-officedocument.spreadsheetml.worksheet+xml"/>
  <Override PartName="/xl/drawings/drawing18.xml" ContentType="application/vnd.openxmlformats-officedocument.drawing+xml"/>
  <Override PartName="/xl/worksheets/sheet19.xml" ContentType="application/vnd.openxmlformats-officedocument.spreadsheetml.worksheet+xml"/>
  <Override PartName="/xl/drawings/drawing19.xml" ContentType="application/vnd.openxmlformats-officedocument.drawing+xml"/>
  <Override PartName="/xl/worksheets/sheet20.xml" ContentType="application/vnd.openxmlformats-officedocument.spreadsheetml.worksheet+xml"/>
  <Override PartName="/xl/drawings/drawing20.xml" ContentType="application/vnd.openxmlformats-officedocument.drawing+xml"/>
  <Override PartName="/xl/worksheets/sheet21.xml" ContentType="application/vnd.openxmlformats-officedocument.spreadsheetml.worksheet+xml"/>
  <Override PartName="/xl/drawings/drawing21.xml" ContentType="application/vnd.openxmlformats-officedocument.drawing+xml"/>
  <Override PartName="/xl/worksheets/sheet22.xml" ContentType="application/vnd.openxmlformats-officedocument.spreadsheetml.worksheet+xml"/>
  <Override PartName="/xl/drawings/drawing22.xml" ContentType="application/vnd.openxmlformats-officedocument.drawing+xml"/>
  <Override PartName="/xl/worksheets/sheet23.xml" ContentType="application/vnd.openxmlformats-officedocument.spreadsheetml.worksheet+xml"/>
  <Override PartName="/xl/drawings/drawing23.xml" ContentType="application/vnd.openxmlformats-officedocument.drawing+xml"/>
  <Override PartName="/xl/worksheets/sheet24.xml" ContentType="application/vnd.openxmlformats-officedocument.spreadsheetml.worksheet+xml"/>
  <Override PartName="/xl/drawings/drawing24.xml" ContentType="application/vnd.openxmlformats-officedocument.drawing+xml"/>
  <Override PartName="/xl/worksheets/sheet25.xml" ContentType="application/vnd.openxmlformats-officedocument.spreadsheetml.worksheet+xml"/>
  <Override PartName="/xl/drawings/drawing25.xml" ContentType="application/vnd.openxmlformats-officedocument.drawing+xml"/>
  <Override PartName="/xl/worksheets/sheet26.xml" ContentType="application/vnd.openxmlformats-officedocument.spreadsheetml.worksheet+xml"/>
  <Override PartName="/xl/drawings/drawing26.xml" ContentType="application/vnd.openxmlformats-officedocument.drawing+xml"/>
  <Override PartName="/xl/worksheets/sheet27.xml" ContentType="application/vnd.openxmlformats-officedocument.spreadsheetml.worksheet+xml"/>
  <Override PartName="/xl/drawings/drawing27.xml" ContentType="application/vnd.openxmlformats-officedocument.drawing+xml"/>
  <Override PartName="/xl/worksheets/sheet28.xml" ContentType="application/vnd.openxmlformats-officedocument.spreadsheetml.worksheet+xml"/>
  <Override PartName="/xl/drawings/drawing28.xml" ContentType="application/vnd.openxmlformats-officedocument.drawing+xml"/>
  <Override PartName="/xl/worksheets/sheet29.xml" ContentType="application/vnd.openxmlformats-officedocument.spreadsheetml.worksheet+xml"/>
  <Override PartName="/xl/drawings/drawing29.xml" ContentType="application/vnd.openxmlformats-officedocument.drawing+xml"/>
  <Override PartName="/xl/worksheets/sheet30.xml" ContentType="application/vnd.openxmlformats-officedocument.spreadsheetml.worksheet+xml"/>
  <Override PartName="/xl/drawings/drawing30.xml" ContentType="application/vnd.openxmlformats-officedocument.drawing+xml"/>
  <Override PartName="/xl/worksheets/sheet31.xml" ContentType="application/vnd.openxmlformats-officedocument.spreadsheetml.worksheet+xml"/>
  <Override PartName="/xl/drawings/drawing31.xml" ContentType="application/vnd.openxmlformats-officedocument.drawing+xml"/>
  <Override PartName="/xl/worksheets/sheet32.xml" ContentType="application/vnd.openxmlformats-officedocument.spreadsheetml.worksheet+xml"/>
  <Override PartName="/xl/drawings/drawing32.xml" ContentType="application/vnd.openxmlformats-officedocument.drawing+xml"/>
  <Override PartName="/xl/worksheets/sheet33.xml" ContentType="application/vnd.openxmlformats-officedocument.spreadsheetml.worksheet+xml"/>
  <Override PartName="/xl/drawings/drawing33.xml" ContentType="application/vnd.openxmlformats-officedocument.drawing+xml"/>
  <Override PartName="/xl/worksheets/sheet34.xml" ContentType="application/vnd.openxmlformats-officedocument.spreadsheetml.worksheet+xml"/>
  <Override PartName="/xl/drawings/drawing34.xml" ContentType="application/vnd.openxmlformats-officedocument.drawing+xml"/>
  <Override PartName="/xl/worksheets/sheet35.xml" ContentType="application/vnd.openxmlformats-officedocument.spreadsheetml.worksheet+xml"/>
  <Override PartName="/xl/drawings/drawing35.xml" ContentType="application/vnd.openxmlformats-officedocument.drawing+xml"/>
  <Override PartName="/xl/worksheets/sheet36.xml" ContentType="application/vnd.openxmlformats-officedocument.spreadsheetml.worksheet+xml"/>
  <Override PartName="/xl/drawings/drawing36.xml" ContentType="application/vnd.openxmlformats-officedocument.drawing+xml"/>
  <Override PartName="/xl/worksheets/sheet37.xml" ContentType="application/vnd.openxmlformats-officedocument.spreadsheetml.worksheet+xml"/>
  <Override PartName="/xl/drawings/drawing37.xml" ContentType="application/vnd.openxmlformats-officedocument.drawing+xml"/>
  <Override PartName="/xl/worksheets/sheet38.xml" ContentType="application/vnd.openxmlformats-officedocument.spreadsheetml.worksheet+xml"/>
  <Override PartName="/xl/drawings/drawing38.xml" ContentType="application/vnd.openxmlformats-officedocument.drawing+xml"/>
  <Override PartName="/xl/worksheets/sheet39.xml" ContentType="application/vnd.openxmlformats-officedocument.spreadsheetml.worksheet+xml"/>
  <Override PartName="/xl/drawings/drawing39.xml" ContentType="application/vnd.openxmlformats-officedocument.drawing+xml"/>
  <Override PartName="/xl/worksheets/sheet40.xml" ContentType="application/vnd.openxmlformats-officedocument.spreadsheetml.worksheet+xml"/>
  <Override PartName="/xl/drawings/drawing40.xml" ContentType="application/vnd.openxmlformats-officedocument.drawing+xml"/>
  <Override PartName="/xl/worksheets/sheet41.xml" ContentType="application/vnd.openxmlformats-officedocument.spreadsheetml.worksheet+xml"/>
  <Override PartName="/xl/drawings/drawing41.xml" ContentType="application/vnd.openxmlformats-officedocument.drawing+xml"/>
  <Override PartName="/xl/worksheets/sheet42.xml" ContentType="application/vnd.openxmlformats-officedocument.spreadsheetml.worksheet+xml"/>
  <Override PartName="/xl/drawings/drawing42.xml" ContentType="application/vnd.openxmlformats-officedocument.drawing+xml"/>
  <Override PartName="/xl/worksheets/sheet43.xml" ContentType="application/vnd.openxmlformats-officedocument.spreadsheetml.worksheet+xml"/>
  <Override PartName="/xl/drawings/drawing43.xml" ContentType="application/vnd.openxmlformats-officedocument.drawing+xml"/>
  <Override PartName="/xl/worksheets/sheet44.xml" ContentType="application/vnd.openxmlformats-officedocument.spreadsheetml.worksheet+xml"/>
  <Override PartName="/xl/drawings/drawing44.xml" ContentType="application/vnd.openxmlformats-officedocument.drawing+xml"/>
  <Override PartName="/xl/worksheets/sheet45.xml" ContentType="application/vnd.openxmlformats-officedocument.spreadsheetml.worksheet+xml"/>
  <Override PartName="/xl/drawings/drawing45.xml" ContentType="application/vnd.openxmlformats-officedocument.drawing+xml"/>
  <Override PartName="/xl/worksheets/sheet46.xml" ContentType="application/vnd.openxmlformats-officedocument.spreadsheetml.worksheet+xml"/>
  <Override PartName="/xl/drawings/drawing46.xml" ContentType="application/vnd.openxmlformats-officedocument.drawing+xml"/>
  <Override PartName="/xl/worksheets/sheet47.xml" ContentType="application/vnd.openxmlformats-officedocument.spreadsheetml.worksheet+xml"/>
  <Override PartName="/xl/drawings/drawing4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WD014" sheetId="1" state="visible" r:id="rId1"/>
    <sheet name="OGA001" sheetId="2" state="visible" r:id="rId2"/>
    <sheet name="OGA002" sheetId="3" state="visible" r:id="rId3"/>
    <sheet name="OGA003" sheetId="4" state="visible" r:id="rId4"/>
    <sheet name="OGA004" sheetId="5" state="visible" r:id="rId5"/>
    <sheet name="OGA005" sheetId="6" state="visible" r:id="rId6"/>
    <sheet name="OGA006" sheetId="7" state="visible" r:id="rId7"/>
    <sheet name="OGA007" sheetId="8" state="visible" r:id="rId8"/>
    <sheet name="OGA008" sheetId="9" state="visible" r:id="rId9"/>
    <sheet name="OGA009" sheetId="10" state="visible" r:id="rId10"/>
    <sheet name="OGA010" sheetId="11" state="visible" r:id="rId11"/>
    <sheet name="OGA011" sheetId="12" state="visible" r:id="rId12"/>
    <sheet name="OGA012" sheetId="13" state="visible" r:id="rId13"/>
    <sheet name="OGA013" sheetId="14" state="visible" r:id="rId14"/>
    <sheet name="OGA014" sheetId="15" state="visible" r:id="rId15"/>
    <sheet name="OGA015" sheetId="16" state="visible" r:id="rId16"/>
    <sheet name="OGA016" sheetId="17" state="visible" r:id="rId17"/>
    <sheet name="OGA017" sheetId="18" state="visible" r:id="rId18"/>
    <sheet name="OGA018" sheetId="19" state="visible" r:id="rId19"/>
    <sheet name="OGA019" sheetId="20" state="visible" r:id="rId20"/>
    <sheet name="OGA020" sheetId="21" state="visible" r:id="rId21"/>
    <sheet name="OGA021" sheetId="22" state="visible" r:id="rId22"/>
    <sheet name="OGA022" sheetId="23" state="visible" r:id="rId23"/>
    <sheet name="OGA023" sheetId="24" state="visible" r:id="rId24"/>
    <sheet name="OGA024" sheetId="25" state="visible" r:id="rId25"/>
    <sheet name="OGA025" sheetId="26" state="visible" r:id="rId26"/>
    <sheet name="OGA026" sheetId="27" state="visible" r:id="rId27"/>
    <sheet name="OGA027" sheetId="28" state="visible" r:id="rId28"/>
    <sheet name="OGA028" sheetId="29" state="visible" r:id="rId29"/>
    <sheet name="OGA029" sheetId="30" state="visible" r:id="rId30"/>
    <sheet name="OGA030" sheetId="31" state="visible" r:id="rId31"/>
    <sheet name="OGA031" sheetId="32" state="visible" r:id="rId32"/>
    <sheet name="OGA032" sheetId="33" state="visible" r:id="rId33"/>
    <sheet name="OGA033" sheetId="34" state="visible" r:id="rId34"/>
    <sheet name="OGA034" sheetId="35" state="visible" r:id="rId35"/>
    <sheet name="OGA035" sheetId="36" state="visible" r:id="rId36"/>
    <sheet name="OGA036" sheetId="37" state="visible" r:id="rId37"/>
    <sheet name="OGA037" sheetId="38" state="visible" r:id="rId38"/>
    <sheet name="OGA038" sheetId="39" state="visible" r:id="rId39"/>
    <sheet name="OGA039" sheetId="40" state="visible" r:id="rId40"/>
    <sheet name="OGA040" sheetId="41" state="visible" r:id="rId41"/>
    <sheet name="OGA041" sheetId="42" state="visible" r:id="rId42"/>
    <sheet name="OGA042" sheetId="43" state="visible" r:id="rId43"/>
    <sheet name="OGA043" sheetId="44" state="visible" r:id="rId44"/>
    <sheet name="OGA044" sheetId="45" state="visible" r:id="rId45"/>
    <sheet name="OGA045" sheetId="46" state="visible" r:id="rId46"/>
    <sheet name="OGA046" sheetId="47" state="visible" r:id="rId4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_($* #,##0.00_);_($* (#,##0.00);_($* &quot;-&quot;??_);_(@_)"/>
  </numFmts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C1FFB0"/>
      </patternFill>
    </fill>
    <fill>
      <patternFill patternType="solid">
        <fgColor rgb="00A3D1FF"/>
      </patternFill>
    </fill>
    <fill>
      <patternFill patternType="solid">
        <fgColor rgb="00F5F4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164" fontId="0" fillId="0" borderId="0" applyAlignment="1" pivotButton="0" quotePrefix="0" xfId="0">
      <alignment horizontal="right" vertical="center"/>
    </xf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1" fillId="3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" fillId="4" borderId="0" pivotButton="0" quotePrefix="0" xfId="0"/>
    <xf numFmtId="164" fontId="0" fillId="4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styles" Target="styles.xml" Id="rId48" /><Relationship Type="http://schemas.openxmlformats.org/officeDocument/2006/relationships/theme" Target="theme/theme1.xml" Id="rId49" /></Relationships>
</file>

<file path=xl/charts/chart1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'EWD014'!$B$51:$AC$51</f>
            </numRef>
          </cat>
          <val>
            <numRef>
              <f>'EWD014'!$B$52:$AC$52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'EWD014'!$B$51:$AC$51</f>
            </numRef>
          </cat>
          <val>
            <numRef>
              <f>'EWD014'!$B$53:$AC$53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'EWD014'!$B$51:$AC$51</f>
            </numRef>
          </cat>
          <val>
            <numRef>
              <f>'EWD014'!$B$54:$AC$54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'EWD014'!$B$51:$AC$51</f>
            </numRef>
          </cat>
          <val>
            <numRef>
              <f>'EWD014'!$B$55:$AC$55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'EWD014'!$B$51:$AC$51</f>
            </numRef>
          </cat>
          <val>
            <numRef>
              <f>'EWD014'!$B$56:$AC$56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'OGA001'!$B$51:$AC$51</f>
            </numRef>
          </cat>
          <val>
            <numRef>
              <f>'OGA001'!$B$52:$AC$52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'OGA001'!$B$51:$AC$51</f>
            </numRef>
          </cat>
          <val>
            <numRef>
              <f>'OGA001'!$B$53:$AC$53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'OGA001'!$B$51:$AC$51</f>
            </numRef>
          </cat>
          <val>
            <numRef>
              <f>'OGA001'!$B$54:$AC$54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'OGA001'!$B$51:$AC$51</f>
            </numRef>
          </cat>
          <val>
            <numRef>
              <f>'OGA001'!$B$55:$AC$55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'OGA001'!$B$51:$AC$51</f>
            </numRef>
          </cat>
          <val>
            <numRef>
              <f>'OGA001'!$B$56:$AC$56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'OGA002'!$B$51:$AC$51</f>
            </numRef>
          </cat>
          <val>
            <numRef>
              <f>'OGA002'!$B$52:$AC$52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'OGA002'!$B$51:$AC$51</f>
            </numRef>
          </cat>
          <val>
            <numRef>
              <f>'OGA002'!$B$53:$AC$53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'OGA002'!$B$51:$AC$51</f>
            </numRef>
          </cat>
          <val>
            <numRef>
              <f>'OGA002'!$B$54:$AC$54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'OGA002'!$B$51:$AC$51</f>
            </numRef>
          </cat>
          <val>
            <numRef>
              <f>'OGA002'!$B$55:$AC$55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'OGA002'!$B$51:$AC$51</f>
            </numRef>
          </cat>
          <val>
            <numRef>
              <f>'OGA002'!$B$56:$AC$56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'OGA003'!$B$51:$AC$51</f>
            </numRef>
          </cat>
          <val>
            <numRef>
              <f>'OGA003'!$B$52:$AC$52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'OGA003'!$B$51:$AC$51</f>
            </numRef>
          </cat>
          <val>
            <numRef>
              <f>'OGA003'!$B$53:$AC$53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'OGA003'!$B$51:$AC$51</f>
            </numRef>
          </cat>
          <val>
            <numRef>
              <f>'OGA003'!$B$54:$AC$54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'OGA003'!$B$51:$AC$51</f>
            </numRef>
          </cat>
          <val>
            <numRef>
              <f>'OGA003'!$B$55:$AC$55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'OGA003'!$B$51:$AC$51</f>
            </numRef>
          </cat>
          <val>
            <numRef>
              <f>'OGA003'!$B$56:$AC$56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'OGA004'!$B$51:$AC$51</f>
            </numRef>
          </cat>
          <val>
            <numRef>
              <f>'OGA004'!$B$52:$AC$52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'OGA004'!$B$51:$AC$51</f>
            </numRef>
          </cat>
          <val>
            <numRef>
              <f>'OGA004'!$B$53:$AC$53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'OGA004'!$B$51:$AC$51</f>
            </numRef>
          </cat>
          <val>
            <numRef>
              <f>'OGA004'!$B$54:$AC$54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'OGA004'!$B$51:$AC$51</f>
            </numRef>
          </cat>
          <val>
            <numRef>
              <f>'OGA004'!$B$55:$AC$55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'OGA004'!$B$51:$AC$51</f>
            </numRef>
          </cat>
          <val>
            <numRef>
              <f>'OGA004'!$B$56:$AC$56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'OGA005'!$B$51:$AC$51</f>
            </numRef>
          </cat>
          <val>
            <numRef>
              <f>'OGA005'!$B$52:$AC$52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'OGA005'!$B$51:$AC$51</f>
            </numRef>
          </cat>
          <val>
            <numRef>
              <f>'OGA005'!$B$53:$AC$53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'OGA005'!$B$51:$AC$51</f>
            </numRef>
          </cat>
          <val>
            <numRef>
              <f>'OGA005'!$B$54:$AC$54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'OGA005'!$B$51:$AC$51</f>
            </numRef>
          </cat>
          <val>
            <numRef>
              <f>'OGA005'!$B$55:$AC$55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'OGA005'!$B$51:$AC$51</f>
            </numRef>
          </cat>
          <val>
            <numRef>
              <f>'OGA005'!$B$56:$AC$56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'OGA006'!$B$51:$AC$51</f>
            </numRef>
          </cat>
          <val>
            <numRef>
              <f>'OGA006'!$B$52:$AC$52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'OGA006'!$B$51:$AC$51</f>
            </numRef>
          </cat>
          <val>
            <numRef>
              <f>'OGA006'!$B$53:$AC$53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'OGA006'!$B$51:$AC$51</f>
            </numRef>
          </cat>
          <val>
            <numRef>
              <f>'OGA006'!$B$54:$AC$54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'OGA006'!$B$51:$AC$51</f>
            </numRef>
          </cat>
          <val>
            <numRef>
              <f>'OGA006'!$B$55:$AC$55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'OGA006'!$B$51:$AC$51</f>
            </numRef>
          </cat>
          <val>
            <numRef>
              <f>'OGA006'!$B$56:$AC$56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'OGA007'!$B$51:$AC$51</f>
            </numRef>
          </cat>
          <val>
            <numRef>
              <f>'OGA007'!$B$52:$AC$52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'OGA007'!$B$51:$AC$51</f>
            </numRef>
          </cat>
          <val>
            <numRef>
              <f>'OGA007'!$B$53:$AC$53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'OGA007'!$B$51:$AC$51</f>
            </numRef>
          </cat>
          <val>
            <numRef>
              <f>'OGA007'!$B$54:$AC$54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'OGA007'!$B$51:$AC$51</f>
            </numRef>
          </cat>
          <val>
            <numRef>
              <f>'OGA007'!$B$55:$AC$55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'OGA007'!$B$51:$AC$51</f>
            </numRef>
          </cat>
          <val>
            <numRef>
              <f>'OGA007'!$B$56:$AC$56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'OGA008'!$B$51:$AC$51</f>
            </numRef>
          </cat>
          <val>
            <numRef>
              <f>'OGA008'!$B$52:$AC$52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'OGA008'!$B$51:$AC$51</f>
            </numRef>
          </cat>
          <val>
            <numRef>
              <f>'OGA008'!$B$53:$AC$53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'OGA008'!$B$51:$AC$51</f>
            </numRef>
          </cat>
          <val>
            <numRef>
              <f>'OGA008'!$B$54:$AC$54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'OGA008'!$B$51:$AC$51</f>
            </numRef>
          </cat>
          <val>
            <numRef>
              <f>'OGA008'!$B$55:$AC$55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'OGA008'!$B$51:$AC$51</f>
            </numRef>
          </cat>
          <val>
            <numRef>
              <f>'OGA008'!$B$56:$AC$56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'OGA009'!$B$51:$AC$51</f>
            </numRef>
          </cat>
          <val>
            <numRef>
              <f>'OGA009'!$B$52:$AC$52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'OGA009'!$B$51:$AC$51</f>
            </numRef>
          </cat>
          <val>
            <numRef>
              <f>'OGA009'!$B$53:$AC$53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'OGA009'!$B$51:$AC$51</f>
            </numRef>
          </cat>
          <val>
            <numRef>
              <f>'OGA009'!$B$54:$AC$54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'OGA009'!$B$51:$AC$51</f>
            </numRef>
          </cat>
          <val>
            <numRef>
              <f>'OGA009'!$B$55:$AC$55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'OGA009'!$B$51:$AC$51</f>
            </numRef>
          </cat>
          <val>
            <numRef>
              <f>'OGA009'!$B$56:$AC$56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'OGA010'!$B$51:$AC$51</f>
            </numRef>
          </cat>
          <val>
            <numRef>
              <f>'OGA010'!$B$52:$AC$52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'OGA010'!$B$51:$AC$51</f>
            </numRef>
          </cat>
          <val>
            <numRef>
              <f>'OGA010'!$B$53:$AC$53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'OGA010'!$B$51:$AC$51</f>
            </numRef>
          </cat>
          <val>
            <numRef>
              <f>'OGA010'!$B$54:$AC$54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'OGA010'!$B$51:$AC$51</f>
            </numRef>
          </cat>
          <val>
            <numRef>
              <f>'OGA010'!$B$55:$AC$55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'OGA010'!$B$51:$AC$51</f>
            </numRef>
          </cat>
          <val>
            <numRef>
              <f>'OGA010'!$B$56:$AC$56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'OGA011'!$B$51:$AC$51</f>
            </numRef>
          </cat>
          <val>
            <numRef>
              <f>'OGA011'!$B$52:$AC$52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'OGA011'!$B$51:$AC$51</f>
            </numRef>
          </cat>
          <val>
            <numRef>
              <f>'OGA011'!$B$53:$AC$53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'OGA011'!$B$51:$AC$51</f>
            </numRef>
          </cat>
          <val>
            <numRef>
              <f>'OGA011'!$B$54:$AC$54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'OGA011'!$B$51:$AC$51</f>
            </numRef>
          </cat>
          <val>
            <numRef>
              <f>'OGA011'!$B$55:$AC$55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'OGA011'!$B$51:$AC$51</f>
            </numRef>
          </cat>
          <val>
            <numRef>
              <f>'OGA011'!$B$56:$AC$56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'OGA012'!$B$51:$AC$51</f>
            </numRef>
          </cat>
          <val>
            <numRef>
              <f>'OGA012'!$B$52:$AC$52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'OGA012'!$B$51:$AC$51</f>
            </numRef>
          </cat>
          <val>
            <numRef>
              <f>'OGA012'!$B$53:$AC$53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'OGA012'!$B$51:$AC$51</f>
            </numRef>
          </cat>
          <val>
            <numRef>
              <f>'OGA012'!$B$54:$AC$54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'OGA012'!$B$51:$AC$51</f>
            </numRef>
          </cat>
          <val>
            <numRef>
              <f>'OGA012'!$B$55:$AC$55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'OGA012'!$B$51:$AC$51</f>
            </numRef>
          </cat>
          <val>
            <numRef>
              <f>'OGA012'!$B$56:$AC$56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'OGA013'!$B$51:$AC$51</f>
            </numRef>
          </cat>
          <val>
            <numRef>
              <f>'OGA013'!$B$52:$AC$52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'OGA013'!$B$51:$AC$51</f>
            </numRef>
          </cat>
          <val>
            <numRef>
              <f>'OGA013'!$B$53:$AC$53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'OGA013'!$B$51:$AC$51</f>
            </numRef>
          </cat>
          <val>
            <numRef>
              <f>'OGA013'!$B$54:$AC$54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'OGA013'!$B$51:$AC$51</f>
            </numRef>
          </cat>
          <val>
            <numRef>
              <f>'OGA013'!$B$55:$AC$55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'OGA013'!$B$51:$AC$51</f>
            </numRef>
          </cat>
          <val>
            <numRef>
              <f>'OGA013'!$B$56:$AC$56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'OGA014'!$B$51:$AC$51</f>
            </numRef>
          </cat>
          <val>
            <numRef>
              <f>'OGA014'!$B$52:$AC$52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'OGA014'!$B$51:$AC$51</f>
            </numRef>
          </cat>
          <val>
            <numRef>
              <f>'OGA014'!$B$53:$AC$53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'OGA014'!$B$51:$AC$51</f>
            </numRef>
          </cat>
          <val>
            <numRef>
              <f>'OGA014'!$B$54:$AC$54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'OGA014'!$B$51:$AC$51</f>
            </numRef>
          </cat>
          <val>
            <numRef>
              <f>'OGA014'!$B$55:$AC$55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'OGA014'!$B$51:$AC$51</f>
            </numRef>
          </cat>
          <val>
            <numRef>
              <f>'OGA014'!$B$56:$AC$56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'OGA015'!$B$51:$AC$51</f>
            </numRef>
          </cat>
          <val>
            <numRef>
              <f>'OGA015'!$B$52:$AC$52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'OGA015'!$B$51:$AC$51</f>
            </numRef>
          </cat>
          <val>
            <numRef>
              <f>'OGA015'!$B$53:$AC$53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'OGA015'!$B$51:$AC$51</f>
            </numRef>
          </cat>
          <val>
            <numRef>
              <f>'OGA015'!$B$54:$AC$54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'OGA015'!$B$51:$AC$51</f>
            </numRef>
          </cat>
          <val>
            <numRef>
              <f>'OGA015'!$B$55:$AC$55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'OGA015'!$B$51:$AC$51</f>
            </numRef>
          </cat>
          <val>
            <numRef>
              <f>'OGA015'!$B$56:$AC$56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'OGA016'!$B$51:$AC$51</f>
            </numRef>
          </cat>
          <val>
            <numRef>
              <f>'OGA016'!$B$52:$AC$52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'OGA016'!$B$51:$AC$51</f>
            </numRef>
          </cat>
          <val>
            <numRef>
              <f>'OGA016'!$B$53:$AC$53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'OGA016'!$B$51:$AC$51</f>
            </numRef>
          </cat>
          <val>
            <numRef>
              <f>'OGA016'!$B$54:$AC$54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'OGA016'!$B$51:$AC$51</f>
            </numRef>
          </cat>
          <val>
            <numRef>
              <f>'OGA016'!$B$55:$AC$55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'OGA016'!$B$51:$AC$51</f>
            </numRef>
          </cat>
          <val>
            <numRef>
              <f>'OGA016'!$B$56:$AC$56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'OGA017'!$B$51:$AC$51</f>
            </numRef>
          </cat>
          <val>
            <numRef>
              <f>'OGA017'!$B$52:$AC$52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'OGA017'!$B$51:$AC$51</f>
            </numRef>
          </cat>
          <val>
            <numRef>
              <f>'OGA017'!$B$53:$AC$53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'OGA017'!$B$51:$AC$51</f>
            </numRef>
          </cat>
          <val>
            <numRef>
              <f>'OGA017'!$B$54:$AC$54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'OGA017'!$B$51:$AC$51</f>
            </numRef>
          </cat>
          <val>
            <numRef>
              <f>'OGA017'!$B$55:$AC$55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'OGA017'!$B$51:$AC$51</f>
            </numRef>
          </cat>
          <val>
            <numRef>
              <f>'OGA017'!$B$56:$AC$56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'OGA018'!$B$51:$AC$51</f>
            </numRef>
          </cat>
          <val>
            <numRef>
              <f>'OGA018'!$B$52:$AC$52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'OGA018'!$B$51:$AC$51</f>
            </numRef>
          </cat>
          <val>
            <numRef>
              <f>'OGA018'!$B$53:$AC$53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'OGA018'!$B$51:$AC$51</f>
            </numRef>
          </cat>
          <val>
            <numRef>
              <f>'OGA018'!$B$54:$AC$54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'OGA018'!$B$51:$AC$51</f>
            </numRef>
          </cat>
          <val>
            <numRef>
              <f>'OGA018'!$B$55:$AC$55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'OGA018'!$B$51:$AC$51</f>
            </numRef>
          </cat>
          <val>
            <numRef>
              <f>'OGA018'!$B$56:$AC$56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'OGA019'!$B$51:$AC$51</f>
            </numRef>
          </cat>
          <val>
            <numRef>
              <f>'OGA019'!$B$52:$AC$52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'OGA019'!$B$51:$AC$51</f>
            </numRef>
          </cat>
          <val>
            <numRef>
              <f>'OGA019'!$B$53:$AC$53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'OGA019'!$B$51:$AC$51</f>
            </numRef>
          </cat>
          <val>
            <numRef>
              <f>'OGA019'!$B$54:$AC$54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'OGA019'!$B$51:$AC$51</f>
            </numRef>
          </cat>
          <val>
            <numRef>
              <f>'OGA019'!$B$55:$AC$55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'OGA019'!$B$51:$AC$51</f>
            </numRef>
          </cat>
          <val>
            <numRef>
              <f>'OGA019'!$B$56:$AC$56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'OGA020'!$B$51:$AC$51</f>
            </numRef>
          </cat>
          <val>
            <numRef>
              <f>'OGA020'!$B$52:$AC$52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'OGA020'!$B$51:$AC$51</f>
            </numRef>
          </cat>
          <val>
            <numRef>
              <f>'OGA020'!$B$53:$AC$53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'OGA020'!$B$51:$AC$51</f>
            </numRef>
          </cat>
          <val>
            <numRef>
              <f>'OGA020'!$B$54:$AC$54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'OGA020'!$B$51:$AC$51</f>
            </numRef>
          </cat>
          <val>
            <numRef>
              <f>'OGA020'!$B$55:$AC$55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'OGA020'!$B$51:$AC$51</f>
            </numRef>
          </cat>
          <val>
            <numRef>
              <f>'OGA020'!$B$56:$AC$56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'OGA021'!$B$51:$AC$51</f>
            </numRef>
          </cat>
          <val>
            <numRef>
              <f>'OGA021'!$B$52:$AC$52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'OGA021'!$B$51:$AC$51</f>
            </numRef>
          </cat>
          <val>
            <numRef>
              <f>'OGA021'!$B$53:$AC$53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'OGA021'!$B$51:$AC$51</f>
            </numRef>
          </cat>
          <val>
            <numRef>
              <f>'OGA021'!$B$54:$AC$54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'OGA021'!$B$51:$AC$51</f>
            </numRef>
          </cat>
          <val>
            <numRef>
              <f>'OGA021'!$B$55:$AC$55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'OGA021'!$B$51:$AC$51</f>
            </numRef>
          </cat>
          <val>
            <numRef>
              <f>'OGA021'!$B$56:$AC$56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'OGA022'!$B$51:$AC$51</f>
            </numRef>
          </cat>
          <val>
            <numRef>
              <f>'OGA022'!$B$52:$AC$52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'OGA022'!$B$51:$AC$51</f>
            </numRef>
          </cat>
          <val>
            <numRef>
              <f>'OGA022'!$B$53:$AC$53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'OGA022'!$B$51:$AC$51</f>
            </numRef>
          </cat>
          <val>
            <numRef>
              <f>'OGA022'!$B$54:$AC$54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'OGA022'!$B$51:$AC$51</f>
            </numRef>
          </cat>
          <val>
            <numRef>
              <f>'OGA022'!$B$55:$AC$55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'OGA022'!$B$51:$AC$51</f>
            </numRef>
          </cat>
          <val>
            <numRef>
              <f>'OGA022'!$B$56:$AC$56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'OGA023'!$B$51:$AC$51</f>
            </numRef>
          </cat>
          <val>
            <numRef>
              <f>'OGA023'!$B$52:$AC$52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'OGA023'!$B$51:$AC$51</f>
            </numRef>
          </cat>
          <val>
            <numRef>
              <f>'OGA023'!$B$53:$AC$53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'OGA023'!$B$51:$AC$51</f>
            </numRef>
          </cat>
          <val>
            <numRef>
              <f>'OGA023'!$B$54:$AC$54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'OGA023'!$B$51:$AC$51</f>
            </numRef>
          </cat>
          <val>
            <numRef>
              <f>'OGA023'!$B$55:$AC$55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'OGA023'!$B$51:$AC$51</f>
            </numRef>
          </cat>
          <val>
            <numRef>
              <f>'OGA023'!$B$56:$AC$56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'OGA024'!$B$51:$AC$51</f>
            </numRef>
          </cat>
          <val>
            <numRef>
              <f>'OGA024'!$B$52:$AC$52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'OGA024'!$B$51:$AC$51</f>
            </numRef>
          </cat>
          <val>
            <numRef>
              <f>'OGA024'!$B$53:$AC$53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'OGA024'!$B$51:$AC$51</f>
            </numRef>
          </cat>
          <val>
            <numRef>
              <f>'OGA024'!$B$54:$AC$54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'OGA024'!$B$51:$AC$51</f>
            </numRef>
          </cat>
          <val>
            <numRef>
              <f>'OGA024'!$B$55:$AC$55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'OGA024'!$B$51:$AC$51</f>
            </numRef>
          </cat>
          <val>
            <numRef>
              <f>'OGA024'!$B$56:$AC$56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'OGA025'!$B$51:$AC$51</f>
            </numRef>
          </cat>
          <val>
            <numRef>
              <f>'OGA025'!$B$52:$AC$52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'OGA025'!$B$51:$AC$51</f>
            </numRef>
          </cat>
          <val>
            <numRef>
              <f>'OGA025'!$B$53:$AC$53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'OGA025'!$B$51:$AC$51</f>
            </numRef>
          </cat>
          <val>
            <numRef>
              <f>'OGA025'!$B$54:$AC$54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'OGA025'!$B$51:$AC$51</f>
            </numRef>
          </cat>
          <val>
            <numRef>
              <f>'OGA025'!$B$55:$AC$55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'OGA025'!$B$51:$AC$51</f>
            </numRef>
          </cat>
          <val>
            <numRef>
              <f>'OGA025'!$B$56:$AC$56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'OGA026'!$B$51:$AC$51</f>
            </numRef>
          </cat>
          <val>
            <numRef>
              <f>'OGA026'!$B$52:$AC$52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'OGA026'!$B$51:$AC$51</f>
            </numRef>
          </cat>
          <val>
            <numRef>
              <f>'OGA026'!$B$53:$AC$53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'OGA026'!$B$51:$AC$51</f>
            </numRef>
          </cat>
          <val>
            <numRef>
              <f>'OGA026'!$B$54:$AC$54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'OGA026'!$B$51:$AC$51</f>
            </numRef>
          </cat>
          <val>
            <numRef>
              <f>'OGA026'!$B$55:$AC$55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'OGA026'!$B$51:$AC$51</f>
            </numRef>
          </cat>
          <val>
            <numRef>
              <f>'OGA026'!$B$56:$AC$56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'OGA027'!$B$51:$AC$51</f>
            </numRef>
          </cat>
          <val>
            <numRef>
              <f>'OGA027'!$B$52:$AC$52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'OGA027'!$B$51:$AC$51</f>
            </numRef>
          </cat>
          <val>
            <numRef>
              <f>'OGA027'!$B$53:$AC$53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'OGA027'!$B$51:$AC$51</f>
            </numRef>
          </cat>
          <val>
            <numRef>
              <f>'OGA027'!$B$54:$AC$54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'OGA027'!$B$51:$AC$51</f>
            </numRef>
          </cat>
          <val>
            <numRef>
              <f>'OGA027'!$B$55:$AC$55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'OGA027'!$B$51:$AC$51</f>
            </numRef>
          </cat>
          <val>
            <numRef>
              <f>'OGA027'!$B$56:$AC$56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'OGA028'!$B$51:$AC$51</f>
            </numRef>
          </cat>
          <val>
            <numRef>
              <f>'OGA028'!$B$52:$AC$52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'OGA028'!$B$51:$AC$51</f>
            </numRef>
          </cat>
          <val>
            <numRef>
              <f>'OGA028'!$B$53:$AC$53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'OGA028'!$B$51:$AC$51</f>
            </numRef>
          </cat>
          <val>
            <numRef>
              <f>'OGA028'!$B$54:$AC$54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'OGA028'!$B$51:$AC$51</f>
            </numRef>
          </cat>
          <val>
            <numRef>
              <f>'OGA028'!$B$55:$AC$55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'OGA028'!$B$51:$AC$51</f>
            </numRef>
          </cat>
          <val>
            <numRef>
              <f>'OGA028'!$B$56:$AC$56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'OGA029'!$B$51:$AC$51</f>
            </numRef>
          </cat>
          <val>
            <numRef>
              <f>'OGA029'!$B$52:$AC$52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'OGA029'!$B$51:$AC$51</f>
            </numRef>
          </cat>
          <val>
            <numRef>
              <f>'OGA029'!$B$53:$AC$53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'OGA029'!$B$51:$AC$51</f>
            </numRef>
          </cat>
          <val>
            <numRef>
              <f>'OGA029'!$B$54:$AC$54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'OGA029'!$B$51:$AC$51</f>
            </numRef>
          </cat>
          <val>
            <numRef>
              <f>'OGA029'!$B$55:$AC$55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'OGA029'!$B$51:$AC$51</f>
            </numRef>
          </cat>
          <val>
            <numRef>
              <f>'OGA029'!$B$56:$AC$56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'OGA030'!$B$51:$AC$51</f>
            </numRef>
          </cat>
          <val>
            <numRef>
              <f>'OGA030'!$B$52:$AC$52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'OGA030'!$B$51:$AC$51</f>
            </numRef>
          </cat>
          <val>
            <numRef>
              <f>'OGA030'!$B$53:$AC$53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'OGA030'!$B$51:$AC$51</f>
            </numRef>
          </cat>
          <val>
            <numRef>
              <f>'OGA030'!$B$54:$AC$54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'OGA030'!$B$51:$AC$51</f>
            </numRef>
          </cat>
          <val>
            <numRef>
              <f>'OGA030'!$B$55:$AC$55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'OGA030'!$B$51:$AC$51</f>
            </numRef>
          </cat>
          <val>
            <numRef>
              <f>'OGA030'!$B$56:$AC$56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'OGA031'!$B$51:$AC$51</f>
            </numRef>
          </cat>
          <val>
            <numRef>
              <f>'OGA031'!$B$52:$AC$52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'OGA031'!$B$51:$AC$51</f>
            </numRef>
          </cat>
          <val>
            <numRef>
              <f>'OGA031'!$B$53:$AC$53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'OGA031'!$B$51:$AC$51</f>
            </numRef>
          </cat>
          <val>
            <numRef>
              <f>'OGA031'!$B$54:$AC$54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'OGA031'!$B$51:$AC$51</f>
            </numRef>
          </cat>
          <val>
            <numRef>
              <f>'OGA031'!$B$55:$AC$55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'OGA031'!$B$51:$AC$51</f>
            </numRef>
          </cat>
          <val>
            <numRef>
              <f>'OGA031'!$B$56:$AC$56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'OGA032'!$B$51:$AC$51</f>
            </numRef>
          </cat>
          <val>
            <numRef>
              <f>'OGA032'!$B$52:$AC$52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'OGA032'!$B$51:$AC$51</f>
            </numRef>
          </cat>
          <val>
            <numRef>
              <f>'OGA032'!$B$53:$AC$53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'OGA032'!$B$51:$AC$51</f>
            </numRef>
          </cat>
          <val>
            <numRef>
              <f>'OGA032'!$B$54:$AC$54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'OGA032'!$B$51:$AC$51</f>
            </numRef>
          </cat>
          <val>
            <numRef>
              <f>'OGA032'!$B$55:$AC$55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'OGA032'!$B$51:$AC$51</f>
            </numRef>
          </cat>
          <val>
            <numRef>
              <f>'OGA032'!$B$56:$AC$56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'OGA033'!$B$51:$AC$51</f>
            </numRef>
          </cat>
          <val>
            <numRef>
              <f>'OGA033'!$B$52:$AC$52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'OGA033'!$B$51:$AC$51</f>
            </numRef>
          </cat>
          <val>
            <numRef>
              <f>'OGA033'!$B$53:$AC$53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'OGA033'!$B$51:$AC$51</f>
            </numRef>
          </cat>
          <val>
            <numRef>
              <f>'OGA033'!$B$54:$AC$54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'OGA033'!$B$51:$AC$51</f>
            </numRef>
          </cat>
          <val>
            <numRef>
              <f>'OGA033'!$B$55:$AC$55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'OGA033'!$B$51:$AC$51</f>
            </numRef>
          </cat>
          <val>
            <numRef>
              <f>'OGA033'!$B$56:$AC$56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'OGA034'!$B$51:$AC$51</f>
            </numRef>
          </cat>
          <val>
            <numRef>
              <f>'OGA034'!$B$52:$AC$52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'OGA034'!$B$51:$AC$51</f>
            </numRef>
          </cat>
          <val>
            <numRef>
              <f>'OGA034'!$B$53:$AC$53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'OGA034'!$B$51:$AC$51</f>
            </numRef>
          </cat>
          <val>
            <numRef>
              <f>'OGA034'!$B$54:$AC$54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'OGA034'!$B$51:$AC$51</f>
            </numRef>
          </cat>
          <val>
            <numRef>
              <f>'OGA034'!$B$55:$AC$55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'OGA034'!$B$51:$AC$51</f>
            </numRef>
          </cat>
          <val>
            <numRef>
              <f>'OGA034'!$B$56:$AC$56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'OGA035'!$B$51:$AC$51</f>
            </numRef>
          </cat>
          <val>
            <numRef>
              <f>'OGA035'!$B$52:$AC$52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'OGA035'!$B$51:$AC$51</f>
            </numRef>
          </cat>
          <val>
            <numRef>
              <f>'OGA035'!$B$53:$AC$53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'OGA035'!$B$51:$AC$51</f>
            </numRef>
          </cat>
          <val>
            <numRef>
              <f>'OGA035'!$B$54:$AC$54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'OGA035'!$B$51:$AC$51</f>
            </numRef>
          </cat>
          <val>
            <numRef>
              <f>'OGA035'!$B$55:$AC$55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'OGA035'!$B$51:$AC$51</f>
            </numRef>
          </cat>
          <val>
            <numRef>
              <f>'OGA035'!$B$56:$AC$56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'OGA036'!$B$51:$AC$51</f>
            </numRef>
          </cat>
          <val>
            <numRef>
              <f>'OGA036'!$B$52:$AC$52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'OGA036'!$B$51:$AC$51</f>
            </numRef>
          </cat>
          <val>
            <numRef>
              <f>'OGA036'!$B$53:$AC$53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'OGA036'!$B$51:$AC$51</f>
            </numRef>
          </cat>
          <val>
            <numRef>
              <f>'OGA036'!$B$54:$AC$54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'OGA036'!$B$51:$AC$51</f>
            </numRef>
          </cat>
          <val>
            <numRef>
              <f>'OGA036'!$B$55:$AC$55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'OGA036'!$B$51:$AC$51</f>
            </numRef>
          </cat>
          <val>
            <numRef>
              <f>'OGA036'!$B$56:$AC$56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'OGA037'!$B$51:$AC$51</f>
            </numRef>
          </cat>
          <val>
            <numRef>
              <f>'OGA037'!$B$52:$AC$52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'OGA037'!$B$51:$AC$51</f>
            </numRef>
          </cat>
          <val>
            <numRef>
              <f>'OGA037'!$B$53:$AC$53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'OGA037'!$B$51:$AC$51</f>
            </numRef>
          </cat>
          <val>
            <numRef>
              <f>'OGA037'!$B$54:$AC$54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'OGA037'!$B$51:$AC$51</f>
            </numRef>
          </cat>
          <val>
            <numRef>
              <f>'OGA037'!$B$55:$AC$55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'OGA037'!$B$51:$AC$51</f>
            </numRef>
          </cat>
          <val>
            <numRef>
              <f>'OGA037'!$B$56:$AC$56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'OGA038'!$B$51:$AC$51</f>
            </numRef>
          </cat>
          <val>
            <numRef>
              <f>'OGA038'!$B$52:$AC$52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'OGA038'!$B$51:$AC$51</f>
            </numRef>
          </cat>
          <val>
            <numRef>
              <f>'OGA038'!$B$53:$AC$53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'OGA038'!$B$51:$AC$51</f>
            </numRef>
          </cat>
          <val>
            <numRef>
              <f>'OGA038'!$B$54:$AC$54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'OGA038'!$B$51:$AC$51</f>
            </numRef>
          </cat>
          <val>
            <numRef>
              <f>'OGA038'!$B$55:$AC$55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'OGA038'!$B$51:$AC$51</f>
            </numRef>
          </cat>
          <val>
            <numRef>
              <f>'OGA038'!$B$56:$AC$56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'OGA039'!$B$51:$AC$51</f>
            </numRef>
          </cat>
          <val>
            <numRef>
              <f>'OGA039'!$B$52:$AC$52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'OGA039'!$B$51:$AC$51</f>
            </numRef>
          </cat>
          <val>
            <numRef>
              <f>'OGA039'!$B$53:$AC$53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'OGA039'!$B$51:$AC$51</f>
            </numRef>
          </cat>
          <val>
            <numRef>
              <f>'OGA039'!$B$54:$AC$54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'OGA039'!$B$51:$AC$51</f>
            </numRef>
          </cat>
          <val>
            <numRef>
              <f>'OGA039'!$B$55:$AC$55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'OGA039'!$B$51:$AC$51</f>
            </numRef>
          </cat>
          <val>
            <numRef>
              <f>'OGA039'!$B$56:$AC$56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'OGA040'!$B$51:$AC$51</f>
            </numRef>
          </cat>
          <val>
            <numRef>
              <f>'OGA040'!$B$52:$AC$52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'OGA040'!$B$51:$AC$51</f>
            </numRef>
          </cat>
          <val>
            <numRef>
              <f>'OGA040'!$B$53:$AC$53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'OGA040'!$B$51:$AC$51</f>
            </numRef>
          </cat>
          <val>
            <numRef>
              <f>'OGA040'!$B$54:$AC$54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'OGA040'!$B$51:$AC$51</f>
            </numRef>
          </cat>
          <val>
            <numRef>
              <f>'OGA040'!$B$55:$AC$55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'OGA040'!$B$51:$AC$51</f>
            </numRef>
          </cat>
          <val>
            <numRef>
              <f>'OGA040'!$B$56:$AC$56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'OGA041'!$B$51:$AC$51</f>
            </numRef>
          </cat>
          <val>
            <numRef>
              <f>'OGA041'!$B$52:$AC$52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'OGA041'!$B$51:$AC$51</f>
            </numRef>
          </cat>
          <val>
            <numRef>
              <f>'OGA041'!$B$53:$AC$53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'OGA041'!$B$51:$AC$51</f>
            </numRef>
          </cat>
          <val>
            <numRef>
              <f>'OGA041'!$B$54:$AC$54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'OGA041'!$B$51:$AC$51</f>
            </numRef>
          </cat>
          <val>
            <numRef>
              <f>'OGA041'!$B$55:$AC$55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'OGA041'!$B$51:$AC$51</f>
            </numRef>
          </cat>
          <val>
            <numRef>
              <f>'OGA041'!$B$56:$AC$56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'OGA042'!$B$51:$AC$51</f>
            </numRef>
          </cat>
          <val>
            <numRef>
              <f>'OGA042'!$B$52:$AC$52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'OGA042'!$B$51:$AC$51</f>
            </numRef>
          </cat>
          <val>
            <numRef>
              <f>'OGA042'!$B$53:$AC$53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'OGA042'!$B$51:$AC$51</f>
            </numRef>
          </cat>
          <val>
            <numRef>
              <f>'OGA042'!$B$54:$AC$54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'OGA042'!$B$51:$AC$51</f>
            </numRef>
          </cat>
          <val>
            <numRef>
              <f>'OGA042'!$B$55:$AC$55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'OGA042'!$B$51:$AC$51</f>
            </numRef>
          </cat>
          <val>
            <numRef>
              <f>'OGA042'!$B$56:$AC$56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'OGA043'!$B$51:$AC$51</f>
            </numRef>
          </cat>
          <val>
            <numRef>
              <f>'OGA043'!$B$52:$AC$52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'OGA043'!$B$51:$AC$51</f>
            </numRef>
          </cat>
          <val>
            <numRef>
              <f>'OGA043'!$B$53:$AC$53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'OGA043'!$B$51:$AC$51</f>
            </numRef>
          </cat>
          <val>
            <numRef>
              <f>'OGA043'!$B$54:$AC$54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'OGA043'!$B$51:$AC$51</f>
            </numRef>
          </cat>
          <val>
            <numRef>
              <f>'OGA043'!$B$55:$AC$55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'OGA043'!$B$51:$AC$51</f>
            </numRef>
          </cat>
          <val>
            <numRef>
              <f>'OGA043'!$B$56:$AC$56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'OGA044'!$B$51:$AC$51</f>
            </numRef>
          </cat>
          <val>
            <numRef>
              <f>'OGA044'!$B$52:$AC$52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'OGA044'!$B$51:$AC$51</f>
            </numRef>
          </cat>
          <val>
            <numRef>
              <f>'OGA044'!$B$53:$AC$53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'OGA044'!$B$51:$AC$51</f>
            </numRef>
          </cat>
          <val>
            <numRef>
              <f>'OGA044'!$B$54:$AC$54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'OGA044'!$B$51:$AC$51</f>
            </numRef>
          </cat>
          <val>
            <numRef>
              <f>'OGA044'!$B$55:$AC$55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'OGA044'!$B$51:$AC$51</f>
            </numRef>
          </cat>
          <val>
            <numRef>
              <f>'OGA044'!$B$56:$AC$56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'OGA045'!$B$51:$AC$51</f>
            </numRef>
          </cat>
          <val>
            <numRef>
              <f>'OGA045'!$B$52:$AC$52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'OGA045'!$B$51:$AC$51</f>
            </numRef>
          </cat>
          <val>
            <numRef>
              <f>'OGA045'!$B$53:$AC$53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'OGA045'!$B$51:$AC$51</f>
            </numRef>
          </cat>
          <val>
            <numRef>
              <f>'OGA045'!$B$54:$AC$54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'OGA045'!$B$51:$AC$51</f>
            </numRef>
          </cat>
          <val>
            <numRef>
              <f>'OGA045'!$B$55:$AC$55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'OGA045'!$B$51:$AC$51</f>
            </numRef>
          </cat>
          <val>
            <numRef>
              <f>'OGA045'!$B$56:$AC$56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'OGA046'!$B$51:$AC$51</f>
            </numRef>
          </cat>
          <val>
            <numRef>
              <f>'OGA046'!$B$52:$AC$52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'OGA046'!$B$51:$AC$51</f>
            </numRef>
          </cat>
          <val>
            <numRef>
              <f>'OGA046'!$B$53:$AC$53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'OGA046'!$B$51:$AC$51</f>
            </numRef>
          </cat>
          <val>
            <numRef>
              <f>'OGA046'!$B$54:$AC$54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'OGA046'!$B$51:$AC$51</f>
            </numRef>
          </cat>
          <val>
            <numRef>
              <f>'OGA046'!$B$55:$AC$55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'OGA046'!$B$51:$AC$51</f>
            </numRef>
          </cat>
          <val>
            <numRef>
              <f>'OGA046'!$B$56:$AC$56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16.xml" Id="rId1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18.xml" Id="rId1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19.xml" Id="rId1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20.xml" Id="rId1" /></Relationships>
</file>

<file path=xl/drawings/_rels/drawing21.xml.rels><Relationships xmlns="http://schemas.openxmlformats.org/package/2006/relationships"><Relationship Type="http://schemas.openxmlformats.org/officeDocument/2006/relationships/chart" Target="/xl/charts/chart21.xml" Id="rId1" /></Relationships>
</file>

<file path=xl/drawings/_rels/drawing22.xml.rels><Relationships xmlns="http://schemas.openxmlformats.org/package/2006/relationships"><Relationship Type="http://schemas.openxmlformats.org/officeDocument/2006/relationships/chart" Target="/xl/charts/chart22.xml" Id="rId1" /></Relationships>
</file>

<file path=xl/drawings/_rels/drawing23.xml.rels><Relationships xmlns="http://schemas.openxmlformats.org/package/2006/relationships"><Relationship Type="http://schemas.openxmlformats.org/officeDocument/2006/relationships/chart" Target="/xl/charts/chart23.xml" Id="rId1" /></Relationships>
</file>

<file path=xl/drawings/_rels/drawing24.xml.rels><Relationships xmlns="http://schemas.openxmlformats.org/package/2006/relationships"><Relationship Type="http://schemas.openxmlformats.org/officeDocument/2006/relationships/chart" Target="/xl/charts/chart24.xml" Id="rId1" /></Relationships>
</file>

<file path=xl/drawings/_rels/drawing25.xml.rels><Relationships xmlns="http://schemas.openxmlformats.org/package/2006/relationships"><Relationship Type="http://schemas.openxmlformats.org/officeDocument/2006/relationships/chart" Target="/xl/charts/chart25.xml" Id="rId1" /></Relationships>
</file>

<file path=xl/drawings/_rels/drawing26.xml.rels><Relationships xmlns="http://schemas.openxmlformats.org/package/2006/relationships"><Relationship Type="http://schemas.openxmlformats.org/officeDocument/2006/relationships/chart" Target="/xl/charts/chart26.xml" Id="rId1" /></Relationships>
</file>

<file path=xl/drawings/_rels/drawing27.xml.rels><Relationships xmlns="http://schemas.openxmlformats.org/package/2006/relationships"><Relationship Type="http://schemas.openxmlformats.org/officeDocument/2006/relationships/chart" Target="/xl/charts/chart27.xml" Id="rId1" /></Relationships>
</file>

<file path=xl/drawings/_rels/drawing28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29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_rels/drawing30.xml.rels><Relationships xmlns="http://schemas.openxmlformats.org/package/2006/relationships"><Relationship Type="http://schemas.openxmlformats.org/officeDocument/2006/relationships/chart" Target="/xl/charts/chart30.xml" Id="rId1" /></Relationships>
</file>

<file path=xl/drawings/_rels/drawing31.xml.rels><Relationships xmlns="http://schemas.openxmlformats.org/package/2006/relationships"><Relationship Type="http://schemas.openxmlformats.org/officeDocument/2006/relationships/chart" Target="/xl/charts/chart31.xml" Id="rId1" /></Relationships>
</file>

<file path=xl/drawings/_rels/drawing32.xml.rels><Relationships xmlns="http://schemas.openxmlformats.org/package/2006/relationships"><Relationship Type="http://schemas.openxmlformats.org/officeDocument/2006/relationships/chart" Target="/xl/charts/chart32.xml" Id="rId1" /></Relationships>
</file>

<file path=xl/drawings/_rels/drawing33.xml.rels><Relationships xmlns="http://schemas.openxmlformats.org/package/2006/relationships"><Relationship Type="http://schemas.openxmlformats.org/officeDocument/2006/relationships/chart" Target="/xl/charts/chart33.xml" Id="rId1" /></Relationships>
</file>

<file path=xl/drawings/_rels/drawing34.xml.rels><Relationships xmlns="http://schemas.openxmlformats.org/package/2006/relationships"><Relationship Type="http://schemas.openxmlformats.org/officeDocument/2006/relationships/chart" Target="/xl/charts/chart34.xml" Id="rId1" /></Relationships>
</file>

<file path=xl/drawings/_rels/drawing35.xml.rels><Relationships xmlns="http://schemas.openxmlformats.org/package/2006/relationships"><Relationship Type="http://schemas.openxmlformats.org/officeDocument/2006/relationships/chart" Target="/xl/charts/chart35.xml" Id="rId1" /></Relationships>
</file>

<file path=xl/drawings/_rels/drawing36.xml.rels><Relationships xmlns="http://schemas.openxmlformats.org/package/2006/relationships"><Relationship Type="http://schemas.openxmlformats.org/officeDocument/2006/relationships/chart" Target="/xl/charts/chart36.xml" Id="rId1" /></Relationships>
</file>

<file path=xl/drawings/_rels/drawing37.xml.rels><Relationships xmlns="http://schemas.openxmlformats.org/package/2006/relationships"><Relationship Type="http://schemas.openxmlformats.org/officeDocument/2006/relationships/chart" Target="/xl/charts/chart37.xml" Id="rId1" /></Relationships>
</file>

<file path=xl/drawings/_rels/drawing38.xml.rels><Relationships xmlns="http://schemas.openxmlformats.org/package/2006/relationships"><Relationship Type="http://schemas.openxmlformats.org/officeDocument/2006/relationships/chart" Target="/xl/charts/chart38.xml" Id="rId1" /></Relationships>
</file>

<file path=xl/drawings/_rels/drawing39.xml.rels><Relationships xmlns="http://schemas.openxmlformats.org/package/2006/relationships"><Relationship Type="http://schemas.openxmlformats.org/officeDocument/2006/relationships/chart" Target="/xl/charts/chart39.xml" Id="rId1" /></Relationships>
</file>

<file path=xl/drawings/_rels/drawing40.xml.rels><Relationships xmlns="http://schemas.openxmlformats.org/package/2006/relationships"><Relationship Type="http://schemas.openxmlformats.org/officeDocument/2006/relationships/chart" Target="/xl/charts/chart40.xml" Id="rId1" /></Relationships>
</file>

<file path=xl/drawings/_rels/drawing41.xml.rels><Relationships xmlns="http://schemas.openxmlformats.org/package/2006/relationships"><Relationship Type="http://schemas.openxmlformats.org/officeDocument/2006/relationships/chart" Target="/xl/charts/chart41.xml" Id="rId1" /></Relationships>
</file>

<file path=xl/drawings/_rels/drawing42.xml.rels><Relationships xmlns="http://schemas.openxmlformats.org/package/2006/relationships"><Relationship Type="http://schemas.openxmlformats.org/officeDocument/2006/relationships/chart" Target="/xl/charts/chart42.xml" Id="rId1" /></Relationships>
</file>

<file path=xl/drawings/_rels/drawing43.xml.rels><Relationships xmlns="http://schemas.openxmlformats.org/package/2006/relationships"><Relationship Type="http://schemas.openxmlformats.org/officeDocument/2006/relationships/chart" Target="/xl/charts/chart43.xml" Id="rId1" /></Relationships>
</file>

<file path=xl/drawings/_rels/drawing44.xml.rels><Relationships xmlns="http://schemas.openxmlformats.org/package/2006/relationships"><Relationship Type="http://schemas.openxmlformats.org/officeDocument/2006/relationships/chart" Target="/xl/charts/chart44.xml" Id="rId1" /></Relationships>
</file>

<file path=xl/drawings/_rels/drawing45.xml.rels><Relationships xmlns="http://schemas.openxmlformats.org/package/2006/relationships"><Relationship Type="http://schemas.openxmlformats.org/officeDocument/2006/relationships/chart" Target="/xl/charts/chart45.xml" Id="rId1" /></Relationships>
</file>

<file path=xl/drawings/_rels/drawing46.xml.rels><Relationships xmlns="http://schemas.openxmlformats.org/package/2006/relationships"><Relationship Type="http://schemas.openxmlformats.org/officeDocument/2006/relationships/chart" Target="/xl/charts/chart46.xml" Id="rId1" /></Relationships>
</file>

<file path=xl/drawings/_rels/drawing47.xml.rels><Relationships xmlns="http://schemas.openxmlformats.org/package/2006/relationships"><Relationship Type="http://schemas.openxmlformats.org/officeDocument/2006/relationships/chart" Target="/xl/charts/chart4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2.xml" Id="rId1" 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23.xml" Id="rId1" 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24.xml" Id="rId1" 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25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26.xml" Id="rId1" 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27.xml" Id="rId1" 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8.xml" Id="rId1" 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9.xml" Id="rId1" 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30.xml" Id="rId1" 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31.xml" Id="rId1" 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32.xml" Id="rId1" /></Relationships>
</file>

<file path=xl/worksheets/_rels/sheet33.xml.rels><Relationships xmlns="http://schemas.openxmlformats.org/package/2006/relationships"><Relationship Type="http://schemas.openxmlformats.org/officeDocument/2006/relationships/drawing" Target="/xl/drawings/drawing33.xml" Id="rId1" /></Relationships>
</file>

<file path=xl/worksheets/_rels/sheet34.xml.rels><Relationships xmlns="http://schemas.openxmlformats.org/package/2006/relationships"><Relationship Type="http://schemas.openxmlformats.org/officeDocument/2006/relationships/drawing" Target="/xl/drawings/drawing34.xml" Id="rId1" /></Relationships>
</file>

<file path=xl/worksheets/_rels/sheet35.xml.rels><Relationships xmlns="http://schemas.openxmlformats.org/package/2006/relationships"><Relationship Type="http://schemas.openxmlformats.org/officeDocument/2006/relationships/drawing" Target="/xl/drawings/drawing35.xml" Id="rId1" /></Relationships>
</file>

<file path=xl/worksheets/_rels/sheet36.xml.rels><Relationships xmlns="http://schemas.openxmlformats.org/package/2006/relationships"><Relationship Type="http://schemas.openxmlformats.org/officeDocument/2006/relationships/drawing" Target="/xl/drawings/drawing36.xml" Id="rId1" /></Relationships>
</file>

<file path=xl/worksheets/_rels/sheet37.xml.rels><Relationships xmlns="http://schemas.openxmlformats.org/package/2006/relationships"><Relationship Type="http://schemas.openxmlformats.org/officeDocument/2006/relationships/drawing" Target="/xl/drawings/drawing37.xml" Id="rId1" /></Relationships>
</file>

<file path=xl/worksheets/_rels/sheet38.xml.rels><Relationships xmlns="http://schemas.openxmlformats.org/package/2006/relationships"><Relationship Type="http://schemas.openxmlformats.org/officeDocument/2006/relationships/drawing" Target="/xl/drawings/drawing38.xml" Id="rId1" /></Relationships>
</file>

<file path=xl/worksheets/_rels/sheet39.xml.rels><Relationships xmlns="http://schemas.openxmlformats.org/package/2006/relationships"><Relationship Type="http://schemas.openxmlformats.org/officeDocument/2006/relationships/drawing" Target="/xl/drawings/drawing39.xml" Id="rId1" /></Relationships>
</file>

<file path=xl/worksheets/_rels/sheet40.xml.rels><Relationships xmlns="http://schemas.openxmlformats.org/package/2006/relationships"><Relationship Type="http://schemas.openxmlformats.org/officeDocument/2006/relationships/drawing" Target="/xl/drawings/drawing40.xml" Id="rId1" /></Relationships>
</file>

<file path=xl/worksheets/_rels/sheet41.xml.rels><Relationships xmlns="http://schemas.openxmlformats.org/package/2006/relationships"><Relationship Type="http://schemas.openxmlformats.org/officeDocument/2006/relationships/drawing" Target="/xl/drawings/drawing41.xml" Id="rId1" /></Relationships>
</file>

<file path=xl/worksheets/_rels/sheet42.xml.rels><Relationships xmlns="http://schemas.openxmlformats.org/package/2006/relationships"><Relationship Type="http://schemas.openxmlformats.org/officeDocument/2006/relationships/drawing" Target="/xl/drawings/drawing42.xml" Id="rId1" /></Relationships>
</file>

<file path=xl/worksheets/_rels/sheet43.xml.rels><Relationships xmlns="http://schemas.openxmlformats.org/package/2006/relationships"><Relationship Type="http://schemas.openxmlformats.org/officeDocument/2006/relationships/drawing" Target="/xl/drawings/drawing43.xml" Id="rId1" /></Relationships>
</file>

<file path=xl/worksheets/_rels/sheet44.xml.rels><Relationships xmlns="http://schemas.openxmlformats.org/package/2006/relationships"><Relationship Type="http://schemas.openxmlformats.org/officeDocument/2006/relationships/drawing" Target="/xl/drawings/drawing44.xml" Id="rId1" /></Relationships>
</file>

<file path=xl/worksheets/_rels/sheet45.xml.rels><Relationships xmlns="http://schemas.openxmlformats.org/package/2006/relationships"><Relationship Type="http://schemas.openxmlformats.org/officeDocument/2006/relationships/drawing" Target="/xl/drawings/drawing45.xml" Id="rId1" /></Relationships>
</file>

<file path=xl/worksheets/_rels/sheet46.xml.rels><Relationships xmlns="http://schemas.openxmlformats.org/package/2006/relationships"><Relationship Type="http://schemas.openxmlformats.org/officeDocument/2006/relationships/drawing" Target="/xl/drawings/drawing46.xml" Id="rId1" /></Relationships>
</file>

<file path=xl/worksheets/_rels/sheet47.xml.rels><Relationships xmlns="http://schemas.openxmlformats.org/package/2006/relationships"><Relationship Type="http://schemas.openxmlformats.org/officeDocument/2006/relationships/drawing" Target="/xl/drawings/drawing4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WFD</t>
        </is>
      </c>
    </row>
    <row r="3">
      <c r="A3" s="1" t="inlineStr">
        <is>
          <t>SEQUENCE</t>
        </is>
      </c>
      <c r="B3" t="inlineStr">
        <is>
          <t>EWD014</t>
        </is>
      </c>
    </row>
    <row r="4">
      <c r="A4" s="1" t="inlineStr">
        <is>
          <t>ROLLUP #</t>
        </is>
      </c>
      <c r="B4" t="inlineStr">
        <is>
          <t>850002</t>
        </is>
      </c>
    </row>
    <row r="5">
      <c r="A5" s="1" t="inlineStr">
        <is>
          <t>PROJECT NAME</t>
        </is>
      </c>
      <c r="B5" t="inlineStr">
        <is>
          <t>Campbell Funded by Xilinx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EWD-Non Gov</t>
        </is>
      </c>
    </row>
    <row r="8">
      <c r="A8" s="1" t="inlineStr">
        <is>
          <t>SERVICE</t>
        </is>
      </c>
      <c r="B8" t="inlineStr">
        <is>
          <t>State or Local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AE18" s="10">
        <f>SUM(C18:AD18)</f>
        <v/>
      </c>
    </row>
    <row r="19">
      <c r="B19" t="inlineStr">
        <is>
          <t>Fringe 5990</t>
        </is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9607.59+C30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OGA</t>
        </is>
      </c>
    </row>
    <row r="3">
      <c r="A3" s="1" t="inlineStr">
        <is>
          <t>SEQUENCE</t>
        </is>
      </c>
      <c r="B3" t="inlineStr">
        <is>
          <t>OGA001</t>
        </is>
      </c>
    </row>
    <row r="4">
      <c r="A4" s="1" t="inlineStr">
        <is>
          <t>ROLLUP #</t>
        </is>
      </c>
      <c r="B4" t="inlineStr">
        <is>
          <t>2001</t>
        </is>
      </c>
    </row>
    <row r="5">
      <c r="A5" s="1" t="inlineStr">
        <is>
          <t>PROJECT NAME</t>
        </is>
      </c>
      <c r="B5" t="inlineStr">
        <is>
          <t>Wearable Sensors for Multi Domain Platoon Operations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OGA-Tech Prime</t>
        </is>
      </c>
    </row>
    <row r="8">
      <c r="A8" s="1" t="inlineStr">
        <is>
          <t>SERVICE</t>
        </is>
      </c>
      <c r="B8" t="inlineStr">
        <is>
          <t>Other Gov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J18" s="2" t="n">
        <v>178257.43</v>
      </c>
      <c r="N18" s="2" t="n">
        <v>162618.93</v>
      </c>
      <c r="O18" s="2" t="n">
        <v>33966.2</v>
      </c>
      <c r="P18" s="2" t="n">
        <v>32139.15</v>
      </c>
      <c r="Q18" s="2" t="n">
        <v>7245.29</v>
      </c>
      <c r="R18" s="2" t="n">
        <v>31329.97</v>
      </c>
      <c r="S18" s="2" t="n">
        <v>88151.39999999999</v>
      </c>
      <c r="T18" s="2" t="n">
        <v>80557.94</v>
      </c>
      <c r="U18" s="2" t="n">
        <v>12493.98</v>
      </c>
      <c r="V18" s="2" t="n">
        <v>18615.22</v>
      </c>
      <c r="W18" s="2" t="n">
        <v>57233.98</v>
      </c>
      <c r="X18" s="2" t="n">
        <v>40240.44</v>
      </c>
      <c r="Y18" s="2" t="n">
        <v>19939.12</v>
      </c>
      <c r="Z18" s="2" t="n">
        <v>11861.25</v>
      </c>
      <c r="AE18" s="10">
        <f>SUM(C18:AD18)</f>
        <v/>
      </c>
    </row>
    <row r="19">
      <c r="B19" t="inlineStr">
        <is>
          <t>Fringe 5990</t>
        </is>
      </c>
      <c r="J19" s="2" t="n">
        <v>70358.21000000001</v>
      </c>
      <c r="N19" s="2" t="n">
        <v>69796.03999999999</v>
      </c>
      <c r="O19" s="2" t="n">
        <v>15379.9</v>
      </c>
      <c r="P19" s="2" t="n">
        <v>14552.6</v>
      </c>
      <c r="Q19" s="2" t="n">
        <v>3280.65</v>
      </c>
      <c r="R19" s="2" t="n">
        <v>14186.22</v>
      </c>
      <c r="S19" s="2" t="n">
        <v>39914.96</v>
      </c>
      <c r="T19" s="2" t="n">
        <v>41234.26</v>
      </c>
      <c r="U19" s="2" t="n">
        <v>6009.61</v>
      </c>
      <c r="V19" s="2" t="n">
        <v>8953.92</v>
      </c>
      <c r="W19" s="2" t="n">
        <v>28765.79</v>
      </c>
      <c r="X19" s="2" t="n">
        <v>20224.84</v>
      </c>
      <c r="Y19" s="2" t="n">
        <v>10021.4</v>
      </c>
      <c r="Z19" s="2" t="n">
        <v>5961.46</v>
      </c>
      <c r="AE19" s="10">
        <f>SUM(C19:AD19)</f>
        <v/>
      </c>
    </row>
    <row r="20">
      <c r="B20" t="inlineStr">
        <is>
          <t>Travel 5004</t>
        </is>
      </c>
      <c r="N20" s="2" t="n">
        <v>3382.81</v>
      </c>
      <c r="AE20" s="10">
        <f>SUM(C20:AD20)</f>
        <v/>
      </c>
    </row>
    <row r="21">
      <c r="B21" t="inlineStr">
        <is>
          <t>Subcontracting 5005</t>
        </is>
      </c>
      <c r="J21" s="2" t="n">
        <v>146816</v>
      </c>
      <c r="P21" s="2" t="n">
        <v>240000</v>
      </c>
      <c r="Q21" s="2" t="n">
        <v>2452857</v>
      </c>
      <c r="R21" s="2" t="n">
        <v>1285647.41</v>
      </c>
      <c r="S21" s="2" t="n">
        <v>155287.67</v>
      </c>
      <c r="U21" s="2" t="n">
        <v>280000</v>
      </c>
      <c r="V21" s="2" t="n">
        <v>-170000</v>
      </c>
      <c r="Y21" s="2" t="n">
        <v>1096207.94</v>
      </c>
      <c r="Z21" s="2" t="n">
        <v>109504</v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J25" s="2" t="n">
        <v>5695</v>
      </c>
      <c r="N25" s="2" t="n">
        <v>263.2</v>
      </c>
      <c r="P25" s="2" t="n">
        <v>30.62</v>
      </c>
      <c r="S25" s="2" t="n">
        <v>6355.85</v>
      </c>
      <c r="T25" s="2" t="n">
        <v>1205.71</v>
      </c>
      <c r="V25" s="2" t="n">
        <v>172.26</v>
      </c>
      <c r="W25" s="2" t="n">
        <v>133.1</v>
      </c>
      <c r="X25" s="2" t="n">
        <v>186.35</v>
      </c>
      <c r="Y25" s="2" t="n">
        <v>71.18000000000001</v>
      </c>
      <c r="AE25" s="10">
        <f>SUM(C25:AD25)</f>
        <v/>
      </c>
    </row>
    <row r="26">
      <c r="B26" t="inlineStr">
        <is>
          <t>Material 5003</t>
        </is>
      </c>
      <c r="J26" s="2" t="n">
        <v>4422.86</v>
      </c>
      <c r="N26" s="2" t="n">
        <v>834.97</v>
      </c>
      <c r="O26" s="2" t="n">
        <v>1097.8</v>
      </c>
      <c r="P26" s="2" t="n">
        <v>2630.07</v>
      </c>
      <c r="Q26" s="2" t="n">
        <v>1905.74</v>
      </c>
      <c r="R26" s="2" t="n">
        <v>11348.83</v>
      </c>
      <c r="S26" s="2" t="n">
        <v>26849.89</v>
      </c>
      <c r="T26" s="2" t="n">
        <v>6453.51</v>
      </c>
      <c r="V26" s="2" t="n">
        <v>3141.81</v>
      </c>
      <c r="W26" s="2" t="n">
        <v>1965.5</v>
      </c>
      <c r="X26" s="2" t="n">
        <v>1107.44</v>
      </c>
      <c r="AE26" s="10">
        <f>SUM(C26:AD26)</f>
        <v/>
      </c>
    </row>
    <row r="27">
      <c r="B27" t="inlineStr">
        <is>
          <t>Sub K Overhead 5992</t>
        </is>
      </c>
      <c r="P27" s="2" t="n">
        <v>6792</v>
      </c>
      <c r="Q27" s="2" t="n">
        <v>69415.85000000001</v>
      </c>
      <c r="R27" s="2" t="n">
        <v>36383.82</v>
      </c>
      <c r="S27" s="2" t="n">
        <v>4394.64</v>
      </c>
      <c r="T27" s="2" t="n">
        <v>357.16</v>
      </c>
      <c r="U27" s="2" t="n">
        <v>8568</v>
      </c>
      <c r="V27" s="2" t="n">
        <v>-5202</v>
      </c>
      <c r="Y27" s="2" t="n">
        <v>32118.89</v>
      </c>
      <c r="Z27" s="2" t="n">
        <v>3208.47</v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J29" s="2" t="n">
        <v>142639.55</v>
      </c>
      <c r="N29" s="2" t="n">
        <v>305927.42</v>
      </c>
      <c r="O29" s="2" t="n">
        <v>73002.39999999999</v>
      </c>
      <c r="P29" s="2" t="n">
        <v>71422.88</v>
      </c>
      <c r="Q29" s="2" t="n">
        <v>17991.16</v>
      </c>
      <c r="R29" s="2" t="n">
        <v>82295.03999999999</v>
      </c>
      <c r="S29" s="2" t="n">
        <v>233392.99</v>
      </c>
      <c r="T29" s="2" t="n">
        <v>148588.6</v>
      </c>
      <c r="U29" s="2" t="n">
        <v>24311.87</v>
      </c>
      <c r="V29" s="2" t="n">
        <v>40577.47</v>
      </c>
      <c r="W29" s="2" t="n">
        <v>116985.83</v>
      </c>
      <c r="X29" s="2" t="n">
        <v>82009.88</v>
      </c>
      <c r="Y29" s="2" t="n">
        <v>39879.09</v>
      </c>
      <c r="Z29" s="2" t="n">
        <v>23666.78</v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H32" s="2" t="n">
        <v>80312.97</v>
      </c>
      <c r="I32" s="2" t="n">
        <v>80312.97</v>
      </c>
      <c r="J32" s="2" t="n">
        <v>26770.99</v>
      </c>
      <c r="L32" s="2" t="n">
        <v>17007.84</v>
      </c>
      <c r="M32" s="2" t="n">
        <v>51023.49</v>
      </c>
      <c r="N32" s="2" t="n">
        <v>51023.49</v>
      </c>
      <c r="O32" s="2" t="n">
        <v>51023.49</v>
      </c>
      <c r="P32" s="2" t="n">
        <v>51023.49</v>
      </c>
      <c r="Q32" s="2" t="n">
        <v>51023.49</v>
      </c>
      <c r="R32" s="2" t="n">
        <v>51025.49</v>
      </c>
      <c r="S32" s="2" t="n">
        <v>51023.49</v>
      </c>
      <c r="T32" s="2" t="n">
        <v>34015.66</v>
      </c>
      <c r="AE32" s="10">
        <f>SUM(C32:AD32)</f>
        <v/>
      </c>
    </row>
    <row r="33">
      <c r="B33" t="inlineStr">
        <is>
          <t>Fringe 5990</t>
        </is>
      </c>
      <c r="H33" s="2" t="n">
        <v>33394.14</v>
      </c>
      <c r="I33" s="2" t="n">
        <v>33394.14</v>
      </c>
      <c r="J33" s="2" t="n">
        <v>11131.38</v>
      </c>
      <c r="L33" s="2" t="n">
        <v>7701.57</v>
      </c>
      <c r="M33" s="2" t="n">
        <v>23104.71</v>
      </c>
      <c r="N33" s="2" t="n">
        <v>23104.71</v>
      </c>
      <c r="O33" s="2" t="n">
        <v>23104.71</v>
      </c>
      <c r="P33" s="2" t="n">
        <v>23104.71</v>
      </c>
      <c r="Q33" s="2" t="n">
        <v>23104.71</v>
      </c>
      <c r="R33" s="2" t="n">
        <v>23104.71</v>
      </c>
      <c r="S33" s="2" t="n">
        <v>23104.71</v>
      </c>
      <c r="T33" s="2" t="n">
        <v>15403.3</v>
      </c>
      <c r="AE33" s="10">
        <f>SUM(C33:AD33)</f>
        <v/>
      </c>
    </row>
    <row r="34">
      <c r="B34" t="inlineStr">
        <is>
          <t>Travel 5004</t>
        </is>
      </c>
      <c r="H34" s="2" t="n">
        <v>3600</v>
      </c>
      <c r="I34" s="2" t="n">
        <v>3600</v>
      </c>
      <c r="J34" s="2" t="n">
        <v>1200</v>
      </c>
      <c r="AE34" s="10">
        <f>SUM(C34:AD34)</f>
        <v/>
      </c>
    </row>
    <row r="35">
      <c r="B35" t="inlineStr">
        <is>
          <t>Subcontracting 5005</t>
        </is>
      </c>
      <c r="H35" s="2" t="n">
        <v>63875.37</v>
      </c>
      <c r="I35" s="2" t="n">
        <v>63875.37</v>
      </c>
      <c r="J35" s="2" t="n">
        <v>21291.79</v>
      </c>
      <c r="L35" s="2" t="n">
        <v>235395.99</v>
      </c>
      <c r="M35" s="2" t="n">
        <v>706187.97</v>
      </c>
      <c r="N35" s="2" t="n">
        <v>706187.97</v>
      </c>
      <c r="O35" s="2" t="n">
        <v>706187.97</v>
      </c>
      <c r="P35" s="2" t="n">
        <v>706187.97</v>
      </c>
      <c r="Q35" s="2" t="n">
        <v>706187.97</v>
      </c>
      <c r="R35" s="2" t="n">
        <v>706187.97</v>
      </c>
      <c r="S35" s="2" t="n">
        <v>706187.97</v>
      </c>
      <c r="T35" s="2" t="n">
        <v>470791.98</v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L38" s="2" t="n">
        <v>90000</v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H40" s="2" t="n">
        <v>4285.71</v>
      </c>
      <c r="I40" s="2" t="n">
        <v>4285.71</v>
      </c>
      <c r="J40" s="2" t="n">
        <v>1428.58</v>
      </c>
      <c r="L40" s="2" t="n">
        <v>4583.34</v>
      </c>
      <c r="M40" s="2" t="n">
        <v>13750.02</v>
      </c>
      <c r="N40" s="2" t="n">
        <v>13750.02</v>
      </c>
      <c r="O40" s="2" t="n">
        <v>13750.02</v>
      </c>
      <c r="P40" s="2" t="n">
        <v>13750.02</v>
      </c>
      <c r="Q40" s="2" t="n">
        <v>13750.02</v>
      </c>
      <c r="R40" s="2" t="n">
        <v>13750.02</v>
      </c>
      <c r="S40" s="2" t="n">
        <v>13750.02</v>
      </c>
      <c r="T40" s="2" t="n">
        <v>9166.68</v>
      </c>
      <c r="AE40" s="10">
        <f>SUM(C40:AD40)</f>
        <v/>
      </c>
    </row>
    <row r="41">
      <c r="B41" t="inlineStr">
        <is>
          <t>Sub K Overhead 5992</t>
        </is>
      </c>
      <c r="L41" s="2" t="n">
        <v>6638.75</v>
      </c>
      <c r="M41" s="2" t="n">
        <v>19916.25</v>
      </c>
      <c r="N41" s="2" t="n">
        <v>19916.25</v>
      </c>
      <c r="O41" s="2" t="n">
        <v>19916.25</v>
      </c>
      <c r="P41" s="2" t="n">
        <v>19916.25</v>
      </c>
      <c r="Q41" s="2" t="n">
        <v>19916.25</v>
      </c>
      <c r="R41" s="2" t="n">
        <v>19916.25</v>
      </c>
      <c r="S41" s="2" t="n">
        <v>19916.25</v>
      </c>
      <c r="T41" s="2" t="n">
        <v>13277.5</v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H43" s="2" t="n">
        <v>28817.49</v>
      </c>
      <c r="I43" s="2" t="n">
        <v>28817.49</v>
      </c>
      <c r="J43" s="2" t="n">
        <v>9605.860000000001</v>
      </c>
      <c r="L43" s="2" t="n">
        <v>47818.84</v>
      </c>
      <c r="M43" s="2" t="n">
        <v>143456.52</v>
      </c>
      <c r="N43" s="2" t="n">
        <v>143456.52</v>
      </c>
      <c r="O43" s="2" t="n">
        <v>143456.52</v>
      </c>
      <c r="P43" s="2" t="n">
        <v>143456.52</v>
      </c>
      <c r="Q43" s="2" t="n">
        <v>143456.52</v>
      </c>
      <c r="R43" s="2" t="n">
        <v>143456.52</v>
      </c>
      <c r="S43" s="2" t="n">
        <v>143456.52</v>
      </c>
      <c r="T43" s="2" t="n">
        <v>96123.84</v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OGA</t>
        </is>
      </c>
    </row>
    <row r="3">
      <c r="A3" s="1" t="inlineStr">
        <is>
          <t>SEQUENCE</t>
        </is>
      </c>
      <c r="B3" t="inlineStr">
        <is>
          <t>OGA002</t>
        </is>
      </c>
    </row>
    <row r="4">
      <c r="A4" s="1" t="inlineStr">
        <is>
          <t>ROLLUP #</t>
        </is>
      </c>
      <c r="B4" t="inlineStr">
        <is>
          <t>2002</t>
        </is>
      </c>
    </row>
    <row r="5">
      <c r="A5" s="1" t="inlineStr">
        <is>
          <t>PROJECT NAME</t>
        </is>
      </c>
      <c r="B5" t="inlineStr">
        <is>
          <t>AFFOA Prototype Multi Domain Platoon  Phase II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OGA-Tech SubK, Tech Subk</t>
        </is>
      </c>
    </row>
    <row r="8">
      <c r="A8" s="1" t="inlineStr">
        <is>
          <t>SERVICE</t>
        </is>
      </c>
      <c r="B8" t="inlineStr">
        <is>
          <t>Other Gov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O18" s="2" t="n">
        <v>18769.85</v>
      </c>
      <c r="P18" s="2" t="n">
        <v>15295.79</v>
      </c>
      <c r="Q18" s="2" t="n">
        <v>97312.67999999999</v>
      </c>
      <c r="R18" s="2" t="n">
        <v>137410.91</v>
      </c>
      <c r="S18" s="2" t="n">
        <v>121418.61</v>
      </c>
      <c r="T18" s="2" t="n">
        <v>101739.59</v>
      </c>
      <c r="U18" s="2" t="n">
        <v>20539.56</v>
      </c>
      <c r="V18" s="2" t="n">
        <v>-16283.86</v>
      </c>
      <c r="AE18" s="10">
        <f>SUM(C18:AD18)</f>
        <v/>
      </c>
    </row>
    <row r="19">
      <c r="B19" t="inlineStr">
        <is>
          <t>Fringe 5990</t>
        </is>
      </c>
      <c r="O19" s="2" t="n">
        <v>8498.99</v>
      </c>
      <c r="P19" s="2" t="n">
        <v>6925.96</v>
      </c>
      <c r="Q19" s="2" t="n">
        <v>44063.18</v>
      </c>
      <c r="R19" s="2" t="n">
        <v>62219.66</v>
      </c>
      <c r="S19" s="2" t="n">
        <v>54978.34</v>
      </c>
      <c r="T19" s="2" t="n">
        <v>52360.74</v>
      </c>
      <c r="U19" s="2" t="n">
        <v>9879.530000000001</v>
      </c>
      <c r="V19" s="2" t="n">
        <v>-7832.54</v>
      </c>
      <c r="AE19" s="10">
        <f>SUM(C19:AD19)</f>
        <v/>
      </c>
    </row>
    <row r="20">
      <c r="B20" t="inlineStr">
        <is>
          <t>Travel 5004</t>
        </is>
      </c>
      <c r="T20" s="2" t="n">
        <v>1565.81</v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Q25" s="2" t="n">
        <v>211.2</v>
      </c>
      <c r="R25" s="2" t="n">
        <v>52.36</v>
      </c>
      <c r="S25" s="2" t="n">
        <v>224.82</v>
      </c>
      <c r="T25" s="2" t="n">
        <v>1087.76</v>
      </c>
      <c r="AE25" s="10">
        <f>SUM(C25:AD25)</f>
        <v/>
      </c>
    </row>
    <row r="26">
      <c r="B26" t="inlineStr">
        <is>
          <t>Material 5003</t>
        </is>
      </c>
      <c r="Q26" s="2" t="n">
        <v>5003.85</v>
      </c>
      <c r="R26" s="2" t="n">
        <v>5042.77</v>
      </c>
      <c r="S26" s="2" t="n">
        <v>94872.34</v>
      </c>
      <c r="T26" s="2" t="n">
        <v>9862.26</v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O29" s="2" t="n">
        <v>39463.46</v>
      </c>
      <c r="P29" s="2" t="n">
        <v>32159.28</v>
      </c>
      <c r="Q29" s="2" t="n">
        <v>212146.37</v>
      </c>
      <c r="R29" s="2" t="n">
        <v>296279.05</v>
      </c>
      <c r="S29" s="2" t="n">
        <v>392906.26</v>
      </c>
      <c r="T29" s="2" t="n">
        <v>182726.82</v>
      </c>
      <c r="U29" s="2" t="n">
        <v>39967.64</v>
      </c>
      <c r="V29" s="2" t="n">
        <v>-31686.53</v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Q32" s="2" t="n">
        <v>56551.2</v>
      </c>
      <c r="R32" s="2" t="n">
        <v>56551.2</v>
      </c>
      <c r="S32" s="2" t="n">
        <v>56551.2</v>
      </c>
      <c r="T32" s="2" t="n">
        <v>56551.2</v>
      </c>
      <c r="U32" s="2" t="n">
        <v>56551.2</v>
      </c>
      <c r="V32" s="2" t="n">
        <v>56551.2</v>
      </c>
      <c r="W32" s="2" t="n">
        <v>56551.2</v>
      </c>
      <c r="X32" s="2" t="n">
        <v>56551.2</v>
      </c>
      <c r="AE32" s="10">
        <f>SUM(C32:AD32)</f>
        <v/>
      </c>
    </row>
    <row r="33">
      <c r="B33" t="inlineStr">
        <is>
          <t>Fringe 5990</t>
        </is>
      </c>
      <c r="Q33" s="2" t="n">
        <v>25606.38</v>
      </c>
      <c r="R33" s="2" t="n">
        <v>25606.38</v>
      </c>
      <c r="S33" s="2" t="n">
        <v>25606.38</v>
      </c>
      <c r="T33" s="2" t="n">
        <v>25606.38</v>
      </c>
      <c r="U33" s="2" t="n">
        <v>25606.38</v>
      </c>
      <c r="V33" s="2" t="n">
        <v>25606.38</v>
      </c>
      <c r="W33" s="2" t="n">
        <v>25606.38</v>
      </c>
      <c r="X33" s="2" t="n">
        <v>25606.38</v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R38" s="2" t="n">
        <v>60000</v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Q40" s="2" t="n">
        <v>20000.01</v>
      </c>
      <c r="R40" s="2" t="n">
        <v>39999.99</v>
      </c>
      <c r="S40" s="2" t="n">
        <v>39999.99</v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Q43" s="2" t="n">
        <v>147842.43</v>
      </c>
      <c r="R43" s="2" t="n">
        <v>147842.43</v>
      </c>
      <c r="S43" s="2" t="n">
        <v>147842.43</v>
      </c>
      <c r="T43" s="2" t="n">
        <v>147842.43</v>
      </c>
      <c r="U43" s="2" t="n">
        <v>147842.43</v>
      </c>
      <c r="V43" s="2" t="n">
        <v>147842.43</v>
      </c>
      <c r="W43" s="2" t="n">
        <v>147842.43</v>
      </c>
      <c r="X43" s="2" t="n">
        <v>147842.43</v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OGA</t>
        </is>
      </c>
    </row>
    <row r="3">
      <c r="A3" s="1" t="inlineStr">
        <is>
          <t>SEQUENCE</t>
        </is>
      </c>
      <c r="B3" t="inlineStr">
        <is>
          <t>OGA003</t>
        </is>
      </c>
    </row>
    <row r="4">
      <c r="A4" s="1" t="inlineStr">
        <is>
          <t>ROLLUP #</t>
        </is>
      </c>
      <c r="B4" t="inlineStr">
        <is>
          <t>2003</t>
        </is>
      </c>
    </row>
    <row r="5">
      <c r="A5" s="1" t="inlineStr">
        <is>
          <t>PROJECT NAME</t>
        </is>
      </c>
      <c r="B5" t="inlineStr">
        <is>
          <t>DMCS Cadence CA Grant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OGA-EWD SubK, OGA-Tech SubK, Tech Subk</t>
        </is>
      </c>
    </row>
    <row r="8">
      <c r="A8" s="1" t="inlineStr">
        <is>
          <t>SERVICE</t>
        </is>
      </c>
      <c r="B8" t="inlineStr">
        <is>
          <t>State or Local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J18" s="2" t="n">
        <v>23895.67</v>
      </c>
      <c r="N18" s="2" t="n">
        <v>112569.86</v>
      </c>
      <c r="O18" s="2" t="n">
        <v>21144.51</v>
      </c>
      <c r="P18" s="2" t="n">
        <v>144.23</v>
      </c>
      <c r="AE18" s="10">
        <f>SUM(C18:AD18)</f>
        <v/>
      </c>
    </row>
    <row r="19">
      <c r="B19" t="inlineStr">
        <is>
          <t>Fringe 5990</t>
        </is>
      </c>
      <c r="J19" s="2" t="n">
        <v>9431.610000000001</v>
      </c>
      <c r="N19" s="2" t="n">
        <v>48314.94</v>
      </c>
      <c r="O19" s="2" t="n">
        <v>9574.219999999999</v>
      </c>
      <c r="P19" s="2" t="n">
        <v>65.31</v>
      </c>
      <c r="AE19" s="10">
        <f>SUM(C19:AD19)</f>
        <v/>
      </c>
    </row>
    <row r="20">
      <c r="B20" t="inlineStr">
        <is>
          <t>Travel 5004</t>
        </is>
      </c>
      <c r="N20" s="2" t="n">
        <v>972.0700000000001</v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J22" s="2" t="n">
        <v>5600</v>
      </c>
      <c r="N22" s="2" t="n">
        <v>12320</v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J25" s="2" t="n">
        <v>3807.59</v>
      </c>
      <c r="N25" s="2" t="n">
        <v>7552.3</v>
      </c>
      <c r="O25" s="2" t="n">
        <v>70</v>
      </c>
      <c r="AE25" s="10">
        <f>SUM(C25:AD25)</f>
        <v/>
      </c>
    </row>
    <row r="26">
      <c r="B26" t="inlineStr">
        <is>
          <t>Material 5003</t>
        </is>
      </c>
      <c r="J26" s="2" t="n">
        <v>1906.29</v>
      </c>
      <c r="N26" s="2" t="n">
        <v>14048.59</v>
      </c>
      <c r="O26" s="2" t="n">
        <v>5698.28</v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J29" s="2" t="n">
        <v>24133.01</v>
      </c>
      <c r="N29" s="2" t="n">
        <v>252827.52</v>
      </c>
      <c r="O29" s="2" t="n">
        <v>52804.02</v>
      </c>
      <c r="P29" s="2" t="n">
        <v>303.24</v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F32" s="2" t="n">
        <v>190795.52</v>
      </c>
      <c r="AE32" s="10">
        <f>SUM(C32:AD32)</f>
        <v/>
      </c>
    </row>
    <row r="33">
      <c r="B33" t="inlineStr">
        <is>
          <t>Fringe 5990</t>
        </is>
      </c>
      <c r="F33" s="2" t="n">
        <v>67458.33</v>
      </c>
      <c r="AE33" s="10">
        <f>SUM(C33:AD33)</f>
        <v/>
      </c>
    </row>
    <row r="34">
      <c r="B34" t="inlineStr">
        <is>
          <t>Travel 5004</t>
        </is>
      </c>
      <c r="F34" s="2" t="n">
        <v>972.0700000000001</v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F36" s="2" t="n">
        <v>17920</v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F39" s="2" t="n">
        <v>11429.89</v>
      </c>
      <c r="AE39" s="10">
        <f>SUM(C39:AD39)</f>
        <v/>
      </c>
    </row>
    <row r="40">
      <c r="B40" t="inlineStr">
        <is>
          <t>Material 5003</t>
        </is>
      </c>
      <c r="F40" s="2" t="n">
        <v>21652.52</v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F43" s="2" t="n">
        <v>292477.42</v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OGA</t>
        </is>
      </c>
    </row>
    <row r="3">
      <c r="A3" s="1" t="inlineStr">
        <is>
          <t>SEQUENCE</t>
        </is>
      </c>
      <c r="B3" t="inlineStr">
        <is>
          <t>OGA004</t>
        </is>
      </c>
    </row>
    <row r="4">
      <c r="A4" s="1" t="inlineStr">
        <is>
          <t>ROLLUP #</t>
        </is>
      </c>
      <c r="B4" t="inlineStr">
        <is>
          <t>2004</t>
        </is>
      </c>
    </row>
    <row r="5">
      <c r="A5" s="1" t="inlineStr">
        <is>
          <t>PROJECT NAME</t>
        </is>
      </c>
      <c r="B5" t="inlineStr">
        <is>
          <t>Defense Manufacturing Community Special Program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EWD-Gov Lic, OGA-EWD Prime, OGA-Tech Prime</t>
        </is>
      </c>
    </row>
    <row r="8">
      <c r="A8" s="1" t="inlineStr">
        <is>
          <t>SERVICE</t>
        </is>
      </c>
      <c r="B8" t="inlineStr">
        <is>
          <t>Other DOD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R18" s="2" t="n">
        <v>10095.05</v>
      </c>
      <c r="S18" s="2" t="n">
        <v>2876.74</v>
      </c>
      <c r="T18" s="2" t="n">
        <v>1812.55</v>
      </c>
      <c r="U18" s="2" t="n">
        <v>9663.75</v>
      </c>
      <c r="V18" s="2" t="n">
        <v>3212.86</v>
      </c>
      <c r="W18" s="2" t="n">
        <v>3854.96</v>
      </c>
      <c r="X18" s="2" t="n">
        <v>7602.14</v>
      </c>
      <c r="Y18" s="2" t="n">
        <v>26158.7</v>
      </c>
      <c r="Z18" s="2" t="n">
        <v>20442.06</v>
      </c>
      <c r="AA18" s="2" t="n">
        <v>15231.38</v>
      </c>
      <c r="AE18" s="10">
        <f>SUM(C18:AD18)</f>
        <v/>
      </c>
    </row>
    <row r="19">
      <c r="B19" t="inlineStr">
        <is>
          <t>Fringe 5990</t>
        </is>
      </c>
      <c r="R19" s="2" t="n">
        <v>4571.03</v>
      </c>
      <c r="S19" s="2" t="n">
        <v>1302.62</v>
      </c>
      <c r="T19" s="2" t="n">
        <v>952.97</v>
      </c>
      <c r="U19" s="2" t="n">
        <v>4648.26</v>
      </c>
      <c r="V19" s="2" t="n">
        <v>1545.37</v>
      </c>
      <c r="W19" s="2" t="n">
        <v>1937.5</v>
      </c>
      <c r="X19" s="2" t="n">
        <v>3820.83</v>
      </c>
      <c r="Y19" s="2" t="n">
        <v>13147.35</v>
      </c>
      <c r="Z19" s="2" t="n">
        <v>10274.19</v>
      </c>
      <c r="AA19" s="2" t="n">
        <v>8244.75</v>
      </c>
      <c r="AE19" s="10">
        <f>SUM(C19:AD19)</f>
        <v/>
      </c>
    </row>
    <row r="20">
      <c r="B20" t="inlineStr">
        <is>
          <t>Travel 5004</t>
        </is>
      </c>
      <c r="R20" s="2" t="n">
        <v>1851.79</v>
      </c>
      <c r="V20" s="2" t="n">
        <v>1011.44</v>
      </c>
      <c r="Z20" s="2" t="n">
        <v>1080.86</v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R25" s="2" t="n">
        <v>179.77</v>
      </c>
      <c r="U25" s="2" t="n">
        <v>65.87</v>
      </c>
      <c r="V25" s="2" t="n">
        <v>532.73</v>
      </c>
      <c r="Y25" s="2" t="n">
        <v>7847.6</v>
      </c>
      <c r="Z25" s="2" t="n">
        <v>-7800</v>
      </c>
      <c r="AE25" s="10">
        <f>SUM(C25:AD25)</f>
        <v/>
      </c>
    </row>
    <row r="26">
      <c r="B26" t="inlineStr">
        <is>
          <t>Material 5003</t>
        </is>
      </c>
      <c r="U26" s="2" t="n">
        <v>925.8</v>
      </c>
      <c r="V26" s="2" t="n">
        <v>390.6</v>
      </c>
      <c r="X26" s="2" t="n">
        <v>4470</v>
      </c>
      <c r="Y26" s="2" t="n">
        <v>23.97</v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R28" s="2" t="n">
        <v>5730.27</v>
      </c>
      <c r="S28" s="2" t="n">
        <v>993.61</v>
      </c>
      <c r="T28" s="2" t="n">
        <v>-993.61</v>
      </c>
      <c r="AE28" s="10">
        <f>SUM(C28:AD28)</f>
        <v/>
      </c>
    </row>
    <row r="29">
      <c r="B29" t="inlineStr">
        <is>
          <t>G&amp;A 5991</t>
        </is>
      </c>
      <c r="R29" s="2" t="n">
        <v>10810.86</v>
      </c>
      <c r="S29" s="2" t="n">
        <v>3732.79</v>
      </c>
      <c r="T29" s="2" t="n">
        <v>3836.98</v>
      </c>
      <c r="U29" s="2" t="n">
        <v>18274.03</v>
      </c>
      <c r="V29" s="2" t="n">
        <v>5584.23</v>
      </c>
      <c r="W29" s="2" t="n">
        <v>7388.24</v>
      </c>
      <c r="X29" s="2" t="n">
        <v>19448.03</v>
      </c>
      <c r="Y29" s="2" t="n">
        <v>32703.75</v>
      </c>
      <c r="Z29" s="2" t="n">
        <v>15176.11</v>
      </c>
      <c r="AA29" s="2" t="n">
        <v>20602.02</v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Q32" s="2" t="n">
        <v>3141.07</v>
      </c>
      <c r="R32" s="2" t="n">
        <v>2630.37</v>
      </c>
      <c r="S32" s="2" t="n">
        <v>2858.76</v>
      </c>
      <c r="T32" s="2" t="n">
        <v>2258.67</v>
      </c>
      <c r="U32" s="2" t="n">
        <v>3120</v>
      </c>
      <c r="V32" s="2" t="n">
        <v>3089.7</v>
      </c>
      <c r="W32" s="2" t="n">
        <v>2894.67</v>
      </c>
      <c r="X32" s="2" t="n">
        <v>3318.9</v>
      </c>
      <c r="Y32" s="2" t="n">
        <v>3760.53</v>
      </c>
      <c r="Z32" s="2" t="n">
        <v>3223.47</v>
      </c>
      <c r="AA32" s="2" t="n">
        <v>3545.79</v>
      </c>
      <c r="AB32" s="2" t="n">
        <v>2918.97</v>
      </c>
      <c r="AC32" s="2" t="n">
        <v>3794.01</v>
      </c>
      <c r="AD32" s="2" t="n">
        <v>3621</v>
      </c>
      <c r="AE32" s="10">
        <f>SUM(C32:AD32)</f>
        <v/>
      </c>
    </row>
    <row r="33">
      <c r="B33" t="inlineStr">
        <is>
          <t>Fringe 5990</t>
        </is>
      </c>
      <c r="Q33" s="2" t="n">
        <v>1422.28</v>
      </c>
      <c r="R33" s="2" t="n">
        <v>1191.03</v>
      </c>
      <c r="S33" s="2" t="n">
        <v>1294.44</v>
      </c>
      <c r="T33" s="2" t="n">
        <v>1022.73</v>
      </c>
      <c r="U33" s="2" t="n">
        <v>1412.73</v>
      </c>
      <c r="V33" s="2" t="n">
        <v>1399.02</v>
      </c>
      <c r="W33" s="2" t="n">
        <v>1310.7</v>
      </c>
      <c r="X33" s="2" t="n">
        <v>1502.79</v>
      </c>
      <c r="Y33" s="2" t="n">
        <v>1702.77</v>
      </c>
      <c r="Z33" s="2" t="n">
        <v>1459.59</v>
      </c>
      <c r="AA33" s="2" t="n">
        <v>1605.54</v>
      </c>
      <c r="AB33" s="2" t="n">
        <v>1321.71</v>
      </c>
      <c r="AC33" s="2" t="n">
        <v>1717.92</v>
      </c>
      <c r="AD33" s="2" t="n">
        <v>1639.59</v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Q40" s="2" t="n">
        <v>30000</v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Q43" s="2" t="n">
        <v>50020.08</v>
      </c>
      <c r="R43" s="2" t="n">
        <v>5530.32</v>
      </c>
      <c r="S43" s="2" t="n">
        <v>6010.56</v>
      </c>
      <c r="T43" s="2" t="n">
        <v>4748.82</v>
      </c>
      <c r="U43" s="2" t="n">
        <v>6559.77</v>
      </c>
      <c r="V43" s="2" t="n">
        <v>6496.08</v>
      </c>
      <c r="W43" s="2" t="n">
        <v>6085.98</v>
      </c>
      <c r="X43" s="2" t="n">
        <v>6978</v>
      </c>
      <c r="Y43" s="2" t="n">
        <v>7906.47</v>
      </c>
      <c r="Z43" s="2" t="n">
        <v>6777.3</v>
      </c>
      <c r="AA43" s="2" t="n">
        <v>7455.03</v>
      </c>
      <c r="AB43" s="2" t="n">
        <v>6137.1</v>
      </c>
      <c r="AC43" s="2" t="n">
        <v>7976.88</v>
      </c>
      <c r="AD43" s="2" t="n">
        <v>7613.13</v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OGA</t>
        </is>
      </c>
    </row>
    <row r="3">
      <c r="A3" s="1" t="inlineStr">
        <is>
          <t>SEQUENCE</t>
        </is>
      </c>
      <c r="B3" t="inlineStr">
        <is>
          <t>OGA005</t>
        </is>
      </c>
    </row>
    <row r="4">
      <c r="A4" s="1" t="inlineStr">
        <is>
          <t>ROLLUP #</t>
        </is>
      </c>
      <c r="B4" t="inlineStr">
        <is>
          <t>2005</t>
        </is>
      </c>
    </row>
    <row r="5">
      <c r="A5" s="1" t="inlineStr">
        <is>
          <t>PROJECT NAME</t>
        </is>
      </c>
      <c r="B5" t="inlineStr">
        <is>
          <t>Texas Microelectronics Precision Rapid Innovation nd Scaling Mfg PRISM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OGA-Tech SubK</t>
        </is>
      </c>
    </row>
    <row r="8">
      <c r="A8" s="1" t="inlineStr">
        <is>
          <t>SERVICE</t>
        </is>
      </c>
      <c r="B8" t="inlineStr">
        <is>
          <t>Other DOD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518726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O18" s="2" t="n">
        <v>375.18</v>
      </c>
      <c r="R18" s="2" t="n">
        <v>1048</v>
      </c>
      <c r="S18" s="2" t="n">
        <v>202.91</v>
      </c>
      <c r="T18" s="2" t="n">
        <v>338.81</v>
      </c>
      <c r="U18" s="2" t="n">
        <v>5952.25</v>
      </c>
      <c r="V18" s="2" t="n">
        <v>2128.44</v>
      </c>
      <c r="W18" s="2" t="n">
        <v>4767.27</v>
      </c>
      <c r="X18" s="2" t="n">
        <v>1491.27</v>
      </c>
      <c r="Z18" s="2" t="n">
        <v>524.72</v>
      </c>
      <c r="AA18" s="2" t="n">
        <v>639.79</v>
      </c>
      <c r="AE18" s="10">
        <f>SUM(C18:AD18)</f>
        <v/>
      </c>
    </row>
    <row r="19">
      <c r="B19" t="inlineStr">
        <is>
          <t>Fringe 5990</t>
        </is>
      </c>
      <c r="O19" s="2" t="n">
        <v>169.88</v>
      </c>
      <c r="R19" s="2" t="n">
        <v>474.54</v>
      </c>
      <c r="S19" s="2" t="n">
        <v>91.88</v>
      </c>
      <c r="T19" s="2" t="n">
        <v>168.69</v>
      </c>
      <c r="U19" s="2" t="n">
        <v>2863.02</v>
      </c>
      <c r="V19" s="2" t="n">
        <v>1023.78</v>
      </c>
      <c r="W19" s="2" t="n">
        <v>2396.04</v>
      </c>
      <c r="X19" s="2" t="n">
        <v>749.51</v>
      </c>
      <c r="Z19" s="2" t="n">
        <v>263.73</v>
      </c>
      <c r="AA19" s="2" t="n">
        <v>346.31</v>
      </c>
      <c r="AE19" s="10">
        <f>SUM(C19:AD19)</f>
        <v/>
      </c>
    </row>
    <row r="20">
      <c r="B20" t="inlineStr">
        <is>
          <t>Travel 5004</t>
        </is>
      </c>
      <c r="W20" s="2" t="n">
        <v>1052.44</v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U25" s="2" t="n">
        <v>25.65</v>
      </c>
      <c r="V25" s="2" t="n">
        <v>51.17</v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O29" s="2" t="n">
        <v>788.8099999999999</v>
      </c>
      <c r="R29" s="2" t="n">
        <v>2203.41</v>
      </c>
      <c r="S29" s="2" t="n">
        <v>426.62</v>
      </c>
      <c r="T29" s="2" t="n">
        <v>627.51</v>
      </c>
      <c r="U29" s="2" t="n">
        <v>11616.1</v>
      </c>
      <c r="V29" s="2" t="n">
        <v>4208.93</v>
      </c>
      <c r="W29" s="2" t="n">
        <v>10909.69</v>
      </c>
      <c r="X29" s="2" t="n">
        <v>2975.53</v>
      </c>
      <c r="Z29" s="2" t="n">
        <v>1046.98</v>
      </c>
      <c r="AA29" s="2" t="n">
        <v>1343.66</v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S32" s="2" t="n">
        <v>1309.53</v>
      </c>
      <c r="T32" s="2" t="n">
        <v>10164.72</v>
      </c>
      <c r="U32" s="2" t="n">
        <v>1826.52</v>
      </c>
      <c r="V32" s="2" t="n">
        <v>763.05</v>
      </c>
      <c r="W32" s="2" t="n">
        <v>839.34</v>
      </c>
      <c r="X32" s="2" t="n">
        <v>1148.49</v>
      </c>
      <c r="Y32" s="2" t="n">
        <v>898.11</v>
      </c>
      <c r="Z32" s="2" t="n">
        <v>948.21</v>
      </c>
      <c r="AA32" s="2" t="n">
        <v>1198.59</v>
      </c>
      <c r="AB32" s="2" t="n">
        <v>1241.74</v>
      </c>
      <c r="AC32" s="2" t="n">
        <v>923.4299999999999</v>
      </c>
      <c r="AD32" s="2" t="n">
        <v>1187.07</v>
      </c>
      <c r="AE32" s="10">
        <f>SUM(C32:AD32)</f>
        <v/>
      </c>
    </row>
    <row r="33">
      <c r="B33" t="inlineStr">
        <is>
          <t>Fringe 5990</t>
        </is>
      </c>
      <c r="S33" s="2" t="n">
        <v>592.95</v>
      </c>
      <c r="T33" s="2" t="n">
        <v>4632.02</v>
      </c>
      <c r="U33" s="2" t="n">
        <v>855.46</v>
      </c>
      <c r="V33" s="2" t="n">
        <v>345.51</v>
      </c>
      <c r="W33" s="2" t="n">
        <v>380.04</v>
      </c>
      <c r="X33" s="2" t="n">
        <v>520.05</v>
      </c>
      <c r="Y33" s="2" t="n">
        <v>406.68</v>
      </c>
      <c r="Z33" s="2" t="n">
        <v>429.36</v>
      </c>
      <c r="AA33" s="2" t="n">
        <v>542.73</v>
      </c>
      <c r="AB33" s="2" t="n">
        <v>556.38</v>
      </c>
      <c r="AC33" s="2" t="n">
        <v>424</v>
      </c>
      <c r="AD33" s="2" t="n">
        <v>537.51</v>
      </c>
      <c r="AE33" s="10">
        <f>SUM(C33:AD33)</f>
        <v/>
      </c>
    </row>
    <row r="34">
      <c r="B34" t="inlineStr">
        <is>
          <t>Travel 5004</t>
        </is>
      </c>
      <c r="T34" s="2" t="n">
        <v>1017.87</v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S43" s="2" t="n">
        <v>2753.31</v>
      </c>
      <c r="T43" s="2" t="n">
        <v>22684.13</v>
      </c>
      <c r="U43" s="2" t="n">
        <v>3679.09</v>
      </c>
      <c r="V43" s="2" t="n">
        <v>1604.31</v>
      </c>
      <c r="W43" s="2" t="n">
        <v>1764.75</v>
      </c>
      <c r="X43" s="2" t="n">
        <v>2414.67</v>
      </c>
      <c r="Y43" s="2" t="n">
        <v>1888.26</v>
      </c>
      <c r="Z43" s="2" t="n">
        <v>1993.56</v>
      </c>
      <c r="AA43" s="2" t="n">
        <v>2501.17</v>
      </c>
      <c r="AB43" s="2" t="n">
        <v>2575.59</v>
      </c>
      <c r="AC43" s="2" t="n">
        <v>1933.62</v>
      </c>
      <c r="AD43" s="2" t="n">
        <v>2550.24</v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OGA</t>
        </is>
      </c>
    </row>
    <row r="3">
      <c r="A3" s="1" t="inlineStr">
        <is>
          <t>SEQUENCE</t>
        </is>
      </c>
      <c r="B3" t="inlineStr">
        <is>
          <t>OGA006</t>
        </is>
      </c>
    </row>
    <row r="4">
      <c r="A4" s="1" t="inlineStr">
        <is>
          <t>ROLLUP #</t>
        </is>
      </c>
      <c r="B4" t="inlineStr">
        <is>
          <t>2006</t>
        </is>
      </c>
    </row>
    <row r="5">
      <c r="A5" s="1" t="inlineStr">
        <is>
          <t>PROJECT NAME</t>
        </is>
      </c>
      <c r="B5" t="inlineStr">
        <is>
          <t>East Central Community College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EWD-Gov Lic, OGA-EWD Prime</t>
        </is>
      </c>
    </row>
    <row r="8">
      <c r="A8" s="1" t="inlineStr">
        <is>
          <t>SERVICE</t>
        </is>
      </c>
      <c r="B8" t="inlineStr">
        <is>
          <t>Other Gov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T18" s="2" t="n">
        <v>326.01</v>
      </c>
      <c r="V18" s="2" t="n">
        <v>1942.75</v>
      </c>
      <c r="W18" s="2" t="n">
        <v>546.84</v>
      </c>
      <c r="X18" s="2" t="n">
        <v>689.42</v>
      </c>
      <c r="Y18" s="2" t="n">
        <v>95.05</v>
      </c>
      <c r="AE18" s="10">
        <f>SUM(C18:AD18)</f>
        <v/>
      </c>
    </row>
    <row r="19">
      <c r="B19" t="inlineStr">
        <is>
          <t>Fringe 5990</t>
        </is>
      </c>
      <c r="T19" s="2" t="n">
        <v>156.82</v>
      </c>
      <c r="V19" s="2" t="n">
        <v>934.47</v>
      </c>
      <c r="W19" s="2" t="n">
        <v>274.84</v>
      </c>
      <c r="X19" s="2" t="n">
        <v>346.5</v>
      </c>
      <c r="Y19" s="2" t="n">
        <v>47.77</v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T25" s="2" t="n">
        <v>24.75</v>
      </c>
      <c r="V25" s="2" t="n">
        <v>34</v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T29" s="2" t="n">
        <v>307.03</v>
      </c>
      <c r="V29" s="2" t="n">
        <v>1760.99</v>
      </c>
      <c r="W29" s="2" t="n">
        <v>516.1799999999999</v>
      </c>
      <c r="X29" s="2" t="n">
        <v>650.76</v>
      </c>
      <c r="Y29" s="2" t="n">
        <v>89.72</v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OGA</t>
        </is>
      </c>
    </row>
    <row r="3">
      <c r="A3" s="1" t="inlineStr">
        <is>
          <t>SEQUENCE</t>
        </is>
      </c>
      <c r="B3" t="inlineStr">
        <is>
          <t>OGA007</t>
        </is>
      </c>
    </row>
    <row r="4">
      <c r="A4" s="1" t="inlineStr">
        <is>
          <t>ROLLUP #</t>
        </is>
      </c>
      <c r="B4" t="inlineStr">
        <is>
          <t>2007</t>
        </is>
      </c>
    </row>
    <row r="5">
      <c r="A5" s="1" t="inlineStr">
        <is>
          <t>PROJECT NAME</t>
        </is>
      </c>
      <c r="B5" t="inlineStr">
        <is>
          <t>NASA Astrosense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OGA-Tech Prime</t>
        </is>
      </c>
    </row>
    <row r="8">
      <c r="A8" s="1" t="inlineStr">
        <is>
          <t>SERVICE</t>
        </is>
      </c>
      <c r="B8" t="inlineStr">
        <is>
          <t>Other Gov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J18" s="2" t="n">
        <v>16972.53</v>
      </c>
      <c r="N18" s="2" t="n">
        <v>100625.63</v>
      </c>
      <c r="O18" s="2" t="n">
        <v>44321.91</v>
      </c>
      <c r="P18" s="2" t="n">
        <v>66062.57000000001</v>
      </c>
      <c r="Q18" s="2" t="n">
        <v>28705.03</v>
      </c>
      <c r="R18" s="2" t="n">
        <v>22029.35</v>
      </c>
      <c r="U18" s="2" t="n">
        <v>6253.04</v>
      </c>
      <c r="V18" s="2" t="n">
        <v>12711.56</v>
      </c>
      <c r="W18" s="2" t="n">
        <v>20064.06</v>
      </c>
      <c r="X18" s="2" t="n">
        <v>8994.35</v>
      </c>
      <c r="AE18" s="10">
        <f>SUM(C18:AD18)</f>
        <v/>
      </c>
    </row>
    <row r="19">
      <c r="B19" t="inlineStr">
        <is>
          <t>Fringe 5990</t>
        </is>
      </c>
      <c r="J19" s="2" t="n">
        <v>6699.06</v>
      </c>
      <c r="N19" s="2" t="n">
        <v>43188.51</v>
      </c>
      <c r="O19" s="2" t="n">
        <v>20068.97</v>
      </c>
      <c r="P19" s="2" t="n">
        <v>29913.15</v>
      </c>
      <c r="Q19" s="2" t="n">
        <v>12997.64</v>
      </c>
      <c r="R19" s="2" t="n">
        <v>9974.889999999999</v>
      </c>
      <c r="U19" s="2" t="n">
        <v>3007.72</v>
      </c>
      <c r="V19" s="2" t="n">
        <v>6114.27</v>
      </c>
      <c r="W19" s="2" t="n">
        <v>10084.19</v>
      </c>
      <c r="X19" s="2" t="n">
        <v>4520.56</v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N25" s="2" t="n">
        <v>44.75</v>
      </c>
      <c r="Q25" s="2" t="n">
        <v>62.98</v>
      </c>
      <c r="R25" s="2" t="n">
        <v>110.53</v>
      </c>
      <c r="V25" s="2" t="n">
        <v>13.09</v>
      </c>
      <c r="W25" s="2" t="n">
        <v>17.67</v>
      </c>
      <c r="AE25" s="10">
        <f>SUM(C25:AD25)</f>
        <v/>
      </c>
    </row>
    <row r="26">
      <c r="B26" t="inlineStr">
        <is>
          <t>Material 5003</t>
        </is>
      </c>
      <c r="J26" s="2" t="n">
        <v>2039.31</v>
      </c>
      <c r="N26" s="2" t="n">
        <v>12784.67</v>
      </c>
      <c r="O26" s="2" t="n">
        <v>4993.28</v>
      </c>
      <c r="P26" s="2" t="n">
        <v>323.88</v>
      </c>
      <c r="R26" s="2" t="n">
        <v>3683.58</v>
      </c>
      <c r="V26" s="2" t="n">
        <v>1571.31</v>
      </c>
      <c r="W26" s="2" t="n">
        <v>3360.66</v>
      </c>
      <c r="X26" s="2" t="n">
        <v>12772.1</v>
      </c>
      <c r="Y26" s="2" t="n">
        <v>396.27</v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J29" s="2" t="n">
        <v>13899.31</v>
      </c>
      <c r="N29" s="2" t="n">
        <v>202289.49</v>
      </c>
      <c r="O29" s="2" t="n">
        <v>100412.75</v>
      </c>
      <c r="P29" s="2" t="n">
        <v>139364.75</v>
      </c>
      <c r="Q29" s="2" t="n">
        <v>60443.25</v>
      </c>
      <c r="R29" s="2" t="n">
        <v>51807.37</v>
      </c>
      <c r="U29" s="2" t="n">
        <v>12167.7</v>
      </c>
      <c r="V29" s="2" t="n">
        <v>26816.99</v>
      </c>
      <c r="W29" s="2" t="n">
        <v>44519.95</v>
      </c>
      <c r="X29" s="2" t="n">
        <v>34906.53</v>
      </c>
      <c r="Y29" s="2" t="n">
        <v>526.2</v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J32" s="2" t="n">
        <v>26007.82</v>
      </c>
      <c r="K32" s="2" t="n">
        <v>39011.73</v>
      </c>
      <c r="L32" s="2" t="n">
        <v>39011.73</v>
      </c>
      <c r="M32" s="2" t="n">
        <v>53058.42</v>
      </c>
      <c r="N32" s="2" t="n">
        <v>53058.42</v>
      </c>
      <c r="O32" s="2" t="n">
        <v>53058.42</v>
      </c>
      <c r="P32" s="2" t="n">
        <v>53058.38</v>
      </c>
      <c r="T32" s="2" t="n">
        <v>9072</v>
      </c>
      <c r="U32" s="2" t="n">
        <v>27216</v>
      </c>
      <c r="V32" s="2" t="n">
        <v>27218</v>
      </c>
      <c r="AE32" s="10">
        <f>SUM(C32:AD32)</f>
        <v/>
      </c>
    </row>
    <row r="33">
      <c r="B33" t="inlineStr">
        <is>
          <t>Fringe 5990</t>
        </is>
      </c>
      <c r="J33" s="2" t="n">
        <v>10265.02</v>
      </c>
      <c r="K33" s="2" t="n">
        <v>15397.53</v>
      </c>
      <c r="L33" s="2" t="n">
        <v>15397.53</v>
      </c>
      <c r="M33" s="2" t="n">
        <v>22772.67</v>
      </c>
      <c r="N33" s="2" t="n">
        <v>22772.67</v>
      </c>
      <c r="O33" s="2" t="n">
        <v>22772.67</v>
      </c>
      <c r="P33" s="2" t="n">
        <v>22772.67</v>
      </c>
      <c r="T33" s="2" t="n">
        <v>4364</v>
      </c>
      <c r="U33" s="2" t="n">
        <v>13092</v>
      </c>
      <c r="V33" s="2" t="n">
        <v>13090</v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J40" s="2" t="n">
        <v>1543.76</v>
      </c>
      <c r="K40" s="2" t="n">
        <v>2315.64</v>
      </c>
      <c r="L40" s="2" t="n">
        <v>2315.6</v>
      </c>
      <c r="M40" s="2" t="n">
        <v>5025</v>
      </c>
      <c r="N40" s="2" t="n">
        <v>5025</v>
      </c>
      <c r="O40" s="2" t="n">
        <v>5025</v>
      </c>
      <c r="P40" s="2" t="n">
        <v>5025</v>
      </c>
      <c r="T40" s="2" t="n">
        <v>1857</v>
      </c>
      <c r="U40" s="2" t="n">
        <v>5571</v>
      </c>
      <c r="V40" s="2" t="n">
        <v>5572</v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J43" s="2" t="n">
        <v>18202.66</v>
      </c>
      <c r="K43" s="2" t="n">
        <v>27303.99</v>
      </c>
      <c r="L43" s="2" t="n">
        <v>27303.99</v>
      </c>
      <c r="M43" s="2" t="n">
        <v>104415.93</v>
      </c>
      <c r="N43" s="2" t="n">
        <v>104415.93</v>
      </c>
      <c r="O43" s="2" t="n">
        <v>104415.93</v>
      </c>
      <c r="P43" s="2" t="n">
        <v>104415.9</v>
      </c>
      <c r="T43" s="2" t="n">
        <v>20100</v>
      </c>
      <c r="U43" s="2" t="n">
        <v>60300</v>
      </c>
      <c r="V43" s="2" t="n">
        <v>60298</v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OGA</t>
        </is>
      </c>
    </row>
    <row r="3">
      <c r="A3" s="1" t="inlineStr">
        <is>
          <t>SEQUENCE</t>
        </is>
      </c>
      <c r="B3" t="inlineStr">
        <is>
          <t>OGA008</t>
        </is>
      </c>
    </row>
    <row r="4">
      <c r="A4" s="1" t="inlineStr">
        <is>
          <t>ROLLUP #</t>
        </is>
      </c>
      <c r="B4" t="inlineStr">
        <is>
          <t>3002</t>
        </is>
      </c>
    </row>
    <row r="5">
      <c r="A5" s="1" t="inlineStr">
        <is>
          <t>PROJECT NAME</t>
        </is>
      </c>
      <c r="B5" t="inlineStr">
        <is>
          <t>Department of Health and Human Services Administration for Children and Families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Gov, OGA-EWD Prime</t>
        </is>
      </c>
    </row>
    <row r="8">
      <c r="A8" s="1" t="inlineStr">
        <is>
          <t>SERVICE</t>
        </is>
      </c>
      <c r="B8" t="inlineStr">
        <is>
          <t>Other Gov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J18" s="2" t="n">
        <v>50375.85</v>
      </c>
      <c r="N18" s="2" t="n">
        <v>68646.09</v>
      </c>
      <c r="O18" s="2" t="n">
        <v>3734.17</v>
      </c>
      <c r="P18" s="2" t="n">
        <v>2910.02</v>
      </c>
      <c r="Q18" s="2" t="n">
        <v>1383.76</v>
      </c>
      <c r="R18" s="2" t="n">
        <v>45710.31</v>
      </c>
      <c r="AE18" s="10">
        <f>SUM(C18:AD18)</f>
        <v/>
      </c>
    </row>
    <row r="19">
      <c r="B19" t="inlineStr">
        <is>
          <t>Fringe 5990</t>
        </is>
      </c>
      <c r="J19" s="2" t="n">
        <v>19883.35</v>
      </c>
      <c r="N19" s="2" t="n">
        <v>27094.62</v>
      </c>
      <c r="O19" s="2" t="n">
        <v>1690.83</v>
      </c>
      <c r="P19" s="2" t="n">
        <v>1317.65</v>
      </c>
      <c r="Q19" s="2" t="n">
        <v>626.5599999999999</v>
      </c>
      <c r="R19" s="2" t="n">
        <v>20697.63</v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J21" s="2" t="n">
        <v>562228.04</v>
      </c>
      <c r="N21" s="2" t="n">
        <v>810195.47</v>
      </c>
      <c r="O21" s="2" t="n">
        <v>216368.98</v>
      </c>
      <c r="P21" s="2" t="n">
        <v>218130.78</v>
      </c>
      <c r="Q21" s="2" t="n">
        <v>220710.1</v>
      </c>
      <c r="R21" s="2" t="n">
        <v>206037.14</v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O28" s="2" t="n">
        <v>3368.92</v>
      </c>
      <c r="P28" s="2" t="n">
        <v>2625.38</v>
      </c>
      <c r="Q28" s="2" t="n">
        <v>1248.41</v>
      </c>
      <c r="R28" s="2" t="n">
        <v>41239.32</v>
      </c>
      <c r="AE28" s="10">
        <f>SUM(C28:AD28)</f>
        <v/>
      </c>
    </row>
    <row r="29">
      <c r="B29" t="inlineStr">
        <is>
          <t>G&amp;A 5991</t>
        </is>
      </c>
      <c r="J29" s="2" t="n">
        <v>37982.12</v>
      </c>
      <c r="N29" s="2" t="n">
        <v>51757.41</v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OGA</t>
        </is>
      </c>
    </row>
    <row r="3">
      <c r="A3" s="1" t="inlineStr">
        <is>
          <t>SEQUENCE</t>
        </is>
      </c>
      <c r="B3" t="inlineStr">
        <is>
          <t>OGA009</t>
        </is>
      </c>
    </row>
    <row r="4">
      <c r="A4" s="1" t="inlineStr">
        <is>
          <t>ROLLUP #</t>
        </is>
      </c>
      <c r="B4" t="inlineStr">
        <is>
          <t>3004</t>
        </is>
      </c>
    </row>
    <row r="5">
      <c r="A5" s="1" t="inlineStr">
        <is>
          <t>PROJECT NAME</t>
        </is>
      </c>
      <c r="B5" t="inlineStr">
        <is>
          <t>Ohio Manufacturing and Engineering Education Program OH MEEP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EWD-Gov Lic, EWD-Non Gov, OGA EWD-Lic, OGA-EWD Prime</t>
        </is>
      </c>
    </row>
    <row r="8">
      <c r="A8" s="1" t="inlineStr">
        <is>
          <t>SERVICE</t>
        </is>
      </c>
      <c r="B8" t="inlineStr">
        <is>
          <t>State or Local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J18" s="2" t="n">
        <v>39844.97</v>
      </c>
      <c r="N18" s="2" t="n">
        <v>39950.19</v>
      </c>
      <c r="O18" s="2" t="n">
        <v>7733.41</v>
      </c>
      <c r="P18" s="2" t="n">
        <v>8102.18</v>
      </c>
      <c r="Q18" s="2" t="n">
        <v>11953.35</v>
      </c>
      <c r="R18" s="2" t="n">
        <v>9911.219999999999</v>
      </c>
      <c r="S18" s="2" t="n">
        <v>4289.95</v>
      </c>
      <c r="T18" s="2" t="n">
        <v>15982.3</v>
      </c>
      <c r="U18" s="2" t="n">
        <v>-20272.25</v>
      </c>
      <c r="V18" s="2" t="n">
        <v>49157.13</v>
      </c>
      <c r="AE18" s="10">
        <f>SUM(C18:AD18)</f>
        <v/>
      </c>
    </row>
    <row r="19">
      <c r="B19" t="inlineStr">
        <is>
          <t>Fringe 5990</t>
        </is>
      </c>
      <c r="J19" s="2" t="n">
        <v>15726.81</v>
      </c>
      <c r="N19" s="2" t="n">
        <v>17146.64</v>
      </c>
      <c r="O19" s="2" t="n">
        <v>3501.69</v>
      </c>
      <c r="P19" s="2" t="n">
        <v>3668.66</v>
      </c>
      <c r="Q19" s="2" t="n">
        <v>5412.48</v>
      </c>
      <c r="R19" s="2" t="n">
        <v>4487.79</v>
      </c>
      <c r="S19" s="2" t="n">
        <v>1942.5</v>
      </c>
      <c r="T19" s="2" t="n">
        <v>7808.47</v>
      </c>
      <c r="U19" s="2" t="n">
        <v>-9750.959999999999</v>
      </c>
      <c r="V19" s="2" t="n">
        <v>23644.58</v>
      </c>
      <c r="AE19" s="10">
        <f>SUM(C19:AD19)</f>
        <v/>
      </c>
    </row>
    <row r="20">
      <c r="B20" t="inlineStr">
        <is>
          <t>Travel 5004</t>
        </is>
      </c>
      <c r="N20" s="2" t="n">
        <v>1913.35</v>
      </c>
      <c r="P20" s="2" t="n">
        <v>92.36</v>
      </c>
      <c r="S20" s="2" t="n">
        <v>959.15</v>
      </c>
      <c r="T20" s="2" t="n">
        <v>6948.82</v>
      </c>
      <c r="U20" s="2" t="n">
        <v>-7907.97</v>
      </c>
      <c r="V20" s="2" t="n">
        <v>8854.99</v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R22" s="2" t="n">
        <v>15244</v>
      </c>
      <c r="V22" s="2" t="n">
        <v>22500</v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N25" s="2" t="n">
        <v>764.65</v>
      </c>
      <c r="R25" s="2" t="n">
        <v>45.9</v>
      </c>
      <c r="T25" s="2" t="n">
        <v>232.56</v>
      </c>
      <c r="U25" s="2" t="n">
        <v>-232.56</v>
      </c>
      <c r="V25" s="2" t="n">
        <v>737.01</v>
      </c>
      <c r="AE25" s="10">
        <f>SUM(C25:AD25)</f>
        <v/>
      </c>
    </row>
    <row r="26">
      <c r="B26" t="inlineStr">
        <is>
          <t>Material 5003</t>
        </is>
      </c>
      <c r="N26" s="2" t="n">
        <v>44.91</v>
      </c>
      <c r="Q26" s="2" t="n">
        <v>183.59</v>
      </c>
      <c r="V26" s="2" t="n">
        <v>6712.32</v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O28" s="2" t="n">
        <v>6977.01</v>
      </c>
      <c r="P28" s="2" t="n">
        <v>7367.05</v>
      </c>
      <c r="Q28" s="2" t="n">
        <v>10898.18</v>
      </c>
      <c r="R28" s="2" t="n">
        <v>18436.81</v>
      </c>
      <c r="S28" s="2" t="n">
        <v>4465.98</v>
      </c>
      <c r="T28" s="2" t="n">
        <v>-4465.98</v>
      </c>
      <c r="AE28" s="10">
        <f>SUM(C28:AD28)</f>
        <v/>
      </c>
    </row>
    <row r="29">
      <c r="B29" t="inlineStr">
        <is>
          <t>G&amp;A 5991</t>
        </is>
      </c>
      <c r="J29" s="2" t="n">
        <v>14282.27</v>
      </c>
      <c r="N29" s="2" t="n">
        <v>32338.55</v>
      </c>
      <c r="T29" s="2" t="n">
        <v>23085.24</v>
      </c>
      <c r="U29" s="2" t="n">
        <v>-23085.25</v>
      </c>
      <c r="V29" s="2" t="n">
        <v>61816.19</v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OGA</t>
        </is>
      </c>
    </row>
    <row r="3">
      <c r="A3" s="1" t="inlineStr">
        <is>
          <t>SEQUENCE</t>
        </is>
      </c>
      <c r="B3" t="inlineStr">
        <is>
          <t>OGA010</t>
        </is>
      </c>
    </row>
    <row r="4">
      <c r="A4" s="1" t="inlineStr">
        <is>
          <t>ROLLUP #</t>
        </is>
      </c>
      <c r="B4" t="inlineStr">
        <is>
          <t>3007</t>
        </is>
      </c>
    </row>
    <row r="5">
      <c r="A5" s="1" t="inlineStr">
        <is>
          <t>PROJECT NAME</t>
        </is>
      </c>
      <c r="B5" t="inlineStr">
        <is>
          <t>Southeast Ohio MEP nd TECH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EWD-Non Gov, OGA-EWD Prime</t>
        </is>
      </c>
    </row>
    <row r="8">
      <c r="A8" s="1" t="inlineStr">
        <is>
          <t>SERVICE</t>
        </is>
      </c>
      <c r="B8" t="inlineStr">
        <is>
          <t>State or Local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N18" s="2" t="n">
        <v>98.44</v>
      </c>
      <c r="T18" s="2" t="n">
        <v>277.73</v>
      </c>
      <c r="U18" s="2" t="n">
        <v>852.6900000000001</v>
      </c>
      <c r="V18" s="2" t="n">
        <v>5366.82</v>
      </c>
      <c r="W18" s="2" t="n">
        <v>1048.06</v>
      </c>
      <c r="X18" s="2" t="n">
        <v>3742.78</v>
      </c>
      <c r="Y18" s="2" t="n">
        <v>674.03</v>
      </c>
      <c r="AE18" s="10">
        <f>SUM(C18:AD18)</f>
        <v/>
      </c>
    </row>
    <row r="19">
      <c r="B19" t="inlineStr">
        <is>
          <t>Fringe 5990</t>
        </is>
      </c>
      <c r="N19" s="2" t="n">
        <v>45.24</v>
      </c>
      <c r="T19" s="2" t="n">
        <v>133.59</v>
      </c>
      <c r="U19" s="2" t="n">
        <v>410.15</v>
      </c>
      <c r="V19" s="2" t="n">
        <v>2581.43</v>
      </c>
      <c r="W19" s="2" t="n">
        <v>526.75</v>
      </c>
      <c r="X19" s="2" t="n">
        <v>1881.12</v>
      </c>
      <c r="Y19" s="2" t="n">
        <v>338.76</v>
      </c>
      <c r="AE19" s="10">
        <f>SUM(C19:AD19)</f>
        <v/>
      </c>
    </row>
    <row r="20">
      <c r="B20" t="inlineStr">
        <is>
          <t>Travel 5004</t>
        </is>
      </c>
      <c r="V20" s="2" t="n">
        <v>2821.79</v>
      </c>
      <c r="W20" s="2" t="n">
        <v>86.17</v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T25" s="2" t="n">
        <v>38.69</v>
      </c>
      <c r="V25" s="2" t="n">
        <v>34.53</v>
      </c>
      <c r="X25" s="2" t="n">
        <v>98.15000000000001</v>
      </c>
      <c r="AE25" s="10">
        <f>SUM(C25:AD25)</f>
        <v/>
      </c>
    </row>
    <row r="26">
      <c r="B26" t="inlineStr">
        <is>
          <t>Material 5003</t>
        </is>
      </c>
      <c r="T26" s="2" t="n">
        <v>70.03</v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N29" s="2" t="n">
        <v>185.55</v>
      </c>
      <c r="T29" s="2" t="n">
        <v>683.28</v>
      </c>
      <c r="U29" s="2" t="n">
        <v>1659.24</v>
      </c>
      <c r="V29" s="2" t="n">
        <v>14196.14</v>
      </c>
      <c r="W29" s="2" t="n">
        <v>2205.62</v>
      </c>
      <c r="X29" s="2" t="n">
        <v>7598.31</v>
      </c>
      <c r="Y29" s="2" t="n">
        <v>1344.88</v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OGA</t>
        </is>
      </c>
    </row>
    <row r="3">
      <c r="A3" s="1" t="inlineStr">
        <is>
          <t>SEQUENCE</t>
        </is>
      </c>
      <c r="B3" t="inlineStr">
        <is>
          <t>OGA011</t>
        </is>
      </c>
    </row>
    <row r="4">
      <c r="A4" s="1" t="inlineStr">
        <is>
          <t>ROLLUP #</t>
        </is>
      </c>
      <c r="B4" t="inlineStr">
        <is>
          <t>3008</t>
        </is>
      </c>
    </row>
    <row r="5">
      <c r="A5" s="1" t="inlineStr">
        <is>
          <t>PROJECT NAME</t>
        </is>
      </c>
      <c r="B5" t="inlineStr">
        <is>
          <t>Department of Health and Human Services Administration for Children and Families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OGA-EWD Prime</t>
        </is>
      </c>
    </row>
    <row r="8">
      <c r="A8" s="1" t="inlineStr">
        <is>
          <t>SERVICE</t>
        </is>
      </c>
      <c r="B8" t="inlineStr">
        <is>
          <t>Other Gov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S18" s="2" t="n">
        <v>6817.5</v>
      </c>
      <c r="T18" s="2" t="n">
        <v>7411.6</v>
      </c>
      <c r="U18" s="2" t="n">
        <v>8953.24</v>
      </c>
      <c r="V18" s="2" t="n">
        <v>20503.29</v>
      </c>
      <c r="AE18" s="10">
        <f>SUM(C18:AD18)</f>
        <v/>
      </c>
    </row>
    <row r="19">
      <c r="B19" t="inlineStr">
        <is>
          <t>Fringe 5990</t>
        </is>
      </c>
      <c r="S19" s="2" t="n">
        <v>3086.96</v>
      </c>
      <c r="T19" s="2" t="n">
        <v>3355.97</v>
      </c>
      <c r="U19" s="2" t="n">
        <v>4054.02</v>
      </c>
      <c r="V19" s="2" t="n">
        <v>9283.889999999999</v>
      </c>
      <c r="AE19" s="10">
        <f>SUM(C19:AD19)</f>
        <v/>
      </c>
    </row>
    <row r="20">
      <c r="B20" t="inlineStr">
        <is>
          <t>Travel 5004</t>
        </is>
      </c>
      <c r="U20" s="2" t="n">
        <v>725.95</v>
      </c>
      <c r="V20" s="2" t="n">
        <v>1453.57</v>
      </c>
      <c r="AE20" s="10">
        <f>SUM(C20:AD20)</f>
        <v/>
      </c>
    </row>
    <row r="21">
      <c r="B21" t="inlineStr">
        <is>
          <t>Subcontracting 5005</t>
        </is>
      </c>
      <c r="S21" s="2" t="n">
        <v>198761.94</v>
      </c>
      <c r="T21" s="2" t="n">
        <v>205967.67</v>
      </c>
      <c r="U21" s="2" t="n">
        <v>200255.43</v>
      </c>
      <c r="V21" s="2" t="n">
        <v>199404.5</v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T27" s="2" t="n">
        <v>11453.84</v>
      </c>
      <c r="U27" s="2" t="n">
        <v>5667.22</v>
      </c>
      <c r="V27" s="2" t="n">
        <v>5643.14</v>
      </c>
      <c r="AE27" s="10">
        <f>SUM(C27:AD27)</f>
        <v/>
      </c>
    </row>
    <row r="28">
      <c r="B28" t="inlineStr">
        <is>
          <t>Sub K Overhead 5993</t>
        </is>
      </c>
      <c r="S28" s="2" t="n">
        <v>6150.68</v>
      </c>
      <c r="T28" s="2" t="n">
        <v>-6150.67</v>
      </c>
      <c r="AE28" s="10">
        <f>SUM(C28:AD28)</f>
        <v/>
      </c>
    </row>
    <row r="29">
      <c r="B29" t="inlineStr">
        <is>
          <t>G&amp;A 5991</t>
        </is>
      </c>
      <c r="T29" s="2" t="n">
        <v>29916.57</v>
      </c>
      <c r="U29" s="2" t="n">
        <v>19874.7</v>
      </c>
      <c r="V29" s="2" t="n">
        <v>45211.61</v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OGA</t>
        </is>
      </c>
    </row>
    <row r="3">
      <c r="A3" s="1" t="inlineStr">
        <is>
          <t>SEQUENCE</t>
        </is>
      </c>
      <c r="B3" t="inlineStr">
        <is>
          <t>OGA012</t>
        </is>
      </c>
    </row>
    <row r="4">
      <c r="A4" s="1" t="inlineStr">
        <is>
          <t>ROLLUP #</t>
        </is>
      </c>
      <c r="B4" t="inlineStr">
        <is>
          <t>3009</t>
        </is>
      </c>
    </row>
    <row r="5">
      <c r="A5" s="1" t="inlineStr">
        <is>
          <t>PROJECT NAME</t>
        </is>
      </c>
      <c r="B5" t="inlineStr">
        <is>
          <t>Department of Health and Human Services Administration for Children and Families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OGA-EWD Prime</t>
        </is>
      </c>
    </row>
    <row r="8">
      <c r="A8" s="1" t="inlineStr">
        <is>
          <t>SERVICE</t>
        </is>
      </c>
      <c r="B8" t="inlineStr">
        <is>
          <t>Other Gov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W18" s="2" t="n">
        <v>8481.780000000001</v>
      </c>
      <c r="X18" s="2" t="n">
        <v>10433.85</v>
      </c>
      <c r="Y18" s="2" t="n">
        <v>11131.84</v>
      </c>
      <c r="Z18" s="2" t="n">
        <v>16368.27</v>
      </c>
      <c r="AE18" s="10">
        <f>SUM(C18:AD18)</f>
        <v/>
      </c>
    </row>
    <row r="19">
      <c r="B19" t="inlineStr">
        <is>
          <t>Fringe 5990</t>
        </is>
      </c>
      <c r="W19" s="2" t="n">
        <v>4079.74</v>
      </c>
      <c r="X19" s="2" t="n">
        <v>5018.68</v>
      </c>
      <c r="Y19" s="2" t="n">
        <v>5354.41</v>
      </c>
      <c r="Z19" s="2" t="n">
        <v>7873.14</v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W21" s="2" t="n">
        <v>199647.03</v>
      </c>
      <c r="X21" s="2" t="n">
        <v>203677.51</v>
      </c>
      <c r="Y21" s="2" t="n">
        <v>199852.11</v>
      </c>
      <c r="Z21" s="2" t="n">
        <v>201234.09</v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W27" s="2" t="n">
        <v>6109.2</v>
      </c>
      <c r="X27" s="2" t="n">
        <v>6232.53</v>
      </c>
      <c r="Y27" s="2" t="n">
        <v>6115.48</v>
      </c>
      <c r="Z27" s="2" t="n">
        <v>6157.76</v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W29" s="2" t="n">
        <v>16504.58</v>
      </c>
      <c r="X29" s="2" t="n">
        <v>20303.09</v>
      </c>
      <c r="Y29" s="2" t="n">
        <v>21661.28</v>
      </c>
      <c r="Z29" s="2" t="n">
        <v>31850.79</v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OGA</t>
        </is>
      </c>
    </row>
    <row r="3">
      <c r="A3" s="1" t="inlineStr">
        <is>
          <t>SEQUENCE</t>
        </is>
      </c>
      <c r="B3" t="inlineStr">
        <is>
          <t>OGA013</t>
        </is>
      </c>
    </row>
    <row r="4">
      <c r="A4" s="1" t="inlineStr">
        <is>
          <t>ROLLUP #</t>
        </is>
      </c>
      <c r="B4" t="inlineStr">
        <is>
          <t>3010</t>
        </is>
      </c>
    </row>
    <row r="5">
      <c r="A5" s="1" t="inlineStr">
        <is>
          <t>PROJECT NAME</t>
        </is>
      </c>
      <c r="B5" t="inlineStr">
        <is>
          <t>ONR MUSA MEEP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EWD-Gov Lic, OGA-EWD Prime</t>
        </is>
      </c>
    </row>
    <row r="8">
      <c r="A8" s="1" t="inlineStr">
        <is>
          <t>SERVICE</t>
        </is>
      </c>
      <c r="B8" t="inlineStr">
        <is>
          <t>Navy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F18" s="2" t="n">
        <v>93322.59</v>
      </c>
      <c r="J18" s="2" t="n">
        <v>227588.8</v>
      </c>
      <c r="N18" s="2" t="n">
        <v>66566.46000000001</v>
      </c>
      <c r="O18" s="2" t="n">
        <v>9156.040000000001</v>
      </c>
      <c r="P18" s="2" t="n">
        <v>12517.6</v>
      </c>
      <c r="Q18" s="2" t="n">
        <v>16316.51</v>
      </c>
      <c r="R18" s="2" t="n">
        <v>10288.5</v>
      </c>
      <c r="S18" s="2" t="n">
        <v>34312.61</v>
      </c>
      <c r="T18" s="2" t="n">
        <v>11157.85</v>
      </c>
      <c r="U18" s="2" t="n">
        <v>8860.620000000001</v>
      </c>
      <c r="AE18" s="10">
        <f>SUM(C18:AD18)</f>
        <v/>
      </c>
    </row>
    <row r="19">
      <c r="B19" t="inlineStr">
        <is>
          <t>Fringe 5990</t>
        </is>
      </c>
      <c r="F19" s="2" t="n">
        <v>38803.53</v>
      </c>
      <c r="J19" s="2" t="n">
        <v>89829.3</v>
      </c>
      <c r="N19" s="2" t="n">
        <v>28570.33</v>
      </c>
      <c r="O19" s="2" t="n">
        <v>4145.85</v>
      </c>
      <c r="P19" s="2" t="n">
        <v>5667.98</v>
      </c>
      <c r="Q19" s="2" t="n">
        <v>7388.12</v>
      </c>
      <c r="R19" s="2" t="n">
        <v>4658.63</v>
      </c>
      <c r="S19" s="2" t="n">
        <v>15536.75</v>
      </c>
      <c r="T19" s="2" t="n">
        <v>6334.55</v>
      </c>
      <c r="U19" s="2" t="n">
        <v>4261.96</v>
      </c>
      <c r="AE19" s="10">
        <f>SUM(C19:AD19)</f>
        <v/>
      </c>
    </row>
    <row r="20">
      <c r="B20" t="inlineStr">
        <is>
          <t>Travel 5004</t>
        </is>
      </c>
      <c r="N20" s="2" t="n">
        <v>1136.41</v>
      </c>
      <c r="P20" s="2" t="n">
        <v>21.09</v>
      </c>
      <c r="Q20" s="2" t="n">
        <v>7182.01</v>
      </c>
      <c r="R20" s="2" t="n">
        <v>1857.59</v>
      </c>
      <c r="S20" s="2" t="n">
        <v>4830.35</v>
      </c>
      <c r="AE20" s="10">
        <f>SUM(C20:AD20)</f>
        <v/>
      </c>
    </row>
    <row r="21">
      <c r="B21" t="inlineStr">
        <is>
          <t>Subcontracting 5005</t>
        </is>
      </c>
      <c r="J21" s="2" t="n">
        <v>647180.22</v>
      </c>
      <c r="N21" s="2" t="n">
        <v>669427</v>
      </c>
      <c r="O21" s="2" t="n">
        <v>94600.59</v>
      </c>
      <c r="P21" s="2" t="n">
        <v>243028.21</v>
      </c>
      <c r="Q21" s="2" t="n">
        <v>199003.83</v>
      </c>
      <c r="R21" s="2" t="n">
        <v>323114.59</v>
      </c>
      <c r="S21" s="2" t="n">
        <v>90455.8</v>
      </c>
      <c r="T21" s="2" t="n">
        <v>229907.58</v>
      </c>
      <c r="U21" s="2" t="n">
        <v>198035.4</v>
      </c>
      <c r="AE21" s="10">
        <f>SUM(C21:AD21)</f>
        <v/>
      </c>
    </row>
    <row r="22">
      <c r="B22" t="inlineStr">
        <is>
          <t>Consulting 5002</t>
        </is>
      </c>
      <c r="F22" s="2" t="n">
        <v>7000</v>
      </c>
      <c r="J22" s="2" t="n">
        <v>185575</v>
      </c>
      <c r="N22" s="2" t="n">
        <v>214038</v>
      </c>
      <c r="P22" s="2" t="n">
        <v>22400</v>
      </c>
      <c r="Q22" s="2" t="n">
        <v>22500</v>
      </c>
      <c r="R22" s="2" t="n">
        <v>37575</v>
      </c>
      <c r="S22" s="2" t="n">
        <v>7425</v>
      </c>
      <c r="T22" s="2" t="n">
        <v>22210</v>
      </c>
      <c r="U22" s="2" t="n">
        <v>44420</v>
      </c>
      <c r="AE22" s="10">
        <f>SUM(C22:AD22)</f>
        <v/>
      </c>
    </row>
    <row r="23">
      <c r="B23" t="inlineStr">
        <is>
          <t>Equipment 5010</t>
        </is>
      </c>
      <c r="U23" s="2" t="n">
        <v>45000</v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Q25" s="2" t="n">
        <v>125</v>
      </c>
      <c r="S25" s="2" t="n">
        <v>995</v>
      </c>
      <c r="AE25" s="10">
        <f>SUM(C25:AD25)</f>
        <v/>
      </c>
    </row>
    <row r="26">
      <c r="B26" t="inlineStr">
        <is>
          <t>Material 5003</t>
        </is>
      </c>
      <c r="O26" s="2" t="n">
        <v>267.88</v>
      </c>
      <c r="P26" s="2" t="n">
        <v>79.44</v>
      </c>
      <c r="Q26" s="2" t="n">
        <v>72</v>
      </c>
      <c r="T26" s="2" t="n">
        <v>400</v>
      </c>
      <c r="AE26" s="10">
        <f>SUM(C26:AD26)</f>
        <v/>
      </c>
    </row>
    <row r="27">
      <c r="B27" t="inlineStr">
        <is>
          <t>Sub K Overhead 5992</t>
        </is>
      </c>
      <c r="N27" s="2" t="n">
        <v>17539</v>
      </c>
      <c r="O27" s="2" t="n">
        <v>2677.2</v>
      </c>
      <c r="P27" s="2" t="n">
        <v>6877.69</v>
      </c>
      <c r="Q27" s="2" t="n">
        <v>5631.81</v>
      </c>
      <c r="R27" s="2" t="n">
        <v>9144.129999999999</v>
      </c>
      <c r="S27" s="2" t="n">
        <v>2559.89</v>
      </c>
      <c r="T27" s="2" t="n">
        <v>7243.22</v>
      </c>
      <c r="U27" s="2" t="n">
        <v>6059.89</v>
      </c>
      <c r="AE27" s="10">
        <f>SUM(C27:AD27)</f>
        <v/>
      </c>
    </row>
    <row r="28">
      <c r="B28" t="inlineStr">
        <is>
          <t>Sub K Overhead 5993</t>
        </is>
      </c>
      <c r="O28" s="2" t="n">
        <v>19638.18</v>
      </c>
      <c r="P28" s="2" t="n">
        <v>58880.93</v>
      </c>
      <c r="Q28" s="2" t="n">
        <v>77546.24000000001</v>
      </c>
      <c r="R28" s="2" t="n">
        <v>78698.33</v>
      </c>
      <c r="S28" s="2" t="n">
        <v>91317.91</v>
      </c>
      <c r="T28" s="2" t="n">
        <v>-91317.89999999999</v>
      </c>
      <c r="AE28" s="10">
        <f>SUM(C28:AD28)</f>
        <v/>
      </c>
    </row>
    <row r="29">
      <c r="B29" t="inlineStr">
        <is>
          <t>G&amp;A 5991</t>
        </is>
      </c>
      <c r="F29" s="2" t="n">
        <v>32972.89</v>
      </c>
      <c r="J29" s="2" t="n">
        <v>271918.07</v>
      </c>
      <c r="N29" s="2" t="n">
        <v>167754.24</v>
      </c>
      <c r="T29" s="2" t="n">
        <v>135597.24</v>
      </c>
      <c r="U29" s="2" t="n">
        <v>75605.19</v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OGA</t>
        </is>
      </c>
    </row>
    <row r="3">
      <c r="A3" s="1" t="inlineStr">
        <is>
          <t>SEQUENCE</t>
        </is>
      </c>
      <c r="B3" t="inlineStr">
        <is>
          <t>OGA014</t>
        </is>
      </c>
    </row>
    <row r="4">
      <c r="A4" s="1" t="inlineStr">
        <is>
          <t>ROLLUP #</t>
        </is>
      </c>
      <c r="B4" t="inlineStr">
        <is>
          <t>3011</t>
        </is>
      </c>
    </row>
    <row r="5">
      <c r="A5" s="1" t="inlineStr">
        <is>
          <t>PROJECT NAME</t>
        </is>
      </c>
      <c r="B5" t="inlineStr">
        <is>
          <t>East Mississippi Community College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EWD-Gov Lic, OGA-EWD Prime</t>
        </is>
      </c>
    </row>
    <row r="8">
      <c r="A8" s="1" t="inlineStr">
        <is>
          <t>SERVICE</t>
        </is>
      </c>
      <c r="B8" t="inlineStr">
        <is>
          <t>State or Local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J18" s="2" t="n">
        <v>478.66</v>
      </c>
      <c r="N18" s="2" t="n">
        <v>50</v>
      </c>
      <c r="P18" s="2" t="n">
        <v>462.01</v>
      </c>
      <c r="Q18" s="2" t="n">
        <v>1604.05</v>
      </c>
      <c r="R18" s="2" t="n">
        <v>4251.76</v>
      </c>
      <c r="S18" s="2" t="n">
        <v>826.08</v>
      </c>
      <c r="T18" s="2" t="n">
        <v>8131.05</v>
      </c>
      <c r="U18" s="2" t="n">
        <v>3467.8</v>
      </c>
      <c r="AE18" s="10">
        <f>SUM(C18:AD18)</f>
        <v/>
      </c>
    </row>
    <row r="19">
      <c r="B19" t="inlineStr">
        <is>
          <t>Fringe 5990</t>
        </is>
      </c>
      <c r="J19" s="2" t="n">
        <v>188.93</v>
      </c>
      <c r="N19" s="2" t="n">
        <v>21.46</v>
      </c>
      <c r="P19" s="2" t="n">
        <v>209.19</v>
      </c>
      <c r="Q19" s="2" t="n">
        <v>726.3099999999999</v>
      </c>
      <c r="R19" s="2" t="n">
        <v>1925.2</v>
      </c>
      <c r="S19" s="2" t="n">
        <v>374.05</v>
      </c>
      <c r="T19" s="2" t="n">
        <v>3934.33</v>
      </c>
      <c r="U19" s="2" t="n">
        <v>1668.01</v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P28" s="2" t="n">
        <v>416.82</v>
      </c>
      <c r="Q28" s="2" t="n">
        <v>1447.15</v>
      </c>
      <c r="R28" s="2" t="n">
        <v>3835.89</v>
      </c>
      <c r="S28" s="2" t="n">
        <v>745.29</v>
      </c>
      <c r="T28" s="2" t="n">
        <v>-745.28</v>
      </c>
      <c r="AE28" s="10">
        <f>SUM(C28:AD28)</f>
        <v/>
      </c>
    </row>
    <row r="29">
      <c r="B29" t="inlineStr">
        <is>
          <t>G&amp;A 5991</t>
        </is>
      </c>
      <c r="J29" s="2" t="n">
        <v>166.9</v>
      </c>
      <c r="N29" s="2" t="n">
        <v>92.28</v>
      </c>
      <c r="T29" s="2" t="n">
        <v>8024.31</v>
      </c>
      <c r="U29" s="2" t="n">
        <v>3106.65</v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OGA</t>
        </is>
      </c>
    </row>
    <row r="3">
      <c r="A3" s="1" t="inlineStr">
        <is>
          <t>SEQUENCE</t>
        </is>
      </c>
      <c r="B3" t="inlineStr">
        <is>
          <t>OGA015</t>
        </is>
      </c>
    </row>
    <row r="4">
      <c r="A4" s="1" t="inlineStr">
        <is>
          <t>ROLLUP #</t>
        </is>
      </c>
      <c r="B4" t="inlineStr">
        <is>
          <t>750007</t>
        </is>
      </c>
    </row>
    <row r="5">
      <c r="A5" s="1" t="inlineStr">
        <is>
          <t>PROJECT NAME</t>
        </is>
      </c>
      <c r="B5" t="inlineStr">
        <is>
          <t>SCC AY19 to 20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OGA-EWD Prime</t>
        </is>
      </c>
    </row>
    <row r="8">
      <c r="A8" s="1" t="inlineStr">
        <is>
          <t>SERVICE</t>
        </is>
      </c>
      <c r="B8" t="inlineStr">
        <is>
          <t>State or Local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F18" s="2" t="n">
        <v>148376.01</v>
      </c>
      <c r="J18" s="2" t="n">
        <v>43191.2</v>
      </c>
      <c r="N18" s="2" t="n">
        <v>51</v>
      </c>
      <c r="AE18" s="10">
        <f>SUM(C18:AD18)</f>
        <v/>
      </c>
    </row>
    <row r="19">
      <c r="B19" t="inlineStr">
        <is>
          <t>Fringe 5990</t>
        </is>
      </c>
      <c r="F19" s="2" t="n">
        <v>61694.74</v>
      </c>
      <c r="J19" s="2" t="n">
        <v>17047.57</v>
      </c>
      <c r="N19" s="2" t="n">
        <v>20.13</v>
      </c>
      <c r="AE19" s="10">
        <f>SUM(C19:AD19)</f>
        <v/>
      </c>
    </row>
    <row r="20">
      <c r="B20" t="inlineStr">
        <is>
          <t>Travel 5004</t>
        </is>
      </c>
      <c r="F20" s="2" t="n">
        <v>2636.15</v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F22" s="2" t="n">
        <v>11125</v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F29" s="2" t="n">
        <v>59923.29</v>
      </c>
      <c r="J29" s="2" t="n">
        <v>15089.92</v>
      </c>
      <c r="N29" s="2" t="n">
        <v>38.45</v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73234.62999999999+C30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OGA</t>
        </is>
      </c>
    </row>
    <row r="3">
      <c r="A3" s="1" t="inlineStr">
        <is>
          <t>SEQUENCE</t>
        </is>
      </c>
      <c r="B3" t="inlineStr">
        <is>
          <t>OGA016</t>
        </is>
      </c>
    </row>
    <row r="4">
      <c r="A4" s="1" t="inlineStr">
        <is>
          <t>ROLLUP #</t>
        </is>
      </c>
      <c r="B4" t="inlineStr">
        <is>
          <t>750006</t>
        </is>
      </c>
    </row>
    <row r="5">
      <c r="A5" s="1" t="inlineStr">
        <is>
          <t>PROJECT NAME</t>
        </is>
      </c>
      <c r="B5" t="inlineStr">
        <is>
          <t>AFRL Flex Pro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OGA-EWD Prime</t>
        </is>
      </c>
    </row>
    <row r="8">
      <c r="A8" s="1" t="inlineStr">
        <is>
          <t>SERVICE</t>
        </is>
      </c>
      <c r="B8" t="inlineStr">
        <is>
          <t>Airforce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F18" s="2" t="n">
        <v>8391.690000000001</v>
      </c>
      <c r="AE18" s="10">
        <f>SUM(C18:AD18)</f>
        <v/>
      </c>
    </row>
    <row r="19">
      <c r="B19" t="inlineStr">
        <is>
          <t>Fringe 5990</t>
        </is>
      </c>
      <c r="F19" s="2" t="n">
        <v>3489.26</v>
      </c>
      <c r="AE19" s="10">
        <f>SUM(C19:AD19)</f>
        <v/>
      </c>
    </row>
    <row r="20">
      <c r="B20" t="inlineStr">
        <is>
          <t>Travel 5004</t>
        </is>
      </c>
      <c r="F20" s="2" t="n">
        <v>3718.47</v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F29" s="2" t="n">
        <v>4005.05</v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1109.32+C30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OGA</t>
        </is>
      </c>
    </row>
    <row r="3">
      <c r="A3" s="1" t="inlineStr">
        <is>
          <t>SEQUENCE</t>
        </is>
      </c>
      <c r="B3" t="inlineStr">
        <is>
          <t>OGA017</t>
        </is>
      </c>
    </row>
    <row r="4">
      <c r="A4" s="1" t="inlineStr">
        <is>
          <t>ROLLUP #</t>
        </is>
      </c>
      <c r="B4" t="inlineStr">
        <is>
          <t>850013</t>
        </is>
      </c>
    </row>
    <row r="5">
      <c r="A5" s="1" t="inlineStr">
        <is>
          <t>PROJECT NAME</t>
        </is>
      </c>
      <c r="B5" t="inlineStr">
        <is>
          <t>Natl Sci Found Adv Tech Edu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OGA-EWD Prime</t>
        </is>
      </c>
    </row>
    <row r="8">
      <c r="A8" s="1" t="inlineStr">
        <is>
          <t>SERVICE</t>
        </is>
      </c>
      <c r="B8" t="inlineStr">
        <is>
          <t>State or Local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J18" s="2" t="n">
        <v>30000.67</v>
      </c>
      <c r="N18" s="2" t="n">
        <v>8688.969999999999</v>
      </c>
      <c r="P18" s="2" t="n">
        <v>11976.59</v>
      </c>
      <c r="Q18" s="2" t="n">
        <v>-9309.24</v>
      </c>
      <c r="AE18" s="10">
        <f>SUM(C18:AD18)</f>
        <v/>
      </c>
    </row>
    <row r="19">
      <c r="B19" t="inlineStr">
        <is>
          <t>Fringe 5990</t>
        </is>
      </c>
      <c r="J19" s="2" t="n">
        <v>11841.26</v>
      </c>
      <c r="N19" s="2" t="n">
        <v>3729.32</v>
      </c>
      <c r="P19" s="2" t="n">
        <v>5422.98</v>
      </c>
      <c r="Q19" s="2" t="n">
        <v>-4215.22</v>
      </c>
      <c r="AE19" s="10">
        <f>SUM(C19:AD19)</f>
        <v/>
      </c>
    </row>
    <row r="20">
      <c r="B20" t="inlineStr">
        <is>
          <t>Travel 5004</t>
        </is>
      </c>
      <c r="P20" s="2" t="n">
        <v>3005.17</v>
      </c>
      <c r="AE20" s="10">
        <f>SUM(C20:AD20)</f>
        <v/>
      </c>
    </row>
    <row r="21">
      <c r="B21" t="inlineStr">
        <is>
          <t>Subcontracting 5005</t>
        </is>
      </c>
      <c r="J21" s="2" t="n">
        <v>64641.7</v>
      </c>
      <c r="N21" s="2" t="n">
        <v>34767.8</v>
      </c>
      <c r="Q21" s="2" t="n">
        <v>90597.56</v>
      </c>
      <c r="AE21" s="10">
        <f>SUM(C21:AD21)</f>
        <v/>
      </c>
    </row>
    <row r="22">
      <c r="B22" t="inlineStr">
        <is>
          <t>Consulting 5002</t>
        </is>
      </c>
      <c r="J22" s="2" t="n">
        <v>9000</v>
      </c>
      <c r="N22" s="2" t="n">
        <v>16500</v>
      </c>
      <c r="P22" s="2" t="n">
        <v>9000</v>
      </c>
      <c r="Q22" s="2" t="n">
        <v>478</v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N27" s="2" t="n">
        <v>910.91</v>
      </c>
      <c r="Q27" s="2" t="n">
        <v>2563.91</v>
      </c>
      <c r="AE27" s="10">
        <f>SUM(C27:AD27)</f>
        <v/>
      </c>
    </row>
    <row r="28">
      <c r="B28" t="inlineStr">
        <is>
          <t>Sub K Overhead 5993</t>
        </is>
      </c>
      <c r="P28" s="2" t="n">
        <v>18260.36</v>
      </c>
      <c r="Q28" s="2" t="n">
        <v>12212.87</v>
      </c>
      <c r="AE28" s="10">
        <f>SUM(C28:AD28)</f>
        <v/>
      </c>
    </row>
    <row r="29">
      <c r="B29" t="inlineStr">
        <is>
          <t>G&amp;A 5991</t>
        </is>
      </c>
      <c r="J29" s="2" t="n">
        <v>27485.15</v>
      </c>
      <c r="N29" s="2" t="n">
        <v>15633.21</v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OGA</t>
        </is>
      </c>
    </row>
    <row r="3">
      <c r="A3" s="1" t="inlineStr">
        <is>
          <t>SEQUENCE</t>
        </is>
      </c>
      <c r="B3" t="inlineStr">
        <is>
          <t>OGA018</t>
        </is>
      </c>
    </row>
    <row r="4">
      <c r="A4" s="1" t="inlineStr">
        <is>
          <t>ROLLUP #</t>
        </is>
      </c>
      <c r="B4" t="inlineStr">
        <is>
          <t>750011</t>
        </is>
      </c>
    </row>
    <row r="5">
      <c r="A5" s="1" t="inlineStr">
        <is>
          <t>PROJECT NAME</t>
        </is>
      </c>
      <c r="B5" t="inlineStr">
        <is>
          <t>SCC AY20 to 21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OGA-EWD Prime</t>
        </is>
      </c>
    </row>
    <row r="8">
      <c r="A8" s="1" t="inlineStr">
        <is>
          <t>SERVICE</t>
        </is>
      </c>
      <c r="B8" t="inlineStr">
        <is>
          <t>State or Local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F18" s="2" t="n">
        <v>6823.53</v>
      </c>
      <c r="J18" s="2" t="n">
        <v>6467.25</v>
      </c>
      <c r="N18" s="2" t="n">
        <v>64</v>
      </c>
      <c r="AE18" s="10">
        <f>SUM(C18:AD18)</f>
        <v/>
      </c>
    </row>
    <row r="19">
      <c r="B19" t="inlineStr">
        <is>
          <t>Fringe 5990</t>
        </is>
      </c>
      <c r="F19" s="2" t="n">
        <v>2837.22</v>
      </c>
      <c r="J19" s="2" t="n">
        <v>2552.62</v>
      </c>
      <c r="N19" s="2" t="n">
        <v>27.46</v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F29" s="2" t="n">
        <v>2289.6</v>
      </c>
      <c r="J29" s="2" t="n">
        <v>2254.97</v>
      </c>
      <c r="N29" s="2" t="n">
        <v>118.12</v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OGA</t>
        </is>
      </c>
    </row>
    <row r="3">
      <c r="A3" s="1" t="inlineStr">
        <is>
          <t>SEQUENCE</t>
        </is>
      </c>
      <c r="B3" t="inlineStr">
        <is>
          <t>OGA019</t>
        </is>
      </c>
    </row>
    <row r="4">
      <c r="A4" s="1" t="inlineStr">
        <is>
          <t>ROLLUP #</t>
        </is>
      </c>
      <c r="B4" t="inlineStr">
        <is>
          <t>750016</t>
        </is>
      </c>
    </row>
    <row r="5">
      <c r="A5" s="1" t="inlineStr">
        <is>
          <t>PROJECT NAME</t>
        </is>
      </c>
      <c r="B5" t="inlineStr">
        <is>
          <t>SJECCD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OGA-EWD Prime</t>
        </is>
      </c>
    </row>
    <row r="8">
      <c r="A8" s="1" t="inlineStr">
        <is>
          <t>SERVICE</t>
        </is>
      </c>
      <c r="B8" t="inlineStr">
        <is>
          <t>State or Local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J18" s="2" t="n">
        <v>2370.7</v>
      </c>
      <c r="N18" s="2" t="n">
        <v>6634.35</v>
      </c>
      <c r="O18" s="2" t="n">
        <v>203.25</v>
      </c>
      <c r="Q18" s="2" t="n">
        <v>431.84</v>
      </c>
      <c r="R18" s="2" t="n">
        <v>4706.35</v>
      </c>
      <c r="AE18" s="10">
        <f>SUM(C18:AD18)</f>
        <v/>
      </c>
    </row>
    <row r="19">
      <c r="B19" t="inlineStr">
        <is>
          <t>Fringe 5990</t>
        </is>
      </c>
      <c r="J19" s="2" t="n">
        <v>935.72</v>
      </c>
      <c r="N19" s="2" t="n">
        <v>2847.47</v>
      </c>
      <c r="O19" s="2" t="n">
        <v>92.04000000000001</v>
      </c>
      <c r="Q19" s="2" t="n">
        <v>195.55</v>
      </c>
      <c r="R19" s="2" t="n">
        <v>2131.03</v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O28" s="2" t="n">
        <v>183.37</v>
      </c>
      <c r="Q28" s="2" t="n">
        <v>389.6</v>
      </c>
      <c r="R28" s="2" t="n">
        <v>4246.01</v>
      </c>
      <c r="AE28" s="10">
        <f>SUM(C28:AD28)</f>
        <v/>
      </c>
    </row>
    <row r="29">
      <c r="B29" t="inlineStr">
        <is>
          <t>G&amp;A 5991</t>
        </is>
      </c>
      <c r="J29" s="2" t="n">
        <v>826.6</v>
      </c>
      <c r="N29" s="2" t="n">
        <v>12244.8</v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OGA</t>
        </is>
      </c>
    </row>
    <row r="3">
      <c r="A3" s="1" t="inlineStr">
        <is>
          <t>SEQUENCE</t>
        </is>
      </c>
      <c r="B3" t="inlineStr">
        <is>
          <t>OGA020</t>
        </is>
      </c>
    </row>
    <row r="4">
      <c r="A4" s="1" t="inlineStr">
        <is>
          <t>ROLLUP #</t>
        </is>
      </c>
      <c r="B4" t="inlineStr">
        <is>
          <t>750018</t>
        </is>
      </c>
    </row>
    <row r="5">
      <c r="A5" s="1" t="inlineStr">
        <is>
          <t>PROJECT NAME</t>
        </is>
      </c>
      <c r="B5" t="inlineStr">
        <is>
          <t>EVC Teaming JUNE 2021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OGA-EWD Prime</t>
        </is>
      </c>
    </row>
    <row r="8">
      <c r="A8" s="1" t="inlineStr">
        <is>
          <t>SERVICE</t>
        </is>
      </c>
      <c r="B8" t="inlineStr">
        <is>
          <t>State or Local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J18" s="2" t="n">
        <v>1373.05</v>
      </c>
      <c r="N18" s="2" t="n">
        <v>343.25</v>
      </c>
      <c r="AE18" s="10">
        <f>SUM(C18:AD18)</f>
        <v/>
      </c>
    </row>
    <row r="19">
      <c r="B19" t="inlineStr">
        <is>
          <t>Fringe 5990</t>
        </is>
      </c>
      <c r="J19" s="2" t="n">
        <v>541.9400000000001</v>
      </c>
      <c r="N19" s="2" t="n">
        <v>147.32</v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N22" s="2" t="n">
        <v>8000</v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J29" s="2" t="n">
        <v>478.75</v>
      </c>
      <c r="N29" s="2" t="n">
        <v>10964.74</v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OGA</t>
        </is>
      </c>
    </row>
    <row r="3">
      <c r="A3" s="1" t="inlineStr">
        <is>
          <t>SEQUENCE</t>
        </is>
      </c>
      <c r="B3" t="inlineStr">
        <is>
          <t>OGA021</t>
        </is>
      </c>
    </row>
    <row r="4">
      <c r="A4" s="1" t="inlineStr">
        <is>
          <t>ROLLUP #</t>
        </is>
      </c>
      <c r="B4" t="inlineStr">
        <is>
          <t>750021</t>
        </is>
      </c>
    </row>
    <row r="5">
      <c r="A5" s="1" t="inlineStr">
        <is>
          <t>PROJECT NAME</t>
        </is>
      </c>
      <c r="B5" t="inlineStr">
        <is>
          <t>EVC Teaming JULY 2021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OGA-EWD Prime</t>
        </is>
      </c>
    </row>
    <row r="8">
      <c r="A8" s="1" t="inlineStr">
        <is>
          <t>SERVICE</t>
        </is>
      </c>
      <c r="B8" t="inlineStr">
        <is>
          <t>State or Local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AE18" s="10">
        <f>SUM(C18:AD18)</f>
        <v/>
      </c>
    </row>
    <row r="19">
      <c r="B19" t="inlineStr">
        <is>
          <t>Fringe 5990</t>
        </is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J22" s="2" t="n">
        <v>13375</v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J29" s="2" t="n">
        <v>3343.75</v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OGA</t>
        </is>
      </c>
    </row>
    <row r="3">
      <c r="A3" s="1" t="inlineStr">
        <is>
          <t>SEQUENCE</t>
        </is>
      </c>
      <c r="B3" t="inlineStr">
        <is>
          <t>OGA022</t>
        </is>
      </c>
    </row>
    <row r="4">
      <c r="A4" s="1" t="inlineStr">
        <is>
          <t>ROLLUP #</t>
        </is>
      </c>
      <c r="B4" t="inlineStr">
        <is>
          <t>750020</t>
        </is>
      </c>
    </row>
    <row r="5">
      <c r="A5" s="1" t="inlineStr">
        <is>
          <t>PROJECT NAME</t>
        </is>
      </c>
      <c r="B5" t="inlineStr">
        <is>
          <t>EVC AY21 to 22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OGA-EWD Prime</t>
        </is>
      </c>
    </row>
    <row r="8">
      <c r="A8" s="1" t="inlineStr">
        <is>
          <t>SERVICE</t>
        </is>
      </c>
      <c r="B8" t="inlineStr">
        <is>
          <t>State or Local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J18" s="2" t="n">
        <v>1502.25</v>
      </c>
      <c r="N18" s="2" t="n">
        <v>43860.33</v>
      </c>
      <c r="AE18" s="10">
        <f>SUM(C18:AD18)</f>
        <v/>
      </c>
    </row>
    <row r="19">
      <c r="B19" t="inlineStr">
        <is>
          <t>Fringe 5990</t>
        </is>
      </c>
      <c r="J19" s="2" t="n">
        <v>592.9400000000001</v>
      </c>
      <c r="N19" s="2" t="n">
        <v>18824.85</v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N25" s="2" t="n">
        <v>3000</v>
      </c>
      <c r="AE25" s="10">
        <f>SUM(C25:AD25)</f>
        <v/>
      </c>
    </row>
    <row r="26">
      <c r="B26" t="inlineStr">
        <is>
          <t>Material 5003</t>
        </is>
      </c>
      <c r="N26" s="2" t="n">
        <v>27.33</v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J29" s="2" t="n">
        <v>523.8</v>
      </c>
      <c r="N29" s="2" t="n">
        <v>84861.14</v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OGA</t>
        </is>
      </c>
    </row>
    <row r="3">
      <c r="A3" s="1" t="inlineStr">
        <is>
          <t>SEQUENCE</t>
        </is>
      </c>
      <c r="B3" t="inlineStr">
        <is>
          <t>OGA023</t>
        </is>
      </c>
    </row>
    <row r="4">
      <c r="A4" s="1" t="inlineStr">
        <is>
          <t>ROLLUP #</t>
        </is>
      </c>
      <c r="B4" t="inlineStr">
        <is>
          <t>750023</t>
        </is>
      </c>
    </row>
    <row r="5">
      <c r="A5" s="1" t="inlineStr">
        <is>
          <t>PROJECT NAME</t>
        </is>
      </c>
      <c r="B5" t="inlineStr">
        <is>
          <t>West Valley Mission College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OGA-EWD Prime</t>
        </is>
      </c>
    </row>
    <row r="8">
      <c r="A8" s="1" t="inlineStr">
        <is>
          <t>SERVICE</t>
        </is>
      </c>
      <c r="B8" t="inlineStr">
        <is>
          <t>State or Local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N18" s="2" t="n">
        <v>8414.209999999999</v>
      </c>
      <c r="AE18" s="10">
        <f>SUM(C18:AD18)</f>
        <v/>
      </c>
    </row>
    <row r="19">
      <c r="B19" t="inlineStr">
        <is>
          <t>Fringe 5990</t>
        </is>
      </c>
      <c r="N19" s="2" t="n">
        <v>3611.38</v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N29" s="2" t="n">
        <v>15529.84</v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OGA</t>
        </is>
      </c>
    </row>
    <row r="3">
      <c r="A3" s="1" t="inlineStr">
        <is>
          <t>SEQUENCE</t>
        </is>
      </c>
      <c r="B3" t="inlineStr">
        <is>
          <t>OGA024</t>
        </is>
      </c>
    </row>
    <row r="4">
      <c r="A4" s="1" t="inlineStr">
        <is>
          <t>ROLLUP #</t>
        </is>
      </c>
      <c r="B4" t="inlineStr">
        <is>
          <t>750026</t>
        </is>
      </c>
    </row>
    <row r="5">
      <c r="A5" s="1" t="inlineStr">
        <is>
          <t>PROJECT NAME</t>
        </is>
      </c>
      <c r="B5" t="inlineStr">
        <is>
          <t>CUHSD AY 21 to 22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OGA-EWD Prime</t>
        </is>
      </c>
    </row>
    <row r="8">
      <c r="A8" s="1" t="inlineStr">
        <is>
          <t>SERVICE</t>
        </is>
      </c>
      <c r="B8" t="inlineStr">
        <is>
          <t>State or Local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N18" s="2" t="n">
        <v>2818.14</v>
      </c>
      <c r="AE18" s="10">
        <f>SUM(C18:AD18)</f>
        <v/>
      </c>
    </row>
    <row r="19">
      <c r="B19" t="inlineStr">
        <is>
          <t>Fringe 5990</t>
        </is>
      </c>
      <c r="N19" s="2" t="n">
        <v>1209.55</v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N29" s="2" t="n">
        <v>5201.35</v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OGA</t>
        </is>
      </c>
    </row>
    <row r="3">
      <c r="A3" s="1" t="inlineStr">
        <is>
          <t>SEQUENCE</t>
        </is>
      </c>
      <c r="B3" t="inlineStr">
        <is>
          <t>OGA025</t>
        </is>
      </c>
    </row>
    <row r="4">
      <c r="A4" s="1" t="inlineStr">
        <is>
          <t>ROLLUP #</t>
        </is>
      </c>
      <c r="B4" t="inlineStr">
        <is>
          <t>750027</t>
        </is>
      </c>
    </row>
    <row r="5">
      <c r="A5" s="1" t="inlineStr">
        <is>
          <t>PROJECT NAME</t>
        </is>
      </c>
      <c r="B5" t="inlineStr">
        <is>
          <t>USD AY 21 to 22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OGA-EWD Prime</t>
        </is>
      </c>
    </row>
    <row r="8">
      <c r="A8" s="1" t="inlineStr">
        <is>
          <t>SERVICE</t>
        </is>
      </c>
      <c r="B8" t="inlineStr">
        <is>
          <t>State or Local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N18" s="2" t="n">
        <v>663.4</v>
      </c>
      <c r="AE18" s="10">
        <f>SUM(C18:AD18)</f>
        <v/>
      </c>
    </row>
    <row r="19">
      <c r="B19" t="inlineStr">
        <is>
          <t>Fringe 5990</t>
        </is>
      </c>
      <c r="N19" s="2" t="n">
        <v>284.72</v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N29" s="2" t="n">
        <v>1224.41</v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OGA</t>
        </is>
      </c>
    </row>
    <row r="3">
      <c r="A3" s="1" t="inlineStr">
        <is>
          <t>SEQUENCE</t>
        </is>
      </c>
      <c r="B3" t="inlineStr">
        <is>
          <t>OGA026</t>
        </is>
      </c>
    </row>
    <row r="4">
      <c r="A4" s="1" t="inlineStr">
        <is>
          <t>ROLLUP #</t>
        </is>
      </c>
      <c r="B4" t="inlineStr">
        <is>
          <t>750028</t>
        </is>
      </c>
    </row>
    <row r="5">
      <c r="A5" s="1" t="inlineStr">
        <is>
          <t>PROJECT NAME</t>
        </is>
      </c>
      <c r="B5" t="inlineStr">
        <is>
          <t>SCUSD AY 21 to 22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OGA-EWD Prime</t>
        </is>
      </c>
    </row>
    <row r="8">
      <c r="A8" s="1" t="inlineStr">
        <is>
          <t>SERVICE</t>
        </is>
      </c>
      <c r="B8" t="inlineStr">
        <is>
          <t>State or Local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N18" s="2" t="n">
        <v>99.76000000000001</v>
      </c>
      <c r="AE18" s="10">
        <f>SUM(C18:AD18)</f>
        <v/>
      </c>
    </row>
    <row r="19">
      <c r="B19" t="inlineStr">
        <is>
          <t>Fringe 5990</t>
        </is>
      </c>
      <c r="N19" s="2" t="n">
        <v>42.81</v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N29" s="2" t="n">
        <v>184.12</v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OGA</t>
        </is>
      </c>
    </row>
    <row r="3">
      <c r="A3" s="1" t="inlineStr">
        <is>
          <t>SEQUENCE</t>
        </is>
      </c>
      <c r="B3" t="inlineStr">
        <is>
          <t>OGA027</t>
        </is>
      </c>
    </row>
    <row r="4">
      <c r="A4" s="1" t="inlineStr">
        <is>
          <t>ROLLUP #</t>
        </is>
      </c>
      <c r="B4" t="inlineStr">
        <is>
          <t>750022</t>
        </is>
      </c>
    </row>
    <row r="5">
      <c r="A5" s="1" t="inlineStr">
        <is>
          <t>PROJECT NAME</t>
        </is>
      </c>
      <c r="B5" t="inlineStr">
        <is>
          <t>Massachusetts Technology Collaborative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OGA-EWD Prime</t>
        </is>
      </c>
    </row>
    <row r="8">
      <c r="A8" s="1" t="inlineStr">
        <is>
          <t>SERVICE</t>
        </is>
      </c>
      <c r="B8" t="inlineStr">
        <is>
          <t>State or Local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AE18" s="10">
        <f>SUM(C18:AD18)</f>
        <v/>
      </c>
    </row>
    <row r="19">
      <c r="B19" t="inlineStr">
        <is>
          <t>Fringe 5990</t>
        </is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OGA</t>
        </is>
      </c>
    </row>
    <row r="3">
      <c r="A3" s="1" t="inlineStr">
        <is>
          <t>SEQUENCE</t>
        </is>
      </c>
      <c r="B3" t="inlineStr">
        <is>
          <t>OGA028</t>
        </is>
      </c>
    </row>
    <row r="4">
      <c r="A4" s="1" t="inlineStr">
        <is>
          <t>ROLLUP #</t>
        </is>
      </c>
      <c r="B4" t="inlineStr">
        <is>
          <t>960030</t>
        </is>
      </c>
    </row>
    <row r="5">
      <c r="A5" s="1" t="inlineStr">
        <is>
          <t>PROJECT NAME</t>
        </is>
      </c>
      <c r="B5" t="inlineStr">
        <is>
          <t>Aptima FORE SBIR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OGA-Tech SubK</t>
        </is>
      </c>
    </row>
    <row r="8">
      <c r="A8" s="1" t="inlineStr">
        <is>
          <t>SERVICE</t>
        </is>
      </c>
      <c r="B8" t="inlineStr">
        <is>
          <t>CC SBIR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N18" s="2" t="n">
        <v>139918.32</v>
      </c>
      <c r="O18" s="2" t="n">
        <v>27670.3</v>
      </c>
      <c r="P18" s="2" t="n">
        <v>33974.95</v>
      </c>
      <c r="Q18" s="2" t="n">
        <v>740.52</v>
      </c>
      <c r="AE18" s="10">
        <f>SUM(C18:AD18)</f>
        <v/>
      </c>
    </row>
    <row r="19">
      <c r="B19" t="inlineStr">
        <is>
          <t>Fringe 5990</t>
        </is>
      </c>
      <c r="N19" s="2" t="n">
        <v>60052.73</v>
      </c>
      <c r="O19" s="2" t="n">
        <v>12529.11</v>
      </c>
      <c r="P19" s="2" t="n">
        <v>15383.87</v>
      </c>
      <c r="Q19" s="2" t="n">
        <v>335.31</v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P25" s="2" t="n">
        <v>49.42</v>
      </c>
      <c r="Q25" s="2" t="n">
        <v>26.1</v>
      </c>
      <c r="AE25" s="10">
        <f>SUM(C25:AD25)</f>
        <v/>
      </c>
    </row>
    <row r="26">
      <c r="B26" t="inlineStr">
        <is>
          <t>Material 5003</t>
        </is>
      </c>
      <c r="N26" s="2" t="n">
        <v>9683.74</v>
      </c>
      <c r="O26" s="2" t="n">
        <v>2620.27</v>
      </c>
      <c r="Q26" s="2" t="n">
        <v>-80</v>
      </c>
      <c r="R26" s="2" t="n">
        <v>11.62</v>
      </c>
      <c r="AE26" s="10">
        <f>SUM(C26:AD26)</f>
        <v/>
      </c>
    </row>
    <row r="27">
      <c r="B27" t="inlineStr">
        <is>
          <t>Sub K Overhead 5992</t>
        </is>
      </c>
      <c r="O27" s="2" t="n">
        <v>53.71</v>
      </c>
      <c r="P27" s="2" t="n">
        <v>-53.71</v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N29" s="2" t="n">
        <v>113358.68</v>
      </c>
      <c r="O29" s="2" t="n">
        <v>59220.22</v>
      </c>
      <c r="P29" s="2" t="n">
        <v>74252.02</v>
      </c>
      <c r="Q29" s="2" t="n">
        <v>1478.93</v>
      </c>
      <c r="R29" s="2" t="n">
        <v>16.82</v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OGA</t>
        </is>
      </c>
    </row>
    <row r="3">
      <c r="A3" s="1" t="inlineStr">
        <is>
          <t>SEQUENCE</t>
        </is>
      </c>
      <c r="B3" t="inlineStr">
        <is>
          <t>OGA029</t>
        </is>
      </c>
    </row>
    <row r="4">
      <c r="A4" s="1" t="inlineStr">
        <is>
          <t>ROLLUP #</t>
        </is>
      </c>
      <c r="B4" t="inlineStr">
        <is>
          <t>850029</t>
        </is>
      </c>
    </row>
    <row r="5">
      <c r="A5" s="1" t="inlineStr">
        <is>
          <t>PROJECT NAME</t>
        </is>
      </c>
      <c r="B5" t="inlineStr">
        <is>
          <t>EVC AMT AY22 to 23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OGA-EWD Prime</t>
        </is>
      </c>
    </row>
    <row r="8">
      <c r="A8" s="1" t="inlineStr">
        <is>
          <t>SERVICE</t>
        </is>
      </c>
      <c r="B8" t="inlineStr">
        <is>
          <t>State or Local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N18" s="2" t="n">
        <v>1278.81</v>
      </c>
      <c r="O18" s="2" t="n">
        <v>4940.62</v>
      </c>
      <c r="P18" s="2" t="n">
        <v>3457.71</v>
      </c>
      <c r="Q18" s="2" t="n">
        <v>2043.41</v>
      </c>
      <c r="R18" s="2" t="n">
        <v>12121.98</v>
      </c>
      <c r="AE18" s="10">
        <f>SUM(C18:AD18)</f>
        <v/>
      </c>
    </row>
    <row r="19">
      <c r="B19" t="inlineStr">
        <is>
          <t>Fringe 5990</t>
        </is>
      </c>
      <c r="N19" s="2" t="n">
        <v>548.87</v>
      </c>
      <c r="O19" s="2" t="n">
        <v>2237.11</v>
      </c>
      <c r="P19" s="2" t="n">
        <v>1565.65</v>
      </c>
      <c r="Q19" s="2" t="n">
        <v>925.25</v>
      </c>
      <c r="R19" s="2" t="n">
        <v>5488.83</v>
      </c>
      <c r="AE19" s="10">
        <f>SUM(C19:AD19)</f>
        <v/>
      </c>
    </row>
    <row r="20">
      <c r="B20" t="inlineStr">
        <is>
          <t>Travel 5004</t>
        </is>
      </c>
      <c r="O20" s="2" t="n">
        <v>834.17</v>
      </c>
      <c r="P20" s="2" t="n">
        <v>9</v>
      </c>
      <c r="Q20" s="2" t="n">
        <v>645</v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O28" s="2" t="n">
        <v>4975.38</v>
      </c>
      <c r="P28" s="2" t="n">
        <v>3125.1</v>
      </c>
      <c r="Q28" s="2" t="n">
        <v>2244.09</v>
      </c>
      <c r="R28" s="2" t="n">
        <v>10936.32</v>
      </c>
      <c r="AE28" s="10">
        <f>SUM(C28:AD28)</f>
        <v/>
      </c>
    </row>
    <row r="29">
      <c r="B29" t="inlineStr">
        <is>
          <t>G&amp;A 5991</t>
        </is>
      </c>
      <c r="N29" s="2" t="n">
        <v>988.04</v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OGA</t>
        </is>
      </c>
    </row>
    <row r="3">
      <c r="A3" s="1" t="inlineStr">
        <is>
          <t>SEQUENCE</t>
        </is>
      </c>
      <c r="B3" t="inlineStr">
        <is>
          <t>OGA030</t>
        </is>
      </c>
    </row>
    <row r="4">
      <c r="A4" s="1" t="inlineStr">
        <is>
          <t>ROLLUP #</t>
        </is>
      </c>
      <c r="B4" t="inlineStr">
        <is>
          <t>850030</t>
        </is>
      </c>
    </row>
    <row r="5">
      <c r="A5" s="1" t="inlineStr">
        <is>
          <t>PROJECT NAME</t>
        </is>
      </c>
      <c r="B5" t="inlineStr">
        <is>
          <t>EVC FlexFactor 22 to 23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OGA-EWD Prime</t>
        </is>
      </c>
    </row>
    <row r="8">
      <c r="A8" s="1" t="inlineStr">
        <is>
          <t>SERVICE</t>
        </is>
      </c>
      <c r="B8" t="inlineStr">
        <is>
          <t>State or Local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N18" s="2" t="n">
        <v>1938.8</v>
      </c>
      <c r="O18" s="2" t="n">
        <v>8075.25</v>
      </c>
      <c r="P18" s="2" t="n">
        <v>9024.459999999999</v>
      </c>
      <c r="Q18" s="2" t="n">
        <v>3562.85</v>
      </c>
      <c r="AE18" s="10">
        <f>SUM(C18:AD18)</f>
        <v/>
      </c>
    </row>
    <row r="19">
      <c r="B19" t="inlineStr">
        <is>
          <t>Fringe 5990</t>
        </is>
      </c>
      <c r="N19" s="2" t="n">
        <v>832.13</v>
      </c>
      <c r="O19" s="2" t="n">
        <v>3656.47</v>
      </c>
      <c r="P19" s="2" t="n">
        <v>4086.28</v>
      </c>
      <c r="Q19" s="2" t="n">
        <v>1613.26</v>
      </c>
      <c r="AE19" s="10">
        <f>SUM(C19:AD19)</f>
        <v/>
      </c>
    </row>
    <row r="20">
      <c r="B20" t="inlineStr">
        <is>
          <t>Travel 5004</t>
        </is>
      </c>
      <c r="N20" s="2" t="n">
        <v>10.38</v>
      </c>
      <c r="O20" s="2" t="n">
        <v>90.01000000000001</v>
      </c>
      <c r="P20" s="2" t="n">
        <v>68.40000000000001</v>
      </c>
      <c r="Q20" s="2" t="n">
        <v>35.9</v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Q26" s="2" t="n">
        <v>267.88</v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O28" s="2" t="n">
        <v>7341.3</v>
      </c>
      <c r="P28" s="2" t="n">
        <v>8184.25</v>
      </c>
      <c r="Q28" s="2" t="n">
        <v>3403.01</v>
      </c>
      <c r="AE28" s="10">
        <f>SUM(C28:AD28)</f>
        <v/>
      </c>
    </row>
    <row r="29">
      <c r="B29" t="inlineStr">
        <is>
          <t>G&amp;A 5991</t>
        </is>
      </c>
      <c r="N29" s="2" t="n">
        <v>1503.58</v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OGA</t>
        </is>
      </c>
    </row>
    <row r="3">
      <c r="A3" s="1" t="inlineStr">
        <is>
          <t>SEQUENCE</t>
        </is>
      </c>
      <c r="B3" t="inlineStr">
        <is>
          <t>OGA031</t>
        </is>
      </c>
    </row>
    <row r="4">
      <c r="A4" s="1" t="inlineStr">
        <is>
          <t>ROLLUP #</t>
        </is>
      </c>
      <c r="B4" t="inlineStr">
        <is>
          <t>850031</t>
        </is>
      </c>
    </row>
    <row r="5">
      <c r="A5" s="1" t="inlineStr">
        <is>
          <t>PROJECT NAME</t>
        </is>
      </c>
      <c r="B5" t="inlineStr">
        <is>
          <t>CUHSD FF22 to 23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OGA-EWD Prime</t>
        </is>
      </c>
    </row>
    <row r="8">
      <c r="A8" s="1" t="inlineStr">
        <is>
          <t>SERVICE</t>
        </is>
      </c>
      <c r="B8" t="inlineStr">
        <is>
          <t>State or Local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N18" s="2" t="n">
        <v>4376.14</v>
      </c>
      <c r="O18" s="2" t="n">
        <v>3018.85</v>
      </c>
      <c r="P18" s="2" t="n">
        <v>1496.06</v>
      </c>
      <c r="Q18" s="2" t="n">
        <v>126.55</v>
      </c>
      <c r="AE18" s="10">
        <f>SUM(C18:AD18)</f>
        <v/>
      </c>
    </row>
    <row r="19">
      <c r="B19" t="inlineStr">
        <is>
          <t>Fringe 5990</t>
        </is>
      </c>
      <c r="N19" s="2" t="n">
        <v>1878.24</v>
      </c>
      <c r="O19" s="2" t="n">
        <v>1366.93</v>
      </c>
      <c r="P19" s="2" t="n">
        <v>677.42</v>
      </c>
      <c r="Q19" s="2" t="n">
        <v>57.3</v>
      </c>
      <c r="AE19" s="10">
        <f>SUM(C19:AD19)</f>
        <v/>
      </c>
    </row>
    <row r="20">
      <c r="B20" t="inlineStr">
        <is>
          <t>Travel 5004</t>
        </is>
      </c>
      <c r="N20" s="2" t="n">
        <v>202.12</v>
      </c>
      <c r="O20" s="2" t="n">
        <v>130.55</v>
      </c>
      <c r="P20" s="2" t="n">
        <v>193.23</v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Q25" s="2" t="n">
        <v>6000</v>
      </c>
      <c r="AE25" s="10">
        <f>SUM(C25:AD25)</f>
        <v/>
      </c>
    </row>
    <row r="26">
      <c r="B26" t="inlineStr">
        <is>
          <t>Material 5003</t>
        </is>
      </c>
      <c r="P26" s="2" t="n">
        <v>44.23</v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O28" s="2" t="n">
        <v>2804.64</v>
      </c>
      <c r="P28" s="2" t="n">
        <v>1472.05</v>
      </c>
      <c r="Q28" s="2" t="n">
        <v>3865.31</v>
      </c>
      <c r="AE28" s="10">
        <f>SUM(C28:AD28)</f>
        <v/>
      </c>
    </row>
    <row r="29">
      <c r="B29" t="inlineStr">
        <is>
          <t>G&amp;A 5991</t>
        </is>
      </c>
      <c r="N29" s="2" t="n">
        <v>3490.39</v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OGA</t>
        </is>
      </c>
    </row>
    <row r="3">
      <c r="A3" s="1" t="inlineStr">
        <is>
          <t>SEQUENCE</t>
        </is>
      </c>
      <c r="B3" t="inlineStr">
        <is>
          <t>OGA032</t>
        </is>
      </c>
    </row>
    <row r="4">
      <c r="A4" s="1" t="inlineStr">
        <is>
          <t>ROLLUP #</t>
        </is>
      </c>
      <c r="B4" t="inlineStr">
        <is>
          <t>960040</t>
        </is>
      </c>
    </row>
    <row r="5">
      <c r="A5" s="1" t="inlineStr">
        <is>
          <t>PROJECT NAME</t>
        </is>
      </c>
      <c r="B5" t="inlineStr">
        <is>
          <t>Sunray TACFI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OGA-Tech SubK</t>
        </is>
      </c>
    </row>
    <row r="8">
      <c r="A8" s="1" t="inlineStr">
        <is>
          <t>SERVICE</t>
        </is>
      </c>
      <c r="B8" t="inlineStr">
        <is>
          <t>CC SBIR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O18" s="2" t="n">
        <v>5398.67</v>
      </c>
      <c r="P18" s="2" t="n">
        <v>16883.43</v>
      </c>
      <c r="Q18" s="2" t="n">
        <v>2184.73</v>
      </c>
      <c r="R18" s="2" t="n">
        <v>2670.03</v>
      </c>
      <c r="S18" s="2" t="n">
        <v>477.09</v>
      </c>
      <c r="T18" s="2" t="n">
        <v>1815.45</v>
      </c>
      <c r="U18" s="2" t="n">
        <v>3389.89</v>
      </c>
      <c r="V18" s="2" t="n">
        <v>3062.36</v>
      </c>
      <c r="W18" s="2" t="n">
        <v>214.37</v>
      </c>
      <c r="AE18" s="10">
        <f>SUM(C18:AD18)</f>
        <v/>
      </c>
    </row>
    <row r="19">
      <c r="B19" t="inlineStr">
        <is>
          <t>Fringe 5990</t>
        </is>
      </c>
      <c r="O19" s="2" t="n">
        <v>2444.52</v>
      </c>
      <c r="P19" s="2" t="n">
        <v>7644.83</v>
      </c>
      <c r="Q19" s="2" t="n">
        <v>989.24</v>
      </c>
      <c r="R19" s="2" t="n">
        <v>1208.99</v>
      </c>
      <c r="S19" s="2" t="n">
        <v>216.02</v>
      </c>
      <c r="T19" s="2" t="n">
        <v>886.67</v>
      </c>
      <c r="U19" s="2" t="n">
        <v>1630.54</v>
      </c>
      <c r="V19" s="2" t="n">
        <v>1473</v>
      </c>
      <c r="W19" s="2" t="n">
        <v>107.74</v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Q25" s="2" t="n">
        <v>54.62</v>
      </c>
      <c r="T25" s="2" t="n">
        <v>48.78</v>
      </c>
      <c r="U25" s="2" t="n">
        <v>102.72</v>
      </c>
      <c r="AE25" s="10">
        <f>SUM(C25:AD25)</f>
        <v/>
      </c>
    </row>
    <row r="26">
      <c r="B26" t="inlineStr">
        <is>
          <t>Material 5003</t>
        </is>
      </c>
      <c r="P26" s="2" t="n">
        <v>816</v>
      </c>
      <c r="Q26" s="2" t="n">
        <v>1587.74</v>
      </c>
      <c r="U26" s="2" t="n">
        <v>1226</v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O29" s="2" t="n">
        <v>11350.66</v>
      </c>
      <c r="P29" s="2" t="n">
        <v>36678.2</v>
      </c>
      <c r="Q29" s="2" t="n">
        <v>6970.21</v>
      </c>
      <c r="R29" s="2" t="n">
        <v>5613.71</v>
      </c>
      <c r="S29" s="2" t="n">
        <v>1003.07</v>
      </c>
      <c r="T29" s="2" t="n">
        <v>3522.04</v>
      </c>
      <c r="U29" s="2" t="n">
        <v>8342.139999999999</v>
      </c>
      <c r="V29" s="2" t="n">
        <v>5959.01</v>
      </c>
      <c r="W29" s="2" t="n">
        <v>427.73</v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OGA</t>
        </is>
      </c>
    </row>
    <row r="3">
      <c r="A3" s="1" t="inlineStr">
        <is>
          <t>SEQUENCE</t>
        </is>
      </c>
      <c r="B3" t="inlineStr">
        <is>
          <t>OGA033</t>
        </is>
      </c>
    </row>
    <row r="4">
      <c r="A4" s="1" t="inlineStr">
        <is>
          <t>ROLLUP #</t>
        </is>
      </c>
      <c r="B4" t="inlineStr">
        <is>
          <t>850033</t>
        </is>
      </c>
    </row>
    <row r="5">
      <c r="A5" s="1" t="inlineStr">
        <is>
          <t>PROJECT NAME</t>
        </is>
      </c>
      <c r="B5" t="inlineStr">
        <is>
          <t>SCUSD FF AY22 to 23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OGA-EWD Prime</t>
        </is>
      </c>
    </row>
    <row r="8">
      <c r="A8" s="1" t="inlineStr">
        <is>
          <t>SERVICE</t>
        </is>
      </c>
      <c r="B8" t="inlineStr">
        <is>
          <t>State or Local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N18" s="2" t="n">
        <v>292.69</v>
      </c>
      <c r="O18" s="2" t="n">
        <v>4391.97</v>
      </c>
      <c r="P18" s="2" t="n">
        <v>647.6900000000001</v>
      </c>
      <c r="Q18" s="2" t="n">
        <v>2060.28</v>
      </c>
      <c r="AE18" s="10">
        <f>SUM(C18:AD18)</f>
        <v/>
      </c>
    </row>
    <row r="19">
      <c r="B19" t="inlineStr">
        <is>
          <t>Fringe 5990</t>
        </is>
      </c>
      <c r="N19" s="2" t="n">
        <v>125.62</v>
      </c>
      <c r="O19" s="2" t="n">
        <v>1988.68</v>
      </c>
      <c r="P19" s="2" t="n">
        <v>293.27</v>
      </c>
      <c r="Q19" s="2" t="n">
        <v>932.89</v>
      </c>
      <c r="AE19" s="10">
        <f>SUM(C19:AD19)</f>
        <v/>
      </c>
    </row>
    <row r="20">
      <c r="B20" t="inlineStr">
        <is>
          <t>Travel 5004</t>
        </is>
      </c>
      <c r="N20" s="2" t="n">
        <v>6.88</v>
      </c>
      <c r="O20" s="2" t="n">
        <v>146</v>
      </c>
      <c r="P20" s="2" t="n">
        <v>23.06</v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P26" s="2" t="n">
        <v>25.25</v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O28" s="2" t="n">
        <v>4053.06</v>
      </c>
      <c r="P28" s="2" t="n">
        <v>614.34</v>
      </c>
      <c r="Q28" s="2" t="n">
        <v>1858.76</v>
      </c>
      <c r="AE28" s="10">
        <f>SUM(C28:AD28)</f>
        <v/>
      </c>
    </row>
    <row r="29">
      <c r="B29" t="inlineStr">
        <is>
          <t>G&amp;A 5991</t>
        </is>
      </c>
      <c r="N29" s="2" t="n">
        <v>229.86</v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OGA</t>
        </is>
      </c>
    </row>
    <row r="3">
      <c r="A3" s="1" t="inlineStr">
        <is>
          <t>SEQUENCE</t>
        </is>
      </c>
      <c r="B3" t="inlineStr">
        <is>
          <t>OGA034</t>
        </is>
      </c>
    </row>
    <row r="4">
      <c r="A4" s="1" t="inlineStr">
        <is>
          <t>ROLLUP #</t>
        </is>
      </c>
      <c r="B4" t="inlineStr">
        <is>
          <t>850036</t>
        </is>
      </c>
    </row>
    <row r="5">
      <c r="A5" s="1" t="inlineStr">
        <is>
          <t>PROJECT NAME</t>
        </is>
      </c>
      <c r="B5" t="inlineStr">
        <is>
          <t>USD AY 22 to 23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OGA-EWD Prime</t>
        </is>
      </c>
    </row>
    <row r="8">
      <c r="A8" s="1" t="inlineStr">
        <is>
          <t>SERVICE</t>
        </is>
      </c>
      <c r="B8" t="inlineStr">
        <is>
          <t>State or Local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O18" s="2" t="n">
        <v>491.54</v>
      </c>
      <c r="P18" s="2" t="n">
        <v>1517.45</v>
      </c>
      <c r="Q18" s="2" t="n">
        <v>793.5700000000001</v>
      </c>
      <c r="AE18" s="10">
        <f>SUM(C18:AD18)</f>
        <v/>
      </c>
    </row>
    <row r="19">
      <c r="B19" t="inlineStr">
        <is>
          <t>Fringe 5990</t>
        </is>
      </c>
      <c r="O19" s="2" t="n">
        <v>222.57</v>
      </c>
      <c r="P19" s="2" t="n">
        <v>687.1</v>
      </c>
      <c r="Q19" s="2" t="n">
        <v>359.32</v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O28" s="2" t="n">
        <v>443.47</v>
      </c>
      <c r="P28" s="2" t="n">
        <v>1369.02</v>
      </c>
      <c r="Q28" s="2" t="n">
        <v>715.95</v>
      </c>
      <c r="AE28" s="10">
        <f>SUM(C28:AD28)</f>
        <v/>
      </c>
    </row>
    <row r="29">
      <c r="B29" t="inlineStr">
        <is>
          <t>G&amp;A 5991</t>
        </is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OGA</t>
        </is>
      </c>
    </row>
    <row r="3">
      <c r="A3" s="1" t="inlineStr">
        <is>
          <t>SEQUENCE</t>
        </is>
      </c>
      <c r="B3" t="inlineStr">
        <is>
          <t>OGA035</t>
        </is>
      </c>
    </row>
    <row r="4">
      <c r="A4" s="1" t="inlineStr">
        <is>
          <t>ROLLUP #</t>
        </is>
      </c>
      <c r="B4" t="inlineStr">
        <is>
          <t>850037</t>
        </is>
      </c>
    </row>
    <row r="5">
      <c r="A5" s="1" t="inlineStr">
        <is>
          <t>PROJECT NAME</t>
        </is>
      </c>
      <c r="B5" t="inlineStr">
        <is>
          <t>SJUSD FF22 to 23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OGA-EWD Prime</t>
        </is>
      </c>
    </row>
    <row r="8">
      <c r="A8" s="1" t="inlineStr">
        <is>
          <t>SERVICE</t>
        </is>
      </c>
      <c r="B8" t="inlineStr">
        <is>
          <t>State or Local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O18" s="2" t="n">
        <v>774.52</v>
      </c>
      <c r="P18" s="2" t="n">
        <v>2441.6</v>
      </c>
      <c r="Q18" s="2" t="n">
        <v>11645.45</v>
      </c>
      <c r="R18" s="2" t="n">
        <v>3805.79</v>
      </c>
      <c r="AE18" s="10">
        <f>SUM(C18:AD18)</f>
        <v/>
      </c>
    </row>
    <row r="19">
      <c r="B19" t="inlineStr">
        <is>
          <t>Fringe 5990</t>
        </is>
      </c>
      <c r="O19" s="2" t="n">
        <v>350.7</v>
      </c>
      <c r="P19" s="2" t="n">
        <v>1105.56</v>
      </c>
      <c r="Q19" s="2" t="n">
        <v>5273.07</v>
      </c>
      <c r="R19" s="2" t="n">
        <v>1723.26</v>
      </c>
      <c r="AE19" s="10">
        <f>SUM(C19:AD19)</f>
        <v/>
      </c>
    </row>
    <row r="20">
      <c r="B20" t="inlineStr">
        <is>
          <t>Travel 5004</t>
        </is>
      </c>
      <c r="P20" s="2" t="n">
        <v>50</v>
      </c>
      <c r="Q20" s="2" t="n">
        <v>116.91</v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Q26" s="2" t="n">
        <v>199.72</v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O28" s="2" t="n">
        <v>698.77</v>
      </c>
      <c r="P28" s="2" t="n">
        <v>2233.83</v>
      </c>
      <c r="Q28" s="2" t="n">
        <v>10703.01</v>
      </c>
      <c r="R28" s="2" t="n">
        <v>3433.54</v>
      </c>
      <c r="AE28" s="10">
        <f>SUM(C28:AD28)</f>
        <v/>
      </c>
    </row>
    <row r="29">
      <c r="B29" t="inlineStr">
        <is>
          <t>G&amp;A 5991</t>
        </is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OGA</t>
        </is>
      </c>
    </row>
    <row r="3">
      <c r="A3" s="1" t="inlineStr">
        <is>
          <t>SEQUENCE</t>
        </is>
      </c>
      <c r="B3" t="inlineStr">
        <is>
          <t>OGA036</t>
        </is>
      </c>
    </row>
    <row r="4">
      <c r="A4" s="1" t="inlineStr">
        <is>
          <t>ROLLUP #</t>
        </is>
      </c>
      <c r="B4" t="inlineStr">
        <is>
          <t>960045</t>
        </is>
      </c>
    </row>
    <row r="5">
      <c r="A5" s="1" t="inlineStr">
        <is>
          <t>PROJECT NAME</t>
        </is>
      </c>
      <c r="B5" t="inlineStr">
        <is>
          <t>Quasar SBIR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OGA-Tech SubK</t>
        </is>
      </c>
    </row>
    <row r="8">
      <c r="A8" s="1" t="inlineStr">
        <is>
          <t>SERVICE</t>
        </is>
      </c>
      <c r="B8" t="inlineStr">
        <is>
          <t>CC SBIR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Q18" s="2" t="n">
        <v>432.94</v>
      </c>
      <c r="T18" s="2" t="n">
        <v>47.03</v>
      </c>
      <c r="U18" s="2" t="n">
        <v>639.73</v>
      </c>
      <c r="AE18" s="10">
        <f>SUM(C18:AD18)</f>
        <v/>
      </c>
    </row>
    <row r="19">
      <c r="B19" t="inlineStr">
        <is>
          <t>Fringe 5990</t>
        </is>
      </c>
      <c r="Q19" s="2" t="n">
        <v>196.03</v>
      </c>
      <c r="T19" s="2" t="n">
        <v>22.62</v>
      </c>
      <c r="U19" s="2" t="n">
        <v>307.71</v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Q29" s="2" t="n">
        <v>910.25</v>
      </c>
      <c r="T29" s="2" t="n">
        <v>91.52</v>
      </c>
      <c r="U29" s="2" t="n">
        <v>1244.84</v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OGA</t>
        </is>
      </c>
    </row>
    <row r="3">
      <c r="A3" s="1" t="inlineStr">
        <is>
          <t>SEQUENCE</t>
        </is>
      </c>
      <c r="B3" t="inlineStr">
        <is>
          <t>OGA037</t>
        </is>
      </c>
    </row>
    <row r="4">
      <c r="A4" s="1" t="inlineStr">
        <is>
          <t>ROLLUP #</t>
        </is>
      </c>
      <c r="B4" t="inlineStr">
        <is>
          <t>730021</t>
        </is>
      </c>
    </row>
    <row r="5">
      <c r="A5" s="1" t="inlineStr">
        <is>
          <t>PROJECT NAME</t>
        </is>
      </c>
      <c r="B5" t="inlineStr">
        <is>
          <t>Organic Industrial Base Modernisation OIB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OGA-Tech SubK</t>
        </is>
      </c>
    </row>
    <row r="8">
      <c r="A8" s="1" t="inlineStr">
        <is>
          <t>SERVICE</t>
        </is>
      </c>
      <c r="B8" t="inlineStr">
        <is>
          <t>Airforce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Q18" s="2" t="n">
        <v>4217.67</v>
      </c>
      <c r="R18" s="2" t="n">
        <v>1648</v>
      </c>
      <c r="S18" s="2" t="n">
        <v>3097.15</v>
      </c>
      <c r="T18" s="2" t="n">
        <v>741.63</v>
      </c>
      <c r="U18" s="2" t="n">
        <v>945.9400000000001</v>
      </c>
      <c r="V18" s="2" t="n">
        <v>137.16</v>
      </c>
      <c r="W18" s="2" t="n">
        <v>486.51</v>
      </c>
      <c r="X18" s="2" t="n">
        <v>6698.29</v>
      </c>
      <c r="Y18" s="2" t="n">
        <v>895.48</v>
      </c>
      <c r="Z18" s="2" t="n">
        <v>398.96</v>
      </c>
      <c r="AA18" s="2" t="n">
        <v>1165.71</v>
      </c>
      <c r="AE18" s="10">
        <f>SUM(C18:AD18)</f>
        <v/>
      </c>
    </row>
    <row r="19">
      <c r="B19" t="inlineStr">
        <is>
          <t>Fringe 5990</t>
        </is>
      </c>
      <c r="Q19" s="2" t="n">
        <v>1909.77</v>
      </c>
      <c r="R19" s="2" t="n">
        <v>746.21</v>
      </c>
      <c r="S19" s="2" t="n">
        <v>1402.39</v>
      </c>
      <c r="T19" s="2" t="n">
        <v>444.06</v>
      </c>
      <c r="U19" s="2" t="n">
        <v>455</v>
      </c>
      <c r="V19" s="2" t="n">
        <v>65.97</v>
      </c>
      <c r="W19" s="2" t="n">
        <v>244.52</v>
      </c>
      <c r="X19" s="2" t="n">
        <v>3366.57</v>
      </c>
      <c r="Y19" s="2" t="n">
        <v>450.07</v>
      </c>
      <c r="Z19" s="2" t="n">
        <v>200.52</v>
      </c>
      <c r="AA19" s="2" t="n">
        <v>630.99</v>
      </c>
      <c r="AE19" s="10">
        <f>SUM(C19:AD19)</f>
        <v/>
      </c>
    </row>
    <row r="20">
      <c r="B20" t="inlineStr">
        <is>
          <t>Travel 5004</t>
        </is>
      </c>
      <c r="Q20" s="2" t="n">
        <v>3470.73</v>
      </c>
      <c r="S20" s="2" t="n">
        <v>1192.21</v>
      </c>
      <c r="Y20" s="2" t="n">
        <v>1605.72</v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Q29" s="2" t="n">
        <v>13890.46</v>
      </c>
      <c r="R29" s="2" t="n">
        <v>3464.9</v>
      </c>
      <c r="S29" s="2" t="n">
        <v>8237.1</v>
      </c>
      <c r="T29" s="2" t="n">
        <v>799.17</v>
      </c>
      <c r="U29" s="2" t="n">
        <v>1840.69</v>
      </c>
      <c r="V29" s="2" t="n">
        <v>266.9</v>
      </c>
      <c r="W29" s="2" t="n">
        <v>970.74</v>
      </c>
      <c r="X29" s="2" t="n">
        <v>13365.13</v>
      </c>
      <c r="Y29" s="2" t="n">
        <v>3918.98</v>
      </c>
      <c r="Z29" s="2" t="n">
        <v>796.04</v>
      </c>
      <c r="AA29" s="2" t="n">
        <v>2448.18</v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Q32" s="2" t="n">
        <v>7701.54</v>
      </c>
      <c r="R32" s="2" t="n">
        <v>9666.299999999999</v>
      </c>
      <c r="S32" s="2" t="n">
        <v>8178.03</v>
      </c>
      <c r="AE32" s="10">
        <f>SUM(C32:AD32)</f>
        <v/>
      </c>
    </row>
    <row r="33">
      <c r="B33" t="inlineStr">
        <is>
          <t>Fringe 5990</t>
        </is>
      </c>
      <c r="Q33" s="2" t="n">
        <v>3486.85</v>
      </c>
      <c r="R33" s="2" t="n">
        <v>4376.91</v>
      </c>
      <c r="S33" s="2" t="n">
        <v>3703.02</v>
      </c>
      <c r="AE33" s="10">
        <f>SUM(C33:AD33)</f>
        <v/>
      </c>
    </row>
    <row r="34">
      <c r="B34" t="inlineStr">
        <is>
          <t>Travel 5004</t>
        </is>
      </c>
      <c r="Q34" s="2" t="n">
        <v>5890.59</v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Q43" s="2" t="n">
        <v>24717.3</v>
      </c>
      <c r="R43" s="2" t="n">
        <v>20323.28</v>
      </c>
      <c r="S43" s="2" t="n">
        <v>16956.21</v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OGA</t>
        </is>
      </c>
    </row>
    <row r="3">
      <c r="A3" s="1" t="inlineStr">
        <is>
          <t>SEQUENCE</t>
        </is>
      </c>
      <c r="B3" t="inlineStr">
        <is>
          <t>OGA038</t>
        </is>
      </c>
    </row>
    <row r="4">
      <c r="A4" s="1" t="inlineStr">
        <is>
          <t>ROLLUP #</t>
        </is>
      </c>
      <c r="B4" t="inlineStr">
        <is>
          <t>930001</t>
        </is>
      </c>
    </row>
    <row r="5">
      <c r="A5" s="1" t="inlineStr">
        <is>
          <t>PROJECT NAME</t>
        </is>
      </c>
      <c r="B5" t="inlineStr">
        <is>
          <t>Clinical Verificaiton &amp; Validation of Wearable Infrared Blood Alcohol Content Monitor SBIR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OGA-Tech SubK</t>
        </is>
      </c>
    </row>
    <row r="8">
      <c r="A8" s="1" t="inlineStr">
        <is>
          <t>SERVICE</t>
        </is>
      </c>
      <c r="B8" t="inlineStr">
        <is>
          <t>CC SBIR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T18" s="2" t="n">
        <v>18365.54</v>
      </c>
      <c r="U18" s="2" t="n">
        <v>78810.62</v>
      </c>
      <c r="V18" s="2" t="n">
        <v>32038.94</v>
      </c>
      <c r="W18" s="2" t="n">
        <v>9364.58</v>
      </c>
      <c r="X18" s="2" t="n">
        <v>16485.32</v>
      </c>
      <c r="Y18" s="2" t="n">
        <v>-9334.17</v>
      </c>
      <c r="Z18" s="2" t="n">
        <v>-631.05</v>
      </c>
      <c r="AE18" s="10">
        <f>SUM(C18:AD18)</f>
        <v/>
      </c>
    </row>
    <row r="19">
      <c r="B19" t="inlineStr">
        <is>
          <t>Fringe 5990</t>
        </is>
      </c>
      <c r="T19" s="2" t="n">
        <v>8833.83</v>
      </c>
      <c r="U19" s="2" t="n">
        <v>37907.91</v>
      </c>
      <c r="V19" s="2" t="n">
        <v>15410.73</v>
      </c>
      <c r="W19" s="2" t="n">
        <v>4706.64</v>
      </c>
      <c r="X19" s="2" t="n">
        <v>8285.52</v>
      </c>
      <c r="Y19" s="2" t="n">
        <v>-4691.35</v>
      </c>
      <c r="Z19" s="2" t="n">
        <v>-317.16</v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U25" s="2" t="n">
        <v>348.08</v>
      </c>
      <c r="W25" s="2" t="n">
        <v>113.03</v>
      </c>
      <c r="X25" s="2" t="n">
        <v>21.33</v>
      </c>
      <c r="Y25" s="2" t="n">
        <v>52.36</v>
      </c>
      <c r="AE25" s="10">
        <f>SUM(C25:AD25)</f>
        <v/>
      </c>
    </row>
    <row r="26">
      <c r="B26" t="inlineStr">
        <is>
          <t>Material 5003</t>
        </is>
      </c>
      <c r="T26" s="2" t="n">
        <v>2795.16</v>
      </c>
      <c r="U26" s="2" t="n">
        <v>3746.38</v>
      </c>
      <c r="V26" s="2" t="n">
        <v>968.51</v>
      </c>
      <c r="Y26" s="2" t="n">
        <v>5.99</v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T29" s="2" t="n">
        <v>39409.81</v>
      </c>
      <c r="U29" s="2" t="n">
        <v>158736.18</v>
      </c>
      <c r="V29" s="2" t="n">
        <v>63616.65</v>
      </c>
      <c r="W29" s="2" t="n">
        <v>18835.27</v>
      </c>
      <c r="X29" s="2" t="n">
        <v>32921.53</v>
      </c>
      <c r="Y29" s="2" t="n">
        <v>-18547.01</v>
      </c>
      <c r="Z29" s="2" t="n">
        <v>-1259.15</v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OGA</t>
        </is>
      </c>
    </row>
    <row r="3">
      <c r="A3" s="1" t="inlineStr">
        <is>
          <t>SEQUENCE</t>
        </is>
      </c>
      <c r="B3" t="inlineStr">
        <is>
          <t>OGA039</t>
        </is>
      </c>
    </row>
    <row r="4">
      <c r="A4" s="1" t="inlineStr">
        <is>
          <t>ROLLUP #</t>
        </is>
      </c>
      <c r="B4" t="inlineStr">
        <is>
          <t>730025</t>
        </is>
      </c>
    </row>
    <row r="5">
      <c r="A5" s="1" t="inlineStr">
        <is>
          <t>PROJECT NAME</t>
        </is>
      </c>
      <c r="B5" t="inlineStr">
        <is>
          <t>Soldier Authentication Rev E Rom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OGA-Tech SubK</t>
        </is>
      </c>
    </row>
    <row r="8">
      <c r="A8" s="1" t="inlineStr">
        <is>
          <t>SERVICE</t>
        </is>
      </c>
      <c r="B8" t="inlineStr">
        <is>
          <t>Other DOD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T18" s="2" t="n">
        <v>28705.93</v>
      </c>
      <c r="U18" s="2" t="n">
        <v>46594.88</v>
      </c>
      <c r="V18" s="2" t="n">
        <v>90875.67999999999</v>
      </c>
      <c r="W18" s="2" t="n">
        <v>54369.91</v>
      </c>
      <c r="X18" s="2" t="n">
        <v>76384.25999999999</v>
      </c>
      <c r="Y18" s="2" t="n">
        <v>43916.03</v>
      </c>
      <c r="Z18" s="2" t="n">
        <v>-110192.08</v>
      </c>
      <c r="AA18" s="2" t="n">
        <v>32926.07</v>
      </c>
      <c r="AE18" s="10">
        <f>SUM(C18:AD18)</f>
        <v/>
      </c>
    </row>
    <row r="19">
      <c r="B19" t="inlineStr">
        <is>
          <t>Fringe 5990</t>
        </is>
      </c>
      <c r="T19" s="2" t="n">
        <v>13807.55</v>
      </c>
      <c r="U19" s="2" t="n">
        <v>22412.14</v>
      </c>
      <c r="V19" s="2" t="n">
        <v>43711.2</v>
      </c>
      <c r="W19" s="2" t="n">
        <v>27326.32</v>
      </c>
      <c r="X19" s="2" t="n">
        <v>38390.73</v>
      </c>
      <c r="Y19" s="2" t="n">
        <v>22072.2</v>
      </c>
      <c r="Z19" s="2" t="n">
        <v>-55382.55</v>
      </c>
      <c r="AA19" s="2" t="n">
        <v>17822.88</v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A21" s="2" t="n">
        <v>14515.63</v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U25" s="2" t="n">
        <v>244.09</v>
      </c>
      <c r="V25" s="2" t="n">
        <v>1024.12</v>
      </c>
      <c r="W25" s="2" t="n">
        <v>116.01</v>
      </c>
      <c r="X25" s="2" t="n">
        <v>155.45</v>
      </c>
      <c r="Y25" s="2" t="n">
        <v>436.63</v>
      </c>
      <c r="AA25" s="2" t="n">
        <v>70.52</v>
      </c>
      <c r="AE25" s="10">
        <f>SUM(C25:AD25)</f>
        <v/>
      </c>
    </row>
    <row r="26">
      <c r="B26" t="inlineStr">
        <is>
          <t>Material 5003</t>
        </is>
      </c>
      <c r="T26" s="2" t="n">
        <v>102.49</v>
      </c>
      <c r="U26" s="2" t="n">
        <v>19051.26</v>
      </c>
      <c r="V26" s="2" t="n">
        <v>6960.85</v>
      </c>
      <c r="W26" s="2" t="n">
        <v>2428.19</v>
      </c>
      <c r="X26" s="2" t="n">
        <v>2219.2</v>
      </c>
      <c r="Y26" s="2" t="n">
        <v>5104.95</v>
      </c>
      <c r="AA26" s="2" t="n">
        <v>20976.97</v>
      </c>
      <c r="AE26" s="10">
        <f>SUM(C26:AD26)</f>
        <v/>
      </c>
    </row>
    <row r="27">
      <c r="B27" t="inlineStr">
        <is>
          <t>Sub K Overhead 5992</t>
        </is>
      </c>
      <c r="AA27" s="2" t="n">
        <v>439.82</v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T29" s="2" t="n">
        <v>55993.12</v>
      </c>
      <c r="U29" s="2" t="n">
        <v>116020.47</v>
      </c>
      <c r="V29" s="2" t="n">
        <v>187325.14</v>
      </c>
      <c r="W29" s="2" t="n">
        <v>111862.86</v>
      </c>
      <c r="X29" s="2" t="n">
        <v>155563.01</v>
      </c>
      <c r="Y29" s="2" t="n">
        <v>94984.44</v>
      </c>
      <c r="Z29" s="2" t="n">
        <v>-219866.55</v>
      </c>
      <c r="AA29" s="2" t="n">
        <v>97829.83</v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T32" s="2" t="n">
        <v>33002.5</v>
      </c>
      <c r="U32" s="2" t="n">
        <v>33002.52</v>
      </c>
      <c r="V32" s="2" t="n">
        <v>33002.52</v>
      </c>
      <c r="W32" s="2" t="n">
        <v>33002.52</v>
      </c>
      <c r="X32" s="2" t="n">
        <v>33002.52</v>
      </c>
      <c r="Y32" s="2" t="n">
        <v>33002.52</v>
      </c>
      <c r="Z32" s="2" t="n">
        <v>33002.52</v>
      </c>
      <c r="AA32" s="2" t="n">
        <v>33002.52</v>
      </c>
      <c r="AB32" s="2" t="n">
        <v>33002.52</v>
      </c>
      <c r="AC32" s="2" t="n">
        <v>11000.84</v>
      </c>
      <c r="AE32" s="10">
        <f>SUM(C32:AD32)</f>
        <v/>
      </c>
    </row>
    <row r="33">
      <c r="B33" t="inlineStr">
        <is>
          <t>Fringe 5990</t>
        </is>
      </c>
      <c r="T33" s="2" t="n">
        <v>16561.2</v>
      </c>
      <c r="U33" s="2" t="n">
        <v>16561.2</v>
      </c>
      <c r="V33" s="2" t="n">
        <v>16561.2</v>
      </c>
      <c r="W33" s="2" t="n">
        <v>16561.2</v>
      </c>
      <c r="X33" s="2" t="n">
        <v>16561.2</v>
      </c>
      <c r="Y33" s="2" t="n">
        <v>16561.2</v>
      </c>
      <c r="Z33" s="2" t="n">
        <v>16561.2</v>
      </c>
      <c r="AA33" s="2" t="n">
        <v>16561.2</v>
      </c>
      <c r="AB33" s="2" t="n">
        <v>16561.2</v>
      </c>
      <c r="AC33" s="2" t="n">
        <v>5520.4</v>
      </c>
      <c r="AE33" s="10">
        <f>SUM(C33:AD33)</f>
        <v/>
      </c>
    </row>
    <row r="34">
      <c r="B34" t="inlineStr">
        <is>
          <t>Travel 5004</t>
        </is>
      </c>
      <c r="T34" s="2" t="n">
        <v>9000</v>
      </c>
      <c r="U34" s="2" t="n">
        <v>9000</v>
      </c>
      <c r="V34" s="2" t="n">
        <v>6000</v>
      </c>
      <c r="AE34" s="10">
        <f>SUM(C34:AD34)</f>
        <v/>
      </c>
    </row>
    <row r="35">
      <c r="B35" t="inlineStr">
        <is>
          <t>Subcontracting 5005</t>
        </is>
      </c>
      <c r="T35" s="2" t="n">
        <v>18000</v>
      </c>
      <c r="U35" s="2" t="n">
        <v>18000</v>
      </c>
      <c r="V35" s="2" t="n">
        <v>18000</v>
      </c>
      <c r="W35" s="2" t="n">
        <v>6000</v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T40" s="2" t="n">
        <v>75150</v>
      </c>
      <c r="U40" s="2" t="n">
        <v>75150</v>
      </c>
      <c r="AE40" s="10">
        <f>SUM(C40:AD40)</f>
        <v/>
      </c>
    </row>
    <row r="41">
      <c r="B41" t="inlineStr">
        <is>
          <t>Sub K Overhead 5992</t>
        </is>
      </c>
      <c r="T41" s="2" t="n">
        <v>545.4</v>
      </c>
      <c r="U41" s="2" t="n">
        <v>545.4</v>
      </c>
      <c r="V41" s="2" t="n">
        <v>545.4</v>
      </c>
      <c r="W41" s="2" t="n">
        <v>181.8</v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T43" s="2" t="n">
        <v>90723.78</v>
      </c>
      <c r="U43" s="2" t="n">
        <v>90723.78</v>
      </c>
      <c r="V43" s="2" t="n">
        <v>90723.78</v>
      </c>
      <c r="W43" s="2" t="n">
        <v>90723.78</v>
      </c>
      <c r="X43" s="2" t="n">
        <v>90723.78</v>
      </c>
      <c r="Y43" s="2" t="n">
        <v>90723.78</v>
      </c>
      <c r="Z43" s="2" t="n">
        <v>90723.78</v>
      </c>
      <c r="AA43" s="2" t="n">
        <v>90723.78</v>
      </c>
      <c r="AB43" s="2" t="n">
        <v>90723.78</v>
      </c>
      <c r="AC43" s="2" t="n">
        <v>30241.26</v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OGA</t>
        </is>
      </c>
    </row>
    <row r="3">
      <c r="A3" s="1" t="inlineStr">
        <is>
          <t>SEQUENCE</t>
        </is>
      </c>
      <c r="B3" t="inlineStr">
        <is>
          <t>OGA040</t>
        </is>
      </c>
    </row>
    <row r="4">
      <c r="A4" s="1" t="inlineStr">
        <is>
          <t>ROLLUP #</t>
        </is>
      </c>
      <c r="B4" t="inlineStr">
        <is>
          <t>930003</t>
        </is>
      </c>
    </row>
    <row r="5">
      <c r="A5" s="1" t="inlineStr">
        <is>
          <t>PROJECT NAME</t>
        </is>
      </c>
      <c r="B5" t="inlineStr">
        <is>
          <t>Crew Care Helmet Health System DHHS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OGA-Tech Prime</t>
        </is>
      </c>
    </row>
    <row r="8">
      <c r="A8" s="1" t="inlineStr">
        <is>
          <t>SERVICE</t>
        </is>
      </c>
      <c r="B8" t="inlineStr">
        <is>
          <t>CC SBIR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U18" s="2" t="n">
        <v>188.1</v>
      </c>
      <c r="V18" s="2" t="n">
        <v>3800.76</v>
      </c>
      <c r="AE18" s="10">
        <f>SUM(C18:AD18)</f>
        <v/>
      </c>
    </row>
    <row r="19">
      <c r="B19" t="inlineStr">
        <is>
          <t>Fringe 5990</t>
        </is>
      </c>
      <c r="U19" s="2" t="n">
        <v>90.48</v>
      </c>
      <c r="V19" s="2" t="n">
        <v>1828.17</v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U29" s="2" t="n">
        <v>366.02</v>
      </c>
      <c r="V29" s="2" t="n">
        <v>7395.84</v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OGA</t>
        </is>
      </c>
    </row>
    <row r="3">
      <c r="A3" s="1" t="inlineStr">
        <is>
          <t>SEQUENCE</t>
        </is>
      </c>
      <c r="B3" t="inlineStr">
        <is>
          <t>OGA041</t>
        </is>
      </c>
    </row>
    <row r="4">
      <c r="A4" s="1" t="inlineStr">
        <is>
          <t>ROLLUP #</t>
        </is>
      </c>
      <c r="B4" t="inlineStr">
        <is>
          <t>930002</t>
        </is>
      </c>
    </row>
    <row r="5">
      <c r="A5" s="1" t="inlineStr">
        <is>
          <t>PROJECT NAME</t>
        </is>
      </c>
      <c r="B5" t="inlineStr">
        <is>
          <t>E Textile Enabled Active Monitoring System E TEAMS SBIR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OGA-Tech Prime</t>
        </is>
      </c>
    </row>
    <row r="8">
      <c r="A8" s="1" t="inlineStr">
        <is>
          <t>SERVICE</t>
        </is>
      </c>
      <c r="B8" t="inlineStr">
        <is>
          <t>CC SBIR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U18" s="2" t="n">
        <v>897.75</v>
      </c>
      <c r="V18" s="2" t="n">
        <v>18922.82</v>
      </c>
      <c r="W18" s="2" t="n">
        <v>19448.23</v>
      </c>
      <c r="X18" s="2" t="n">
        <v>42500.55</v>
      </c>
      <c r="Y18" s="2" t="n">
        <v>-61948.78</v>
      </c>
      <c r="AE18" s="10">
        <f>SUM(C18:AD18)</f>
        <v/>
      </c>
    </row>
    <row r="19">
      <c r="B19" t="inlineStr">
        <is>
          <t>Fringe 5990</t>
        </is>
      </c>
      <c r="U19" s="2" t="n">
        <v>431.82</v>
      </c>
      <c r="V19" s="2" t="n">
        <v>9101.879999999999</v>
      </c>
      <c r="W19" s="2" t="n">
        <v>9774.68</v>
      </c>
      <c r="X19" s="2" t="n">
        <v>21360.78</v>
      </c>
      <c r="Y19" s="2" t="n">
        <v>-31135.45</v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X25" s="2" t="n">
        <v>101.97</v>
      </c>
      <c r="Y25" s="2" t="n">
        <v>-101.97</v>
      </c>
      <c r="AE25" s="10">
        <f>SUM(C25:AD25)</f>
        <v/>
      </c>
    </row>
    <row r="26">
      <c r="B26" t="inlineStr">
        <is>
          <t>Material 5003</t>
        </is>
      </c>
      <c r="V26" s="2" t="n">
        <v>14829.21</v>
      </c>
      <c r="W26" s="2" t="n">
        <v>1562.95</v>
      </c>
      <c r="X26" s="2" t="n">
        <v>48.02</v>
      </c>
      <c r="Y26" s="2" t="n">
        <v>-1610.97</v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U29" s="2" t="n">
        <v>1746.92</v>
      </c>
      <c r="V29" s="2" t="n">
        <v>56305.75</v>
      </c>
      <c r="W29" s="2" t="n">
        <v>40880.54</v>
      </c>
      <c r="X29" s="2" t="n">
        <v>85000.64</v>
      </c>
      <c r="Y29" s="2" t="n">
        <v>-125881.17</v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OGA</t>
        </is>
      </c>
    </row>
    <row r="3">
      <c r="A3" s="1" t="inlineStr">
        <is>
          <t>SEQUENCE</t>
        </is>
      </c>
      <c r="B3" t="inlineStr">
        <is>
          <t>OGA042</t>
        </is>
      </c>
    </row>
    <row r="4">
      <c r="A4" s="1" t="inlineStr">
        <is>
          <t>ROLLUP #</t>
        </is>
      </c>
      <c r="B4" t="inlineStr">
        <is>
          <t>930004</t>
        </is>
      </c>
    </row>
    <row r="5">
      <c r="A5" s="1" t="inlineStr">
        <is>
          <t>PROJECT NAME</t>
        </is>
      </c>
      <c r="B5" t="inlineStr">
        <is>
          <t>Remote Frostbite Detector RFD SBIR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OGA-Tech Prime</t>
        </is>
      </c>
    </row>
    <row r="8">
      <c r="A8" s="1" t="inlineStr">
        <is>
          <t>SERVICE</t>
        </is>
      </c>
      <c r="B8" t="inlineStr">
        <is>
          <t>CC SBIR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V18" s="2" t="n">
        <v>4815.55</v>
      </c>
      <c r="W18" s="2" t="n">
        <v>30995.95</v>
      </c>
      <c r="X18" s="2" t="n">
        <v>34498.13</v>
      </c>
      <c r="Y18" s="2" t="n">
        <v>22527.59</v>
      </c>
      <c r="Z18" s="2" t="n">
        <v>-6959.37</v>
      </c>
      <c r="AE18" s="10">
        <f>SUM(C18:AD18)</f>
        <v/>
      </c>
    </row>
    <row r="19">
      <c r="B19" t="inlineStr">
        <is>
          <t>Fringe 5990</t>
        </is>
      </c>
      <c r="V19" s="2" t="n">
        <v>2316.28</v>
      </c>
      <c r="W19" s="2" t="n">
        <v>15578.56</v>
      </c>
      <c r="X19" s="2" t="n">
        <v>17338.77</v>
      </c>
      <c r="Y19" s="2" t="n">
        <v>11322.36</v>
      </c>
      <c r="Z19" s="2" t="n">
        <v>-3497.78</v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W25" s="2" t="n">
        <v>746.05</v>
      </c>
      <c r="X25" s="2" t="n">
        <v>98</v>
      </c>
      <c r="Y25" s="2" t="n">
        <v>111.33</v>
      </c>
      <c r="Z25" s="2" t="n">
        <v>43.28</v>
      </c>
      <c r="AE25" s="10">
        <f>SUM(C25:AD25)</f>
        <v/>
      </c>
    </row>
    <row r="26">
      <c r="B26" t="inlineStr">
        <is>
          <t>Material 5003</t>
        </is>
      </c>
      <c r="V26" s="2" t="n">
        <v>79.66</v>
      </c>
      <c r="W26" s="2" t="n">
        <v>2766.02</v>
      </c>
      <c r="X26" s="2" t="n">
        <v>2510.51</v>
      </c>
      <c r="Z26" s="2" t="n">
        <v>640.25</v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V29" s="2" t="n">
        <v>9475.18</v>
      </c>
      <c r="W29" s="2" t="n">
        <v>66509.96000000001</v>
      </c>
      <c r="X29" s="2" t="n">
        <v>72298.06</v>
      </c>
      <c r="Y29" s="2" t="n">
        <v>45097.18</v>
      </c>
      <c r="Z29" s="2" t="n">
        <v>-12978.39</v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OGA</t>
        </is>
      </c>
    </row>
    <row r="3">
      <c r="A3" s="1" t="inlineStr">
        <is>
          <t>SEQUENCE</t>
        </is>
      </c>
      <c r="B3" t="inlineStr">
        <is>
          <t>OGA043</t>
        </is>
      </c>
    </row>
    <row r="4">
      <c r="A4" s="1" t="inlineStr">
        <is>
          <t>ROLLUP #</t>
        </is>
      </c>
      <c r="B4" t="inlineStr">
        <is>
          <t>735011</t>
        </is>
      </c>
    </row>
    <row r="5">
      <c r="A5" s="1" t="inlineStr">
        <is>
          <t>PROJECT NAME</t>
        </is>
      </c>
      <c r="B5" t="inlineStr">
        <is>
          <t>Upscaling MII Solutions: Advanced Manufacturing Competency Framework Creation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OGA-EWD Prime</t>
        </is>
      </c>
    </row>
    <row r="8">
      <c r="A8" s="1" t="inlineStr">
        <is>
          <t>SERVICE</t>
        </is>
      </c>
      <c r="B8" t="inlineStr">
        <is>
          <t>Other DOD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X18" s="2" t="n">
        <v>1961.15</v>
      </c>
      <c r="Y18" s="2" t="n">
        <v>8810.67</v>
      </c>
      <c r="Z18" s="2" t="n">
        <v>4236.46</v>
      </c>
      <c r="AA18" s="2" t="n">
        <v>17398.16</v>
      </c>
      <c r="AE18" s="10">
        <f>SUM(C18:AD18)</f>
        <v/>
      </c>
    </row>
    <row r="19">
      <c r="B19" t="inlineStr">
        <is>
          <t>Fringe 5990</t>
        </is>
      </c>
      <c r="X19" s="2" t="n">
        <v>985.6799999999999</v>
      </c>
      <c r="Y19" s="2" t="n">
        <v>4428.24</v>
      </c>
      <c r="Z19" s="2" t="n">
        <v>2129.24</v>
      </c>
      <c r="AA19" s="2" t="n">
        <v>9417.620000000001</v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A22" s="2" t="n">
        <v>4213.62</v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A25" s="2" t="n">
        <v>2900</v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X29" s="2" t="n">
        <v>1851.2</v>
      </c>
      <c r="Y29" s="2" t="n">
        <v>8316.690000000001</v>
      </c>
      <c r="Z29" s="2" t="n">
        <v>3998.93</v>
      </c>
      <c r="AA29" s="2" t="n">
        <v>29352.33</v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OGA</t>
        </is>
      </c>
    </row>
    <row r="3">
      <c r="A3" s="1" t="inlineStr">
        <is>
          <t>SEQUENCE</t>
        </is>
      </c>
      <c r="B3" t="inlineStr">
        <is>
          <t>OGA044</t>
        </is>
      </c>
    </row>
    <row r="4">
      <c r="A4" s="1" t="inlineStr">
        <is>
          <t>ROLLUP #</t>
        </is>
      </c>
      <c r="B4" t="inlineStr">
        <is>
          <t>735012</t>
        </is>
      </c>
    </row>
    <row r="5">
      <c r="A5" s="1" t="inlineStr">
        <is>
          <t>PROJECT NAME</t>
        </is>
      </c>
      <c r="B5" t="inlineStr">
        <is>
          <t>MFG USA Career Pathway Program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OGA-EWD SubK</t>
        </is>
      </c>
    </row>
    <row r="8">
      <c r="A8" s="1" t="inlineStr">
        <is>
          <t>SERVICE</t>
        </is>
      </c>
      <c r="B8" t="inlineStr">
        <is>
          <t>Other Gov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Z18" s="2" t="n">
        <v>355.95</v>
      </c>
      <c r="AA18" s="2" t="n">
        <v>50.85</v>
      </c>
      <c r="AE18" s="10">
        <f>SUM(C18:AD18)</f>
        <v/>
      </c>
    </row>
    <row r="19">
      <c r="B19" t="inlineStr">
        <is>
          <t>Fringe 5990</t>
        </is>
      </c>
      <c r="Z19" s="2" t="n">
        <v>178.9</v>
      </c>
      <c r="AA19" s="2" t="n">
        <v>25.56</v>
      </c>
      <c r="AE19" s="10">
        <f>SUM(C19:AD19)</f>
        <v/>
      </c>
    </row>
    <row r="20">
      <c r="B20" t="inlineStr">
        <is>
          <t>Travel 5004</t>
        </is>
      </c>
      <c r="Y20" s="2" t="n">
        <v>373.08</v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Y25" s="2" t="n">
        <v>541.8</v>
      </c>
      <c r="Z25" s="2" t="n">
        <v>119.99</v>
      </c>
      <c r="AA25" s="2" t="n">
        <v>1250</v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Y29" s="2" t="n">
        <v>574.73</v>
      </c>
      <c r="Z29" s="2" t="n">
        <v>411.37</v>
      </c>
      <c r="AA29" s="2" t="n">
        <v>833.25</v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OGA</t>
        </is>
      </c>
    </row>
    <row r="3">
      <c r="A3" s="1" t="inlineStr">
        <is>
          <t>SEQUENCE</t>
        </is>
      </c>
      <c r="B3" t="inlineStr">
        <is>
          <t>OGA045</t>
        </is>
      </c>
    </row>
    <row r="4">
      <c r="A4" s="1" t="inlineStr">
        <is>
          <t>ROLLUP #</t>
        </is>
      </c>
      <c r="B4" t="inlineStr">
        <is>
          <t>730028</t>
        </is>
      </c>
    </row>
    <row r="5">
      <c r="A5" s="1" t="inlineStr">
        <is>
          <t>PROJECT NAME</t>
        </is>
      </c>
      <c r="B5" t="inlineStr">
        <is>
          <t>Los Alamos National Lab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OGA-Tech Prime</t>
        </is>
      </c>
    </row>
    <row r="8">
      <c r="A8" s="1" t="inlineStr">
        <is>
          <t>SERVICE</t>
        </is>
      </c>
      <c r="B8" t="inlineStr">
        <is>
          <t>Other Gov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Z18" s="2" t="n">
        <v>8000.84</v>
      </c>
      <c r="AE18" s="10">
        <f>SUM(C18:AD18)</f>
        <v/>
      </c>
    </row>
    <row r="19">
      <c r="B19" t="inlineStr">
        <is>
          <t>Fringe 5990</t>
        </is>
      </c>
      <c r="Z19" s="2" t="n">
        <v>4021.22</v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Z25" s="2" t="n">
        <v>98.17</v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Z29" s="2" t="n">
        <v>16094.45</v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Z32" s="2" t="n">
        <v>2536</v>
      </c>
      <c r="AE32" s="10">
        <f>SUM(C32:AD32)</f>
        <v/>
      </c>
    </row>
    <row r="33">
      <c r="B33" t="inlineStr">
        <is>
          <t>Fringe 5990</t>
        </is>
      </c>
      <c r="Z33" s="2" t="n">
        <v>1275</v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Z43" s="2" t="n">
        <v>5061</v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OGA</t>
        </is>
      </c>
    </row>
    <row r="3">
      <c r="A3" s="1" t="inlineStr">
        <is>
          <t>SEQUENCE</t>
        </is>
      </c>
      <c r="B3" t="inlineStr">
        <is>
          <t>OGA046</t>
        </is>
      </c>
    </row>
    <row r="4">
      <c r="A4" s="1" t="inlineStr">
        <is>
          <t>ROLLUP #</t>
        </is>
      </c>
      <c r="B4" t="inlineStr">
        <is>
          <t>730029</t>
        </is>
      </c>
    </row>
    <row r="5">
      <c r="A5" s="1" t="inlineStr">
        <is>
          <t>PROJECT NAME</t>
        </is>
      </c>
      <c r="B5" t="inlineStr">
        <is>
          <t>NASA Ink Adhesion Trials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OGA-Tech Prime</t>
        </is>
      </c>
    </row>
    <row r="8">
      <c r="A8" s="1" t="inlineStr">
        <is>
          <t>SERVICE</t>
        </is>
      </c>
      <c r="B8" t="inlineStr">
        <is>
          <t>Other Gov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AA18" s="2" t="n">
        <v>1792</v>
      </c>
      <c r="AE18" s="10">
        <f>SUM(C18:AD18)</f>
        <v/>
      </c>
    </row>
    <row r="19">
      <c r="B19" t="inlineStr">
        <is>
          <t>Fringe 5990</t>
        </is>
      </c>
      <c r="AA19" s="2" t="n">
        <v>970.01</v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AA29" s="2" t="n">
        <v>3763.52</v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A32" s="2" t="n">
        <v>1902</v>
      </c>
      <c r="AE32" s="10">
        <f>SUM(C32:AD32)</f>
        <v/>
      </c>
    </row>
    <row r="33">
      <c r="B33" t="inlineStr">
        <is>
          <t>Fringe 5990</t>
        </is>
      </c>
      <c r="AA33" s="2" t="n">
        <v>956</v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A43" s="2" t="n">
        <v>3793</v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2026-04-21T08:52:26Z</dcterms:created>
  <dcterms:modified xsi:type="dcterms:W3CDTF">2026-04-21T09:51:07Z</dcterms:modified>
</cp:coreProperties>
</file>