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38" sheetId="1" state="visible" r:id="rId1"/>
    <sheet name="2ADP039" sheetId="2" state="visible" r:id="rId2"/>
    <sheet name="2ADP040" sheetId="3" state="visible" r:id="rId3"/>
    <sheet name="2ADP041" sheetId="4" state="visible" r:id="rId4"/>
    <sheet name="2ADP042" sheetId="5" state="visible" r:id="rId5"/>
    <sheet name="2ADP043" sheetId="6" state="visible" r:id="rId6"/>
    <sheet name="2ADP044" sheetId="7" state="visible" r:id="rId7"/>
    <sheet name="2ADP045" sheetId="8" state="visible" r:id="rId8"/>
    <sheet name="2ADP046" sheetId="9" state="visible" r:id="rId9"/>
    <sheet name="2ADP047" sheetId="10" state="visible" r:id="rId10"/>
    <sheet name="2ADP048" sheetId="11" state="visible" r:id="rId11"/>
    <sheet name="2ADP049" sheetId="12" state="visible" r:id="rId12"/>
    <sheet name="2ADP050" sheetId="13" state="visible" r:id="rId13"/>
    <sheet name="2ADP051" sheetId="14" state="visible" r:id="rId14"/>
    <sheet name="2ADP052" sheetId="15" state="visible" r:id="rId15"/>
    <sheet name="2ADP053" sheetId="16" state="visible" r:id="rId16"/>
    <sheet name="2ADP054" sheetId="17" state="visible" r:id="rId17"/>
    <sheet name="2ADP055" sheetId="18" state="visible" r:id="rId18"/>
    <sheet name="2ADP056" sheetId="19" state="visible" r:id="rId19"/>
    <sheet name="2ADP05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2ADP038</t>
        </is>
      </c>
    </row>
    <row r="4">
      <c r="A4" s="1" t="inlineStr">
        <is>
          <t>ROLLUP #</t>
        </is>
      </c>
      <c r="B4" t="inlineStr">
        <is>
          <t>713082</t>
        </is>
      </c>
    </row>
    <row r="5">
      <c r="A5" s="1" t="inlineStr">
        <is>
          <t>PROJECT NAME</t>
        </is>
      </c>
      <c r="B5" t="inlineStr">
        <is>
          <t>Continuous Non invasive Blood Pressure Monitor En Route Care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BP, BQ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1312.72</v>
      </c>
      <c r="P18" s="2" t="n">
        <v>70.67</v>
      </c>
      <c r="Q18" s="2" t="n">
        <v>873.95</v>
      </c>
      <c r="R18" s="2" t="n">
        <v>1573.11</v>
      </c>
      <c r="S18" s="2" t="n">
        <v>574.3099999999999</v>
      </c>
      <c r="T18" s="2" t="n">
        <v>907.03</v>
      </c>
      <c r="AE18" s="10">
        <f>SUM(C18:AD18)</f>
        <v/>
      </c>
    </row>
    <row r="19">
      <c r="B19" t="inlineStr">
        <is>
          <t>Fringe 5990</t>
        </is>
      </c>
      <c r="N19" s="2" t="n">
        <v>563.4</v>
      </c>
      <c r="P19" s="2" t="n">
        <v>32</v>
      </c>
      <c r="Q19" s="2" t="n">
        <v>395.73</v>
      </c>
      <c r="R19" s="2" t="n">
        <v>712.3</v>
      </c>
      <c r="S19" s="2" t="n">
        <v>260.05</v>
      </c>
      <c r="T19" s="2" t="n">
        <v>452.48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341696</v>
      </c>
      <c r="O21" s="2" t="n">
        <v>147807</v>
      </c>
      <c r="P21" s="2" t="n">
        <v>142774</v>
      </c>
      <c r="Q21" s="2" t="n">
        <v>100602</v>
      </c>
      <c r="R21" s="2" t="n">
        <v>16802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19197.06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8952.440000000001</v>
      </c>
      <c r="O27" s="2" t="n">
        <v>4182.94</v>
      </c>
      <c r="P27" s="2" t="n">
        <v>4040.5</v>
      </c>
      <c r="Q27" s="2" t="n">
        <v>2847.04</v>
      </c>
      <c r="R27" s="2" t="n">
        <v>475.5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2422.84</v>
      </c>
      <c r="P29" s="2" t="n">
        <v>148.58</v>
      </c>
      <c r="Q29" s="2" t="n">
        <v>1837.47</v>
      </c>
      <c r="R29" s="2" t="n">
        <v>3307.46</v>
      </c>
      <c r="S29" s="2" t="n">
        <v>1207.47</v>
      </c>
      <c r="T29" s="2" t="n">
        <v>26898.05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1768.8</v>
      </c>
      <c r="L32" s="2" t="n">
        <v>1768.8</v>
      </c>
      <c r="M32" s="2" t="n">
        <v>1768.8</v>
      </c>
      <c r="N32" s="2" t="n">
        <v>1768.8</v>
      </c>
      <c r="O32" s="2" t="n">
        <v>1768.8</v>
      </c>
      <c r="P32" s="2" t="n">
        <v>1768.8</v>
      </c>
      <c r="Q32" s="2" t="n">
        <v>1768.8</v>
      </c>
      <c r="R32" s="2" t="n">
        <v>1768.8</v>
      </c>
      <c r="S32" s="2" t="n">
        <v>1768.8</v>
      </c>
      <c r="T32" s="2" t="n">
        <v>1768.8</v>
      </c>
      <c r="U32" s="2" t="n">
        <v>1768.8</v>
      </c>
      <c r="AE32" s="10">
        <f>SUM(C32:AD32)</f>
        <v/>
      </c>
    </row>
    <row r="33">
      <c r="B33" t="inlineStr">
        <is>
          <t>Fringe 5990</t>
        </is>
      </c>
      <c r="K33" s="2" t="n">
        <v>759.17</v>
      </c>
      <c r="L33" s="2" t="n">
        <v>759.17</v>
      </c>
      <c r="M33" s="2" t="n">
        <v>759.17</v>
      </c>
      <c r="N33" s="2" t="n">
        <v>759.17</v>
      </c>
      <c r="O33" s="2" t="n">
        <v>759.17</v>
      </c>
      <c r="P33" s="2" t="n">
        <v>759.17</v>
      </c>
      <c r="Q33" s="2" t="n">
        <v>759.17</v>
      </c>
      <c r="R33" s="2" t="n">
        <v>759.17</v>
      </c>
      <c r="S33" s="2" t="n">
        <v>759.17</v>
      </c>
      <c r="T33" s="2" t="n">
        <v>759.17</v>
      </c>
      <c r="U33" s="2" t="n">
        <v>759.17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68149.17999999999</v>
      </c>
      <c r="L35" s="2" t="n">
        <v>68149.17999999999</v>
      </c>
      <c r="M35" s="2" t="n">
        <v>68149.17999999999</v>
      </c>
      <c r="N35" s="2" t="n">
        <v>68149.17999999999</v>
      </c>
      <c r="O35" s="2" t="n">
        <v>68149.17999999999</v>
      </c>
      <c r="P35" s="2" t="n">
        <v>68149.17999999999</v>
      </c>
      <c r="Q35" s="2" t="n">
        <v>68149.17999999999</v>
      </c>
      <c r="R35" s="2" t="n">
        <v>68149.17999999999</v>
      </c>
      <c r="S35" s="2" t="n">
        <v>68149.17999999999</v>
      </c>
      <c r="T35" s="2" t="n">
        <v>68149.17999999999</v>
      </c>
      <c r="U35" s="2" t="n">
        <v>68149.17999999999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K41" s="2" t="n">
        <v>1785.51</v>
      </c>
      <c r="L41" s="2" t="n">
        <v>1785.51</v>
      </c>
      <c r="M41" s="2" t="n">
        <v>1785.51</v>
      </c>
      <c r="N41" s="2" t="n">
        <v>1785.51</v>
      </c>
      <c r="O41" s="2" t="n">
        <v>1785.51</v>
      </c>
      <c r="P41" s="2" t="n">
        <v>1785.51</v>
      </c>
      <c r="Q41" s="2" t="n">
        <v>1785.51</v>
      </c>
      <c r="R41" s="2" t="n">
        <v>1785.51</v>
      </c>
      <c r="S41" s="2" t="n">
        <v>1785.51</v>
      </c>
      <c r="T41" s="2" t="n">
        <v>1785.51</v>
      </c>
      <c r="U41" s="2" t="n">
        <v>1785.51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3264.62</v>
      </c>
      <c r="L43" s="2" t="n">
        <v>3264.62</v>
      </c>
      <c r="M43" s="2" t="n">
        <v>3264.62</v>
      </c>
      <c r="N43" s="2" t="n">
        <v>3264.62</v>
      </c>
      <c r="O43" s="2" t="n">
        <v>3264.62</v>
      </c>
      <c r="P43" s="2" t="n">
        <v>3264.62</v>
      </c>
      <c r="Q43" s="2" t="n">
        <v>3264.62</v>
      </c>
      <c r="R43" s="2" t="n">
        <v>3264.62</v>
      </c>
      <c r="S43" s="2" t="n">
        <v>3264.62</v>
      </c>
      <c r="T43" s="2" t="n">
        <v>3264.62</v>
      </c>
      <c r="U43" s="2" t="n">
        <v>3264.62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L45" s="2" t="n">
        <v>833000</v>
      </c>
      <c r="AE45" s="10">
        <f>SUM(C45:AD45)</f>
        <v/>
      </c>
    </row>
    <row r="46">
      <c r="B46" t="inlineStr">
        <is>
          <t>Obligated</t>
        </is>
      </c>
      <c r="L46" s="2" t="n">
        <v>833000</v>
      </c>
      <c r="AE46" s="10">
        <f>SUM(C46:AD46)</f>
        <v/>
      </c>
    </row>
    <row r="47">
      <c r="B47" t="inlineStr">
        <is>
          <t>Expended</t>
        </is>
      </c>
      <c r="L47" s="2" t="n">
        <v>136000</v>
      </c>
      <c r="M47" s="2" t="n">
        <v>60000</v>
      </c>
      <c r="N47" s="2" t="n">
        <v>159250</v>
      </c>
      <c r="O47" s="2" t="n">
        <v>159250</v>
      </c>
      <c r="P47" s="2" t="n">
        <v>318500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2ADP039</t>
        </is>
      </c>
    </row>
    <row r="4">
      <c r="A4" s="1" t="inlineStr">
        <is>
          <t>ROLLUP #</t>
        </is>
      </c>
      <c r="B4" t="inlineStr">
        <is>
          <t>713083</t>
        </is>
      </c>
    </row>
    <row r="5">
      <c r="A5" s="1" t="inlineStr">
        <is>
          <t>PROJECT NAME</t>
        </is>
      </c>
      <c r="B5" t="inlineStr">
        <is>
          <t>NASIC T 2 Program Ph 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1724.81</v>
      </c>
      <c r="AE18" s="10">
        <f>SUM(C18:AD18)</f>
        <v/>
      </c>
    </row>
    <row r="19">
      <c r="B19" t="inlineStr">
        <is>
          <t>Fringe 5990</t>
        </is>
      </c>
      <c r="N19" s="2" t="n">
        <v>740.3099999999999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2751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3183.91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344.99</v>
      </c>
      <c r="M32" s="2" t="n">
        <v>344.99</v>
      </c>
      <c r="N32" s="2" t="n">
        <v>344.99</v>
      </c>
      <c r="O32" s="2" t="n">
        <v>344.99</v>
      </c>
      <c r="P32" s="2" t="n">
        <v>344.99</v>
      </c>
      <c r="AE32" s="10">
        <f>SUM(C32:AD32)</f>
        <v/>
      </c>
    </row>
    <row r="33">
      <c r="B33" t="inlineStr">
        <is>
          <t>Fringe 5990</t>
        </is>
      </c>
      <c r="L33" s="2" t="n">
        <v>148.07</v>
      </c>
      <c r="M33" s="2" t="n">
        <v>148.07</v>
      </c>
      <c r="N33" s="2" t="n">
        <v>148.07</v>
      </c>
      <c r="O33" s="2" t="n">
        <v>148.07</v>
      </c>
      <c r="P33" s="2" t="n">
        <v>148.07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21000</v>
      </c>
      <c r="M35" s="2" t="n">
        <v>21000</v>
      </c>
      <c r="N35" s="2" t="n">
        <v>21000</v>
      </c>
      <c r="O35" s="2" t="n">
        <v>21000</v>
      </c>
      <c r="P35" s="2" t="n">
        <v>21000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550.2</v>
      </c>
      <c r="M41" s="2" t="n">
        <v>550.2</v>
      </c>
      <c r="N41" s="2" t="n">
        <v>550.2</v>
      </c>
      <c r="O41" s="2" t="n">
        <v>550.2</v>
      </c>
      <c r="P41" s="2" t="n">
        <v>550.2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636.74</v>
      </c>
      <c r="M43" s="2" t="n">
        <v>636.74</v>
      </c>
      <c r="N43" s="2" t="n">
        <v>636.74</v>
      </c>
      <c r="O43" s="2" t="n">
        <v>636.74</v>
      </c>
      <c r="P43" s="2" t="n">
        <v>636.74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113400</v>
      </c>
      <c r="AE45" s="10">
        <f>SUM(C45:AD45)</f>
        <v/>
      </c>
    </row>
    <row r="46">
      <c r="B46" t="inlineStr">
        <is>
          <t>Obligated</t>
        </is>
      </c>
      <c r="H46" s="2" t="n">
        <v>113400</v>
      </c>
      <c r="AE46" s="10">
        <f>SUM(C46:AD46)</f>
        <v/>
      </c>
    </row>
    <row r="47">
      <c r="B47" t="inlineStr">
        <is>
          <t>Expended</t>
        </is>
      </c>
      <c r="M47" s="2" t="n">
        <v>60000</v>
      </c>
      <c r="N47" s="2" t="n">
        <v>53400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2ADP040</t>
        </is>
      </c>
    </row>
    <row r="4">
      <c r="A4" s="1" t="inlineStr">
        <is>
          <t>ROLLUP #</t>
        </is>
      </c>
      <c r="B4" t="inlineStr">
        <is>
          <t>713084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50300.42</v>
      </c>
      <c r="O18" s="2" t="n">
        <v>15773.59</v>
      </c>
      <c r="P18" s="2" t="n">
        <v>762.02</v>
      </c>
      <c r="AE18" s="10">
        <f>SUM(C18:AD18)</f>
        <v/>
      </c>
    </row>
    <row r="19">
      <c r="B19" t="inlineStr">
        <is>
          <t>Fringe 5990</t>
        </is>
      </c>
      <c r="N19" s="2" t="n">
        <v>21588.97</v>
      </c>
      <c r="O19" s="2" t="n">
        <v>7142.28</v>
      </c>
      <c r="P19" s="2" t="n">
        <v>345.04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124178.3</v>
      </c>
      <c r="O21" s="2" t="n">
        <v>95072.75999999999</v>
      </c>
      <c r="P21" s="2" t="n">
        <v>108734.39</v>
      </c>
      <c r="Q21" s="2" t="n">
        <v>267521.06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9582.5</v>
      </c>
      <c r="Q24" s="2" t="n">
        <v>10188.38</v>
      </c>
      <c r="R24" s="2" t="n">
        <v>-10188.38</v>
      </c>
      <c r="AE24" s="10">
        <f>SUM(C24:AD24)</f>
        <v/>
      </c>
    </row>
    <row r="25">
      <c r="B25" t="inlineStr">
        <is>
          <t>Other Direct Costs 5009</t>
        </is>
      </c>
      <c r="N25" s="2" t="n">
        <v>8507.25</v>
      </c>
      <c r="O25" s="2" t="n">
        <v>72276</v>
      </c>
      <c r="P25" s="2" t="n">
        <v>30644.25</v>
      </c>
      <c r="Q25" s="2" t="n">
        <v>1790.25</v>
      </c>
      <c r="R25" s="2" t="n">
        <v>-60555</v>
      </c>
      <c r="AE25" s="10">
        <f>SUM(C25:AD25)</f>
        <v/>
      </c>
    </row>
    <row r="26">
      <c r="B26" t="inlineStr">
        <is>
          <t>Material 5003</t>
        </is>
      </c>
      <c r="N26" s="2" t="n">
        <v>5172.94</v>
      </c>
      <c r="O26" s="2" t="n">
        <v>1064.59</v>
      </c>
      <c r="P26" s="2" t="n">
        <v>171.62</v>
      </c>
      <c r="AE26" s="10">
        <f>SUM(C26:AD26)</f>
        <v/>
      </c>
    </row>
    <row r="27">
      <c r="B27" t="inlineStr">
        <is>
          <t>Sub K Overhead 5992</t>
        </is>
      </c>
      <c r="N27" s="2" t="n">
        <v>3253.45</v>
      </c>
      <c r="O27" s="2" t="n">
        <v>2690.56</v>
      </c>
      <c r="P27" s="2" t="n">
        <v>3077.18</v>
      </c>
      <c r="Q27" s="2" t="n">
        <v>7570.85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122879.36</v>
      </c>
      <c r="O29" s="2" t="n">
        <v>139302.35</v>
      </c>
      <c r="P29" s="2" t="n">
        <v>46198.86</v>
      </c>
      <c r="Q29" s="2" t="n">
        <v>17335.47</v>
      </c>
      <c r="R29" s="2" t="n">
        <v>-102381.32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7649.25</v>
      </c>
      <c r="M32" s="2" t="n">
        <v>7649.25</v>
      </c>
      <c r="N32" s="2" t="n">
        <v>7649.25</v>
      </c>
      <c r="O32" s="2" t="n">
        <v>7649.25</v>
      </c>
      <c r="P32" s="2" t="n">
        <v>7649.25</v>
      </c>
      <c r="Q32" s="2" t="n">
        <v>7649.25</v>
      </c>
      <c r="R32" s="2" t="n">
        <v>7649.25</v>
      </c>
      <c r="S32" s="2" t="n">
        <v>7649.25</v>
      </c>
      <c r="AE32" s="10">
        <f>SUM(C32:AD32)</f>
        <v/>
      </c>
    </row>
    <row r="33">
      <c r="B33" t="inlineStr">
        <is>
          <t>Fringe 5990</t>
        </is>
      </c>
      <c r="L33" s="2" t="n">
        <v>3463.63</v>
      </c>
      <c r="M33" s="2" t="n">
        <v>3463.63</v>
      </c>
      <c r="N33" s="2" t="n">
        <v>3463.63</v>
      </c>
      <c r="O33" s="2" t="n">
        <v>3463.63</v>
      </c>
      <c r="P33" s="2" t="n">
        <v>3463.63</v>
      </c>
      <c r="Q33" s="2" t="n">
        <v>3463.63</v>
      </c>
      <c r="R33" s="2" t="n">
        <v>3463.63</v>
      </c>
      <c r="S33" s="2" t="n">
        <v>3463.63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74438.13</v>
      </c>
      <c r="M35" s="2" t="n">
        <v>74438.13</v>
      </c>
      <c r="N35" s="2" t="n">
        <v>74438.13</v>
      </c>
      <c r="O35" s="2" t="n">
        <v>74438.13</v>
      </c>
      <c r="P35" s="2" t="n">
        <v>74438.13</v>
      </c>
      <c r="Q35" s="2" t="n">
        <v>74438.13</v>
      </c>
      <c r="R35" s="2" t="n">
        <v>74438.13</v>
      </c>
      <c r="S35" s="2" t="n">
        <v>74438.13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1250</v>
      </c>
      <c r="M38" s="2" t="n">
        <v>1250</v>
      </c>
      <c r="N38" s="2" t="n">
        <v>1250</v>
      </c>
      <c r="O38" s="2" t="n">
        <v>1250</v>
      </c>
      <c r="P38" s="2" t="n">
        <v>1250</v>
      </c>
      <c r="Q38" s="2" t="n">
        <v>1250</v>
      </c>
      <c r="R38" s="2" t="n">
        <v>1250</v>
      </c>
      <c r="S38" s="2" t="n">
        <v>1250</v>
      </c>
      <c r="AE38" s="10">
        <f>SUM(C38:AD38)</f>
        <v/>
      </c>
    </row>
    <row r="39">
      <c r="B39" t="inlineStr">
        <is>
          <t>Other Direct Costs 5009</t>
        </is>
      </c>
      <c r="L39" s="2" t="n">
        <v>6625</v>
      </c>
      <c r="M39" s="2" t="n">
        <v>6625</v>
      </c>
      <c r="N39" s="2" t="n">
        <v>6625</v>
      </c>
      <c r="O39" s="2" t="n">
        <v>6625</v>
      </c>
      <c r="P39" s="2" t="n">
        <v>6625</v>
      </c>
      <c r="Q39" s="2" t="n">
        <v>6625</v>
      </c>
      <c r="R39" s="2" t="n">
        <v>6625</v>
      </c>
      <c r="S39" s="2" t="n">
        <v>6625</v>
      </c>
      <c r="AE39" s="10">
        <f>SUM(C39:AD39)</f>
        <v/>
      </c>
    </row>
    <row r="40">
      <c r="B40" t="inlineStr">
        <is>
          <t>Material 5003</t>
        </is>
      </c>
      <c r="L40" s="2" t="n">
        <v>812.5</v>
      </c>
      <c r="M40" s="2" t="n">
        <v>812.5</v>
      </c>
      <c r="N40" s="2" t="n">
        <v>812.5</v>
      </c>
      <c r="O40" s="2" t="n">
        <v>812.5</v>
      </c>
      <c r="P40" s="2" t="n">
        <v>812.5</v>
      </c>
      <c r="Q40" s="2" t="n">
        <v>812.5</v>
      </c>
      <c r="R40" s="2" t="n">
        <v>812.5</v>
      </c>
      <c r="S40" s="2" t="n">
        <v>812.5</v>
      </c>
      <c r="AE40" s="10">
        <f>SUM(C40:AD40)</f>
        <v/>
      </c>
    </row>
    <row r="41">
      <c r="B41" t="inlineStr">
        <is>
          <t>Sub K Overhead 5992</t>
        </is>
      </c>
      <c r="L41" s="2" t="n">
        <v>2106.5</v>
      </c>
      <c r="M41" s="2" t="n">
        <v>2106.5</v>
      </c>
      <c r="N41" s="2" t="n">
        <v>2106.5</v>
      </c>
      <c r="O41" s="2" t="n">
        <v>2106.5</v>
      </c>
      <c r="P41" s="2" t="n">
        <v>2106.5</v>
      </c>
      <c r="Q41" s="2" t="n">
        <v>2106.5</v>
      </c>
      <c r="R41" s="2" t="n">
        <v>2106.5</v>
      </c>
      <c r="S41" s="2" t="n">
        <v>2106.5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28655</v>
      </c>
      <c r="M43" s="2" t="n">
        <v>28655</v>
      </c>
      <c r="N43" s="2" t="n">
        <v>28655</v>
      </c>
      <c r="O43" s="2" t="n">
        <v>28655</v>
      </c>
      <c r="P43" s="2" t="n">
        <v>28655</v>
      </c>
      <c r="Q43" s="2" t="n">
        <v>28655</v>
      </c>
      <c r="R43" s="2" t="n">
        <v>28655</v>
      </c>
      <c r="S43" s="2" t="n">
        <v>28655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1000000</v>
      </c>
      <c r="AE45" s="10">
        <f>SUM(C45:AD45)</f>
        <v/>
      </c>
    </row>
    <row r="46">
      <c r="B46" t="inlineStr">
        <is>
          <t>Obligated</t>
        </is>
      </c>
      <c r="M46" s="2" t="n">
        <v>1000000</v>
      </c>
      <c r="AE46" s="10">
        <f>SUM(C46:AD46)</f>
        <v/>
      </c>
    </row>
    <row r="47">
      <c r="B47" t="inlineStr">
        <is>
          <t>Expended</t>
        </is>
      </c>
      <c r="N47" s="2" t="n">
        <v>500000</v>
      </c>
      <c r="O47" s="2" t="n">
        <v>300000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2ADP041</t>
        </is>
      </c>
    </row>
    <row r="4">
      <c r="A4" s="1" t="inlineStr">
        <is>
          <t>ROLLUP #</t>
        </is>
      </c>
      <c r="B4" t="inlineStr">
        <is>
          <t>713085</t>
        </is>
      </c>
    </row>
    <row r="5">
      <c r="A5" s="1" t="inlineStr">
        <is>
          <t>PROJECT NAME</t>
        </is>
      </c>
      <c r="B5" t="inlineStr">
        <is>
          <t>Capacity Building for Adv Mfg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4433.12</v>
      </c>
      <c r="O18" s="2" t="n">
        <v>930.34</v>
      </c>
      <c r="R18" s="2" t="n">
        <v>79.04000000000001</v>
      </c>
      <c r="S18" s="2" t="n">
        <v>33.65</v>
      </c>
      <c r="T18" s="2" t="n">
        <v>12142</v>
      </c>
      <c r="AE18" s="10">
        <f>SUM(C18:AD18)</f>
        <v/>
      </c>
    </row>
    <row r="19">
      <c r="B19" t="inlineStr">
        <is>
          <t>Fringe 5990</t>
        </is>
      </c>
      <c r="N19" s="2" t="n">
        <v>1902.69</v>
      </c>
      <c r="O19" s="2" t="n">
        <v>421.26</v>
      </c>
      <c r="P19" s="2" t="n">
        <v>339.6</v>
      </c>
      <c r="R19" s="2" t="n">
        <v>35.79</v>
      </c>
      <c r="S19" s="2" t="n">
        <v>15.24</v>
      </c>
      <c r="T19" s="2" t="n">
        <v>5841.25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248422.23</v>
      </c>
      <c r="O21" s="2" t="n">
        <v>-138676.93</v>
      </c>
      <c r="P21" s="2" t="n">
        <v>519078.57</v>
      </c>
      <c r="Q21" s="2" t="n">
        <v>27584.43</v>
      </c>
      <c r="R21" s="2" t="n">
        <v>136894.32</v>
      </c>
      <c r="S21" s="2" t="n">
        <v>365.68</v>
      </c>
      <c r="T21" s="2" t="n">
        <v>19331.7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2684.79</v>
      </c>
      <c r="AE26" s="10">
        <f>SUM(C26:AD26)</f>
        <v/>
      </c>
    </row>
    <row r="27">
      <c r="B27" t="inlineStr">
        <is>
          <t>Sub K Overhead 5992</t>
        </is>
      </c>
      <c r="N27" s="2" t="n">
        <v>6508.66</v>
      </c>
      <c r="O27" s="2" t="n">
        <v>-3924.56</v>
      </c>
      <c r="P27" s="2" t="n">
        <v>14689.93</v>
      </c>
      <c r="Q27" s="2" t="n">
        <v>780.64</v>
      </c>
      <c r="R27" s="2" t="n">
        <v>3874.11</v>
      </c>
      <c r="S27" s="2" t="n">
        <v>10.35</v>
      </c>
      <c r="T27" s="2" t="n">
        <v>592.39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8182.07</v>
      </c>
      <c r="O29" s="2" t="n">
        <v>1956.03</v>
      </c>
      <c r="P29" s="2" t="n">
        <v>4376.9</v>
      </c>
      <c r="R29" s="2" t="n">
        <v>166.18</v>
      </c>
      <c r="S29" s="2" t="n">
        <v>70.75</v>
      </c>
      <c r="T29" s="2" t="n">
        <v>23621.68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1326.13</v>
      </c>
      <c r="N32" s="2" t="n">
        <v>1326.13</v>
      </c>
      <c r="O32" s="2" t="n">
        <v>1326.13</v>
      </c>
      <c r="P32" s="2" t="n">
        <v>1326.13</v>
      </c>
      <c r="Q32" s="2" t="n">
        <v>1326.13</v>
      </c>
      <c r="R32" s="2" t="n">
        <v>1326.13</v>
      </c>
      <c r="S32" s="2" t="n">
        <v>1326.13</v>
      </c>
      <c r="T32" s="2" t="n">
        <v>1326.13</v>
      </c>
      <c r="AE32" s="10">
        <f>SUM(C32:AD32)</f>
        <v/>
      </c>
    </row>
    <row r="33">
      <c r="B33" t="inlineStr">
        <is>
          <t>Fringe 5990</t>
        </is>
      </c>
      <c r="M33" s="2" t="n">
        <v>569</v>
      </c>
      <c r="N33" s="2" t="n">
        <v>569</v>
      </c>
      <c r="O33" s="2" t="n">
        <v>569</v>
      </c>
      <c r="P33" s="2" t="n">
        <v>569</v>
      </c>
      <c r="Q33" s="2" t="n">
        <v>569</v>
      </c>
      <c r="R33" s="2" t="n">
        <v>569</v>
      </c>
      <c r="S33" s="2" t="n">
        <v>569</v>
      </c>
      <c r="T33" s="2" t="n">
        <v>569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101625</v>
      </c>
      <c r="N35" s="2" t="n">
        <v>101625</v>
      </c>
      <c r="O35" s="2" t="n">
        <v>101625</v>
      </c>
      <c r="P35" s="2" t="n">
        <v>101625</v>
      </c>
      <c r="Q35" s="2" t="n">
        <v>101625</v>
      </c>
      <c r="R35" s="2" t="n">
        <v>101625</v>
      </c>
      <c r="S35" s="2" t="n">
        <v>101625</v>
      </c>
      <c r="T35" s="2" t="n">
        <v>101625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1843.75</v>
      </c>
      <c r="N39" s="2" t="n">
        <v>1843.75</v>
      </c>
      <c r="O39" s="2" t="n">
        <v>1843.75</v>
      </c>
      <c r="P39" s="2" t="n">
        <v>1843.75</v>
      </c>
      <c r="Q39" s="2" t="n">
        <v>1843.75</v>
      </c>
      <c r="R39" s="2" t="n">
        <v>1843.75</v>
      </c>
      <c r="S39" s="2" t="n">
        <v>1843.75</v>
      </c>
      <c r="T39" s="2" t="n">
        <v>1843.75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2682.63</v>
      </c>
      <c r="N41" s="2" t="n">
        <v>2682.63</v>
      </c>
      <c r="O41" s="2" t="n">
        <v>2682.63</v>
      </c>
      <c r="P41" s="2" t="n">
        <v>2682.63</v>
      </c>
      <c r="Q41" s="2" t="n">
        <v>2682.63</v>
      </c>
      <c r="R41" s="2" t="n">
        <v>2682.63</v>
      </c>
      <c r="S41" s="2" t="n">
        <v>2682.63</v>
      </c>
      <c r="T41" s="2" t="n">
        <v>2682.63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4828.5</v>
      </c>
      <c r="N43" s="2" t="n">
        <v>4828.5</v>
      </c>
      <c r="O43" s="2" t="n">
        <v>4828.5</v>
      </c>
      <c r="P43" s="2" t="n">
        <v>4828.5</v>
      </c>
      <c r="Q43" s="2" t="n">
        <v>4828.5</v>
      </c>
      <c r="R43" s="2" t="n">
        <v>4828.5</v>
      </c>
      <c r="S43" s="2" t="n">
        <v>4828.5</v>
      </c>
      <c r="T43" s="2" t="n">
        <v>4828.5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903000</v>
      </c>
      <c r="AE45" s="10">
        <f>SUM(C45:AD45)</f>
        <v/>
      </c>
    </row>
    <row r="46">
      <c r="B46" t="inlineStr">
        <is>
          <t>Obligated</t>
        </is>
      </c>
      <c r="M46" s="2" t="n">
        <v>903000</v>
      </c>
      <c r="AE46" s="10">
        <f>SUM(C46:AD46)</f>
        <v/>
      </c>
    </row>
    <row r="47">
      <c r="B47" t="inlineStr">
        <is>
          <t>Expended</t>
        </is>
      </c>
      <c r="N47" s="2" t="n">
        <v>800000</v>
      </c>
      <c r="O47" s="2" t="n">
        <v>25750</v>
      </c>
      <c r="P47" s="2" t="n">
        <v>35000</v>
      </c>
      <c r="Q47" s="2" t="n">
        <v>42250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2ADP042</t>
        </is>
      </c>
    </row>
    <row r="4">
      <c r="A4" s="1" t="inlineStr">
        <is>
          <t>ROLLUP #</t>
        </is>
      </c>
      <c r="B4" t="inlineStr">
        <is>
          <t>713086</t>
        </is>
      </c>
    </row>
    <row r="5">
      <c r="A5" s="1" t="inlineStr">
        <is>
          <t>PROJECT NAME</t>
        </is>
      </c>
      <c r="B5" t="inlineStr">
        <is>
          <t>DTRA Optimized Electronics for Fully Flex High Performance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1123.42</v>
      </c>
      <c r="O18" s="2" t="n">
        <v>168.27</v>
      </c>
      <c r="Q18" s="2" t="n">
        <v>142.7</v>
      </c>
      <c r="R18" s="2" t="n">
        <v>6759.8</v>
      </c>
      <c r="S18" s="2" t="n">
        <v>22270.55</v>
      </c>
      <c r="T18" s="2" t="n">
        <v>8886.690000000001</v>
      </c>
      <c r="AE18" s="10">
        <f>SUM(C18:AD18)</f>
        <v/>
      </c>
    </row>
    <row r="19">
      <c r="B19" t="inlineStr">
        <is>
          <t>Fringe 5990</t>
        </is>
      </c>
      <c r="N19" s="2" t="n">
        <v>482.18</v>
      </c>
      <c r="O19" s="2" t="n">
        <v>76.19</v>
      </c>
      <c r="Q19" s="2" t="n">
        <v>64.61</v>
      </c>
      <c r="R19" s="2" t="n">
        <v>3060.84</v>
      </c>
      <c r="S19" s="2" t="n">
        <v>10084.11</v>
      </c>
      <c r="T19" s="2" t="n">
        <v>4902.53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167815.49</v>
      </c>
      <c r="P21" s="2" t="n">
        <v>223825.8</v>
      </c>
      <c r="R21" s="2" t="n">
        <v>68217.37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85000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4800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4396.77</v>
      </c>
      <c r="P27" s="2" t="n">
        <v>6334.27</v>
      </c>
      <c r="R27" s="2" t="n">
        <v>1930.55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2073.47</v>
      </c>
      <c r="O29" s="2" t="n">
        <v>353.79</v>
      </c>
      <c r="Q29" s="2" t="n">
        <v>300.03</v>
      </c>
      <c r="R29" s="2" t="n">
        <v>21158.99</v>
      </c>
      <c r="S29" s="2" t="n">
        <v>46823.63</v>
      </c>
      <c r="T29" s="2" t="n">
        <v>13804.78</v>
      </c>
      <c r="U29" s="2" t="n">
        <v>-4856.82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7566.22</v>
      </c>
      <c r="N32" s="2" t="n">
        <v>7566.22</v>
      </c>
      <c r="O32" s="2" t="n">
        <v>7566.22</v>
      </c>
      <c r="P32" s="2" t="n">
        <v>7566.22</v>
      </c>
      <c r="Q32" s="2" t="n">
        <v>7566.22</v>
      </c>
      <c r="R32" s="2" t="n">
        <v>7566.22</v>
      </c>
      <c r="S32" s="2" t="n">
        <v>7566.22</v>
      </c>
      <c r="T32" s="2" t="n">
        <v>7566.22</v>
      </c>
      <c r="U32" s="2" t="n">
        <v>7566.24</v>
      </c>
      <c r="AE32" s="10">
        <f>SUM(C32:AD32)</f>
        <v/>
      </c>
    </row>
    <row r="33">
      <c r="B33" t="inlineStr">
        <is>
          <t>Fringe 5990</t>
        </is>
      </c>
      <c r="M33" s="2" t="n">
        <v>3293.58</v>
      </c>
      <c r="N33" s="2" t="n">
        <v>3293.58</v>
      </c>
      <c r="O33" s="2" t="n">
        <v>3293.58</v>
      </c>
      <c r="P33" s="2" t="n">
        <v>3293.58</v>
      </c>
      <c r="Q33" s="2" t="n">
        <v>3293.58</v>
      </c>
      <c r="R33" s="2" t="n">
        <v>3293.58</v>
      </c>
      <c r="S33" s="2" t="n">
        <v>3293.58</v>
      </c>
      <c r="T33" s="2" t="n">
        <v>3293.58</v>
      </c>
      <c r="U33" s="2" t="n">
        <v>3293.36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51095.44</v>
      </c>
      <c r="N35" s="2" t="n">
        <v>51095.44</v>
      </c>
      <c r="O35" s="2" t="n">
        <v>51095.44</v>
      </c>
      <c r="P35" s="2" t="n">
        <v>51095.44</v>
      </c>
      <c r="Q35" s="2" t="n">
        <v>51095.44</v>
      </c>
      <c r="R35" s="2" t="n">
        <v>51095.44</v>
      </c>
      <c r="S35" s="2" t="n">
        <v>51095.44</v>
      </c>
      <c r="T35" s="2" t="n">
        <v>51095.44</v>
      </c>
      <c r="U35" s="2" t="n">
        <v>51095.44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1354.03</v>
      </c>
      <c r="N41" s="2" t="n">
        <v>1354.03</v>
      </c>
      <c r="O41" s="2" t="n">
        <v>1354.03</v>
      </c>
      <c r="P41" s="2" t="n">
        <v>1354.03</v>
      </c>
      <c r="Q41" s="2" t="n">
        <v>1354.03</v>
      </c>
      <c r="R41" s="2" t="n">
        <v>1354.03</v>
      </c>
      <c r="S41" s="2" t="n">
        <v>1354.03</v>
      </c>
      <c r="T41" s="2" t="n">
        <v>1354.03</v>
      </c>
      <c r="U41" s="2" t="n">
        <v>1354.03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14468.51</v>
      </c>
      <c r="N43" s="2" t="n">
        <v>14468.51</v>
      </c>
      <c r="O43" s="2" t="n">
        <v>14468.51</v>
      </c>
      <c r="P43" s="2" t="n">
        <v>14468.51</v>
      </c>
      <c r="Q43" s="2" t="n">
        <v>14468.51</v>
      </c>
      <c r="R43" s="2" t="n">
        <v>14468.51</v>
      </c>
      <c r="S43" s="2" t="n">
        <v>14468.51</v>
      </c>
      <c r="T43" s="2" t="n">
        <v>14468.51</v>
      </c>
      <c r="U43" s="2" t="n">
        <v>14468.65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700000</v>
      </c>
      <c r="AE45" s="10">
        <f>SUM(C45:AD45)</f>
        <v/>
      </c>
    </row>
    <row r="46">
      <c r="B46" t="inlineStr">
        <is>
          <t>Obligated</t>
        </is>
      </c>
      <c r="M46" s="2" t="n">
        <v>700000</v>
      </c>
      <c r="AE46" s="10">
        <f>SUM(C46:AD46)</f>
        <v/>
      </c>
    </row>
    <row r="47">
      <c r="B47" t="inlineStr">
        <is>
          <t>Expended</t>
        </is>
      </c>
      <c r="N47" s="2" t="n">
        <v>600000</v>
      </c>
      <c r="O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2ADP043</t>
        </is>
      </c>
    </row>
    <row r="4">
      <c r="A4" s="1" t="inlineStr">
        <is>
          <t>ROLLUP #</t>
        </is>
      </c>
      <c r="B4" t="inlineStr">
        <is>
          <t>713087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164.91</v>
      </c>
      <c r="AE18" s="10">
        <f>SUM(C18:AD18)</f>
        <v/>
      </c>
    </row>
    <row r="19">
      <c r="B19" t="inlineStr">
        <is>
          <t>Fringe 5990</t>
        </is>
      </c>
      <c r="N19" s="2" t="n">
        <v>70.78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375539.43</v>
      </c>
      <c r="O21" s="2" t="n">
        <v>222460.57</v>
      </c>
      <c r="AE21" s="10">
        <f>SUM(C21:AD21)</f>
        <v/>
      </c>
    </row>
    <row r="22">
      <c r="B22" t="inlineStr">
        <is>
          <t>Consulting 5002</t>
        </is>
      </c>
      <c r="N22" s="2" t="n">
        <v>6587.55</v>
      </c>
      <c r="O22" s="2" t="n">
        <v>762.45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7504.4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9839.129999999999</v>
      </c>
      <c r="O27" s="2" t="n">
        <v>6295.64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8811.530000000001</v>
      </c>
      <c r="O29" s="2" t="n">
        <v>1103.42</v>
      </c>
      <c r="R29" s="2" t="n">
        <v>10860.19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78.3</v>
      </c>
      <c r="N32" s="2" t="n">
        <v>78.3</v>
      </c>
      <c r="O32" s="2" t="n">
        <v>78.3</v>
      </c>
      <c r="P32" s="2" t="n">
        <v>78.3</v>
      </c>
      <c r="Q32" s="2" t="n">
        <v>78.3</v>
      </c>
      <c r="R32" s="2" t="n">
        <v>78.3</v>
      </c>
      <c r="S32" s="2" t="n">
        <v>78.3</v>
      </c>
      <c r="AE32" s="10">
        <f>SUM(C32:AD32)</f>
        <v/>
      </c>
    </row>
    <row r="33">
      <c r="B33" t="inlineStr">
        <is>
          <t>Fringe 5990</t>
        </is>
      </c>
      <c r="M33" s="2" t="n">
        <v>33.65</v>
      </c>
      <c r="N33" s="2" t="n">
        <v>33.65</v>
      </c>
      <c r="O33" s="2" t="n">
        <v>33.65</v>
      </c>
      <c r="P33" s="2" t="n">
        <v>33.65</v>
      </c>
      <c r="Q33" s="2" t="n">
        <v>33.65</v>
      </c>
      <c r="R33" s="2" t="n">
        <v>33.65</v>
      </c>
      <c r="S33" s="2" t="n">
        <v>33.65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85428.57000000001</v>
      </c>
      <c r="N35" s="2" t="n">
        <v>85428.57000000001</v>
      </c>
      <c r="O35" s="2" t="n">
        <v>85428.57000000001</v>
      </c>
      <c r="P35" s="2" t="n">
        <v>85428.57000000001</v>
      </c>
      <c r="Q35" s="2" t="n">
        <v>85428.57000000001</v>
      </c>
      <c r="R35" s="2" t="n">
        <v>85428.57000000001</v>
      </c>
      <c r="S35" s="2" t="n">
        <v>85428.57000000001</v>
      </c>
      <c r="AE35" s="10">
        <f>SUM(C35:AD35)</f>
        <v/>
      </c>
    </row>
    <row r="36">
      <c r="B36" t="inlineStr">
        <is>
          <t>Consulting 5002</t>
        </is>
      </c>
      <c r="M36" s="2" t="n">
        <v>2142.86</v>
      </c>
      <c r="N36" s="2" t="n">
        <v>2142.86</v>
      </c>
      <c r="O36" s="2" t="n">
        <v>2142.86</v>
      </c>
      <c r="P36" s="2" t="n">
        <v>2142.86</v>
      </c>
      <c r="Q36" s="2" t="n">
        <v>2142.86</v>
      </c>
      <c r="R36" s="2" t="n">
        <v>2142.86</v>
      </c>
      <c r="S36" s="2" t="n">
        <v>2142.84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2239.09</v>
      </c>
      <c r="N41" s="2" t="n">
        <v>2239.09</v>
      </c>
      <c r="O41" s="2" t="n">
        <v>2239.09</v>
      </c>
      <c r="P41" s="2" t="n">
        <v>2239.09</v>
      </c>
      <c r="Q41" s="2" t="n">
        <v>2239.09</v>
      </c>
      <c r="R41" s="2" t="n">
        <v>2239.17</v>
      </c>
      <c r="S41" s="2" t="n">
        <v>2239.44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2934.61</v>
      </c>
      <c r="N43" s="2" t="n">
        <v>2934.61</v>
      </c>
      <c r="O43" s="2" t="n">
        <v>2934.61</v>
      </c>
      <c r="P43" s="2" t="n">
        <v>2934.61</v>
      </c>
      <c r="Q43" s="2" t="n">
        <v>2934.61</v>
      </c>
      <c r="R43" s="2" t="n">
        <v>2934.61</v>
      </c>
      <c r="S43" s="2" t="n">
        <v>2934.61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650000</v>
      </c>
      <c r="AE45" s="10">
        <f>SUM(C45:AD45)</f>
        <v/>
      </c>
    </row>
    <row r="46">
      <c r="B46" t="inlineStr">
        <is>
          <t>Obligated</t>
        </is>
      </c>
      <c r="M46" s="2" t="n">
        <v>650000</v>
      </c>
      <c r="AE46" s="10">
        <f>SUM(C46:AD46)</f>
        <v/>
      </c>
    </row>
    <row r="47">
      <c r="B47" t="inlineStr">
        <is>
          <t>Expended</t>
        </is>
      </c>
      <c r="N47" s="2" t="n">
        <v>240000</v>
      </c>
      <c r="O47" s="2" t="n">
        <v>300000</v>
      </c>
      <c r="P47" s="2" t="n">
        <v>110000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2ADP044</t>
        </is>
      </c>
    </row>
    <row r="4">
      <c r="A4" s="1" t="inlineStr">
        <is>
          <t>ROLLUP #</t>
        </is>
      </c>
      <c r="B4" t="inlineStr">
        <is>
          <t>713090</t>
        </is>
      </c>
    </row>
    <row r="5">
      <c r="A5" s="1" t="inlineStr">
        <is>
          <t>PROJECT NAME</t>
        </is>
      </c>
      <c r="B5" t="inlineStr">
        <is>
          <t>FHE Coversion of Demo Wearable Deep Tissue Oxgenation patch for Casulating nd Monitoring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117.79</v>
      </c>
      <c r="Q18" s="2" t="n">
        <v>24.97</v>
      </c>
      <c r="S18" s="2" t="n">
        <v>774.64</v>
      </c>
      <c r="AE18" s="10">
        <f>SUM(C18:AD18)</f>
        <v/>
      </c>
    </row>
    <row r="19">
      <c r="B19" t="inlineStr">
        <is>
          <t>Fringe 5990</t>
        </is>
      </c>
      <c r="N19" s="2" t="n">
        <v>50.56</v>
      </c>
      <c r="Q19" s="2" t="n">
        <v>11.31</v>
      </c>
      <c r="S19" s="2" t="n">
        <v>350.76</v>
      </c>
      <c r="T19" s="2" t="n">
        <v>21.84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18178.8</v>
      </c>
      <c r="P21" s="2" t="n">
        <v>36874.88</v>
      </c>
      <c r="Q21" s="2" t="n">
        <v>53597.6</v>
      </c>
      <c r="R21" s="2" t="n">
        <v>146573.27</v>
      </c>
      <c r="T21" s="2" t="n">
        <v>204772.63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390.29</v>
      </c>
      <c r="AE26" s="10">
        <f>SUM(C26:AD26)</f>
        <v/>
      </c>
    </row>
    <row r="27">
      <c r="B27" t="inlineStr">
        <is>
          <t>Sub K Overhead 5992</t>
        </is>
      </c>
      <c r="N27" s="2" t="n">
        <v>476.28</v>
      </c>
      <c r="P27" s="2" t="n">
        <v>1043.56</v>
      </c>
      <c r="Q27" s="2" t="n">
        <v>1516.81</v>
      </c>
      <c r="R27" s="2" t="n">
        <v>4148.03</v>
      </c>
      <c r="T27" s="2" t="n">
        <v>6266.04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217.39</v>
      </c>
      <c r="Q29" s="2" t="n">
        <v>617.33</v>
      </c>
      <c r="S29" s="2" t="n">
        <v>1628.67</v>
      </c>
      <c r="T29" s="2" t="n">
        <v>-121.31</v>
      </c>
      <c r="U29" s="2" t="n">
        <v>22467.86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853.5</v>
      </c>
      <c r="N32" s="2" t="n">
        <v>853.5</v>
      </c>
      <c r="O32" s="2" t="n">
        <v>853.5</v>
      </c>
      <c r="P32" s="2" t="n">
        <v>853.5</v>
      </c>
      <c r="Q32" s="2" t="n">
        <v>853.5</v>
      </c>
      <c r="R32" s="2" t="n">
        <v>853.5</v>
      </c>
      <c r="S32" s="2" t="n">
        <v>853.5</v>
      </c>
      <c r="T32" s="2" t="n">
        <v>853.5</v>
      </c>
      <c r="U32" s="2" t="n">
        <v>853.5</v>
      </c>
      <c r="V32" s="2" t="n">
        <v>853.5</v>
      </c>
      <c r="AE32" s="10">
        <f>SUM(C32:AD32)</f>
        <v/>
      </c>
    </row>
    <row r="33">
      <c r="B33" t="inlineStr">
        <is>
          <t>Fringe 5990</t>
        </is>
      </c>
      <c r="M33" s="2" t="n">
        <v>366.32</v>
      </c>
      <c r="N33" s="2" t="n">
        <v>366.32</v>
      </c>
      <c r="O33" s="2" t="n">
        <v>366.32</v>
      </c>
      <c r="P33" s="2" t="n">
        <v>366.32</v>
      </c>
      <c r="Q33" s="2" t="n">
        <v>366.32</v>
      </c>
      <c r="R33" s="2" t="n">
        <v>366.32</v>
      </c>
      <c r="S33" s="2" t="n">
        <v>366.32</v>
      </c>
      <c r="T33" s="2" t="n">
        <v>366.32</v>
      </c>
      <c r="U33" s="2" t="n">
        <v>366.32</v>
      </c>
      <c r="V33" s="2" t="n">
        <v>366.32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45999.7</v>
      </c>
      <c r="N35" s="2" t="n">
        <v>45999.7</v>
      </c>
      <c r="O35" s="2" t="n">
        <v>45999.7</v>
      </c>
      <c r="P35" s="2" t="n">
        <v>45999.7</v>
      </c>
      <c r="Q35" s="2" t="n">
        <v>45999.7</v>
      </c>
      <c r="R35" s="2" t="n">
        <v>45999.7</v>
      </c>
      <c r="S35" s="2" t="n">
        <v>45999.7</v>
      </c>
      <c r="T35" s="2" t="n">
        <v>45999.7</v>
      </c>
      <c r="U35" s="2" t="n">
        <v>45999.7</v>
      </c>
      <c r="V35" s="2" t="n">
        <v>45999.7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1205.19</v>
      </c>
      <c r="N41" s="2" t="n">
        <v>1205.19</v>
      </c>
      <c r="O41" s="2" t="n">
        <v>1205.19</v>
      </c>
      <c r="P41" s="2" t="n">
        <v>1205.19</v>
      </c>
      <c r="Q41" s="2" t="n">
        <v>1205.19</v>
      </c>
      <c r="R41" s="2" t="n">
        <v>1205.19</v>
      </c>
      <c r="S41" s="2" t="n">
        <v>1205.19</v>
      </c>
      <c r="T41" s="2" t="n">
        <v>1205.19</v>
      </c>
      <c r="U41" s="2" t="n">
        <v>1205.19</v>
      </c>
      <c r="V41" s="2" t="n">
        <v>1205.19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1575.28</v>
      </c>
      <c r="N43" s="2" t="n">
        <v>1575.28</v>
      </c>
      <c r="O43" s="2" t="n">
        <v>1575.28</v>
      </c>
      <c r="P43" s="2" t="n">
        <v>1575.28</v>
      </c>
      <c r="Q43" s="2" t="n">
        <v>1575.28</v>
      </c>
      <c r="R43" s="2" t="n">
        <v>1575.28</v>
      </c>
      <c r="S43" s="2" t="n">
        <v>1575.28</v>
      </c>
      <c r="T43" s="2" t="n">
        <v>1575.28</v>
      </c>
      <c r="U43" s="2" t="n">
        <v>1575.28</v>
      </c>
      <c r="V43" s="2" t="n">
        <v>1575.28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500000</v>
      </c>
      <c r="AE45" s="10">
        <f>SUM(C45:AD45)</f>
        <v/>
      </c>
    </row>
    <row r="46">
      <c r="B46" t="inlineStr">
        <is>
          <t>Obligated</t>
        </is>
      </c>
      <c r="M46" s="2" t="n">
        <v>500000</v>
      </c>
      <c r="AE46" s="10">
        <f>SUM(C46:AD46)</f>
        <v/>
      </c>
    </row>
    <row r="47">
      <c r="B47" t="inlineStr">
        <is>
          <t>Expended</t>
        </is>
      </c>
      <c r="N47" s="2" t="n">
        <v>200000</v>
      </c>
      <c r="O47" s="2" t="n">
        <v>100000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2ADP045</t>
        </is>
      </c>
    </row>
    <row r="4">
      <c r="A4" s="1" t="inlineStr">
        <is>
          <t>ROLLUP #</t>
        </is>
      </c>
      <c r="B4" t="inlineStr">
        <is>
          <t>713089</t>
        </is>
      </c>
    </row>
    <row r="5">
      <c r="A5" s="1" t="inlineStr">
        <is>
          <t>PROJECT NAME</t>
        </is>
      </c>
      <c r="B5" t="inlineStr">
        <is>
          <t>NSIN Hacking for Defense FY2022 Q3 PT 3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BX, 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2308.15</v>
      </c>
      <c r="O18" s="2" t="n">
        <v>7787.88</v>
      </c>
      <c r="P18" s="2" t="n">
        <v>2848.07</v>
      </c>
      <c r="R18" s="2" t="n">
        <v>2056.12</v>
      </c>
      <c r="S18" s="2" t="n">
        <v>1365.67</v>
      </c>
      <c r="V18" s="2" t="n">
        <v>9262.52</v>
      </c>
      <c r="AE18" s="10">
        <f>SUM(C18:AD18)</f>
        <v/>
      </c>
    </row>
    <row r="19">
      <c r="B19" t="inlineStr">
        <is>
          <t>Fringe 5990</t>
        </is>
      </c>
      <c r="N19" s="2" t="n">
        <v>990.66</v>
      </c>
      <c r="O19" s="2" t="n">
        <v>3526.35</v>
      </c>
      <c r="P19" s="2" t="n">
        <v>1289.6</v>
      </c>
      <c r="R19" s="2" t="n">
        <v>931.01</v>
      </c>
      <c r="S19" s="2" t="n">
        <v>618.37</v>
      </c>
      <c r="T19" s="2" t="n">
        <v>38.51</v>
      </c>
      <c r="V19" s="2" t="n">
        <v>4455.27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1518000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O26" s="2" t="n">
        <v>48.83</v>
      </c>
      <c r="R26" s="2" t="n">
        <v>22.22</v>
      </c>
      <c r="S26" s="2" t="n">
        <v>1237.94</v>
      </c>
      <c r="AE26" s="10">
        <f>SUM(C26:AD26)</f>
        <v/>
      </c>
    </row>
    <row r="27">
      <c r="B27" t="inlineStr">
        <is>
          <t>Sub K Overhead 5992</t>
        </is>
      </c>
      <c r="N27" s="2" t="n">
        <v>39771.6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4260.08</v>
      </c>
      <c r="O29" s="2" t="n">
        <v>16444.63</v>
      </c>
      <c r="P29" s="2" t="n">
        <v>5988.04</v>
      </c>
      <c r="R29" s="2" t="n">
        <v>4355.13</v>
      </c>
      <c r="S29" s="2" t="n">
        <v>4662.84</v>
      </c>
      <c r="T29" s="2" t="n">
        <v>-378.89</v>
      </c>
      <c r="V29" s="2" t="n">
        <v>18023.81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3053.1</v>
      </c>
      <c r="N32" s="2" t="n">
        <v>3053.1</v>
      </c>
      <c r="O32" s="2" t="n">
        <v>3053.1</v>
      </c>
      <c r="P32" s="2" t="n">
        <v>3053.1</v>
      </c>
      <c r="Q32" s="2" t="n">
        <v>3053.1</v>
      </c>
      <c r="R32" s="2" t="n">
        <v>3053.1</v>
      </c>
      <c r="S32" s="2" t="n">
        <v>3053.1</v>
      </c>
      <c r="T32" s="2" t="n">
        <v>3053.1</v>
      </c>
      <c r="AE32" s="10">
        <f>SUM(C32:AD32)</f>
        <v/>
      </c>
    </row>
    <row r="33">
      <c r="B33" t="inlineStr">
        <is>
          <t>Fringe 5990</t>
        </is>
      </c>
      <c r="M33" s="2" t="n">
        <v>1310.39</v>
      </c>
      <c r="N33" s="2" t="n">
        <v>1310.39</v>
      </c>
      <c r="O33" s="2" t="n">
        <v>1310.39</v>
      </c>
      <c r="P33" s="2" t="n">
        <v>1310.39</v>
      </c>
      <c r="Q33" s="2" t="n">
        <v>1310.39</v>
      </c>
      <c r="R33" s="2" t="n">
        <v>1310.39</v>
      </c>
      <c r="S33" s="2" t="n">
        <v>1310.39</v>
      </c>
      <c r="T33" s="2" t="n">
        <v>1310.39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189750</v>
      </c>
      <c r="N35" s="2" t="n">
        <v>189750</v>
      </c>
      <c r="O35" s="2" t="n">
        <v>189750</v>
      </c>
      <c r="P35" s="2" t="n">
        <v>189750</v>
      </c>
      <c r="Q35" s="2" t="n">
        <v>189750</v>
      </c>
      <c r="R35" s="2" t="n">
        <v>189750</v>
      </c>
      <c r="S35" s="2" t="n">
        <v>189750</v>
      </c>
      <c r="T35" s="2" t="n">
        <v>189750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M40" s="2" t="n">
        <v>666.95</v>
      </c>
      <c r="N40" s="2" t="n">
        <v>666.95</v>
      </c>
      <c r="O40" s="2" t="n">
        <v>666.95</v>
      </c>
      <c r="P40" s="2" t="n">
        <v>666.95</v>
      </c>
      <c r="Q40" s="2" t="n">
        <v>666.95</v>
      </c>
      <c r="R40" s="2" t="n">
        <v>666.95</v>
      </c>
      <c r="S40" s="2" t="n">
        <v>666.95</v>
      </c>
      <c r="T40" s="2" t="n">
        <v>666.95</v>
      </c>
      <c r="AE40" s="10">
        <f>SUM(C40:AD40)</f>
        <v/>
      </c>
    </row>
    <row r="41">
      <c r="B41" t="inlineStr">
        <is>
          <t>Sub K Overhead 5992</t>
        </is>
      </c>
      <c r="M41" s="2" t="n">
        <v>4973.35</v>
      </c>
      <c r="N41" s="2" t="n">
        <v>4973.35</v>
      </c>
      <c r="O41" s="2" t="n">
        <v>4973.35</v>
      </c>
      <c r="P41" s="2" t="n">
        <v>4973.35</v>
      </c>
      <c r="Q41" s="2" t="n">
        <v>4973.35</v>
      </c>
      <c r="R41" s="2" t="n">
        <v>4973.35</v>
      </c>
      <c r="S41" s="2" t="n">
        <v>4973.35</v>
      </c>
      <c r="T41" s="2" t="n">
        <v>4973.35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6496.21</v>
      </c>
      <c r="N43" s="2" t="n">
        <v>6496.21</v>
      </c>
      <c r="O43" s="2" t="n">
        <v>6496.21</v>
      </c>
      <c r="P43" s="2" t="n">
        <v>6496.21</v>
      </c>
      <c r="Q43" s="2" t="n">
        <v>6496.21</v>
      </c>
      <c r="R43" s="2" t="n">
        <v>6496.21</v>
      </c>
      <c r="S43" s="2" t="n">
        <v>6496.21</v>
      </c>
      <c r="T43" s="2" t="n">
        <v>6496.21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1650000</v>
      </c>
      <c r="AE45" s="10">
        <f>SUM(C45:AD45)</f>
        <v/>
      </c>
    </row>
    <row r="46">
      <c r="B46" t="inlineStr">
        <is>
          <t>Obligated</t>
        </is>
      </c>
      <c r="M46" s="2" t="n">
        <v>1650000</v>
      </c>
      <c r="AE46" s="10">
        <f>SUM(C46:AD46)</f>
        <v/>
      </c>
    </row>
    <row r="47">
      <c r="B47" t="inlineStr">
        <is>
          <t>Expended</t>
        </is>
      </c>
      <c r="N47" s="2" t="n">
        <v>412500</v>
      </c>
      <c r="O47" s="2" t="n">
        <v>1237500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2ADP046</t>
        </is>
      </c>
    </row>
    <row r="4">
      <c r="A4" s="1" t="inlineStr">
        <is>
          <t>ROLLUP #</t>
        </is>
      </c>
      <c r="B4" t="inlineStr">
        <is>
          <t>1046</t>
        </is>
      </c>
    </row>
    <row r="5">
      <c r="A5" s="1" t="inlineStr">
        <is>
          <t>PROJECT NAME</t>
        </is>
      </c>
      <c r="B5" t="inlineStr">
        <is>
          <t>NASIC Global Exploitation Squadron GXF T2 Program PhIII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-36411.64</v>
      </c>
      <c r="R18" s="2" t="n">
        <v>515.38</v>
      </c>
      <c r="AE18" s="10">
        <f>SUM(C18:AD18)</f>
        <v/>
      </c>
    </row>
    <row r="19">
      <c r="B19" t="inlineStr">
        <is>
          <t>Fringe 5990</t>
        </is>
      </c>
      <c r="N19" s="2" t="n">
        <v>-15627.9</v>
      </c>
      <c r="R19" s="2" t="n">
        <v>233.37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1895963.05</v>
      </c>
      <c r="O21" s="2" t="n">
        <v>471922.94</v>
      </c>
      <c r="P21" s="2" t="n">
        <v>108314.99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108060.14</v>
      </c>
      <c r="Q25" s="2" t="n">
        <v>15000</v>
      </c>
      <c r="R25" s="2" t="n">
        <v>-15000</v>
      </c>
      <c r="AE25" s="10">
        <f>SUM(C25:AD25)</f>
        <v/>
      </c>
    </row>
    <row r="26">
      <c r="B26" t="inlineStr">
        <is>
          <t>Material 5003</t>
        </is>
      </c>
      <c r="N26" s="2" t="n">
        <v>127.23</v>
      </c>
      <c r="Q26" s="2" t="n">
        <v>100.05</v>
      </c>
      <c r="AE26" s="10">
        <f>SUM(C26:AD26)</f>
        <v/>
      </c>
    </row>
    <row r="27">
      <c r="B27" t="inlineStr">
        <is>
          <t>Sub K Overhead 5992</t>
        </is>
      </c>
      <c r="N27" s="2" t="n">
        <v>49674.23</v>
      </c>
      <c r="O27" s="2" t="n">
        <v>13355.42</v>
      </c>
      <c r="P27" s="2" t="n">
        <v>3065.31</v>
      </c>
      <c r="V27" s="2" t="n">
        <v>1265.76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72510.31</v>
      </c>
      <c r="Q29" s="2" t="n">
        <v>21852.79</v>
      </c>
      <c r="R29" s="2" t="n">
        <v>-20624.43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305.36</v>
      </c>
      <c r="N32" s="2" t="n">
        <v>305.36</v>
      </c>
      <c r="O32" s="2" t="n">
        <v>305.36</v>
      </c>
      <c r="P32" s="2" t="n">
        <v>305.36</v>
      </c>
      <c r="Q32" s="2" t="n">
        <v>305.36</v>
      </c>
      <c r="AE32" s="10">
        <f>SUM(C32:AD32)</f>
        <v/>
      </c>
    </row>
    <row r="33">
      <c r="B33" t="inlineStr">
        <is>
          <t>Fringe 5990</t>
        </is>
      </c>
      <c r="M33" s="2" t="n">
        <v>131.06</v>
      </c>
      <c r="N33" s="2" t="n">
        <v>131.06</v>
      </c>
      <c r="O33" s="2" t="n">
        <v>131.06</v>
      </c>
      <c r="P33" s="2" t="n">
        <v>131.06</v>
      </c>
      <c r="Q33" s="2" t="n">
        <v>131.06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495240.2</v>
      </c>
      <c r="N35" s="2" t="n">
        <v>495240.2</v>
      </c>
      <c r="O35" s="2" t="n">
        <v>495240.2</v>
      </c>
      <c r="P35" s="2" t="n">
        <v>495240.2</v>
      </c>
      <c r="Q35" s="2" t="n">
        <v>495240.2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11189.4</v>
      </c>
      <c r="N39" s="2" t="n">
        <v>11189.4</v>
      </c>
      <c r="O39" s="2" t="n">
        <v>11189.4</v>
      </c>
      <c r="P39" s="2" t="n">
        <v>11189.4</v>
      </c>
      <c r="Q39" s="2" t="n">
        <v>11189.4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12980.2</v>
      </c>
      <c r="N41" s="2" t="n">
        <v>12980.2</v>
      </c>
      <c r="O41" s="2" t="n">
        <v>12980.2</v>
      </c>
      <c r="P41" s="2" t="n">
        <v>12980.2</v>
      </c>
      <c r="Q41" s="2" t="n">
        <v>12980.2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15013.18</v>
      </c>
      <c r="N43" s="2" t="n">
        <v>15013.18</v>
      </c>
      <c r="O43" s="2" t="n">
        <v>15013.18</v>
      </c>
      <c r="P43" s="2" t="n">
        <v>15013.18</v>
      </c>
      <c r="Q43" s="2" t="n">
        <v>15013.18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2674297.49</v>
      </c>
      <c r="AE45" s="10">
        <f>SUM(C45:AD45)</f>
        <v/>
      </c>
    </row>
    <row r="46">
      <c r="B46" t="inlineStr">
        <is>
          <t>Obligated</t>
        </is>
      </c>
      <c r="M46" s="2" t="n">
        <v>2674297.49</v>
      </c>
      <c r="AE46" s="10">
        <f>SUM(C46:AD46)</f>
        <v/>
      </c>
    </row>
    <row r="47">
      <c r="B47" t="inlineStr">
        <is>
          <t>Expended</t>
        </is>
      </c>
      <c r="N47" s="2" t="n">
        <v>1200000</v>
      </c>
      <c r="O47" s="2" t="n">
        <v>1104048.06</v>
      </c>
      <c r="P47" s="2" t="n">
        <v>370249.43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2ADP047</t>
        </is>
      </c>
    </row>
    <row r="4">
      <c r="A4" s="1" t="inlineStr">
        <is>
          <t>ROLLUP #</t>
        </is>
      </c>
      <c r="B4" t="inlineStr">
        <is>
          <t>713091</t>
        </is>
      </c>
    </row>
    <row r="5">
      <c r="A5" s="1" t="inlineStr">
        <is>
          <t>PROJECT NAME</t>
        </is>
      </c>
      <c r="B5" t="inlineStr">
        <is>
          <t>Novel Adv Hybrid Electronics for Weapons nd Armaments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306.26</v>
      </c>
      <c r="P18" s="2" t="n">
        <v>47.12</v>
      </c>
      <c r="S18" s="2" t="n">
        <v>74.91</v>
      </c>
      <c r="T18" s="2" t="n">
        <v>35.06</v>
      </c>
      <c r="V18" s="2" t="n">
        <v>24695.67</v>
      </c>
      <c r="AE18" s="10">
        <f>SUM(C18:AD18)</f>
        <v/>
      </c>
    </row>
    <row r="19">
      <c r="B19" t="inlineStr">
        <is>
          <t>Fringe 5990</t>
        </is>
      </c>
      <c r="N19" s="2" t="n">
        <v>131.45</v>
      </c>
      <c r="P19" s="2" t="n">
        <v>21.34</v>
      </c>
      <c r="S19" s="2" t="n">
        <v>33.92</v>
      </c>
      <c r="T19" s="2" t="n">
        <v>18.98</v>
      </c>
      <c r="V19" s="2" t="n">
        <v>11878.62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196393.18</v>
      </c>
      <c r="O21" s="2" t="n">
        <v>206418.9</v>
      </c>
      <c r="P21" s="2" t="n">
        <v>356815.78</v>
      </c>
      <c r="Q21" s="2" t="n">
        <v>845956.22</v>
      </c>
      <c r="R21" s="2" t="n">
        <v>618247.66</v>
      </c>
      <c r="S21" s="2" t="n">
        <v>428722.9</v>
      </c>
      <c r="T21" s="2" t="n">
        <v>280629.62</v>
      </c>
      <c r="U21" s="2" t="n">
        <v>384102.91</v>
      </c>
      <c r="V21" s="2" t="n">
        <v>34185</v>
      </c>
      <c r="W21" s="2" t="n">
        <v>2815</v>
      </c>
      <c r="X21" s="2" t="n">
        <v>18367</v>
      </c>
      <c r="Y21" s="2" t="n">
        <v>42731</v>
      </c>
      <c r="Z21" s="2" t="n">
        <v>74572</v>
      </c>
      <c r="AA21" s="2" t="n">
        <v>142676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42000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5145.5</v>
      </c>
      <c r="O27" s="2" t="n">
        <v>5841.65</v>
      </c>
      <c r="P27" s="2" t="n">
        <v>10097.89</v>
      </c>
      <c r="Q27" s="2" t="n">
        <v>23940.56</v>
      </c>
      <c r="R27" s="2" t="n">
        <v>17496.41</v>
      </c>
      <c r="S27" s="2" t="n">
        <v>12132.86</v>
      </c>
      <c r="T27" s="2" t="n">
        <v>9573.33</v>
      </c>
      <c r="U27" s="2" t="n">
        <v>11753.55</v>
      </c>
      <c r="V27" s="2" t="n">
        <v>1046.06</v>
      </c>
      <c r="W27" s="2" t="n">
        <v>82.48</v>
      </c>
      <c r="X27" s="2" t="n">
        <v>538.16</v>
      </c>
      <c r="Y27" s="2" t="n">
        <v>1252.02</v>
      </c>
      <c r="Z27" s="2" t="n">
        <v>2184.96</v>
      </c>
      <c r="AA27" s="2" t="n">
        <v>4323.08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565.26</v>
      </c>
      <c r="P29" s="2" t="n">
        <v>99.06999999999999</v>
      </c>
      <c r="S29" s="2" t="n">
        <v>157.5</v>
      </c>
      <c r="T29" s="2" t="n">
        <v>56.49</v>
      </c>
      <c r="V29" s="2" t="n">
        <v>48054.96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2155.5</v>
      </c>
      <c r="N32" s="2" t="n">
        <v>2155.5</v>
      </c>
      <c r="O32" s="2" t="n">
        <v>2155.5</v>
      </c>
      <c r="P32" s="2" t="n">
        <v>2155.5</v>
      </c>
      <c r="Q32" s="2" t="n">
        <v>2155.5</v>
      </c>
      <c r="R32" s="2" t="n">
        <v>2155.5</v>
      </c>
      <c r="S32" s="2" t="n">
        <v>2155.5</v>
      </c>
      <c r="T32" s="2" t="n">
        <v>2155.5</v>
      </c>
      <c r="U32" s="2" t="n">
        <v>2155.5</v>
      </c>
      <c r="V32" s="2" t="n">
        <v>2155.5</v>
      </c>
      <c r="W32" s="2" t="n">
        <v>2155.5</v>
      </c>
      <c r="X32" s="2" t="n">
        <v>2155.5</v>
      </c>
      <c r="Y32" s="2" t="n">
        <v>2155.5</v>
      </c>
      <c r="Z32" s="2" t="n">
        <v>2155.5</v>
      </c>
      <c r="AA32" s="2" t="n">
        <v>2155.5</v>
      </c>
      <c r="AB32" s="2" t="n">
        <v>2155.5</v>
      </c>
      <c r="AE32" s="10">
        <f>SUM(C32:AD32)</f>
        <v/>
      </c>
    </row>
    <row r="33">
      <c r="B33" t="inlineStr">
        <is>
          <t>Fringe 5990</t>
        </is>
      </c>
      <c r="M33" s="2" t="n">
        <v>976.01</v>
      </c>
      <c r="N33" s="2" t="n">
        <v>976.01</v>
      </c>
      <c r="O33" s="2" t="n">
        <v>976.01</v>
      </c>
      <c r="P33" s="2" t="n">
        <v>976.01</v>
      </c>
      <c r="Q33" s="2" t="n">
        <v>976.01</v>
      </c>
      <c r="R33" s="2" t="n">
        <v>976.01</v>
      </c>
      <c r="S33" s="2" t="n">
        <v>976.01</v>
      </c>
      <c r="T33" s="2" t="n">
        <v>976.01</v>
      </c>
      <c r="U33" s="2" t="n">
        <v>976.01</v>
      </c>
      <c r="V33" s="2" t="n">
        <v>976.01</v>
      </c>
      <c r="W33" s="2" t="n">
        <v>976.01</v>
      </c>
      <c r="X33" s="2" t="n">
        <v>976.01</v>
      </c>
      <c r="Y33" s="2" t="n">
        <v>976.01</v>
      </c>
      <c r="Z33" s="2" t="n">
        <v>976.01</v>
      </c>
      <c r="AA33" s="2" t="n">
        <v>976.01</v>
      </c>
      <c r="AB33" s="2" t="n">
        <v>976.01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227113.63</v>
      </c>
      <c r="N35" s="2" t="n">
        <v>227113.63</v>
      </c>
      <c r="O35" s="2" t="n">
        <v>227113.63</v>
      </c>
      <c r="P35" s="2" t="n">
        <v>227113.63</v>
      </c>
      <c r="Q35" s="2" t="n">
        <v>227113.63</v>
      </c>
      <c r="R35" s="2" t="n">
        <v>227113.63</v>
      </c>
      <c r="S35" s="2" t="n">
        <v>227113.63</v>
      </c>
      <c r="T35" s="2" t="n">
        <v>227113.63</v>
      </c>
      <c r="U35" s="2" t="n">
        <v>227113.63</v>
      </c>
      <c r="V35" s="2" t="n">
        <v>227113.63</v>
      </c>
      <c r="W35" s="2" t="n">
        <v>227113.63</v>
      </c>
      <c r="X35" s="2" t="n">
        <v>227113.63</v>
      </c>
      <c r="Y35" s="2" t="n">
        <v>227113.63</v>
      </c>
      <c r="Z35" s="2" t="n">
        <v>227113.63</v>
      </c>
      <c r="AA35" s="2" t="n">
        <v>227113.63</v>
      </c>
      <c r="AB35" s="2" t="n">
        <v>227113.63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6347.88</v>
      </c>
      <c r="N41" s="2" t="n">
        <v>6347.88</v>
      </c>
      <c r="O41" s="2" t="n">
        <v>6347.88</v>
      </c>
      <c r="P41" s="2" t="n">
        <v>6347.88</v>
      </c>
      <c r="Q41" s="2" t="n">
        <v>6347.88</v>
      </c>
      <c r="R41" s="2" t="n">
        <v>6347.88</v>
      </c>
      <c r="S41" s="2" t="n">
        <v>6347.88</v>
      </c>
      <c r="T41" s="2" t="n">
        <v>6347.88</v>
      </c>
      <c r="U41" s="2" t="n">
        <v>6347.88</v>
      </c>
      <c r="V41" s="2" t="n">
        <v>6347.88</v>
      </c>
      <c r="W41" s="2" t="n">
        <v>6347.88</v>
      </c>
      <c r="X41" s="2" t="n">
        <v>6347.88</v>
      </c>
      <c r="Y41" s="2" t="n">
        <v>6347.88</v>
      </c>
      <c r="Z41" s="2" t="n">
        <v>6347.88</v>
      </c>
      <c r="AA41" s="2" t="n">
        <v>6347.88</v>
      </c>
      <c r="AB41" s="2" t="n">
        <v>6347.8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4531.92</v>
      </c>
      <c r="N43" s="2" t="n">
        <v>4531.92</v>
      </c>
      <c r="O43" s="2" t="n">
        <v>4531.92</v>
      </c>
      <c r="P43" s="2" t="n">
        <v>4531.92</v>
      </c>
      <c r="Q43" s="2" t="n">
        <v>4531.92</v>
      </c>
      <c r="R43" s="2" t="n">
        <v>4531.92</v>
      </c>
      <c r="S43" s="2" t="n">
        <v>4531.92</v>
      </c>
      <c r="T43" s="2" t="n">
        <v>4531.92</v>
      </c>
      <c r="U43" s="2" t="n">
        <v>4531.92</v>
      </c>
      <c r="V43" s="2" t="n">
        <v>4531.92</v>
      </c>
      <c r="W43" s="2" t="n">
        <v>4531.92</v>
      </c>
      <c r="X43" s="2" t="n">
        <v>4531.92</v>
      </c>
      <c r="Y43" s="2" t="n">
        <v>4531.92</v>
      </c>
      <c r="Z43" s="2" t="n">
        <v>4531.92</v>
      </c>
      <c r="AA43" s="2" t="n">
        <v>4531.92</v>
      </c>
      <c r="AB43" s="2" t="n">
        <v>4533.04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3858000</v>
      </c>
      <c r="AE45" s="10">
        <f>SUM(C45:AD45)</f>
        <v/>
      </c>
    </row>
    <row r="46">
      <c r="B46" t="inlineStr">
        <is>
          <t>Obligated</t>
        </is>
      </c>
      <c r="M46" s="2" t="n">
        <v>3858000</v>
      </c>
      <c r="AE46" s="10">
        <f>SUM(C46:AD46)</f>
        <v/>
      </c>
    </row>
    <row r="47">
      <c r="B47" t="inlineStr">
        <is>
          <t>Expended</t>
        </is>
      </c>
      <c r="N47" s="2" t="n">
        <v>643000</v>
      </c>
      <c r="O47" s="2" t="n">
        <v>803750</v>
      </c>
      <c r="P47" s="2" t="n">
        <v>1000000</v>
      </c>
      <c r="Q47" s="2" t="n">
        <v>850000</v>
      </c>
      <c r="R47" s="2" t="n">
        <v>561250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2ADP048</t>
        </is>
      </c>
    </row>
    <row r="4">
      <c r="A4" s="1" t="inlineStr">
        <is>
          <t>ROLLUP #</t>
        </is>
      </c>
      <c r="B4" t="inlineStr">
        <is>
          <t>1048</t>
        </is>
      </c>
    </row>
    <row r="5">
      <c r="A5" s="1" t="inlineStr">
        <is>
          <t>PROJECT NAME</t>
        </is>
      </c>
      <c r="B5" t="inlineStr">
        <is>
          <t>NSIN Hacking For Defense FY 2022 Q3 Pt 4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12755.11</v>
      </c>
      <c r="O18" s="2" t="n">
        <v>26256.13</v>
      </c>
      <c r="P18" s="2" t="n">
        <v>6787.81</v>
      </c>
      <c r="R18" s="2" t="n">
        <v>-6765.26</v>
      </c>
      <c r="AE18" s="10">
        <f>SUM(C18:AD18)</f>
        <v/>
      </c>
    </row>
    <row r="19">
      <c r="B19" t="inlineStr">
        <is>
          <t>Fringe 5990</t>
        </is>
      </c>
      <c r="N19" s="2" t="n">
        <v>5474.5</v>
      </c>
      <c r="O19" s="2" t="n">
        <v>11888.77</v>
      </c>
      <c r="P19" s="2" t="n">
        <v>3073.52</v>
      </c>
      <c r="R19" s="2" t="n">
        <v>-3063.31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1027772.37</v>
      </c>
      <c r="O21" s="2" t="n">
        <v>527027.63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26927.64</v>
      </c>
      <c r="O27" s="2" t="n">
        <v>14914.89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23541.71</v>
      </c>
      <c r="O29" s="2" t="n">
        <v>55203.31</v>
      </c>
      <c r="P29" s="2" t="n">
        <v>14271.32</v>
      </c>
      <c r="R29" s="2" t="n">
        <v>-14223.59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5769.04</v>
      </c>
      <c r="O32" s="2" t="n">
        <v>5769.04</v>
      </c>
      <c r="P32" s="2" t="n">
        <v>5769.04</v>
      </c>
      <c r="Q32" s="2" t="n">
        <v>5769.04</v>
      </c>
      <c r="R32" s="2" t="n">
        <v>5769.04</v>
      </c>
      <c r="AE32" s="10">
        <f>SUM(C32:AD32)</f>
        <v/>
      </c>
    </row>
    <row r="33">
      <c r="B33" t="inlineStr">
        <is>
          <t>Fringe 5990</t>
        </is>
      </c>
      <c r="N33" s="2" t="n">
        <v>2476.07</v>
      </c>
      <c r="O33" s="2" t="n">
        <v>2476.07</v>
      </c>
      <c r="P33" s="2" t="n">
        <v>2476.07</v>
      </c>
      <c r="Q33" s="2" t="n">
        <v>2476.07</v>
      </c>
      <c r="R33" s="2" t="n">
        <v>2476.07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310960</v>
      </c>
      <c r="O35" s="2" t="n">
        <v>310960</v>
      </c>
      <c r="P35" s="2" t="n">
        <v>310960</v>
      </c>
      <c r="Q35" s="2" t="n">
        <v>310960</v>
      </c>
      <c r="R35" s="2" t="n">
        <v>310960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8147.15</v>
      </c>
      <c r="O41" s="2" t="n">
        <v>8147.15</v>
      </c>
      <c r="P41" s="2" t="n">
        <v>8147.15</v>
      </c>
      <c r="Q41" s="2" t="n">
        <v>8147.15</v>
      </c>
      <c r="R41" s="2" t="n">
        <v>8147.15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10647.74</v>
      </c>
      <c r="O43" s="2" t="n">
        <v>10647.74</v>
      </c>
      <c r="P43" s="2" t="n">
        <v>10647.74</v>
      </c>
      <c r="Q43" s="2" t="n">
        <v>10647.74</v>
      </c>
      <c r="R43" s="2" t="n">
        <v>10647.74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1690000</v>
      </c>
      <c r="AE45" s="10">
        <f>SUM(C45:AD45)</f>
        <v/>
      </c>
    </row>
    <row r="46">
      <c r="B46" t="inlineStr">
        <is>
          <t>Obligated</t>
        </is>
      </c>
      <c r="N46" s="2" t="n">
        <v>1690000</v>
      </c>
      <c r="AE46" s="10">
        <f>SUM(C46:AD46)</f>
        <v/>
      </c>
    </row>
    <row r="47">
      <c r="B47" t="inlineStr">
        <is>
          <t>Expended</t>
        </is>
      </c>
      <c r="O47" s="2" t="n">
        <v>1600000</v>
      </c>
      <c r="P47" s="2" t="n">
        <v>90000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2ADP049</t>
        </is>
      </c>
    </row>
    <row r="4">
      <c r="A4" s="1" t="inlineStr">
        <is>
          <t>ROLLUP #</t>
        </is>
      </c>
      <c r="B4" t="inlineStr">
        <is>
          <t>1049</t>
        </is>
      </c>
    </row>
    <row r="5">
      <c r="A5" s="1" t="inlineStr">
        <is>
          <t>PROJECT NAME</t>
        </is>
      </c>
      <c r="B5" t="inlineStr">
        <is>
          <t>OUSD R nd E M EWD MII Diversity Equity Inclusion nd Accessibility DEIA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3713</v>
      </c>
      <c r="O18" s="2" t="n">
        <v>4314.1</v>
      </c>
      <c r="P18" s="2" t="n">
        <v>619.64</v>
      </c>
      <c r="Q18" s="2" t="n">
        <v>1302.43</v>
      </c>
      <c r="R18" s="2" t="n">
        <v>101.25</v>
      </c>
      <c r="S18" s="2" t="n">
        <v>176.07</v>
      </c>
      <c r="T18" s="2" t="n">
        <v>469.53</v>
      </c>
      <c r="U18" s="2" t="n">
        <v>341.6</v>
      </c>
      <c r="V18" s="2" t="n">
        <v>1814.9</v>
      </c>
      <c r="W18" s="2" t="n">
        <v>7817.21</v>
      </c>
      <c r="X18" s="2" t="n">
        <v>647</v>
      </c>
      <c r="Y18" s="2" t="n">
        <v>937.35</v>
      </c>
      <c r="Z18" s="2" t="n">
        <v>7708.76</v>
      </c>
      <c r="AA18" s="2" t="n">
        <v>16596.79</v>
      </c>
      <c r="AB18" s="2" t="n">
        <v>315.19</v>
      </c>
      <c r="AE18" s="10">
        <f>SUM(C18:AD18)</f>
        <v/>
      </c>
    </row>
    <row r="19">
      <c r="B19" t="inlineStr">
        <is>
          <t>Fringe 5990</t>
        </is>
      </c>
      <c r="N19" s="2" t="n">
        <v>1593.62</v>
      </c>
      <c r="O19" s="2" t="n">
        <v>1953.43</v>
      </c>
      <c r="P19" s="2" t="n">
        <v>280.58</v>
      </c>
      <c r="Q19" s="2" t="n">
        <v>589.75</v>
      </c>
      <c r="R19" s="2" t="n">
        <v>45.85</v>
      </c>
      <c r="S19" s="2" t="n">
        <v>79.72</v>
      </c>
      <c r="T19" s="2" t="n">
        <v>230.81</v>
      </c>
      <c r="U19" s="2" t="n">
        <v>164.3</v>
      </c>
      <c r="V19" s="2" t="n">
        <v>872.97</v>
      </c>
      <c r="W19" s="2" t="n">
        <v>3928.94</v>
      </c>
      <c r="X19" s="2" t="n">
        <v>325.18</v>
      </c>
      <c r="Y19" s="2" t="n">
        <v>471.11</v>
      </c>
      <c r="Z19" s="2" t="n">
        <v>3874.43</v>
      </c>
      <c r="AA19" s="2" t="n">
        <v>8983.84</v>
      </c>
      <c r="AB19" s="2" t="n">
        <v>64.41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18381.09</v>
      </c>
      <c r="S21" s="2" t="n">
        <v>11496.08</v>
      </c>
      <c r="T21" s="2" t="n">
        <v>14363.94</v>
      </c>
      <c r="U21" s="2" t="n">
        <v>150070.25</v>
      </c>
      <c r="V21" s="2" t="n">
        <v>392089.2</v>
      </c>
      <c r="X21" s="2" t="n">
        <v>301161.15</v>
      </c>
      <c r="Y21" s="2" t="n">
        <v>126846.5</v>
      </c>
      <c r="Z21" s="2" t="n">
        <v>3271.12</v>
      </c>
      <c r="AE21" s="10">
        <f>SUM(C21:AD21)</f>
        <v/>
      </c>
    </row>
    <row r="22">
      <c r="B22" t="inlineStr">
        <is>
          <t>Consulting 5002</t>
        </is>
      </c>
      <c r="Q22" s="2" t="n">
        <v>28500</v>
      </c>
      <c r="R22" s="2" t="n">
        <v>34000</v>
      </c>
      <c r="U22" s="2" t="n">
        <v>5500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12934</v>
      </c>
      <c r="T25" s="2" t="n">
        <v>10934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520.1799999999999</v>
      </c>
      <c r="S27" s="2" t="n">
        <v>325.34</v>
      </c>
      <c r="T27" s="2" t="n">
        <v>465.98</v>
      </c>
      <c r="U27" s="2" t="n">
        <v>4592.15</v>
      </c>
      <c r="V27" s="2" t="n">
        <v>11997.93</v>
      </c>
      <c r="X27" s="2" t="n">
        <v>8824.01</v>
      </c>
      <c r="Y27" s="2" t="n">
        <v>3716.6</v>
      </c>
      <c r="Z27" s="2" t="n">
        <v>95.84</v>
      </c>
      <c r="AE27" s="10">
        <f>SUM(C27:AD27)</f>
        <v/>
      </c>
    </row>
    <row r="28">
      <c r="B28" t="inlineStr">
        <is>
          <t>Sub K Overhead 5993</t>
        </is>
      </c>
      <c r="O28" s="2" t="n">
        <v>3892.14</v>
      </c>
      <c r="P28" s="2" t="n">
        <v>-3892.13</v>
      </c>
      <c r="AE28" s="10">
        <f>SUM(C28:AD28)</f>
        <v/>
      </c>
    </row>
    <row r="29">
      <c r="B29" t="inlineStr">
        <is>
          <t>G&amp;A 5991</t>
        </is>
      </c>
      <c r="N29" s="2" t="n">
        <v>6852.97</v>
      </c>
      <c r="P29" s="2" t="n">
        <v>29091.24</v>
      </c>
      <c r="Q29" s="2" t="n">
        <v>43983.55</v>
      </c>
      <c r="R29" s="2" t="n">
        <v>49417.68</v>
      </c>
      <c r="S29" s="2" t="n">
        <v>370.19</v>
      </c>
      <c r="T29" s="2" t="n">
        <v>15252.27</v>
      </c>
      <c r="U29" s="2" t="n">
        <v>7891.16</v>
      </c>
      <c r="V29" s="2" t="n">
        <v>3531.59</v>
      </c>
      <c r="W29" s="2" t="n">
        <v>15597.71</v>
      </c>
      <c r="X29" s="2" t="n">
        <v>1290.96</v>
      </c>
      <c r="Y29" s="2" t="n">
        <v>1870.3</v>
      </c>
      <c r="Z29" s="2" t="n">
        <v>15381.32</v>
      </c>
      <c r="AA29" s="2" t="n">
        <v>34856.17</v>
      </c>
      <c r="AB29" s="2" t="n">
        <v>249.9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2084</v>
      </c>
      <c r="O32" s="2" t="n">
        <v>6252</v>
      </c>
      <c r="P32" s="2" t="n">
        <v>6252</v>
      </c>
      <c r="Q32" s="2" t="n">
        <v>6252</v>
      </c>
      <c r="R32" s="2" t="n">
        <v>6252</v>
      </c>
      <c r="S32" s="2" t="n">
        <v>6252</v>
      </c>
      <c r="T32" s="2" t="n">
        <v>6252</v>
      </c>
      <c r="U32" s="2" t="n">
        <v>6252</v>
      </c>
      <c r="V32" s="2" t="n">
        <v>6252</v>
      </c>
      <c r="W32" s="2" t="n">
        <v>6252</v>
      </c>
      <c r="X32" s="2" t="n">
        <v>6252</v>
      </c>
      <c r="Y32" s="2" t="n">
        <v>6252</v>
      </c>
      <c r="Z32" s="2" t="n">
        <v>6252</v>
      </c>
      <c r="AA32" s="2" t="n">
        <v>6252</v>
      </c>
      <c r="AE32" s="10">
        <f>SUM(C32:AD32)</f>
        <v/>
      </c>
    </row>
    <row r="33">
      <c r="B33" t="inlineStr">
        <is>
          <t>Fringe 5990</t>
        </is>
      </c>
      <c r="N33" s="2" t="n">
        <v>944</v>
      </c>
      <c r="O33" s="2" t="n">
        <v>2832</v>
      </c>
      <c r="P33" s="2" t="n">
        <v>2832</v>
      </c>
      <c r="Q33" s="2" t="n">
        <v>2832</v>
      </c>
      <c r="R33" s="2" t="n">
        <v>2832</v>
      </c>
      <c r="S33" s="2" t="n">
        <v>2832</v>
      </c>
      <c r="T33" s="2" t="n">
        <v>2832</v>
      </c>
      <c r="U33" s="2" t="n">
        <v>2832</v>
      </c>
      <c r="V33" s="2" t="n">
        <v>2832</v>
      </c>
      <c r="W33" s="2" t="n">
        <v>2832</v>
      </c>
      <c r="X33" s="2" t="n">
        <v>2832</v>
      </c>
      <c r="Y33" s="2" t="n">
        <v>2832</v>
      </c>
      <c r="Z33" s="2" t="n">
        <v>2832</v>
      </c>
      <c r="AA33" s="2" t="n">
        <v>2832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54370.86</v>
      </c>
      <c r="Q35" s="2" t="n">
        <v>104046.74</v>
      </c>
      <c r="R35" s="2" t="n">
        <v>196230.87</v>
      </c>
      <c r="S35" s="2" t="n">
        <v>282466.07</v>
      </c>
      <c r="T35" s="2" t="n">
        <v>314164.46</v>
      </c>
      <c r="U35" s="2" t="n">
        <v>235027.22</v>
      </c>
      <c r="V35" s="2" t="n">
        <v>290948.31</v>
      </c>
      <c r="W35" s="2" t="n">
        <v>172038.22</v>
      </c>
      <c r="X35" s="2" t="n">
        <v>109791.12</v>
      </c>
      <c r="Y35" s="2" t="n">
        <v>109790.12</v>
      </c>
      <c r="Z35" s="2" t="n">
        <v>30684.12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1415</v>
      </c>
      <c r="Q41" s="2" t="n">
        <v>2773.7</v>
      </c>
      <c r="R41" s="2" t="n">
        <v>5404.13</v>
      </c>
      <c r="S41" s="2" t="n">
        <v>7851.71</v>
      </c>
      <c r="T41" s="2" t="n">
        <v>8931.049999999999</v>
      </c>
      <c r="U41" s="2" t="n">
        <v>7173.82</v>
      </c>
      <c r="V41" s="2" t="n">
        <v>8805.690000000001</v>
      </c>
      <c r="W41" s="2" t="n">
        <v>5050.95</v>
      </c>
      <c r="X41" s="2" t="n">
        <v>3289.35</v>
      </c>
      <c r="Y41" s="2" t="n">
        <v>3287.35</v>
      </c>
      <c r="Z41" s="2" t="n">
        <v>868.35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4382</v>
      </c>
      <c r="O43" s="2" t="n">
        <v>13146</v>
      </c>
      <c r="P43" s="2" t="n">
        <v>13146</v>
      </c>
      <c r="Q43" s="2" t="n">
        <v>13146</v>
      </c>
      <c r="R43" s="2" t="n">
        <v>13146</v>
      </c>
      <c r="S43" s="2" t="n">
        <v>13146</v>
      </c>
      <c r="T43" s="2" t="n">
        <v>13146</v>
      </c>
      <c r="U43" s="2" t="n">
        <v>13146</v>
      </c>
      <c r="V43" s="2" t="n">
        <v>13146</v>
      </c>
      <c r="W43" s="2" t="n">
        <v>13146</v>
      </c>
      <c r="X43" s="2" t="n">
        <v>13146</v>
      </c>
      <c r="Y43" s="2" t="n">
        <v>13146</v>
      </c>
      <c r="Z43" s="2" t="n">
        <v>13146</v>
      </c>
      <c r="AA43" s="2" t="n">
        <v>12338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2250000</v>
      </c>
      <c r="AE45" s="10">
        <f>SUM(C45:AD45)</f>
        <v/>
      </c>
    </row>
    <row r="46">
      <c r="B46" t="inlineStr">
        <is>
          <t>Obligated</t>
        </is>
      </c>
      <c r="N46" s="2" t="n">
        <v>2250000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650000</v>
      </c>
      <c r="Q47" s="2" t="n">
        <v>800000</v>
      </c>
      <c r="R47" s="2" t="n">
        <v>200000</v>
      </c>
      <c r="S47" s="2" t="n">
        <v>258000</v>
      </c>
      <c r="T47" s="2" t="n">
        <v>42000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2ADP050</t>
        </is>
      </c>
    </row>
    <row r="4">
      <c r="A4" s="1" t="inlineStr">
        <is>
          <t>ROLLUP #</t>
        </is>
      </c>
      <c r="B4" t="inlineStr">
        <is>
          <t>713096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CE, CF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7824.28</v>
      </c>
      <c r="Q18" s="2" t="n">
        <v>14239.5</v>
      </c>
      <c r="R18" s="2" t="n">
        <v>15833.21</v>
      </c>
      <c r="S18" s="2" t="n">
        <v>21098.41</v>
      </c>
      <c r="T18" s="2" t="n">
        <v>10698.73</v>
      </c>
      <c r="U18" s="2" t="n">
        <v>22020.61</v>
      </c>
      <c r="V18" s="2" t="n">
        <v>-1747.26</v>
      </c>
      <c r="AE18" s="10">
        <f>SUM(C18:AD18)</f>
        <v/>
      </c>
    </row>
    <row r="19">
      <c r="B19" t="inlineStr">
        <is>
          <t>Fringe 5990</t>
        </is>
      </c>
      <c r="P19" s="2" t="n">
        <v>3542.83</v>
      </c>
      <c r="Q19" s="2" t="n">
        <v>6447.64</v>
      </c>
      <c r="R19" s="2" t="n">
        <v>7169.27</v>
      </c>
      <c r="S19" s="2" t="n">
        <v>9553.360000000001</v>
      </c>
      <c r="T19" s="2" t="n">
        <v>5741.06</v>
      </c>
      <c r="U19" s="2" t="n">
        <v>10591.92</v>
      </c>
      <c r="V19" s="2" t="n">
        <v>-840.4299999999999</v>
      </c>
      <c r="AE19" s="10">
        <f>SUM(C19:AD19)</f>
        <v/>
      </c>
    </row>
    <row r="20">
      <c r="B20" t="inlineStr">
        <is>
          <t>Travel 5004</t>
        </is>
      </c>
      <c r="R20" s="2" t="n">
        <v>9.1</v>
      </c>
      <c r="U20" s="2" t="n">
        <v>2632.94</v>
      </c>
      <c r="AE20" s="10">
        <f>SUM(C20:AD20)</f>
        <v/>
      </c>
    </row>
    <row r="21">
      <c r="B21" t="inlineStr">
        <is>
          <t>Subcontracting 5005</t>
        </is>
      </c>
      <c r="P21" s="2" t="n">
        <v>31106.79</v>
      </c>
      <c r="Q21" s="2" t="n">
        <v>58957.79</v>
      </c>
      <c r="R21" s="2" t="n">
        <v>190180.78</v>
      </c>
      <c r="S21" s="2" t="n">
        <v>117176.03</v>
      </c>
      <c r="T21" s="2" t="n">
        <v>76525.72</v>
      </c>
      <c r="U21" s="2" t="n">
        <v>49067.87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4280.76</v>
      </c>
      <c r="S25" s="2" t="n">
        <v>8946.290000000001</v>
      </c>
      <c r="T25" s="2" t="n">
        <v>10275.33</v>
      </c>
      <c r="U25" s="2" t="n">
        <v>179.9</v>
      </c>
      <c r="V25" s="2" t="n">
        <v>36225</v>
      </c>
      <c r="AE25" s="10">
        <f>SUM(C25:AD25)</f>
        <v/>
      </c>
    </row>
    <row r="26">
      <c r="B26" t="inlineStr">
        <is>
          <t>Material 5003</t>
        </is>
      </c>
      <c r="P26" s="2" t="n">
        <v>118.92</v>
      </c>
      <c r="Q26" s="2" t="n">
        <v>3178.17</v>
      </c>
      <c r="R26" s="2" t="n">
        <v>455.26</v>
      </c>
      <c r="S26" s="2" t="n">
        <v>1728.18</v>
      </c>
      <c r="T26" s="2" t="n">
        <v>1165.37</v>
      </c>
      <c r="U26" s="2" t="n">
        <v>547.76</v>
      </c>
      <c r="AE26" s="10">
        <f>SUM(C26:AD26)</f>
        <v/>
      </c>
    </row>
    <row r="27">
      <c r="B27" t="inlineStr">
        <is>
          <t>Sub K Overhead 5992</t>
        </is>
      </c>
      <c r="P27" s="2" t="n">
        <v>880.3200000000001</v>
      </c>
      <c r="Q27" s="2" t="n">
        <v>1668.5</v>
      </c>
      <c r="R27" s="2" t="n">
        <v>5382.12</v>
      </c>
      <c r="S27" s="2" t="n">
        <v>3316.08</v>
      </c>
      <c r="T27" s="2" t="n">
        <v>2611.19</v>
      </c>
      <c r="U27" s="2" t="n">
        <v>1501.48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16622.58</v>
      </c>
      <c r="Q29" s="2" t="n">
        <v>34537.89</v>
      </c>
      <c r="R29" s="2" t="n">
        <v>40156.34</v>
      </c>
      <c r="S29" s="2" t="n">
        <v>59807.32</v>
      </c>
      <c r="T29" s="2" t="n">
        <v>31123.39</v>
      </c>
      <c r="U29" s="2" t="n">
        <v>47265.09</v>
      </c>
      <c r="V29" s="2" t="n">
        <v>44196.06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11567.73</v>
      </c>
      <c r="R32" s="2" t="n">
        <v>11295.03</v>
      </c>
      <c r="S32" s="2" t="n">
        <v>11295.03</v>
      </c>
      <c r="T32" s="2" t="n">
        <v>14712.69</v>
      </c>
      <c r="U32" s="2" t="n">
        <v>14480.49</v>
      </c>
      <c r="V32" s="2" t="n">
        <v>14100.84</v>
      </c>
      <c r="AE32" s="10">
        <f>SUM(C32:AD32)</f>
        <v/>
      </c>
    </row>
    <row r="33">
      <c r="B33" t="inlineStr">
        <is>
          <t>Fringe 5990</t>
        </is>
      </c>
      <c r="Q33" s="2" t="n">
        <v>5237.55</v>
      </c>
      <c r="R33" s="2" t="n">
        <v>5114.1</v>
      </c>
      <c r="S33" s="2" t="n">
        <v>5114.1</v>
      </c>
      <c r="T33" s="2" t="n">
        <v>6661.53</v>
      </c>
      <c r="U33" s="2" t="n">
        <v>6556.38</v>
      </c>
      <c r="V33" s="2" t="n">
        <v>6384.48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90211.08</v>
      </c>
      <c r="R35" s="2" t="n">
        <v>151929.51</v>
      </c>
      <c r="S35" s="2" t="n">
        <v>183176.97</v>
      </c>
      <c r="T35" s="2" t="n">
        <v>151047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Q39" s="2" t="n">
        <v>12500.01</v>
      </c>
      <c r="R39" s="2" t="n">
        <v>12500.01</v>
      </c>
      <c r="S39" s="2" t="n">
        <v>12500.01</v>
      </c>
      <c r="T39" s="2" t="n">
        <v>12500.01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2552.97</v>
      </c>
      <c r="R41" s="2" t="n">
        <v>4299.6</v>
      </c>
      <c r="S41" s="2" t="n">
        <v>5183.91</v>
      </c>
      <c r="T41" s="2" t="n">
        <v>4274.64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46105.26</v>
      </c>
      <c r="R43" s="2" t="n">
        <v>48059.7</v>
      </c>
      <c r="S43" s="2" t="n">
        <v>49339.44</v>
      </c>
      <c r="T43" s="2" t="n">
        <v>55209</v>
      </c>
      <c r="U43" s="2" t="n">
        <v>30444.57</v>
      </c>
      <c r="V43" s="2" t="n">
        <v>29646.36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14000</v>
      </c>
      <c r="Q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14000</v>
      </c>
      <c r="Q46" s="2" t="n">
        <v>1000000</v>
      </c>
      <c r="AE46" s="10">
        <f>SUM(C46:AD46)</f>
        <v/>
      </c>
    </row>
    <row r="47">
      <c r="B47" t="inlineStr">
        <is>
          <t>Expended</t>
        </is>
      </c>
      <c r="P47" s="2" t="n">
        <v>514000</v>
      </c>
      <c r="Q47" s="2" t="n">
        <v>300000</v>
      </c>
      <c r="T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2ADP051</t>
        </is>
      </c>
    </row>
    <row r="4">
      <c r="A4" s="1" t="inlineStr">
        <is>
          <t>ROLLUP #</t>
        </is>
      </c>
      <c r="B4" t="inlineStr">
        <is>
          <t>713101</t>
        </is>
      </c>
    </row>
    <row r="5">
      <c r="A5" s="1" t="inlineStr">
        <is>
          <t>PROJECT NAME</t>
        </is>
      </c>
      <c r="B5" t="inlineStr">
        <is>
          <t>Materials Enablers for Advanced Manufacturing of Attritable Fuel Cells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6539.34</v>
      </c>
      <c r="Q18" s="2" t="n">
        <v>6545.93</v>
      </c>
      <c r="R18" s="2" t="n">
        <v>7090.41</v>
      </c>
      <c r="S18" s="2" t="n">
        <v>5734.68</v>
      </c>
      <c r="T18" s="2" t="n">
        <v>5014.73</v>
      </c>
      <c r="U18" s="2" t="n">
        <v>6945</v>
      </c>
      <c r="V18" s="2" t="n">
        <v>-1126.94</v>
      </c>
      <c r="AE18" s="10">
        <f>SUM(C18:AD18)</f>
        <v/>
      </c>
    </row>
    <row r="19">
      <c r="B19" t="inlineStr">
        <is>
          <t>Fringe 5990</t>
        </is>
      </c>
      <c r="P19" s="2" t="n">
        <v>2961.01</v>
      </c>
      <c r="Q19" s="2" t="n">
        <v>970.8</v>
      </c>
      <c r="R19" s="2" t="n">
        <v>3210.53</v>
      </c>
      <c r="S19" s="2" t="n">
        <v>2596.66</v>
      </c>
      <c r="T19" s="2" t="n">
        <v>2573.81</v>
      </c>
      <c r="U19" s="2" t="n">
        <v>3340.54</v>
      </c>
      <c r="V19" s="2" t="n">
        <v>-542.05</v>
      </c>
      <c r="AE19" s="10">
        <f>SUM(C19:AD19)</f>
        <v/>
      </c>
    </row>
    <row r="20">
      <c r="B20" t="inlineStr">
        <is>
          <t>Travel 5004</t>
        </is>
      </c>
      <c r="U20" s="2" t="n">
        <v>1094.27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</v>
      </c>
      <c r="R25" s="2" t="n">
        <v>353.17</v>
      </c>
      <c r="S25" s="2" t="n">
        <v>50.65</v>
      </c>
      <c r="T25" s="2" t="n">
        <v>34.37</v>
      </c>
      <c r="U25" s="2" t="n">
        <v>29.64</v>
      </c>
      <c r="AE25" s="10">
        <f>SUM(C25:AD25)</f>
        <v/>
      </c>
    </row>
    <row r="26">
      <c r="B26" t="inlineStr">
        <is>
          <t>Material 5003</t>
        </is>
      </c>
      <c r="T26" s="2" t="n">
        <v>537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13748.91</v>
      </c>
      <c r="Q29" s="2" t="n">
        <v>11746.53</v>
      </c>
      <c r="R29" s="2" t="n">
        <v>15418.65</v>
      </c>
      <c r="S29" s="2" t="n">
        <v>12130.4</v>
      </c>
      <c r="T29" s="2" t="n">
        <v>9603.98</v>
      </c>
      <c r="U29" s="2" t="n">
        <v>14990.88</v>
      </c>
      <c r="V29" s="2" t="n">
        <v>-2192.88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130000</v>
      </c>
      <c r="AE45" s="10">
        <f>SUM(C45:AD45)</f>
        <v/>
      </c>
    </row>
    <row r="46">
      <c r="B46" t="inlineStr">
        <is>
          <t>Obligated</t>
        </is>
      </c>
      <c r="N46" s="2" t="n">
        <v>130000</v>
      </c>
      <c r="AE46" s="10">
        <f>SUM(C46:AD46)</f>
        <v/>
      </c>
    </row>
    <row r="47">
      <c r="B47" t="inlineStr">
        <is>
          <t>Expended</t>
        </is>
      </c>
      <c r="Q47" s="2" t="n">
        <v>130000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2ADP052</t>
        </is>
      </c>
    </row>
    <row r="4">
      <c r="A4" s="1" t="inlineStr">
        <is>
          <t>ROLLUP #</t>
        </is>
      </c>
      <c r="B4" t="inlineStr">
        <is>
          <t>713094</t>
        </is>
      </c>
    </row>
    <row r="5">
      <c r="A5" s="1" t="inlineStr">
        <is>
          <t>PROJECT NAME</t>
        </is>
      </c>
      <c r="B5" t="inlineStr">
        <is>
          <t>Innovation Capacity Building for TSA Ph4 nd Matls Process Database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126.33</v>
      </c>
      <c r="P18" s="2" t="n">
        <v>232.83</v>
      </c>
      <c r="R18" s="2" t="n">
        <v>6274.85</v>
      </c>
      <c r="AE18" s="10">
        <f>SUM(C18:AD18)</f>
        <v/>
      </c>
    </row>
    <row r="19">
      <c r="B19" t="inlineStr">
        <is>
          <t>Fringe 5990</t>
        </is>
      </c>
      <c r="N19" s="2" t="n">
        <v>54.22</v>
      </c>
      <c r="P19" s="2" t="n">
        <v>105.43</v>
      </c>
      <c r="R19" s="2" t="n">
        <v>2841.25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78824.07000000001</v>
      </c>
      <c r="O21" s="2" t="n">
        <v>457019.42</v>
      </c>
      <c r="P21" s="2" t="n">
        <v>150939.79</v>
      </c>
      <c r="Q21" s="2" t="n">
        <v>233216.72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12495.6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2065.19</v>
      </c>
      <c r="O27" s="2" t="n">
        <v>12933.65</v>
      </c>
      <c r="P27" s="2" t="n">
        <v>4271.59</v>
      </c>
      <c r="Q27" s="2" t="n">
        <v>6600.04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233.16</v>
      </c>
      <c r="P29" s="2" t="n">
        <v>489.52</v>
      </c>
      <c r="R29" s="2" t="n">
        <v>31276.33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1235.33</v>
      </c>
      <c r="O32" s="2" t="n">
        <v>3764.81</v>
      </c>
      <c r="P32" s="2" t="n">
        <v>3937.58</v>
      </c>
      <c r="Q32" s="2" t="n">
        <v>3586.91</v>
      </c>
      <c r="R32" s="2" t="n">
        <v>2665.05</v>
      </c>
      <c r="AE32" s="10">
        <f>SUM(C32:AD32)</f>
        <v/>
      </c>
    </row>
    <row r="33">
      <c r="B33" t="inlineStr">
        <is>
          <t>Fringe 5990</t>
        </is>
      </c>
      <c r="N33" s="2" t="n">
        <v>559.33</v>
      </c>
      <c r="O33" s="2" t="n">
        <v>1704.66</v>
      </c>
      <c r="P33" s="2" t="n">
        <v>1783</v>
      </c>
      <c r="Q33" s="2" t="n">
        <v>1624.25</v>
      </c>
      <c r="R33" s="2" t="n">
        <v>1206.75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76061</v>
      </c>
      <c r="O35" s="2" t="n">
        <v>228747.05</v>
      </c>
      <c r="P35" s="2" t="n">
        <v>230425.43</v>
      </c>
      <c r="Q35" s="2" t="n">
        <v>211954.55</v>
      </c>
      <c r="R35" s="2" t="n">
        <v>172811.67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2152.67</v>
      </c>
      <c r="O41" s="2" t="n">
        <v>6473.67</v>
      </c>
      <c r="P41" s="2" t="n">
        <v>6520.66</v>
      </c>
      <c r="Q41" s="2" t="n">
        <v>5998.25</v>
      </c>
      <c r="R41" s="2" t="n">
        <v>4890.75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2597.33</v>
      </c>
      <c r="O43" s="2" t="n">
        <v>7915.66</v>
      </c>
      <c r="P43" s="2" t="n">
        <v>8278.84</v>
      </c>
      <c r="Q43" s="2" t="n">
        <v>7531.42</v>
      </c>
      <c r="R43" s="2" t="n">
        <v>5573.22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1000000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2ADP053</t>
        </is>
      </c>
    </row>
    <row r="4">
      <c r="A4" s="1" t="inlineStr">
        <is>
          <t>ROLLUP #</t>
        </is>
      </c>
      <c r="B4" t="inlineStr">
        <is>
          <t>713095</t>
        </is>
      </c>
    </row>
    <row r="5">
      <c r="A5" s="1" t="inlineStr">
        <is>
          <t>PROJECT NAME</t>
        </is>
      </c>
      <c r="B5" t="inlineStr">
        <is>
          <t>FY22 Soldier Authentication Project Prototype D Serial Update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313.7</v>
      </c>
      <c r="O18" s="2" t="n">
        <v>23448.72</v>
      </c>
      <c r="AE18" s="10">
        <f>SUM(C18:AD18)</f>
        <v/>
      </c>
    </row>
    <row r="19">
      <c r="B19" t="inlineStr">
        <is>
          <t>Fringe 5990</t>
        </is>
      </c>
      <c r="N19" s="2" t="n">
        <v>134.64</v>
      </c>
      <c r="O19" s="2" t="n">
        <v>10617.58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578.99</v>
      </c>
      <c r="O29" s="2" t="n">
        <v>49300.75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1908.47</v>
      </c>
      <c r="O32" s="2" t="n">
        <v>1908.47</v>
      </c>
      <c r="P32" s="2" t="n">
        <v>1908.47</v>
      </c>
      <c r="Q32" s="2" t="n">
        <v>1908.47</v>
      </c>
      <c r="R32" s="2" t="n">
        <v>1908.47</v>
      </c>
      <c r="S32" s="2" t="n">
        <v>1908.47</v>
      </c>
      <c r="T32" s="2" t="n">
        <v>1908.47</v>
      </c>
      <c r="U32" s="2" t="n">
        <v>1908.47</v>
      </c>
      <c r="AE32" s="10">
        <f>SUM(C32:AD32)</f>
        <v/>
      </c>
    </row>
    <row r="33">
      <c r="B33" t="inlineStr">
        <is>
          <t>Fringe 5990</t>
        </is>
      </c>
      <c r="N33" s="2" t="n">
        <v>819.12</v>
      </c>
      <c r="O33" s="2" t="n">
        <v>819.12</v>
      </c>
      <c r="P33" s="2" t="n">
        <v>819.12</v>
      </c>
      <c r="Q33" s="2" t="n">
        <v>819.12</v>
      </c>
      <c r="R33" s="2" t="n">
        <v>819.12</v>
      </c>
      <c r="S33" s="2" t="n">
        <v>819.12</v>
      </c>
      <c r="T33" s="2" t="n">
        <v>819.12</v>
      </c>
      <c r="U33" s="2" t="n">
        <v>819.12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3522.41</v>
      </c>
      <c r="O43" s="2" t="n">
        <v>3522.41</v>
      </c>
      <c r="P43" s="2" t="n">
        <v>3522.41</v>
      </c>
      <c r="Q43" s="2" t="n">
        <v>3522.41</v>
      </c>
      <c r="R43" s="2" t="n">
        <v>3522.41</v>
      </c>
      <c r="S43" s="2" t="n">
        <v>3522.41</v>
      </c>
      <c r="T43" s="2" t="n">
        <v>3522.41</v>
      </c>
      <c r="U43" s="2" t="n">
        <v>3522.41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50000</v>
      </c>
      <c r="AE45" s="10">
        <f>SUM(C45:AD45)</f>
        <v/>
      </c>
    </row>
    <row r="46">
      <c r="B46" t="inlineStr">
        <is>
          <t>Obligated</t>
        </is>
      </c>
      <c r="O46" s="2" t="n">
        <v>50000</v>
      </c>
      <c r="AE46" s="10">
        <f>SUM(C46:AD46)</f>
        <v/>
      </c>
    </row>
    <row r="47">
      <c r="B47" t="inlineStr">
        <is>
          <t>Expended</t>
        </is>
      </c>
      <c r="O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2ADP054</t>
        </is>
      </c>
    </row>
    <row r="4">
      <c r="A4" s="1" t="inlineStr">
        <is>
          <t>ROLLUP #</t>
        </is>
      </c>
      <c r="B4" t="inlineStr">
        <is>
          <t>1054</t>
        </is>
      </c>
    </row>
    <row r="5">
      <c r="A5" s="1" t="inlineStr">
        <is>
          <t>PROJECT NAME</t>
        </is>
      </c>
      <c r="B5" t="inlineStr">
        <is>
          <t>Printed Electronics Energetics Materials nd sensors PEEMS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31972</v>
      </c>
      <c r="P18" s="2" t="n">
        <v>27297.35</v>
      </c>
      <c r="Q18" s="2" t="n">
        <v>74.91</v>
      </c>
      <c r="R18" s="2" t="n">
        <v>-5531.75</v>
      </c>
      <c r="S18" s="2" t="n">
        <v>58.62</v>
      </c>
      <c r="T18" s="2" t="n">
        <v>113.97</v>
      </c>
      <c r="AE18" s="10">
        <f>SUM(C18:AD18)</f>
        <v/>
      </c>
    </row>
    <row r="19">
      <c r="B19" t="inlineStr">
        <is>
          <t>Fringe 5990</t>
        </is>
      </c>
      <c r="O19" s="2" t="n">
        <v>14476.94</v>
      </c>
      <c r="P19" s="2" t="n">
        <v>12360.23</v>
      </c>
      <c r="Q19" s="2" t="n">
        <v>33.92</v>
      </c>
      <c r="R19" s="2" t="n">
        <v>-2504.78</v>
      </c>
      <c r="S19" s="2" t="n">
        <v>26.54</v>
      </c>
      <c r="T19" s="2" t="n">
        <v>56.47</v>
      </c>
      <c r="AE19" s="10">
        <f>SUM(C19:AD19)</f>
        <v/>
      </c>
    </row>
    <row r="20">
      <c r="B20" t="inlineStr">
        <is>
          <t>Travel 5004</t>
        </is>
      </c>
      <c r="P20" s="2" t="n">
        <v>229.34</v>
      </c>
      <c r="AE20" s="10">
        <f>SUM(C20:AD20)</f>
        <v/>
      </c>
    </row>
    <row r="21">
      <c r="B21" t="inlineStr">
        <is>
          <t>Subcontracting 5005</t>
        </is>
      </c>
      <c r="R21" s="2" t="n">
        <v>1837984.22</v>
      </c>
      <c r="S21" s="2" t="n">
        <v>384642.78</v>
      </c>
      <c r="T21" s="2" t="n">
        <v>796857.1899999999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152</v>
      </c>
      <c r="AE25" s="10">
        <f>SUM(C25:AD25)</f>
        <v/>
      </c>
    </row>
    <row r="26">
      <c r="B26" t="inlineStr">
        <is>
          <t>Material 5003</t>
        </is>
      </c>
      <c r="O26" s="2" t="n">
        <v>1381.23</v>
      </c>
      <c r="P26" s="2" t="n">
        <v>103.01</v>
      </c>
      <c r="R26" s="2" t="n">
        <v>60.2</v>
      </c>
      <c r="AE26" s="10">
        <f>SUM(C26:AD26)</f>
        <v/>
      </c>
    </row>
    <row r="27">
      <c r="B27" t="inlineStr">
        <is>
          <t>Sub K Overhead 5992</t>
        </is>
      </c>
      <c r="R27" s="2" t="n">
        <v>52014.95</v>
      </c>
      <c r="S27" s="2" t="n">
        <v>10885.39</v>
      </c>
      <c r="T27" s="2" t="n">
        <v>25268.51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69439.77</v>
      </c>
      <c r="P29" s="2" t="n">
        <v>57873.45</v>
      </c>
      <c r="Q29" s="2" t="n">
        <v>157.5</v>
      </c>
      <c r="R29" s="2" t="n">
        <v>-11543.09</v>
      </c>
      <c r="S29" s="2" t="n">
        <v>123.25</v>
      </c>
      <c r="T29" s="2" t="n">
        <v>212.59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O32" s="2" t="n">
        <v>6902</v>
      </c>
      <c r="P32" s="2" t="n">
        <v>6903</v>
      </c>
      <c r="Q32" s="2" t="n">
        <v>6903</v>
      </c>
      <c r="R32" s="2" t="n">
        <v>6907</v>
      </c>
      <c r="S32" s="2" t="n">
        <v>4602</v>
      </c>
      <c r="AE32" s="10">
        <f>SUM(C32:AD32)</f>
        <v/>
      </c>
    </row>
    <row r="33">
      <c r="B33" t="inlineStr">
        <is>
          <t>Fringe 5990</t>
        </is>
      </c>
      <c r="O33" s="2" t="n">
        <v>3126</v>
      </c>
      <c r="P33" s="2" t="n">
        <v>3126</v>
      </c>
      <c r="Q33" s="2" t="n">
        <v>3126</v>
      </c>
      <c r="R33" s="2" t="n">
        <v>3128</v>
      </c>
      <c r="S33" s="2" t="n">
        <v>2082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1304725</v>
      </c>
      <c r="P35" s="2" t="n">
        <v>556327</v>
      </c>
      <c r="Q35" s="2" t="n">
        <v>557038</v>
      </c>
      <c r="R35" s="2" t="n">
        <v>633034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36924</v>
      </c>
      <c r="P41" s="2" t="n">
        <v>15744</v>
      </c>
      <c r="Q41" s="2" t="n">
        <v>15764</v>
      </c>
      <c r="R41" s="2" t="n">
        <v>17916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O43" s="2" t="n">
        <v>14514</v>
      </c>
      <c r="P43" s="2" t="n">
        <v>14514</v>
      </c>
      <c r="Q43" s="2" t="n">
        <v>14511</v>
      </c>
      <c r="R43" s="2" t="n">
        <v>14512</v>
      </c>
      <c r="S43" s="2" t="n">
        <v>9672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3252000</v>
      </c>
      <c r="AE45" s="10">
        <f>SUM(C45:AD45)</f>
        <v/>
      </c>
    </row>
    <row r="46">
      <c r="B46" t="inlineStr">
        <is>
          <t>Obligated</t>
        </is>
      </c>
      <c r="O46" s="2" t="n">
        <v>3252000</v>
      </c>
      <c r="AE46" s="10">
        <f>SUM(C46:AD46)</f>
        <v/>
      </c>
    </row>
    <row r="47">
      <c r="B47" t="inlineStr">
        <is>
          <t>Expended</t>
        </is>
      </c>
      <c r="P47" s="2" t="n">
        <v>1084000</v>
      </c>
      <c r="Q47" s="2" t="n">
        <v>1500000</v>
      </c>
      <c r="R47" s="2" t="n">
        <v>668000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2ADP055</t>
        </is>
      </c>
    </row>
    <row r="4">
      <c r="A4" s="1" t="inlineStr">
        <is>
          <t>ROLLUP #</t>
        </is>
      </c>
      <c r="B4" t="inlineStr">
        <is>
          <t>1055</t>
        </is>
      </c>
    </row>
    <row r="5">
      <c r="A5" s="1" t="inlineStr">
        <is>
          <t>PROJECT NAME</t>
        </is>
      </c>
      <c r="B5" t="inlineStr">
        <is>
          <t>NASIC T2 Program Part IV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CH, CJ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922.55</v>
      </c>
      <c r="P18" s="2" t="n">
        <v>2471.13</v>
      </c>
      <c r="Q18" s="2" t="n">
        <v>2111.82</v>
      </c>
      <c r="R18" s="2" t="n">
        <v>1954.85</v>
      </c>
      <c r="S18" s="2" t="n">
        <v>1912.07</v>
      </c>
      <c r="T18" s="2" t="n">
        <v>1335.57</v>
      </c>
      <c r="U18" s="2" t="n">
        <v>3432.43</v>
      </c>
      <c r="V18" s="2" t="n">
        <v>1701.82</v>
      </c>
      <c r="Y18" s="2" t="n">
        <v>3168.51</v>
      </c>
      <c r="Z18" s="2" t="n">
        <v>23199.9</v>
      </c>
      <c r="AE18" s="10">
        <f>SUM(C18:AD18)</f>
        <v/>
      </c>
    </row>
    <row r="19">
      <c r="B19" t="inlineStr">
        <is>
          <t>Fringe 5990</t>
        </is>
      </c>
      <c r="O19" s="2" t="n">
        <v>417.73</v>
      </c>
      <c r="P19" s="2" t="n">
        <v>1118.93</v>
      </c>
      <c r="Q19" s="2" t="n">
        <v>956.23</v>
      </c>
      <c r="R19" s="2" t="n">
        <v>885.15</v>
      </c>
      <c r="S19" s="2" t="n">
        <v>865.78</v>
      </c>
      <c r="T19" s="2" t="n">
        <v>696.33</v>
      </c>
      <c r="U19" s="2" t="n">
        <v>1651</v>
      </c>
      <c r="V19" s="2" t="n">
        <v>818.5700000000001</v>
      </c>
      <c r="Y19" s="2" t="n">
        <v>1592.49</v>
      </c>
      <c r="Z19" s="2" t="n">
        <v>11660.27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331522</v>
      </c>
      <c r="Q21" s="2" t="n">
        <v>702068</v>
      </c>
      <c r="R21" s="2" t="n">
        <v>597153.34</v>
      </c>
      <c r="S21" s="2" t="n">
        <v>389114.77</v>
      </c>
      <c r="T21" s="2" t="n">
        <v>245728.25</v>
      </c>
      <c r="U21" s="2" t="n">
        <v>61804.8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36.3</v>
      </c>
      <c r="AE25" s="10">
        <f>SUM(C25:AD25)</f>
        <v/>
      </c>
    </row>
    <row r="26">
      <c r="B26" t="inlineStr">
        <is>
          <t>Material 5003</t>
        </is>
      </c>
      <c r="Y26" s="2" t="n">
        <v>336.96</v>
      </c>
      <c r="AE26" s="10">
        <f>SUM(C26:AD26)</f>
        <v/>
      </c>
    </row>
    <row r="27">
      <c r="B27" t="inlineStr">
        <is>
          <t>Sub K Overhead 5992</t>
        </is>
      </c>
      <c r="P27" s="2" t="n">
        <v>9382.08</v>
      </c>
      <c r="Q27" s="2" t="n">
        <v>19868.53</v>
      </c>
      <c r="R27" s="2" t="n">
        <v>16899.44</v>
      </c>
      <c r="S27" s="2" t="n">
        <v>11011.95</v>
      </c>
      <c r="T27" s="2" t="n">
        <v>8414.25</v>
      </c>
      <c r="U27" s="2" t="n">
        <v>1891.23</v>
      </c>
      <c r="Y27" s="2" t="n">
        <v>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1939.65</v>
      </c>
      <c r="P29" s="2" t="n">
        <v>5195.54</v>
      </c>
      <c r="Q29" s="2" t="n">
        <v>4440.08</v>
      </c>
      <c r="R29" s="2" t="n">
        <v>4110.06</v>
      </c>
      <c r="S29" s="2" t="n">
        <v>4020.09</v>
      </c>
      <c r="T29" s="2" t="n">
        <v>2299.42</v>
      </c>
      <c r="U29" s="2" t="n">
        <v>6679.12</v>
      </c>
      <c r="V29" s="2" t="n">
        <v>3311.55</v>
      </c>
      <c r="Y29" s="2" t="n">
        <v>6769.58</v>
      </c>
      <c r="Z29" s="2" t="n">
        <v>46339.02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2000</v>
      </c>
      <c r="O32" s="2" t="n">
        <v>4000</v>
      </c>
      <c r="P32" s="2" t="n">
        <v>4000</v>
      </c>
      <c r="Q32" s="2" t="n">
        <v>6000</v>
      </c>
      <c r="R32" s="2" t="n">
        <v>9000</v>
      </c>
      <c r="S32" s="2" t="n">
        <v>9000</v>
      </c>
      <c r="T32" s="2" t="n">
        <v>8718.719999999999</v>
      </c>
      <c r="AE32" s="10">
        <f>SUM(C32:AD32)</f>
        <v/>
      </c>
    </row>
    <row r="33">
      <c r="B33" t="inlineStr">
        <is>
          <t>Fringe 5990</t>
        </is>
      </c>
      <c r="L33" s="2" t="n">
        <v>962</v>
      </c>
      <c r="O33" s="2" t="n">
        <v>1924</v>
      </c>
      <c r="P33" s="2" t="n">
        <v>1924</v>
      </c>
      <c r="Q33" s="2" t="n">
        <v>2886</v>
      </c>
      <c r="R33" s="2" t="n">
        <v>4329</v>
      </c>
      <c r="S33" s="2" t="n">
        <v>4329</v>
      </c>
      <c r="T33" s="2" t="n">
        <v>4193.7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130846.05</v>
      </c>
      <c r="O35" s="2" t="n">
        <v>261692.1</v>
      </c>
      <c r="P35" s="2" t="n">
        <v>261692.1</v>
      </c>
      <c r="Q35" s="2" t="n">
        <v>392538.15</v>
      </c>
      <c r="R35" s="2" t="n">
        <v>392538.15</v>
      </c>
      <c r="S35" s="2" t="n">
        <v>454343.25</v>
      </c>
      <c r="T35" s="2" t="n">
        <v>433741.55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4543.43</v>
      </c>
      <c r="O41" s="2" t="n">
        <v>9086.860000000001</v>
      </c>
      <c r="P41" s="2" t="n">
        <v>9147.809999999999</v>
      </c>
      <c r="Q41" s="2" t="n">
        <v>11776.14</v>
      </c>
      <c r="R41" s="2" t="n">
        <v>11776.14</v>
      </c>
      <c r="S41" s="2" t="n">
        <v>11776.14</v>
      </c>
      <c r="T41" s="2" t="n">
        <v>11776.14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3891.77</v>
      </c>
      <c r="O43" s="2" t="n">
        <v>7783.54</v>
      </c>
      <c r="P43" s="2" t="n">
        <v>7783.54</v>
      </c>
      <c r="Q43" s="2" t="n">
        <v>11675.31</v>
      </c>
      <c r="R43" s="2" t="n">
        <v>17512.98</v>
      </c>
      <c r="S43" s="2" t="n">
        <v>17512.98</v>
      </c>
      <c r="T43" s="2" t="n">
        <v>16903.97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2543605.42</v>
      </c>
      <c r="AE45" s="10">
        <f>SUM(C45:AD45)</f>
        <v/>
      </c>
    </row>
    <row r="46">
      <c r="B46" t="inlineStr">
        <is>
          <t>Obligated</t>
        </is>
      </c>
      <c r="O46" s="2" t="n">
        <v>2543605.42</v>
      </c>
      <c r="AE46" s="10">
        <f>SUM(C46:AD46)</f>
        <v/>
      </c>
    </row>
    <row r="47">
      <c r="B47" t="inlineStr">
        <is>
          <t>Expended</t>
        </is>
      </c>
      <c r="P47" s="2" t="n">
        <v>1108000</v>
      </c>
      <c r="Q47" s="2" t="n">
        <v>908206.46</v>
      </c>
      <c r="R47" s="2" t="n">
        <v>263699.48</v>
      </c>
      <c r="S47" s="2" t="n">
        <v>155699.48</v>
      </c>
      <c r="T47" s="2" t="n">
        <v>108000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2ADP056</t>
        </is>
      </c>
    </row>
    <row r="4">
      <c r="A4" s="1" t="inlineStr">
        <is>
          <t>ROLLUP #</t>
        </is>
      </c>
      <c r="B4" t="inlineStr">
        <is>
          <t>713100</t>
        </is>
      </c>
    </row>
    <row r="5">
      <c r="A5" s="1" t="inlineStr">
        <is>
          <t>PROJECT NAME</t>
        </is>
      </c>
      <c r="B5" t="inlineStr">
        <is>
          <t>Integrated Head Protection System IHPS Railink Infrastructure</t>
        </is>
      </c>
    </row>
    <row r="6">
      <c r="A6" s="1" t="inlineStr">
        <is>
          <t>TECHNICAL POINT OF CONTACT</t>
        </is>
      </c>
      <c r="B6" t="inlineStr">
        <is>
          <t>Benjamin Fasel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336.96</v>
      </c>
      <c r="P18" s="2" t="n">
        <v>479.72</v>
      </c>
      <c r="Q18" s="2" t="n">
        <v>624.25</v>
      </c>
      <c r="R18" s="2" t="n">
        <v>24.97</v>
      </c>
      <c r="S18" s="2" t="n">
        <v>24.97</v>
      </c>
      <c r="T18" s="2" t="n">
        <v>307.75</v>
      </c>
      <c r="U18" s="2" t="n">
        <v>1037.12</v>
      </c>
      <c r="V18" s="2" t="n">
        <v>-758.41</v>
      </c>
      <c r="AE18" s="10">
        <f>SUM(C18:AD18)</f>
        <v/>
      </c>
    </row>
    <row r="19">
      <c r="B19" t="inlineStr">
        <is>
          <t>Fringe 5990</t>
        </is>
      </c>
      <c r="O19" s="2" t="n">
        <v>152.58</v>
      </c>
      <c r="P19" s="2" t="n">
        <v>217.22</v>
      </c>
      <c r="Q19" s="2" t="n">
        <v>282.66</v>
      </c>
      <c r="R19" s="2" t="n">
        <v>11.31</v>
      </c>
      <c r="S19" s="2" t="n">
        <v>11.31</v>
      </c>
      <c r="T19" s="2" t="n">
        <v>148.73</v>
      </c>
      <c r="U19" s="2" t="n">
        <v>498.86</v>
      </c>
      <c r="V19" s="2" t="n">
        <v>-364.8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228683.16</v>
      </c>
      <c r="T21" s="2" t="n">
        <v>102514.37</v>
      </c>
      <c r="U21" s="2" t="n">
        <v>-197.53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12529.44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242.51</v>
      </c>
      <c r="AE25" s="10">
        <f>SUM(C25:AD25)</f>
        <v/>
      </c>
    </row>
    <row r="26">
      <c r="B26" t="inlineStr">
        <is>
          <t>Material 5003</t>
        </is>
      </c>
      <c r="U26" s="2" t="n">
        <v>12529.44</v>
      </c>
      <c r="V26" s="2" t="n">
        <v>-12529.44</v>
      </c>
      <c r="AE26" s="10">
        <f>SUM(C26:AD26)</f>
        <v/>
      </c>
    </row>
    <row r="27">
      <c r="B27" t="inlineStr">
        <is>
          <t>Sub K Overhead 5992</t>
        </is>
      </c>
      <c r="R27" s="2" t="n">
        <v>6471.73</v>
      </c>
      <c r="T27" s="2" t="n">
        <v>3136.94</v>
      </c>
      <c r="U27" s="2" t="n">
        <v>-6.04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708.46</v>
      </c>
      <c r="P29" s="2" t="n">
        <v>1008.61</v>
      </c>
      <c r="Q29" s="2" t="n">
        <v>1312.48</v>
      </c>
      <c r="R29" s="2" t="n">
        <v>52.5</v>
      </c>
      <c r="S29" s="2" t="n">
        <v>52.5</v>
      </c>
      <c r="T29" s="2" t="n">
        <v>594.9400000000001</v>
      </c>
      <c r="U29" s="2" t="n">
        <v>18799.18</v>
      </c>
      <c r="V29" s="2" t="n">
        <v>-17938.2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643.13</v>
      </c>
      <c r="O32" s="2" t="n">
        <v>1286.26</v>
      </c>
      <c r="P32" s="2" t="n">
        <v>1286.26</v>
      </c>
      <c r="Q32" s="2" t="n">
        <v>1929.39</v>
      </c>
      <c r="R32" s="2" t="n">
        <v>643.13</v>
      </c>
      <c r="AE32" s="10">
        <f>SUM(C32:AD32)</f>
        <v/>
      </c>
    </row>
    <row r="33">
      <c r="B33" t="inlineStr">
        <is>
          <t>Fringe 5990</t>
        </is>
      </c>
      <c r="L33" s="2" t="n">
        <v>291.21</v>
      </c>
      <c r="O33" s="2" t="n">
        <v>582.42</v>
      </c>
      <c r="P33" s="2" t="n">
        <v>582.42</v>
      </c>
      <c r="Q33" s="2" t="n">
        <v>873.63</v>
      </c>
      <c r="R33" s="2" t="n">
        <v>291.21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36777.82</v>
      </c>
      <c r="O35" s="2" t="n">
        <v>73555.64</v>
      </c>
      <c r="P35" s="2" t="n">
        <v>73555.64</v>
      </c>
      <c r="Q35" s="2" t="n">
        <v>110333.46</v>
      </c>
      <c r="R35" s="2" t="n">
        <v>36777.82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1040.81</v>
      </c>
      <c r="O41" s="2" t="n">
        <v>2081.62</v>
      </c>
      <c r="P41" s="2" t="n">
        <v>2081.62</v>
      </c>
      <c r="Q41" s="2" t="n">
        <v>3122.43</v>
      </c>
      <c r="R41" s="2" t="n">
        <v>1040.68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1358.17</v>
      </c>
      <c r="O43" s="2" t="n">
        <v>2716.34</v>
      </c>
      <c r="P43" s="2" t="n">
        <v>2716.34</v>
      </c>
      <c r="Q43" s="2" t="n">
        <v>4074.51</v>
      </c>
      <c r="R43" s="2" t="n">
        <v>1358.17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361000</v>
      </c>
      <c r="AE45" s="10">
        <f>SUM(C45:AD45)</f>
        <v/>
      </c>
    </row>
    <row r="46">
      <c r="B46" t="inlineStr">
        <is>
          <t>Obligated</t>
        </is>
      </c>
      <c r="O46" s="2" t="n">
        <v>361000</v>
      </c>
      <c r="AE46" s="10">
        <f>SUM(C46:AD46)</f>
        <v/>
      </c>
    </row>
    <row r="47">
      <c r="B47" t="inlineStr">
        <is>
          <t>Expended</t>
        </is>
      </c>
      <c r="P47" s="2" t="n">
        <v>361000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2ADP057</t>
        </is>
      </c>
    </row>
    <row r="4">
      <c r="A4" s="1" t="inlineStr">
        <is>
          <t>ROLLUP #</t>
        </is>
      </c>
      <c r="B4" t="inlineStr">
        <is>
          <t>1057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16082.06</v>
      </c>
      <c r="W18" s="2" t="n">
        <v>4054.8</v>
      </c>
      <c r="X18" s="2" t="n">
        <v>9307.110000000001</v>
      </c>
      <c r="AE18" s="10">
        <f>SUM(C18:AD18)</f>
        <v/>
      </c>
    </row>
    <row r="19">
      <c r="B19" t="inlineStr">
        <is>
          <t>Fringe 5990</t>
        </is>
      </c>
      <c r="V19" s="2" t="n">
        <v>7735.47</v>
      </c>
      <c r="W19" s="2" t="n">
        <v>2037.94</v>
      </c>
      <c r="X19" s="2" t="n">
        <v>4677.75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10110.63</v>
      </c>
      <c r="T21" s="2" t="n">
        <v>7827.5</v>
      </c>
      <c r="U21" s="2" t="n">
        <v>67057.07000000001</v>
      </c>
      <c r="V21" s="2" t="n">
        <v>37515.76</v>
      </c>
      <c r="W21" s="2" t="n">
        <v>16535.82</v>
      </c>
      <c r="X21" s="2" t="n">
        <v>89506.56</v>
      </c>
      <c r="Y21" s="2" t="n">
        <v>255053.65</v>
      </c>
      <c r="Z21" s="2" t="n">
        <v>242446.26</v>
      </c>
      <c r="AB21" s="2" t="n">
        <v>39568.1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286.13</v>
      </c>
      <c r="T27" s="2" t="n">
        <v>262.77</v>
      </c>
      <c r="U27" s="2" t="n">
        <v>2051.95</v>
      </c>
      <c r="V27" s="2" t="n">
        <v>1147.97</v>
      </c>
      <c r="W27" s="2" t="n">
        <v>484.5</v>
      </c>
      <c r="X27" s="2" t="n">
        <v>2622.54</v>
      </c>
      <c r="Y27" s="2" t="n">
        <v>7473.07</v>
      </c>
      <c r="Z27" s="2" t="n">
        <v>7103.68</v>
      </c>
      <c r="AB27" s="2" t="n">
        <v>1198.91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31293.86</v>
      </c>
      <c r="W29" s="2" t="n">
        <v>8090.55</v>
      </c>
      <c r="X29" s="2" t="n">
        <v>18570.49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665.41</v>
      </c>
      <c r="R32" s="2" t="n">
        <v>4204.69</v>
      </c>
      <c r="S32" s="2" t="n">
        <v>6745.96</v>
      </c>
      <c r="T32" s="2" t="n">
        <v>2946.15</v>
      </c>
      <c r="U32" s="2" t="n">
        <v>2849.13</v>
      </c>
      <c r="V32" s="2" t="n">
        <v>2849.13</v>
      </c>
      <c r="W32" s="2" t="n">
        <v>2944.1</v>
      </c>
      <c r="X32" s="2" t="n">
        <v>2760.05</v>
      </c>
      <c r="Y32" s="2" t="n">
        <v>2012.07</v>
      </c>
      <c r="Z32" s="2" t="n">
        <v>670.6900000000001</v>
      </c>
      <c r="AE32" s="10">
        <f>SUM(C32:AD32)</f>
        <v/>
      </c>
    </row>
    <row r="33">
      <c r="B33" t="inlineStr">
        <is>
          <t>Fringe 5990</t>
        </is>
      </c>
      <c r="Q33" s="2" t="n">
        <v>301.3</v>
      </c>
      <c r="R33" s="2" t="n">
        <v>1903.89</v>
      </c>
      <c r="S33" s="2" t="n">
        <v>3054.57</v>
      </c>
      <c r="T33" s="2" t="n">
        <v>1334.01</v>
      </c>
      <c r="U33" s="2" t="n">
        <v>1290.09</v>
      </c>
      <c r="V33" s="2" t="n">
        <v>1290.09</v>
      </c>
      <c r="W33" s="2" t="n">
        <v>1333.09</v>
      </c>
      <c r="X33" s="2" t="n">
        <v>1249.75</v>
      </c>
      <c r="Y33" s="2" t="n">
        <v>911.0700000000001</v>
      </c>
      <c r="Z33" s="2" t="n">
        <v>303.69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147993.45</v>
      </c>
      <c r="S35" s="2" t="n">
        <v>136126.38</v>
      </c>
      <c r="T35" s="2" t="n">
        <v>153132</v>
      </c>
      <c r="U35" s="2" t="n">
        <v>153529.98</v>
      </c>
      <c r="V35" s="2" t="n">
        <v>122367.36</v>
      </c>
      <c r="W35" s="2" t="n">
        <v>204860.88</v>
      </c>
      <c r="X35" s="2" t="n">
        <v>81989.94</v>
      </c>
      <c r="Z35" s="2" t="n">
        <v>83253</v>
      </c>
      <c r="AA35" s="2" t="n">
        <v>83253</v>
      </c>
      <c r="AB35" s="2" t="n">
        <v>83253</v>
      </c>
      <c r="AC35" s="2" t="n">
        <v>83253</v>
      </c>
      <c r="AD35" s="2" t="n">
        <v>83253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4188.21</v>
      </c>
      <c r="S41" s="2" t="n">
        <v>3852.39</v>
      </c>
      <c r="T41" s="2" t="n">
        <v>4333.65</v>
      </c>
      <c r="U41" s="2" t="n">
        <v>4344.9</v>
      </c>
      <c r="V41" s="2" t="n">
        <v>3462.99</v>
      </c>
      <c r="W41" s="2" t="n">
        <v>5797.56</v>
      </c>
      <c r="X41" s="2" t="n">
        <v>2320.32</v>
      </c>
      <c r="Z41" s="2" t="n">
        <v>2439</v>
      </c>
      <c r="AA41" s="2" t="n">
        <v>2439</v>
      </c>
      <c r="AB41" s="2" t="n">
        <v>2439</v>
      </c>
      <c r="AC41" s="2" t="n">
        <v>2439</v>
      </c>
      <c r="AD41" s="2" t="n">
        <v>2439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1399.03</v>
      </c>
      <c r="R43" s="2" t="n">
        <v>8840.360000000001</v>
      </c>
      <c r="S43" s="2" t="n">
        <v>14183.35</v>
      </c>
      <c r="T43" s="2" t="n">
        <v>6194.27</v>
      </c>
      <c r="U43" s="2" t="n">
        <v>5990.31</v>
      </c>
      <c r="V43" s="2" t="n">
        <v>5990.31</v>
      </c>
      <c r="W43" s="2" t="n">
        <v>6189.98</v>
      </c>
      <c r="X43" s="2" t="n">
        <v>5803</v>
      </c>
      <c r="Y43" s="2" t="n">
        <v>4230.36</v>
      </c>
      <c r="Z43" s="2" t="n">
        <v>1410.12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1644300</v>
      </c>
      <c r="AE45" s="10">
        <f>SUM(C45:AD45)</f>
        <v/>
      </c>
    </row>
    <row r="46">
      <c r="B46" t="inlineStr">
        <is>
          <t>Obligated</t>
        </is>
      </c>
      <c r="Q46" s="2" t="n">
        <v>1644300</v>
      </c>
      <c r="AE46" s="10">
        <f>SUM(C46:AD46)</f>
        <v/>
      </c>
    </row>
    <row r="47">
      <c r="B47" t="inlineStr">
        <is>
          <t>Expended</t>
        </is>
      </c>
      <c r="R47" s="2" t="n">
        <v>325000</v>
      </c>
      <c r="S47" s="2" t="n">
        <v>175000</v>
      </c>
      <c r="T47" s="2" t="n">
        <v>500000</v>
      </c>
      <c r="U47" s="2" t="n">
        <v>120000</v>
      </c>
      <c r="V47" s="2" t="n">
        <v>250000</v>
      </c>
      <c r="W47" s="2" t="n">
        <v>274300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2026-04-24T11:56:41Z</dcterms:created>
  <dcterms:modified xsi:type="dcterms:W3CDTF">2026-04-24T12:33:29Z</dcterms:modified>
</cp:coreProperties>
</file>