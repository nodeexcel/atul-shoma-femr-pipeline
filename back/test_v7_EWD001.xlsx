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-345752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12838.73</v>
      </c>
      <c r="O18" s="10" t="n">
        <v>6845.51</v>
      </c>
      <c r="P18" s="10" t="n">
        <v>10409.17</v>
      </c>
      <c r="Q18" s="10" t="n">
        <v>5583.35</v>
      </c>
      <c r="R18" s="10" t="n">
        <v>7816.86</v>
      </c>
      <c r="S18" s="10" t="n">
        <v>1646.53</v>
      </c>
      <c r="T18" s="10" t="n">
        <v>1140.82</v>
      </c>
      <c r="U18" s="10" t="n">
        <v>985.47</v>
      </c>
      <c r="V18" s="10" t="n">
        <v>16435.03</v>
      </c>
      <c r="W18" s="10" t="n">
        <v>2655.88</v>
      </c>
      <c r="X18" s="10" t="n">
        <v>7017.4</v>
      </c>
      <c r="AE18" s="9">
        <f>SUM(C18:AD18)</f>
        <v/>
      </c>
    </row>
    <row r="19">
      <c r="B19" t="inlineStr">
        <is>
          <t>Fringe 5990</t>
        </is>
      </c>
      <c r="N19" s="10" t="n">
        <v>5510.37</v>
      </c>
      <c r="O19" s="10" t="n">
        <v>3099.65</v>
      </c>
      <c r="P19" s="10" t="n">
        <v>4713.27</v>
      </c>
      <c r="Q19" s="10" t="n">
        <v>2528.16</v>
      </c>
      <c r="R19" s="10" t="n">
        <v>3539.47</v>
      </c>
      <c r="S19" s="10" t="n">
        <v>745.54</v>
      </c>
      <c r="T19" s="10" t="n">
        <v>595.17</v>
      </c>
      <c r="U19" s="10" t="n">
        <v>474.01</v>
      </c>
      <c r="V19" s="10" t="n">
        <v>7905.26</v>
      </c>
      <c r="W19" s="10" t="n">
        <v>1334.85</v>
      </c>
      <c r="X19" s="10" t="n">
        <v>3526.95</v>
      </c>
      <c r="AE19" s="9">
        <f>SUM(C19:AD19)</f>
        <v/>
      </c>
    </row>
    <row r="20">
      <c r="B20" t="inlineStr">
        <is>
          <t>Travel 5004</t>
        </is>
      </c>
      <c r="N20" s="10" t="n">
        <v>1153.37</v>
      </c>
      <c r="W20" s="10" t="n">
        <v>1559.14</v>
      </c>
      <c r="X20" s="10" t="n">
        <v>1511.24</v>
      </c>
      <c r="AE20" s="9">
        <f>SUM(C20:AD20)</f>
        <v/>
      </c>
    </row>
    <row r="21">
      <c r="B21" t="inlineStr">
        <is>
          <t>Subcontracting 5005</t>
        </is>
      </c>
      <c r="N21" s="10" t="n">
        <v>719.61</v>
      </c>
      <c r="P21" s="10" t="n">
        <v>26572.88</v>
      </c>
      <c r="Q21" s="10" t="n">
        <v>26743.77</v>
      </c>
      <c r="R21" s="10" t="n">
        <v>93452.78</v>
      </c>
      <c r="S21" s="10" t="n">
        <v>25488.66</v>
      </c>
      <c r="T21" s="10" t="n">
        <v>32542.8</v>
      </c>
      <c r="U21" s="10" t="n">
        <v>96231.25</v>
      </c>
      <c r="V21" s="10" t="n">
        <v>44000.11</v>
      </c>
      <c r="AE21" s="9">
        <f>SUM(C21:AD21)</f>
        <v/>
      </c>
    </row>
    <row r="22">
      <c r="B22" t="inlineStr">
        <is>
          <t>Consulting 5002</t>
        </is>
      </c>
      <c r="X22" s="10" t="n">
        <v>1000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600</v>
      </c>
      <c r="O25" s="10" t="n">
        <v>120.86</v>
      </c>
      <c r="P25" s="10" t="n">
        <v>118.93</v>
      </c>
      <c r="Q25" s="10" t="n">
        <v>17.1</v>
      </c>
      <c r="U25" s="10" t="n">
        <v>35.94</v>
      </c>
      <c r="W25" s="10" t="n">
        <v>62.7</v>
      </c>
      <c r="X25" s="10" t="n">
        <v>14586.99</v>
      </c>
      <c r="AE25" s="9">
        <f>SUM(C25:AD25)</f>
        <v/>
      </c>
    </row>
    <row r="26">
      <c r="B26" t="inlineStr">
        <is>
          <t>Material 5003</t>
        </is>
      </c>
      <c r="N26" s="10" t="n">
        <v>150.93</v>
      </c>
      <c r="O26" s="10" t="n">
        <v>57.13</v>
      </c>
      <c r="P26" s="10" t="n">
        <v>476.64</v>
      </c>
      <c r="Q26" s="10" t="n">
        <v>65</v>
      </c>
      <c r="X26" s="10" t="n">
        <v>365</v>
      </c>
      <c r="AE26" s="9">
        <f>SUM(C26:AD26)</f>
        <v/>
      </c>
    </row>
    <row r="27">
      <c r="B27" t="inlineStr">
        <is>
          <t>Sub K Overhead 5992</t>
        </is>
      </c>
      <c r="P27" s="10" t="n">
        <v>752.01</v>
      </c>
      <c r="Q27" s="10" t="n">
        <v>756.84</v>
      </c>
      <c r="R27" s="10" t="n">
        <v>2644.72</v>
      </c>
      <c r="S27" s="10" t="n">
        <v>521.45</v>
      </c>
      <c r="T27" s="10" t="n">
        <v>1254.32</v>
      </c>
      <c r="U27" s="10" t="n">
        <v>2944.68</v>
      </c>
      <c r="V27" s="10" t="n">
        <v>1346.4</v>
      </c>
      <c r="AE27" s="9">
        <f>SUM(C27:AD27)</f>
        <v/>
      </c>
    </row>
    <row r="28">
      <c r="B28" t="inlineStr">
        <is>
          <t>Sub K Overhead 5993</t>
        </is>
      </c>
      <c r="O28" s="10" t="n">
        <v>14650.21</v>
      </c>
      <c r="P28" s="10" t="n">
        <v>22747.11</v>
      </c>
      <c r="Q28" s="10" t="n">
        <v>11857.76</v>
      </c>
      <c r="R28" s="10" t="n">
        <v>16434.89</v>
      </c>
      <c r="S28" s="10" t="n">
        <v>3461.8</v>
      </c>
      <c r="T28" s="10" t="n">
        <v>-3461.84</v>
      </c>
      <c r="AE28" s="9">
        <f>SUM(C28:AD28)</f>
        <v/>
      </c>
    </row>
    <row r="29">
      <c r="B29" t="inlineStr">
        <is>
          <t>G&amp;A 5991</t>
        </is>
      </c>
      <c r="N29" s="10" t="n">
        <v>10949</v>
      </c>
      <c r="T29" s="10" t="n">
        <v>5423.87</v>
      </c>
      <c r="U29" s="10" t="n">
        <v>1964.83</v>
      </c>
      <c r="V29" s="10" t="n">
        <v>31980.7</v>
      </c>
      <c r="W29" s="10" t="n">
        <v>7452.93</v>
      </c>
      <c r="X29" s="10" t="n">
        <v>37191.26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2026-04-16T07:19:05Z</dcterms:created>
  <dcterms:modified xsi:type="dcterms:W3CDTF">2026-04-16T07:21:44Z</dcterms:modified>
</cp:coreProperties>
</file>