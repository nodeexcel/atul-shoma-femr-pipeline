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01" sheetId="1" state="visible" r:id="rId1"/>
    <sheet name="1ADP002" sheetId="2" state="visible" r:id="rId2"/>
    <sheet name="1ADP003" sheetId="3" state="visible" r:id="rId3"/>
    <sheet name="1ADP004" sheetId="4" state="visible" r:id="rId4"/>
    <sheet name="1ADP005" sheetId="5" state="visible" r:id="rId5"/>
    <sheet name="1ADP006" sheetId="6" state="visible" r:id="rId6"/>
    <sheet name="1ADP007" sheetId="7" state="visible" r:id="rId7"/>
    <sheet name="1ADP008" sheetId="8" state="visible" r:id="rId8"/>
    <sheet name="1ADP009" sheetId="9" state="visible" r:id="rId9"/>
    <sheet name="1ADP010" sheetId="10" state="visible" r:id="rId10"/>
    <sheet name="1ADP011" sheetId="11" state="visible" r:id="rId11"/>
    <sheet name="1ADP012" sheetId="12" state="visible" r:id="rId12"/>
    <sheet name="1ADP013" sheetId="13" state="visible" r:id="rId13"/>
    <sheet name="1ADP014" sheetId="14" state="visible" r:id="rId14"/>
    <sheet name="1ADP015" sheetId="15" state="visible" r:id="rId15"/>
    <sheet name="1ADP016" sheetId="16" state="visible" r:id="rId16"/>
    <sheet name="1ADP017" sheetId="17" state="visible" r:id="rId17"/>
    <sheet name="1ADP018" sheetId="18" state="visible" r:id="rId18"/>
    <sheet name="1ADP019" sheetId="19" state="visible" r:id="rId19"/>
    <sheet name="1ADP020" sheetId="20" state="visible" r:id="rId20"/>
    <sheet name="1ADP021" sheetId="21" state="visible" r:id="rId21"/>
    <sheet name="1ADP022" sheetId="22" state="visible" r:id="rId22"/>
    <sheet name="1ADP023" sheetId="23" state="visible" r:id="rId23"/>
    <sheet name="1ADP024" sheetId="24" state="visible" r:id="rId24"/>
    <sheet name="1ADP025" sheetId="25" state="visible" r:id="rId25"/>
    <sheet name="1ADP026" sheetId="26" state="visible" r:id="rId26"/>
    <sheet name="1ADP027" sheetId="27" state="visible" r:id="rId27"/>
    <sheet name="1ADP028" sheetId="28" state="visible" r:id="rId28"/>
    <sheet name="1ADP029" sheetId="29" state="visible" r:id="rId29"/>
    <sheet name="1ADP030" sheetId="30" state="visible" r:id="rId30"/>
    <sheet name="1ADP031" sheetId="31" state="visible" r:id="rId31"/>
    <sheet name="1ADP032" sheetId="32" state="visible" r:id="rId32"/>
    <sheet name="1ADP034" sheetId="33" state="visible" r:id="rId33"/>
    <sheet name="1ADP035" sheetId="34" state="visible" r:id="rId34"/>
    <sheet name="1ADP036" sheetId="35" state="visible" r:id="rId35"/>
    <sheet name="1ADP037" sheetId="36" state="visible" r:id="rId36"/>
    <sheet name="1ADP038" sheetId="37" state="visible" r:id="rId37"/>
    <sheet name="1ADP039" sheetId="38" state="visible" r:id="rId38"/>
    <sheet name="1ADP040" sheetId="39" state="visible" r:id="rId39"/>
    <sheet name="1ADP041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1ADP001</t>
        </is>
      </c>
    </row>
    <row r="4">
      <c r="A4" s="1" t="inlineStr">
        <is>
          <t>ROLLUP #</t>
        </is>
      </c>
      <c r="B4" t="inlineStr">
        <is>
          <t>HK4DF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38383.07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1ADP002</t>
        </is>
      </c>
    </row>
    <row r="4">
      <c r="A4" s="1" t="inlineStr">
        <is>
          <t>ROLLUP #</t>
        </is>
      </c>
      <c r="B4" t="inlineStr">
        <is>
          <t>HK4DF.001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1ADP003</t>
        </is>
      </c>
    </row>
    <row r="4">
      <c r="A4" s="1" t="inlineStr">
        <is>
          <t>ROLLUP #</t>
        </is>
      </c>
      <c r="B4" t="inlineStr">
        <is>
          <t>713000</t>
        </is>
      </c>
    </row>
    <row r="5">
      <c r="A5" s="1" t="inlineStr">
        <is>
          <t>PROJECT NAME</t>
        </is>
      </c>
      <c r="B5" t="inlineStr">
        <is>
          <t>Project 3-SOCOM Functional Electronic Print and Power Sources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1ADP004</t>
        </is>
      </c>
    </row>
    <row r="4">
      <c r="A4" s="1" t="inlineStr">
        <is>
          <t>ROLLUP #</t>
        </is>
      </c>
      <c r="B4" t="inlineStr">
        <is>
          <t>713002</t>
        </is>
      </c>
    </row>
    <row r="5">
      <c r="A5" s="1" t="inlineStr">
        <is>
          <t>PROJECT NAME</t>
        </is>
      </c>
      <c r="B5" t="inlineStr">
        <is>
          <t>Project 4-AFRL Failure Modes in Wearable Performance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1ADP005</t>
        </is>
      </c>
    </row>
    <row r="4">
      <c r="A4" s="1" t="inlineStr">
        <is>
          <t>ROLLUP #</t>
        </is>
      </c>
      <c r="B4" t="inlineStr">
        <is>
          <t>713003</t>
        </is>
      </c>
    </row>
    <row r="5">
      <c r="A5" s="1" t="inlineStr">
        <is>
          <t>PROJECT NAME</t>
        </is>
      </c>
      <c r="B5" t="inlineStr">
        <is>
          <t>Project 5-Army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38780.99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1ADP006</t>
        </is>
      </c>
    </row>
    <row r="4">
      <c r="A4" s="1" t="inlineStr">
        <is>
          <t>ROLLUP #</t>
        </is>
      </c>
      <c r="B4" t="inlineStr">
        <is>
          <t>HK4DF.003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1ADP007</t>
        </is>
      </c>
    </row>
    <row r="4">
      <c r="A4" s="1" t="inlineStr">
        <is>
          <t>ROLLUP #</t>
        </is>
      </c>
      <c r="B4" t="inlineStr">
        <is>
          <t>713001</t>
        </is>
      </c>
    </row>
    <row r="5">
      <c r="A5" s="1" t="inlineStr">
        <is>
          <t>PROJECT NAME</t>
        </is>
      </c>
      <c r="B5" t="inlineStr">
        <is>
          <t>Project 7-Arduino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1ADP008</t>
        </is>
      </c>
    </row>
    <row r="4">
      <c r="A4" s="1" t="inlineStr">
        <is>
          <t>ROLLUP #</t>
        </is>
      </c>
      <c r="B4" t="inlineStr">
        <is>
          <t>713004</t>
        </is>
      </c>
    </row>
    <row r="5">
      <c r="A5" s="1" t="inlineStr">
        <is>
          <t>PROJECT NAME</t>
        </is>
      </c>
      <c r="B5" t="inlineStr">
        <is>
          <t>Project 8-SOCOM TALOS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1ADP009</t>
        </is>
      </c>
    </row>
    <row r="4">
      <c r="A4" s="1" t="inlineStr">
        <is>
          <t>ROLLUP #</t>
        </is>
      </c>
      <c r="B4" t="inlineStr">
        <is>
          <t>713006</t>
        </is>
      </c>
    </row>
    <row r="5">
      <c r="A5" s="1" t="inlineStr">
        <is>
          <t>PROJECT NAME</t>
        </is>
      </c>
      <c r="B5" t="inlineStr">
        <is>
          <t>Project 9-AFRL FHE FEP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53648.89</v>
      </c>
      <c r="J18" s="2" t="n">
        <v>22828.11</v>
      </c>
      <c r="N18" s="2" t="n">
        <v>89.42</v>
      </c>
      <c r="AE18" s="10">
        <f>SUM(C18:AD18)</f>
        <v/>
      </c>
    </row>
    <row r="19">
      <c r="B19" t="inlineStr">
        <is>
          <t>Fringe 5990</t>
        </is>
      </c>
      <c r="F19" s="2" t="n">
        <v>22307.21</v>
      </c>
      <c r="J19" s="2" t="n">
        <v>9010.26</v>
      </c>
      <c r="N19" s="2" t="n">
        <v>38.38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1246.11</v>
      </c>
      <c r="AE21" s="10">
        <f>SUM(C21:AD21)</f>
        <v/>
      </c>
    </row>
    <row r="22">
      <c r="B22" t="inlineStr">
        <is>
          <t>Consulting 5002</t>
        </is>
      </c>
      <c r="F22" s="2" t="n">
        <v>8500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32.65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71736.25</v>
      </c>
      <c r="J29" s="2" t="n">
        <v>18251.75</v>
      </c>
      <c r="N29" s="2" t="n">
        <v>-38218.03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1ADP010</t>
        </is>
      </c>
    </row>
    <row r="4">
      <c r="A4" s="1" t="inlineStr">
        <is>
          <t>ROLLUP #</t>
        </is>
      </c>
      <c r="B4" t="inlineStr">
        <is>
          <t>713005</t>
        </is>
      </c>
    </row>
    <row r="5">
      <c r="A5" s="1" t="inlineStr">
        <is>
          <t>PROJECT NAME</t>
        </is>
      </c>
      <c r="B5" t="inlineStr">
        <is>
          <t>Project 10-ARL SEDD H4D FHE TPV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1ADP011</t>
        </is>
      </c>
    </row>
    <row r="4">
      <c r="A4" s="1" t="inlineStr">
        <is>
          <t>ROLLUP #</t>
        </is>
      </c>
      <c r="B4" t="inlineStr">
        <is>
          <t>HK4DF.002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1ADP012</t>
        </is>
      </c>
    </row>
    <row r="4">
      <c r="A4" s="1" t="inlineStr">
        <is>
          <t>ROLLUP #</t>
        </is>
      </c>
      <c r="B4" t="inlineStr">
        <is>
          <t>713012</t>
        </is>
      </c>
    </row>
    <row r="5">
      <c r="A5" s="1" t="inlineStr">
        <is>
          <t>PROJECT NAME</t>
        </is>
      </c>
      <c r="B5" t="inlineStr">
        <is>
          <t>Project 12-FHE for Improved Armaments &amp;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138.5</v>
      </c>
      <c r="N18" s="2" t="n">
        <v>63429.15</v>
      </c>
      <c r="AE18" s="10">
        <f>SUM(C18:AD18)</f>
        <v/>
      </c>
    </row>
    <row r="19">
      <c r="B19" t="inlineStr">
        <is>
          <t>Fringe 5990</t>
        </is>
      </c>
      <c r="F19" s="2" t="n">
        <v>57.59</v>
      </c>
      <c r="N19" s="2" t="n">
        <v>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46.47</v>
      </c>
      <c r="N29" s="2" t="n">
        <v>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1ADP013</t>
        </is>
      </c>
    </row>
    <row r="4">
      <c r="A4" s="1" t="inlineStr">
        <is>
          <t>ROLLUP #</t>
        </is>
      </c>
      <c r="B4" t="inlineStr">
        <is>
          <t>713009</t>
        </is>
      </c>
    </row>
    <row r="5">
      <c r="A5" s="1" t="inlineStr">
        <is>
          <t>PROJECT NAME</t>
        </is>
      </c>
      <c r="B5" t="inlineStr">
        <is>
          <t>Project 13-DOMEX Technical Innovation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1ADP014</t>
        </is>
      </c>
    </row>
    <row r="4">
      <c r="A4" s="1" t="inlineStr">
        <is>
          <t>ROLLUP #</t>
        </is>
      </c>
      <c r="B4" t="inlineStr">
        <is>
          <t>713008</t>
        </is>
      </c>
    </row>
    <row r="5">
      <c r="A5" s="1" t="inlineStr">
        <is>
          <t>PROJECT NAME</t>
        </is>
      </c>
      <c r="B5" t="inlineStr">
        <is>
          <t>Project 14-DTRA Drive Manufacturing Development for Fully Flexible High Performance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1ADP015</t>
        </is>
      </c>
    </row>
    <row r="4">
      <c r="A4" s="1" t="inlineStr">
        <is>
          <t>ROLLUP #</t>
        </is>
      </c>
      <c r="B4" t="inlineStr">
        <is>
          <t>713007</t>
        </is>
      </c>
    </row>
    <row r="5">
      <c r="A5" s="1" t="inlineStr">
        <is>
          <t>PROJECT NAME</t>
        </is>
      </c>
      <c r="B5" t="inlineStr">
        <is>
          <t>Project 15-AFRL Flight Suit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10460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1ADP016</t>
        </is>
      </c>
    </row>
    <row r="4">
      <c r="A4" s="1" t="inlineStr">
        <is>
          <t>ROLLUP #</t>
        </is>
      </c>
      <c r="B4" t="inlineStr">
        <is>
          <t>713011</t>
        </is>
      </c>
    </row>
    <row r="5">
      <c r="A5" s="1" t="inlineStr">
        <is>
          <t>PROJECT NAME</t>
        </is>
      </c>
      <c r="B5" t="inlineStr">
        <is>
          <t>Project 16-JIDA H4D 2.0 -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1ADP017</t>
        </is>
      </c>
    </row>
    <row r="4">
      <c r="A4" s="1" t="inlineStr">
        <is>
          <t>ROLLUP #</t>
        </is>
      </c>
      <c r="B4" t="inlineStr">
        <is>
          <t>713010</t>
        </is>
      </c>
    </row>
    <row r="5">
      <c r="A5" s="1" t="inlineStr">
        <is>
          <t>PROJECT NAME</t>
        </is>
      </c>
      <c r="B5" t="inlineStr">
        <is>
          <t>Project 17-Digital Logistics and Launch Alaska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1ADP018</t>
        </is>
      </c>
    </row>
    <row r="4">
      <c r="A4" s="1" t="inlineStr">
        <is>
          <t>ROLLUP #</t>
        </is>
      </c>
      <c r="B4" t="inlineStr">
        <is>
          <t>713013</t>
        </is>
      </c>
    </row>
    <row r="5">
      <c r="A5" s="1" t="inlineStr">
        <is>
          <t>PROJECT NAME</t>
        </is>
      </c>
      <c r="B5" t="inlineStr">
        <is>
          <t>Project 18-DLA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1ADP019</t>
        </is>
      </c>
    </row>
    <row r="4">
      <c r="A4" s="1" t="inlineStr">
        <is>
          <t>ROLLUP #</t>
        </is>
      </c>
      <c r="B4" t="inlineStr">
        <is>
          <t>713014</t>
        </is>
      </c>
    </row>
    <row r="5">
      <c r="A5" s="1" t="inlineStr">
        <is>
          <t>PROJECT NAME</t>
        </is>
      </c>
      <c r="B5" t="inlineStr">
        <is>
          <t>Project 19-DTRA Follow-on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16748.69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1ADP020</t>
        </is>
      </c>
    </row>
    <row r="4">
      <c r="A4" s="1" t="inlineStr">
        <is>
          <t>ROLLUP #</t>
        </is>
      </c>
      <c r="B4" t="inlineStr">
        <is>
          <t>713015</t>
        </is>
      </c>
    </row>
    <row r="5">
      <c r="A5" s="1" t="inlineStr">
        <is>
          <t>PROJECT NAME</t>
        </is>
      </c>
      <c r="B5" t="inlineStr">
        <is>
          <t>Project 20-ONR NIPA Pilot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1ADP021</t>
        </is>
      </c>
    </row>
    <row r="4">
      <c r="A4" s="1" t="inlineStr">
        <is>
          <t>ROLLUP #</t>
        </is>
      </c>
      <c r="B4" t="inlineStr">
        <is>
          <t>713017</t>
        </is>
      </c>
    </row>
    <row r="5">
      <c r="A5" s="1" t="inlineStr">
        <is>
          <t>PROJECT NAME</t>
        </is>
      </c>
      <c r="B5" t="inlineStr">
        <is>
          <t>Project 21-FEP 5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6882.72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1ADP022</t>
        </is>
      </c>
    </row>
    <row r="4">
      <c r="A4" s="1" t="inlineStr">
        <is>
          <t>ROLLUP #</t>
        </is>
      </c>
      <c r="B4" t="inlineStr">
        <is>
          <t>713019</t>
        </is>
      </c>
    </row>
    <row r="5">
      <c r="A5" s="1" t="inlineStr">
        <is>
          <t>PROJECT NAME</t>
        </is>
      </c>
      <c r="B5" t="inlineStr">
        <is>
          <t>Project 22-AFRL Failure Modes in Wearable Hydration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-27472.83</v>
      </c>
      <c r="AE18" s="10">
        <f>SUM(C18:AD18)</f>
        <v/>
      </c>
    </row>
    <row r="19">
      <c r="B19" t="inlineStr">
        <is>
          <t>Fringe 5990</t>
        </is>
      </c>
      <c r="N19" s="2" t="n">
        <v>-11423.2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1ADP023</t>
        </is>
      </c>
    </row>
    <row r="4">
      <c r="A4" s="1" t="inlineStr">
        <is>
          <t>ROLLUP #</t>
        </is>
      </c>
      <c r="B4" t="inlineStr">
        <is>
          <t>713021</t>
        </is>
      </c>
    </row>
    <row r="5">
      <c r="A5" s="1" t="inlineStr">
        <is>
          <t>PROJECT NAME</t>
        </is>
      </c>
      <c r="B5" t="inlineStr">
        <is>
          <t>Project 23-FHE Arduino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217142.75</v>
      </c>
      <c r="J18" s="2" t="n">
        <v>19399.67</v>
      </c>
      <c r="N18" s="2" t="n">
        <v>-63429.15</v>
      </c>
      <c r="AE18" s="10">
        <f>SUM(C18:AD18)</f>
        <v/>
      </c>
    </row>
    <row r="19">
      <c r="B19" t="inlineStr">
        <is>
          <t>Fringe 5990</t>
        </is>
      </c>
      <c r="F19" s="2" t="n">
        <v>90287.96000000001</v>
      </c>
      <c r="J19" s="2" t="n">
        <v>7657.05</v>
      </c>
      <c r="N19" s="2" t="n">
        <v>-25409.72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440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7710.88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83192.12</v>
      </c>
      <c r="J29" s="2" t="n">
        <v>15366.15</v>
      </c>
      <c r="N29" s="2" t="n">
        <v>-19846.6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1ADP024</t>
        </is>
      </c>
    </row>
    <row r="4">
      <c r="A4" s="1" t="inlineStr">
        <is>
          <t>ROLLUP #</t>
        </is>
      </c>
      <c r="B4" t="inlineStr">
        <is>
          <t>713022</t>
        </is>
      </c>
    </row>
    <row r="5">
      <c r="A5" s="1" t="inlineStr">
        <is>
          <t>PROJECT NAME</t>
        </is>
      </c>
      <c r="B5" t="inlineStr">
        <is>
          <t>Project 24-DARPA MEMS (see ACRN CP for balance of $223,611)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64685.43</v>
      </c>
      <c r="J18" s="2" t="n">
        <v>32029.76</v>
      </c>
      <c r="N18" s="2" t="n">
        <v>3785.17</v>
      </c>
      <c r="AE18" s="10">
        <f>SUM(C18:AD18)</f>
        <v/>
      </c>
    </row>
    <row r="19">
      <c r="B19" t="inlineStr">
        <is>
          <t>Fringe 5990</t>
        </is>
      </c>
      <c r="F19" s="2" t="n">
        <v>26896.2</v>
      </c>
      <c r="J19" s="2" t="n">
        <v>12642.15</v>
      </c>
      <c r="N19" s="2" t="n">
        <v>1624.6</v>
      </c>
      <c r="AE19" s="10">
        <f>SUM(C19:AD19)</f>
        <v/>
      </c>
    </row>
    <row r="20">
      <c r="B20" t="inlineStr">
        <is>
          <t>Travel 5004</t>
        </is>
      </c>
      <c r="F20" s="2" t="n">
        <v>492.28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12851.5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7020</v>
      </c>
      <c r="AE25" s="10">
        <f>SUM(C25:AD25)</f>
        <v/>
      </c>
    </row>
    <row r="26">
      <c r="B26" t="inlineStr">
        <is>
          <t>Material 5003</t>
        </is>
      </c>
      <c r="F26" s="2" t="n">
        <v>228.06</v>
      </c>
      <c r="J26" s="2" t="n">
        <v>314.3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28749.96</v>
      </c>
      <c r="J29" s="2" t="n">
        <v>28927.54</v>
      </c>
      <c r="N29" s="2" t="n">
        <v>6986.17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1ADP025</t>
        </is>
      </c>
    </row>
    <row r="4">
      <c r="A4" s="1" t="inlineStr">
        <is>
          <t>ROLLUP #</t>
        </is>
      </c>
      <c r="B4" t="inlineStr">
        <is>
          <t>713016</t>
        </is>
      </c>
    </row>
    <row r="5">
      <c r="A5" s="1" t="inlineStr">
        <is>
          <t>PROJECT NAME</t>
        </is>
      </c>
      <c r="B5" t="inlineStr">
        <is>
          <t>Project 25-CERDEC Wearable Authentication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28269.37</v>
      </c>
      <c r="J18" s="2" t="n">
        <v>11096.95</v>
      </c>
      <c r="AE18" s="10">
        <f>SUM(C18:AD18)</f>
        <v/>
      </c>
    </row>
    <row r="19">
      <c r="B19" t="inlineStr">
        <is>
          <t>Fringe 5990</t>
        </is>
      </c>
      <c r="F19" s="2" t="n">
        <v>11754.4</v>
      </c>
      <c r="J19" s="2" t="n">
        <v>4379.97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12210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12390.42</v>
      </c>
      <c r="J29" s="2" t="n">
        <v>8366.82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1ADP026</t>
        </is>
      </c>
    </row>
    <row r="4">
      <c r="A4" s="1" t="inlineStr">
        <is>
          <t>ROLLUP #</t>
        </is>
      </c>
      <c r="B4" t="inlineStr">
        <is>
          <t>713018</t>
        </is>
      </c>
    </row>
    <row r="5">
      <c r="A5" s="1" t="inlineStr">
        <is>
          <t>PROJECT NAME</t>
        </is>
      </c>
      <c r="B5" t="inlineStr">
        <is>
          <t>Project 26-DLA J6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1ADP027</t>
        </is>
      </c>
    </row>
    <row r="4">
      <c r="A4" s="1" t="inlineStr">
        <is>
          <t>ROLLUP #</t>
        </is>
      </c>
      <c r="B4" t="inlineStr">
        <is>
          <t>WFDEV</t>
        </is>
      </c>
    </row>
    <row r="5">
      <c r="A5" s="1" t="inlineStr">
        <is>
          <t>PROJECT NAME</t>
        </is>
      </c>
      <c r="B5" t="inlineStr">
        <is>
          <t>Project 27-Science and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ADP-EWD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1ADP028</t>
        </is>
      </c>
    </row>
    <row r="4">
      <c r="A4" s="1" t="inlineStr">
        <is>
          <t>ROLLUP #</t>
        </is>
      </c>
      <c r="B4" t="inlineStr">
        <is>
          <t>713020</t>
        </is>
      </c>
    </row>
    <row r="5">
      <c r="A5" s="1" t="inlineStr">
        <is>
          <t>PROJECT NAME</t>
        </is>
      </c>
      <c r="B5" t="inlineStr">
        <is>
          <t>Project 28-FEP 6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26040.07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1ADP029</t>
        </is>
      </c>
    </row>
    <row r="4">
      <c r="A4" s="1" t="inlineStr">
        <is>
          <t>ROLLUP #</t>
        </is>
      </c>
      <c r="B4" t="inlineStr">
        <is>
          <t>713024</t>
        </is>
      </c>
    </row>
    <row r="5">
      <c r="A5" s="1" t="inlineStr">
        <is>
          <t>PROJECT NAME</t>
        </is>
      </c>
      <c r="B5" t="inlineStr">
        <is>
          <t>Project 29-AETC Delivery and Demonstration of AFRL Smart Flight Suits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2375.21</v>
      </c>
      <c r="N18" s="2" t="n">
        <v>-50291.49</v>
      </c>
      <c r="AE18" s="10">
        <f>SUM(C18:AD18)</f>
        <v/>
      </c>
    </row>
    <row r="19">
      <c r="B19" t="inlineStr">
        <is>
          <t>Fringe 5990</t>
        </is>
      </c>
      <c r="J19" s="2" t="n">
        <v>937.5</v>
      </c>
      <c r="N19" s="2" t="n">
        <v>-20146.68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731.9400000000001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3577.96</v>
      </c>
      <c r="J29" s="2" t="n">
        <v>147571.7</v>
      </c>
      <c r="N29" s="2" t="n">
        <v>20346.39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1ADP030</t>
        </is>
      </c>
    </row>
    <row r="4">
      <c r="A4" s="1" t="inlineStr">
        <is>
          <t>ROLLUP #</t>
        </is>
      </c>
      <c r="B4" t="inlineStr">
        <is>
          <t>713025</t>
        </is>
      </c>
    </row>
    <row r="5">
      <c r="A5" s="1" t="inlineStr">
        <is>
          <t>PROJECT NAME</t>
        </is>
      </c>
      <c r="B5" t="inlineStr">
        <is>
          <t>Project 30-Air Force Warfighter Ingration Capability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33.39</v>
      </c>
      <c r="AE18" s="10">
        <f>SUM(C18:AD18)</f>
        <v/>
      </c>
    </row>
    <row r="19">
      <c r="B19" t="inlineStr">
        <is>
          <t>Fringe 5990</t>
        </is>
      </c>
      <c r="J19" s="2" t="n">
        <v>13.18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25.18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1ADP031</t>
        </is>
      </c>
    </row>
    <row r="4">
      <c r="A4" s="1" t="inlineStr">
        <is>
          <t>ROLLUP #</t>
        </is>
      </c>
      <c r="B4" t="inlineStr">
        <is>
          <t>713027</t>
        </is>
      </c>
    </row>
    <row r="5">
      <c r="A5" s="1" t="inlineStr">
        <is>
          <t>PROJECT NAME</t>
        </is>
      </c>
      <c r="B5" t="inlineStr">
        <is>
          <t>Project 31-ONR ESTCP and ESTEP H4D Collaboration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-4.24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1ADP032</t>
        </is>
      </c>
    </row>
    <row r="4">
      <c r="A4" s="1" t="inlineStr">
        <is>
          <t>ROLLUP #</t>
        </is>
      </c>
      <c r="B4" t="inlineStr">
        <is>
          <t>713026</t>
        </is>
      </c>
    </row>
    <row r="5">
      <c r="A5" s="1" t="inlineStr">
        <is>
          <t>PROJECT NAME</t>
        </is>
      </c>
      <c r="B5" t="inlineStr">
        <is>
          <t>Project 32-JIDO H4D 3.0 -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1ADP034</t>
        </is>
      </c>
    </row>
    <row r="4">
      <c r="A4" s="1" t="inlineStr">
        <is>
          <t>ROLLUP #</t>
        </is>
      </c>
      <c r="B4" t="inlineStr">
        <is>
          <t>713023</t>
        </is>
      </c>
    </row>
    <row r="5">
      <c r="A5" s="1" t="inlineStr">
        <is>
          <t>PROJECT NAME</t>
        </is>
      </c>
      <c r="B5" t="inlineStr">
        <is>
          <t>Project 34-AFRL INVOS Flex Patch Reader Development [see ACRN CQ for balance of $112,087]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4183.97</v>
      </c>
      <c r="AE18" s="10">
        <f>SUM(C18:AD18)</f>
        <v/>
      </c>
    </row>
    <row r="19">
      <c r="B19" t="inlineStr">
        <is>
          <t>Fringe 5990</t>
        </is>
      </c>
      <c r="F19" s="2" t="n">
        <v>1739.69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-3777.8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508.57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1ADP035</t>
        </is>
      </c>
    </row>
    <row r="4">
      <c r="A4" s="1" t="inlineStr">
        <is>
          <t>ROLLUP #</t>
        </is>
      </c>
      <c r="B4" t="inlineStr">
        <is>
          <t>713028</t>
        </is>
      </c>
    </row>
    <row r="5">
      <c r="A5" s="1" t="inlineStr">
        <is>
          <t>PROJECT NAME</t>
        </is>
      </c>
      <c r="B5" t="inlineStr">
        <is>
          <t>Project 35 AFRL Wearable Chemical Sensors for Confined Space Monitoring [see ACRN DC for balance of $500,000]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351367.71</v>
      </c>
      <c r="J18" s="2" t="n">
        <v>155614.37</v>
      </c>
      <c r="N18" s="2" t="n">
        <v>-92654.09</v>
      </c>
      <c r="AE18" s="10">
        <f>SUM(C18:AD18)</f>
        <v/>
      </c>
    </row>
    <row r="19">
      <c r="B19" t="inlineStr">
        <is>
          <t>Fringe 5990</t>
        </is>
      </c>
      <c r="F19" s="2" t="n">
        <v>146098.69</v>
      </c>
      <c r="J19" s="2" t="n">
        <v>61420.99</v>
      </c>
      <c r="N19" s="2" t="n">
        <v>-36482.26</v>
      </c>
      <c r="AE19" s="10">
        <f>SUM(C19:AD19)</f>
        <v/>
      </c>
    </row>
    <row r="20">
      <c r="B20" t="inlineStr">
        <is>
          <t>Travel 5004</t>
        </is>
      </c>
      <c r="F20" s="2" t="n">
        <v>3134.99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91820</v>
      </c>
      <c r="J22" s="2" t="n">
        <v>12175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880</v>
      </c>
      <c r="AE25" s="10">
        <f>SUM(C25:AD25)</f>
        <v/>
      </c>
    </row>
    <row r="26">
      <c r="B26" t="inlineStr">
        <is>
          <t>Material 5003</t>
        </is>
      </c>
      <c r="F26" s="2" t="n">
        <v>26804.32</v>
      </c>
      <c r="AE26" s="10">
        <f>SUM(C26:AD26)</f>
        <v/>
      </c>
    </row>
    <row r="27">
      <c r="B27" t="inlineStr">
        <is>
          <t>Sub K Overhead 5992</t>
        </is>
      </c>
      <c r="N27" s="2" t="n">
        <v>6.08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168171.47</v>
      </c>
      <c r="J29" s="2" t="n">
        <v>145491.4</v>
      </c>
      <c r="N29" s="2" t="n">
        <v>-66764.81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1ADP036</t>
        </is>
      </c>
    </row>
    <row r="4">
      <c r="A4" s="1" t="inlineStr">
        <is>
          <t>ROLLUP #</t>
        </is>
      </c>
      <c r="B4" t="inlineStr">
        <is>
          <t>713036</t>
        </is>
      </c>
    </row>
    <row r="5">
      <c r="A5" s="1" t="inlineStr">
        <is>
          <t>PROJECT NAME</t>
        </is>
      </c>
      <c r="B5" t="inlineStr">
        <is>
          <t>Project 36 OSD Navy CRANE MINSEC 2.5D 3-D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134602.2</v>
      </c>
      <c r="J18" s="2" t="n">
        <v>229027.09</v>
      </c>
      <c r="N18" s="2" t="n">
        <v>31715.76</v>
      </c>
      <c r="AE18" s="10">
        <f>SUM(C18:AD18)</f>
        <v/>
      </c>
    </row>
    <row r="19">
      <c r="B19" t="inlineStr">
        <is>
          <t>Fringe 5990</t>
        </is>
      </c>
      <c r="F19" s="2" t="n">
        <v>55967.59</v>
      </c>
      <c r="J19" s="2" t="n">
        <v>90396.99000000001</v>
      </c>
      <c r="N19" s="2" t="n">
        <v>13612.41</v>
      </c>
      <c r="AE19" s="10">
        <f>SUM(C19:AD19)</f>
        <v/>
      </c>
    </row>
    <row r="20">
      <c r="B20" t="inlineStr">
        <is>
          <t>Travel 5004</t>
        </is>
      </c>
      <c r="F20" s="2" t="n">
        <v>2254.45</v>
      </c>
      <c r="AE20" s="10">
        <f>SUM(C20:AD20)</f>
        <v/>
      </c>
    </row>
    <row r="21">
      <c r="B21" t="inlineStr">
        <is>
          <t>Subcontracting 5005</t>
        </is>
      </c>
      <c r="N21" s="2" t="n">
        <v>19523.02</v>
      </c>
      <c r="Q21" s="2" t="n">
        <v>510.28</v>
      </c>
      <c r="AE21" s="10">
        <f>SUM(C21:AD21)</f>
        <v/>
      </c>
    </row>
    <row r="22">
      <c r="B22" t="inlineStr">
        <is>
          <t>Consulting 5002</t>
        </is>
      </c>
      <c r="J22" s="2" t="n">
        <v>720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23148.75</v>
      </c>
      <c r="N25" s="2" t="n">
        <v>4480</v>
      </c>
      <c r="AE25" s="10">
        <f>SUM(C25:AD25)</f>
        <v/>
      </c>
    </row>
    <row r="26">
      <c r="B26" t="inlineStr">
        <is>
          <t>Material 5003</t>
        </is>
      </c>
      <c r="J26" s="2" t="n">
        <v>9274.27</v>
      </c>
      <c r="N26" s="2" t="n">
        <v>2209.75</v>
      </c>
      <c r="AE26" s="10">
        <f>SUM(C26:AD26)</f>
        <v/>
      </c>
    </row>
    <row r="27">
      <c r="B27" t="inlineStr">
        <is>
          <t>Sub K Overhead 5992</t>
        </is>
      </c>
      <c r="N27" s="2" t="n">
        <v>2094.05</v>
      </c>
      <c r="Q27" s="2" t="n">
        <v>14.46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179649.69</v>
      </c>
      <c r="J29" s="2" t="n">
        <v>344466.13</v>
      </c>
      <c r="N29" s="2" t="n">
        <v>145180.1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1ADP037</t>
        </is>
      </c>
    </row>
    <row r="4">
      <c r="A4" s="1" t="inlineStr">
        <is>
          <t>ROLLUP #</t>
        </is>
      </c>
      <c r="B4" t="inlineStr">
        <is>
          <t>713033</t>
        </is>
      </c>
    </row>
    <row r="5">
      <c r="A5" s="1" t="inlineStr">
        <is>
          <t>PROJECT NAME</t>
        </is>
      </c>
      <c r="B5" t="inlineStr">
        <is>
          <t>Project 37 OSD Navy CRANE MINSEC Direct-Write Printed Interconnect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39566.96</v>
      </c>
      <c r="J18" s="2" t="n">
        <v>21972.78</v>
      </c>
      <c r="N18" s="2" t="n">
        <v>1845.4</v>
      </c>
      <c r="AE18" s="10">
        <f>SUM(C18:AD18)</f>
        <v/>
      </c>
    </row>
    <row r="19">
      <c r="B19" t="inlineStr">
        <is>
          <t>Fringe 5990</t>
        </is>
      </c>
      <c r="F19" s="2" t="n">
        <v>16451.94</v>
      </c>
      <c r="J19" s="2" t="n">
        <v>8672.66</v>
      </c>
      <c r="N19" s="2" t="n">
        <v>792.05</v>
      </c>
      <c r="AE19" s="10">
        <f>SUM(C19:AD19)</f>
        <v/>
      </c>
    </row>
    <row r="20">
      <c r="B20" t="inlineStr">
        <is>
          <t>Travel 5004</t>
        </is>
      </c>
      <c r="F20" s="2" t="n">
        <v>1468.22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1565</v>
      </c>
      <c r="AE26" s="10">
        <f>SUM(C26:AD26)</f>
        <v/>
      </c>
    </row>
    <row r="27">
      <c r="B27" t="inlineStr">
        <is>
          <t>Sub K Overhead 5992</t>
        </is>
      </c>
      <c r="N27" s="2" t="n">
        <v>383.37</v>
      </c>
      <c r="O27" s="2" t="n">
        <v>406.91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129868.93</v>
      </c>
      <c r="J29" s="2" t="n">
        <v>203552.05</v>
      </c>
      <c r="N29" s="2" t="n">
        <v>22302.48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1ADP038</t>
        </is>
      </c>
    </row>
    <row r="4">
      <c r="A4" s="1" t="inlineStr">
        <is>
          <t>ROLLUP #</t>
        </is>
      </c>
      <c r="B4" t="inlineStr">
        <is>
          <t>713035</t>
        </is>
      </c>
    </row>
    <row r="5">
      <c r="A5" s="1" t="inlineStr">
        <is>
          <t>PROJECT NAME</t>
        </is>
      </c>
      <c r="B5" t="inlineStr">
        <is>
          <t>Project 38 OSD Navy CRANE MINSEC Additive Manufacturing for Liquid Cooled T/R Module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129058.23</v>
      </c>
      <c r="J18" s="2" t="n">
        <v>225374.58</v>
      </c>
      <c r="N18" s="2" t="n">
        <v>69826.64999999999</v>
      </c>
      <c r="AE18" s="10">
        <f>SUM(C18:AD18)</f>
        <v/>
      </c>
    </row>
    <row r="19">
      <c r="B19" t="inlineStr">
        <is>
          <t>Fringe 5990</t>
        </is>
      </c>
      <c r="F19" s="2" t="n">
        <v>53662.41</v>
      </c>
      <c r="J19" s="2" t="n">
        <v>88955.35000000001</v>
      </c>
      <c r="N19" s="2" t="n">
        <v>29969.6</v>
      </c>
      <c r="AE19" s="10">
        <f>SUM(C19:AD19)</f>
        <v/>
      </c>
    </row>
    <row r="20">
      <c r="B20" t="inlineStr">
        <is>
          <t>Travel 5004</t>
        </is>
      </c>
      <c r="F20" s="2" t="n">
        <v>2241.46</v>
      </c>
      <c r="AE20" s="10">
        <f>SUM(C20:AD20)</f>
        <v/>
      </c>
    </row>
    <row r="21">
      <c r="B21" t="inlineStr">
        <is>
          <t>Subcontracting 5005</t>
        </is>
      </c>
      <c r="N21" s="2" t="n">
        <v>115671.98</v>
      </c>
      <c r="AE21" s="10">
        <f>SUM(C21:AD21)</f>
        <v/>
      </c>
    </row>
    <row r="22">
      <c r="B22" t="inlineStr">
        <is>
          <t>Consulting 5002</t>
        </is>
      </c>
      <c r="F22" s="2" t="n">
        <v>13675</v>
      </c>
      <c r="J22" s="2" t="n">
        <v>10850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26856.25</v>
      </c>
      <c r="N25" s="2" t="n">
        <v>16425</v>
      </c>
      <c r="AE25" s="10">
        <f>SUM(C25:AD25)</f>
        <v/>
      </c>
    </row>
    <row r="26">
      <c r="B26" t="inlineStr">
        <is>
          <t>Material 5003</t>
        </is>
      </c>
      <c r="J26" s="2" t="n">
        <v>10766.22</v>
      </c>
      <c r="N26" s="2" t="n">
        <v>1873.81</v>
      </c>
      <c r="AE26" s="10">
        <f>SUM(C26:AD26)</f>
        <v/>
      </c>
    </row>
    <row r="27">
      <c r="B27" t="inlineStr">
        <is>
          <t>Sub K Overhead 5992</t>
        </is>
      </c>
      <c r="N27" s="2" t="n">
        <v>9058.389999999999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186910.32</v>
      </c>
      <c r="J29" s="2" t="n">
        <v>538988.41</v>
      </c>
      <c r="N29" s="2" t="n">
        <v>449617.67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1ADP039</t>
        </is>
      </c>
    </row>
    <row r="4">
      <c r="A4" s="1" t="inlineStr">
        <is>
          <t>ROLLUP #</t>
        </is>
      </c>
      <c r="B4" t="inlineStr">
        <is>
          <t>713034</t>
        </is>
      </c>
    </row>
    <row r="5">
      <c r="A5" s="1" t="inlineStr">
        <is>
          <t>PROJECT NAME</t>
        </is>
      </c>
      <c r="B5" t="inlineStr">
        <is>
          <t>Project 39 OSD Navy CRANE MINSEC FHE Write Platform for Antenna Printing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51242.09</v>
      </c>
      <c r="J18" s="2" t="n">
        <v>20614.4</v>
      </c>
      <c r="N18" s="2" t="n">
        <v>11433.49</v>
      </c>
      <c r="AE18" s="10">
        <f>SUM(C18:AD18)</f>
        <v/>
      </c>
    </row>
    <row r="19">
      <c r="B19" t="inlineStr">
        <is>
          <t>Fringe 5990</t>
        </is>
      </c>
      <c r="F19" s="2" t="n">
        <v>21306.46</v>
      </c>
      <c r="J19" s="2" t="n">
        <v>8136.5</v>
      </c>
      <c r="N19" s="2" t="n">
        <v>4907.25</v>
      </c>
      <c r="AE19" s="10">
        <f>SUM(C19:AD19)</f>
        <v/>
      </c>
    </row>
    <row r="20">
      <c r="B20" t="inlineStr">
        <is>
          <t>Travel 5004</t>
        </is>
      </c>
      <c r="F20" s="2" t="n">
        <v>231.04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383180</v>
      </c>
      <c r="AE24" s="10">
        <f>SUM(C24:AD24)</f>
        <v/>
      </c>
    </row>
    <row r="25">
      <c r="B25" t="inlineStr">
        <is>
          <t>Other Direct Costs 5009</t>
        </is>
      </c>
      <c r="J25" s="2" t="n">
        <v>408</v>
      </c>
      <c r="AE25" s="10">
        <f>SUM(C25:AD25)</f>
        <v/>
      </c>
    </row>
    <row r="26">
      <c r="B26" t="inlineStr">
        <is>
          <t>Material 5003</t>
        </is>
      </c>
      <c r="J26" s="2" t="n">
        <v>6175.43</v>
      </c>
      <c r="N26" s="2" t="n">
        <v>350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186083.95</v>
      </c>
      <c r="J29" s="2" t="n">
        <v>293429.25</v>
      </c>
      <c r="N29" s="2" t="n">
        <v>21554.42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1ADP040</t>
        </is>
      </c>
    </row>
    <row r="4">
      <c r="A4" s="1" t="inlineStr">
        <is>
          <t>ROLLUP #</t>
        </is>
      </c>
      <c r="B4" t="inlineStr">
        <is>
          <t>713030</t>
        </is>
      </c>
    </row>
    <row r="5">
      <c r="A5" s="1" t="inlineStr">
        <is>
          <t>PROJECT NAME</t>
        </is>
      </c>
      <c r="B5" t="inlineStr">
        <is>
          <t>Project 40 DTRA Follow-on Drive Mfg Development for Fully Flexible High Performing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3129.73</v>
      </c>
      <c r="N18" s="2" t="n">
        <v>211.37</v>
      </c>
      <c r="AE18" s="10">
        <f>SUM(C18:AD18)</f>
        <v/>
      </c>
    </row>
    <row r="19">
      <c r="B19" t="inlineStr">
        <is>
          <t>Fringe 5990</t>
        </is>
      </c>
      <c r="J19" s="2" t="n">
        <v>1235.3</v>
      </c>
      <c r="N19" s="2" t="n">
        <v>90.72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94009.50999999999</v>
      </c>
      <c r="J29" s="2" t="n">
        <v>85670.58</v>
      </c>
      <c r="N29" s="2" t="n">
        <v>390.12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1ADP041</t>
        </is>
      </c>
    </row>
    <row r="4">
      <c r="A4" s="1" t="inlineStr">
        <is>
          <t>ROLLUP #</t>
        </is>
      </c>
      <c r="B4" t="inlineStr">
        <is>
          <t>713032</t>
        </is>
      </c>
    </row>
    <row r="5">
      <c r="A5" s="1" t="inlineStr">
        <is>
          <t>PROJECT NAME</t>
        </is>
      </c>
      <c r="B5" t="inlineStr">
        <is>
          <t>Project 41 AFRL Expanded T&amp;E of Wearable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27472.83</v>
      </c>
      <c r="AE18" s="10">
        <f>SUM(C18:AD18)</f>
        <v/>
      </c>
    </row>
    <row r="19">
      <c r="B19" t="inlineStr">
        <is>
          <t>Fringe 5990</t>
        </is>
      </c>
      <c r="N19" s="2" t="n">
        <v>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2026-04-17T13:53:17Z</dcterms:created>
  <dcterms:modified xsi:type="dcterms:W3CDTF">2026-04-17T14:15:29Z</dcterms:modified>
</cp:coreProperties>
</file>