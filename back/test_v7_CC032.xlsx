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Cumulative Project Financials</a:t>
            </a:r>
          </a:p>
        </rich>
      </tx>
    </title>
    <plotArea>
      <lineChart>
        <grouping val="standard"/>
        <ser>
          <idx val="0"/>
          <order val="0"/>
          <tx>
            <v>Funds Committed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>
        <is>
          <t>960026</t>
        </is>
      </c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t="n">
        <v>0</v>
      </c>
    </row>
    <row r="15">
      <c r="C15" s="2" t="inlineStr">
        <is>
          <t>FYE 9/30/2020</t>
        </is>
      </c>
      <c r="D15" s="3" t="n"/>
      <c r="E15" s="3" t="n"/>
      <c r="F15" s="3" t="n"/>
      <c r="G15" s="4" t="inlineStr">
        <is>
          <t>FYE 9/30/2021</t>
        </is>
      </c>
      <c r="H15" s="5" t="n"/>
      <c r="I15" s="5" t="n"/>
      <c r="J15" s="5" t="n"/>
      <c r="K15" s="2" t="inlineStr">
        <is>
          <t>FYE 9/30/2022</t>
        </is>
      </c>
      <c r="L15" s="3" t="n"/>
      <c r="M15" s="3" t="n"/>
      <c r="N15" s="3" t="n"/>
      <c r="O15" s="4" t="inlineStr">
        <is>
          <t>FYE 9/30/2023</t>
        </is>
      </c>
      <c r="P15" s="5" t="n"/>
      <c r="Q15" s="5" t="n"/>
      <c r="R15" s="5" t="n"/>
      <c r="S15" s="2" t="inlineStr">
        <is>
          <t>FYE 9/30/2024</t>
        </is>
      </c>
      <c r="T15" s="3" t="n"/>
      <c r="U15" s="3" t="n"/>
      <c r="V15" s="3" t="n"/>
      <c r="W15" s="4" t="inlineStr">
        <is>
          <t>FYE 9/30/2025</t>
        </is>
      </c>
      <c r="X15" s="5" t="n"/>
      <c r="Y15" s="5" t="n"/>
      <c r="Z15" s="5" t="n"/>
      <c r="AA15" s="2" t="inlineStr">
        <is>
          <t>FYE 9/30/2026</t>
        </is>
      </c>
      <c r="AB15" s="3" t="n"/>
      <c r="AC15" s="3" t="n"/>
      <c r="AD15" s="3" t="n"/>
      <c r="AE15" s="6" t="inlineStr">
        <is>
          <t>Grand Total</t>
        </is>
      </c>
    </row>
    <row r="16">
      <c r="C16" s="2" t="inlineStr">
        <is>
          <t>Q1</t>
        </is>
      </c>
      <c r="D16" s="2" t="inlineStr">
        <is>
          <t>Q2</t>
        </is>
      </c>
      <c r="E16" s="2" t="inlineStr">
        <is>
          <t>Q3</t>
        </is>
      </c>
      <c r="F16" s="2" t="inlineStr">
        <is>
          <t>Q4</t>
        </is>
      </c>
      <c r="G16" s="4" t="inlineStr">
        <is>
          <t>Q1</t>
        </is>
      </c>
      <c r="H16" s="4" t="inlineStr">
        <is>
          <t>Q2</t>
        </is>
      </c>
      <c r="I16" s="4" t="inlineStr">
        <is>
          <t>Q3</t>
        </is>
      </c>
      <c r="J16" s="4" t="inlineStr">
        <is>
          <t>Q4</t>
        </is>
      </c>
      <c r="K16" s="2" t="inlineStr">
        <is>
          <t>Q1</t>
        </is>
      </c>
      <c r="L16" s="2" t="inlineStr">
        <is>
          <t>Q2</t>
        </is>
      </c>
      <c r="M16" s="2" t="inlineStr">
        <is>
          <t>Q3</t>
        </is>
      </c>
      <c r="N16" s="2" t="inlineStr">
        <is>
          <t>Q4</t>
        </is>
      </c>
      <c r="O16" s="4" t="inlineStr">
        <is>
          <t>Q1</t>
        </is>
      </c>
      <c r="P16" s="4" t="inlineStr">
        <is>
          <t>Q2</t>
        </is>
      </c>
      <c r="Q16" s="4" t="inlineStr">
        <is>
          <t>Q3</t>
        </is>
      </c>
      <c r="R16" s="4" t="inlineStr">
        <is>
          <t>Q4</t>
        </is>
      </c>
      <c r="S16" s="2" t="inlineStr">
        <is>
          <t>Q1</t>
        </is>
      </c>
      <c r="T16" s="2" t="inlineStr">
        <is>
          <t>Q2</t>
        </is>
      </c>
      <c r="U16" s="2" t="inlineStr">
        <is>
          <t>Q3</t>
        </is>
      </c>
      <c r="V16" s="2" t="inlineStr">
        <is>
          <t>Q4</t>
        </is>
      </c>
      <c r="W16" s="4" t="inlineStr">
        <is>
          <t>Q1</t>
        </is>
      </c>
      <c r="X16" s="4" t="inlineStr">
        <is>
          <t>Q2</t>
        </is>
      </c>
      <c r="Y16" s="4" t="inlineStr">
        <is>
          <t>Q3</t>
        </is>
      </c>
      <c r="Z16" s="4" t="inlineStr">
        <is>
          <t>Q4</t>
        </is>
      </c>
      <c r="AA16" s="2" t="inlineStr">
        <is>
          <t>Q1</t>
        </is>
      </c>
      <c r="AB16" s="2" t="inlineStr">
        <is>
          <t>Q2</t>
        </is>
      </c>
      <c r="AC16" s="2" t="inlineStr">
        <is>
          <t>Q3</t>
        </is>
      </c>
      <c r="AD16" s="2" t="inlineStr">
        <is>
          <t>Q4</t>
        </is>
      </c>
      <c r="AE16" s="7" t="n"/>
    </row>
    <row r="17">
      <c r="A17" s="8" t="inlineStr">
        <is>
          <t>ACTUALS</t>
        </is>
      </c>
      <c r="B17" t="inlineStr">
        <is>
          <t>Labor Hours statistical account</t>
        </is>
      </c>
      <c r="AE17" s="9">
        <f>SUM(C17:AD17)</f>
        <v/>
      </c>
    </row>
    <row r="18">
      <c r="B18" t="inlineStr">
        <is>
          <t>Labor Cost 5001</t>
        </is>
      </c>
      <c r="J18" s="10" t="n">
        <v>2443.72</v>
      </c>
      <c r="N18" s="10" t="n">
        <v>350.26</v>
      </c>
      <c r="AE18" s="9">
        <f>SUM(C18:AD18)</f>
        <v/>
      </c>
    </row>
    <row r="19">
      <c r="B19" t="inlineStr">
        <is>
          <t>Fringe 5990</t>
        </is>
      </c>
      <c r="J19" s="10" t="n">
        <v>964.51</v>
      </c>
      <c r="N19" s="10" t="n">
        <v>150.33</v>
      </c>
      <c r="AE19" s="9">
        <f>SUM(C19:AD19)</f>
        <v/>
      </c>
    </row>
    <row r="20">
      <c r="B20" t="inlineStr">
        <is>
          <t>Travel 5004</t>
        </is>
      </c>
      <c r="AE20" s="9">
        <f>SUM(C20:AD20)</f>
        <v/>
      </c>
    </row>
    <row r="21">
      <c r="B21" t="inlineStr">
        <is>
          <t>Subcontracting 5005</t>
        </is>
      </c>
      <c r="AE21" s="9">
        <f>SUM(C21:AD21)</f>
        <v/>
      </c>
    </row>
    <row r="22">
      <c r="B22" t="inlineStr">
        <is>
          <t>Consulting 5002</t>
        </is>
      </c>
      <c r="AE22" s="9">
        <f>SUM(C22:AD22)</f>
        <v/>
      </c>
    </row>
    <row r="23">
      <c r="B23" t="inlineStr">
        <is>
          <t>Equipment 5010</t>
        </is>
      </c>
      <c r="AE23" s="9">
        <f>SUM(C23:AD23)</f>
        <v/>
      </c>
    </row>
    <row r="24">
      <c r="B24" t="inlineStr">
        <is>
          <t>Equipment 5008</t>
        </is>
      </c>
      <c r="AE24" s="9">
        <f>SUM(C24:AD24)</f>
        <v/>
      </c>
    </row>
    <row r="25">
      <c r="B25" t="inlineStr">
        <is>
          <t>Other Direct Costs 5009</t>
        </is>
      </c>
      <c r="AE25" s="9">
        <f>SUM(C25:AD25)</f>
        <v/>
      </c>
    </row>
    <row r="26">
      <c r="B26" t="inlineStr">
        <is>
          <t>Material 5003</t>
        </is>
      </c>
      <c r="AE26" s="9">
        <f>SUM(C26:AD26)</f>
        <v/>
      </c>
    </row>
    <row r="27">
      <c r="B27" t="inlineStr">
        <is>
          <t>Sub K Overhead 5992</t>
        </is>
      </c>
      <c r="AE27" s="9">
        <f>SUM(C27:AD27)</f>
        <v/>
      </c>
    </row>
    <row r="28">
      <c r="B28" t="inlineStr">
        <is>
          <t>Sub K Overhead 5993</t>
        </is>
      </c>
      <c r="AE28" s="9">
        <f>SUM(C28:AD28)</f>
        <v/>
      </c>
    </row>
    <row r="29">
      <c r="B29" t="inlineStr">
        <is>
          <t>G&amp;A 5991</t>
        </is>
      </c>
      <c r="J29" s="10" t="n">
        <v>1842.8</v>
      </c>
      <c r="N29" s="10" t="n">
        <v>270.67</v>
      </c>
      <c r="AE29" s="9">
        <f>SUM(C29:AD29)</f>
        <v/>
      </c>
    </row>
    <row r="30">
      <c r="A30" s="8" t="inlineStr">
        <is>
          <t>ACTUALS Total</t>
        </is>
      </c>
      <c r="C30" s="9">
        <f>SUM(C18:C29)</f>
        <v/>
      </c>
      <c r="D30" s="9">
        <f>SUM(D18:D29)</f>
        <v/>
      </c>
      <c r="E30" s="9">
        <f>SUM(E18:E29)</f>
        <v/>
      </c>
      <c r="F30" s="9">
        <f>SUM(F18:F29)</f>
        <v/>
      </c>
      <c r="G30" s="9">
        <f>SUM(G18:G29)</f>
        <v/>
      </c>
      <c r="H30" s="9">
        <f>SUM(H18:H29)</f>
        <v/>
      </c>
      <c r="I30" s="9">
        <f>SUM(I18:I29)</f>
        <v/>
      </c>
      <c r="J30" s="9">
        <f>SUM(J18:J29)</f>
        <v/>
      </c>
      <c r="K30" s="9">
        <f>SUM(K18:K29)</f>
        <v/>
      </c>
      <c r="L30" s="9">
        <f>SUM(L18:L29)</f>
        <v/>
      </c>
      <c r="M30" s="9">
        <f>SUM(M18:M29)</f>
        <v/>
      </c>
      <c r="N30" s="9">
        <f>SUM(N18:N29)</f>
        <v/>
      </c>
      <c r="O30" s="9">
        <f>SUM(O18:O29)</f>
        <v/>
      </c>
      <c r="P30" s="9">
        <f>SUM(P18:P29)</f>
        <v/>
      </c>
      <c r="Q30" s="9">
        <f>SUM(Q18:Q29)</f>
        <v/>
      </c>
      <c r="R30" s="9">
        <f>SUM(R18:R29)</f>
        <v/>
      </c>
      <c r="S30" s="9">
        <f>SUM(S18:S29)</f>
        <v/>
      </c>
      <c r="T30" s="9">
        <f>SUM(T18:T29)</f>
        <v/>
      </c>
      <c r="U30" s="9">
        <f>SUM(U18:U29)</f>
        <v/>
      </c>
      <c r="V30" s="9">
        <f>SUM(V18:V29)</f>
        <v/>
      </c>
      <c r="W30" s="9">
        <f>SUM(W18:W29)</f>
        <v/>
      </c>
      <c r="X30" s="9">
        <f>SUM(X18:X29)</f>
        <v/>
      </c>
      <c r="Y30" s="9">
        <f>SUM(Y18:Y29)</f>
        <v/>
      </c>
      <c r="Z30" s="9">
        <f>SUM(Z18:Z29)</f>
        <v/>
      </c>
      <c r="AA30" s="9">
        <f>SUM(AA18:AA29)</f>
        <v/>
      </c>
      <c r="AB30" s="9">
        <f>SUM(AB18:AB29)</f>
        <v/>
      </c>
      <c r="AC30" s="9">
        <f>SUM(AC18:AC29)</f>
        <v/>
      </c>
      <c r="AD30" s="9">
        <f>SUM(AD18:AD29)</f>
        <v/>
      </c>
      <c r="AE30" s="9">
        <f>SUM(AE18:AE29)</f>
        <v/>
      </c>
    </row>
    <row r="31">
      <c r="A31" s="8" t="inlineStr">
        <is>
          <t>BUDGETED</t>
        </is>
      </c>
      <c r="B31" t="inlineStr">
        <is>
          <t>Labor Hours statistical account</t>
        </is>
      </c>
      <c r="AE31" s="9">
        <f>SUM(C31:AD31)</f>
        <v/>
      </c>
    </row>
    <row r="32">
      <c r="B32" t="inlineStr">
        <is>
          <t>Labor Cost 5001</t>
        </is>
      </c>
      <c r="AE32" s="9">
        <f>SUM(C32:AD32)</f>
        <v/>
      </c>
    </row>
    <row r="33">
      <c r="B33" t="inlineStr">
        <is>
          <t>Fringe 5990</t>
        </is>
      </c>
      <c r="AE33" s="9">
        <f>SUM(C33:AD33)</f>
        <v/>
      </c>
    </row>
    <row r="34">
      <c r="B34" t="inlineStr">
        <is>
          <t>Travel 5004</t>
        </is>
      </c>
      <c r="AE34" s="9">
        <f>SUM(C34:AD34)</f>
        <v/>
      </c>
    </row>
    <row r="35">
      <c r="B35" t="inlineStr">
        <is>
          <t>Subcontracting 5005</t>
        </is>
      </c>
      <c r="AE35" s="9">
        <f>SUM(C35:AD35)</f>
        <v/>
      </c>
    </row>
    <row r="36">
      <c r="B36" t="inlineStr">
        <is>
          <t>Consulting 5002</t>
        </is>
      </c>
      <c r="AE36" s="9">
        <f>SUM(C36:AD36)</f>
        <v/>
      </c>
    </row>
    <row r="37">
      <c r="B37" t="inlineStr">
        <is>
          <t>Equipment 5010</t>
        </is>
      </c>
      <c r="AE37" s="9">
        <f>SUM(C37:AD37)</f>
        <v/>
      </c>
    </row>
    <row r="38">
      <c r="B38" t="inlineStr">
        <is>
          <t>Equipment 5008</t>
        </is>
      </c>
      <c r="AE38" s="9">
        <f>SUM(C38:AD38)</f>
        <v/>
      </c>
    </row>
    <row r="39">
      <c r="B39" t="inlineStr">
        <is>
          <t>Other Direct Costs 5009</t>
        </is>
      </c>
      <c r="AE39" s="9">
        <f>SUM(C39:AD39)</f>
        <v/>
      </c>
    </row>
    <row r="40">
      <c r="B40" t="inlineStr">
        <is>
          <t>Material 5003</t>
        </is>
      </c>
      <c r="AE40" s="9">
        <f>SUM(C40:AD40)</f>
        <v/>
      </c>
    </row>
    <row r="41">
      <c r="B41" t="inlineStr">
        <is>
          <t>Sub K Overhead 5992</t>
        </is>
      </c>
      <c r="AE41" s="9">
        <f>SUM(C41:AD41)</f>
        <v/>
      </c>
    </row>
    <row r="42">
      <c r="B42" t="inlineStr">
        <is>
          <t>Sub K Overhead 5993</t>
        </is>
      </c>
      <c r="AE42" s="9">
        <f>SUM(C42:AD42)</f>
        <v/>
      </c>
    </row>
    <row r="43">
      <c r="B43" t="inlineStr">
        <is>
          <t>G&amp;A 5991</t>
        </is>
      </c>
      <c r="AE43" s="9">
        <f>SUM(C43:AD43)</f>
        <v/>
      </c>
    </row>
    <row r="44">
      <c r="A44" s="8" t="inlineStr">
        <is>
          <t>BUDGETED Total</t>
        </is>
      </c>
      <c r="C44" s="9">
        <f>SUM(C32:C43)</f>
        <v/>
      </c>
      <c r="D44" s="9">
        <f>SUM(D32:D43)</f>
        <v/>
      </c>
      <c r="E44" s="9">
        <f>SUM(E32:E43)</f>
        <v/>
      </c>
      <c r="F44" s="9">
        <f>SUM(F32:F43)</f>
        <v/>
      </c>
      <c r="G44" s="9">
        <f>SUM(G32:G43)</f>
        <v/>
      </c>
      <c r="H44" s="9">
        <f>SUM(H32:H43)</f>
        <v/>
      </c>
      <c r="I44" s="9">
        <f>SUM(I32:I43)</f>
        <v/>
      </c>
      <c r="J44" s="9">
        <f>SUM(J32:J43)</f>
        <v/>
      </c>
      <c r="K44" s="9">
        <f>SUM(K32:K43)</f>
        <v/>
      </c>
      <c r="L44" s="9">
        <f>SUM(L32:L43)</f>
        <v/>
      </c>
      <c r="M44" s="9">
        <f>SUM(M32:M43)</f>
        <v/>
      </c>
      <c r="N44" s="9">
        <f>SUM(N32:N43)</f>
        <v/>
      </c>
      <c r="O44" s="9">
        <f>SUM(O32:O43)</f>
        <v/>
      </c>
      <c r="P44" s="9">
        <f>SUM(P32:P43)</f>
        <v/>
      </c>
      <c r="Q44" s="9">
        <f>SUM(Q32:Q43)</f>
        <v/>
      </c>
      <c r="R44" s="9">
        <f>SUM(R32:R43)</f>
        <v/>
      </c>
      <c r="S44" s="9">
        <f>SUM(S32:S43)</f>
        <v/>
      </c>
      <c r="T44" s="9">
        <f>SUM(T32:T43)</f>
        <v/>
      </c>
      <c r="U44" s="9">
        <f>SUM(U32:U43)</f>
        <v/>
      </c>
      <c r="V44" s="9">
        <f>SUM(V32:V43)</f>
        <v/>
      </c>
      <c r="W44" s="9">
        <f>SUM(W32:W43)</f>
        <v/>
      </c>
      <c r="X44" s="9">
        <f>SUM(X32:X43)</f>
        <v/>
      </c>
      <c r="Y44" s="9">
        <f>SUM(Y32:Y43)</f>
        <v/>
      </c>
      <c r="Z44" s="9">
        <f>SUM(Z32:Z43)</f>
        <v/>
      </c>
      <c r="AA44" s="9">
        <f>SUM(AA32:AA43)</f>
        <v/>
      </c>
      <c r="AB44" s="9">
        <f>SUM(AB32:AB43)</f>
        <v/>
      </c>
      <c r="AC44" s="9">
        <f>SUM(AC32:AC43)</f>
        <v/>
      </c>
      <c r="AD44" s="9">
        <f>SUM(AD32:AD43)</f>
        <v/>
      </c>
      <c r="AE44" s="9">
        <f>SUM(AE32:AE43)</f>
        <v/>
      </c>
    </row>
    <row r="45">
      <c r="A45" s="8" t="inlineStr">
        <is>
          <t>CONTRACTING</t>
        </is>
      </c>
      <c r="B45" t="inlineStr">
        <is>
          <t>Committed</t>
        </is>
      </c>
      <c r="AE45" s="9">
        <f>SUM(C45:AD45)</f>
        <v/>
      </c>
    </row>
    <row r="46">
      <c r="B46" t="inlineStr">
        <is>
          <t>Obligated</t>
        </is>
      </c>
      <c r="AE46" s="9">
        <f>SUM(C46:AD46)</f>
        <v/>
      </c>
    </row>
    <row r="47">
      <c r="B47" t="inlineStr">
        <is>
          <t>Expended</t>
        </is>
      </c>
      <c r="AE47" s="9">
        <f>SUM(C47:AD47)</f>
        <v/>
      </c>
    </row>
    <row r="48">
      <c r="B48" s="1" t="inlineStr">
        <is>
          <t>Remaining Cash</t>
        </is>
      </c>
      <c r="C48" s="10">
        <f>C46-C47</f>
        <v/>
      </c>
      <c r="D48" s="10">
        <f>D46-D47</f>
        <v/>
      </c>
      <c r="E48" s="10">
        <f>E46-E47</f>
        <v/>
      </c>
      <c r="F48" s="10">
        <f>F46-F47</f>
        <v/>
      </c>
      <c r="G48" s="10">
        <f>G46-G47</f>
        <v/>
      </c>
      <c r="H48" s="10">
        <f>H46-H47</f>
        <v/>
      </c>
      <c r="I48" s="10">
        <f>I46-I47</f>
        <v/>
      </c>
      <c r="J48" s="10">
        <f>J46-J47</f>
        <v/>
      </c>
      <c r="K48" s="10">
        <f>K46-K47</f>
        <v/>
      </c>
      <c r="L48" s="10">
        <f>L46-L47</f>
        <v/>
      </c>
      <c r="M48" s="10">
        <f>M46-M47</f>
        <v/>
      </c>
      <c r="N48" s="10">
        <f>N46-N47</f>
        <v/>
      </c>
      <c r="O48" s="10">
        <f>O46-O47</f>
        <v/>
      </c>
      <c r="P48" s="10">
        <f>P46-P47</f>
        <v/>
      </c>
      <c r="Q48" s="10">
        <f>Q46-Q47</f>
        <v/>
      </c>
      <c r="R48" s="10">
        <f>R46-R47</f>
        <v/>
      </c>
      <c r="S48" s="10">
        <f>S46-S47</f>
        <v/>
      </c>
      <c r="T48" s="10">
        <f>T46-T47</f>
        <v/>
      </c>
      <c r="U48" s="10">
        <f>U46-U47</f>
        <v/>
      </c>
      <c r="V48" s="10">
        <f>V46-V47</f>
        <v/>
      </c>
      <c r="W48" s="10">
        <f>W46-W47</f>
        <v/>
      </c>
      <c r="X48" s="10">
        <f>X46-X47</f>
        <v/>
      </c>
      <c r="Y48" s="10">
        <f>Y46-Y47</f>
        <v/>
      </c>
      <c r="Z48" s="10">
        <f>Z46-Z47</f>
        <v/>
      </c>
      <c r="AA48" s="10">
        <f>AA46-AA47</f>
        <v/>
      </c>
      <c r="AB48" s="10">
        <f>AB46-AB47</f>
        <v/>
      </c>
      <c r="AC48" s="10">
        <f>AC46-AC47</f>
        <v/>
      </c>
      <c r="AD48" s="10">
        <f>AD46-AD47</f>
        <v/>
      </c>
      <c r="AE48" s="9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10">
        <f>C45</f>
        <v/>
      </c>
      <c r="C52" s="10">
        <f>D45+B52</f>
        <v/>
      </c>
      <c r="D52" s="10">
        <f>E45+C52</f>
        <v/>
      </c>
      <c r="E52" s="10">
        <f>F45+D52</f>
        <v/>
      </c>
      <c r="F52" s="10">
        <f>G45+E52</f>
        <v/>
      </c>
      <c r="G52" s="10">
        <f>H45+F52</f>
        <v/>
      </c>
      <c r="H52" s="10">
        <f>I45+G52</f>
        <v/>
      </c>
      <c r="I52" s="10">
        <f>J45+H52</f>
        <v/>
      </c>
      <c r="J52" s="10">
        <f>K45+I52</f>
        <v/>
      </c>
      <c r="K52" s="10">
        <f>L45+J52</f>
        <v/>
      </c>
      <c r="L52" s="10">
        <f>M45+K52</f>
        <v/>
      </c>
      <c r="M52" s="10">
        <f>N45+L52</f>
        <v/>
      </c>
      <c r="N52" s="10">
        <f>O45+M52</f>
        <v/>
      </c>
      <c r="O52" s="10">
        <f>P45+N52</f>
        <v/>
      </c>
      <c r="P52" s="10">
        <f>Q45+O52</f>
        <v/>
      </c>
      <c r="Q52" s="10">
        <f>R45+P52</f>
        <v/>
      </c>
      <c r="R52" s="10">
        <f>S45+Q52</f>
        <v/>
      </c>
      <c r="S52" s="10">
        <f>T45+R52</f>
        <v/>
      </c>
      <c r="T52" s="10">
        <f>U45+S52</f>
        <v/>
      </c>
      <c r="U52" s="10">
        <f>V45+T52</f>
        <v/>
      </c>
      <c r="V52" s="10">
        <f>W45+U52</f>
        <v/>
      </c>
      <c r="W52" s="10">
        <f>X45+V52</f>
        <v/>
      </c>
      <c r="X52" s="10">
        <f>Y45+W52</f>
        <v/>
      </c>
      <c r="Y52" s="10">
        <f>Z45+X52</f>
        <v/>
      </c>
      <c r="Z52" s="10">
        <f>AA45+Y52</f>
        <v/>
      </c>
      <c r="AA52" s="10">
        <f>AB45+Z52</f>
        <v/>
      </c>
      <c r="AB52" s="10">
        <f>AC45+AA52</f>
        <v/>
      </c>
      <c r="AC52" s="10">
        <f>AD45+AB52</f>
        <v/>
      </c>
    </row>
    <row r="53">
      <c r="A53" s="1" t="inlineStr">
        <is>
          <t>Total Obligated</t>
        </is>
      </c>
      <c r="B53" s="10">
        <f>C46</f>
        <v/>
      </c>
      <c r="C53" s="10">
        <f>D46+B53</f>
        <v/>
      </c>
      <c r="D53" s="10">
        <f>E46+C53</f>
        <v/>
      </c>
      <c r="E53" s="10">
        <f>F46+D53</f>
        <v/>
      </c>
      <c r="F53" s="10">
        <f>G46+E53</f>
        <v/>
      </c>
      <c r="G53" s="10">
        <f>H46+F53</f>
        <v/>
      </c>
      <c r="H53" s="10">
        <f>I46+G53</f>
        <v/>
      </c>
      <c r="I53" s="10">
        <f>J46+H53</f>
        <v/>
      </c>
      <c r="J53" s="10">
        <f>K46+I53</f>
        <v/>
      </c>
      <c r="K53" s="10">
        <f>L46+J53</f>
        <v/>
      </c>
      <c r="L53" s="10">
        <f>M46+K53</f>
        <v/>
      </c>
      <c r="M53" s="10">
        <f>N46+L53</f>
        <v/>
      </c>
      <c r="N53" s="10">
        <f>O46+M53</f>
        <v/>
      </c>
      <c r="O53" s="10">
        <f>P46+N53</f>
        <v/>
      </c>
      <c r="P53" s="10">
        <f>Q46+O53</f>
        <v/>
      </c>
      <c r="Q53" s="10">
        <f>R46+P53</f>
        <v/>
      </c>
      <c r="R53" s="10">
        <f>S46+Q53</f>
        <v/>
      </c>
      <c r="S53" s="10">
        <f>T46+R53</f>
        <v/>
      </c>
      <c r="T53" s="10">
        <f>U46+S53</f>
        <v/>
      </c>
      <c r="U53" s="10">
        <f>V46+T53</f>
        <v/>
      </c>
      <c r="V53" s="10">
        <f>W46+U53</f>
        <v/>
      </c>
      <c r="W53" s="10">
        <f>X46+V53</f>
        <v/>
      </c>
      <c r="X53" s="10">
        <f>Y46+W53</f>
        <v/>
      </c>
      <c r="Y53" s="10">
        <f>Z46+X53</f>
        <v/>
      </c>
      <c r="Z53" s="10">
        <f>AA46+Y53</f>
        <v/>
      </c>
      <c r="AA53" s="10">
        <f>AB46+Z53</f>
        <v/>
      </c>
      <c r="AB53" s="10">
        <f>AC46+AA53</f>
        <v/>
      </c>
      <c r="AC53" s="10">
        <f>AD46+AB53</f>
        <v/>
      </c>
    </row>
    <row r="54">
      <c r="A54" s="1" t="inlineStr">
        <is>
          <t>Total Expended</t>
        </is>
      </c>
      <c r="B54" s="10">
        <f>C47</f>
        <v/>
      </c>
      <c r="C54" s="10">
        <f>D47+B54</f>
        <v/>
      </c>
      <c r="D54" s="10">
        <f>E47+C54</f>
        <v/>
      </c>
      <c r="E54" s="10">
        <f>F47+D54</f>
        <v/>
      </c>
      <c r="F54" s="10">
        <f>G47+E54</f>
        <v/>
      </c>
      <c r="G54" s="10">
        <f>H47+F54</f>
        <v/>
      </c>
      <c r="H54" s="10">
        <f>I47+G54</f>
        <v/>
      </c>
      <c r="I54" s="10">
        <f>J47+H54</f>
        <v/>
      </c>
      <c r="J54" s="10">
        <f>K47+I54</f>
        <v/>
      </c>
      <c r="K54" s="10">
        <f>L47+J54</f>
        <v/>
      </c>
      <c r="L54" s="10">
        <f>M47+K54</f>
        <v/>
      </c>
      <c r="M54" s="10">
        <f>N47+L54</f>
        <v/>
      </c>
      <c r="N54" s="10">
        <f>O47+M54</f>
        <v/>
      </c>
      <c r="O54" s="10">
        <f>P47+N54</f>
        <v/>
      </c>
      <c r="P54" s="10">
        <f>Q47+O54</f>
        <v/>
      </c>
      <c r="Q54" s="10">
        <f>R47+P54</f>
        <v/>
      </c>
      <c r="R54" s="10">
        <f>S47+Q54</f>
        <v/>
      </c>
      <c r="S54" s="10">
        <f>T47+R54</f>
        <v/>
      </c>
      <c r="T54" s="10">
        <f>U47+S54</f>
        <v/>
      </c>
      <c r="U54" s="10">
        <f>V47+T54</f>
        <v/>
      </c>
      <c r="V54" s="10">
        <f>W47+U54</f>
        <v/>
      </c>
      <c r="W54" s="10">
        <f>X47+V54</f>
        <v/>
      </c>
      <c r="X54" s="10">
        <f>Y47+W54</f>
        <v/>
      </c>
      <c r="Y54" s="10">
        <f>Z47+X54</f>
        <v/>
      </c>
      <c r="Z54" s="10">
        <f>AA47+Y54</f>
        <v/>
      </c>
      <c r="AA54" s="10">
        <f>AB47+Z54</f>
        <v/>
      </c>
      <c r="AB54" s="10">
        <f>AC47+AA54</f>
        <v/>
      </c>
      <c r="AC54" s="10">
        <f>AD47+AB54</f>
        <v/>
      </c>
    </row>
    <row r="55">
      <c r="A55" s="1" t="inlineStr">
        <is>
          <t>Budgeted Plan</t>
        </is>
      </c>
      <c r="B55" s="10">
        <f>C44</f>
        <v/>
      </c>
      <c r="C55" s="10">
        <f>D44+B55</f>
        <v/>
      </c>
      <c r="D55" s="10">
        <f>E44+C55</f>
        <v/>
      </c>
      <c r="E55" s="10">
        <f>F44+D55</f>
        <v/>
      </c>
      <c r="F55" s="10">
        <f>G44+E55</f>
        <v/>
      </c>
      <c r="G55" s="10">
        <f>H44+F55</f>
        <v/>
      </c>
      <c r="H55" s="10">
        <f>I44+G55</f>
        <v/>
      </c>
      <c r="I55" s="10">
        <f>J44+H55</f>
        <v/>
      </c>
      <c r="J55" s="10">
        <f>K44+I55</f>
        <v/>
      </c>
      <c r="K55" s="10">
        <f>L44+J55</f>
        <v/>
      </c>
      <c r="L55" s="10">
        <f>M44+K55</f>
        <v/>
      </c>
      <c r="M55" s="10">
        <f>N44+L55</f>
        <v/>
      </c>
      <c r="N55" s="10">
        <f>O44+M55</f>
        <v/>
      </c>
      <c r="O55" s="10">
        <f>P44+N55</f>
        <v/>
      </c>
      <c r="P55" s="10">
        <f>Q44+O55</f>
        <v/>
      </c>
      <c r="Q55" s="10">
        <f>R44+P55</f>
        <v/>
      </c>
      <c r="R55" s="10">
        <f>S44+Q55</f>
        <v/>
      </c>
      <c r="S55" s="10">
        <f>T44+R55</f>
        <v/>
      </c>
      <c r="T55" s="10">
        <f>U44+S55</f>
        <v/>
      </c>
      <c r="U55" s="10">
        <f>V44+T55</f>
        <v/>
      </c>
      <c r="V55" s="10">
        <f>W44+U55</f>
        <v/>
      </c>
      <c r="W55" s="10">
        <f>X44+V55</f>
        <v/>
      </c>
      <c r="X55" s="10">
        <f>Y44+W55</f>
        <v/>
      </c>
      <c r="Y55" s="10">
        <f>Z44+X55</f>
        <v/>
      </c>
      <c r="Z55" s="10">
        <f>AA44+Y55</f>
        <v/>
      </c>
      <c r="AA55" s="10">
        <f>AB44+Z55</f>
        <v/>
      </c>
      <c r="AB55" s="10">
        <f>AC44+AA55</f>
        <v/>
      </c>
      <c r="AC55" s="10">
        <f>AD44+AB55</f>
        <v/>
      </c>
    </row>
    <row r="56">
      <c r="A56" s="1" t="inlineStr">
        <is>
          <t>Actual</t>
        </is>
      </c>
      <c r="B56" s="10">
        <f>C30</f>
        <v/>
      </c>
      <c r="C56" s="10">
        <f>D30+B56</f>
        <v/>
      </c>
      <c r="D56" s="10">
        <f>E30+C56</f>
        <v/>
      </c>
      <c r="E56" s="10">
        <f>F30+D56</f>
        <v/>
      </c>
      <c r="F56" s="10">
        <f>G30+E56</f>
        <v/>
      </c>
      <c r="G56" s="10">
        <f>H30+F56</f>
        <v/>
      </c>
      <c r="H56" s="10">
        <f>I30+G56</f>
        <v/>
      </c>
      <c r="I56" s="10">
        <f>J30+H56</f>
        <v/>
      </c>
      <c r="J56" s="10">
        <f>K30+I56</f>
        <v/>
      </c>
      <c r="K56" s="10">
        <f>L30+J56</f>
        <v/>
      </c>
      <c r="L56" s="10">
        <f>M30+K56</f>
        <v/>
      </c>
      <c r="M56" s="10">
        <f>N30+L56</f>
        <v/>
      </c>
      <c r="N56" s="10">
        <f>O30+M56</f>
        <v/>
      </c>
      <c r="O56" s="10">
        <f>P30+N56</f>
        <v/>
      </c>
      <c r="P56" s="10">
        <f>Q30+O56</f>
        <v/>
      </c>
      <c r="Q56" s="10">
        <f>R30+P56</f>
        <v/>
      </c>
      <c r="R56" s="10">
        <f>S30+Q56</f>
        <v/>
      </c>
      <c r="S56" s="10">
        <f>T30+R56</f>
        <v/>
      </c>
      <c r="T56" s="10">
        <f>U30+S56</f>
        <v/>
      </c>
      <c r="U56" s="10">
        <f>V30+T56</f>
        <v/>
      </c>
      <c r="V56" s="10">
        <f>W30+U56</f>
        <v/>
      </c>
      <c r="W56" s="10">
        <f>X30+V56</f>
        <v/>
      </c>
      <c r="X56" s="10">
        <f>Y30+W56</f>
        <v/>
      </c>
      <c r="Y56" s="10">
        <f>Z30+X56</f>
        <v/>
      </c>
      <c r="Z56" s="10">
        <f>AA30+Y56</f>
        <v/>
      </c>
      <c r="AA56" s="10">
        <f>AB30+Z56</f>
        <v/>
      </c>
      <c r="AB56" s="10">
        <f>AC30+AA56</f>
        <v/>
      </c>
      <c r="AC56" s="10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2026-04-16T07:17:39Z</dcterms:created>
  <dcterms:modified xsi:type="dcterms:W3CDTF">2026-04-16T07:19:04Z</dcterms:modified>
</cp:coreProperties>
</file>