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26427.52</v>
      </c>
      <c r="J18" s="10" t="n">
        <v>324777.02</v>
      </c>
      <c r="N18" s="10" t="n">
        <v>117378.33</v>
      </c>
      <c r="AE18" s="9">
        <f>SUM(C18:AD18)</f>
        <v/>
      </c>
    </row>
    <row r="19">
      <c r="B19" t="inlineStr">
        <is>
          <t>Fringe 5990</t>
        </is>
      </c>
      <c r="F19" s="10" t="n">
        <v>10988.56</v>
      </c>
      <c r="J19" s="10" t="n">
        <v>128189.49</v>
      </c>
      <c r="N19" s="10" t="n">
        <v>50378.83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F21" s="10" t="n">
        <v>1863318.86</v>
      </c>
      <c r="J21" s="10" t="n">
        <v>22353275.44</v>
      </c>
      <c r="N21" s="10" t="n">
        <v>715405.39</v>
      </c>
      <c r="AE21" s="9">
        <f>SUM(C21:AD21)</f>
        <v/>
      </c>
    </row>
    <row r="22">
      <c r="B22" t="inlineStr">
        <is>
          <t>Consulting 5002</t>
        </is>
      </c>
      <c r="J22" s="10" t="n">
        <v>24118.05</v>
      </c>
      <c r="N22" s="10" t="n">
        <v>24045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J24" s="10" t="n">
        <v>520904.67</v>
      </c>
      <c r="N24" s="10" t="n">
        <v>93165.06</v>
      </c>
      <c r="AE24" s="9">
        <f>SUM(C24:AD24)</f>
        <v/>
      </c>
    </row>
    <row r="25">
      <c r="B25" t="inlineStr">
        <is>
          <t>Other Direct Costs 5009</t>
        </is>
      </c>
      <c r="J25" s="10" t="n">
        <v>59857.85</v>
      </c>
      <c r="N25" s="10" t="n">
        <v>95947.14999999999</v>
      </c>
      <c r="AE25" s="9">
        <f>SUM(C25:AD25)</f>
        <v/>
      </c>
    </row>
    <row r="26">
      <c r="B26" t="inlineStr">
        <is>
          <t>Material 5003</t>
        </is>
      </c>
      <c r="J26" s="10" t="n">
        <v>55369.72</v>
      </c>
      <c r="N26" s="10" t="n">
        <v>45630.26</v>
      </c>
      <c r="AE26" s="9">
        <f>SUM(C26:AD26)</f>
        <v/>
      </c>
    </row>
    <row r="27">
      <c r="B27" t="inlineStr">
        <is>
          <t>Sub K Overhead 5992</t>
        </is>
      </c>
      <c r="N27" s="10" t="n">
        <v>18743.62</v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12652.3</v>
      </c>
      <c r="J29" s="10" t="n">
        <v>607236.1800000001</v>
      </c>
      <c r="N29" s="10" t="n">
        <v>550839.6800000001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F32" s="10" t="n">
        <v>123790.6</v>
      </c>
      <c r="G32" s="10" t="n">
        <v>123790.6</v>
      </c>
      <c r="H32" s="10" t="n">
        <v>123790.6</v>
      </c>
      <c r="I32" s="10" t="n">
        <v>123790.6</v>
      </c>
      <c r="J32" s="10" t="n">
        <v>123790.6</v>
      </c>
      <c r="K32" s="10" t="n">
        <v>123790.6</v>
      </c>
      <c r="L32" s="10" t="n">
        <v>123790.6</v>
      </c>
      <c r="M32" s="10" t="n">
        <v>123790.6</v>
      </c>
      <c r="N32" s="10" t="n">
        <v>123790.6</v>
      </c>
      <c r="O32" s="10" t="n">
        <v>123790.6</v>
      </c>
      <c r="AE32" s="9">
        <f>SUM(C32:AD32)</f>
        <v/>
      </c>
    </row>
    <row r="33">
      <c r="B33" t="inlineStr">
        <is>
          <t>Fringe 5990</t>
        </is>
      </c>
      <c r="F33" s="10" t="n">
        <v>51472.13</v>
      </c>
      <c r="G33" s="10" t="n">
        <v>51472.13</v>
      </c>
      <c r="H33" s="10" t="n">
        <v>51472.13</v>
      </c>
      <c r="I33" s="10" t="n">
        <v>51472.13</v>
      </c>
      <c r="J33" s="10" t="n">
        <v>51472.13</v>
      </c>
      <c r="K33" s="10" t="n">
        <v>51472.13</v>
      </c>
      <c r="L33" s="10" t="n">
        <v>51472.13</v>
      </c>
      <c r="M33" s="10" t="n">
        <v>51472.13</v>
      </c>
      <c r="N33" s="10" t="n">
        <v>51472.13</v>
      </c>
      <c r="O33" s="10" t="n">
        <v>51472.13</v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F35" s="10" t="n">
        <v>2493200</v>
      </c>
      <c r="G35" s="10" t="n">
        <v>2493200</v>
      </c>
      <c r="H35" s="10" t="n">
        <v>2493200</v>
      </c>
      <c r="I35" s="10" t="n">
        <v>2493200</v>
      </c>
      <c r="J35" s="10" t="n">
        <v>2493200</v>
      </c>
      <c r="K35" s="10" t="n">
        <v>2493200</v>
      </c>
      <c r="L35" s="10" t="n">
        <v>2493200</v>
      </c>
      <c r="M35" s="10" t="n">
        <v>2493200</v>
      </c>
      <c r="N35" s="10" t="n">
        <v>2493200</v>
      </c>
      <c r="O35" s="10" t="n">
        <v>2493200</v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F43" s="10" t="n">
        <v>41537.27</v>
      </c>
      <c r="G43" s="10" t="n">
        <v>41537.27</v>
      </c>
      <c r="H43" s="10" t="n">
        <v>41537.27</v>
      </c>
      <c r="I43" s="10" t="n">
        <v>41537.27</v>
      </c>
      <c r="J43" s="10" t="n">
        <v>41537.27</v>
      </c>
      <c r="K43" s="10" t="n">
        <v>41537.27</v>
      </c>
      <c r="L43" s="10" t="n">
        <v>41537.27</v>
      </c>
      <c r="M43" s="10" t="n">
        <v>41537.27</v>
      </c>
      <c r="N43" s="10" t="n">
        <v>41537.27</v>
      </c>
      <c r="O43" s="10" t="n">
        <v>41537.27</v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F45" s="10" t="n">
        <v>27100000</v>
      </c>
      <c r="AE45" s="9">
        <f>SUM(C45:AD45)</f>
        <v/>
      </c>
    </row>
    <row r="46">
      <c r="B46" t="inlineStr">
        <is>
          <t>Obligated</t>
        </is>
      </c>
      <c r="F46" s="10" t="n">
        <v>27100000</v>
      </c>
      <c r="AE46" s="9">
        <f>SUM(C46:AD46)</f>
        <v/>
      </c>
    </row>
    <row r="47">
      <c r="B47" t="inlineStr">
        <is>
          <t>Expended</t>
        </is>
      </c>
      <c r="G47" s="10" t="n">
        <v>5500000</v>
      </c>
      <c r="H47" s="10" t="n">
        <v>21600000</v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2026-04-16T07:11:38Z</dcterms:created>
  <dcterms:modified xsi:type="dcterms:W3CDTF">2026-04-16T07:14:10Z</dcterms:modified>
</cp:coreProperties>
</file>